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Shadower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117</v>
      </c>
      <c r="N3" t="inlineStr">
        <is>
          <t>Pig's Ribbon</t>
        </is>
      </c>
    </row>
    <row r="4">
      <c r="A4" s="6" t="inlineStr">
        <is>
          <t>Content Type</t>
        </is>
      </c>
      <c r="B4" s="7" t="inlineStr">
        <is>
          <t>Breakthrough</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36-6</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10399251</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32711.3</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55812</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163.6</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370.8</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Feet/Agile Daggers)</t>
        </is>
      </c>
      <c r="B11" s="8">
        <f>INDEX($C$11:$L$11,MATCH($B$4,$C$2:$L$2,0))</f>
        <v/>
      </c>
      <c r="C11" s="7" t="n">
        <v>0</v>
      </c>
      <c r="D11" s="7" t="n">
        <v>69.90000000000001</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64702</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253.7</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896</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930.9</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87.59999999999999</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34.6</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105.4</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44.8</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208.5</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186</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309.5</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307.8</v>
      </c>
      <c r="E23" s="7" t="n">
        <v>100</v>
      </c>
      <c r="F23" s="7" t="n">
        <v>100</v>
      </c>
      <c r="G23" s="7" t="n">
        <v>100</v>
      </c>
      <c r="H23" s="7" t="n">
        <v>100</v>
      </c>
      <c r="I23" s="7" t="n">
        <v>100</v>
      </c>
      <c r="J23" s="7" t="n">
        <v>100</v>
      </c>
      <c r="K23" s="7" t="n">
        <v>100</v>
      </c>
      <c r="L23" s="7" t="n">
        <v>100</v>
      </c>
      <c r="N23" t="inlineStr">
        <is>
          <t>Lit Lamp</t>
        </is>
      </c>
    </row>
    <row r="24">
      <c r="A24" s="6" t="inlineStr">
        <is>
          <t>FINAL_DAMAGE % (base, excludes Into Darkness/Smokescreen)</t>
        </is>
      </c>
      <c r="B24" s="8">
        <f>INDEX($C$24:$L$24,MATCH($B$4,$C$2:$L$2,0))</f>
        <v/>
      </c>
      <c r="C24" s="7" t="n">
        <v>0</v>
      </c>
      <c r="D24" s="7" t="n">
        <v>104.3</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12</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13</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9</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76</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55</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6</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34.5</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Athena Pierce's Old Gloves</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Hexagon Necklace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Shadower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$39&lt;&gt;"pvp",Inputs!$B$44=0),1,IF(IF(Inputs!$B$39="pvp",15,Inputs!$B$44)-(Summary!$B$26)&lt;=0,1,MAX(0,IF(Inputs!$B$39="pvp",15,Inputs!$B$44)-MAX(5,Summary!$B$26))/(IF(Inputs!$B$39="pvp",15,Inputs!$B$44)-(Summary!$B$26))))*IF(AND(ArtifactsInput!$M$42,B4&lt;100),CHOOSE(ArtifactsInput!$N$42+1,30,36,42,48,54,60),0)</f>
        <v/>
      </c>
    </row>
    <row r="6">
      <c r="A6" t="inlineStr">
        <is>
          <t>Ring of Cycles — Skill Damage (if threshold &gt;= 100%)</t>
        </is>
      </c>
      <c r="B6">
        <f>IF(AND(Inputs!$B$39&lt;&gt;"pvp",Inputs!$B$44=0),1,IF(IF(Inputs!$B$39="pvp",15,Inputs!$B$44)-(Summary!$B$26)&lt;=0,1,MAX(0,IF(Inputs!$B$39="pvp",15,Inputs!$B$44)-MAX(5,Summary!$B$26))/(IF(Inputs!$B$39="pvp",15,Inputs!$B$44)-(Summary!$B$26))))*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$26)&lt;=0,1,MAX(0,IF(Inputs!$B$39="pvp",15,Inputs!$B$44)-MAX(5,Summary!$B$26))/(IF(Inputs!$B$39="pvp",15,Inputs!$B$44)-(Summary!$B$26))))*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0.2*Summary!$B$18</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0.15*Summary!$B$18*5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(Shadower) helper — unused (see MAPLE_HERO_SHADOWER row's own Note)</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$43*(1-Inputs!$B$19/100)))*(1+Inputs!$B$24/100)*(1+Artifacts!$B$34/100)*(1+(IF(Skills!A2="CRUEL_STAB",Inputs!$B$17+Artifacts!$B$40,Inputs!$B$18+Artifacts!$B$39))/100)*(Summary!$B$13*Summary!$B$16*(1+Artifacts!$B$38/100)*I2)</f>
        <v/>
      </c>
      <c r="L2">
        <f>K2*(MIN(Inputs!$B$22,Inputs!$B$23)/100+Inputs!$B$23/100)/2</f>
        <v/>
      </c>
      <c r="M2">
        <f>L2*(1+(Inputs!$B$10+Summary!$B$21+Artifacts!$B$33)/100)</f>
        <v/>
      </c>
      <c r="N2">
        <f>L2*(1-MIN((Inputs!$B$9+Summary!$B$14+Artifacts!$B$32),100)/100)+M2*(MIN((Inputs!$B$9+Summary!$B$14+Artifacts!$B$32),100)/100)</f>
        <v/>
      </c>
      <c r="O2">
        <f>(1-Summary!$B$11)*T2+Summary!$B$11*V2</f>
        <v/>
      </c>
      <c r="P2">
        <f>IF(Summary!$B$3=0,0,O2/Summary!$B$3)</f>
        <v/>
      </c>
      <c r="Q2" t="n">
        <v>0</v>
      </c>
      <c r="R2" t="n">
        <v>0</v>
      </c>
      <c r="S2">
        <f>IFERROR(O2/N2,0)</f>
        <v/>
      </c>
      <c r="T2">
        <f>IF(C2,(Skills!G2*N2*Summary!$B$20)*IF(Inputs!$B$39="pvp",1,1+(Inputs!$B$20+Skills!P2+Summary!$B$15+Artifacts!$B$35)/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V2">
        <f>IF(C2,(Skills!G2*N2*Summary!$B$20)*IF(Inputs!$B$39="pvp",1,(1+(Inputs!$B$21+Skills!Q2+Summary!$B$15+Artifacts!$B$80)/100)*(MIN(Skills!W2,Inputs!$B$37)))*((1+Artifacts!$B$53/100)),0)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f>(1-Summary!$B$11)*T3+Summary!$B$11*V3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$43*(1-Inputs!$B$19/100)))*(1+Inputs!$B$24/100)*(1+Artifacts!$B$34/100)*(1+(IF(Skills!A4="CRUEL_STAB",Inputs!$B$17+Artifacts!$B$40,Inputs!$B$18+Artifacts!$B$39))/100)*(Summary!$B$13*Summary!$B$16*(1+Artifacts!$B$38/100)*I4)</f>
        <v/>
      </c>
      <c r="L4">
        <f>K4*(MIN(Inputs!$B$22,Inputs!$B$23)/100+Inputs!$B$23/100)/2</f>
        <v/>
      </c>
      <c r="M4">
        <f>L4*(1+(Inputs!$B$10+Summary!$B$21+Artifacts!$B$33)/100)</f>
        <v/>
      </c>
      <c r="N4">
        <f>L4*(1-MIN((Inputs!$B$9+Summary!$B$14+Artifacts!$B$32),100)/100)+M4*(MIN((Inputs!$B$9+Summary!$B$14+Artifacts!$B$32),100)/100)</f>
        <v/>
      </c>
      <c r="O4">
        <f>(1-Summary!$B$11)*T4+Summary!$B$11*V4</f>
        <v/>
      </c>
      <c r="P4">
        <f>IF(Summary!$B$3=0,0,O4/Summary!$B$3)</f>
        <v/>
      </c>
      <c r="Q4">
        <f>IFERROR(1/IF(Inputs!$B$39="pvp",15,MAX(0.1,Skills!D4-IF(Skills!E4=TRUE,Inputs!$B$32,0))),0)</f>
        <v/>
      </c>
      <c r="R4">
        <f>IF(AND(Inputs!$B$39&lt;&gt;"pvp",Inputs!$B$44&gt;0),IF(MAX(0,Inputs!$B$44-Summary!$B$26)&lt;=0,0,(INT(MAX(0,Inputs!$B$44-Summary!$B$26)/IF(Inputs!$B$39="pvp",15,MAX(0.1,Skills!D4-IF(Skills!E4=TRUE,Inputs!$B$32,0))))+1)),0)</f>
        <v/>
      </c>
      <c r="S4">
        <f>IFERROR(O4/N4,0)</f>
        <v/>
      </c>
      <c r="T4">
        <f>IF(C4,(H4*N4*IF(AND(Inputs!$B$39&lt;&gt;"pvp",Inputs!$B$44&gt;0),((Skills!G4*((R4-1)*IF(Skills!H4&gt;0,Skills!I4/Skills!H4,1)+IF(Skills!H4&gt;0,MIN(Skills!I4,MAX(0,MAX(0,Inputs!$B$44-Summary!$B$26)-((R4-1)*IF(Inputs!$B$39="pvp",15,MAX(0.1,Skills!D4-IF(Skills!E4=TRUE,Inputs!$B$32,0))))))/Skills!H4,1)))/Inputs!$B$44),G4*Q4))*IF(Inputs!$B$39="pvp",1,1+(Inputs!$B$20+Skills!P4+Summary!$B$15+Artifacts!$B$35)/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Skills!H4,1)))/Inputs!$B$44),G4*Q4))*IF(Inputs!$B$39="pvp",1,(1+(Inputs!$B$21+Skills!Q4+Summary!$B$15+Artifacts!$B$80)/100)*(MIN(MIN(10,0.5*Summary!$B$18*Skills!D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$43*(1-Inputs!$B$19/100)))*(1+Inputs!$B$24/100)*(1+Artifacts!$B$34/100)*(1+2.6666666666666665*IF(C18=TRUE,F18,0)/100)*(1+(IF(Skills!A5="CRUEL_STAB",Inputs!$B$17+Artifacts!$B$40,Inputs!$B$18+Artifacts!$B$39))/100)*(Summary!$B$13*Summary!$B$16*(1+Artifacts!$B$38/100)*I5)</f>
        <v/>
      </c>
      <c r="L5">
        <f>K5*(MIN(Inputs!$B$22,Inputs!$B$23)/100+Inputs!$B$23/100)/2</f>
        <v/>
      </c>
      <c r="M5">
        <f>L5*(1+(Inputs!$B$10+Summary!$B$21+Artifacts!$B$33)/100)</f>
        <v/>
      </c>
      <c r="N5">
        <f>L5*(1-MIN((Inputs!$B$9+Summary!$B$14+Artifacts!$B$32),100)/100)+M5*(MIN((Inputs!$B$9+Summary!$B$14+Artifacts!$B$32),100)/100)</f>
        <v/>
      </c>
      <c r="O5">
        <f>(1-Summary!$B$11)*T5+Summary!$B$11*V5</f>
        <v/>
      </c>
      <c r="P5">
        <f>IF(Summary!$B$3=0,0,O5/Summary!$B$3)</f>
        <v/>
      </c>
      <c r="Q5">
        <f>IFERROR(1/IF(Inputs!$B$39="pvp",15,MAX(0.1,Skills!D5-IF(Skills!E5=TRUE,Inputs!$B$32,0))),0)</f>
        <v/>
      </c>
      <c r="R5">
        <f>IF(AND(Inputs!$B$39&lt;&gt;"pvp",Inputs!$B$44&gt;0),IF(MAX(0,Inputs!$B$44-Summary!$B$26)&lt;=0,0,(INT(MAX(0,Inputs!$B$44-Summary!$B$26)/IF(Inputs!$B$39="pvp",15,MAX(0.1,Skills!D5-IF(Skills!E5=TRUE,Inputs!$B$32,0))))+1)),0)</f>
        <v/>
      </c>
      <c r="S5">
        <f>IFERROR(O5/N5,0)</f>
        <v/>
      </c>
      <c r="T5">
        <f>IF(C5,(H5*N5*IF(AND(Inputs!$B$39&lt;&gt;"pvp",Inputs!$B$44&gt;0),((Skills!G5*((R5-1)*IF(Skills!H5&gt;0,Skills!I5/Skills!H5,1)+IF(Skills!H5&gt;0,MIN(Skills!I5,MAX(0,MAX(0,Inputs!$B$44-Summary!$B$26)-((R5-1)*IF(Inputs!$B$39="pvp",15,MAX(0.1,Skills!D5-IF(Skills!E5=TRUE,Inputs!$B$32,0))))))/Skills!H5,1)))/Inputs!$B$44),G5*Q5))*IF(Inputs!$B$39="pvp",1,1+(Inputs!$B$20+Skills!P5+Summary!$B$15+Artifacts!$B$35)/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Skills!H5,1)))/Inputs!$B$44),G5*Q5))*IF(Inputs!$B$39="pvp",1,(1+(Inputs!$B$21+Skills!Q5+Summary!$B$15+Artifacts!$B$80)/100)*(MIN(Skills!W5,Inputs!$B$37)))*((1+Artifacts!$B$53/100)),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$43*(1-Inputs!$B$19/100)))*(1+Inputs!$B$24/100)*(1+Artifacts!$B$34/100)*(1+1.0*IF(C18=TRUE,F18,0)/100)*(1+(IF(Skills!A6="CRUEL_STAB",Inputs!$B$17+Artifacts!$B$40,Inputs!$B$18+Artifacts!$B$39))/100)*(Summary!$B$13*Summary!$B$16*(1+Artifacts!$B$38/100)*I6)</f>
        <v/>
      </c>
      <c r="L6">
        <f>K6*(MIN(Inputs!$B$22,Inputs!$B$23)/100+Inputs!$B$23/100)/2</f>
        <v/>
      </c>
      <c r="M6">
        <f>L6*(1+(Inputs!$B$10+Summary!$B$21+Artifacts!$B$33)/100)</f>
        <v/>
      </c>
      <c r="N6">
        <f>L6*(1-MIN((Inputs!$B$9+Summary!$B$14+Artifacts!$B$32),100)/100)+M6*(MIN((Inputs!$B$9+Summary!$B$14+Artifacts!$B$32),100)/100)</f>
        <v/>
      </c>
      <c r="O6">
        <f>(1-Summary!$B$11)*T6+Summary!$B$11*V6</f>
        <v/>
      </c>
      <c r="P6">
        <f>IF(Summary!$B$3=0,0,O6/Summary!$B$3)</f>
        <v/>
      </c>
      <c r="Q6">
        <f>IFERROR(1/IF(Inputs!$B$39="pvp",15,MAX(0.1,Skills!D6-IF(Skills!E6=TRUE,Inputs!$B$32,0))),0)</f>
        <v/>
      </c>
      <c r="R6">
        <f>IF(AND(Inputs!$B$39&lt;&gt;"pvp",Inputs!$B$44&gt;0),IF(MAX(0,Inputs!$B$44-Summary!$B$26)&lt;=0,0,(INT(MAX(0,Inputs!$B$44-Summary!$B$26)/IF(Inputs!$B$39="pvp",15,MAX(0.1,Skills!D6-IF(Skills!E6=TRUE,Inputs!$B$32,0))))+1)),0)</f>
        <v/>
      </c>
      <c r="S6">
        <f>IFERROR(O6/N6,0)</f>
        <v/>
      </c>
      <c r="T6">
        <f>IF(C6,(H6*N6*IF(AND(Inputs!$B$39&lt;&gt;"pvp",Inputs!$B$44&gt;0),((Skills!G6*((R6-1)*IF(Skills!H6&gt;0,Skills!I6/Skills!H6,1)+IF(Skills!H6&gt;0,MIN(Skills!I6,MAX(0,MAX(0,Inputs!$B$44-Summary!$B$26)-((R6-1)*IF(Inputs!$B$39="pvp",15,MAX(0.1,Skills!D6-IF(Skills!E6=TRUE,Inputs!$B$32,0))))))/Skills!H6,1)))/Inputs!$B$44),G6*Q6))*IF(Inputs!$B$39="pvp",1,1+(Inputs!$B$20+Skills!P6+Summary!$B$15+Artifacts!$B$35)/100)*((((5000/(6000+Inputs!$B$43*(1-(100*(1-(1-Inputs!$B$19/100)*(1-Artifacts!$B$51/100)^IF(Inputs!$B$39="pvp",1,2)))/100)))/(5000/(6000+Inputs!$B$43*(1-Inputs!$B$19/100))))*((L6*(1-MIN(100,(Inputs!$B$9+Summary!$B$14+Artifacts!$B$32)+Artifacts!$B$69)/100)+M6*(MIN(100,(Inputs!$B$9+Summary!$B$14+Artifacts!$B$32)+Artifacts!$B$69)/100))/(L6*(1-MIN(100,(Inputs!$B$9+Summary!$B$14+Artifacts!$B$32))/100)+M6*(MIN(100,(Inputs!$B$9+Summary!$B$14+Artifacts!$B$32))/100)))*(1+Artifacts!$B$81/100))),0)</f>
        <v/>
      </c>
      <c r="V6">
        <f>IF(C6,(H6*N6*IF(AND(Inputs!$B$39&lt;&gt;"pvp",Inputs!$B$44&gt;0),((Skills!G6*((R6-1)*IF(Skills!H6&gt;0,Skills!I6/Skills!H6,1)+IF(Skills!H6&gt;0,MIN(Skills!I6,MAX(0,MAX(0,Inputs!$B$44-Summary!$B$26)-((R6-1)*IF(Inputs!$B$39="pvp",15,MAX(0.1,Skills!D6-IF(Skills!E6=TRUE,Inputs!$B$32,0))))))/Skills!H6,1)))/Inputs!$B$44),G6*Q6))*IF(Inputs!$B$39="pvp",1,(1+(Inputs!$B$21+Skills!Q6+Summary!$B$15+Artifacts!$B$80)/100)*(MIN(Skills!W6,Inputs!$B$37)))*((1+Artifacts!$B$53/100)),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$43*(1-Inputs!$B$19/100)))*(1+Inputs!$B$24/100)*(1+Artifacts!$B$34/100)*(1+3.3333333333333335*IF(C18=TRUE,F18,0)/100)*(1+(IF(Skills!A8="CRUEL_STAB",Inputs!$B$17+Artifacts!$B$40,Inputs!$B$18+Artifacts!$B$39))/100)*(Summary!$B$13*Summary!$B$16*(1+Artifacts!$B$38/100)*I8)</f>
        <v/>
      </c>
      <c r="L8">
        <f>K8*(MIN(Inputs!$B$22,Inputs!$B$23)/100+Inputs!$B$23/100)/2</f>
        <v/>
      </c>
      <c r="M8">
        <f>L8*(1+(Inputs!$B$10+Summary!$B$21+Artifacts!$B$33)/100)</f>
        <v/>
      </c>
      <c r="N8">
        <f>L8*(1-MIN((Inputs!$B$9+Summary!$B$14+Artifacts!$B$32),100)/100)+M8*(MIN((Inputs!$B$9+Summary!$B$14+Artifacts!$B$32),100)/100)</f>
        <v/>
      </c>
      <c r="O8">
        <f>(1-Summary!$B$11)*T8+Summary!$B$11*V8</f>
        <v/>
      </c>
      <c r="P8">
        <f>IF(Summary!$B$3=0,0,O8/Summary!$B$3)</f>
        <v/>
      </c>
      <c r="Q8">
        <f>IFERROR(1/IF(Inputs!$B$39="pvp",15,MAX(0.1,Skills!D8-IF(Skills!E8=TRUE,Inputs!$B$32,0))),0)</f>
        <v/>
      </c>
      <c r="R8">
        <f>IF(AND(Inputs!$B$39&lt;&gt;"pvp",Inputs!$B$44&gt;0),IF(MAX(0,Inputs!$B$44-Summary!$B$26)&lt;=0,0,(INT(MAX(0,Inputs!$B$44-Summary!$B$26)/IF(Inputs!$B$39="pvp",15,MAX(0.1,Skills!D8-IF(Skills!E8=TRUE,Inputs!$B$32,0))))+1)),0)</f>
        <v/>
      </c>
      <c r="S8">
        <f>IFERROR(O8/N8,0)</f>
        <v/>
      </c>
      <c r="T8">
        <f>IF(C8,(H8*N8*IF(AND(Inputs!$B$39&lt;&gt;"pvp",Inputs!$B$44&gt;0),((Skills!G8*((R8-1)*IF(Skills!H8&gt;0,Skills!I8/Skills!H8,1)+IF(Skills!H8&gt;0,MIN(Skills!I8,MAX(0,MAX(0,Inputs!$B$44-Summary!$B$26)-((R8-1)*IF(Inputs!$B$39="pvp",15,MAX(0.1,Skills!D8-IF(Skills!E8=TRUE,Inputs!$B$32,0))))))/Skills!H8,1)))/Inputs!$B$44),G8*Q8))*IF(Inputs!$B$39="pvp",1,1+(Inputs!$B$20+Skills!P8+Summary!$B$15+Artifacts!$B$35)/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Skills!H8,1)))/Inputs!$B$44),G8*Q8))*IF(Inputs!$B$39="pvp",1,(1+(Inputs!$B$21+Skills!Q8+Summary!$B$15+Artifacts!$B$80)/100)*(MIN(Skills!W8,Inputs!$B$37)))*((1+Artifacts!$B$53/100)),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$43*(1-Inputs!$B$19/100)))*(1+Inputs!$B$24/100)*(1+Artifacts!$B$34/100)*(1+(IF(Skills!A9="CRUEL_STAB",Inputs!$B$17+Artifacts!$B$40,Inputs!$B$18+Artifacts!$B$39))/100)*(Summary!$B$13*Summary!$B$16*(1+Artifacts!$B$38/100)*I9)</f>
        <v/>
      </c>
      <c r="L9">
        <f>K9*(MIN(Inputs!$B$22,Inputs!$B$23)/100+Inputs!$B$23/100)/2</f>
        <v/>
      </c>
      <c r="M9">
        <f>L9*(1+(Inputs!$B$10+Summary!$B$21+Artifacts!$B$33)/100)</f>
        <v/>
      </c>
      <c r="N9">
        <f>L9*(1-MIN((Inputs!$B$9+Summary!$B$14+Artifacts!$B$32),100)/100)+M9*(MIN((Inputs!$B$9+Summary!$B$14+Artifacts!$B$32),100)/100)</f>
        <v/>
      </c>
      <c r="O9">
        <f>(1-Summary!$B$11)*T9+Summary!$B$11*V9</f>
        <v/>
      </c>
      <c r="P9">
        <f>IF(Summary!$B$3=0,0,O9/Summary!$B$3)</f>
        <v/>
      </c>
      <c r="Q9" t="n">
        <v>0</v>
      </c>
      <c r="R9" t="n">
        <v>0</v>
      </c>
      <c r="S9" t="n">
        <v>0</v>
      </c>
      <c r="T9">
        <f>IF(C9,(0.2*SUMPRODUCT((Skills!Z2:Z30=TRUE)*(C2:C30=TRUE)*S2:S30)*N9)*IF(Inputs!$B$39="pvp",1,1+(Inputs!$B$20+Skills!P9+Summary!$B$15+Artifacts!$B$35)/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IF(C9,(0.2*SUMPRODUCT((Skills!Z2:Z30=TRUE)*(C2:C30=TRUE)*S2:S30)*N9)*IF(Inputs!$B$39="pvp",1,(1+(Inputs!$B$21+Skills!Q9+Summary!$B$15+Artifacts!$B$80)/100)*(MIN(Skills!W9,Inputs!$B$37)))*((1+Artifacts!$B$53/100)),0)</f>
        <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f>(1-Summary!$B$11)*T10+Summary!$B$11*V10</f>
        <v/>
      </c>
      <c r="P10">
        <f>IF(Summary!$B$3=0,0,O10/Summary!$B$3)</f>
        <v/>
      </c>
      <c r="Q10">
        <f>IFERROR(1/IF(Inputs!$B$39="pvp",15,MAX(0.1,Skills!D10-IF(Skills!E10=TRUE,Inputs!$B$32,0))),0)</f>
        <v/>
      </c>
      <c r="R10">
        <f>IF(AND(Inputs!$B$39&lt;&gt;"pvp",Inputs!$B$44&gt;0),IF(Inputs!$B$44&lt;=0,0,(INT(Inputs!$B$44/IF(Inputs!$B$39="pvp",15,MAX(0.1,Skills!D10-IF(Skills!E10=TRUE,Inputs!$B$32,0))))+1)),0)</f>
        <v/>
      </c>
      <c r="S10">
        <f>IFERROR(O10/N10,0)</f>
        <v/>
      </c>
      <c r="T10" t="n">
        <v>0</v>
      </c>
      <c r="V10" t="n">
        <v>0</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13)/1000)*Summary!$B$24</f>
        <v/>
      </c>
      <c r="G11">
        <f>Skills!G11*IF(Skills!H11&gt;0,Skills!I11/Skills!H11,1)</f>
        <v/>
      </c>
      <c r="H11">
        <f>1-(1-Skills!J11/100)^Skills!K11</f>
        <v/>
      </c>
      <c r="I11" t="inlineStr">
        <is>
          <t>1</t>
        </is>
      </c>
      <c r="J11">
        <f>Summary!$B$6*(F11/100)</f>
        <v/>
      </c>
      <c r="K11">
        <f>J11*(1+Summary!$B$7/100)*(1+Inputs!$B$15/100)*(1+Inputs!$B$16/100)*(5000/(6000+Inputs!$B$43*(1-Inputs!$B$19/100)))*(1+Inputs!$B$24/100)*(1+Artifacts!$B$34/100)*(1+(IF(Skills!A11="CRUEL_STAB",Inputs!$B$17+Artifacts!$B$40,Inputs!$B$18+Artifacts!$B$39))/100)*(Summary!$B$13*Summary!$B$16*(1+Artifacts!$B$38/100)*I11)</f>
        <v/>
      </c>
      <c r="L11">
        <f>K11*(MIN(Inputs!$B$22,Inputs!$B$23)/100+Inputs!$B$23/100)/2</f>
        <v/>
      </c>
      <c r="M11">
        <f>L11*(1+(Inputs!$B$10+Summary!$B$21+Artifacts!$B$33)/100)</f>
        <v/>
      </c>
      <c r="N11">
        <f>L11*(1-MIN((Inputs!$B$9+Summary!$B$14+Artifacts!$B$32),100)/100)+M11*(MIN((Inputs!$B$9+Summary!$B$14+Artifacts!$B$32),100)/100)</f>
        <v/>
      </c>
      <c r="O11">
        <f>(1-Summary!$B$11)*T11+Summary!$B$11*V11</f>
        <v/>
      </c>
      <c r="P11">
        <f>IF(Summary!$B$3=0,0,O11/Summary!$B$3)</f>
        <v/>
      </c>
      <c r="Q11">
        <f>IFERROR(1/IF(Inputs!$B$39="pvp",15,MAX(0.1,Skills!D11-IF(Skills!E11=TRUE,Inputs!$B$32,0))),0)</f>
        <v/>
      </c>
      <c r="R11">
        <f>IF(AND(Inputs!$B$39&lt;&gt;"pvp",Inputs!$B$44&gt;0),IF(MAX(0,Inputs!$B$44-Summary!$B$26)&lt;=0,0,(INT(MAX(0,Inputs!$B$44-Summary!$B$26)/IF(Inputs!$B$39="pvp",15,MAX(0.1,Skills!D11-IF(Skills!E11=TRUE,Inputs!$B$32,0))))+1)),0)</f>
        <v/>
      </c>
      <c r="S11">
        <f>IFERROR(O11/N11,0)</f>
        <v/>
      </c>
      <c r="T11">
        <f>IF(C11,(H11*N11*IF(AND(Inputs!$B$39&lt;&gt;"pvp",Inputs!$B$44&gt;0),((Skills!G11*((R11-1)*IF(Skills!H11&gt;0,Skills!I11/Skills!H11,1)+IF(Skills!H11&gt;0,MIN(Skills!I11,MAX(0,MAX(0,Inputs!$B$44-Summary!$B$26)-((R11-1)*IF(Inputs!$B$39="pvp",15,MAX(0.1,Skills!D11-IF(Skills!E11=TRUE,Inputs!$B$32,0))))))/Skills!H11,1)))/Inputs!$B$44),G11*Q11))*IF(Inputs!$B$39="pvp",1,1+(Inputs!$B$20+Skills!P11+Summary!$B$15+Artifacts!$B$35)/100)*((((5000/(6000+Inputs!$B$43*(1-(100*(1-(1-Inputs!$B$19/100)*(1-Artifacts!$B$51/100)^IF(Inputs!$B$39="pvp",1,2)))/100)))/(5000/(6000+Inputs!$B$43*(1-Inputs!$B$19/100))))*((L11*(1-MIN(100,(Inputs!$B$9+Summary!$B$14+Artifacts!$B$32)+Artifacts!$B$69)/100)+M11*(MIN(100,(Inputs!$B$9+Summary!$B$14+Artifacts!$B$32)+Artifacts!$B$69)/100))/(L11*(1-MIN(100,(Inputs!$B$9+Summary!$B$14+Artifacts!$B$32))/100)+M11*(MIN(100,(Inputs!$B$9+Summary!$B$14+Artifacts!$B$32))/100)))*(1+Artifacts!$B$81/100))),0)</f>
        <v/>
      </c>
      <c r="V11">
        <f>IF(C11,(H11*N11*IF(AND(Inputs!$B$39&lt;&gt;"pvp",Inputs!$B$44&gt;0),((Skills!G11*((R11-1)*IF(Skills!H11&gt;0,Skills!I11/Skills!H11,1)+IF(Skills!H11&gt;0,MIN(Skills!I11,MAX(0,MAX(0,Inputs!$B$44-Summary!$B$26)-((R11-1)*IF(Inputs!$B$39="pvp",15,MAX(0.1,Skills!D11-IF(Skills!E11=TRUE,Inputs!$B$32,0))))))/Skills!H11,1)))/Inputs!$B$44),G11*Q11))*IF(Inputs!$B$39="pvp",1,(1+(Inputs!$B$21+Skills!Q11+Summary!$B$15+Artifacts!$B$80)/100)*(MIN(Skills!W11,Inputs!$B$37)))*((1+Artifacts!$B$53/100)),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$43*(1-Inputs!$B$19/100)))*(1+Inputs!$B$24/100)*(1+Artifacts!$B$34/100)*(1+(IF(Skills!A12="CRUEL_STAB",Inputs!$B$17+Artifacts!$B$40,Inputs!$B$18+Artifacts!$B$39))/100)*(Summary!$B$13*Summary!$B$16*(1+Artifacts!$B$38/100)*I12)</f>
        <v/>
      </c>
      <c r="L12">
        <f>K12*(MIN(Inputs!$B$22,Inputs!$B$23)/100+Inputs!$B$23/100)/2</f>
        <v/>
      </c>
      <c r="M12">
        <f>L12*(1+(Inputs!$B$10+Summary!$B$21+Artifacts!$B$33)/100)</f>
        <v/>
      </c>
      <c r="N12">
        <f>L12*(1-MIN((Inputs!$B$9+Summary!$B$14+Artifacts!$B$32),100)/100)+M12*(MIN((Inputs!$B$9+Summary!$B$14+Artifacts!$B$32),100)/100)</f>
        <v/>
      </c>
      <c r="O12">
        <f>(1-Summary!$B$11)*T12+Summary!$B$11*V12</f>
        <v/>
      </c>
      <c r="P12">
        <f>IF(Summary!$B$3=0,0,O12/Summary!$B$3)</f>
        <v/>
      </c>
      <c r="Q12">
        <f>IFERROR(1/IF(Inputs!$B$39="pvp",15,MAX(0.1,Skills!D12-IF(Skills!E12=TRUE,Inputs!$B$32,0))),0)</f>
        <v/>
      </c>
      <c r="R12">
        <f>IF(AND(Inputs!$B$39&lt;&gt;"pvp",Inputs!$B$44&gt;0),IF(MAX(0,Inputs!$B$44-Summary!$B$26)&lt;=0,0,(INT(MAX(0,Inputs!$B$44-Summary!$B$26)/IF(Inputs!$B$39="pvp",15,MAX(0.1,Skills!D12-IF(Skills!E12=TRUE,Inputs!$B$32,0))))+1)),0)</f>
        <v/>
      </c>
      <c r="S12">
        <f>IFERROR(O12/N12,0)</f>
        <v/>
      </c>
      <c r="T12">
        <f>IF(C12,(H12*N12*IF(AND(Inputs!$B$39&lt;&gt;"pvp",Inputs!$B$44&gt;0),((Skills!G12*((R12-1)*IF(Skills!H12&gt;0,Skills!I12/Skills!H12,1)+IF(Skills!H12&gt;0,MIN(Skills!I12,MAX(0,MAX(0,Inputs!$B$44-Summary!$B$26)-((R12-1)*IF(Inputs!$B$39="pvp",15,MAX(0.1,Skills!D12-IF(Skills!E12=TRUE,Inputs!$B$32,0))))))/Skills!H12,1)))/Inputs!$B$44),G12*Q12))*IF(Inputs!$B$39="pvp",1,1+(Inputs!$B$20+Skills!P12+Summary!$B$15+Artifacts!$B$35)/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Skills!H12,1)))/Inputs!$B$44),G12*Q12))*IF(Inputs!$B$39="pvp",1,(1+(Inputs!$B$21+Skills!Q12+Summary!$B$15+Artifacts!$B$80)/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$43*(1-Inputs!$B$19/100)))*(1+Inputs!$B$24/100)*(1+Artifacts!$B$34/100)*(1+(IF(Skills!A13="CRUEL_STAB",Inputs!$B$17+Artifacts!$B$40,Inputs!$B$18+Artifacts!$B$39))/100)*(Summary!$B$13*Summary!$B$16*(1+Artifacts!$B$38/100)*I13)</f>
        <v/>
      </c>
      <c r="L13">
        <f>K13*(MIN(Inputs!$B$22,Inputs!$B$23)/100+Inputs!$B$23/100)/2</f>
        <v/>
      </c>
      <c r="M13">
        <f>L13*(1+(Inputs!$B$10+Summary!$B$21+Artifacts!$B$33)/100)</f>
        <v/>
      </c>
      <c r="N13">
        <f>L13*(1-MIN((Inputs!$B$9+Summary!$B$14+Artifacts!$B$32),100)/100)+M13*(MIN((Inputs!$B$9+Summary!$B$14+Artifacts!$B$32),100)/100)</f>
        <v/>
      </c>
      <c r="O13">
        <f>(1-Summary!$B$11)*T13+Summary!$B$11*V13</f>
        <v/>
      </c>
      <c r="P13">
        <f>IF(Summary!$B$3=0,0,O13/Summary!$B$3)</f>
        <v/>
      </c>
      <c r="Q13">
        <f>IFERROR(1/IF(Inputs!$B$39="pvp",15,MAX(0.1,Skills!D13-IF(Skills!E13=TRUE,Inputs!$B$32,0))),0)</f>
        <v/>
      </c>
      <c r="R13">
        <f>IF(AND(Inputs!$B$39&lt;&gt;"pvp",Inputs!$B$44&gt;0),IF(MAX(0,Inputs!$B$44-Summary!$B$26)&lt;=0,0,(INT(MAX(0,Inputs!$B$44-Summary!$B$26)/IF(Inputs!$B$39="pvp",15,MAX(0.1,Skills!D13-IF(Skills!E13=TRUE,Inputs!$B$32,0))))+1)),0)</f>
        <v/>
      </c>
      <c r="S13">
        <f>IFERROR(O13/N13,0)</f>
        <v/>
      </c>
      <c r="T13">
        <f>IF(C13,(H13*N13*IF(AND(Inputs!$B$39&lt;&gt;"pvp",Inputs!$B$44&gt;0),((Skills!G13*((R13-1)*IF(Skills!H13&gt;0,Skills!I13/Skills!H13,1)+IF(Skills!H13&gt;0,MIN(Skills!I13,MAX(0,MAX(0,Inputs!$B$44-Summary!$B$26)-((R13-1)*IF(Inputs!$B$39="pvp",15,MAX(0.1,Skills!D13-IF(Skills!E13=TRUE,Inputs!$B$32,0))))))/Skills!H13,1)))/Inputs!$B$44),G13*Q13))*IF(Inputs!$B$39="pvp",1,1+(Inputs!$B$20+Skills!P13+Summary!$B$15+Artifacts!$B$35)/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Skills!H13,1)))/Inputs!$B$44),G13*Q13))*IF(Inputs!$B$39="pvp",1,(1+(Inputs!$B$21+Skills!Q13+Summary!$B$15+Artifacts!$B$80)/100)*(MIN(Skills!W13,Inputs!$B$37)))*((1+Artifacts!$B$53/100)),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$43*(1-Inputs!$B$19/100)))*(1+Inputs!$B$24/100)*(1+Artifacts!$B$34/100)*(1+(IF(Skills!A14="CRUEL_STAB",Inputs!$B$17+Artifacts!$B$40,Inputs!$B$18+Artifacts!$B$39))/100)*(Summary!$B$13*Summary!$B$16*(1+Artifacts!$B$38/100)*I14)</f>
        <v/>
      </c>
      <c r="L14">
        <f>K14*(MIN(Inputs!$B$22,Inputs!$B$23)/100+Inputs!$B$23/100)/2</f>
        <v/>
      </c>
      <c r="M14">
        <f>L14*(1+(Inputs!$B$10+Summary!$B$21+Artifacts!$B$33)/100)</f>
        <v/>
      </c>
      <c r="N14">
        <f>L14*(1-MIN((Inputs!$B$9+Summary!$B$14+Artifacts!$B$32),100)/100)+M14*(MIN((Inputs!$B$9+Summary!$B$14+Artifacts!$B$32),100)/100)</f>
        <v/>
      </c>
      <c r="O14">
        <f>(1-Summary!$B$11)*T14+Summary!$B$11*V14</f>
        <v/>
      </c>
      <c r="P14">
        <f>IF(Summary!$B$3=0,0,O14/Summary!$B$3)</f>
        <v/>
      </c>
      <c r="Q14">
        <f>IFERROR(1/IF(Inputs!$B$39="pvp",15,MAX(0.1,Skills!D14-IF(Skills!E14=TRUE,Inputs!$B$32,0))),0)</f>
        <v/>
      </c>
      <c r="R14">
        <f>IF(AND(Inputs!$B$39&lt;&gt;"pvp",Inputs!$B$44&gt;0),IF(MAX(0,Inputs!$B$44-Summary!$B$26)&lt;=0,0,(INT(MAX(0,Inputs!$B$44-Summary!$B$26)/IF(Inputs!$B$39="pvp",15,MAX(0.1,Skills!D14-IF(Skills!E14=TRUE,Inputs!$B$32,0))))+1)),0)</f>
        <v/>
      </c>
      <c r="S14">
        <f>IFERROR(O14/N14,0)</f>
        <v/>
      </c>
      <c r="T14">
        <f>IF(C14,(H14*N14*IF(AND(Inputs!$B$39&lt;&gt;"pvp",Inputs!$B$44&gt;0),((Skills!G14*((R14-1)*IF(Skills!H14&gt;0,Skills!I14/Skills!H14,1)+IF(Skills!H14&gt;0,MIN(Skills!I14,MAX(0,MAX(0,Inputs!$B$44-Summary!$B$26)-((R14-1)*IF(Inputs!$B$39="pvp",15,MAX(0.1,Skills!D14-IF(Skills!E14=TRUE,Inputs!$B$32,0))))))/Skills!H14,1)))/Inputs!$B$44),G14*Q14))*IF(Inputs!$B$39="pvp",1,1+(Inputs!$B$20+Skills!P14+Summary!$B$15+Artifacts!$B$35)/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Skills!H14,1)))/Inputs!$B$44),G14*Q14))*IF(Inputs!$B$39="pvp",1,(1+(Inputs!$B$21+Skills!Q14+Summary!$B$15+Artifacts!$B$80)/100)*(MIN(MIN(5,0.25*Summary!$B$18*Skills!D4)*Skills!V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Summary!$B$6*(F16/100)</f>
        <v/>
      </c>
      <c r="K16">
        <f>J16*(1+Summary!$B$7/100)*(1+Inputs!$B$15/100)*(1+Inputs!$B$16/100)*(5000/(6000+Inputs!$B$43*(1-Inputs!$B$19/100)))*(1+Inputs!$B$24/100)*(1+Artifacts!$B$34/100)*(1+(IF(Skills!A16="CRUEL_STAB",Inputs!$B$17+Artifacts!$B$40,Inputs!$B$18+Artifacts!$B$39))/100)*(Summary!$B$13*Summary!$B$16*(1+Artifacts!$B$38/100)*I16)</f>
        <v/>
      </c>
      <c r="L16">
        <f>K16*(MIN(Inputs!$B$22,Inputs!$B$23)/100+Inputs!$B$23/100)/2</f>
        <v/>
      </c>
      <c r="M16">
        <f>L16*(1+(Inputs!$B$10+Summary!$B$21+Artifacts!$B$33)/100)</f>
        <v/>
      </c>
      <c r="N16">
        <f>L16*(1-MIN((Inputs!$B$9+Summary!$B$14+Artifacts!$B$32),100)/100)+M16*(MIN((Inputs!$B$9+Summary!$B$14+Artifacts!$B$32),100)/100)</f>
        <v/>
      </c>
      <c r="O16">
        <f>(1-Summary!$B$11)*T16+Summary!$B$11*V16</f>
        <v/>
      </c>
      <c r="P16">
        <f>IF(Summary!$B$3=0,0,O16/Summary!$B$3)</f>
        <v/>
      </c>
      <c r="Q16" t="n">
        <v>0</v>
      </c>
      <c r="R16" t="n">
        <v>0</v>
      </c>
      <c r="S16">
        <f>IFERROR(O16/N16,0)</f>
        <v/>
      </c>
      <c r="T16">
        <f>IF(C16,(Inputs!$B$38*0.2*N16)*IF(Inputs!$B$39="pvp",1,1+(Inputs!$B$20+Skills!P16+Summary!$B$15+Artifacts!$B$35)/100)*((((5000/(6000+Inputs!$B$43*(1-(100*(1-(1-Inputs!$B$19/100)*(1-Artifacts!$B$51/100)^IF(Inputs!$B$39="pvp",1,2)))/100)))/(5000/(6000+Inputs!$B$43*(1-Inputs!$B$19/100))))*((L16*(1-MIN(100,(Inputs!$B$9+Summary!$B$14+Artifacts!$B$32)+Artifacts!$B$69)/100)+M16*(MIN(100,(Inputs!$B$9+Summary!$B$14+Artifacts!$B$32)+Artifacts!$B$69)/100))/(L16*(1-MIN(100,(Inputs!$B$9+Summary!$B$14+Artifacts!$B$32))/100)+M16*(MIN(100,(Inputs!$B$9+Summary!$B$14+Artifacts!$B$32))/100)))*(1+Artifacts!$B$81/100))),0)</f>
        <v/>
      </c>
      <c r="V16">
        <f>IF(C16,(Inputs!$B$38*0.2*N16)*IF(Inputs!$B$39="pvp",1,(1+(Inputs!$B$21+Skills!Q16+Summary!$B$15+Artifacts!$B$80)/100)*(MIN(Skills!W16,Inputs!$B$37)))*((1+Artifacts!$B$53/100)),0)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(Cruel Stab) Input Level (4th job formula)</t>
        </is>
      </c>
      <c r="B8">
        <f>MAX(0,(Inputs!$B$3-100)*3)+Inputs!$B$28+Inputs!$B$29</f>
        <v/>
      </c>
    </row>
    <row r="9">
      <c r="A9" t="inlineStr">
        <is>
          <t>Basic Attack Factor (factorIndex 21, from Cruel Stab == Showdown/Chain Lightning/Big Bang reuse)</t>
        </is>
      </c>
      <c r="B9">
        <f>INDEX(FactorTable!$B$2:$Y$301, MATCH(ROUND(MIN(300,MAX(1,Summary!$B$8)),0), FactorTable!$A$2:$A$301,0), 22)</f>
        <v/>
      </c>
    </row>
    <row r="10">
      <c r="A10" t="inlineStr">
        <is>
          <t>SKILL_COEFFICIENT — Cruel Stab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Artifact Attack% + Into Darkness + Smokescreen FD)</t>
        </is>
      </c>
      <c r="B13">
        <f>(1+(((Calc!C21=TRUE)*Calc!F21*IF(AND(Inputs!$B$39&lt;&gt;"pvp",Inputs!$B$44&gt;0),(((Calc!R21-1)*(Skills!Y21*(1+Inputs!$B$34/100))+MIN((Skills!Y21*(1+Inputs!$B$34/100)),MAX(0,Inputs!$B$44-((Calc!R21-1)*Skills!D21))))/Inputs!$B$44),IF(Inputs!$B$39="pvp",MIN((Skills!Y21*(1+Inputs!$B$34/100)),15)/15,(Skills!Y21*(1+Inputs!$B$34/100))/Skills!D21)))+Artifacts!$B$52)/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14">
      <c r="A14" t="inlineStr">
        <is>
          <t>Global Crit Rate Bonus % (Dark Sight Crit Rate, duty-cycle averaged)</t>
        </is>
      </c>
      <c r="B14">
        <f>((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patched 12%-&gt;15%, + Artifacts)</t>
        </is>
      </c>
      <c r="B15">
        <f>IF(Inputs!$B$3&gt;=82,15,0)+Artifacts!$B$36</f>
        <v/>
      </c>
    </row>
    <row r="16">
      <c r="A16" t="inlineStr">
        <is>
          <t>Shadow Partner Average Multiplier</t>
        </is>
      </c>
      <c r="B16">
        <f>1+((Calc!C7=TRUE)*Calc!F7*(1+3.3333333333333335*IF(Calc!C18=TRUE,Calc!F18,0)/100)*Calc!I7*Skills!J7/100)/100</f>
        <v/>
      </c>
    </row>
    <row r="17">
      <c r="A17" t="inlineStr">
        <is>
          <t>Attack Speed Buff Bonus % (Nimble Feet, averaged + Steal, always-on)</t>
        </is>
      </c>
      <c r="B17">
        <f>((Calc!C19=TRUE)*Calc!F19*IF(AND(Inputs!$B$39&lt;&gt;"pvp",Inputs!$B$44&gt;0),(((Calc!R19-1)*(Skills!Y19*(1+Inputs!$B$34/100))+MIN((Skills!Y19*(1+Inputs!$B$34/100)),MAX(0,Inputs!$B$44-((Calc!R19-1)*Skills!D19))))/Inputs!$B$44),IF(Inputs!$B$39="pvp",MIN((Skills!Y19*(1+Inputs!$B$34/100)),15)/15,(Skills!Y19*(1+Inputs!$B$34/100))/Skills!D19)))+((Calc!C3=TRUE)*Calc!F3*3)</f>
        <v/>
      </c>
    </row>
    <row r="18">
      <c r="A18" t="inlineStr">
        <is>
          <t>Actions Per Second</t>
        </is>
      </c>
      <c r="B18">
        <f>1+MIN(150,150*(1-(1-Inputs!$B$11/150)*(1-B17/150)))/100</f>
        <v/>
      </c>
    </row>
    <row r="19">
      <c r="A19" t="inlineStr">
        <is>
          <t>Skill + Buff Cast Rate (subtracted from Cruel Stab, 1/s)</t>
        </is>
      </c>
      <c r="B19">
        <f>IF(AND(Inputs!$B$39&lt;&gt;"pvp",Inputs!$B$44&gt;0),SUMPRODUCT((Skills!E2:E30=TRUE)*(Calc!C2:C30=TRUE)*Calc!R2:R30*Skills!F2:F30)/Inputs!$B$44,SUMPRODUCT((Skills!E2:E30=TRUE)*(Calc!C2:C30=TRUE)*Calc!Q2:Q30*Skills!F2:F30))</f>
        <v/>
      </c>
    </row>
    <row r="20">
      <c r="A20" t="inlineStr">
        <is>
          <t>Cruel Stab (Basic Attack) Casts Per Second</t>
        </is>
      </c>
      <c r="B20">
        <f>MAX(0,B18-B19)</f>
        <v/>
      </c>
    </row>
    <row r="21">
      <c r="A21" t="inlineStr">
        <is>
          <t>Global Critical Damage Bonus % (Smokescreen Mastery Lv.113, duty-cycle-averaged)</t>
        </is>
      </c>
      <c r="B21">
        <f>IF(Inputs!$B$3&gt;=113,30,0)*IF(AND(Inputs!$B$39&lt;&gt;"pvp",Inputs!$B$44&gt;0),(((Calc!R15-1)*(Skills!Y15*(1+Inputs!$B$34/100))+MIN((Skills!Y15*(1+Inputs!$B$34/100)),MAX(0,Inputs!$B$44-((Calc!R15-1)*Skills!D15))))/Inputs!$B$44),IF(Inputs!$B$39="pvp",MIN((Skills!Y15*(1+Inputs!$B$34/100)),15)/15,(Skills!Y15*(1+Inputs!$B$34/100))/Skills!D15))</f>
        <v/>
      </c>
    </row>
    <row r="22">
      <c r="A22" t="inlineStr">
        <is>
          <t>Meso Explosion — average stack count at cast time (steady-state)</t>
        </is>
      </c>
      <c r="B22">
        <f>MIN(10,0.5*B18*Skills!D4)</f>
        <v/>
      </c>
    </row>
    <row r="23">
      <c r="A23" t="inlineStr">
        <is>
          <t>Blood Money — average stack count at cast time (steady-state)</t>
        </is>
      </c>
      <c r="B23">
        <f>MIN(5,0.25*B18*Skills!D4)</f>
        <v/>
      </c>
    </row>
    <row r="24">
      <c r="A24" t="inlineStr">
        <is>
          <t>Assassinate Murderous Intent Multiplier (Mastery Lv.108, steady-state average)</t>
        </is>
      </c>
      <c r="B24">
        <f>1+IFERROR(MIN(1,(Calc!C14=TRUE)*Calc!Q14*2/Calc!Q11),0)</f>
        <v/>
      </c>
    </row>
    <row r="25">
      <c r="A25" t="inlineStr">
        <is>
          <t>Cruel Stab (Basic Attack) DPS</t>
        </is>
      </c>
      <c r="B25">
        <f>Calc!O2</f>
        <v/>
      </c>
    </row>
    <row r="26">
      <c r="A26" t="inlineStr">
        <is>
          <t>Buff-Casting Startup Delay (s, before first damage-skill cast; fixed-duration only)</t>
        </is>
      </c>
      <c r="B26">
        <f>IF(AND(Inputs!$B$39&lt;&gt;"pvp",Inputs!$B$44&gt;0),SUMPRODUCT((Skills!Y2:Y30&gt;0)*(Skills!E2:E30=TRUE)*(Calc!C2:C30=TRUE))/B18,0)</f>
        <v/>
      </c>
    </row>
    <row r="27">
      <c r="A27" t="inlineStr">
        <is>
          <t>Boss-Only Total DPS (Sensitivity baseline)</t>
        </is>
      </c>
      <c r="B27">
        <f>SUM(Calc!T2:T30)</f>
        <v/>
      </c>
    </row>
    <row r="28">
      <c r="A28" t="inlineStr">
        <is>
          <t>Normal-Only Total DPS (Sensitivity baseline)</t>
        </is>
      </c>
      <c r="B28">
        <f>SUM(Calc!V2:V30)</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Calc!B4</f>
        <v/>
      </c>
      <c r="B33">
        <f>Calc!O4</f>
        <v/>
      </c>
      <c r="C33">
        <f>Calc!P4*100</f>
        <v/>
      </c>
    </row>
    <row r="34">
      <c r="A34">
        <f>Calc!B5</f>
        <v/>
      </c>
      <c r="B34">
        <f>Calc!O5</f>
        <v/>
      </c>
      <c r="C34">
        <f>Calc!P5*100</f>
        <v/>
      </c>
    </row>
    <row r="35">
      <c r="A35">
        <f>Calc!B6</f>
        <v/>
      </c>
      <c r="B35">
        <f>Calc!O6</f>
        <v/>
      </c>
      <c r="C35">
        <f>Calc!P6*100</f>
        <v/>
      </c>
    </row>
    <row r="36">
      <c r="A36">
        <f>Calc!B8</f>
        <v/>
      </c>
      <c r="B36">
        <f>Calc!O8</f>
        <v/>
      </c>
      <c r="C36">
        <f>Calc!P8*100</f>
        <v/>
      </c>
    </row>
    <row r="37">
      <c r="A37">
        <f>Calc!B9</f>
        <v/>
      </c>
      <c r="B37">
        <f>Calc!O9</f>
        <v/>
      </c>
      <c r="C37">
        <f>Calc!P9*100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f>Calc!B16</f>
        <v/>
      </c>
      <c r="B42">
        <f>Calc!O16</f>
        <v/>
      </c>
      <c r="C42">
        <f>Calc!P16*100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73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B115</f>
        <v/>
      </c>
      <c r="H5">
        <f>Summary!$B$3*(((1-Summary!$B$11)*IFERROR(B116/Summary!$B$27,1)+Summary!$B$11*IFERROR(B117/Summary!$B$28,1))-1)</f>
        <v/>
      </c>
      <c r="I5">
        <f>((1-Summary!$B$11)*IFERROR(B116/Summary!$B$27,1)+Summary!$B$11*IFERROR(B117/Summary!$B$28,1))*100</f>
        <v/>
      </c>
    </row>
    <row r="6">
      <c r="A6" t="inlineStr">
        <is>
          <t>LUK %</t>
        </is>
      </c>
      <c r="B6">
        <f>IFERROR(1/(I6-100),"n/a")</f>
        <v/>
      </c>
      <c r="C6" t="inlineStr">
        <is>
          <t>pct</t>
        </is>
      </c>
      <c r="D6">
        <f>Inputs!$B$13</f>
        <v/>
      </c>
      <c r="E6">
        <f>(Inputs!$B$13+1)</f>
        <v/>
      </c>
      <c r="F6">
        <f>Summary!$B$3</f>
        <v/>
      </c>
      <c r="G6">
        <f>B165</f>
        <v/>
      </c>
      <c r="H6">
        <f>Summary!$B$3*(((1-Summary!$B$11)*IFERROR(B166/Summary!$B$27,1)+Summary!$B$11*IFERROR(B167/Summary!$B$28,1))-1)</f>
        <v/>
      </c>
      <c r="I6">
        <f>((1-Summary!$B$11)*IFERROR(B166/Summary!$B$27,1)+Summary!$B$11*IFERROR(B167/Summary!$B$28,1))*100</f>
        <v/>
      </c>
    </row>
    <row r="7">
      <c r="A7" t="inlineStr">
        <is>
          <t>DEX</t>
        </is>
      </c>
      <c r="B7">
        <f>IFERROR(1/(I7-100),"n/a")</f>
        <v/>
      </c>
      <c r="C7" t="inlineStr">
        <is>
          <t>flat</t>
        </is>
      </c>
      <c r="D7">
        <f>Inputs!$B$14</f>
        <v/>
      </c>
      <c r="E7">
        <f>(Inputs!$B$14+1)</f>
        <v/>
      </c>
      <c r="F7">
        <f>Summary!$B$3</f>
        <v/>
      </c>
      <c r="G7">
        <f>B215</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B265</f>
        <v/>
      </c>
      <c r="H8">
        <f>Summary!$B$3*(((1-Summary!$B$11)*IFERROR(B266/Summary!$B$27,1)+Summary!$B$11*IFERROR(B267/Summary!$B$28,1))-1)</f>
        <v/>
      </c>
      <c r="I8">
        <f>((1-Summary!$B$11)*IFERROR(B266/Summary!$B$27,1)+Summary!$B$11*IFERROR(B267/Summary!$B$28,1))*100</f>
        <v/>
      </c>
    </row>
    <row r="9">
      <c r="A9" t="inlineStr">
        <is>
          <t>DAMAGE_AMP %</t>
        </is>
      </c>
      <c r="B9">
        <f>IFERROR(1/(I9-100),"n/a")</f>
        <v/>
      </c>
      <c r="C9" t="inlineStr">
        <is>
          <t>pct</t>
        </is>
      </c>
      <c r="D9">
        <f>Inputs!$B$16</f>
        <v/>
      </c>
      <c r="E9">
        <f>(Inputs!$B$16+1)</f>
        <v/>
      </c>
      <c r="F9">
        <f>Summary!$B$3</f>
        <v/>
      </c>
      <c r="G9">
        <f>B315</f>
        <v/>
      </c>
      <c r="H9">
        <f>Summary!$B$3*(((1-Summary!$B$11)*IFERROR(B316/Summary!$B$27,1)+Summary!$B$11*IFERROR(B317/Summary!$B$28,1))-1)</f>
        <v/>
      </c>
      <c r="I9">
        <f>((1-Summary!$B$11)*IFERROR(B316/Summary!$B$27,1)+Summary!$B$11*IFERROR(B317/Summary!$B$28,1))*100</f>
        <v/>
      </c>
    </row>
    <row r="10">
      <c r="A10" t="inlineStr">
        <is>
          <t>BOSS_DAMAGE %</t>
        </is>
      </c>
      <c r="B10">
        <f>IFERROR(1/(I10-100),"n/a")</f>
        <v/>
      </c>
      <c r="C10" t="inlineStr">
        <is>
          <t>pct</t>
        </is>
      </c>
      <c r="D10">
        <f>Inputs!$B$20</f>
        <v/>
      </c>
      <c r="E10">
        <f>(Inputs!$B$20+1)</f>
        <v/>
      </c>
      <c r="F10">
        <f>Summary!$B$3</f>
        <v/>
      </c>
      <c r="G10">
        <f>B365</f>
        <v/>
      </c>
      <c r="H10">
        <f>Summary!$B$3*(((1-Summary!$B$11)*IFERROR(B366/Summary!$B$27,1)+Summary!$B$11*IFERROR(B367/Summary!$B$28,1))-1)</f>
        <v/>
      </c>
      <c r="I10">
        <f>((1-Summary!$B$11)*IFERROR(B366/Summary!$B$27,1)+Summary!$B$11*IFERROR(B367/Summary!$B$28,1))*100</f>
        <v/>
      </c>
    </row>
    <row r="11">
      <c r="A11" t="inlineStr">
        <is>
          <t>NORMAL_DAMAGE %</t>
        </is>
      </c>
      <c r="B11">
        <f>IFERROR(1/(I11-100),"n/a")</f>
        <v/>
      </c>
      <c r="C11" t="inlineStr">
        <is>
          <t>pct</t>
        </is>
      </c>
      <c r="D11">
        <f>Inputs!$B$21</f>
        <v/>
      </c>
      <c r="E11">
        <f>(Inputs!$B$21+1)</f>
        <v/>
      </c>
      <c r="F11">
        <f>Summary!$B$3</f>
        <v/>
      </c>
      <c r="G11">
        <f>B415</f>
        <v/>
      </c>
      <c r="H11">
        <f>Summary!$B$3*(((1-Summary!$B$11)*IFERROR(B416/Summary!$B$27,1)+Summary!$B$11*IFERROR(B417/Summary!$B$28,1))-1)</f>
        <v/>
      </c>
      <c r="I11">
        <f>((1-Summary!$B$11)*IFERROR(B416/Summary!$B$27,1)+Summary!$B$11*IFERROR(B417/Summary!$B$28,1))*100</f>
        <v/>
      </c>
    </row>
    <row r="12">
      <c r="A12" t="inlineStr">
        <is>
          <t>FINAL_DAMAGE % (multiplicative source)</t>
        </is>
      </c>
      <c r="B12">
        <f>IFERROR(1/(I12-100),"n/a")</f>
        <v/>
      </c>
      <c r="C12" t="inlineStr">
        <is>
          <t>mult</t>
        </is>
      </c>
      <c r="D12">
        <f>Inputs!$B$24</f>
        <v/>
      </c>
      <c r="E12">
        <f>((((1+Inputs!$B$24/100)*(1.01))-1)*100)</f>
        <v/>
      </c>
      <c r="F12">
        <f>Summary!$B$3</f>
        <v/>
      </c>
      <c r="G12">
        <f>B465</f>
        <v/>
      </c>
      <c r="H12">
        <f>Summary!$B$3*(((1-Summary!$B$11)*IFERROR(B466/Summary!$B$27,1)+Summary!$B$11*IFERROR(B467/Summary!$B$28,1))-1)</f>
        <v/>
      </c>
      <c r="I12">
        <f>((1-Summary!$B$11)*IFERROR(B466/Summary!$B$27,1)+Summary!$B$11*IFERROR(B467/Summary!$B$28,1))*100</f>
        <v/>
      </c>
    </row>
    <row r="13">
      <c r="A13" t="inlineStr">
        <is>
          <t>MIN_DAMAGE %</t>
        </is>
      </c>
      <c r="B13">
        <f>IFERROR(1/(I13-100),"n/a")</f>
        <v/>
      </c>
      <c r="C13" t="inlineStr">
        <is>
          <t>pct</t>
        </is>
      </c>
      <c r="D13">
        <f>Inputs!$B$22</f>
        <v/>
      </c>
      <c r="E13">
        <f>(Inputs!$B$22+1)</f>
        <v/>
      </c>
      <c r="F13">
        <f>Summary!$B$3</f>
        <v/>
      </c>
      <c r="G13">
        <f>B515</f>
        <v/>
      </c>
      <c r="H13">
        <f>Summary!$B$3*(((1-Summary!$B$11)*IFERROR(B516/Summary!$B$27,1)+Summary!$B$11*IFERROR(B517/Summary!$B$28,1))-1)</f>
        <v/>
      </c>
      <c r="I13">
        <f>((1-Summary!$B$11)*IFERROR(B516/Summary!$B$27,1)+Summary!$B$11*IFERROR(B517/Summary!$B$28,1))*100</f>
        <v/>
      </c>
    </row>
    <row r="14">
      <c r="A14" t="inlineStr">
        <is>
          <t>MAX_DAMAGE %</t>
        </is>
      </c>
      <c r="B14">
        <f>IFERROR(1/(I14-100),"n/a")</f>
        <v/>
      </c>
      <c r="C14" t="inlineStr">
        <is>
          <t>pct</t>
        </is>
      </c>
      <c r="D14">
        <f>Inputs!$B$23</f>
        <v/>
      </c>
      <c r="E14">
        <f>(Inputs!$B$23+1)</f>
        <v/>
      </c>
      <c r="F14">
        <f>Summary!$B$3</f>
        <v/>
      </c>
      <c r="G14">
        <f>B565</f>
        <v/>
      </c>
      <c r="H14">
        <f>Summary!$B$3*(((1-Summary!$B$11)*IFERROR(B566/Summary!$B$27,1)+Summary!$B$11*IFERROR(B567/Summary!$B$28,1))-1)</f>
        <v/>
      </c>
      <c r="I14">
        <f>((1-Summary!$B$11)*IFERROR(B566/Summary!$B$27,1)+Summary!$B$11*IFERROR(B567/Summary!$B$28,1))*100</f>
        <v/>
      </c>
    </row>
    <row r="15">
      <c r="A15" t="inlineStr">
        <is>
          <t>CRIT_RATE %</t>
        </is>
      </c>
      <c r="B15">
        <f>IFERROR(1/(I15-100),"n/a")</f>
        <v/>
      </c>
      <c r="C15" t="inlineStr">
        <is>
          <t>pct</t>
        </is>
      </c>
      <c r="D15">
        <f>Inputs!$B$9</f>
        <v/>
      </c>
      <c r="E15">
        <f>(Inputs!$B$9+1)</f>
        <v/>
      </c>
      <c r="F15">
        <f>Summary!$B$3</f>
        <v/>
      </c>
      <c r="G15">
        <f>B615</f>
        <v/>
      </c>
      <c r="H15">
        <f>Summary!$B$3*(((1-Summary!$B$11)*IFERROR(B616/Summary!$B$27,1)+Summary!$B$11*IFERROR(B617/Summary!$B$28,1))-1)</f>
        <v/>
      </c>
      <c r="I15">
        <f>((1-Summary!$B$11)*IFERROR(B616/Summary!$B$27,1)+Summary!$B$11*IFERROR(B617/Summary!$B$28,1))*100</f>
        <v/>
      </c>
    </row>
    <row r="16">
      <c r="A16" t="inlineStr">
        <is>
          <t>CRIT_DAMAGE %</t>
        </is>
      </c>
      <c r="B16">
        <f>IFERROR(1/(I16-100),"n/a")</f>
        <v/>
      </c>
      <c r="C16" t="inlineStr">
        <is>
          <t>pct</t>
        </is>
      </c>
      <c r="D16">
        <f>Inputs!$B$10</f>
        <v/>
      </c>
      <c r="E16">
        <f>(Inputs!$B$10+1)</f>
        <v/>
      </c>
      <c r="F16">
        <f>Summary!$B$3</f>
        <v/>
      </c>
      <c r="G16">
        <f>B665</f>
        <v/>
      </c>
      <c r="H16">
        <f>Summary!$B$3*(((1-Summary!$B$11)*IFERROR(B666/Summary!$B$27,1)+Summary!$B$11*IFERROR(B667/Summary!$B$28,1))-1)</f>
        <v/>
      </c>
      <c r="I16">
        <f>((1-Summary!$B$11)*IFERROR(B666/Summary!$B$27,1)+Summary!$B$11*IFERROR(B667/Summary!$B$28,1))*100</f>
        <v/>
      </c>
    </row>
    <row r="17">
      <c r="A17" t="inlineStr">
        <is>
          <t>ATTACK_SPEED % (diminishing returns, factor 150)</t>
        </is>
      </c>
      <c r="B17">
        <f>IFERROR(1/(I17-100),"n/a")</f>
        <v/>
      </c>
      <c r="C17" t="inlineStr">
        <is>
          <t>dr150</t>
        </is>
      </c>
      <c r="D17">
        <f>Inputs!$B$11</f>
        <v/>
      </c>
      <c r="E17">
        <f>((1-(1-Inputs!$B$11/150)*(1-1/150))*150)</f>
        <v/>
      </c>
      <c r="F17">
        <f>Summary!$B$3</f>
        <v/>
      </c>
      <c r="G17">
        <f>B715</f>
        <v/>
      </c>
      <c r="H17">
        <f>Summary!$B$3*(((1-Summary!$B$11)*IFERROR(B716/Summary!$B$27,1)+Summary!$B$11*IFERROR(B717/Summary!$B$28,1))-1)</f>
        <v/>
      </c>
      <c r="I17">
        <f>((1-Summary!$B$11)*IFERROR(B716/Summary!$B$27,1)+Summary!$B$11*IFERROR(B717/Summary!$B$28,1))*100</f>
        <v/>
      </c>
    </row>
    <row r="18">
      <c r="A18" t="inlineStr">
        <is>
          <t>DEF_PEN % (diminishing returns, factor 100)</t>
        </is>
      </c>
      <c r="B18">
        <f>IFERROR(1/(I18-100),"n/a")</f>
        <v/>
      </c>
      <c r="C18" t="inlineStr">
        <is>
          <t>dr100</t>
        </is>
      </c>
      <c r="D18">
        <f>Inputs!$B$19</f>
        <v/>
      </c>
      <c r="E18">
        <f>((1-(1-Inputs!$B$19/100)*(1-1/100))*100)</f>
        <v/>
      </c>
      <c r="F18">
        <f>Summary!$B$3</f>
        <v/>
      </c>
      <c r="G18">
        <f>B765</f>
        <v/>
      </c>
      <c r="H18">
        <f>Summary!$B$3*(((1-Summary!$B$11)*IFERROR(B766/Summary!$B$27,1)+Summary!$B$11*IFERROR(B767/Summary!$B$28,1))-1)</f>
        <v/>
      </c>
      <c r="I18">
        <f>((1-Summary!$B$11)*IFERROR(B766/Summary!$B$27,1)+Summary!$B$11*IFERROR(B767/Summary!$B$28,1))*100</f>
        <v/>
      </c>
    </row>
    <row r="19">
      <c r="A19" t="inlineStr">
        <is>
          <t>BASIC_ATTACK_DAMAGE %</t>
        </is>
      </c>
      <c r="B19">
        <f>IFERROR(1/(I19-100),"n/a")</f>
        <v/>
      </c>
      <c r="C19" t="inlineStr">
        <is>
          <t>pct</t>
        </is>
      </c>
      <c r="D19">
        <f>Inputs!$B$17</f>
        <v/>
      </c>
      <c r="E19">
        <f>(Inputs!$B$17+1)</f>
        <v/>
      </c>
      <c r="F19">
        <f>Summary!$B$3</f>
        <v/>
      </c>
      <c r="G19">
        <f>B815</f>
        <v/>
      </c>
      <c r="H19">
        <f>Summary!$B$3*(((1-Summary!$B$11)*IFERROR(B816/Summary!$B$27,1)+Summary!$B$11*IFERROR(B817/Summary!$B$28,1))-1)</f>
        <v/>
      </c>
      <c r="I19">
        <f>((1-Summary!$B$11)*IFERROR(B816/Summary!$B$27,1)+Summary!$B$11*IFERROR(B817/Summary!$B$28,1))*100</f>
        <v/>
      </c>
    </row>
    <row r="20">
      <c r="A20" t="inlineStr">
        <is>
          <t>SKILL_DAMAGE %</t>
        </is>
      </c>
      <c r="B20">
        <f>IFERROR(1/(I20-100),"n/a")</f>
        <v/>
      </c>
      <c r="C20" t="inlineStr">
        <is>
          <t>pct</t>
        </is>
      </c>
      <c r="D20">
        <f>Inputs!$B$18</f>
        <v/>
      </c>
      <c r="E20">
        <f>(Inputs!$B$18+1)</f>
        <v/>
      </c>
      <c r="F20">
        <f>Summary!$B$3</f>
        <v/>
      </c>
      <c r="G20">
        <f>B865</f>
        <v/>
      </c>
      <c r="H20">
        <f>Summary!$B$3*(((1-Summary!$B$11)*IFERROR(B866/Summary!$B$27,1)+Summary!$B$11*IFERROR(B867/Summary!$B$28,1))-1)</f>
        <v/>
      </c>
      <c r="I20">
        <f>((1-Summary!$B$11)*IFERROR(B866/Summary!$B$27,1)+Summary!$B$11*IFERROR(B867/Summary!$B$28,1))*100</f>
        <v/>
      </c>
    </row>
    <row r="21">
      <c r="A21" t="inlineStr">
        <is>
          <t>Skill Level Bonus — 1st Job</t>
        </is>
      </c>
      <c r="B21">
        <f>IFERROR(1/(I21-100),"n/a")</f>
        <v/>
      </c>
      <c r="C21" t="inlineStr">
        <is>
          <t>level</t>
        </is>
      </c>
      <c r="D21">
        <f>Inputs!$B$25</f>
        <v/>
      </c>
      <c r="E21">
        <f>(Inputs!$B$25+1)</f>
        <v/>
      </c>
      <c r="F21">
        <f>Summary!$B$3</f>
        <v/>
      </c>
      <c r="G21">
        <f>B915</f>
        <v/>
      </c>
      <c r="H21">
        <f>Summary!$B$3*(((1-Summary!$B$11)*IFERROR(B916/Summary!$B$27,1)+Summary!$B$11*IFERROR(B917/Summary!$B$28,1))-1)</f>
        <v/>
      </c>
      <c r="I21">
        <f>((1-Summary!$B$11)*IFERROR(B916/Summary!$B$27,1)+Summary!$B$11*IFERROR(B917/Summary!$B$28,1))*100</f>
        <v/>
      </c>
    </row>
    <row r="22">
      <c r="A22" t="inlineStr">
        <is>
          <t>Skill Level Bonus — 2nd Job</t>
        </is>
      </c>
      <c r="B22">
        <f>IFERROR(1/(I22-100),"n/a")</f>
        <v/>
      </c>
      <c r="C22" t="inlineStr">
        <is>
          <t>level</t>
        </is>
      </c>
      <c r="D22">
        <f>Inputs!$B$26</f>
        <v/>
      </c>
      <c r="E22">
        <f>(Inputs!$B$26+1)</f>
        <v/>
      </c>
      <c r="F22">
        <f>Summary!$B$3</f>
        <v/>
      </c>
      <c r="G22">
        <f>B965</f>
        <v/>
      </c>
      <c r="H22">
        <f>Summary!$B$3*(((1-Summary!$B$11)*IFERROR(B966/Summary!$B$27,1)+Summary!$B$11*IFERROR(B967/Summary!$B$28,1))-1)</f>
        <v/>
      </c>
      <c r="I22">
        <f>((1-Summary!$B$11)*IFERROR(B966/Summary!$B$27,1)+Summary!$B$11*IFERROR(B967/Summary!$B$28,1))*100</f>
        <v/>
      </c>
    </row>
    <row r="23">
      <c r="A23" t="inlineStr">
        <is>
          <t>Skill Level Bonus — 3rd Job</t>
        </is>
      </c>
      <c r="B23">
        <f>IFERROR(1/(I23-100),"n/a")</f>
        <v/>
      </c>
      <c r="C23" t="inlineStr">
        <is>
          <t>level</t>
        </is>
      </c>
      <c r="D23">
        <f>Inputs!$B$27</f>
        <v/>
      </c>
      <c r="E23">
        <f>(Inputs!$B$27+1)</f>
        <v/>
      </c>
      <c r="F23">
        <f>Summary!$B$3</f>
        <v/>
      </c>
      <c r="G23">
        <f>B1015</f>
        <v/>
      </c>
      <c r="H23">
        <f>Summary!$B$3*(((1-Summary!$B$11)*IFERROR(B1016/Summary!$B$27,1)+Summary!$B$11*IFERROR(B1017/Summary!$B$28,1))-1)</f>
        <v/>
      </c>
      <c r="I23">
        <f>((1-Summary!$B$11)*IFERROR(B1016/Summary!$B$27,1)+Summary!$B$11*IFERROR(B1017/Summary!$B$28,1))*100</f>
        <v/>
      </c>
    </row>
    <row r="24">
      <c r="A24" t="inlineStr">
        <is>
          <t>Skill Level Bonus — 4th Job</t>
        </is>
      </c>
      <c r="B24">
        <f>IFERROR(1/(I24-100),"n/a")</f>
        <v/>
      </c>
      <c r="C24" t="inlineStr">
        <is>
          <t>level</t>
        </is>
      </c>
      <c r="D24">
        <f>Inputs!$B$28</f>
        <v/>
      </c>
      <c r="E24">
        <f>(Inputs!$B$28+1)</f>
        <v/>
      </c>
      <c r="F24">
        <f>Summary!$B$3</f>
        <v/>
      </c>
      <c r="G24">
        <f>B1065</f>
        <v/>
      </c>
      <c r="H24">
        <f>Summary!$B$3*(((1-Summary!$B$11)*IFERROR(B1066/Summary!$B$27,1)+Summary!$B$11*IFERROR(B1067/Summary!$B$28,1))-1)</f>
        <v/>
      </c>
      <c r="I24">
        <f>((1-Summary!$B$11)*IFERROR(B1066/Summary!$B$27,1)+Summary!$B$11*IFERROR(B1067/Summary!$B$28,1))*100</f>
        <v/>
      </c>
    </row>
    <row r="25">
      <c r="A25" t="inlineStr">
        <is>
          <t>Skill Level Bonus — All Skills</t>
        </is>
      </c>
      <c r="B25">
        <f>IFERROR(1/(I25-100),"n/a")</f>
        <v/>
      </c>
      <c r="C25" t="inlineStr">
        <is>
          <t>level</t>
        </is>
      </c>
      <c r="D25">
        <f>Inputs!$B$29</f>
        <v/>
      </c>
      <c r="E25">
        <f>(Inputs!$B$29+1)</f>
        <v/>
      </c>
      <c r="F25">
        <f>Summary!$B$3</f>
        <v/>
      </c>
      <c r="G25">
        <f>B1115</f>
        <v/>
      </c>
      <c r="H25">
        <f>Summary!$B$3*(((1-Summary!$B$11)*IFERROR(B1116/Summary!$B$27,1)+Summary!$B$11*IFERROR(B1117/Summary!$B$28,1))-1)</f>
        <v/>
      </c>
      <c r="I25">
        <f>((1-Summary!$B$11)*IFERROR(B1116/Summary!$B$27,1)+Summary!$B$11*IFERROR(B1117/Summary!$B$28,1))*100</f>
        <v/>
      </c>
    </row>
    <row r="26">
      <c r="A26" t="inlineStr">
        <is>
          <t>Flat ATTACK</t>
        </is>
      </c>
      <c r="B26">
        <f>IFERROR(1/(I26-100),"n/a")</f>
        <v/>
      </c>
      <c r="C26" t="inlineStr">
        <is>
          <t>flat</t>
        </is>
      </c>
      <c r="D26">
        <f>Inputs!$B$6</f>
        <v/>
      </c>
      <c r="E26">
        <f>(Inputs!$B$6+1)</f>
        <v/>
      </c>
      <c r="F26">
        <f>Summary!$B$3</f>
        <v/>
      </c>
      <c r="G26">
        <f>B1165</f>
        <v/>
      </c>
      <c r="H26">
        <f>Summary!$B$3*(((1-Summary!$B$11)*IFERROR(B1166/Summary!$B$27,1)+Summary!$B$11*IFERROR(B1167/Summary!$B$28,1))-1)</f>
        <v/>
      </c>
      <c r="I26">
        <f>((1-Summary!$B$11)*IFERROR(B1166/Summary!$B$27,1)+Summary!$B$11*IFERROR(B1167/Summary!$B$28,1))*100</f>
        <v/>
      </c>
    </row>
    <row r="27">
      <c r="A27" t="inlineStr">
        <is>
          <t>ATTACK %</t>
        </is>
      </c>
      <c r="B27">
        <f>IFERROR(1/(I27-100),"n/a")</f>
        <v/>
      </c>
      <c r="C27" t="inlineStr">
        <is>
          <t>pct</t>
        </is>
      </c>
      <c r="D27">
        <f>Inputs!$B$7</f>
        <v/>
      </c>
      <c r="E27">
        <f>(Inputs!$B$7+1)</f>
        <v/>
      </c>
      <c r="F27">
        <f>Summary!$B$3</f>
        <v/>
      </c>
      <c r="G27">
        <f>B1215</f>
        <v/>
      </c>
      <c r="H27">
        <f>Summary!$B$3*(((1-Summary!$B$11)*IFERROR(B1216/Summary!$B$27,1)+Summary!$B$11*IFERROR(B1217/Summary!$B$28,1))-1)</f>
        <v/>
      </c>
      <c r="I27">
        <f>((1-Summary!$B$11)*IFERROR(B1216/Summary!$B$27,1)+Summary!$B$11*IFERROR(B1217/Summary!$B$28,1))*100</f>
        <v/>
      </c>
    </row>
    <row r="28">
      <c r="A28" t="inlineStr">
        <is>
          <t>Skill Cooldown Decrease (seconds)</t>
        </is>
      </c>
      <c r="B28">
        <f>IFERROR(1/(I28-100),"n/a")</f>
        <v/>
      </c>
      <c r="C28" t="inlineStr">
        <is>
          <t>flat</t>
        </is>
      </c>
      <c r="D28">
        <f>Inputs!$B$32</f>
        <v/>
      </c>
      <c r="E28">
        <f>(Inputs!$B$32+1)</f>
        <v/>
      </c>
      <c r="F28">
        <f>Summary!$B$3</f>
        <v/>
      </c>
      <c r="G28">
        <f>B1265</f>
        <v/>
      </c>
      <c r="H28">
        <f>Summary!$B$3*(((1-Summary!$B$11)*IFERROR(B1266/Summary!$B$27,1)+Summary!$B$11*IFERROR(B1267/Summary!$B$28,1))-1)</f>
        <v/>
      </c>
      <c r="I28">
        <f>((1-Summary!$B$11)*IFERROR(B1266/Summary!$B$27,1)+Summary!$B$11*IFERROR(B1267/Summary!$B$28,1))*100</f>
        <v/>
      </c>
    </row>
    <row r="29">
      <c r="A29" t="inlineStr">
        <is>
          <t>Basic Attack Target Increase (flat)</t>
        </is>
      </c>
      <c r="B29">
        <f>IFERROR(1/(I29-100),"n/a")</f>
        <v/>
      </c>
      <c r="C29" t="inlineStr">
        <is>
          <t>flat</t>
        </is>
      </c>
      <c r="D29">
        <f>Inputs!$B$33</f>
        <v/>
      </c>
      <c r="E29">
        <f>(Inputs!$B$33+1)</f>
        <v/>
      </c>
      <c r="F29">
        <f>Summary!$B$3</f>
        <v/>
      </c>
      <c r="G29">
        <f>B1315</f>
        <v/>
      </c>
      <c r="H29">
        <f>Summary!$B$3*(((1-Summary!$B$11)*IFERROR(B1316/Summary!$B$27,1)+Summary!$B$11*IFERROR(B1317/Summary!$B$28,1))-1)</f>
        <v/>
      </c>
      <c r="I29">
        <f>((1-Summary!$B$11)*IFERROR(B1316/Summary!$B$27,1)+Summary!$B$11*IFERROR(B1317/Summary!$B$28,1))*100</f>
        <v/>
      </c>
    </row>
    <row r="30">
      <c r="A30" t="inlineStr">
        <is>
          <t>Buff Duration Increase %</t>
        </is>
      </c>
      <c r="B30">
        <f>IFERROR(1/(I30-100),"n/a")</f>
        <v/>
      </c>
      <c r="C30" t="inlineStr">
        <is>
          <t>pct</t>
        </is>
      </c>
      <c r="D30">
        <f>Inputs!$B$34</f>
        <v/>
      </c>
      <c r="E30">
        <f>(Inputs!$B$34+1)</f>
        <v/>
      </c>
      <c r="F30">
        <f>Summary!$B$3</f>
        <v/>
      </c>
      <c r="G30">
        <f>B1365</f>
        <v/>
      </c>
      <c r="H30">
        <f>Summary!$B$3*(((1-Summary!$B$11)*IFERROR(B1366/Summary!$B$27,1)+Summary!$B$11*IFERROR(B1367/Summary!$B$28,1))-1)</f>
        <v/>
      </c>
      <c r="I30">
        <f>((1-Summary!$B$11)*IFERROR(B1366/Summary!$B$27,1)+Summary!$B$11*IFERROR(B1367/Summary!$B$28,1))*100</f>
        <v/>
      </c>
    </row>
    <row r="31">
      <c r="A31" t="inlineStr">
        <is>
          <t>Incoming Hit Rate (hits/sec, Shadow Shifter only)</t>
        </is>
      </c>
      <c r="B31">
        <f>IFERROR(1/(I31-100),"n/a")</f>
        <v/>
      </c>
      <c r="C31" t="inlineStr">
        <is>
          <t>flat</t>
        </is>
      </c>
      <c r="D31">
        <f>Inputs!$B$38</f>
        <v/>
      </c>
      <c r="E31">
        <f>(Inputs!$B$38+1)</f>
        <v/>
      </c>
      <c r="F31">
        <f>Summary!$B$3</f>
        <v/>
      </c>
      <c r="G31">
        <f>B1415</f>
        <v/>
      </c>
      <c r="H31">
        <f>Summary!$B$3*(((1-Summary!$B$11)*IFERROR(B1416/Summary!$B$27,1)+Summary!$B$11*IFERROR(B1417/Summary!$B$28,1))-1)</f>
        <v/>
      </c>
      <c r="I31">
        <f>((1-Summary!$B$11)*IFERROR(B1416/Summary!$B$27,1)+Summary!$B$11*IFERROR(B1417/Summary!$B$28,1))*100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(IF(ArtifactsInput!$M$5,-1,1)*Summary!$B$3*(((1-Summary!$B$11)*IFERROR(B1466/Summary!$B$27,1)+Summary!$B$11*IFERROR(B1467/Summary!$B$28,1))-1)+ArtifactsInput!$L$5)</f>
        <v/>
      </c>
      <c r="AC34">
        <f>IF(ArtifactsInput!$M$5,Summary!$B$3/(Summary!$B$3-(IF(ArtifactsInput!$M$5,-1,1)*Summary!$B$3*(((1-Summary!$B$11)*IFERROR(B1466/Summary!$B$27,1)+Summary!$B$11*IFERROR(B1467/Summary!$B$28,1))-1)+ArtifactsInput!$L$5))*100,(Summary!$B$3+(IF(ArtifactsInput!$M$5,-1,1)*Summary!$B$3*(((1-Summary!$B$11)*IFERROR(B1466/Summary!$B$27,1)+Summary!$B$11*IFERROR(B1467/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(IF(ArtifactsInput!$M$6,-1,1)*Summary!$B$3*(((1-Summary!$B$11)*IFERROR(B1516/Summary!$B$27,1)+Summary!$B$11*IFERROR(B1517/Summary!$B$28,1))-1)+ArtifactsInput!$L$6)</f>
        <v/>
      </c>
      <c r="AC35">
        <f>IF(ArtifactsInput!$M$6,Summary!$B$3/(Summary!$B$3-(IF(ArtifactsInput!$M$6,-1,1)*Summary!$B$3*(((1-Summary!$B$11)*IFERROR(B1516/Summary!$B$27,1)+Summary!$B$11*IFERROR(B1517/Summary!$B$28,1))-1)+ArtifactsInput!$L$6))*100,(Summary!$B$3+(IF(ArtifactsInput!$M$6,-1,1)*Summary!$B$3*(((1-Summary!$B$11)*IFERROR(B1516/Summary!$B$27,1)+Summary!$B$11*IFERROR(B1517/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(IF(ArtifactsInput!$M$7,-1,1)*Summary!$B$3*(((1-Summary!$B$11)*IFERROR(B1566/Summary!$B$27,1)+Summary!$B$11*IFERROR(B1567/Summary!$B$28,1))-1)+ArtifactsInput!$L$7)</f>
        <v/>
      </c>
      <c r="AC36">
        <f>IF(ArtifactsInput!$M$7,Summary!$B$3/(Summary!$B$3-(IF(ArtifactsInput!$M$7,-1,1)*Summary!$B$3*(((1-Summary!$B$11)*IFERROR(B1566/Summary!$B$27,1)+Summary!$B$11*IFERROR(B1567/Summary!$B$28,1))-1)+ArtifactsInput!$L$7))*100,(Summary!$B$3+(IF(ArtifactsInput!$M$7,-1,1)*Summary!$B$3*(((1-Summary!$B$11)*IFERROR(B1566/Summary!$B$27,1)+Summary!$B$11*IFERROR(B1567/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(IF(ArtifactsInput!$M$8,-1,1)*Summary!$B$3*(((1-Summary!$B$11)*IFERROR(B1616/Summary!$B$27,1)+Summary!$B$11*IFERROR(B1617/Summary!$B$28,1))-1)+ArtifactsInput!$L$8)</f>
        <v/>
      </c>
      <c r="AC37">
        <f>IF(ArtifactsInput!$M$8,Summary!$B$3/(Summary!$B$3-(IF(ArtifactsInput!$M$8,-1,1)*Summary!$B$3*(((1-Summary!$B$11)*IFERROR(B1616/Summary!$B$27,1)+Summary!$B$11*IFERROR(B1617/Summary!$B$28,1))-1)+ArtifactsInput!$L$8))*100,(Summary!$B$3+(IF(ArtifactsInput!$M$8,-1,1)*Summary!$B$3*(((1-Summary!$B$11)*IFERROR(B1616/Summary!$B$27,1)+Summary!$B$11*IFERROR(B1617/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(IF(ArtifactsInput!$M$10,-1,1)*Summary!$B$3*(((1-Summary!$B$11)*IFERROR(B1666/Summary!$B$27,1)+Summary!$B$11*IFERROR(B1667/Summary!$B$28,1))-1)+ArtifactsInput!$L$10)</f>
        <v/>
      </c>
      <c r="AC38">
        <f>IF(ArtifactsInput!$M$10,Summary!$B$3/(Summary!$B$3-(IF(ArtifactsInput!$M$10,-1,1)*Summary!$B$3*(((1-Summary!$B$11)*IFERROR(B1666/Summary!$B$27,1)+Summary!$B$11*IFERROR(B1667/Summary!$B$28,1))-1)+ArtifactsInput!$L$10))*100,(Summary!$B$3+(IF(ArtifactsInput!$M$10,-1,1)*Summary!$B$3*(((1-Summary!$B$11)*IFERROR(B1666/Summary!$B$27,1)+Summary!$B$11*IFERROR(B1667/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(IF(ArtifactsInput!$M$11,-1,1)*Summary!$B$3*(((1-Summary!$B$11)*IFERROR(B1716/Summary!$B$27,1)+Summary!$B$11*IFERROR(B1717/Summary!$B$28,1))-1)+ArtifactsInput!$L$11)</f>
        <v/>
      </c>
      <c r="AC39">
        <f>IF(ArtifactsInput!$M$11,Summary!$B$3/(Summary!$B$3-(IF(ArtifactsInput!$M$11,-1,1)*Summary!$B$3*(((1-Summary!$B$11)*IFERROR(B1716/Summary!$B$27,1)+Summary!$B$11*IFERROR(B1717/Summary!$B$28,1))-1)+ArtifactsInput!$L$11))*100,(Summary!$B$3+(IF(ArtifactsInput!$M$11,-1,1)*Summary!$B$3*(((1-Summary!$B$11)*IFERROR(B1716/Summary!$B$27,1)+Summary!$B$11*IFERROR(B1717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(IF(ArtifactsInput!$M$12,-1,1)*Summary!$B$3*(((1-Summary!$B$11)*IFERROR(B1766/Summary!$B$27,1)+Summary!$B$11*IFERROR(B1767/Summary!$B$28,1))-1)+ArtifactsInput!$L$12)</f>
        <v/>
      </c>
      <c r="AC40">
        <f>IF(ArtifactsInput!$M$12,Summary!$B$3/(Summary!$B$3-(IF(ArtifactsInput!$M$12,-1,1)*Summary!$B$3*(((1-Summary!$B$11)*IFERROR(B1766/Summary!$B$27,1)+Summary!$B$11*IFERROR(B1767/Summary!$B$28,1))-1)+ArtifactsInput!$L$12))*100,(Summary!$B$3+(IF(ArtifactsInput!$M$12,-1,1)*Summary!$B$3*(((1-Summary!$B$11)*IFERROR(B1766/Summary!$B$27,1)+Summary!$B$11*IFERROR(B1767/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(IF(ArtifactsInput!$M$13,-1,1)*Summary!$B$3*(((1-Summary!$B$11)*IFERROR(B1816/Summary!$B$27,1)+Summary!$B$11*IFERROR(B1817/Summary!$B$28,1))-1)+ArtifactsInput!$L$13)</f>
        <v/>
      </c>
      <c r="AC41">
        <f>IF(ArtifactsInput!$M$13,Summary!$B$3/(Summary!$B$3-(IF(ArtifactsInput!$M$13,-1,1)*Summary!$B$3*(((1-Summary!$B$11)*IFERROR(B1816/Summary!$B$27,1)+Summary!$B$11*IFERROR(B1817/Summary!$B$28,1))-1)+ArtifactsInput!$L$13))*100,(Summary!$B$3+(IF(ArtifactsInput!$M$13,-1,1)*Summary!$B$3*(((1-Summary!$B$11)*IFERROR(B1816/Summary!$B$27,1)+Summary!$B$11*IFERROR(B1817/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(IF(ArtifactsInput!$M$14,-1,1)*Summary!$B$3*(((1-Summary!$B$11)*IFERROR(B1866/Summary!$B$27,1)+Summary!$B$11*IFERROR(B1867/Summary!$B$28,1))-1)+ArtifactsInput!$L$14)</f>
        <v/>
      </c>
      <c r="AC42">
        <f>IF(ArtifactsInput!$M$14,Summary!$B$3/(Summary!$B$3-(IF(ArtifactsInput!$M$14,-1,1)*Summary!$B$3*(((1-Summary!$B$11)*IFERROR(B1866/Summary!$B$27,1)+Summary!$B$11*IFERROR(B1867/Summary!$B$28,1))-1)+ArtifactsInput!$L$14))*100,(Summary!$B$3+(IF(ArtifactsInput!$M$14,-1,1)*Summary!$B$3*(((1-Summary!$B$11)*IFERROR(B1866/Summary!$B$27,1)+Summary!$B$11*IFERROR(B1867/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(IF(ArtifactsInput!$M$15,-1,1)*Summary!$B$3*(((1-Summary!$B$11)*IFERROR(B1916/Summary!$B$27,1)+Summary!$B$11*IFERROR(B1917/Summary!$B$28,1))-1)+ArtifactsInput!$L$15)</f>
        <v/>
      </c>
      <c r="AC43">
        <f>IF(ArtifactsInput!$M$15,Summary!$B$3/(Summary!$B$3-(IF(ArtifactsInput!$M$15,-1,1)*Summary!$B$3*(((1-Summary!$B$11)*IFERROR(B1916/Summary!$B$27,1)+Summary!$B$11*IFERROR(B1917/Summary!$B$28,1))-1)+ArtifactsInput!$L$15))*100,(Summary!$B$3+(IF(ArtifactsInput!$M$15,-1,1)*Summary!$B$3*(((1-Summary!$B$11)*IFERROR(B1916/Summary!$B$27,1)+Summary!$B$11*IFERROR(B1917/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(IF(ArtifactsInput!$M$16,-1,1)*Summary!$B$3*(((1-Summary!$B$11)*IFERROR(B1966/Summary!$B$27,1)+Summary!$B$11*IFERROR(B1967/Summary!$B$28,1))-1)+ArtifactsInput!$L$16)</f>
        <v/>
      </c>
      <c r="AC44">
        <f>IF(ArtifactsInput!$M$16,Summary!$B$3/(Summary!$B$3-(IF(ArtifactsInput!$M$16,-1,1)*Summary!$B$3*(((1-Summary!$B$11)*IFERROR(B1966/Summary!$B$27,1)+Summary!$B$11*IFERROR(B1967/Summary!$B$28,1))-1)+ArtifactsInput!$L$16))*100,(Summary!$B$3+(IF(ArtifactsInput!$M$16,-1,1)*Summary!$B$3*(((1-Summary!$B$11)*IFERROR(B1966/Summary!$B$27,1)+Summary!$B$11*IFERROR(B1967/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(IF(ArtifactsInput!$M$17,-1,1)*Summary!$B$3*(((1-Summary!$B$11)*IFERROR(B2016/Summary!$B$27,1)+Summary!$B$11*IFERROR(B2017/Summary!$B$28,1))-1)+ArtifactsInput!$L$17)</f>
        <v/>
      </c>
      <c r="AC45">
        <f>IF(ArtifactsInput!$M$17,Summary!$B$3/(Summary!$B$3-(IF(ArtifactsInput!$M$17,-1,1)*Summary!$B$3*(((1-Summary!$B$11)*IFERROR(B2016/Summary!$B$27,1)+Summary!$B$11*IFERROR(B2017/Summary!$B$28,1))-1)+ArtifactsInput!$L$17))*100,(Summary!$B$3+(IF(ArtifactsInput!$M$17,-1,1)*Summary!$B$3*(((1-Summary!$B$11)*IFERROR(B2016/Summary!$B$27,1)+Summary!$B$11*IFERROR(B2017/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(IF(ArtifactsInput!$M$18,-1,1)*Summary!$B$3*(((1-Summary!$B$11)*IFERROR(B2066/Summary!$B$27,1)+Summary!$B$11*IFERROR(B2067/Summary!$B$28,1))-1)+ArtifactsInput!$L$18)</f>
        <v/>
      </c>
      <c r="AC46">
        <f>IF(ArtifactsInput!$M$18,Summary!$B$3/(Summary!$B$3-(IF(ArtifactsInput!$M$18,-1,1)*Summary!$B$3*(((1-Summary!$B$11)*IFERROR(B2066/Summary!$B$27,1)+Summary!$B$11*IFERROR(B2067/Summary!$B$28,1))-1)+ArtifactsInput!$L$18))*100,(Summary!$B$3+(IF(ArtifactsInput!$M$18,-1,1)*Summary!$B$3*(((1-Summary!$B$11)*IFERROR(B2066/Summary!$B$27,1)+Summary!$B$11*IFERROR(B2067/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(IF(ArtifactsInput!$M$20,-1,1)*Summary!$B$3*(((1-Summary!$B$11)*IFERROR(B2116/Summary!$B$27,1)+Summary!$B$11*IFERROR(B2117/Summary!$B$28,1))-1)+ArtifactsInput!$L$20)</f>
        <v/>
      </c>
      <c r="AC47">
        <f>IF(ArtifactsInput!$M$20,Summary!$B$3/(Summary!$B$3-(IF(ArtifactsInput!$M$20,-1,1)*Summary!$B$3*(((1-Summary!$B$11)*IFERROR(B2116/Summary!$B$27,1)+Summary!$B$11*IFERROR(B2117/Summary!$B$28,1))-1)+ArtifactsInput!$L$20))*100,(Summary!$B$3+(IF(ArtifactsInput!$M$20,-1,1)*Summary!$B$3*(((1-Summary!$B$11)*IFERROR(B2116/Summary!$B$27,1)+Summary!$B$11*IFERROR(B2117/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(IF(ArtifactsInput!$M$21,-1,1)*Summary!$B$3*(((1-Summary!$B$11)*IFERROR(B2166/Summary!$B$27,1)+Summary!$B$11*IFERROR(B2167/Summary!$B$28,1))-1)+ArtifactsInput!$L$21)</f>
        <v/>
      </c>
      <c r="AC48">
        <f>IF(ArtifactsInput!$M$21,Summary!$B$3/(Summary!$B$3-(IF(ArtifactsInput!$M$21,-1,1)*Summary!$B$3*(((1-Summary!$B$11)*IFERROR(B2166/Summary!$B$27,1)+Summary!$B$11*IFERROR(B2167/Summary!$B$28,1))-1)+ArtifactsInput!$L$21))*100,(Summary!$B$3+(IF(ArtifactsInput!$M$21,-1,1)*Summary!$B$3*(((1-Summary!$B$11)*IFERROR(B2166/Summary!$B$27,1)+Summary!$B$11*IFERROR(B2167/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(IF(ArtifactsInput!$M$22,-1,1)*Summary!$B$3*(((1-Summary!$B$11)*IFERROR(B2216/Summary!$B$27,1)+Summary!$B$11*IFERROR(B2217/Summary!$B$28,1))-1)+ArtifactsInput!$L$22)</f>
        <v/>
      </c>
      <c r="AC49">
        <f>IF(ArtifactsInput!$M$22,Summary!$B$3/(Summary!$B$3-(IF(ArtifactsInput!$M$22,-1,1)*Summary!$B$3*(((1-Summary!$B$11)*IFERROR(B2216/Summary!$B$27,1)+Summary!$B$11*IFERROR(B2217/Summary!$B$28,1))-1)+ArtifactsInput!$L$22))*100,(Summary!$B$3+(IF(ArtifactsInput!$M$22,-1,1)*Summary!$B$3*(((1-Summary!$B$11)*IFERROR(B2216/Summary!$B$27,1)+Summary!$B$11*IFERROR(B2217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(IF(ArtifactsInput!$M$23,-1,1)*Summary!$B$3*(((1-Summary!$B$11)*IFERROR(B2266/Summary!$B$27,1)+Summary!$B$11*IFERROR(B2267/Summary!$B$28,1))-1)+ArtifactsInput!$L$23)</f>
        <v/>
      </c>
      <c r="AC50">
        <f>IF(ArtifactsInput!$M$23,Summary!$B$3/(Summary!$B$3-(IF(ArtifactsInput!$M$23,-1,1)*Summary!$B$3*(((1-Summary!$B$11)*IFERROR(B2266/Summary!$B$27,1)+Summary!$B$11*IFERROR(B2267/Summary!$B$28,1))-1)+ArtifactsInput!$L$23))*100,(Summary!$B$3+(IF(ArtifactsInput!$M$23,-1,1)*Summary!$B$3*(((1-Summary!$B$11)*IFERROR(B2266/Summary!$B$27,1)+Summary!$B$11*IFERROR(B2267/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(IF(ArtifactsInput!$M$24,-1,1)*Summary!$B$3*(((1-Summary!$B$11)*IFERROR(B2316/Summary!$B$27,1)+Summary!$B$11*IFERROR(B2317/Summary!$B$28,1))-1)+ArtifactsInput!$L$24)</f>
        <v/>
      </c>
      <c r="AC51">
        <f>IF(ArtifactsInput!$M$24,Summary!$B$3/(Summary!$B$3-(IF(ArtifactsInput!$M$24,-1,1)*Summary!$B$3*(((1-Summary!$B$11)*IFERROR(B2316/Summary!$B$27,1)+Summary!$B$11*IFERROR(B2317/Summary!$B$28,1))-1)+ArtifactsInput!$L$24))*100,(Summary!$B$3+(IF(ArtifactsInput!$M$24,-1,1)*Summary!$B$3*(((1-Summary!$B$11)*IFERROR(B2316/Summary!$B$27,1)+Summary!$B$11*IFERROR(B2317/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(IF(ArtifactsInput!$M$25,-1,1)*Summary!$B$3*(((1-Summary!$B$11)*IFERROR(B2366/Summary!$B$27,1)+Summary!$B$11*IFERROR(B2367/Summary!$B$28,1))-1)+ArtifactsInput!$L$25)</f>
        <v/>
      </c>
      <c r="AC52">
        <f>IF(ArtifactsInput!$M$25,Summary!$B$3/(Summary!$B$3-(IF(ArtifactsInput!$M$25,-1,1)*Summary!$B$3*(((1-Summary!$B$11)*IFERROR(B2366/Summary!$B$27,1)+Summary!$B$11*IFERROR(B2367/Summary!$B$28,1))-1)+ArtifactsInput!$L$25))*100,(Summary!$B$3+(IF(ArtifactsInput!$M$25,-1,1)*Summary!$B$3*(((1-Summary!$B$11)*IFERROR(B2366/Summary!$B$27,1)+Summary!$B$11*IFERROR(B2367/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(IF(ArtifactsInput!$M$26,-1,1)*Summary!$B$3*(((1-Summary!$B$11)*IFERROR(B2416/Summary!$B$27,1)+Summary!$B$11*IFERROR(B2417/Summary!$B$28,1))-1)+ArtifactsInput!$L$26)</f>
        <v/>
      </c>
      <c r="AC53">
        <f>IF(ArtifactsInput!$M$26,Summary!$B$3/(Summary!$B$3-(IF(ArtifactsInput!$M$26,-1,1)*Summary!$B$3*(((1-Summary!$B$11)*IFERROR(B2416/Summary!$B$27,1)+Summary!$B$11*IFERROR(B2417/Summary!$B$28,1))-1)+ArtifactsInput!$L$26))*100,(Summary!$B$3+(IF(ArtifactsInput!$M$26,-1,1)*Summary!$B$3*(((1-Summary!$B$11)*IFERROR(B2416/Summary!$B$27,1)+Summary!$B$11*IFERROR(B2417/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(IF(ArtifactsInput!$M$27,-1,1)*Summary!$B$3*(((1-Summary!$B$11)*IFERROR(B2466/Summary!$B$27,1)+Summary!$B$11*IFERROR(B2467/Summary!$B$28,1))-1)+ArtifactsInput!$L$27)</f>
        <v/>
      </c>
      <c r="AC54">
        <f>IF(ArtifactsInput!$M$27,Summary!$B$3/(Summary!$B$3-(IF(ArtifactsInput!$M$27,-1,1)*Summary!$B$3*(((1-Summary!$B$11)*IFERROR(B2466/Summary!$B$27,1)+Summary!$B$11*IFERROR(B2467/Summary!$B$28,1))-1)+ArtifactsInput!$L$27))*100,(Summary!$B$3+(IF(ArtifactsInput!$M$27,-1,1)*Summary!$B$3*(((1-Summary!$B$11)*IFERROR(B2466/Summary!$B$27,1)+Summary!$B$11*IFERROR(B2467/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(IF(ArtifactsInput!$M$28,-1,1)*Summary!$B$3*(((1-Summary!$B$11)*IFERROR(B2516/Summary!$B$27,1)+Summary!$B$11*IFERROR(B2517/Summary!$B$28,1))-1)+ArtifactsInput!$L$28)</f>
        <v/>
      </c>
      <c r="AC55">
        <f>IF(ArtifactsInput!$M$28,Summary!$B$3/(Summary!$B$3-(IF(ArtifactsInput!$M$28,-1,1)*Summary!$B$3*(((1-Summary!$B$11)*IFERROR(B2516/Summary!$B$27,1)+Summary!$B$11*IFERROR(B2517/Summary!$B$28,1))-1)+ArtifactsInput!$L$28))*100,(Summary!$B$3+(IF(ArtifactsInput!$M$28,-1,1)*Summary!$B$3*(((1-Summary!$B$11)*IFERROR(B2516/Summary!$B$27,1)+Summary!$B$11*IFERROR(B2517/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(IF(ArtifactsInput!$M$29,-1,1)*Summary!$B$3*(((1-Summary!$B$11)*IFERROR(B2566/Summary!$B$27,1)+Summary!$B$11*IFERROR(B2567/Summary!$B$28,1))-1)+ArtifactsInput!$L$29)</f>
        <v/>
      </c>
      <c r="AC56">
        <f>IF(ArtifactsInput!$M$29,Summary!$B$3/(Summary!$B$3-(IF(ArtifactsInput!$M$29,-1,1)*Summary!$B$3*(((1-Summary!$B$11)*IFERROR(B2566/Summary!$B$27,1)+Summary!$B$11*IFERROR(B2567/Summary!$B$28,1))-1)+ArtifactsInput!$L$29))*100,(Summary!$B$3+(IF(ArtifactsInput!$M$29,-1,1)*Summary!$B$3*(((1-Summary!$B$11)*IFERROR(B2566/Summary!$B$27,1)+Summary!$B$11*IFERROR(B2567/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(IF(ArtifactsInput!$M$30,-1,1)*Summary!$B$3*(((1-Summary!$B$11)*IFERROR(B2616/Summary!$B$27,1)+Summary!$B$11*IFERROR(B2617/Summary!$B$28,1))-1)+ArtifactsInput!$L$30)</f>
        <v/>
      </c>
      <c r="AC57">
        <f>IF(ArtifactsInput!$M$30,Summary!$B$3/(Summary!$B$3-(IF(ArtifactsInput!$M$30,-1,1)*Summary!$B$3*(((1-Summary!$B$11)*IFERROR(B2616/Summary!$B$27,1)+Summary!$B$11*IFERROR(B2617/Summary!$B$28,1))-1)+ArtifactsInput!$L$30))*100,(Summary!$B$3+(IF(ArtifactsInput!$M$30,-1,1)*Summary!$B$3*(((1-Summary!$B$11)*IFERROR(B2616/Summary!$B$27,1)+Summary!$B$11*IFERROR(B2617/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(IF(ArtifactsInput!$M$31,-1,1)*Summary!$B$3*(((1-Summary!$B$11)*IFERROR(B2666/Summary!$B$27,1)+Summary!$B$11*IFERROR(B2667/Summary!$B$28,1))-1)+ArtifactsInput!$L$31)</f>
        <v/>
      </c>
      <c r="AC58">
        <f>IF(ArtifactsInput!$M$31,Summary!$B$3/(Summary!$B$3-(IF(ArtifactsInput!$M$31,-1,1)*Summary!$B$3*(((1-Summary!$B$11)*IFERROR(B2666/Summary!$B$27,1)+Summary!$B$11*IFERROR(B2667/Summary!$B$28,1))-1)+ArtifactsInput!$L$31))*100,(Summary!$B$3+(IF(ArtifactsInput!$M$31,-1,1)*Summary!$B$3*(((1-Summary!$B$11)*IFERROR(B2666/Summary!$B$27,1)+Summary!$B$11*IFERROR(B2667/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(IF(ArtifactsInput!$M$32,-1,1)*Summary!$B$3*(((1-Summary!$B$11)*IFERROR(B2716/Summary!$B$27,1)+Summary!$B$11*IFERROR(B2717/Summary!$B$28,1))-1)+ArtifactsInput!$L$32)</f>
        <v/>
      </c>
      <c r="AC59">
        <f>IF(ArtifactsInput!$M$32,Summary!$B$3/(Summary!$B$3-(IF(ArtifactsInput!$M$32,-1,1)*Summary!$B$3*(((1-Summary!$B$11)*IFERROR(B2716/Summary!$B$27,1)+Summary!$B$11*IFERROR(B2717/Summary!$B$28,1))-1)+ArtifactsInput!$L$32))*100,(Summary!$B$3+(IF(ArtifactsInput!$M$32,-1,1)*Summary!$B$3*(((1-Summary!$B$11)*IFERROR(B2716/Summary!$B$27,1)+Summary!$B$11*IFERROR(B2717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(IF(ArtifactsInput!$M$33,-1,1)*Summary!$B$3*(((1-Summary!$B$11)*IFERROR(B2766/Summary!$B$27,1)+Summary!$B$11*IFERROR(B2767/Summary!$B$28,1))-1)+ArtifactsInput!$L$33)</f>
        <v/>
      </c>
      <c r="AC60">
        <f>IF(ArtifactsInput!$M$33,Summary!$B$3/(Summary!$B$3-(IF(ArtifactsInput!$M$33,-1,1)*Summary!$B$3*(((1-Summary!$B$11)*IFERROR(B2766/Summary!$B$27,1)+Summary!$B$11*IFERROR(B2767/Summary!$B$28,1))-1)+ArtifactsInput!$L$33))*100,(Summary!$B$3+(IF(ArtifactsInput!$M$33,-1,1)*Summary!$B$3*(((1-Summary!$B$11)*IFERROR(B2766/Summary!$B$27,1)+Summary!$B$11*IFERROR(B2767/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(IF(ArtifactsInput!$M$34,-1,1)*Summary!$B$3*(((1-Summary!$B$11)*IFERROR(B2816/Summary!$B$27,1)+Summary!$B$11*IFERROR(B2817/Summary!$B$28,1))-1)+ArtifactsInput!$L$34)</f>
        <v/>
      </c>
      <c r="AC61">
        <f>IF(ArtifactsInput!$M$34,Summary!$B$3/(Summary!$B$3-(IF(ArtifactsInput!$M$34,-1,1)*Summary!$B$3*(((1-Summary!$B$11)*IFERROR(B2816/Summary!$B$27,1)+Summary!$B$11*IFERROR(B2817/Summary!$B$28,1))-1)+ArtifactsInput!$L$34))*100,(Summary!$B$3+(IF(ArtifactsInput!$M$34,-1,1)*Summary!$B$3*(((1-Summary!$B$11)*IFERROR(B2816/Summary!$B$27,1)+Summary!$B$11*IFERROR(B2817/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(IF(ArtifactsInput!$M$35,-1,1)*Summary!$B$3*(((1-Summary!$B$11)*IFERROR(B2866/Summary!$B$27,1)+Summary!$B$11*IFERROR(B2867/Summary!$B$28,1))-1)+ArtifactsInput!$L$35)</f>
        <v/>
      </c>
      <c r="AC62">
        <f>IF(ArtifactsInput!$M$35,Summary!$B$3/(Summary!$B$3-(IF(ArtifactsInput!$M$35,-1,1)*Summary!$B$3*(((1-Summary!$B$11)*IFERROR(B2866/Summary!$B$27,1)+Summary!$B$11*IFERROR(B2867/Summary!$B$28,1))-1)+ArtifactsInput!$L$35))*100,(Summary!$B$3+(IF(ArtifactsInput!$M$35,-1,1)*Summary!$B$3*(((1-Summary!$B$11)*IFERROR(B2866/Summary!$B$27,1)+Summary!$B$11*IFERROR(B2867/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(IF(ArtifactsInput!$M$36,-1,1)*Summary!$B$3*(((1-Summary!$B$11)*IFERROR(B2916/Summary!$B$27,1)+Summary!$B$11*IFERROR(B2917/Summary!$B$28,1))-1)+ArtifactsInput!$L$36)</f>
        <v/>
      </c>
      <c r="AC63">
        <f>IF(ArtifactsInput!$M$36,Summary!$B$3/(Summary!$B$3-(IF(ArtifactsInput!$M$36,-1,1)*Summary!$B$3*(((1-Summary!$B$11)*IFERROR(B2916/Summary!$B$27,1)+Summary!$B$11*IFERROR(B2917/Summary!$B$28,1))-1)+ArtifactsInput!$L$36))*100,(Summary!$B$3+(IF(ArtifactsInput!$M$36,-1,1)*Summary!$B$3*(((1-Summary!$B$11)*IFERROR(B2916/Summary!$B$27,1)+Summary!$B$11*IFERROR(B2917/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(IF(ArtifactsInput!$M$37,-1,1)*Summary!$B$3*(((1-Summary!$B$11)*IFERROR(B2966/Summary!$B$27,1)+Summary!$B$11*IFERROR(B2967/Summary!$B$28,1))-1)+ArtifactsInput!$L$37)</f>
        <v/>
      </c>
      <c r="AC64">
        <f>IF(ArtifactsInput!$M$37,Summary!$B$3/(Summary!$B$3-(IF(ArtifactsInput!$M$37,-1,1)*Summary!$B$3*(((1-Summary!$B$11)*IFERROR(B2966/Summary!$B$27,1)+Summary!$B$11*IFERROR(B2967/Summary!$B$28,1))-1)+ArtifactsInput!$L$37))*100,(Summary!$B$3+(IF(ArtifactsInput!$M$37,-1,1)*Summary!$B$3*(((1-Summary!$B$11)*IFERROR(B2966/Summary!$B$27,1)+Summary!$B$11*IFERROR(B2967/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(IF(ArtifactsInput!$M$38,-1,1)*Summary!$B$3*(((1-Summary!$B$11)*IFERROR(B3016/Summary!$B$27,1)+Summary!$B$11*IFERROR(B3017/Summary!$B$28,1))-1)+ArtifactsInput!$L$38)</f>
        <v/>
      </c>
      <c r="AC65">
        <f>IF(ArtifactsInput!$M$38,Summary!$B$3/(Summary!$B$3-(IF(ArtifactsInput!$M$38,-1,1)*Summary!$B$3*(((1-Summary!$B$11)*IFERROR(B3016/Summary!$B$27,1)+Summary!$B$11*IFERROR(B3017/Summary!$B$28,1))-1)+ArtifactsInput!$L$38))*100,(Summary!$B$3+(IF(ArtifactsInput!$M$38,-1,1)*Summary!$B$3*(((1-Summary!$B$11)*IFERROR(B3016/Summary!$B$27,1)+Summary!$B$11*IFERROR(B3017/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(IF(ArtifactsInput!$M$39,-1,1)*Summary!$B$3*(((1-Summary!$B$11)*IFERROR(B3066/Summary!$B$27,1)+Summary!$B$11*IFERROR(B3067/Summary!$B$28,1))-1)+ArtifactsInput!$L$39)</f>
        <v/>
      </c>
      <c r="AC66">
        <f>IF(ArtifactsInput!$M$39,Summary!$B$3/(Summary!$B$3-(IF(ArtifactsInput!$M$39,-1,1)*Summary!$B$3*(((1-Summary!$B$11)*IFERROR(B3066/Summary!$B$27,1)+Summary!$B$11*IFERROR(B3067/Summary!$B$28,1))-1)+ArtifactsInput!$L$39))*100,(Summary!$B$3+(IF(ArtifactsInput!$M$39,-1,1)*Summary!$B$3*(((1-Summary!$B$11)*IFERROR(B3066/Summary!$B$27,1)+Summary!$B$11*IFERROR(B3067/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(IF(ArtifactsInput!$M$40,-1,1)*Summary!$B$3*(((1-Summary!$B$11)*IFERROR(B3116/Summary!$B$27,1)+Summary!$B$11*IFERROR(B3117/Summary!$B$28,1))-1)+ArtifactsInput!$L$40)</f>
        <v/>
      </c>
      <c r="AC67">
        <f>IF(ArtifactsInput!$M$40,Summary!$B$3/(Summary!$B$3-(IF(ArtifactsInput!$M$40,-1,1)*Summary!$B$3*(((1-Summary!$B$11)*IFERROR(B3116/Summary!$B$27,1)+Summary!$B$11*IFERROR(B3117/Summary!$B$28,1))-1)+ArtifactsInput!$L$40))*100,(Summary!$B$3+(IF(ArtifactsInput!$M$40,-1,1)*Summary!$B$3*(((1-Summary!$B$11)*IFERROR(B3116/Summary!$B$27,1)+Summary!$B$11*IFERROR(B3117/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(IF(ArtifactsInput!$M$41,-1,1)*Summary!$B$3*(((1-Summary!$B$11)*IFERROR(B3166/Summary!$B$27,1)+Summary!$B$11*IFERROR(B3167/Summary!$B$28,1))-1)+ArtifactsInput!$L$41)</f>
        <v/>
      </c>
      <c r="AC68">
        <f>IF(ArtifactsInput!$M$41,Summary!$B$3/(Summary!$B$3-(IF(ArtifactsInput!$M$41,-1,1)*Summary!$B$3*(((1-Summary!$B$11)*IFERROR(B3166/Summary!$B$27,1)+Summary!$B$11*IFERROR(B3167/Summary!$B$28,1))-1)+ArtifactsInput!$L$41))*100,(Summary!$B$3+(IF(ArtifactsInput!$M$41,-1,1)*Summary!$B$3*(((1-Summary!$B$11)*IFERROR(B3166/Summary!$B$27,1)+Summary!$B$11*IFERROR(B3167/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(IF(ArtifactsInput!$M$42,-1,1)*Summary!$B$3*(((1-Summary!$B$11)*IFERROR(B3216/Summary!$B$27,1)+Summary!$B$11*IFERROR(B3217/Summary!$B$28,1))-1)+ArtifactsInput!$L$42)</f>
        <v/>
      </c>
      <c r="AC69">
        <f>IF(ArtifactsInput!$M$42,Summary!$B$3/(Summary!$B$3-(IF(ArtifactsInput!$M$42,-1,1)*Summary!$B$3*(((1-Summary!$B$11)*IFERROR(B3216/Summary!$B$27,1)+Summary!$B$11*IFERROR(B3217/Summary!$B$28,1))-1)+ArtifactsInput!$L$42))*100,(Summary!$B$3+(IF(ArtifactsInput!$M$42,-1,1)*Summary!$B$3*(((1-Summary!$B$11)*IFERROR(B3216/Summary!$B$27,1)+Summary!$B$11*IFERROR(B3217/Summary!$B$28,1))-1)+ArtifactsInput!$L$42))/Summary!$B$3*100)</f>
        <v/>
      </c>
      <c r="AD69">
        <f>ArtifactsInput!$B$42&lt;&gt;"Not Unlocked"</f>
        <v/>
      </c>
      <c r="AE69">
        <f>IF(AD69,SUMPRODUCT(($AD$34:$AD$69)*($AC$34:$AC$69&gt;AC69))+COUNTIFS($AD$34:AD69,TRUE,$AC$34:AC69,AC69),"")</f>
        <v/>
      </c>
    </row>
    <row r="70">
      <c r="A70" s="6" t="inlineStr">
        <is>
          <t>Stat: Flat LUK</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Q71" s="5" t="inlineStr">
        <is>
          <t>InvCooldown</t>
        </is>
      </c>
      <c r="R71" s="5" t="inlineStr">
        <is>
          <t>CastsInFight</t>
        </is>
      </c>
      <c r="S71" s="5" t="inlineStr">
        <is>
          <t>HitRate(perSec)</t>
        </is>
      </c>
      <c r="U71" t="inlineStr">
        <is>
          <t>helpers</t>
        </is>
      </c>
    </row>
    <row r="72">
      <c r="A72">
        <f>Skills!A2</f>
        <v/>
      </c>
      <c r="B72">
        <f>Skills!B2</f>
        <v/>
      </c>
      <c r="C72">
        <f>Inputs!$B$3&gt;=100</f>
        <v/>
      </c>
      <c r="D72" t="inlineStr"/>
      <c r="E72" t="inlineStr"/>
      <c r="F72">
        <f>U74+Skills!O2</f>
        <v/>
      </c>
      <c r="G72">
        <f>Skills!G2*IF(Skills!H2&gt;0,Skills!I2/Skills!H2,1)</f>
        <v/>
      </c>
      <c r="H72">
        <f>1-(1-Skills!J2/100)^Skills!K2</f>
        <v/>
      </c>
      <c r="I72" t="inlineStr">
        <is>
          <t>1</t>
        </is>
      </c>
      <c r="J72">
        <f>((Inputs!$B$6*(1+Inputs!$B$7/100))+((((Inputs!$B$12+1)*(1+Inputs!$B$13/100))-(Inputs!$B$12*(1+Inputs!$B$13/100)))+0.25*(Inputs!$B$14-Inputs!$B$14))*(1+Inputs!$B$7/100))*(F72/100)</f>
        <v/>
      </c>
      <c r="K72">
        <f>J72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72)</f>
        <v/>
      </c>
      <c r="L72">
        <f>K72*(MIN(Inputs!$B$22+((C94=TRUE)*(F94-Calc!F24)),(Inputs!$B$23+((C99=TRUE)*(F99-Calc!F29))+IF(ArtifactsInput!$M$15,CHOOSE(ArtifactsInput!$N$15+1,25,30,35,40,45,50)/100*(Inputs!$B$11-Inputs!$B$11),0)))/100+(Inputs!$B$23+((C99=TRUE)*(F99-Calc!F29))+IF(ArtifactsInput!$M$15,CHOOSE(ArtifactsInput!$N$15+1,25,30,35,40,45,50)/100*(Inputs!$B$11-Inputs!$B$11),0))/100)/2</f>
        <v/>
      </c>
      <c r="M72">
        <f>L72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
        <f>L72*(1-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
        <f>(1-Summary!$B$11)*T72+Summary!$B$11*V72</f>
        <v/>
      </c>
      <c r="P72">
        <f>IF(B115=0,0,O72/B115)</f>
        <v/>
      </c>
      <c r="Q72" t="n">
        <v>0</v>
      </c>
      <c r="R72" t="n">
        <v>0</v>
      </c>
      <c r="S72">
        <f>IFERROR(O72/N72,0)</f>
        <v/>
      </c>
      <c r="T72">
        <f>IF(C72,(Skills!G2*N72*B109)*IF(Inputs!$B$39="pvp",1,1+(Inputs!$B$20+0+Skills!P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72*(1-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
        <f>MAX(0,(Inputs!$B$3-100)*3)+Inputs!$B$28+Inputs!$B$29</f>
        <v/>
      </c>
      <c r="V72">
        <f>IF(C72,(Skills!G2*N72*B109)*IF(Inputs!$B$39="pvp",1,(1+(Inputs!$B$21+Skills!Q2+B104+(IF(ArtifactsInput!$M$33,CHOOSE(ArtifactsInput!$N$33+1,30,36,42,48,54,60),0))+(IF(AND(ArtifactsInput!$M$35,Inputs!$B$4&lt;&gt;"Chapter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
      <c r="A73">
        <f>Skills!A3</f>
        <v/>
      </c>
      <c r="B73">
        <f>Skills!B3</f>
        <v/>
      </c>
      <c r="C73">
        <f>Inputs!$B$3&gt;=35</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Skills!G3*IF(Skills!H3&gt;0,Skills!I3/Skills!H3,1)</f>
        <v/>
      </c>
      <c r="H73">
        <f>1-(1-Skills!J3/100)^Skills!K3</f>
        <v/>
      </c>
      <c r="I73" t="inlineStr">
        <is>
          <t>1</t>
        </is>
      </c>
      <c r="J73" t="inlineStr"/>
      <c r="K73" t="inlineStr"/>
      <c r="L73" t="inlineStr"/>
      <c r="M73" t="inlineStr"/>
      <c r="N73" t="inlineStr"/>
      <c r="O73">
        <f>(1-Summary!$B$11)*T73+Summary!$B$11*V73</f>
        <v/>
      </c>
      <c r="P73">
        <f>IF(B115=0,0,O73/B115)</f>
        <v/>
      </c>
      <c r="Q73" t="n">
        <v>0</v>
      </c>
      <c r="R73" t="n">
        <v>0</v>
      </c>
      <c r="S73">
        <f>IFERROR(O73/N73,0)</f>
        <v/>
      </c>
      <c r="T73" t="n">
        <v>0</v>
      </c>
      <c r="U73">
        <f>INDEX(FactorTable!$B$2:$Y$301, MATCH(ROUND(MIN(300,MAX(1,U72)),0), FactorTable!$A$2:$A$301,0), 22)</f>
        <v/>
      </c>
      <c r="V73" t="n">
        <v>0</v>
      </c>
    </row>
    <row r="74">
      <c r="A74">
        <f>Skills!A4</f>
        <v/>
      </c>
      <c r="B74">
        <f>Skills!B4</f>
        <v/>
      </c>
      <c r="C74">
        <f>Inputs!$B$3&gt;=66</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Skills!G4*IF(Skills!H4&gt;0,Skills!I4/Skills!H4,1)</f>
        <v/>
      </c>
      <c r="H74">
        <f>1-(1-Skills!J4/100)^Skills!K4</f>
        <v/>
      </c>
      <c r="I74" t="inlineStr">
        <is>
          <t>1</t>
        </is>
      </c>
      <c r="J74">
        <f>((Inputs!$B$6*(1+Inputs!$B$7/100))+((((Inputs!$B$12+1)*(1+Inputs!$B$13/100))-(Inputs!$B$12*(1+Inputs!$B$13/100)))+0.25*(Inputs!$B$14-Inputs!$B$14))*(1+Inputs!$B$7/100))*(F74/100)</f>
        <v/>
      </c>
      <c r="K74">
        <f>J74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74)</f>
        <v/>
      </c>
      <c r="L74">
        <f>K74*(MIN(Inputs!$B$22+((C94=TRUE)*(F94-Calc!F24)),(Inputs!$B$23+((C99=TRUE)*(F99-Calc!F29))+IF(ArtifactsInput!$M$15,CHOOSE(ArtifactsInput!$N$15+1,25,30,35,40,45,50)/100*(Inputs!$B$11-Inputs!$B$11),0)))/100+(Inputs!$B$23+((C99=TRUE)*(F99-Calc!F29))+IF(ArtifactsInput!$M$15,CHOOSE(ArtifactsInput!$N$15+1,25,30,35,40,45,50)/100*(Inputs!$B$11-Inputs!$B$11),0))/100)/2</f>
        <v/>
      </c>
      <c r="M74">
        <f>L74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IF(B115=0,0,O74/B115)</f>
        <v/>
      </c>
      <c r="Q74">
        <f>IFERROR(1/IF(Inputs!$B$39="pvp",15,MAX(0.1,Skills!D4-IF(Skills!E4=TRUE,Inputs!$B$32,0))),0)</f>
        <v/>
      </c>
      <c r="R74">
        <f>IF(AND(Inputs!$B$39&lt;&gt;"pvp",Inputs!$B$44&gt;0),IF(MAX(0,Inputs!$B$44-B114)&lt;=0,0,(INT(MAX(0,Inputs!$B$44-B114)/IF(Inputs!$B$39="pvp",15,MAX(0.1,Skills!D4-IF(Skills!E4=TRUE,Inputs!$B$32,0))))+1)),0)</f>
        <v/>
      </c>
      <c r="S74">
        <f>IFERROR(O74/N74,0)</f>
        <v/>
      </c>
      <c r="T74">
        <f>IF(C74,(H74*N74*IF(AND(Inputs!$B$39&lt;&gt;"pvp",Inputs!$B$44&gt;0),((Skills!G4*((R74-1)*IF(Skills!H4&gt;0,Skills!I4/Skills!H4,1)+IF(Skills!H4&gt;0,MIN(Skills!I4,MAX(0,MAX(0,Inputs!$B$44-B114)-((R74-1)*IF(Inputs!$B$39="pvp",15,MAX(0.1,Skills!D4-IF(Skills!E4=TRUE,Inputs!$B$32,0))))))/Skills!H4,1)))/Inputs!$B$44),G74*Q74))*IF(Inputs!$B$39="pvp",1,1+(Inputs!$B$20+0+Skills!P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74*(1-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290*U73/1000</f>
        <v/>
      </c>
      <c r="V74">
        <f>IF(C74,(H74*N74*IF(AND(Inputs!$B$39&lt;&gt;"pvp",Inputs!$B$44&gt;0),((Skills!G4*((R74-1)*IF(Skills!H4&gt;0,Skills!I4/Skills!H4,1)+IF(Skills!H4&gt;0,MIN(Skills!I4,MAX(0,MAX(0,Inputs!$B$44-B114)-((R74-1)*IF(Inputs!$B$39="pvp",15,MAX(0.1,Skills!D4-IF(Skills!E4=TRUE,Inputs!$B$32,0))))))/Skills!H4,1)))/Inputs!$B$44),G74*Q74))*IF(Inputs!$B$39="pvp",1,(1+(Inputs!$B$21+Skills!Q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(10,0.5*B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Skills!A5</f>
        <v/>
      </c>
      <c r="B75">
        <f>Skills!B5</f>
        <v/>
      </c>
      <c r="C75">
        <f>Inputs!$B$3&gt;=63</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Skills!G5*IF(Skills!H5&gt;0,Skills!I5/Skills!H5,1)</f>
        <v/>
      </c>
      <c r="H75">
        <f>1-(1-Skills!J5/100)^Skills!K5</f>
        <v/>
      </c>
      <c r="I75" t="inlineStr">
        <is>
          <t>1</t>
        </is>
      </c>
      <c r="J75">
        <f>((Inputs!$B$6*(1+Inputs!$B$7/100))+((((Inputs!$B$12+1)*(1+Inputs!$B$13/100))-(Inputs!$B$12*(1+Inputs!$B$13/100)))+0.25*(Inputs!$B$14-Inputs!$B$14))*(1+Inputs!$B$7/100))*(F75/100)</f>
        <v/>
      </c>
      <c r="K75">
        <f>J75*(1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TRUE,F88,0)/100)*(1+(IF(Skills!A5="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75)</f>
        <v/>
      </c>
      <c r="L75">
        <f>K75*(MIN(Inputs!$B$22+((C94=TRUE)*(F94-Calc!F24)),(Inputs!$B$23+((C99=TRUE)*(F99-Calc!F29))+IF(ArtifactsInput!$M$15,CHOOSE(ArtifactsInput!$N$15+1,25,30,35,40,45,50)/100*(Inputs!$B$11-Inputs!$B$11),0)))/100+(Inputs!$B$23+((C99=TRUE)*(F99-Calc!F29))+IF(ArtifactsInput!$M$15,CHOOSE(ArtifactsInput!$N$15+1,25,30,35,40,45,50)/100*(Inputs!$B$11-Inputs!$B$11),0))/100)/2</f>
        <v/>
      </c>
      <c r="M75">
        <f>L75*(1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IF(B115=0,0,O75/B115)</f>
        <v/>
      </c>
      <c r="Q75">
        <f>IFERROR(1/IF(Inputs!$B$39="pvp",15,MAX(0.1,Skills!D5-IF(Skills!E5=TRUE,Inputs!$B$32,0))),0)</f>
        <v/>
      </c>
      <c r="R75">
        <f>IF(AND(Inputs!$B$39&lt;&gt;"pvp",Inputs!$B$44&gt;0),IF(MAX(0,Inputs!$B$44-B114)&lt;=0,0,(INT(MAX(0,Inputs!$B$44-B114)/IF(Inputs!$B$39="pvp",15,MAX(0.1,Skills!D5-IF(Skills!E5=TRUE,Inputs!$B$32,0))))+1)),0)</f>
        <v/>
      </c>
      <c r="S75">
        <f>IFERROR(O75/N75,0)</f>
        <v/>
      </c>
      <c r="T75">
        <f>IF(C75,(H75*N75*IF(AND(Inputs!$B$39&lt;&gt;"pvp",Inputs!$B$44&gt;0),((Skills!G5*((R75-1)*IF(Skills!H5&gt;0,Skills!I5/Skills!H5,1)+IF(Skills!H5&gt;0,MIN(Skills!I5,MAX(0,MAX(0,Inputs!$B$44-B114)-((R75-1)*IF(Inputs!$B$39="pvp",15,MAX(0.1,Skills!D5-IF(Skills!E5=TRUE,Inputs!$B$32,0))))))/Skills!H5,1)))/Inputs!$B$44),G75*Q75))*IF(Inputs!$B$39="pvp",1,1+(Inputs!$B$20+0+Skills!P5+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75*(1-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
        <f>IF(C75,(H75*N75*IF(AND(Inputs!$B$39&lt;&gt;"pvp",Inputs!$B$44&gt;0),((Skills!G5*((R75-1)*IF(Skills!H5&gt;0,Skills!I5/Skills!H5,1)+IF(Skills!H5&gt;0,MIN(Skills!I5,MAX(0,MAX(0,Inputs!$B$44-B114)-((R75-1)*IF(Inputs!$B$39="pvp",15,MAX(0.1,Skills!D5-IF(Skills!E5=TRUE,Inputs!$B$32,0))))))/Skills!H5,1)))/Inputs!$B$44),G75*Q75))*IF(Inputs!$B$39="pvp",1,(1+(Inputs!$B$21+Skills!Q5+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Skills!A6</f>
        <v/>
      </c>
      <c r="B76">
        <f>Skills!B6</f>
        <v/>
      </c>
      <c r="C76">
        <f>Inputs!$B$3&gt;=69</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Skills!G6*IF(Skills!H6&gt;0,Skills!I6/Skills!H6,1)</f>
        <v/>
      </c>
      <c r="H76">
        <f>1-(1-Skills!J6/100)^Skills!K6</f>
        <v/>
      </c>
      <c r="I76" t="inlineStr">
        <is>
          <t>1</t>
        </is>
      </c>
      <c r="J76">
        <f>((Inputs!$B$6*(1+Inputs!$B$7/100))+((((Inputs!$B$12+1)*(1+Inputs!$B$13/100))-(Inputs!$B$12*(1+Inputs!$B$13/100)))+0.25*(Inputs!$B$14-Inputs!$B$14))*(1+Inputs!$B$7/100))*(F76/100)</f>
        <v/>
      </c>
      <c r="K76">
        <f>J76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TRUE,F88,0)/100)*(1+(IF(Skills!A6="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76)</f>
        <v/>
      </c>
      <c r="L76">
        <f>K76*(MIN(Inputs!$B$22+((C94=TRUE)*(F94-Calc!F24)),(Inputs!$B$23+((C99=TRUE)*(F99-Calc!F29))+IF(ArtifactsInput!$M$15,CHOOSE(ArtifactsInput!$N$15+1,25,30,35,40,45,50)/100*(Inputs!$B$11-Inputs!$B$11),0)))/100+(Inputs!$B$23+((C99=TRUE)*(F99-Calc!F29))+IF(ArtifactsInput!$M$15,CHOOSE(ArtifactsInput!$N$15+1,25,30,35,40,45,50)/100*(Inputs!$B$11-Inputs!$B$11),0))/100)/2</f>
        <v/>
      </c>
      <c r="M76">
        <f>L76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IF(B115=0,0,O76/B115)</f>
        <v/>
      </c>
      <c r="Q76">
        <f>IFERROR(1/IF(Inputs!$B$39="pvp",15,MAX(0.1,Skills!D6-IF(Skills!E6=TRUE,Inputs!$B$32,0))),0)</f>
        <v/>
      </c>
      <c r="R76">
        <f>IF(AND(Inputs!$B$39&lt;&gt;"pvp",Inputs!$B$44&gt;0),IF(MAX(0,Inputs!$B$44-B114)&lt;=0,0,(INT(MAX(0,Inputs!$B$44-B114)/IF(Inputs!$B$39="pvp",15,MAX(0.1,Skills!D6-IF(Skills!E6=TRUE,Inputs!$B$32,0))))+1)),0)</f>
        <v/>
      </c>
      <c r="S76">
        <f>IFERROR(O76/N76,0)</f>
        <v/>
      </c>
      <c r="T76">
        <f>IF(C76,(H76*N76*IF(AND(Inputs!$B$39&lt;&gt;"pvp",Inputs!$B$44&gt;0),((Skills!G6*((R76-1)*IF(Skills!H6&gt;0,Skills!I6/Skills!H6,1)+IF(Skills!H6&gt;0,MIN(Skills!I6,MAX(0,MAX(0,Inputs!$B$44-B114)-((R76-1)*IF(Inputs!$B$39="pvp",15,MAX(0.1,Skills!D6-IF(Skills!E6=TRUE,Inputs!$B$32,0))))))/Skills!H6,1)))/Inputs!$B$44),G76*Q76))*IF(Inputs!$B$39="pvp",1,1+(Inputs!$B$20+0+Skills!P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76*(1-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
        <f>IF(C76,(H76*N76*IF(AND(Inputs!$B$39&lt;&gt;"pvp",Inputs!$B$44&gt;0),((Skills!G6*((R76-1)*IF(Skills!H6&gt;0,Skills!I6/Skills!H6,1)+IF(Skills!H6&gt;0,MIN(Skills!I6,MAX(0,MAX(0,Inputs!$B$44-B114)-((R76-1)*IF(Inputs!$B$39="pvp",15,MAX(0.1,Skills!D6-IF(Skills!E6=TRUE,Inputs!$B$32,0))))))/Skills!H6,1)))/Inputs!$B$44),G76*Q76))*IF(Inputs!$B$39="pvp",1,(1+(Inputs!$B$21+Skills!Q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Skills!A7</f>
        <v/>
      </c>
      <c r="B77">
        <f>Skills!B7</f>
        <v/>
      </c>
      <c r="C77">
        <f>Inputs!$B$3&gt;=60</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Skills!G7*IF(Skills!H7&gt;0,Skills!I7/Skills!H7,1)</f>
        <v/>
      </c>
      <c r="H77">
        <f>1-(1-Skills!J7/100)^Skills!K7</f>
        <v/>
      </c>
      <c r="I77" t="inlineStr">
        <is>
          <t>1</t>
        </is>
      </c>
      <c r="J77" t="inlineStr"/>
      <c r="K77" t="inlineStr"/>
      <c r="L77" t="inlineStr"/>
      <c r="M77" t="inlineStr"/>
      <c r="N77" t="inlineStr"/>
      <c r="O77">
        <f>(1-Summary!$B$11)*T77+Summary!$B$11*V77</f>
        <v/>
      </c>
      <c r="P77">
        <f>IF(B115=0,0,O77/B115)</f>
        <v/>
      </c>
      <c r="Q77" t="n">
        <v>0</v>
      </c>
      <c r="R77" t="n">
        <v>0</v>
      </c>
      <c r="S77">
        <f>IFERROR(O77/N77,0)</f>
        <v/>
      </c>
      <c r="T77" t="n">
        <v>0</v>
      </c>
      <c r="V77" t="n">
        <v>0</v>
      </c>
    </row>
    <row r="78">
      <c r="A78">
        <f>Skills!A8</f>
        <v/>
      </c>
      <c r="B78">
        <f>Skills!B8</f>
        <v/>
      </c>
      <c r="C78">
        <f>Inputs!$B$3&gt;=72</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Skills!G8*IF(Skills!H8&gt;0,Skills!I8/Skills!H8,1)</f>
        <v/>
      </c>
      <c r="H78">
        <f>1-(1-Skills!J8/100)^Skills!K8</f>
        <v/>
      </c>
      <c r="I78" t="inlineStr">
        <is>
          <t>1</t>
        </is>
      </c>
      <c r="J78">
        <f>((Inputs!$B$6*(1+Inputs!$B$7/100))+((((Inputs!$B$12+1)*(1+Inputs!$B$13/100))-(Inputs!$B$12*(1+Inputs!$B$13/100)))+0.25*(Inputs!$B$14-Inputs!$B$14))*(1+Inputs!$B$7/100))*(F78/100)</f>
        <v/>
      </c>
      <c r="K78">
        <f>J78*(1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TRUE,F88,0)/100)*(1+(IF(Skills!A8="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78)</f>
        <v/>
      </c>
      <c r="L78">
        <f>K78*(MIN(Inputs!$B$22+((C94=TRUE)*(F94-Calc!F24)),(Inputs!$B$23+((C99=TRUE)*(F99-Calc!F29))+IF(ArtifactsInput!$M$15,CHOOSE(ArtifactsInput!$N$15+1,25,30,35,40,45,50)/100*(Inputs!$B$11-Inputs!$B$11),0)))/100+(Inputs!$B$23+((C99=TRUE)*(F99-Calc!F29))+IF(ArtifactsInput!$M$15,CHOOSE(ArtifactsInput!$N$15+1,25,30,35,40,45,50)/100*(Inputs!$B$11-Inputs!$B$11),0))/100)/2</f>
        <v/>
      </c>
      <c r="M78">
        <f>L78*(1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
        <f>L78*(1-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IF(B115=0,0,O78/B115)</f>
        <v/>
      </c>
      <c r="Q78">
        <f>IFERROR(1/IF(Inputs!$B$39="pvp",15,MAX(0.1,Skills!D8-IF(Skills!E8=TRUE,Inputs!$B$32,0))),0)</f>
        <v/>
      </c>
      <c r="R78">
        <f>IF(AND(Inputs!$B$39&lt;&gt;"pvp",Inputs!$B$44&gt;0),IF(MAX(0,Inputs!$B$44-B114)&lt;=0,0,(INT(MAX(0,Inputs!$B$44-B114)/IF(Inputs!$B$39="pvp",15,MAX(0.1,Skills!D8-IF(Skills!E8=TRUE,Inputs!$B$32,0))))+1)),0)</f>
        <v/>
      </c>
      <c r="S78">
        <f>IFERROR(O78/N78,0)</f>
        <v/>
      </c>
      <c r="T78">
        <f>IF(C78,(H78*N78*IF(AND(Inputs!$B$39&lt;&gt;"pvp",Inputs!$B$44&gt;0),((Skills!G8*((R78-1)*IF(Skills!H8&gt;0,Skills!I8/Skills!H8,1)+IF(Skills!H8&gt;0,MIN(Skills!I8,MAX(0,MAX(0,Inputs!$B$44-B114)-((R78-1)*IF(Inputs!$B$39="pvp",15,MAX(0.1,Skills!D8-IF(Skills!E8=TRUE,Inputs!$B$32,0))))))/Skills!H8,1)))/Inputs!$B$44),G78*Q78))*IF(Inputs!$B$39="pvp",1,1+(Inputs!$B$20+0+Skills!P8+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8*((R78-1)*IF(Skills!H8&gt;0,Skills!I8/Skills!H8,1)+IF(Skills!H8&gt;0,MIN(Skills!I8,MAX(0,MAX(0,Inputs!$B$44-B114)-((R78-1)*IF(Inputs!$B$39="pvp",15,MAX(0.1,Skills!D8-IF(Skills!E8=TRUE,Inputs!$B$32,0))))))/Skills!H8,1)))/Inputs!$B$44),G78*Q78))*IF(Inputs!$B$39="pvp",1,(1+(Inputs!$B$21+Skills!Q8+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Skills!A9</f>
        <v/>
      </c>
      <c r="B79">
        <f>Skills!B9</f>
        <v/>
      </c>
      <c r="C79">
        <f>Inputs!$B$3&gt;=117</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Skills!G9*IF(Skills!H9&gt;0,Skills!I9/Skills!H9,1)</f>
        <v/>
      </c>
      <c r="H79">
        <f>1-(1-Skills!J9/100)^Skills!K9</f>
        <v/>
      </c>
      <c r="I79" t="inlineStr">
        <is>
          <t>1</t>
        </is>
      </c>
      <c r="J79">
        <f>((Inputs!$B$6*(1+Inputs!$B$7/100))+((((Inputs!$B$12+1)*(1+Inputs!$B$13/100))-(Inputs!$B$12*(1+Inputs!$B$13/100)))+0.25*(Inputs!$B$14-Inputs!$B$14))*(1+Inputs!$B$7/100))*(F79/100)</f>
        <v/>
      </c>
      <c r="K79">
        <f>J79*(1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79)</f>
        <v/>
      </c>
      <c r="L79">
        <f>K79*(MIN(Inputs!$B$22+((C94=TRUE)*(F94-Calc!F24)),(Inputs!$B$23+((C99=TRUE)*(F99-Calc!F29))+IF(ArtifactsInput!$M$15,CHOOSE(ArtifactsInput!$N$15+1,25,30,35,40,45,50)/100*(Inputs!$B$11-Inputs!$B$11),0)))/100+(Inputs!$B$23+((C99=TRUE)*(F99-Calc!F29))+IF(ArtifactsInput!$M$15,CHOOSE(ArtifactsInput!$N$15+1,25,30,35,40,45,50)/100*(Inputs!$B$11-Inputs!$B$11),0))/100)/2</f>
        <v/>
      </c>
      <c r="M79">
        <f>L79*(1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
        <f>L79*(1-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IF(B115=0,0,O79/B115)</f>
        <v/>
      </c>
      <c r="Q79" t="n">
        <v>0</v>
      </c>
      <c r="R79" t="n">
        <v>0</v>
      </c>
      <c r="S79" t="n">
        <v>0</v>
      </c>
      <c r="T79">
        <f>IF(C79,(0.2*SUMPRODUCT((Skills!Z2:Z30=TRUE)*(C72:C100=TRUE)*S72:S100)*N79)*IF(Inputs!$B$39="pvp",1,1+(Inputs!$B$20+0+Skills!P9+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IF(C79,(0.2*SUMPRODUCT((Skills!Z2:Z30=TRUE)*(C72:C100=TRUE)*S72:S100)*N79)*IF(Inputs!$B$39="pvp",1,(1+(Inputs!$B$21+Skills!Q9+B104+(IF(ArtifactsInput!$M$33,CHOOSE(ArtifactsInput!$N$33+1,30,36,42,48,54,60),0))+(IF(AND(ArtifactsInput!$M$35,Inputs!$B$4&lt;&gt;"Chapter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Skills!A10</f>
        <v/>
      </c>
      <c r="B80">
        <f>Skills!B10</f>
        <v/>
      </c>
      <c r="C80">
        <f>Inputs!$B$3&gt;=74</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Skills!G10*IF(Skills!H10&gt;0,Skills!I10/Skills!H10,1)</f>
        <v/>
      </c>
      <c r="H80">
        <f>1-(1-Skills!J10/100)^Skills!K10</f>
        <v/>
      </c>
      <c r="I80" t="inlineStr">
        <is>
          <t>1</t>
        </is>
      </c>
      <c r="J80" t="inlineStr"/>
      <c r="K80" t="inlineStr"/>
      <c r="L80" t="inlineStr"/>
      <c r="M80" t="inlineStr"/>
      <c r="N80" t="inlineStr"/>
      <c r="O80">
        <f>(1-Summary!$B$11)*T80+Summary!$B$11*V80</f>
        <v/>
      </c>
      <c r="P80">
        <f>IF(B115=0,0,O80/B115)</f>
        <v/>
      </c>
      <c r="Q80">
        <f>IFERROR(1/IF(Inputs!$B$39="pvp",15,MAX(0.1,Skills!D10-IF(Skills!E10=TRUE,Inputs!$B$32,0))),0)</f>
        <v/>
      </c>
      <c r="R80">
        <f>IF(AND(Inputs!$B$39&lt;&gt;"pvp",Inputs!$B$44&gt;0),IF(Inputs!$B$44&lt;=0,0,(INT(Inputs!$B$44/IF(Inputs!$B$39="pvp",15,MAX(0.1,Skills!D10-IF(Skills!E10=TRUE,Inputs!$B$32,0))))+1)),0)</f>
        <v/>
      </c>
      <c r="S80">
        <f>IFERROR(O80/N80,0)</f>
        <v/>
      </c>
      <c r="T80" t="n">
        <v>0</v>
      </c>
      <c r="V80" t="n">
        <v>0</v>
      </c>
    </row>
    <row r="81">
      <c r="A81">
        <f>Skills!A11</f>
        <v/>
      </c>
      <c r="B81">
        <f>Skills!B11</f>
        <v/>
      </c>
      <c r="C81">
        <f>Inputs!$B$3&gt;=103</f>
        <v/>
      </c>
      <c r="D81">
        <f>IF(Skills!C11=1,60+Inputs!$B$25+Inputs!$B$29,IF(Skills!C11=2,90+Inputs!$B$26+Inputs!$B$29,IF(Skills!C11=3,120+Inputs!$B$27+Inputs!$B$29,MAX(0,(Inputs!$B$3-100)*3)+Inputs!$B$28+Inputs!$B$29)))</f>
        <v/>
      </c>
      <c r="E81">
        <f>INDEX(FactorTable!$B$2:$Y$301, MATCH(ROUND(MIN(300,MAX(1,D81)),0), FactorTable!$A$2:$A$301,0), Skills!M11+1)</f>
        <v/>
      </c>
      <c r="F81">
        <f>(Skills!L11/10)*(E81/1000)+IF(Inputs!$B$3&gt;=134,50,0)+0.5*(30000/10)*(INDEX(FactorTable!$B$2:$Y$301, MATCH(ROUND(MIN(300,MAX(1,D81)),0), FactorTable!$A$2:$A$301,0), 13)/1000)*B113</f>
        <v/>
      </c>
      <c r="G81">
        <f>Skills!G11*IF(Skills!H11&gt;0,Skills!I11/Skills!H11,1)</f>
        <v/>
      </c>
      <c r="H81">
        <f>1-(1-Skills!J11/100)^Skills!K11</f>
        <v/>
      </c>
      <c r="I81" t="inlineStr">
        <is>
          <t>1</t>
        </is>
      </c>
      <c r="J81">
        <f>((Inputs!$B$6*(1+Inputs!$B$7/100))+((((Inputs!$B$12+1)*(1+Inputs!$B$13/100))-(Inputs!$B$12*(1+Inputs!$B$13/100)))+0.25*(Inputs!$B$14-Inputs!$B$14))*(1+Inputs!$B$7/100))*(F81/100)</f>
        <v/>
      </c>
      <c r="K81">
        <f>J81*(1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81)</f>
        <v/>
      </c>
      <c r="L81">
        <f>K81*(MIN(Inputs!$B$22+((C94=TRUE)*(F94-Calc!F24)),(Inputs!$B$23+((C99=TRUE)*(F99-Calc!F29))+IF(ArtifactsInput!$M$15,CHOOSE(ArtifactsInput!$N$15+1,25,30,35,40,45,50)/100*(Inputs!$B$11-Inputs!$B$11),0)))/100+(Inputs!$B$23+((C99=TRUE)*(F99-Calc!F29))+IF(ArtifactsInput!$M$15,CHOOSE(ArtifactsInput!$N$15+1,25,30,35,40,45,50)/100*(Inputs!$B$11-Inputs!$B$11),0))/100)/2</f>
        <v/>
      </c>
      <c r="M81">
        <f>L81*(1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IF(B115=0,0,O81/B115)</f>
        <v/>
      </c>
      <c r="Q81">
        <f>IFERROR(1/IF(Inputs!$B$39="pvp",15,MAX(0.1,Skills!D11-IF(Skills!E11=TRUE,Inputs!$B$32,0))),0)</f>
        <v/>
      </c>
      <c r="R81">
        <f>IF(AND(Inputs!$B$39&lt;&gt;"pvp",Inputs!$B$44&gt;0),IF(MAX(0,Inputs!$B$44-B114)&lt;=0,0,(INT(MAX(0,Inputs!$B$44-B114)/IF(Inputs!$B$39="pvp",15,MAX(0.1,Skills!D11-IF(Skills!E11=TRUE,Inputs!$B$32,0))))+1)),0)</f>
        <v/>
      </c>
      <c r="S81">
        <f>IFERROR(O81/N81,0)</f>
        <v/>
      </c>
      <c r="T81">
        <f>IF(C81,(H81*N81*IF(AND(Inputs!$B$39&lt;&gt;"pvp",Inputs!$B$44&gt;0),((Skills!G11*((R81-1)*IF(Skills!H11&gt;0,Skills!I11/Skills!H11,1)+IF(Skills!H11&gt;0,MIN(Skills!I11,MAX(0,MAX(0,Inputs!$B$44-B114)-((R81-1)*IF(Inputs!$B$39="pvp",15,MAX(0.1,Skills!D11-IF(Skills!E11=TRUE,Inputs!$B$32,0))))))/Skills!H11,1)))/Inputs!$B$44),G81*Q81))*IF(Inputs!$B$39="pvp",1,1+(Inputs!$B$20+0+Skills!P11+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81*(1-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11*((R81-1)*IF(Skills!H11&gt;0,Skills!I11/Skills!H11,1)+IF(Skills!H11&gt;0,MIN(Skills!I11,MAX(0,MAX(0,Inputs!$B$44-B114)-((R81-1)*IF(Inputs!$B$39="pvp",15,MAX(0.1,Skills!D11-IF(Skills!E11=TRUE,Inputs!$B$32,0))))))/Skills!H11,1)))/Inputs!$B$44),G81*Q81))*IF(Inputs!$B$39="pvp",1,(1+(Inputs!$B$21+Skills!Q11+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Skills!A12</f>
        <v/>
      </c>
      <c r="B82">
        <f>Skills!B12</f>
        <v/>
      </c>
      <c r="C82">
        <f>Inputs!$B$3&gt;=105</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Skills!G12*IF(Skills!H12&gt;0,Skills!I12/Skills!H12,1)</f>
        <v/>
      </c>
      <c r="H82">
        <f>1-(1-Skills!J12/100)^Skills!K12</f>
        <v/>
      </c>
      <c r="I82" t="inlineStr">
        <is>
          <t>1</t>
        </is>
      </c>
      <c r="J82">
        <f>((Inputs!$B$6*(1+Inputs!$B$7/100))+((((Inputs!$B$12+1)*(1+Inputs!$B$13/100))-(Inputs!$B$12*(1+Inputs!$B$13/100)))+0.25*(Inputs!$B$14-Inputs!$B$14))*(1+Inputs!$B$7/100))*(F82/100)</f>
        <v/>
      </c>
      <c r="K82">
        <f>J82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82)</f>
        <v/>
      </c>
      <c r="L82">
        <f>K82*(MIN(Inputs!$B$22+((C94=TRUE)*(F94-Calc!F24)),(Inputs!$B$23+((C99=TRUE)*(F99-Calc!F29))+IF(ArtifactsInput!$M$15,CHOOSE(ArtifactsInput!$N$15+1,25,30,35,40,45,50)/100*(Inputs!$B$11-Inputs!$B$11),0)))/100+(Inputs!$B$23+((C99=TRUE)*(F99-Calc!F29))+IF(ArtifactsInput!$M$15,CHOOSE(ArtifactsInput!$N$15+1,25,30,35,40,45,50)/100*(Inputs!$B$11-Inputs!$B$11),0))/100)/2</f>
        <v/>
      </c>
      <c r="M82">
        <f>L82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IF(B115=0,0,O82/B115)</f>
        <v/>
      </c>
      <c r="Q82">
        <f>IFERROR(1/IF(Inputs!$B$39="pvp",15,MAX(0.1,Skills!D12-IF(Skills!E12=TRUE,Inputs!$B$32,0))),0)</f>
        <v/>
      </c>
      <c r="R82">
        <f>IF(AND(Inputs!$B$39&lt;&gt;"pvp",Inputs!$B$44&gt;0),IF(MAX(0,Inputs!$B$44-B114)&lt;=0,0,(INT(MAX(0,Inputs!$B$44-B114)/IF(Inputs!$B$39="pvp",15,MAX(0.1,Skills!D12-IF(Skills!E12=TRUE,Inputs!$B$32,0))))+1)),0)</f>
        <v/>
      </c>
      <c r="S82">
        <f>IFERROR(O82/N82,0)</f>
        <v/>
      </c>
      <c r="T82">
        <f>IF(C82,(H82*N82*IF(AND(Inputs!$B$39&lt;&gt;"pvp",Inputs!$B$44&gt;0),((Skills!G12*((R82-1)*IF(Skills!H12&gt;0,Skills!I12/Skills!H12,1)+IF(Skills!H12&gt;0,MIN(Skills!I12,MAX(0,MAX(0,Inputs!$B$44-B114)-((R82-1)*IF(Inputs!$B$39="pvp",15,MAX(0.1,Skills!D12-IF(Skills!E12=TRUE,Inputs!$B$32,0))))))/Skills!H12,1)))/Inputs!$B$44),G82*Q82))*IF(Inputs!$B$39="pvp",1,1+(Inputs!$B$20+0+Skills!P12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12*((R82-1)*IF(Skills!H12&gt;0,Skills!I12/Skills!H12,1)+IF(Skills!H12&gt;0,MIN(Skills!I12,MAX(0,MAX(0,Inputs!$B$44-B114)-((R82-1)*IF(Inputs!$B$39="pvp",15,MAX(0.1,Skills!D12-IF(Skills!E12=TRUE,Inputs!$B$32,0))))))/Skills!H12,1)))/Inputs!$B$44),G82*Q82))*IF(Inputs!$B$39="pvp",1,(1+(Inputs!$B$21+Skills!Q12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Skills!G13*IF(Skills!H13&gt;0,Skills!I13/Skills!H13,1)</f>
        <v/>
      </c>
      <c r="H83">
        <f>1-(1-Skills!J13/100)^Skills!K13</f>
        <v/>
      </c>
      <c r="I83" t="inlineStr">
        <is>
          <t>1</t>
        </is>
      </c>
      <c r="J83">
        <f>((Inputs!$B$6*(1+Inputs!$B$7/100))+((((Inputs!$B$12+1)*(1+Inputs!$B$13/100))-(Inputs!$B$12*(1+Inputs!$B$13/100)))+0.25*(Inputs!$B$14-Inputs!$B$14))*(1+Inputs!$B$7/100))*(F83/100)</f>
        <v/>
      </c>
      <c r="K83">
        <f>J83*(1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83)</f>
        <v/>
      </c>
      <c r="L83">
        <f>K83*(MIN(Inputs!$B$22+((C94=TRUE)*(F94-Calc!F24)),(Inputs!$B$23+((C99=TRUE)*(F99-Calc!F29))+IF(ArtifactsInput!$M$15,CHOOSE(ArtifactsInput!$N$15+1,25,30,35,40,45,50)/100*(Inputs!$B$11-Inputs!$B$11),0)))/100+(Inputs!$B$23+((C99=TRUE)*(F99-Calc!F29))+IF(ArtifactsInput!$M$15,CHOOSE(ArtifactsInput!$N$15+1,25,30,35,40,45,50)/100*(Inputs!$B$11-Inputs!$B$11),0))/100)/2</f>
        <v/>
      </c>
      <c r="M83">
        <f>L83*(1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
        <f>L83*(1-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IF(B115=0,0,O83/B115)</f>
        <v/>
      </c>
      <c r="Q83">
        <f>IFERROR(1/IF(Inputs!$B$39="pvp",15,MAX(0.1,Skills!D13-IF(Skills!E13=TRUE,Inputs!$B$32,0))),0)</f>
        <v/>
      </c>
      <c r="R83">
        <f>IF(AND(Inputs!$B$39&lt;&gt;"pvp",Inputs!$B$44&gt;0),IF(MAX(0,Inputs!$B$44-B114)&lt;=0,0,(INT(MAX(0,Inputs!$B$44-B114)/IF(Inputs!$B$39="pvp",15,MAX(0.1,Skills!D13-IF(Skills!E13=TRUE,Inputs!$B$32,0))))+1)),0)</f>
        <v/>
      </c>
      <c r="S83">
        <f>IFERROR(O83/N83,0)</f>
        <v/>
      </c>
      <c r="T83">
        <f>IF(C83,(H83*N83*IF(AND(Inputs!$B$39&lt;&gt;"pvp",Inputs!$B$44&gt;0),((Skills!G13*((R83-1)*IF(Skills!H13&gt;0,Skills!I13/Skills!H13,1)+IF(Skills!H13&gt;0,MIN(Skills!I13,MAX(0,MAX(0,Inputs!$B$44-B114)-((R83-1)*IF(Inputs!$B$39="pvp",15,MAX(0.1,Skills!D13-IF(Skills!E13=TRUE,Inputs!$B$32,0))))))/Skills!H13,1)))/Inputs!$B$44),G83*Q83))*IF(Inputs!$B$39="pvp",1,1+(Inputs!$B$20+0+Skills!P13+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13*((R83-1)*IF(Skills!H13&gt;0,Skills!I13/Skills!H13,1)+IF(Skills!H13&gt;0,MIN(Skills!I13,MAX(0,MAX(0,Inputs!$B$44-B114)-((R83-1)*IF(Inputs!$B$39="pvp",15,MAX(0.1,Skills!D13-IF(Skills!E13=TRUE,Inputs!$B$32,0))))))/Skills!H13,1)))/Inputs!$B$44),G83*Q83))*IF(Inputs!$B$39="pvp",1,(1+(Inputs!$B$21+Skills!Q13+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Skills!A14</f>
        <v/>
      </c>
      <c r="B84">
        <f>Skills!B14</f>
        <v/>
      </c>
      <c r="C84">
        <f>Inputs!$B$3&gt;=107</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Skills!G14*IF(Skills!H14&gt;0,Skills!I14/Skills!H14,1)</f>
        <v/>
      </c>
      <c r="H84">
        <f>1-(1-Skills!J14/100)^Skills!K14</f>
        <v/>
      </c>
      <c r="I84" t="inlineStr">
        <is>
          <t>1</t>
        </is>
      </c>
      <c r="J84">
        <f>((Inputs!$B$6*(1+Inputs!$B$7/100))+((((Inputs!$B$12+1)*(1+Inputs!$B$13/100))-(Inputs!$B$12*(1+Inputs!$B$13/100)))+0.25*(Inputs!$B$14-Inputs!$B$14))*(1+Inputs!$B$7/100))*(F84/100)</f>
        <v/>
      </c>
      <c r="K84">
        <f>J84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84)</f>
        <v/>
      </c>
      <c r="L84">
        <f>K84*(MIN(Inputs!$B$22+((C94=TRUE)*(F94-Calc!F24)),(Inputs!$B$23+((C99=TRUE)*(F99-Calc!F29))+IF(ArtifactsInput!$M$15,CHOOSE(ArtifactsInput!$N$15+1,25,30,35,40,45,50)/100*(Inputs!$B$11-Inputs!$B$11),0)))/100+(Inputs!$B$23+((C99=TRUE)*(F99-Calc!F29))+IF(ArtifactsInput!$M$15,CHOOSE(ArtifactsInput!$N$15+1,25,30,35,40,45,50)/100*(Inputs!$B$11-Inputs!$B$11),0))/100)/2</f>
        <v/>
      </c>
      <c r="M84">
        <f>L84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IF(B115=0,0,O84/B115)</f>
        <v/>
      </c>
      <c r="Q84">
        <f>IFERROR(1/IF(Inputs!$B$39="pvp",15,MAX(0.1,Skills!D14-IF(Skills!E14=TRUE,Inputs!$B$32,0))),0)</f>
        <v/>
      </c>
      <c r="R84">
        <f>IF(AND(Inputs!$B$39&lt;&gt;"pvp",Inputs!$B$44&gt;0),IF(MAX(0,Inputs!$B$44-B114)&lt;=0,0,(INT(MAX(0,Inputs!$B$44-B114)/IF(Inputs!$B$39="pvp",15,MAX(0.1,Skills!D14-IF(Skills!E14=TRUE,Inputs!$B$32,0))))+1)),0)</f>
        <v/>
      </c>
      <c r="S84">
        <f>IFERROR(O84/N84,0)</f>
        <v/>
      </c>
      <c r="T84">
        <f>IF(C84,(H84*N84*IF(AND(Inputs!$B$39&lt;&gt;"pvp",Inputs!$B$44&gt;0),((Skills!G14*((R84-1)*IF(Skills!H14&gt;0,Skills!I14/Skills!H14,1)+IF(Skills!H14&gt;0,MIN(Skills!I14,MAX(0,MAX(0,Inputs!$B$44-B114)-((R84-1)*IF(Inputs!$B$39="pvp",15,MAX(0.1,Skills!D14-IF(Skills!E14=TRUE,Inputs!$B$32,0))))))/Skills!H14,1)))/Inputs!$B$44),G84*Q84))*IF(Inputs!$B$39="pvp",1,1+(Inputs!$B$20+0+Skills!P14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14*((R84-1)*IF(Skills!H14&gt;0,Skills!I14/Skills!H14,1)+IF(Skills!H14&gt;0,MIN(Skills!I14,MAX(0,MAX(0,Inputs!$B$44-B114)-((R84-1)*IF(Inputs!$B$39="pvp",15,MAX(0.1,Skills!D14-IF(Skills!E14=TRUE,Inputs!$B$32,0))))))/Skills!H14,1)))/Inputs!$B$44),G84*Q84))*IF(Inputs!$B$39="pvp",1,(1+(Inputs!$B$21+Skills!Q14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(5,0.25*B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Skills!A15</f>
        <v/>
      </c>
      <c r="B85">
        <f>Skills!B15</f>
        <v/>
      </c>
      <c r="C85">
        <f>Inputs!$B$3&gt;=110</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Skills!G15*IF(Skills!H15&gt;0,Skills!I15/Skills!H15,1)</f>
        <v/>
      </c>
      <c r="H85">
        <f>1-(1-Skills!J15/100)^Skills!K15</f>
        <v/>
      </c>
      <c r="I85" t="inlineStr">
        <is>
          <t>1</t>
        </is>
      </c>
      <c r="J85" t="inlineStr"/>
      <c r="K85" t="inlineStr"/>
      <c r="L85" t="inlineStr"/>
      <c r="M85" t="inlineStr"/>
      <c r="N85" t="inlineStr"/>
      <c r="O85">
        <f>(1-Summary!$B$11)*T85+Summary!$B$11*V85</f>
        <v/>
      </c>
      <c r="P85">
        <f>IF(B115=0,0,O85/B115)</f>
        <v/>
      </c>
      <c r="Q85">
        <f>IFERROR(1/IF(Inputs!$B$39="pvp",15,MAX(0.1,Skills!D15-IF(Skills!E15=TRUE,Inputs!$B$32,0))),0)</f>
        <v/>
      </c>
      <c r="R85">
        <f>IF(AND(Inputs!$B$39&lt;&gt;"pvp",Inputs!$B$44&gt;0),IF(Inputs!$B$44&lt;=0,0,(INT(Inputs!$B$44/IF(Inputs!$B$39="pvp",15,MAX(0.1,Skills!D15-IF(Skills!E15=TRUE,Inputs!$B$32,0))))+1)),0)</f>
        <v/>
      </c>
      <c r="S85">
        <f>IFERROR(O85/N85,0)</f>
        <v/>
      </c>
      <c r="T85" t="n">
        <v>0</v>
      </c>
      <c r="V85" t="n">
        <v>0</v>
      </c>
    </row>
    <row r="86">
      <c r="A86">
        <f>Skills!A16</f>
        <v/>
      </c>
      <c r="B86">
        <f>Skills!B16</f>
        <v/>
      </c>
      <c r="C86">
        <f>Inputs!$B$3&gt;=115</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Skills!G16*IF(Skills!H16&gt;0,Skills!I16/Skills!H16,1)</f>
        <v/>
      </c>
      <c r="H86">
        <f>1-(1-Skills!J16/100)^Skills!K16</f>
        <v/>
      </c>
      <c r="I86" t="inlineStr">
        <is>
          <t>1</t>
        </is>
      </c>
      <c r="J86">
        <f>((Inputs!$B$6*(1+Inputs!$B$7/100))+((((Inputs!$B$12+1)*(1+Inputs!$B$13/100))-(Inputs!$B$12*(1+Inputs!$B$13/100)))+0.25*(Inputs!$B$14-Inputs!$B$14))*(1+Inputs!$B$7/100))*(F86/100)</f>
        <v/>
      </c>
      <c r="K86">
        <f>J86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97=TRUE)*(F97-Calc!F27))+((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86)</f>
        <v/>
      </c>
      <c r="L86">
        <f>K86*(MIN(Inputs!$B$22+((C94=TRUE)*(F94-Calc!F24)),(Inputs!$B$23+((C99=TRUE)*(F99-Calc!F29))+IF(ArtifactsInput!$M$15,CHOOSE(ArtifactsInput!$N$15+1,25,30,35,40,45,50)/100*(Inputs!$B$11-Inputs!$B$11),0)))/100+(Inputs!$B$23+((C99=TRUE)*(F99-Calc!F29))+IF(ArtifactsInput!$M$15,CHOOSE(ArtifactsInput!$N$15+1,25,30,35,40,45,50)/100*(Inputs!$B$11-Inputs!$B$11),0))/100)/2</f>
        <v/>
      </c>
      <c r="M86">
        <f>L86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IF(B115=0,0,O86/B115)</f>
        <v/>
      </c>
      <c r="Q86" t="n">
        <v>0</v>
      </c>
      <c r="R86" t="n">
        <v>0</v>
      </c>
      <c r="S86">
        <f>IFERROR(O86/N86,0)</f>
        <v/>
      </c>
      <c r="T86">
        <f>IF(C86,(Inputs!$B$38*0.2*N86)*IF(Inputs!$B$39="pvp",1,1+(Inputs!$B$20+0+Skills!P16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86*(1-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95=TRUE)*(F95-Calc!F25))+B103+(ArtifactsInput!$M$24-ArtifactsInput!$M$24)*CHOOSE(ArtifactsInput!$N$24+1,10,12,14,16,18,20)+(IF(AND(Inputs!$B$39&lt;&gt;"pvp",Inputs!$B$44=0),1,IF(IF(Inputs!$B$39="pvp",15,Inputs!$B$44)-(B114)&lt;=0,1,MAX(0,IF(Inputs!$B$39="pvp",15,Inputs!$B$44)-MAX(5,B114))/(IF(Inputs!$B$39="pvp",15,Inputs!$B$44)-(B114))))*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IF(C86,(Inputs!$B$38*0.2*N86)*IF(Inputs!$B$39="pvp",1,(1+(Inputs!$B$21+Skills!Q16+B104+(IF(ArtifactsInput!$M$33,CHOOSE(ArtifactsInput!$N$33+1,30,36,42,48,54,60),0))+(IF(AND(ArtifactsInput!$M$35,Inputs!$B$4&lt;&gt;"Chapter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Skills!A17</f>
        <v/>
      </c>
      <c r="B87">
        <f>Skills!B17</f>
        <v/>
      </c>
      <c r="C87">
        <f>Inputs!$B$3&gt;=115</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Skills!G17*IF(Skills!H17&gt;0,Skills!I17/Skills!H17,1)</f>
        <v/>
      </c>
      <c r="H87">
        <f>1-(1-Skills!J17/100)^Skills!K17</f>
        <v/>
      </c>
      <c r="I87" t="inlineStr">
        <is>
          <t>1</t>
        </is>
      </c>
      <c r="J87" t="inlineStr"/>
      <c r="K87" t="inlineStr"/>
      <c r="L87" t="inlineStr"/>
      <c r="M87" t="inlineStr"/>
      <c r="N87" t="inlineStr"/>
      <c r="O87">
        <f>(1-Summary!$B$11)*T87+Summary!$B$11*V87</f>
        <v/>
      </c>
      <c r="P87">
        <f>IF(B115=0,0,O87/B115)</f>
        <v/>
      </c>
      <c r="Q87" t="n">
        <v>0</v>
      </c>
      <c r="R87" t="n">
        <v>0</v>
      </c>
      <c r="S87">
        <f>IFERROR(O87/N87,0)</f>
        <v/>
      </c>
      <c r="T87" t="n">
        <v>0</v>
      </c>
      <c r="V87" t="n">
        <v>0</v>
      </c>
    </row>
    <row r="88">
      <c r="A88">
        <f>Skills!A18</f>
        <v/>
      </c>
      <c r="B88">
        <f>Skills!B18</f>
        <v/>
      </c>
      <c r="C88">
        <f>Inputs!$B$3&gt;=100</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Skills!G18*IF(Skills!H18&gt;0,Skills!I18/Skills!H18,1)</f>
        <v/>
      </c>
      <c r="H88">
        <f>1-(1-Skills!J18/100)^Skills!K18</f>
        <v/>
      </c>
      <c r="I88" t="inlineStr">
        <is>
          <t>1</t>
        </is>
      </c>
      <c r="J88" t="inlineStr"/>
      <c r="K88" t="inlineStr"/>
      <c r="L88" t="inlineStr"/>
      <c r="M88" t="inlineStr"/>
      <c r="N88" t="inlineStr"/>
      <c r="O88">
        <f>(1-Summary!$B$11)*T88+Summary!$B$11*V88</f>
        <v/>
      </c>
      <c r="P88">
        <f>IF(B115=0,0,O88/B115)</f>
        <v/>
      </c>
      <c r="Q88" t="n">
        <v>0</v>
      </c>
      <c r="R88" t="n">
        <v>0</v>
      </c>
      <c r="S88">
        <f>IFERROR(O88/N88,0)</f>
        <v/>
      </c>
      <c r="T88" t="n">
        <v>0</v>
      </c>
      <c r="V88" t="n">
        <v>0</v>
      </c>
    </row>
    <row r="89">
      <c r="A89">
        <f>Skills!A19</f>
        <v/>
      </c>
      <c r="B89">
        <f>Skills!B19</f>
        <v/>
      </c>
      <c r="C89">
        <f>TRUE</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Skills!G19*IF(Skills!H19&gt;0,Skills!I19/Skills!H19,1)</f>
        <v/>
      </c>
      <c r="H89">
        <f>1-(1-Skills!J19/100)^Skills!K19</f>
        <v/>
      </c>
      <c r="I89" t="inlineStr">
        <is>
          <t>1</t>
        </is>
      </c>
      <c r="J89" t="inlineStr"/>
      <c r="K89" t="inlineStr"/>
      <c r="L89" t="inlineStr"/>
      <c r="M89" t="inlineStr"/>
      <c r="N89" t="inlineStr"/>
      <c r="O89">
        <f>(1-Summary!$B$11)*T89+Summary!$B$11*V89</f>
        <v/>
      </c>
      <c r="P89">
        <f>IF(B115=0,0,O89/B115)</f>
        <v/>
      </c>
      <c r="Q89">
        <f>IFERROR(1/IF(Inputs!$B$39="pvp",15,MAX(0.1,Skills!D19-IF(Skills!E19=TRUE,Inputs!$B$32,0))),0)</f>
        <v/>
      </c>
      <c r="R89">
        <f>IF(AND(Inputs!$B$39&lt;&gt;"pvp",Inputs!$B$44&gt;0),IF(Inputs!$B$44&lt;=0,0,(INT(Inputs!$B$44/IF(Inputs!$B$39="pvp",15,MAX(0.1,Skills!D19-IF(Skills!E19=TRUE,Inputs!$B$32,0))))+1)),0)</f>
        <v/>
      </c>
      <c r="S89">
        <f>IFERROR(O89/N89,0)</f>
        <v/>
      </c>
      <c r="T89" t="n">
        <v>0</v>
      </c>
      <c r="V89" t="n">
        <v>0</v>
      </c>
    </row>
    <row r="90">
      <c r="A90">
        <f>Skills!A20</f>
        <v/>
      </c>
      <c r="B90">
        <f>Skills!B20</f>
        <v/>
      </c>
      <c r="C90">
        <f>Inputs!$B$3&gt;=15</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Skills!G20*IF(Skills!H20&gt;0,Skills!I20/Skills!H20,1)</f>
        <v/>
      </c>
      <c r="H90">
        <f>1-(1-Skills!J20/100)^Skills!K20</f>
        <v/>
      </c>
      <c r="I90" t="inlineStr">
        <is>
          <t>1</t>
        </is>
      </c>
      <c r="J90" t="inlineStr"/>
      <c r="K90" t="inlineStr"/>
      <c r="L90" t="inlineStr"/>
      <c r="M90" t="inlineStr"/>
      <c r="N90" t="inlineStr"/>
      <c r="O90">
        <f>(1-Summary!$B$11)*T90+Summary!$B$11*V90</f>
        <v/>
      </c>
      <c r="P90">
        <f>IF(B115=0,0,O90/B115)</f>
        <v/>
      </c>
      <c r="Q90">
        <f>IFERROR(1/IF(Inputs!$B$39="pvp",15,MAX(0.1,Skills!D20-IF(Skills!E20=TRUE,Inputs!$B$32,0))),0)</f>
        <v/>
      </c>
      <c r="R90">
        <f>IF(AND(Inputs!$B$39&lt;&gt;"pvp",Inputs!$B$44&gt;0),IF(Inputs!$B$44&lt;=0,0,(INT(Inputs!$B$44/IF(Inputs!$B$39="pvp",15,MAX(0.1,Skills!D20-IF(Skills!E20=TRUE,Inputs!$B$32,0))))+1)),0)</f>
        <v/>
      </c>
      <c r="S90">
        <f>IFERROR(O90/N90,0)</f>
        <v/>
      </c>
      <c r="T90" t="n">
        <v>0</v>
      </c>
      <c r="V90" t="n">
        <v>0</v>
      </c>
    </row>
    <row r="91">
      <c r="A91">
        <f>Skills!A21</f>
        <v/>
      </c>
      <c r="B91">
        <f>Skills!B21</f>
        <v/>
      </c>
      <c r="C91">
        <f>Inputs!$B$3&gt;=15</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Skills!G21*IF(Skills!H21&gt;0,Skills!I21/Skills!H21,1)</f>
        <v/>
      </c>
      <c r="H91">
        <f>1-(1-Skills!J21/100)^Skills!K21</f>
        <v/>
      </c>
      <c r="I91" t="inlineStr">
        <is>
          <t>1</t>
        </is>
      </c>
      <c r="J91" t="inlineStr"/>
      <c r="K91" t="inlineStr"/>
      <c r="L91" t="inlineStr"/>
      <c r="M91" t="inlineStr"/>
      <c r="N91" t="inlineStr"/>
      <c r="O91">
        <f>(1-Summary!$B$11)*T91+Summary!$B$11*V91</f>
        <v/>
      </c>
      <c r="P91">
        <f>IF(B115=0,0,O91/B115)</f>
        <v/>
      </c>
      <c r="Q91">
        <f>IFERROR(1/IF(Inputs!$B$39="pvp",15,MAX(0.1,Skills!D21-IF(Skills!E21=TRUE,Inputs!$B$32,0))),0)</f>
        <v/>
      </c>
      <c r="R91">
        <f>IF(AND(Inputs!$B$39&lt;&gt;"pvp",Inputs!$B$44&gt;0),IF(Inputs!$B$44&lt;=0,0,(INT(Inputs!$B$44/IF(Inputs!$B$39="pvp",15,MAX(0.1,Skills!D21-IF(Skills!E21=TRUE,Inputs!$B$32,0))))+1)),0)</f>
        <v/>
      </c>
      <c r="S91">
        <f>IFERROR(O91/N91,0)</f>
        <v/>
      </c>
      <c r="T91" t="n">
        <v>0</v>
      </c>
      <c r="V91" t="n">
        <v>0</v>
      </c>
    </row>
    <row r="92">
      <c r="A92">
        <f>Skills!A22</f>
        <v/>
      </c>
      <c r="B92">
        <f>Skills!B22</f>
        <v/>
      </c>
      <c r="C92">
        <f>Inputs!$B$3&gt;=33</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Skills!G22*IF(Skills!H22&gt;0,Skills!I22/Skills!H22,1)</f>
        <v/>
      </c>
      <c r="H92">
        <f>1-(1-Skills!J22/100)^Skills!K22</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Skills!A23</f>
        <v/>
      </c>
      <c r="B93">
        <f>Skills!B23</f>
        <v/>
      </c>
      <c r="C93">
        <f>Inputs!$B$3&gt;=40</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Skills!G23*IF(Skills!H23&gt;0,Skills!I23/Skills!H23,1)</f>
        <v/>
      </c>
      <c r="H93">
        <f>1-(1-Skills!J23/100)^Skills!K23</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Skills!A24</f>
        <v/>
      </c>
      <c r="B94">
        <f>Skills!B24</f>
        <v/>
      </c>
      <c r="C94">
        <f>Inputs!$B$3&gt;=43</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Skills!G24*IF(Skills!H24&gt;0,Skills!I24/Skills!H24,1)</f>
        <v/>
      </c>
      <c r="H94">
        <f>1-(1-Skills!J24/100)^Skills!K24</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Skills!A25</f>
        <v/>
      </c>
      <c r="B95">
        <f>Skills!B25</f>
        <v/>
      </c>
      <c r="C95">
        <f>Inputs!$B$3&gt;=50</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Skills!G25*IF(Skills!H25&gt;0,Skills!I25/Skills!H25,1)</f>
        <v/>
      </c>
      <c r="H95">
        <f>1-(1-Skills!J25/100)^Skills!K25</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Skills!A26</f>
        <v/>
      </c>
      <c r="B96">
        <f>Skills!B26</f>
        <v/>
      </c>
      <c r="C96">
        <f>Inputs!$B$3&gt;=50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Skills!G26*IF(Skills!H26&gt;0,Skills!I26/Skills!H26,1)</f>
        <v/>
      </c>
      <c r="H96">
        <f>1-(1-Skills!J26/100)^Skills!K26</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Skills!A27</f>
        <v/>
      </c>
      <c r="B97">
        <f>Skills!B27</f>
        <v/>
      </c>
      <c r="C97">
        <f>Inputs!$B$3&gt;=38</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Skills!G27*IF(Skills!H27&gt;0,Skills!I27/Skills!H27,1)</f>
        <v/>
      </c>
      <c r="H97">
        <f>1-(1-Skills!J27/100)^Skills!K27</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Skills!A28</f>
        <v/>
      </c>
      <c r="B98">
        <f>Skills!B28</f>
        <v/>
      </c>
      <c r="C98">
        <f>Inputs!$B$3&gt;=120</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Skills!G28*IF(Skills!H28&gt;0,Skills!I28/Skills!H28,1)</f>
        <v/>
      </c>
      <c r="H98">
        <f>1-(1-Skills!J28/100)^Skills!K28</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Skills!A29</f>
        <v/>
      </c>
      <c r="B99">
        <f>Skills!B29</f>
        <v/>
      </c>
      <c r="C99">
        <f>Inputs!$B$3&gt;=120</f>
        <v/>
      </c>
      <c r="D99">
        <f>IF(Skills!C29=1,60+Inputs!$B$25+Inputs!$B$29,IF(Skills!C29=2,90+Inputs!$B$26+Inputs!$B$29,IF(Skills!C29=3,120+Inputs!$B$27+Inputs!$B$29,MAX(0,(Inputs!$B$3-100)*3)+Inputs!$B$28+Inputs!$B$29)))</f>
        <v/>
      </c>
      <c r="E99">
        <f>INDEX(FactorTable!$B$2:$Y$301, MATCH(ROUND(MIN(300,MAX(1,D99)),0), FactorTable!$A$2:$A$301,0), Skills!M29+1)</f>
        <v/>
      </c>
      <c r="F99">
        <f>IF(Skills!N29=TRUE,(Skills!L29/10)*(E99/1000),Skills!L29/10)+Skills!O29</f>
        <v/>
      </c>
      <c r="G99">
        <f>Skills!G29*IF(Skills!H29&gt;0,Skills!I29/Skills!H29,1)</f>
        <v/>
      </c>
      <c r="H99">
        <f>1-(1-Skills!J29/100)^Skills!K29</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Skills!A30</f>
        <v/>
      </c>
      <c r="B100">
        <f>Skills!B30</f>
        <v/>
      </c>
      <c r="C100">
        <f>Inputs!$B$3&gt;=125</f>
        <v/>
      </c>
      <c r="D100">
        <f>IF(Skills!C30=1,60+Inputs!$B$25+Inputs!$B$29,IF(Skills!C30=2,90+Inputs!$B$26+Inputs!$B$29,IF(Skills!C30=3,120+Inputs!$B$27+Inputs!$B$29,MAX(0,(Inputs!$B$3-100)*3)+Inputs!$B$28+Inputs!$B$29)))</f>
        <v/>
      </c>
      <c r="E100">
        <f>INDEX(FactorTable!$B$2:$Y$301, MATCH(ROUND(MIN(300,MAX(1,D100)),0), FactorTable!$A$2:$A$301,0), Skills!M30+1)</f>
        <v/>
      </c>
      <c r="F100">
        <f>IF(Skills!N30=TRUE,(Skills!L30/10)*(E100/1000),Skills!L30/10)+Skills!O30</f>
        <v/>
      </c>
      <c r="G100">
        <f>Skills!G30*IF(Skills!H30&gt;0,Skills!I30/Skills!H30,1)</f>
        <v/>
      </c>
      <c r="H100">
        <f>1-(1-Skills!J30/100)^Skills!K30</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2">
      <c r="A102" t="inlineStr">
        <is>
          <t>Average Buff Multiplier</t>
        </is>
      </c>
      <c r="B102">
        <f>(1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f>
        <v/>
      </c>
    </row>
    <row r="103">
      <c r="A103" t="inlineStr">
        <is>
          <t>Global Crit Rate Bonus %</t>
        </is>
      </c>
      <c r="B103">
        <f>((C90=TRUE)*F90*IF(AND(Inputs!$B$39&lt;&gt;"pvp",Inputs!$B$44&gt;0),(((R90-1)*(Skills!Y20*(1+Inputs!$B$34/100))+MIN((Skills!Y20*(1+Inputs!$B$34/100)),MAX(0,Inputs!$B$44-((R90-1)*Skills!D20))))/Inputs!$B$44),IF(Inputs!$B$39="pvp",MIN((Skills!Y20*(1+Inputs!$B$34/100)),15)/15,(Skills!Y20*(1+Inputs!$B$34/100))/Skills!D20)))</f>
        <v/>
      </c>
    </row>
    <row r="104">
      <c r="A104" t="inlineStr">
        <is>
          <t>Global Monster Damage-Taken Bonus %</t>
        </is>
      </c>
      <c r="B104">
        <f>IF(Inputs!$B$3&gt;=82,15,0)</f>
        <v/>
      </c>
    </row>
    <row r="105">
      <c r="A105" t="inlineStr">
        <is>
          <t>Shadow Partner Average Multiplier</t>
        </is>
      </c>
      <c r="B105">
        <f>1+((C77=TRUE)*F77*(1+3.3333333333333335*IF(C88=TRUE,F88,0)/100)*I77*Skills!J7/100)/100</f>
        <v/>
      </c>
    </row>
    <row r="106">
      <c r="A106" t="inlineStr">
        <is>
          <t>Attack Speed Buff Bonus %</t>
        </is>
      </c>
      <c r="B106">
        <f>((C89=TRUE)*F89*IF(AND(Inputs!$B$39&lt;&gt;"pvp",Inputs!$B$44&gt;0),(((R89-1)*(Skills!Y19*(1+Inputs!$B$34/100))+MIN((Skills!Y19*(1+Inputs!$B$34/100)),MAX(0,Inputs!$B$44-((R89-1)*Skills!D19))))/Inputs!$B$44),IF(Inputs!$B$39="pvp",MIN((Skills!Y19*(1+Inputs!$B$34/100)),15)/15,(Skills!Y19*(1+Inputs!$B$34/100))/Skills!D19)))+((C73=TRUE)*F73*3)</f>
        <v/>
      </c>
    </row>
    <row r="107">
      <c r="A107" t="inlineStr">
        <is>
          <t>Actions Per Second</t>
        </is>
      </c>
      <c r="B107">
        <f>1+MIN(150,150*(1-(1-(Inputs!$B$11+((C92=TRUE)*(F92-Calc!F22)))/150)*(1-B106/150)))/100</f>
        <v/>
      </c>
    </row>
    <row r="108">
      <c r="A108" t="inlineStr">
        <is>
          <t>Skill + Buff Cast Rate</t>
        </is>
      </c>
      <c r="B108">
        <f>IF(AND(Inputs!$B$39&lt;&gt;"pvp",Inputs!$B$44&gt;0),SUMPRODUCT((Skills!E2:E30=TRUE)*(C72:C100=TRUE)*R72:R100*Skills!F2:F30)/Inputs!$B$44,SUMPRODUCT((Skills!E2:E30=TRUE)*(C72:C100=TRUE)*Q72:Q100*Skills!F2:F30))</f>
        <v/>
      </c>
    </row>
    <row r="109">
      <c r="A109" t="inlineStr">
        <is>
          <t>Cruel Stab Casts Per Second</t>
        </is>
      </c>
      <c r="B109">
        <f>MAX(0,B107-B108)</f>
        <v/>
      </c>
    </row>
    <row r="110">
      <c r="A110" t="inlineStr">
        <is>
          <t>Global Critical Damage Bonus % (Smokescreen Mastery Lv.113)</t>
        </is>
      </c>
      <c r="B110">
        <f>IF(Inputs!$B$3&gt;=113,30,0)*IF(AND(Inputs!$B$39&lt;&gt;"pvp",Inputs!$B$44&gt;0),(((R85-1)*(Skills!Y15*(1+Inputs!$B$34/100))+MIN((Skills!Y15*(1+Inputs!$B$34/100)),MAX(0,Inputs!$B$44-((R85-1)*Skills!D15))))/Inputs!$B$44),IF(Inputs!$B$39="pvp",MIN((Skills!Y15*(1+Inputs!$B$34/100)),15)/15,(Skills!Y15*(1+Inputs!$B$34/100))/Skills!D15))</f>
        <v/>
      </c>
    </row>
    <row r="111">
      <c r="A111" t="inlineStr">
        <is>
          <t>Meso Explosion average stack count</t>
        </is>
      </c>
      <c r="B111">
        <f>MIN(10,0.5*B107*Skills!D4)</f>
        <v/>
      </c>
    </row>
    <row r="112">
      <c r="A112" t="inlineStr">
        <is>
          <t>Blood Money average stack count</t>
        </is>
      </c>
      <c r="B112">
        <f>MIN(5,0.25*B107*Skills!D4)</f>
        <v/>
      </c>
    </row>
    <row r="113">
      <c r="A113" t="inlineStr">
        <is>
          <t>Assassinate Murderous Intent Multiplier</t>
        </is>
      </c>
      <c r="B113">
        <f>1+IFERROR(MIN(1,Q84*2/Q81),0)</f>
        <v/>
      </c>
    </row>
    <row r="114">
      <c r="A114" t="inlineStr">
        <is>
          <t>Buff-Casting Startup Delay (s, fixed-duration only)</t>
        </is>
      </c>
      <c r="B114">
        <f>IF(AND(Inputs!$B$39&lt;&gt;"pvp",Inputs!$B$44&gt;0),SUMPRODUCT((Skills!Y2:Y30&gt;0)*(Skills!E2:E30=TRUE)*(C72:C100=TRUE))/B107,0)</f>
        <v/>
      </c>
    </row>
    <row r="115">
      <c r="A115" s="6" t="inlineStr">
        <is>
          <t>TOTAL DPS</t>
        </is>
      </c>
      <c r="B115" s="6">
        <f>SUM(O72:O100)</f>
        <v/>
      </c>
    </row>
    <row r="116">
      <c r="A116" t="inlineStr">
        <is>
          <t>Boss-Only Total DPS (this block's swept value)</t>
        </is>
      </c>
      <c r="B116">
        <f>SUM(T72:T100)</f>
        <v/>
      </c>
    </row>
    <row r="117">
      <c r="A117" t="inlineStr">
        <is>
          <t>Normal-Only Total DPS (this block's swept value)</t>
        </is>
      </c>
      <c r="B117">
        <f>SUM(V72:V100)</f>
        <v/>
      </c>
    </row>
    <row r="120">
      <c r="A120" s="6" t="inlineStr">
        <is>
          <t>Stat: LUK %</t>
        </is>
      </c>
    </row>
    <row r="121">
      <c r="A121" s="5" t="inlineStr">
        <is>
          <t>Key</t>
        </is>
      </c>
      <c r="B121" s="5" t="inlineStr">
        <is>
          <t>Name</t>
        </is>
      </c>
      <c r="C121" s="5" t="inlineStr">
        <is>
          <t>Unlocked</t>
        </is>
      </c>
      <c r="D121" s="5" t="inlineStr">
        <is>
          <t>InputLevel</t>
        </is>
      </c>
      <c r="E121" s="5" t="inlineStr">
        <is>
          <t>Factor</t>
        </is>
      </c>
      <c r="F121" s="5" t="inlineStr">
        <is>
          <t>CoefficientPercent</t>
        </is>
      </c>
      <c r="G121" s="5" t="inlineStr">
        <is>
          <t>EffectiveHits</t>
        </is>
      </c>
      <c r="H121" s="5" t="inlineStr">
        <is>
          <t>ProcProbability</t>
        </is>
      </c>
      <c r="I121" s="5" t="inlineStr">
        <is>
          <t>MapleHeroMultiplier</t>
        </is>
      </c>
      <c r="J121" s="5" t="inlineStr">
        <is>
          <t>BaseDamage</t>
        </is>
      </c>
      <c r="K121" s="5" t="inlineStr">
        <is>
          <t>BaseHitDamage</t>
        </is>
      </c>
      <c r="L121" s="5" t="inlineStr">
        <is>
          <t>NonCritAvg</t>
        </is>
      </c>
      <c r="M121" s="5" t="inlineStr">
        <is>
          <t>CritAvg</t>
        </is>
      </c>
      <c r="N121" s="5" t="inlineStr">
        <is>
          <t>ExpectedDamage(perHit)</t>
        </is>
      </c>
      <c r="O121" s="5" t="inlineStr">
        <is>
          <t>DPS</t>
        </is>
      </c>
      <c r="P121" s="5" t="inlineStr">
        <is>
          <t>% of Total</t>
        </is>
      </c>
      <c r="Q121" s="5" t="inlineStr">
        <is>
          <t>InvCooldown</t>
        </is>
      </c>
      <c r="R121" s="5" t="inlineStr">
        <is>
          <t>CastsInFight</t>
        </is>
      </c>
      <c r="S121" s="5" t="inlineStr">
        <is>
          <t>HitRate(perSec)</t>
        </is>
      </c>
      <c r="U121" t="inlineStr">
        <is>
          <t>helpers</t>
        </is>
      </c>
    </row>
    <row r="122">
      <c r="A122">
        <f>Skills!A2</f>
        <v/>
      </c>
      <c r="B122">
        <f>Skills!B2</f>
        <v/>
      </c>
      <c r="C122">
        <f>Inputs!$B$3&gt;=100</f>
        <v/>
      </c>
      <c r="D122" t="inlineStr"/>
      <c r="E122" t="inlineStr"/>
      <c r="F122">
        <f>U124+Skills!O2</f>
        <v/>
      </c>
      <c r="G122">
        <f>Skills!G2*IF(Skills!H2&gt;0,Skills!I2/Skills!H2,1)</f>
        <v/>
      </c>
      <c r="H122">
        <f>1-(1-Skills!J2/100)^Skills!K2</f>
        <v/>
      </c>
      <c r="I122" t="inlineStr">
        <is>
          <t>1</t>
        </is>
      </c>
      <c r="J122">
        <f>((Inputs!$B$6*(1+Inputs!$B$7/100))+(((Inputs!$B$12*(1+(Inputs!$B$13+1)/100))-(Inputs!$B$12*(1+Inputs!$B$13/100)))+0.25*(Inputs!$B$14-Inputs!$B$14))*(1+Inputs!$B$7/100))*(F122/100)</f>
        <v/>
      </c>
      <c r="K122">
        <f>J122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122)</f>
        <v/>
      </c>
      <c r="L122">
        <f>K122*(MIN(Inputs!$B$22+((C144=TRUE)*(F144-Calc!F24)),(Inputs!$B$23+((C149=TRUE)*(F149-Calc!F29))+IF(ArtifactsInput!$M$15,CHOOSE(ArtifactsInput!$N$15+1,25,30,35,40,45,50)/100*(Inputs!$B$11-Inputs!$B$11),0)))/100+(Inputs!$B$23+((C149=TRUE)*(F149-Calc!F29))+IF(ArtifactsInput!$M$15,CHOOSE(ArtifactsInput!$N$15+1,25,30,35,40,45,50)/100*(Inputs!$B$11-Inputs!$B$11),0))/100)/2</f>
        <v/>
      </c>
      <c r="M122">
        <f>L122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
        <f>L122*(1-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IF(B165=0,0,O122/B165)</f>
        <v/>
      </c>
      <c r="Q122" t="n">
        <v>0</v>
      </c>
      <c r="R122" t="n">
        <v>0</v>
      </c>
      <c r="S122">
        <f>IFERROR(O122/N122,0)</f>
        <v/>
      </c>
      <c r="T122">
        <f>IF(C122,(Skills!G2*N122*B159)*IF(Inputs!$B$39="pvp",1,1+(Inputs!$B$20+0+Skills!P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
        <f>MAX(0,(Inputs!$B$3-100)*3)+Inputs!$B$28+Inputs!$B$29</f>
        <v/>
      </c>
      <c r="V122">
        <f>IF(C122,(Skills!G2*N122*B159)*IF(Inputs!$B$39="pvp",1,(1+(Inputs!$B$21+Skills!Q2+B154+(IF(ArtifactsInput!$M$33,CHOOSE(ArtifactsInput!$N$33+1,30,36,42,48,54,60),0))+(IF(AND(ArtifactsInput!$M$35,Inputs!$B$4&lt;&gt;"Chapter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Skills!A3</f>
        <v/>
      </c>
      <c r="B123">
        <f>Skills!B3</f>
        <v/>
      </c>
      <c r="C123">
        <f>Inputs!$B$3&gt;=35</f>
        <v/>
      </c>
      <c r="D123">
        <f>IF(Skills!C3=1,60+Inputs!$B$25+Inputs!$B$29,IF(Skills!C3=2,90+Inputs!$B$26+Inputs!$B$29,IF(Skills!C3=3,120+Inputs!$B$27+Inputs!$B$29,MAX(0,(Inputs!$B$3-100)*3)+Inputs!$B$28+Inputs!$B$29)))</f>
        <v/>
      </c>
      <c r="E123">
        <f>INDEX(FactorTable!$B$2:$Y$301, MATCH(ROUND(MIN(300,MAX(1,D123)),0), FactorTable!$A$2:$A$301,0), Skills!M3+1)</f>
        <v/>
      </c>
      <c r="F123">
        <f>IF(Skills!N3=TRUE,(Skills!L3/10)*(E123/1000),Skills!L3/10)+Skills!O3</f>
        <v/>
      </c>
      <c r="G123">
        <f>Skills!G3*IF(Skills!H3&gt;0,Skills!I3/Skills!H3,1)</f>
        <v/>
      </c>
      <c r="H123">
        <f>1-(1-Skills!J3/100)^Skills!K3</f>
        <v/>
      </c>
      <c r="I123" t="inlineStr">
        <is>
          <t>1</t>
        </is>
      </c>
      <c r="J123" t="inlineStr"/>
      <c r="K123" t="inlineStr"/>
      <c r="L123" t="inlineStr"/>
      <c r="M123" t="inlineStr"/>
      <c r="N123" t="inlineStr"/>
      <c r="O123">
        <f>(1-Summary!$B$11)*T123+Summary!$B$11*V123</f>
        <v/>
      </c>
      <c r="P123">
        <f>IF(B165=0,0,O123/B165)</f>
        <v/>
      </c>
      <c r="Q123" t="n">
        <v>0</v>
      </c>
      <c r="R123" t="n">
        <v>0</v>
      </c>
      <c r="S123">
        <f>IFERROR(O123/N123,0)</f>
        <v/>
      </c>
      <c r="T123" t="n">
        <v>0</v>
      </c>
      <c r="U123">
        <f>INDEX(FactorTable!$B$2:$Y$301, MATCH(ROUND(MIN(300,MAX(1,U122)),0), FactorTable!$A$2:$A$301,0), 22)</f>
        <v/>
      </c>
      <c r="V123" t="n">
        <v>0</v>
      </c>
    </row>
    <row r="124">
      <c r="A124">
        <f>Skills!A4</f>
        <v/>
      </c>
      <c r="B124">
        <f>Skills!B4</f>
        <v/>
      </c>
      <c r="C124">
        <f>Inputs!$B$3&gt;=66</f>
        <v/>
      </c>
      <c r="D124">
        <f>IF(Skills!C4=1,60+Inputs!$B$25+Inputs!$B$29,IF(Skills!C4=2,90+Inputs!$B$26+Inputs!$B$29,IF(Skills!C4=3,120+Inputs!$B$27+Inputs!$B$29,MAX(0,(Inputs!$B$3-100)*3)+Inputs!$B$28+Inputs!$B$29)))</f>
        <v/>
      </c>
      <c r="E124">
        <f>INDEX(FactorTable!$B$2:$Y$301, MATCH(ROUND(MIN(300,MAX(1,D124)),0), FactorTable!$A$2:$A$301,0), Skills!M4+1)</f>
        <v/>
      </c>
      <c r="F124">
        <f>IF(Skills!N4=TRUE,(Skills!L4/10)*(E124/1000),Skills!L4/10)+Skills!O4</f>
        <v/>
      </c>
      <c r="G124">
        <f>Skills!G4*IF(Skills!H4&gt;0,Skills!I4/Skills!H4,1)</f>
        <v/>
      </c>
      <c r="H124">
        <f>1-(1-Skills!J4/100)^Skills!K4</f>
        <v/>
      </c>
      <c r="I124" t="inlineStr">
        <is>
          <t>1</t>
        </is>
      </c>
      <c r="J124">
        <f>((Inputs!$B$6*(1+Inputs!$B$7/100))+(((Inputs!$B$12*(1+(Inputs!$B$13+1)/100))-(Inputs!$B$12*(1+Inputs!$B$13/100)))+0.25*(Inputs!$B$14-Inputs!$B$14))*(1+Inputs!$B$7/100))*(F124/100)</f>
        <v/>
      </c>
      <c r="K124">
        <f>J124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124)</f>
        <v/>
      </c>
      <c r="L124">
        <f>K124*(MIN(Inputs!$B$22+((C144=TRUE)*(F144-Calc!F24)),(Inputs!$B$23+((C149=TRUE)*(F149-Calc!F29))+IF(ArtifactsInput!$M$15,CHOOSE(ArtifactsInput!$N$15+1,25,30,35,40,45,50)/100*(Inputs!$B$11-Inputs!$B$11),0)))/100+(Inputs!$B$23+((C149=TRUE)*(F149-Calc!F29))+IF(ArtifactsInput!$M$15,CHOOSE(ArtifactsInput!$N$15+1,25,30,35,40,45,50)/100*(Inputs!$B$11-Inputs!$B$11),0))/100)/2</f>
        <v/>
      </c>
      <c r="M124">
        <f>L124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IFERROR(1/IF(Inputs!$B$39="pvp",15,MAX(0.1,Skills!D4-IF(Skills!E4=TRUE,Inputs!$B$32,0))),0)</f>
        <v/>
      </c>
      <c r="R124">
        <f>IF(AND(Inputs!$B$39&lt;&gt;"pvp",Inputs!$B$44&gt;0),IF(MAX(0,Inputs!$B$44-B164)&lt;=0,0,(INT(MAX(0,Inputs!$B$44-B164)/IF(Inputs!$B$39="pvp",15,MAX(0.1,Skills!D4-IF(Skills!E4=TRUE,Inputs!$B$32,0))))+1)),0)</f>
        <v/>
      </c>
      <c r="S124">
        <f>IFERROR(O124/N124,0)</f>
        <v/>
      </c>
      <c r="T124">
        <f>IF(C124,(H124*N124*IF(AND(Inputs!$B$39&lt;&gt;"pvp",Inputs!$B$44&gt;0),((Skills!G4*((R124-1)*IF(Skills!H4&gt;0,Skills!I4/Skills!H4,1)+IF(Skills!H4&gt;0,MIN(Skills!I4,MAX(0,MAX(0,Inputs!$B$44-B164)-((R124-1)*IF(Inputs!$B$39="pvp",15,MAX(0.1,Skills!D4-IF(Skills!E4=TRUE,Inputs!$B$32,0))))))/Skills!H4,1)))/Inputs!$B$44),G124*Q124))*IF(Inputs!$B$39="pvp",1,1+(Inputs!$B$20+0+Skills!P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290*U123/1000</f>
        <v/>
      </c>
      <c r="V124">
        <f>IF(C124,(H124*N124*IF(AND(Inputs!$B$39&lt;&gt;"pvp",Inputs!$B$44&gt;0),((Skills!G4*((R124-1)*IF(Skills!H4&gt;0,Skills!I4/Skills!H4,1)+IF(Skills!H4&gt;0,MIN(Skills!I4,MAX(0,MAX(0,Inputs!$B$44-B164)-((R124-1)*IF(Inputs!$B$39="pvp",15,MAX(0.1,Skills!D4-IF(Skills!E4=TRUE,Inputs!$B$32,0))))))/Skills!H4,1)))/Inputs!$B$44),G124*Q124))*IF(Inputs!$B$39="pvp",1,(1+(Inputs!$B$21+Skills!Q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(10,0.5*B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Skills!A5</f>
        <v/>
      </c>
      <c r="B125">
        <f>Skills!B5</f>
        <v/>
      </c>
      <c r="C125">
        <f>Inputs!$B$3&gt;=63</f>
        <v/>
      </c>
      <c r="D125">
        <f>IF(Skills!C5=1,60+Inputs!$B$25+Inputs!$B$29,IF(Skills!C5=2,90+Inputs!$B$26+Inputs!$B$29,IF(Skills!C5=3,120+Inputs!$B$27+Inputs!$B$29,MAX(0,(Inputs!$B$3-100)*3)+Inputs!$B$28+Inputs!$B$29)))</f>
        <v/>
      </c>
      <c r="E125">
        <f>INDEX(FactorTable!$B$2:$Y$301, MATCH(ROUND(MIN(300,MAX(1,D125)),0), FactorTable!$A$2:$A$301,0), Skills!M5+1)</f>
        <v/>
      </c>
      <c r="F125">
        <f>IF(Skills!N5=TRUE,(Skills!L5/10)*(E125/1000),Skills!L5/10)+Skills!O5</f>
        <v/>
      </c>
      <c r="G125">
        <f>Skills!G5*IF(Skills!H5&gt;0,Skills!I5/Skills!H5,1)</f>
        <v/>
      </c>
      <c r="H125">
        <f>1-(1-Skills!J5/100)^Skills!K5</f>
        <v/>
      </c>
      <c r="I125" t="inlineStr">
        <is>
          <t>1</t>
        </is>
      </c>
      <c r="J125">
        <f>((Inputs!$B$6*(1+Inputs!$B$7/100))+(((Inputs!$B$12*(1+(Inputs!$B$13+1)/100))-(Inputs!$B$12*(1+Inputs!$B$13/100)))+0.25*(Inputs!$B$14-Inputs!$B$14))*(1+Inputs!$B$7/100))*(F125/100)</f>
        <v/>
      </c>
      <c r="K125">
        <f>J125*(1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TRUE,F138,0)/100)*(1+(IF(Skills!A5="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125)</f>
        <v/>
      </c>
      <c r="L125">
        <f>K125*(MIN(Inputs!$B$22+((C144=TRUE)*(F144-Calc!F24)),(Inputs!$B$23+((C149=TRUE)*(F149-Calc!F29))+IF(ArtifactsInput!$M$15,CHOOSE(ArtifactsInput!$N$15+1,25,30,35,40,45,50)/100*(Inputs!$B$11-Inputs!$B$11),0)))/100+(Inputs!$B$23+((C149=TRUE)*(F149-Calc!F29))+IF(ArtifactsInput!$M$15,CHOOSE(ArtifactsInput!$N$15+1,25,30,35,40,45,50)/100*(Inputs!$B$11-Inputs!$B$11),0))/100)/2</f>
        <v/>
      </c>
      <c r="M125">
        <f>L125*(1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IFERROR(1/IF(Inputs!$B$39="pvp",15,MAX(0.1,Skills!D5-IF(Skills!E5=TRUE,Inputs!$B$32,0))),0)</f>
        <v/>
      </c>
      <c r="R125">
        <f>IF(AND(Inputs!$B$39&lt;&gt;"pvp",Inputs!$B$44&gt;0),IF(MAX(0,Inputs!$B$44-B164)&lt;=0,0,(INT(MAX(0,Inputs!$B$44-B164)/IF(Inputs!$B$39="pvp",15,MAX(0.1,Skills!D5-IF(Skills!E5=TRUE,Inputs!$B$32,0))))+1)),0)</f>
        <v/>
      </c>
      <c r="S125">
        <f>IFERROR(O125/N125,0)</f>
        <v/>
      </c>
      <c r="T125">
        <f>IF(C125,(H125*N125*IF(AND(Inputs!$B$39&lt;&gt;"pvp",Inputs!$B$44&gt;0),((Skills!G5*((R125-1)*IF(Skills!H5&gt;0,Skills!I5/Skills!H5,1)+IF(Skills!H5&gt;0,MIN(Skills!I5,MAX(0,MAX(0,Inputs!$B$44-B164)-((R125-1)*IF(Inputs!$B$39="pvp",15,MAX(0.1,Skills!D5-IF(Skills!E5=TRUE,Inputs!$B$32,0))))))/Skills!H5,1)))/Inputs!$B$44),G125*Q125))*IF(Inputs!$B$39="pvp",1,1+(Inputs!$B$20+0+Skills!P5+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5*((R125-1)*IF(Skills!H5&gt;0,Skills!I5/Skills!H5,1)+IF(Skills!H5&gt;0,MIN(Skills!I5,MAX(0,MAX(0,Inputs!$B$44-B164)-((R125-1)*IF(Inputs!$B$39="pvp",15,MAX(0.1,Skills!D5-IF(Skills!E5=TRUE,Inputs!$B$32,0))))))/Skills!H5,1)))/Inputs!$B$44),G125*Q125))*IF(Inputs!$B$39="pvp",1,(1+(Inputs!$B$21+Skills!Q5+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Skills!A6</f>
        <v/>
      </c>
      <c r="B126">
        <f>Skills!B6</f>
        <v/>
      </c>
      <c r="C126">
        <f>Inputs!$B$3&gt;=69</f>
        <v/>
      </c>
      <c r="D126">
        <f>IF(Skills!C6=1,60+Inputs!$B$25+Inputs!$B$29,IF(Skills!C6=2,90+Inputs!$B$26+Inputs!$B$29,IF(Skills!C6=3,120+Inputs!$B$27+Inputs!$B$29,MAX(0,(Inputs!$B$3-100)*3)+Inputs!$B$28+Inputs!$B$29)))</f>
        <v/>
      </c>
      <c r="E126">
        <f>INDEX(FactorTable!$B$2:$Y$301, MATCH(ROUND(MIN(300,MAX(1,D126)),0), FactorTable!$A$2:$A$301,0), Skills!M6+1)</f>
        <v/>
      </c>
      <c r="F126">
        <f>IF(Skills!N6=TRUE,(Skills!L6/10)*(E126/1000),Skills!L6/10)+Skills!O6</f>
        <v/>
      </c>
      <c r="G126">
        <f>Skills!G6*IF(Skills!H6&gt;0,Skills!I6/Skills!H6,1)</f>
        <v/>
      </c>
      <c r="H126">
        <f>1-(1-Skills!J6/100)^Skills!K6</f>
        <v/>
      </c>
      <c r="I126" t="inlineStr">
        <is>
          <t>1</t>
        </is>
      </c>
      <c r="J126">
        <f>((Inputs!$B$6*(1+Inputs!$B$7/100))+(((Inputs!$B$12*(1+(Inputs!$B$13+1)/100))-(Inputs!$B$12*(1+Inputs!$B$13/100)))+0.25*(Inputs!$B$14-Inputs!$B$14))*(1+Inputs!$B$7/100))*(F126/100)</f>
        <v/>
      </c>
      <c r="K126">
        <f>J126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TRUE,F138,0)/100)*(1+(IF(Skills!A6="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126)</f>
        <v/>
      </c>
      <c r="L126">
        <f>K126*(MIN(Inputs!$B$22+((C144=TRUE)*(F144-Calc!F24)),(Inputs!$B$23+((C149=TRUE)*(F149-Calc!F29))+IF(ArtifactsInput!$M$15,CHOOSE(ArtifactsInput!$N$15+1,25,30,35,40,45,50)/100*(Inputs!$B$11-Inputs!$B$11),0)))/100+(Inputs!$B$23+((C149=TRUE)*(F149-Calc!F29))+IF(ArtifactsInput!$M$15,CHOOSE(ArtifactsInput!$N$15+1,25,30,35,40,45,50)/100*(Inputs!$B$11-Inputs!$B$11),0))/100)/2</f>
        <v/>
      </c>
      <c r="M126">
        <f>L126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IFERROR(1/IF(Inputs!$B$39="pvp",15,MAX(0.1,Skills!D6-IF(Skills!E6=TRUE,Inputs!$B$32,0))),0)</f>
        <v/>
      </c>
      <c r="R126">
        <f>IF(AND(Inputs!$B$39&lt;&gt;"pvp",Inputs!$B$44&gt;0),IF(MAX(0,Inputs!$B$44-B164)&lt;=0,0,(INT(MAX(0,Inputs!$B$44-B164)/IF(Inputs!$B$39="pvp",15,MAX(0.1,Skills!D6-IF(Skills!E6=TRUE,Inputs!$B$32,0))))+1)),0)</f>
        <v/>
      </c>
      <c r="S126">
        <f>IFERROR(O126/N126,0)</f>
        <v/>
      </c>
      <c r="T126">
        <f>IF(C126,(H126*N126*IF(AND(Inputs!$B$39&lt;&gt;"pvp",Inputs!$B$44&gt;0),((Skills!G6*((R126-1)*IF(Skills!H6&gt;0,Skills!I6/Skills!H6,1)+IF(Skills!H6&gt;0,MIN(Skills!I6,MAX(0,MAX(0,Inputs!$B$44-B164)-((R126-1)*IF(Inputs!$B$39="pvp",15,MAX(0.1,Skills!D6-IF(Skills!E6=TRUE,Inputs!$B$32,0))))))/Skills!H6,1)))/Inputs!$B$44),G126*Q126))*IF(Inputs!$B$39="pvp",1,1+(Inputs!$B$20+0+Skills!P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126*(1-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
        <f>IF(C126,(H126*N126*IF(AND(Inputs!$B$39&lt;&gt;"pvp",Inputs!$B$44&gt;0),((Skills!G6*((R126-1)*IF(Skills!H6&gt;0,Skills!I6/Skills!H6,1)+IF(Skills!H6&gt;0,MIN(Skills!I6,MAX(0,MAX(0,Inputs!$B$44-B164)-((R126-1)*IF(Inputs!$B$39="pvp",15,MAX(0.1,Skills!D6-IF(Skills!E6=TRUE,Inputs!$B$32,0))))))/Skills!H6,1)))/Inputs!$B$44),G126*Q126))*IF(Inputs!$B$39="pvp",1,(1+(Inputs!$B$21+Skills!Q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Skills!A7</f>
        <v/>
      </c>
      <c r="B127">
        <f>Skills!B7</f>
        <v/>
      </c>
      <c r="C127">
        <f>Inputs!$B$3&gt;=60</f>
        <v/>
      </c>
      <c r="D127">
        <f>IF(Skills!C7=1,60+Inputs!$B$25+Inputs!$B$29,IF(Skills!C7=2,90+Inputs!$B$26+Inputs!$B$29,IF(Skills!C7=3,120+Inputs!$B$27+Inputs!$B$29,MAX(0,(Inputs!$B$3-100)*3)+Inputs!$B$28+Inputs!$B$29)))</f>
        <v/>
      </c>
      <c r="E127">
        <f>INDEX(FactorTable!$B$2:$Y$301, MATCH(ROUND(MIN(300,MAX(1,D127)),0), FactorTable!$A$2:$A$301,0), Skills!M7+1)</f>
        <v/>
      </c>
      <c r="F127">
        <f>IF(Skills!N7=TRUE,(Skills!L7/10)*(E127/1000),Skills!L7/10)+Skills!O7</f>
        <v/>
      </c>
      <c r="G127">
        <f>Skills!G7*IF(Skills!H7&gt;0,Skills!I7/Skills!H7,1)</f>
        <v/>
      </c>
      <c r="H127">
        <f>1-(1-Skills!J7/100)^Skills!K7</f>
        <v/>
      </c>
      <c r="I127" t="inlineStr">
        <is>
          <t>1</t>
        </is>
      </c>
      <c r="J127" t="inlineStr"/>
      <c r="K127" t="inlineStr"/>
      <c r="L127" t="inlineStr"/>
      <c r="M127" t="inlineStr"/>
      <c r="N127" t="inlineStr"/>
      <c r="O127">
        <f>(1-Summary!$B$11)*T127+Summary!$B$11*V127</f>
        <v/>
      </c>
      <c r="P127">
        <f>IF(B165=0,0,O127/B165)</f>
        <v/>
      </c>
      <c r="Q127" t="n">
        <v>0</v>
      </c>
      <c r="R127" t="n">
        <v>0</v>
      </c>
      <c r="S127">
        <f>IFERROR(O127/N127,0)</f>
        <v/>
      </c>
      <c r="T127" t="n">
        <v>0</v>
      </c>
      <c r="V127" t="n">
        <v>0</v>
      </c>
    </row>
    <row r="128">
      <c r="A128">
        <f>Skills!A8</f>
        <v/>
      </c>
      <c r="B128">
        <f>Skills!B8</f>
        <v/>
      </c>
      <c r="C128">
        <f>Inputs!$B$3&gt;=72</f>
        <v/>
      </c>
      <c r="D128">
        <f>IF(Skills!C8=1,60+Inputs!$B$25+Inputs!$B$29,IF(Skills!C8=2,90+Inputs!$B$26+Inputs!$B$29,IF(Skills!C8=3,120+Inputs!$B$27+Inputs!$B$29,MAX(0,(Inputs!$B$3-100)*3)+Inputs!$B$28+Inputs!$B$29)))</f>
        <v/>
      </c>
      <c r="E128">
        <f>INDEX(FactorTable!$B$2:$Y$301, MATCH(ROUND(MIN(300,MAX(1,D128)),0), FactorTable!$A$2:$A$301,0), Skills!M8+1)</f>
        <v/>
      </c>
      <c r="F128">
        <f>IF(Skills!N8=TRUE,(Skills!L8/10)*(E128/1000),Skills!L8/10)+Skills!O8</f>
        <v/>
      </c>
      <c r="G128">
        <f>Skills!G8*IF(Skills!H8&gt;0,Skills!I8/Skills!H8,1)</f>
        <v/>
      </c>
      <c r="H128">
        <f>1-(1-Skills!J8/100)^Skills!K8</f>
        <v/>
      </c>
      <c r="I128" t="inlineStr">
        <is>
          <t>1</t>
        </is>
      </c>
      <c r="J128">
        <f>((Inputs!$B$6*(1+Inputs!$B$7/100))+(((Inputs!$B$12*(1+(Inputs!$B$13+1)/100))-(Inputs!$B$12*(1+Inputs!$B$13/100)))+0.25*(Inputs!$B$14-Inputs!$B$14))*(1+Inputs!$B$7/100))*(F128/100)</f>
        <v/>
      </c>
      <c r="K128">
        <f>J128*(1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TRUE,F138,0)/100)*(1+(IF(Skills!A8="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128)</f>
        <v/>
      </c>
      <c r="L128">
        <f>K128*(MIN(Inputs!$B$22+((C144=TRUE)*(F144-Calc!F24)),(Inputs!$B$23+((C149=TRUE)*(F149-Calc!F29))+IF(ArtifactsInput!$M$15,CHOOSE(ArtifactsInput!$N$15+1,25,30,35,40,45,50)/100*(Inputs!$B$11-Inputs!$B$11),0)))/100+(Inputs!$B$23+((C149=TRUE)*(F149-Calc!F29))+IF(ArtifactsInput!$M$15,CHOOSE(ArtifactsInput!$N$15+1,25,30,35,40,45,50)/100*(Inputs!$B$11-Inputs!$B$11),0))/100)/2</f>
        <v/>
      </c>
      <c r="M128">
        <f>L128*(1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
        <f>L128*(1-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
        <f>(1-Summary!$B$11)*T128+Summary!$B$11*V128</f>
        <v/>
      </c>
      <c r="P128">
        <f>IF(B165=0,0,O128/B165)</f>
        <v/>
      </c>
      <c r="Q128">
        <f>IFERROR(1/IF(Inputs!$B$39="pvp",15,MAX(0.1,Skills!D8-IF(Skills!E8=TRUE,Inputs!$B$32,0))),0)</f>
        <v/>
      </c>
      <c r="R128">
        <f>IF(AND(Inputs!$B$39&lt;&gt;"pvp",Inputs!$B$44&gt;0),IF(MAX(0,Inputs!$B$44-B164)&lt;=0,0,(INT(MAX(0,Inputs!$B$44-B164)/IF(Inputs!$B$39="pvp",15,MAX(0.1,Skills!D8-IF(Skills!E8=TRUE,Inputs!$B$32,0))))+1)),0)</f>
        <v/>
      </c>
      <c r="S128">
        <f>IFERROR(O128/N128,0)</f>
        <v/>
      </c>
      <c r="T128">
        <f>IF(C128,(H128*N128*IF(AND(Inputs!$B$39&lt;&gt;"pvp",Inputs!$B$44&gt;0),((Skills!G8*((R128-1)*IF(Skills!H8&gt;0,Skills!I8/Skills!H8,1)+IF(Skills!H8&gt;0,MIN(Skills!I8,MAX(0,MAX(0,Inputs!$B$44-B164)-((R128-1)*IF(Inputs!$B$39="pvp",15,MAX(0.1,Skills!D8-IF(Skills!E8=TRUE,Inputs!$B$32,0))))))/Skills!H8,1)))/Inputs!$B$44),G128*Q128))*IF(Inputs!$B$39="pvp",1,1+(Inputs!$B$20+0+Skills!P8+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
        <f>IF(C128,(H128*N128*IF(AND(Inputs!$B$39&lt;&gt;"pvp",Inputs!$B$44&gt;0),((Skills!G8*((R128-1)*IF(Skills!H8&gt;0,Skills!I8/Skills!H8,1)+IF(Skills!H8&gt;0,MIN(Skills!I8,MAX(0,MAX(0,Inputs!$B$44-B164)-((R128-1)*IF(Inputs!$B$39="pvp",15,MAX(0.1,Skills!D8-IF(Skills!E8=TRUE,Inputs!$B$32,0))))))/Skills!H8,1)))/Inputs!$B$44),G128*Q128))*IF(Inputs!$B$39="pvp",1,(1+(Inputs!$B$21+Skills!Q8+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
      <c r="A129">
        <f>Skills!A9</f>
        <v/>
      </c>
      <c r="B129">
        <f>Skills!B9</f>
        <v/>
      </c>
      <c r="C129">
        <f>Inputs!$B$3&gt;=117</f>
        <v/>
      </c>
      <c r="D129">
        <f>IF(Skills!C9=1,60+Inputs!$B$25+Inputs!$B$29,IF(Skills!C9=2,90+Inputs!$B$26+Inputs!$B$29,IF(Skills!C9=3,120+Inputs!$B$27+Inputs!$B$29,MAX(0,(Inputs!$B$3-100)*3)+Inputs!$B$28+Inputs!$B$29)))</f>
        <v/>
      </c>
      <c r="E129">
        <f>INDEX(FactorTable!$B$2:$Y$301, MATCH(ROUND(MIN(300,MAX(1,D129)),0), FactorTable!$A$2:$A$301,0), Skills!M9+1)</f>
        <v/>
      </c>
      <c r="F129">
        <f>IF(Skills!N9=TRUE,(Skills!L9/10)*(E129/1000),Skills!L9/10)+Skills!O9</f>
        <v/>
      </c>
      <c r="G129">
        <f>Skills!G9*IF(Skills!H9&gt;0,Skills!I9/Skills!H9,1)</f>
        <v/>
      </c>
      <c r="H129">
        <f>1-(1-Skills!J9/100)^Skills!K9</f>
        <v/>
      </c>
      <c r="I129" t="inlineStr">
        <is>
          <t>1</t>
        </is>
      </c>
      <c r="J129">
        <f>((Inputs!$B$6*(1+Inputs!$B$7/100))+(((Inputs!$B$12*(1+(Inputs!$B$13+1)/100))-(Inputs!$B$12*(1+Inputs!$B$13/100)))+0.25*(Inputs!$B$14-Inputs!$B$14))*(1+Inputs!$B$7/100))*(F129/100)</f>
        <v/>
      </c>
      <c r="K129">
        <f>J129*(1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129)</f>
        <v/>
      </c>
      <c r="L129">
        <f>K129*(MIN(Inputs!$B$22+((C144=TRUE)*(F144-Calc!F24)),(Inputs!$B$23+((C149=TRUE)*(F149-Calc!F29))+IF(ArtifactsInput!$M$15,CHOOSE(ArtifactsInput!$N$15+1,25,30,35,40,45,50)/100*(Inputs!$B$11-Inputs!$B$11),0)))/100+(Inputs!$B$23+((C149=TRUE)*(F149-Calc!F29))+IF(ArtifactsInput!$M$15,CHOOSE(ArtifactsInput!$N$15+1,25,30,35,40,45,50)/100*(Inputs!$B$11-Inputs!$B$11),0))/100)/2</f>
        <v/>
      </c>
      <c r="M129">
        <f>L129*(1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t="n">
        <v>0</v>
      </c>
      <c r="R129" t="n">
        <v>0</v>
      </c>
      <c r="S129" t="n">
        <v>0</v>
      </c>
      <c r="T129">
        <f>IF(C129,(0.2*SUMPRODUCT((Skills!Z2:Z30=TRUE)*(C122:C150=TRUE)*S122:S150)*N129)*IF(Inputs!$B$39="pvp",1,1+(Inputs!$B$20+0+Skills!P9+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IF(C129,(0.2*SUMPRODUCT((Skills!Z2:Z30=TRUE)*(C122:C150=TRUE)*S122:S150)*N129)*IF(Inputs!$B$39="pvp",1,(1+(Inputs!$B$21+Skills!Q9+B154+(IF(ArtifactsInput!$M$33,CHOOSE(ArtifactsInput!$N$33+1,30,36,42,48,54,60),0))+(IF(AND(ArtifactsInput!$M$35,Inputs!$B$4&lt;&gt;"Chapter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Skills!A10</f>
        <v/>
      </c>
      <c r="B130">
        <f>Skills!B10</f>
        <v/>
      </c>
      <c r="C130">
        <f>Inputs!$B$3&gt;=74</f>
        <v/>
      </c>
      <c r="D130">
        <f>IF(Skills!C10=1,60+Inputs!$B$25+Inputs!$B$29,IF(Skills!C10=2,90+Inputs!$B$26+Inputs!$B$29,IF(Skills!C10=3,120+Inputs!$B$27+Inputs!$B$29,MAX(0,(Inputs!$B$3-100)*3)+Inputs!$B$28+Inputs!$B$29)))</f>
        <v/>
      </c>
      <c r="E130">
        <f>INDEX(FactorTable!$B$2:$Y$301, MATCH(ROUND(MIN(300,MAX(1,D130)),0), FactorTable!$A$2:$A$301,0), Skills!M10+1)</f>
        <v/>
      </c>
      <c r="F130">
        <f>IF(Skills!N10=TRUE,(Skills!L10/10)*(E130/1000),Skills!L10/10)+Skills!O10</f>
        <v/>
      </c>
      <c r="G130">
        <f>Skills!G10*IF(Skills!H10&gt;0,Skills!I10/Skills!H10,1)</f>
        <v/>
      </c>
      <c r="H130">
        <f>1-(1-Skills!J10/100)^Skills!K10</f>
        <v/>
      </c>
      <c r="I130" t="inlineStr">
        <is>
          <t>1</t>
        </is>
      </c>
      <c r="J130" t="inlineStr"/>
      <c r="K130" t="inlineStr"/>
      <c r="L130" t="inlineStr"/>
      <c r="M130" t="inlineStr"/>
      <c r="N130" t="inlineStr"/>
      <c r="O130">
        <f>(1-Summary!$B$11)*T130+Summary!$B$11*V130</f>
        <v/>
      </c>
      <c r="P130">
        <f>IF(B165=0,0,O130/B165)</f>
        <v/>
      </c>
      <c r="Q130">
        <f>IFERROR(1/IF(Inputs!$B$39="pvp",15,MAX(0.1,Skills!D10-IF(Skills!E10=TRUE,Inputs!$B$32,0))),0)</f>
        <v/>
      </c>
      <c r="R130">
        <f>IF(AND(Inputs!$B$39&lt;&gt;"pvp",Inputs!$B$44&gt;0),IF(Inputs!$B$44&lt;=0,0,(INT(Inputs!$B$44/IF(Inputs!$B$39="pvp",15,MAX(0.1,Skills!D10-IF(Skills!E10=TRUE,Inputs!$B$32,0))))+1)),0)</f>
        <v/>
      </c>
      <c r="S130">
        <f>IFERROR(O130/N130,0)</f>
        <v/>
      </c>
      <c r="T130" t="n">
        <v>0</v>
      </c>
      <c r="V130" t="n">
        <v>0</v>
      </c>
    </row>
    <row r="131">
      <c r="A131">
        <f>Skills!A11</f>
        <v/>
      </c>
      <c r="B131">
        <f>Skills!B11</f>
        <v/>
      </c>
      <c r="C131">
        <f>Inputs!$B$3&gt;=103</f>
        <v/>
      </c>
      <c r="D131">
        <f>IF(Skills!C11=1,60+Inputs!$B$25+Inputs!$B$29,IF(Skills!C11=2,90+Inputs!$B$26+Inputs!$B$29,IF(Skills!C11=3,120+Inputs!$B$27+Inputs!$B$29,MAX(0,(Inputs!$B$3-100)*3)+Inputs!$B$28+Inputs!$B$29)))</f>
        <v/>
      </c>
      <c r="E131">
        <f>INDEX(FactorTable!$B$2:$Y$301, MATCH(ROUND(MIN(300,MAX(1,D131)),0), FactorTable!$A$2:$A$301,0), Skills!M11+1)</f>
        <v/>
      </c>
      <c r="F131">
        <f>(Skills!L11/10)*(E131/1000)+IF(Inputs!$B$3&gt;=134,50,0)+0.5*(30000/10)*(INDEX(FactorTable!$B$2:$Y$301, MATCH(ROUND(MIN(300,MAX(1,D131)),0), FactorTable!$A$2:$A$301,0), 13)/1000)*B163</f>
        <v/>
      </c>
      <c r="G131">
        <f>Skills!G11*IF(Skills!H11&gt;0,Skills!I11/Skills!H11,1)</f>
        <v/>
      </c>
      <c r="H131">
        <f>1-(1-Skills!J11/100)^Skills!K11</f>
        <v/>
      </c>
      <c r="I131" t="inlineStr">
        <is>
          <t>1</t>
        </is>
      </c>
      <c r="J131">
        <f>((Inputs!$B$6*(1+Inputs!$B$7/100))+(((Inputs!$B$12*(1+(Inputs!$B$13+1)/100))-(Inputs!$B$12*(1+Inputs!$B$13/100)))+0.25*(Inputs!$B$14-Inputs!$B$14))*(1+Inputs!$B$7/100))*(F131/100)</f>
        <v/>
      </c>
      <c r="K131">
        <f>J131*(1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131)</f>
        <v/>
      </c>
      <c r="L131">
        <f>K131*(MIN(Inputs!$B$22+((C144=TRUE)*(F144-Calc!F24)),(Inputs!$B$23+((C149=TRUE)*(F149-Calc!F29))+IF(ArtifactsInput!$M$15,CHOOSE(ArtifactsInput!$N$15+1,25,30,35,40,45,50)/100*(Inputs!$B$11-Inputs!$B$11),0)))/100+(Inputs!$B$23+((C149=TRUE)*(F149-Calc!F29))+IF(ArtifactsInput!$M$15,CHOOSE(ArtifactsInput!$N$15+1,25,30,35,40,45,50)/100*(Inputs!$B$11-Inputs!$B$11),0))/100)/2</f>
        <v/>
      </c>
      <c r="M131">
        <f>L131*(1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f>IFERROR(1/IF(Inputs!$B$39="pvp",15,MAX(0.1,Skills!D11-IF(Skills!E11=TRUE,Inputs!$B$32,0))),0)</f>
        <v/>
      </c>
      <c r="R131">
        <f>IF(AND(Inputs!$B$39&lt;&gt;"pvp",Inputs!$B$44&gt;0),IF(MAX(0,Inputs!$B$44-B164)&lt;=0,0,(INT(MAX(0,Inputs!$B$44-B164)/IF(Inputs!$B$39="pvp",15,MAX(0.1,Skills!D11-IF(Skills!E11=TRUE,Inputs!$B$32,0))))+1)),0)</f>
        <v/>
      </c>
      <c r="S131">
        <f>IFERROR(O131/N131,0)</f>
        <v/>
      </c>
      <c r="T131">
        <f>IF(C131,(H131*N131*IF(AND(Inputs!$B$39&lt;&gt;"pvp",Inputs!$B$44&gt;0),((Skills!G11*((R131-1)*IF(Skills!H11&gt;0,Skills!I11/Skills!H11,1)+IF(Skills!H11&gt;0,MIN(Skills!I11,MAX(0,MAX(0,Inputs!$B$44-B164)-((R131-1)*IF(Inputs!$B$39="pvp",15,MAX(0.1,Skills!D11-IF(Skills!E11=TRUE,Inputs!$B$32,0))))))/Skills!H11,1)))/Inputs!$B$44),G131*Q131))*IF(Inputs!$B$39="pvp",1,1+(Inputs!$B$20+0+Skills!P11+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H131*N131*IF(AND(Inputs!$B$39&lt;&gt;"pvp",Inputs!$B$44&gt;0),((Skills!G11*((R131-1)*IF(Skills!H11&gt;0,Skills!I11/Skills!H11,1)+IF(Skills!H11&gt;0,MIN(Skills!I11,MAX(0,MAX(0,Inputs!$B$44-B164)-((R131-1)*IF(Inputs!$B$39="pvp",15,MAX(0.1,Skills!D11-IF(Skills!E11=TRUE,Inputs!$B$32,0))))))/Skills!H11,1)))/Inputs!$B$44),G131*Q131))*IF(Inputs!$B$39="pvp",1,(1+(Inputs!$B$21+Skills!Q11+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Skills!A12</f>
        <v/>
      </c>
      <c r="B132">
        <f>Skills!B12</f>
        <v/>
      </c>
      <c r="C132">
        <f>Inputs!$B$3&gt;=105</f>
        <v/>
      </c>
      <c r="D132">
        <f>IF(Skills!C12=1,60+Inputs!$B$25+Inputs!$B$29,IF(Skills!C12=2,90+Inputs!$B$26+Inputs!$B$29,IF(Skills!C12=3,120+Inputs!$B$27+Inputs!$B$29,MAX(0,(Inputs!$B$3-100)*3)+Inputs!$B$28+Inputs!$B$29)))</f>
        <v/>
      </c>
      <c r="E132">
        <f>INDEX(FactorTable!$B$2:$Y$301, MATCH(ROUND(MIN(300,MAX(1,D132)),0), FactorTable!$A$2:$A$301,0), Skills!M12+1)</f>
        <v/>
      </c>
      <c r="F132">
        <f>IF(Skills!N12=TRUE,(Skills!L12/10)*(E132/1000),Skills!L12/10)+Skills!O12</f>
        <v/>
      </c>
      <c r="G132">
        <f>Skills!G12*IF(Skills!H12&gt;0,Skills!I12/Skills!H12,1)</f>
        <v/>
      </c>
      <c r="H132">
        <f>1-(1-Skills!J12/100)^Skills!K12</f>
        <v/>
      </c>
      <c r="I132" t="inlineStr">
        <is>
          <t>1</t>
        </is>
      </c>
      <c r="J132">
        <f>((Inputs!$B$6*(1+Inputs!$B$7/100))+(((Inputs!$B$12*(1+(Inputs!$B$13+1)/100))-(Inputs!$B$12*(1+Inputs!$B$13/100)))+0.25*(Inputs!$B$14-Inputs!$B$14))*(1+Inputs!$B$7/100))*(F132/100)</f>
        <v/>
      </c>
      <c r="K132">
        <f>J132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132)</f>
        <v/>
      </c>
      <c r="L132">
        <f>K132*(MIN(Inputs!$B$22+((C144=TRUE)*(F144-Calc!F24)),(Inputs!$B$23+((C149=TRUE)*(F149-Calc!F29))+IF(ArtifactsInput!$M$15,CHOOSE(ArtifactsInput!$N$15+1,25,30,35,40,45,50)/100*(Inputs!$B$11-Inputs!$B$11),0)))/100+(Inputs!$B$23+((C149=TRUE)*(F149-Calc!F29))+IF(ArtifactsInput!$M$15,CHOOSE(ArtifactsInput!$N$15+1,25,30,35,40,45,50)/100*(Inputs!$B$11-Inputs!$B$11),0))/100)/2</f>
        <v/>
      </c>
      <c r="M132">
        <f>L132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
        <f>L132*(1-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(1-Summary!$B$11)*T132+Summary!$B$11*V132</f>
        <v/>
      </c>
      <c r="P132">
        <f>IF(B165=0,0,O132/B165)</f>
        <v/>
      </c>
      <c r="Q132">
        <f>IFERROR(1/IF(Inputs!$B$39="pvp",15,MAX(0.1,Skills!D12-IF(Skills!E12=TRUE,Inputs!$B$32,0))),0)</f>
        <v/>
      </c>
      <c r="R132">
        <f>IF(AND(Inputs!$B$39&lt;&gt;"pvp",Inputs!$B$44&gt;0),IF(MAX(0,Inputs!$B$44-B164)&lt;=0,0,(INT(MAX(0,Inputs!$B$44-B164)/IF(Inputs!$B$39="pvp",15,MAX(0.1,Skills!D12-IF(Skills!E12=TRUE,Inputs!$B$32,0))))+1)),0)</f>
        <v/>
      </c>
      <c r="S132">
        <f>IFERROR(O132/N132,0)</f>
        <v/>
      </c>
      <c r="T132">
        <f>IF(C132,(H132*N132*IF(AND(Inputs!$B$39&lt;&gt;"pvp",Inputs!$B$44&gt;0),((Skills!G12*((R132-1)*IF(Skills!H12&gt;0,Skills!I12/Skills!H12,1)+IF(Skills!H12&gt;0,MIN(Skills!I12,MAX(0,MAX(0,Inputs!$B$44-B164)-((R132-1)*IF(Inputs!$B$39="pvp",15,MAX(0.1,Skills!D12-IF(Skills!E12=TRUE,Inputs!$B$32,0))))))/Skills!H12,1)))/Inputs!$B$44),G132*Q132))*IF(Inputs!$B$39="pvp",1,1+(Inputs!$B$20+0+Skills!P12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
        <f>IF(C132,(H132*N132*IF(AND(Inputs!$B$39&lt;&gt;"pvp",Inputs!$B$44&gt;0),((Skills!G12*((R132-1)*IF(Skills!H12&gt;0,Skills!I12/Skills!H12,1)+IF(Skills!H12&gt;0,MIN(Skills!I12,MAX(0,MAX(0,Inputs!$B$44-B164)-((R132-1)*IF(Inputs!$B$39="pvp",15,MAX(0.1,Skills!D12-IF(Skills!E12=TRUE,Inputs!$B$32,0))))))/Skills!H12,1)))/Inputs!$B$44),G132*Q132))*IF(Inputs!$B$39="pvp",1,(1+(Inputs!$B$21+Skills!Q12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Skills!A13</f>
        <v/>
      </c>
      <c r="B133">
        <f>Skills!B13</f>
        <v/>
      </c>
      <c r="C133">
        <f>Inputs!$B$3&gt;=105</f>
        <v/>
      </c>
      <c r="D133">
        <f>IF(Skills!C13=1,60+Inputs!$B$25+Inputs!$B$29,IF(Skills!C13=2,90+Inputs!$B$26+Inputs!$B$29,IF(Skills!C13=3,120+Inputs!$B$27+Inputs!$B$29,MAX(0,(Inputs!$B$3-100)*3)+Inputs!$B$28+Inputs!$B$29)))</f>
        <v/>
      </c>
      <c r="E133">
        <f>INDEX(FactorTable!$B$2:$Y$301, MATCH(ROUND(MIN(300,MAX(1,D133)),0), FactorTable!$A$2:$A$301,0), Skills!M13+1)</f>
        <v/>
      </c>
      <c r="F133">
        <f>IF(Skills!N13=TRUE,(Skills!L13/10)*(E133/1000),Skills!L13/10)+Skills!O13</f>
        <v/>
      </c>
      <c r="G133">
        <f>Skills!G13*IF(Skills!H13&gt;0,Skills!I13/Skills!H13,1)</f>
        <v/>
      </c>
      <c r="H133">
        <f>1-(1-Skills!J13/100)^Skills!K13</f>
        <v/>
      </c>
      <c r="I133" t="inlineStr">
        <is>
          <t>1</t>
        </is>
      </c>
      <c r="J133">
        <f>((Inputs!$B$6*(1+Inputs!$B$7/100))+(((Inputs!$B$12*(1+(Inputs!$B$13+1)/100))-(Inputs!$B$12*(1+Inputs!$B$13/100)))+0.25*(Inputs!$B$14-Inputs!$B$14))*(1+Inputs!$B$7/100))*(F133/100)</f>
        <v/>
      </c>
      <c r="K133">
        <f>J133*(1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133)</f>
        <v/>
      </c>
      <c r="L133">
        <f>K133*(MIN(Inputs!$B$22+((C144=TRUE)*(F144-Calc!F24)),(Inputs!$B$23+((C149=TRUE)*(F149-Calc!F29))+IF(ArtifactsInput!$M$15,CHOOSE(ArtifactsInput!$N$15+1,25,30,35,40,45,50)/100*(Inputs!$B$11-Inputs!$B$11),0)))/100+(Inputs!$B$23+((C149=TRUE)*(F149-Calc!F29))+IF(ArtifactsInput!$M$15,CHOOSE(ArtifactsInput!$N$15+1,25,30,35,40,45,50)/100*(Inputs!$B$11-Inputs!$B$11),0))/100)/2</f>
        <v/>
      </c>
      <c r="M133">
        <f>L133*(1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IFERROR(1/IF(Inputs!$B$39="pvp",15,MAX(0.1,Skills!D13-IF(Skills!E13=TRUE,Inputs!$B$32,0))),0)</f>
        <v/>
      </c>
      <c r="R133">
        <f>IF(AND(Inputs!$B$39&lt;&gt;"pvp",Inputs!$B$44&gt;0),IF(MAX(0,Inputs!$B$44-B164)&lt;=0,0,(INT(MAX(0,Inputs!$B$44-B164)/IF(Inputs!$B$39="pvp",15,MAX(0.1,Skills!D13-IF(Skills!E13=TRUE,Inputs!$B$32,0))))+1)),0)</f>
        <v/>
      </c>
      <c r="S133">
        <f>IFERROR(O133/N133,0)</f>
        <v/>
      </c>
      <c r="T133">
        <f>IF(C133,(H133*N133*IF(AND(Inputs!$B$39&lt;&gt;"pvp",Inputs!$B$44&gt;0),((Skills!G13*((R133-1)*IF(Skills!H13&gt;0,Skills!I13/Skills!H13,1)+IF(Skills!H13&gt;0,MIN(Skills!I13,MAX(0,MAX(0,Inputs!$B$44-B164)-((R133-1)*IF(Inputs!$B$39="pvp",15,MAX(0.1,Skills!D13-IF(Skills!E13=TRUE,Inputs!$B$32,0))))))/Skills!H13,1)))/Inputs!$B$44),G133*Q133))*IF(Inputs!$B$39="pvp",1,1+(Inputs!$B$20+0+Skills!P13+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13*((R133-1)*IF(Skills!H13&gt;0,Skills!I13/Skills!H13,1)+IF(Skills!H13&gt;0,MIN(Skills!I13,MAX(0,MAX(0,Inputs!$B$44-B164)-((R133-1)*IF(Inputs!$B$39="pvp",15,MAX(0.1,Skills!D13-IF(Skills!E13=TRUE,Inputs!$B$32,0))))))/Skills!H13,1)))/Inputs!$B$44),G133*Q133))*IF(Inputs!$B$39="pvp",1,(1+(Inputs!$B$21+Skills!Q13+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Skills!A14</f>
        <v/>
      </c>
      <c r="B134">
        <f>Skills!B14</f>
        <v/>
      </c>
      <c r="C134">
        <f>Inputs!$B$3&gt;=107</f>
        <v/>
      </c>
      <c r="D134">
        <f>IF(Skills!C14=1,60+Inputs!$B$25+Inputs!$B$29,IF(Skills!C14=2,90+Inputs!$B$26+Inputs!$B$29,IF(Skills!C14=3,120+Inputs!$B$27+Inputs!$B$29,MAX(0,(Inputs!$B$3-100)*3)+Inputs!$B$28+Inputs!$B$29)))</f>
        <v/>
      </c>
      <c r="E134">
        <f>INDEX(FactorTable!$B$2:$Y$301, MATCH(ROUND(MIN(300,MAX(1,D134)),0), FactorTable!$A$2:$A$301,0), Skills!M14+1)</f>
        <v/>
      </c>
      <c r="F134">
        <f>IF(Skills!N14=TRUE,(Skills!L14/10)*(E134/1000),Skills!L14/10)+Skills!O14</f>
        <v/>
      </c>
      <c r="G134">
        <f>Skills!G14*IF(Skills!H14&gt;0,Skills!I14/Skills!H14,1)</f>
        <v/>
      </c>
      <c r="H134">
        <f>1-(1-Skills!J14/100)^Skills!K14</f>
        <v/>
      </c>
      <c r="I134" t="inlineStr">
        <is>
          <t>1</t>
        </is>
      </c>
      <c r="J134">
        <f>((Inputs!$B$6*(1+Inputs!$B$7/100))+(((Inputs!$B$12*(1+(Inputs!$B$13+1)/100))-(Inputs!$B$12*(1+Inputs!$B$13/100)))+0.25*(Inputs!$B$14-Inputs!$B$14))*(1+Inputs!$B$7/100))*(F134/100)</f>
        <v/>
      </c>
      <c r="K134">
        <f>J134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134)</f>
        <v/>
      </c>
      <c r="L134">
        <f>K134*(MIN(Inputs!$B$22+((C144=TRUE)*(F144-Calc!F24)),(Inputs!$B$23+((C149=TRUE)*(F149-Calc!F29))+IF(ArtifactsInput!$M$15,CHOOSE(ArtifactsInput!$N$15+1,25,30,35,40,45,50)/100*(Inputs!$B$11-Inputs!$B$11),0)))/100+(Inputs!$B$23+((C149=TRUE)*(F149-Calc!F29))+IF(ArtifactsInput!$M$15,CHOOSE(ArtifactsInput!$N$15+1,25,30,35,40,45,50)/100*(Inputs!$B$11-Inputs!$B$11),0))/100)/2</f>
        <v/>
      </c>
      <c r="M134">
        <f>L134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IFERROR(1/IF(Inputs!$B$39="pvp",15,MAX(0.1,Skills!D14-IF(Skills!E14=TRUE,Inputs!$B$32,0))),0)</f>
        <v/>
      </c>
      <c r="R134">
        <f>IF(AND(Inputs!$B$39&lt;&gt;"pvp",Inputs!$B$44&gt;0),IF(MAX(0,Inputs!$B$44-B164)&lt;=0,0,(INT(MAX(0,Inputs!$B$44-B164)/IF(Inputs!$B$39="pvp",15,MAX(0.1,Skills!D14-IF(Skills!E14=TRUE,Inputs!$B$32,0))))+1)),0)</f>
        <v/>
      </c>
      <c r="S134">
        <f>IFERROR(O134/N134,0)</f>
        <v/>
      </c>
      <c r="T134">
        <f>IF(C134,(H134*N134*IF(AND(Inputs!$B$39&lt;&gt;"pvp",Inputs!$B$44&gt;0),((Skills!G14*((R134-1)*IF(Skills!H14&gt;0,Skills!I14/Skills!H14,1)+IF(Skills!H14&gt;0,MIN(Skills!I14,MAX(0,MAX(0,Inputs!$B$44-B164)-((R134-1)*IF(Inputs!$B$39="pvp",15,MAX(0.1,Skills!D14-IF(Skills!E14=TRUE,Inputs!$B$32,0))))))/Skills!H14,1)))/Inputs!$B$44),G134*Q134))*IF(Inputs!$B$39="pvp",1,1+(Inputs!$B$20+0+Skills!P14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14*((R134-1)*IF(Skills!H14&gt;0,Skills!I14/Skills!H14,1)+IF(Skills!H14&gt;0,MIN(Skills!I14,MAX(0,MAX(0,Inputs!$B$44-B164)-((R134-1)*IF(Inputs!$B$39="pvp",15,MAX(0.1,Skills!D14-IF(Skills!E14=TRUE,Inputs!$B$32,0))))))/Skills!H14,1)))/Inputs!$B$44),G134*Q134))*IF(Inputs!$B$39="pvp",1,(1+(Inputs!$B$21+Skills!Q14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(5,0.25*B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Skills!A15</f>
        <v/>
      </c>
      <c r="B135">
        <f>Skills!B15</f>
        <v/>
      </c>
      <c r="C135">
        <f>Inputs!$B$3&gt;=110</f>
        <v/>
      </c>
      <c r="D135">
        <f>IF(Skills!C15=1,60+Inputs!$B$25+Inputs!$B$29,IF(Skills!C15=2,90+Inputs!$B$26+Inputs!$B$29,IF(Skills!C15=3,120+Inputs!$B$27+Inputs!$B$29,MAX(0,(Inputs!$B$3-100)*3)+Inputs!$B$28+Inputs!$B$29)))</f>
        <v/>
      </c>
      <c r="E135">
        <f>INDEX(FactorTable!$B$2:$Y$301, MATCH(ROUND(MIN(300,MAX(1,D135)),0), FactorTable!$A$2:$A$301,0), Skills!M15+1)</f>
        <v/>
      </c>
      <c r="F135">
        <f>IF(Skills!N15=TRUE,(Skills!L15/10)*(E135/1000),Skills!L15/10)+Skills!O15</f>
        <v/>
      </c>
      <c r="G135">
        <f>Skills!G15*IF(Skills!H15&gt;0,Skills!I15/Skills!H15,1)</f>
        <v/>
      </c>
      <c r="H135">
        <f>1-(1-Skills!J15/100)^Skills!K15</f>
        <v/>
      </c>
      <c r="I135" t="inlineStr">
        <is>
          <t>1</t>
        </is>
      </c>
      <c r="J135" t="inlineStr"/>
      <c r="K135" t="inlineStr"/>
      <c r="L135" t="inlineStr"/>
      <c r="M135" t="inlineStr"/>
      <c r="N135" t="inlineStr"/>
      <c r="O135">
        <f>(1-Summary!$B$11)*T135+Summary!$B$11*V135</f>
        <v/>
      </c>
      <c r="P135">
        <f>IF(B165=0,0,O135/B165)</f>
        <v/>
      </c>
      <c r="Q135">
        <f>IFERROR(1/IF(Inputs!$B$39="pvp",15,MAX(0.1,Skills!D15-IF(Skills!E15=TRUE,Inputs!$B$32,0))),0)</f>
        <v/>
      </c>
      <c r="R135">
        <f>IF(AND(Inputs!$B$39&lt;&gt;"pvp",Inputs!$B$44&gt;0),IF(Inputs!$B$44&lt;=0,0,(INT(Inputs!$B$44/IF(Inputs!$B$39="pvp",15,MAX(0.1,Skills!D15-IF(Skills!E15=TRUE,Inputs!$B$32,0))))+1)),0)</f>
        <v/>
      </c>
      <c r="S135">
        <f>IFERROR(O135/N135,0)</f>
        <v/>
      </c>
      <c r="T135" t="n">
        <v>0</v>
      </c>
      <c r="V135" t="n">
        <v>0</v>
      </c>
    </row>
    <row r="136">
      <c r="A136">
        <f>Skills!A16</f>
        <v/>
      </c>
      <c r="B136">
        <f>Skills!B16</f>
        <v/>
      </c>
      <c r="C136">
        <f>Inputs!$B$3&gt;=115</f>
        <v/>
      </c>
      <c r="D136">
        <f>IF(Skills!C16=1,60+Inputs!$B$25+Inputs!$B$29,IF(Skills!C16=2,90+Inputs!$B$26+Inputs!$B$29,IF(Skills!C16=3,120+Inputs!$B$27+Inputs!$B$29,MAX(0,(Inputs!$B$3-100)*3)+Inputs!$B$28+Inputs!$B$29)))</f>
        <v/>
      </c>
      <c r="E136">
        <f>INDEX(FactorTable!$B$2:$Y$301, MATCH(ROUND(MIN(300,MAX(1,D136)),0), FactorTable!$A$2:$A$301,0), Skills!M16+1)</f>
        <v/>
      </c>
      <c r="F136">
        <f>IF(Skills!N16=TRUE,(Skills!L16/10)*(E136/1000),Skills!L16/10)+Skills!O16</f>
        <v/>
      </c>
      <c r="G136">
        <f>Skills!G16*IF(Skills!H16&gt;0,Skills!I16/Skills!H16,1)</f>
        <v/>
      </c>
      <c r="H136">
        <f>1-(1-Skills!J16/100)^Skills!K16</f>
        <v/>
      </c>
      <c r="I136" t="inlineStr">
        <is>
          <t>1</t>
        </is>
      </c>
      <c r="J136">
        <f>((Inputs!$B$6*(1+Inputs!$B$7/100))+(((Inputs!$B$12*(1+(Inputs!$B$13+1)/100))-(Inputs!$B$12*(1+Inputs!$B$13/100)))+0.25*(Inputs!$B$14-Inputs!$B$14))*(1+Inputs!$B$7/100))*(F136/100)</f>
        <v/>
      </c>
      <c r="K136">
        <f>J136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147=TRUE)*(F147-Calc!F27))+((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136)</f>
        <v/>
      </c>
      <c r="L136">
        <f>K136*(MIN(Inputs!$B$22+((C144=TRUE)*(F144-Calc!F24)),(Inputs!$B$23+((C149=TRUE)*(F149-Calc!F29))+IF(ArtifactsInput!$M$15,CHOOSE(ArtifactsInput!$N$15+1,25,30,35,40,45,50)/100*(Inputs!$B$11-Inputs!$B$11),0)))/100+(Inputs!$B$23+((C149=TRUE)*(F149-Calc!F29))+IF(ArtifactsInput!$M$15,CHOOSE(ArtifactsInput!$N$15+1,25,30,35,40,45,50)/100*(Inputs!$B$11-Inputs!$B$11),0))/100)/2</f>
        <v/>
      </c>
      <c r="M136">
        <f>L136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
        <f>L136*(1-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MIN((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
        <f>(1-Summary!$B$11)*T136+Summary!$B$11*V136</f>
        <v/>
      </c>
      <c r="P136">
        <f>IF(B165=0,0,O136/B165)</f>
        <v/>
      </c>
      <c r="Q136" t="n">
        <v>0</v>
      </c>
      <c r="R136" t="n">
        <v>0</v>
      </c>
      <c r="S136">
        <f>IFERROR(O136/N136,0)</f>
        <v/>
      </c>
      <c r="T136">
        <f>IF(C136,(Inputs!$B$38*0.2*N136)*IF(Inputs!$B$39="pvp",1,1+(Inputs!$B$20+0+Skills!P16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(1-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MIN(100,(Inputs!$B$9+((C145=TRUE)*(F145-Calc!F25))+B153+(ArtifactsInput!$M$24-ArtifactsInput!$M$24)*CHOOSE(ArtifactsInput!$N$24+1,10,12,14,16,18,20)+(IF(AND(Inputs!$B$39&lt;&gt;"pvp",Inputs!$B$44=0),1,IF(IF(Inputs!$B$39="pvp",15,Inputs!$B$44)-(B164)&lt;=0,1,MAX(0,IF(Inputs!$B$39="pvp",15,Inputs!$B$44)-MAX(5,B164))/(IF(Inputs!$B$39="pvp",15,Inputs!$B$44)-(B164))))*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
        <f>IF(C136,(Inputs!$B$38*0.2*N136)*IF(Inputs!$B$39="pvp",1,(1+(Inputs!$B$21+Skills!Q16+B154+(IF(ArtifactsInput!$M$33,CHOOSE(ArtifactsInput!$N$33+1,30,36,42,48,54,60),0))+(IF(AND(ArtifactsInput!$M$35,Inputs!$B$4&lt;&gt;"Chapter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
      <c r="A137">
        <f>Skills!A17</f>
        <v/>
      </c>
      <c r="B137">
        <f>Skills!B17</f>
        <v/>
      </c>
      <c r="C137">
        <f>Inputs!$B$3&gt;=115</f>
        <v/>
      </c>
      <c r="D137">
        <f>IF(Skills!C17=1,60+Inputs!$B$25+Inputs!$B$29,IF(Skills!C17=2,90+Inputs!$B$26+Inputs!$B$29,IF(Skills!C17=3,120+Inputs!$B$27+Inputs!$B$29,MAX(0,(Inputs!$B$3-100)*3)+Inputs!$B$28+Inputs!$B$29)))</f>
        <v/>
      </c>
      <c r="E137">
        <f>INDEX(FactorTable!$B$2:$Y$301, MATCH(ROUND(MIN(300,MAX(1,D137)),0), FactorTable!$A$2:$A$301,0), Skills!M17+1)</f>
        <v/>
      </c>
      <c r="F137">
        <f>IF(Skills!N17=TRUE,(Skills!L17/10)*(E137/1000),Skills!L17/10)+Skills!O17</f>
        <v/>
      </c>
      <c r="G137">
        <f>Skills!G17*IF(Skills!H17&gt;0,Skills!I17/Skills!H17,1)</f>
        <v/>
      </c>
      <c r="H137">
        <f>1-(1-Skills!J17/100)^Skills!K17</f>
        <v/>
      </c>
      <c r="I137" t="inlineStr">
        <is>
          <t>1</t>
        </is>
      </c>
      <c r="J137" t="inlineStr"/>
      <c r="K137" t="inlineStr"/>
      <c r="L137" t="inlineStr"/>
      <c r="M137" t="inlineStr"/>
      <c r="N137" t="inlineStr"/>
      <c r="O137">
        <f>(1-Summary!$B$11)*T137+Summary!$B$11*V137</f>
        <v/>
      </c>
      <c r="P137">
        <f>IF(B165=0,0,O137/B165)</f>
        <v/>
      </c>
      <c r="Q137" t="n">
        <v>0</v>
      </c>
      <c r="R137" t="n">
        <v>0</v>
      </c>
      <c r="S137">
        <f>IFERROR(O137/N137,0)</f>
        <v/>
      </c>
      <c r="T137" t="n">
        <v>0</v>
      </c>
      <c r="V137" t="n">
        <v>0</v>
      </c>
    </row>
    <row r="138">
      <c r="A138">
        <f>Skills!A18</f>
        <v/>
      </c>
      <c r="B138">
        <f>Skills!B18</f>
        <v/>
      </c>
      <c r="C138">
        <f>Inputs!$B$3&gt;=100</f>
        <v/>
      </c>
      <c r="D138">
        <f>IF(Skills!C18=1,60+Inputs!$B$25+Inputs!$B$29,IF(Skills!C18=2,90+Inputs!$B$26+Inputs!$B$29,IF(Skills!C18=3,120+Inputs!$B$27+Inputs!$B$29,MAX(0,(Inputs!$B$3-100)*3)+Inputs!$B$28+Inputs!$B$29)))</f>
        <v/>
      </c>
      <c r="E138">
        <f>INDEX(FactorTable!$B$2:$Y$301, MATCH(ROUND(MIN(300,MAX(1,D138)),0), FactorTable!$A$2:$A$301,0), Skills!M18+1)</f>
        <v/>
      </c>
      <c r="F138">
        <f>IF(Skills!N18=TRUE,(Skills!L18/10)*(E138/1000),Skills!L18/10)+Skills!O18</f>
        <v/>
      </c>
      <c r="G138">
        <f>Skills!G18*IF(Skills!H18&gt;0,Skills!I18/Skills!H18,1)</f>
        <v/>
      </c>
      <c r="H138">
        <f>1-(1-Skills!J18/100)^Skills!K18</f>
        <v/>
      </c>
      <c r="I138" t="inlineStr">
        <is>
          <t>1</t>
        </is>
      </c>
      <c r="J138" t="inlineStr"/>
      <c r="K138" t="inlineStr"/>
      <c r="L138" t="inlineStr"/>
      <c r="M138" t="inlineStr"/>
      <c r="N138" t="inlineStr"/>
      <c r="O138">
        <f>(1-Summary!$B$11)*T138+Summary!$B$11*V138</f>
        <v/>
      </c>
      <c r="P138">
        <f>IF(B165=0,0,O138/B165)</f>
        <v/>
      </c>
      <c r="Q138" t="n">
        <v>0</v>
      </c>
      <c r="R138" t="n">
        <v>0</v>
      </c>
      <c r="S138">
        <f>IFERROR(O138/N138,0)</f>
        <v/>
      </c>
      <c r="T138" t="n">
        <v>0</v>
      </c>
      <c r="V138" t="n">
        <v>0</v>
      </c>
    </row>
    <row r="139">
      <c r="A139">
        <f>Skills!A19</f>
        <v/>
      </c>
      <c r="B139">
        <f>Skills!B19</f>
        <v/>
      </c>
      <c r="C139">
        <f>TRUE</f>
        <v/>
      </c>
      <c r="D139">
        <f>IF(Skills!C19=1,60+Inputs!$B$25+Inputs!$B$29,IF(Skills!C19=2,90+Inputs!$B$26+Inputs!$B$29,IF(Skills!C19=3,120+Inputs!$B$27+Inputs!$B$29,MAX(0,(Inputs!$B$3-100)*3)+Inputs!$B$28+Inputs!$B$29)))</f>
        <v/>
      </c>
      <c r="E139">
        <f>INDEX(FactorTable!$B$2:$Y$301, MATCH(ROUND(MIN(300,MAX(1,D139)),0), FactorTable!$A$2:$A$301,0), Skills!M19+1)</f>
        <v/>
      </c>
      <c r="F139">
        <f>IF(Skills!N19=TRUE,(Skills!L19/10)*(E139/1000),Skills!L19/10)+Skills!O19</f>
        <v/>
      </c>
      <c r="G139">
        <f>Skills!G19*IF(Skills!H19&gt;0,Skills!I19/Skills!H19,1)</f>
        <v/>
      </c>
      <c r="H139">
        <f>1-(1-Skills!J19/100)^Skills!K19</f>
        <v/>
      </c>
      <c r="I139" t="inlineStr">
        <is>
          <t>1</t>
        </is>
      </c>
      <c r="J139" t="inlineStr"/>
      <c r="K139" t="inlineStr"/>
      <c r="L139" t="inlineStr"/>
      <c r="M139" t="inlineStr"/>
      <c r="N139" t="inlineStr"/>
      <c r="O139">
        <f>(1-Summary!$B$11)*T139+Summary!$B$11*V139</f>
        <v/>
      </c>
      <c r="P139">
        <f>IF(B165=0,0,O139/B165)</f>
        <v/>
      </c>
      <c r="Q139">
        <f>IFERROR(1/IF(Inputs!$B$39="pvp",15,MAX(0.1,Skills!D19-IF(Skills!E19=TRUE,Inputs!$B$32,0))),0)</f>
        <v/>
      </c>
      <c r="R139">
        <f>IF(AND(Inputs!$B$39&lt;&gt;"pvp",Inputs!$B$44&gt;0),IF(Inputs!$B$44&lt;=0,0,(INT(Inputs!$B$44/IF(Inputs!$B$39="pvp",15,MAX(0.1,Skills!D19-IF(Skills!E19=TRUE,Inputs!$B$32,0))))+1)),0)</f>
        <v/>
      </c>
      <c r="S139">
        <f>IFERROR(O139/N139,0)</f>
        <v/>
      </c>
      <c r="T139" t="n">
        <v>0</v>
      </c>
      <c r="V139" t="n">
        <v>0</v>
      </c>
    </row>
    <row r="140">
      <c r="A140">
        <f>Skills!A20</f>
        <v/>
      </c>
      <c r="B140">
        <f>Skills!B20</f>
        <v/>
      </c>
      <c r="C140">
        <f>Inputs!$B$3&gt;=15</f>
        <v/>
      </c>
      <c r="D140">
        <f>IF(Skills!C20=1,60+Inputs!$B$25+Inputs!$B$29,IF(Skills!C20=2,90+Inputs!$B$26+Inputs!$B$29,IF(Skills!C20=3,120+Inputs!$B$27+Inputs!$B$29,MAX(0,(Inputs!$B$3-100)*3)+Inputs!$B$28+Inputs!$B$29)))</f>
        <v/>
      </c>
      <c r="E140">
        <f>INDEX(FactorTable!$B$2:$Y$301, MATCH(ROUND(MIN(300,MAX(1,D140)),0), FactorTable!$A$2:$A$301,0), Skills!M20+1)</f>
        <v/>
      </c>
      <c r="F140">
        <f>IF(Skills!N20=TRUE,(Skills!L20/10)*(E140/1000),Skills!L20/10)+Skills!O20</f>
        <v/>
      </c>
      <c r="G140">
        <f>Skills!G20*IF(Skills!H20&gt;0,Skills!I20/Skills!H20,1)</f>
        <v/>
      </c>
      <c r="H140">
        <f>1-(1-Skills!J20/100)^Skills!K20</f>
        <v/>
      </c>
      <c r="I140" t="inlineStr">
        <is>
          <t>1</t>
        </is>
      </c>
      <c r="J140" t="inlineStr"/>
      <c r="K140" t="inlineStr"/>
      <c r="L140" t="inlineStr"/>
      <c r="M140" t="inlineStr"/>
      <c r="N140" t="inlineStr"/>
      <c r="O140">
        <f>(1-Summary!$B$11)*T140+Summary!$B$11*V140</f>
        <v/>
      </c>
      <c r="P140">
        <f>IF(B165=0,0,O140/B165)</f>
        <v/>
      </c>
      <c r="Q140">
        <f>IFERROR(1/IF(Inputs!$B$39="pvp",15,MAX(0.1,Skills!D20-IF(Skills!E20=TRUE,Inputs!$B$32,0))),0)</f>
        <v/>
      </c>
      <c r="R140">
        <f>IF(AND(Inputs!$B$39&lt;&gt;"pvp",Inputs!$B$44&gt;0),IF(Inputs!$B$44&lt;=0,0,(INT(Inputs!$B$44/IF(Inputs!$B$39="pvp",15,MAX(0.1,Skills!D20-IF(Skills!E20=TRUE,Inputs!$B$32,0))))+1)),0)</f>
        <v/>
      </c>
      <c r="S140">
        <f>IFERROR(O140/N140,0)</f>
        <v/>
      </c>
      <c r="T140" t="n">
        <v>0</v>
      </c>
      <c r="V140" t="n">
        <v>0</v>
      </c>
    </row>
    <row r="141">
      <c r="A141">
        <f>Skills!A21</f>
        <v/>
      </c>
      <c r="B141">
        <f>Skills!B21</f>
        <v/>
      </c>
      <c r="C141">
        <f>Inputs!$B$3&gt;=15</f>
        <v/>
      </c>
      <c r="D141">
        <f>IF(Skills!C21=1,60+Inputs!$B$25+Inputs!$B$29,IF(Skills!C21=2,90+Inputs!$B$26+Inputs!$B$29,IF(Skills!C21=3,120+Inputs!$B$27+Inputs!$B$29,MAX(0,(Inputs!$B$3-100)*3)+Inputs!$B$28+Inputs!$B$29)))</f>
        <v/>
      </c>
      <c r="E141">
        <f>INDEX(FactorTable!$B$2:$Y$301, MATCH(ROUND(MIN(300,MAX(1,D141)),0), FactorTable!$A$2:$A$301,0), Skills!M21+1)</f>
        <v/>
      </c>
      <c r="F141">
        <f>IF(Skills!N21=TRUE,(Skills!L21/10)*(E141/1000),Skills!L21/10)+Skills!O21</f>
        <v/>
      </c>
      <c r="G141">
        <f>Skills!G21*IF(Skills!H21&gt;0,Skills!I21/Skills!H21,1)</f>
        <v/>
      </c>
      <c r="H141">
        <f>1-(1-Skills!J21/100)^Skills!K21</f>
        <v/>
      </c>
      <c r="I141" t="inlineStr">
        <is>
          <t>1</t>
        </is>
      </c>
      <c r="J141" t="inlineStr"/>
      <c r="K141" t="inlineStr"/>
      <c r="L141" t="inlineStr"/>
      <c r="M141" t="inlineStr"/>
      <c r="N141" t="inlineStr"/>
      <c r="O141">
        <f>(1-Summary!$B$11)*T141+Summary!$B$11*V141</f>
        <v/>
      </c>
      <c r="P141">
        <f>IF(B165=0,0,O141/B165)</f>
        <v/>
      </c>
      <c r="Q141">
        <f>IFERROR(1/IF(Inputs!$B$39="pvp",15,MAX(0.1,Skills!D21-IF(Skills!E21=TRUE,Inputs!$B$32,0))),0)</f>
        <v/>
      </c>
      <c r="R141">
        <f>IF(AND(Inputs!$B$39&lt;&gt;"pvp",Inputs!$B$44&gt;0),IF(Inputs!$B$44&lt;=0,0,(INT(Inputs!$B$44/IF(Inputs!$B$39="pvp",15,MAX(0.1,Skills!D21-IF(Skills!E21=TRUE,Inputs!$B$32,0))))+1)),0)</f>
        <v/>
      </c>
      <c r="S141">
        <f>IFERROR(O141/N141,0)</f>
        <v/>
      </c>
      <c r="T141" t="n">
        <v>0</v>
      </c>
      <c r="V141" t="n">
        <v>0</v>
      </c>
    </row>
    <row r="142">
      <c r="A142">
        <f>Skills!A22</f>
        <v/>
      </c>
      <c r="B142">
        <f>Skills!B22</f>
        <v/>
      </c>
      <c r="C142">
        <f>Inputs!$B$3&gt;=33</f>
        <v/>
      </c>
      <c r="D142">
        <f>IF(Skills!C22=1,60+Inputs!$B$25+Inputs!$B$29,IF(Skills!C22=2,90+Inputs!$B$26+Inputs!$B$29,IF(Skills!C22=3,120+Inputs!$B$27+Inputs!$B$29,MAX(0,(Inputs!$B$3-100)*3)+Inputs!$B$28+Inputs!$B$29)))</f>
        <v/>
      </c>
      <c r="E142">
        <f>INDEX(FactorTable!$B$2:$Y$301, MATCH(ROUND(MIN(300,MAX(1,D142)),0), FactorTable!$A$2:$A$301,0), Skills!M22+1)</f>
        <v/>
      </c>
      <c r="F142">
        <f>IF(Skills!N22=TRUE,(Skills!L22/10)*(E142/1000),Skills!L22/10)+Skills!O22</f>
        <v/>
      </c>
      <c r="G142">
        <f>Skills!G22*IF(Skills!H22&gt;0,Skills!I22/Skills!H22,1)</f>
        <v/>
      </c>
      <c r="H142">
        <f>1-(1-Skills!J22/100)^Skills!K22</f>
        <v/>
      </c>
      <c r="I142" t="inlineStr">
        <is>
          <t>1</t>
        </is>
      </c>
      <c r="J142" t="inlineStr"/>
      <c r="K142" t="inlineStr"/>
      <c r="L142" t="inlineStr"/>
      <c r="M142" t="inlineStr"/>
      <c r="N142" t="inlineStr"/>
      <c r="O142">
        <f>(1-Summary!$B$11)*T142+Summary!$B$11*V142</f>
        <v/>
      </c>
      <c r="P142">
        <f>IF(B165=0,0,O142/B165)</f>
        <v/>
      </c>
      <c r="Q142" t="n">
        <v>0</v>
      </c>
      <c r="R142" t="n">
        <v>0</v>
      </c>
      <c r="S142">
        <f>IFERROR(O142/N142,0)</f>
        <v/>
      </c>
      <c r="T142" t="n">
        <v>0</v>
      </c>
      <c r="V142" t="n">
        <v>0</v>
      </c>
    </row>
    <row r="143">
      <c r="A143">
        <f>Skills!A23</f>
        <v/>
      </c>
      <c r="B143">
        <f>Skills!B23</f>
        <v/>
      </c>
      <c r="C143">
        <f>Inputs!$B$3&gt;=40</f>
        <v/>
      </c>
      <c r="D143">
        <f>IF(Skills!C23=1,60+Inputs!$B$25+Inputs!$B$29,IF(Skills!C23=2,90+Inputs!$B$26+Inputs!$B$29,IF(Skills!C23=3,120+Inputs!$B$27+Inputs!$B$29,MAX(0,(Inputs!$B$3-100)*3)+Inputs!$B$28+Inputs!$B$29)))</f>
        <v/>
      </c>
      <c r="E143">
        <f>INDEX(FactorTable!$B$2:$Y$301, MATCH(ROUND(MIN(300,MAX(1,D143)),0), FactorTable!$A$2:$A$301,0), Skills!M23+1)</f>
        <v/>
      </c>
      <c r="F143">
        <f>IF(Skills!N23=TRUE,(Skills!L23/10)*(E143/1000),Skills!L23/10)+Skills!O23</f>
        <v/>
      </c>
      <c r="G143">
        <f>Skills!G23*IF(Skills!H23&gt;0,Skills!I23/Skills!H23,1)</f>
        <v/>
      </c>
      <c r="H143">
        <f>1-(1-Skills!J23/100)^Skills!K23</f>
        <v/>
      </c>
      <c r="I143" t="inlineStr">
        <is>
          <t>1</t>
        </is>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Skills!A24</f>
        <v/>
      </c>
      <c r="B144">
        <f>Skills!B24</f>
        <v/>
      </c>
      <c r="C144">
        <f>Inputs!$B$3&gt;=43</f>
        <v/>
      </c>
      <c r="D144">
        <f>IF(Skills!C24=1,60+Inputs!$B$25+Inputs!$B$29,IF(Skills!C24=2,90+Inputs!$B$26+Inputs!$B$29,IF(Skills!C24=3,120+Inputs!$B$27+Inputs!$B$29,MAX(0,(Inputs!$B$3-100)*3)+Inputs!$B$28+Inputs!$B$29)))</f>
        <v/>
      </c>
      <c r="E144">
        <f>INDEX(FactorTable!$B$2:$Y$301, MATCH(ROUND(MIN(300,MAX(1,D144)),0), FactorTable!$A$2:$A$301,0), Skills!M24+1)</f>
        <v/>
      </c>
      <c r="F144">
        <f>IF(Skills!N24=TRUE,(Skills!L24/10)*(E144/1000),Skills!L24/10)+Skills!O24</f>
        <v/>
      </c>
      <c r="G144">
        <f>Skills!G24*IF(Skills!H24&gt;0,Skills!I24/Skills!H24,1)</f>
        <v/>
      </c>
      <c r="H144">
        <f>1-(1-Skills!J24/100)^Skills!K24</f>
        <v/>
      </c>
      <c r="I144" t="inlineStr">
        <is>
          <t>1</t>
        </is>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Skills!A25</f>
        <v/>
      </c>
      <c r="B145">
        <f>Skills!B25</f>
        <v/>
      </c>
      <c r="C145">
        <f>Inputs!$B$3&gt;=50</f>
        <v/>
      </c>
      <c r="D145">
        <f>IF(Skills!C25=1,60+Inputs!$B$25+Inputs!$B$29,IF(Skills!C25=2,90+Inputs!$B$26+Inputs!$B$29,IF(Skills!C25=3,120+Inputs!$B$27+Inputs!$B$29,MAX(0,(Inputs!$B$3-100)*3)+Inputs!$B$28+Inputs!$B$29)))</f>
        <v/>
      </c>
      <c r="E145">
        <f>INDEX(FactorTable!$B$2:$Y$301, MATCH(ROUND(MIN(300,MAX(1,D145)),0), FactorTable!$A$2:$A$301,0), Skills!M25+1)</f>
        <v/>
      </c>
      <c r="F145">
        <f>IF(Skills!N25=TRUE,(Skills!L25/10)*(E145/1000),Skills!L25/10)+Skills!O25</f>
        <v/>
      </c>
      <c r="G145">
        <f>Skills!G25*IF(Skills!H25&gt;0,Skills!I25/Skills!H25,1)</f>
        <v/>
      </c>
      <c r="H145">
        <f>1-(1-Skills!J25/100)^Skills!K25</f>
        <v/>
      </c>
      <c r="I145" t="inlineStr">
        <is>
          <t>1</t>
        </is>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Skills!A26</f>
        <v/>
      </c>
      <c r="B146">
        <f>Skills!B26</f>
        <v/>
      </c>
      <c r="C146">
        <f>Inputs!$B$3&gt;=50</f>
        <v/>
      </c>
      <c r="D146">
        <f>IF(Skills!C26=1,60+Inputs!$B$25+Inputs!$B$29,IF(Skills!C26=2,90+Inputs!$B$26+Inputs!$B$29,IF(Skills!C26=3,120+Inputs!$B$27+Inputs!$B$29,MAX(0,(Inputs!$B$3-100)*3)+Inputs!$B$28+Inputs!$B$29)))</f>
        <v/>
      </c>
      <c r="E146">
        <f>INDEX(FactorTable!$B$2:$Y$301, MATCH(ROUND(MIN(300,MAX(1,D146)),0), FactorTable!$A$2:$A$301,0), Skills!M26+1)</f>
        <v/>
      </c>
      <c r="F146">
        <f>IF(Skills!N26=TRUE,(Skills!L26/10)*(E146/1000),Skills!L26/10)+Skills!O26</f>
        <v/>
      </c>
      <c r="G146">
        <f>Skills!G26*IF(Skills!H26&gt;0,Skills!I26/Skills!H26,1)</f>
        <v/>
      </c>
      <c r="H146">
        <f>1-(1-Skills!J26/100)^Skills!K26</f>
        <v/>
      </c>
      <c r="I146" t="inlineStr">
        <is>
          <t>1</t>
        </is>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Skills!A27</f>
        <v/>
      </c>
      <c r="B147">
        <f>Skills!B27</f>
        <v/>
      </c>
      <c r="C147">
        <f>Inputs!$B$3&gt;=38</f>
        <v/>
      </c>
      <c r="D147">
        <f>IF(Skills!C27=1,60+Inputs!$B$25+Inputs!$B$29,IF(Skills!C27=2,90+Inputs!$B$26+Inputs!$B$29,IF(Skills!C27=3,120+Inputs!$B$27+Inputs!$B$29,MAX(0,(Inputs!$B$3-100)*3)+Inputs!$B$28+Inputs!$B$29)))</f>
        <v/>
      </c>
      <c r="E147">
        <f>INDEX(FactorTable!$B$2:$Y$301, MATCH(ROUND(MIN(300,MAX(1,D147)),0), FactorTable!$A$2:$A$301,0), Skills!M27+1)</f>
        <v/>
      </c>
      <c r="F147">
        <f>IF(Skills!N27=TRUE,(Skills!L27/10)*(E147/1000),Skills!L27/10)+Skills!O27</f>
        <v/>
      </c>
      <c r="G147">
        <f>Skills!G27*IF(Skills!H27&gt;0,Skills!I27/Skills!H27,1)</f>
        <v/>
      </c>
      <c r="H147">
        <f>1-(1-Skills!J27/100)^Skills!K27</f>
        <v/>
      </c>
      <c r="I147" t="inlineStr">
        <is>
          <t>1</t>
        </is>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Skills!A28</f>
        <v/>
      </c>
      <c r="B148">
        <f>Skills!B28</f>
        <v/>
      </c>
      <c r="C148">
        <f>Inputs!$B$3&gt;=120</f>
        <v/>
      </c>
      <c r="D148">
        <f>IF(Skills!C28=1,60+Inputs!$B$25+Inputs!$B$29,IF(Skills!C28=2,90+Inputs!$B$26+Inputs!$B$29,IF(Skills!C28=3,120+Inputs!$B$27+Inputs!$B$29,MAX(0,(Inputs!$B$3-100)*3)+Inputs!$B$28+Inputs!$B$29)))</f>
        <v/>
      </c>
      <c r="E148">
        <f>INDEX(FactorTable!$B$2:$Y$301, MATCH(ROUND(MIN(300,MAX(1,D148)),0), FactorTable!$A$2:$A$301,0), Skills!M28+1)</f>
        <v/>
      </c>
      <c r="F148">
        <f>IF(Skills!N28=TRUE,(Skills!L28/10)*(E148/1000),Skills!L28/10)+Skills!O28</f>
        <v/>
      </c>
      <c r="G148">
        <f>Skills!G28*IF(Skills!H28&gt;0,Skills!I28/Skills!H28,1)</f>
        <v/>
      </c>
      <c r="H148">
        <f>1-(1-Skills!J28/100)^Skills!K28</f>
        <v/>
      </c>
      <c r="I148" t="inlineStr">
        <is>
          <t>1</t>
        </is>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Skills!A29</f>
        <v/>
      </c>
      <c r="B149">
        <f>Skills!B29</f>
        <v/>
      </c>
      <c r="C149">
        <f>Inputs!$B$3&gt;=120</f>
        <v/>
      </c>
      <c r="D149">
        <f>IF(Skills!C29=1,60+Inputs!$B$25+Inputs!$B$29,IF(Skills!C29=2,90+Inputs!$B$26+Inputs!$B$29,IF(Skills!C29=3,120+Inputs!$B$27+Inputs!$B$29,MAX(0,(Inputs!$B$3-100)*3)+Inputs!$B$28+Inputs!$B$29)))</f>
        <v/>
      </c>
      <c r="E149">
        <f>INDEX(FactorTable!$B$2:$Y$301, MATCH(ROUND(MIN(300,MAX(1,D149)),0), FactorTable!$A$2:$A$301,0), Skills!M29+1)</f>
        <v/>
      </c>
      <c r="F149">
        <f>IF(Skills!N29=TRUE,(Skills!L29/10)*(E149/1000),Skills!L29/10)+Skills!O29</f>
        <v/>
      </c>
      <c r="G149">
        <f>Skills!G29*IF(Skills!H29&gt;0,Skills!I29/Skills!H29,1)</f>
        <v/>
      </c>
      <c r="H149">
        <f>1-(1-Skills!J29/100)^Skills!K29</f>
        <v/>
      </c>
      <c r="I149" t="inlineStr">
        <is>
          <t>1</t>
        </is>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Skills!A30</f>
        <v/>
      </c>
      <c r="B150">
        <f>Skills!B30</f>
        <v/>
      </c>
      <c r="C150">
        <f>Inputs!$B$3&gt;=125</f>
        <v/>
      </c>
      <c r="D150">
        <f>IF(Skills!C30=1,60+Inputs!$B$25+Inputs!$B$29,IF(Skills!C30=2,90+Inputs!$B$26+Inputs!$B$29,IF(Skills!C30=3,120+Inputs!$B$27+Inputs!$B$29,MAX(0,(Inputs!$B$3-100)*3)+Inputs!$B$28+Inputs!$B$29)))</f>
        <v/>
      </c>
      <c r="E150">
        <f>INDEX(FactorTable!$B$2:$Y$301, MATCH(ROUND(MIN(300,MAX(1,D150)),0), FactorTable!$A$2:$A$301,0), Skills!M30+1)</f>
        <v/>
      </c>
      <c r="F150">
        <f>IF(Skills!N30=TRUE,(Skills!L30/10)*(E150/1000),Skills!L30/10)+Skills!O30</f>
        <v/>
      </c>
      <c r="G150">
        <f>Skills!G30*IF(Skills!H30&gt;0,Skills!I30/Skills!H30,1)</f>
        <v/>
      </c>
      <c r="H150">
        <f>1-(1-Skills!J30/100)^Skills!K30</f>
        <v/>
      </c>
      <c r="I150" t="inlineStr">
        <is>
          <t>1</t>
        </is>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2">
      <c r="A152" t="inlineStr">
        <is>
          <t>Average Buff Multiplier</t>
        </is>
      </c>
      <c r="B152">
        <f>(1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f>
        <v/>
      </c>
    </row>
    <row r="153">
      <c r="A153" t="inlineStr">
        <is>
          <t>Global Crit Rate Bonus %</t>
        </is>
      </c>
      <c r="B153">
        <f>((C140=TRUE)*F140*IF(AND(Inputs!$B$39&lt;&gt;"pvp",Inputs!$B$44&gt;0),(((R140-1)*(Skills!Y20*(1+Inputs!$B$34/100))+MIN((Skills!Y20*(1+Inputs!$B$34/100)),MAX(0,Inputs!$B$44-((R140-1)*Skills!D20))))/Inputs!$B$44),IF(Inputs!$B$39="pvp",MIN((Skills!Y20*(1+Inputs!$B$34/100)),15)/15,(Skills!Y20*(1+Inputs!$B$34/100))/Skills!D20)))</f>
        <v/>
      </c>
    </row>
    <row r="154">
      <c r="A154" t="inlineStr">
        <is>
          <t>Global Monster Damage-Taken Bonus %</t>
        </is>
      </c>
      <c r="B154">
        <f>IF(Inputs!$B$3&gt;=82,15,0)</f>
        <v/>
      </c>
    </row>
    <row r="155">
      <c r="A155" t="inlineStr">
        <is>
          <t>Shadow Partner Average Multiplier</t>
        </is>
      </c>
      <c r="B155">
        <f>1+((C127=TRUE)*F127*(1+3.3333333333333335*IF(C138=TRUE,F138,0)/100)*I127*Skills!J7/100)/100</f>
        <v/>
      </c>
    </row>
    <row r="156">
      <c r="A156" t="inlineStr">
        <is>
          <t>Attack Speed Buff Bonus %</t>
        </is>
      </c>
      <c r="B156">
        <f>((C139=TRUE)*F139*IF(AND(Inputs!$B$39&lt;&gt;"pvp",Inputs!$B$44&gt;0),(((R139-1)*(Skills!Y19*(1+Inputs!$B$34/100))+MIN((Skills!Y19*(1+Inputs!$B$34/100)),MAX(0,Inputs!$B$44-((R139-1)*Skills!D19))))/Inputs!$B$44),IF(Inputs!$B$39="pvp",MIN((Skills!Y19*(1+Inputs!$B$34/100)),15)/15,(Skills!Y19*(1+Inputs!$B$34/100))/Skills!D19)))+((C123=TRUE)*F123*3)</f>
        <v/>
      </c>
    </row>
    <row r="157">
      <c r="A157" t="inlineStr">
        <is>
          <t>Actions Per Second</t>
        </is>
      </c>
      <c r="B157">
        <f>1+MIN(150,150*(1-(1-(Inputs!$B$11+((C142=TRUE)*(F142-Calc!F22)))/150)*(1-B156/150)))/100</f>
        <v/>
      </c>
    </row>
    <row r="158">
      <c r="A158" t="inlineStr">
        <is>
          <t>Skill + Buff Cast Rate</t>
        </is>
      </c>
      <c r="B158">
        <f>IF(AND(Inputs!$B$39&lt;&gt;"pvp",Inputs!$B$44&gt;0),SUMPRODUCT((Skills!E2:E30=TRUE)*(C122:C150=TRUE)*R122:R150*Skills!F2:F30)/Inputs!$B$44,SUMPRODUCT((Skills!E2:E30=TRUE)*(C122:C150=TRUE)*Q122:Q150*Skills!F2:F30))</f>
        <v/>
      </c>
    </row>
    <row r="159">
      <c r="A159" t="inlineStr">
        <is>
          <t>Cruel Stab Casts Per Second</t>
        </is>
      </c>
      <c r="B159">
        <f>MAX(0,B157-B158)</f>
        <v/>
      </c>
    </row>
    <row r="160">
      <c r="A160" t="inlineStr">
        <is>
          <t>Global Critical Damage Bonus % (Smokescreen Mastery Lv.113)</t>
        </is>
      </c>
      <c r="B160">
        <f>IF(Inputs!$B$3&gt;=113,30,0)*IF(AND(Inputs!$B$39&lt;&gt;"pvp",Inputs!$B$44&gt;0),(((R135-1)*(Skills!Y15*(1+Inputs!$B$34/100))+MIN((Skills!Y15*(1+Inputs!$B$34/100)),MAX(0,Inputs!$B$44-((R135-1)*Skills!D15))))/Inputs!$B$44),IF(Inputs!$B$39="pvp",MIN((Skills!Y15*(1+Inputs!$B$34/100)),15)/15,(Skills!Y15*(1+Inputs!$B$34/100))/Skills!D15))</f>
        <v/>
      </c>
    </row>
    <row r="161">
      <c r="A161" t="inlineStr">
        <is>
          <t>Meso Explosion average stack count</t>
        </is>
      </c>
      <c r="B161">
        <f>MIN(10,0.5*B157*Skills!D4)</f>
        <v/>
      </c>
    </row>
    <row r="162">
      <c r="A162" t="inlineStr">
        <is>
          <t>Blood Money average stack count</t>
        </is>
      </c>
      <c r="B162">
        <f>MIN(5,0.25*B157*Skills!D4)</f>
        <v/>
      </c>
    </row>
    <row r="163">
      <c r="A163" t="inlineStr">
        <is>
          <t>Assassinate Murderous Intent Multiplier</t>
        </is>
      </c>
      <c r="B163">
        <f>1+IFERROR(MIN(1,Q134*2/Q131),0)</f>
        <v/>
      </c>
    </row>
    <row r="164">
      <c r="A164" t="inlineStr">
        <is>
          <t>Buff-Casting Startup Delay (s, fixed-duration only)</t>
        </is>
      </c>
      <c r="B164">
        <f>IF(AND(Inputs!$B$39&lt;&gt;"pvp",Inputs!$B$44&gt;0),SUMPRODUCT((Skills!Y2:Y30&gt;0)*(Skills!E2:E30=TRUE)*(C122:C150=TRUE))/B157,0)</f>
        <v/>
      </c>
    </row>
    <row r="165">
      <c r="A165" s="6" t="inlineStr">
        <is>
          <t>TOTAL DPS</t>
        </is>
      </c>
      <c r="B165" s="6">
        <f>SUM(O122:O150)</f>
        <v/>
      </c>
    </row>
    <row r="166">
      <c r="A166" t="inlineStr">
        <is>
          <t>Boss-Only Total DPS (this block's swept value)</t>
        </is>
      </c>
      <c r="B166">
        <f>SUM(T122:T150)</f>
        <v/>
      </c>
    </row>
    <row r="167">
      <c r="A167" t="inlineStr">
        <is>
          <t>Normal-Only Total DPS (this block's swept value)</t>
        </is>
      </c>
      <c r="B167">
        <f>SUM(V122:V150)</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U174+Skills!O2</f>
        <v/>
      </c>
      <c r="G172">
        <f>Skills!G2*IF(Skills!H2&gt;0,Skills!I2/Skills!H2,1)</f>
        <v/>
      </c>
      <c r="H172">
        <f>1-(1-Skills!J2/100)^Skills!K2</f>
        <v/>
      </c>
      <c r="I172" t="inlineStr">
        <is>
          <t>1</t>
        </is>
      </c>
      <c r="J172">
        <f>((Inputs!$B$6*(1+Inputs!$B$7/100))+(((Inputs!$B$12*(1+Inputs!$B$13/100))-(Inputs!$B$12*(1+Inputs!$B$13/100)))+0.25*((Inputs!$B$14+1)-Inputs!$B$14))*(1+Inputs!$B$7/100))*(F172/100)</f>
        <v/>
      </c>
      <c r="K172">
        <f>J172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172)</f>
        <v/>
      </c>
      <c r="L172">
        <f>K172*(MIN(Inputs!$B$22+((C194=TRUE)*(F194-Calc!F24)),(Inputs!$B$23+((C199=TRUE)*(F199-Calc!F29))+IF(ArtifactsInput!$M$15,CHOOSE(ArtifactsInput!$N$15+1,25,30,35,40,45,50)/100*(Inputs!$B$11-Inputs!$B$11),0)))/100+(Inputs!$B$23+((C199=TRUE)*(F199-Calc!F29))+IF(ArtifactsInput!$M$15,CHOOSE(ArtifactsInput!$N$15+1,25,30,35,40,45,50)/100*(Inputs!$B$11-Inputs!$B$11),0))/100)/2</f>
        <v/>
      </c>
      <c r="M172">
        <f>L172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IF(B215=0,0,O172/B215)</f>
        <v/>
      </c>
      <c r="Q172" t="n">
        <v>0</v>
      </c>
      <c r="R172" t="n">
        <v>0</v>
      </c>
      <c r="S172">
        <f>IFERROR(O172/N172,0)</f>
        <v/>
      </c>
      <c r="T172">
        <f>IF(C172,(Skills!G2*N172*B209)*IF(Inputs!$B$39="pvp",1,1+(Inputs!$B$20+0+Skills!P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IF(C172,(Skills!G2*N172*B209)*IF(Inputs!$B$39="pvp",1,(1+(Inputs!$B$21+Skills!Q2+B204+(IF(ArtifactsInput!$M$33,CHOOSE(ArtifactsInput!$N$33+1,30,36,42,48,54,60),0))+(IF(AND(ArtifactsInput!$M$35,Inputs!$B$4&lt;&gt;"Chapter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Skills!G3*IF(Skills!H3&gt;0,Skills!I3/Skills!H3,1)</f>
        <v/>
      </c>
      <c r="H173">
        <f>1-(1-Skills!J3/100)^Skills!K3</f>
        <v/>
      </c>
      <c r="I173" t="inlineStr">
        <is>
          <t>1</t>
        </is>
      </c>
      <c r="J173" t="inlineStr"/>
      <c r="K173" t="inlineStr"/>
      <c r="L173" t="inlineStr"/>
      <c r="M173" t="inlineStr"/>
      <c r="N173" t="inlineStr"/>
      <c r="O173">
        <f>(1-Summary!$B$11)*T173+Summary!$B$11*V173</f>
        <v/>
      </c>
      <c r="P173">
        <f>IF(B215=0,0,O173/B215)</f>
        <v/>
      </c>
      <c r="Q173" t="n">
        <v>0</v>
      </c>
      <c r="R173" t="n">
        <v>0</v>
      </c>
      <c r="S173">
        <f>IFERROR(O173/N173,0)</f>
        <v/>
      </c>
      <c r="T173" t="n">
        <v>0</v>
      </c>
      <c r="U173">
        <f>INDEX(FactorTable!$B$2:$Y$301, MATCH(ROUND(MIN(300,MAX(1,U172)),0), FactorTable!$A$2:$A$301,0), 22)</f>
        <v/>
      </c>
      <c r="V173" t="n">
        <v>0</v>
      </c>
    </row>
    <row r="174">
      <c r="A174">
        <f>Skills!A4</f>
        <v/>
      </c>
      <c r="B174">
        <f>Skills!B4</f>
        <v/>
      </c>
      <c r="C174">
        <f>Inputs!$B$3&gt;=66</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Skills!G4*IF(Skills!H4&gt;0,Skills!I4/Skills!H4,1)</f>
        <v/>
      </c>
      <c r="H174">
        <f>1-(1-Skills!J4/100)^Skills!K4</f>
        <v/>
      </c>
      <c r="I174" t="inlineStr">
        <is>
          <t>1</t>
        </is>
      </c>
      <c r="J174">
        <f>((Inputs!$B$6*(1+Inputs!$B$7/100))+(((Inputs!$B$12*(1+Inputs!$B$13/100))-(Inputs!$B$12*(1+Inputs!$B$13/100)))+0.25*((Inputs!$B$14+1)-Inputs!$B$14))*(1+Inputs!$B$7/100))*(F174/100)</f>
        <v/>
      </c>
      <c r="K174">
        <f>J174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174)</f>
        <v/>
      </c>
      <c r="L174">
        <f>K174*(MIN(Inputs!$B$22+((C194=TRUE)*(F194-Calc!F24)),(Inputs!$B$23+((C199=TRUE)*(F199-Calc!F29))+IF(ArtifactsInput!$M$15,CHOOSE(ArtifactsInput!$N$15+1,25,30,35,40,45,50)/100*(Inputs!$B$11-Inputs!$B$11),0)))/100+(Inputs!$B$23+((C199=TRUE)*(F199-Calc!F29))+IF(ArtifactsInput!$M$15,CHOOSE(ArtifactsInput!$N$15+1,25,30,35,40,45,50)/100*(Inputs!$B$11-Inputs!$B$11),0))/100)/2</f>
        <v/>
      </c>
      <c r="M174">
        <f>L174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IF(B215=0,0,O174/B215)</f>
        <v/>
      </c>
      <c r="Q174">
        <f>IFERROR(1/IF(Inputs!$B$39="pvp",15,MAX(0.1,Skills!D4-IF(Skills!E4=TRUE,Inputs!$B$32,0))),0)</f>
        <v/>
      </c>
      <c r="R174">
        <f>IF(AND(Inputs!$B$39&lt;&gt;"pvp",Inputs!$B$44&gt;0),IF(MAX(0,Inputs!$B$44-B214)&lt;=0,0,(INT(MAX(0,Inputs!$B$44-B214)/IF(Inputs!$B$39="pvp",15,MAX(0.1,Skills!D4-IF(Skills!E4=TRUE,Inputs!$B$32,0))))+1)),0)</f>
        <v/>
      </c>
      <c r="S174">
        <f>IFERROR(O174/N174,0)</f>
        <v/>
      </c>
      <c r="T174">
        <f>IF(C174,(H174*N174*IF(AND(Inputs!$B$39&lt;&gt;"pvp",Inputs!$B$44&gt;0),((Skills!G4*((R174-1)*IF(Skills!H4&gt;0,Skills!I4/Skills!H4,1)+IF(Skills!H4&gt;0,MIN(Skills!I4,MAX(0,MAX(0,Inputs!$B$44-B214)-((R174-1)*IF(Inputs!$B$39="pvp",15,MAX(0.1,Skills!D4-IF(Skills!E4=TRUE,Inputs!$B$32,0))))))/Skills!H4,1)))/Inputs!$B$44),G174*Q174))*IF(Inputs!$B$39="pvp",1,1+(Inputs!$B$20+0+Skills!P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174*(1-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290*U173/1000</f>
        <v/>
      </c>
      <c r="V174">
        <f>IF(C174,(H174*N174*IF(AND(Inputs!$B$39&lt;&gt;"pvp",Inputs!$B$44&gt;0),((Skills!G4*((R174-1)*IF(Skills!H4&gt;0,Skills!I4/Skills!H4,1)+IF(Skills!H4&gt;0,MIN(Skills!I4,MAX(0,MAX(0,Inputs!$B$44-B214)-((R174-1)*IF(Inputs!$B$39="pvp",15,MAX(0.1,Skills!D4-IF(Skills!E4=TRUE,Inputs!$B$32,0))))))/Skills!H4,1)))/Inputs!$B$44),G174*Q174))*IF(Inputs!$B$39="pvp",1,(1+(Inputs!$B$21+Skills!Q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(10,0.5*B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Skills!G5*IF(Skills!H5&gt;0,Skills!I5/Skills!H5,1)</f>
        <v/>
      </c>
      <c r="H175">
        <f>1-(1-Skills!J5/100)^Skills!K5</f>
        <v/>
      </c>
      <c r="I175" t="inlineStr">
        <is>
          <t>1</t>
        </is>
      </c>
      <c r="J175">
        <f>((Inputs!$B$6*(1+Inputs!$B$7/100))+(((Inputs!$B$12*(1+Inputs!$B$13/100))-(Inputs!$B$12*(1+Inputs!$B$13/100)))+0.25*((Inputs!$B$14+1)-Inputs!$B$14))*(1+Inputs!$B$7/100))*(F175/100)</f>
        <v/>
      </c>
      <c r="K175">
        <f>J175*(1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TRUE,F188,0)/100)*(1+(IF(Skills!A5="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175)</f>
        <v/>
      </c>
      <c r="L175">
        <f>K175*(MIN(Inputs!$B$22+((C194=TRUE)*(F194-Calc!F24)),(Inputs!$B$23+((C199=TRUE)*(F199-Calc!F29))+IF(ArtifactsInput!$M$15,CHOOSE(ArtifactsInput!$N$15+1,25,30,35,40,45,50)/100*(Inputs!$B$11-Inputs!$B$11),0)))/100+(Inputs!$B$23+((C199=TRUE)*(F199-Calc!F29))+IF(ArtifactsInput!$M$15,CHOOSE(ArtifactsInput!$N$15+1,25,30,35,40,45,50)/100*(Inputs!$B$11-Inputs!$B$11),0))/100)/2</f>
        <v/>
      </c>
      <c r="M175">
        <f>L175*(1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IF(B215=0,0,O175/B215)</f>
        <v/>
      </c>
      <c r="Q175">
        <f>IFERROR(1/IF(Inputs!$B$39="pvp",15,MAX(0.1,Skills!D5-IF(Skills!E5=TRUE,Inputs!$B$32,0))),0)</f>
        <v/>
      </c>
      <c r="R175">
        <f>IF(AND(Inputs!$B$39&lt;&gt;"pvp",Inputs!$B$44&gt;0),IF(MAX(0,Inputs!$B$44-B214)&lt;=0,0,(INT(MAX(0,Inputs!$B$44-B214)/IF(Inputs!$B$39="pvp",15,MAX(0.1,Skills!D5-IF(Skills!E5=TRUE,Inputs!$B$32,0))))+1)),0)</f>
        <v/>
      </c>
      <c r="S175">
        <f>IFERROR(O175/N175,0)</f>
        <v/>
      </c>
      <c r="T175">
        <f>IF(C175,(H175*N175*IF(AND(Inputs!$B$39&lt;&gt;"pvp",Inputs!$B$44&gt;0),((Skills!G5*((R175-1)*IF(Skills!H5&gt;0,Skills!I5/Skills!H5,1)+IF(Skills!H5&gt;0,MIN(Skills!I5,MAX(0,MAX(0,Inputs!$B$44-B214)-((R175-1)*IF(Inputs!$B$39="pvp",15,MAX(0.1,Skills!D5-IF(Skills!E5=TRUE,Inputs!$B$32,0))))))/Skills!H5,1)))/Inputs!$B$44),G175*Q175))*IF(Inputs!$B$39="pvp",1,1+(Inputs!$B$20+0+Skills!P5+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
        <f>IF(C175,(H175*N175*IF(AND(Inputs!$B$39&lt;&gt;"pvp",Inputs!$B$44&gt;0),((Skills!G5*((R175-1)*IF(Skills!H5&gt;0,Skills!I5/Skills!H5,1)+IF(Skills!H5&gt;0,MIN(Skills!I5,MAX(0,MAX(0,Inputs!$B$44-B214)-((R175-1)*IF(Inputs!$B$39="pvp",15,MAX(0.1,Skills!D5-IF(Skills!E5=TRUE,Inputs!$B$32,0))))))/Skills!H5,1)))/Inputs!$B$44),G175*Q175))*IF(Inputs!$B$39="pvp",1,(1+(Inputs!$B$21+Skills!Q5+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Inputs!$B$3&gt;=69</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Skills!G6*IF(Skills!H6&gt;0,Skills!I6/Skills!H6,1)</f>
        <v/>
      </c>
      <c r="H176">
        <f>1-(1-Skills!J6/100)^Skills!K6</f>
        <v/>
      </c>
      <c r="I176" t="inlineStr">
        <is>
          <t>1</t>
        </is>
      </c>
      <c r="J176">
        <f>((Inputs!$B$6*(1+Inputs!$B$7/100))+(((Inputs!$B$12*(1+Inputs!$B$13/100))-(Inputs!$B$12*(1+Inputs!$B$13/100)))+0.25*((Inputs!$B$14+1)-Inputs!$B$14))*(1+Inputs!$B$7/100))*(F176/100)</f>
        <v/>
      </c>
      <c r="K176">
        <f>J176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TRUE,F188,0)/100)*(1+(IF(Skills!A6="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176)</f>
        <v/>
      </c>
      <c r="L176">
        <f>K176*(MIN(Inputs!$B$22+((C194=TRUE)*(F194-Calc!F24)),(Inputs!$B$23+((C199=TRUE)*(F199-Calc!F29))+IF(ArtifactsInput!$M$15,CHOOSE(ArtifactsInput!$N$15+1,25,30,35,40,45,50)/100*(Inputs!$B$11-Inputs!$B$11),0)))/100+(Inputs!$B$23+((C199=TRUE)*(F199-Calc!F29))+IF(ArtifactsInput!$M$15,CHOOSE(ArtifactsInput!$N$15+1,25,30,35,40,45,50)/100*(Inputs!$B$11-Inputs!$B$11),0))/100)/2</f>
        <v/>
      </c>
      <c r="M176">
        <f>L176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
        <f>L176*(1-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
        <f>(1-Summary!$B$11)*T176+Summary!$B$11*V176</f>
        <v/>
      </c>
      <c r="P176">
        <f>IF(B215=0,0,O176/B215)</f>
        <v/>
      </c>
      <c r="Q176">
        <f>IFERROR(1/IF(Inputs!$B$39="pvp",15,MAX(0.1,Skills!D6-IF(Skills!E6=TRUE,Inputs!$B$32,0))),0)</f>
        <v/>
      </c>
      <c r="R176">
        <f>IF(AND(Inputs!$B$39&lt;&gt;"pvp",Inputs!$B$44&gt;0),IF(MAX(0,Inputs!$B$44-B214)&lt;=0,0,(INT(MAX(0,Inputs!$B$44-B214)/IF(Inputs!$B$39="pvp",15,MAX(0.1,Skills!D6-IF(Skills!E6=TRUE,Inputs!$B$32,0))))+1)),0)</f>
        <v/>
      </c>
      <c r="S176">
        <f>IFERROR(O176/N176,0)</f>
        <v/>
      </c>
      <c r="T176">
        <f>IF(C176,(H176*N176*IF(AND(Inputs!$B$39&lt;&gt;"pvp",Inputs!$B$44&gt;0),((Skills!G6*((R176-1)*IF(Skills!H6&gt;0,Skills!I6/Skills!H6,1)+IF(Skills!H6&gt;0,MIN(Skills!I6,MAX(0,MAX(0,Inputs!$B$44-B214)-((R176-1)*IF(Inputs!$B$39="pvp",15,MAX(0.1,Skills!D6-IF(Skills!E6=TRUE,Inputs!$B$32,0))))))/Skills!H6,1)))/Inputs!$B$44),G176*Q176))*IF(Inputs!$B$39="pvp",1,1+(Inputs!$B$20+0+Skills!P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
        <f>IF(C176,(H176*N176*IF(AND(Inputs!$B$39&lt;&gt;"pvp",Inputs!$B$44&gt;0),((Skills!G6*((R176-1)*IF(Skills!H6&gt;0,Skills!I6/Skills!H6,1)+IF(Skills!H6&gt;0,MIN(Skills!I6,MAX(0,MAX(0,Inputs!$B$44-B214)-((R176-1)*IF(Inputs!$B$39="pvp",15,MAX(0.1,Skills!D6-IF(Skills!E6=TRUE,Inputs!$B$32,0))))))/Skills!H6,1)))/Inputs!$B$44),G176*Q176))*IF(Inputs!$B$39="pvp",1,(1+(Inputs!$B$21+Skills!Q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
      <c r="A177">
        <f>Skills!A7</f>
        <v/>
      </c>
      <c r="B177">
        <f>Skills!B7</f>
        <v/>
      </c>
      <c r="C177">
        <f>Inputs!$B$3&gt;=60</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Skills!G7*IF(Skills!H7&gt;0,Skills!I7/Skills!H7,1)</f>
        <v/>
      </c>
      <c r="H177">
        <f>1-(1-Skills!J7/100)^Skills!K7</f>
        <v/>
      </c>
      <c r="I177" t="inlineStr">
        <is>
          <t>1</t>
        </is>
      </c>
      <c r="J177" t="inlineStr"/>
      <c r="K177" t="inlineStr"/>
      <c r="L177" t="inlineStr"/>
      <c r="M177" t="inlineStr"/>
      <c r="N177" t="inlineStr"/>
      <c r="O177">
        <f>(1-Summary!$B$11)*T177+Summary!$B$11*V177</f>
        <v/>
      </c>
      <c r="P177">
        <f>IF(B215=0,0,O177/B215)</f>
        <v/>
      </c>
      <c r="Q177" t="n">
        <v>0</v>
      </c>
      <c r="R177" t="n">
        <v>0</v>
      </c>
      <c r="S177">
        <f>IFERROR(O177/N177,0)</f>
        <v/>
      </c>
      <c r="T177" t="n">
        <v>0</v>
      </c>
      <c r="V177" t="n">
        <v>0</v>
      </c>
    </row>
    <row r="178">
      <c r="A178">
        <f>Skills!A8</f>
        <v/>
      </c>
      <c r="B178">
        <f>Skills!B8</f>
        <v/>
      </c>
      <c r="C178">
        <f>Inputs!$B$3&gt;=72</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Skills!G8*IF(Skills!H8&gt;0,Skills!I8/Skills!H8,1)</f>
        <v/>
      </c>
      <c r="H178">
        <f>1-(1-Skills!J8/100)^Skills!K8</f>
        <v/>
      </c>
      <c r="I178" t="inlineStr">
        <is>
          <t>1</t>
        </is>
      </c>
      <c r="J178">
        <f>((Inputs!$B$6*(1+Inputs!$B$7/100))+(((Inputs!$B$12*(1+Inputs!$B$13/100))-(Inputs!$B$12*(1+Inputs!$B$13/100)))+0.25*((Inputs!$B$14+1)-Inputs!$B$14))*(1+Inputs!$B$7/100))*(F178/100)</f>
        <v/>
      </c>
      <c r="K178">
        <f>J178*(1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TRUE,F188,0)/100)*(1+(IF(Skills!A8="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178)</f>
        <v/>
      </c>
      <c r="L178">
        <f>K178*(MIN(Inputs!$B$22+((C194=TRUE)*(F194-Calc!F24)),(Inputs!$B$23+((C199=TRUE)*(F199-Calc!F29))+IF(ArtifactsInput!$M$15,CHOOSE(ArtifactsInput!$N$15+1,25,30,35,40,45,50)/100*(Inputs!$B$11-Inputs!$B$11),0)))/100+(Inputs!$B$23+((C199=TRUE)*(F199-Calc!F29))+IF(ArtifactsInput!$M$15,CHOOSE(ArtifactsInput!$N$15+1,25,30,35,40,45,50)/100*(Inputs!$B$11-Inputs!$B$11),0))/100)/2</f>
        <v/>
      </c>
      <c r="M178">
        <f>L178*(1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IF(B215=0,0,O178/B215)</f>
        <v/>
      </c>
      <c r="Q178">
        <f>IFERROR(1/IF(Inputs!$B$39="pvp",15,MAX(0.1,Skills!D8-IF(Skills!E8=TRUE,Inputs!$B$32,0))),0)</f>
        <v/>
      </c>
      <c r="R178">
        <f>IF(AND(Inputs!$B$39&lt;&gt;"pvp",Inputs!$B$44&gt;0),IF(MAX(0,Inputs!$B$44-B214)&lt;=0,0,(INT(MAX(0,Inputs!$B$44-B214)/IF(Inputs!$B$39="pvp",15,MAX(0.1,Skills!D8-IF(Skills!E8=TRUE,Inputs!$B$32,0))))+1)),0)</f>
        <v/>
      </c>
      <c r="S178">
        <f>IFERROR(O178/N178,0)</f>
        <v/>
      </c>
      <c r="T178">
        <f>IF(C178,(H178*N178*IF(AND(Inputs!$B$39&lt;&gt;"pvp",Inputs!$B$44&gt;0),((Skills!G8*((R178-1)*IF(Skills!H8&gt;0,Skills!I8/Skills!H8,1)+IF(Skills!H8&gt;0,MIN(Skills!I8,MAX(0,MAX(0,Inputs!$B$44-B214)-((R178-1)*IF(Inputs!$B$39="pvp",15,MAX(0.1,Skills!D8-IF(Skills!E8=TRUE,Inputs!$B$32,0))))))/Skills!H8,1)))/Inputs!$B$44),G178*Q178))*IF(Inputs!$B$39="pvp",1,1+(Inputs!$B$20+0+Skills!P8+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214)-((R178-1)*IF(Inputs!$B$39="pvp",15,MAX(0.1,Skills!D8-IF(Skills!E8=TRUE,Inputs!$B$32,0))))))/Skills!H8,1)))/Inputs!$B$44),G178*Q178))*IF(Inputs!$B$39="pvp",1,(1+(Inputs!$B$21+Skills!Q8+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Inputs!$B$3&gt;=117</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Skills!G9*IF(Skills!H9&gt;0,Skills!I9/Skills!H9,1)</f>
        <v/>
      </c>
      <c r="H179">
        <f>1-(1-Skills!J9/100)^Skills!K9</f>
        <v/>
      </c>
      <c r="I179" t="inlineStr">
        <is>
          <t>1</t>
        </is>
      </c>
      <c r="J179">
        <f>((Inputs!$B$6*(1+Inputs!$B$7/100))+(((Inputs!$B$12*(1+Inputs!$B$13/100))-(Inputs!$B$12*(1+Inputs!$B$13/100)))+0.25*((Inputs!$B$14+1)-Inputs!$B$14))*(1+Inputs!$B$7/100))*(F179/100)</f>
        <v/>
      </c>
      <c r="K179">
        <f>J179*(1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179)</f>
        <v/>
      </c>
      <c r="L179">
        <f>K179*(MIN(Inputs!$B$22+((C194=TRUE)*(F194-Calc!F24)),(Inputs!$B$23+((C199=TRUE)*(F199-Calc!F29))+IF(ArtifactsInput!$M$15,CHOOSE(ArtifactsInput!$N$15+1,25,30,35,40,45,50)/100*(Inputs!$B$11-Inputs!$B$11),0)))/100+(Inputs!$B$23+((C199=TRUE)*(F199-Calc!F29))+IF(ArtifactsInput!$M$15,CHOOSE(ArtifactsInput!$N$15+1,25,30,35,40,45,50)/100*(Inputs!$B$11-Inputs!$B$11),0))/100)/2</f>
        <v/>
      </c>
      <c r="M179">
        <f>L179*(1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IF(B215=0,0,O179/B215)</f>
        <v/>
      </c>
      <c r="Q179" t="n">
        <v>0</v>
      </c>
      <c r="R179" t="n">
        <v>0</v>
      </c>
      <c r="S179" t="n">
        <v>0</v>
      </c>
      <c r="T179">
        <f>IF(C179,(0.2*SUMPRODUCT((Skills!Z2:Z30=TRUE)*(C172:C200=TRUE)*S172:S200)*N179)*IF(Inputs!$B$39="pvp",1,1+(Inputs!$B$20+0+Skills!P9+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179*(1-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IF(C179,(0.2*SUMPRODUCT((Skills!Z2:Z30=TRUE)*(C172:C200=TRUE)*S172:S200)*N179)*IF(Inputs!$B$39="pvp",1,(1+(Inputs!$B$21+Skills!Q9+B204+(IF(ArtifactsInput!$M$33,CHOOSE(ArtifactsInput!$N$33+1,30,36,42,48,54,60),0))+(IF(AND(ArtifactsInput!$M$35,Inputs!$B$4&lt;&gt;"Chapter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Inputs!$B$3&gt;=74</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Skills!G10*IF(Skills!H10&gt;0,Skills!I10/Skills!H10,1)</f>
        <v/>
      </c>
      <c r="H180">
        <f>1-(1-Skills!J10/100)^Skills!K10</f>
        <v/>
      </c>
      <c r="I180" t="inlineStr">
        <is>
          <t>1</t>
        </is>
      </c>
      <c r="J180" t="inlineStr"/>
      <c r="K180" t="inlineStr"/>
      <c r="L180" t="inlineStr"/>
      <c r="M180" t="inlineStr"/>
      <c r="N180" t="inlineStr"/>
      <c r="O180">
        <f>(1-Summary!$B$11)*T180+Summary!$B$11*V180</f>
        <v/>
      </c>
      <c r="P180">
        <f>IF(B215=0,0,O180/B215)</f>
        <v/>
      </c>
      <c r="Q180">
        <f>IFERROR(1/IF(Inputs!$B$39="pvp",15,MAX(0.1,Skills!D10-IF(Skills!E10=TRUE,Inputs!$B$32,0))),0)</f>
        <v/>
      </c>
      <c r="R180">
        <f>IF(AND(Inputs!$B$39&lt;&gt;"pvp",Inputs!$B$44&gt;0),IF(Inputs!$B$44&lt;=0,0,(INT(Inputs!$B$44/IF(Inputs!$B$39="pvp",15,MAX(0.1,Skills!D10-IF(Skills!E10=TRUE,Inputs!$B$32,0))))+1)),0)</f>
        <v/>
      </c>
      <c r="S180">
        <f>IFERROR(O180/N180,0)</f>
        <v/>
      </c>
      <c r="T180" t="n">
        <v>0</v>
      </c>
      <c r="V180" t="n">
        <v>0</v>
      </c>
    </row>
    <row r="181">
      <c r="A181">
        <f>Skills!A11</f>
        <v/>
      </c>
      <c r="B181">
        <f>Skills!B11</f>
        <v/>
      </c>
      <c r="C181">
        <f>Inputs!$B$3&gt;=103</f>
        <v/>
      </c>
      <c r="D181">
        <f>IF(Skills!C11=1,60+Inputs!$B$25+Inputs!$B$29,IF(Skills!C11=2,90+Inputs!$B$26+Inputs!$B$29,IF(Skills!C11=3,120+Inputs!$B$27+Inputs!$B$29,MAX(0,(Inputs!$B$3-100)*3)+Inputs!$B$28+Inputs!$B$29)))</f>
        <v/>
      </c>
      <c r="E181">
        <f>INDEX(FactorTable!$B$2:$Y$301, MATCH(ROUND(MIN(300,MAX(1,D181)),0), FactorTable!$A$2:$A$301,0), Skills!M11+1)</f>
        <v/>
      </c>
      <c r="F181">
        <f>(Skills!L11/10)*(E181/1000)+IF(Inputs!$B$3&gt;=134,50,0)+0.5*(30000/10)*(INDEX(FactorTable!$B$2:$Y$301, MATCH(ROUND(MIN(300,MAX(1,D181)),0), FactorTable!$A$2:$A$301,0), 13)/1000)*B213</f>
        <v/>
      </c>
      <c r="G181">
        <f>Skills!G11*IF(Skills!H11&gt;0,Skills!I11/Skills!H11,1)</f>
        <v/>
      </c>
      <c r="H181">
        <f>1-(1-Skills!J11/100)^Skills!K11</f>
        <v/>
      </c>
      <c r="I181" t="inlineStr">
        <is>
          <t>1</t>
        </is>
      </c>
      <c r="J181">
        <f>((Inputs!$B$6*(1+Inputs!$B$7/100))+(((Inputs!$B$12*(1+Inputs!$B$13/100))-(Inputs!$B$12*(1+Inputs!$B$13/100)))+0.25*((Inputs!$B$14+1)-Inputs!$B$14))*(1+Inputs!$B$7/100))*(F181/100)</f>
        <v/>
      </c>
      <c r="K181">
        <f>J181*(1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181)</f>
        <v/>
      </c>
      <c r="L181">
        <f>K181*(MIN(Inputs!$B$22+((C194=TRUE)*(F194-Calc!F24)),(Inputs!$B$23+((C199=TRUE)*(F199-Calc!F29))+IF(ArtifactsInput!$M$15,CHOOSE(ArtifactsInput!$N$15+1,25,30,35,40,45,50)/100*(Inputs!$B$11-Inputs!$B$11),0)))/100+(Inputs!$B$23+((C199=TRUE)*(F199-Calc!F29))+IF(ArtifactsInput!$M$15,CHOOSE(ArtifactsInput!$N$15+1,25,30,35,40,45,50)/100*(Inputs!$B$11-Inputs!$B$11),0))/100)/2</f>
        <v/>
      </c>
      <c r="M181">
        <f>L181*(1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
        <f>L181*(1-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
        <f>(1-Summary!$B$11)*T181+Summary!$B$11*V181</f>
        <v/>
      </c>
      <c r="P181">
        <f>IF(B215=0,0,O181/B215)</f>
        <v/>
      </c>
      <c r="Q181">
        <f>IFERROR(1/IF(Inputs!$B$39="pvp",15,MAX(0.1,Skills!D11-IF(Skills!E11=TRUE,Inputs!$B$32,0))),0)</f>
        <v/>
      </c>
      <c r="R181">
        <f>IF(AND(Inputs!$B$39&lt;&gt;"pvp",Inputs!$B$44&gt;0),IF(MAX(0,Inputs!$B$44-B214)&lt;=0,0,(INT(MAX(0,Inputs!$B$44-B214)/IF(Inputs!$B$39="pvp",15,MAX(0.1,Skills!D11-IF(Skills!E11=TRUE,Inputs!$B$32,0))))+1)),0)</f>
        <v/>
      </c>
      <c r="S181">
        <f>IFERROR(O181/N181,0)</f>
        <v/>
      </c>
      <c r="T181">
        <f>IF(C181,(H181*N181*IF(AND(Inputs!$B$39&lt;&gt;"pvp",Inputs!$B$44&gt;0),((Skills!G11*((R181-1)*IF(Skills!H11&gt;0,Skills!I11/Skills!H11,1)+IF(Skills!H11&gt;0,MIN(Skills!I11,MAX(0,MAX(0,Inputs!$B$44-B214)-((R181-1)*IF(Inputs!$B$39="pvp",15,MAX(0.1,Skills!D11-IF(Skills!E11=TRUE,Inputs!$B$32,0))))))/Skills!H11,1)))/Inputs!$B$44),G181*Q181))*IF(Inputs!$B$39="pvp",1,1+(Inputs!$B$20+0+Skills!P11+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
        <f>IF(C181,(H181*N181*IF(AND(Inputs!$B$39&lt;&gt;"pvp",Inputs!$B$44&gt;0),((Skills!G11*((R181-1)*IF(Skills!H11&gt;0,Skills!I11/Skills!H11,1)+IF(Skills!H11&gt;0,MIN(Skills!I11,MAX(0,MAX(0,Inputs!$B$44-B214)-((R181-1)*IF(Inputs!$B$39="pvp",15,MAX(0.1,Skills!D11-IF(Skills!E11=TRUE,Inputs!$B$32,0))))))/Skills!H11,1)))/Inputs!$B$44),G181*Q181))*IF(Inputs!$B$39="pvp",1,(1+(Inputs!$B$21+Skills!Q11+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
      <c r="A182">
        <f>Skills!A12</f>
        <v/>
      </c>
      <c r="B182">
        <f>Skills!B12</f>
        <v/>
      </c>
      <c r="C182">
        <f>Inputs!$B$3&gt;=105</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Skills!G12*IF(Skills!H12&gt;0,Skills!I12/Skills!H12,1)</f>
        <v/>
      </c>
      <c r="H182">
        <f>1-(1-Skills!J12/100)^Skills!K12</f>
        <v/>
      </c>
      <c r="I182" t="inlineStr">
        <is>
          <t>1</t>
        </is>
      </c>
      <c r="J182">
        <f>((Inputs!$B$6*(1+Inputs!$B$7/100))+(((Inputs!$B$12*(1+Inputs!$B$13/100))-(Inputs!$B$12*(1+Inputs!$B$13/100)))+0.25*((Inputs!$B$14+1)-Inputs!$B$14))*(1+Inputs!$B$7/100))*(F182/100)</f>
        <v/>
      </c>
      <c r="K182">
        <f>J182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182)</f>
        <v/>
      </c>
      <c r="L182">
        <f>K182*(MIN(Inputs!$B$22+((C194=TRUE)*(F194-Calc!F24)),(Inputs!$B$23+((C199=TRUE)*(F199-Calc!F29))+IF(ArtifactsInput!$M$15,CHOOSE(ArtifactsInput!$N$15+1,25,30,35,40,45,50)/100*(Inputs!$B$11-Inputs!$B$11),0)))/100+(Inputs!$B$23+((C199=TRUE)*(F199-Calc!F29))+IF(ArtifactsInput!$M$15,CHOOSE(ArtifactsInput!$N$15+1,25,30,35,40,45,50)/100*(Inputs!$B$11-Inputs!$B$11),0))/100)/2</f>
        <v/>
      </c>
      <c r="M182">
        <f>L182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IF(B215=0,0,O182/B215)</f>
        <v/>
      </c>
      <c r="Q182">
        <f>IFERROR(1/IF(Inputs!$B$39="pvp",15,MAX(0.1,Skills!D12-IF(Skills!E12=TRUE,Inputs!$B$32,0))),0)</f>
        <v/>
      </c>
      <c r="R182">
        <f>IF(AND(Inputs!$B$39&lt;&gt;"pvp",Inputs!$B$44&gt;0),IF(MAX(0,Inputs!$B$44-B214)&lt;=0,0,(INT(MAX(0,Inputs!$B$44-B214)/IF(Inputs!$B$39="pvp",15,MAX(0.1,Skills!D12-IF(Skills!E12=TRUE,Inputs!$B$32,0))))+1)),0)</f>
        <v/>
      </c>
      <c r="S182">
        <f>IFERROR(O182/N182,0)</f>
        <v/>
      </c>
      <c r="T182">
        <f>IF(C182,(H182*N182*IF(AND(Inputs!$B$39&lt;&gt;"pvp",Inputs!$B$44&gt;0),((Skills!G12*((R182-1)*IF(Skills!H12&gt;0,Skills!I12/Skills!H12,1)+IF(Skills!H12&gt;0,MIN(Skills!I12,MAX(0,MAX(0,Inputs!$B$44-B214)-((R182-1)*IF(Inputs!$B$39="pvp",15,MAX(0.1,Skills!D12-IF(Skills!E12=TRUE,Inputs!$B$32,0))))))/Skills!H12,1)))/Inputs!$B$44),G182*Q182))*IF(Inputs!$B$39="pvp",1,1+(Inputs!$B$20+0+Skills!P12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214)-((R182-1)*IF(Inputs!$B$39="pvp",15,MAX(0.1,Skills!D12-IF(Skills!E12=TRUE,Inputs!$B$32,0))))))/Skills!H12,1)))/Inputs!$B$44),G182*Q182))*IF(Inputs!$B$39="pvp",1,(1+(Inputs!$B$21+Skills!Q12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Skills!G13*IF(Skills!H13&gt;0,Skills!I13/Skills!H13,1)</f>
        <v/>
      </c>
      <c r="H183">
        <f>1-(1-Skills!J13/100)^Skills!K13</f>
        <v/>
      </c>
      <c r="I183" t="inlineStr">
        <is>
          <t>1</t>
        </is>
      </c>
      <c r="J183">
        <f>((Inputs!$B$6*(1+Inputs!$B$7/100))+(((Inputs!$B$12*(1+Inputs!$B$13/100))-(Inputs!$B$12*(1+Inputs!$B$13/100)))+0.25*((Inputs!$B$14+1)-Inputs!$B$14))*(1+Inputs!$B$7/100))*(F183/100)</f>
        <v/>
      </c>
      <c r="K183">
        <f>J183*(1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183)</f>
        <v/>
      </c>
      <c r="L183">
        <f>K183*(MIN(Inputs!$B$22+((C194=TRUE)*(F194-Calc!F24)),(Inputs!$B$23+((C199=TRUE)*(F199-Calc!F29))+IF(ArtifactsInput!$M$15,CHOOSE(ArtifactsInput!$N$15+1,25,30,35,40,45,50)/100*(Inputs!$B$11-Inputs!$B$11),0)))/100+(Inputs!$B$23+((C199=TRUE)*(F199-Calc!F29))+IF(ArtifactsInput!$M$15,CHOOSE(ArtifactsInput!$N$15+1,25,30,35,40,45,50)/100*(Inputs!$B$11-Inputs!$B$11),0))/100)/2</f>
        <v/>
      </c>
      <c r="M183">
        <f>L183*(1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IF(B215=0,0,O183/B215)</f>
        <v/>
      </c>
      <c r="Q183">
        <f>IFERROR(1/IF(Inputs!$B$39="pvp",15,MAX(0.1,Skills!D13-IF(Skills!E13=TRUE,Inputs!$B$32,0))),0)</f>
        <v/>
      </c>
      <c r="R183">
        <f>IF(AND(Inputs!$B$39&lt;&gt;"pvp",Inputs!$B$44&gt;0),IF(MAX(0,Inputs!$B$44-B214)&lt;=0,0,(INT(MAX(0,Inputs!$B$44-B214)/IF(Inputs!$B$39="pvp",15,MAX(0.1,Skills!D13-IF(Skills!E13=TRUE,Inputs!$B$32,0))))+1)),0)</f>
        <v/>
      </c>
      <c r="S183">
        <f>IFERROR(O183/N183,0)</f>
        <v/>
      </c>
      <c r="T183">
        <f>IF(C183,(H183*N183*IF(AND(Inputs!$B$39&lt;&gt;"pvp",Inputs!$B$44&gt;0),((Skills!G13*((R183-1)*IF(Skills!H13&gt;0,Skills!I13/Skills!H13,1)+IF(Skills!H13&gt;0,MIN(Skills!I13,MAX(0,MAX(0,Inputs!$B$44-B214)-((R183-1)*IF(Inputs!$B$39="pvp",15,MAX(0.1,Skills!D13-IF(Skills!E13=TRUE,Inputs!$B$32,0))))))/Skills!H13,1)))/Inputs!$B$44),G183*Q183))*IF(Inputs!$B$39="pvp",1,1+(Inputs!$B$20+0+Skills!P13+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214)-((R183-1)*IF(Inputs!$B$39="pvp",15,MAX(0.1,Skills!D13-IF(Skills!E13=TRUE,Inputs!$B$32,0))))))/Skills!H13,1)))/Inputs!$B$44),G183*Q183))*IF(Inputs!$B$39="pvp",1,(1+(Inputs!$B$21+Skills!Q13+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Inputs!$B$3&gt;=107</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Skills!G14*IF(Skills!H14&gt;0,Skills!I14/Skills!H14,1)</f>
        <v/>
      </c>
      <c r="H184">
        <f>1-(1-Skills!J14/100)^Skills!K14</f>
        <v/>
      </c>
      <c r="I184" t="inlineStr">
        <is>
          <t>1</t>
        </is>
      </c>
      <c r="J184">
        <f>((Inputs!$B$6*(1+Inputs!$B$7/100))+(((Inputs!$B$12*(1+Inputs!$B$13/100))-(Inputs!$B$12*(1+Inputs!$B$13/100)))+0.25*((Inputs!$B$14+1)-Inputs!$B$14))*(1+Inputs!$B$7/100))*(F184/100)</f>
        <v/>
      </c>
      <c r="K184">
        <f>J184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184)</f>
        <v/>
      </c>
      <c r="L184">
        <f>K184*(MIN(Inputs!$B$22+((C194=TRUE)*(F194-Calc!F24)),(Inputs!$B$23+((C199=TRUE)*(F199-Calc!F29))+IF(ArtifactsInput!$M$15,CHOOSE(ArtifactsInput!$N$15+1,25,30,35,40,45,50)/100*(Inputs!$B$11-Inputs!$B$11),0)))/100+(Inputs!$B$23+((C199=TRUE)*(F199-Calc!F29))+IF(ArtifactsInput!$M$15,CHOOSE(ArtifactsInput!$N$15+1,25,30,35,40,45,50)/100*(Inputs!$B$11-Inputs!$B$11),0))/100)/2</f>
        <v/>
      </c>
      <c r="M184">
        <f>L184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IF(B215=0,0,O184/B215)</f>
        <v/>
      </c>
      <c r="Q184">
        <f>IFERROR(1/IF(Inputs!$B$39="pvp",15,MAX(0.1,Skills!D14-IF(Skills!E14=TRUE,Inputs!$B$32,0))),0)</f>
        <v/>
      </c>
      <c r="R184">
        <f>IF(AND(Inputs!$B$39&lt;&gt;"pvp",Inputs!$B$44&gt;0),IF(MAX(0,Inputs!$B$44-B214)&lt;=0,0,(INT(MAX(0,Inputs!$B$44-B214)/IF(Inputs!$B$39="pvp",15,MAX(0.1,Skills!D14-IF(Skills!E14=TRUE,Inputs!$B$32,0))))+1)),0)</f>
        <v/>
      </c>
      <c r="S184">
        <f>IFERROR(O184/N184,0)</f>
        <v/>
      </c>
      <c r="T184">
        <f>IF(C184,(H184*N184*IF(AND(Inputs!$B$39&lt;&gt;"pvp",Inputs!$B$44&gt;0),((Skills!G14*((R184-1)*IF(Skills!H14&gt;0,Skills!I14/Skills!H14,1)+IF(Skills!H14&gt;0,MIN(Skills!I14,MAX(0,MAX(0,Inputs!$B$44-B214)-((R184-1)*IF(Inputs!$B$39="pvp",15,MAX(0.1,Skills!D14-IF(Skills!E14=TRUE,Inputs!$B$32,0))))))/Skills!H14,1)))/Inputs!$B$44),G184*Q184))*IF(Inputs!$B$39="pvp",1,1+(Inputs!$B$20+0+Skills!P14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184*(1-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214)-((R184-1)*IF(Inputs!$B$39="pvp",15,MAX(0.1,Skills!D14-IF(Skills!E14=TRUE,Inputs!$B$32,0))))))/Skills!H14,1)))/Inputs!$B$44),G184*Q184))*IF(Inputs!$B$39="pvp",1,(1+(Inputs!$B$21+Skills!Q14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(5,0.25*B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Skills!G15*IF(Skills!H15&gt;0,Skills!I15/Skills!H15,1)</f>
        <v/>
      </c>
      <c r="H185">
        <f>1-(1-Skills!J15/100)^Skills!K15</f>
        <v/>
      </c>
      <c r="I185" t="inlineStr">
        <is>
          <t>1</t>
        </is>
      </c>
      <c r="J185" t="inlineStr"/>
      <c r="K185" t="inlineStr"/>
      <c r="L185" t="inlineStr"/>
      <c r="M185" t="inlineStr"/>
      <c r="N185" t="inlineStr"/>
      <c r="O185">
        <f>(1-Summary!$B$11)*T185+Summary!$B$11*V185</f>
        <v/>
      </c>
      <c r="P185">
        <f>IF(B215=0,0,O185/B215)</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Inputs!$B$3&gt;=115</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Skills!G16*IF(Skills!H16&gt;0,Skills!I16/Skills!H16,1)</f>
        <v/>
      </c>
      <c r="H186">
        <f>1-(1-Skills!J16/100)^Skills!K16</f>
        <v/>
      </c>
      <c r="I186" t="inlineStr">
        <is>
          <t>1</t>
        </is>
      </c>
      <c r="J186">
        <f>((Inputs!$B$6*(1+Inputs!$B$7/100))+(((Inputs!$B$12*(1+Inputs!$B$13/100))-(Inputs!$B$12*(1+Inputs!$B$13/100)))+0.25*((Inputs!$B$14+1)-Inputs!$B$14))*(1+Inputs!$B$7/100))*(F186/100)</f>
        <v/>
      </c>
      <c r="K186">
        <f>J186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197=TRUE)*(F197-Calc!F27))+((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186)</f>
        <v/>
      </c>
      <c r="L186">
        <f>K186*(MIN(Inputs!$B$22+((C194=TRUE)*(F194-Calc!F24)),(Inputs!$B$23+((C199=TRUE)*(F199-Calc!F29))+IF(ArtifactsInput!$M$15,CHOOSE(ArtifactsInput!$N$15+1,25,30,35,40,45,50)/100*(Inputs!$B$11-Inputs!$B$11),0)))/100+(Inputs!$B$23+((C199=TRUE)*(F199-Calc!F29))+IF(ArtifactsInput!$M$15,CHOOSE(ArtifactsInput!$N$15+1,25,30,35,40,45,50)/100*(Inputs!$B$11-Inputs!$B$11),0))/100)/2</f>
        <v/>
      </c>
      <c r="M186">
        <f>L186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
        <f>L186*(1-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MIN((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
        <f>(1-Summary!$B$11)*T186+Summary!$B$11*V186</f>
        <v/>
      </c>
      <c r="P186">
        <f>IF(B215=0,0,O186/B215)</f>
        <v/>
      </c>
      <c r="Q186" t="n">
        <v>0</v>
      </c>
      <c r="R186" t="n">
        <v>0</v>
      </c>
      <c r="S186">
        <f>IFERROR(O186/N186,0)</f>
        <v/>
      </c>
      <c r="T186">
        <f>IF(C186,(Inputs!$B$38*0.2*N186)*IF(Inputs!$B$39="pvp",1,1+(Inputs!$B$20+0+Skills!P16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MIN(100,(Inputs!$B$9+((C195=TRUE)*(F195-Calc!F25))+B203+(ArtifactsInput!$M$24-ArtifactsInput!$M$24)*CHOOSE(ArtifactsInput!$N$24+1,10,12,14,16,18,20)+(IF(AND(Inputs!$B$39&lt;&gt;"pvp",Inputs!$B$44=0),1,IF(IF(Inputs!$B$39="pvp",15,Inputs!$B$44)-(B214)&lt;=0,1,MAX(0,IF(Inputs!$B$39="pvp",15,Inputs!$B$44)-MAX(5,B214))/(IF(Inputs!$B$39="pvp",15,Inputs!$B$44)-(B214))))*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
        <f>IF(C186,(Inputs!$B$38*0.2*N186)*IF(Inputs!$B$39="pvp",1,(1+(Inputs!$B$21+Skills!Q16+B204+(IF(ArtifactsInput!$M$33,CHOOSE(ArtifactsInput!$N$33+1,30,36,42,48,54,60),0))+(IF(AND(ArtifactsInput!$M$35,Inputs!$B$4&lt;&gt;"Chapter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Skills!G17*IF(Skills!H17&gt;0,Skills!I17/Skills!H17,1)</f>
        <v/>
      </c>
      <c r="H187">
        <f>1-(1-Skills!J17/100)^Skills!K17</f>
        <v/>
      </c>
      <c r="I187" t="inlineStr">
        <is>
          <t>1</t>
        </is>
      </c>
      <c r="J187" t="inlineStr"/>
      <c r="K187" t="inlineStr"/>
      <c r="L187" t="inlineStr"/>
      <c r="M187" t="inlineStr"/>
      <c r="N187" t="inlineStr"/>
      <c r="O187">
        <f>(1-Summary!$B$11)*T187+Summary!$B$11*V187</f>
        <v/>
      </c>
      <c r="P187">
        <f>IF(B215=0,0,O187/B215)</f>
        <v/>
      </c>
      <c r="Q187" t="n">
        <v>0</v>
      </c>
      <c r="R187" t="n">
        <v>0</v>
      </c>
      <c r="S187">
        <f>IFERROR(O187/N187,0)</f>
        <v/>
      </c>
      <c r="T187" t="n">
        <v>0</v>
      </c>
      <c r="V187" t="n">
        <v>0</v>
      </c>
    </row>
    <row r="188">
      <c r="A188">
        <f>Skills!A18</f>
        <v/>
      </c>
      <c r="B188">
        <f>Skills!B18</f>
        <v/>
      </c>
      <c r="C188">
        <f>Inputs!$B$3&gt;=100</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Skills!G18*IF(Skills!H18&gt;0,Skills!I18/Skills!H18,1)</f>
        <v/>
      </c>
      <c r="H188">
        <f>1-(1-Skills!J18/100)^Skills!K18</f>
        <v/>
      </c>
      <c r="I188" t="inlineStr">
        <is>
          <t>1</t>
        </is>
      </c>
      <c r="J188" t="inlineStr"/>
      <c r="K188" t="inlineStr"/>
      <c r="L188" t="inlineStr"/>
      <c r="M188" t="inlineStr"/>
      <c r="N188" t="inlineStr"/>
      <c r="O188">
        <f>(1-Summary!$B$11)*T188+Summary!$B$11*V188</f>
        <v/>
      </c>
      <c r="P188">
        <f>IF(B215=0,0,O188/B215)</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Skills!G19*IF(Skills!H19&gt;0,Skills!I19/Skills!H19,1)</f>
        <v/>
      </c>
      <c r="H189">
        <f>1-(1-Skills!J19/100)^Skills!K19</f>
        <v/>
      </c>
      <c r="I189" t="inlineStr">
        <is>
          <t>1</t>
        </is>
      </c>
      <c r="J189" t="inlineStr"/>
      <c r="K189" t="inlineStr"/>
      <c r="L189" t="inlineStr"/>
      <c r="M189" t="inlineStr"/>
      <c r="N189" t="inlineStr"/>
      <c r="O189">
        <f>(1-Summary!$B$11)*T189+Summary!$B$11*V189</f>
        <v/>
      </c>
      <c r="P189">
        <f>IF(B215=0,0,O189/B215)</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Skills!G20*IF(Skills!H20&gt;0,Skills!I20/Skills!H20,1)</f>
        <v/>
      </c>
      <c r="H190">
        <f>1-(1-Skills!J20/100)^Skills!K20</f>
        <v/>
      </c>
      <c r="I190" t="inlineStr">
        <is>
          <t>1</t>
        </is>
      </c>
      <c r="J190" t="inlineStr"/>
      <c r="K190" t="inlineStr"/>
      <c r="L190" t="inlineStr"/>
      <c r="M190" t="inlineStr"/>
      <c r="N190" t="inlineStr"/>
      <c r="O190">
        <f>(1-Summary!$B$11)*T190+Summary!$B$11*V190</f>
        <v/>
      </c>
      <c r="P190">
        <f>IF(B215=0,0,O190/B215)</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Skills!G21*IF(Skills!H21&gt;0,Skills!I21/Skills!H21,1)</f>
        <v/>
      </c>
      <c r="H191">
        <f>1-(1-Skills!J21/100)^Skills!K21</f>
        <v/>
      </c>
      <c r="I191" t="inlineStr">
        <is>
          <t>1</t>
        </is>
      </c>
      <c r="J191" t="inlineStr"/>
      <c r="K191" t="inlineStr"/>
      <c r="L191" t="inlineStr"/>
      <c r="M191" t="inlineStr"/>
      <c r="N191" t="inlineStr"/>
      <c r="O191">
        <f>(1-Summary!$B$11)*T191+Summary!$B$11*V191</f>
        <v/>
      </c>
      <c r="P191">
        <f>IF(B215=0,0,O191/B215)</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Skills!G22*IF(Skills!H22&gt;0,Skills!I22/Skills!H22,1)</f>
        <v/>
      </c>
      <c r="H192">
        <f>1-(1-Skills!J22/100)^Skills!K22</f>
        <v/>
      </c>
      <c r="I192" t="inlineStr">
        <is>
          <t>1</t>
        </is>
      </c>
      <c r="J192" t="inlineStr"/>
      <c r="K192" t="inlineStr"/>
      <c r="L192" t="inlineStr"/>
      <c r="M192" t="inlineStr"/>
      <c r="N192" t="inlineStr"/>
      <c r="O192">
        <f>(1-Summary!$B$11)*T192+Summary!$B$11*V192</f>
        <v/>
      </c>
      <c r="P192">
        <f>IF(B215=0,0,O192/B215)</f>
        <v/>
      </c>
      <c r="Q192" t="n">
        <v>0</v>
      </c>
      <c r="R192" t="n">
        <v>0</v>
      </c>
      <c r="S192">
        <f>IFERROR(O192/N192,0)</f>
        <v/>
      </c>
      <c r="T192" t="n">
        <v>0</v>
      </c>
      <c r="V192" t="n">
        <v>0</v>
      </c>
    </row>
    <row r="193">
      <c r="A193">
        <f>Skills!A23</f>
        <v/>
      </c>
      <c r="B193">
        <f>Skills!B23</f>
        <v/>
      </c>
      <c r="C193">
        <f>Inputs!$B$3&gt;=40</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Skills!G23*IF(Skills!H23&gt;0,Skills!I23/Skills!H23,1)</f>
        <v/>
      </c>
      <c r="H193">
        <f>1-(1-Skills!J23/100)^Skills!K23</f>
        <v/>
      </c>
      <c r="I193" t="inlineStr">
        <is>
          <t>1</t>
        </is>
      </c>
      <c r="J193" t="inlineStr"/>
      <c r="K193" t="inlineStr"/>
      <c r="L193" t="inlineStr"/>
      <c r="M193" t="inlineStr"/>
      <c r="N193" t="inlineStr"/>
      <c r="O193">
        <f>(1-Summary!$B$11)*T193+Summary!$B$11*V193</f>
        <v/>
      </c>
      <c r="P193">
        <f>IF(B215=0,0,O193/B215)</f>
        <v/>
      </c>
      <c r="Q193" t="n">
        <v>0</v>
      </c>
      <c r="R193" t="n">
        <v>0</v>
      </c>
      <c r="S193">
        <f>IFERROR(O193/N193,0)</f>
        <v/>
      </c>
      <c r="T193" t="n">
        <v>0</v>
      </c>
      <c r="V193" t="n">
        <v>0</v>
      </c>
    </row>
    <row r="194">
      <c r="A194">
        <f>Skills!A24</f>
        <v/>
      </c>
      <c r="B194">
        <f>Skills!B24</f>
        <v/>
      </c>
      <c r="C194">
        <f>Inputs!$B$3&gt;=43</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Skills!G24*IF(Skills!H24&gt;0,Skills!I24/Skills!H24,1)</f>
        <v/>
      </c>
      <c r="H194">
        <f>1-(1-Skills!J24/100)^Skills!K24</f>
        <v/>
      </c>
      <c r="I194" t="inlineStr">
        <is>
          <t>1</t>
        </is>
      </c>
      <c r="J194" t="inlineStr"/>
      <c r="K194" t="inlineStr"/>
      <c r="L194" t="inlineStr"/>
      <c r="M194" t="inlineStr"/>
      <c r="N194" t="inlineStr"/>
      <c r="O194">
        <f>(1-Summary!$B$11)*T194+Summary!$B$11*V194</f>
        <v/>
      </c>
      <c r="P194">
        <f>IF(B215=0,0,O194/B215)</f>
        <v/>
      </c>
      <c r="Q194" t="n">
        <v>0</v>
      </c>
      <c r="R194" t="n">
        <v>0</v>
      </c>
      <c r="S194">
        <f>IFERROR(O194/N194,0)</f>
        <v/>
      </c>
      <c r="T194" t="n">
        <v>0</v>
      </c>
      <c r="V194" t="n">
        <v>0</v>
      </c>
    </row>
    <row r="195">
      <c r="A195">
        <f>Skills!A25</f>
        <v/>
      </c>
      <c r="B195">
        <f>Skills!B25</f>
        <v/>
      </c>
      <c r="C195">
        <f>Inputs!$B$3&gt;=50</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Skills!G25*IF(Skills!H25&gt;0,Skills!I25/Skills!H25,1)</f>
        <v/>
      </c>
      <c r="H195">
        <f>1-(1-Skills!J25/100)^Skills!K25</f>
        <v/>
      </c>
      <c r="I195" t="inlineStr">
        <is>
          <t>1</t>
        </is>
      </c>
      <c r="J195" t="inlineStr"/>
      <c r="K195" t="inlineStr"/>
      <c r="L195" t="inlineStr"/>
      <c r="M195" t="inlineStr"/>
      <c r="N195" t="inlineStr"/>
      <c r="O195">
        <f>(1-Summary!$B$11)*T195+Summary!$B$11*V195</f>
        <v/>
      </c>
      <c r="P195">
        <f>IF(B215=0,0,O195/B215)</f>
        <v/>
      </c>
      <c r="Q195" t="n">
        <v>0</v>
      </c>
      <c r="R195" t="n">
        <v>0</v>
      </c>
      <c r="S195">
        <f>IFERROR(O195/N195,0)</f>
        <v/>
      </c>
      <c r="T195" t="n">
        <v>0</v>
      </c>
      <c r="V195" t="n">
        <v>0</v>
      </c>
    </row>
    <row r="196">
      <c r="A196">
        <f>Skills!A26</f>
        <v/>
      </c>
      <c r="B196">
        <f>Skills!B26</f>
        <v/>
      </c>
      <c r="C196">
        <f>Inputs!$B$3&gt;=50</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Skills!G26*IF(Skills!H26&gt;0,Skills!I26/Skills!H26,1)</f>
        <v/>
      </c>
      <c r="H196">
        <f>1-(1-Skills!J26/100)^Skills!K26</f>
        <v/>
      </c>
      <c r="I196" t="inlineStr">
        <is>
          <t>1</t>
        </is>
      </c>
      <c r="J196" t="inlineStr"/>
      <c r="K196" t="inlineStr"/>
      <c r="L196" t="inlineStr"/>
      <c r="M196" t="inlineStr"/>
      <c r="N196" t="inlineStr"/>
      <c r="O196">
        <f>(1-Summary!$B$11)*T196+Summary!$B$11*V196</f>
        <v/>
      </c>
      <c r="P196">
        <f>IF(B215=0,0,O196/B215)</f>
        <v/>
      </c>
      <c r="Q196" t="n">
        <v>0</v>
      </c>
      <c r="R196" t="n">
        <v>0</v>
      </c>
      <c r="S196">
        <f>IFERROR(O196/N196,0)</f>
        <v/>
      </c>
      <c r="T196" t="n">
        <v>0</v>
      </c>
      <c r="V196" t="n">
        <v>0</v>
      </c>
    </row>
    <row r="197">
      <c r="A197">
        <f>Skills!A27</f>
        <v/>
      </c>
      <c r="B197">
        <f>Skills!B27</f>
        <v/>
      </c>
      <c r="C197">
        <f>Inputs!$B$3&gt;=38</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Skills!G27*IF(Skills!H27&gt;0,Skills!I27/Skills!H27,1)</f>
        <v/>
      </c>
      <c r="H197">
        <f>1-(1-Skills!J27/100)^Skills!K27</f>
        <v/>
      </c>
      <c r="I197" t="inlineStr">
        <is>
          <t>1</t>
        </is>
      </c>
      <c r="J197" t="inlineStr"/>
      <c r="K197" t="inlineStr"/>
      <c r="L197" t="inlineStr"/>
      <c r="M197" t="inlineStr"/>
      <c r="N197" t="inlineStr"/>
      <c r="O197">
        <f>(1-Summary!$B$11)*T197+Summary!$B$11*V197</f>
        <v/>
      </c>
      <c r="P197">
        <f>IF(B215=0,0,O197/B215)</f>
        <v/>
      </c>
      <c r="Q197" t="n">
        <v>0</v>
      </c>
      <c r="R197" t="n">
        <v>0</v>
      </c>
      <c r="S197">
        <f>IFERROR(O197/N197,0)</f>
        <v/>
      </c>
      <c r="T197" t="n">
        <v>0</v>
      </c>
      <c r="V197" t="n">
        <v>0</v>
      </c>
    </row>
    <row r="198">
      <c r="A198">
        <f>Skills!A28</f>
        <v/>
      </c>
      <c r="B198">
        <f>Skills!B28</f>
        <v/>
      </c>
      <c r="C198">
        <f>Inputs!$B$3&gt;=120</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Skills!G28*IF(Skills!H28&gt;0,Skills!I28/Skills!H28,1)</f>
        <v/>
      </c>
      <c r="H198">
        <f>1-(1-Skills!J28/100)^Skills!K28</f>
        <v/>
      </c>
      <c r="I198" t="inlineStr">
        <is>
          <t>1</t>
        </is>
      </c>
      <c r="J198" t="inlineStr"/>
      <c r="K198" t="inlineStr"/>
      <c r="L198" t="inlineStr"/>
      <c r="M198" t="inlineStr"/>
      <c r="N198" t="inlineStr"/>
      <c r="O198">
        <f>(1-Summary!$B$11)*T198+Summary!$B$11*V198</f>
        <v/>
      </c>
      <c r="P198">
        <f>IF(B215=0,0,O198/B215)</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Skills!G29*IF(Skills!H29&gt;0,Skills!I29/Skills!H29,1)</f>
        <v/>
      </c>
      <c r="H199">
        <f>1-(1-Skills!J29/100)^Skills!K29</f>
        <v/>
      </c>
      <c r="I199" t="inlineStr">
        <is>
          <t>1</t>
        </is>
      </c>
      <c r="J199" t="inlineStr"/>
      <c r="K199" t="inlineStr"/>
      <c r="L199" t="inlineStr"/>
      <c r="M199" t="inlineStr"/>
      <c r="N199" t="inlineStr"/>
      <c r="O199">
        <f>(1-Summary!$B$11)*T199+Summary!$B$11*V199</f>
        <v/>
      </c>
      <c r="P199">
        <f>IF(B215=0,0,O199/B215)</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Skills!G30*IF(Skills!H30&gt;0,Skills!I30/Skills!H30,1)</f>
        <v/>
      </c>
      <c r="H200">
        <f>1-(1-Skills!J30/100)^Skills!K30</f>
        <v/>
      </c>
      <c r="I200" t="inlineStr">
        <is>
          <t>1</t>
        </is>
      </c>
      <c r="J200" t="inlineStr"/>
      <c r="K200" t="inlineStr"/>
      <c r="L200" t="inlineStr"/>
      <c r="M200" t="inlineStr"/>
      <c r="N200" t="inlineStr"/>
      <c r="O200">
        <f>(1-Summary!$B$11)*T200+Summary!$B$11*V200</f>
        <v/>
      </c>
      <c r="P200">
        <f>IF(B215=0,0,O200/B215)</f>
        <v/>
      </c>
      <c r="Q200" t="n">
        <v>0</v>
      </c>
      <c r="R200" t="n">
        <v>0</v>
      </c>
      <c r="S200">
        <f>IFERROR(O200/N200,0)</f>
        <v/>
      </c>
      <c r="T200" t="n">
        <v>0</v>
      </c>
      <c r="V200" t="n">
        <v>0</v>
      </c>
    </row>
    <row r="202">
      <c r="A202" t="inlineStr">
        <is>
          <t>Average Buff Multiplier</t>
        </is>
      </c>
      <c r="B202">
        <f>(1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f>
        <v/>
      </c>
    </row>
    <row r="203">
      <c r="A203" t="inlineStr">
        <is>
          <t>Global Crit Rate Bonus %</t>
        </is>
      </c>
      <c r="B203">
        <f>((C190=TRUE)*F190*IF(AND(Inputs!$B$39&lt;&gt;"pvp",Inputs!$B$44&gt;0),(((R190-1)*(Skills!Y20*(1+Inputs!$B$34/100))+MIN((Skills!Y20*(1+Inputs!$B$34/100)),MAX(0,Inputs!$B$44-((R190-1)*Skills!D20))))/Inputs!$B$44),IF(Inputs!$B$39="pvp",MIN((Skills!Y20*(1+Inputs!$B$34/100)),15)/15,(Skills!Y20*(1+Inputs!$B$34/100))/Skills!D20)))</f>
        <v/>
      </c>
    </row>
    <row r="204">
      <c r="A204" t="inlineStr">
        <is>
          <t>Global Monster Damage-Taken Bonus %</t>
        </is>
      </c>
      <c r="B204">
        <f>IF(Inputs!$B$3&gt;=82,15,0)</f>
        <v/>
      </c>
    </row>
    <row r="205">
      <c r="A205" t="inlineStr">
        <is>
          <t>Shadow Partner Average Multiplier</t>
        </is>
      </c>
      <c r="B205">
        <f>1+((C177=TRUE)*F177*(1+3.3333333333333335*IF(C188=TRUE,F188,0)/100)*I177*Skills!J7/100)/100</f>
        <v/>
      </c>
    </row>
    <row r="206">
      <c r="A206" t="inlineStr">
        <is>
          <t>Attack Speed Buff Bonus %</t>
        </is>
      </c>
      <c r="B206">
        <f>((C189=TRUE)*F189*IF(AND(Inputs!$B$39&lt;&gt;"pvp",Inputs!$B$44&gt;0),(((R189-1)*(Skills!Y19*(1+Inputs!$B$34/100))+MIN((Skills!Y19*(1+Inputs!$B$34/100)),MAX(0,Inputs!$B$44-((R189-1)*Skills!D19))))/Inputs!$B$44),IF(Inputs!$B$39="pvp",MIN((Skills!Y19*(1+Inputs!$B$34/100)),15)/15,(Skills!Y19*(1+Inputs!$B$34/100))/Skills!D19)))+((C173=TRUE)*F173*3)</f>
        <v/>
      </c>
    </row>
    <row r="207">
      <c r="A207" t="inlineStr">
        <is>
          <t>Actions Per Second</t>
        </is>
      </c>
      <c r="B207">
        <f>1+MIN(150,150*(1-(1-(Inputs!$B$11+((C192=TRUE)*(F192-Calc!F22)))/150)*(1-B206/150)))/100</f>
        <v/>
      </c>
    </row>
    <row r="208">
      <c r="A208" t="inlineStr">
        <is>
          <t>Skill + Buff Cast Rate</t>
        </is>
      </c>
      <c r="B208">
        <f>IF(AND(Inputs!$B$39&lt;&gt;"pvp",Inputs!$B$44&gt;0),SUMPRODUCT((Skills!E2:E30=TRUE)*(C172:C200=TRUE)*R172:R200*Skills!F2:F30)/Inputs!$B$44,SUMPRODUCT((Skills!E2:E30=TRUE)*(C172:C200=TRUE)*Q172:Q200*Skills!F2:F30))</f>
        <v/>
      </c>
    </row>
    <row r="209">
      <c r="A209" t="inlineStr">
        <is>
          <t>Cruel Stab Casts Per Second</t>
        </is>
      </c>
      <c r="B209">
        <f>MAX(0,B207-B208)</f>
        <v/>
      </c>
    </row>
    <row r="210">
      <c r="A210" t="inlineStr">
        <is>
          <t>Global Critical Damage Bonus % (Smokescreen Mastery Lv.113)</t>
        </is>
      </c>
      <c r="B210">
        <f>IF(Inputs!$B$3&gt;=113,30,0)*IF(AND(Inputs!$B$39&lt;&gt;"pvp",Inputs!$B$44&gt;0),(((R185-1)*(Skills!Y15*(1+Inputs!$B$34/100))+MIN((Skills!Y15*(1+Inputs!$B$34/100)),MAX(0,Inputs!$B$44-((R185-1)*Skills!D15))))/Inputs!$B$44),IF(Inputs!$B$39="pvp",MIN((Skills!Y15*(1+Inputs!$B$34/100)),15)/15,(Skills!Y15*(1+Inputs!$B$34/100))/Skills!D15))</f>
        <v/>
      </c>
    </row>
    <row r="211">
      <c r="A211" t="inlineStr">
        <is>
          <t>Meso Explosion average stack count</t>
        </is>
      </c>
      <c r="B211">
        <f>MIN(10,0.5*B207*Skills!D4)</f>
        <v/>
      </c>
    </row>
    <row r="212">
      <c r="A212" t="inlineStr">
        <is>
          <t>Blood Money average stack count</t>
        </is>
      </c>
      <c r="B212">
        <f>MIN(5,0.25*B207*Skills!D4)</f>
        <v/>
      </c>
    </row>
    <row r="213">
      <c r="A213" t="inlineStr">
        <is>
          <t>Assassinate Murderous Intent Multiplier</t>
        </is>
      </c>
      <c r="B213">
        <f>1+IFERROR(MIN(1,Q184*2/Q181),0)</f>
        <v/>
      </c>
    </row>
    <row r="214">
      <c r="A214" t="inlineStr">
        <is>
          <t>Buff-Casting Startup Delay (s, fixed-duration only)</t>
        </is>
      </c>
      <c r="B214">
        <f>IF(AND(Inputs!$B$39&lt;&gt;"pvp",Inputs!$B$44&gt;0),SUMPRODUCT((Skills!Y2:Y30&gt;0)*(Skills!E2:E30=TRUE)*(C172:C200=TRUE))/B207,0)</f>
        <v/>
      </c>
    </row>
    <row r="215">
      <c r="A215" s="6" t="inlineStr">
        <is>
          <t>TOTAL DPS</t>
        </is>
      </c>
      <c r="B215" s="6">
        <f>SUM(O172:O200)</f>
        <v/>
      </c>
    </row>
    <row r="216">
      <c r="A216" t="inlineStr">
        <is>
          <t>Boss-Only Total DPS (this block's swept value)</t>
        </is>
      </c>
      <c r="B216">
        <f>SUM(T172:T200)</f>
        <v/>
      </c>
    </row>
    <row r="217">
      <c r="A217" t="inlineStr">
        <is>
          <t>Normal-Only Total DPS (this block's swept value)</t>
        </is>
      </c>
      <c r="B217">
        <f>SUM(V172:V200)</f>
        <v/>
      </c>
    </row>
    <row r="220">
      <c r="A220" s="6" t="inlineStr">
        <is>
          <t>Stat: DAMAGE %</t>
        </is>
      </c>
    </row>
    <row r="221">
      <c r="A221" s="5" t="inlineStr">
        <is>
          <t>Key</t>
        </is>
      </c>
      <c r="B221" s="5" t="inlineStr">
        <is>
          <t>Name</t>
        </is>
      </c>
      <c r="C221" s="5" t="inlineStr">
        <is>
          <t>Unlocked</t>
        </is>
      </c>
      <c r="D221" s="5" t="inlineStr">
        <is>
          <t>InputLevel</t>
        </is>
      </c>
      <c r="E221" s="5" t="inlineStr">
        <is>
          <t>Factor</t>
        </is>
      </c>
      <c r="F221" s="5" t="inlineStr">
        <is>
          <t>CoefficientPercent</t>
        </is>
      </c>
      <c r="G221" s="5" t="inlineStr">
        <is>
          <t>EffectiveHits</t>
        </is>
      </c>
      <c r="H221" s="5" t="inlineStr">
        <is>
          <t>ProcProbability</t>
        </is>
      </c>
      <c r="I221" s="5" t="inlineStr">
        <is>
          <t>MapleHeroMultiplier</t>
        </is>
      </c>
      <c r="J221" s="5" t="inlineStr">
        <is>
          <t>BaseDamage</t>
        </is>
      </c>
      <c r="K221" s="5" t="inlineStr">
        <is>
          <t>BaseHitDamage</t>
        </is>
      </c>
      <c r="L221" s="5" t="inlineStr">
        <is>
          <t>NonCritAvg</t>
        </is>
      </c>
      <c r="M221" s="5" t="inlineStr">
        <is>
          <t>CritAvg</t>
        </is>
      </c>
      <c r="N221" s="5" t="inlineStr">
        <is>
          <t>ExpectedDamage(perHit)</t>
        </is>
      </c>
      <c r="O221" s="5" t="inlineStr">
        <is>
          <t>DPS</t>
        </is>
      </c>
      <c r="P221" s="5" t="inlineStr">
        <is>
          <t>% of Total</t>
        </is>
      </c>
      <c r="Q221" s="5" t="inlineStr">
        <is>
          <t>InvCooldown</t>
        </is>
      </c>
      <c r="R221" s="5" t="inlineStr">
        <is>
          <t>CastsInFight</t>
        </is>
      </c>
      <c r="S221" s="5" t="inlineStr">
        <is>
          <t>HitRate(perSec)</t>
        </is>
      </c>
      <c r="U221" t="inlineStr">
        <is>
          <t>helpers</t>
        </is>
      </c>
    </row>
    <row r="222">
      <c r="A222">
        <f>Skills!A2</f>
        <v/>
      </c>
      <c r="B222">
        <f>Skills!B2</f>
        <v/>
      </c>
      <c r="C222">
        <f>Inputs!$B$3&gt;=100</f>
        <v/>
      </c>
      <c r="D222" t="inlineStr"/>
      <c r="E222" t="inlineStr"/>
      <c r="F222">
        <f>U224+Skills!O2</f>
        <v/>
      </c>
      <c r="G222">
        <f>Skills!G2*IF(Skills!H2&gt;0,Skills!I2/Skills!H2,1)</f>
        <v/>
      </c>
      <c r="H222">
        <f>1-(1-Skills!J2/100)^Skills!K2</f>
        <v/>
      </c>
      <c r="I222" t="inlineStr">
        <is>
          <t>1</t>
        </is>
      </c>
      <c r="J222">
        <f>((Inputs!$B$6*(1+Inputs!$B$7/100))+(((Inputs!$B$12*(1+Inputs!$B$13/100))-(Inputs!$B$12*(1+Inputs!$B$13/100)))+0.25*(Inputs!$B$14-Inputs!$B$14))*(1+Inputs!$B$7/100))*(F222/100)</f>
        <v/>
      </c>
      <c r="K222">
        <f>J222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222)</f>
        <v/>
      </c>
      <c r="L222">
        <f>K222*(MIN(Inputs!$B$22+((C244=TRUE)*(F244-Calc!F24)),(Inputs!$B$23+((C249=TRUE)*(F249-Calc!F29))+IF(ArtifactsInput!$M$15,CHOOSE(ArtifactsInput!$N$15+1,25,30,35,40,45,50)/100*(Inputs!$B$11-Inputs!$B$11),0)))/100+(Inputs!$B$23+((C249=TRUE)*(F249-Calc!F29))+IF(ArtifactsInput!$M$15,CHOOSE(ArtifactsInput!$N$15+1,25,30,35,40,45,50)/100*(Inputs!$B$11-Inputs!$B$11),0))/100)/2</f>
        <v/>
      </c>
      <c r="M222">
        <f>L222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IF(B265=0,0,O222/B265)</f>
        <v/>
      </c>
      <c r="Q222" t="n">
        <v>0</v>
      </c>
      <c r="R222" t="n">
        <v>0</v>
      </c>
      <c r="S222">
        <f>IFERROR(O222/N222,0)</f>
        <v/>
      </c>
      <c r="T222">
        <f>IF(C222,(Skills!G2*N222*B259)*IF(Inputs!$B$39="pvp",1,1+(Inputs!$B$20+0+Skills!P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MAX(0,(Inputs!$B$3-100)*3)+Inputs!$B$28+Inputs!$B$29</f>
        <v/>
      </c>
      <c r="V222">
        <f>IF(C222,(Skills!G2*N222*B259)*IF(Inputs!$B$39="pvp",1,(1+(Inputs!$B$21+Skills!Q2+B254+(IF(ArtifactsInput!$M$33,CHOOSE(ArtifactsInput!$N$33+1,30,36,42,48,54,60),0))+(IF(AND(ArtifactsInput!$M$35,Inputs!$B$4&lt;&gt;"Chapter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Skills!A3</f>
        <v/>
      </c>
      <c r="B223">
        <f>Skills!B3</f>
        <v/>
      </c>
      <c r="C223">
        <f>Inputs!$B$3&gt;=35</f>
        <v/>
      </c>
      <c r="D223">
        <f>IF(Skills!C3=1,60+Inputs!$B$25+Inputs!$B$29,IF(Skills!C3=2,90+Inputs!$B$26+Inputs!$B$29,IF(Skills!C3=3,120+Inputs!$B$27+Inputs!$B$29,MAX(0,(Inputs!$B$3-100)*3)+Inputs!$B$28+Inputs!$B$29)))</f>
        <v/>
      </c>
      <c r="E223">
        <f>INDEX(FactorTable!$B$2:$Y$301, MATCH(ROUND(MIN(300,MAX(1,D223)),0), FactorTable!$A$2:$A$301,0), Skills!M3+1)</f>
        <v/>
      </c>
      <c r="F223">
        <f>IF(Skills!N3=TRUE,(Skills!L3/10)*(E223/1000),Skills!L3/10)+Skills!O3</f>
        <v/>
      </c>
      <c r="G223">
        <f>Skills!G3*IF(Skills!H3&gt;0,Skills!I3/Skills!H3,1)</f>
        <v/>
      </c>
      <c r="H223">
        <f>1-(1-Skills!J3/100)^Skills!K3</f>
        <v/>
      </c>
      <c r="I223" t="inlineStr">
        <is>
          <t>1</t>
        </is>
      </c>
      <c r="J223" t="inlineStr"/>
      <c r="K223" t="inlineStr"/>
      <c r="L223" t="inlineStr"/>
      <c r="M223" t="inlineStr"/>
      <c r="N223" t="inlineStr"/>
      <c r="O223">
        <f>(1-Summary!$B$11)*T223+Summary!$B$11*V223</f>
        <v/>
      </c>
      <c r="P223">
        <f>IF(B265=0,0,O223/B265)</f>
        <v/>
      </c>
      <c r="Q223" t="n">
        <v>0</v>
      </c>
      <c r="R223" t="n">
        <v>0</v>
      </c>
      <c r="S223">
        <f>IFERROR(O223/N223,0)</f>
        <v/>
      </c>
      <c r="T223" t="n">
        <v>0</v>
      </c>
      <c r="U223">
        <f>INDEX(FactorTable!$B$2:$Y$301, MATCH(ROUND(MIN(300,MAX(1,U222)),0), FactorTable!$A$2:$A$301,0), 22)</f>
        <v/>
      </c>
      <c r="V223" t="n">
        <v>0</v>
      </c>
    </row>
    <row r="224">
      <c r="A224">
        <f>Skills!A4</f>
        <v/>
      </c>
      <c r="B224">
        <f>Skills!B4</f>
        <v/>
      </c>
      <c r="C224">
        <f>Inputs!$B$3&gt;=66</f>
        <v/>
      </c>
      <c r="D224">
        <f>IF(Skills!C4=1,60+Inputs!$B$25+Inputs!$B$29,IF(Skills!C4=2,90+Inputs!$B$26+Inputs!$B$29,IF(Skills!C4=3,120+Inputs!$B$27+Inputs!$B$29,MAX(0,(Inputs!$B$3-100)*3)+Inputs!$B$28+Inputs!$B$29)))</f>
        <v/>
      </c>
      <c r="E224">
        <f>INDEX(FactorTable!$B$2:$Y$301, MATCH(ROUND(MIN(300,MAX(1,D224)),0), FactorTable!$A$2:$A$301,0), Skills!M4+1)</f>
        <v/>
      </c>
      <c r="F224">
        <f>IF(Skills!N4=TRUE,(Skills!L4/10)*(E224/1000),Skills!L4/10)+Skills!O4</f>
        <v/>
      </c>
      <c r="G224">
        <f>Skills!G4*IF(Skills!H4&gt;0,Skills!I4/Skills!H4,1)</f>
        <v/>
      </c>
      <c r="H224">
        <f>1-(1-Skills!J4/100)^Skills!K4</f>
        <v/>
      </c>
      <c r="I224" t="inlineStr">
        <is>
          <t>1</t>
        </is>
      </c>
      <c r="J224">
        <f>((Inputs!$B$6*(1+Inputs!$B$7/100))+(((Inputs!$B$12*(1+Inputs!$B$13/100))-(Inputs!$B$12*(1+Inputs!$B$13/100)))+0.25*(Inputs!$B$14-Inputs!$B$14))*(1+Inputs!$B$7/100))*(F224/100)</f>
        <v/>
      </c>
      <c r="K224">
        <f>J224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224)</f>
        <v/>
      </c>
      <c r="L224">
        <f>K224*(MIN(Inputs!$B$22+((C244=TRUE)*(F244-Calc!F24)),(Inputs!$B$23+((C249=TRUE)*(F249-Calc!F29))+IF(ArtifactsInput!$M$15,CHOOSE(ArtifactsInput!$N$15+1,25,30,35,40,45,50)/100*(Inputs!$B$11-Inputs!$B$11),0)))/100+(Inputs!$B$23+((C249=TRUE)*(F249-Calc!F29))+IF(ArtifactsInput!$M$15,CHOOSE(ArtifactsInput!$N$15+1,25,30,35,40,45,50)/100*(Inputs!$B$11-Inputs!$B$11),0))/100)/2</f>
        <v/>
      </c>
      <c r="M224">
        <f>L224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IF(B265=0,0,O224/B265)</f>
        <v/>
      </c>
      <c r="Q224">
        <f>IFERROR(1/IF(Inputs!$B$39="pvp",15,MAX(0.1,Skills!D4-IF(Skills!E4=TRUE,Inputs!$B$32,0))),0)</f>
        <v/>
      </c>
      <c r="R224">
        <f>IF(AND(Inputs!$B$39&lt;&gt;"pvp",Inputs!$B$44&gt;0),IF(MAX(0,Inputs!$B$44-B264)&lt;=0,0,(INT(MAX(0,Inputs!$B$44-B264)/IF(Inputs!$B$39="pvp",15,MAX(0.1,Skills!D4-IF(Skills!E4=TRUE,Inputs!$B$32,0))))+1)),0)</f>
        <v/>
      </c>
      <c r="S224">
        <f>IFERROR(O224/N224,0)</f>
        <v/>
      </c>
      <c r="T224">
        <f>IF(C224,(H224*N224*IF(AND(Inputs!$B$39&lt;&gt;"pvp",Inputs!$B$44&gt;0),((Skills!G4*((R224-1)*IF(Skills!H4&gt;0,Skills!I4/Skills!H4,1)+IF(Skills!H4&gt;0,MIN(Skills!I4,MAX(0,MAX(0,Inputs!$B$44-B264)-((R224-1)*IF(Inputs!$B$39="pvp",15,MAX(0.1,Skills!D4-IF(Skills!E4=TRUE,Inputs!$B$32,0))))))/Skills!H4,1)))/Inputs!$B$44),G224*Q224))*IF(Inputs!$B$39="pvp",1,1+(Inputs!$B$20+0+Skills!P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224*(1-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290*U223/1000</f>
        <v/>
      </c>
      <c r="V224">
        <f>IF(C224,(H224*N224*IF(AND(Inputs!$B$39&lt;&gt;"pvp",Inputs!$B$44&gt;0),((Skills!G4*((R224-1)*IF(Skills!H4&gt;0,Skills!I4/Skills!H4,1)+IF(Skills!H4&gt;0,MIN(Skills!I4,MAX(0,MAX(0,Inputs!$B$44-B264)-((R224-1)*IF(Inputs!$B$39="pvp",15,MAX(0.1,Skills!D4-IF(Skills!E4=TRUE,Inputs!$B$32,0))))))/Skills!H4,1)))/Inputs!$B$44),G224*Q224))*IF(Inputs!$B$39="pvp",1,(1+(Inputs!$B$21+Skills!Q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(10,0.5*B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Skills!A5</f>
        <v/>
      </c>
      <c r="B225">
        <f>Skills!B5</f>
        <v/>
      </c>
      <c r="C225">
        <f>Inputs!$B$3&gt;=63</f>
        <v/>
      </c>
      <c r="D225">
        <f>IF(Skills!C5=1,60+Inputs!$B$25+Inputs!$B$29,IF(Skills!C5=2,90+Inputs!$B$26+Inputs!$B$29,IF(Skills!C5=3,120+Inputs!$B$27+Inputs!$B$29,MAX(0,(Inputs!$B$3-100)*3)+Inputs!$B$28+Inputs!$B$29)))</f>
        <v/>
      </c>
      <c r="E225">
        <f>INDEX(FactorTable!$B$2:$Y$301, MATCH(ROUND(MIN(300,MAX(1,D225)),0), FactorTable!$A$2:$A$301,0), Skills!M5+1)</f>
        <v/>
      </c>
      <c r="F225">
        <f>IF(Skills!N5=TRUE,(Skills!L5/10)*(E225/1000),Skills!L5/10)+Skills!O5</f>
        <v/>
      </c>
      <c r="G225">
        <f>Skills!G5*IF(Skills!H5&gt;0,Skills!I5/Skills!H5,1)</f>
        <v/>
      </c>
      <c r="H225">
        <f>1-(1-Skills!J5/100)^Skills!K5</f>
        <v/>
      </c>
      <c r="I225" t="inlineStr">
        <is>
          <t>1</t>
        </is>
      </c>
      <c r="J225">
        <f>((Inputs!$B$6*(1+Inputs!$B$7/100))+(((Inputs!$B$12*(1+Inputs!$B$13/100))-(Inputs!$B$12*(1+Inputs!$B$13/100)))+0.25*(Inputs!$B$14-Inputs!$B$14))*(1+Inputs!$B$7/100))*(F225/100)</f>
        <v/>
      </c>
      <c r="K225">
        <f>J225*(1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TRUE,F238,0)/100)*(1+(IF(Skills!A5="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225)</f>
        <v/>
      </c>
      <c r="L225">
        <f>K225*(MIN(Inputs!$B$22+((C244=TRUE)*(F244-Calc!F24)),(Inputs!$B$23+((C249=TRUE)*(F249-Calc!F29))+IF(ArtifactsInput!$M$15,CHOOSE(ArtifactsInput!$N$15+1,25,30,35,40,45,50)/100*(Inputs!$B$11-Inputs!$B$11),0)))/100+(Inputs!$B$23+((C249=TRUE)*(F249-Calc!F29))+IF(ArtifactsInput!$M$15,CHOOSE(ArtifactsInput!$N$15+1,25,30,35,40,45,50)/100*(Inputs!$B$11-Inputs!$B$11),0))/100)/2</f>
        <v/>
      </c>
      <c r="M225">
        <f>L225*(1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5">
        <f>L225*(1-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
        <f>(1-Summary!$B$11)*T225+Summary!$B$11*V225</f>
        <v/>
      </c>
      <c r="P225">
        <f>IF(B265=0,0,O225/B265)</f>
        <v/>
      </c>
      <c r="Q225">
        <f>IFERROR(1/IF(Inputs!$B$39="pvp",15,MAX(0.1,Skills!D5-IF(Skills!E5=TRUE,Inputs!$B$32,0))),0)</f>
        <v/>
      </c>
      <c r="R225">
        <f>IF(AND(Inputs!$B$39&lt;&gt;"pvp",Inputs!$B$44&gt;0),IF(MAX(0,Inputs!$B$44-B264)&lt;=0,0,(INT(MAX(0,Inputs!$B$44-B264)/IF(Inputs!$B$39="pvp",15,MAX(0.1,Skills!D5-IF(Skills!E5=TRUE,Inputs!$B$32,0))))+1)),0)</f>
        <v/>
      </c>
      <c r="S225">
        <f>IFERROR(O225/N225,0)</f>
        <v/>
      </c>
      <c r="T225">
        <f>IF(C225,(H225*N225*IF(AND(Inputs!$B$39&lt;&gt;"pvp",Inputs!$B$44&gt;0),((Skills!G5*((R225-1)*IF(Skills!H5&gt;0,Skills!I5/Skills!H5,1)+IF(Skills!H5&gt;0,MIN(Skills!I5,MAX(0,MAX(0,Inputs!$B$44-B264)-((R225-1)*IF(Inputs!$B$39="pvp",15,MAX(0.1,Skills!D5-IF(Skills!E5=TRUE,Inputs!$B$32,0))))))/Skills!H5,1)))/Inputs!$B$44),G225*Q225))*IF(Inputs!$B$39="pvp",1,1+(Inputs!$B$20+0+Skills!P5+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225*(1-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5">
        <f>IF(C225,(H225*N225*IF(AND(Inputs!$B$39&lt;&gt;"pvp",Inputs!$B$44&gt;0),((Skills!G5*((R225-1)*IF(Skills!H5&gt;0,Skills!I5/Skills!H5,1)+IF(Skills!H5&gt;0,MIN(Skills!I5,MAX(0,MAX(0,Inputs!$B$44-B264)-((R225-1)*IF(Inputs!$B$39="pvp",15,MAX(0.1,Skills!D5-IF(Skills!E5=TRUE,Inputs!$B$32,0))))))/Skills!H5,1)))/Inputs!$B$44),G225*Q225))*IF(Inputs!$B$39="pvp",1,(1+(Inputs!$B$21+Skills!Q5+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
      <c r="A226">
        <f>Skills!A6</f>
        <v/>
      </c>
      <c r="B226">
        <f>Skills!B6</f>
        <v/>
      </c>
      <c r="C226">
        <f>Inputs!$B$3&gt;=69</f>
        <v/>
      </c>
      <c r="D226">
        <f>IF(Skills!C6=1,60+Inputs!$B$25+Inputs!$B$29,IF(Skills!C6=2,90+Inputs!$B$26+Inputs!$B$29,IF(Skills!C6=3,120+Inputs!$B$27+Inputs!$B$29,MAX(0,(Inputs!$B$3-100)*3)+Inputs!$B$28+Inputs!$B$29)))</f>
        <v/>
      </c>
      <c r="E226">
        <f>INDEX(FactorTable!$B$2:$Y$301, MATCH(ROUND(MIN(300,MAX(1,D226)),0), FactorTable!$A$2:$A$301,0), Skills!M6+1)</f>
        <v/>
      </c>
      <c r="F226">
        <f>IF(Skills!N6=TRUE,(Skills!L6/10)*(E226/1000),Skills!L6/10)+Skills!O6</f>
        <v/>
      </c>
      <c r="G226">
        <f>Skills!G6*IF(Skills!H6&gt;0,Skills!I6/Skills!H6,1)</f>
        <v/>
      </c>
      <c r="H226">
        <f>1-(1-Skills!J6/100)^Skills!K6</f>
        <v/>
      </c>
      <c r="I226" t="inlineStr">
        <is>
          <t>1</t>
        </is>
      </c>
      <c r="J226">
        <f>((Inputs!$B$6*(1+Inputs!$B$7/100))+(((Inputs!$B$12*(1+Inputs!$B$13/100))-(Inputs!$B$12*(1+Inputs!$B$13/100)))+0.25*(Inputs!$B$14-Inputs!$B$14))*(1+Inputs!$B$7/100))*(F226/100)</f>
        <v/>
      </c>
      <c r="K226">
        <f>J226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TRUE,F238,0)/100)*(1+(IF(Skills!A6="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226)</f>
        <v/>
      </c>
      <c r="L226">
        <f>K226*(MIN(Inputs!$B$22+((C244=TRUE)*(F244-Calc!F24)),(Inputs!$B$23+((C249=TRUE)*(F249-Calc!F29))+IF(ArtifactsInput!$M$15,CHOOSE(ArtifactsInput!$N$15+1,25,30,35,40,45,50)/100*(Inputs!$B$11-Inputs!$B$11),0)))/100+(Inputs!$B$23+((C249=TRUE)*(F249-Calc!F29))+IF(ArtifactsInput!$M$15,CHOOSE(ArtifactsInput!$N$15+1,25,30,35,40,45,50)/100*(Inputs!$B$11-Inputs!$B$11),0))/100)/2</f>
        <v/>
      </c>
      <c r="M226">
        <f>L226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
        <f>L226*(1-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
        <f>(1-Summary!$B$11)*T226+Summary!$B$11*V226</f>
        <v/>
      </c>
      <c r="P226">
        <f>IF(B265=0,0,O226/B265)</f>
        <v/>
      </c>
      <c r="Q226">
        <f>IFERROR(1/IF(Inputs!$B$39="pvp",15,MAX(0.1,Skills!D6-IF(Skills!E6=TRUE,Inputs!$B$32,0))),0)</f>
        <v/>
      </c>
      <c r="R226">
        <f>IF(AND(Inputs!$B$39&lt;&gt;"pvp",Inputs!$B$44&gt;0),IF(MAX(0,Inputs!$B$44-B264)&lt;=0,0,(INT(MAX(0,Inputs!$B$44-B264)/IF(Inputs!$B$39="pvp",15,MAX(0.1,Skills!D6-IF(Skills!E6=TRUE,Inputs!$B$32,0))))+1)),0)</f>
        <v/>
      </c>
      <c r="S226">
        <f>IFERROR(O226/N226,0)</f>
        <v/>
      </c>
      <c r="T226">
        <f>IF(C226,(H226*N226*IF(AND(Inputs!$B$39&lt;&gt;"pvp",Inputs!$B$44&gt;0),((Skills!G6*((R226-1)*IF(Skills!H6&gt;0,Skills!I6/Skills!H6,1)+IF(Skills!H6&gt;0,MIN(Skills!I6,MAX(0,MAX(0,Inputs!$B$44-B264)-((R226-1)*IF(Inputs!$B$39="pvp",15,MAX(0.1,Skills!D6-IF(Skills!E6=TRUE,Inputs!$B$32,0))))))/Skills!H6,1)))/Inputs!$B$44),G226*Q226))*IF(Inputs!$B$39="pvp",1,1+(Inputs!$B$20+0+Skills!P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
        <f>IF(C226,(H226*N226*IF(AND(Inputs!$B$39&lt;&gt;"pvp",Inputs!$B$44&gt;0),((Skills!G6*((R226-1)*IF(Skills!H6&gt;0,Skills!I6/Skills!H6,1)+IF(Skills!H6&gt;0,MIN(Skills!I6,MAX(0,MAX(0,Inputs!$B$44-B264)-((R226-1)*IF(Inputs!$B$39="pvp",15,MAX(0.1,Skills!D6-IF(Skills!E6=TRUE,Inputs!$B$32,0))))))/Skills!H6,1)))/Inputs!$B$44),G226*Q226))*IF(Inputs!$B$39="pvp",1,(1+(Inputs!$B$21+Skills!Q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
      <c r="A227">
        <f>Skills!A7</f>
        <v/>
      </c>
      <c r="B227">
        <f>Skills!B7</f>
        <v/>
      </c>
      <c r="C227">
        <f>Inputs!$B$3&gt;=60</f>
        <v/>
      </c>
      <c r="D227">
        <f>IF(Skills!C7=1,60+Inputs!$B$25+Inputs!$B$29,IF(Skills!C7=2,90+Inputs!$B$26+Inputs!$B$29,IF(Skills!C7=3,120+Inputs!$B$27+Inputs!$B$29,MAX(0,(Inputs!$B$3-100)*3)+Inputs!$B$28+Inputs!$B$29)))</f>
        <v/>
      </c>
      <c r="E227">
        <f>INDEX(FactorTable!$B$2:$Y$301, MATCH(ROUND(MIN(300,MAX(1,D227)),0), FactorTable!$A$2:$A$301,0), Skills!M7+1)</f>
        <v/>
      </c>
      <c r="F227">
        <f>IF(Skills!N7=TRUE,(Skills!L7/10)*(E227/1000),Skills!L7/10)+Skills!O7</f>
        <v/>
      </c>
      <c r="G227">
        <f>Skills!G7*IF(Skills!H7&gt;0,Skills!I7/Skills!H7,1)</f>
        <v/>
      </c>
      <c r="H227">
        <f>1-(1-Skills!J7/100)^Skills!K7</f>
        <v/>
      </c>
      <c r="I227" t="inlineStr">
        <is>
          <t>1</t>
        </is>
      </c>
      <c r="J227" t="inlineStr"/>
      <c r="K227" t="inlineStr"/>
      <c r="L227" t="inlineStr"/>
      <c r="M227" t="inlineStr"/>
      <c r="N227" t="inlineStr"/>
      <c r="O227">
        <f>(1-Summary!$B$11)*T227+Summary!$B$11*V227</f>
        <v/>
      </c>
      <c r="P227">
        <f>IF(B265=0,0,O227/B265)</f>
        <v/>
      </c>
      <c r="Q227" t="n">
        <v>0</v>
      </c>
      <c r="R227" t="n">
        <v>0</v>
      </c>
      <c r="S227">
        <f>IFERROR(O227/N227,0)</f>
        <v/>
      </c>
      <c r="T227" t="n">
        <v>0</v>
      </c>
      <c r="V227" t="n">
        <v>0</v>
      </c>
    </row>
    <row r="228">
      <c r="A228">
        <f>Skills!A8</f>
        <v/>
      </c>
      <c r="B228">
        <f>Skills!B8</f>
        <v/>
      </c>
      <c r="C228">
        <f>Inputs!$B$3&gt;=72</f>
        <v/>
      </c>
      <c r="D228">
        <f>IF(Skills!C8=1,60+Inputs!$B$25+Inputs!$B$29,IF(Skills!C8=2,90+Inputs!$B$26+Inputs!$B$29,IF(Skills!C8=3,120+Inputs!$B$27+Inputs!$B$29,MAX(0,(Inputs!$B$3-100)*3)+Inputs!$B$28+Inputs!$B$29)))</f>
        <v/>
      </c>
      <c r="E228">
        <f>INDEX(FactorTable!$B$2:$Y$301, MATCH(ROUND(MIN(300,MAX(1,D228)),0), FactorTable!$A$2:$A$301,0), Skills!M8+1)</f>
        <v/>
      </c>
      <c r="F228">
        <f>IF(Skills!N8=TRUE,(Skills!L8/10)*(E228/1000),Skills!L8/10)+Skills!O8</f>
        <v/>
      </c>
      <c r="G228">
        <f>Skills!G8*IF(Skills!H8&gt;0,Skills!I8/Skills!H8,1)</f>
        <v/>
      </c>
      <c r="H228">
        <f>1-(1-Skills!J8/100)^Skills!K8</f>
        <v/>
      </c>
      <c r="I228" t="inlineStr">
        <is>
          <t>1</t>
        </is>
      </c>
      <c r="J228">
        <f>((Inputs!$B$6*(1+Inputs!$B$7/100))+(((Inputs!$B$12*(1+Inputs!$B$13/100))-(Inputs!$B$12*(1+Inputs!$B$13/100)))+0.25*(Inputs!$B$14-Inputs!$B$14))*(1+Inputs!$B$7/100))*(F228/100)</f>
        <v/>
      </c>
      <c r="K228">
        <f>J228*(1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TRUE,F238,0)/100)*(1+(IF(Skills!A8="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228)</f>
        <v/>
      </c>
      <c r="L228">
        <f>K228*(MIN(Inputs!$B$22+((C244=TRUE)*(F244-Calc!F24)),(Inputs!$B$23+((C249=TRUE)*(F249-Calc!F29))+IF(ArtifactsInput!$M$15,CHOOSE(ArtifactsInput!$N$15+1,25,30,35,40,45,50)/100*(Inputs!$B$11-Inputs!$B$11),0)))/100+(Inputs!$B$23+((C249=TRUE)*(F249-Calc!F29))+IF(ArtifactsInput!$M$15,CHOOSE(ArtifactsInput!$N$15+1,25,30,35,40,45,50)/100*(Inputs!$B$11-Inputs!$B$11),0))/100)/2</f>
        <v/>
      </c>
      <c r="M228">
        <f>L228*(1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IF(B265=0,0,O228/B265)</f>
        <v/>
      </c>
      <c r="Q228">
        <f>IFERROR(1/IF(Inputs!$B$39="pvp",15,MAX(0.1,Skills!D8-IF(Skills!E8=TRUE,Inputs!$B$32,0))),0)</f>
        <v/>
      </c>
      <c r="R228">
        <f>IF(AND(Inputs!$B$39&lt;&gt;"pvp",Inputs!$B$44&gt;0),IF(MAX(0,Inputs!$B$44-B264)&lt;=0,0,(INT(MAX(0,Inputs!$B$44-B264)/IF(Inputs!$B$39="pvp",15,MAX(0.1,Skills!D8-IF(Skills!E8=TRUE,Inputs!$B$32,0))))+1)),0)</f>
        <v/>
      </c>
      <c r="S228">
        <f>IFERROR(O228/N228,0)</f>
        <v/>
      </c>
      <c r="T228">
        <f>IF(C228,(H228*N228*IF(AND(Inputs!$B$39&lt;&gt;"pvp",Inputs!$B$44&gt;0),((Skills!G8*((R228-1)*IF(Skills!H8&gt;0,Skills!I8/Skills!H8,1)+IF(Skills!H8&gt;0,MIN(Skills!I8,MAX(0,MAX(0,Inputs!$B$44-B264)-((R228-1)*IF(Inputs!$B$39="pvp",15,MAX(0.1,Skills!D8-IF(Skills!E8=TRUE,Inputs!$B$32,0))))))/Skills!H8,1)))/Inputs!$B$44),G228*Q228))*IF(Inputs!$B$39="pvp",1,1+(Inputs!$B$20+0+Skills!P8+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8*((R228-1)*IF(Skills!H8&gt;0,Skills!I8/Skills!H8,1)+IF(Skills!H8&gt;0,MIN(Skills!I8,MAX(0,MAX(0,Inputs!$B$44-B264)-((R228-1)*IF(Inputs!$B$39="pvp",15,MAX(0.1,Skills!D8-IF(Skills!E8=TRUE,Inputs!$B$32,0))))))/Skills!H8,1)))/Inputs!$B$44),G228*Q228))*IF(Inputs!$B$39="pvp",1,(1+(Inputs!$B$21+Skills!Q8+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Skills!A9</f>
        <v/>
      </c>
      <c r="B229">
        <f>Skills!B9</f>
        <v/>
      </c>
      <c r="C229">
        <f>Inputs!$B$3&gt;=117</f>
        <v/>
      </c>
      <c r="D229">
        <f>IF(Skills!C9=1,60+Inputs!$B$25+Inputs!$B$29,IF(Skills!C9=2,90+Inputs!$B$26+Inputs!$B$29,IF(Skills!C9=3,120+Inputs!$B$27+Inputs!$B$29,MAX(0,(Inputs!$B$3-100)*3)+Inputs!$B$28+Inputs!$B$29)))</f>
        <v/>
      </c>
      <c r="E229">
        <f>INDEX(FactorTable!$B$2:$Y$301, MATCH(ROUND(MIN(300,MAX(1,D229)),0), FactorTable!$A$2:$A$301,0), Skills!M9+1)</f>
        <v/>
      </c>
      <c r="F229">
        <f>IF(Skills!N9=TRUE,(Skills!L9/10)*(E229/1000),Skills!L9/10)+Skills!O9</f>
        <v/>
      </c>
      <c r="G229">
        <f>Skills!G9*IF(Skills!H9&gt;0,Skills!I9/Skills!H9,1)</f>
        <v/>
      </c>
      <c r="H229">
        <f>1-(1-Skills!J9/100)^Skills!K9</f>
        <v/>
      </c>
      <c r="I229" t="inlineStr">
        <is>
          <t>1</t>
        </is>
      </c>
      <c r="J229">
        <f>((Inputs!$B$6*(1+Inputs!$B$7/100))+(((Inputs!$B$12*(1+Inputs!$B$13/100))-(Inputs!$B$12*(1+Inputs!$B$13/100)))+0.25*(Inputs!$B$14-Inputs!$B$14))*(1+Inputs!$B$7/100))*(F229/100)</f>
        <v/>
      </c>
      <c r="K229">
        <f>J229*(1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229)</f>
        <v/>
      </c>
      <c r="L229">
        <f>K229*(MIN(Inputs!$B$22+((C244=TRUE)*(F244-Calc!F24)),(Inputs!$B$23+((C249=TRUE)*(F249-Calc!F29))+IF(ArtifactsInput!$M$15,CHOOSE(ArtifactsInput!$N$15+1,25,30,35,40,45,50)/100*(Inputs!$B$11-Inputs!$B$11),0)))/100+(Inputs!$B$23+((C249=TRUE)*(F249-Calc!F29))+IF(ArtifactsInput!$M$15,CHOOSE(ArtifactsInput!$N$15+1,25,30,35,40,45,50)/100*(Inputs!$B$11-Inputs!$B$11),0))/100)/2</f>
        <v/>
      </c>
      <c r="M229">
        <f>L229*(1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IF(B265=0,0,O229/B265)</f>
        <v/>
      </c>
      <c r="Q229" t="n">
        <v>0</v>
      </c>
      <c r="R229" t="n">
        <v>0</v>
      </c>
      <c r="S229" t="n">
        <v>0</v>
      </c>
      <c r="T229">
        <f>IF(C229,(0.2*SUMPRODUCT((Skills!Z2:Z30=TRUE)*(C222:C250=TRUE)*S222:S250)*N229)*IF(Inputs!$B$39="pvp",1,1+(Inputs!$B$20+0+Skills!P9+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229*(1-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IF(C229,(0.2*SUMPRODUCT((Skills!Z2:Z30=TRUE)*(C222:C250=TRUE)*S222:S250)*N229)*IF(Inputs!$B$39="pvp",1,(1+(Inputs!$B$21+Skills!Q9+B254+(IF(ArtifactsInput!$M$33,CHOOSE(ArtifactsInput!$N$33+1,30,36,42,48,54,60),0))+(IF(AND(ArtifactsInput!$M$35,Inputs!$B$4&lt;&gt;"Chapter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Skills!A10</f>
        <v/>
      </c>
      <c r="B230">
        <f>Skills!B10</f>
        <v/>
      </c>
      <c r="C230">
        <f>Inputs!$B$3&gt;=74</f>
        <v/>
      </c>
      <c r="D230">
        <f>IF(Skills!C10=1,60+Inputs!$B$25+Inputs!$B$29,IF(Skills!C10=2,90+Inputs!$B$26+Inputs!$B$29,IF(Skills!C10=3,120+Inputs!$B$27+Inputs!$B$29,MAX(0,(Inputs!$B$3-100)*3)+Inputs!$B$28+Inputs!$B$29)))</f>
        <v/>
      </c>
      <c r="E230">
        <f>INDEX(FactorTable!$B$2:$Y$301, MATCH(ROUND(MIN(300,MAX(1,D230)),0), FactorTable!$A$2:$A$301,0), Skills!M10+1)</f>
        <v/>
      </c>
      <c r="F230">
        <f>IF(Skills!N10=TRUE,(Skills!L10/10)*(E230/1000),Skills!L10/10)+Skills!O10</f>
        <v/>
      </c>
      <c r="G230">
        <f>Skills!G10*IF(Skills!H10&gt;0,Skills!I10/Skills!H10,1)</f>
        <v/>
      </c>
      <c r="H230">
        <f>1-(1-Skills!J10/100)^Skills!K10</f>
        <v/>
      </c>
      <c r="I230" t="inlineStr">
        <is>
          <t>1</t>
        </is>
      </c>
      <c r="J230" t="inlineStr"/>
      <c r="K230" t="inlineStr"/>
      <c r="L230" t="inlineStr"/>
      <c r="M230" t="inlineStr"/>
      <c r="N230" t="inlineStr"/>
      <c r="O230">
        <f>(1-Summary!$B$11)*T230+Summary!$B$11*V230</f>
        <v/>
      </c>
      <c r="P230">
        <f>IF(B265=0,0,O230/B265)</f>
        <v/>
      </c>
      <c r="Q230">
        <f>IFERROR(1/IF(Inputs!$B$39="pvp",15,MAX(0.1,Skills!D10-IF(Skills!E10=TRUE,Inputs!$B$32,0))),0)</f>
        <v/>
      </c>
      <c r="R230">
        <f>IF(AND(Inputs!$B$39&lt;&gt;"pvp",Inputs!$B$44&gt;0),IF(Inputs!$B$44&lt;=0,0,(INT(Inputs!$B$44/IF(Inputs!$B$39="pvp",15,MAX(0.1,Skills!D10-IF(Skills!E10=TRUE,Inputs!$B$32,0))))+1)),0)</f>
        <v/>
      </c>
      <c r="S230">
        <f>IFERROR(O230/N230,0)</f>
        <v/>
      </c>
      <c r="T230" t="n">
        <v>0</v>
      </c>
      <c r="V230" t="n">
        <v>0</v>
      </c>
    </row>
    <row r="231">
      <c r="A231">
        <f>Skills!A11</f>
        <v/>
      </c>
      <c r="B231">
        <f>Skills!B11</f>
        <v/>
      </c>
      <c r="C231">
        <f>Inputs!$B$3&gt;=103</f>
        <v/>
      </c>
      <c r="D231">
        <f>IF(Skills!C11=1,60+Inputs!$B$25+Inputs!$B$29,IF(Skills!C11=2,90+Inputs!$B$26+Inputs!$B$29,IF(Skills!C11=3,120+Inputs!$B$27+Inputs!$B$29,MAX(0,(Inputs!$B$3-100)*3)+Inputs!$B$28+Inputs!$B$29)))</f>
        <v/>
      </c>
      <c r="E231">
        <f>INDEX(FactorTable!$B$2:$Y$301, MATCH(ROUND(MIN(300,MAX(1,D231)),0), FactorTable!$A$2:$A$301,0), Skills!M11+1)</f>
        <v/>
      </c>
      <c r="F231">
        <f>(Skills!L11/10)*(E231/1000)+IF(Inputs!$B$3&gt;=134,50,0)+0.5*(30000/10)*(INDEX(FactorTable!$B$2:$Y$301, MATCH(ROUND(MIN(300,MAX(1,D231)),0), FactorTable!$A$2:$A$301,0), 13)/1000)*B263</f>
        <v/>
      </c>
      <c r="G231">
        <f>Skills!G11*IF(Skills!H11&gt;0,Skills!I11/Skills!H11,1)</f>
        <v/>
      </c>
      <c r="H231">
        <f>1-(1-Skills!J11/100)^Skills!K11</f>
        <v/>
      </c>
      <c r="I231" t="inlineStr">
        <is>
          <t>1</t>
        </is>
      </c>
      <c r="J231">
        <f>((Inputs!$B$6*(1+Inputs!$B$7/100))+(((Inputs!$B$12*(1+Inputs!$B$13/100))-(Inputs!$B$12*(1+Inputs!$B$13/100)))+0.25*(Inputs!$B$14-Inputs!$B$14))*(1+Inputs!$B$7/100))*(F231/100)</f>
        <v/>
      </c>
      <c r="K231">
        <f>J231*(1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231)</f>
        <v/>
      </c>
      <c r="L231">
        <f>K231*(MIN(Inputs!$B$22+((C244=TRUE)*(F244-Calc!F24)),(Inputs!$B$23+((C249=TRUE)*(F249-Calc!F29))+IF(ArtifactsInput!$M$15,CHOOSE(ArtifactsInput!$N$15+1,25,30,35,40,45,50)/100*(Inputs!$B$11-Inputs!$B$11),0)))/100+(Inputs!$B$23+((C249=TRUE)*(F249-Calc!F29))+IF(ArtifactsInput!$M$15,CHOOSE(ArtifactsInput!$N$15+1,25,30,35,40,45,50)/100*(Inputs!$B$11-Inputs!$B$11),0))/100)/2</f>
        <v/>
      </c>
      <c r="M231">
        <f>L231*(1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IF(B265=0,0,O231/B265)</f>
        <v/>
      </c>
      <c r="Q231">
        <f>IFERROR(1/IF(Inputs!$B$39="pvp",15,MAX(0.1,Skills!D11-IF(Skills!E11=TRUE,Inputs!$B$32,0))),0)</f>
        <v/>
      </c>
      <c r="R231">
        <f>IF(AND(Inputs!$B$39&lt;&gt;"pvp",Inputs!$B$44&gt;0),IF(MAX(0,Inputs!$B$44-B264)&lt;=0,0,(INT(MAX(0,Inputs!$B$44-B264)/IF(Inputs!$B$39="pvp",15,MAX(0.1,Skills!D11-IF(Skills!E11=TRUE,Inputs!$B$32,0))))+1)),0)</f>
        <v/>
      </c>
      <c r="S231">
        <f>IFERROR(O231/N231,0)</f>
        <v/>
      </c>
      <c r="T231">
        <f>IF(C231,(H231*N231*IF(AND(Inputs!$B$39&lt;&gt;"pvp",Inputs!$B$44&gt;0),((Skills!G11*((R231-1)*IF(Skills!H11&gt;0,Skills!I11/Skills!H11,1)+IF(Skills!H11&gt;0,MIN(Skills!I11,MAX(0,MAX(0,Inputs!$B$44-B264)-((R231-1)*IF(Inputs!$B$39="pvp",15,MAX(0.1,Skills!D11-IF(Skills!E11=TRUE,Inputs!$B$32,0))))))/Skills!H11,1)))/Inputs!$B$44),G231*Q231))*IF(Inputs!$B$39="pvp",1,1+(Inputs!$B$20+0+Skills!P11+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11*((R231-1)*IF(Skills!H11&gt;0,Skills!I11/Skills!H11,1)+IF(Skills!H11&gt;0,MIN(Skills!I11,MAX(0,MAX(0,Inputs!$B$44-B264)-((R231-1)*IF(Inputs!$B$39="pvp",15,MAX(0.1,Skills!D11-IF(Skills!E11=TRUE,Inputs!$B$32,0))))))/Skills!H11,1)))/Inputs!$B$44),G231*Q231))*IF(Inputs!$B$39="pvp",1,(1+(Inputs!$B$21+Skills!Q11+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Skills!A12</f>
        <v/>
      </c>
      <c r="B232">
        <f>Skills!B12</f>
        <v/>
      </c>
      <c r="C232">
        <f>Inputs!$B$3&gt;=105</f>
        <v/>
      </c>
      <c r="D232">
        <f>IF(Skills!C12=1,60+Inputs!$B$25+Inputs!$B$29,IF(Skills!C12=2,90+Inputs!$B$26+Inputs!$B$29,IF(Skills!C12=3,120+Inputs!$B$27+Inputs!$B$29,MAX(0,(Inputs!$B$3-100)*3)+Inputs!$B$28+Inputs!$B$29)))</f>
        <v/>
      </c>
      <c r="E232">
        <f>INDEX(FactorTable!$B$2:$Y$301, MATCH(ROUND(MIN(300,MAX(1,D232)),0), FactorTable!$A$2:$A$301,0), Skills!M12+1)</f>
        <v/>
      </c>
      <c r="F232">
        <f>IF(Skills!N12=TRUE,(Skills!L12/10)*(E232/1000),Skills!L12/10)+Skills!O12</f>
        <v/>
      </c>
      <c r="G232">
        <f>Skills!G12*IF(Skills!H12&gt;0,Skills!I12/Skills!H12,1)</f>
        <v/>
      </c>
      <c r="H232">
        <f>1-(1-Skills!J12/100)^Skills!K12</f>
        <v/>
      </c>
      <c r="I232" t="inlineStr">
        <is>
          <t>1</t>
        </is>
      </c>
      <c r="J232">
        <f>((Inputs!$B$6*(1+Inputs!$B$7/100))+(((Inputs!$B$12*(1+Inputs!$B$13/100))-(Inputs!$B$12*(1+Inputs!$B$13/100)))+0.25*(Inputs!$B$14-Inputs!$B$14))*(1+Inputs!$B$7/100))*(F232/100)</f>
        <v/>
      </c>
      <c r="K232">
        <f>J232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232)</f>
        <v/>
      </c>
      <c r="L232">
        <f>K232*(MIN(Inputs!$B$22+((C244=TRUE)*(F244-Calc!F24)),(Inputs!$B$23+((C249=TRUE)*(F249-Calc!F29))+IF(ArtifactsInput!$M$15,CHOOSE(ArtifactsInput!$N$15+1,25,30,35,40,45,50)/100*(Inputs!$B$11-Inputs!$B$11),0)))/100+(Inputs!$B$23+((C249=TRUE)*(F249-Calc!F29))+IF(ArtifactsInput!$M$15,CHOOSE(ArtifactsInput!$N$15+1,25,30,35,40,45,50)/100*(Inputs!$B$11-Inputs!$B$11),0))/100)/2</f>
        <v/>
      </c>
      <c r="M232">
        <f>L232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IF(B265=0,0,O232/B265)</f>
        <v/>
      </c>
      <c r="Q232">
        <f>IFERROR(1/IF(Inputs!$B$39="pvp",15,MAX(0.1,Skills!D12-IF(Skills!E12=TRUE,Inputs!$B$32,0))),0)</f>
        <v/>
      </c>
      <c r="R232">
        <f>IF(AND(Inputs!$B$39&lt;&gt;"pvp",Inputs!$B$44&gt;0),IF(MAX(0,Inputs!$B$44-B264)&lt;=0,0,(INT(MAX(0,Inputs!$B$44-B264)/IF(Inputs!$B$39="pvp",15,MAX(0.1,Skills!D12-IF(Skills!E12=TRUE,Inputs!$B$32,0))))+1)),0)</f>
        <v/>
      </c>
      <c r="S232">
        <f>IFERROR(O232/N232,0)</f>
        <v/>
      </c>
      <c r="T232">
        <f>IF(C232,(H232*N232*IF(AND(Inputs!$B$39&lt;&gt;"pvp",Inputs!$B$44&gt;0),((Skills!G12*((R232-1)*IF(Skills!H12&gt;0,Skills!I12/Skills!H12,1)+IF(Skills!H12&gt;0,MIN(Skills!I12,MAX(0,MAX(0,Inputs!$B$44-B264)-((R232-1)*IF(Inputs!$B$39="pvp",15,MAX(0.1,Skills!D12-IF(Skills!E12=TRUE,Inputs!$B$32,0))))))/Skills!H12,1)))/Inputs!$B$44),G232*Q232))*IF(Inputs!$B$39="pvp",1,1+(Inputs!$B$20+0+Skills!P12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12*((R232-1)*IF(Skills!H12&gt;0,Skills!I12/Skills!H12,1)+IF(Skills!H12&gt;0,MIN(Skills!I12,MAX(0,MAX(0,Inputs!$B$44-B264)-((R232-1)*IF(Inputs!$B$39="pvp",15,MAX(0.1,Skills!D12-IF(Skills!E12=TRUE,Inputs!$B$32,0))))))/Skills!H12,1)))/Inputs!$B$44),G232*Q232))*IF(Inputs!$B$39="pvp",1,(1+(Inputs!$B$21+Skills!Q12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Skills!A13</f>
        <v/>
      </c>
      <c r="B233">
        <f>Skills!B13</f>
        <v/>
      </c>
      <c r="C233">
        <f>Inputs!$B$3&gt;=105</f>
        <v/>
      </c>
      <c r="D233">
        <f>IF(Skills!C13=1,60+Inputs!$B$25+Inputs!$B$29,IF(Skills!C13=2,90+Inputs!$B$26+Inputs!$B$29,IF(Skills!C13=3,120+Inputs!$B$27+Inputs!$B$29,MAX(0,(Inputs!$B$3-100)*3)+Inputs!$B$28+Inputs!$B$29)))</f>
        <v/>
      </c>
      <c r="E233">
        <f>INDEX(FactorTable!$B$2:$Y$301, MATCH(ROUND(MIN(300,MAX(1,D233)),0), FactorTable!$A$2:$A$301,0), Skills!M13+1)</f>
        <v/>
      </c>
      <c r="F233">
        <f>IF(Skills!N13=TRUE,(Skills!L13/10)*(E233/1000),Skills!L13/10)+Skills!O13</f>
        <v/>
      </c>
      <c r="G233">
        <f>Skills!G13*IF(Skills!H13&gt;0,Skills!I13/Skills!H13,1)</f>
        <v/>
      </c>
      <c r="H233">
        <f>1-(1-Skills!J13/100)^Skills!K13</f>
        <v/>
      </c>
      <c r="I233" t="inlineStr">
        <is>
          <t>1</t>
        </is>
      </c>
      <c r="J233">
        <f>((Inputs!$B$6*(1+Inputs!$B$7/100))+(((Inputs!$B$12*(1+Inputs!$B$13/100))-(Inputs!$B$12*(1+Inputs!$B$13/100)))+0.25*(Inputs!$B$14-Inputs!$B$14))*(1+Inputs!$B$7/100))*(F233/100)</f>
        <v/>
      </c>
      <c r="K233">
        <f>J233*(1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233)</f>
        <v/>
      </c>
      <c r="L233">
        <f>K233*(MIN(Inputs!$B$22+((C244=TRUE)*(F244-Calc!F24)),(Inputs!$B$23+((C249=TRUE)*(F249-Calc!F29))+IF(ArtifactsInput!$M$15,CHOOSE(ArtifactsInput!$N$15+1,25,30,35,40,45,50)/100*(Inputs!$B$11-Inputs!$B$11),0)))/100+(Inputs!$B$23+((C249=TRUE)*(F249-Calc!F29))+IF(ArtifactsInput!$M$15,CHOOSE(ArtifactsInput!$N$15+1,25,30,35,40,45,50)/100*(Inputs!$B$11-Inputs!$B$11),0))/100)/2</f>
        <v/>
      </c>
      <c r="M233">
        <f>L233*(1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IF(B265=0,0,O233/B265)</f>
        <v/>
      </c>
      <c r="Q233">
        <f>IFERROR(1/IF(Inputs!$B$39="pvp",15,MAX(0.1,Skills!D13-IF(Skills!E13=TRUE,Inputs!$B$32,0))),0)</f>
        <v/>
      </c>
      <c r="R233">
        <f>IF(AND(Inputs!$B$39&lt;&gt;"pvp",Inputs!$B$44&gt;0),IF(MAX(0,Inputs!$B$44-B264)&lt;=0,0,(INT(MAX(0,Inputs!$B$44-B264)/IF(Inputs!$B$39="pvp",15,MAX(0.1,Skills!D13-IF(Skills!E13=TRUE,Inputs!$B$32,0))))+1)),0)</f>
        <v/>
      </c>
      <c r="S233">
        <f>IFERROR(O233/N233,0)</f>
        <v/>
      </c>
      <c r="T233">
        <f>IF(C233,(H233*N233*IF(AND(Inputs!$B$39&lt;&gt;"pvp",Inputs!$B$44&gt;0),((Skills!G13*((R233-1)*IF(Skills!H13&gt;0,Skills!I13/Skills!H13,1)+IF(Skills!H13&gt;0,MIN(Skills!I13,MAX(0,MAX(0,Inputs!$B$44-B264)-((R233-1)*IF(Inputs!$B$39="pvp",15,MAX(0.1,Skills!D13-IF(Skills!E13=TRUE,Inputs!$B$32,0))))))/Skills!H13,1)))/Inputs!$B$44),G233*Q233))*IF(Inputs!$B$39="pvp",1,1+(Inputs!$B$20+0+Skills!P13+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13*((R233-1)*IF(Skills!H13&gt;0,Skills!I13/Skills!H13,1)+IF(Skills!H13&gt;0,MIN(Skills!I13,MAX(0,MAX(0,Inputs!$B$44-B264)-((R233-1)*IF(Inputs!$B$39="pvp",15,MAX(0.1,Skills!D13-IF(Skills!E13=TRUE,Inputs!$B$32,0))))))/Skills!H13,1)))/Inputs!$B$44),G233*Q233))*IF(Inputs!$B$39="pvp",1,(1+(Inputs!$B$21+Skills!Q13+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Skills!A14</f>
        <v/>
      </c>
      <c r="B234">
        <f>Skills!B14</f>
        <v/>
      </c>
      <c r="C234">
        <f>Inputs!$B$3&gt;=107</f>
        <v/>
      </c>
      <c r="D234">
        <f>IF(Skills!C14=1,60+Inputs!$B$25+Inputs!$B$29,IF(Skills!C14=2,90+Inputs!$B$26+Inputs!$B$29,IF(Skills!C14=3,120+Inputs!$B$27+Inputs!$B$29,MAX(0,(Inputs!$B$3-100)*3)+Inputs!$B$28+Inputs!$B$29)))</f>
        <v/>
      </c>
      <c r="E234">
        <f>INDEX(FactorTable!$B$2:$Y$301, MATCH(ROUND(MIN(300,MAX(1,D234)),0), FactorTable!$A$2:$A$301,0), Skills!M14+1)</f>
        <v/>
      </c>
      <c r="F234">
        <f>IF(Skills!N14=TRUE,(Skills!L14/10)*(E234/1000),Skills!L14/10)+Skills!O14</f>
        <v/>
      </c>
      <c r="G234">
        <f>Skills!G14*IF(Skills!H14&gt;0,Skills!I14/Skills!H14,1)</f>
        <v/>
      </c>
      <c r="H234">
        <f>1-(1-Skills!J14/100)^Skills!K14</f>
        <v/>
      </c>
      <c r="I234" t="inlineStr">
        <is>
          <t>1</t>
        </is>
      </c>
      <c r="J234">
        <f>((Inputs!$B$6*(1+Inputs!$B$7/100))+(((Inputs!$B$12*(1+Inputs!$B$13/100))-(Inputs!$B$12*(1+Inputs!$B$13/100)))+0.25*(Inputs!$B$14-Inputs!$B$14))*(1+Inputs!$B$7/100))*(F234/100)</f>
        <v/>
      </c>
      <c r="K234">
        <f>J234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234)</f>
        <v/>
      </c>
      <c r="L234">
        <f>K234*(MIN(Inputs!$B$22+((C244=TRUE)*(F244-Calc!F24)),(Inputs!$B$23+((C249=TRUE)*(F249-Calc!F29))+IF(ArtifactsInput!$M$15,CHOOSE(ArtifactsInput!$N$15+1,25,30,35,40,45,50)/100*(Inputs!$B$11-Inputs!$B$11),0)))/100+(Inputs!$B$23+((C249=TRUE)*(F249-Calc!F29))+IF(ArtifactsInput!$M$15,CHOOSE(ArtifactsInput!$N$15+1,25,30,35,40,45,50)/100*(Inputs!$B$11-Inputs!$B$11),0))/100)/2</f>
        <v/>
      </c>
      <c r="M234">
        <f>L234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
        <f>L234*(1-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
        <f>(1-Summary!$B$11)*T234+Summary!$B$11*V234</f>
        <v/>
      </c>
      <c r="P234">
        <f>IF(B265=0,0,O234/B265)</f>
        <v/>
      </c>
      <c r="Q234">
        <f>IFERROR(1/IF(Inputs!$B$39="pvp",15,MAX(0.1,Skills!D14-IF(Skills!E14=TRUE,Inputs!$B$32,0))),0)</f>
        <v/>
      </c>
      <c r="R234">
        <f>IF(AND(Inputs!$B$39&lt;&gt;"pvp",Inputs!$B$44&gt;0),IF(MAX(0,Inputs!$B$44-B264)&lt;=0,0,(INT(MAX(0,Inputs!$B$44-B264)/IF(Inputs!$B$39="pvp",15,MAX(0.1,Skills!D14-IF(Skills!E14=TRUE,Inputs!$B$32,0))))+1)),0)</f>
        <v/>
      </c>
      <c r="S234">
        <f>IFERROR(O234/N234,0)</f>
        <v/>
      </c>
      <c r="T234">
        <f>IF(C234,(H234*N234*IF(AND(Inputs!$B$39&lt;&gt;"pvp",Inputs!$B$44&gt;0),((Skills!G14*((R234-1)*IF(Skills!H14&gt;0,Skills!I14/Skills!H14,1)+IF(Skills!H14&gt;0,MIN(Skills!I14,MAX(0,MAX(0,Inputs!$B$44-B264)-((R234-1)*IF(Inputs!$B$39="pvp",15,MAX(0.1,Skills!D14-IF(Skills!E14=TRUE,Inputs!$B$32,0))))))/Skills!H14,1)))/Inputs!$B$44),G234*Q234))*IF(Inputs!$B$39="pvp",1,1+(Inputs!$B$20+0+Skills!P14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234*(1-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
        <f>IF(C234,(H234*N234*IF(AND(Inputs!$B$39&lt;&gt;"pvp",Inputs!$B$44&gt;0),((Skills!G14*((R234-1)*IF(Skills!H14&gt;0,Skills!I14/Skills!H14,1)+IF(Skills!H14&gt;0,MIN(Skills!I14,MAX(0,MAX(0,Inputs!$B$44-B264)-((R234-1)*IF(Inputs!$B$39="pvp",15,MAX(0.1,Skills!D14-IF(Skills!E14=TRUE,Inputs!$B$32,0))))))/Skills!H14,1)))/Inputs!$B$44),G234*Q234))*IF(Inputs!$B$39="pvp",1,(1+(Inputs!$B$21+Skills!Q14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(5,0.25*B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
      <c r="A235">
        <f>Skills!A15</f>
        <v/>
      </c>
      <c r="B235">
        <f>Skills!B15</f>
        <v/>
      </c>
      <c r="C235">
        <f>Inputs!$B$3&gt;=110</f>
        <v/>
      </c>
      <c r="D235">
        <f>IF(Skills!C15=1,60+Inputs!$B$25+Inputs!$B$29,IF(Skills!C15=2,90+Inputs!$B$26+Inputs!$B$29,IF(Skills!C15=3,120+Inputs!$B$27+Inputs!$B$29,MAX(0,(Inputs!$B$3-100)*3)+Inputs!$B$28+Inputs!$B$29)))</f>
        <v/>
      </c>
      <c r="E235">
        <f>INDEX(FactorTable!$B$2:$Y$301, MATCH(ROUND(MIN(300,MAX(1,D235)),0), FactorTable!$A$2:$A$301,0), Skills!M15+1)</f>
        <v/>
      </c>
      <c r="F235">
        <f>IF(Skills!N15=TRUE,(Skills!L15/10)*(E235/1000),Skills!L15/10)+Skills!O15</f>
        <v/>
      </c>
      <c r="G235">
        <f>Skills!G15*IF(Skills!H15&gt;0,Skills!I15/Skills!H15,1)</f>
        <v/>
      </c>
      <c r="H235">
        <f>1-(1-Skills!J15/100)^Skills!K15</f>
        <v/>
      </c>
      <c r="I235" t="inlineStr">
        <is>
          <t>1</t>
        </is>
      </c>
      <c r="J235" t="inlineStr"/>
      <c r="K235" t="inlineStr"/>
      <c r="L235" t="inlineStr"/>
      <c r="M235" t="inlineStr"/>
      <c r="N235" t="inlineStr"/>
      <c r="O235">
        <f>(1-Summary!$B$11)*T235+Summary!$B$11*V235</f>
        <v/>
      </c>
      <c r="P235">
        <f>IF(B265=0,0,O235/B265)</f>
        <v/>
      </c>
      <c r="Q235">
        <f>IFERROR(1/IF(Inputs!$B$39="pvp",15,MAX(0.1,Skills!D15-IF(Skills!E15=TRUE,Inputs!$B$32,0))),0)</f>
        <v/>
      </c>
      <c r="R235">
        <f>IF(AND(Inputs!$B$39&lt;&gt;"pvp",Inputs!$B$44&gt;0),IF(Inputs!$B$44&lt;=0,0,(INT(Inputs!$B$44/IF(Inputs!$B$39="pvp",15,MAX(0.1,Skills!D15-IF(Skills!E15=TRUE,Inputs!$B$32,0))))+1)),0)</f>
        <v/>
      </c>
      <c r="S235">
        <f>IFERROR(O235/N235,0)</f>
        <v/>
      </c>
      <c r="T235" t="n">
        <v>0</v>
      </c>
      <c r="V235" t="n">
        <v>0</v>
      </c>
    </row>
    <row r="236">
      <c r="A236">
        <f>Skills!A16</f>
        <v/>
      </c>
      <c r="B236">
        <f>Skills!B16</f>
        <v/>
      </c>
      <c r="C236">
        <f>Inputs!$B$3&gt;=115</f>
        <v/>
      </c>
      <c r="D236">
        <f>IF(Skills!C16=1,60+Inputs!$B$25+Inputs!$B$29,IF(Skills!C16=2,90+Inputs!$B$26+Inputs!$B$29,IF(Skills!C16=3,120+Inputs!$B$27+Inputs!$B$29,MAX(0,(Inputs!$B$3-100)*3)+Inputs!$B$28+Inputs!$B$29)))</f>
        <v/>
      </c>
      <c r="E236">
        <f>INDEX(FactorTable!$B$2:$Y$301, MATCH(ROUND(MIN(300,MAX(1,D236)),0), FactorTable!$A$2:$A$301,0), Skills!M16+1)</f>
        <v/>
      </c>
      <c r="F236">
        <f>IF(Skills!N16=TRUE,(Skills!L16/10)*(E236/1000),Skills!L16/10)+Skills!O16</f>
        <v/>
      </c>
      <c r="G236">
        <f>Skills!G16*IF(Skills!H16&gt;0,Skills!I16/Skills!H16,1)</f>
        <v/>
      </c>
      <c r="H236">
        <f>1-(1-Skills!J16/100)^Skills!K16</f>
        <v/>
      </c>
      <c r="I236" t="inlineStr">
        <is>
          <t>1</t>
        </is>
      </c>
      <c r="J236">
        <f>((Inputs!$B$6*(1+Inputs!$B$7/100))+(((Inputs!$B$12*(1+Inputs!$B$13/100))-(Inputs!$B$12*(1+Inputs!$B$13/100)))+0.25*(Inputs!$B$14-Inputs!$B$14))*(1+Inputs!$B$7/100))*(F236/100)</f>
        <v/>
      </c>
      <c r="K236">
        <f>J236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247=TRUE)*(F247-Calc!F27))+((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236)</f>
        <v/>
      </c>
      <c r="L236">
        <f>K236*(MIN(Inputs!$B$22+((C244=TRUE)*(F244-Calc!F24)),(Inputs!$B$23+((C249=TRUE)*(F249-Calc!F29))+IF(ArtifactsInput!$M$15,CHOOSE(ArtifactsInput!$N$15+1,25,30,35,40,45,50)/100*(Inputs!$B$11-Inputs!$B$11),0)))/100+(Inputs!$B$23+((C249=TRUE)*(F249-Calc!F29))+IF(ArtifactsInput!$M$15,CHOOSE(ArtifactsInput!$N$15+1,25,30,35,40,45,50)/100*(Inputs!$B$11-Inputs!$B$11),0))/100)/2</f>
        <v/>
      </c>
      <c r="M236">
        <f>L236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IF(B265=0,0,O236/B265)</f>
        <v/>
      </c>
      <c r="Q236" t="n">
        <v>0</v>
      </c>
      <c r="R236" t="n">
        <v>0</v>
      </c>
      <c r="S236">
        <f>IFERROR(O236/N236,0)</f>
        <v/>
      </c>
      <c r="T236">
        <f>IF(C236,(Inputs!$B$38*0.2*N236)*IF(Inputs!$B$39="pvp",1,1+(Inputs!$B$20+0+Skills!P16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245=TRUE)*(F245-Calc!F25))+B253+(ArtifactsInput!$M$24-ArtifactsInput!$M$24)*CHOOSE(ArtifactsInput!$N$24+1,10,12,14,16,18,20)+(IF(AND(Inputs!$B$39&lt;&gt;"pvp",Inputs!$B$44=0),1,IF(IF(Inputs!$B$39="pvp",15,Inputs!$B$44)-(B264)&lt;=0,1,MAX(0,IF(Inputs!$B$39="pvp",15,Inputs!$B$44)-MAX(5,B264))/(IF(Inputs!$B$39="pvp",15,Inputs!$B$44)-(B264))))*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Skills!A17</f>
        <v/>
      </c>
      <c r="B237">
        <f>Skills!B17</f>
        <v/>
      </c>
      <c r="C237">
        <f>Inputs!$B$3&gt;=115</f>
        <v/>
      </c>
      <c r="D237">
        <f>IF(Skills!C17=1,60+Inputs!$B$25+Inputs!$B$29,IF(Skills!C17=2,90+Inputs!$B$26+Inputs!$B$29,IF(Skills!C17=3,120+Inputs!$B$27+Inputs!$B$29,MAX(0,(Inputs!$B$3-100)*3)+Inputs!$B$28+Inputs!$B$29)))</f>
        <v/>
      </c>
      <c r="E237">
        <f>INDEX(FactorTable!$B$2:$Y$301, MATCH(ROUND(MIN(300,MAX(1,D237)),0), FactorTable!$A$2:$A$301,0), Skills!M17+1)</f>
        <v/>
      </c>
      <c r="F237">
        <f>IF(Skills!N17=TRUE,(Skills!L17/10)*(E237/1000),Skills!L17/10)+Skills!O17</f>
        <v/>
      </c>
      <c r="G237">
        <f>Skills!G17*IF(Skills!H17&gt;0,Skills!I17/Skills!H17,1)</f>
        <v/>
      </c>
      <c r="H237">
        <f>1-(1-Skills!J17/100)^Skills!K17</f>
        <v/>
      </c>
      <c r="I237" t="inlineStr">
        <is>
          <t>1</t>
        </is>
      </c>
      <c r="J237" t="inlineStr"/>
      <c r="K237" t="inlineStr"/>
      <c r="L237" t="inlineStr"/>
      <c r="M237" t="inlineStr"/>
      <c r="N237" t="inlineStr"/>
      <c r="O237">
        <f>(1-Summary!$B$11)*T237+Summary!$B$11*V237</f>
        <v/>
      </c>
      <c r="P237">
        <f>IF(B265=0,0,O237/B265)</f>
        <v/>
      </c>
      <c r="Q237" t="n">
        <v>0</v>
      </c>
      <c r="R237" t="n">
        <v>0</v>
      </c>
      <c r="S237">
        <f>IFERROR(O237/N237,0)</f>
        <v/>
      </c>
      <c r="T237" t="n">
        <v>0</v>
      </c>
      <c r="V237" t="n">
        <v>0</v>
      </c>
    </row>
    <row r="238">
      <c r="A238">
        <f>Skills!A18</f>
        <v/>
      </c>
      <c r="B238">
        <f>Skills!B18</f>
        <v/>
      </c>
      <c r="C238">
        <f>Inputs!$B$3&gt;=100</f>
        <v/>
      </c>
      <c r="D238">
        <f>IF(Skills!C18=1,60+Inputs!$B$25+Inputs!$B$29,IF(Skills!C18=2,90+Inputs!$B$26+Inputs!$B$29,IF(Skills!C18=3,120+Inputs!$B$27+Inputs!$B$29,MAX(0,(Inputs!$B$3-100)*3)+Inputs!$B$28+Inputs!$B$29)))</f>
        <v/>
      </c>
      <c r="E238">
        <f>INDEX(FactorTable!$B$2:$Y$301, MATCH(ROUND(MIN(300,MAX(1,D238)),0), FactorTable!$A$2:$A$301,0), Skills!M18+1)</f>
        <v/>
      </c>
      <c r="F238">
        <f>IF(Skills!N18=TRUE,(Skills!L18/10)*(E238/1000),Skills!L18/10)+Skills!O18</f>
        <v/>
      </c>
      <c r="G238">
        <f>Skills!G18*IF(Skills!H18&gt;0,Skills!I18/Skills!H18,1)</f>
        <v/>
      </c>
      <c r="H238">
        <f>1-(1-Skills!J18/100)^Skills!K18</f>
        <v/>
      </c>
      <c r="I238" t="inlineStr">
        <is>
          <t>1</t>
        </is>
      </c>
      <c r="J238" t="inlineStr"/>
      <c r="K238" t="inlineStr"/>
      <c r="L238" t="inlineStr"/>
      <c r="M238" t="inlineStr"/>
      <c r="N238" t="inlineStr"/>
      <c r="O238">
        <f>(1-Summary!$B$11)*T238+Summary!$B$11*V238</f>
        <v/>
      </c>
      <c r="P238">
        <f>IF(B265=0,0,O238/B265)</f>
        <v/>
      </c>
      <c r="Q238" t="n">
        <v>0</v>
      </c>
      <c r="R238" t="n">
        <v>0</v>
      </c>
      <c r="S238">
        <f>IFERROR(O238/N238,0)</f>
        <v/>
      </c>
      <c r="T238" t="n">
        <v>0</v>
      </c>
      <c r="V238" t="n">
        <v>0</v>
      </c>
    </row>
    <row r="239">
      <c r="A239">
        <f>Skills!A19</f>
        <v/>
      </c>
      <c r="B239">
        <f>Skills!B19</f>
        <v/>
      </c>
      <c r="C239">
        <f>TRUE</f>
        <v/>
      </c>
      <c r="D239">
        <f>IF(Skills!C19=1,60+Inputs!$B$25+Inputs!$B$29,IF(Skills!C19=2,90+Inputs!$B$26+Inputs!$B$29,IF(Skills!C19=3,120+Inputs!$B$27+Inputs!$B$29,MAX(0,(Inputs!$B$3-100)*3)+Inputs!$B$28+Inputs!$B$29)))</f>
        <v/>
      </c>
      <c r="E239">
        <f>INDEX(FactorTable!$B$2:$Y$301, MATCH(ROUND(MIN(300,MAX(1,D239)),0), FactorTable!$A$2:$A$301,0), Skills!M19+1)</f>
        <v/>
      </c>
      <c r="F239">
        <f>IF(Skills!N19=TRUE,(Skills!L19/10)*(E239/1000),Skills!L19/10)+Skills!O19</f>
        <v/>
      </c>
      <c r="G239">
        <f>Skills!G19*IF(Skills!H19&gt;0,Skills!I19/Skills!H19,1)</f>
        <v/>
      </c>
      <c r="H239">
        <f>1-(1-Skills!J19/100)^Skills!K19</f>
        <v/>
      </c>
      <c r="I239" t="inlineStr">
        <is>
          <t>1</t>
        </is>
      </c>
      <c r="J239" t="inlineStr"/>
      <c r="K239" t="inlineStr"/>
      <c r="L239" t="inlineStr"/>
      <c r="M239" t="inlineStr"/>
      <c r="N239" t="inlineStr"/>
      <c r="O239">
        <f>(1-Summary!$B$11)*T239+Summary!$B$11*V239</f>
        <v/>
      </c>
      <c r="P239">
        <f>IF(B265=0,0,O239/B265)</f>
        <v/>
      </c>
      <c r="Q239">
        <f>IFERROR(1/IF(Inputs!$B$39="pvp",15,MAX(0.1,Skills!D19-IF(Skills!E19=TRUE,Inputs!$B$32,0))),0)</f>
        <v/>
      </c>
      <c r="R239">
        <f>IF(AND(Inputs!$B$39&lt;&gt;"pvp",Inputs!$B$44&gt;0),IF(Inputs!$B$44&lt;=0,0,(INT(Inputs!$B$44/IF(Inputs!$B$39="pvp",15,MAX(0.1,Skills!D19-IF(Skills!E19=TRUE,Inputs!$B$32,0))))+1)),0)</f>
        <v/>
      </c>
      <c r="S239">
        <f>IFERROR(O239/N239,0)</f>
        <v/>
      </c>
      <c r="T239" t="n">
        <v>0</v>
      </c>
      <c r="V239" t="n">
        <v>0</v>
      </c>
    </row>
    <row r="240">
      <c r="A240">
        <f>Skills!A20</f>
        <v/>
      </c>
      <c r="B240">
        <f>Skills!B20</f>
        <v/>
      </c>
      <c r="C240">
        <f>Inputs!$B$3&gt;=15</f>
        <v/>
      </c>
      <c r="D240">
        <f>IF(Skills!C20=1,60+Inputs!$B$25+Inputs!$B$29,IF(Skills!C20=2,90+Inputs!$B$26+Inputs!$B$29,IF(Skills!C20=3,120+Inputs!$B$27+Inputs!$B$29,MAX(0,(Inputs!$B$3-100)*3)+Inputs!$B$28+Inputs!$B$29)))</f>
        <v/>
      </c>
      <c r="E240">
        <f>INDEX(FactorTable!$B$2:$Y$301, MATCH(ROUND(MIN(300,MAX(1,D240)),0), FactorTable!$A$2:$A$301,0), Skills!M20+1)</f>
        <v/>
      </c>
      <c r="F240">
        <f>IF(Skills!N20=TRUE,(Skills!L20/10)*(E240/1000),Skills!L20/10)+Skills!O20</f>
        <v/>
      </c>
      <c r="G240">
        <f>Skills!G20*IF(Skills!H20&gt;0,Skills!I20/Skills!H20,1)</f>
        <v/>
      </c>
      <c r="H240">
        <f>1-(1-Skills!J20/100)^Skills!K20</f>
        <v/>
      </c>
      <c r="I240" t="inlineStr">
        <is>
          <t>1</t>
        </is>
      </c>
      <c r="J240" t="inlineStr"/>
      <c r="K240" t="inlineStr"/>
      <c r="L240" t="inlineStr"/>
      <c r="M240" t="inlineStr"/>
      <c r="N240" t="inlineStr"/>
      <c r="O240">
        <f>(1-Summary!$B$11)*T240+Summary!$B$11*V240</f>
        <v/>
      </c>
      <c r="P240">
        <f>IF(B265=0,0,O240/B265)</f>
        <v/>
      </c>
      <c r="Q240">
        <f>IFERROR(1/IF(Inputs!$B$39="pvp",15,MAX(0.1,Skills!D20-IF(Skills!E20=TRUE,Inputs!$B$32,0))),0)</f>
        <v/>
      </c>
      <c r="R240">
        <f>IF(AND(Inputs!$B$39&lt;&gt;"pvp",Inputs!$B$44&gt;0),IF(Inputs!$B$44&lt;=0,0,(INT(Inputs!$B$44/IF(Inputs!$B$39="pvp",15,MAX(0.1,Skills!D20-IF(Skills!E20=TRUE,Inputs!$B$32,0))))+1)),0)</f>
        <v/>
      </c>
      <c r="S240">
        <f>IFERROR(O240/N240,0)</f>
        <v/>
      </c>
      <c r="T240" t="n">
        <v>0</v>
      </c>
      <c r="V240" t="n">
        <v>0</v>
      </c>
    </row>
    <row r="241">
      <c r="A241">
        <f>Skills!A21</f>
        <v/>
      </c>
      <c r="B241">
        <f>Skills!B21</f>
        <v/>
      </c>
      <c r="C241">
        <f>Inputs!$B$3&gt;=15</f>
        <v/>
      </c>
      <c r="D241">
        <f>IF(Skills!C21=1,60+Inputs!$B$25+Inputs!$B$29,IF(Skills!C21=2,90+Inputs!$B$26+Inputs!$B$29,IF(Skills!C21=3,120+Inputs!$B$27+Inputs!$B$29,MAX(0,(Inputs!$B$3-100)*3)+Inputs!$B$28+Inputs!$B$29)))</f>
        <v/>
      </c>
      <c r="E241">
        <f>INDEX(FactorTable!$B$2:$Y$301, MATCH(ROUND(MIN(300,MAX(1,D241)),0), FactorTable!$A$2:$A$301,0), Skills!M21+1)</f>
        <v/>
      </c>
      <c r="F241">
        <f>IF(Skills!N21=TRUE,(Skills!L21/10)*(E241/1000),Skills!L21/10)+Skills!O21</f>
        <v/>
      </c>
      <c r="G241">
        <f>Skills!G21*IF(Skills!H21&gt;0,Skills!I21/Skills!H21,1)</f>
        <v/>
      </c>
      <c r="H241">
        <f>1-(1-Skills!J21/100)^Skills!K21</f>
        <v/>
      </c>
      <c r="I241" t="inlineStr">
        <is>
          <t>1</t>
        </is>
      </c>
      <c r="J241" t="inlineStr"/>
      <c r="K241" t="inlineStr"/>
      <c r="L241" t="inlineStr"/>
      <c r="M241" t="inlineStr"/>
      <c r="N241" t="inlineStr"/>
      <c r="O241">
        <f>(1-Summary!$B$11)*T241+Summary!$B$11*V241</f>
        <v/>
      </c>
      <c r="P241">
        <f>IF(B265=0,0,O241/B265)</f>
        <v/>
      </c>
      <c r="Q241">
        <f>IFERROR(1/IF(Inputs!$B$39="pvp",15,MAX(0.1,Skills!D21-IF(Skills!E21=TRUE,Inputs!$B$32,0))),0)</f>
        <v/>
      </c>
      <c r="R241">
        <f>IF(AND(Inputs!$B$39&lt;&gt;"pvp",Inputs!$B$44&gt;0),IF(Inputs!$B$44&lt;=0,0,(INT(Inputs!$B$44/IF(Inputs!$B$39="pvp",15,MAX(0.1,Skills!D21-IF(Skills!E21=TRUE,Inputs!$B$32,0))))+1)),0)</f>
        <v/>
      </c>
      <c r="S241">
        <f>IFERROR(O241/N241,0)</f>
        <v/>
      </c>
      <c r="T241" t="n">
        <v>0</v>
      </c>
      <c r="V241" t="n">
        <v>0</v>
      </c>
    </row>
    <row r="242">
      <c r="A242">
        <f>Skills!A22</f>
        <v/>
      </c>
      <c r="B242">
        <f>Skills!B22</f>
        <v/>
      </c>
      <c r="C242">
        <f>Inputs!$B$3&gt;=33</f>
        <v/>
      </c>
      <c r="D242">
        <f>IF(Skills!C22=1,60+Inputs!$B$25+Inputs!$B$29,IF(Skills!C22=2,90+Inputs!$B$26+Inputs!$B$29,IF(Skills!C22=3,120+Inputs!$B$27+Inputs!$B$29,MAX(0,(Inputs!$B$3-100)*3)+Inputs!$B$28+Inputs!$B$29)))</f>
        <v/>
      </c>
      <c r="E242">
        <f>INDEX(FactorTable!$B$2:$Y$301, MATCH(ROUND(MIN(300,MAX(1,D242)),0), FactorTable!$A$2:$A$301,0), Skills!M22+1)</f>
        <v/>
      </c>
      <c r="F242">
        <f>IF(Skills!N22=TRUE,(Skills!L22/10)*(E242/1000),Skills!L22/10)+Skills!O22</f>
        <v/>
      </c>
      <c r="G242">
        <f>Skills!G22*IF(Skills!H22&gt;0,Skills!I22/Skills!H22,1)</f>
        <v/>
      </c>
      <c r="H242">
        <f>1-(1-Skills!J22/100)^Skills!K22</f>
        <v/>
      </c>
      <c r="I242" t="inlineStr">
        <is>
          <t>1</t>
        </is>
      </c>
      <c r="J242" t="inlineStr"/>
      <c r="K242" t="inlineStr"/>
      <c r="L242" t="inlineStr"/>
      <c r="M242" t="inlineStr"/>
      <c r="N242" t="inlineStr"/>
      <c r="O242">
        <f>(1-Summary!$B$11)*T242+Summary!$B$11*V242</f>
        <v/>
      </c>
      <c r="P242">
        <f>IF(B265=0,0,O242/B265)</f>
        <v/>
      </c>
      <c r="Q242" t="n">
        <v>0</v>
      </c>
      <c r="R242" t="n">
        <v>0</v>
      </c>
      <c r="S242">
        <f>IFERROR(O242/N242,0)</f>
        <v/>
      </c>
      <c r="T242" t="n">
        <v>0</v>
      </c>
      <c r="V242" t="n">
        <v>0</v>
      </c>
    </row>
    <row r="243">
      <c r="A243">
        <f>Skills!A23</f>
        <v/>
      </c>
      <c r="B243">
        <f>Skills!B23</f>
        <v/>
      </c>
      <c r="C243">
        <f>Inputs!$B$3&gt;=40</f>
        <v/>
      </c>
      <c r="D243">
        <f>IF(Skills!C23=1,60+Inputs!$B$25+Inputs!$B$29,IF(Skills!C23=2,90+Inputs!$B$26+Inputs!$B$29,IF(Skills!C23=3,120+Inputs!$B$27+Inputs!$B$29,MAX(0,(Inputs!$B$3-100)*3)+Inputs!$B$28+Inputs!$B$29)))</f>
        <v/>
      </c>
      <c r="E243">
        <f>INDEX(FactorTable!$B$2:$Y$301, MATCH(ROUND(MIN(300,MAX(1,D243)),0), FactorTable!$A$2:$A$301,0), Skills!M23+1)</f>
        <v/>
      </c>
      <c r="F243">
        <f>IF(Skills!N23=TRUE,(Skills!L23/10)*(E243/1000),Skills!L23/10)+Skills!O23</f>
        <v/>
      </c>
      <c r="G243">
        <f>Skills!G23*IF(Skills!H23&gt;0,Skills!I23/Skills!H23,1)</f>
        <v/>
      </c>
      <c r="H243">
        <f>1-(1-Skills!J23/100)^Skills!K23</f>
        <v/>
      </c>
      <c r="I243" t="inlineStr">
        <is>
          <t>1</t>
        </is>
      </c>
      <c r="J243" t="inlineStr"/>
      <c r="K243" t="inlineStr"/>
      <c r="L243" t="inlineStr"/>
      <c r="M243" t="inlineStr"/>
      <c r="N243" t="inlineStr"/>
      <c r="O243">
        <f>(1-Summary!$B$11)*T243+Summary!$B$11*V243</f>
        <v/>
      </c>
      <c r="P243">
        <f>IF(B265=0,0,O243/B265)</f>
        <v/>
      </c>
      <c r="Q243" t="n">
        <v>0</v>
      </c>
      <c r="R243" t="n">
        <v>0</v>
      </c>
      <c r="S243">
        <f>IFERROR(O243/N243,0)</f>
        <v/>
      </c>
      <c r="T243" t="n">
        <v>0</v>
      </c>
      <c r="V243" t="n">
        <v>0</v>
      </c>
    </row>
    <row r="244">
      <c r="A244">
        <f>Skills!A24</f>
        <v/>
      </c>
      <c r="B244">
        <f>Skills!B24</f>
        <v/>
      </c>
      <c r="C244">
        <f>Inputs!$B$3&gt;=43</f>
        <v/>
      </c>
      <c r="D244">
        <f>IF(Skills!C24=1,60+Inputs!$B$25+Inputs!$B$29,IF(Skills!C24=2,90+Inputs!$B$26+Inputs!$B$29,IF(Skills!C24=3,120+Inputs!$B$27+Inputs!$B$29,MAX(0,(Inputs!$B$3-100)*3)+Inputs!$B$28+Inputs!$B$29)))</f>
        <v/>
      </c>
      <c r="E244">
        <f>INDEX(FactorTable!$B$2:$Y$301, MATCH(ROUND(MIN(300,MAX(1,D244)),0), FactorTable!$A$2:$A$301,0), Skills!M24+1)</f>
        <v/>
      </c>
      <c r="F244">
        <f>IF(Skills!N24=TRUE,(Skills!L24/10)*(E244/1000),Skills!L24/10)+Skills!O24</f>
        <v/>
      </c>
      <c r="G244">
        <f>Skills!G24*IF(Skills!H24&gt;0,Skills!I24/Skills!H24,1)</f>
        <v/>
      </c>
      <c r="H244">
        <f>1-(1-Skills!J24/100)^Skills!K24</f>
        <v/>
      </c>
      <c r="I244" t="inlineStr">
        <is>
          <t>1</t>
        </is>
      </c>
      <c r="J244" t="inlineStr"/>
      <c r="K244" t="inlineStr"/>
      <c r="L244" t="inlineStr"/>
      <c r="M244" t="inlineStr"/>
      <c r="N244" t="inlineStr"/>
      <c r="O244">
        <f>(1-Summary!$B$11)*T244+Summary!$B$11*V244</f>
        <v/>
      </c>
      <c r="P244">
        <f>IF(B265=0,0,O244/B265)</f>
        <v/>
      </c>
      <c r="Q244" t="n">
        <v>0</v>
      </c>
      <c r="R244" t="n">
        <v>0</v>
      </c>
      <c r="S244">
        <f>IFERROR(O244/N244,0)</f>
        <v/>
      </c>
      <c r="T244" t="n">
        <v>0</v>
      </c>
      <c r="V244" t="n">
        <v>0</v>
      </c>
    </row>
    <row r="245">
      <c r="A245">
        <f>Skills!A25</f>
        <v/>
      </c>
      <c r="B245">
        <f>Skills!B25</f>
        <v/>
      </c>
      <c r="C245">
        <f>Inputs!$B$3&gt;=50</f>
        <v/>
      </c>
      <c r="D245">
        <f>IF(Skills!C25=1,60+Inputs!$B$25+Inputs!$B$29,IF(Skills!C25=2,90+Inputs!$B$26+Inputs!$B$29,IF(Skills!C25=3,120+Inputs!$B$27+Inputs!$B$29,MAX(0,(Inputs!$B$3-100)*3)+Inputs!$B$28+Inputs!$B$29)))</f>
        <v/>
      </c>
      <c r="E245">
        <f>INDEX(FactorTable!$B$2:$Y$301, MATCH(ROUND(MIN(300,MAX(1,D245)),0), FactorTable!$A$2:$A$301,0), Skills!M25+1)</f>
        <v/>
      </c>
      <c r="F245">
        <f>IF(Skills!N25=TRUE,(Skills!L25/10)*(E245/1000),Skills!L25/10)+Skills!O25</f>
        <v/>
      </c>
      <c r="G245">
        <f>Skills!G25*IF(Skills!H25&gt;0,Skills!I25/Skills!H25,1)</f>
        <v/>
      </c>
      <c r="H245">
        <f>1-(1-Skills!J25/100)^Skills!K25</f>
        <v/>
      </c>
      <c r="I245" t="inlineStr">
        <is>
          <t>1</t>
        </is>
      </c>
      <c r="J245" t="inlineStr"/>
      <c r="K245" t="inlineStr"/>
      <c r="L245" t="inlineStr"/>
      <c r="M245" t="inlineStr"/>
      <c r="N245" t="inlineStr"/>
      <c r="O245">
        <f>(1-Summary!$B$11)*T245+Summary!$B$11*V245</f>
        <v/>
      </c>
      <c r="P245">
        <f>IF(B265=0,0,O245/B265)</f>
        <v/>
      </c>
      <c r="Q245" t="n">
        <v>0</v>
      </c>
      <c r="R245" t="n">
        <v>0</v>
      </c>
      <c r="S245">
        <f>IFERROR(O245/N245,0)</f>
        <v/>
      </c>
      <c r="T245" t="n">
        <v>0</v>
      </c>
      <c r="V245" t="n">
        <v>0</v>
      </c>
    </row>
    <row r="246">
      <c r="A246">
        <f>Skills!A26</f>
        <v/>
      </c>
      <c r="B246">
        <f>Skills!B26</f>
        <v/>
      </c>
      <c r="C246">
        <f>Inputs!$B$3&gt;=50</f>
        <v/>
      </c>
      <c r="D246">
        <f>IF(Skills!C26=1,60+Inputs!$B$25+Inputs!$B$29,IF(Skills!C26=2,90+Inputs!$B$26+Inputs!$B$29,IF(Skills!C26=3,120+Inputs!$B$27+Inputs!$B$29,MAX(0,(Inputs!$B$3-100)*3)+Inputs!$B$28+Inputs!$B$29)))</f>
        <v/>
      </c>
      <c r="E246">
        <f>INDEX(FactorTable!$B$2:$Y$301, MATCH(ROUND(MIN(300,MAX(1,D246)),0), FactorTable!$A$2:$A$301,0), Skills!M26+1)</f>
        <v/>
      </c>
      <c r="F246">
        <f>IF(Skills!N26=TRUE,(Skills!L26/10)*(E246/1000),Skills!L26/10)+Skills!O26</f>
        <v/>
      </c>
      <c r="G246">
        <f>Skills!G26*IF(Skills!H26&gt;0,Skills!I26/Skills!H26,1)</f>
        <v/>
      </c>
      <c r="H246">
        <f>1-(1-Skills!J26/100)^Skills!K26</f>
        <v/>
      </c>
      <c r="I246" t="inlineStr">
        <is>
          <t>1</t>
        </is>
      </c>
      <c r="J246" t="inlineStr"/>
      <c r="K246" t="inlineStr"/>
      <c r="L246" t="inlineStr"/>
      <c r="M246" t="inlineStr"/>
      <c r="N246" t="inlineStr"/>
      <c r="O246">
        <f>(1-Summary!$B$11)*T246+Summary!$B$11*V246</f>
        <v/>
      </c>
      <c r="P246">
        <f>IF(B265=0,0,O246/B265)</f>
        <v/>
      </c>
      <c r="Q246" t="n">
        <v>0</v>
      </c>
      <c r="R246" t="n">
        <v>0</v>
      </c>
      <c r="S246">
        <f>IFERROR(O246/N246,0)</f>
        <v/>
      </c>
      <c r="T246" t="n">
        <v>0</v>
      </c>
      <c r="V246" t="n">
        <v>0</v>
      </c>
    </row>
    <row r="247">
      <c r="A247">
        <f>Skills!A27</f>
        <v/>
      </c>
      <c r="B247">
        <f>Skills!B27</f>
        <v/>
      </c>
      <c r="C247">
        <f>Inputs!$B$3&gt;=38</f>
        <v/>
      </c>
      <c r="D247">
        <f>IF(Skills!C27=1,60+Inputs!$B$25+Inputs!$B$29,IF(Skills!C27=2,90+Inputs!$B$26+Inputs!$B$29,IF(Skills!C27=3,120+Inputs!$B$27+Inputs!$B$29,MAX(0,(Inputs!$B$3-100)*3)+Inputs!$B$28+Inputs!$B$29)))</f>
        <v/>
      </c>
      <c r="E247">
        <f>INDEX(FactorTable!$B$2:$Y$301, MATCH(ROUND(MIN(300,MAX(1,D247)),0), FactorTable!$A$2:$A$301,0), Skills!M27+1)</f>
        <v/>
      </c>
      <c r="F247">
        <f>IF(Skills!N27=TRUE,(Skills!L27/10)*(E247/1000),Skills!L27/10)+Skills!O27</f>
        <v/>
      </c>
      <c r="G247">
        <f>Skills!G27*IF(Skills!H27&gt;0,Skills!I27/Skills!H27,1)</f>
        <v/>
      </c>
      <c r="H247">
        <f>1-(1-Skills!J27/100)^Skills!K27</f>
        <v/>
      </c>
      <c r="I247" t="inlineStr">
        <is>
          <t>1</t>
        </is>
      </c>
      <c r="J247" t="inlineStr"/>
      <c r="K247" t="inlineStr"/>
      <c r="L247" t="inlineStr"/>
      <c r="M247" t="inlineStr"/>
      <c r="N247" t="inlineStr"/>
      <c r="O247">
        <f>(1-Summary!$B$11)*T247+Summary!$B$11*V247</f>
        <v/>
      </c>
      <c r="P247">
        <f>IF(B265=0,0,O247/B265)</f>
        <v/>
      </c>
      <c r="Q247" t="n">
        <v>0</v>
      </c>
      <c r="R247" t="n">
        <v>0</v>
      </c>
      <c r="S247">
        <f>IFERROR(O247/N247,0)</f>
        <v/>
      </c>
      <c r="T247" t="n">
        <v>0</v>
      </c>
      <c r="V247" t="n">
        <v>0</v>
      </c>
    </row>
    <row r="248">
      <c r="A248">
        <f>Skills!A28</f>
        <v/>
      </c>
      <c r="B248">
        <f>Skills!B28</f>
        <v/>
      </c>
      <c r="C248">
        <f>Inputs!$B$3&gt;=120</f>
        <v/>
      </c>
      <c r="D248">
        <f>IF(Skills!C28=1,60+Inputs!$B$25+Inputs!$B$29,IF(Skills!C28=2,90+Inputs!$B$26+Inputs!$B$29,IF(Skills!C28=3,120+Inputs!$B$27+Inputs!$B$29,MAX(0,(Inputs!$B$3-100)*3)+Inputs!$B$28+Inputs!$B$29)))</f>
        <v/>
      </c>
      <c r="E248">
        <f>INDEX(FactorTable!$B$2:$Y$301, MATCH(ROUND(MIN(300,MAX(1,D248)),0), FactorTable!$A$2:$A$301,0), Skills!M28+1)</f>
        <v/>
      </c>
      <c r="F248">
        <f>IF(Skills!N28=TRUE,(Skills!L28/10)*(E248/1000),Skills!L28/10)+Skills!O28</f>
        <v/>
      </c>
      <c r="G248">
        <f>Skills!G28*IF(Skills!H28&gt;0,Skills!I28/Skills!H28,1)</f>
        <v/>
      </c>
      <c r="H248">
        <f>1-(1-Skills!J28/100)^Skills!K28</f>
        <v/>
      </c>
      <c r="I248" t="inlineStr">
        <is>
          <t>1</t>
        </is>
      </c>
      <c r="J248" t="inlineStr"/>
      <c r="K248" t="inlineStr"/>
      <c r="L248" t="inlineStr"/>
      <c r="M248" t="inlineStr"/>
      <c r="N248" t="inlineStr"/>
      <c r="O248">
        <f>(1-Summary!$B$11)*T248+Summary!$B$11*V248</f>
        <v/>
      </c>
      <c r="P248">
        <f>IF(B265=0,0,O248/B265)</f>
        <v/>
      </c>
      <c r="Q248" t="n">
        <v>0</v>
      </c>
      <c r="R248" t="n">
        <v>0</v>
      </c>
      <c r="S248">
        <f>IFERROR(O248/N248,0)</f>
        <v/>
      </c>
      <c r="T248" t="n">
        <v>0</v>
      </c>
      <c r="V248" t="n">
        <v>0</v>
      </c>
    </row>
    <row r="249">
      <c r="A249">
        <f>Skills!A29</f>
        <v/>
      </c>
      <c r="B249">
        <f>Skills!B29</f>
        <v/>
      </c>
      <c r="C249">
        <f>Inputs!$B$3&gt;=120</f>
        <v/>
      </c>
      <c r="D249">
        <f>IF(Skills!C29=1,60+Inputs!$B$25+Inputs!$B$29,IF(Skills!C29=2,90+Inputs!$B$26+Inputs!$B$29,IF(Skills!C29=3,120+Inputs!$B$27+Inputs!$B$29,MAX(0,(Inputs!$B$3-100)*3)+Inputs!$B$28+Inputs!$B$29)))</f>
        <v/>
      </c>
      <c r="E249">
        <f>INDEX(FactorTable!$B$2:$Y$301, MATCH(ROUND(MIN(300,MAX(1,D249)),0), FactorTable!$A$2:$A$301,0), Skills!M29+1)</f>
        <v/>
      </c>
      <c r="F249">
        <f>IF(Skills!N29=TRUE,(Skills!L29/10)*(E249/1000),Skills!L29/10)+Skills!O29</f>
        <v/>
      </c>
      <c r="G249">
        <f>Skills!G29*IF(Skills!H29&gt;0,Skills!I29/Skills!H29,1)</f>
        <v/>
      </c>
      <c r="H249">
        <f>1-(1-Skills!J29/100)^Skills!K29</f>
        <v/>
      </c>
      <c r="I249" t="inlineStr">
        <is>
          <t>1</t>
        </is>
      </c>
      <c r="J249" t="inlineStr"/>
      <c r="K249" t="inlineStr"/>
      <c r="L249" t="inlineStr"/>
      <c r="M249" t="inlineStr"/>
      <c r="N249" t="inlineStr"/>
      <c r="O249">
        <f>(1-Summary!$B$11)*T249+Summary!$B$11*V249</f>
        <v/>
      </c>
      <c r="P249">
        <f>IF(B265=0,0,O249/B265)</f>
        <v/>
      </c>
      <c r="Q249" t="n">
        <v>0</v>
      </c>
      <c r="R249" t="n">
        <v>0</v>
      </c>
      <c r="S249">
        <f>IFERROR(O249/N249,0)</f>
        <v/>
      </c>
      <c r="T249" t="n">
        <v>0</v>
      </c>
      <c r="V249" t="n">
        <v>0</v>
      </c>
    </row>
    <row r="250">
      <c r="A250">
        <f>Skills!A30</f>
        <v/>
      </c>
      <c r="B250">
        <f>Skills!B30</f>
        <v/>
      </c>
      <c r="C250">
        <f>Inputs!$B$3&gt;=125</f>
        <v/>
      </c>
      <c r="D250">
        <f>IF(Skills!C30=1,60+Inputs!$B$25+Inputs!$B$29,IF(Skills!C30=2,90+Inputs!$B$26+Inputs!$B$29,IF(Skills!C30=3,120+Inputs!$B$27+Inputs!$B$29,MAX(0,(Inputs!$B$3-100)*3)+Inputs!$B$28+Inputs!$B$29)))</f>
        <v/>
      </c>
      <c r="E250">
        <f>INDEX(FactorTable!$B$2:$Y$301, MATCH(ROUND(MIN(300,MAX(1,D250)),0), FactorTable!$A$2:$A$301,0), Skills!M30+1)</f>
        <v/>
      </c>
      <c r="F250">
        <f>IF(Skills!N30=TRUE,(Skills!L30/10)*(E250/1000),Skills!L30/10)+Skills!O30</f>
        <v/>
      </c>
      <c r="G250">
        <f>Skills!G30*IF(Skills!H30&gt;0,Skills!I30/Skills!H30,1)</f>
        <v/>
      </c>
      <c r="H250">
        <f>1-(1-Skills!J30/100)^Skills!K30</f>
        <v/>
      </c>
      <c r="I250" t="inlineStr">
        <is>
          <t>1</t>
        </is>
      </c>
      <c r="J250" t="inlineStr"/>
      <c r="K250" t="inlineStr"/>
      <c r="L250" t="inlineStr"/>
      <c r="M250" t="inlineStr"/>
      <c r="N250" t="inlineStr"/>
      <c r="O250">
        <f>(1-Summary!$B$11)*T250+Summary!$B$11*V250</f>
        <v/>
      </c>
      <c r="P250">
        <f>IF(B265=0,0,O250/B265)</f>
        <v/>
      </c>
      <c r="Q250" t="n">
        <v>0</v>
      </c>
      <c r="R250" t="n">
        <v>0</v>
      </c>
      <c r="S250">
        <f>IFERROR(O250/N250,0)</f>
        <v/>
      </c>
      <c r="T250" t="n">
        <v>0</v>
      </c>
      <c r="V250" t="n">
        <v>0</v>
      </c>
    </row>
    <row r="252">
      <c r="A252" t="inlineStr">
        <is>
          <t>Average Buff Multiplier</t>
        </is>
      </c>
      <c r="B252">
        <f>(1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f>
        <v/>
      </c>
    </row>
    <row r="253">
      <c r="A253" t="inlineStr">
        <is>
          <t>Global Crit Rate Bonus %</t>
        </is>
      </c>
      <c r="B253">
        <f>((C240=TRUE)*F240*IF(AND(Inputs!$B$39&lt;&gt;"pvp",Inputs!$B$44&gt;0),(((R240-1)*(Skills!Y20*(1+Inputs!$B$34/100))+MIN((Skills!Y20*(1+Inputs!$B$34/100)),MAX(0,Inputs!$B$44-((R240-1)*Skills!D20))))/Inputs!$B$44),IF(Inputs!$B$39="pvp",MIN((Skills!Y20*(1+Inputs!$B$34/100)),15)/15,(Skills!Y20*(1+Inputs!$B$34/100))/Skills!D20)))</f>
        <v/>
      </c>
    </row>
    <row r="254">
      <c r="A254" t="inlineStr">
        <is>
          <t>Global Monster Damage-Taken Bonus %</t>
        </is>
      </c>
      <c r="B254">
        <f>IF(Inputs!$B$3&gt;=82,15,0)</f>
        <v/>
      </c>
    </row>
    <row r="255">
      <c r="A255" t="inlineStr">
        <is>
          <t>Shadow Partner Average Multiplier</t>
        </is>
      </c>
      <c r="B255">
        <f>1+((C227=TRUE)*F227*(1+3.3333333333333335*IF(C238=TRUE,F238,0)/100)*I227*Skills!J7/100)/100</f>
        <v/>
      </c>
    </row>
    <row r="256">
      <c r="A256" t="inlineStr">
        <is>
          <t>Attack Speed Buff Bonus %</t>
        </is>
      </c>
      <c r="B256">
        <f>((C239=TRUE)*F239*IF(AND(Inputs!$B$39&lt;&gt;"pvp",Inputs!$B$44&gt;0),(((R239-1)*(Skills!Y19*(1+Inputs!$B$34/100))+MIN((Skills!Y19*(1+Inputs!$B$34/100)),MAX(0,Inputs!$B$44-((R239-1)*Skills!D19))))/Inputs!$B$44),IF(Inputs!$B$39="pvp",MIN((Skills!Y19*(1+Inputs!$B$34/100)),15)/15,(Skills!Y19*(1+Inputs!$B$34/100))/Skills!D19)))+((C223=TRUE)*F223*3)</f>
        <v/>
      </c>
    </row>
    <row r="257">
      <c r="A257" t="inlineStr">
        <is>
          <t>Actions Per Second</t>
        </is>
      </c>
      <c r="B257">
        <f>1+MIN(150,150*(1-(1-(Inputs!$B$11+((C242=TRUE)*(F242-Calc!F22)))/150)*(1-B256/150)))/100</f>
        <v/>
      </c>
    </row>
    <row r="258">
      <c r="A258" t="inlineStr">
        <is>
          <t>Skill + Buff Cast Rate</t>
        </is>
      </c>
      <c r="B258">
        <f>IF(AND(Inputs!$B$39&lt;&gt;"pvp",Inputs!$B$44&gt;0),SUMPRODUCT((Skills!E2:E30=TRUE)*(C222:C250=TRUE)*R222:R250*Skills!F2:F30)/Inputs!$B$44,SUMPRODUCT((Skills!E2:E30=TRUE)*(C222:C250=TRUE)*Q222:Q250*Skills!F2:F30))</f>
        <v/>
      </c>
    </row>
    <row r="259">
      <c r="A259" t="inlineStr">
        <is>
          <t>Cruel Stab Casts Per Second</t>
        </is>
      </c>
      <c r="B259">
        <f>MAX(0,B257-B258)</f>
        <v/>
      </c>
    </row>
    <row r="260">
      <c r="A260" t="inlineStr">
        <is>
          <t>Global Critical Damage Bonus % (Smokescreen Mastery Lv.113)</t>
        </is>
      </c>
      <c r="B260">
        <f>IF(Inputs!$B$3&gt;=113,30,0)*IF(AND(Inputs!$B$39&lt;&gt;"pvp",Inputs!$B$44&gt;0),(((R235-1)*(Skills!Y15*(1+Inputs!$B$34/100))+MIN((Skills!Y15*(1+Inputs!$B$34/100)),MAX(0,Inputs!$B$44-((R235-1)*Skills!D15))))/Inputs!$B$44),IF(Inputs!$B$39="pvp",MIN((Skills!Y15*(1+Inputs!$B$34/100)),15)/15,(Skills!Y15*(1+Inputs!$B$34/100))/Skills!D15))</f>
        <v/>
      </c>
    </row>
    <row r="261">
      <c r="A261" t="inlineStr">
        <is>
          <t>Meso Explosion average stack count</t>
        </is>
      </c>
      <c r="B261">
        <f>MIN(10,0.5*B257*Skills!D4)</f>
        <v/>
      </c>
    </row>
    <row r="262">
      <c r="A262" t="inlineStr">
        <is>
          <t>Blood Money average stack count</t>
        </is>
      </c>
      <c r="B262">
        <f>MIN(5,0.25*B257*Skills!D4)</f>
        <v/>
      </c>
    </row>
    <row r="263">
      <c r="A263" t="inlineStr">
        <is>
          <t>Assassinate Murderous Intent Multiplier</t>
        </is>
      </c>
      <c r="B263">
        <f>1+IFERROR(MIN(1,Q234*2/Q231),0)</f>
        <v/>
      </c>
    </row>
    <row r="264">
      <c r="A264" t="inlineStr">
        <is>
          <t>Buff-Casting Startup Delay (s, fixed-duration only)</t>
        </is>
      </c>
      <c r="B264">
        <f>IF(AND(Inputs!$B$39&lt;&gt;"pvp",Inputs!$B$44&gt;0),SUMPRODUCT((Skills!Y2:Y30&gt;0)*(Skills!E2:E30=TRUE)*(C222:C250=TRUE))/B257,0)</f>
        <v/>
      </c>
    </row>
    <row r="265">
      <c r="A265" s="6" t="inlineStr">
        <is>
          <t>TOTAL DPS</t>
        </is>
      </c>
      <c r="B265" s="6">
        <f>SUM(O222:O250)</f>
        <v/>
      </c>
    </row>
    <row r="266">
      <c r="A266" t="inlineStr">
        <is>
          <t>Boss-Only Total DPS (this block's swept value)</t>
        </is>
      </c>
      <c r="B266">
        <f>SUM(T222:T250)</f>
        <v/>
      </c>
    </row>
    <row r="267">
      <c r="A267" t="inlineStr">
        <is>
          <t>Normal-Only Total DPS (this block's swept value)</t>
        </is>
      </c>
      <c r="B267">
        <f>SUM(V222:V250)</f>
        <v/>
      </c>
    </row>
    <row r="270">
      <c r="A270" s="6" t="inlineStr">
        <is>
          <t>Stat: DAMAGE_AMP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Q271" s="5" t="inlineStr">
        <is>
          <t>InvCooldown</t>
        </is>
      </c>
      <c r="R271" s="5" t="inlineStr">
        <is>
          <t>CastsInFight</t>
        </is>
      </c>
      <c r="S271" s="5" t="inlineStr">
        <is>
          <t>HitRate(perSec)</t>
        </is>
      </c>
      <c r="U271" t="inlineStr">
        <is>
          <t>helpers</t>
        </is>
      </c>
    </row>
    <row r="272">
      <c r="A272">
        <f>Skills!A2</f>
        <v/>
      </c>
      <c r="B272">
        <f>Skills!B2</f>
        <v/>
      </c>
      <c r="C272">
        <f>Inputs!$B$3&gt;=100</f>
        <v/>
      </c>
      <c r="D272" t="inlineStr"/>
      <c r="E272" t="inlineStr"/>
      <c r="F272">
        <f>U274+Skills!O2</f>
        <v/>
      </c>
      <c r="G272">
        <f>Skills!G2*IF(Skills!H2&gt;0,Skills!I2/Skills!H2,1)</f>
        <v/>
      </c>
      <c r="H272">
        <f>1-(1-Skills!J2/100)^Skills!K2</f>
        <v/>
      </c>
      <c r="I272" t="inlineStr">
        <is>
          <t>1</t>
        </is>
      </c>
      <c r="J272">
        <f>((Inputs!$B$6*(1+Inputs!$B$7/100))+(((Inputs!$B$12*(1+Inputs!$B$13/100))-(Inputs!$B$12*(1+Inputs!$B$13/100)))+0.25*(Inputs!$B$14-Inputs!$B$14))*(1+Inputs!$B$7/100))*(F272/100)</f>
        <v/>
      </c>
      <c r="K272">
        <f>J272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272)</f>
        <v/>
      </c>
      <c r="L272">
        <f>K272*(MIN(Inputs!$B$22+((C294=TRUE)*(F294-Calc!F24)),(Inputs!$B$23+((C299=TRUE)*(F299-Calc!F29))+IF(ArtifactsInput!$M$15,CHOOSE(ArtifactsInput!$N$15+1,25,30,35,40,45,50)/100*(Inputs!$B$11-Inputs!$B$11),0)))/100+(Inputs!$B$23+((C299=TRUE)*(F299-Calc!F29))+IF(ArtifactsInput!$M$15,CHOOSE(ArtifactsInput!$N$15+1,25,30,35,40,45,50)/100*(Inputs!$B$11-Inputs!$B$11),0))/100)/2</f>
        <v/>
      </c>
      <c r="M272">
        <f>L272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IF(B315=0,0,O272/B315)</f>
        <v/>
      </c>
      <c r="Q272" t="n">
        <v>0</v>
      </c>
      <c r="R272" t="n">
        <v>0</v>
      </c>
      <c r="S272">
        <f>IFERROR(O272/N272,0)</f>
        <v/>
      </c>
      <c r="T272">
        <f>IF(C272,(Skills!G2*N272*B309)*IF(Inputs!$B$39="pvp",1,1+(Inputs!$B$20+0+Skills!P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IF(C272,(Skills!G2*N272*B309)*IF(Inputs!$B$39="pvp",1,(1+(Inputs!$B$21+Skills!Q2+B304+(IF(ArtifactsInput!$M$33,CHOOSE(ArtifactsInput!$N$33+1,30,36,42,48,54,60),0))+(IF(AND(ArtifactsInput!$M$35,Inputs!$B$4&lt;&gt;"Chapter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Skills!A3</f>
        <v/>
      </c>
      <c r="B273">
        <f>Skills!B3</f>
        <v/>
      </c>
      <c r="C273">
        <f>Inputs!$B$3&gt;=35</f>
        <v/>
      </c>
      <c r="D273">
        <f>IF(Skills!C3=1,60+Inputs!$B$25+Inputs!$B$29,IF(Skills!C3=2,90+Inputs!$B$26+Inputs!$B$29,IF(Skills!C3=3,120+Inputs!$B$27+Inputs!$B$29,MAX(0,(Inputs!$B$3-100)*3)+Inputs!$B$28+Inputs!$B$29)))</f>
        <v/>
      </c>
      <c r="E273">
        <f>INDEX(FactorTable!$B$2:$Y$301, MATCH(ROUND(MIN(300,MAX(1,D273)),0), FactorTable!$A$2:$A$301,0), Skills!M3+1)</f>
        <v/>
      </c>
      <c r="F273">
        <f>IF(Skills!N3=TRUE,(Skills!L3/10)*(E273/1000),Skills!L3/10)+Skills!O3</f>
        <v/>
      </c>
      <c r="G273">
        <f>Skills!G3*IF(Skills!H3&gt;0,Skills!I3/Skills!H3,1)</f>
        <v/>
      </c>
      <c r="H273">
        <f>1-(1-Skills!J3/100)^Skills!K3</f>
        <v/>
      </c>
      <c r="I273" t="inlineStr">
        <is>
          <t>1</t>
        </is>
      </c>
      <c r="J273" t="inlineStr"/>
      <c r="K273" t="inlineStr"/>
      <c r="L273" t="inlineStr"/>
      <c r="M273" t="inlineStr"/>
      <c r="N273" t="inlineStr"/>
      <c r="O273">
        <f>(1-Summary!$B$11)*T273+Summary!$B$11*V273</f>
        <v/>
      </c>
      <c r="P273">
        <f>IF(B315=0,0,O273/B315)</f>
        <v/>
      </c>
      <c r="Q273" t="n">
        <v>0</v>
      </c>
      <c r="R273" t="n">
        <v>0</v>
      </c>
      <c r="S273">
        <f>IFERROR(O273/N273,0)</f>
        <v/>
      </c>
      <c r="T273" t="n">
        <v>0</v>
      </c>
      <c r="U273">
        <f>INDEX(FactorTable!$B$2:$Y$301, MATCH(ROUND(MIN(300,MAX(1,U272)),0), FactorTable!$A$2:$A$301,0), 22)</f>
        <v/>
      </c>
      <c r="V273" t="n">
        <v>0</v>
      </c>
    </row>
    <row r="274">
      <c r="A274">
        <f>Skills!A4</f>
        <v/>
      </c>
      <c r="B274">
        <f>Skills!B4</f>
        <v/>
      </c>
      <c r="C274">
        <f>Inputs!$B$3&gt;=66</f>
        <v/>
      </c>
      <c r="D274">
        <f>IF(Skills!C4=1,60+Inputs!$B$25+Inputs!$B$29,IF(Skills!C4=2,90+Inputs!$B$26+Inputs!$B$29,IF(Skills!C4=3,120+Inputs!$B$27+Inputs!$B$29,MAX(0,(Inputs!$B$3-100)*3)+Inputs!$B$28+Inputs!$B$29)))</f>
        <v/>
      </c>
      <c r="E274">
        <f>INDEX(FactorTable!$B$2:$Y$301, MATCH(ROUND(MIN(300,MAX(1,D274)),0), FactorTable!$A$2:$A$301,0), Skills!M4+1)</f>
        <v/>
      </c>
      <c r="F274">
        <f>IF(Skills!N4=TRUE,(Skills!L4/10)*(E274/1000),Skills!L4/10)+Skills!O4</f>
        <v/>
      </c>
      <c r="G274">
        <f>Skills!G4*IF(Skills!H4&gt;0,Skills!I4/Skills!H4,1)</f>
        <v/>
      </c>
      <c r="H274">
        <f>1-(1-Skills!J4/100)^Skills!K4</f>
        <v/>
      </c>
      <c r="I274" t="inlineStr">
        <is>
          <t>1</t>
        </is>
      </c>
      <c r="J274">
        <f>((Inputs!$B$6*(1+Inputs!$B$7/100))+(((Inputs!$B$12*(1+Inputs!$B$13/100))-(Inputs!$B$12*(1+Inputs!$B$13/100)))+0.25*(Inputs!$B$14-Inputs!$B$14))*(1+Inputs!$B$7/100))*(F274/100)</f>
        <v/>
      </c>
      <c r="K274">
        <f>J274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274)</f>
        <v/>
      </c>
      <c r="L274">
        <f>K274*(MIN(Inputs!$B$22+((C294=TRUE)*(F294-Calc!F24)),(Inputs!$B$23+((C299=TRUE)*(F299-Calc!F29))+IF(ArtifactsInput!$M$15,CHOOSE(ArtifactsInput!$N$15+1,25,30,35,40,45,50)/100*(Inputs!$B$11-Inputs!$B$11),0)))/100+(Inputs!$B$23+((C299=TRUE)*(F299-Calc!F29))+IF(ArtifactsInput!$M$15,CHOOSE(ArtifactsInput!$N$15+1,25,30,35,40,45,50)/100*(Inputs!$B$11-Inputs!$B$11),0))/100)/2</f>
        <v/>
      </c>
      <c r="M274">
        <f>L274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4">
        <f>L274*(1-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
        <f>(1-Summary!$B$11)*T274+Summary!$B$11*V274</f>
        <v/>
      </c>
      <c r="P274">
        <f>IF(B315=0,0,O274/B315)</f>
        <v/>
      </c>
      <c r="Q274">
        <f>IFERROR(1/IF(Inputs!$B$39="pvp",15,MAX(0.1,Skills!D4-IF(Skills!E4=TRUE,Inputs!$B$32,0))),0)</f>
        <v/>
      </c>
      <c r="R274">
        <f>IF(AND(Inputs!$B$39&lt;&gt;"pvp",Inputs!$B$44&gt;0),IF(MAX(0,Inputs!$B$44-B314)&lt;=0,0,(INT(MAX(0,Inputs!$B$44-B314)/IF(Inputs!$B$39="pvp",15,MAX(0.1,Skills!D4-IF(Skills!E4=TRUE,Inputs!$B$32,0))))+1)),0)</f>
        <v/>
      </c>
      <c r="S274">
        <f>IFERROR(O274/N274,0)</f>
        <v/>
      </c>
      <c r="T274">
        <f>IF(C274,(H274*N274*IF(AND(Inputs!$B$39&lt;&gt;"pvp",Inputs!$B$44&gt;0),((Skills!G4*((R274-1)*IF(Skills!H4&gt;0,Skills!I4/Skills!H4,1)+IF(Skills!H4&gt;0,MIN(Skills!I4,MAX(0,MAX(0,Inputs!$B$44-B314)-((R274-1)*IF(Inputs!$B$39="pvp",15,MAX(0.1,Skills!D4-IF(Skills!E4=TRUE,Inputs!$B$32,0))))))/Skills!H4,1)))/Inputs!$B$44),G274*Q274))*IF(Inputs!$B$39="pvp",1,1+(Inputs!$B$20+0+Skills!P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274*(1-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
        <f>290*U273/1000</f>
        <v/>
      </c>
      <c r="V274">
        <f>IF(C274,(H274*N274*IF(AND(Inputs!$B$39&lt;&gt;"pvp",Inputs!$B$44&gt;0),((Skills!G4*((R274-1)*IF(Skills!H4&gt;0,Skills!I4/Skills!H4,1)+IF(Skills!H4&gt;0,MIN(Skills!I4,MAX(0,MAX(0,Inputs!$B$44-B314)-((R274-1)*IF(Inputs!$B$39="pvp",15,MAX(0.1,Skills!D4-IF(Skills!E4=TRUE,Inputs!$B$32,0))))))/Skills!H4,1)))/Inputs!$B$44),G274*Q274))*IF(Inputs!$B$39="pvp",1,(1+(Inputs!$B$21+Skills!Q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(10,0.5*B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5">
      <c r="A275">
        <f>Skills!A5</f>
        <v/>
      </c>
      <c r="B275">
        <f>Skills!B5</f>
        <v/>
      </c>
      <c r="C275">
        <f>Inputs!$B$3&gt;=63</f>
        <v/>
      </c>
      <c r="D275">
        <f>IF(Skills!C5=1,60+Inputs!$B$25+Inputs!$B$29,IF(Skills!C5=2,90+Inputs!$B$26+Inputs!$B$29,IF(Skills!C5=3,120+Inputs!$B$27+Inputs!$B$29,MAX(0,(Inputs!$B$3-100)*3)+Inputs!$B$28+Inputs!$B$29)))</f>
        <v/>
      </c>
      <c r="E275">
        <f>INDEX(FactorTable!$B$2:$Y$301, MATCH(ROUND(MIN(300,MAX(1,D275)),0), FactorTable!$A$2:$A$301,0), Skills!M5+1)</f>
        <v/>
      </c>
      <c r="F275">
        <f>IF(Skills!N5=TRUE,(Skills!L5/10)*(E275/1000),Skills!L5/10)+Skills!O5</f>
        <v/>
      </c>
      <c r="G275">
        <f>Skills!G5*IF(Skills!H5&gt;0,Skills!I5/Skills!H5,1)</f>
        <v/>
      </c>
      <c r="H275">
        <f>1-(1-Skills!J5/100)^Skills!K5</f>
        <v/>
      </c>
      <c r="I275" t="inlineStr">
        <is>
          <t>1</t>
        </is>
      </c>
      <c r="J275">
        <f>((Inputs!$B$6*(1+Inputs!$B$7/100))+(((Inputs!$B$12*(1+Inputs!$B$13/100))-(Inputs!$B$12*(1+Inputs!$B$13/100)))+0.25*(Inputs!$B$14-Inputs!$B$14))*(1+Inputs!$B$7/100))*(F275/100)</f>
        <v/>
      </c>
      <c r="K275">
        <f>J275*(1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TRUE,F288,0)/100)*(1+(IF(Skills!A5="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275)</f>
        <v/>
      </c>
      <c r="L275">
        <f>K275*(MIN(Inputs!$B$22+((C294=TRUE)*(F294-Calc!F24)),(Inputs!$B$23+((C299=TRUE)*(F299-Calc!F29))+IF(ArtifactsInput!$M$15,CHOOSE(ArtifactsInput!$N$15+1,25,30,35,40,45,50)/100*(Inputs!$B$11-Inputs!$B$11),0)))/100+(Inputs!$B$23+((C299=TRUE)*(F299-Calc!F29))+IF(ArtifactsInput!$M$15,CHOOSE(ArtifactsInput!$N$15+1,25,30,35,40,45,50)/100*(Inputs!$B$11-Inputs!$B$11),0))/100)/2</f>
        <v/>
      </c>
      <c r="M275">
        <f>L275*(1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5">
        <f>L275*(1-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275*(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5">
        <f>(1-Summary!$B$11)*T275+Summary!$B$11*V275</f>
        <v/>
      </c>
      <c r="P275">
        <f>IF(B315=0,0,O275/B315)</f>
        <v/>
      </c>
      <c r="Q275">
        <f>IFERROR(1/IF(Inputs!$B$39="pvp",15,MAX(0.1,Skills!D5-IF(Skills!E5=TRUE,Inputs!$B$32,0))),0)</f>
        <v/>
      </c>
      <c r="R275">
        <f>IF(AND(Inputs!$B$39&lt;&gt;"pvp",Inputs!$B$44&gt;0),IF(MAX(0,Inputs!$B$44-B314)&lt;=0,0,(INT(MAX(0,Inputs!$B$44-B314)/IF(Inputs!$B$39="pvp",15,MAX(0.1,Skills!D5-IF(Skills!E5=TRUE,Inputs!$B$32,0))))+1)),0)</f>
        <v/>
      </c>
      <c r="S275">
        <f>IFERROR(O275/N275,0)</f>
        <v/>
      </c>
      <c r="T275">
        <f>IF(C275,(H275*N275*IF(AND(Inputs!$B$39&lt;&gt;"pvp",Inputs!$B$44&gt;0),((Skills!G5*((R275-1)*IF(Skills!H5&gt;0,Skills!I5/Skills!H5,1)+IF(Skills!H5&gt;0,MIN(Skills!I5,MAX(0,MAX(0,Inputs!$B$44-B314)-((R275-1)*IF(Inputs!$B$39="pvp",15,MAX(0.1,Skills!D5-IF(Skills!E5=TRUE,Inputs!$B$32,0))))))/Skills!H5,1)))/Inputs!$B$44),G275*Q275))*IF(Inputs!$B$39="pvp",1,1+(Inputs!$B$20+0+Skills!P5+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275*(1-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275*(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275*(1-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275*(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5">
        <f>IF(C275,(H275*N275*IF(AND(Inputs!$B$39&lt;&gt;"pvp",Inputs!$B$44&gt;0),((Skills!G5*((R275-1)*IF(Skills!H5&gt;0,Skills!I5/Skills!H5,1)+IF(Skills!H5&gt;0,MIN(Skills!I5,MAX(0,MAX(0,Inputs!$B$44-B314)-((R275-1)*IF(Inputs!$B$39="pvp",15,MAX(0.1,Skills!D5-IF(Skills!E5=TRUE,Inputs!$B$32,0))))))/Skills!H5,1)))/Inputs!$B$44),G275*Q275))*IF(Inputs!$B$39="pvp",1,(1+(Inputs!$B$21+Skills!Q5+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
      <c r="A276">
        <f>Skills!A6</f>
        <v/>
      </c>
      <c r="B276">
        <f>Skills!B6</f>
        <v/>
      </c>
      <c r="C276">
        <f>Inputs!$B$3&gt;=69</f>
        <v/>
      </c>
      <c r="D276">
        <f>IF(Skills!C6=1,60+Inputs!$B$25+Inputs!$B$29,IF(Skills!C6=2,90+Inputs!$B$26+Inputs!$B$29,IF(Skills!C6=3,120+Inputs!$B$27+Inputs!$B$29,MAX(0,(Inputs!$B$3-100)*3)+Inputs!$B$28+Inputs!$B$29)))</f>
        <v/>
      </c>
      <c r="E276">
        <f>INDEX(FactorTable!$B$2:$Y$301, MATCH(ROUND(MIN(300,MAX(1,D276)),0), FactorTable!$A$2:$A$301,0), Skills!M6+1)</f>
        <v/>
      </c>
      <c r="F276">
        <f>IF(Skills!N6=TRUE,(Skills!L6/10)*(E276/1000),Skills!L6/10)+Skills!O6</f>
        <v/>
      </c>
      <c r="G276">
        <f>Skills!G6*IF(Skills!H6&gt;0,Skills!I6/Skills!H6,1)</f>
        <v/>
      </c>
      <c r="H276">
        <f>1-(1-Skills!J6/100)^Skills!K6</f>
        <v/>
      </c>
      <c r="I276" t="inlineStr">
        <is>
          <t>1</t>
        </is>
      </c>
      <c r="J276">
        <f>((Inputs!$B$6*(1+Inputs!$B$7/100))+(((Inputs!$B$12*(1+Inputs!$B$13/100))-(Inputs!$B$12*(1+Inputs!$B$13/100)))+0.25*(Inputs!$B$14-Inputs!$B$14))*(1+Inputs!$B$7/100))*(F276/100)</f>
        <v/>
      </c>
      <c r="K276">
        <f>J276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TRUE,F288,0)/100)*(1+(IF(Skills!A6="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276)</f>
        <v/>
      </c>
      <c r="L276">
        <f>K276*(MIN(Inputs!$B$22+((C294=TRUE)*(F294-Calc!F24)),(Inputs!$B$23+((C299=TRUE)*(F299-Calc!F29))+IF(ArtifactsInput!$M$15,CHOOSE(ArtifactsInput!$N$15+1,25,30,35,40,45,50)/100*(Inputs!$B$11-Inputs!$B$11),0)))/100+(Inputs!$B$23+((C299=TRUE)*(F299-Calc!F29))+IF(ArtifactsInput!$M$15,CHOOSE(ArtifactsInput!$N$15+1,25,30,35,40,45,50)/100*(Inputs!$B$11-Inputs!$B$11),0))/100)/2</f>
        <v/>
      </c>
      <c r="M276">
        <f>L276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IF(B315=0,0,O276/B315)</f>
        <v/>
      </c>
      <c r="Q276">
        <f>IFERROR(1/IF(Inputs!$B$39="pvp",15,MAX(0.1,Skills!D6-IF(Skills!E6=TRUE,Inputs!$B$32,0))),0)</f>
        <v/>
      </c>
      <c r="R276">
        <f>IF(AND(Inputs!$B$39&lt;&gt;"pvp",Inputs!$B$44&gt;0),IF(MAX(0,Inputs!$B$44-B314)&lt;=0,0,(INT(MAX(0,Inputs!$B$44-B314)/IF(Inputs!$B$39="pvp",15,MAX(0.1,Skills!D6-IF(Skills!E6=TRUE,Inputs!$B$32,0))))+1)),0)</f>
        <v/>
      </c>
      <c r="S276">
        <f>IFERROR(O276/N276,0)</f>
        <v/>
      </c>
      <c r="T276">
        <f>IF(C276,(H276*N276*IF(AND(Inputs!$B$39&lt;&gt;"pvp",Inputs!$B$44&gt;0),((Skills!G6*((R276-1)*IF(Skills!H6&gt;0,Skills!I6/Skills!H6,1)+IF(Skills!H6&gt;0,MIN(Skills!I6,MAX(0,MAX(0,Inputs!$B$44-B314)-((R276-1)*IF(Inputs!$B$39="pvp",15,MAX(0.1,Skills!D6-IF(Skills!E6=TRUE,Inputs!$B$32,0))))))/Skills!H6,1)))/Inputs!$B$44),G276*Q276))*IF(Inputs!$B$39="pvp",1,1+(Inputs!$B$20+0+Skills!P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276*(1-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6*((R276-1)*IF(Skills!H6&gt;0,Skills!I6/Skills!H6,1)+IF(Skills!H6&gt;0,MIN(Skills!I6,MAX(0,MAX(0,Inputs!$B$44-B314)-((R276-1)*IF(Inputs!$B$39="pvp",15,MAX(0.1,Skills!D6-IF(Skills!E6=TRUE,Inputs!$B$32,0))))))/Skills!H6,1)))/Inputs!$B$44),G276*Q276))*IF(Inputs!$B$39="pvp",1,(1+(Inputs!$B$21+Skills!Q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Skills!A7</f>
        <v/>
      </c>
      <c r="B277">
        <f>Skills!B7</f>
        <v/>
      </c>
      <c r="C277">
        <f>Inputs!$B$3&gt;=60</f>
        <v/>
      </c>
      <c r="D277">
        <f>IF(Skills!C7=1,60+Inputs!$B$25+Inputs!$B$29,IF(Skills!C7=2,90+Inputs!$B$26+Inputs!$B$29,IF(Skills!C7=3,120+Inputs!$B$27+Inputs!$B$29,MAX(0,(Inputs!$B$3-100)*3)+Inputs!$B$28+Inputs!$B$29)))</f>
        <v/>
      </c>
      <c r="E277">
        <f>INDEX(FactorTable!$B$2:$Y$301, MATCH(ROUND(MIN(300,MAX(1,D277)),0), FactorTable!$A$2:$A$301,0), Skills!M7+1)</f>
        <v/>
      </c>
      <c r="F277">
        <f>IF(Skills!N7=TRUE,(Skills!L7/10)*(E277/1000),Skills!L7/10)+Skills!O7</f>
        <v/>
      </c>
      <c r="G277">
        <f>Skills!G7*IF(Skills!H7&gt;0,Skills!I7/Skills!H7,1)</f>
        <v/>
      </c>
      <c r="H277">
        <f>1-(1-Skills!J7/100)^Skills!K7</f>
        <v/>
      </c>
      <c r="I277" t="inlineStr">
        <is>
          <t>1</t>
        </is>
      </c>
      <c r="J277" t="inlineStr"/>
      <c r="K277" t="inlineStr"/>
      <c r="L277" t="inlineStr"/>
      <c r="M277" t="inlineStr"/>
      <c r="N277" t="inlineStr"/>
      <c r="O277">
        <f>(1-Summary!$B$11)*T277+Summary!$B$11*V277</f>
        <v/>
      </c>
      <c r="P277">
        <f>IF(B315=0,0,O277/B315)</f>
        <v/>
      </c>
      <c r="Q277" t="n">
        <v>0</v>
      </c>
      <c r="R277" t="n">
        <v>0</v>
      </c>
      <c r="S277">
        <f>IFERROR(O277/N277,0)</f>
        <v/>
      </c>
      <c r="T277" t="n">
        <v>0</v>
      </c>
      <c r="V277" t="n">
        <v>0</v>
      </c>
    </row>
    <row r="278">
      <c r="A278">
        <f>Skills!A8</f>
        <v/>
      </c>
      <c r="B278">
        <f>Skills!B8</f>
        <v/>
      </c>
      <c r="C278">
        <f>Inputs!$B$3&gt;=72</f>
        <v/>
      </c>
      <c r="D278">
        <f>IF(Skills!C8=1,60+Inputs!$B$25+Inputs!$B$29,IF(Skills!C8=2,90+Inputs!$B$26+Inputs!$B$29,IF(Skills!C8=3,120+Inputs!$B$27+Inputs!$B$29,MAX(0,(Inputs!$B$3-100)*3)+Inputs!$B$28+Inputs!$B$29)))</f>
        <v/>
      </c>
      <c r="E278">
        <f>INDEX(FactorTable!$B$2:$Y$301, MATCH(ROUND(MIN(300,MAX(1,D278)),0), FactorTable!$A$2:$A$301,0), Skills!M8+1)</f>
        <v/>
      </c>
      <c r="F278">
        <f>IF(Skills!N8=TRUE,(Skills!L8/10)*(E278/1000),Skills!L8/10)+Skills!O8</f>
        <v/>
      </c>
      <c r="G278">
        <f>Skills!G8*IF(Skills!H8&gt;0,Skills!I8/Skills!H8,1)</f>
        <v/>
      </c>
      <c r="H278">
        <f>1-(1-Skills!J8/100)^Skills!K8</f>
        <v/>
      </c>
      <c r="I278" t="inlineStr">
        <is>
          <t>1</t>
        </is>
      </c>
      <c r="J278">
        <f>((Inputs!$B$6*(1+Inputs!$B$7/100))+(((Inputs!$B$12*(1+Inputs!$B$13/100))-(Inputs!$B$12*(1+Inputs!$B$13/100)))+0.25*(Inputs!$B$14-Inputs!$B$14))*(1+Inputs!$B$7/100))*(F278/100)</f>
        <v/>
      </c>
      <c r="K278">
        <f>J278*(1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TRUE,F288,0)/100)*(1+(IF(Skills!A8="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278)</f>
        <v/>
      </c>
      <c r="L278">
        <f>K278*(MIN(Inputs!$B$22+((C294=TRUE)*(F294-Calc!F24)),(Inputs!$B$23+((C299=TRUE)*(F299-Calc!F29))+IF(ArtifactsInput!$M$15,CHOOSE(ArtifactsInput!$N$15+1,25,30,35,40,45,50)/100*(Inputs!$B$11-Inputs!$B$11),0)))/100+(Inputs!$B$23+((C299=TRUE)*(F299-Calc!F29))+IF(ArtifactsInput!$M$15,CHOOSE(ArtifactsInput!$N$15+1,25,30,35,40,45,50)/100*(Inputs!$B$11-Inputs!$B$11),0))/100)/2</f>
        <v/>
      </c>
      <c r="M278">
        <f>L278*(1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IF(B315=0,0,O278/B315)</f>
        <v/>
      </c>
      <c r="Q278">
        <f>IFERROR(1/IF(Inputs!$B$39="pvp",15,MAX(0.1,Skills!D8-IF(Skills!E8=TRUE,Inputs!$B$32,0))),0)</f>
        <v/>
      </c>
      <c r="R278">
        <f>IF(AND(Inputs!$B$39&lt;&gt;"pvp",Inputs!$B$44&gt;0),IF(MAX(0,Inputs!$B$44-B314)&lt;=0,0,(INT(MAX(0,Inputs!$B$44-B314)/IF(Inputs!$B$39="pvp",15,MAX(0.1,Skills!D8-IF(Skills!E8=TRUE,Inputs!$B$32,0))))+1)),0)</f>
        <v/>
      </c>
      <c r="S278">
        <f>IFERROR(O278/N278,0)</f>
        <v/>
      </c>
      <c r="T278">
        <f>IF(C278,(H278*N278*IF(AND(Inputs!$B$39&lt;&gt;"pvp",Inputs!$B$44&gt;0),((Skills!G8*((R278-1)*IF(Skills!H8&gt;0,Skills!I8/Skills!H8,1)+IF(Skills!H8&gt;0,MIN(Skills!I8,MAX(0,MAX(0,Inputs!$B$44-B314)-((R278-1)*IF(Inputs!$B$39="pvp",15,MAX(0.1,Skills!D8-IF(Skills!E8=TRUE,Inputs!$B$32,0))))))/Skills!H8,1)))/Inputs!$B$44),G278*Q278))*IF(Inputs!$B$39="pvp",1,1+(Inputs!$B$20+0+Skills!P8+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H278*N278*IF(AND(Inputs!$B$39&lt;&gt;"pvp",Inputs!$B$44&gt;0),((Skills!G8*((R278-1)*IF(Skills!H8&gt;0,Skills!I8/Skills!H8,1)+IF(Skills!H8&gt;0,MIN(Skills!I8,MAX(0,MAX(0,Inputs!$B$44-B314)-((R278-1)*IF(Inputs!$B$39="pvp",15,MAX(0.1,Skills!D8-IF(Skills!E8=TRUE,Inputs!$B$32,0))))))/Skills!H8,1)))/Inputs!$B$44),G278*Q278))*IF(Inputs!$B$39="pvp",1,(1+(Inputs!$B$21+Skills!Q8+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Skills!A9</f>
        <v/>
      </c>
      <c r="B279">
        <f>Skills!B9</f>
        <v/>
      </c>
      <c r="C279">
        <f>Inputs!$B$3&gt;=117</f>
        <v/>
      </c>
      <c r="D279">
        <f>IF(Skills!C9=1,60+Inputs!$B$25+Inputs!$B$29,IF(Skills!C9=2,90+Inputs!$B$26+Inputs!$B$29,IF(Skills!C9=3,120+Inputs!$B$27+Inputs!$B$29,MAX(0,(Inputs!$B$3-100)*3)+Inputs!$B$28+Inputs!$B$29)))</f>
        <v/>
      </c>
      <c r="E279">
        <f>INDEX(FactorTable!$B$2:$Y$301, MATCH(ROUND(MIN(300,MAX(1,D279)),0), FactorTable!$A$2:$A$301,0), Skills!M9+1)</f>
        <v/>
      </c>
      <c r="F279">
        <f>IF(Skills!N9=TRUE,(Skills!L9/10)*(E279/1000),Skills!L9/10)+Skills!O9</f>
        <v/>
      </c>
      <c r="G279">
        <f>Skills!G9*IF(Skills!H9&gt;0,Skills!I9/Skills!H9,1)</f>
        <v/>
      </c>
      <c r="H279">
        <f>1-(1-Skills!J9/100)^Skills!K9</f>
        <v/>
      </c>
      <c r="I279" t="inlineStr">
        <is>
          <t>1</t>
        </is>
      </c>
      <c r="J279">
        <f>((Inputs!$B$6*(1+Inputs!$B$7/100))+(((Inputs!$B$12*(1+Inputs!$B$13/100))-(Inputs!$B$12*(1+Inputs!$B$13/100)))+0.25*(Inputs!$B$14-Inputs!$B$14))*(1+Inputs!$B$7/100))*(F279/100)</f>
        <v/>
      </c>
      <c r="K279">
        <f>J279*(1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279)</f>
        <v/>
      </c>
      <c r="L279">
        <f>K279*(MIN(Inputs!$B$22+((C294=TRUE)*(F294-Calc!F24)),(Inputs!$B$23+((C299=TRUE)*(F299-Calc!F29))+IF(ArtifactsInput!$M$15,CHOOSE(ArtifactsInput!$N$15+1,25,30,35,40,45,50)/100*(Inputs!$B$11-Inputs!$B$11),0)))/100+(Inputs!$B$23+((C299=TRUE)*(F299-Calc!F29))+IF(ArtifactsInput!$M$15,CHOOSE(ArtifactsInput!$N$15+1,25,30,35,40,45,50)/100*(Inputs!$B$11-Inputs!$B$11),0))/100)/2</f>
        <v/>
      </c>
      <c r="M279">
        <f>L279*(1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9">
        <f>L279*(1-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279*(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9">
        <f>(1-Summary!$B$11)*T279+Summary!$B$11*V279</f>
        <v/>
      </c>
      <c r="P279">
        <f>IF(B315=0,0,O279/B315)</f>
        <v/>
      </c>
      <c r="Q279" t="n">
        <v>0</v>
      </c>
      <c r="R279" t="n">
        <v>0</v>
      </c>
      <c r="S279" t="n">
        <v>0</v>
      </c>
      <c r="T279">
        <f>IF(C279,(0.2*SUMPRODUCT((Skills!Z2:Z30=TRUE)*(C272:C300=TRUE)*S272:S300)*N279)*IF(Inputs!$B$39="pvp",1,1+(Inputs!$B$20+0+Skills!P9+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279*(1-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279*(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279*(1-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279*(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9">
        <f>IF(C279,(0.2*SUMPRODUCT((Skills!Z2:Z30=TRUE)*(C272:C300=TRUE)*S272:S300)*N279)*IF(Inputs!$B$39="pvp",1,(1+(Inputs!$B$21+Skills!Q9+B304+(IF(ArtifactsInput!$M$33,CHOOSE(ArtifactsInput!$N$33+1,30,36,42,48,54,60),0))+(IF(AND(ArtifactsInput!$M$35,Inputs!$B$4&lt;&gt;"Chapter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
      <c r="A280">
        <f>Skills!A10</f>
        <v/>
      </c>
      <c r="B280">
        <f>Skills!B10</f>
        <v/>
      </c>
      <c r="C280">
        <f>Inputs!$B$3&gt;=74</f>
        <v/>
      </c>
      <c r="D280">
        <f>IF(Skills!C10=1,60+Inputs!$B$25+Inputs!$B$29,IF(Skills!C10=2,90+Inputs!$B$26+Inputs!$B$29,IF(Skills!C10=3,120+Inputs!$B$27+Inputs!$B$29,MAX(0,(Inputs!$B$3-100)*3)+Inputs!$B$28+Inputs!$B$29)))</f>
        <v/>
      </c>
      <c r="E280">
        <f>INDEX(FactorTable!$B$2:$Y$301, MATCH(ROUND(MIN(300,MAX(1,D280)),0), FactorTable!$A$2:$A$301,0), Skills!M10+1)</f>
        <v/>
      </c>
      <c r="F280">
        <f>IF(Skills!N10=TRUE,(Skills!L10/10)*(E280/1000),Skills!L10/10)+Skills!O10</f>
        <v/>
      </c>
      <c r="G280">
        <f>Skills!G10*IF(Skills!H10&gt;0,Skills!I10/Skills!H10,1)</f>
        <v/>
      </c>
      <c r="H280">
        <f>1-(1-Skills!J10/100)^Skills!K10</f>
        <v/>
      </c>
      <c r="I280" t="inlineStr">
        <is>
          <t>1</t>
        </is>
      </c>
      <c r="J280" t="inlineStr"/>
      <c r="K280" t="inlineStr"/>
      <c r="L280" t="inlineStr"/>
      <c r="M280" t="inlineStr"/>
      <c r="N280" t="inlineStr"/>
      <c r="O280">
        <f>(1-Summary!$B$11)*T280+Summary!$B$11*V280</f>
        <v/>
      </c>
      <c r="P280">
        <f>IF(B315=0,0,O280/B315)</f>
        <v/>
      </c>
      <c r="Q280">
        <f>IFERROR(1/IF(Inputs!$B$39="pvp",15,MAX(0.1,Skills!D10-IF(Skills!E10=TRUE,Inputs!$B$32,0))),0)</f>
        <v/>
      </c>
      <c r="R280">
        <f>IF(AND(Inputs!$B$39&lt;&gt;"pvp",Inputs!$B$44&gt;0),IF(Inputs!$B$44&lt;=0,0,(INT(Inputs!$B$44/IF(Inputs!$B$39="pvp",15,MAX(0.1,Skills!D10-IF(Skills!E10=TRUE,Inputs!$B$32,0))))+1)),0)</f>
        <v/>
      </c>
      <c r="S280">
        <f>IFERROR(O280/N280,0)</f>
        <v/>
      </c>
      <c r="T280" t="n">
        <v>0</v>
      </c>
      <c r="V280" t="n">
        <v>0</v>
      </c>
    </row>
    <row r="281">
      <c r="A281">
        <f>Skills!A11</f>
        <v/>
      </c>
      <c r="B281">
        <f>Skills!B11</f>
        <v/>
      </c>
      <c r="C281">
        <f>Inputs!$B$3&gt;=103</f>
        <v/>
      </c>
      <c r="D281">
        <f>IF(Skills!C11=1,60+Inputs!$B$25+Inputs!$B$29,IF(Skills!C11=2,90+Inputs!$B$26+Inputs!$B$29,IF(Skills!C11=3,120+Inputs!$B$27+Inputs!$B$29,MAX(0,(Inputs!$B$3-100)*3)+Inputs!$B$28+Inputs!$B$29)))</f>
        <v/>
      </c>
      <c r="E281">
        <f>INDEX(FactorTable!$B$2:$Y$301, MATCH(ROUND(MIN(300,MAX(1,D281)),0), FactorTable!$A$2:$A$301,0), Skills!M11+1)</f>
        <v/>
      </c>
      <c r="F281">
        <f>(Skills!L11/10)*(E281/1000)+IF(Inputs!$B$3&gt;=134,50,0)+0.5*(30000/10)*(INDEX(FactorTable!$B$2:$Y$301, MATCH(ROUND(MIN(300,MAX(1,D281)),0), FactorTable!$A$2:$A$301,0), 13)/1000)*B313</f>
        <v/>
      </c>
      <c r="G281">
        <f>Skills!G11*IF(Skills!H11&gt;0,Skills!I11/Skills!H11,1)</f>
        <v/>
      </c>
      <c r="H281">
        <f>1-(1-Skills!J11/100)^Skills!K11</f>
        <v/>
      </c>
      <c r="I281" t="inlineStr">
        <is>
          <t>1</t>
        </is>
      </c>
      <c r="J281">
        <f>((Inputs!$B$6*(1+Inputs!$B$7/100))+(((Inputs!$B$12*(1+Inputs!$B$13/100))-(Inputs!$B$12*(1+Inputs!$B$13/100)))+0.25*(Inputs!$B$14-Inputs!$B$14))*(1+Inputs!$B$7/100))*(F281/100)</f>
        <v/>
      </c>
      <c r="K281">
        <f>J281*(1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281)</f>
        <v/>
      </c>
      <c r="L281">
        <f>K281*(MIN(Inputs!$B$22+((C294=TRUE)*(F294-Calc!F24)),(Inputs!$B$23+((C299=TRUE)*(F299-Calc!F29))+IF(ArtifactsInput!$M$15,CHOOSE(ArtifactsInput!$N$15+1,25,30,35,40,45,50)/100*(Inputs!$B$11-Inputs!$B$11),0)))/100+(Inputs!$B$23+((C299=TRUE)*(F299-Calc!F29))+IF(ArtifactsInput!$M$15,CHOOSE(ArtifactsInput!$N$15+1,25,30,35,40,45,50)/100*(Inputs!$B$11-Inputs!$B$11),0))/100)/2</f>
        <v/>
      </c>
      <c r="M281">
        <f>L281*(1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IF(B315=0,0,O281/B315)</f>
        <v/>
      </c>
      <c r="Q281">
        <f>IFERROR(1/IF(Inputs!$B$39="pvp",15,MAX(0.1,Skills!D11-IF(Skills!E11=TRUE,Inputs!$B$32,0))),0)</f>
        <v/>
      </c>
      <c r="R281">
        <f>IF(AND(Inputs!$B$39&lt;&gt;"pvp",Inputs!$B$44&gt;0),IF(MAX(0,Inputs!$B$44-B314)&lt;=0,0,(INT(MAX(0,Inputs!$B$44-B314)/IF(Inputs!$B$39="pvp",15,MAX(0.1,Skills!D11-IF(Skills!E11=TRUE,Inputs!$B$32,0))))+1)),0)</f>
        <v/>
      </c>
      <c r="S281">
        <f>IFERROR(O281/N281,0)</f>
        <v/>
      </c>
      <c r="T281">
        <f>IF(C281,(H281*N281*IF(AND(Inputs!$B$39&lt;&gt;"pvp",Inputs!$B$44&gt;0),((Skills!G11*((R281-1)*IF(Skills!H11&gt;0,Skills!I11/Skills!H11,1)+IF(Skills!H11&gt;0,MIN(Skills!I11,MAX(0,MAX(0,Inputs!$B$44-B314)-((R281-1)*IF(Inputs!$B$39="pvp",15,MAX(0.1,Skills!D11-IF(Skills!E11=TRUE,Inputs!$B$32,0))))))/Skills!H11,1)))/Inputs!$B$44),G281*Q281))*IF(Inputs!$B$39="pvp",1,1+(Inputs!$B$20+0+Skills!P11+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281*(1-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11*((R281-1)*IF(Skills!H11&gt;0,Skills!I11/Skills!H11,1)+IF(Skills!H11&gt;0,MIN(Skills!I11,MAX(0,MAX(0,Inputs!$B$44-B314)-((R281-1)*IF(Inputs!$B$39="pvp",15,MAX(0.1,Skills!D11-IF(Skills!E11=TRUE,Inputs!$B$32,0))))))/Skills!H11,1)))/Inputs!$B$44),G281*Q281))*IF(Inputs!$B$39="pvp",1,(1+(Inputs!$B$21+Skills!Q11+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Skills!A12</f>
        <v/>
      </c>
      <c r="B282">
        <f>Skills!B12</f>
        <v/>
      </c>
      <c r="C282">
        <f>Inputs!$B$3&gt;=105</f>
        <v/>
      </c>
      <c r="D282">
        <f>IF(Skills!C12=1,60+Inputs!$B$25+Inputs!$B$29,IF(Skills!C12=2,90+Inputs!$B$26+Inputs!$B$29,IF(Skills!C12=3,120+Inputs!$B$27+Inputs!$B$29,MAX(0,(Inputs!$B$3-100)*3)+Inputs!$B$28+Inputs!$B$29)))</f>
        <v/>
      </c>
      <c r="E282">
        <f>INDEX(FactorTable!$B$2:$Y$301, MATCH(ROUND(MIN(300,MAX(1,D282)),0), FactorTable!$A$2:$A$301,0), Skills!M12+1)</f>
        <v/>
      </c>
      <c r="F282">
        <f>IF(Skills!N12=TRUE,(Skills!L12/10)*(E282/1000),Skills!L12/10)+Skills!O12</f>
        <v/>
      </c>
      <c r="G282">
        <f>Skills!G12*IF(Skills!H12&gt;0,Skills!I12/Skills!H12,1)</f>
        <v/>
      </c>
      <c r="H282">
        <f>1-(1-Skills!J12/100)^Skills!K12</f>
        <v/>
      </c>
      <c r="I282" t="inlineStr">
        <is>
          <t>1</t>
        </is>
      </c>
      <c r="J282">
        <f>((Inputs!$B$6*(1+Inputs!$B$7/100))+(((Inputs!$B$12*(1+Inputs!$B$13/100))-(Inputs!$B$12*(1+Inputs!$B$13/100)))+0.25*(Inputs!$B$14-Inputs!$B$14))*(1+Inputs!$B$7/100))*(F282/100)</f>
        <v/>
      </c>
      <c r="K282">
        <f>J282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282)</f>
        <v/>
      </c>
      <c r="L282">
        <f>K282*(MIN(Inputs!$B$22+((C294=TRUE)*(F294-Calc!F24)),(Inputs!$B$23+((C299=TRUE)*(F299-Calc!F29))+IF(ArtifactsInput!$M$15,CHOOSE(ArtifactsInput!$N$15+1,25,30,35,40,45,50)/100*(Inputs!$B$11-Inputs!$B$11),0)))/100+(Inputs!$B$23+((C299=TRUE)*(F299-Calc!F29))+IF(ArtifactsInput!$M$15,CHOOSE(ArtifactsInput!$N$15+1,25,30,35,40,45,50)/100*(Inputs!$B$11-Inputs!$B$11),0))/100)/2</f>
        <v/>
      </c>
      <c r="M282">
        <f>L282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IF(B315=0,0,O282/B315)</f>
        <v/>
      </c>
      <c r="Q282">
        <f>IFERROR(1/IF(Inputs!$B$39="pvp",15,MAX(0.1,Skills!D12-IF(Skills!E12=TRUE,Inputs!$B$32,0))),0)</f>
        <v/>
      </c>
      <c r="R282">
        <f>IF(AND(Inputs!$B$39&lt;&gt;"pvp",Inputs!$B$44&gt;0),IF(MAX(0,Inputs!$B$44-B314)&lt;=0,0,(INT(MAX(0,Inputs!$B$44-B314)/IF(Inputs!$B$39="pvp",15,MAX(0.1,Skills!D12-IF(Skills!E12=TRUE,Inputs!$B$32,0))))+1)),0)</f>
        <v/>
      </c>
      <c r="S282">
        <f>IFERROR(O282/N282,0)</f>
        <v/>
      </c>
      <c r="T282">
        <f>IF(C282,(H282*N282*IF(AND(Inputs!$B$39&lt;&gt;"pvp",Inputs!$B$44&gt;0),((Skills!G12*((R282-1)*IF(Skills!H12&gt;0,Skills!I12/Skills!H12,1)+IF(Skills!H12&gt;0,MIN(Skills!I12,MAX(0,MAX(0,Inputs!$B$44-B314)-((R282-1)*IF(Inputs!$B$39="pvp",15,MAX(0.1,Skills!D12-IF(Skills!E12=TRUE,Inputs!$B$32,0))))))/Skills!H12,1)))/Inputs!$B$44),G282*Q282))*IF(Inputs!$B$39="pvp",1,1+(Inputs!$B$20+0+Skills!P12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12*((R282-1)*IF(Skills!H12&gt;0,Skills!I12/Skills!H12,1)+IF(Skills!H12&gt;0,MIN(Skills!I12,MAX(0,MAX(0,Inputs!$B$44-B314)-((R282-1)*IF(Inputs!$B$39="pvp",15,MAX(0.1,Skills!D12-IF(Skills!E12=TRUE,Inputs!$B$32,0))))))/Skills!H12,1)))/Inputs!$B$44),G282*Q282))*IF(Inputs!$B$39="pvp",1,(1+(Inputs!$B$21+Skills!Q12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Skills!A13</f>
        <v/>
      </c>
      <c r="B283">
        <f>Skills!B13</f>
        <v/>
      </c>
      <c r="C283">
        <f>Inputs!$B$3&gt;=105</f>
        <v/>
      </c>
      <c r="D283">
        <f>IF(Skills!C13=1,60+Inputs!$B$25+Inputs!$B$29,IF(Skills!C13=2,90+Inputs!$B$26+Inputs!$B$29,IF(Skills!C13=3,120+Inputs!$B$27+Inputs!$B$29,MAX(0,(Inputs!$B$3-100)*3)+Inputs!$B$28+Inputs!$B$29)))</f>
        <v/>
      </c>
      <c r="E283">
        <f>INDEX(FactorTable!$B$2:$Y$301, MATCH(ROUND(MIN(300,MAX(1,D283)),0), FactorTable!$A$2:$A$301,0), Skills!M13+1)</f>
        <v/>
      </c>
      <c r="F283">
        <f>IF(Skills!N13=TRUE,(Skills!L13/10)*(E283/1000),Skills!L13/10)+Skills!O13</f>
        <v/>
      </c>
      <c r="G283">
        <f>Skills!G13*IF(Skills!H13&gt;0,Skills!I13/Skills!H13,1)</f>
        <v/>
      </c>
      <c r="H283">
        <f>1-(1-Skills!J13/100)^Skills!K13</f>
        <v/>
      </c>
      <c r="I283" t="inlineStr">
        <is>
          <t>1</t>
        </is>
      </c>
      <c r="J283">
        <f>((Inputs!$B$6*(1+Inputs!$B$7/100))+(((Inputs!$B$12*(1+Inputs!$B$13/100))-(Inputs!$B$12*(1+Inputs!$B$13/100)))+0.25*(Inputs!$B$14-Inputs!$B$14))*(1+Inputs!$B$7/100))*(F283/100)</f>
        <v/>
      </c>
      <c r="K283">
        <f>J283*(1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283)</f>
        <v/>
      </c>
      <c r="L283">
        <f>K283*(MIN(Inputs!$B$22+((C294=TRUE)*(F294-Calc!F24)),(Inputs!$B$23+((C299=TRUE)*(F299-Calc!F29))+IF(ArtifactsInput!$M$15,CHOOSE(ArtifactsInput!$N$15+1,25,30,35,40,45,50)/100*(Inputs!$B$11-Inputs!$B$11),0)))/100+(Inputs!$B$23+((C299=TRUE)*(F299-Calc!F29))+IF(ArtifactsInput!$M$15,CHOOSE(ArtifactsInput!$N$15+1,25,30,35,40,45,50)/100*(Inputs!$B$11-Inputs!$B$11),0))/100)/2</f>
        <v/>
      </c>
      <c r="M283">
        <f>L283*(1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
        <f>L283*(1-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
        <f>(1-Summary!$B$11)*T283+Summary!$B$11*V283</f>
        <v/>
      </c>
      <c r="P283">
        <f>IF(B315=0,0,O283/B315)</f>
        <v/>
      </c>
      <c r="Q283">
        <f>IFERROR(1/IF(Inputs!$B$39="pvp",15,MAX(0.1,Skills!D13-IF(Skills!E13=TRUE,Inputs!$B$32,0))),0)</f>
        <v/>
      </c>
      <c r="R283">
        <f>IF(AND(Inputs!$B$39&lt;&gt;"pvp",Inputs!$B$44&gt;0),IF(MAX(0,Inputs!$B$44-B314)&lt;=0,0,(INT(MAX(0,Inputs!$B$44-B314)/IF(Inputs!$B$39="pvp",15,MAX(0.1,Skills!D13-IF(Skills!E13=TRUE,Inputs!$B$32,0))))+1)),0)</f>
        <v/>
      </c>
      <c r="S283">
        <f>IFERROR(O283/N283,0)</f>
        <v/>
      </c>
      <c r="T283">
        <f>IF(C283,(H283*N283*IF(AND(Inputs!$B$39&lt;&gt;"pvp",Inputs!$B$44&gt;0),((Skills!G13*((R283-1)*IF(Skills!H13&gt;0,Skills!I13/Skills!H13,1)+IF(Skills!H13&gt;0,MIN(Skills!I13,MAX(0,MAX(0,Inputs!$B$44-B314)-((R283-1)*IF(Inputs!$B$39="pvp",15,MAX(0.1,Skills!D13-IF(Skills!E13=TRUE,Inputs!$B$32,0))))))/Skills!H13,1)))/Inputs!$B$44),G283*Q283))*IF(Inputs!$B$39="pvp",1,1+(Inputs!$B$20+0+Skills!P13+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
        <f>IF(C283,(H283*N283*IF(AND(Inputs!$B$39&lt;&gt;"pvp",Inputs!$B$44&gt;0),((Skills!G13*((R283-1)*IF(Skills!H13&gt;0,Skills!I13/Skills!H13,1)+IF(Skills!H13&gt;0,MIN(Skills!I13,MAX(0,MAX(0,Inputs!$B$44-B314)-((R283-1)*IF(Inputs!$B$39="pvp",15,MAX(0.1,Skills!D13-IF(Skills!E13=TRUE,Inputs!$B$32,0))))))/Skills!H13,1)))/Inputs!$B$44),G283*Q283))*IF(Inputs!$B$39="pvp",1,(1+(Inputs!$B$21+Skills!Q13+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
      <c r="A284">
        <f>Skills!A14</f>
        <v/>
      </c>
      <c r="B284">
        <f>Skills!B14</f>
        <v/>
      </c>
      <c r="C284">
        <f>Inputs!$B$3&gt;=107</f>
        <v/>
      </c>
      <c r="D284">
        <f>IF(Skills!C14=1,60+Inputs!$B$25+Inputs!$B$29,IF(Skills!C14=2,90+Inputs!$B$26+Inputs!$B$29,IF(Skills!C14=3,120+Inputs!$B$27+Inputs!$B$29,MAX(0,(Inputs!$B$3-100)*3)+Inputs!$B$28+Inputs!$B$29)))</f>
        <v/>
      </c>
      <c r="E284">
        <f>INDEX(FactorTable!$B$2:$Y$301, MATCH(ROUND(MIN(300,MAX(1,D284)),0), FactorTable!$A$2:$A$301,0), Skills!M14+1)</f>
        <v/>
      </c>
      <c r="F284">
        <f>IF(Skills!N14=TRUE,(Skills!L14/10)*(E284/1000),Skills!L14/10)+Skills!O14</f>
        <v/>
      </c>
      <c r="G284">
        <f>Skills!G14*IF(Skills!H14&gt;0,Skills!I14/Skills!H14,1)</f>
        <v/>
      </c>
      <c r="H284">
        <f>1-(1-Skills!J14/100)^Skills!K14</f>
        <v/>
      </c>
      <c r="I284" t="inlineStr">
        <is>
          <t>1</t>
        </is>
      </c>
      <c r="J284">
        <f>((Inputs!$B$6*(1+Inputs!$B$7/100))+(((Inputs!$B$12*(1+Inputs!$B$13/100))-(Inputs!$B$12*(1+Inputs!$B$13/100)))+0.25*(Inputs!$B$14-Inputs!$B$14))*(1+Inputs!$B$7/100))*(F284/100)</f>
        <v/>
      </c>
      <c r="K284">
        <f>J284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284)</f>
        <v/>
      </c>
      <c r="L284">
        <f>K284*(MIN(Inputs!$B$22+((C294=TRUE)*(F294-Calc!F24)),(Inputs!$B$23+((C299=TRUE)*(F299-Calc!F29))+IF(ArtifactsInput!$M$15,CHOOSE(ArtifactsInput!$N$15+1,25,30,35,40,45,50)/100*(Inputs!$B$11-Inputs!$B$11),0)))/100+(Inputs!$B$23+((C299=TRUE)*(F299-Calc!F29))+IF(ArtifactsInput!$M$15,CHOOSE(ArtifactsInput!$N$15+1,25,30,35,40,45,50)/100*(Inputs!$B$11-Inputs!$B$11),0))/100)/2</f>
        <v/>
      </c>
      <c r="M284">
        <f>L284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
        <f>L284*(1-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
        <f>(1-Summary!$B$11)*T284+Summary!$B$11*V284</f>
        <v/>
      </c>
      <c r="P284">
        <f>IF(B315=0,0,O284/B315)</f>
        <v/>
      </c>
      <c r="Q284">
        <f>IFERROR(1/IF(Inputs!$B$39="pvp",15,MAX(0.1,Skills!D14-IF(Skills!E14=TRUE,Inputs!$B$32,0))),0)</f>
        <v/>
      </c>
      <c r="R284">
        <f>IF(AND(Inputs!$B$39&lt;&gt;"pvp",Inputs!$B$44&gt;0),IF(MAX(0,Inputs!$B$44-B314)&lt;=0,0,(INT(MAX(0,Inputs!$B$44-B314)/IF(Inputs!$B$39="pvp",15,MAX(0.1,Skills!D14-IF(Skills!E14=TRUE,Inputs!$B$32,0))))+1)),0)</f>
        <v/>
      </c>
      <c r="S284">
        <f>IFERROR(O284/N284,0)</f>
        <v/>
      </c>
      <c r="T284">
        <f>IF(C284,(H284*N284*IF(AND(Inputs!$B$39&lt;&gt;"pvp",Inputs!$B$44&gt;0),((Skills!G14*((R284-1)*IF(Skills!H14&gt;0,Skills!I14/Skills!H14,1)+IF(Skills!H14&gt;0,MIN(Skills!I14,MAX(0,MAX(0,Inputs!$B$44-B314)-((R284-1)*IF(Inputs!$B$39="pvp",15,MAX(0.1,Skills!D14-IF(Skills!E14=TRUE,Inputs!$B$32,0))))))/Skills!H14,1)))/Inputs!$B$44),G284*Q284))*IF(Inputs!$B$39="pvp",1,1+(Inputs!$B$20+0+Skills!P14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
        <f>IF(C284,(H284*N284*IF(AND(Inputs!$B$39&lt;&gt;"pvp",Inputs!$B$44&gt;0),((Skills!G14*((R284-1)*IF(Skills!H14&gt;0,Skills!I14/Skills!H14,1)+IF(Skills!H14&gt;0,MIN(Skills!I14,MAX(0,MAX(0,Inputs!$B$44-B314)-((R284-1)*IF(Inputs!$B$39="pvp",15,MAX(0.1,Skills!D14-IF(Skills!E14=TRUE,Inputs!$B$32,0))))))/Skills!H14,1)))/Inputs!$B$44),G284*Q284))*IF(Inputs!$B$39="pvp",1,(1+(Inputs!$B$21+Skills!Q14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(5,0.25*B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5">
      <c r="A285">
        <f>Skills!A15</f>
        <v/>
      </c>
      <c r="B285">
        <f>Skills!B15</f>
        <v/>
      </c>
      <c r="C285">
        <f>Inputs!$B$3&gt;=110</f>
        <v/>
      </c>
      <c r="D285">
        <f>IF(Skills!C15=1,60+Inputs!$B$25+Inputs!$B$29,IF(Skills!C15=2,90+Inputs!$B$26+Inputs!$B$29,IF(Skills!C15=3,120+Inputs!$B$27+Inputs!$B$29,MAX(0,(Inputs!$B$3-100)*3)+Inputs!$B$28+Inputs!$B$29)))</f>
        <v/>
      </c>
      <c r="E285">
        <f>INDEX(FactorTable!$B$2:$Y$301, MATCH(ROUND(MIN(300,MAX(1,D285)),0), FactorTable!$A$2:$A$301,0), Skills!M15+1)</f>
        <v/>
      </c>
      <c r="F285">
        <f>IF(Skills!N15=TRUE,(Skills!L15/10)*(E285/1000),Skills!L15/10)+Skills!O15</f>
        <v/>
      </c>
      <c r="G285">
        <f>Skills!G15*IF(Skills!H15&gt;0,Skills!I15/Skills!H15,1)</f>
        <v/>
      </c>
      <c r="H285">
        <f>1-(1-Skills!J15/100)^Skills!K15</f>
        <v/>
      </c>
      <c r="I285" t="inlineStr">
        <is>
          <t>1</t>
        </is>
      </c>
      <c r="J285" t="inlineStr"/>
      <c r="K285" t="inlineStr"/>
      <c r="L285" t="inlineStr"/>
      <c r="M285" t="inlineStr"/>
      <c r="N285" t="inlineStr"/>
      <c r="O285">
        <f>(1-Summary!$B$11)*T285+Summary!$B$11*V285</f>
        <v/>
      </c>
      <c r="P285">
        <f>IF(B315=0,0,O285/B315)</f>
        <v/>
      </c>
      <c r="Q285">
        <f>IFERROR(1/IF(Inputs!$B$39="pvp",15,MAX(0.1,Skills!D15-IF(Skills!E15=TRUE,Inputs!$B$32,0))),0)</f>
        <v/>
      </c>
      <c r="R285">
        <f>IF(AND(Inputs!$B$39&lt;&gt;"pvp",Inputs!$B$44&gt;0),IF(Inputs!$B$44&lt;=0,0,(INT(Inputs!$B$44/IF(Inputs!$B$39="pvp",15,MAX(0.1,Skills!D15-IF(Skills!E15=TRUE,Inputs!$B$32,0))))+1)),0)</f>
        <v/>
      </c>
      <c r="S285">
        <f>IFERROR(O285/N285,0)</f>
        <v/>
      </c>
      <c r="T285" t="n">
        <v>0</v>
      </c>
      <c r="V285" t="n">
        <v>0</v>
      </c>
    </row>
    <row r="286">
      <c r="A286">
        <f>Skills!A16</f>
        <v/>
      </c>
      <c r="B286">
        <f>Skills!B16</f>
        <v/>
      </c>
      <c r="C286">
        <f>Inputs!$B$3&gt;=115</f>
        <v/>
      </c>
      <c r="D286">
        <f>IF(Skills!C16=1,60+Inputs!$B$25+Inputs!$B$29,IF(Skills!C16=2,90+Inputs!$B$26+Inputs!$B$29,IF(Skills!C16=3,120+Inputs!$B$27+Inputs!$B$29,MAX(0,(Inputs!$B$3-100)*3)+Inputs!$B$28+Inputs!$B$29)))</f>
        <v/>
      </c>
      <c r="E286">
        <f>INDEX(FactorTable!$B$2:$Y$301, MATCH(ROUND(MIN(300,MAX(1,D286)),0), FactorTable!$A$2:$A$301,0), Skills!M16+1)</f>
        <v/>
      </c>
      <c r="F286">
        <f>IF(Skills!N16=TRUE,(Skills!L16/10)*(E286/1000),Skills!L16/10)+Skills!O16</f>
        <v/>
      </c>
      <c r="G286">
        <f>Skills!G16*IF(Skills!H16&gt;0,Skills!I16/Skills!H16,1)</f>
        <v/>
      </c>
      <c r="H286">
        <f>1-(1-Skills!J16/100)^Skills!K16</f>
        <v/>
      </c>
      <c r="I286" t="inlineStr">
        <is>
          <t>1</t>
        </is>
      </c>
      <c r="J286">
        <f>((Inputs!$B$6*(1+Inputs!$B$7/100))+(((Inputs!$B$12*(1+Inputs!$B$13/100))-(Inputs!$B$12*(1+Inputs!$B$13/100)))+0.25*(Inputs!$B$14-Inputs!$B$14))*(1+Inputs!$B$7/100))*(F286/100)</f>
        <v/>
      </c>
      <c r="K286">
        <f>J286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297=TRUE)*(F297-Calc!F27))+((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286)</f>
        <v/>
      </c>
      <c r="L286">
        <f>K286*(MIN(Inputs!$B$22+((C294=TRUE)*(F294-Calc!F24)),(Inputs!$B$23+((C299=TRUE)*(F299-Calc!F29))+IF(ArtifactsInput!$M$15,CHOOSE(ArtifactsInput!$N$15+1,25,30,35,40,45,50)/100*(Inputs!$B$11-Inputs!$B$11),0)))/100+(Inputs!$B$23+((C299=TRUE)*(F299-Calc!F29))+IF(ArtifactsInput!$M$15,CHOOSE(ArtifactsInput!$N$15+1,25,30,35,40,45,50)/100*(Inputs!$B$11-Inputs!$B$11),0))/100)/2</f>
        <v/>
      </c>
      <c r="M286">
        <f>L286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
        <f>L286*(1-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MIN((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
        <f>(1-Summary!$B$11)*T286+Summary!$B$11*V286</f>
        <v/>
      </c>
      <c r="P286">
        <f>IF(B315=0,0,O286/B315)</f>
        <v/>
      </c>
      <c r="Q286" t="n">
        <v>0</v>
      </c>
      <c r="R286" t="n">
        <v>0</v>
      </c>
      <c r="S286">
        <f>IFERROR(O286/N286,0)</f>
        <v/>
      </c>
      <c r="T286">
        <f>IF(C286,(Inputs!$B$38*0.2*N286)*IF(Inputs!$B$39="pvp",1,1+(Inputs!$B$20+0+Skills!P16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286*(1-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MIN(100,(Inputs!$B$9+((C295=TRUE)*(F295-Calc!F25))+B303+(ArtifactsInput!$M$24-ArtifactsInput!$M$24)*CHOOSE(ArtifactsInput!$N$24+1,10,12,14,16,18,20)+(IF(AND(Inputs!$B$39&lt;&gt;"pvp",Inputs!$B$44=0),1,IF(IF(Inputs!$B$39="pvp",15,Inputs!$B$44)-(B314)&lt;=0,1,MAX(0,IF(Inputs!$B$39="pvp",15,Inputs!$B$44)-MAX(5,B314))/(IF(Inputs!$B$39="pvp",15,Inputs!$B$44)-(B314))))*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
        <f>IF(C286,(Inputs!$B$38*0.2*N286)*IF(Inputs!$B$39="pvp",1,(1+(Inputs!$B$21+Skills!Q16+B304+(IF(ArtifactsInput!$M$33,CHOOSE(ArtifactsInput!$N$33+1,30,36,42,48,54,60),0))+(IF(AND(ArtifactsInput!$M$35,Inputs!$B$4&lt;&gt;"Chapter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
      <c r="A287">
        <f>Skills!A17</f>
        <v/>
      </c>
      <c r="B287">
        <f>Skills!B17</f>
        <v/>
      </c>
      <c r="C287">
        <f>Inputs!$B$3&gt;=115</f>
        <v/>
      </c>
      <c r="D287">
        <f>IF(Skills!C17=1,60+Inputs!$B$25+Inputs!$B$29,IF(Skills!C17=2,90+Inputs!$B$26+Inputs!$B$29,IF(Skills!C17=3,120+Inputs!$B$27+Inputs!$B$29,MAX(0,(Inputs!$B$3-100)*3)+Inputs!$B$28+Inputs!$B$29)))</f>
        <v/>
      </c>
      <c r="E287">
        <f>INDEX(FactorTable!$B$2:$Y$301, MATCH(ROUND(MIN(300,MAX(1,D287)),0), FactorTable!$A$2:$A$301,0), Skills!M17+1)</f>
        <v/>
      </c>
      <c r="F287">
        <f>IF(Skills!N17=TRUE,(Skills!L17/10)*(E287/1000),Skills!L17/10)+Skills!O17</f>
        <v/>
      </c>
      <c r="G287">
        <f>Skills!G17*IF(Skills!H17&gt;0,Skills!I17/Skills!H17,1)</f>
        <v/>
      </c>
      <c r="H287">
        <f>1-(1-Skills!J17/100)^Skills!K17</f>
        <v/>
      </c>
      <c r="I287" t="inlineStr">
        <is>
          <t>1</t>
        </is>
      </c>
      <c r="J287" t="inlineStr"/>
      <c r="K287" t="inlineStr"/>
      <c r="L287" t="inlineStr"/>
      <c r="M287" t="inlineStr"/>
      <c r="N287" t="inlineStr"/>
      <c r="O287">
        <f>(1-Summary!$B$11)*T287+Summary!$B$11*V287</f>
        <v/>
      </c>
      <c r="P287">
        <f>IF(B315=0,0,O287/B315)</f>
        <v/>
      </c>
      <c r="Q287" t="n">
        <v>0</v>
      </c>
      <c r="R287" t="n">
        <v>0</v>
      </c>
      <c r="S287">
        <f>IFERROR(O287/N287,0)</f>
        <v/>
      </c>
      <c r="T287" t="n">
        <v>0</v>
      </c>
      <c r="V287" t="n">
        <v>0</v>
      </c>
    </row>
    <row r="288">
      <c r="A288">
        <f>Skills!A18</f>
        <v/>
      </c>
      <c r="B288">
        <f>Skills!B18</f>
        <v/>
      </c>
      <c r="C288">
        <f>Inputs!$B$3&gt;=100</f>
        <v/>
      </c>
      <c r="D288">
        <f>IF(Skills!C18=1,60+Inputs!$B$25+Inputs!$B$29,IF(Skills!C18=2,90+Inputs!$B$26+Inputs!$B$29,IF(Skills!C18=3,120+Inputs!$B$27+Inputs!$B$29,MAX(0,(Inputs!$B$3-100)*3)+Inputs!$B$28+Inputs!$B$29)))</f>
        <v/>
      </c>
      <c r="E288">
        <f>INDEX(FactorTable!$B$2:$Y$301, MATCH(ROUND(MIN(300,MAX(1,D288)),0), FactorTable!$A$2:$A$301,0), Skills!M18+1)</f>
        <v/>
      </c>
      <c r="F288">
        <f>IF(Skills!N18=TRUE,(Skills!L18/10)*(E288/1000),Skills!L18/10)+Skills!O18</f>
        <v/>
      </c>
      <c r="G288">
        <f>Skills!G18*IF(Skills!H18&gt;0,Skills!I18/Skills!H18,1)</f>
        <v/>
      </c>
      <c r="H288">
        <f>1-(1-Skills!J18/100)^Skills!K18</f>
        <v/>
      </c>
      <c r="I288" t="inlineStr">
        <is>
          <t>1</t>
        </is>
      </c>
      <c r="J288" t="inlineStr"/>
      <c r="K288" t="inlineStr"/>
      <c r="L288" t="inlineStr"/>
      <c r="M288" t="inlineStr"/>
      <c r="N288" t="inlineStr"/>
      <c r="O288">
        <f>(1-Summary!$B$11)*T288+Summary!$B$11*V288</f>
        <v/>
      </c>
      <c r="P288">
        <f>IF(B315=0,0,O288/B315)</f>
        <v/>
      </c>
      <c r="Q288" t="n">
        <v>0</v>
      </c>
      <c r="R288" t="n">
        <v>0</v>
      </c>
      <c r="S288">
        <f>IFERROR(O288/N288,0)</f>
        <v/>
      </c>
      <c r="T288" t="n">
        <v>0</v>
      </c>
      <c r="V288" t="n">
        <v>0</v>
      </c>
    </row>
    <row r="289">
      <c r="A289">
        <f>Skills!A19</f>
        <v/>
      </c>
      <c r="B289">
        <f>Skills!B19</f>
        <v/>
      </c>
      <c r="C289">
        <f>TRUE</f>
        <v/>
      </c>
      <c r="D289">
        <f>IF(Skills!C19=1,60+Inputs!$B$25+Inputs!$B$29,IF(Skills!C19=2,90+Inputs!$B$26+Inputs!$B$29,IF(Skills!C19=3,120+Inputs!$B$27+Inputs!$B$29,MAX(0,(Inputs!$B$3-100)*3)+Inputs!$B$28+Inputs!$B$29)))</f>
        <v/>
      </c>
      <c r="E289">
        <f>INDEX(FactorTable!$B$2:$Y$301, MATCH(ROUND(MIN(300,MAX(1,D289)),0), FactorTable!$A$2:$A$301,0), Skills!M19+1)</f>
        <v/>
      </c>
      <c r="F289">
        <f>IF(Skills!N19=TRUE,(Skills!L19/10)*(E289/1000),Skills!L19/10)+Skills!O19</f>
        <v/>
      </c>
      <c r="G289">
        <f>Skills!G19*IF(Skills!H19&gt;0,Skills!I19/Skills!H19,1)</f>
        <v/>
      </c>
      <c r="H289">
        <f>1-(1-Skills!J19/100)^Skills!K19</f>
        <v/>
      </c>
      <c r="I289" t="inlineStr">
        <is>
          <t>1</t>
        </is>
      </c>
      <c r="J289" t="inlineStr"/>
      <c r="K289" t="inlineStr"/>
      <c r="L289" t="inlineStr"/>
      <c r="M289" t="inlineStr"/>
      <c r="N289" t="inlineStr"/>
      <c r="O289">
        <f>(1-Summary!$B$11)*T289+Summary!$B$11*V289</f>
        <v/>
      </c>
      <c r="P289">
        <f>IF(B315=0,0,O289/B315)</f>
        <v/>
      </c>
      <c r="Q289">
        <f>IFERROR(1/IF(Inputs!$B$39="pvp",15,MAX(0.1,Skills!D19-IF(Skills!E19=TRUE,Inputs!$B$32,0))),0)</f>
        <v/>
      </c>
      <c r="R289">
        <f>IF(AND(Inputs!$B$39&lt;&gt;"pvp",Inputs!$B$44&gt;0),IF(Inputs!$B$44&lt;=0,0,(INT(Inputs!$B$44/IF(Inputs!$B$39="pvp",15,MAX(0.1,Skills!D19-IF(Skills!E19=TRUE,Inputs!$B$32,0))))+1)),0)</f>
        <v/>
      </c>
      <c r="S289">
        <f>IFERROR(O289/N289,0)</f>
        <v/>
      </c>
      <c r="T289" t="n">
        <v>0</v>
      </c>
      <c r="V289" t="n">
        <v>0</v>
      </c>
    </row>
    <row r="290">
      <c r="A290">
        <f>Skills!A20</f>
        <v/>
      </c>
      <c r="B290">
        <f>Skills!B20</f>
        <v/>
      </c>
      <c r="C290">
        <f>Inputs!$B$3&gt;=15</f>
        <v/>
      </c>
      <c r="D290">
        <f>IF(Skills!C20=1,60+Inputs!$B$25+Inputs!$B$29,IF(Skills!C20=2,90+Inputs!$B$26+Inputs!$B$29,IF(Skills!C20=3,120+Inputs!$B$27+Inputs!$B$29,MAX(0,(Inputs!$B$3-100)*3)+Inputs!$B$28+Inputs!$B$29)))</f>
        <v/>
      </c>
      <c r="E290">
        <f>INDEX(FactorTable!$B$2:$Y$301, MATCH(ROUND(MIN(300,MAX(1,D290)),0), FactorTable!$A$2:$A$301,0), Skills!M20+1)</f>
        <v/>
      </c>
      <c r="F290">
        <f>IF(Skills!N20=TRUE,(Skills!L20/10)*(E290/1000),Skills!L20/10)+Skills!O20</f>
        <v/>
      </c>
      <c r="G290">
        <f>Skills!G20*IF(Skills!H20&gt;0,Skills!I20/Skills!H20,1)</f>
        <v/>
      </c>
      <c r="H290">
        <f>1-(1-Skills!J20/100)^Skills!K20</f>
        <v/>
      </c>
      <c r="I290" t="inlineStr">
        <is>
          <t>1</t>
        </is>
      </c>
      <c r="J290" t="inlineStr"/>
      <c r="K290" t="inlineStr"/>
      <c r="L290" t="inlineStr"/>
      <c r="M290" t="inlineStr"/>
      <c r="N290" t="inlineStr"/>
      <c r="O290">
        <f>(1-Summary!$B$11)*T290+Summary!$B$11*V290</f>
        <v/>
      </c>
      <c r="P290">
        <f>IF(B315=0,0,O290/B315)</f>
        <v/>
      </c>
      <c r="Q290">
        <f>IFERROR(1/IF(Inputs!$B$39="pvp",15,MAX(0.1,Skills!D20-IF(Skills!E20=TRUE,Inputs!$B$32,0))),0)</f>
        <v/>
      </c>
      <c r="R290">
        <f>IF(AND(Inputs!$B$39&lt;&gt;"pvp",Inputs!$B$44&gt;0),IF(Inputs!$B$44&lt;=0,0,(INT(Inputs!$B$44/IF(Inputs!$B$39="pvp",15,MAX(0.1,Skills!D20-IF(Skills!E20=TRUE,Inputs!$B$32,0))))+1)),0)</f>
        <v/>
      </c>
      <c r="S290">
        <f>IFERROR(O290/N290,0)</f>
        <v/>
      </c>
      <c r="T290" t="n">
        <v>0</v>
      </c>
      <c r="V290" t="n">
        <v>0</v>
      </c>
    </row>
    <row r="291">
      <c r="A291">
        <f>Skills!A21</f>
        <v/>
      </c>
      <c r="B291">
        <f>Skills!B21</f>
        <v/>
      </c>
      <c r="C291">
        <f>Inputs!$B$3&gt;=15</f>
        <v/>
      </c>
      <c r="D291">
        <f>IF(Skills!C21=1,60+Inputs!$B$25+Inputs!$B$29,IF(Skills!C21=2,90+Inputs!$B$26+Inputs!$B$29,IF(Skills!C21=3,120+Inputs!$B$27+Inputs!$B$29,MAX(0,(Inputs!$B$3-100)*3)+Inputs!$B$28+Inputs!$B$29)))</f>
        <v/>
      </c>
      <c r="E291">
        <f>INDEX(FactorTable!$B$2:$Y$301, MATCH(ROUND(MIN(300,MAX(1,D291)),0), FactorTable!$A$2:$A$301,0), Skills!M21+1)</f>
        <v/>
      </c>
      <c r="F291">
        <f>IF(Skills!N21=TRUE,(Skills!L21/10)*(E291/1000),Skills!L21/10)+Skills!O21</f>
        <v/>
      </c>
      <c r="G291">
        <f>Skills!G21*IF(Skills!H21&gt;0,Skills!I21/Skills!H21,1)</f>
        <v/>
      </c>
      <c r="H291">
        <f>1-(1-Skills!J21/100)^Skills!K21</f>
        <v/>
      </c>
      <c r="I291" t="inlineStr">
        <is>
          <t>1</t>
        </is>
      </c>
      <c r="J291" t="inlineStr"/>
      <c r="K291" t="inlineStr"/>
      <c r="L291" t="inlineStr"/>
      <c r="M291" t="inlineStr"/>
      <c r="N291" t="inlineStr"/>
      <c r="O291">
        <f>(1-Summary!$B$11)*T291+Summary!$B$11*V291</f>
        <v/>
      </c>
      <c r="P291">
        <f>IF(B315=0,0,O291/B315)</f>
        <v/>
      </c>
      <c r="Q291">
        <f>IFERROR(1/IF(Inputs!$B$39="pvp",15,MAX(0.1,Skills!D21-IF(Skills!E21=TRUE,Inputs!$B$32,0))),0)</f>
        <v/>
      </c>
      <c r="R291">
        <f>IF(AND(Inputs!$B$39&lt;&gt;"pvp",Inputs!$B$44&gt;0),IF(Inputs!$B$44&lt;=0,0,(INT(Inputs!$B$44/IF(Inputs!$B$39="pvp",15,MAX(0.1,Skills!D21-IF(Skills!E21=TRUE,Inputs!$B$32,0))))+1)),0)</f>
        <v/>
      </c>
      <c r="S291">
        <f>IFERROR(O291/N291,0)</f>
        <v/>
      </c>
      <c r="T291" t="n">
        <v>0</v>
      </c>
      <c r="V291" t="n">
        <v>0</v>
      </c>
    </row>
    <row r="292">
      <c r="A292">
        <f>Skills!A22</f>
        <v/>
      </c>
      <c r="B292">
        <f>Skills!B22</f>
        <v/>
      </c>
      <c r="C292">
        <f>Inputs!$B$3&gt;=33</f>
        <v/>
      </c>
      <c r="D292">
        <f>IF(Skills!C22=1,60+Inputs!$B$25+Inputs!$B$29,IF(Skills!C22=2,90+Inputs!$B$26+Inputs!$B$29,IF(Skills!C22=3,120+Inputs!$B$27+Inputs!$B$29,MAX(0,(Inputs!$B$3-100)*3)+Inputs!$B$28+Inputs!$B$29)))</f>
        <v/>
      </c>
      <c r="E292">
        <f>INDEX(FactorTable!$B$2:$Y$301, MATCH(ROUND(MIN(300,MAX(1,D292)),0), FactorTable!$A$2:$A$301,0), Skills!M22+1)</f>
        <v/>
      </c>
      <c r="F292">
        <f>IF(Skills!N22=TRUE,(Skills!L22/10)*(E292/1000),Skills!L22/10)+Skills!O22</f>
        <v/>
      </c>
      <c r="G292">
        <f>Skills!G22*IF(Skills!H22&gt;0,Skills!I22/Skills!H22,1)</f>
        <v/>
      </c>
      <c r="H292">
        <f>1-(1-Skills!J22/100)^Skills!K22</f>
        <v/>
      </c>
      <c r="I292" t="inlineStr">
        <is>
          <t>1</t>
        </is>
      </c>
      <c r="J292" t="inlineStr"/>
      <c r="K292" t="inlineStr"/>
      <c r="L292" t="inlineStr"/>
      <c r="M292" t="inlineStr"/>
      <c r="N292" t="inlineStr"/>
      <c r="O292">
        <f>(1-Summary!$B$11)*T292+Summary!$B$11*V292</f>
        <v/>
      </c>
      <c r="P292">
        <f>IF(B315=0,0,O292/B315)</f>
        <v/>
      </c>
      <c r="Q292" t="n">
        <v>0</v>
      </c>
      <c r="R292" t="n">
        <v>0</v>
      </c>
      <c r="S292">
        <f>IFERROR(O292/N292,0)</f>
        <v/>
      </c>
      <c r="T292" t="n">
        <v>0</v>
      </c>
      <c r="V292" t="n">
        <v>0</v>
      </c>
    </row>
    <row r="293">
      <c r="A293">
        <f>Skills!A23</f>
        <v/>
      </c>
      <c r="B293">
        <f>Skills!B23</f>
        <v/>
      </c>
      <c r="C293">
        <f>Inputs!$B$3&gt;=40</f>
        <v/>
      </c>
      <c r="D293">
        <f>IF(Skills!C23=1,60+Inputs!$B$25+Inputs!$B$29,IF(Skills!C23=2,90+Inputs!$B$26+Inputs!$B$29,IF(Skills!C23=3,120+Inputs!$B$27+Inputs!$B$29,MAX(0,(Inputs!$B$3-100)*3)+Inputs!$B$28+Inputs!$B$29)))</f>
        <v/>
      </c>
      <c r="E293">
        <f>INDEX(FactorTable!$B$2:$Y$301, MATCH(ROUND(MIN(300,MAX(1,D293)),0), FactorTable!$A$2:$A$301,0), Skills!M23+1)</f>
        <v/>
      </c>
      <c r="F293">
        <f>IF(Skills!N23=TRUE,(Skills!L23/10)*(E293/1000),Skills!L23/10)+Skills!O23</f>
        <v/>
      </c>
      <c r="G293">
        <f>Skills!G23*IF(Skills!H23&gt;0,Skills!I23/Skills!H23,1)</f>
        <v/>
      </c>
      <c r="H293">
        <f>1-(1-Skills!J23/100)^Skills!K23</f>
        <v/>
      </c>
      <c r="I293" t="inlineStr">
        <is>
          <t>1</t>
        </is>
      </c>
      <c r="J293" t="inlineStr"/>
      <c r="K293" t="inlineStr"/>
      <c r="L293" t="inlineStr"/>
      <c r="M293" t="inlineStr"/>
      <c r="N293" t="inlineStr"/>
      <c r="O293">
        <f>(1-Summary!$B$11)*T293+Summary!$B$11*V293</f>
        <v/>
      </c>
      <c r="P293">
        <f>IF(B315=0,0,O293/B315)</f>
        <v/>
      </c>
      <c r="Q293" t="n">
        <v>0</v>
      </c>
      <c r="R293" t="n">
        <v>0</v>
      </c>
      <c r="S293">
        <f>IFERROR(O293/N293,0)</f>
        <v/>
      </c>
      <c r="T293" t="n">
        <v>0</v>
      </c>
      <c r="V293" t="n">
        <v>0</v>
      </c>
    </row>
    <row r="294">
      <c r="A294">
        <f>Skills!A24</f>
        <v/>
      </c>
      <c r="B294">
        <f>Skills!B24</f>
        <v/>
      </c>
      <c r="C294">
        <f>Inputs!$B$3&gt;=43</f>
        <v/>
      </c>
      <c r="D294">
        <f>IF(Skills!C24=1,60+Inputs!$B$25+Inputs!$B$29,IF(Skills!C24=2,90+Inputs!$B$26+Inputs!$B$29,IF(Skills!C24=3,120+Inputs!$B$27+Inputs!$B$29,MAX(0,(Inputs!$B$3-100)*3)+Inputs!$B$28+Inputs!$B$29)))</f>
        <v/>
      </c>
      <c r="E294">
        <f>INDEX(FactorTable!$B$2:$Y$301, MATCH(ROUND(MIN(300,MAX(1,D294)),0), FactorTable!$A$2:$A$301,0), Skills!M24+1)</f>
        <v/>
      </c>
      <c r="F294">
        <f>IF(Skills!N24=TRUE,(Skills!L24/10)*(E294/1000),Skills!L24/10)+Skills!O24</f>
        <v/>
      </c>
      <c r="G294">
        <f>Skills!G24*IF(Skills!H24&gt;0,Skills!I24/Skills!H24,1)</f>
        <v/>
      </c>
      <c r="H294">
        <f>1-(1-Skills!J24/100)^Skills!K24</f>
        <v/>
      </c>
      <c r="I294" t="inlineStr">
        <is>
          <t>1</t>
        </is>
      </c>
      <c r="J294" t="inlineStr"/>
      <c r="K294" t="inlineStr"/>
      <c r="L294" t="inlineStr"/>
      <c r="M294" t="inlineStr"/>
      <c r="N294" t="inlineStr"/>
      <c r="O294">
        <f>(1-Summary!$B$11)*T294+Summary!$B$11*V294</f>
        <v/>
      </c>
      <c r="P294">
        <f>IF(B315=0,0,O294/B315)</f>
        <v/>
      </c>
      <c r="Q294" t="n">
        <v>0</v>
      </c>
      <c r="R294" t="n">
        <v>0</v>
      </c>
      <c r="S294">
        <f>IFERROR(O294/N294,0)</f>
        <v/>
      </c>
      <c r="T294" t="n">
        <v>0</v>
      </c>
      <c r="V294" t="n">
        <v>0</v>
      </c>
    </row>
    <row r="295">
      <c r="A295">
        <f>Skills!A25</f>
        <v/>
      </c>
      <c r="B295">
        <f>Skills!B25</f>
        <v/>
      </c>
      <c r="C295">
        <f>Inputs!$B$3&gt;=50</f>
        <v/>
      </c>
      <c r="D295">
        <f>IF(Skills!C25=1,60+Inputs!$B$25+Inputs!$B$29,IF(Skills!C25=2,90+Inputs!$B$26+Inputs!$B$29,IF(Skills!C25=3,120+Inputs!$B$27+Inputs!$B$29,MAX(0,(Inputs!$B$3-100)*3)+Inputs!$B$28+Inputs!$B$29)))</f>
        <v/>
      </c>
      <c r="E295">
        <f>INDEX(FactorTable!$B$2:$Y$301, MATCH(ROUND(MIN(300,MAX(1,D295)),0), FactorTable!$A$2:$A$301,0), Skills!M25+1)</f>
        <v/>
      </c>
      <c r="F295">
        <f>IF(Skills!N25=TRUE,(Skills!L25/10)*(E295/1000),Skills!L25/10)+Skills!O25</f>
        <v/>
      </c>
      <c r="G295">
        <f>Skills!G25*IF(Skills!H25&gt;0,Skills!I25/Skills!H25,1)</f>
        <v/>
      </c>
      <c r="H295">
        <f>1-(1-Skills!J25/100)^Skills!K25</f>
        <v/>
      </c>
      <c r="I295" t="inlineStr">
        <is>
          <t>1</t>
        </is>
      </c>
      <c r="J295" t="inlineStr"/>
      <c r="K295" t="inlineStr"/>
      <c r="L295" t="inlineStr"/>
      <c r="M295" t="inlineStr"/>
      <c r="N295" t="inlineStr"/>
      <c r="O295">
        <f>(1-Summary!$B$11)*T295+Summary!$B$11*V295</f>
        <v/>
      </c>
      <c r="P295">
        <f>IF(B315=0,0,O295/B315)</f>
        <v/>
      </c>
      <c r="Q295" t="n">
        <v>0</v>
      </c>
      <c r="R295" t="n">
        <v>0</v>
      </c>
      <c r="S295">
        <f>IFERROR(O295/N295,0)</f>
        <v/>
      </c>
      <c r="T295" t="n">
        <v>0</v>
      </c>
      <c r="V295" t="n">
        <v>0</v>
      </c>
    </row>
    <row r="296">
      <c r="A296">
        <f>Skills!A26</f>
        <v/>
      </c>
      <c r="B296">
        <f>Skills!B26</f>
        <v/>
      </c>
      <c r="C296">
        <f>Inputs!$B$3&gt;=50</f>
        <v/>
      </c>
      <c r="D296">
        <f>IF(Skills!C26=1,60+Inputs!$B$25+Inputs!$B$29,IF(Skills!C26=2,90+Inputs!$B$26+Inputs!$B$29,IF(Skills!C26=3,120+Inputs!$B$27+Inputs!$B$29,MAX(0,(Inputs!$B$3-100)*3)+Inputs!$B$28+Inputs!$B$29)))</f>
        <v/>
      </c>
      <c r="E296">
        <f>INDEX(FactorTable!$B$2:$Y$301, MATCH(ROUND(MIN(300,MAX(1,D296)),0), FactorTable!$A$2:$A$301,0), Skills!M26+1)</f>
        <v/>
      </c>
      <c r="F296">
        <f>IF(Skills!N26=TRUE,(Skills!L26/10)*(E296/1000),Skills!L26/10)+Skills!O26</f>
        <v/>
      </c>
      <c r="G296">
        <f>Skills!G26*IF(Skills!H26&gt;0,Skills!I26/Skills!H26,1)</f>
        <v/>
      </c>
      <c r="H296">
        <f>1-(1-Skills!J26/100)^Skills!K26</f>
        <v/>
      </c>
      <c r="I296" t="inlineStr">
        <is>
          <t>1</t>
        </is>
      </c>
      <c r="J296" t="inlineStr"/>
      <c r="K296" t="inlineStr"/>
      <c r="L296" t="inlineStr"/>
      <c r="M296" t="inlineStr"/>
      <c r="N296" t="inlineStr"/>
      <c r="O296">
        <f>(1-Summary!$B$11)*T296+Summary!$B$11*V296</f>
        <v/>
      </c>
      <c r="P296">
        <f>IF(B315=0,0,O296/B315)</f>
        <v/>
      </c>
      <c r="Q296" t="n">
        <v>0</v>
      </c>
      <c r="R296" t="n">
        <v>0</v>
      </c>
      <c r="S296">
        <f>IFERROR(O296/N296,0)</f>
        <v/>
      </c>
      <c r="T296" t="n">
        <v>0</v>
      </c>
      <c r="V296" t="n">
        <v>0</v>
      </c>
    </row>
    <row r="297">
      <c r="A297">
        <f>Skills!A27</f>
        <v/>
      </c>
      <c r="B297">
        <f>Skills!B27</f>
        <v/>
      </c>
      <c r="C297">
        <f>Inputs!$B$3&gt;=38</f>
        <v/>
      </c>
      <c r="D297">
        <f>IF(Skills!C27=1,60+Inputs!$B$25+Inputs!$B$29,IF(Skills!C27=2,90+Inputs!$B$26+Inputs!$B$29,IF(Skills!C27=3,120+Inputs!$B$27+Inputs!$B$29,MAX(0,(Inputs!$B$3-100)*3)+Inputs!$B$28+Inputs!$B$29)))</f>
        <v/>
      </c>
      <c r="E297">
        <f>INDEX(FactorTable!$B$2:$Y$301, MATCH(ROUND(MIN(300,MAX(1,D297)),0), FactorTable!$A$2:$A$301,0), Skills!M27+1)</f>
        <v/>
      </c>
      <c r="F297">
        <f>IF(Skills!N27=TRUE,(Skills!L27/10)*(E297/1000),Skills!L27/10)+Skills!O27</f>
        <v/>
      </c>
      <c r="G297">
        <f>Skills!G27*IF(Skills!H27&gt;0,Skills!I27/Skills!H27,1)</f>
        <v/>
      </c>
      <c r="H297">
        <f>1-(1-Skills!J27/100)^Skills!K27</f>
        <v/>
      </c>
      <c r="I297" t="inlineStr">
        <is>
          <t>1</t>
        </is>
      </c>
      <c r="J297" t="inlineStr"/>
      <c r="K297" t="inlineStr"/>
      <c r="L297" t="inlineStr"/>
      <c r="M297" t="inlineStr"/>
      <c r="N297" t="inlineStr"/>
      <c r="O297">
        <f>(1-Summary!$B$11)*T297+Summary!$B$11*V297</f>
        <v/>
      </c>
      <c r="P297">
        <f>IF(B315=0,0,O297/B315)</f>
        <v/>
      </c>
      <c r="Q297" t="n">
        <v>0</v>
      </c>
      <c r="R297" t="n">
        <v>0</v>
      </c>
      <c r="S297">
        <f>IFERROR(O297/N297,0)</f>
        <v/>
      </c>
      <c r="T297" t="n">
        <v>0</v>
      </c>
      <c r="V297" t="n">
        <v>0</v>
      </c>
    </row>
    <row r="298">
      <c r="A298">
        <f>Skills!A28</f>
        <v/>
      </c>
      <c r="B298">
        <f>Skills!B28</f>
        <v/>
      </c>
      <c r="C298">
        <f>Inputs!$B$3&gt;=120</f>
        <v/>
      </c>
      <c r="D298">
        <f>IF(Skills!C28=1,60+Inputs!$B$25+Inputs!$B$29,IF(Skills!C28=2,90+Inputs!$B$26+Inputs!$B$29,IF(Skills!C28=3,120+Inputs!$B$27+Inputs!$B$29,MAX(0,(Inputs!$B$3-100)*3)+Inputs!$B$28+Inputs!$B$29)))</f>
        <v/>
      </c>
      <c r="E298">
        <f>INDEX(FactorTable!$B$2:$Y$301, MATCH(ROUND(MIN(300,MAX(1,D298)),0), FactorTable!$A$2:$A$301,0), Skills!M28+1)</f>
        <v/>
      </c>
      <c r="F298">
        <f>IF(Skills!N28=TRUE,(Skills!L28/10)*(E298/1000),Skills!L28/10)+Skills!O28</f>
        <v/>
      </c>
      <c r="G298">
        <f>Skills!G28*IF(Skills!H28&gt;0,Skills!I28/Skills!H28,1)</f>
        <v/>
      </c>
      <c r="H298">
        <f>1-(1-Skills!J28/100)^Skills!K28</f>
        <v/>
      </c>
      <c r="I298" t="inlineStr">
        <is>
          <t>1</t>
        </is>
      </c>
      <c r="J298" t="inlineStr"/>
      <c r="K298" t="inlineStr"/>
      <c r="L298" t="inlineStr"/>
      <c r="M298" t="inlineStr"/>
      <c r="N298" t="inlineStr"/>
      <c r="O298">
        <f>(1-Summary!$B$11)*T298+Summary!$B$11*V298</f>
        <v/>
      </c>
      <c r="P298">
        <f>IF(B315=0,0,O298/B315)</f>
        <v/>
      </c>
      <c r="Q298" t="n">
        <v>0</v>
      </c>
      <c r="R298" t="n">
        <v>0</v>
      </c>
      <c r="S298">
        <f>IFERROR(O298/N298,0)</f>
        <v/>
      </c>
      <c r="T298" t="n">
        <v>0</v>
      </c>
      <c r="V298" t="n">
        <v>0</v>
      </c>
    </row>
    <row r="299">
      <c r="A299">
        <f>Skills!A29</f>
        <v/>
      </c>
      <c r="B299">
        <f>Skills!B29</f>
        <v/>
      </c>
      <c r="C299">
        <f>Inputs!$B$3&gt;=120</f>
        <v/>
      </c>
      <c r="D299">
        <f>IF(Skills!C29=1,60+Inputs!$B$25+Inputs!$B$29,IF(Skills!C29=2,90+Inputs!$B$26+Inputs!$B$29,IF(Skills!C29=3,120+Inputs!$B$27+Inputs!$B$29,MAX(0,(Inputs!$B$3-100)*3)+Inputs!$B$28+Inputs!$B$29)))</f>
        <v/>
      </c>
      <c r="E299">
        <f>INDEX(FactorTable!$B$2:$Y$301, MATCH(ROUND(MIN(300,MAX(1,D299)),0), FactorTable!$A$2:$A$301,0), Skills!M29+1)</f>
        <v/>
      </c>
      <c r="F299">
        <f>IF(Skills!N29=TRUE,(Skills!L29/10)*(E299/1000),Skills!L29/10)+Skills!O29</f>
        <v/>
      </c>
      <c r="G299">
        <f>Skills!G29*IF(Skills!H29&gt;0,Skills!I29/Skills!H29,1)</f>
        <v/>
      </c>
      <c r="H299">
        <f>1-(1-Skills!J29/100)^Skills!K29</f>
        <v/>
      </c>
      <c r="I299" t="inlineStr">
        <is>
          <t>1</t>
        </is>
      </c>
      <c r="J299" t="inlineStr"/>
      <c r="K299" t="inlineStr"/>
      <c r="L299" t="inlineStr"/>
      <c r="M299" t="inlineStr"/>
      <c r="N299" t="inlineStr"/>
      <c r="O299">
        <f>(1-Summary!$B$11)*T299+Summary!$B$11*V299</f>
        <v/>
      </c>
      <c r="P299">
        <f>IF(B315=0,0,O299/B315)</f>
        <v/>
      </c>
      <c r="Q299" t="n">
        <v>0</v>
      </c>
      <c r="R299" t="n">
        <v>0</v>
      </c>
      <c r="S299">
        <f>IFERROR(O299/N299,0)</f>
        <v/>
      </c>
      <c r="T299" t="n">
        <v>0</v>
      </c>
      <c r="V299" t="n">
        <v>0</v>
      </c>
    </row>
    <row r="300">
      <c r="A300">
        <f>Skills!A30</f>
        <v/>
      </c>
      <c r="B300">
        <f>Skills!B30</f>
        <v/>
      </c>
      <c r="C300">
        <f>Inputs!$B$3&gt;=125</f>
        <v/>
      </c>
      <c r="D300">
        <f>IF(Skills!C30=1,60+Inputs!$B$25+Inputs!$B$29,IF(Skills!C30=2,90+Inputs!$B$26+Inputs!$B$29,IF(Skills!C30=3,120+Inputs!$B$27+Inputs!$B$29,MAX(0,(Inputs!$B$3-100)*3)+Inputs!$B$28+Inputs!$B$29)))</f>
        <v/>
      </c>
      <c r="E300">
        <f>INDEX(FactorTable!$B$2:$Y$301, MATCH(ROUND(MIN(300,MAX(1,D300)),0), FactorTable!$A$2:$A$301,0), Skills!M30+1)</f>
        <v/>
      </c>
      <c r="F300">
        <f>IF(Skills!N30=TRUE,(Skills!L30/10)*(E300/1000),Skills!L30/10)+Skills!O30</f>
        <v/>
      </c>
      <c r="G300">
        <f>Skills!G30*IF(Skills!H30&gt;0,Skills!I30/Skills!H30,1)</f>
        <v/>
      </c>
      <c r="H300">
        <f>1-(1-Skills!J30/100)^Skills!K30</f>
        <v/>
      </c>
      <c r="I300" t="inlineStr">
        <is>
          <t>1</t>
        </is>
      </c>
      <c r="J300" t="inlineStr"/>
      <c r="K300" t="inlineStr"/>
      <c r="L300" t="inlineStr"/>
      <c r="M300" t="inlineStr"/>
      <c r="N300" t="inlineStr"/>
      <c r="O300">
        <f>(1-Summary!$B$11)*T300+Summary!$B$11*V300</f>
        <v/>
      </c>
      <c r="P300">
        <f>IF(B315=0,0,O300/B315)</f>
        <v/>
      </c>
      <c r="Q300" t="n">
        <v>0</v>
      </c>
      <c r="R300" t="n">
        <v>0</v>
      </c>
      <c r="S300">
        <f>IFERROR(O300/N300,0)</f>
        <v/>
      </c>
      <c r="T300" t="n">
        <v>0</v>
      </c>
      <c r="V300" t="n">
        <v>0</v>
      </c>
    </row>
    <row r="302">
      <c r="A302" t="inlineStr">
        <is>
          <t>Average Buff Multiplier</t>
        </is>
      </c>
      <c r="B302">
        <f>(1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f>
        <v/>
      </c>
    </row>
    <row r="303">
      <c r="A303" t="inlineStr">
        <is>
          <t>Global Crit Rate Bonus %</t>
        </is>
      </c>
      <c r="B303">
        <f>((C290=TRUE)*F290*IF(AND(Inputs!$B$39&lt;&gt;"pvp",Inputs!$B$44&gt;0),(((R290-1)*(Skills!Y20*(1+Inputs!$B$34/100))+MIN((Skills!Y20*(1+Inputs!$B$34/100)),MAX(0,Inputs!$B$44-((R290-1)*Skills!D20))))/Inputs!$B$44),IF(Inputs!$B$39="pvp",MIN((Skills!Y20*(1+Inputs!$B$34/100)),15)/15,(Skills!Y20*(1+Inputs!$B$34/100))/Skills!D20)))</f>
        <v/>
      </c>
    </row>
    <row r="304">
      <c r="A304" t="inlineStr">
        <is>
          <t>Global Monster Damage-Taken Bonus %</t>
        </is>
      </c>
      <c r="B304">
        <f>IF(Inputs!$B$3&gt;=82,15,0)</f>
        <v/>
      </c>
    </row>
    <row r="305">
      <c r="A305" t="inlineStr">
        <is>
          <t>Shadow Partner Average Multiplier</t>
        </is>
      </c>
      <c r="B305">
        <f>1+((C277=TRUE)*F277*(1+3.3333333333333335*IF(C288=TRUE,F288,0)/100)*I277*Skills!J7/100)/100</f>
        <v/>
      </c>
    </row>
    <row r="306">
      <c r="A306" t="inlineStr">
        <is>
          <t>Attack Speed Buff Bonus %</t>
        </is>
      </c>
      <c r="B306">
        <f>((C289=TRUE)*F289*IF(AND(Inputs!$B$39&lt;&gt;"pvp",Inputs!$B$44&gt;0),(((R289-1)*(Skills!Y19*(1+Inputs!$B$34/100))+MIN((Skills!Y19*(1+Inputs!$B$34/100)),MAX(0,Inputs!$B$44-((R289-1)*Skills!D19))))/Inputs!$B$44),IF(Inputs!$B$39="pvp",MIN((Skills!Y19*(1+Inputs!$B$34/100)),15)/15,(Skills!Y19*(1+Inputs!$B$34/100))/Skills!D19)))+((C273=TRUE)*F273*3)</f>
        <v/>
      </c>
    </row>
    <row r="307">
      <c r="A307" t="inlineStr">
        <is>
          <t>Actions Per Second</t>
        </is>
      </c>
      <c r="B307">
        <f>1+MIN(150,150*(1-(1-(Inputs!$B$11+((C292=TRUE)*(F292-Calc!F22)))/150)*(1-B306/150)))/100</f>
        <v/>
      </c>
    </row>
    <row r="308">
      <c r="A308" t="inlineStr">
        <is>
          <t>Skill + Buff Cast Rate</t>
        </is>
      </c>
      <c r="B308">
        <f>IF(AND(Inputs!$B$39&lt;&gt;"pvp",Inputs!$B$44&gt;0),SUMPRODUCT((Skills!E2:E30=TRUE)*(C272:C300=TRUE)*R272:R300*Skills!F2:F30)/Inputs!$B$44,SUMPRODUCT((Skills!E2:E30=TRUE)*(C272:C300=TRUE)*Q272:Q300*Skills!F2:F30))</f>
        <v/>
      </c>
    </row>
    <row r="309">
      <c r="A309" t="inlineStr">
        <is>
          <t>Cruel Stab Casts Per Second</t>
        </is>
      </c>
      <c r="B309">
        <f>MAX(0,B307-B308)</f>
        <v/>
      </c>
    </row>
    <row r="310">
      <c r="A310" t="inlineStr">
        <is>
          <t>Global Critical Damage Bonus % (Smokescreen Mastery Lv.113)</t>
        </is>
      </c>
      <c r="B310">
        <f>IF(Inputs!$B$3&gt;=113,30,0)*IF(AND(Inputs!$B$39&lt;&gt;"pvp",Inputs!$B$44&gt;0),(((R285-1)*(Skills!Y15*(1+Inputs!$B$34/100))+MIN((Skills!Y15*(1+Inputs!$B$34/100)),MAX(0,Inputs!$B$44-((R285-1)*Skills!D15))))/Inputs!$B$44),IF(Inputs!$B$39="pvp",MIN((Skills!Y15*(1+Inputs!$B$34/100)),15)/15,(Skills!Y15*(1+Inputs!$B$34/100))/Skills!D15))</f>
        <v/>
      </c>
    </row>
    <row r="311">
      <c r="A311" t="inlineStr">
        <is>
          <t>Meso Explosion average stack count</t>
        </is>
      </c>
      <c r="B311">
        <f>MIN(10,0.5*B307*Skills!D4)</f>
        <v/>
      </c>
    </row>
    <row r="312">
      <c r="A312" t="inlineStr">
        <is>
          <t>Blood Money average stack count</t>
        </is>
      </c>
      <c r="B312">
        <f>MIN(5,0.25*B307*Skills!D4)</f>
        <v/>
      </c>
    </row>
    <row r="313">
      <c r="A313" t="inlineStr">
        <is>
          <t>Assassinate Murderous Intent Multiplier</t>
        </is>
      </c>
      <c r="B313">
        <f>1+IFERROR(MIN(1,Q284*2/Q281),0)</f>
        <v/>
      </c>
    </row>
    <row r="314">
      <c r="A314" t="inlineStr">
        <is>
          <t>Buff-Casting Startup Delay (s, fixed-duration only)</t>
        </is>
      </c>
      <c r="B314">
        <f>IF(AND(Inputs!$B$39&lt;&gt;"pvp",Inputs!$B$44&gt;0),SUMPRODUCT((Skills!Y2:Y30&gt;0)*(Skills!E2:E30=TRUE)*(C272:C300=TRUE))/B307,0)</f>
        <v/>
      </c>
    </row>
    <row r="315">
      <c r="A315" s="6" t="inlineStr">
        <is>
          <t>TOTAL DPS</t>
        </is>
      </c>
      <c r="B315" s="6">
        <f>SUM(O272:O300)</f>
        <v/>
      </c>
    </row>
    <row r="316">
      <c r="A316" t="inlineStr">
        <is>
          <t>Boss-Only Total DPS (this block's swept value)</t>
        </is>
      </c>
      <c r="B316">
        <f>SUM(T272:T300)</f>
        <v/>
      </c>
    </row>
    <row r="317">
      <c r="A317" t="inlineStr">
        <is>
          <t>Normal-Only Total DPS (this block's swept value)</t>
        </is>
      </c>
      <c r="B317">
        <f>SUM(V272:V300)</f>
        <v/>
      </c>
    </row>
    <row r="320">
      <c r="A320" s="6" t="inlineStr">
        <is>
          <t>Stat: BOSS_DAMAGE %</t>
        </is>
      </c>
    </row>
    <row r="321">
      <c r="A321" s="5" t="inlineStr">
        <is>
          <t>Key</t>
        </is>
      </c>
      <c r="B321" s="5" t="inlineStr">
        <is>
          <t>Name</t>
        </is>
      </c>
      <c r="C321" s="5" t="inlineStr">
        <is>
          <t>Unlocked</t>
        </is>
      </c>
      <c r="D321" s="5" t="inlineStr">
        <is>
          <t>InputLevel</t>
        </is>
      </c>
      <c r="E321" s="5" t="inlineStr">
        <is>
          <t>Factor</t>
        </is>
      </c>
      <c r="F321" s="5" t="inlineStr">
        <is>
          <t>CoefficientPercent</t>
        </is>
      </c>
      <c r="G321" s="5" t="inlineStr">
        <is>
          <t>EffectiveHits</t>
        </is>
      </c>
      <c r="H321" s="5" t="inlineStr">
        <is>
          <t>ProcProbability</t>
        </is>
      </c>
      <c r="I321" s="5" t="inlineStr">
        <is>
          <t>MapleHeroMultiplier</t>
        </is>
      </c>
      <c r="J321" s="5" t="inlineStr">
        <is>
          <t>BaseDamage</t>
        </is>
      </c>
      <c r="K321" s="5" t="inlineStr">
        <is>
          <t>BaseHitDamage</t>
        </is>
      </c>
      <c r="L321" s="5" t="inlineStr">
        <is>
          <t>NonCritAvg</t>
        </is>
      </c>
      <c r="M321" s="5" t="inlineStr">
        <is>
          <t>CritAvg</t>
        </is>
      </c>
      <c r="N321" s="5" t="inlineStr">
        <is>
          <t>ExpectedDamage(perHit)</t>
        </is>
      </c>
      <c r="O321" s="5" t="inlineStr">
        <is>
          <t>DPS</t>
        </is>
      </c>
      <c r="P321" s="5" t="inlineStr">
        <is>
          <t>% of Total</t>
        </is>
      </c>
      <c r="Q321" s="5" t="inlineStr">
        <is>
          <t>InvCooldown</t>
        </is>
      </c>
      <c r="R321" s="5" t="inlineStr">
        <is>
          <t>CastsInFight</t>
        </is>
      </c>
      <c r="S321" s="5"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((Inputs!$B$6*(1+Inputs!$B$7/100))+(((Inputs!$B$12*(1+Inputs!$B$13/100))-(Inputs!$B$12*(1+Inputs!$B$13/100)))+0.25*(Inputs!$B$14-Inputs!$B$14))*(1+Inputs!$B$7/100))*(F322/100)</f>
        <v/>
      </c>
      <c r="K322">
        <f>J322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322)</f>
        <v/>
      </c>
      <c r="L322">
        <f>K322*(MIN(Inputs!$B$22+((C344=TRUE)*(F344-Calc!F24)),(Inputs!$B$23+((C349=TRUE)*(F349-Calc!F29))+IF(ArtifactsInput!$M$15,CHOOSE(ArtifactsInput!$N$15+1,25,30,35,40,45,50)/100*(Inputs!$B$11-Inputs!$B$11),0)))/100+(Inputs!$B$23+((C349=TRUE)*(F349-Calc!F29))+IF(ArtifactsInput!$M$15,CHOOSE(ArtifactsInput!$N$15+1,25,30,35,40,45,50)/100*(Inputs!$B$11-Inputs!$B$11),0))/100)/2</f>
        <v/>
      </c>
      <c r="M322">
        <f>L322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IF(B365=0,0,O322/B365)</f>
        <v/>
      </c>
      <c r="Q322" t="n">
        <v>0</v>
      </c>
      <c r="R322" t="n">
        <v>0</v>
      </c>
      <c r="S322">
        <f>IFERROR(O322/N322,0)</f>
        <v/>
      </c>
      <c r="T322">
        <f>IF(C322,(Skills!G2*N322*B359)*IF(Inputs!$B$39="pvp",1,1+((Inputs!$B$20+1)+0+Skills!P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322*(1-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MAX(0,(Inputs!$B$3-100)*3)+Inputs!$B$28+Inputs!$B$29</f>
        <v/>
      </c>
      <c r="V322">
        <f>IF(C322,(Skills!G2*N322*B359)*IF(Inputs!$B$39="pvp",1,(1+(Inputs!$B$21+Skills!Q2+B354+(IF(ArtifactsInput!$M$33,CHOOSE(ArtifactsInput!$N$33+1,30,36,42,48,54,60),0))+(IF(AND(ArtifactsInput!$M$35,Inputs!$B$4&lt;&gt;"Chapter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t="inlineStr"/>
      <c r="K323" t="inlineStr"/>
      <c r="L323" t="inlineStr"/>
      <c r="M323" t="inlineStr"/>
      <c r="N323" t="inlineStr"/>
      <c r="O323">
        <f>(1-Summary!$B$11)*T323+Summary!$B$11*V323</f>
        <v/>
      </c>
      <c r="P323">
        <f>IF(B365=0,0,O323/B365)</f>
        <v/>
      </c>
      <c r="Q323" t="n">
        <v>0</v>
      </c>
      <c r="R323" t="n">
        <v>0</v>
      </c>
      <c r="S323">
        <f>IFERROR(O323/N323,0)</f>
        <v/>
      </c>
      <c r="T323" t="n">
        <v>0</v>
      </c>
      <c r="U323">
        <f>INDEX(FactorTable!$B$2:$Y$301, MATCH(ROUND(MIN(300,MAX(1,U322)),0), FactorTable!$A$2:$A$301,0), 22)</f>
        <v/>
      </c>
      <c r="V323" t="n">
        <v>0</v>
      </c>
    </row>
    <row r="324">
      <c r="A324">
        <f>Skills!A4</f>
        <v/>
      </c>
      <c r="B324">
        <f>Skills!B4</f>
        <v/>
      </c>
      <c r="C324">
        <f>Inputs!$B$3&gt;=66</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((Inputs!$B$6*(1+Inputs!$B$7/100))+(((Inputs!$B$12*(1+Inputs!$B$13/100))-(Inputs!$B$12*(1+Inputs!$B$13/100)))+0.25*(Inputs!$B$14-Inputs!$B$14))*(1+Inputs!$B$7/100))*(F324/100)</f>
        <v/>
      </c>
      <c r="K324">
        <f>J324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324)</f>
        <v/>
      </c>
      <c r="L324">
        <f>K324*(MIN(Inputs!$B$22+((C344=TRUE)*(F344-Calc!F24)),(Inputs!$B$23+((C349=TRUE)*(F349-Calc!F29))+IF(ArtifactsInput!$M$15,CHOOSE(ArtifactsInput!$N$15+1,25,30,35,40,45,50)/100*(Inputs!$B$11-Inputs!$B$11),0)))/100+(Inputs!$B$23+((C349=TRUE)*(F349-Calc!F29))+IF(ArtifactsInput!$M$15,CHOOSE(ArtifactsInput!$N$15+1,25,30,35,40,45,50)/100*(Inputs!$B$11-Inputs!$B$11),0))/100)/2</f>
        <v/>
      </c>
      <c r="M324">
        <f>L324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
        <f>L324*(1-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
        <f>(1-Summary!$B$11)*T324+Summary!$B$11*V324</f>
        <v/>
      </c>
      <c r="P324">
        <f>IF(B365=0,0,O324/B365)</f>
        <v/>
      </c>
      <c r="Q324">
        <f>IFERROR(1/IF(Inputs!$B$39="pvp",15,MAX(0.1,Skills!D4-IF(Skills!E4=TRUE,Inputs!$B$32,0))),0)</f>
        <v/>
      </c>
      <c r="R324">
        <f>IF(AND(Inputs!$B$39&lt;&gt;"pvp",Inputs!$B$44&gt;0),IF(MAX(0,Inputs!$B$44-B364)&lt;=0,0,(INT(MAX(0,Inputs!$B$44-B364)/IF(Inputs!$B$39="pvp",15,MAX(0.1,Skills!D4-IF(Skills!E4=TRUE,Inputs!$B$32,0))))+1)),0)</f>
        <v/>
      </c>
      <c r="S324">
        <f>IFERROR(O324/N324,0)</f>
        <v/>
      </c>
      <c r="T324">
        <f>IF(C324,(H324*N324*IF(AND(Inputs!$B$39&lt;&gt;"pvp",Inputs!$B$44&gt;0),((Skills!G4*((R324-1)*IF(Skills!H4&gt;0,Skills!I4/Skills!H4,1)+IF(Skills!H4&gt;0,MIN(Skills!I4,MAX(0,MAX(0,Inputs!$B$44-B364)-((R324-1)*IF(Inputs!$B$39="pvp",15,MAX(0.1,Skills!D4-IF(Skills!E4=TRUE,Inputs!$B$32,0))))))/Skills!H4,1)))/Inputs!$B$44),G324*Q324))*IF(Inputs!$B$39="pvp",1,1+((Inputs!$B$20+1)+0+Skills!P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
        <f>290*U323/1000</f>
        <v/>
      </c>
      <c r="V324">
        <f>IF(C324,(H324*N324*IF(AND(Inputs!$B$39&lt;&gt;"pvp",Inputs!$B$44&gt;0),((Skills!G4*((R324-1)*IF(Skills!H4&gt;0,Skills!I4/Skills!H4,1)+IF(Skills!H4&gt;0,MIN(Skills!I4,MAX(0,MAX(0,Inputs!$B$44-B364)-((R324-1)*IF(Inputs!$B$39="pvp",15,MAX(0.1,Skills!D4-IF(Skills!E4=TRUE,Inputs!$B$32,0))))))/Skills!H4,1)))/Inputs!$B$44),G324*Q324))*IF(Inputs!$B$39="pvp",1,(1+(Inputs!$B$21+Skills!Q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(10,0.5*B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
      <c r="A325">
        <f>Skills!A5</f>
        <v/>
      </c>
      <c r="B325">
        <f>Skills!B5</f>
        <v/>
      </c>
      <c r="C325">
        <f>Inputs!$B$3&gt;=63</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((Inputs!$B$6*(1+Inputs!$B$7/100))+(((Inputs!$B$12*(1+Inputs!$B$13/100))-(Inputs!$B$12*(1+Inputs!$B$13/100)))+0.25*(Inputs!$B$14-Inputs!$B$14))*(1+Inputs!$B$7/100))*(F325/100)</f>
        <v/>
      </c>
      <c r="K325">
        <f>J325*(1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338=TRUE,F338,0)/100)*(1+(IF(Skills!A5="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325)</f>
        <v/>
      </c>
      <c r="L325">
        <f>K325*(MIN(Inputs!$B$22+((C344=TRUE)*(F344-Calc!F24)),(Inputs!$B$23+((C349=TRUE)*(F349-Calc!F29))+IF(ArtifactsInput!$M$15,CHOOSE(ArtifactsInput!$N$15+1,25,30,35,40,45,50)/100*(Inputs!$B$11-Inputs!$B$11),0)))/100+(Inputs!$B$23+((C349=TRUE)*(F349-Calc!F29))+IF(ArtifactsInput!$M$15,CHOOSE(ArtifactsInput!$N$15+1,25,30,35,40,45,50)/100*(Inputs!$B$11-Inputs!$B$11),0))/100)/2</f>
        <v/>
      </c>
      <c r="M325">
        <f>L325*(1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IF(B365=0,0,O325/B365)</f>
        <v/>
      </c>
      <c r="Q325">
        <f>IFERROR(1/IF(Inputs!$B$39="pvp",15,MAX(0.1,Skills!D5-IF(Skills!E5=TRUE,Inputs!$B$32,0))),0)</f>
        <v/>
      </c>
      <c r="R325">
        <f>IF(AND(Inputs!$B$39&lt;&gt;"pvp",Inputs!$B$44&gt;0),IF(MAX(0,Inputs!$B$44-B364)&lt;=0,0,(INT(MAX(0,Inputs!$B$44-B364)/IF(Inputs!$B$39="pvp",15,MAX(0.1,Skills!D5-IF(Skills!E5=TRUE,Inputs!$B$32,0))))+1)),0)</f>
        <v/>
      </c>
      <c r="S325">
        <f>IFERROR(O325/N325,0)</f>
        <v/>
      </c>
      <c r="T325">
        <f>IF(C325,(H325*N325*IF(AND(Inputs!$B$39&lt;&gt;"pvp",Inputs!$B$44&gt;0),((Skills!G5*((R325-1)*IF(Skills!H5&gt;0,Skills!I5/Skills!H5,1)+IF(Skills!H5&gt;0,MIN(Skills!I5,MAX(0,MAX(0,Inputs!$B$44-B364)-((R325-1)*IF(Inputs!$B$39="pvp",15,MAX(0.1,Skills!D5-IF(Skills!E5=TRUE,Inputs!$B$32,0))))))/Skills!H5,1)))/Inputs!$B$44),G325*Q325))*IF(Inputs!$B$39="pvp",1,1+((Inputs!$B$20+1)+0+Skills!P5+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5*((R325-1)*IF(Skills!H5&gt;0,Skills!I5/Skills!H5,1)+IF(Skills!H5&gt;0,MIN(Skills!I5,MAX(0,MAX(0,Inputs!$B$44-B364)-((R325-1)*IF(Inputs!$B$39="pvp",15,MAX(0.1,Skills!D5-IF(Skills!E5=TRUE,Inputs!$B$32,0))))))/Skills!H5,1)))/Inputs!$B$44),G325*Q325))*IF(Inputs!$B$39="pvp",1,(1+(Inputs!$B$21+Skills!Q5+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Skills!A6</f>
        <v/>
      </c>
      <c r="B326">
        <f>Skills!B6</f>
        <v/>
      </c>
      <c r="C326">
        <f>Inputs!$B$3&gt;=69</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((Inputs!$B$6*(1+Inputs!$B$7/100))+(((Inputs!$B$12*(1+Inputs!$B$13/100))-(Inputs!$B$12*(1+Inputs!$B$13/100)))+0.25*(Inputs!$B$14-Inputs!$B$14))*(1+Inputs!$B$7/100))*(F326/100)</f>
        <v/>
      </c>
      <c r="K326">
        <f>J326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TRUE,F338,0)/100)*(1+(IF(Skills!A6="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326)</f>
        <v/>
      </c>
      <c r="L326">
        <f>K326*(MIN(Inputs!$B$22+((C344=TRUE)*(F344-Calc!F24)),(Inputs!$B$23+((C349=TRUE)*(F349-Calc!F29))+IF(ArtifactsInput!$M$15,CHOOSE(ArtifactsInput!$N$15+1,25,30,35,40,45,50)/100*(Inputs!$B$11-Inputs!$B$11),0)))/100+(Inputs!$B$23+((C349=TRUE)*(F349-Calc!F29))+IF(ArtifactsInput!$M$15,CHOOSE(ArtifactsInput!$N$15+1,25,30,35,40,45,50)/100*(Inputs!$B$11-Inputs!$B$11),0))/100)/2</f>
        <v/>
      </c>
      <c r="M326">
        <f>L326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IF(B365=0,0,O326/B365)</f>
        <v/>
      </c>
      <c r="Q326">
        <f>IFERROR(1/IF(Inputs!$B$39="pvp",15,MAX(0.1,Skills!D6-IF(Skills!E6=TRUE,Inputs!$B$32,0))),0)</f>
        <v/>
      </c>
      <c r="R326">
        <f>IF(AND(Inputs!$B$39&lt;&gt;"pvp",Inputs!$B$44&gt;0),IF(MAX(0,Inputs!$B$44-B364)&lt;=0,0,(INT(MAX(0,Inputs!$B$44-B364)/IF(Inputs!$B$39="pvp",15,MAX(0.1,Skills!D6-IF(Skills!E6=TRUE,Inputs!$B$32,0))))+1)),0)</f>
        <v/>
      </c>
      <c r="S326">
        <f>IFERROR(O326/N326,0)</f>
        <v/>
      </c>
      <c r="T326">
        <f>IF(C326,(H326*N326*IF(AND(Inputs!$B$39&lt;&gt;"pvp",Inputs!$B$44&gt;0),((Skills!G6*((R326-1)*IF(Skills!H6&gt;0,Skills!I6/Skills!H6,1)+IF(Skills!H6&gt;0,MIN(Skills!I6,MAX(0,MAX(0,Inputs!$B$44-B364)-((R326-1)*IF(Inputs!$B$39="pvp",15,MAX(0.1,Skills!D6-IF(Skills!E6=TRUE,Inputs!$B$32,0))))))/Skills!H6,1)))/Inputs!$B$44),G326*Q326))*IF(Inputs!$B$39="pvp",1,1+((Inputs!$B$20+1)+0+Skills!P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326*(1-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6*((R326-1)*IF(Skills!H6&gt;0,Skills!I6/Skills!H6,1)+IF(Skills!H6&gt;0,MIN(Skills!I6,MAX(0,MAX(0,Inputs!$B$44-B364)-((R326-1)*IF(Inputs!$B$39="pvp",15,MAX(0.1,Skills!D6-IF(Skills!E6=TRUE,Inputs!$B$32,0))))))/Skills!H6,1)))/Inputs!$B$44),G326*Q326))*IF(Inputs!$B$39="pvp",1,(1+(Inputs!$B$21+Skills!Q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Skills!A7</f>
        <v/>
      </c>
      <c r="B327">
        <f>Skills!B7</f>
        <v/>
      </c>
      <c r="C327">
        <f>Inputs!$B$3&gt;=60</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t="inlineStr"/>
      <c r="K327" t="inlineStr"/>
      <c r="L327" t="inlineStr"/>
      <c r="M327" t="inlineStr"/>
      <c r="N327" t="inlineStr"/>
      <c r="O327">
        <f>(1-Summary!$B$11)*T327+Summary!$B$11*V327</f>
        <v/>
      </c>
      <c r="P327">
        <f>IF(B365=0,0,O327/B365)</f>
        <v/>
      </c>
      <c r="Q327" t="n">
        <v>0</v>
      </c>
      <c r="R327" t="n">
        <v>0</v>
      </c>
      <c r="S327">
        <f>IFERROR(O327/N327,0)</f>
        <v/>
      </c>
      <c r="T327" t="n">
        <v>0</v>
      </c>
      <c r="V327" t="n">
        <v>0</v>
      </c>
    </row>
    <row r="328">
      <c r="A328">
        <f>Skills!A8</f>
        <v/>
      </c>
      <c r="B328">
        <f>Skills!B8</f>
        <v/>
      </c>
      <c r="C328">
        <f>Inputs!$B$3&gt;=72</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((Inputs!$B$6*(1+Inputs!$B$7/100))+(((Inputs!$B$12*(1+Inputs!$B$13/100))-(Inputs!$B$12*(1+Inputs!$B$13/100)))+0.25*(Inputs!$B$14-Inputs!$B$14))*(1+Inputs!$B$7/100))*(F328/100)</f>
        <v/>
      </c>
      <c r="K328">
        <f>J328*(1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338=TRUE,F338,0)/100)*(1+(IF(Skills!A8="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328)</f>
        <v/>
      </c>
      <c r="L328">
        <f>K328*(MIN(Inputs!$B$22+((C344=TRUE)*(F344-Calc!F24)),(Inputs!$B$23+((C349=TRUE)*(F349-Calc!F29))+IF(ArtifactsInput!$M$15,CHOOSE(ArtifactsInput!$N$15+1,25,30,35,40,45,50)/100*(Inputs!$B$11-Inputs!$B$11),0)))/100+(Inputs!$B$23+((C349=TRUE)*(F349-Calc!F29))+IF(ArtifactsInput!$M$15,CHOOSE(ArtifactsInput!$N$15+1,25,30,35,40,45,50)/100*(Inputs!$B$11-Inputs!$B$11),0))/100)/2</f>
        <v/>
      </c>
      <c r="M328">
        <f>L328*(1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
        <f>L328*(1-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
        <f>(1-Summary!$B$11)*T328+Summary!$B$11*V328</f>
        <v/>
      </c>
      <c r="P328">
        <f>IF(B365=0,0,O328/B365)</f>
        <v/>
      </c>
      <c r="Q328">
        <f>IFERROR(1/IF(Inputs!$B$39="pvp",15,MAX(0.1,Skills!D8-IF(Skills!E8=TRUE,Inputs!$B$32,0))),0)</f>
        <v/>
      </c>
      <c r="R328">
        <f>IF(AND(Inputs!$B$39&lt;&gt;"pvp",Inputs!$B$44&gt;0),IF(MAX(0,Inputs!$B$44-B364)&lt;=0,0,(INT(MAX(0,Inputs!$B$44-B364)/IF(Inputs!$B$39="pvp",15,MAX(0.1,Skills!D8-IF(Skills!E8=TRUE,Inputs!$B$32,0))))+1)),0)</f>
        <v/>
      </c>
      <c r="S328">
        <f>IFERROR(O328/N328,0)</f>
        <v/>
      </c>
      <c r="T328">
        <f>IF(C328,(H328*N328*IF(AND(Inputs!$B$39&lt;&gt;"pvp",Inputs!$B$44&gt;0),((Skills!G8*((R328-1)*IF(Skills!H8&gt;0,Skills!I8/Skills!H8,1)+IF(Skills!H8&gt;0,MIN(Skills!I8,MAX(0,MAX(0,Inputs!$B$44-B364)-((R328-1)*IF(Inputs!$B$39="pvp",15,MAX(0.1,Skills!D8-IF(Skills!E8=TRUE,Inputs!$B$32,0))))))/Skills!H8,1)))/Inputs!$B$44),G328*Q328))*IF(Inputs!$B$39="pvp",1,1+((Inputs!$B$20+1)+0+Skills!P8+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
        <f>IF(C328,(H328*N328*IF(AND(Inputs!$B$39&lt;&gt;"pvp",Inputs!$B$44&gt;0),((Skills!G8*((R328-1)*IF(Skills!H8&gt;0,Skills!I8/Skills!H8,1)+IF(Skills!H8&gt;0,MIN(Skills!I8,MAX(0,MAX(0,Inputs!$B$44-B364)-((R328-1)*IF(Inputs!$B$39="pvp",15,MAX(0.1,Skills!D8-IF(Skills!E8=TRUE,Inputs!$B$32,0))))))/Skills!H8,1)))/Inputs!$B$44),G328*Q328))*IF(Inputs!$B$39="pvp",1,(1+(Inputs!$B$21+Skills!Q8+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
      <c r="A329">
        <f>Skills!A9</f>
        <v/>
      </c>
      <c r="B329">
        <f>Skills!B9</f>
        <v/>
      </c>
      <c r="C329">
        <f>Inputs!$B$3&gt;=117</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((Inputs!$B$6*(1+Inputs!$B$7/100))+(((Inputs!$B$12*(1+Inputs!$B$13/100))-(Inputs!$B$12*(1+Inputs!$B$13/100)))+0.25*(Inputs!$B$14-Inputs!$B$14))*(1+Inputs!$B$7/100))*(F329/100)</f>
        <v/>
      </c>
      <c r="K329">
        <f>J329*(1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329)</f>
        <v/>
      </c>
      <c r="L329">
        <f>K329*(MIN(Inputs!$B$22+((C344=TRUE)*(F344-Calc!F24)),(Inputs!$B$23+((C349=TRUE)*(F349-Calc!F29))+IF(ArtifactsInput!$M$15,CHOOSE(ArtifactsInput!$N$15+1,25,30,35,40,45,50)/100*(Inputs!$B$11-Inputs!$B$11),0)))/100+(Inputs!$B$23+((C349=TRUE)*(F349-Calc!F29))+IF(ArtifactsInput!$M$15,CHOOSE(ArtifactsInput!$N$15+1,25,30,35,40,45,50)/100*(Inputs!$B$11-Inputs!$B$11),0))/100)/2</f>
        <v/>
      </c>
      <c r="M329">
        <f>L329*(1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IF(B365=0,0,O329/B365)</f>
        <v/>
      </c>
      <c r="Q329" t="n">
        <v>0</v>
      </c>
      <c r="R329" t="n">
        <v>0</v>
      </c>
      <c r="S329" t="n">
        <v>0</v>
      </c>
      <c r="T329">
        <f>IF(C329,(0.2*SUMPRODUCT((Skills!Z2:Z30=TRUE)*(C322:C350=TRUE)*S322:S350)*N329)*IF(Inputs!$B$39="pvp",1,1+((Inputs!$B$20+1)+0+Skills!P9+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IF(C329,(0.2*SUMPRODUCT((Skills!Z2:Z30=TRUE)*(C322:C350=TRUE)*S322:S350)*N329)*IF(Inputs!$B$39="pvp",1,(1+(Inputs!$B$21+Skills!Q9+B354+(IF(ArtifactsInput!$M$33,CHOOSE(ArtifactsInput!$N$33+1,30,36,42,48,54,60),0))+(IF(AND(ArtifactsInput!$M$35,Inputs!$B$4&lt;&gt;"Chapter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Skills!A10</f>
        <v/>
      </c>
      <c r="B330">
        <f>Skills!B10</f>
        <v/>
      </c>
      <c r="C330">
        <f>Inputs!$B$3&gt;=74</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t="inlineStr"/>
      <c r="K330" t="inlineStr"/>
      <c r="L330" t="inlineStr"/>
      <c r="M330" t="inlineStr"/>
      <c r="N330" t="inlineStr"/>
      <c r="O330">
        <f>(1-Summary!$B$11)*T330+Summary!$B$11*V330</f>
        <v/>
      </c>
      <c r="P330">
        <f>IF(B365=0,0,O330/B365)</f>
        <v/>
      </c>
      <c r="Q330">
        <f>IFERROR(1/IF(Inputs!$B$39="pvp",15,MAX(0.1,Skills!D10-IF(Skills!E10=TRUE,Inputs!$B$32,0))),0)</f>
        <v/>
      </c>
      <c r="R330">
        <f>IF(AND(Inputs!$B$39&lt;&gt;"pvp",Inputs!$B$44&gt;0),IF(Inputs!$B$44&lt;=0,0,(INT(Inputs!$B$44/IF(Inputs!$B$39="pvp",15,MAX(0.1,Skills!D10-IF(Skills!E10=TRUE,Inputs!$B$32,0))))+1)),0)</f>
        <v/>
      </c>
      <c r="S330">
        <f>IFERROR(O330/N330,0)</f>
        <v/>
      </c>
      <c r="T330" t="n">
        <v>0</v>
      </c>
      <c r="V330" t="n">
        <v>0</v>
      </c>
    </row>
    <row r="331">
      <c r="A331">
        <f>Skills!A11</f>
        <v/>
      </c>
      <c r="B331">
        <f>Skills!B11</f>
        <v/>
      </c>
      <c r="C331">
        <f>Inputs!$B$3&gt;=103</f>
        <v/>
      </c>
      <c r="D331">
        <f>IF(Skills!C11=1,60+Inputs!$B$25+Inputs!$B$29,IF(Skills!C11=2,90+Inputs!$B$26+Inputs!$B$29,IF(Skills!C11=3,120+Inputs!$B$27+Inputs!$B$29,MAX(0,(Inputs!$B$3-100)*3)+Inputs!$B$28+Inputs!$B$29)))</f>
        <v/>
      </c>
      <c r="E331">
        <f>INDEX(FactorTable!$B$2:$Y$301, MATCH(ROUND(MIN(300,MAX(1,D331)),0), FactorTable!$A$2:$A$301,0), Skills!M11+1)</f>
        <v/>
      </c>
      <c r="F331">
        <f>(Skills!L11/10)*(E331/1000)+IF(Inputs!$B$3&gt;=134,50,0)+0.5*(30000/10)*(INDEX(FactorTable!$B$2:$Y$301, MATCH(ROUND(MIN(300,MAX(1,D331)),0), FactorTable!$A$2:$A$301,0), 13)/1000)*B363</f>
        <v/>
      </c>
      <c r="G331">
        <f>Skills!G11*IF(Skills!H11&gt;0,Skills!I11/Skills!H11,1)</f>
        <v/>
      </c>
      <c r="H331">
        <f>1-(1-Skills!J11/100)^Skills!K11</f>
        <v/>
      </c>
      <c r="I331" t="inlineStr">
        <is>
          <t>1</t>
        </is>
      </c>
      <c r="J331">
        <f>((Inputs!$B$6*(1+Inputs!$B$7/100))+(((Inputs!$B$12*(1+Inputs!$B$13/100))-(Inputs!$B$12*(1+Inputs!$B$13/100)))+0.25*(Inputs!$B$14-Inputs!$B$14))*(1+Inputs!$B$7/100))*(F331/100)</f>
        <v/>
      </c>
      <c r="K331">
        <f>J331*(1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331)</f>
        <v/>
      </c>
      <c r="L331">
        <f>K331*(MIN(Inputs!$B$22+((C344=TRUE)*(F344-Calc!F24)),(Inputs!$B$23+((C349=TRUE)*(F349-Calc!F29))+IF(ArtifactsInput!$M$15,CHOOSE(ArtifactsInput!$N$15+1,25,30,35,40,45,50)/100*(Inputs!$B$11-Inputs!$B$11),0)))/100+(Inputs!$B$23+((C349=TRUE)*(F349-Calc!F29))+IF(ArtifactsInput!$M$15,CHOOSE(ArtifactsInput!$N$15+1,25,30,35,40,45,50)/100*(Inputs!$B$11-Inputs!$B$11),0))/100)/2</f>
        <v/>
      </c>
      <c r="M331">
        <f>L331*(1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IF(B365=0,0,O331/B365)</f>
        <v/>
      </c>
      <c r="Q331">
        <f>IFERROR(1/IF(Inputs!$B$39="pvp",15,MAX(0.1,Skills!D11-IF(Skills!E11=TRUE,Inputs!$B$32,0))),0)</f>
        <v/>
      </c>
      <c r="R331">
        <f>IF(AND(Inputs!$B$39&lt;&gt;"pvp",Inputs!$B$44&gt;0),IF(MAX(0,Inputs!$B$44-B364)&lt;=0,0,(INT(MAX(0,Inputs!$B$44-B364)/IF(Inputs!$B$39="pvp",15,MAX(0.1,Skills!D11-IF(Skills!E11=TRUE,Inputs!$B$32,0))))+1)),0)</f>
        <v/>
      </c>
      <c r="S331">
        <f>IFERROR(O331/N331,0)</f>
        <v/>
      </c>
      <c r="T331">
        <f>IF(C331,(H331*N331*IF(AND(Inputs!$B$39&lt;&gt;"pvp",Inputs!$B$44&gt;0),((Skills!G11*((R331-1)*IF(Skills!H11&gt;0,Skills!I11/Skills!H11,1)+IF(Skills!H11&gt;0,MIN(Skills!I11,MAX(0,MAX(0,Inputs!$B$44-B364)-((R331-1)*IF(Inputs!$B$39="pvp",15,MAX(0.1,Skills!D11-IF(Skills!E11=TRUE,Inputs!$B$32,0))))))/Skills!H11,1)))/Inputs!$B$44),G331*Q331))*IF(Inputs!$B$39="pvp",1,1+((Inputs!$B$20+1)+0+Skills!P11+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11*((R331-1)*IF(Skills!H11&gt;0,Skills!I11/Skills!H11,1)+IF(Skills!H11&gt;0,MIN(Skills!I11,MAX(0,MAX(0,Inputs!$B$44-B364)-((R331-1)*IF(Inputs!$B$39="pvp",15,MAX(0.1,Skills!D11-IF(Skills!E11=TRUE,Inputs!$B$32,0))))))/Skills!H11,1)))/Inputs!$B$44),G331*Q331))*IF(Inputs!$B$39="pvp",1,(1+(Inputs!$B$21+Skills!Q11+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Skills!A12</f>
        <v/>
      </c>
      <c r="B332">
        <f>Skills!B12</f>
        <v/>
      </c>
      <c r="C332">
        <f>Inputs!$B$3&gt;=105</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((Inputs!$B$6*(1+Inputs!$B$7/100))+(((Inputs!$B$12*(1+Inputs!$B$13/100))-(Inputs!$B$12*(1+Inputs!$B$13/100)))+0.25*(Inputs!$B$14-Inputs!$B$14))*(1+Inputs!$B$7/100))*(F332/100)</f>
        <v/>
      </c>
      <c r="K332">
        <f>J332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332)</f>
        <v/>
      </c>
      <c r="L332">
        <f>K332*(MIN(Inputs!$B$22+((C344=TRUE)*(F344-Calc!F24)),(Inputs!$B$23+((C349=TRUE)*(F349-Calc!F29))+IF(ArtifactsInput!$M$15,CHOOSE(ArtifactsInput!$N$15+1,25,30,35,40,45,50)/100*(Inputs!$B$11-Inputs!$B$11),0)))/100+(Inputs!$B$23+((C349=TRUE)*(F349-Calc!F29))+IF(ArtifactsInput!$M$15,CHOOSE(ArtifactsInput!$N$15+1,25,30,35,40,45,50)/100*(Inputs!$B$11-Inputs!$B$11),0))/100)/2</f>
        <v/>
      </c>
      <c r="M332">
        <f>L332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
        <f>L332*(1-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IF(B365=0,0,O332/B365)</f>
        <v/>
      </c>
      <c r="Q332">
        <f>IFERROR(1/IF(Inputs!$B$39="pvp",15,MAX(0.1,Skills!D12-IF(Skills!E12=TRUE,Inputs!$B$32,0))),0)</f>
        <v/>
      </c>
      <c r="R332">
        <f>IF(AND(Inputs!$B$39&lt;&gt;"pvp",Inputs!$B$44&gt;0),IF(MAX(0,Inputs!$B$44-B364)&lt;=0,0,(INT(MAX(0,Inputs!$B$44-B364)/IF(Inputs!$B$39="pvp",15,MAX(0.1,Skills!D12-IF(Skills!E12=TRUE,Inputs!$B$32,0))))+1)),0)</f>
        <v/>
      </c>
      <c r="S332">
        <f>IFERROR(O332/N332,0)</f>
        <v/>
      </c>
      <c r="T332">
        <f>IF(C332,(H332*N332*IF(AND(Inputs!$B$39&lt;&gt;"pvp",Inputs!$B$44&gt;0),((Skills!G12*((R332-1)*IF(Skills!H12&gt;0,Skills!I12/Skills!H12,1)+IF(Skills!H12&gt;0,MIN(Skills!I12,MAX(0,MAX(0,Inputs!$B$44-B364)-((R332-1)*IF(Inputs!$B$39="pvp",15,MAX(0.1,Skills!D12-IF(Skills!E12=TRUE,Inputs!$B$32,0))))))/Skills!H12,1)))/Inputs!$B$44),G332*Q332))*IF(Inputs!$B$39="pvp",1,1+((Inputs!$B$20+1)+0+Skills!P12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332*(1-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12*((R332-1)*IF(Skills!H12&gt;0,Skills!I12/Skills!H12,1)+IF(Skills!H12&gt;0,MIN(Skills!I12,MAX(0,MAX(0,Inputs!$B$44-B364)-((R332-1)*IF(Inputs!$B$39="pvp",15,MAX(0.1,Skills!D12-IF(Skills!E12=TRUE,Inputs!$B$32,0))))))/Skills!H12,1)))/Inputs!$B$44),G332*Q332))*IF(Inputs!$B$39="pvp",1,(1+(Inputs!$B$21+Skills!Q12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Skills!A13</f>
        <v/>
      </c>
      <c r="B333">
        <f>Skills!B13</f>
        <v/>
      </c>
      <c r="C333">
        <f>Inputs!$B$3&gt;=105</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((Inputs!$B$6*(1+Inputs!$B$7/100))+(((Inputs!$B$12*(1+Inputs!$B$13/100))-(Inputs!$B$12*(1+Inputs!$B$13/100)))+0.25*(Inputs!$B$14-Inputs!$B$14))*(1+Inputs!$B$7/100))*(F333/100)</f>
        <v/>
      </c>
      <c r="K333">
        <f>J333*(1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333)</f>
        <v/>
      </c>
      <c r="L333">
        <f>K333*(MIN(Inputs!$B$22+((C344=TRUE)*(F344-Calc!F24)),(Inputs!$B$23+((C349=TRUE)*(F349-Calc!F29))+IF(ArtifactsInput!$M$15,CHOOSE(ArtifactsInput!$N$15+1,25,30,35,40,45,50)/100*(Inputs!$B$11-Inputs!$B$11),0)))/100+(Inputs!$B$23+((C349=TRUE)*(F349-Calc!F29))+IF(ArtifactsInput!$M$15,CHOOSE(ArtifactsInput!$N$15+1,25,30,35,40,45,50)/100*(Inputs!$B$11-Inputs!$B$11),0))/100)/2</f>
        <v/>
      </c>
      <c r="M333">
        <f>L333*(1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
        <f>L333*(1-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
        <f>(1-Summary!$B$11)*T333+Summary!$B$11*V333</f>
        <v/>
      </c>
      <c r="P333">
        <f>IF(B365=0,0,O333/B365)</f>
        <v/>
      </c>
      <c r="Q333">
        <f>IFERROR(1/IF(Inputs!$B$39="pvp",15,MAX(0.1,Skills!D13-IF(Skills!E13=TRUE,Inputs!$B$32,0))),0)</f>
        <v/>
      </c>
      <c r="R333">
        <f>IF(AND(Inputs!$B$39&lt;&gt;"pvp",Inputs!$B$44&gt;0),IF(MAX(0,Inputs!$B$44-B364)&lt;=0,0,(INT(MAX(0,Inputs!$B$44-B364)/IF(Inputs!$B$39="pvp",15,MAX(0.1,Skills!D13-IF(Skills!E13=TRUE,Inputs!$B$32,0))))+1)),0)</f>
        <v/>
      </c>
      <c r="S333">
        <f>IFERROR(O333/N333,0)</f>
        <v/>
      </c>
      <c r="T333">
        <f>IF(C333,(H333*N333*IF(AND(Inputs!$B$39&lt;&gt;"pvp",Inputs!$B$44&gt;0),((Skills!G13*((R333-1)*IF(Skills!H13&gt;0,Skills!I13/Skills!H13,1)+IF(Skills!H13&gt;0,MIN(Skills!I13,MAX(0,MAX(0,Inputs!$B$44-B364)-((R333-1)*IF(Inputs!$B$39="pvp",15,MAX(0.1,Skills!D13-IF(Skills!E13=TRUE,Inputs!$B$32,0))))))/Skills!H13,1)))/Inputs!$B$44),G333*Q333))*IF(Inputs!$B$39="pvp",1,1+((Inputs!$B$20+1)+0+Skills!P13+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
        <f>IF(C333,(H333*N333*IF(AND(Inputs!$B$39&lt;&gt;"pvp",Inputs!$B$44&gt;0),((Skills!G13*((R333-1)*IF(Skills!H13&gt;0,Skills!I13/Skills!H13,1)+IF(Skills!H13&gt;0,MIN(Skills!I13,MAX(0,MAX(0,Inputs!$B$44-B364)-((R333-1)*IF(Inputs!$B$39="pvp",15,MAX(0.1,Skills!D13-IF(Skills!E13=TRUE,Inputs!$B$32,0))))))/Skills!H13,1)))/Inputs!$B$44),G333*Q333))*IF(Inputs!$B$39="pvp",1,(1+(Inputs!$B$21+Skills!Q13+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
      <c r="A334">
        <f>Skills!A14</f>
        <v/>
      </c>
      <c r="B334">
        <f>Skills!B14</f>
        <v/>
      </c>
      <c r="C334">
        <f>Inputs!$B$3&gt;=107</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((Inputs!$B$6*(1+Inputs!$B$7/100))+(((Inputs!$B$12*(1+Inputs!$B$13/100))-(Inputs!$B$12*(1+Inputs!$B$13/100)))+0.25*(Inputs!$B$14-Inputs!$B$14))*(1+Inputs!$B$7/100))*(F334/100)</f>
        <v/>
      </c>
      <c r="K334">
        <f>J334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334)</f>
        <v/>
      </c>
      <c r="L334">
        <f>K334*(MIN(Inputs!$B$22+((C344=TRUE)*(F344-Calc!F24)),(Inputs!$B$23+((C349=TRUE)*(F349-Calc!F29))+IF(ArtifactsInput!$M$15,CHOOSE(ArtifactsInput!$N$15+1,25,30,35,40,45,50)/100*(Inputs!$B$11-Inputs!$B$11),0)))/100+(Inputs!$B$23+((C349=TRUE)*(F349-Calc!F29))+IF(ArtifactsInput!$M$15,CHOOSE(ArtifactsInput!$N$15+1,25,30,35,40,45,50)/100*(Inputs!$B$11-Inputs!$B$11),0))/100)/2</f>
        <v/>
      </c>
      <c r="M334">
        <f>L334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IF(B365=0,0,O334/B365)</f>
        <v/>
      </c>
      <c r="Q334">
        <f>IFERROR(1/IF(Inputs!$B$39="pvp",15,MAX(0.1,Skills!D14-IF(Skills!E14=TRUE,Inputs!$B$32,0))),0)</f>
        <v/>
      </c>
      <c r="R334">
        <f>IF(AND(Inputs!$B$39&lt;&gt;"pvp",Inputs!$B$44&gt;0),IF(MAX(0,Inputs!$B$44-B364)&lt;=0,0,(INT(MAX(0,Inputs!$B$44-B364)/IF(Inputs!$B$39="pvp",15,MAX(0.1,Skills!D14-IF(Skills!E14=TRUE,Inputs!$B$32,0))))+1)),0)</f>
        <v/>
      </c>
      <c r="S334">
        <f>IFERROR(O334/N334,0)</f>
        <v/>
      </c>
      <c r="T334">
        <f>IF(C334,(H334*N334*IF(AND(Inputs!$B$39&lt;&gt;"pvp",Inputs!$B$44&gt;0),((Skills!G14*((R334-1)*IF(Skills!H14&gt;0,Skills!I14/Skills!H14,1)+IF(Skills!H14&gt;0,MIN(Skills!I14,MAX(0,MAX(0,Inputs!$B$44-B364)-((R334-1)*IF(Inputs!$B$39="pvp",15,MAX(0.1,Skills!D14-IF(Skills!E14=TRUE,Inputs!$B$32,0))))))/Skills!H14,1)))/Inputs!$B$44),G334*Q334))*IF(Inputs!$B$39="pvp",1,1+((Inputs!$B$20+1)+0+Skills!P14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14*((R334-1)*IF(Skills!H14&gt;0,Skills!I14/Skills!H14,1)+IF(Skills!H14&gt;0,MIN(Skills!I14,MAX(0,MAX(0,Inputs!$B$44-B364)-((R334-1)*IF(Inputs!$B$39="pvp",15,MAX(0.1,Skills!D14-IF(Skills!E14=TRUE,Inputs!$B$32,0))))))/Skills!H14,1)))/Inputs!$B$44),G334*Q334))*IF(Inputs!$B$39="pvp",1,(1+(Inputs!$B$21+Skills!Q14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(5,0.25*B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Skills!A15</f>
        <v/>
      </c>
      <c r="B335">
        <f>Skills!B15</f>
        <v/>
      </c>
      <c r="C335">
        <f>Inputs!$B$3&gt;=110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f>Skills!G15*IF(Skills!H15&gt;0,Skills!I15/Skills!H15,1)</f>
        <v/>
      </c>
      <c r="H335">
        <f>1-(1-Skills!J15/100)^Skills!K15</f>
        <v/>
      </c>
      <c r="I335" t="inlineStr">
        <is>
          <t>1</t>
        </is>
      </c>
      <c r="J335" t="inlineStr"/>
      <c r="K335" t="inlineStr"/>
      <c r="L335" t="inlineStr"/>
      <c r="M335" t="inlineStr"/>
      <c r="N335" t="inlineStr"/>
      <c r="O335">
        <f>(1-Summary!$B$11)*T335+Summary!$B$11*V335</f>
        <v/>
      </c>
      <c r="P335">
        <f>IF(B365=0,0,O335/B365)</f>
        <v/>
      </c>
      <c r="Q335">
        <f>IFERROR(1/IF(Inputs!$B$39="pvp",15,MAX(0.1,Skills!D15-IF(Skills!E15=TRUE,Inputs!$B$32,0))),0)</f>
        <v/>
      </c>
      <c r="R335">
        <f>IF(AND(Inputs!$B$39&lt;&gt;"pvp",Inputs!$B$44&gt;0),IF(Inputs!$B$44&lt;=0,0,(INT(Inputs!$B$44/IF(Inputs!$B$39="pvp",15,MAX(0.1,Skills!D15-IF(Skills!E15=TRUE,Inputs!$B$32,0))))+1)),0)</f>
        <v/>
      </c>
      <c r="S335">
        <f>IFERROR(O335/N335,0)</f>
        <v/>
      </c>
      <c r="T335" t="n">
        <v>0</v>
      </c>
      <c r="V335" t="n">
        <v>0</v>
      </c>
    </row>
    <row r="336">
      <c r="A336">
        <f>Skills!A16</f>
        <v/>
      </c>
      <c r="B336">
        <f>Skills!B16</f>
        <v/>
      </c>
      <c r="C336">
        <f>Inputs!$B$3&gt;=115</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f>Skills!G16*IF(Skills!H16&gt;0,Skills!I16/Skills!H16,1)</f>
        <v/>
      </c>
      <c r="H336">
        <f>1-(1-Skills!J16/100)^Skills!K16</f>
        <v/>
      </c>
      <c r="I336" t="inlineStr">
        <is>
          <t>1</t>
        </is>
      </c>
      <c r="J336">
        <f>((Inputs!$B$6*(1+Inputs!$B$7/100))+(((Inputs!$B$12*(1+Inputs!$B$13/100))-(Inputs!$B$12*(1+Inputs!$B$13/100)))+0.25*(Inputs!$B$14-Inputs!$B$14))*(1+Inputs!$B$7/100))*(F336/100)</f>
        <v/>
      </c>
      <c r="K336">
        <f>J336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347=TRUE)*(F347-Calc!F27))+((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336)</f>
        <v/>
      </c>
      <c r="L336">
        <f>K336*(MIN(Inputs!$B$22+((C344=TRUE)*(F344-Calc!F24)),(Inputs!$B$23+((C349=TRUE)*(F349-Calc!F29))+IF(ArtifactsInput!$M$15,CHOOSE(ArtifactsInput!$N$15+1,25,30,35,40,45,50)/100*(Inputs!$B$11-Inputs!$B$11),0)))/100+(Inputs!$B$23+((C349=TRUE)*(F349-Calc!F29))+IF(ArtifactsInput!$M$15,CHOOSE(ArtifactsInput!$N$15+1,25,30,35,40,45,50)/100*(Inputs!$B$11-Inputs!$B$11),0))/100)/2</f>
        <v/>
      </c>
      <c r="M336">
        <f>L336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
        <f>L336*(1-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MIN((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
        <f>(1-Summary!$B$11)*T336+Summary!$B$11*V336</f>
        <v/>
      </c>
      <c r="P336">
        <f>IF(B365=0,0,O336/B365)</f>
        <v/>
      </c>
      <c r="Q336" t="n">
        <v>0</v>
      </c>
      <c r="R336" t="n">
        <v>0</v>
      </c>
      <c r="S336">
        <f>IFERROR(O336/N336,0)</f>
        <v/>
      </c>
      <c r="T336">
        <f>IF(C336,(Inputs!$B$38*0.2*N336)*IF(Inputs!$B$39="pvp",1,1+((Inputs!$B$20+1)+0+Skills!P16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(1-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MIN(100,(Inputs!$B$9+((C345=TRUE)*(F345-Calc!F25))+B353+(ArtifactsInput!$M$24-ArtifactsInput!$M$24)*CHOOSE(ArtifactsInput!$N$24+1,10,12,14,16,18,20)+(IF(AND(Inputs!$B$39&lt;&gt;"pvp",Inputs!$B$44=0),1,IF(IF(Inputs!$B$39="pvp",15,Inputs!$B$44)-(B364)&lt;=0,1,MAX(0,IF(Inputs!$B$39="pvp",15,Inputs!$B$44)-MAX(5,B364))/(IF(Inputs!$B$39="pvp",15,Inputs!$B$44)-(B364))))*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
        <f>IF(C336,(Inputs!$B$38*0.2*N336)*IF(Inputs!$B$39="pvp",1,(1+(Inputs!$B$21+Skills!Q16+B354+(IF(ArtifactsInput!$M$33,CHOOSE(ArtifactsInput!$N$33+1,30,36,42,48,54,60),0))+(IF(AND(ArtifactsInput!$M$35,Inputs!$B$4&lt;&gt;"Chapter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
      <c r="A337">
        <f>Skills!A17</f>
        <v/>
      </c>
      <c r="B337">
        <f>Skills!B17</f>
        <v/>
      </c>
      <c r="C337">
        <f>Inputs!$B$3&gt;=115</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f>(1-Summary!$B$11)*T337+Summary!$B$11*V337</f>
        <v/>
      </c>
      <c r="P337">
        <f>IF(B365=0,0,O337/B365)</f>
        <v/>
      </c>
      <c r="Q337" t="n">
        <v>0</v>
      </c>
      <c r="R337" t="n">
        <v>0</v>
      </c>
      <c r="S337">
        <f>IFERROR(O337/N337,0)</f>
        <v/>
      </c>
      <c r="T337" t="n">
        <v>0</v>
      </c>
      <c r="V337" t="n">
        <v>0</v>
      </c>
    </row>
    <row r="338">
      <c r="A338">
        <f>Skills!A18</f>
        <v/>
      </c>
      <c r="B338">
        <f>Skills!B18</f>
        <v/>
      </c>
      <c r="C338">
        <f>Inputs!$B$3&gt;=100</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f>(1-Summary!$B$11)*T338+Summary!$B$11*V338</f>
        <v/>
      </c>
      <c r="P338">
        <f>IF(B365=0,0,O338/B365)</f>
        <v/>
      </c>
      <c r="Q338" t="n">
        <v>0</v>
      </c>
      <c r="R338" t="n">
        <v>0</v>
      </c>
      <c r="S338">
        <f>IFERROR(O338/N338,0)</f>
        <v/>
      </c>
      <c r="T338" t="n">
        <v>0</v>
      </c>
      <c r="V338" t="n">
        <v>0</v>
      </c>
    </row>
    <row r="339">
      <c r="A339">
        <f>Skills!A19</f>
        <v/>
      </c>
      <c r="B339">
        <f>Skills!B19</f>
        <v/>
      </c>
      <c r="C339">
        <f>TRUE</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f>(1-Summary!$B$11)*T339+Summary!$B$11*V339</f>
        <v/>
      </c>
      <c r="P339">
        <f>IF(B365=0,0,O339/B365)</f>
        <v/>
      </c>
      <c r="Q339">
        <f>IFERROR(1/IF(Inputs!$B$39="pvp",15,MAX(0.1,Skills!D19-IF(Skills!E19=TRUE,Inputs!$B$32,0))),0)</f>
        <v/>
      </c>
      <c r="R339">
        <f>IF(AND(Inputs!$B$39&lt;&gt;"pvp",Inputs!$B$44&gt;0),IF(Inputs!$B$44&lt;=0,0,(INT(Inputs!$B$44/IF(Inputs!$B$39="pvp",15,MAX(0.1,Skills!D19-IF(Skills!E19=TRUE,Inputs!$B$32,0))))+1)),0)</f>
        <v/>
      </c>
      <c r="S339">
        <f>IFERROR(O339/N339,0)</f>
        <v/>
      </c>
      <c r="T339" t="n">
        <v>0</v>
      </c>
      <c r="V339" t="n">
        <v>0</v>
      </c>
    </row>
    <row r="340">
      <c r="A340">
        <f>Skills!A20</f>
        <v/>
      </c>
      <c r="B340">
        <f>Skills!B20</f>
        <v/>
      </c>
      <c r="C340">
        <f>Inputs!$B$3&gt;=15</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f>(1-Summary!$B$11)*T340+Summary!$B$11*V340</f>
        <v/>
      </c>
      <c r="P340">
        <f>IF(B365=0,0,O340/B365)</f>
        <v/>
      </c>
      <c r="Q340">
        <f>IFERROR(1/IF(Inputs!$B$39="pvp",15,MAX(0.1,Skills!D20-IF(Skills!E20=TRUE,Inputs!$B$32,0))),0)</f>
        <v/>
      </c>
      <c r="R340">
        <f>IF(AND(Inputs!$B$39&lt;&gt;"pvp",Inputs!$B$44&gt;0),IF(Inputs!$B$44&lt;=0,0,(INT(Inputs!$B$44/IF(Inputs!$B$39="pvp",15,MAX(0.1,Skills!D20-IF(Skills!E20=TRUE,Inputs!$B$32,0))))+1)),0)</f>
        <v/>
      </c>
      <c r="S340">
        <f>IFERROR(O340/N340,0)</f>
        <v/>
      </c>
      <c r="T340" t="n">
        <v>0</v>
      </c>
      <c r="V340" t="n">
        <v>0</v>
      </c>
    </row>
    <row r="341">
      <c r="A341">
        <f>Skills!A21</f>
        <v/>
      </c>
      <c r="B341">
        <f>Skills!B21</f>
        <v/>
      </c>
      <c r="C341">
        <f>Inputs!$B$3&gt;=15</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f>(1-Summary!$B$11)*T341+Summary!$B$11*V341</f>
        <v/>
      </c>
      <c r="P341">
        <f>IF(B365=0,0,O341/B365)</f>
        <v/>
      </c>
      <c r="Q341">
        <f>IFERROR(1/IF(Inputs!$B$39="pvp",15,MAX(0.1,Skills!D21-IF(Skills!E21=TRUE,Inputs!$B$32,0))),0)</f>
        <v/>
      </c>
      <c r="R341">
        <f>IF(AND(Inputs!$B$39&lt;&gt;"pvp",Inputs!$B$44&gt;0),IF(Inputs!$B$44&lt;=0,0,(INT(Inputs!$B$44/IF(Inputs!$B$39="pvp",15,MAX(0.1,Skills!D21-IF(Skills!E21=TRUE,Inputs!$B$32,0))))+1)),0)</f>
        <v/>
      </c>
      <c r="S341">
        <f>IFERROR(O341/N341,0)</f>
        <v/>
      </c>
      <c r="T341" t="n">
        <v>0</v>
      </c>
      <c r="V341" t="n">
        <v>0</v>
      </c>
    </row>
    <row r="342">
      <c r="A342">
        <f>Skills!A22</f>
        <v/>
      </c>
      <c r="B342">
        <f>Skills!B22</f>
        <v/>
      </c>
      <c r="C342">
        <f>Inputs!$B$3&gt;=33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f>(1-Summary!$B$11)*T342+Summary!$B$11*V342</f>
        <v/>
      </c>
      <c r="P342">
        <f>IF(B365=0,0,O342/B365)</f>
        <v/>
      </c>
      <c r="Q342" t="n">
        <v>0</v>
      </c>
      <c r="R342" t="n">
        <v>0</v>
      </c>
      <c r="S342">
        <f>IFERROR(O342/N342,0)</f>
        <v/>
      </c>
      <c r="T342" t="n">
        <v>0</v>
      </c>
      <c r="V342" t="n">
        <v>0</v>
      </c>
    </row>
    <row r="343">
      <c r="A343">
        <f>Skills!A23</f>
        <v/>
      </c>
      <c r="B343">
        <f>Skills!B23</f>
        <v/>
      </c>
      <c r="C343">
        <f>Inputs!$B$3&gt;=40</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f>(1-Summary!$B$11)*T343+Summary!$B$11*V343</f>
        <v/>
      </c>
      <c r="P343">
        <f>IF(B365=0,0,O343/B365)</f>
        <v/>
      </c>
      <c r="Q343" t="n">
        <v>0</v>
      </c>
      <c r="R343" t="n">
        <v>0</v>
      </c>
      <c r="S343">
        <f>IFERROR(O343/N343,0)</f>
        <v/>
      </c>
      <c r="T343" t="n">
        <v>0</v>
      </c>
      <c r="V343" t="n">
        <v>0</v>
      </c>
    </row>
    <row r="344">
      <c r="A344">
        <f>Skills!A24</f>
        <v/>
      </c>
      <c r="B344">
        <f>Skills!B24</f>
        <v/>
      </c>
      <c r="C344">
        <f>Inputs!$B$3&gt;=43</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f>(1-Summary!$B$11)*T344+Summary!$B$11*V344</f>
        <v/>
      </c>
      <c r="P344">
        <f>IF(B365=0,0,O344/B365)</f>
        <v/>
      </c>
      <c r="Q344" t="n">
        <v>0</v>
      </c>
      <c r="R344" t="n">
        <v>0</v>
      </c>
      <c r="S344">
        <f>IFERROR(O344/N344,0)</f>
        <v/>
      </c>
      <c r="T344" t="n">
        <v>0</v>
      </c>
      <c r="V344" t="n">
        <v>0</v>
      </c>
    </row>
    <row r="345">
      <c r="A345">
        <f>Skills!A25</f>
        <v/>
      </c>
      <c r="B345">
        <f>Skills!B25</f>
        <v/>
      </c>
      <c r="C345">
        <f>Inputs!$B$3&gt;=50</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f>(1-Summary!$B$11)*T345+Summary!$B$11*V345</f>
        <v/>
      </c>
      <c r="P345">
        <f>IF(B365=0,0,O345/B365)</f>
        <v/>
      </c>
      <c r="Q345" t="n">
        <v>0</v>
      </c>
      <c r="R345" t="n">
        <v>0</v>
      </c>
      <c r="S345">
        <f>IFERROR(O345/N345,0)</f>
        <v/>
      </c>
      <c r="T345" t="n">
        <v>0</v>
      </c>
      <c r="V345" t="n">
        <v>0</v>
      </c>
    </row>
    <row r="346">
      <c r="A346">
        <f>Skills!A26</f>
        <v/>
      </c>
      <c r="B346">
        <f>Skills!B26</f>
        <v/>
      </c>
      <c r="C346">
        <f>Inputs!$B$3&gt;=50</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f>(1-Summary!$B$11)*T346+Summary!$B$11*V346</f>
        <v/>
      </c>
      <c r="P346">
        <f>IF(B365=0,0,O346/B365)</f>
        <v/>
      </c>
      <c r="Q346" t="n">
        <v>0</v>
      </c>
      <c r="R346" t="n">
        <v>0</v>
      </c>
      <c r="S346">
        <f>IFERROR(O346/N346,0)</f>
        <v/>
      </c>
      <c r="T346" t="n">
        <v>0</v>
      </c>
      <c r="V346" t="n">
        <v>0</v>
      </c>
    </row>
    <row r="347">
      <c r="A347">
        <f>Skills!A27</f>
        <v/>
      </c>
      <c r="B347">
        <f>Skills!B27</f>
        <v/>
      </c>
      <c r="C347">
        <f>Inputs!$B$3&gt;=38</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f>(1-Summary!$B$11)*T347+Summary!$B$11*V347</f>
        <v/>
      </c>
      <c r="P347">
        <f>IF(B365=0,0,O347/B365)</f>
        <v/>
      </c>
      <c r="Q347" t="n">
        <v>0</v>
      </c>
      <c r="R347" t="n">
        <v>0</v>
      </c>
      <c r="S347">
        <f>IFERROR(O347/N347,0)</f>
        <v/>
      </c>
      <c r="T347" t="n">
        <v>0</v>
      </c>
      <c r="V347" t="n">
        <v>0</v>
      </c>
    </row>
    <row r="348">
      <c r="A348">
        <f>Skills!A28</f>
        <v/>
      </c>
      <c r="B348">
        <f>Skills!B28</f>
        <v/>
      </c>
      <c r="C348">
        <f>Inputs!$B$3&gt;=120</f>
        <v/>
      </c>
      <c r="D348">
        <f>IF(Skills!C28=1,60+Inputs!$B$25+Inputs!$B$29,IF(Skills!C28=2,90+Inputs!$B$26+Inputs!$B$29,IF(Skills!C28=3,120+Inputs!$B$27+Inputs!$B$29,MAX(0,(Inputs!$B$3-100)*3)+Inputs!$B$28+Inputs!$B$29)))</f>
        <v/>
      </c>
      <c r="E348">
        <f>INDEX(FactorTable!$B$2:$Y$301, MATCH(ROUND(MIN(300,MAX(1,D348)),0), FactorTable!$A$2:$A$301,0), Skills!M28+1)</f>
        <v/>
      </c>
      <c r="F348">
        <f>IF(Skills!N28=TRUE,(Skills!L28/10)*(E348/1000),Skills!L28/10)+Skills!O28</f>
        <v/>
      </c>
      <c r="G348">
        <f>Skills!G28*IF(Skills!H28&gt;0,Skills!I28/Skills!H28,1)</f>
        <v/>
      </c>
      <c r="H348">
        <f>1-(1-Skills!J28/100)^Skills!K28</f>
        <v/>
      </c>
      <c r="I348" t="inlineStr">
        <is>
          <t>1</t>
        </is>
      </c>
      <c r="J348" t="inlineStr"/>
      <c r="K348" t="inlineStr"/>
      <c r="L348" t="inlineStr"/>
      <c r="M348" t="inlineStr"/>
      <c r="N348" t="inlineStr"/>
      <c r="O348">
        <f>(1-Summary!$B$11)*T348+Summary!$B$11*V348</f>
        <v/>
      </c>
      <c r="P348">
        <f>IF(B365=0,0,O348/B365)</f>
        <v/>
      </c>
      <c r="Q348" t="n">
        <v>0</v>
      </c>
      <c r="R348" t="n">
        <v>0</v>
      </c>
      <c r="S348">
        <f>IFERROR(O348/N348,0)</f>
        <v/>
      </c>
      <c r="T348" t="n">
        <v>0</v>
      </c>
      <c r="V348" t="n">
        <v>0</v>
      </c>
    </row>
    <row r="349">
      <c r="A349">
        <f>Skills!A29</f>
        <v/>
      </c>
      <c r="B349">
        <f>Skills!B29</f>
        <v/>
      </c>
      <c r="C349">
        <f>Inputs!$B$3&gt;=120</f>
        <v/>
      </c>
      <c r="D349">
        <f>IF(Skills!C29=1,60+Inputs!$B$25+Inputs!$B$29,IF(Skills!C29=2,90+Inputs!$B$26+Inputs!$B$29,IF(Skills!C29=3,120+Inputs!$B$27+Inputs!$B$29,MAX(0,(Inputs!$B$3-100)*3)+Inputs!$B$28+Inputs!$B$29)))</f>
        <v/>
      </c>
      <c r="E349">
        <f>INDEX(FactorTable!$B$2:$Y$301, MATCH(ROUND(MIN(300,MAX(1,D349)),0), FactorTable!$A$2:$A$301,0), Skills!M29+1)</f>
        <v/>
      </c>
      <c r="F349">
        <f>IF(Skills!N29=TRUE,(Skills!L29/10)*(E349/1000),Skills!L29/10)+Skills!O29</f>
        <v/>
      </c>
      <c r="G349">
        <f>Skills!G29*IF(Skills!H29&gt;0,Skills!I29/Skills!H29,1)</f>
        <v/>
      </c>
      <c r="H349">
        <f>1-(1-Skills!J29/100)^Skills!K29</f>
        <v/>
      </c>
      <c r="I349" t="inlineStr">
        <is>
          <t>1</t>
        </is>
      </c>
      <c r="J349" t="inlineStr"/>
      <c r="K349" t="inlineStr"/>
      <c r="L349" t="inlineStr"/>
      <c r="M349" t="inlineStr"/>
      <c r="N349" t="inlineStr"/>
      <c r="O349">
        <f>(1-Summary!$B$11)*T349+Summary!$B$11*V349</f>
        <v/>
      </c>
      <c r="P349">
        <f>IF(B365=0,0,O349/B365)</f>
        <v/>
      </c>
      <c r="Q349" t="n">
        <v>0</v>
      </c>
      <c r="R349" t="n">
        <v>0</v>
      </c>
      <c r="S349">
        <f>IFERROR(O349/N349,0)</f>
        <v/>
      </c>
      <c r="T349" t="n">
        <v>0</v>
      </c>
      <c r="V349" t="n">
        <v>0</v>
      </c>
    </row>
    <row r="350">
      <c r="A350">
        <f>Skills!A30</f>
        <v/>
      </c>
      <c r="B350">
        <f>Skills!B30</f>
        <v/>
      </c>
      <c r="C350">
        <f>Inputs!$B$3&gt;=125</f>
        <v/>
      </c>
      <c r="D350">
        <f>IF(Skills!C30=1,60+Inputs!$B$25+Inputs!$B$29,IF(Skills!C30=2,90+Inputs!$B$26+Inputs!$B$29,IF(Skills!C30=3,120+Inputs!$B$27+Inputs!$B$29,MAX(0,(Inputs!$B$3-100)*3)+Inputs!$B$28+Inputs!$B$29)))</f>
        <v/>
      </c>
      <c r="E350">
        <f>INDEX(FactorTable!$B$2:$Y$301, MATCH(ROUND(MIN(300,MAX(1,D350)),0), FactorTable!$A$2:$A$301,0), Skills!M30+1)</f>
        <v/>
      </c>
      <c r="F350">
        <f>IF(Skills!N30=TRUE,(Skills!L30/10)*(E350/1000),Skills!L30/10)+Skills!O30</f>
        <v/>
      </c>
      <c r="G350">
        <f>Skills!G30*IF(Skills!H30&gt;0,Skills!I30/Skills!H30,1)</f>
        <v/>
      </c>
      <c r="H350">
        <f>1-(1-Skills!J30/100)^Skills!K30</f>
        <v/>
      </c>
      <c r="I350" t="inlineStr">
        <is>
          <t>1</t>
        </is>
      </c>
      <c r="J350" t="inlineStr"/>
      <c r="K350" t="inlineStr"/>
      <c r="L350" t="inlineStr"/>
      <c r="M350" t="inlineStr"/>
      <c r="N350" t="inlineStr"/>
      <c r="O350">
        <f>(1-Summary!$B$11)*T350+Summary!$B$11*V350</f>
        <v/>
      </c>
      <c r="P350">
        <f>IF(B365=0,0,O350/B365)</f>
        <v/>
      </c>
      <c r="Q350" t="n">
        <v>0</v>
      </c>
      <c r="R350" t="n">
        <v>0</v>
      </c>
      <c r="S350">
        <f>IFERROR(O350/N350,0)</f>
        <v/>
      </c>
      <c r="T350" t="n">
        <v>0</v>
      </c>
      <c r="V350" t="n">
        <v>0</v>
      </c>
    </row>
    <row r="352">
      <c r="A352" t="inlineStr">
        <is>
          <t>Average Buff Multiplier</t>
        </is>
      </c>
      <c r="B352">
        <f>(1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f>
        <v/>
      </c>
    </row>
    <row r="353">
      <c r="A353" t="inlineStr">
        <is>
          <t>Global Crit Rate Bonus %</t>
        </is>
      </c>
      <c r="B353">
        <f>((C340=TRUE)*F340*IF(AND(Inputs!$B$39&lt;&gt;"pvp",Inputs!$B$44&gt;0),(((R340-1)*(Skills!Y20*(1+Inputs!$B$34/100))+MIN((Skills!Y20*(1+Inputs!$B$34/100)),MAX(0,Inputs!$B$44-((R340-1)*Skills!D20))))/Inputs!$B$44),IF(Inputs!$B$39="pvp",MIN((Skills!Y20*(1+Inputs!$B$34/100)),15)/15,(Skills!Y20*(1+Inputs!$B$34/100))/Skills!D20)))</f>
        <v/>
      </c>
    </row>
    <row r="354">
      <c r="A354" t="inlineStr">
        <is>
          <t>Global Monster Damage-Taken Bonus %</t>
        </is>
      </c>
      <c r="B354">
        <f>IF(Inputs!$B$3&gt;=82,15,0)</f>
        <v/>
      </c>
    </row>
    <row r="355">
      <c r="A355" t="inlineStr">
        <is>
          <t>Shadow Partner Average Multiplier</t>
        </is>
      </c>
      <c r="B355">
        <f>1+((C327=TRUE)*F327*(1+3.3333333333333335*IF(C338=TRUE,F338,0)/100)*I327*Skills!J7/100)/100</f>
        <v/>
      </c>
    </row>
    <row r="356">
      <c r="A356" t="inlineStr">
        <is>
          <t>Attack Speed Buff Bonus %</t>
        </is>
      </c>
      <c r="B356">
        <f>((C339=TRUE)*F339*IF(AND(Inputs!$B$39&lt;&gt;"pvp",Inputs!$B$44&gt;0),(((R339-1)*(Skills!Y19*(1+Inputs!$B$34/100))+MIN((Skills!Y19*(1+Inputs!$B$34/100)),MAX(0,Inputs!$B$44-((R339-1)*Skills!D19))))/Inputs!$B$44),IF(Inputs!$B$39="pvp",MIN((Skills!Y19*(1+Inputs!$B$34/100)),15)/15,(Skills!Y19*(1+Inputs!$B$34/100))/Skills!D19)))+((C323=TRUE)*F323*3)</f>
        <v/>
      </c>
    </row>
    <row r="357">
      <c r="A357" t="inlineStr">
        <is>
          <t>Actions Per Second</t>
        </is>
      </c>
      <c r="B357">
        <f>1+MIN(150,150*(1-(1-(Inputs!$B$11+((C342=TRUE)*(F342-Calc!F22)))/150)*(1-B356/150)))/100</f>
        <v/>
      </c>
    </row>
    <row r="358">
      <c r="A358" t="inlineStr">
        <is>
          <t>Skill + Buff Cast Rate</t>
        </is>
      </c>
      <c r="B358">
        <f>IF(AND(Inputs!$B$39&lt;&gt;"pvp",Inputs!$B$44&gt;0),SUMPRODUCT((Skills!E2:E30=TRUE)*(C322:C350=TRUE)*R322:R350*Skills!F2:F30)/Inputs!$B$44,SUMPRODUCT((Skills!E2:E30=TRUE)*(C322:C350=TRUE)*Q322:Q350*Skills!F2:F30))</f>
        <v/>
      </c>
    </row>
    <row r="359">
      <c r="A359" t="inlineStr">
        <is>
          <t>Cruel Stab Casts Per Second</t>
        </is>
      </c>
      <c r="B359">
        <f>MAX(0,B357-B358)</f>
        <v/>
      </c>
    </row>
    <row r="360">
      <c r="A360" t="inlineStr">
        <is>
          <t>Global Critical Damage Bonus % (Smokescreen Mastery Lv.113)</t>
        </is>
      </c>
      <c r="B360">
        <f>IF(Inputs!$B$3&gt;=113,30,0)*IF(AND(Inputs!$B$39&lt;&gt;"pvp",Inputs!$B$44&gt;0),(((R335-1)*(Skills!Y15*(1+Inputs!$B$34/100))+MIN((Skills!Y15*(1+Inputs!$B$34/100)),MAX(0,Inputs!$B$44-((R335-1)*Skills!D15))))/Inputs!$B$44),IF(Inputs!$B$39="pvp",MIN((Skills!Y15*(1+Inputs!$B$34/100)),15)/15,(Skills!Y15*(1+Inputs!$B$34/100))/Skills!D15))</f>
        <v/>
      </c>
    </row>
    <row r="361">
      <c r="A361" t="inlineStr">
        <is>
          <t>Meso Explosion average stack count</t>
        </is>
      </c>
      <c r="B361">
        <f>MIN(10,0.5*B357*Skills!D4)</f>
        <v/>
      </c>
    </row>
    <row r="362">
      <c r="A362" t="inlineStr">
        <is>
          <t>Blood Money average stack count</t>
        </is>
      </c>
      <c r="B362">
        <f>MIN(5,0.25*B357*Skills!D4)</f>
        <v/>
      </c>
    </row>
    <row r="363">
      <c r="A363" t="inlineStr">
        <is>
          <t>Assassinate Murderous Intent Multiplier</t>
        </is>
      </c>
      <c r="B363">
        <f>1+IFERROR(MIN(1,Q334*2/Q331),0)</f>
        <v/>
      </c>
    </row>
    <row r="364">
      <c r="A364" t="inlineStr">
        <is>
          <t>Buff-Casting Startup Delay (s, fixed-duration only)</t>
        </is>
      </c>
      <c r="B364">
        <f>IF(AND(Inputs!$B$39&lt;&gt;"pvp",Inputs!$B$44&gt;0),SUMPRODUCT((Skills!Y2:Y30&gt;0)*(Skills!E2:E30=TRUE)*(C322:C350=TRUE))/B357,0)</f>
        <v/>
      </c>
    </row>
    <row r="365">
      <c r="A365" s="6" t="inlineStr">
        <is>
          <t>TOTAL DPS</t>
        </is>
      </c>
      <c r="B365" s="6">
        <f>SUM(O322:O350)</f>
        <v/>
      </c>
    </row>
    <row r="366">
      <c r="A366" t="inlineStr">
        <is>
          <t>Boss-Only Total DPS (this block's swept value)</t>
        </is>
      </c>
      <c r="B366">
        <f>SUM(T322:T350)</f>
        <v/>
      </c>
    </row>
    <row r="367">
      <c r="A367" t="inlineStr">
        <is>
          <t>Normal-Only Total DPS (this block's swept value)</t>
        </is>
      </c>
      <c r="B367">
        <f>SUM(V322:V350)</f>
        <v/>
      </c>
    </row>
    <row r="370">
      <c r="A370" s="6" t="inlineStr">
        <is>
          <t>Stat: NORMAL_DAMAGE %</t>
        </is>
      </c>
    </row>
    <row r="371">
      <c r="A371" s="5" t="inlineStr">
        <is>
          <t>Key</t>
        </is>
      </c>
      <c r="B371" s="5" t="inlineStr">
        <is>
          <t>Name</t>
        </is>
      </c>
      <c r="C371" s="5" t="inlineStr">
        <is>
          <t>Unlocked</t>
        </is>
      </c>
      <c r="D371" s="5" t="inlineStr">
        <is>
          <t>InputLevel</t>
        </is>
      </c>
      <c r="E371" s="5" t="inlineStr">
        <is>
          <t>Factor</t>
        </is>
      </c>
      <c r="F371" s="5" t="inlineStr">
        <is>
          <t>CoefficientPercent</t>
        </is>
      </c>
      <c r="G371" s="5" t="inlineStr">
        <is>
          <t>EffectiveHits</t>
        </is>
      </c>
      <c r="H371" s="5" t="inlineStr">
        <is>
          <t>ProcProbability</t>
        </is>
      </c>
      <c r="I371" s="5" t="inlineStr">
        <is>
          <t>MapleHeroMultiplier</t>
        </is>
      </c>
      <c r="J371" s="5" t="inlineStr">
        <is>
          <t>BaseDamage</t>
        </is>
      </c>
      <c r="K371" s="5" t="inlineStr">
        <is>
          <t>BaseHitDamage</t>
        </is>
      </c>
      <c r="L371" s="5" t="inlineStr">
        <is>
          <t>NonCritAvg</t>
        </is>
      </c>
      <c r="M371" s="5" t="inlineStr">
        <is>
          <t>CritAvg</t>
        </is>
      </c>
      <c r="N371" s="5" t="inlineStr">
        <is>
          <t>ExpectedDamage(perHit)</t>
        </is>
      </c>
      <c r="O371" s="5" t="inlineStr">
        <is>
          <t>DPS</t>
        </is>
      </c>
      <c r="P371" s="5" t="inlineStr">
        <is>
          <t>% of Total</t>
        </is>
      </c>
      <c r="Q371" s="5" t="inlineStr">
        <is>
          <t>InvCooldown</t>
        </is>
      </c>
      <c r="R371" s="5" t="inlineStr">
        <is>
          <t>CastsInFight</t>
        </is>
      </c>
      <c r="S371" s="5"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((Inputs!$B$6*(1+Inputs!$B$7/100))+(((Inputs!$B$12*(1+Inputs!$B$13/100))-(Inputs!$B$12*(1+Inputs!$B$13/100)))+0.25*(Inputs!$B$14-Inputs!$B$14))*(1+Inputs!$B$7/100))*(F372/100)</f>
        <v/>
      </c>
      <c r="K372">
        <f>J372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372)</f>
        <v/>
      </c>
      <c r="L372">
        <f>K372*(MIN(Inputs!$B$22+((C394=TRUE)*(F394-Calc!F24)),(Inputs!$B$23+((C399=TRUE)*(F399-Calc!F29))+IF(ArtifactsInput!$M$15,CHOOSE(ArtifactsInput!$N$15+1,25,30,35,40,45,50)/100*(Inputs!$B$11-Inputs!$B$11),0)))/100+(Inputs!$B$23+((C399=TRUE)*(F399-Calc!F29))+IF(ArtifactsInput!$M$15,CHOOSE(ArtifactsInput!$N$15+1,25,30,35,40,45,50)/100*(Inputs!$B$11-Inputs!$B$11),0))/100)/2</f>
        <v/>
      </c>
      <c r="M372">
        <f>L372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
        <f>L372*(1-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IF(B415=0,0,O372/B415)</f>
        <v/>
      </c>
      <c r="Q372" t="n">
        <v>0</v>
      </c>
      <c r="R372" t="n">
        <v>0</v>
      </c>
      <c r="S372">
        <f>IFERROR(O372/N372,0)</f>
        <v/>
      </c>
      <c r="T372">
        <f>IF(C372,(Skills!G2*N372*B409)*IF(Inputs!$B$39="pvp",1,1+(Inputs!$B$20+0+Skills!P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2">
        <f>MAX(0,(Inputs!$B$3-100)*3)+Inputs!$B$28+Inputs!$B$29</f>
        <v/>
      </c>
      <c r="V372">
        <f>IF(C372,(Skills!G2*N372*B409)*IF(Inputs!$B$39="pvp",1,(1+((Inputs!$B$21+1)+Skills!Q2+B404+(IF(ArtifactsInput!$M$33,CHOOSE(ArtifactsInput!$N$33+1,30,36,42,48,54,60),0))+(IF(AND(ArtifactsInput!$M$35,Inputs!$B$4&lt;&gt;"Chapter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f>(1-Summary!$B$11)*T373+Summary!$B$11*V373</f>
        <v/>
      </c>
      <c r="P373">
        <f>IF(B415=0,0,O373/B415)</f>
        <v/>
      </c>
      <c r="Q373" t="n">
        <v>0</v>
      </c>
      <c r="R373" t="n">
        <v>0</v>
      </c>
      <c r="S373">
        <f>IFERROR(O373/N373,0)</f>
        <v/>
      </c>
      <c r="T373" t="n">
        <v>0</v>
      </c>
      <c r="U373">
        <f>INDEX(FactorTable!$B$2:$Y$301, MATCH(ROUND(MIN(300,MAX(1,U372)),0), FactorTable!$A$2:$A$301,0), 22)</f>
        <v/>
      </c>
      <c r="V373" t="n">
        <v>0</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((Inputs!$B$6*(1+Inputs!$B$7/100))+(((Inputs!$B$12*(1+Inputs!$B$13/100))-(Inputs!$B$12*(1+Inputs!$B$13/100)))+0.25*(Inputs!$B$14-Inputs!$B$14))*(1+Inputs!$B$7/100))*(F374/100)</f>
        <v/>
      </c>
      <c r="K374">
        <f>J374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374)</f>
        <v/>
      </c>
      <c r="L374">
        <f>K374*(MIN(Inputs!$B$22+((C394=TRUE)*(F394-Calc!F24)),(Inputs!$B$23+((C399=TRUE)*(F399-Calc!F29))+IF(ArtifactsInput!$M$15,CHOOSE(ArtifactsInput!$N$15+1,25,30,35,40,45,50)/100*(Inputs!$B$11-Inputs!$B$11),0)))/100+(Inputs!$B$23+((C399=TRUE)*(F399-Calc!F29))+IF(ArtifactsInput!$M$15,CHOOSE(ArtifactsInput!$N$15+1,25,30,35,40,45,50)/100*(Inputs!$B$11-Inputs!$B$11),0))/100)/2</f>
        <v/>
      </c>
      <c r="M374">
        <f>L374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IF(B415=0,0,O374/B415)</f>
        <v/>
      </c>
      <c r="Q374">
        <f>IFERROR(1/IF(Inputs!$B$39="pvp",15,MAX(0.1,Skills!D4-IF(Skills!E4=TRUE,Inputs!$B$32,0))),0)</f>
        <v/>
      </c>
      <c r="R374">
        <f>IF(AND(Inputs!$B$39&lt;&gt;"pvp",Inputs!$B$44&gt;0),IF(MAX(0,Inputs!$B$44-B414)&lt;=0,0,(INT(MAX(0,Inputs!$B$44-B414)/IF(Inputs!$B$39="pvp",15,MAX(0.1,Skills!D4-IF(Skills!E4=TRUE,Inputs!$B$32,0))))+1)),0)</f>
        <v/>
      </c>
      <c r="S374">
        <f>IFERROR(O374/N374,0)</f>
        <v/>
      </c>
      <c r="T374">
        <f>IF(C374,(H374*N374*IF(AND(Inputs!$B$39&lt;&gt;"pvp",Inputs!$B$44&gt;0),((Skills!G4*((R374-1)*IF(Skills!H4&gt;0,Skills!I4/Skills!H4,1)+IF(Skills!H4&gt;0,MIN(Skills!I4,MAX(0,MAX(0,Inputs!$B$44-B414)-((R374-1)*IF(Inputs!$B$39="pvp",15,MAX(0.1,Skills!D4-IF(Skills!E4=TRUE,Inputs!$B$32,0))))))/Skills!H4,1)))/Inputs!$B$44),G374*Q374))*IF(Inputs!$B$39="pvp",1,1+(Inputs!$B$20+0+Skills!P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374*(1-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4">
        <f>290*U373/1000</f>
        <v/>
      </c>
      <c r="V374">
        <f>IF(C374,(H374*N374*IF(AND(Inputs!$B$39&lt;&gt;"pvp",Inputs!$B$44&gt;0),((Skills!G4*((R374-1)*IF(Skills!H4&gt;0,Skills!I4/Skills!H4,1)+IF(Skills!H4&gt;0,MIN(Skills!I4,MAX(0,MAX(0,Inputs!$B$44-B414)-((R374-1)*IF(Inputs!$B$39="pvp",15,MAX(0.1,Skills!D4-IF(Skills!E4=TRUE,Inputs!$B$32,0))))))/Skills!H4,1)))/Inputs!$B$44),G374*Q374))*IF(Inputs!$B$39="pvp",1,(1+((Inputs!$B$21+1)+Skills!Q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(10,0.5*B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((Inputs!$B$6*(1+Inputs!$B$7/100))+(((Inputs!$B$12*(1+Inputs!$B$13/100))-(Inputs!$B$12*(1+Inputs!$B$13/100)))+0.25*(Inputs!$B$14-Inputs!$B$14))*(1+Inputs!$B$7/100))*(F375/100)</f>
        <v/>
      </c>
      <c r="K375">
        <f>J375*(1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388=TRUE,F388,0)/100)*(1+(IF(Skills!A5="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375)</f>
        <v/>
      </c>
      <c r="L375">
        <f>K375*(MIN(Inputs!$B$22+((C394=TRUE)*(F394-Calc!F24)),(Inputs!$B$23+((C399=TRUE)*(F399-Calc!F29))+IF(ArtifactsInput!$M$15,CHOOSE(ArtifactsInput!$N$15+1,25,30,35,40,45,50)/100*(Inputs!$B$11-Inputs!$B$11),0)))/100+(Inputs!$B$23+((C399=TRUE)*(F399-Calc!F29))+IF(ArtifactsInput!$M$15,CHOOSE(ArtifactsInput!$N$15+1,25,30,35,40,45,50)/100*(Inputs!$B$11-Inputs!$B$11),0))/100)/2</f>
        <v/>
      </c>
      <c r="M375">
        <f>L375*(1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IF(B415=0,0,O375/B415)</f>
        <v/>
      </c>
      <c r="Q375">
        <f>IFERROR(1/IF(Inputs!$B$39="pvp",15,MAX(0.1,Skills!D5-IF(Skills!E5=TRUE,Inputs!$B$32,0))),0)</f>
        <v/>
      </c>
      <c r="R375">
        <f>IF(AND(Inputs!$B$39&lt;&gt;"pvp",Inputs!$B$44&gt;0),IF(MAX(0,Inputs!$B$44-B414)&lt;=0,0,(INT(MAX(0,Inputs!$B$44-B414)/IF(Inputs!$B$39="pvp",15,MAX(0.1,Skills!D5-IF(Skills!E5=TRUE,Inputs!$B$32,0))))+1)),0)</f>
        <v/>
      </c>
      <c r="S375">
        <f>IFERROR(O375/N375,0)</f>
        <v/>
      </c>
      <c r="T375">
        <f>IF(C375,(H375*N375*IF(AND(Inputs!$B$39&lt;&gt;"pvp",Inputs!$B$44&gt;0),((Skills!G5*((R375-1)*IF(Skills!H5&gt;0,Skills!I5/Skills!H5,1)+IF(Skills!H5&gt;0,MIN(Skills!I5,MAX(0,MAX(0,Inputs!$B$44-B414)-((R375-1)*IF(Inputs!$B$39="pvp",15,MAX(0.1,Skills!D5-IF(Skills!E5=TRUE,Inputs!$B$32,0))))))/Skills!H5,1)))/Inputs!$B$44),G375*Q375))*IF(Inputs!$B$39="pvp",1,1+(Inputs!$B$20+0+Skills!P5+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375*(1-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5*((R375-1)*IF(Skills!H5&gt;0,Skills!I5/Skills!H5,1)+IF(Skills!H5&gt;0,MIN(Skills!I5,MAX(0,MAX(0,Inputs!$B$44-B414)-((R375-1)*IF(Inputs!$B$39="pvp",15,MAX(0.1,Skills!D5-IF(Skills!E5=TRUE,Inputs!$B$32,0))))))/Skills!H5,1)))/Inputs!$B$44),G375*Q375))*IF(Inputs!$B$39="pvp",1,(1+((Inputs!$B$21+1)+Skills!Q5+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((Inputs!$B$6*(1+Inputs!$B$7/100))+(((Inputs!$B$12*(1+Inputs!$B$13/100))-(Inputs!$B$12*(1+Inputs!$B$13/100)))+0.25*(Inputs!$B$14-Inputs!$B$14))*(1+Inputs!$B$7/100))*(F376/100)</f>
        <v/>
      </c>
      <c r="K376">
        <f>J376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6="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376)</f>
        <v/>
      </c>
      <c r="L376">
        <f>K376*(MIN(Inputs!$B$22+((C394=TRUE)*(F394-Calc!F24)),(Inputs!$B$23+((C399=TRUE)*(F399-Calc!F29))+IF(ArtifactsInput!$M$15,CHOOSE(ArtifactsInput!$N$15+1,25,30,35,40,45,50)/100*(Inputs!$B$11-Inputs!$B$11),0)))/100+(Inputs!$B$23+((C399=TRUE)*(F399-Calc!F29))+IF(ArtifactsInput!$M$15,CHOOSE(ArtifactsInput!$N$15+1,25,30,35,40,45,50)/100*(Inputs!$B$11-Inputs!$B$11),0))/100)/2</f>
        <v/>
      </c>
      <c r="M376">
        <f>L376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IF(B415=0,0,O376/B415)</f>
        <v/>
      </c>
      <c r="Q376">
        <f>IFERROR(1/IF(Inputs!$B$39="pvp",15,MAX(0.1,Skills!D6-IF(Skills!E6=TRUE,Inputs!$B$32,0))),0)</f>
        <v/>
      </c>
      <c r="R376">
        <f>IF(AND(Inputs!$B$39&lt;&gt;"pvp",Inputs!$B$44&gt;0),IF(MAX(0,Inputs!$B$44-B414)&lt;=0,0,(INT(MAX(0,Inputs!$B$44-B414)/IF(Inputs!$B$39="pvp",15,MAX(0.1,Skills!D6-IF(Skills!E6=TRUE,Inputs!$B$32,0))))+1)),0)</f>
        <v/>
      </c>
      <c r="S376">
        <f>IFERROR(O376/N376,0)</f>
        <v/>
      </c>
      <c r="T376">
        <f>IF(C376,(H376*N376*IF(AND(Inputs!$B$39&lt;&gt;"pvp",Inputs!$B$44&gt;0),((Skills!G6*((R376-1)*IF(Skills!H6&gt;0,Skills!I6/Skills!H6,1)+IF(Skills!H6&gt;0,MIN(Skills!I6,MAX(0,MAX(0,Inputs!$B$44-B414)-((R376-1)*IF(Inputs!$B$39="pvp",15,MAX(0.1,Skills!D6-IF(Skills!E6=TRUE,Inputs!$B$32,0))))))/Skills!H6,1)))/Inputs!$B$44),G376*Q376))*IF(Inputs!$B$39="pvp",1,1+(Inputs!$B$20+0+Skills!P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6*((R376-1)*IF(Skills!H6&gt;0,Skills!I6/Skills!H6,1)+IF(Skills!H6&gt;0,MIN(Skills!I6,MAX(0,MAX(0,Inputs!$B$44-B414)-((R376-1)*IF(Inputs!$B$39="pvp",15,MAX(0.1,Skills!D6-IF(Skills!E6=TRUE,Inputs!$B$32,0))))))/Skills!H6,1)))/Inputs!$B$44),G376*Q376))*IF(Inputs!$B$39="pvp",1,(1+((Inputs!$B$21+1)+Skills!Q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f>(1-Summary!$B$11)*T377+Summary!$B$11*V377</f>
        <v/>
      </c>
      <c r="P377">
        <f>IF(B415=0,0,O377/B415)</f>
        <v/>
      </c>
      <c r="Q377" t="n">
        <v>0</v>
      </c>
      <c r="R377" t="n">
        <v>0</v>
      </c>
      <c r="S377">
        <f>IFERROR(O377/N377,0)</f>
        <v/>
      </c>
      <c r="T377" t="n">
        <v>0</v>
      </c>
      <c r="V377" t="n">
        <v>0</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((Inputs!$B$6*(1+Inputs!$B$7/100))+(((Inputs!$B$12*(1+Inputs!$B$13/100))-(Inputs!$B$12*(1+Inputs!$B$13/100)))+0.25*(Inputs!$B$14-Inputs!$B$14))*(1+Inputs!$B$7/100))*(F378/100)</f>
        <v/>
      </c>
      <c r="K378">
        <f>J378*(1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388=TRUE,F388,0)/100)*(1+(IF(Skills!A8="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378)</f>
        <v/>
      </c>
      <c r="L378">
        <f>K378*(MIN(Inputs!$B$22+((C394=TRUE)*(F394-Calc!F24)),(Inputs!$B$23+((C399=TRUE)*(F399-Calc!F29))+IF(ArtifactsInput!$M$15,CHOOSE(ArtifactsInput!$N$15+1,25,30,35,40,45,50)/100*(Inputs!$B$11-Inputs!$B$11),0)))/100+(Inputs!$B$23+((C399=TRUE)*(F399-Calc!F29))+IF(ArtifactsInput!$M$15,CHOOSE(ArtifactsInput!$N$15+1,25,30,35,40,45,50)/100*(Inputs!$B$11-Inputs!$B$11),0))/100)/2</f>
        <v/>
      </c>
      <c r="M378">
        <f>L378*(1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IF(B415=0,0,O378/B415)</f>
        <v/>
      </c>
      <c r="Q378">
        <f>IFERROR(1/IF(Inputs!$B$39="pvp",15,MAX(0.1,Skills!D8-IF(Skills!E8=TRUE,Inputs!$B$32,0))),0)</f>
        <v/>
      </c>
      <c r="R378">
        <f>IF(AND(Inputs!$B$39&lt;&gt;"pvp",Inputs!$B$44&gt;0),IF(MAX(0,Inputs!$B$44-B414)&lt;=0,0,(INT(MAX(0,Inputs!$B$44-B414)/IF(Inputs!$B$39="pvp",15,MAX(0.1,Skills!D8-IF(Skills!E8=TRUE,Inputs!$B$32,0))))+1)),0)</f>
        <v/>
      </c>
      <c r="S378">
        <f>IFERROR(O378/N378,0)</f>
        <v/>
      </c>
      <c r="T378">
        <f>IF(C378,(H378*N378*IF(AND(Inputs!$B$39&lt;&gt;"pvp",Inputs!$B$44&gt;0),((Skills!G8*((R378-1)*IF(Skills!H8&gt;0,Skills!I8/Skills!H8,1)+IF(Skills!H8&gt;0,MIN(Skills!I8,MAX(0,MAX(0,Inputs!$B$44-B414)-((R378-1)*IF(Inputs!$B$39="pvp",15,MAX(0.1,Skills!D8-IF(Skills!E8=TRUE,Inputs!$B$32,0))))))/Skills!H8,1)))/Inputs!$B$44),G378*Q378))*IF(Inputs!$B$39="pvp",1,1+(Inputs!$B$20+0+Skills!P8+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378*(1-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8*((R378-1)*IF(Skills!H8&gt;0,Skills!I8/Skills!H8,1)+IF(Skills!H8&gt;0,MIN(Skills!I8,MAX(0,MAX(0,Inputs!$B$44-B414)-((R378-1)*IF(Inputs!$B$39="pvp",15,MAX(0.1,Skills!D8-IF(Skills!E8=TRUE,Inputs!$B$32,0))))))/Skills!H8,1)))/Inputs!$B$44),G378*Q378))*IF(Inputs!$B$39="pvp",1,(1+((Inputs!$B$21+1)+Skills!Q8+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((Inputs!$B$6*(1+Inputs!$B$7/100))+(((Inputs!$B$12*(1+Inputs!$B$13/100))-(Inputs!$B$12*(1+Inputs!$B$13/100)))+0.25*(Inputs!$B$14-Inputs!$B$14))*(1+Inputs!$B$7/100))*(F379/100)</f>
        <v/>
      </c>
      <c r="K379">
        <f>J379*(1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379)</f>
        <v/>
      </c>
      <c r="L379">
        <f>K379*(MIN(Inputs!$B$22+((C394=TRUE)*(F394-Calc!F24)),(Inputs!$B$23+((C399=TRUE)*(F399-Calc!F29))+IF(ArtifactsInput!$M$15,CHOOSE(ArtifactsInput!$N$15+1,25,30,35,40,45,50)/100*(Inputs!$B$11-Inputs!$B$11),0)))/100+(Inputs!$B$23+((C399=TRUE)*(F399-Calc!F29))+IF(ArtifactsInput!$M$15,CHOOSE(ArtifactsInput!$N$15+1,25,30,35,40,45,50)/100*(Inputs!$B$11-Inputs!$B$11),0))/100)/2</f>
        <v/>
      </c>
      <c r="M379">
        <f>L379*(1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IF(B415=0,0,O379/B415)</f>
        <v/>
      </c>
      <c r="Q379" t="n">
        <v>0</v>
      </c>
      <c r="R379" t="n">
        <v>0</v>
      </c>
      <c r="S379" t="n">
        <v>0</v>
      </c>
      <c r="T379">
        <f>IF(C379,(0.2*SUMPRODUCT((Skills!Z2:Z30=TRUE)*(C372:C400=TRUE)*S372:S400)*N379)*IF(Inputs!$B$39="pvp",1,1+(Inputs!$B$20+0+Skills!P9+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379*(1-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IF(C379,(0.2*SUMPRODUCT((Skills!Z2:Z30=TRUE)*(C372:C400=TRUE)*S372:S400)*N379)*IF(Inputs!$B$39="pvp",1,(1+((Inputs!$B$21+1)+Skills!Q9+B404+(IF(ArtifactsInput!$M$33,CHOOSE(ArtifactsInput!$N$33+1,30,36,42,48,54,60),0))+(IF(AND(ArtifactsInput!$M$35,Inputs!$B$4&lt;&gt;"Chapter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f>(1-Summary!$B$11)*T380+Summary!$B$11*V380</f>
        <v/>
      </c>
      <c r="P380">
        <f>IF(B415=0,0,O380/B415)</f>
        <v/>
      </c>
      <c r="Q380">
        <f>IFERROR(1/IF(Inputs!$B$39="pvp",15,MAX(0.1,Skills!D10-IF(Skills!E10=TRUE,Inputs!$B$32,0))),0)</f>
        <v/>
      </c>
      <c r="R380">
        <f>IF(AND(Inputs!$B$39&lt;&gt;"pvp",Inputs!$B$44&gt;0),IF(Inputs!$B$44&lt;=0,0,(INT(Inputs!$B$44/IF(Inputs!$B$39="pvp",15,MAX(0.1,Skills!D10-IF(Skills!E10=TRUE,Inputs!$B$32,0))))+1)),0)</f>
        <v/>
      </c>
      <c r="S380">
        <f>IFERROR(O380/N380,0)</f>
        <v/>
      </c>
      <c r="T380" t="n">
        <v>0</v>
      </c>
      <c r="V380" t="n">
        <v>0</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((Inputs!$B$6*(1+Inputs!$B$7/100))+(((Inputs!$B$12*(1+Inputs!$B$13/100))-(Inputs!$B$12*(1+Inputs!$B$13/100)))+0.25*(Inputs!$B$14-Inputs!$B$14))*(1+Inputs!$B$7/100))*(F381/100)</f>
        <v/>
      </c>
      <c r="K381">
        <f>J381*(1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381)</f>
        <v/>
      </c>
      <c r="L381">
        <f>K381*(MIN(Inputs!$B$22+((C394=TRUE)*(F394-Calc!F24)),(Inputs!$B$23+((C399=TRUE)*(F399-Calc!F29))+IF(ArtifactsInput!$M$15,CHOOSE(ArtifactsInput!$N$15+1,25,30,35,40,45,50)/100*(Inputs!$B$11-Inputs!$B$11),0)))/100+(Inputs!$B$23+((C399=TRUE)*(F399-Calc!F29))+IF(ArtifactsInput!$M$15,CHOOSE(ArtifactsInput!$N$15+1,25,30,35,40,45,50)/100*(Inputs!$B$11-Inputs!$B$11),0))/100)/2</f>
        <v/>
      </c>
      <c r="M381">
        <f>L381*(1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1">
        <f>L381*(1-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1">
        <f>(1-Summary!$B$11)*T381+Summary!$B$11*V381</f>
        <v/>
      </c>
      <c r="P381">
        <f>IF(B415=0,0,O381/B415)</f>
        <v/>
      </c>
      <c r="Q381">
        <f>IFERROR(1/IF(Inputs!$B$39="pvp",15,MAX(0.1,Skills!D11-IF(Skills!E11=TRUE,Inputs!$B$32,0))),0)</f>
        <v/>
      </c>
      <c r="R381">
        <f>IF(AND(Inputs!$B$39&lt;&gt;"pvp",Inputs!$B$44&gt;0),IF(MAX(0,Inputs!$B$44-B414)&lt;=0,0,(INT(MAX(0,Inputs!$B$44-B414)/IF(Inputs!$B$39="pvp",15,MAX(0.1,Skills!D11-IF(Skills!E11=TRUE,Inputs!$B$32,0))))+1)),0)</f>
        <v/>
      </c>
      <c r="S381">
        <f>IFERROR(O381/N381,0)</f>
        <v/>
      </c>
      <c r="T381">
        <f>IF(C381,(H381*N381*IF(AND(Inputs!$B$39&lt;&gt;"pvp",Inputs!$B$44&gt;0),((Skills!G11*((R381-1)*IF(Skills!H11&gt;0,Skills!I11/Skills!H11,1)+IF(Skills!H11&gt;0,MIN(Skills!I11,MAX(0,MAX(0,Inputs!$B$44-B414)-((R381-1)*IF(Inputs!$B$39="pvp",15,MAX(0.1,Skills!D11-IF(Skills!E11=TRUE,Inputs!$B$32,0))))))/Skills!H11,1)))/Inputs!$B$44),G381*Q381))*IF(Inputs!$B$39="pvp",1,1+(Inputs!$B$20+0+Skills!P11+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381*(1-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381*(1-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1">
        <f>IF(C381,(H381*N381*IF(AND(Inputs!$B$39&lt;&gt;"pvp",Inputs!$B$44&gt;0),((Skills!G11*((R381-1)*IF(Skills!H11&gt;0,Skills!I11/Skills!H11,1)+IF(Skills!H11&gt;0,MIN(Skills!I11,MAX(0,MAX(0,Inputs!$B$44-B414)-((R381-1)*IF(Inputs!$B$39="pvp",15,MAX(0.1,Skills!D11-IF(Skills!E11=TRUE,Inputs!$B$32,0))))))/Skills!H11,1)))/Inputs!$B$44),G381*Q381))*IF(Inputs!$B$39="pvp",1,(1+((Inputs!$B$21+1)+Skills!Q11+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((Inputs!$B$6*(1+Inputs!$B$7/100))+(((Inputs!$B$12*(1+Inputs!$B$13/100))-(Inputs!$B$12*(1+Inputs!$B$13/100)))+0.25*(Inputs!$B$14-Inputs!$B$14))*(1+Inputs!$B$7/100))*(F382/100)</f>
        <v/>
      </c>
      <c r="K382">
        <f>J382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382)</f>
        <v/>
      </c>
      <c r="L382">
        <f>K382*(MIN(Inputs!$B$22+((C394=TRUE)*(F394-Calc!F24)),(Inputs!$B$23+((C399=TRUE)*(F399-Calc!F29))+IF(ArtifactsInput!$M$15,CHOOSE(ArtifactsInput!$N$15+1,25,30,35,40,45,50)/100*(Inputs!$B$11-Inputs!$B$11),0)))/100+(Inputs!$B$23+((C399=TRUE)*(F399-Calc!F29))+IF(ArtifactsInput!$M$15,CHOOSE(ArtifactsInput!$N$15+1,25,30,35,40,45,50)/100*(Inputs!$B$11-Inputs!$B$11),0))/100)/2</f>
        <v/>
      </c>
      <c r="M382">
        <f>L382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2">
        <f>L382*(1-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(1-Summary!$B$11)*T382+Summary!$B$11*V382</f>
        <v/>
      </c>
      <c r="P382">
        <f>IF(B415=0,0,O382/B415)</f>
        <v/>
      </c>
      <c r="Q382">
        <f>IFERROR(1/IF(Inputs!$B$39="pvp",15,MAX(0.1,Skills!D12-IF(Skills!E12=TRUE,Inputs!$B$32,0))),0)</f>
        <v/>
      </c>
      <c r="R382">
        <f>IF(AND(Inputs!$B$39&lt;&gt;"pvp",Inputs!$B$44&gt;0),IF(MAX(0,Inputs!$B$44-B414)&lt;=0,0,(INT(MAX(0,Inputs!$B$44-B414)/IF(Inputs!$B$39="pvp",15,MAX(0.1,Skills!D12-IF(Skills!E12=TRUE,Inputs!$B$32,0))))+1)),0)</f>
        <v/>
      </c>
      <c r="S382">
        <f>IFERROR(O382/N382,0)</f>
        <v/>
      </c>
      <c r="T382">
        <f>IF(C382,(H382*N382*IF(AND(Inputs!$B$39&lt;&gt;"pvp",Inputs!$B$44&gt;0),((Skills!G12*((R382-1)*IF(Skills!H12&gt;0,Skills!I12/Skills!H12,1)+IF(Skills!H12&gt;0,MIN(Skills!I12,MAX(0,MAX(0,Inputs!$B$44-B414)-((R382-1)*IF(Inputs!$B$39="pvp",15,MAX(0.1,Skills!D12-IF(Skills!E12=TRUE,Inputs!$B$32,0))))))/Skills!H12,1)))/Inputs!$B$44),G382*Q382))*IF(Inputs!$B$39="pvp",1,1+(Inputs!$B$20+0+Skills!P12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382*(1-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2">
        <f>IF(C382,(H382*N382*IF(AND(Inputs!$B$39&lt;&gt;"pvp",Inputs!$B$44&gt;0),((Skills!G12*((R382-1)*IF(Skills!H12&gt;0,Skills!I12/Skills!H12,1)+IF(Skills!H12&gt;0,MIN(Skills!I12,MAX(0,MAX(0,Inputs!$B$44-B414)-((R382-1)*IF(Inputs!$B$39="pvp",15,MAX(0.1,Skills!D12-IF(Skills!E12=TRUE,Inputs!$B$32,0))))))/Skills!H12,1)))/Inputs!$B$44),G382*Q382))*IF(Inputs!$B$39="pvp",1,(1+((Inputs!$B$21+1)+Skills!Q12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((Inputs!$B$6*(1+Inputs!$B$7/100))+(((Inputs!$B$12*(1+Inputs!$B$13/100))-(Inputs!$B$12*(1+Inputs!$B$13/100)))+0.25*(Inputs!$B$14-Inputs!$B$14))*(1+Inputs!$B$7/100))*(F383/100)</f>
        <v/>
      </c>
      <c r="K383">
        <f>J383*(1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383)</f>
        <v/>
      </c>
      <c r="L383">
        <f>K383*(MIN(Inputs!$B$22+((C394=TRUE)*(F394-Calc!F24)),(Inputs!$B$23+((C399=TRUE)*(F399-Calc!F29))+IF(ArtifactsInput!$M$15,CHOOSE(ArtifactsInput!$N$15+1,25,30,35,40,45,50)/100*(Inputs!$B$11-Inputs!$B$11),0)))/100+(Inputs!$B$23+((C399=TRUE)*(F399-Calc!F29))+IF(ArtifactsInput!$M$15,CHOOSE(ArtifactsInput!$N$15+1,25,30,35,40,45,50)/100*(Inputs!$B$11-Inputs!$B$11),0))/100)/2</f>
        <v/>
      </c>
      <c r="M383">
        <f>L383*(1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IF(B415=0,0,O383/B415)</f>
        <v/>
      </c>
      <c r="Q383">
        <f>IFERROR(1/IF(Inputs!$B$39="pvp",15,MAX(0.1,Skills!D13-IF(Skills!E13=TRUE,Inputs!$B$32,0))),0)</f>
        <v/>
      </c>
      <c r="R383">
        <f>IF(AND(Inputs!$B$39&lt;&gt;"pvp",Inputs!$B$44&gt;0),IF(MAX(0,Inputs!$B$44-B414)&lt;=0,0,(INT(MAX(0,Inputs!$B$44-B414)/IF(Inputs!$B$39="pvp",15,MAX(0.1,Skills!D13-IF(Skills!E13=TRUE,Inputs!$B$32,0))))+1)),0)</f>
        <v/>
      </c>
      <c r="S383">
        <f>IFERROR(O383/N383,0)</f>
        <v/>
      </c>
      <c r="T383">
        <f>IF(C383,(H383*N383*IF(AND(Inputs!$B$39&lt;&gt;"pvp",Inputs!$B$44&gt;0),((Skills!G13*((R383-1)*IF(Skills!H13&gt;0,Skills!I13/Skills!H13,1)+IF(Skills!H13&gt;0,MIN(Skills!I13,MAX(0,MAX(0,Inputs!$B$44-B414)-((R383-1)*IF(Inputs!$B$39="pvp",15,MAX(0.1,Skills!D13-IF(Skills!E13=TRUE,Inputs!$B$32,0))))))/Skills!H13,1)))/Inputs!$B$44),G383*Q383))*IF(Inputs!$B$39="pvp",1,1+(Inputs!$B$20+0+Skills!P13+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383*(1-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H383*N383*IF(AND(Inputs!$B$39&lt;&gt;"pvp",Inputs!$B$44&gt;0),((Skills!G13*((R383-1)*IF(Skills!H13&gt;0,Skills!I13/Skills!H13,1)+IF(Skills!H13&gt;0,MIN(Skills!I13,MAX(0,MAX(0,Inputs!$B$44-B414)-((R383-1)*IF(Inputs!$B$39="pvp",15,MAX(0.1,Skills!D13-IF(Skills!E13=TRUE,Inputs!$B$32,0))))))/Skills!H13,1)))/Inputs!$B$44),G383*Q383))*IF(Inputs!$B$39="pvp",1,(1+((Inputs!$B$21+1)+Skills!Q13+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((Inputs!$B$6*(1+Inputs!$B$7/100))+(((Inputs!$B$12*(1+Inputs!$B$13/100))-(Inputs!$B$12*(1+Inputs!$B$13/100)))+0.25*(Inputs!$B$14-Inputs!$B$14))*(1+Inputs!$B$7/100))*(F384/100)</f>
        <v/>
      </c>
      <c r="K384">
        <f>J384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384)</f>
        <v/>
      </c>
      <c r="L384">
        <f>K384*(MIN(Inputs!$B$22+((C394=TRUE)*(F394-Calc!F24)),(Inputs!$B$23+((C399=TRUE)*(F399-Calc!F29))+IF(ArtifactsInput!$M$15,CHOOSE(ArtifactsInput!$N$15+1,25,30,35,40,45,50)/100*(Inputs!$B$11-Inputs!$B$11),0)))/100+(Inputs!$B$23+((C399=TRUE)*(F399-Calc!F29))+IF(ArtifactsInput!$M$15,CHOOSE(ArtifactsInput!$N$15+1,25,30,35,40,45,50)/100*(Inputs!$B$11-Inputs!$B$11),0))/100)/2</f>
        <v/>
      </c>
      <c r="M384">
        <f>L384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4">
        <f>L384*(1-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384*(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4">
        <f>(1-Summary!$B$11)*T384+Summary!$B$11*V384</f>
        <v/>
      </c>
      <c r="P384">
        <f>IF(B415=0,0,O384/B415)</f>
        <v/>
      </c>
      <c r="Q384">
        <f>IFERROR(1/IF(Inputs!$B$39="pvp",15,MAX(0.1,Skills!D14-IF(Skills!E14=TRUE,Inputs!$B$32,0))),0)</f>
        <v/>
      </c>
      <c r="R384">
        <f>IF(AND(Inputs!$B$39&lt;&gt;"pvp",Inputs!$B$44&gt;0),IF(MAX(0,Inputs!$B$44-B414)&lt;=0,0,(INT(MAX(0,Inputs!$B$44-B414)/IF(Inputs!$B$39="pvp",15,MAX(0.1,Skills!D14-IF(Skills!E14=TRUE,Inputs!$B$32,0))))+1)),0)</f>
        <v/>
      </c>
      <c r="S384">
        <f>IFERROR(O384/N384,0)</f>
        <v/>
      </c>
      <c r="T384">
        <f>IF(C384,(H384*N384*IF(AND(Inputs!$B$39&lt;&gt;"pvp",Inputs!$B$44&gt;0),((Skills!G14*((R384-1)*IF(Skills!H14&gt;0,Skills!I14/Skills!H14,1)+IF(Skills!H14&gt;0,MIN(Skills!I14,MAX(0,MAX(0,Inputs!$B$44-B414)-((R384-1)*IF(Inputs!$B$39="pvp",15,MAX(0.1,Skills!D14-IF(Skills!E14=TRUE,Inputs!$B$32,0))))))/Skills!H14,1)))/Inputs!$B$44),G384*Q384))*IF(Inputs!$B$39="pvp",1,1+(Inputs!$B$20+0+Skills!P14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384*(1-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384*(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384*(1-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384*(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4">
        <f>IF(C384,(H384*N384*IF(AND(Inputs!$B$39&lt;&gt;"pvp",Inputs!$B$44&gt;0),((Skills!G14*((R384-1)*IF(Skills!H14&gt;0,Skills!I14/Skills!H14,1)+IF(Skills!H14&gt;0,MIN(Skills!I14,MAX(0,MAX(0,Inputs!$B$44-B414)-((R384-1)*IF(Inputs!$B$39="pvp",15,MAX(0.1,Skills!D14-IF(Skills!E14=TRUE,Inputs!$B$32,0))))))/Skills!H14,1)))/Inputs!$B$44),G384*Q384))*IF(Inputs!$B$39="pvp",1,(1+((Inputs!$B$21+1)+Skills!Q14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(5,0.25*B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f>(1-Summary!$B$11)*T385+Summary!$B$11*V385</f>
        <v/>
      </c>
      <c r="P385">
        <f>IF(B415=0,0,O385/B415)</f>
        <v/>
      </c>
      <c r="Q385">
        <f>IFERROR(1/IF(Inputs!$B$39="pvp",15,MAX(0.1,Skills!D15-IF(Skills!E15=TRUE,Inputs!$B$32,0))),0)</f>
        <v/>
      </c>
      <c r="R385">
        <f>IF(AND(Inputs!$B$39&lt;&gt;"pvp",Inputs!$B$44&gt;0),IF(Inputs!$B$44&lt;=0,0,(INT(Inputs!$B$44/IF(Inputs!$B$39="pvp",15,MAX(0.1,Skills!D15-IF(Skills!E15=TRUE,Inputs!$B$32,0))))+1)),0)</f>
        <v/>
      </c>
      <c r="S385">
        <f>IFERROR(O385/N385,0)</f>
        <v/>
      </c>
      <c r="T385" t="n">
        <v>0</v>
      </c>
      <c r="V385" t="n">
        <v>0</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((Inputs!$B$6*(1+Inputs!$B$7/100))+(((Inputs!$B$12*(1+Inputs!$B$13/100))-(Inputs!$B$12*(1+Inputs!$B$13/100)))+0.25*(Inputs!$B$14-Inputs!$B$14))*(1+Inputs!$B$7/100))*(F386/100)</f>
        <v/>
      </c>
      <c r="K386">
        <f>J386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397=TRUE)*(F397-Calc!F27))+((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386)</f>
        <v/>
      </c>
      <c r="L386">
        <f>K386*(MIN(Inputs!$B$22+((C394=TRUE)*(F394-Calc!F24)),(Inputs!$B$23+((C399=TRUE)*(F399-Calc!F29))+IF(ArtifactsInput!$M$15,CHOOSE(ArtifactsInput!$N$15+1,25,30,35,40,45,50)/100*(Inputs!$B$11-Inputs!$B$11),0)))/100+(Inputs!$B$23+((C399=TRUE)*(F399-Calc!F29))+IF(ArtifactsInput!$M$15,CHOOSE(ArtifactsInput!$N$15+1,25,30,35,40,45,50)/100*(Inputs!$B$11-Inputs!$B$11),0))/100)/2</f>
        <v/>
      </c>
      <c r="M386">
        <f>L386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6">
        <f>L386*(1-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(1-Summary!$B$11)*T386+Summary!$B$11*V386</f>
        <v/>
      </c>
      <c r="P386">
        <f>IF(B415=0,0,O386/B415)</f>
        <v/>
      </c>
      <c r="Q386" t="n">
        <v>0</v>
      </c>
      <c r="R386" t="n">
        <v>0</v>
      </c>
      <c r="S386">
        <f>IFERROR(O386/N386,0)</f>
        <v/>
      </c>
      <c r="T386">
        <f>IF(C386,(Inputs!$B$38*0.2*N386)*IF(Inputs!$B$39="pvp",1,1+(Inputs!$B$20+0+Skills!P16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386*(1-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$9+((C395=TRUE)*(F395-Calc!F25))+B403+(ArtifactsInput!$M$24-ArtifactsInput!$M$24)*CHOOSE(ArtifactsInput!$N$24+1,10,12,14,16,18,20)+(IF(AND(Inputs!$B$39&lt;&gt;"pvp",Inputs!$B$44=0),1,IF(IF(Inputs!$B$39="pvp",15,Inputs!$B$44)-(B414)&lt;=0,1,MAX(0,IF(Inputs!$B$39="pvp",15,Inputs!$B$44)-MAX(5,B414))/(IF(Inputs!$B$39="pvp",15,Inputs!$B$44)-(B414))))*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6">
        <f>IF(C386,(Inputs!$B$38*0.2*N386)*IF(Inputs!$B$39="pvp",1,(1+((Inputs!$B$21+1)+Skills!Q16+B404+(IF(ArtifactsInput!$M$33,CHOOSE(ArtifactsInput!$N$33+1,30,36,42,48,54,60),0))+(IF(AND(ArtifactsInput!$M$35,Inputs!$B$4&lt;&gt;"Chapter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f>(1-Summary!$B$11)*T387+Summary!$B$11*V387</f>
        <v/>
      </c>
      <c r="P387">
        <f>IF(B415=0,0,O387/B415)</f>
        <v/>
      </c>
      <c r="Q387" t="n">
        <v>0</v>
      </c>
      <c r="R387" t="n">
        <v>0</v>
      </c>
      <c r="S387">
        <f>IFERROR(O387/N387,0)</f>
        <v/>
      </c>
      <c r="T387" t="n">
        <v>0</v>
      </c>
      <c r="V387" t="n">
        <v>0</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f>(1-Summary!$B$11)*T388+Summary!$B$11*V388</f>
        <v/>
      </c>
      <c r="P388">
        <f>IF(B415=0,0,O388/B415)</f>
        <v/>
      </c>
      <c r="Q388" t="n">
        <v>0</v>
      </c>
      <c r="R388" t="n">
        <v>0</v>
      </c>
      <c r="S388">
        <f>IFERROR(O388/N388,0)</f>
        <v/>
      </c>
      <c r="T388" t="n">
        <v>0</v>
      </c>
      <c r="V388" t="n">
        <v>0</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f>(1-Summary!$B$11)*T389+Summary!$B$11*V389</f>
        <v/>
      </c>
      <c r="P389">
        <f>IF(B415=0,0,O389/B415)</f>
        <v/>
      </c>
      <c r="Q389">
        <f>IFERROR(1/IF(Inputs!$B$39="pvp",15,MAX(0.1,Skills!D19-IF(Skills!E19=TRUE,Inputs!$B$32,0))),0)</f>
        <v/>
      </c>
      <c r="R389">
        <f>IF(AND(Inputs!$B$39&lt;&gt;"pvp",Inputs!$B$44&gt;0),IF(Inputs!$B$44&lt;=0,0,(INT(Inputs!$B$44/IF(Inputs!$B$39="pvp",15,MAX(0.1,Skills!D19-IF(Skills!E19=TRUE,Inputs!$B$32,0))))+1)),0)</f>
        <v/>
      </c>
      <c r="S389">
        <f>IFERROR(O389/N389,0)</f>
        <v/>
      </c>
      <c r="T389" t="n">
        <v>0</v>
      </c>
      <c r="V389" t="n">
        <v>0</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f>(1-Summary!$B$11)*T390+Summary!$B$11*V390</f>
        <v/>
      </c>
      <c r="P390">
        <f>IF(B415=0,0,O390/B415)</f>
        <v/>
      </c>
      <c r="Q390">
        <f>IFERROR(1/IF(Inputs!$B$39="pvp",15,MAX(0.1,Skills!D20-IF(Skills!E20=TRUE,Inputs!$B$32,0))),0)</f>
        <v/>
      </c>
      <c r="R390">
        <f>IF(AND(Inputs!$B$39&lt;&gt;"pvp",Inputs!$B$44&gt;0),IF(Inputs!$B$44&lt;=0,0,(INT(Inputs!$B$44/IF(Inputs!$B$39="pvp",15,MAX(0.1,Skills!D20-IF(Skills!E20=TRUE,Inputs!$B$32,0))))+1)),0)</f>
        <v/>
      </c>
      <c r="S390">
        <f>IFERROR(O390/N390,0)</f>
        <v/>
      </c>
      <c r="T390" t="n">
        <v>0</v>
      </c>
      <c r="V390" t="n">
        <v>0</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f>(1-Summary!$B$11)*T391+Summary!$B$11*V391</f>
        <v/>
      </c>
      <c r="P391">
        <f>IF(B415=0,0,O391/B415)</f>
        <v/>
      </c>
      <c r="Q391">
        <f>IFERROR(1/IF(Inputs!$B$39="pvp",15,MAX(0.1,Skills!D21-IF(Skills!E21=TRUE,Inputs!$B$32,0))),0)</f>
        <v/>
      </c>
      <c r="R391">
        <f>IF(AND(Inputs!$B$39&lt;&gt;"pvp",Inputs!$B$44&gt;0),IF(Inputs!$B$44&lt;=0,0,(INT(Inputs!$B$44/IF(Inputs!$B$39="pvp",15,MAX(0.1,Skills!D21-IF(Skills!E21=TRUE,Inputs!$B$32,0))))+1)),0)</f>
        <v/>
      </c>
      <c r="S391">
        <f>IFERROR(O391/N391,0)</f>
        <v/>
      </c>
      <c r="T391" t="n">
        <v>0</v>
      </c>
      <c r="V391" t="n">
        <v>0</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f>(1-Summary!$B$11)*T392+Summary!$B$11*V392</f>
        <v/>
      </c>
      <c r="P392">
        <f>IF(B415=0,0,O392/B415)</f>
        <v/>
      </c>
      <c r="Q392" t="n">
        <v>0</v>
      </c>
      <c r="R392" t="n">
        <v>0</v>
      </c>
      <c r="S392">
        <f>IFERROR(O392/N392,0)</f>
        <v/>
      </c>
      <c r="T392" t="n">
        <v>0</v>
      </c>
      <c r="V392" t="n">
        <v>0</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f>(1-Summary!$B$11)*T393+Summary!$B$11*V393</f>
        <v/>
      </c>
      <c r="P393">
        <f>IF(B415=0,0,O393/B415)</f>
        <v/>
      </c>
      <c r="Q393" t="n">
        <v>0</v>
      </c>
      <c r="R393" t="n">
        <v>0</v>
      </c>
      <c r="S393">
        <f>IFERROR(O393/N393,0)</f>
        <v/>
      </c>
      <c r="T393" t="n">
        <v>0</v>
      </c>
      <c r="V393" t="n">
        <v>0</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f>(1-Summary!$B$11)*T394+Summary!$B$11*V394</f>
        <v/>
      </c>
      <c r="P394">
        <f>IF(B415=0,0,O394/B415)</f>
        <v/>
      </c>
      <c r="Q394" t="n">
        <v>0</v>
      </c>
      <c r="R394" t="n">
        <v>0</v>
      </c>
      <c r="S394">
        <f>IFERROR(O394/N394,0)</f>
        <v/>
      </c>
      <c r="T394" t="n">
        <v>0</v>
      </c>
      <c r="V394" t="n">
        <v>0</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f>(1-Summary!$B$11)*T395+Summary!$B$11*V395</f>
        <v/>
      </c>
      <c r="P395">
        <f>IF(B415=0,0,O395/B415)</f>
        <v/>
      </c>
      <c r="Q395" t="n">
        <v>0</v>
      </c>
      <c r="R395" t="n">
        <v>0</v>
      </c>
      <c r="S395">
        <f>IFERROR(O395/N395,0)</f>
        <v/>
      </c>
      <c r="T395" t="n">
        <v>0</v>
      </c>
      <c r="V395" t="n">
        <v>0</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f>(1-Summary!$B$11)*T396+Summary!$B$11*V396</f>
        <v/>
      </c>
      <c r="P396">
        <f>IF(B415=0,0,O396/B415)</f>
        <v/>
      </c>
      <c r="Q396" t="n">
        <v>0</v>
      </c>
      <c r="R396" t="n">
        <v>0</v>
      </c>
      <c r="S396">
        <f>IFERROR(O396/N396,0)</f>
        <v/>
      </c>
      <c r="T396" t="n">
        <v>0</v>
      </c>
      <c r="V396" t="n">
        <v>0</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f>(1-Summary!$B$11)*T397+Summary!$B$11*V397</f>
        <v/>
      </c>
      <c r="P397">
        <f>IF(B415=0,0,O397/B415)</f>
        <v/>
      </c>
      <c r="Q397" t="n">
        <v>0</v>
      </c>
      <c r="R397" t="n">
        <v>0</v>
      </c>
      <c r="S397">
        <f>IFERROR(O397/N397,0)</f>
        <v/>
      </c>
      <c r="T397" t="n">
        <v>0</v>
      </c>
      <c r="V397" t="n">
        <v>0</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f>(1-Summary!$B$11)*T398+Summary!$B$11*V398</f>
        <v/>
      </c>
      <c r="P398">
        <f>IF(B415=0,0,O398/B415)</f>
        <v/>
      </c>
      <c r="Q398" t="n">
        <v>0</v>
      </c>
      <c r="R398" t="n">
        <v>0</v>
      </c>
      <c r="S398">
        <f>IFERROR(O398/N398,0)</f>
        <v/>
      </c>
      <c r="T398" t="n">
        <v>0</v>
      </c>
      <c r="V398" t="n">
        <v>0</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f>(1-Summary!$B$11)*T399+Summary!$B$11*V399</f>
        <v/>
      </c>
      <c r="P399">
        <f>IF(B415=0,0,O399/B415)</f>
        <v/>
      </c>
      <c r="Q399" t="n">
        <v>0</v>
      </c>
      <c r="R399" t="n">
        <v>0</v>
      </c>
      <c r="S399">
        <f>IFERROR(O399/N399,0)</f>
        <v/>
      </c>
      <c r="T399" t="n">
        <v>0</v>
      </c>
      <c r="V399" t="n">
        <v>0</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f>(1-Summary!$B$11)*T400+Summary!$B$11*V400</f>
        <v/>
      </c>
      <c r="P400">
        <f>IF(B415=0,0,O400/B415)</f>
        <v/>
      </c>
      <c r="Q400" t="n">
        <v>0</v>
      </c>
      <c r="R400" t="n">
        <v>0</v>
      </c>
      <c r="S400">
        <f>IFERROR(O400/N400,0)</f>
        <v/>
      </c>
      <c r="T400" t="n">
        <v>0</v>
      </c>
      <c r="V400" t="n">
        <v>0</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4">
      <c r="A414" t="inlineStr">
        <is>
          <t>Buff-Casting Startup Delay (s, fixed-duration only)</t>
        </is>
      </c>
      <c r="B414">
        <f>IF(AND(Inputs!$B$39&lt;&gt;"pvp",Inputs!$B$44&gt;0),SUMPRODUCT((Skills!Y2:Y30&gt;0)*(Skills!E2:E30=TRUE)*(C372:C400=TRUE))/B407,0)</f>
        <v/>
      </c>
    </row>
    <row r="415">
      <c r="A415" s="6" t="inlineStr">
        <is>
          <t>TOTAL DPS</t>
        </is>
      </c>
      <c r="B415" s="6">
        <f>SUM(O372:O400)</f>
        <v/>
      </c>
    </row>
    <row r="416">
      <c r="A416" t="inlineStr">
        <is>
          <t>Boss-Only Total DPS (this block's swept value)</t>
        </is>
      </c>
      <c r="B416">
        <f>SUM(T372:T400)</f>
        <v/>
      </c>
    </row>
    <row r="417">
      <c r="A417" t="inlineStr">
        <is>
          <t>Normal-Only Total DPS (this block's swept value)</t>
        </is>
      </c>
      <c r="B417">
        <f>SUM(V372:V400)</f>
        <v/>
      </c>
    </row>
    <row r="420">
      <c r="A420" s="6" t="inlineStr">
        <is>
          <t>Stat: FINAL_DAMAGE % (multiplicative source)</t>
        </is>
      </c>
    </row>
    <row r="421">
      <c r="A421" s="5" t="inlineStr">
        <is>
          <t>Key</t>
        </is>
      </c>
      <c r="B421" s="5" t="inlineStr">
        <is>
          <t>Name</t>
        </is>
      </c>
      <c r="C421" s="5" t="inlineStr">
        <is>
          <t>Unlocked</t>
        </is>
      </c>
      <c r="D421" s="5" t="inlineStr">
        <is>
          <t>InputLevel</t>
        </is>
      </c>
      <c r="E421" s="5" t="inlineStr">
        <is>
          <t>Factor</t>
        </is>
      </c>
      <c r="F421" s="5" t="inlineStr">
        <is>
          <t>CoefficientPercent</t>
        </is>
      </c>
      <c r="G421" s="5" t="inlineStr">
        <is>
          <t>EffectiveHits</t>
        </is>
      </c>
      <c r="H421" s="5" t="inlineStr">
        <is>
          <t>ProcProbability</t>
        </is>
      </c>
      <c r="I421" s="5" t="inlineStr">
        <is>
          <t>MapleHeroMultiplier</t>
        </is>
      </c>
      <c r="J421" s="5" t="inlineStr">
        <is>
          <t>BaseDamage</t>
        </is>
      </c>
      <c r="K421" s="5" t="inlineStr">
        <is>
          <t>BaseHitDamage</t>
        </is>
      </c>
      <c r="L421" s="5" t="inlineStr">
        <is>
          <t>NonCritAvg</t>
        </is>
      </c>
      <c r="M421" s="5" t="inlineStr">
        <is>
          <t>CritAvg</t>
        </is>
      </c>
      <c r="N421" s="5" t="inlineStr">
        <is>
          <t>ExpectedDamage(perHit)</t>
        </is>
      </c>
      <c r="O421" s="5" t="inlineStr">
        <is>
          <t>DPS</t>
        </is>
      </c>
      <c r="P421" s="5" t="inlineStr">
        <is>
          <t>% of Total</t>
        </is>
      </c>
      <c r="Q421" s="5" t="inlineStr">
        <is>
          <t>InvCooldown</t>
        </is>
      </c>
      <c r="R421" s="5" t="inlineStr">
        <is>
          <t>CastsInFight</t>
        </is>
      </c>
      <c r="S421" s="5"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422)</f>
        <v/>
      </c>
      <c r="L422">
        <f>K422*(MIN(Inputs!$B$22+((C444=TRUE)*(F444-Calc!F24)),(Inputs!$B$23+((C449=TRUE)*(F449-Calc!F29))+IF(ArtifactsInput!$M$15,CHOOSE(ArtifactsInput!$N$15+1,25,30,35,40,45,50)/100*(Inputs!$B$11-Inputs!$B$11),0)))/100+(Inputs!$B$23+((C449=TRUE)*(F449-Calc!F29))+IF(ArtifactsInput!$M$15,CHOOSE(ArtifactsInput!$N$15+1,25,30,35,40,45,50)/100*(Inputs!$B$11-Inputs!$B$11),0))/100)/2</f>
        <v/>
      </c>
      <c r="M422">
        <f>L422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2">
        <f>L422*(1-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422*(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2">
        <f>(1-Summary!$B$11)*T422+Summary!$B$11*V422</f>
        <v/>
      </c>
      <c r="P422">
        <f>IF(B465=0,0,O422/B465)</f>
        <v/>
      </c>
      <c r="Q422" t="n">
        <v>0</v>
      </c>
      <c r="R422" t="n">
        <v>0</v>
      </c>
      <c r="S422">
        <f>IFERROR(O422/N422,0)</f>
        <v/>
      </c>
      <c r="T422">
        <f>IF(C422,(Skills!G2*N422*B459)*IF(Inputs!$B$39="pvp",1,1+(Inputs!$B$20+0+Skills!P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422*(1-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422*(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422*(1-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422*(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2">
        <f>MAX(0,(Inputs!$B$3-100)*3)+Inputs!$B$28+Inputs!$B$29</f>
        <v/>
      </c>
      <c r="V422">
        <f>IF(C422,(Skills!G2*N422*B459)*IF(Inputs!$B$39="pvp",1,(1+(Inputs!$B$21+Skills!Q2+B454+(IF(ArtifactsInput!$M$33,CHOOSE(ArtifactsInput!$N$33+1,30,36,42,48,54,60),0))+(IF(AND(ArtifactsInput!$M$35,Inputs!$B$4&lt;&gt;"Chapter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3">
      <c r="A423">
        <f>Skills!A3</f>
        <v/>
      </c>
      <c r="B423">
        <f>Skills!B3</f>
        <v/>
      </c>
      <c r="C423">
        <f>Inputs!$B$3&gt;=35</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f>Skills!G3*IF(Skills!H3&gt;0,Skills!I3/Skills!H3,1)</f>
        <v/>
      </c>
      <c r="H423">
        <f>1-(1-Skills!J3/100)^Skills!K3</f>
        <v/>
      </c>
      <c r="I423" t="inlineStr">
        <is>
          <t>1</t>
        </is>
      </c>
      <c r="J423" t="inlineStr"/>
      <c r="K423" t="inlineStr"/>
      <c r="L423" t="inlineStr"/>
      <c r="M423" t="inlineStr"/>
      <c r="N423" t="inlineStr"/>
      <c r="O423">
        <f>(1-Summary!$B$11)*T423+Summary!$B$11*V423</f>
        <v/>
      </c>
      <c r="P423">
        <f>IF(B465=0,0,O423/B465)</f>
        <v/>
      </c>
      <c r="Q423" t="n">
        <v>0</v>
      </c>
      <c r="R423" t="n">
        <v>0</v>
      </c>
      <c r="S423">
        <f>IFERROR(O423/N423,0)</f>
        <v/>
      </c>
      <c r="T423" t="n">
        <v>0</v>
      </c>
      <c r="U423">
        <f>INDEX(FactorTable!$B$2:$Y$301, MATCH(ROUND(MIN(300,MAX(1,U422)),0), FactorTable!$A$2:$A$301,0), 22)</f>
        <v/>
      </c>
      <c r="V423" t="n">
        <v>0</v>
      </c>
    </row>
    <row r="424">
      <c r="A424">
        <f>Skills!A4</f>
        <v/>
      </c>
      <c r="B424">
        <f>Skills!B4</f>
        <v/>
      </c>
      <c r="C424">
        <f>Inputs!$B$3&gt;=66</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f>Skills!G4*IF(Skills!H4&gt;0,Skills!I4/Skills!H4,1)</f>
        <v/>
      </c>
      <c r="H424">
        <f>1-(1-Skills!J4/100)^Skills!K4</f>
        <v/>
      </c>
      <c r="I424" t="inlineStr">
        <is>
          <t>1</t>
        </is>
      </c>
      <c r="J424">
        <f>((Inputs!$B$6*(1+Inputs!$B$7/100))+(((Inputs!$B$12*(1+Inputs!$B$13/100))-(Inputs!$B$12*(1+Inputs!$B$13/100)))+0.25*(Inputs!$B$14-Inputs!$B$14))*(1+Inputs!$B$7/100))*(F424/100)</f>
        <v/>
      </c>
      <c r="K424">
        <f>J424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424)</f>
        <v/>
      </c>
      <c r="L424">
        <f>K424*(MIN(Inputs!$B$22+((C444=TRUE)*(F444-Calc!F24)),(Inputs!$B$23+((C449=TRUE)*(F449-Calc!F29))+IF(ArtifactsInput!$M$15,CHOOSE(ArtifactsInput!$N$15+1,25,30,35,40,45,50)/100*(Inputs!$B$11-Inputs!$B$11),0)))/100+(Inputs!$B$23+((C449=TRUE)*(F449-Calc!F29))+IF(ArtifactsInput!$M$15,CHOOSE(ArtifactsInput!$N$15+1,25,30,35,40,45,50)/100*(Inputs!$B$11-Inputs!$B$11),0))/100)/2</f>
        <v/>
      </c>
      <c r="M424">
        <f>L424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IF(B465=0,0,O424/B465)</f>
        <v/>
      </c>
      <c r="Q424">
        <f>IFERROR(1/IF(Inputs!$B$39="pvp",15,MAX(0.1,Skills!D4-IF(Skills!E4=TRUE,Inputs!$B$32,0))),0)</f>
        <v/>
      </c>
      <c r="R424">
        <f>IF(AND(Inputs!$B$39&lt;&gt;"pvp",Inputs!$B$44&gt;0),IF(MAX(0,Inputs!$B$44-B464)&lt;=0,0,(INT(MAX(0,Inputs!$B$44-B464)/IF(Inputs!$B$39="pvp",15,MAX(0.1,Skills!D4-IF(Skills!E4=TRUE,Inputs!$B$32,0))))+1)),0)</f>
        <v/>
      </c>
      <c r="S424">
        <f>IFERROR(O424/N424,0)</f>
        <v/>
      </c>
      <c r="T424">
        <f>IF(C424,(H424*N424*IF(AND(Inputs!$B$39&lt;&gt;"pvp",Inputs!$B$44&gt;0),((Skills!G4*((R424-1)*IF(Skills!H4&gt;0,Skills!I4/Skills!H4,1)+IF(Skills!H4&gt;0,MIN(Skills!I4,MAX(0,MAX(0,Inputs!$B$44-B464)-((R424-1)*IF(Inputs!$B$39="pvp",15,MAX(0.1,Skills!D4-IF(Skills!E4=TRUE,Inputs!$B$32,0))))))/Skills!H4,1)))/Inputs!$B$44),G424*Q424))*IF(Inputs!$B$39="pvp",1,1+(Inputs!$B$20+0+Skills!P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424*(1-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4">
        <f>290*U423/1000</f>
        <v/>
      </c>
      <c r="V424">
        <f>IF(C424,(H424*N424*IF(AND(Inputs!$B$39&lt;&gt;"pvp",Inputs!$B$44&gt;0),((Skills!G4*((R424-1)*IF(Skills!H4&gt;0,Skills!I4/Skills!H4,1)+IF(Skills!H4&gt;0,MIN(Skills!I4,MAX(0,MAX(0,Inputs!$B$44-B464)-((R424-1)*IF(Inputs!$B$39="pvp",15,MAX(0.1,Skills!D4-IF(Skills!E4=TRUE,Inputs!$B$32,0))))))/Skills!H4,1)))/Inputs!$B$44),G424*Q424))*IF(Inputs!$B$39="pvp",1,(1+(Inputs!$B$21+Skills!Q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(10,0.5*B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Skills!A5</f>
        <v/>
      </c>
      <c r="B425">
        <f>Skills!B5</f>
        <v/>
      </c>
      <c r="C425">
        <f>Inputs!$B$3&gt;=63</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438=TRUE,F438,0)/100)*(1+(IF(Skills!A5="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425)</f>
        <v/>
      </c>
      <c r="L425">
        <f>K425*(MIN(Inputs!$B$22+((C444=TRUE)*(F444-Calc!F24)),(Inputs!$B$23+((C449=TRUE)*(F449-Calc!F29))+IF(ArtifactsInput!$M$15,CHOOSE(ArtifactsInput!$N$15+1,25,30,35,40,45,50)/100*(Inputs!$B$11-Inputs!$B$11),0)))/100+(Inputs!$B$23+((C449=TRUE)*(F449-Calc!F29))+IF(ArtifactsInput!$M$15,CHOOSE(ArtifactsInput!$N$15+1,25,30,35,40,45,50)/100*(Inputs!$B$11-Inputs!$B$11),0))/100)/2</f>
        <v/>
      </c>
      <c r="M425">
        <f>L425*(1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IF(B465=0,0,O425/B465)</f>
        <v/>
      </c>
      <c r="Q425">
        <f>IFERROR(1/IF(Inputs!$B$39="pvp",15,MAX(0.1,Skills!D5-IF(Skills!E5=TRUE,Inputs!$B$32,0))),0)</f>
        <v/>
      </c>
      <c r="R425">
        <f>IF(AND(Inputs!$B$39&lt;&gt;"pvp",Inputs!$B$44&gt;0),IF(MAX(0,Inputs!$B$44-B464)&lt;=0,0,(INT(MAX(0,Inputs!$B$44-B464)/IF(Inputs!$B$39="pvp",15,MAX(0.1,Skills!D5-IF(Skills!E5=TRUE,Inputs!$B$32,0))))+1)),0)</f>
        <v/>
      </c>
      <c r="S425">
        <f>IFERROR(O425/N425,0)</f>
        <v/>
      </c>
      <c r="T425">
        <f>IF(C425,(H425*N425*IF(AND(Inputs!$B$39&lt;&gt;"pvp",Inputs!$B$44&gt;0),((Skills!G5*((R425-1)*IF(Skills!H5&gt;0,Skills!I5/Skills!H5,1)+IF(Skills!H5&gt;0,MIN(Skills!I5,MAX(0,MAX(0,Inputs!$B$44-B464)-((R425-1)*IF(Inputs!$B$39="pvp",15,MAX(0.1,Skills!D5-IF(Skills!E5=TRUE,Inputs!$B$32,0))))))/Skills!H5,1)))/Inputs!$B$44),G425*Q425))*IF(Inputs!$B$39="pvp",1,1+(Inputs!$B$20+0+Skills!P5+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425*(1-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H425*N425*IF(AND(Inputs!$B$39&lt;&gt;"pvp",Inputs!$B$44&gt;0),((Skills!G5*((R425-1)*IF(Skills!H5&gt;0,Skills!I5/Skills!H5,1)+IF(Skills!H5&gt;0,MIN(Skills!I5,MAX(0,MAX(0,Inputs!$B$44-B464)-((R425-1)*IF(Inputs!$B$39="pvp",15,MAX(0.1,Skills!D5-IF(Skills!E5=TRUE,Inputs!$B$32,0))))))/Skills!H5,1)))/Inputs!$B$44),G425*Q425))*IF(Inputs!$B$39="pvp",1,(1+(Inputs!$B$21+Skills!Q5+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Skills!A6</f>
        <v/>
      </c>
      <c r="B426">
        <f>Skills!B6</f>
        <v/>
      </c>
      <c r="C426">
        <f>Inputs!$B$3&gt;=69</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6="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426)</f>
        <v/>
      </c>
      <c r="L426">
        <f>K426*(MIN(Inputs!$B$22+((C444=TRUE)*(F444-Calc!F24)),(Inputs!$B$23+((C449=TRUE)*(F449-Calc!F29))+IF(ArtifactsInput!$M$15,CHOOSE(ArtifactsInput!$N$15+1,25,30,35,40,45,50)/100*(Inputs!$B$11-Inputs!$B$11),0)))/100+(Inputs!$B$23+((C449=TRUE)*(F449-Calc!F29))+IF(ArtifactsInput!$M$15,CHOOSE(ArtifactsInput!$N$15+1,25,30,35,40,45,50)/100*(Inputs!$B$11-Inputs!$B$11),0))/100)/2</f>
        <v/>
      </c>
      <c r="M426">
        <f>L426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6">
        <f>L426*(1-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426*(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6">
        <f>(1-Summary!$B$11)*T426+Summary!$B$11*V426</f>
        <v/>
      </c>
      <c r="P426">
        <f>IF(B465=0,0,O426/B465)</f>
        <v/>
      </c>
      <c r="Q426">
        <f>IFERROR(1/IF(Inputs!$B$39="pvp",15,MAX(0.1,Skills!D6-IF(Skills!E6=TRUE,Inputs!$B$32,0))),0)</f>
        <v/>
      </c>
      <c r="R426">
        <f>IF(AND(Inputs!$B$39&lt;&gt;"pvp",Inputs!$B$44&gt;0),IF(MAX(0,Inputs!$B$44-B464)&lt;=0,0,(INT(MAX(0,Inputs!$B$44-B464)/IF(Inputs!$B$39="pvp",15,MAX(0.1,Skills!D6-IF(Skills!E6=TRUE,Inputs!$B$32,0))))+1)),0)</f>
        <v/>
      </c>
      <c r="S426">
        <f>IFERROR(O426/N426,0)</f>
        <v/>
      </c>
      <c r="T426">
        <f>IF(C426,(H426*N426*IF(AND(Inputs!$B$39&lt;&gt;"pvp",Inputs!$B$44&gt;0),((Skills!G6*((R426-1)*IF(Skills!H6&gt;0,Skills!I6/Skills!H6,1)+IF(Skills!H6&gt;0,MIN(Skills!I6,MAX(0,MAX(0,Inputs!$B$44-B464)-((R426-1)*IF(Inputs!$B$39="pvp",15,MAX(0.1,Skills!D6-IF(Skills!E6=TRUE,Inputs!$B$32,0))))))/Skills!H6,1)))/Inputs!$B$44),G426*Q426))*IF(Inputs!$B$39="pvp",1,1+(Inputs!$B$20+0+Skills!P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426*(1-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426*(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426*(1-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426*(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6">
        <f>IF(C426,(H426*N426*IF(AND(Inputs!$B$39&lt;&gt;"pvp",Inputs!$B$44&gt;0),((Skills!G6*((R426-1)*IF(Skills!H6&gt;0,Skills!I6/Skills!H6,1)+IF(Skills!H6&gt;0,MIN(Skills!I6,MAX(0,MAX(0,Inputs!$B$44-B464)-((R426-1)*IF(Inputs!$B$39="pvp",15,MAX(0.1,Skills!D6-IF(Skills!E6=TRUE,Inputs!$B$32,0))))))/Skills!H6,1)))/Inputs!$B$44),G426*Q426))*IF(Inputs!$B$39="pvp",1,(1+(Inputs!$B$21+Skills!Q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7">
      <c r="A427">
        <f>Skills!A7</f>
        <v/>
      </c>
      <c r="B427">
        <f>Skills!B7</f>
        <v/>
      </c>
      <c r="C427">
        <f>Inputs!$B$3&gt;=60</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t="inlineStr"/>
      <c r="K427" t="inlineStr"/>
      <c r="L427" t="inlineStr"/>
      <c r="M427" t="inlineStr"/>
      <c r="N427" t="inlineStr"/>
      <c r="O427">
        <f>(1-Summary!$B$11)*T427+Summary!$B$11*V427</f>
        <v/>
      </c>
      <c r="P427">
        <f>IF(B465=0,0,O427/B465)</f>
        <v/>
      </c>
      <c r="Q427" t="n">
        <v>0</v>
      </c>
      <c r="R427" t="n">
        <v>0</v>
      </c>
      <c r="S427">
        <f>IFERROR(O427/N427,0)</f>
        <v/>
      </c>
      <c r="T427" t="n">
        <v>0</v>
      </c>
      <c r="V427" t="n">
        <v>0</v>
      </c>
    </row>
    <row r="428">
      <c r="A428">
        <f>Skills!A8</f>
        <v/>
      </c>
      <c r="B428">
        <f>Skills!B8</f>
        <v/>
      </c>
      <c r="C428">
        <f>Inputs!$B$3&gt;=72</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f>Skills!G8*IF(Skills!H8&gt;0,Skills!I8/Skills!H8,1)</f>
        <v/>
      </c>
      <c r="H428">
        <f>1-(1-Skills!J8/100)^Skills!K8</f>
        <v/>
      </c>
      <c r="I428" t="inlineStr">
        <is>
          <t>1</t>
        </is>
      </c>
      <c r="J428">
        <f>((Inputs!$B$6*(1+Inputs!$B$7/100))+(((Inputs!$B$12*(1+Inputs!$B$13/100))-(Inputs!$B$12*(1+Inputs!$B$13/100)))+0.25*(Inputs!$B$14-Inputs!$B$14))*(1+Inputs!$B$7/100))*(F428/100)</f>
        <v/>
      </c>
      <c r="K428">
        <f>J428*(1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438=TRUE,F438,0)/100)*(1+(IF(Skills!A8="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428)</f>
        <v/>
      </c>
      <c r="L428">
        <f>K428*(MIN(Inputs!$B$22+((C444=TRUE)*(F444-Calc!F24)),(Inputs!$B$23+((C449=TRUE)*(F449-Calc!F29))+IF(ArtifactsInput!$M$15,CHOOSE(ArtifactsInput!$N$15+1,25,30,35,40,45,50)/100*(Inputs!$B$11-Inputs!$B$11),0)))/100+(Inputs!$B$23+((C449=TRUE)*(F449-Calc!F29))+IF(ArtifactsInput!$M$15,CHOOSE(ArtifactsInput!$N$15+1,25,30,35,40,45,50)/100*(Inputs!$B$11-Inputs!$B$11),0))/100)/2</f>
        <v/>
      </c>
      <c r="M428">
        <f>L428*(1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IF(B465=0,0,O428/B465)</f>
        <v/>
      </c>
      <c r="Q428">
        <f>IFERROR(1/IF(Inputs!$B$39="pvp",15,MAX(0.1,Skills!D8-IF(Skills!E8=TRUE,Inputs!$B$32,0))),0)</f>
        <v/>
      </c>
      <c r="R428">
        <f>IF(AND(Inputs!$B$39&lt;&gt;"pvp",Inputs!$B$44&gt;0),IF(MAX(0,Inputs!$B$44-B464)&lt;=0,0,(INT(MAX(0,Inputs!$B$44-B464)/IF(Inputs!$B$39="pvp",15,MAX(0.1,Skills!D8-IF(Skills!E8=TRUE,Inputs!$B$32,0))))+1)),0)</f>
        <v/>
      </c>
      <c r="S428">
        <f>IFERROR(O428/N428,0)</f>
        <v/>
      </c>
      <c r="T428">
        <f>IF(C428,(H428*N428*IF(AND(Inputs!$B$39&lt;&gt;"pvp",Inputs!$B$44&gt;0),((Skills!G8*((R428-1)*IF(Skills!H8&gt;0,Skills!I8/Skills!H8,1)+IF(Skills!H8&gt;0,MIN(Skills!I8,MAX(0,MAX(0,Inputs!$B$44-B464)-((R428-1)*IF(Inputs!$B$39="pvp",15,MAX(0.1,Skills!D8-IF(Skills!E8=TRUE,Inputs!$B$32,0))))))/Skills!H8,1)))/Inputs!$B$44),G428*Q428))*IF(Inputs!$B$39="pvp",1,1+(Inputs!$B$20+0+Skills!P8+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428*(1-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8*((R428-1)*IF(Skills!H8&gt;0,Skills!I8/Skills!H8,1)+IF(Skills!H8&gt;0,MIN(Skills!I8,MAX(0,MAX(0,Inputs!$B$44-B464)-((R428-1)*IF(Inputs!$B$39="pvp",15,MAX(0.1,Skills!D8-IF(Skills!E8=TRUE,Inputs!$B$32,0))))))/Skills!H8,1)))/Inputs!$B$44),G428*Q428))*IF(Inputs!$B$39="pvp",1,(1+(Inputs!$B$21+Skills!Q8+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Skills!A9</f>
        <v/>
      </c>
      <c r="B429">
        <f>Skills!B9</f>
        <v/>
      </c>
      <c r="C429">
        <f>Inputs!$B$3&gt;=117</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429)</f>
        <v/>
      </c>
      <c r="L429">
        <f>K429*(MIN(Inputs!$B$22+((C444=TRUE)*(F444-Calc!F24)),(Inputs!$B$23+((C449=TRUE)*(F449-Calc!F29))+IF(ArtifactsInput!$M$15,CHOOSE(ArtifactsInput!$N$15+1,25,30,35,40,45,50)/100*(Inputs!$B$11-Inputs!$B$11),0)))/100+(Inputs!$B$23+((C449=TRUE)*(F449-Calc!F29))+IF(ArtifactsInput!$M$15,CHOOSE(ArtifactsInput!$N$15+1,25,30,35,40,45,50)/100*(Inputs!$B$11-Inputs!$B$11),0))/100)/2</f>
        <v/>
      </c>
      <c r="M429">
        <f>L429*(1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IF(B465=0,0,O429/B465)</f>
        <v/>
      </c>
      <c r="Q429" t="n">
        <v>0</v>
      </c>
      <c r="R429" t="n">
        <v>0</v>
      </c>
      <c r="S429" t="n">
        <v>0</v>
      </c>
      <c r="T429">
        <f>IF(C429,(0.2*SUMPRODUCT((Skills!Z2:Z30=TRUE)*(C422:C450=TRUE)*S422:S450)*N429)*IF(Inputs!$B$39="pvp",1,1+(Inputs!$B$20+0+Skills!P9+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429*(1-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IF(C429,(0.2*SUMPRODUCT((Skills!Z2:Z30=TRUE)*(C422:C450=TRUE)*S422:S450)*N429)*IF(Inputs!$B$39="pvp",1,(1+(Inputs!$B$21+Skills!Q9+B454+(IF(ArtifactsInput!$M$33,CHOOSE(ArtifactsInput!$N$33+1,30,36,42,48,54,60),0))+(IF(AND(ArtifactsInput!$M$35,Inputs!$B$4&lt;&gt;"Chapter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Skills!A10</f>
        <v/>
      </c>
      <c r="B430">
        <f>Skills!B10</f>
        <v/>
      </c>
      <c r="C430">
        <f>Inputs!$B$3&gt;=74</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t="inlineStr"/>
      <c r="K430" t="inlineStr"/>
      <c r="L430" t="inlineStr"/>
      <c r="M430" t="inlineStr"/>
      <c r="N430" t="inlineStr"/>
      <c r="O430">
        <f>(1-Summary!$B$11)*T430+Summary!$B$11*V430</f>
        <v/>
      </c>
      <c r="P430">
        <f>IF(B465=0,0,O430/B465)</f>
        <v/>
      </c>
      <c r="Q430">
        <f>IFERROR(1/IF(Inputs!$B$39="pvp",15,MAX(0.1,Skills!D10-IF(Skills!E10=TRUE,Inputs!$B$32,0))),0)</f>
        <v/>
      </c>
      <c r="R430">
        <f>IF(AND(Inputs!$B$39&lt;&gt;"pvp",Inputs!$B$44&gt;0),IF(Inputs!$B$44&lt;=0,0,(INT(Inputs!$B$44/IF(Inputs!$B$39="pvp",15,MAX(0.1,Skills!D10-IF(Skills!E10=TRUE,Inputs!$B$32,0))))+1)),0)</f>
        <v/>
      </c>
      <c r="S430">
        <f>IFERROR(O430/N430,0)</f>
        <v/>
      </c>
      <c r="T430" t="n">
        <v>0</v>
      </c>
      <c r="V430" t="n">
        <v>0</v>
      </c>
    </row>
    <row r="431">
      <c r="A431">
        <f>Skills!A11</f>
        <v/>
      </c>
      <c r="B431">
        <f>Skills!B11</f>
        <v/>
      </c>
      <c r="C431">
        <f>Inputs!$B$3&gt;=103</f>
        <v/>
      </c>
      <c r="D431">
        <f>IF(Skills!C11=1,60+Inputs!$B$25+Inputs!$B$29,IF(Skills!C11=2,90+Inputs!$B$26+Inputs!$B$29,IF(Skills!C11=3,120+Inputs!$B$27+Inputs!$B$29,MAX(0,(Inputs!$B$3-100)*3)+Inputs!$B$28+Inputs!$B$29)))</f>
        <v/>
      </c>
      <c r="E431">
        <f>INDEX(FactorTable!$B$2:$Y$301, MATCH(ROUND(MIN(300,MAX(1,D431)),0), FactorTable!$A$2:$A$301,0), Skills!M11+1)</f>
        <v/>
      </c>
      <c r="F431">
        <f>(Skills!L11/10)*(E431/1000)+IF(Inputs!$B$3&gt;=134,50,0)+0.5*(30000/10)*(INDEX(FactorTable!$B$2:$Y$301, MATCH(ROUND(MIN(300,MAX(1,D431)),0), FactorTable!$A$2:$A$301,0), 13)/1000)*B463</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431)</f>
        <v/>
      </c>
      <c r="L431">
        <f>K431*(MIN(Inputs!$B$22+((C444=TRUE)*(F444-Calc!F24)),(Inputs!$B$23+((C449=TRUE)*(F449-Calc!F29))+IF(ArtifactsInput!$M$15,CHOOSE(ArtifactsInput!$N$15+1,25,30,35,40,45,50)/100*(Inputs!$B$11-Inputs!$B$11),0)))/100+(Inputs!$B$23+((C449=TRUE)*(F449-Calc!F29))+IF(ArtifactsInput!$M$15,CHOOSE(ArtifactsInput!$N$15+1,25,30,35,40,45,50)/100*(Inputs!$B$11-Inputs!$B$11),0))/100)/2</f>
        <v/>
      </c>
      <c r="M431">
        <f>L431*(1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1">
        <f>L431*(1-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(1-Summary!$B$11)*T431+Summary!$B$11*V431</f>
        <v/>
      </c>
      <c r="P431">
        <f>IF(B465=0,0,O431/B465)</f>
        <v/>
      </c>
      <c r="Q431">
        <f>IFERROR(1/IF(Inputs!$B$39="pvp",15,MAX(0.1,Skills!D11-IF(Skills!E11=TRUE,Inputs!$B$32,0))),0)</f>
        <v/>
      </c>
      <c r="R431">
        <f>IF(AND(Inputs!$B$39&lt;&gt;"pvp",Inputs!$B$44&gt;0),IF(MAX(0,Inputs!$B$44-B464)&lt;=0,0,(INT(MAX(0,Inputs!$B$44-B464)/IF(Inputs!$B$39="pvp",15,MAX(0.1,Skills!D11-IF(Skills!E11=TRUE,Inputs!$B$32,0))))+1)),0)</f>
        <v/>
      </c>
      <c r="S431">
        <f>IFERROR(O431/N431,0)</f>
        <v/>
      </c>
      <c r="T431">
        <f>IF(C431,(H431*N431*IF(AND(Inputs!$B$39&lt;&gt;"pvp",Inputs!$B$44&gt;0),((Skills!G11*((R431-1)*IF(Skills!H11&gt;0,Skills!I11/Skills!H11,1)+IF(Skills!H11&gt;0,MIN(Skills!I11,MAX(0,MAX(0,Inputs!$B$44-B464)-((R431-1)*IF(Inputs!$B$39="pvp",15,MAX(0.1,Skills!D11-IF(Skills!E11=TRUE,Inputs!$B$32,0))))))/Skills!H11,1)))/Inputs!$B$44),G431*Q431))*IF(Inputs!$B$39="pvp",1,1+(Inputs!$B$20+0+Skills!P11+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431*(1-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1">
        <f>IF(C431,(H431*N431*IF(AND(Inputs!$B$39&lt;&gt;"pvp",Inputs!$B$44&gt;0),((Skills!G11*((R431-1)*IF(Skills!H11&gt;0,Skills!I11/Skills!H11,1)+IF(Skills!H11&gt;0,MIN(Skills!I11,MAX(0,MAX(0,Inputs!$B$44-B464)-((R431-1)*IF(Inputs!$B$39="pvp",15,MAX(0.1,Skills!D11-IF(Skills!E11=TRUE,Inputs!$B$32,0))))))/Skills!H11,1)))/Inputs!$B$44),G431*Q431))*IF(Inputs!$B$39="pvp",1,(1+(Inputs!$B$21+Skills!Q11+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2">
      <c r="A432">
        <f>Skills!A12</f>
        <v/>
      </c>
      <c r="B432">
        <f>Skills!B12</f>
        <v/>
      </c>
      <c r="C432">
        <f>Inputs!$B$3&gt;=105</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f>((Inputs!$B$6*(1+Inputs!$B$7/100))+(((Inputs!$B$12*(1+Inputs!$B$13/100))-(Inputs!$B$12*(1+Inputs!$B$13/100)))+0.25*(Inputs!$B$14-Inputs!$B$14))*(1+Inputs!$B$7/100))*(F432/100)</f>
        <v/>
      </c>
      <c r="K432">
        <f>J432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432)</f>
        <v/>
      </c>
      <c r="L432">
        <f>K432*(MIN(Inputs!$B$22+((C444=TRUE)*(F444-Calc!F24)),(Inputs!$B$23+((C449=TRUE)*(F449-Calc!F29))+IF(ArtifactsInput!$M$15,CHOOSE(ArtifactsInput!$N$15+1,25,30,35,40,45,50)/100*(Inputs!$B$11-Inputs!$B$11),0)))/100+(Inputs!$B$23+((C449=TRUE)*(F449-Calc!F29))+IF(ArtifactsInput!$M$15,CHOOSE(ArtifactsInput!$N$15+1,25,30,35,40,45,50)/100*(Inputs!$B$11-Inputs!$B$11),0))/100)/2</f>
        <v/>
      </c>
      <c r="M432">
        <f>L432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IF(B465=0,0,O432/B465)</f>
        <v/>
      </c>
      <c r="Q432">
        <f>IFERROR(1/IF(Inputs!$B$39="pvp",15,MAX(0.1,Skills!D12-IF(Skills!E12=TRUE,Inputs!$B$32,0))),0)</f>
        <v/>
      </c>
      <c r="R432">
        <f>IF(AND(Inputs!$B$39&lt;&gt;"pvp",Inputs!$B$44&gt;0),IF(MAX(0,Inputs!$B$44-B464)&lt;=0,0,(INT(MAX(0,Inputs!$B$44-B464)/IF(Inputs!$B$39="pvp",15,MAX(0.1,Skills!D12-IF(Skills!E12=TRUE,Inputs!$B$32,0))))+1)),0)</f>
        <v/>
      </c>
      <c r="S432">
        <f>IFERROR(O432/N432,0)</f>
        <v/>
      </c>
      <c r="T432">
        <f>IF(C432,(H432*N432*IF(AND(Inputs!$B$39&lt;&gt;"pvp",Inputs!$B$44&gt;0),((Skills!G12*((R432-1)*IF(Skills!H12&gt;0,Skills!I12/Skills!H12,1)+IF(Skills!H12&gt;0,MIN(Skills!I12,MAX(0,MAX(0,Inputs!$B$44-B464)-((R432-1)*IF(Inputs!$B$39="pvp",15,MAX(0.1,Skills!D12-IF(Skills!E12=TRUE,Inputs!$B$32,0))))))/Skills!H12,1)))/Inputs!$B$44),G432*Q432))*IF(Inputs!$B$39="pvp",1,1+(Inputs!$B$20+0+Skills!P12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432*(1-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H432*N432*IF(AND(Inputs!$B$39&lt;&gt;"pvp",Inputs!$B$44&gt;0),((Skills!G12*((R432-1)*IF(Skills!H12&gt;0,Skills!I12/Skills!H12,1)+IF(Skills!H12&gt;0,MIN(Skills!I12,MAX(0,MAX(0,Inputs!$B$44-B464)-((R432-1)*IF(Inputs!$B$39="pvp",15,MAX(0.1,Skills!D12-IF(Skills!E12=TRUE,Inputs!$B$32,0))))))/Skills!H12,1)))/Inputs!$B$44),G432*Q432))*IF(Inputs!$B$39="pvp",1,(1+(Inputs!$B$21+Skills!Q12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Skills!A13</f>
        <v/>
      </c>
      <c r="B433">
        <f>Skills!B13</f>
        <v/>
      </c>
      <c r="C433">
        <f>Inputs!$B$3&gt;=105</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f>((Inputs!$B$6*(1+Inputs!$B$7/100))+(((Inputs!$B$12*(1+Inputs!$B$13/100))-(Inputs!$B$12*(1+Inputs!$B$13/100)))+0.25*(Inputs!$B$14-Inputs!$B$14))*(1+Inputs!$B$7/100))*(F433/100)</f>
        <v/>
      </c>
      <c r="K433">
        <f>J433*(1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433)</f>
        <v/>
      </c>
      <c r="L433">
        <f>K433*(MIN(Inputs!$B$22+((C444=TRUE)*(F444-Calc!F24)),(Inputs!$B$23+((C449=TRUE)*(F449-Calc!F29))+IF(ArtifactsInput!$M$15,CHOOSE(ArtifactsInput!$N$15+1,25,30,35,40,45,50)/100*(Inputs!$B$11-Inputs!$B$11),0)))/100+(Inputs!$B$23+((C449=TRUE)*(F449-Calc!F29))+IF(ArtifactsInput!$M$15,CHOOSE(ArtifactsInput!$N$15+1,25,30,35,40,45,50)/100*(Inputs!$B$11-Inputs!$B$11),0))/100)/2</f>
        <v/>
      </c>
      <c r="M433">
        <f>L433*(1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3">
        <f>L433*(1-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(1-Summary!$B$11)*T433+Summary!$B$11*V433</f>
        <v/>
      </c>
      <c r="P433">
        <f>IF(B465=0,0,O433/B465)</f>
        <v/>
      </c>
      <c r="Q433">
        <f>IFERROR(1/IF(Inputs!$B$39="pvp",15,MAX(0.1,Skills!D13-IF(Skills!E13=TRUE,Inputs!$B$32,0))),0)</f>
        <v/>
      </c>
      <c r="R433">
        <f>IF(AND(Inputs!$B$39&lt;&gt;"pvp",Inputs!$B$44&gt;0),IF(MAX(0,Inputs!$B$44-B464)&lt;=0,0,(INT(MAX(0,Inputs!$B$44-B464)/IF(Inputs!$B$39="pvp",15,MAX(0.1,Skills!D13-IF(Skills!E13=TRUE,Inputs!$B$32,0))))+1)),0)</f>
        <v/>
      </c>
      <c r="S433">
        <f>IFERROR(O433/N433,0)</f>
        <v/>
      </c>
      <c r="T433">
        <f>IF(C433,(H433*N433*IF(AND(Inputs!$B$39&lt;&gt;"pvp",Inputs!$B$44&gt;0),((Skills!G13*((R433-1)*IF(Skills!H13&gt;0,Skills!I13/Skills!H13,1)+IF(Skills!H13&gt;0,MIN(Skills!I13,MAX(0,MAX(0,Inputs!$B$44-B464)-((R433-1)*IF(Inputs!$B$39="pvp",15,MAX(0.1,Skills!D13-IF(Skills!E13=TRUE,Inputs!$B$32,0))))))/Skills!H13,1)))/Inputs!$B$44),G433*Q433))*IF(Inputs!$B$39="pvp",1,1+(Inputs!$B$20+0+Skills!P13+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433*(1-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3">
        <f>IF(C433,(H433*N433*IF(AND(Inputs!$B$39&lt;&gt;"pvp",Inputs!$B$44&gt;0),((Skills!G13*((R433-1)*IF(Skills!H13&gt;0,Skills!I13/Skills!H13,1)+IF(Skills!H13&gt;0,MIN(Skills!I13,MAX(0,MAX(0,Inputs!$B$44-B464)-((R433-1)*IF(Inputs!$B$39="pvp",15,MAX(0.1,Skills!D13-IF(Skills!E13=TRUE,Inputs!$B$32,0))))))/Skills!H13,1)))/Inputs!$B$44),G433*Q433))*IF(Inputs!$B$39="pvp",1,(1+(Inputs!$B$21+Skills!Q13+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Skills!A14</f>
        <v/>
      </c>
      <c r="B434">
        <f>Skills!B14</f>
        <v/>
      </c>
      <c r="C434">
        <f>Inputs!$B$3&gt;=107</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f>((Inputs!$B$6*(1+Inputs!$B$7/100))+(((Inputs!$B$12*(1+Inputs!$B$13/100))-(Inputs!$B$12*(1+Inputs!$B$13/100)))+0.25*(Inputs!$B$14-Inputs!$B$14))*(1+Inputs!$B$7/100))*(F434/100)</f>
        <v/>
      </c>
      <c r="K434">
        <f>J434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434)</f>
        <v/>
      </c>
      <c r="L434">
        <f>K434*(MIN(Inputs!$B$22+((C444=TRUE)*(F444-Calc!F24)),(Inputs!$B$23+((C449=TRUE)*(F449-Calc!F29))+IF(ArtifactsInput!$M$15,CHOOSE(ArtifactsInput!$N$15+1,25,30,35,40,45,50)/100*(Inputs!$B$11-Inputs!$B$11),0)))/100+(Inputs!$B$23+((C449=TRUE)*(F449-Calc!F29))+IF(ArtifactsInput!$M$15,CHOOSE(ArtifactsInput!$N$15+1,25,30,35,40,45,50)/100*(Inputs!$B$11-Inputs!$B$11),0))/100)/2</f>
        <v/>
      </c>
      <c r="M434">
        <f>L434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4">
        <f>L434*(1-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(1-Summary!$B$11)*T434+Summary!$B$11*V434</f>
        <v/>
      </c>
      <c r="P434">
        <f>IF(B465=0,0,O434/B465)</f>
        <v/>
      </c>
      <c r="Q434">
        <f>IFERROR(1/IF(Inputs!$B$39="pvp",15,MAX(0.1,Skills!D14-IF(Skills!E14=TRUE,Inputs!$B$32,0))),0)</f>
        <v/>
      </c>
      <c r="R434">
        <f>IF(AND(Inputs!$B$39&lt;&gt;"pvp",Inputs!$B$44&gt;0),IF(MAX(0,Inputs!$B$44-B464)&lt;=0,0,(INT(MAX(0,Inputs!$B$44-B464)/IF(Inputs!$B$39="pvp",15,MAX(0.1,Skills!D14-IF(Skills!E14=TRUE,Inputs!$B$32,0))))+1)),0)</f>
        <v/>
      </c>
      <c r="S434">
        <f>IFERROR(O434/N434,0)</f>
        <v/>
      </c>
      <c r="T434">
        <f>IF(C434,(H434*N434*IF(AND(Inputs!$B$39&lt;&gt;"pvp",Inputs!$B$44&gt;0),((Skills!G14*((R434-1)*IF(Skills!H14&gt;0,Skills!I14/Skills!H14,1)+IF(Skills!H14&gt;0,MIN(Skills!I14,MAX(0,MAX(0,Inputs!$B$44-B464)-((R434-1)*IF(Inputs!$B$39="pvp",15,MAX(0.1,Skills!D14-IF(Skills!E14=TRUE,Inputs!$B$32,0))))))/Skills!H14,1)))/Inputs!$B$44),G434*Q434))*IF(Inputs!$B$39="pvp",1,1+(Inputs!$B$20+0+Skills!P14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434*(1-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4">
        <f>IF(C434,(H434*N434*IF(AND(Inputs!$B$39&lt;&gt;"pvp",Inputs!$B$44&gt;0),((Skills!G14*((R434-1)*IF(Skills!H14&gt;0,Skills!I14/Skills!H14,1)+IF(Skills!H14&gt;0,MIN(Skills!I14,MAX(0,MAX(0,Inputs!$B$44-B464)-((R434-1)*IF(Inputs!$B$39="pvp",15,MAX(0.1,Skills!D14-IF(Skills!E14=TRUE,Inputs!$B$32,0))))))/Skills!H14,1)))/Inputs!$B$44),G434*Q434))*IF(Inputs!$B$39="pvp",1,(1+(Inputs!$B$21+Skills!Q14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(5,0.25*B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Skills!A15</f>
        <v/>
      </c>
      <c r="B435">
        <f>Skills!B15</f>
        <v/>
      </c>
      <c r="C435">
        <f>Inputs!$B$3&gt;=110</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f>(1-Summary!$B$11)*T435+Summary!$B$11*V435</f>
        <v/>
      </c>
      <c r="P435">
        <f>IF(B465=0,0,O435/B465)</f>
        <v/>
      </c>
      <c r="Q435">
        <f>IFERROR(1/IF(Inputs!$B$39="pvp",15,MAX(0.1,Skills!D15-IF(Skills!E15=TRUE,Inputs!$B$32,0))),0)</f>
        <v/>
      </c>
      <c r="R435">
        <f>IF(AND(Inputs!$B$39&lt;&gt;"pvp",Inputs!$B$44&gt;0),IF(Inputs!$B$44&lt;=0,0,(INT(Inputs!$B$44/IF(Inputs!$B$39="pvp",15,MAX(0.1,Skills!D15-IF(Skills!E15=TRUE,Inputs!$B$32,0))))+1)),0)</f>
        <v/>
      </c>
      <c r="S435">
        <f>IFERROR(O435/N435,0)</f>
        <v/>
      </c>
      <c r="T435" t="n">
        <v>0</v>
      </c>
      <c r="V435" t="n">
        <v>0</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f>((Inputs!$B$6*(1+Inputs!$B$7/100))+(((Inputs!$B$12*(1+Inputs!$B$13/100))-(Inputs!$B$12*(1+Inputs!$B$13/100)))+0.25*(Inputs!$B$14-Inputs!$B$14))*(1+Inputs!$B$7/100))*(F436/100)</f>
        <v/>
      </c>
      <c r="K436">
        <f>J436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447=TRUE)*(F447-Calc!F27))+((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436)</f>
        <v/>
      </c>
      <c r="L436">
        <f>K436*(MIN(Inputs!$B$22+((C444=TRUE)*(F444-Calc!F24)),(Inputs!$B$23+((C449=TRUE)*(F449-Calc!F29))+IF(ArtifactsInput!$M$15,CHOOSE(ArtifactsInput!$N$15+1,25,30,35,40,45,50)/100*(Inputs!$B$11-Inputs!$B$11),0)))/100+(Inputs!$B$23+((C449=TRUE)*(F449-Calc!F29))+IF(ArtifactsInput!$M$15,CHOOSE(ArtifactsInput!$N$15+1,25,30,35,40,45,50)/100*(Inputs!$B$11-Inputs!$B$11),0))/100)/2</f>
        <v/>
      </c>
      <c r="M436">
        <f>L436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6">
        <f>L436*(1-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436*(MIN((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6">
        <f>(1-Summary!$B$11)*T436+Summary!$B$11*V436</f>
        <v/>
      </c>
      <c r="P436">
        <f>IF(B465=0,0,O436/B465)</f>
        <v/>
      </c>
      <c r="Q436" t="n">
        <v>0</v>
      </c>
      <c r="R436" t="n">
        <v>0</v>
      </c>
      <c r="S436">
        <f>IFERROR(O436/N436,0)</f>
        <v/>
      </c>
      <c r="T436">
        <f>IF(C436,(Inputs!$B$38*0.2*N436)*IF(Inputs!$B$39="pvp",1,1+(Inputs!$B$20+0+Skills!P16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436*(1-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436*(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436*(1-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436*(MIN(100,(Inputs!$B$9+((C445=TRUE)*(F445-Calc!F25))+B453+(ArtifactsInput!$M$24-ArtifactsInput!$M$24)*CHOOSE(ArtifactsInput!$N$24+1,10,12,14,16,18,20)+(IF(AND(Inputs!$B$39&lt;&gt;"pvp",Inputs!$B$44=0),1,IF(IF(Inputs!$B$39="pvp",15,Inputs!$B$44)-(B464)&lt;=0,1,MAX(0,IF(Inputs!$B$39="pvp",15,Inputs!$B$44)-MAX(5,B464))/(IF(Inputs!$B$39="pvp",15,Inputs!$B$44)-(B464))))*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6">
        <f>IF(C436,(Inputs!$B$38*0.2*N436)*IF(Inputs!$B$39="pvp",1,(1+(Inputs!$B$21+Skills!Q16+B454+(IF(ArtifactsInput!$M$33,CHOOSE(ArtifactsInput!$N$33+1,30,36,42,48,54,60),0))+(IF(AND(ArtifactsInput!$M$35,Inputs!$B$4&lt;&gt;"Chapter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7">
      <c r="A437">
        <f>Skills!A17</f>
        <v/>
      </c>
      <c r="B437">
        <f>Skills!B17</f>
        <v/>
      </c>
      <c r="C437">
        <f>Inputs!$B$3&gt;=115</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f>(1-Summary!$B$11)*T437+Summary!$B$11*V437</f>
        <v/>
      </c>
      <c r="P437">
        <f>IF(B465=0,0,O437/B465)</f>
        <v/>
      </c>
      <c r="Q437" t="n">
        <v>0</v>
      </c>
      <c r="R437" t="n">
        <v>0</v>
      </c>
      <c r="S437">
        <f>IFERROR(O437/N437,0)</f>
        <v/>
      </c>
      <c r="T437" t="n">
        <v>0</v>
      </c>
      <c r="V437" t="n">
        <v>0</v>
      </c>
    </row>
    <row r="438">
      <c r="A438">
        <f>Skills!A18</f>
        <v/>
      </c>
      <c r="B438">
        <f>Skills!B18</f>
        <v/>
      </c>
      <c r="C438">
        <f>Inputs!$B$3&gt;=100</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f>(1-Summary!$B$11)*T438+Summary!$B$11*V438</f>
        <v/>
      </c>
      <c r="P438">
        <f>IF(B465=0,0,O438/B465)</f>
        <v/>
      </c>
      <c r="Q438" t="n">
        <v>0</v>
      </c>
      <c r="R438" t="n">
        <v>0</v>
      </c>
      <c r="S438">
        <f>IFERROR(O438/N438,0)</f>
        <v/>
      </c>
      <c r="T438" t="n">
        <v>0</v>
      </c>
      <c r="V438" t="n">
        <v>0</v>
      </c>
    </row>
    <row r="439">
      <c r="A439">
        <f>Skills!A19</f>
        <v/>
      </c>
      <c r="B439">
        <f>Skills!B19</f>
        <v/>
      </c>
      <c r="C439">
        <f>TRUE</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f>(1-Summary!$B$11)*T439+Summary!$B$11*V439</f>
        <v/>
      </c>
      <c r="P439">
        <f>IF(B465=0,0,O439/B465)</f>
        <v/>
      </c>
      <c r="Q439">
        <f>IFERROR(1/IF(Inputs!$B$39="pvp",15,MAX(0.1,Skills!D19-IF(Skills!E19=TRUE,Inputs!$B$32,0))),0)</f>
        <v/>
      </c>
      <c r="R439">
        <f>IF(AND(Inputs!$B$39&lt;&gt;"pvp",Inputs!$B$44&gt;0),IF(Inputs!$B$44&lt;=0,0,(INT(Inputs!$B$44/IF(Inputs!$B$39="pvp",15,MAX(0.1,Skills!D19-IF(Skills!E19=TRUE,Inputs!$B$32,0))))+1)),0)</f>
        <v/>
      </c>
      <c r="S439">
        <f>IFERROR(O439/N439,0)</f>
        <v/>
      </c>
      <c r="T439" t="n">
        <v>0</v>
      </c>
      <c r="V439" t="n">
        <v>0</v>
      </c>
    </row>
    <row r="440">
      <c r="A440">
        <f>Skills!A20</f>
        <v/>
      </c>
      <c r="B440">
        <f>Skills!B20</f>
        <v/>
      </c>
      <c r="C440">
        <f>Inputs!$B$3&gt;=15</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f>(1-Summary!$B$11)*T440+Summary!$B$11*V440</f>
        <v/>
      </c>
      <c r="P440">
        <f>IF(B465=0,0,O440/B465)</f>
        <v/>
      </c>
      <c r="Q440">
        <f>IFERROR(1/IF(Inputs!$B$39="pvp",15,MAX(0.1,Skills!D20-IF(Skills!E20=TRUE,Inputs!$B$32,0))),0)</f>
        <v/>
      </c>
      <c r="R440">
        <f>IF(AND(Inputs!$B$39&lt;&gt;"pvp",Inputs!$B$44&gt;0),IF(Inputs!$B$44&lt;=0,0,(INT(Inputs!$B$44/IF(Inputs!$B$39="pvp",15,MAX(0.1,Skills!D20-IF(Skills!E20=TRUE,Inputs!$B$32,0))))+1)),0)</f>
        <v/>
      </c>
      <c r="S440">
        <f>IFERROR(O440/N440,0)</f>
        <v/>
      </c>
      <c r="T440" t="n">
        <v>0</v>
      </c>
      <c r="V440" t="n">
        <v>0</v>
      </c>
    </row>
    <row r="441">
      <c r="A441">
        <f>Skills!A21</f>
        <v/>
      </c>
      <c r="B441">
        <f>Skills!B21</f>
        <v/>
      </c>
      <c r="C441">
        <f>Inputs!$B$3&gt;=15</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f>(1-Summary!$B$11)*T441+Summary!$B$11*V441</f>
        <v/>
      </c>
      <c r="P441">
        <f>IF(B465=0,0,O441/B465)</f>
        <v/>
      </c>
      <c r="Q441">
        <f>IFERROR(1/IF(Inputs!$B$39="pvp",15,MAX(0.1,Skills!D21-IF(Skills!E21=TRUE,Inputs!$B$32,0))),0)</f>
        <v/>
      </c>
      <c r="R441">
        <f>IF(AND(Inputs!$B$39&lt;&gt;"pvp",Inputs!$B$44&gt;0),IF(Inputs!$B$44&lt;=0,0,(INT(Inputs!$B$44/IF(Inputs!$B$39="pvp",15,MAX(0.1,Skills!D21-IF(Skills!E21=TRUE,Inputs!$B$32,0))))+1)),0)</f>
        <v/>
      </c>
      <c r="S441">
        <f>IFERROR(O441/N441,0)</f>
        <v/>
      </c>
      <c r="T441" t="n">
        <v>0</v>
      </c>
      <c r="V441" t="n">
        <v>0</v>
      </c>
    </row>
    <row r="442">
      <c r="A442">
        <f>Skills!A22</f>
        <v/>
      </c>
      <c r="B442">
        <f>Skills!B22</f>
        <v/>
      </c>
      <c r="C442">
        <f>Inputs!$B$3&gt;=33</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f>(1-Summary!$B$11)*T442+Summary!$B$11*V442</f>
        <v/>
      </c>
      <c r="P442">
        <f>IF(B465=0,0,O442/B465)</f>
        <v/>
      </c>
      <c r="Q442" t="n">
        <v>0</v>
      </c>
      <c r="R442" t="n">
        <v>0</v>
      </c>
      <c r="S442">
        <f>IFERROR(O442/N442,0)</f>
        <v/>
      </c>
      <c r="T442" t="n">
        <v>0</v>
      </c>
      <c r="V442" t="n">
        <v>0</v>
      </c>
    </row>
    <row r="443">
      <c r="A443">
        <f>Skills!A23</f>
        <v/>
      </c>
      <c r="B443">
        <f>Skills!B23</f>
        <v/>
      </c>
      <c r="C443">
        <f>Inputs!$B$3&gt;=40</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f>(1-Summary!$B$11)*T443+Summary!$B$11*V443</f>
        <v/>
      </c>
      <c r="P443">
        <f>IF(B465=0,0,O443/B465)</f>
        <v/>
      </c>
      <c r="Q443" t="n">
        <v>0</v>
      </c>
      <c r="R443" t="n">
        <v>0</v>
      </c>
      <c r="S443">
        <f>IFERROR(O443/N443,0)</f>
        <v/>
      </c>
      <c r="T443" t="n">
        <v>0</v>
      </c>
      <c r="V443" t="n">
        <v>0</v>
      </c>
    </row>
    <row r="444">
      <c r="A444">
        <f>Skills!A24</f>
        <v/>
      </c>
      <c r="B444">
        <f>Skills!B24</f>
        <v/>
      </c>
      <c r="C444">
        <f>Inputs!$B$3&gt;=43</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f>(1-Summary!$B$11)*T444+Summary!$B$11*V444</f>
        <v/>
      </c>
      <c r="P444">
        <f>IF(B465=0,0,O444/B465)</f>
        <v/>
      </c>
      <c r="Q444" t="n">
        <v>0</v>
      </c>
      <c r="R444" t="n">
        <v>0</v>
      </c>
      <c r="S444">
        <f>IFERROR(O444/N444,0)</f>
        <v/>
      </c>
      <c r="T444" t="n">
        <v>0</v>
      </c>
      <c r="V444" t="n">
        <v>0</v>
      </c>
    </row>
    <row r="445">
      <c r="A445">
        <f>Skills!A25</f>
        <v/>
      </c>
      <c r="B445">
        <f>Skills!B25</f>
        <v/>
      </c>
      <c r="C445">
        <f>Inputs!$B$3&gt;=50</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f>(1-Summary!$B$11)*T445+Summary!$B$11*V445</f>
        <v/>
      </c>
      <c r="P445">
        <f>IF(B465=0,0,O445/B465)</f>
        <v/>
      </c>
      <c r="Q445" t="n">
        <v>0</v>
      </c>
      <c r="R445" t="n">
        <v>0</v>
      </c>
      <c r="S445">
        <f>IFERROR(O445/N445,0)</f>
        <v/>
      </c>
      <c r="T445" t="n">
        <v>0</v>
      </c>
      <c r="V445" t="n">
        <v>0</v>
      </c>
    </row>
    <row r="446">
      <c r="A446">
        <f>Skills!A26</f>
        <v/>
      </c>
      <c r="B446">
        <f>Skills!B26</f>
        <v/>
      </c>
      <c r="C446">
        <f>Inputs!$B$3&gt;=50</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f>(1-Summary!$B$11)*T446+Summary!$B$11*V446</f>
        <v/>
      </c>
      <c r="P446">
        <f>IF(B465=0,0,O446/B465)</f>
        <v/>
      </c>
      <c r="Q446" t="n">
        <v>0</v>
      </c>
      <c r="R446" t="n">
        <v>0</v>
      </c>
      <c r="S446">
        <f>IFERROR(O446/N446,0)</f>
        <v/>
      </c>
      <c r="T446" t="n">
        <v>0</v>
      </c>
      <c r="V446" t="n">
        <v>0</v>
      </c>
    </row>
    <row r="447">
      <c r="A447">
        <f>Skills!A27</f>
        <v/>
      </c>
      <c r="B447">
        <f>Skills!B27</f>
        <v/>
      </c>
      <c r="C447">
        <f>Inputs!$B$3&gt;=38</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f>(1-Summary!$B$11)*T447+Summary!$B$11*V447</f>
        <v/>
      </c>
      <c r="P447">
        <f>IF(B465=0,0,O447/B465)</f>
        <v/>
      </c>
      <c r="Q447" t="n">
        <v>0</v>
      </c>
      <c r="R447" t="n">
        <v>0</v>
      </c>
      <c r="S447">
        <f>IFERROR(O447/N447,0)</f>
        <v/>
      </c>
      <c r="T447" t="n">
        <v>0</v>
      </c>
      <c r="V447" t="n">
        <v>0</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f>(1-Summary!$B$11)*T448+Summary!$B$11*V448</f>
        <v/>
      </c>
      <c r="P448">
        <f>IF(B465=0,0,O448/B465)</f>
        <v/>
      </c>
      <c r="Q448" t="n">
        <v>0</v>
      </c>
      <c r="R448" t="n">
        <v>0</v>
      </c>
      <c r="S448">
        <f>IFERROR(O448/N448,0)</f>
        <v/>
      </c>
      <c r="T448" t="n">
        <v>0</v>
      </c>
      <c r="V448" t="n">
        <v>0</v>
      </c>
    </row>
    <row r="449">
      <c r="A449">
        <f>Skills!A29</f>
        <v/>
      </c>
      <c r="B449">
        <f>Skills!B29</f>
        <v/>
      </c>
      <c r="C449">
        <f>Inputs!$B$3&gt;=120</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f>(1-Summary!$B$11)*T449+Summary!$B$11*V449</f>
        <v/>
      </c>
      <c r="P449">
        <f>IF(B465=0,0,O449/B465)</f>
        <v/>
      </c>
      <c r="Q449" t="n">
        <v>0</v>
      </c>
      <c r="R449" t="n">
        <v>0</v>
      </c>
      <c r="S449">
        <f>IFERROR(O449/N449,0)</f>
        <v/>
      </c>
      <c r="T449" t="n">
        <v>0</v>
      </c>
      <c r="V449" t="n">
        <v>0</v>
      </c>
    </row>
    <row r="450">
      <c r="A450">
        <f>Skills!A30</f>
        <v/>
      </c>
      <c r="B450">
        <f>Skills!B30</f>
        <v/>
      </c>
      <c r="C450">
        <f>Inputs!$B$3&gt;=125</f>
        <v/>
      </c>
      <c r="D450">
        <f>IF(Skills!C30=1,60+Inputs!$B$25+Inputs!$B$29,IF(Skills!C30=2,90+Inputs!$B$26+Inputs!$B$29,IF(Skills!C30=3,120+Inputs!$B$27+Inputs!$B$29,MAX(0,(Inputs!$B$3-100)*3)+Inputs!$B$28+Inputs!$B$29)))</f>
        <v/>
      </c>
      <c r="E450">
        <f>INDEX(FactorTable!$B$2:$Y$301, MATCH(ROUND(MIN(300,MAX(1,D450)),0), FactorTable!$A$2:$A$301,0), Skills!M30+1)</f>
        <v/>
      </c>
      <c r="F450">
        <f>IF(Skills!N30=TRUE,(Skills!L30/10)*(E450/1000),Skills!L30/10)+Skills!O30</f>
        <v/>
      </c>
      <c r="G450">
        <f>Skills!G30*IF(Skills!H30&gt;0,Skills!I30/Skills!H30,1)</f>
        <v/>
      </c>
      <c r="H450">
        <f>1-(1-Skills!J30/100)^Skills!K30</f>
        <v/>
      </c>
      <c r="I450" t="inlineStr">
        <is>
          <t>1</t>
        </is>
      </c>
      <c r="J450" t="inlineStr"/>
      <c r="K450" t="inlineStr"/>
      <c r="L450" t="inlineStr"/>
      <c r="M450" t="inlineStr"/>
      <c r="N450" t="inlineStr"/>
      <c r="O450">
        <f>(1-Summary!$B$11)*T450+Summary!$B$11*V450</f>
        <v/>
      </c>
      <c r="P450">
        <f>IF(B465=0,0,O450/B465)</f>
        <v/>
      </c>
      <c r="Q450" t="n">
        <v>0</v>
      </c>
      <c r="R450" t="n">
        <v>0</v>
      </c>
      <c r="S450">
        <f>IFERROR(O450/N450,0)</f>
        <v/>
      </c>
      <c r="T450" t="n">
        <v>0</v>
      </c>
      <c r="V450" t="n">
        <v>0</v>
      </c>
    </row>
    <row r="452">
      <c r="A452" t="inlineStr">
        <is>
          <t>Average Buff Multiplier</t>
        </is>
      </c>
      <c r="B452">
        <f>(1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f>
        <v/>
      </c>
    </row>
    <row r="453">
      <c r="A453" t="inlineStr">
        <is>
          <t>Global Crit Rate Bonus %</t>
        </is>
      </c>
      <c r="B453">
        <f>((C440=TRUE)*F440*IF(AND(Inputs!$B$39&lt;&gt;"pvp",Inputs!$B$44&gt;0),(((R440-1)*(Skills!Y20*(1+Inputs!$B$34/100))+MIN((Skills!Y20*(1+Inputs!$B$34/100)),MAX(0,Inputs!$B$44-((R440-1)*Skills!D20))))/Inputs!$B$44),IF(Inputs!$B$39="pvp",MIN((Skills!Y20*(1+Inputs!$B$34/100)),15)/15,(Skills!Y20*(1+Inputs!$B$34/100))/Skills!D20)))</f>
        <v/>
      </c>
    </row>
    <row r="454">
      <c r="A454" t="inlineStr">
        <is>
          <t>Global Monster Damage-Taken Bonus %</t>
        </is>
      </c>
      <c r="B454">
        <f>IF(Inputs!$B$3&gt;=82,15,0)</f>
        <v/>
      </c>
    </row>
    <row r="455">
      <c r="A455" t="inlineStr">
        <is>
          <t>Shadow Partner Average Multiplier</t>
        </is>
      </c>
      <c r="B455">
        <f>1+((C427=TRUE)*F427*(1+3.3333333333333335*IF(C438=TRUE,F438,0)/100)*I427*Skills!J7/100)/100</f>
        <v/>
      </c>
    </row>
    <row r="456">
      <c r="A456" t="inlineStr">
        <is>
          <t>Attack Speed Buff Bonus %</t>
        </is>
      </c>
      <c r="B456">
        <f>((C439=TRUE)*F439*IF(AND(Inputs!$B$39&lt;&gt;"pvp",Inputs!$B$44&gt;0),(((R439-1)*(Skills!Y19*(1+Inputs!$B$34/100))+MIN((Skills!Y19*(1+Inputs!$B$34/100)),MAX(0,Inputs!$B$44-((R439-1)*Skills!D19))))/Inputs!$B$44),IF(Inputs!$B$39="pvp",MIN((Skills!Y19*(1+Inputs!$B$34/100)),15)/15,(Skills!Y19*(1+Inputs!$B$34/100))/Skills!D19)))+((C423=TRUE)*F423*3)</f>
        <v/>
      </c>
    </row>
    <row r="457">
      <c r="A457" t="inlineStr">
        <is>
          <t>Actions Per Second</t>
        </is>
      </c>
      <c r="B457">
        <f>1+MIN(150,150*(1-(1-(Inputs!$B$11+((C442=TRUE)*(F442-Calc!F22)))/150)*(1-B456/150)))/100</f>
        <v/>
      </c>
    </row>
    <row r="458">
      <c r="A458" t="inlineStr">
        <is>
          <t>Skill + Buff Cast Rate</t>
        </is>
      </c>
      <c r="B458">
        <f>IF(AND(Inputs!$B$39&lt;&gt;"pvp",Inputs!$B$44&gt;0),SUMPRODUCT((Skills!E2:E30=TRUE)*(C422:C450=TRUE)*R422:R450*Skills!F2:F30)/Inputs!$B$44,SUMPRODUCT((Skills!E2:E30=TRUE)*(C422:C450=TRUE)*Q422:Q450*Skills!F2:F30))</f>
        <v/>
      </c>
    </row>
    <row r="459">
      <c r="A459" t="inlineStr">
        <is>
          <t>Cruel Stab Casts Per Second</t>
        </is>
      </c>
      <c r="B459">
        <f>MAX(0,B457-B458)</f>
        <v/>
      </c>
    </row>
    <row r="460">
      <c r="A460" t="inlineStr">
        <is>
          <t>Global Critical Damage Bonus % (Smokescreen Mastery Lv.113)</t>
        </is>
      </c>
      <c r="B460">
        <f>IF(Inputs!$B$3&gt;=113,30,0)*IF(AND(Inputs!$B$39&lt;&gt;"pvp",Inputs!$B$44&gt;0),(((R435-1)*(Skills!Y15*(1+Inputs!$B$34/100))+MIN((Skills!Y15*(1+Inputs!$B$34/100)),MAX(0,Inputs!$B$44-((R435-1)*Skills!D15))))/Inputs!$B$44),IF(Inputs!$B$39="pvp",MIN((Skills!Y15*(1+Inputs!$B$34/100)),15)/15,(Skills!Y15*(1+Inputs!$B$34/100))/Skills!D15))</f>
        <v/>
      </c>
    </row>
    <row r="461">
      <c r="A461" t="inlineStr">
        <is>
          <t>Meso Explosion average stack count</t>
        </is>
      </c>
      <c r="B461">
        <f>MIN(10,0.5*B457*Skills!D4)</f>
        <v/>
      </c>
    </row>
    <row r="462">
      <c r="A462" t="inlineStr">
        <is>
          <t>Blood Money average stack count</t>
        </is>
      </c>
      <c r="B462">
        <f>MIN(5,0.25*B457*Skills!D4)</f>
        <v/>
      </c>
    </row>
    <row r="463">
      <c r="A463" t="inlineStr">
        <is>
          <t>Assassinate Murderous Intent Multiplier</t>
        </is>
      </c>
      <c r="B463">
        <f>1+IFERROR(MIN(1,Q434*2/Q431),0)</f>
        <v/>
      </c>
    </row>
    <row r="464">
      <c r="A464" t="inlineStr">
        <is>
          <t>Buff-Casting Startup Delay (s, fixed-duration only)</t>
        </is>
      </c>
      <c r="B464">
        <f>IF(AND(Inputs!$B$39&lt;&gt;"pvp",Inputs!$B$44&gt;0),SUMPRODUCT((Skills!Y2:Y30&gt;0)*(Skills!E2:E30=TRUE)*(C422:C450=TRUE))/B457,0)</f>
        <v/>
      </c>
    </row>
    <row r="465">
      <c r="A465" s="6" t="inlineStr">
        <is>
          <t>TOTAL DPS</t>
        </is>
      </c>
      <c r="B465" s="6">
        <f>SUM(O422:O450)</f>
        <v/>
      </c>
    </row>
    <row r="466">
      <c r="A466" t="inlineStr">
        <is>
          <t>Boss-Only Total DPS (this block's swept value)</t>
        </is>
      </c>
      <c r="B466">
        <f>SUM(T422:T450)</f>
        <v/>
      </c>
    </row>
    <row r="467">
      <c r="A467" t="inlineStr">
        <is>
          <t>Normal-Only Total DPS (this block's swept value)</t>
        </is>
      </c>
      <c r="B467">
        <f>SUM(V422:V450)</f>
        <v/>
      </c>
    </row>
    <row r="470">
      <c r="A470" s="6" t="inlineStr">
        <is>
          <t>Stat: MIN_DAMAGE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Q471" s="5" t="inlineStr">
        <is>
          <t>InvCooldown</t>
        </is>
      </c>
      <c r="R471" s="5" t="inlineStr">
        <is>
          <t>CastsInFight</t>
        </is>
      </c>
      <c r="S471" s="5" t="inlineStr">
        <is>
          <t>HitRate(perSec)</t>
        </is>
      </c>
      <c r="U471" t="inlineStr">
        <is>
          <t>helpers</t>
        </is>
      </c>
    </row>
    <row r="472">
      <c r="A472">
        <f>Skills!A2</f>
        <v/>
      </c>
      <c r="B472">
        <f>Skills!B2</f>
        <v/>
      </c>
      <c r="C472">
        <f>Inputs!$B$3&gt;=100</f>
        <v/>
      </c>
      <c r="D472" t="inlineStr"/>
      <c r="E472" t="inlineStr"/>
      <c r="F472">
        <f>U474+Skills!O2</f>
        <v/>
      </c>
      <c r="G472">
        <f>Skills!G2*IF(Skills!H2&gt;0,Skills!I2/Skills!H2,1)</f>
        <v/>
      </c>
      <c r="H472">
        <f>1-(1-Skills!J2/100)^Skills!K2</f>
        <v/>
      </c>
      <c r="I472" t="inlineStr">
        <is>
          <t>1</t>
        </is>
      </c>
      <c r="J472">
        <f>((Inputs!$B$6*(1+Inputs!$B$7/100))+(((Inputs!$B$12*(1+Inputs!$B$13/100))-(Inputs!$B$12*(1+Inputs!$B$13/100)))+0.25*(Inputs!$B$14-Inputs!$B$14))*(1+Inputs!$B$7/100))*(F472/100)</f>
        <v/>
      </c>
      <c r="K472">
        <f>J472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472)</f>
        <v/>
      </c>
      <c r="L472">
        <f>K472*(MIN((Inputs!$B$22+1)+((C494=TRUE)*(F494-Calc!F24)),(Inputs!$B$23+((C499=TRUE)*(F499-Calc!F29))+IF(ArtifactsInput!$M$15,CHOOSE(ArtifactsInput!$N$15+1,25,30,35,40,45,50)/100*(Inputs!$B$11-Inputs!$B$11),0)))/100+(Inputs!$B$23+((C499=TRUE)*(F499-Calc!F29))+IF(ArtifactsInput!$M$15,CHOOSE(ArtifactsInput!$N$15+1,25,30,35,40,45,50)/100*(Inputs!$B$11-Inputs!$B$11),0))/100)/2</f>
        <v/>
      </c>
      <c r="M472">
        <f>L472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IF(B515=0,0,O472/B515)</f>
        <v/>
      </c>
      <c r="Q472" t="n">
        <v>0</v>
      </c>
      <c r="R472" t="n">
        <v>0</v>
      </c>
      <c r="S472">
        <f>IFERROR(O472/N472,0)</f>
        <v/>
      </c>
      <c r="T472">
        <f>IF(C472,(Skills!G2*N472*B509)*IF(Inputs!$B$39="pvp",1,1+(Inputs!$B$20+0+Skills!P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472*(1-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2">
        <f>MAX(0,(Inputs!$B$3-100)*3)+Inputs!$B$28+Inputs!$B$29</f>
        <v/>
      </c>
      <c r="V472">
        <f>IF(C472,(Skills!G2*N472*B509)*IF(Inputs!$B$39="pvp",1,(1+(Inputs!$B$21+Skills!Q2+B504+(IF(ArtifactsInput!$M$33,CHOOSE(ArtifactsInput!$N$33+1,30,36,42,48,54,60),0))+(IF(AND(ArtifactsInput!$M$35,Inputs!$B$4&lt;&gt;"Chapter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Skills!A3</f>
        <v/>
      </c>
      <c r="B473">
        <f>Skills!B3</f>
        <v/>
      </c>
      <c r="C473">
        <f>Inputs!$B$3&gt;=35</f>
        <v/>
      </c>
      <c r="D473">
        <f>IF(Skills!C3=1,60+Inputs!$B$25+Inputs!$B$29,IF(Skills!C3=2,90+Inputs!$B$26+Inputs!$B$29,IF(Skills!C3=3,120+Inputs!$B$27+Inputs!$B$29,MAX(0,(Inputs!$B$3-100)*3)+Inputs!$B$28+Inputs!$B$29)))</f>
        <v/>
      </c>
      <c r="E473">
        <f>INDEX(FactorTable!$B$2:$Y$301, MATCH(ROUND(MIN(300,MAX(1,D473)),0), FactorTable!$A$2:$A$301,0), Skills!M3+1)</f>
        <v/>
      </c>
      <c r="F473">
        <f>IF(Skills!N3=TRUE,(Skills!L3/10)*(E473/1000),Skills!L3/10)+Skills!O3</f>
        <v/>
      </c>
      <c r="G473">
        <f>Skills!G3*IF(Skills!H3&gt;0,Skills!I3/Skills!H3,1)</f>
        <v/>
      </c>
      <c r="H473">
        <f>1-(1-Skills!J3/100)^Skills!K3</f>
        <v/>
      </c>
      <c r="I473" t="inlineStr">
        <is>
          <t>1</t>
        </is>
      </c>
      <c r="J473" t="inlineStr"/>
      <c r="K473" t="inlineStr"/>
      <c r="L473" t="inlineStr"/>
      <c r="M473" t="inlineStr"/>
      <c r="N473" t="inlineStr"/>
      <c r="O473">
        <f>(1-Summary!$B$11)*T473+Summary!$B$11*V473</f>
        <v/>
      </c>
      <c r="P473">
        <f>IF(B515=0,0,O473/B515)</f>
        <v/>
      </c>
      <c r="Q473" t="n">
        <v>0</v>
      </c>
      <c r="R473" t="n">
        <v>0</v>
      </c>
      <c r="S473">
        <f>IFERROR(O473/N473,0)</f>
        <v/>
      </c>
      <c r="T473" t="n">
        <v>0</v>
      </c>
      <c r="U473">
        <f>INDEX(FactorTable!$B$2:$Y$301, MATCH(ROUND(MIN(300,MAX(1,U472)),0), FactorTable!$A$2:$A$301,0), 22)</f>
        <v/>
      </c>
      <c r="V473" t="n">
        <v>0</v>
      </c>
    </row>
    <row r="474">
      <c r="A474">
        <f>Skills!A4</f>
        <v/>
      </c>
      <c r="B474">
        <f>Skills!B4</f>
        <v/>
      </c>
      <c r="C474">
        <f>Inputs!$B$3&gt;=66</f>
        <v/>
      </c>
      <c r="D474">
        <f>IF(Skills!C4=1,60+Inputs!$B$25+Inputs!$B$29,IF(Skills!C4=2,90+Inputs!$B$26+Inputs!$B$29,IF(Skills!C4=3,120+Inputs!$B$27+Inputs!$B$29,MAX(0,(Inputs!$B$3-100)*3)+Inputs!$B$28+Inputs!$B$29)))</f>
        <v/>
      </c>
      <c r="E474">
        <f>INDEX(FactorTable!$B$2:$Y$301, MATCH(ROUND(MIN(300,MAX(1,D474)),0), FactorTable!$A$2:$A$301,0), Skills!M4+1)</f>
        <v/>
      </c>
      <c r="F474">
        <f>IF(Skills!N4=TRUE,(Skills!L4/10)*(E474/1000),Skills!L4/10)+Skills!O4</f>
        <v/>
      </c>
      <c r="G474">
        <f>Skills!G4*IF(Skills!H4&gt;0,Skills!I4/Skills!H4,1)</f>
        <v/>
      </c>
      <c r="H474">
        <f>1-(1-Skills!J4/100)^Skills!K4</f>
        <v/>
      </c>
      <c r="I474" t="inlineStr">
        <is>
          <t>1</t>
        </is>
      </c>
      <c r="J474">
        <f>((Inputs!$B$6*(1+Inputs!$B$7/100))+(((Inputs!$B$12*(1+Inputs!$B$13/100))-(Inputs!$B$12*(1+Inputs!$B$13/100)))+0.25*(Inputs!$B$14-Inputs!$B$14))*(1+Inputs!$B$7/100))*(F474/100)</f>
        <v/>
      </c>
      <c r="K474">
        <f>J474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474)</f>
        <v/>
      </c>
      <c r="L474">
        <f>K474*(MIN((Inputs!$B$22+1)+((C494=TRUE)*(F494-Calc!F24)),(Inputs!$B$23+((C499=TRUE)*(F499-Calc!F29))+IF(ArtifactsInput!$M$15,CHOOSE(ArtifactsInput!$N$15+1,25,30,35,40,45,50)/100*(Inputs!$B$11-Inputs!$B$11),0)))/100+(Inputs!$B$23+((C499=TRUE)*(F499-Calc!F29))+IF(ArtifactsInput!$M$15,CHOOSE(ArtifactsInput!$N$15+1,25,30,35,40,45,50)/100*(Inputs!$B$11-Inputs!$B$11),0))/100)/2</f>
        <v/>
      </c>
      <c r="M474">
        <f>L474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IF(B515=0,0,O474/B515)</f>
        <v/>
      </c>
      <c r="Q474">
        <f>IFERROR(1/IF(Inputs!$B$39="pvp",15,MAX(0.1,Skills!D4-IF(Skills!E4=TRUE,Inputs!$B$32,0))),0)</f>
        <v/>
      </c>
      <c r="R474">
        <f>IF(AND(Inputs!$B$39&lt;&gt;"pvp",Inputs!$B$44&gt;0),IF(MAX(0,Inputs!$B$44-B514)&lt;=0,0,(INT(MAX(0,Inputs!$B$44-B514)/IF(Inputs!$B$39="pvp",15,MAX(0.1,Skills!D4-IF(Skills!E4=TRUE,Inputs!$B$32,0))))+1)),0)</f>
        <v/>
      </c>
      <c r="S474">
        <f>IFERROR(O474/N474,0)</f>
        <v/>
      </c>
      <c r="T474">
        <f>IF(C474,(H474*N474*IF(AND(Inputs!$B$39&lt;&gt;"pvp",Inputs!$B$44&gt;0),((Skills!G4*((R474-1)*IF(Skills!H4&gt;0,Skills!I4/Skills!H4,1)+IF(Skills!H4&gt;0,MIN(Skills!I4,MAX(0,MAX(0,Inputs!$B$44-B514)-((R474-1)*IF(Inputs!$B$39="pvp",15,MAX(0.1,Skills!D4-IF(Skills!E4=TRUE,Inputs!$B$32,0))))))/Skills!H4,1)))/Inputs!$B$44),G474*Q474))*IF(Inputs!$B$39="pvp",1,1+(Inputs!$B$20+0+Skills!P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474*(1-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4">
        <f>290*U473/1000</f>
        <v/>
      </c>
      <c r="V474">
        <f>IF(C474,(H474*N474*IF(AND(Inputs!$B$39&lt;&gt;"pvp",Inputs!$B$44&gt;0),((Skills!G4*((R474-1)*IF(Skills!H4&gt;0,Skills!I4/Skills!H4,1)+IF(Skills!H4&gt;0,MIN(Skills!I4,MAX(0,MAX(0,Inputs!$B$44-B514)-((R474-1)*IF(Inputs!$B$39="pvp",15,MAX(0.1,Skills!D4-IF(Skills!E4=TRUE,Inputs!$B$32,0))))))/Skills!H4,1)))/Inputs!$B$44),G474*Q474))*IF(Inputs!$B$39="pvp",1,(1+(Inputs!$B$21+Skills!Q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(10,0.5*B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Skills!A5</f>
        <v/>
      </c>
      <c r="B475">
        <f>Skills!B5</f>
        <v/>
      </c>
      <c r="C475">
        <f>Inputs!$B$3&gt;=63</f>
        <v/>
      </c>
      <c r="D475">
        <f>IF(Skills!C5=1,60+Inputs!$B$25+Inputs!$B$29,IF(Skills!C5=2,90+Inputs!$B$26+Inputs!$B$29,IF(Skills!C5=3,120+Inputs!$B$27+Inputs!$B$29,MAX(0,(Inputs!$B$3-100)*3)+Inputs!$B$28+Inputs!$B$29)))</f>
        <v/>
      </c>
      <c r="E475">
        <f>INDEX(FactorTable!$B$2:$Y$301, MATCH(ROUND(MIN(300,MAX(1,D475)),0), FactorTable!$A$2:$A$301,0), Skills!M5+1)</f>
        <v/>
      </c>
      <c r="F475">
        <f>IF(Skills!N5=TRUE,(Skills!L5/10)*(E475/1000),Skills!L5/10)+Skills!O5</f>
        <v/>
      </c>
      <c r="G475">
        <f>Skills!G5*IF(Skills!H5&gt;0,Skills!I5/Skills!H5,1)</f>
        <v/>
      </c>
      <c r="H475">
        <f>1-(1-Skills!J5/100)^Skills!K5</f>
        <v/>
      </c>
      <c r="I475" t="inlineStr">
        <is>
          <t>1</t>
        </is>
      </c>
      <c r="J475">
        <f>((Inputs!$B$6*(1+Inputs!$B$7/100))+(((Inputs!$B$12*(1+Inputs!$B$13/100))-(Inputs!$B$12*(1+Inputs!$B$13/100)))+0.25*(Inputs!$B$14-Inputs!$B$14))*(1+Inputs!$B$7/100))*(F475/100)</f>
        <v/>
      </c>
      <c r="K475">
        <f>J475*(1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488=TRUE,F488,0)/100)*(1+(IF(Skills!A5="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475)</f>
        <v/>
      </c>
      <c r="L475">
        <f>K475*(MIN((Inputs!$B$22+1)+((C494=TRUE)*(F494-Calc!F24)),(Inputs!$B$23+((C499=TRUE)*(F499-Calc!F29))+IF(ArtifactsInput!$M$15,CHOOSE(ArtifactsInput!$N$15+1,25,30,35,40,45,50)/100*(Inputs!$B$11-Inputs!$B$11),0)))/100+(Inputs!$B$23+((C499=TRUE)*(F499-Calc!F29))+IF(ArtifactsInput!$M$15,CHOOSE(ArtifactsInput!$N$15+1,25,30,35,40,45,50)/100*(Inputs!$B$11-Inputs!$B$11),0))/100)/2</f>
        <v/>
      </c>
      <c r="M475">
        <f>L475*(1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5">
        <f>L475*(1-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475*(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5">
        <f>(1-Summary!$B$11)*T475+Summary!$B$11*V475</f>
        <v/>
      </c>
      <c r="P475">
        <f>IF(B515=0,0,O475/B515)</f>
        <v/>
      </c>
      <c r="Q475">
        <f>IFERROR(1/IF(Inputs!$B$39="pvp",15,MAX(0.1,Skills!D5-IF(Skills!E5=TRUE,Inputs!$B$32,0))),0)</f>
        <v/>
      </c>
      <c r="R475">
        <f>IF(AND(Inputs!$B$39&lt;&gt;"pvp",Inputs!$B$44&gt;0),IF(MAX(0,Inputs!$B$44-B514)&lt;=0,0,(INT(MAX(0,Inputs!$B$44-B514)/IF(Inputs!$B$39="pvp",15,MAX(0.1,Skills!D5-IF(Skills!E5=TRUE,Inputs!$B$32,0))))+1)),0)</f>
        <v/>
      </c>
      <c r="S475">
        <f>IFERROR(O475/N475,0)</f>
        <v/>
      </c>
      <c r="T475">
        <f>IF(C475,(H475*N475*IF(AND(Inputs!$B$39&lt;&gt;"pvp",Inputs!$B$44&gt;0),((Skills!G5*((R475-1)*IF(Skills!H5&gt;0,Skills!I5/Skills!H5,1)+IF(Skills!H5&gt;0,MIN(Skills!I5,MAX(0,MAX(0,Inputs!$B$44-B514)-((R475-1)*IF(Inputs!$B$39="pvp",15,MAX(0.1,Skills!D5-IF(Skills!E5=TRUE,Inputs!$B$32,0))))))/Skills!H5,1)))/Inputs!$B$44),G475*Q475))*IF(Inputs!$B$39="pvp",1,1+(Inputs!$B$20+0+Skills!P5+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475*(1-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475*(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475*(1-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475*(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5">
        <f>IF(C475,(H475*N475*IF(AND(Inputs!$B$39&lt;&gt;"pvp",Inputs!$B$44&gt;0),((Skills!G5*((R475-1)*IF(Skills!H5&gt;0,Skills!I5/Skills!H5,1)+IF(Skills!H5&gt;0,MIN(Skills!I5,MAX(0,MAX(0,Inputs!$B$44-B514)-((R475-1)*IF(Inputs!$B$39="pvp",15,MAX(0.1,Skills!D5-IF(Skills!E5=TRUE,Inputs!$B$32,0))))))/Skills!H5,1)))/Inputs!$B$44),G475*Q475))*IF(Inputs!$B$39="pvp",1,(1+(Inputs!$B$21+Skills!Q5+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6">
      <c r="A476">
        <f>Skills!A6</f>
        <v/>
      </c>
      <c r="B476">
        <f>Skills!B6</f>
        <v/>
      </c>
      <c r="C476">
        <f>Inputs!$B$3&gt;=69</f>
        <v/>
      </c>
      <c r="D476">
        <f>IF(Skills!C6=1,60+Inputs!$B$25+Inputs!$B$29,IF(Skills!C6=2,90+Inputs!$B$26+Inputs!$B$29,IF(Skills!C6=3,120+Inputs!$B$27+Inputs!$B$29,MAX(0,(Inputs!$B$3-100)*3)+Inputs!$B$28+Inputs!$B$29)))</f>
        <v/>
      </c>
      <c r="E476">
        <f>INDEX(FactorTable!$B$2:$Y$301, MATCH(ROUND(MIN(300,MAX(1,D476)),0), FactorTable!$A$2:$A$301,0), Skills!M6+1)</f>
        <v/>
      </c>
      <c r="F476">
        <f>IF(Skills!N6=TRUE,(Skills!L6/10)*(E476/1000),Skills!L6/10)+Skills!O6</f>
        <v/>
      </c>
      <c r="G476">
        <f>Skills!G6*IF(Skills!H6&gt;0,Skills!I6/Skills!H6,1)</f>
        <v/>
      </c>
      <c r="H476">
        <f>1-(1-Skills!J6/100)^Skills!K6</f>
        <v/>
      </c>
      <c r="I476" t="inlineStr">
        <is>
          <t>1</t>
        </is>
      </c>
      <c r="J476">
        <f>((Inputs!$B$6*(1+Inputs!$B$7/100))+(((Inputs!$B$12*(1+Inputs!$B$13/100))-(Inputs!$B$12*(1+Inputs!$B$13/100)))+0.25*(Inputs!$B$14-Inputs!$B$14))*(1+Inputs!$B$7/100))*(F476/100)</f>
        <v/>
      </c>
      <c r="K476">
        <f>J476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488=TRUE,F488,0)/100)*(1+(IF(Skills!A6="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476)</f>
        <v/>
      </c>
      <c r="L476">
        <f>K476*(MIN((Inputs!$B$22+1)+((C494=TRUE)*(F494-Calc!F24)),(Inputs!$B$23+((C499=TRUE)*(F499-Calc!F29))+IF(ArtifactsInput!$M$15,CHOOSE(ArtifactsInput!$N$15+1,25,30,35,40,45,50)/100*(Inputs!$B$11-Inputs!$B$11),0)))/100+(Inputs!$B$23+((C499=TRUE)*(F499-Calc!F29))+IF(ArtifactsInput!$M$15,CHOOSE(ArtifactsInput!$N$15+1,25,30,35,40,45,50)/100*(Inputs!$B$11-Inputs!$B$11),0))/100)/2</f>
        <v/>
      </c>
      <c r="M476">
        <f>L476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IF(B515=0,0,O476/B515)</f>
        <v/>
      </c>
      <c r="Q476">
        <f>IFERROR(1/IF(Inputs!$B$39="pvp",15,MAX(0.1,Skills!D6-IF(Skills!E6=TRUE,Inputs!$B$32,0))),0)</f>
        <v/>
      </c>
      <c r="R476">
        <f>IF(AND(Inputs!$B$39&lt;&gt;"pvp",Inputs!$B$44&gt;0),IF(MAX(0,Inputs!$B$44-B514)&lt;=0,0,(INT(MAX(0,Inputs!$B$44-B514)/IF(Inputs!$B$39="pvp",15,MAX(0.1,Skills!D6-IF(Skills!E6=TRUE,Inputs!$B$32,0))))+1)),0)</f>
        <v/>
      </c>
      <c r="S476">
        <f>IFERROR(O476/N476,0)</f>
        <v/>
      </c>
      <c r="T476">
        <f>IF(C476,(H476*N476*IF(AND(Inputs!$B$39&lt;&gt;"pvp",Inputs!$B$44&gt;0),((Skills!G6*((R476-1)*IF(Skills!H6&gt;0,Skills!I6/Skills!H6,1)+IF(Skills!H6&gt;0,MIN(Skills!I6,MAX(0,MAX(0,Inputs!$B$44-B514)-((R476-1)*IF(Inputs!$B$39="pvp",15,MAX(0.1,Skills!D6-IF(Skills!E6=TRUE,Inputs!$B$32,0))))))/Skills!H6,1)))/Inputs!$B$44),G476*Q476))*IF(Inputs!$B$39="pvp",1,1+(Inputs!$B$20+0+Skills!P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476*(1-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6*((R476-1)*IF(Skills!H6&gt;0,Skills!I6/Skills!H6,1)+IF(Skills!H6&gt;0,MIN(Skills!I6,MAX(0,MAX(0,Inputs!$B$44-B514)-((R476-1)*IF(Inputs!$B$39="pvp",15,MAX(0.1,Skills!D6-IF(Skills!E6=TRUE,Inputs!$B$32,0))))))/Skills!H6,1)))/Inputs!$B$44),G476*Q476))*IF(Inputs!$B$39="pvp",1,(1+(Inputs!$B$21+Skills!Q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Skills!A7</f>
        <v/>
      </c>
      <c r="B477">
        <f>Skills!B7</f>
        <v/>
      </c>
      <c r="C477">
        <f>Inputs!$B$3&gt;=60</f>
        <v/>
      </c>
      <c r="D477">
        <f>IF(Skills!C7=1,60+Inputs!$B$25+Inputs!$B$29,IF(Skills!C7=2,90+Inputs!$B$26+Inputs!$B$29,IF(Skills!C7=3,120+Inputs!$B$27+Inputs!$B$29,MAX(0,(Inputs!$B$3-100)*3)+Inputs!$B$28+Inputs!$B$29)))</f>
        <v/>
      </c>
      <c r="E477">
        <f>INDEX(FactorTable!$B$2:$Y$301, MATCH(ROUND(MIN(300,MAX(1,D477)),0), FactorTable!$A$2:$A$301,0), Skills!M7+1)</f>
        <v/>
      </c>
      <c r="F477">
        <f>IF(Skills!N7=TRUE,(Skills!L7/10)*(E477/1000),Skills!L7/10)+Skills!O7</f>
        <v/>
      </c>
      <c r="G477">
        <f>Skills!G7*IF(Skills!H7&gt;0,Skills!I7/Skills!H7,1)</f>
        <v/>
      </c>
      <c r="H477">
        <f>1-(1-Skills!J7/100)^Skills!K7</f>
        <v/>
      </c>
      <c r="I477" t="inlineStr">
        <is>
          <t>1</t>
        </is>
      </c>
      <c r="J477" t="inlineStr"/>
      <c r="K477" t="inlineStr"/>
      <c r="L477" t="inlineStr"/>
      <c r="M477" t="inlineStr"/>
      <c r="N477" t="inlineStr"/>
      <c r="O477">
        <f>(1-Summary!$B$11)*T477+Summary!$B$11*V477</f>
        <v/>
      </c>
      <c r="P477">
        <f>IF(B515=0,0,O477/B515)</f>
        <v/>
      </c>
      <c r="Q477" t="n">
        <v>0</v>
      </c>
      <c r="R477" t="n">
        <v>0</v>
      </c>
      <c r="S477">
        <f>IFERROR(O477/N477,0)</f>
        <v/>
      </c>
      <c r="T477" t="n">
        <v>0</v>
      </c>
      <c r="V477" t="n">
        <v>0</v>
      </c>
    </row>
    <row r="478">
      <c r="A478">
        <f>Skills!A8</f>
        <v/>
      </c>
      <c r="B478">
        <f>Skills!B8</f>
        <v/>
      </c>
      <c r="C478">
        <f>Inputs!$B$3&gt;=72</f>
        <v/>
      </c>
      <c r="D478">
        <f>IF(Skills!C8=1,60+Inputs!$B$25+Inputs!$B$29,IF(Skills!C8=2,90+Inputs!$B$26+Inputs!$B$29,IF(Skills!C8=3,120+Inputs!$B$27+Inputs!$B$29,MAX(0,(Inputs!$B$3-100)*3)+Inputs!$B$28+Inputs!$B$29)))</f>
        <v/>
      </c>
      <c r="E478">
        <f>INDEX(FactorTable!$B$2:$Y$301, MATCH(ROUND(MIN(300,MAX(1,D478)),0), FactorTable!$A$2:$A$301,0), Skills!M8+1)</f>
        <v/>
      </c>
      <c r="F478">
        <f>IF(Skills!N8=TRUE,(Skills!L8/10)*(E478/1000),Skills!L8/10)+Skills!O8</f>
        <v/>
      </c>
      <c r="G478">
        <f>Skills!G8*IF(Skills!H8&gt;0,Skills!I8/Skills!H8,1)</f>
        <v/>
      </c>
      <c r="H478">
        <f>1-(1-Skills!J8/100)^Skills!K8</f>
        <v/>
      </c>
      <c r="I478" t="inlineStr">
        <is>
          <t>1</t>
        </is>
      </c>
      <c r="J478">
        <f>((Inputs!$B$6*(1+Inputs!$B$7/100))+(((Inputs!$B$12*(1+Inputs!$B$13/100))-(Inputs!$B$12*(1+Inputs!$B$13/100)))+0.25*(Inputs!$B$14-Inputs!$B$14))*(1+Inputs!$B$7/100))*(F478/100)</f>
        <v/>
      </c>
      <c r="K478">
        <f>J478*(1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488=TRUE,F488,0)/100)*(1+(IF(Skills!A8="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478)</f>
        <v/>
      </c>
      <c r="L478">
        <f>K478*(MIN((Inputs!$B$22+1)+((C494=TRUE)*(F494-Calc!F24)),(Inputs!$B$23+((C499=TRUE)*(F499-Calc!F29))+IF(ArtifactsInput!$M$15,CHOOSE(ArtifactsInput!$N$15+1,25,30,35,40,45,50)/100*(Inputs!$B$11-Inputs!$B$11),0)))/100+(Inputs!$B$23+((C499=TRUE)*(F499-Calc!F29))+IF(ArtifactsInput!$M$15,CHOOSE(ArtifactsInput!$N$15+1,25,30,35,40,45,50)/100*(Inputs!$B$11-Inputs!$B$11),0))/100)/2</f>
        <v/>
      </c>
      <c r="M478">
        <f>L478*(1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IF(B515=0,0,O478/B515)</f>
        <v/>
      </c>
      <c r="Q478">
        <f>IFERROR(1/IF(Inputs!$B$39="pvp",15,MAX(0.1,Skills!D8-IF(Skills!E8=TRUE,Inputs!$B$32,0))),0)</f>
        <v/>
      </c>
      <c r="R478">
        <f>IF(AND(Inputs!$B$39&lt;&gt;"pvp",Inputs!$B$44&gt;0),IF(MAX(0,Inputs!$B$44-B514)&lt;=0,0,(INT(MAX(0,Inputs!$B$44-B514)/IF(Inputs!$B$39="pvp",15,MAX(0.1,Skills!D8-IF(Skills!E8=TRUE,Inputs!$B$32,0))))+1)),0)</f>
        <v/>
      </c>
      <c r="S478">
        <f>IFERROR(O478/N478,0)</f>
        <v/>
      </c>
      <c r="T478">
        <f>IF(C478,(H478*N478*IF(AND(Inputs!$B$39&lt;&gt;"pvp",Inputs!$B$44&gt;0),((Skills!G8*((R478-1)*IF(Skills!H8&gt;0,Skills!I8/Skills!H8,1)+IF(Skills!H8&gt;0,MIN(Skills!I8,MAX(0,MAX(0,Inputs!$B$44-B514)-((R478-1)*IF(Inputs!$B$39="pvp",15,MAX(0.1,Skills!D8-IF(Skills!E8=TRUE,Inputs!$B$32,0))))))/Skills!H8,1)))/Inputs!$B$44),G478*Q478))*IF(Inputs!$B$39="pvp",1,1+(Inputs!$B$20+0+Skills!P8+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478*(1-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8*((R478-1)*IF(Skills!H8&gt;0,Skills!I8/Skills!H8,1)+IF(Skills!H8&gt;0,MIN(Skills!I8,MAX(0,MAX(0,Inputs!$B$44-B514)-((R478-1)*IF(Inputs!$B$39="pvp",15,MAX(0.1,Skills!D8-IF(Skills!E8=TRUE,Inputs!$B$32,0))))))/Skills!H8,1)))/Inputs!$B$44),G478*Q478))*IF(Inputs!$B$39="pvp",1,(1+(Inputs!$B$21+Skills!Q8+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Skills!A9</f>
        <v/>
      </c>
      <c r="B479">
        <f>Skills!B9</f>
        <v/>
      </c>
      <c r="C479">
        <f>Inputs!$B$3&gt;=117</f>
        <v/>
      </c>
      <c r="D479">
        <f>IF(Skills!C9=1,60+Inputs!$B$25+Inputs!$B$29,IF(Skills!C9=2,90+Inputs!$B$26+Inputs!$B$29,IF(Skills!C9=3,120+Inputs!$B$27+Inputs!$B$29,MAX(0,(Inputs!$B$3-100)*3)+Inputs!$B$28+Inputs!$B$29)))</f>
        <v/>
      </c>
      <c r="E479">
        <f>INDEX(FactorTable!$B$2:$Y$301, MATCH(ROUND(MIN(300,MAX(1,D479)),0), FactorTable!$A$2:$A$301,0), Skills!M9+1)</f>
        <v/>
      </c>
      <c r="F479">
        <f>IF(Skills!N9=TRUE,(Skills!L9/10)*(E479/1000),Skills!L9/10)+Skills!O9</f>
        <v/>
      </c>
      <c r="G479">
        <f>Skills!G9*IF(Skills!H9&gt;0,Skills!I9/Skills!H9,1)</f>
        <v/>
      </c>
      <c r="H479">
        <f>1-(1-Skills!J9/100)^Skills!K9</f>
        <v/>
      </c>
      <c r="I479" t="inlineStr">
        <is>
          <t>1</t>
        </is>
      </c>
      <c r="J479">
        <f>((Inputs!$B$6*(1+Inputs!$B$7/100))+(((Inputs!$B$12*(1+Inputs!$B$13/100))-(Inputs!$B$12*(1+Inputs!$B$13/100)))+0.25*(Inputs!$B$14-Inputs!$B$14))*(1+Inputs!$B$7/100))*(F479/100)</f>
        <v/>
      </c>
      <c r="K479">
        <f>J479*(1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479)</f>
        <v/>
      </c>
      <c r="L479">
        <f>K479*(MIN((Inputs!$B$22+1)+((C494=TRUE)*(F494-Calc!F24)),(Inputs!$B$23+((C499=TRUE)*(F499-Calc!F29))+IF(ArtifactsInput!$M$15,CHOOSE(ArtifactsInput!$N$15+1,25,30,35,40,45,50)/100*(Inputs!$B$11-Inputs!$B$11),0)))/100+(Inputs!$B$23+((C499=TRUE)*(F499-Calc!F29))+IF(ArtifactsInput!$M$15,CHOOSE(ArtifactsInput!$N$15+1,25,30,35,40,45,50)/100*(Inputs!$B$11-Inputs!$B$11),0))/100)/2</f>
        <v/>
      </c>
      <c r="M479">
        <f>L479*(1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9">
        <f>L479*(1-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(1-Summary!$B$11)*T479+Summary!$B$11*V479</f>
        <v/>
      </c>
      <c r="P479">
        <f>IF(B515=0,0,O479/B515)</f>
        <v/>
      </c>
      <c r="Q479" t="n">
        <v>0</v>
      </c>
      <c r="R479" t="n">
        <v>0</v>
      </c>
      <c r="S479" t="n">
        <v>0</v>
      </c>
      <c r="T479">
        <f>IF(C479,(0.2*SUMPRODUCT((Skills!Z2:Z30=TRUE)*(C472:C500=TRUE)*S472:S500)*N479)*IF(Inputs!$B$39="pvp",1,1+(Inputs!$B$20+0+Skills!P9+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479*(1-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9">
        <f>IF(C479,(0.2*SUMPRODUCT((Skills!Z2:Z30=TRUE)*(C472:C500=TRUE)*S472:S500)*N479)*IF(Inputs!$B$39="pvp",1,(1+(Inputs!$B$21+Skills!Q9+B504+(IF(ArtifactsInput!$M$33,CHOOSE(ArtifactsInput!$N$33+1,30,36,42,48,54,60),0))+(IF(AND(ArtifactsInput!$M$35,Inputs!$B$4&lt;&gt;"Chapter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Skills!A10</f>
        <v/>
      </c>
      <c r="B480">
        <f>Skills!B10</f>
        <v/>
      </c>
      <c r="C480">
        <f>Inputs!$B$3&gt;=74</f>
        <v/>
      </c>
      <c r="D480">
        <f>IF(Skills!C10=1,60+Inputs!$B$25+Inputs!$B$29,IF(Skills!C10=2,90+Inputs!$B$26+Inputs!$B$29,IF(Skills!C10=3,120+Inputs!$B$27+Inputs!$B$29,MAX(0,(Inputs!$B$3-100)*3)+Inputs!$B$28+Inputs!$B$29)))</f>
        <v/>
      </c>
      <c r="E480">
        <f>INDEX(FactorTable!$B$2:$Y$301, MATCH(ROUND(MIN(300,MAX(1,D480)),0), FactorTable!$A$2:$A$301,0), Skills!M10+1)</f>
        <v/>
      </c>
      <c r="F480">
        <f>IF(Skills!N10=TRUE,(Skills!L10/10)*(E480/1000),Skills!L10/10)+Skills!O10</f>
        <v/>
      </c>
      <c r="G480">
        <f>Skills!G10*IF(Skills!H10&gt;0,Skills!I10/Skills!H10,1)</f>
        <v/>
      </c>
      <c r="H480">
        <f>1-(1-Skills!J10/100)^Skills!K10</f>
        <v/>
      </c>
      <c r="I480" t="inlineStr">
        <is>
          <t>1</t>
        </is>
      </c>
      <c r="J480" t="inlineStr"/>
      <c r="K480" t="inlineStr"/>
      <c r="L480" t="inlineStr"/>
      <c r="M480" t="inlineStr"/>
      <c r="N480" t="inlineStr"/>
      <c r="O480">
        <f>(1-Summary!$B$11)*T480+Summary!$B$11*V480</f>
        <v/>
      </c>
      <c r="P480">
        <f>IF(B515=0,0,O480/B515)</f>
        <v/>
      </c>
      <c r="Q480">
        <f>IFERROR(1/IF(Inputs!$B$39="pvp",15,MAX(0.1,Skills!D10-IF(Skills!E10=TRUE,Inputs!$B$32,0))),0)</f>
        <v/>
      </c>
      <c r="R480">
        <f>IF(AND(Inputs!$B$39&lt;&gt;"pvp",Inputs!$B$44&gt;0),IF(Inputs!$B$44&lt;=0,0,(INT(Inputs!$B$44/IF(Inputs!$B$39="pvp",15,MAX(0.1,Skills!D10-IF(Skills!E10=TRUE,Inputs!$B$32,0))))+1)),0)</f>
        <v/>
      </c>
      <c r="S480">
        <f>IFERROR(O480/N480,0)</f>
        <v/>
      </c>
      <c r="T480" t="n">
        <v>0</v>
      </c>
      <c r="V480" t="n">
        <v>0</v>
      </c>
    </row>
    <row r="481">
      <c r="A481">
        <f>Skills!A11</f>
        <v/>
      </c>
      <c r="B481">
        <f>Skills!B11</f>
        <v/>
      </c>
      <c r="C481">
        <f>Inputs!$B$3&gt;=103</f>
        <v/>
      </c>
      <c r="D481">
        <f>IF(Skills!C11=1,60+Inputs!$B$25+Inputs!$B$29,IF(Skills!C11=2,90+Inputs!$B$26+Inputs!$B$29,IF(Skills!C11=3,120+Inputs!$B$27+Inputs!$B$29,MAX(0,(Inputs!$B$3-100)*3)+Inputs!$B$28+Inputs!$B$29)))</f>
        <v/>
      </c>
      <c r="E481">
        <f>INDEX(FactorTable!$B$2:$Y$301, MATCH(ROUND(MIN(300,MAX(1,D481)),0), FactorTable!$A$2:$A$301,0), Skills!M11+1)</f>
        <v/>
      </c>
      <c r="F481">
        <f>(Skills!L11/10)*(E481/1000)+IF(Inputs!$B$3&gt;=134,50,0)+0.5*(30000/10)*(INDEX(FactorTable!$B$2:$Y$301, MATCH(ROUND(MIN(300,MAX(1,D481)),0), FactorTable!$A$2:$A$301,0), 13)/1000)*B513</f>
        <v/>
      </c>
      <c r="G481">
        <f>Skills!G11*IF(Skills!H11&gt;0,Skills!I11/Skills!H11,1)</f>
        <v/>
      </c>
      <c r="H481">
        <f>1-(1-Skills!J11/100)^Skills!K11</f>
        <v/>
      </c>
      <c r="I481" t="inlineStr">
        <is>
          <t>1</t>
        </is>
      </c>
      <c r="J481">
        <f>((Inputs!$B$6*(1+Inputs!$B$7/100))+(((Inputs!$B$12*(1+Inputs!$B$13/100))-(Inputs!$B$12*(1+Inputs!$B$13/100)))+0.25*(Inputs!$B$14-Inputs!$B$14))*(1+Inputs!$B$7/100))*(F481/100)</f>
        <v/>
      </c>
      <c r="K481">
        <f>J481*(1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481)</f>
        <v/>
      </c>
      <c r="L481">
        <f>K481*(MIN((Inputs!$B$22+1)+((C494=TRUE)*(F494-Calc!F24)),(Inputs!$B$23+((C499=TRUE)*(F499-Calc!F29))+IF(ArtifactsInput!$M$15,CHOOSE(ArtifactsInput!$N$15+1,25,30,35,40,45,50)/100*(Inputs!$B$11-Inputs!$B$11),0)))/100+(Inputs!$B$23+((C499=TRUE)*(F499-Calc!F29))+IF(ArtifactsInput!$M$15,CHOOSE(ArtifactsInput!$N$15+1,25,30,35,40,45,50)/100*(Inputs!$B$11-Inputs!$B$11),0))/100)/2</f>
        <v/>
      </c>
      <c r="M481">
        <f>L481*(1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IF(B515=0,0,O481/B515)</f>
        <v/>
      </c>
      <c r="Q481">
        <f>IFERROR(1/IF(Inputs!$B$39="pvp",15,MAX(0.1,Skills!D11-IF(Skills!E11=TRUE,Inputs!$B$32,0))),0)</f>
        <v/>
      </c>
      <c r="R481">
        <f>IF(AND(Inputs!$B$39&lt;&gt;"pvp",Inputs!$B$44&gt;0),IF(MAX(0,Inputs!$B$44-B514)&lt;=0,0,(INT(MAX(0,Inputs!$B$44-B514)/IF(Inputs!$B$39="pvp",15,MAX(0.1,Skills!D11-IF(Skills!E11=TRUE,Inputs!$B$32,0))))+1)),0)</f>
        <v/>
      </c>
      <c r="S481">
        <f>IFERROR(O481/N481,0)</f>
        <v/>
      </c>
      <c r="T481">
        <f>IF(C481,(H481*N481*IF(AND(Inputs!$B$39&lt;&gt;"pvp",Inputs!$B$44&gt;0),((Skills!G11*((R481-1)*IF(Skills!H11&gt;0,Skills!I11/Skills!H11,1)+IF(Skills!H11&gt;0,MIN(Skills!I11,MAX(0,MAX(0,Inputs!$B$44-B514)-((R481-1)*IF(Inputs!$B$39="pvp",15,MAX(0.1,Skills!D11-IF(Skills!E11=TRUE,Inputs!$B$32,0))))))/Skills!H11,1)))/Inputs!$B$44),G481*Q481))*IF(Inputs!$B$39="pvp",1,1+(Inputs!$B$20+0+Skills!P11+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481*(1-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H481*N481*IF(AND(Inputs!$B$39&lt;&gt;"pvp",Inputs!$B$44&gt;0),((Skills!G11*((R481-1)*IF(Skills!H11&gt;0,Skills!I11/Skills!H11,1)+IF(Skills!H11&gt;0,MIN(Skills!I11,MAX(0,MAX(0,Inputs!$B$44-B514)-((R481-1)*IF(Inputs!$B$39="pvp",15,MAX(0.1,Skills!D11-IF(Skills!E11=TRUE,Inputs!$B$32,0))))))/Skills!H11,1)))/Inputs!$B$44),G481*Q481))*IF(Inputs!$B$39="pvp",1,(1+(Inputs!$B$21+Skills!Q11+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Skills!A12</f>
        <v/>
      </c>
      <c r="B482">
        <f>Skills!B12</f>
        <v/>
      </c>
      <c r="C482">
        <f>Inputs!$B$3&gt;=105</f>
        <v/>
      </c>
      <c r="D482">
        <f>IF(Skills!C12=1,60+Inputs!$B$25+Inputs!$B$29,IF(Skills!C12=2,90+Inputs!$B$26+Inputs!$B$29,IF(Skills!C12=3,120+Inputs!$B$27+Inputs!$B$29,MAX(0,(Inputs!$B$3-100)*3)+Inputs!$B$28+Inputs!$B$29)))</f>
        <v/>
      </c>
      <c r="E482">
        <f>INDEX(FactorTable!$B$2:$Y$301, MATCH(ROUND(MIN(300,MAX(1,D482)),0), FactorTable!$A$2:$A$301,0), Skills!M12+1)</f>
        <v/>
      </c>
      <c r="F482">
        <f>IF(Skills!N12=TRUE,(Skills!L12/10)*(E482/1000),Skills!L12/10)+Skills!O12</f>
        <v/>
      </c>
      <c r="G482">
        <f>Skills!G12*IF(Skills!H12&gt;0,Skills!I12/Skills!H12,1)</f>
        <v/>
      </c>
      <c r="H482">
        <f>1-(1-Skills!J12/100)^Skills!K12</f>
        <v/>
      </c>
      <c r="I482" t="inlineStr">
        <is>
          <t>1</t>
        </is>
      </c>
      <c r="J482">
        <f>((Inputs!$B$6*(1+Inputs!$B$7/100))+(((Inputs!$B$12*(1+Inputs!$B$13/100))-(Inputs!$B$12*(1+Inputs!$B$13/100)))+0.25*(Inputs!$B$14-Inputs!$B$14))*(1+Inputs!$B$7/100))*(F482/100)</f>
        <v/>
      </c>
      <c r="K482">
        <f>J482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482)</f>
        <v/>
      </c>
      <c r="L482">
        <f>K482*(MIN((Inputs!$B$22+1)+((C494=TRUE)*(F494-Calc!F24)),(Inputs!$B$23+((C499=TRUE)*(F499-Calc!F29))+IF(ArtifactsInput!$M$15,CHOOSE(ArtifactsInput!$N$15+1,25,30,35,40,45,50)/100*(Inputs!$B$11-Inputs!$B$11),0)))/100+(Inputs!$B$23+((C499=TRUE)*(F499-Calc!F29))+IF(ArtifactsInput!$M$15,CHOOSE(ArtifactsInput!$N$15+1,25,30,35,40,45,50)/100*(Inputs!$B$11-Inputs!$B$11),0))/100)/2</f>
        <v/>
      </c>
      <c r="M482">
        <f>L482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2">
        <f>L482*(1-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482*(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2">
        <f>(1-Summary!$B$11)*T482+Summary!$B$11*V482</f>
        <v/>
      </c>
      <c r="P482">
        <f>IF(B515=0,0,O482/B515)</f>
        <v/>
      </c>
      <c r="Q482">
        <f>IFERROR(1/IF(Inputs!$B$39="pvp",15,MAX(0.1,Skills!D12-IF(Skills!E12=TRUE,Inputs!$B$32,0))),0)</f>
        <v/>
      </c>
      <c r="R482">
        <f>IF(AND(Inputs!$B$39&lt;&gt;"pvp",Inputs!$B$44&gt;0),IF(MAX(0,Inputs!$B$44-B514)&lt;=0,0,(INT(MAX(0,Inputs!$B$44-B514)/IF(Inputs!$B$39="pvp",15,MAX(0.1,Skills!D12-IF(Skills!E12=TRUE,Inputs!$B$32,0))))+1)),0)</f>
        <v/>
      </c>
      <c r="S482">
        <f>IFERROR(O482/N482,0)</f>
        <v/>
      </c>
      <c r="T482">
        <f>IF(C482,(H482*N482*IF(AND(Inputs!$B$39&lt;&gt;"pvp",Inputs!$B$44&gt;0),((Skills!G12*((R482-1)*IF(Skills!H12&gt;0,Skills!I12/Skills!H12,1)+IF(Skills!H12&gt;0,MIN(Skills!I12,MAX(0,MAX(0,Inputs!$B$44-B514)-((R482-1)*IF(Inputs!$B$39="pvp",15,MAX(0.1,Skills!D12-IF(Skills!E12=TRUE,Inputs!$B$32,0))))))/Skills!H12,1)))/Inputs!$B$44),G482*Q482))*IF(Inputs!$B$39="pvp",1,1+(Inputs!$B$20+0+Skills!P12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482*(1-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482*(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482*(1-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482*(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2">
        <f>IF(C482,(H482*N482*IF(AND(Inputs!$B$39&lt;&gt;"pvp",Inputs!$B$44&gt;0),((Skills!G12*((R482-1)*IF(Skills!H12&gt;0,Skills!I12/Skills!H12,1)+IF(Skills!H12&gt;0,MIN(Skills!I12,MAX(0,MAX(0,Inputs!$B$44-B514)-((R482-1)*IF(Inputs!$B$39="pvp",15,MAX(0.1,Skills!D12-IF(Skills!E12=TRUE,Inputs!$B$32,0))))))/Skills!H12,1)))/Inputs!$B$44),G482*Q482))*IF(Inputs!$B$39="pvp",1,(1+(Inputs!$B$21+Skills!Q12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3">
      <c r="A483">
        <f>Skills!A13</f>
        <v/>
      </c>
      <c r="B483">
        <f>Skills!B13</f>
        <v/>
      </c>
      <c r="C483">
        <f>Inputs!$B$3&gt;=105</f>
        <v/>
      </c>
      <c r="D483">
        <f>IF(Skills!C13=1,60+Inputs!$B$25+Inputs!$B$29,IF(Skills!C13=2,90+Inputs!$B$26+Inputs!$B$29,IF(Skills!C13=3,120+Inputs!$B$27+Inputs!$B$29,MAX(0,(Inputs!$B$3-100)*3)+Inputs!$B$28+Inputs!$B$29)))</f>
        <v/>
      </c>
      <c r="E483">
        <f>INDEX(FactorTable!$B$2:$Y$301, MATCH(ROUND(MIN(300,MAX(1,D483)),0), FactorTable!$A$2:$A$301,0), Skills!M13+1)</f>
        <v/>
      </c>
      <c r="F483">
        <f>IF(Skills!N13=TRUE,(Skills!L13/10)*(E483/1000),Skills!L13/10)+Skills!O13</f>
        <v/>
      </c>
      <c r="G483">
        <f>Skills!G13*IF(Skills!H13&gt;0,Skills!I13/Skills!H13,1)</f>
        <v/>
      </c>
      <c r="H483">
        <f>1-(1-Skills!J13/100)^Skills!K13</f>
        <v/>
      </c>
      <c r="I483" t="inlineStr">
        <is>
          <t>1</t>
        </is>
      </c>
      <c r="J483">
        <f>((Inputs!$B$6*(1+Inputs!$B$7/100))+(((Inputs!$B$12*(1+Inputs!$B$13/100))-(Inputs!$B$12*(1+Inputs!$B$13/100)))+0.25*(Inputs!$B$14-Inputs!$B$14))*(1+Inputs!$B$7/100))*(F483/100)</f>
        <v/>
      </c>
      <c r="K483">
        <f>J483*(1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483)</f>
        <v/>
      </c>
      <c r="L483">
        <f>K483*(MIN((Inputs!$B$22+1)+((C494=TRUE)*(F494-Calc!F24)),(Inputs!$B$23+((C499=TRUE)*(F499-Calc!F29))+IF(ArtifactsInput!$M$15,CHOOSE(ArtifactsInput!$N$15+1,25,30,35,40,45,50)/100*(Inputs!$B$11-Inputs!$B$11),0)))/100+(Inputs!$B$23+((C499=TRUE)*(F499-Calc!F29))+IF(ArtifactsInput!$M$15,CHOOSE(ArtifactsInput!$N$15+1,25,30,35,40,45,50)/100*(Inputs!$B$11-Inputs!$B$11),0))/100)/2</f>
        <v/>
      </c>
      <c r="M483">
        <f>L483*(1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3">
        <f>L483*(1-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(1-Summary!$B$11)*T483+Summary!$B$11*V483</f>
        <v/>
      </c>
      <c r="P483">
        <f>IF(B515=0,0,O483/B515)</f>
        <v/>
      </c>
      <c r="Q483">
        <f>IFERROR(1/IF(Inputs!$B$39="pvp",15,MAX(0.1,Skills!D13-IF(Skills!E13=TRUE,Inputs!$B$32,0))),0)</f>
        <v/>
      </c>
      <c r="R483">
        <f>IF(AND(Inputs!$B$39&lt;&gt;"pvp",Inputs!$B$44&gt;0),IF(MAX(0,Inputs!$B$44-B514)&lt;=0,0,(INT(MAX(0,Inputs!$B$44-B514)/IF(Inputs!$B$39="pvp",15,MAX(0.1,Skills!D13-IF(Skills!E13=TRUE,Inputs!$B$32,0))))+1)),0)</f>
        <v/>
      </c>
      <c r="S483">
        <f>IFERROR(O483/N483,0)</f>
        <v/>
      </c>
      <c r="T483">
        <f>IF(C483,(H483*N483*IF(AND(Inputs!$B$39&lt;&gt;"pvp",Inputs!$B$44&gt;0),((Skills!G13*((R483-1)*IF(Skills!H13&gt;0,Skills!I13/Skills!H13,1)+IF(Skills!H13&gt;0,MIN(Skills!I13,MAX(0,MAX(0,Inputs!$B$44-B514)-((R483-1)*IF(Inputs!$B$39="pvp",15,MAX(0.1,Skills!D13-IF(Skills!E13=TRUE,Inputs!$B$32,0))))))/Skills!H13,1)))/Inputs!$B$44),G483*Q483))*IF(Inputs!$B$39="pvp",1,1+(Inputs!$B$20+0+Skills!P13+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483*(1-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3">
        <f>IF(C483,(H483*N483*IF(AND(Inputs!$B$39&lt;&gt;"pvp",Inputs!$B$44&gt;0),((Skills!G13*((R483-1)*IF(Skills!H13&gt;0,Skills!I13/Skills!H13,1)+IF(Skills!H13&gt;0,MIN(Skills!I13,MAX(0,MAX(0,Inputs!$B$44-B514)-((R483-1)*IF(Inputs!$B$39="pvp",15,MAX(0.1,Skills!D13-IF(Skills!E13=TRUE,Inputs!$B$32,0))))))/Skills!H13,1)))/Inputs!$B$44),G483*Q483))*IF(Inputs!$B$39="pvp",1,(1+(Inputs!$B$21+Skills!Q13+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Skills!A14</f>
        <v/>
      </c>
      <c r="B484">
        <f>Skills!B14</f>
        <v/>
      </c>
      <c r="C484">
        <f>Inputs!$B$3&gt;=107</f>
        <v/>
      </c>
      <c r="D484">
        <f>IF(Skills!C14=1,60+Inputs!$B$25+Inputs!$B$29,IF(Skills!C14=2,90+Inputs!$B$26+Inputs!$B$29,IF(Skills!C14=3,120+Inputs!$B$27+Inputs!$B$29,MAX(0,(Inputs!$B$3-100)*3)+Inputs!$B$28+Inputs!$B$29)))</f>
        <v/>
      </c>
      <c r="E484">
        <f>INDEX(FactorTable!$B$2:$Y$301, MATCH(ROUND(MIN(300,MAX(1,D484)),0), FactorTable!$A$2:$A$301,0), Skills!M14+1)</f>
        <v/>
      </c>
      <c r="F484">
        <f>IF(Skills!N14=TRUE,(Skills!L14/10)*(E484/1000),Skills!L14/10)+Skills!O14</f>
        <v/>
      </c>
      <c r="G484">
        <f>Skills!G14*IF(Skills!H14&gt;0,Skills!I14/Skills!H14,1)</f>
        <v/>
      </c>
      <c r="H484">
        <f>1-(1-Skills!J14/100)^Skills!K14</f>
        <v/>
      </c>
      <c r="I484" t="inlineStr">
        <is>
          <t>1</t>
        </is>
      </c>
      <c r="J484">
        <f>((Inputs!$B$6*(1+Inputs!$B$7/100))+(((Inputs!$B$12*(1+Inputs!$B$13/100))-(Inputs!$B$12*(1+Inputs!$B$13/100)))+0.25*(Inputs!$B$14-Inputs!$B$14))*(1+Inputs!$B$7/100))*(F484/100)</f>
        <v/>
      </c>
      <c r="K484">
        <f>J484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484)</f>
        <v/>
      </c>
      <c r="L484">
        <f>K484*(MIN((Inputs!$B$22+1)+((C494=TRUE)*(F494-Calc!F24)),(Inputs!$B$23+((C499=TRUE)*(F499-Calc!F29))+IF(ArtifactsInput!$M$15,CHOOSE(ArtifactsInput!$N$15+1,25,30,35,40,45,50)/100*(Inputs!$B$11-Inputs!$B$11),0)))/100+(Inputs!$B$23+((C499=TRUE)*(F499-Calc!F29))+IF(ArtifactsInput!$M$15,CHOOSE(ArtifactsInput!$N$15+1,25,30,35,40,45,50)/100*(Inputs!$B$11-Inputs!$B$11),0))/100)/2</f>
        <v/>
      </c>
      <c r="M484">
        <f>L484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4">
        <f>L484*(1-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(1-Summary!$B$11)*T484+Summary!$B$11*V484</f>
        <v/>
      </c>
      <c r="P484">
        <f>IF(B515=0,0,O484/B515)</f>
        <v/>
      </c>
      <c r="Q484">
        <f>IFERROR(1/IF(Inputs!$B$39="pvp",15,MAX(0.1,Skills!D14-IF(Skills!E14=TRUE,Inputs!$B$32,0))),0)</f>
        <v/>
      </c>
      <c r="R484">
        <f>IF(AND(Inputs!$B$39&lt;&gt;"pvp",Inputs!$B$44&gt;0),IF(MAX(0,Inputs!$B$44-B514)&lt;=0,0,(INT(MAX(0,Inputs!$B$44-B514)/IF(Inputs!$B$39="pvp",15,MAX(0.1,Skills!D14-IF(Skills!E14=TRUE,Inputs!$B$32,0))))+1)),0)</f>
        <v/>
      </c>
      <c r="S484">
        <f>IFERROR(O484/N484,0)</f>
        <v/>
      </c>
      <c r="T484">
        <f>IF(C484,(H484*N484*IF(AND(Inputs!$B$39&lt;&gt;"pvp",Inputs!$B$44&gt;0),((Skills!G14*((R484-1)*IF(Skills!H14&gt;0,Skills!I14/Skills!H14,1)+IF(Skills!H14&gt;0,MIN(Skills!I14,MAX(0,MAX(0,Inputs!$B$44-B514)-((R484-1)*IF(Inputs!$B$39="pvp",15,MAX(0.1,Skills!D14-IF(Skills!E14=TRUE,Inputs!$B$32,0))))))/Skills!H14,1)))/Inputs!$B$44),G484*Q484))*IF(Inputs!$B$39="pvp",1,1+(Inputs!$B$20+0+Skills!P14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484*(1-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4">
        <f>IF(C484,(H484*N484*IF(AND(Inputs!$B$39&lt;&gt;"pvp",Inputs!$B$44&gt;0),((Skills!G14*((R484-1)*IF(Skills!H14&gt;0,Skills!I14/Skills!H14,1)+IF(Skills!H14&gt;0,MIN(Skills!I14,MAX(0,MAX(0,Inputs!$B$44-B514)-((R484-1)*IF(Inputs!$B$39="pvp",15,MAX(0.1,Skills!D14-IF(Skills!E14=TRUE,Inputs!$B$32,0))))))/Skills!H14,1)))/Inputs!$B$44),G484*Q484))*IF(Inputs!$B$39="pvp",1,(1+(Inputs!$B$21+Skills!Q14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(5,0.25*B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5">
      <c r="A485">
        <f>Skills!A15</f>
        <v/>
      </c>
      <c r="B485">
        <f>Skills!B15</f>
        <v/>
      </c>
      <c r="C485">
        <f>Inputs!$B$3&gt;=110</f>
        <v/>
      </c>
      <c r="D485">
        <f>IF(Skills!C15=1,60+Inputs!$B$25+Inputs!$B$29,IF(Skills!C15=2,90+Inputs!$B$26+Inputs!$B$29,IF(Skills!C15=3,120+Inputs!$B$27+Inputs!$B$29,MAX(0,(Inputs!$B$3-100)*3)+Inputs!$B$28+Inputs!$B$29)))</f>
        <v/>
      </c>
      <c r="E485">
        <f>INDEX(FactorTable!$B$2:$Y$301, MATCH(ROUND(MIN(300,MAX(1,D485)),0), FactorTable!$A$2:$A$301,0), Skills!M15+1)</f>
        <v/>
      </c>
      <c r="F485">
        <f>IF(Skills!N15=TRUE,(Skills!L15/10)*(E485/1000),Skills!L15/10)+Skills!O15</f>
        <v/>
      </c>
      <c r="G485">
        <f>Skills!G15*IF(Skills!H15&gt;0,Skills!I15/Skills!H15,1)</f>
        <v/>
      </c>
      <c r="H485">
        <f>1-(1-Skills!J15/100)^Skills!K15</f>
        <v/>
      </c>
      <c r="I485" t="inlineStr">
        <is>
          <t>1</t>
        </is>
      </c>
      <c r="J485" t="inlineStr"/>
      <c r="K485" t="inlineStr"/>
      <c r="L485" t="inlineStr"/>
      <c r="M485" t="inlineStr"/>
      <c r="N485" t="inlineStr"/>
      <c r="O485">
        <f>(1-Summary!$B$11)*T485+Summary!$B$11*V485</f>
        <v/>
      </c>
      <c r="P485">
        <f>IF(B515=0,0,O485/B515)</f>
        <v/>
      </c>
      <c r="Q485">
        <f>IFERROR(1/IF(Inputs!$B$39="pvp",15,MAX(0.1,Skills!D15-IF(Skills!E15=TRUE,Inputs!$B$32,0))),0)</f>
        <v/>
      </c>
      <c r="R485">
        <f>IF(AND(Inputs!$B$39&lt;&gt;"pvp",Inputs!$B$44&gt;0),IF(Inputs!$B$44&lt;=0,0,(INT(Inputs!$B$44/IF(Inputs!$B$39="pvp",15,MAX(0.1,Skills!D15-IF(Skills!E15=TRUE,Inputs!$B$32,0))))+1)),0)</f>
        <v/>
      </c>
      <c r="S485">
        <f>IFERROR(O485/N485,0)</f>
        <v/>
      </c>
      <c r="T485" t="n">
        <v>0</v>
      </c>
      <c r="V485" t="n">
        <v>0</v>
      </c>
    </row>
    <row r="486">
      <c r="A486">
        <f>Skills!A16</f>
        <v/>
      </c>
      <c r="B486">
        <f>Skills!B16</f>
        <v/>
      </c>
      <c r="C486">
        <f>Inputs!$B$3&gt;=115</f>
        <v/>
      </c>
      <c r="D486">
        <f>IF(Skills!C16=1,60+Inputs!$B$25+Inputs!$B$29,IF(Skills!C16=2,90+Inputs!$B$26+Inputs!$B$29,IF(Skills!C16=3,120+Inputs!$B$27+Inputs!$B$29,MAX(0,(Inputs!$B$3-100)*3)+Inputs!$B$28+Inputs!$B$29)))</f>
        <v/>
      </c>
      <c r="E486">
        <f>INDEX(FactorTable!$B$2:$Y$301, MATCH(ROUND(MIN(300,MAX(1,D486)),0), FactorTable!$A$2:$A$301,0), Skills!M16+1)</f>
        <v/>
      </c>
      <c r="F486">
        <f>IF(Skills!N16=TRUE,(Skills!L16/10)*(E486/1000),Skills!L16/10)+Skills!O16</f>
        <v/>
      </c>
      <c r="G486">
        <f>Skills!G16*IF(Skills!H16&gt;0,Skills!I16/Skills!H16,1)</f>
        <v/>
      </c>
      <c r="H486">
        <f>1-(1-Skills!J16/100)^Skills!K16</f>
        <v/>
      </c>
      <c r="I486" t="inlineStr">
        <is>
          <t>1</t>
        </is>
      </c>
      <c r="J486">
        <f>((Inputs!$B$6*(1+Inputs!$B$7/100))+(((Inputs!$B$12*(1+Inputs!$B$13/100))-(Inputs!$B$12*(1+Inputs!$B$13/100)))+0.25*(Inputs!$B$14-Inputs!$B$14))*(1+Inputs!$B$7/100))*(F486/100)</f>
        <v/>
      </c>
      <c r="K486">
        <f>J486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497=TRUE)*(F497-Calc!F27))+((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486)</f>
        <v/>
      </c>
      <c r="L486">
        <f>K486*(MIN((Inputs!$B$22+1)+((C494=TRUE)*(F494-Calc!F24)),(Inputs!$B$23+((C499=TRUE)*(F499-Calc!F29))+IF(ArtifactsInput!$M$15,CHOOSE(ArtifactsInput!$N$15+1,25,30,35,40,45,50)/100*(Inputs!$B$11-Inputs!$B$11),0)))/100+(Inputs!$B$23+((C499=TRUE)*(F499-Calc!F29))+IF(ArtifactsInput!$M$15,CHOOSE(ArtifactsInput!$N$15+1,25,30,35,40,45,50)/100*(Inputs!$B$11-Inputs!$B$11),0))/100)/2</f>
        <v/>
      </c>
      <c r="M486">
        <f>L486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6">
        <f>L486*(1-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(1-Summary!$B$11)*T486+Summary!$B$11*V486</f>
        <v/>
      </c>
      <c r="P486">
        <f>IF(B515=0,0,O486/B515)</f>
        <v/>
      </c>
      <c r="Q486" t="n">
        <v>0</v>
      </c>
      <c r="R486" t="n">
        <v>0</v>
      </c>
      <c r="S486">
        <f>IFERROR(O486/N486,0)</f>
        <v/>
      </c>
      <c r="T486">
        <f>IF(C486,(Inputs!$B$38*0.2*N486)*IF(Inputs!$B$39="pvp",1,1+(Inputs!$B$20+0+Skills!P16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486*(1-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$9+((C495=TRUE)*(F495-Calc!F25))+B503+(ArtifactsInput!$M$24-ArtifactsInput!$M$24)*CHOOSE(ArtifactsInput!$N$24+1,10,12,14,16,18,20)+(IF(AND(Inputs!$B$39&lt;&gt;"pvp",Inputs!$B$44=0),1,IF(IF(Inputs!$B$39="pvp",15,Inputs!$B$44)-(B514)&lt;=0,1,MAX(0,IF(Inputs!$B$39="pvp",15,Inputs!$B$44)-MAX(5,B514))/(IF(Inputs!$B$39="pvp",15,Inputs!$B$44)-(B514))))*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6">
        <f>IF(C486,(Inputs!$B$38*0.2*N486)*IF(Inputs!$B$39="pvp",1,(1+(Inputs!$B$21+Skills!Q16+B504+(IF(ArtifactsInput!$M$33,CHOOSE(ArtifactsInput!$N$33+1,30,36,42,48,54,60),0))+(IF(AND(ArtifactsInput!$M$35,Inputs!$B$4&lt;&gt;"Chapter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Skills!A17</f>
        <v/>
      </c>
      <c r="B487">
        <f>Skills!B17</f>
        <v/>
      </c>
      <c r="C487">
        <f>Inputs!$B$3&gt;=115</f>
        <v/>
      </c>
      <c r="D487">
        <f>IF(Skills!C17=1,60+Inputs!$B$25+Inputs!$B$29,IF(Skills!C17=2,90+Inputs!$B$26+Inputs!$B$29,IF(Skills!C17=3,120+Inputs!$B$27+Inputs!$B$29,MAX(0,(Inputs!$B$3-100)*3)+Inputs!$B$28+Inputs!$B$29)))</f>
        <v/>
      </c>
      <c r="E487">
        <f>INDEX(FactorTable!$B$2:$Y$301, MATCH(ROUND(MIN(300,MAX(1,D487)),0), FactorTable!$A$2:$A$301,0), Skills!M17+1)</f>
        <v/>
      </c>
      <c r="F487">
        <f>IF(Skills!N17=TRUE,(Skills!L17/10)*(E487/1000),Skills!L17/10)+Skills!O17</f>
        <v/>
      </c>
      <c r="G487">
        <f>Skills!G17*IF(Skills!H17&gt;0,Skills!I17/Skills!H17,1)</f>
        <v/>
      </c>
      <c r="H487">
        <f>1-(1-Skills!J17/100)^Skills!K17</f>
        <v/>
      </c>
      <c r="I487" t="inlineStr">
        <is>
          <t>1</t>
        </is>
      </c>
      <c r="J487" t="inlineStr"/>
      <c r="K487" t="inlineStr"/>
      <c r="L487" t="inlineStr"/>
      <c r="M487" t="inlineStr"/>
      <c r="N487" t="inlineStr"/>
      <c r="O487">
        <f>(1-Summary!$B$11)*T487+Summary!$B$11*V487</f>
        <v/>
      </c>
      <c r="P487">
        <f>IF(B515=0,0,O487/B515)</f>
        <v/>
      </c>
      <c r="Q487" t="n">
        <v>0</v>
      </c>
      <c r="R487" t="n">
        <v>0</v>
      </c>
      <c r="S487">
        <f>IFERROR(O487/N487,0)</f>
        <v/>
      </c>
      <c r="T487" t="n">
        <v>0</v>
      </c>
      <c r="V487" t="n">
        <v>0</v>
      </c>
    </row>
    <row r="488">
      <c r="A488">
        <f>Skills!A18</f>
        <v/>
      </c>
      <c r="B488">
        <f>Skills!B18</f>
        <v/>
      </c>
      <c r="C488">
        <f>Inputs!$B$3&gt;=100</f>
        <v/>
      </c>
      <c r="D488">
        <f>IF(Skills!C18=1,60+Inputs!$B$25+Inputs!$B$29,IF(Skills!C18=2,90+Inputs!$B$26+Inputs!$B$29,IF(Skills!C18=3,120+Inputs!$B$27+Inputs!$B$29,MAX(0,(Inputs!$B$3-100)*3)+Inputs!$B$28+Inputs!$B$29)))</f>
        <v/>
      </c>
      <c r="E488">
        <f>INDEX(FactorTable!$B$2:$Y$301, MATCH(ROUND(MIN(300,MAX(1,D488)),0), FactorTable!$A$2:$A$301,0), Skills!M18+1)</f>
        <v/>
      </c>
      <c r="F488">
        <f>IF(Skills!N18=TRUE,(Skills!L18/10)*(E488/1000),Skills!L18/10)+Skills!O18</f>
        <v/>
      </c>
      <c r="G488">
        <f>Skills!G18*IF(Skills!H18&gt;0,Skills!I18/Skills!H18,1)</f>
        <v/>
      </c>
      <c r="H488">
        <f>1-(1-Skills!J18/100)^Skills!K18</f>
        <v/>
      </c>
      <c r="I488" t="inlineStr">
        <is>
          <t>1</t>
        </is>
      </c>
      <c r="J488" t="inlineStr"/>
      <c r="K488" t="inlineStr"/>
      <c r="L488" t="inlineStr"/>
      <c r="M488" t="inlineStr"/>
      <c r="N488" t="inlineStr"/>
      <c r="O488">
        <f>(1-Summary!$B$11)*T488+Summary!$B$11*V488</f>
        <v/>
      </c>
      <c r="P488">
        <f>IF(B515=0,0,O488/B515)</f>
        <v/>
      </c>
      <c r="Q488" t="n">
        <v>0</v>
      </c>
      <c r="R488" t="n">
        <v>0</v>
      </c>
      <c r="S488">
        <f>IFERROR(O488/N488,0)</f>
        <v/>
      </c>
      <c r="T488" t="n">
        <v>0</v>
      </c>
      <c r="V488" t="n">
        <v>0</v>
      </c>
    </row>
    <row r="489">
      <c r="A489">
        <f>Skills!A19</f>
        <v/>
      </c>
      <c r="B489">
        <f>Skills!B19</f>
        <v/>
      </c>
      <c r="C489">
        <f>TRUE</f>
        <v/>
      </c>
      <c r="D489">
        <f>IF(Skills!C19=1,60+Inputs!$B$25+Inputs!$B$29,IF(Skills!C19=2,90+Inputs!$B$26+Inputs!$B$29,IF(Skills!C19=3,120+Inputs!$B$27+Inputs!$B$29,MAX(0,(Inputs!$B$3-100)*3)+Inputs!$B$28+Inputs!$B$29)))</f>
        <v/>
      </c>
      <c r="E489">
        <f>INDEX(FactorTable!$B$2:$Y$301, MATCH(ROUND(MIN(300,MAX(1,D489)),0), FactorTable!$A$2:$A$301,0), Skills!M19+1)</f>
        <v/>
      </c>
      <c r="F489">
        <f>IF(Skills!N19=TRUE,(Skills!L19/10)*(E489/1000),Skills!L19/10)+Skills!O19</f>
        <v/>
      </c>
      <c r="G489">
        <f>Skills!G19*IF(Skills!H19&gt;0,Skills!I19/Skills!H19,1)</f>
        <v/>
      </c>
      <c r="H489">
        <f>1-(1-Skills!J19/100)^Skills!K19</f>
        <v/>
      </c>
      <c r="I489" t="inlineStr">
        <is>
          <t>1</t>
        </is>
      </c>
      <c r="J489" t="inlineStr"/>
      <c r="K489" t="inlineStr"/>
      <c r="L489" t="inlineStr"/>
      <c r="M489" t="inlineStr"/>
      <c r="N489" t="inlineStr"/>
      <c r="O489">
        <f>(1-Summary!$B$11)*T489+Summary!$B$11*V489</f>
        <v/>
      </c>
      <c r="P489">
        <f>IF(B515=0,0,O489/B515)</f>
        <v/>
      </c>
      <c r="Q489">
        <f>IFERROR(1/IF(Inputs!$B$39="pvp",15,MAX(0.1,Skills!D19-IF(Skills!E19=TRUE,Inputs!$B$32,0))),0)</f>
        <v/>
      </c>
      <c r="R489">
        <f>IF(AND(Inputs!$B$39&lt;&gt;"pvp",Inputs!$B$44&gt;0),IF(Inputs!$B$44&lt;=0,0,(INT(Inputs!$B$44/IF(Inputs!$B$39="pvp",15,MAX(0.1,Skills!D19-IF(Skills!E19=TRUE,Inputs!$B$32,0))))+1)),0)</f>
        <v/>
      </c>
      <c r="S489">
        <f>IFERROR(O489/N489,0)</f>
        <v/>
      </c>
      <c r="T489" t="n">
        <v>0</v>
      </c>
      <c r="V489" t="n">
        <v>0</v>
      </c>
    </row>
    <row r="490">
      <c r="A490">
        <f>Skills!A20</f>
        <v/>
      </c>
      <c r="B490">
        <f>Skills!B20</f>
        <v/>
      </c>
      <c r="C490">
        <f>Inputs!$B$3&gt;=15</f>
        <v/>
      </c>
      <c r="D490">
        <f>IF(Skills!C20=1,60+Inputs!$B$25+Inputs!$B$29,IF(Skills!C20=2,90+Inputs!$B$26+Inputs!$B$29,IF(Skills!C20=3,120+Inputs!$B$27+Inputs!$B$29,MAX(0,(Inputs!$B$3-100)*3)+Inputs!$B$28+Inputs!$B$29)))</f>
        <v/>
      </c>
      <c r="E490">
        <f>INDEX(FactorTable!$B$2:$Y$301, MATCH(ROUND(MIN(300,MAX(1,D490)),0), FactorTable!$A$2:$A$301,0), Skills!M20+1)</f>
        <v/>
      </c>
      <c r="F490">
        <f>IF(Skills!N20=TRUE,(Skills!L20/10)*(E490/1000),Skills!L20/10)+Skills!O20</f>
        <v/>
      </c>
      <c r="G490">
        <f>Skills!G20*IF(Skills!H20&gt;0,Skills!I20/Skills!H20,1)</f>
        <v/>
      </c>
      <c r="H490">
        <f>1-(1-Skills!J20/100)^Skills!K20</f>
        <v/>
      </c>
      <c r="I490" t="inlineStr">
        <is>
          <t>1</t>
        </is>
      </c>
      <c r="J490" t="inlineStr"/>
      <c r="K490" t="inlineStr"/>
      <c r="L490" t="inlineStr"/>
      <c r="M490" t="inlineStr"/>
      <c r="N490" t="inlineStr"/>
      <c r="O490">
        <f>(1-Summary!$B$11)*T490+Summary!$B$11*V490</f>
        <v/>
      </c>
      <c r="P490">
        <f>IF(B515=0,0,O490/B515)</f>
        <v/>
      </c>
      <c r="Q490">
        <f>IFERROR(1/IF(Inputs!$B$39="pvp",15,MAX(0.1,Skills!D20-IF(Skills!E20=TRUE,Inputs!$B$32,0))),0)</f>
        <v/>
      </c>
      <c r="R490">
        <f>IF(AND(Inputs!$B$39&lt;&gt;"pvp",Inputs!$B$44&gt;0),IF(Inputs!$B$44&lt;=0,0,(INT(Inputs!$B$44/IF(Inputs!$B$39="pvp",15,MAX(0.1,Skills!D20-IF(Skills!E20=TRUE,Inputs!$B$32,0))))+1)),0)</f>
        <v/>
      </c>
      <c r="S490">
        <f>IFERROR(O490/N490,0)</f>
        <v/>
      </c>
      <c r="T490" t="n">
        <v>0</v>
      </c>
      <c r="V490" t="n">
        <v>0</v>
      </c>
    </row>
    <row r="491">
      <c r="A491">
        <f>Skills!A21</f>
        <v/>
      </c>
      <c r="B491">
        <f>Skills!B21</f>
        <v/>
      </c>
      <c r="C491">
        <f>Inputs!$B$3&gt;=15</f>
        <v/>
      </c>
      <c r="D491">
        <f>IF(Skills!C21=1,60+Inputs!$B$25+Inputs!$B$29,IF(Skills!C21=2,90+Inputs!$B$26+Inputs!$B$29,IF(Skills!C21=3,120+Inputs!$B$27+Inputs!$B$29,MAX(0,(Inputs!$B$3-100)*3)+Inputs!$B$28+Inputs!$B$29)))</f>
        <v/>
      </c>
      <c r="E491">
        <f>INDEX(FactorTable!$B$2:$Y$301, MATCH(ROUND(MIN(300,MAX(1,D491)),0), FactorTable!$A$2:$A$301,0), Skills!M21+1)</f>
        <v/>
      </c>
      <c r="F491">
        <f>IF(Skills!N21=TRUE,(Skills!L21/10)*(E491/1000),Skills!L21/10)+Skills!O21</f>
        <v/>
      </c>
      <c r="G491">
        <f>Skills!G21*IF(Skills!H21&gt;0,Skills!I21/Skills!H21,1)</f>
        <v/>
      </c>
      <c r="H491">
        <f>1-(1-Skills!J21/100)^Skills!K21</f>
        <v/>
      </c>
      <c r="I491" t="inlineStr">
        <is>
          <t>1</t>
        </is>
      </c>
      <c r="J491" t="inlineStr"/>
      <c r="K491" t="inlineStr"/>
      <c r="L491" t="inlineStr"/>
      <c r="M491" t="inlineStr"/>
      <c r="N491" t="inlineStr"/>
      <c r="O491">
        <f>(1-Summary!$B$11)*T491+Summary!$B$11*V491</f>
        <v/>
      </c>
      <c r="P491">
        <f>IF(B515=0,0,O491/B515)</f>
        <v/>
      </c>
      <c r="Q491">
        <f>IFERROR(1/IF(Inputs!$B$39="pvp",15,MAX(0.1,Skills!D21-IF(Skills!E21=TRUE,Inputs!$B$32,0))),0)</f>
        <v/>
      </c>
      <c r="R491">
        <f>IF(AND(Inputs!$B$39&lt;&gt;"pvp",Inputs!$B$44&gt;0),IF(Inputs!$B$44&lt;=0,0,(INT(Inputs!$B$44/IF(Inputs!$B$39="pvp",15,MAX(0.1,Skills!D21-IF(Skills!E21=TRUE,Inputs!$B$32,0))))+1)),0)</f>
        <v/>
      </c>
      <c r="S491">
        <f>IFERROR(O491/N491,0)</f>
        <v/>
      </c>
      <c r="T491" t="n">
        <v>0</v>
      </c>
      <c r="V491" t="n">
        <v>0</v>
      </c>
    </row>
    <row r="492">
      <c r="A492">
        <f>Skills!A22</f>
        <v/>
      </c>
      <c r="B492">
        <f>Skills!B22</f>
        <v/>
      </c>
      <c r="C492">
        <f>Inputs!$B$3&gt;=33</f>
        <v/>
      </c>
      <c r="D492">
        <f>IF(Skills!C22=1,60+Inputs!$B$25+Inputs!$B$29,IF(Skills!C22=2,90+Inputs!$B$26+Inputs!$B$29,IF(Skills!C22=3,120+Inputs!$B$27+Inputs!$B$29,MAX(0,(Inputs!$B$3-100)*3)+Inputs!$B$28+Inputs!$B$29)))</f>
        <v/>
      </c>
      <c r="E492">
        <f>INDEX(FactorTable!$B$2:$Y$301, MATCH(ROUND(MIN(300,MAX(1,D492)),0), FactorTable!$A$2:$A$301,0), Skills!M22+1)</f>
        <v/>
      </c>
      <c r="F492">
        <f>IF(Skills!N22=TRUE,(Skills!L22/10)*(E492/1000),Skills!L22/10)+Skills!O22</f>
        <v/>
      </c>
      <c r="G492">
        <f>Skills!G22*IF(Skills!H22&gt;0,Skills!I22/Skills!H22,1)</f>
        <v/>
      </c>
      <c r="H492">
        <f>1-(1-Skills!J22/100)^Skills!K22</f>
        <v/>
      </c>
      <c r="I492" t="inlineStr">
        <is>
          <t>1</t>
        </is>
      </c>
      <c r="J492" t="inlineStr"/>
      <c r="K492" t="inlineStr"/>
      <c r="L492" t="inlineStr"/>
      <c r="M492" t="inlineStr"/>
      <c r="N492" t="inlineStr"/>
      <c r="O492">
        <f>(1-Summary!$B$11)*T492+Summary!$B$11*V492</f>
        <v/>
      </c>
      <c r="P492">
        <f>IF(B515=0,0,O492/B515)</f>
        <v/>
      </c>
      <c r="Q492" t="n">
        <v>0</v>
      </c>
      <c r="R492" t="n">
        <v>0</v>
      </c>
      <c r="S492">
        <f>IFERROR(O492/N492,0)</f>
        <v/>
      </c>
      <c r="T492" t="n">
        <v>0</v>
      </c>
      <c r="V492" t="n">
        <v>0</v>
      </c>
    </row>
    <row r="493">
      <c r="A493">
        <f>Skills!A23</f>
        <v/>
      </c>
      <c r="B493">
        <f>Skills!B23</f>
        <v/>
      </c>
      <c r="C493">
        <f>Inputs!$B$3&gt;=40</f>
        <v/>
      </c>
      <c r="D493">
        <f>IF(Skills!C23=1,60+Inputs!$B$25+Inputs!$B$29,IF(Skills!C23=2,90+Inputs!$B$26+Inputs!$B$29,IF(Skills!C23=3,120+Inputs!$B$27+Inputs!$B$29,MAX(0,(Inputs!$B$3-100)*3)+Inputs!$B$28+Inputs!$B$29)))</f>
        <v/>
      </c>
      <c r="E493">
        <f>INDEX(FactorTable!$B$2:$Y$301, MATCH(ROUND(MIN(300,MAX(1,D493)),0), FactorTable!$A$2:$A$301,0), Skills!M23+1)</f>
        <v/>
      </c>
      <c r="F493">
        <f>IF(Skills!N23=TRUE,(Skills!L23/10)*(E493/1000),Skills!L23/10)+Skills!O23</f>
        <v/>
      </c>
      <c r="G493">
        <f>Skills!G23*IF(Skills!H23&gt;0,Skills!I23/Skills!H23,1)</f>
        <v/>
      </c>
      <c r="H493">
        <f>1-(1-Skills!J23/100)^Skills!K23</f>
        <v/>
      </c>
      <c r="I493" t="inlineStr">
        <is>
          <t>1</t>
        </is>
      </c>
      <c r="J493" t="inlineStr"/>
      <c r="K493" t="inlineStr"/>
      <c r="L493" t="inlineStr"/>
      <c r="M493" t="inlineStr"/>
      <c r="N493" t="inlineStr"/>
      <c r="O493">
        <f>(1-Summary!$B$11)*T493+Summary!$B$11*V493</f>
        <v/>
      </c>
      <c r="P493">
        <f>IF(B515=0,0,O493/B515)</f>
        <v/>
      </c>
      <c r="Q493" t="n">
        <v>0</v>
      </c>
      <c r="R493" t="n">
        <v>0</v>
      </c>
      <c r="S493">
        <f>IFERROR(O493/N493,0)</f>
        <v/>
      </c>
      <c r="T493" t="n">
        <v>0</v>
      </c>
      <c r="V493" t="n">
        <v>0</v>
      </c>
    </row>
    <row r="494">
      <c r="A494">
        <f>Skills!A24</f>
        <v/>
      </c>
      <c r="B494">
        <f>Skills!B24</f>
        <v/>
      </c>
      <c r="C494">
        <f>Inputs!$B$3&gt;=43</f>
        <v/>
      </c>
      <c r="D494">
        <f>IF(Skills!C24=1,60+Inputs!$B$25+Inputs!$B$29,IF(Skills!C24=2,90+Inputs!$B$26+Inputs!$B$29,IF(Skills!C24=3,120+Inputs!$B$27+Inputs!$B$29,MAX(0,(Inputs!$B$3-100)*3)+Inputs!$B$28+Inputs!$B$29)))</f>
        <v/>
      </c>
      <c r="E494">
        <f>INDEX(FactorTable!$B$2:$Y$301, MATCH(ROUND(MIN(300,MAX(1,D494)),0), FactorTable!$A$2:$A$301,0), Skills!M24+1)</f>
        <v/>
      </c>
      <c r="F494">
        <f>IF(Skills!N24=TRUE,(Skills!L24/10)*(E494/1000),Skills!L24/10)+Skills!O24</f>
        <v/>
      </c>
      <c r="G494">
        <f>Skills!G24*IF(Skills!H24&gt;0,Skills!I24/Skills!H24,1)</f>
        <v/>
      </c>
      <c r="H494">
        <f>1-(1-Skills!J24/100)^Skills!K24</f>
        <v/>
      </c>
      <c r="I494" t="inlineStr">
        <is>
          <t>1</t>
        </is>
      </c>
      <c r="J494" t="inlineStr"/>
      <c r="K494" t="inlineStr"/>
      <c r="L494" t="inlineStr"/>
      <c r="M494" t="inlineStr"/>
      <c r="N494" t="inlineStr"/>
      <c r="O494">
        <f>(1-Summary!$B$11)*T494+Summary!$B$11*V494</f>
        <v/>
      </c>
      <c r="P494">
        <f>IF(B515=0,0,O494/B515)</f>
        <v/>
      </c>
      <c r="Q494" t="n">
        <v>0</v>
      </c>
      <c r="R494" t="n">
        <v>0</v>
      </c>
      <c r="S494">
        <f>IFERROR(O494/N494,0)</f>
        <v/>
      </c>
      <c r="T494" t="n">
        <v>0</v>
      </c>
      <c r="V494" t="n">
        <v>0</v>
      </c>
    </row>
    <row r="495">
      <c r="A495">
        <f>Skills!A25</f>
        <v/>
      </c>
      <c r="B495">
        <f>Skills!B25</f>
        <v/>
      </c>
      <c r="C495">
        <f>Inputs!$B$3&gt;=50</f>
        <v/>
      </c>
      <c r="D495">
        <f>IF(Skills!C25=1,60+Inputs!$B$25+Inputs!$B$29,IF(Skills!C25=2,90+Inputs!$B$26+Inputs!$B$29,IF(Skills!C25=3,120+Inputs!$B$27+Inputs!$B$29,MAX(0,(Inputs!$B$3-100)*3)+Inputs!$B$28+Inputs!$B$29)))</f>
        <v/>
      </c>
      <c r="E495">
        <f>INDEX(FactorTable!$B$2:$Y$301, MATCH(ROUND(MIN(300,MAX(1,D495)),0), FactorTable!$A$2:$A$301,0), Skills!M25+1)</f>
        <v/>
      </c>
      <c r="F495">
        <f>IF(Skills!N25=TRUE,(Skills!L25/10)*(E495/1000),Skills!L25/10)+Skills!O25</f>
        <v/>
      </c>
      <c r="G495">
        <f>Skills!G25*IF(Skills!H25&gt;0,Skills!I25/Skills!H25,1)</f>
        <v/>
      </c>
      <c r="H495">
        <f>1-(1-Skills!J25/100)^Skills!K25</f>
        <v/>
      </c>
      <c r="I495" t="inlineStr">
        <is>
          <t>1</t>
        </is>
      </c>
      <c r="J495" t="inlineStr"/>
      <c r="K495" t="inlineStr"/>
      <c r="L495" t="inlineStr"/>
      <c r="M495" t="inlineStr"/>
      <c r="N495" t="inlineStr"/>
      <c r="O495">
        <f>(1-Summary!$B$11)*T495+Summary!$B$11*V495</f>
        <v/>
      </c>
      <c r="P495">
        <f>IF(B515=0,0,O495/B515)</f>
        <v/>
      </c>
      <c r="Q495" t="n">
        <v>0</v>
      </c>
      <c r="R495" t="n">
        <v>0</v>
      </c>
      <c r="S495">
        <f>IFERROR(O495/N495,0)</f>
        <v/>
      </c>
      <c r="T495" t="n">
        <v>0</v>
      </c>
      <c r="V495" t="n">
        <v>0</v>
      </c>
    </row>
    <row r="496">
      <c r="A496">
        <f>Skills!A26</f>
        <v/>
      </c>
      <c r="B496">
        <f>Skills!B26</f>
        <v/>
      </c>
      <c r="C496">
        <f>Inputs!$B$3&gt;=50</f>
        <v/>
      </c>
      <c r="D496">
        <f>IF(Skills!C26=1,60+Inputs!$B$25+Inputs!$B$29,IF(Skills!C26=2,90+Inputs!$B$26+Inputs!$B$29,IF(Skills!C26=3,120+Inputs!$B$27+Inputs!$B$29,MAX(0,(Inputs!$B$3-100)*3)+Inputs!$B$28+Inputs!$B$29)))</f>
        <v/>
      </c>
      <c r="E496">
        <f>INDEX(FactorTable!$B$2:$Y$301, MATCH(ROUND(MIN(300,MAX(1,D496)),0), FactorTable!$A$2:$A$301,0), Skills!M26+1)</f>
        <v/>
      </c>
      <c r="F496">
        <f>IF(Skills!N26=TRUE,(Skills!L26/10)*(E496/1000),Skills!L26/10)+Skills!O26</f>
        <v/>
      </c>
      <c r="G496">
        <f>Skills!G26*IF(Skills!H26&gt;0,Skills!I26/Skills!H26,1)</f>
        <v/>
      </c>
      <c r="H496">
        <f>1-(1-Skills!J26/100)^Skills!K26</f>
        <v/>
      </c>
      <c r="I496" t="inlineStr">
        <is>
          <t>1</t>
        </is>
      </c>
      <c r="J496" t="inlineStr"/>
      <c r="K496" t="inlineStr"/>
      <c r="L496" t="inlineStr"/>
      <c r="M496" t="inlineStr"/>
      <c r="N496" t="inlineStr"/>
      <c r="O496">
        <f>(1-Summary!$B$11)*T496+Summary!$B$11*V496</f>
        <v/>
      </c>
      <c r="P496">
        <f>IF(B515=0,0,O496/B515)</f>
        <v/>
      </c>
      <c r="Q496" t="n">
        <v>0</v>
      </c>
      <c r="R496" t="n">
        <v>0</v>
      </c>
      <c r="S496">
        <f>IFERROR(O496/N496,0)</f>
        <v/>
      </c>
      <c r="T496" t="n">
        <v>0</v>
      </c>
      <c r="V496" t="n">
        <v>0</v>
      </c>
    </row>
    <row r="497">
      <c r="A497">
        <f>Skills!A27</f>
        <v/>
      </c>
      <c r="B497">
        <f>Skills!B27</f>
        <v/>
      </c>
      <c r="C497">
        <f>Inputs!$B$3&gt;=38</f>
        <v/>
      </c>
      <c r="D497">
        <f>IF(Skills!C27=1,60+Inputs!$B$25+Inputs!$B$29,IF(Skills!C27=2,90+Inputs!$B$26+Inputs!$B$29,IF(Skills!C27=3,120+Inputs!$B$27+Inputs!$B$29,MAX(0,(Inputs!$B$3-100)*3)+Inputs!$B$28+Inputs!$B$29)))</f>
        <v/>
      </c>
      <c r="E497">
        <f>INDEX(FactorTable!$B$2:$Y$301, MATCH(ROUND(MIN(300,MAX(1,D497)),0), FactorTable!$A$2:$A$301,0), Skills!M27+1)</f>
        <v/>
      </c>
      <c r="F497">
        <f>IF(Skills!N27=TRUE,(Skills!L27/10)*(E497/1000),Skills!L27/10)+Skills!O27</f>
        <v/>
      </c>
      <c r="G497">
        <f>Skills!G27*IF(Skills!H27&gt;0,Skills!I27/Skills!H27,1)</f>
        <v/>
      </c>
      <c r="H497">
        <f>1-(1-Skills!J27/100)^Skills!K27</f>
        <v/>
      </c>
      <c r="I497" t="inlineStr">
        <is>
          <t>1</t>
        </is>
      </c>
      <c r="J497" t="inlineStr"/>
      <c r="K497" t="inlineStr"/>
      <c r="L497" t="inlineStr"/>
      <c r="M497" t="inlineStr"/>
      <c r="N497" t="inlineStr"/>
      <c r="O497">
        <f>(1-Summary!$B$11)*T497+Summary!$B$11*V497</f>
        <v/>
      </c>
      <c r="P497">
        <f>IF(B515=0,0,O497/B515)</f>
        <v/>
      </c>
      <c r="Q497" t="n">
        <v>0</v>
      </c>
      <c r="R497" t="n">
        <v>0</v>
      </c>
      <c r="S497">
        <f>IFERROR(O497/N497,0)</f>
        <v/>
      </c>
      <c r="T497" t="n">
        <v>0</v>
      </c>
      <c r="V497" t="n">
        <v>0</v>
      </c>
    </row>
    <row r="498">
      <c r="A498">
        <f>Skills!A28</f>
        <v/>
      </c>
      <c r="B498">
        <f>Skills!B28</f>
        <v/>
      </c>
      <c r="C498">
        <f>Inputs!$B$3&gt;=120</f>
        <v/>
      </c>
      <c r="D498">
        <f>IF(Skills!C28=1,60+Inputs!$B$25+Inputs!$B$29,IF(Skills!C28=2,90+Inputs!$B$26+Inputs!$B$29,IF(Skills!C28=3,120+Inputs!$B$27+Inputs!$B$29,MAX(0,(Inputs!$B$3-100)*3)+Inputs!$B$28+Inputs!$B$29)))</f>
        <v/>
      </c>
      <c r="E498">
        <f>INDEX(FactorTable!$B$2:$Y$301, MATCH(ROUND(MIN(300,MAX(1,D498)),0), FactorTable!$A$2:$A$301,0), Skills!M28+1)</f>
        <v/>
      </c>
      <c r="F498">
        <f>IF(Skills!N28=TRUE,(Skills!L28/10)*(E498/1000),Skills!L28/10)+Skills!O28</f>
        <v/>
      </c>
      <c r="G498">
        <f>Skills!G28*IF(Skills!H28&gt;0,Skills!I28/Skills!H28,1)</f>
        <v/>
      </c>
      <c r="H498">
        <f>1-(1-Skills!J28/100)^Skills!K28</f>
        <v/>
      </c>
      <c r="I498" t="inlineStr">
        <is>
          <t>1</t>
        </is>
      </c>
      <c r="J498" t="inlineStr"/>
      <c r="K498" t="inlineStr"/>
      <c r="L498" t="inlineStr"/>
      <c r="M498" t="inlineStr"/>
      <c r="N498" t="inlineStr"/>
      <c r="O498">
        <f>(1-Summary!$B$11)*T498+Summary!$B$11*V498</f>
        <v/>
      </c>
      <c r="P498">
        <f>IF(B515=0,0,O498/B515)</f>
        <v/>
      </c>
      <c r="Q498" t="n">
        <v>0</v>
      </c>
      <c r="R498" t="n">
        <v>0</v>
      </c>
      <c r="S498">
        <f>IFERROR(O498/N498,0)</f>
        <v/>
      </c>
      <c r="T498" t="n">
        <v>0</v>
      </c>
      <c r="V498" t="n">
        <v>0</v>
      </c>
    </row>
    <row r="499">
      <c r="A499">
        <f>Skills!A29</f>
        <v/>
      </c>
      <c r="B499">
        <f>Skills!B29</f>
        <v/>
      </c>
      <c r="C499">
        <f>Inputs!$B$3&gt;=120</f>
        <v/>
      </c>
      <c r="D499">
        <f>IF(Skills!C29=1,60+Inputs!$B$25+Inputs!$B$29,IF(Skills!C29=2,90+Inputs!$B$26+Inputs!$B$29,IF(Skills!C29=3,120+Inputs!$B$27+Inputs!$B$29,MAX(0,(Inputs!$B$3-100)*3)+Inputs!$B$28+Inputs!$B$29)))</f>
        <v/>
      </c>
      <c r="E499">
        <f>INDEX(FactorTable!$B$2:$Y$301, MATCH(ROUND(MIN(300,MAX(1,D499)),0), FactorTable!$A$2:$A$301,0), Skills!M29+1)</f>
        <v/>
      </c>
      <c r="F499">
        <f>IF(Skills!N29=TRUE,(Skills!L29/10)*(E499/1000),Skills!L29/10)+Skills!O29</f>
        <v/>
      </c>
      <c r="G499">
        <f>Skills!G29*IF(Skills!H29&gt;0,Skills!I29/Skills!H29,1)</f>
        <v/>
      </c>
      <c r="H499">
        <f>1-(1-Skills!J29/100)^Skills!K29</f>
        <v/>
      </c>
      <c r="I499" t="inlineStr">
        <is>
          <t>1</t>
        </is>
      </c>
      <c r="J499" t="inlineStr"/>
      <c r="K499" t="inlineStr"/>
      <c r="L499" t="inlineStr"/>
      <c r="M499" t="inlineStr"/>
      <c r="N499" t="inlineStr"/>
      <c r="O499">
        <f>(1-Summary!$B$11)*T499+Summary!$B$11*V499</f>
        <v/>
      </c>
      <c r="P499">
        <f>IF(B515=0,0,O499/B515)</f>
        <v/>
      </c>
      <c r="Q499" t="n">
        <v>0</v>
      </c>
      <c r="R499" t="n">
        <v>0</v>
      </c>
      <c r="S499">
        <f>IFERROR(O499/N499,0)</f>
        <v/>
      </c>
      <c r="T499" t="n">
        <v>0</v>
      </c>
      <c r="V499" t="n">
        <v>0</v>
      </c>
    </row>
    <row r="500">
      <c r="A500">
        <f>Skills!A30</f>
        <v/>
      </c>
      <c r="B500">
        <f>Skills!B30</f>
        <v/>
      </c>
      <c r="C500">
        <f>Inputs!$B$3&gt;=125</f>
        <v/>
      </c>
      <c r="D500">
        <f>IF(Skills!C30=1,60+Inputs!$B$25+Inputs!$B$29,IF(Skills!C30=2,90+Inputs!$B$26+Inputs!$B$29,IF(Skills!C30=3,120+Inputs!$B$27+Inputs!$B$29,MAX(0,(Inputs!$B$3-100)*3)+Inputs!$B$28+Inputs!$B$29)))</f>
        <v/>
      </c>
      <c r="E500">
        <f>INDEX(FactorTable!$B$2:$Y$301, MATCH(ROUND(MIN(300,MAX(1,D500)),0), FactorTable!$A$2:$A$301,0), Skills!M30+1)</f>
        <v/>
      </c>
      <c r="F500">
        <f>IF(Skills!N30=TRUE,(Skills!L30/10)*(E500/1000),Skills!L30/10)+Skills!O30</f>
        <v/>
      </c>
      <c r="G500">
        <f>Skills!G30*IF(Skills!H30&gt;0,Skills!I30/Skills!H30,1)</f>
        <v/>
      </c>
      <c r="H500">
        <f>1-(1-Skills!J30/100)^Skills!K30</f>
        <v/>
      </c>
      <c r="I500" t="inlineStr">
        <is>
          <t>1</t>
        </is>
      </c>
      <c r="J500" t="inlineStr"/>
      <c r="K500" t="inlineStr"/>
      <c r="L500" t="inlineStr"/>
      <c r="M500" t="inlineStr"/>
      <c r="N500" t="inlineStr"/>
      <c r="O500">
        <f>(1-Summary!$B$11)*T500+Summary!$B$11*V500</f>
        <v/>
      </c>
      <c r="P500">
        <f>IF(B515=0,0,O500/B515)</f>
        <v/>
      </c>
      <c r="Q500" t="n">
        <v>0</v>
      </c>
      <c r="R500" t="n">
        <v>0</v>
      </c>
      <c r="S500">
        <f>IFERROR(O500/N500,0)</f>
        <v/>
      </c>
      <c r="T500" t="n">
        <v>0</v>
      </c>
      <c r="V500" t="n">
        <v>0</v>
      </c>
    </row>
    <row r="502">
      <c r="A502" t="inlineStr">
        <is>
          <t>Average Buff Multiplier</t>
        </is>
      </c>
      <c r="B502">
        <f>(1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f>
        <v/>
      </c>
    </row>
    <row r="503">
      <c r="A503" t="inlineStr">
        <is>
          <t>Global Crit Rate Bonus %</t>
        </is>
      </c>
      <c r="B503">
        <f>((C490=TRUE)*F490*IF(AND(Inputs!$B$39&lt;&gt;"pvp",Inputs!$B$44&gt;0),(((R490-1)*(Skills!Y20*(1+Inputs!$B$34/100))+MIN((Skills!Y20*(1+Inputs!$B$34/100)),MAX(0,Inputs!$B$44-((R490-1)*Skills!D20))))/Inputs!$B$44),IF(Inputs!$B$39="pvp",MIN((Skills!Y20*(1+Inputs!$B$34/100)),15)/15,(Skills!Y20*(1+Inputs!$B$34/100))/Skills!D20)))</f>
        <v/>
      </c>
    </row>
    <row r="504">
      <c r="A504" t="inlineStr">
        <is>
          <t>Global Monster Damage-Taken Bonus %</t>
        </is>
      </c>
      <c r="B504">
        <f>IF(Inputs!$B$3&gt;=82,15,0)</f>
        <v/>
      </c>
    </row>
    <row r="505">
      <c r="A505" t="inlineStr">
        <is>
          <t>Shadow Partner Average Multiplier</t>
        </is>
      </c>
      <c r="B505">
        <f>1+((C477=TRUE)*F477*(1+3.3333333333333335*IF(C488=TRUE,F488,0)/100)*I477*Skills!J7/100)/100</f>
        <v/>
      </c>
    </row>
    <row r="506">
      <c r="A506" t="inlineStr">
        <is>
          <t>Attack Speed Buff Bonus %</t>
        </is>
      </c>
      <c r="B506">
        <f>((C489=TRUE)*F489*IF(AND(Inputs!$B$39&lt;&gt;"pvp",Inputs!$B$44&gt;0),(((R489-1)*(Skills!Y19*(1+Inputs!$B$34/100))+MIN((Skills!Y19*(1+Inputs!$B$34/100)),MAX(0,Inputs!$B$44-((R489-1)*Skills!D19))))/Inputs!$B$44),IF(Inputs!$B$39="pvp",MIN((Skills!Y19*(1+Inputs!$B$34/100)),15)/15,(Skills!Y19*(1+Inputs!$B$34/100))/Skills!D19)))+((C473=TRUE)*F473*3)</f>
        <v/>
      </c>
    </row>
    <row r="507">
      <c r="A507" t="inlineStr">
        <is>
          <t>Actions Per Second</t>
        </is>
      </c>
      <c r="B507">
        <f>1+MIN(150,150*(1-(1-(Inputs!$B$11+((C492=TRUE)*(F492-Calc!F22)))/150)*(1-B506/150)))/100</f>
        <v/>
      </c>
    </row>
    <row r="508">
      <c r="A508" t="inlineStr">
        <is>
          <t>Skill + Buff Cast Rate</t>
        </is>
      </c>
      <c r="B508">
        <f>IF(AND(Inputs!$B$39&lt;&gt;"pvp",Inputs!$B$44&gt;0),SUMPRODUCT((Skills!E2:E30=TRUE)*(C472:C500=TRUE)*R472:R500*Skills!F2:F30)/Inputs!$B$44,SUMPRODUCT((Skills!E2:E30=TRUE)*(C472:C500=TRUE)*Q472:Q500*Skills!F2:F30))</f>
        <v/>
      </c>
    </row>
    <row r="509">
      <c r="A509" t="inlineStr">
        <is>
          <t>Cruel Stab Casts Per Second</t>
        </is>
      </c>
      <c r="B509">
        <f>MAX(0,B507-B508)</f>
        <v/>
      </c>
    </row>
    <row r="510">
      <c r="A510" t="inlineStr">
        <is>
          <t>Global Critical Damage Bonus % (Smokescreen Mastery Lv.113)</t>
        </is>
      </c>
      <c r="B510">
        <f>IF(Inputs!$B$3&gt;=113,30,0)*IF(AND(Inputs!$B$39&lt;&gt;"pvp",Inputs!$B$44&gt;0),(((R485-1)*(Skills!Y15*(1+Inputs!$B$34/100))+MIN((Skills!Y15*(1+Inputs!$B$34/100)),MAX(0,Inputs!$B$44-((R485-1)*Skills!D15))))/Inputs!$B$44),IF(Inputs!$B$39="pvp",MIN((Skills!Y15*(1+Inputs!$B$34/100)),15)/15,(Skills!Y15*(1+Inputs!$B$34/100))/Skills!D15))</f>
        <v/>
      </c>
    </row>
    <row r="511">
      <c r="A511" t="inlineStr">
        <is>
          <t>Meso Explosion average stack count</t>
        </is>
      </c>
      <c r="B511">
        <f>MIN(10,0.5*B507*Skills!D4)</f>
        <v/>
      </c>
    </row>
    <row r="512">
      <c r="A512" t="inlineStr">
        <is>
          <t>Blood Money average stack count</t>
        </is>
      </c>
      <c r="B512">
        <f>MIN(5,0.25*B507*Skills!D4)</f>
        <v/>
      </c>
    </row>
    <row r="513">
      <c r="A513" t="inlineStr">
        <is>
          <t>Assassinate Murderous Intent Multiplier</t>
        </is>
      </c>
      <c r="B513">
        <f>1+IFERROR(MIN(1,Q484*2/Q481),0)</f>
        <v/>
      </c>
    </row>
    <row r="514">
      <c r="A514" t="inlineStr">
        <is>
          <t>Buff-Casting Startup Delay (s, fixed-duration only)</t>
        </is>
      </c>
      <c r="B514">
        <f>IF(AND(Inputs!$B$39&lt;&gt;"pvp",Inputs!$B$44&gt;0),SUMPRODUCT((Skills!Y2:Y30&gt;0)*(Skills!E2:E30=TRUE)*(C472:C500=TRUE))/B507,0)</f>
        <v/>
      </c>
    </row>
    <row r="515">
      <c r="A515" s="6" t="inlineStr">
        <is>
          <t>TOTAL DPS</t>
        </is>
      </c>
      <c r="B515" s="6">
        <f>SUM(O472:O500)</f>
        <v/>
      </c>
    </row>
    <row r="516">
      <c r="A516" t="inlineStr">
        <is>
          <t>Boss-Only Total DPS (this block's swept value)</t>
        </is>
      </c>
      <c r="B516">
        <f>SUM(T472:T500)</f>
        <v/>
      </c>
    </row>
    <row r="517">
      <c r="A517" t="inlineStr">
        <is>
          <t>Normal-Only Total DPS (this block's swept value)</t>
        </is>
      </c>
      <c r="B517">
        <f>SUM(V472:V500)</f>
        <v/>
      </c>
    </row>
    <row r="520">
      <c r="A520" s="6" t="inlineStr">
        <is>
          <t>Stat: MAX_DAMAGE %</t>
        </is>
      </c>
    </row>
    <row r="521">
      <c r="A521" s="5" t="inlineStr">
        <is>
          <t>Key</t>
        </is>
      </c>
      <c r="B521" s="5" t="inlineStr">
        <is>
          <t>Name</t>
        </is>
      </c>
      <c r="C521" s="5" t="inlineStr">
        <is>
          <t>Unlocked</t>
        </is>
      </c>
      <c r="D521" s="5" t="inlineStr">
        <is>
          <t>InputLevel</t>
        </is>
      </c>
      <c r="E521" s="5" t="inlineStr">
        <is>
          <t>Factor</t>
        </is>
      </c>
      <c r="F521" s="5" t="inlineStr">
        <is>
          <t>CoefficientPercent</t>
        </is>
      </c>
      <c r="G521" s="5" t="inlineStr">
        <is>
          <t>EffectiveHits</t>
        </is>
      </c>
      <c r="H521" s="5" t="inlineStr">
        <is>
          <t>ProcProbability</t>
        </is>
      </c>
      <c r="I521" s="5" t="inlineStr">
        <is>
          <t>MapleHeroMultiplier</t>
        </is>
      </c>
      <c r="J521" s="5" t="inlineStr">
        <is>
          <t>BaseDamage</t>
        </is>
      </c>
      <c r="K521" s="5" t="inlineStr">
        <is>
          <t>BaseHitDamage</t>
        </is>
      </c>
      <c r="L521" s="5" t="inlineStr">
        <is>
          <t>NonCritAvg</t>
        </is>
      </c>
      <c r="M521" s="5" t="inlineStr">
        <is>
          <t>CritAvg</t>
        </is>
      </c>
      <c r="N521" s="5" t="inlineStr">
        <is>
          <t>ExpectedDamage(perHit)</t>
        </is>
      </c>
      <c r="O521" s="5" t="inlineStr">
        <is>
          <t>DPS</t>
        </is>
      </c>
      <c r="P521" s="5" t="inlineStr">
        <is>
          <t>% of Total</t>
        </is>
      </c>
      <c r="Q521" s="5" t="inlineStr">
        <is>
          <t>InvCooldown</t>
        </is>
      </c>
      <c r="R521" s="5" t="inlineStr">
        <is>
          <t>CastsInFight</t>
        </is>
      </c>
      <c r="S521" s="5" t="inlineStr">
        <is>
          <t>HitRate(perSec)</t>
        </is>
      </c>
      <c r="U521" t="inlineStr">
        <is>
          <t>helpers</t>
        </is>
      </c>
    </row>
    <row r="522">
      <c r="A522">
        <f>Skills!A2</f>
        <v/>
      </c>
      <c r="B522">
        <f>Skills!B2</f>
        <v/>
      </c>
      <c r="C522">
        <f>Inputs!$B$3&gt;=100</f>
        <v/>
      </c>
      <c r="D522" t="inlineStr"/>
      <c r="E522" t="inlineStr"/>
      <c r="F522">
        <f>U524+Skills!O2</f>
        <v/>
      </c>
      <c r="G522">
        <f>Skills!G2*IF(Skills!H2&gt;0,Skills!I2/Skills!H2,1)</f>
        <v/>
      </c>
      <c r="H522">
        <f>1-(1-Skills!J2/100)^Skills!K2</f>
        <v/>
      </c>
      <c r="I522" t="inlineStr">
        <is>
          <t>1</t>
        </is>
      </c>
      <c r="J522">
        <f>((Inputs!$B$6*(1+Inputs!$B$7/100))+(((Inputs!$B$12*(1+Inputs!$B$13/100))-(Inputs!$B$12*(1+Inputs!$B$13/100)))+0.25*(Inputs!$B$14-Inputs!$B$14))*(1+Inputs!$B$7/100))*(F522/100)</f>
        <v/>
      </c>
      <c r="K522">
        <f>J522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522)</f>
        <v/>
      </c>
      <c r="L522">
        <f>K522*(MIN(Inputs!$B$22+((C544=TRUE)*(F544-Calc!F24)),((Inputs!$B$23+1)+((C549=TRUE)*(F549-Calc!F29))+IF(ArtifactsInput!$M$15,CHOOSE(ArtifactsInput!$N$15+1,25,30,35,40,45,50)/100*(Inputs!$B$11-Inputs!$B$11),0)))/100+((Inputs!$B$23+1)+((C549=TRUE)*(F549-Calc!F29))+IF(ArtifactsInput!$M$15,CHOOSE(ArtifactsInput!$N$15+1,25,30,35,40,45,50)/100*(Inputs!$B$11-Inputs!$B$11),0))/100)/2</f>
        <v/>
      </c>
      <c r="M522">
        <f>L522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IF(B565=0,0,O522/B565)</f>
        <v/>
      </c>
      <c r="Q522" t="n">
        <v>0</v>
      </c>
      <c r="R522" t="n">
        <v>0</v>
      </c>
      <c r="S522">
        <f>IFERROR(O522/N522,0)</f>
        <v/>
      </c>
      <c r="T522">
        <f>IF(C522,(Skills!G2*N522*B559)*IF(Inputs!$B$39="pvp",1,1+(Inputs!$B$20+0+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522*(1-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2">
        <f>MAX(0,(Inputs!$B$3-100)*3)+Inputs!$B$28+Inputs!$B$29</f>
        <v/>
      </c>
      <c r="V522">
        <f>IF(C522,(Skills!G2*N522*B559)*IF(Inputs!$B$39="pvp",1,(1+(Inputs!$B$21+Skills!Q2+B554+(IF(ArtifactsInput!$M$33,CHOOSE(ArtifactsInput!$N$33+1,30,36,42,48,54,60),0))+(IF(AND(ArtifactsInput!$M$35,Inputs!$B$4&lt;&gt;"Chapter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Skills!A3</f>
        <v/>
      </c>
      <c r="B523">
        <f>Skills!B3</f>
        <v/>
      </c>
      <c r="C523">
        <f>Inputs!$B$3&gt;=35</f>
        <v/>
      </c>
      <c r="D523">
        <f>IF(Skills!C3=1,60+Inputs!$B$25+Inputs!$B$29,IF(Skills!C3=2,90+Inputs!$B$26+Inputs!$B$29,IF(Skills!C3=3,120+Inputs!$B$27+Inputs!$B$29,MAX(0,(Inputs!$B$3-100)*3)+Inputs!$B$28+Inputs!$B$29)))</f>
        <v/>
      </c>
      <c r="E523">
        <f>INDEX(FactorTable!$B$2:$Y$301, MATCH(ROUND(MIN(300,MAX(1,D523)),0), FactorTable!$A$2:$A$301,0), Skills!M3+1)</f>
        <v/>
      </c>
      <c r="F523">
        <f>IF(Skills!N3=TRUE,(Skills!L3/10)*(E523/1000),Skills!L3/10)+Skills!O3</f>
        <v/>
      </c>
      <c r="G523">
        <f>Skills!G3*IF(Skills!H3&gt;0,Skills!I3/Skills!H3,1)</f>
        <v/>
      </c>
      <c r="H523">
        <f>1-(1-Skills!J3/100)^Skills!K3</f>
        <v/>
      </c>
      <c r="I523" t="inlineStr">
        <is>
          <t>1</t>
        </is>
      </c>
      <c r="J523" t="inlineStr"/>
      <c r="K523" t="inlineStr"/>
      <c r="L523" t="inlineStr"/>
      <c r="M523" t="inlineStr"/>
      <c r="N523" t="inlineStr"/>
      <c r="O523">
        <f>(1-Summary!$B$11)*T523+Summary!$B$11*V523</f>
        <v/>
      </c>
      <c r="P523">
        <f>IF(B565=0,0,O523/B565)</f>
        <v/>
      </c>
      <c r="Q523" t="n">
        <v>0</v>
      </c>
      <c r="R523" t="n">
        <v>0</v>
      </c>
      <c r="S523">
        <f>IFERROR(O523/N523,0)</f>
        <v/>
      </c>
      <c r="T523" t="n">
        <v>0</v>
      </c>
      <c r="U523">
        <f>INDEX(FactorTable!$B$2:$Y$301, MATCH(ROUND(MIN(300,MAX(1,U522)),0), FactorTable!$A$2:$A$301,0), 22)</f>
        <v/>
      </c>
      <c r="V523" t="n">
        <v>0</v>
      </c>
    </row>
    <row r="524">
      <c r="A524">
        <f>Skills!A4</f>
        <v/>
      </c>
      <c r="B524">
        <f>Skills!B4</f>
        <v/>
      </c>
      <c r="C524">
        <f>Inputs!$B$3&gt;=66</f>
        <v/>
      </c>
      <c r="D524">
        <f>IF(Skills!C4=1,60+Inputs!$B$25+Inputs!$B$29,IF(Skills!C4=2,90+Inputs!$B$26+Inputs!$B$29,IF(Skills!C4=3,120+Inputs!$B$27+Inputs!$B$29,MAX(0,(Inputs!$B$3-100)*3)+Inputs!$B$28+Inputs!$B$29)))</f>
        <v/>
      </c>
      <c r="E524">
        <f>INDEX(FactorTable!$B$2:$Y$301, MATCH(ROUND(MIN(300,MAX(1,D524)),0), FactorTable!$A$2:$A$301,0), Skills!M4+1)</f>
        <v/>
      </c>
      <c r="F524">
        <f>IF(Skills!N4=TRUE,(Skills!L4/10)*(E524/1000),Skills!L4/10)+Skills!O4</f>
        <v/>
      </c>
      <c r="G524">
        <f>Skills!G4*IF(Skills!H4&gt;0,Skills!I4/Skills!H4,1)</f>
        <v/>
      </c>
      <c r="H524">
        <f>1-(1-Skills!J4/100)^Skills!K4</f>
        <v/>
      </c>
      <c r="I524" t="inlineStr">
        <is>
          <t>1</t>
        </is>
      </c>
      <c r="J524">
        <f>((Inputs!$B$6*(1+Inputs!$B$7/100))+(((Inputs!$B$12*(1+Inputs!$B$13/100))-(Inputs!$B$12*(1+Inputs!$B$13/100)))+0.25*(Inputs!$B$14-Inputs!$B$14))*(1+Inputs!$B$7/100))*(F524/100)</f>
        <v/>
      </c>
      <c r="K524">
        <f>J524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524)</f>
        <v/>
      </c>
      <c r="L524">
        <f>K524*(MIN(Inputs!$B$22+((C544=TRUE)*(F544-Calc!F24)),((Inputs!$B$23+1)+((C549=TRUE)*(F549-Calc!F29))+IF(ArtifactsInput!$M$15,CHOOSE(ArtifactsInput!$N$15+1,25,30,35,40,45,50)/100*(Inputs!$B$11-Inputs!$B$11),0)))/100+((Inputs!$B$23+1)+((C549=TRUE)*(F549-Calc!F29))+IF(ArtifactsInput!$M$15,CHOOSE(ArtifactsInput!$N$15+1,25,30,35,40,45,50)/100*(Inputs!$B$11-Inputs!$B$11),0))/100)/2</f>
        <v/>
      </c>
      <c r="M524">
        <f>L524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4">
        <f>L524*(1-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(1-Summary!$B$11)*T524+Summary!$B$11*V524</f>
        <v/>
      </c>
      <c r="P524">
        <f>IF(B565=0,0,O524/B565)</f>
        <v/>
      </c>
      <c r="Q524">
        <f>IFERROR(1/IF(Inputs!$B$39="pvp",15,MAX(0.1,Skills!D4-IF(Skills!E4=TRUE,Inputs!$B$32,0))),0)</f>
        <v/>
      </c>
      <c r="R524">
        <f>IF(AND(Inputs!$B$39&lt;&gt;"pvp",Inputs!$B$44&gt;0),IF(MAX(0,Inputs!$B$44-B564)&lt;=0,0,(INT(MAX(0,Inputs!$B$44-B564)/IF(Inputs!$B$39="pvp",15,MAX(0.1,Skills!D4-IF(Skills!E4=TRUE,Inputs!$B$32,0))))+1)),0)</f>
        <v/>
      </c>
      <c r="S524">
        <f>IFERROR(O524/N524,0)</f>
        <v/>
      </c>
      <c r="T524">
        <f>IF(C524,(H524*N524*IF(AND(Inputs!$B$39&lt;&gt;"pvp",Inputs!$B$44&gt;0),((Skills!G4*((R524-1)*IF(Skills!H4&gt;0,Skills!I4/Skills!H4,1)+IF(Skills!H4&gt;0,MIN(Skills!I4,MAX(0,MAX(0,Inputs!$B$44-B564)-((R524-1)*IF(Inputs!$B$39="pvp",15,MAX(0.1,Skills!D4-IF(Skills!E4=TRUE,Inputs!$B$32,0))))))/Skills!H4,1)))/Inputs!$B$44),G524*Q524))*IF(Inputs!$B$39="pvp",1,1+(Inputs!$B$20+0+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524*(1-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4">
        <f>290*U523/1000</f>
        <v/>
      </c>
      <c r="V524">
        <f>IF(C524,(H524*N524*IF(AND(Inputs!$B$39&lt;&gt;"pvp",Inputs!$B$44&gt;0),((Skills!G4*((R524-1)*IF(Skills!H4&gt;0,Skills!I4/Skills!H4,1)+IF(Skills!H4&gt;0,MIN(Skills!I4,MAX(0,MAX(0,Inputs!$B$44-B564)-((R524-1)*IF(Inputs!$B$39="pvp",15,MAX(0.1,Skills!D4-IF(Skills!E4=TRUE,Inputs!$B$32,0))))))/Skills!H4,1)))/Inputs!$B$44),G524*Q524))*IF(Inputs!$B$39="pvp",1,(1+(Inputs!$B$21+Skills!Q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(10,0.5*B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Skills!A5</f>
        <v/>
      </c>
      <c r="B525">
        <f>Skills!B5</f>
        <v/>
      </c>
      <c r="C525">
        <f>Inputs!$B$3&gt;=63</f>
        <v/>
      </c>
      <c r="D525">
        <f>IF(Skills!C5=1,60+Inputs!$B$25+Inputs!$B$29,IF(Skills!C5=2,90+Inputs!$B$26+Inputs!$B$29,IF(Skills!C5=3,120+Inputs!$B$27+Inputs!$B$29,MAX(0,(Inputs!$B$3-100)*3)+Inputs!$B$28+Inputs!$B$29)))</f>
        <v/>
      </c>
      <c r="E525">
        <f>INDEX(FactorTable!$B$2:$Y$301, MATCH(ROUND(MIN(300,MAX(1,D525)),0), FactorTable!$A$2:$A$301,0), Skills!M5+1)</f>
        <v/>
      </c>
      <c r="F525">
        <f>IF(Skills!N5=TRUE,(Skills!L5/10)*(E525/1000),Skills!L5/10)+Skills!O5</f>
        <v/>
      </c>
      <c r="G525">
        <f>Skills!G5*IF(Skills!H5&gt;0,Skills!I5/Skills!H5,1)</f>
        <v/>
      </c>
      <c r="H525">
        <f>1-(1-Skills!J5/100)^Skills!K5</f>
        <v/>
      </c>
      <c r="I525" t="inlineStr">
        <is>
          <t>1</t>
        </is>
      </c>
      <c r="J525">
        <f>((Inputs!$B$6*(1+Inputs!$B$7/100))+(((Inputs!$B$12*(1+Inputs!$B$13/100))-(Inputs!$B$12*(1+Inputs!$B$13/100)))+0.25*(Inputs!$B$14-Inputs!$B$14))*(1+Inputs!$B$7/100))*(F525/100)</f>
        <v/>
      </c>
      <c r="K525">
        <f>J525*(1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538=TRUE,F538,0)/100)*(1+(IF(Skills!A5="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525)</f>
        <v/>
      </c>
      <c r="L525">
        <f>K525*(MIN(Inputs!$B$22+((C544=TRUE)*(F544-Calc!F24)),((Inputs!$B$23+1)+((C549=TRUE)*(F549-Calc!F29))+IF(ArtifactsInput!$M$15,CHOOSE(ArtifactsInput!$N$15+1,25,30,35,40,45,50)/100*(Inputs!$B$11-Inputs!$B$11),0)))/100+((Inputs!$B$23+1)+((C549=TRUE)*(F549-Calc!F29))+IF(ArtifactsInput!$M$15,CHOOSE(ArtifactsInput!$N$15+1,25,30,35,40,45,50)/100*(Inputs!$B$11-Inputs!$B$11),0))/100)/2</f>
        <v/>
      </c>
      <c r="M525">
        <f>L525*(1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IF(B565=0,0,O525/B565)</f>
        <v/>
      </c>
      <c r="Q525">
        <f>IFERROR(1/IF(Inputs!$B$39="pvp",15,MAX(0.1,Skills!D5-IF(Skills!E5=TRUE,Inputs!$B$32,0))),0)</f>
        <v/>
      </c>
      <c r="R525">
        <f>IF(AND(Inputs!$B$39&lt;&gt;"pvp",Inputs!$B$44&gt;0),IF(MAX(0,Inputs!$B$44-B564)&lt;=0,0,(INT(MAX(0,Inputs!$B$44-B564)/IF(Inputs!$B$39="pvp",15,MAX(0.1,Skills!D5-IF(Skills!E5=TRUE,Inputs!$B$32,0))))+1)),0)</f>
        <v/>
      </c>
      <c r="S525">
        <f>IFERROR(O525/N525,0)</f>
        <v/>
      </c>
      <c r="T525">
        <f>IF(C525,(H525*N525*IF(AND(Inputs!$B$39&lt;&gt;"pvp",Inputs!$B$44&gt;0),((Skills!G5*((R525-1)*IF(Skills!H5&gt;0,Skills!I5/Skills!H5,1)+IF(Skills!H5&gt;0,MIN(Skills!I5,MAX(0,MAX(0,Inputs!$B$44-B564)-((R525-1)*IF(Inputs!$B$39="pvp",15,MAX(0.1,Skills!D5-IF(Skills!E5=TRUE,Inputs!$B$32,0))))))/Skills!H5,1)))/Inputs!$B$44),G525*Q525))*IF(Inputs!$B$39="pvp",1,1+(Inputs!$B$20+0+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525*(1-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5*((R525-1)*IF(Skills!H5&gt;0,Skills!I5/Skills!H5,1)+IF(Skills!H5&gt;0,MIN(Skills!I5,MAX(0,MAX(0,Inputs!$B$44-B564)-((R525-1)*IF(Inputs!$B$39="pvp",15,MAX(0.1,Skills!D5-IF(Skills!E5=TRUE,Inputs!$B$32,0))))))/Skills!H5,1)))/Inputs!$B$44),G525*Q525))*IF(Inputs!$B$39="pvp",1,(1+(Inputs!$B$21+Skills!Q5+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Skills!A6</f>
        <v/>
      </c>
      <c r="B526">
        <f>Skills!B6</f>
        <v/>
      </c>
      <c r="C526">
        <f>Inputs!$B$3&gt;=69</f>
        <v/>
      </c>
      <c r="D526">
        <f>IF(Skills!C6=1,60+Inputs!$B$25+Inputs!$B$29,IF(Skills!C6=2,90+Inputs!$B$26+Inputs!$B$29,IF(Skills!C6=3,120+Inputs!$B$27+Inputs!$B$29,MAX(0,(Inputs!$B$3-100)*3)+Inputs!$B$28+Inputs!$B$29)))</f>
        <v/>
      </c>
      <c r="E526">
        <f>INDEX(FactorTable!$B$2:$Y$301, MATCH(ROUND(MIN(300,MAX(1,D526)),0), FactorTable!$A$2:$A$301,0), Skills!M6+1)</f>
        <v/>
      </c>
      <c r="F526">
        <f>IF(Skills!N6=TRUE,(Skills!L6/10)*(E526/1000),Skills!L6/10)+Skills!O6</f>
        <v/>
      </c>
      <c r="G526">
        <f>Skills!G6*IF(Skills!H6&gt;0,Skills!I6/Skills!H6,1)</f>
        <v/>
      </c>
      <c r="H526">
        <f>1-(1-Skills!J6/100)^Skills!K6</f>
        <v/>
      </c>
      <c r="I526" t="inlineStr">
        <is>
          <t>1</t>
        </is>
      </c>
      <c r="J526">
        <f>((Inputs!$B$6*(1+Inputs!$B$7/100))+(((Inputs!$B$12*(1+Inputs!$B$13/100))-(Inputs!$B$12*(1+Inputs!$B$13/100)))+0.25*(Inputs!$B$14-Inputs!$B$14))*(1+Inputs!$B$7/100))*(F526/100)</f>
        <v/>
      </c>
      <c r="K526">
        <f>J526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538=TRUE,F538,0)/100)*(1+(IF(Skills!A6="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526)</f>
        <v/>
      </c>
      <c r="L526">
        <f>K526*(MIN(Inputs!$B$22+((C544=TRUE)*(F544-Calc!F24)),((Inputs!$B$23+1)+((C549=TRUE)*(F549-Calc!F29))+IF(ArtifactsInput!$M$15,CHOOSE(ArtifactsInput!$N$15+1,25,30,35,40,45,50)/100*(Inputs!$B$11-Inputs!$B$11),0)))/100+((Inputs!$B$23+1)+((C549=TRUE)*(F549-Calc!F29))+IF(ArtifactsInput!$M$15,CHOOSE(ArtifactsInput!$N$15+1,25,30,35,40,45,50)/100*(Inputs!$B$11-Inputs!$B$11),0))/100)/2</f>
        <v/>
      </c>
      <c r="M526">
        <f>L526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IF(B565=0,0,O526/B565)</f>
        <v/>
      </c>
      <c r="Q526">
        <f>IFERROR(1/IF(Inputs!$B$39="pvp",15,MAX(0.1,Skills!D6-IF(Skills!E6=TRUE,Inputs!$B$32,0))),0)</f>
        <v/>
      </c>
      <c r="R526">
        <f>IF(AND(Inputs!$B$39&lt;&gt;"pvp",Inputs!$B$44&gt;0),IF(MAX(0,Inputs!$B$44-B564)&lt;=0,0,(INT(MAX(0,Inputs!$B$44-B564)/IF(Inputs!$B$39="pvp",15,MAX(0.1,Skills!D6-IF(Skills!E6=TRUE,Inputs!$B$32,0))))+1)),0)</f>
        <v/>
      </c>
      <c r="S526">
        <f>IFERROR(O526/N526,0)</f>
        <v/>
      </c>
      <c r="T526">
        <f>IF(C526,(H526*N526*IF(AND(Inputs!$B$39&lt;&gt;"pvp",Inputs!$B$44&gt;0),((Skills!G6*((R526-1)*IF(Skills!H6&gt;0,Skills!I6/Skills!H6,1)+IF(Skills!H6&gt;0,MIN(Skills!I6,MAX(0,MAX(0,Inputs!$B$44-B564)-((R526-1)*IF(Inputs!$B$39="pvp",15,MAX(0.1,Skills!D6-IF(Skills!E6=TRUE,Inputs!$B$32,0))))))/Skills!H6,1)))/Inputs!$B$44),G526*Q526))*IF(Inputs!$B$39="pvp",1,1+(Inputs!$B$20+0+Skills!P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526*(1-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6*((R526-1)*IF(Skills!H6&gt;0,Skills!I6/Skills!H6,1)+IF(Skills!H6&gt;0,MIN(Skills!I6,MAX(0,MAX(0,Inputs!$B$44-B564)-((R526-1)*IF(Inputs!$B$39="pvp",15,MAX(0.1,Skills!D6-IF(Skills!E6=TRUE,Inputs!$B$32,0))))))/Skills!H6,1)))/Inputs!$B$44),G526*Q526))*IF(Inputs!$B$39="pvp",1,(1+(Inputs!$B$21+Skills!Q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Skills!A7</f>
        <v/>
      </c>
      <c r="B527">
        <f>Skills!B7</f>
        <v/>
      </c>
      <c r="C527">
        <f>Inputs!$B$3&gt;=60</f>
        <v/>
      </c>
      <c r="D527">
        <f>IF(Skills!C7=1,60+Inputs!$B$25+Inputs!$B$29,IF(Skills!C7=2,90+Inputs!$B$26+Inputs!$B$29,IF(Skills!C7=3,120+Inputs!$B$27+Inputs!$B$29,MAX(0,(Inputs!$B$3-100)*3)+Inputs!$B$28+Inputs!$B$29)))</f>
        <v/>
      </c>
      <c r="E527">
        <f>INDEX(FactorTable!$B$2:$Y$301, MATCH(ROUND(MIN(300,MAX(1,D527)),0), FactorTable!$A$2:$A$301,0), Skills!M7+1)</f>
        <v/>
      </c>
      <c r="F527">
        <f>IF(Skills!N7=TRUE,(Skills!L7/10)*(E527/1000),Skills!L7/10)+Skills!O7</f>
        <v/>
      </c>
      <c r="G527">
        <f>Skills!G7*IF(Skills!H7&gt;0,Skills!I7/Skills!H7,1)</f>
        <v/>
      </c>
      <c r="H527">
        <f>1-(1-Skills!J7/100)^Skills!K7</f>
        <v/>
      </c>
      <c r="I527" t="inlineStr">
        <is>
          <t>1</t>
        </is>
      </c>
      <c r="J527" t="inlineStr"/>
      <c r="K527" t="inlineStr"/>
      <c r="L527" t="inlineStr"/>
      <c r="M527" t="inlineStr"/>
      <c r="N527" t="inlineStr"/>
      <c r="O527">
        <f>(1-Summary!$B$11)*T527+Summary!$B$11*V527</f>
        <v/>
      </c>
      <c r="P527">
        <f>IF(B565=0,0,O527/B565)</f>
        <v/>
      </c>
      <c r="Q527" t="n">
        <v>0</v>
      </c>
      <c r="R527" t="n">
        <v>0</v>
      </c>
      <c r="S527">
        <f>IFERROR(O527/N527,0)</f>
        <v/>
      </c>
      <c r="T527" t="n">
        <v>0</v>
      </c>
      <c r="V527" t="n">
        <v>0</v>
      </c>
    </row>
    <row r="528">
      <c r="A528">
        <f>Skills!A8</f>
        <v/>
      </c>
      <c r="B528">
        <f>Skills!B8</f>
        <v/>
      </c>
      <c r="C528">
        <f>Inputs!$B$3&gt;=72</f>
        <v/>
      </c>
      <c r="D528">
        <f>IF(Skills!C8=1,60+Inputs!$B$25+Inputs!$B$29,IF(Skills!C8=2,90+Inputs!$B$26+Inputs!$B$29,IF(Skills!C8=3,120+Inputs!$B$27+Inputs!$B$29,MAX(0,(Inputs!$B$3-100)*3)+Inputs!$B$28+Inputs!$B$29)))</f>
        <v/>
      </c>
      <c r="E528">
        <f>INDEX(FactorTable!$B$2:$Y$301, MATCH(ROUND(MIN(300,MAX(1,D528)),0), FactorTable!$A$2:$A$301,0), Skills!M8+1)</f>
        <v/>
      </c>
      <c r="F528">
        <f>IF(Skills!N8=TRUE,(Skills!L8/10)*(E528/1000),Skills!L8/10)+Skills!O8</f>
        <v/>
      </c>
      <c r="G528">
        <f>Skills!G8*IF(Skills!H8&gt;0,Skills!I8/Skills!H8,1)</f>
        <v/>
      </c>
      <c r="H528">
        <f>1-(1-Skills!J8/100)^Skills!K8</f>
        <v/>
      </c>
      <c r="I528" t="inlineStr">
        <is>
          <t>1</t>
        </is>
      </c>
      <c r="J528">
        <f>((Inputs!$B$6*(1+Inputs!$B$7/100))+(((Inputs!$B$12*(1+Inputs!$B$13/100))-(Inputs!$B$12*(1+Inputs!$B$13/100)))+0.25*(Inputs!$B$14-Inputs!$B$14))*(1+Inputs!$B$7/100))*(F528/100)</f>
        <v/>
      </c>
      <c r="K528">
        <f>J528*(1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538=TRUE,F538,0)/100)*(1+(IF(Skills!A8="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528)</f>
        <v/>
      </c>
      <c r="L528">
        <f>K528*(MIN(Inputs!$B$22+((C544=TRUE)*(F544-Calc!F24)),((Inputs!$B$23+1)+((C549=TRUE)*(F549-Calc!F29))+IF(ArtifactsInput!$M$15,CHOOSE(ArtifactsInput!$N$15+1,25,30,35,40,45,50)/100*(Inputs!$B$11-Inputs!$B$11),0)))/100+((Inputs!$B$23+1)+((C549=TRUE)*(F549-Calc!F29))+IF(ArtifactsInput!$M$15,CHOOSE(ArtifactsInput!$N$15+1,25,30,35,40,45,50)/100*(Inputs!$B$11-Inputs!$B$11),0))/100)/2</f>
        <v/>
      </c>
      <c r="M528">
        <f>L528*(1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8">
        <f>L528*(1-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(1-Summary!$B$11)*T528+Summary!$B$11*V528</f>
        <v/>
      </c>
      <c r="P528">
        <f>IF(B565=0,0,O528/B565)</f>
        <v/>
      </c>
      <c r="Q528">
        <f>IFERROR(1/IF(Inputs!$B$39="pvp",15,MAX(0.1,Skills!D8-IF(Skills!E8=TRUE,Inputs!$B$32,0))),0)</f>
        <v/>
      </c>
      <c r="R528">
        <f>IF(AND(Inputs!$B$39&lt;&gt;"pvp",Inputs!$B$44&gt;0),IF(MAX(0,Inputs!$B$44-B564)&lt;=0,0,(INT(MAX(0,Inputs!$B$44-B564)/IF(Inputs!$B$39="pvp",15,MAX(0.1,Skills!D8-IF(Skills!E8=TRUE,Inputs!$B$32,0))))+1)),0)</f>
        <v/>
      </c>
      <c r="S528">
        <f>IFERROR(O528/N528,0)</f>
        <v/>
      </c>
      <c r="T528">
        <f>IF(C528,(H528*N528*IF(AND(Inputs!$B$39&lt;&gt;"pvp",Inputs!$B$44&gt;0),((Skills!G8*((R528-1)*IF(Skills!H8&gt;0,Skills!I8/Skills!H8,1)+IF(Skills!H8&gt;0,MIN(Skills!I8,MAX(0,MAX(0,Inputs!$B$44-B564)-((R528-1)*IF(Inputs!$B$39="pvp",15,MAX(0.1,Skills!D8-IF(Skills!E8=TRUE,Inputs!$B$32,0))))))/Skills!H8,1)))/Inputs!$B$44),G528*Q528))*IF(Inputs!$B$39="pvp",1,1+(Inputs!$B$20+0+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528*(1-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8">
        <f>IF(C528,(H528*N528*IF(AND(Inputs!$B$39&lt;&gt;"pvp",Inputs!$B$44&gt;0),((Skills!G8*((R528-1)*IF(Skills!H8&gt;0,Skills!I8/Skills!H8,1)+IF(Skills!H8&gt;0,MIN(Skills!I8,MAX(0,MAX(0,Inputs!$B$44-B564)-((R528-1)*IF(Inputs!$B$39="pvp",15,MAX(0.1,Skills!D8-IF(Skills!E8=TRUE,Inputs!$B$32,0))))))/Skills!H8,1)))/Inputs!$B$44),G528*Q528))*IF(Inputs!$B$39="pvp",1,(1+(Inputs!$B$21+Skills!Q8+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Skills!A9</f>
        <v/>
      </c>
      <c r="B529">
        <f>Skills!B9</f>
        <v/>
      </c>
      <c r="C529">
        <f>Inputs!$B$3&gt;=117</f>
        <v/>
      </c>
      <c r="D529">
        <f>IF(Skills!C9=1,60+Inputs!$B$25+Inputs!$B$29,IF(Skills!C9=2,90+Inputs!$B$26+Inputs!$B$29,IF(Skills!C9=3,120+Inputs!$B$27+Inputs!$B$29,MAX(0,(Inputs!$B$3-100)*3)+Inputs!$B$28+Inputs!$B$29)))</f>
        <v/>
      </c>
      <c r="E529">
        <f>INDEX(FactorTable!$B$2:$Y$301, MATCH(ROUND(MIN(300,MAX(1,D529)),0), FactorTable!$A$2:$A$301,0), Skills!M9+1)</f>
        <v/>
      </c>
      <c r="F529">
        <f>IF(Skills!N9=TRUE,(Skills!L9/10)*(E529/1000),Skills!L9/10)+Skills!O9</f>
        <v/>
      </c>
      <c r="G529">
        <f>Skills!G9*IF(Skills!H9&gt;0,Skills!I9/Skills!H9,1)</f>
        <v/>
      </c>
      <c r="H529">
        <f>1-(1-Skills!J9/100)^Skills!K9</f>
        <v/>
      </c>
      <c r="I529" t="inlineStr">
        <is>
          <t>1</t>
        </is>
      </c>
      <c r="J529">
        <f>((Inputs!$B$6*(1+Inputs!$B$7/100))+(((Inputs!$B$12*(1+Inputs!$B$13/100))-(Inputs!$B$12*(1+Inputs!$B$13/100)))+0.25*(Inputs!$B$14-Inputs!$B$14))*(1+Inputs!$B$7/100))*(F529/100)</f>
        <v/>
      </c>
      <c r="K529">
        <f>J529*(1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529)</f>
        <v/>
      </c>
      <c r="L529">
        <f>K529*(MIN(Inputs!$B$22+((C544=TRUE)*(F544-Calc!F24)),((Inputs!$B$23+1)+((C549=TRUE)*(F549-Calc!F29))+IF(ArtifactsInput!$M$15,CHOOSE(ArtifactsInput!$N$15+1,25,30,35,40,45,50)/100*(Inputs!$B$11-Inputs!$B$11),0)))/100+((Inputs!$B$23+1)+((C549=TRUE)*(F549-Calc!F29))+IF(ArtifactsInput!$M$15,CHOOSE(ArtifactsInput!$N$15+1,25,30,35,40,45,50)/100*(Inputs!$B$11-Inputs!$B$11),0))/100)/2</f>
        <v/>
      </c>
      <c r="M529">
        <f>L529*(1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9">
        <f>L529*(1-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(1-Summary!$B$11)*T529+Summary!$B$11*V529</f>
        <v/>
      </c>
      <c r="P529">
        <f>IF(B565=0,0,O529/B565)</f>
        <v/>
      </c>
      <c r="Q529" t="n">
        <v>0</v>
      </c>
      <c r="R529" t="n">
        <v>0</v>
      </c>
      <c r="S529" t="n">
        <v>0</v>
      </c>
      <c r="T529">
        <f>IF(C529,(0.2*SUMPRODUCT((Skills!Z2:Z30=TRUE)*(C522:C550=TRUE)*S522:S550)*N529)*IF(Inputs!$B$39="pvp",1,1+(Inputs!$B$20+0+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529*(1-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9">
        <f>IF(C529,(0.2*SUMPRODUCT((Skills!Z2:Z30=TRUE)*(C522:C550=TRUE)*S522:S550)*N529)*IF(Inputs!$B$39="pvp",1,(1+(Inputs!$B$21+Skills!Q9+B554+(IF(ArtifactsInput!$M$33,CHOOSE(ArtifactsInput!$N$33+1,30,36,42,48,54,60),0))+(IF(AND(ArtifactsInput!$M$35,Inputs!$B$4&lt;&gt;"Chapter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0">
      <c r="A530">
        <f>Skills!A10</f>
        <v/>
      </c>
      <c r="B530">
        <f>Skills!B10</f>
        <v/>
      </c>
      <c r="C530">
        <f>Inputs!$B$3&gt;=74</f>
        <v/>
      </c>
      <c r="D530">
        <f>IF(Skills!C10=1,60+Inputs!$B$25+Inputs!$B$29,IF(Skills!C10=2,90+Inputs!$B$26+Inputs!$B$29,IF(Skills!C10=3,120+Inputs!$B$27+Inputs!$B$29,MAX(0,(Inputs!$B$3-100)*3)+Inputs!$B$28+Inputs!$B$29)))</f>
        <v/>
      </c>
      <c r="E530">
        <f>INDEX(FactorTable!$B$2:$Y$301, MATCH(ROUND(MIN(300,MAX(1,D530)),0), FactorTable!$A$2:$A$301,0), Skills!M10+1)</f>
        <v/>
      </c>
      <c r="F530">
        <f>IF(Skills!N10=TRUE,(Skills!L10/10)*(E530/1000),Skills!L10/10)+Skills!O10</f>
        <v/>
      </c>
      <c r="G530">
        <f>Skills!G10*IF(Skills!H10&gt;0,Skills!I10/Skills!H10,1)</f>
        <v/>
      </c>
      <c r="H530">
        <f>1-(1-Skills!J10/100)^Skills!K10</f>
        <v/>
      </c>
      <c r="I530" t="inlineStr">
        <is>
          <t>1</t>
        </is>
      </c>
      <c r="J530" t="inlineStr"/>
      <c r="K530" t="inlineStr"/>
      <c r="L530" t="inlineStr"/>
      <c r="M530" t="inlineStr"/>
      <c r="N530" t="inlineStr"/>
      <c r="O530">
        <f>(1-Summary!$B$11)*T530+Summary!$B$11*V530</f>
        <v/>
      </c>
      <c r="P530">
        <f>IF(B565=0,0,O530/B565)</f>
        <v/>
      </c>
      <c r="Q530">
        <f>IFERROR(1/IF(Inputs!$B$39="pvp",15,MAX(0.1,Skills!D10-IF(Skills!E10=TRUE,Inputs!$B$32,0))),0)</f>
        <v/>
      </c>
      <c r="R530">
        <f>IF(AND(Inputs!$B$39&lt;&gt;"pvp",Inputs!$B$44&gt;0),IF(Inputs!$B$44&lt;=0,0,(INT(Inputs!$B$44/IF(Inputs!$B$39="pvp",15,MAX(0.1,Skills!D10-IF(Skills!E10=TRUE,Inputs!$B$32,0))))+1)),0)</f>
        <v/>
      </c>
      <c r="S530">
        <f>IFERROR(O530/N530,0)</f>
        <v/>
      </c>
      <c r="T530" t="n">
        <v>0</v>
      </c>
      <c r="V530" t="n">
        <v>0</v>
      </c>
    </row>
    <row r="531">
      <c r="A531">
        <f>Skills!A11</f>
        <v/>
      </c>
      <c r="B531">
        <f>Skills!B11</f>
        <v/>
      </c>
      <c r="C531">
        <f>Inputs!$B$3&gt;=103</f>
        <v/>
      </c>
      <c r="D531">
        <f>IF(Skills!C11=1,60+Inputs!$B$25+Inputs!$B$29,IF(Skills!C11=2,90+Inputs!$B$26+Inputs!$B$29,IF(Skills!C11=3,120+Inputs!$B$27+Inputs!$B$29,MAX(0,(Inputs!$B$3-100)*3)+Inputs!$B$28+Inputs!$B$29)))</f>
        <v/>
      </c>
      <c r="E531">
        <f>INDEX(FactorTable!$B$2:$Y$301, MATCH(ROUND(MIN(300,MAX(1,D531)),0), FactorTable!$A$2:$A$301,0), Skills!M11+1)</f>
        <v/>
      </c>
      <c r="F531">
        <f>(Skills!L11/10)*(E531/1000)+IF(Inputs!$B$3&gt;=134,50,0)+0.5*(30000/10)*(INDEX(FactorTable!$B$2:$Y$301, MATCH(ROUND(MIN(300,MAX(1,D531)),0), FactorTable!$A$2:$A$301,0), 13)/1000)*B563</f>
        <v/>
      </c>
      <c r="G531">
        <f>Skills!G11*IF(Skills!H11&gt;0,Skills!I11/Skills!H11,1)</f>
        <v/>
      </c>
      <c r="H531">
        <f>1-(1-Skills!J11/100)^Skills!K11</f>
        <v/>
      </c>
      <c r="I531" t="inlineStr">
        <is>
          <t>1</t>
        </is>
      </c>
      <c r="J531">
        <f>((Inputs!$B$6*(1+Inputs!$B$7/100))+(((Inputs!$B$12*(1+Inputs!$B$13/100))-(Inputs!$B$12*(1+Inputs!$B$13/100)))+0.25*(Inputs!$B$14-Inputs!$B$14))*(1+Inputs!$B$7/100))*(F531/100)</f>
        <v/>
      </c>
      <c r="K531">
        <f>J531*(1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531)</f>
        <v/>
      </c>
      <c r="L531">
        <f>K531*(MIN(Inputs!$B$22+((C544=TRUE)*(F544-Calc!F24)),((Inputs!$B$23+1)+((C549=TRUE)*(F549-Calc!F29))+IF(ArtifactsInput!$M$15,CHOOSE(ArtifactsInput!$N$15+1,25,30,35,40,45,50)/100*(Inputs!$B$11-Inputs!$B$11),0)))/100+((Inputs!$B$23+1)+((C549=TRUE)*(F549-Calc!F29))+IF(ArtifactsInput!$M$15,CHOOSE(ArtifactsInput!$N$15+1,25,30,35,40,45,50)/100*(Inputs!$B$11-Inputs!$B$11),0))/100)/2</f>
        <v/>
      </c>
      <c r="M531">
        <f>L531*(1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1">
        <f>L531*(1-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(1-Summary!$B$11)*T531+Summary!$B$11*V531</f>
        <v/>
      </c>
      <c r="P531">
        <f>IF(B565=0,0,O531/B565)</f>
        <v/>
      </c>
      <c r="Q531">
        <f>IFERROR(1/IF(Inputs!$B$39="pvp",15,MAX(0.1,Skills!D11-IF(Skills!E11=TRUE,Inputs!$B$32,0))),0)</f>
        <v/>
      </c>
      <c r="R531">
        <f>IF(AND(Inputs!$B$39&lt;&gt;"pvp",Inputs!$B$44&gt;0),IF(MAX(0,Inputs!$B$44-B564)&lt;=0,0,(INT(MAX(0,Inputs!$B$44-B564)/IF(Inputs!$B$39="pvp",15,MAX(0.1,Skills!D11-IF(Skills!E11=TRUE,Inputs!$B$32,0))))+1)),0)</f>
        <v/>
      </c>
      <c r="S531">
        <f>IFERROR(O531/N531,0)</f>
        <v/>
      </c>
      <c r="T531">
        <f>IF(C531,(H531*N531*IF(AND(Inputs!$B$39&lt;&gt;"pvp",Inputs!$B$44&gt;0),((Skills!G11*((R531-1)*IF(Skills!H11&gt;0,Skills!I11/Skills!H11,1)+IF(Skills!H11&gt;0,MIN(Skills!I11,MAX(0,MAX(0,Inputs!$B$44-B564)-((R531-1)*IF(Inputs!$B$39="pvp",15,MAX(0.1,Skills!D11-IF(Skills!E11=TRUE,Inputs!$B$32,0))))))/Skills!H11,1)))/Inputs!$B$44),G531*Q531))*IF(Inputs!$B$39="pvp",1,1+(Inputs!$B$20+0+Skills!P11+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531*(1-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1">
        <f>IF(C531,(H531*N531*IF(AND(Inputs!$B$39&lt;&gt;"pvp",Inputs!$B$44&gt;0),((Skills!G11*((R531-1)*IF(Skills!H11&gt;0,Skills!I11/Skills!H11,1)+IF(Skills!H11&gt;0,MIN(Skills!I11,MAX(0,MAX(0,Inputs!$B$44-B564)-((R531-1)*IF(Inputs!$B$39="pvp",15,MAX(0.1,Skills!D11-IF(Skills!E11=TRUE,Inputs!$B$32,0))))))/Skills!H11,1)))/Inputs!$B$44),G531*Q531))*IF(Inputs!$B$39="pvp",1,(1+(Inputs!$B$21+Skills!Q11+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Skills!A12</f>
        <v/>
      </c>
      <c r="B532">
        <f>Skills!B12</f>
        <v/>
      </c>
      <c r="C532">
        <f>Inputs!$B$3&gt;=105</f>
        <v/>
      </c>
      <c r="D532">
        <f>IF(Skills!C12=1,60+Inputs!$B$25+Inputs!$B$29,IF(Skills!C12=2,90+Inputs!$B$26+Inputs!$B$29,IF(Skills!C12=3,120+Inputs!$B$27+Inputs!$B$29,MAX(0,(Inputs!$B$3-100)*3)+Inputs!$B$28+Inputs!$B$29)))</f>
        <v/>
      </c>
      <c r="E532">
        <f>INDEX(FactorTable!$B$2:$Y$301, MATCH(ROUND(MIN(300,MAX(1,D532)),0), FactorTable!$A$2:$A$301,0), Skills!M12+1)</f>
        <v/>
      </c>
      <c r="F532">
        <f>IF(Skills!N12=TRUE,(Skills!L12/10)*(E532/1000),Skills!L12/10)+Skills!O12</f>
        <v/>
      </c>
      <c r="G532">
        <f>Skills!G12*IF(Skills!H12&gt;0,Skills!I12/Skills!H12,1)</f>
        <v/>
      </c>
      <c r="H532">
        <f>1-(1-Skills!J12/100)^Skills!K12</f>
        <v/>
      </c>
      <c r="I532" t="inlineStr">
        <is>
          <t>1</t>
        </is>
      </c>
      <c r="J532">
        <f>((Inputs!$B$6*(1+Inputs!$B$7/100))+(((Inputs!$B$12*(1+Inputs!$B$13/100))-(Inputs!$B$12*(1+Inputs!$B$13/100)))+0.25*(Inputs!$B$14-Inputs!$B$14))*(1+Inputs!$B$7/100))*(F532/100)</f>
        <v/>
      </c>
      <c r="K532">
        <f>J532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532)</f>
        <v/>
      </c>
      <c r="L532">
        <f>K532*(MIN(Inputs!$B$22+((C544=TRUE)*(F544-Calc!F24)),((Inputs!$B$23+1)+((C549=TRUE)*(F549-Calc!F29))+IF(ArtifactsInput!$M$15,CHOOSE(ArtifactsInput!$N$15+1,25,30,35,40,45,50)/100*(Inputs!$B$11-Inputs!$B$11),0)))/100+((Inputs!$B$23+1)+((C549=TRUE)*(F549-Calc!F29))+IF(ArtifactsInput!$M$15,CHOOSE(ArtifactsInput!$N$15+1,25,30,35,40,45,50)/100*(Inputs!$B$11-Inputs!$B$11),0))/100)/2</f>
        <v/>
      </c>
      <c r="M532">
        <f>L532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2">
        <f>L532*(1-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532*(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2">
        <f>(1-Summary!$B$11)*T532+Summary!$B$11*V532</f>
        <v/>
      </c>
      <c r="P532">
        <f>IF(B565=0,0,O532/B565)</f>
        <v/>
      </c>
      <c r="Q532">
        <f>IFERROR(1/IF(Inputs!$B$39="pvp",15,MAX(0.1,Skills!D12-IF(Skills!E12=TRUE,Inputs!$B$32,0))),0)</f>
        <v/>
      </c>
      <c r="R532">
        <f>IF(AND(Inputs!$B$39&lt;&gt;"pvp",Inputs!$B$44&gt;0),IF(MAX(0,Inputs!$B$44-B564)&lt;=0,0,(INT(MAX(0,Inputs!$B$44-B564)/IF(Inputs!$B$39="pvp",15,MAX(0.1,Skills!D12-IF(Skills!E12=TRUE,Inputs!$B$32,0))))+1)),0)</f>
        <v/>
      </c>
      <c r="S532">
        <f>IFERROR(O532/N532,0)</f>
        <v/>
      </c>
      <c r="T532">
        <f>IF(C532,(H532*N532*IF(AND(Inputs!$B$39&lt;&gt;"pvp",Inputs!$B$44&gt;0),((Skills!G12*((R532-1)*IF(Skills!H12&gt;0,Skills!I12/Skills!H12,1)+IF(Skills!H12&gt;0,MIN(Skills!I12,MAX(0,MAX(0,Inputs!$B$44-B564)-((R532-1)*IF(Inputs!$B$39="pvp",15,MAX(0.1,Skills!D12-IF(Skills!E12=TRUE,Inputs!$B$32,0))))))/Skills!H12,1)))/Inputs!$B$44),G532*Q532))*IF(Inputs!$B$39="pvp",1,1+(Inputs!$B$20+0+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532*(1-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532*(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532*(1-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532*(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2">
        <f>IF(C532,(H532*N532*IF(AND(Inputs!$B$39&lt;&gt;"pvp",Inputs!$B$44&gt;0),((Skills!G12*((R532-1)*IF(Skills!H12&gt;0,Skills!I12/Skills!H12,1)+IF(Skills!H12&gt;0,MIN(Skills!I12,MAX(0,MAX(0,Inputs!$B$44-B564)-((R532-1)*IF(Inputs!$B$39="pvp",15,MAX(0.1,Skills!D12-IF(Skills!E12=TRUE,Inputs!$B$32,0))))))/Skills!H12,1)))/Inputs!$B$44),G532*Q532))*IF(Inputs!$B$39="pvp",1,(1+(Inputs!$B$21+Skills!Q12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3">
      <c r="A533">
        <f>Skills!A13</f>
        <v/>
      </c>
      <c r="B533">
        <f>Skills!B13</f>
        <v/>
      </c>
      <c r="C533">
        <f>Inputs!$B$3&gt;=105</f>
        <v/>
      </c>
      <c r="D533">
        <f>IF(Skills!C13=1,60+Inputs!$B$25+Inputs!$B$29,IF(Skills!C13=2,90+Inputs!$B$26+Inputs!$B$29,IF(Skills!C13=3,120+Inputs!$B$27+Inputs!$B$29,MAX(0,(Inputs!$B$3-100)*3)+Inputs!$B$28+Inputs!$B$29)))</f>
        <v/>
      </c>
      <c r="E533">
        <f>INDEX(FactorTable!$B$2:$Y$301, MATCH(ROUND(MIN(300,MAX(1,D533)),0), FactorTable!$A$2:$A$301,0), Skills!M13+1)</f>
        <v/>
      </c>
      <c r="F533">
        <f>IF(Skills!N13=TRUE,(Skills!L13/10)*(E533/1000),Skills!L13/10)+Skills!O13</f>
        <v/>
      </c>
      <c r="G533">
        <f>Skills!G13*IF(Skills!H13&gt;0,Skills!I13/Skills!H13,1)</f>
        <v/>
      </c>
      <c r="H533">
        <f>1-(1-Skills!J13/100)^Skills!K13</f>
        <v/>
      </c>
      <c r="I533" t="inlineStr">
        <is>
          <t>1</t>
        </is>
      </c>
      <c r="J533">
        <f>((Inputs!$B$6*(1+Inputs!$B$7/100))+(((Inputs!$B$12*(1+Inputs!$B$13/100))-(Inputs!$B$12*(1+Inputs!$B$13/100)))+0.25*(Inputs!$B$14-Inputs!$B$14))*(1+Inputs!$B$7/100))*(F533/100)</f>
        <v/>
      </c>
      <c r="K533">
        <f>J533*(1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533)</f>
        <v/>
      </c>
      <c r="L533">
        <f>K533*(MIN(Inputs!$B$22+((C544=TRUE)*(F544-Calc!F24)),((Inputs!$B$23+1)+((C549=TRUE)*(F549-Calc!F29))+IF(ArtifactsInput!$M$15,CHOOSE(ArtifactsInput!$N$15+1,25,30,35,40,45,50)/100*(Inputs!$B$11-Inputs!$B$11),0)))/100+((Inputs!$B$23+1)+((C549=TRUE)*(F549-Calc!F29))+IF(ArtifactsInput!$M$15,CHOOSE(ArtifactsInput!$N$15+1,25,30,35,40,45,50)/100*(Inputs!$B$11-Inputs!$B$11),0))/100)/2</f>
        <v/>
      </c>
      <c r="M533">
        <f>L533*(1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3">
        <f>L533*(1-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533*(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3">
        <f>(1-Summary!$B$11)*T533+Summary!$B$11*V533</f>
        <v/>
      </c>
      <c r="P533">
        <f>IF(B565=0,0,O533/B565)</f>
        <v/>
      </c>
      <c r="Q533">
        <f>IFERROR(1/IF(Inputs!$B$39="pvp",15,MAX(0.1,Skills!D13-IF(Skills!E13=TRUE,Inputs!$B$32,0))),0)</f>
        <v/>
      </c>
      <c r="R533">
        <f>IF(AND(Inputs!$B$39&lt;&gt;"pvp",Inputs!$B$44&gt;0),IF(MAX(0,Inputs!$B$44-B564)&lt;=0,0,(INT(MAX(0,Inputs!$B$44-B564)/IF(Inputs!$B$39="pvp",15,MAX(0.1,Skills!D13-IF(Skills!E13=TRUE,Inputs!$B$32,0))))+1)),0)</f>
        <v/>
      </c>
      <c r="S533">
        <f>IFERROR(O533/N533,0)</f>
        <v/>
      </c>
      <c r="T533">
        <f>IF(C533,(H533*N533*IF(AND(Inputs!$B$39&lt;&gt;"pvp",Inputs!$B$44&gt;0),((Skills!G13*((R533-1)*IF(Skills!H13&gt;0,Skills!I13/Skills!H13,1)+IF(Skills!H13&gt;0,MIN(Skills!I13,MAX(0,MAX(0,Inputs!$B$44-B564)-((R533-1)*IF(Inputs!$B$39="pvp",15,MAX(0.1,Skills!D13-IF(Skills!E13=TRUE,Inputs!$B$32,0))))))/Skills!H13,1)))/Inputs!$B$44),G533*Q533))*IF(Inputs!$B$39="pvp",1,1+(Inputs!$B$20+0+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533*(1-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533*(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533*(1-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533*(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3">
        <f>IF(C533,(H533*N533*IF(AND(Inputs!$B$39&lt;&gt;"pvp",Inputs!$B$44&gt;0),((Skills!G13*((R533-1)*IF(Skills!H13&gt;0,Skills!I13/Skills!H13,1)+IF(Skills!H13&gt;0,MIN(Skills!I13,MAX(0,MAX(0,Inputs!$B$44-B564)-((R533-1)*IF(Inputs!$B$39="pvp",15,MAX(0.1,Skills!D13-IF(Skills!E13=TRUE,Inputs!$B$32,0))))))/Skills!H13,1)))/Inputs!$B$44),G533*Q533))*IF(Inputs!$B$39="pvp",1,(1+(Inputs!$B$21+Skills!Q13+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4">
      <c r="A534">
        <f>Skills!A14</f>
        <v/>
      </c>
      <c r="B534">
        <f>Skills!B14</f>
        <v/>
      </c>
      <c r="C534">
        <f>Inputs!$B$3&gt;=107</f>
        <v/>
      </c>
      <c r="D534">
        <f>IF(Skills!C14=1,60+Inputs!$B$25+Inputs!$B$29,IF(Skills!C14=2,90+Inputs!$B$26+Inputs!$B$29,IF(Skills!C14=3,120+Inputs!$B$27+Inputs!$B$29,MAX(0,(Inputs!$B$3-100)*3)+Inputs!$B$28+Inputs!$B$29)))</f>
        <v/>
      </c>
      <c r="E534">
        <f>INDEX(FactorTable!$B$2:$Y$301, MATCH(ROUND(MIN(300,MAX(1,D534)),0), FactorTable!$A$2:$A$301,0), Skills!M14+1)</f>
        <v/>
      </c>
      <c r="F534">
        <f>IF(Skills!N14=TRUE,(Skills!L14/10)*(E534/1000),Skills!L14/10)+Skills!O14</f>
        <v/>
      </c>
      <c r="G534">
        <f>Skills!G14*IF(Skills!H14&gt;0,Skills!I14/Skills!H14,1)</f>
        <v/>
      </c>
      <c r="H534">
        <f>1-(1-Skills!J14/100)^Skills!K14</f>
        <v/>
      </c>
      <c r="I534" t="inlineStr">
        <is>
          <t>1</t>
        </is>
      </c>
      <c r="J534">
        <f>((Inputs!$B$6*(1+Inputs!$B$7/100))+(((Inputs!$B$12*(1+Inputs!$B$13/100))-(Inputs!$B$12*(1+Inputs!$B$13/100)))+0.25*(Inputs!$B$14-Inputs!$B$14))*(1+Inputs!$B$7/100))*(F534/100)</f>
        <v/>
      </c>
      <c r="K534">
        <f>J534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534)</f>
        <v/>
      </c>
      <c r="L534">
        <f>K534*(MIN(Inputs!$B$22+((C544=TRUE)*(F544-Calc!F24)),((Inputs!$B$23+1)+((C549=TRUE)*(F549-Calc!F29))+IF(ArtifactsInput!$M$15,CHOOSE(ArtifactsInput!$N$15+1,25,30,35,40,45,50)/100*(Inputs!$B$11-Inputs!$B$11),0)))/100+((Inputs!$B$23+1)+((C549=TRUE)*(F549-Calc!F29))+IF(ArtifactsInput!$M$15,CHOOSE(ArtifactsInput!$N$15+1,25,30,35,40,45,50)/100*(Inputs!$B$11-Inputs!$B$11),0))/100)/2</f>
        <v/>
      </c>
      <c r="M534">
        <f>L534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4">
        <f>L534*(1-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534*(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4">
        <f>(1-Summary!$B$11)*T534+Summary!$B$11*V534</f>
        <v/>
      </c>
      <c r="P534">
        <f>IF(B565=0,0,O534/B565)</f>
        <v/>
      </c>
      <c r="Q534">
        <f>IFERROR(1/IF(Inputs!$B$39="pvp",15,MAX(0.1,Skills!D14-IF(Skills!E14=TRUE,Inputs!$B$32,0))),0)</f>
        <v/>
      </c>
      <c r="R534">
        <f>IF(AND(Inputs!$B$39&lt;&gt;"pvp",Inputs!$B$44&gt;0),IF(MAX(0,Inputs!$B$44-B564)&lt;=0,0,(INT(MAX(0,Inputs!$B$44-B564)/IF(Inputs!$B$39="pvp",15,MAX(0.1,Skills!D14-IF(Skills!E14=TRUE,Inputs!$B$32,0))))+1)),0)</f>
        <v/>
      </c>
      <c r="S534">
        <f>IFERROR(O534/N534,0)</f>
        <v/>
      </c>
      <c r="T534">
        <f>IF(C534,(H534*N534*IF(AND(Inputs!$B$39&lt;&gt;"pvp",Inputs!$B$44&gt;0),((Skills!G14*((R534-1)*IF(Skills!H14&gt;0,Skills!I14/Skills!H14,1)+IF(Skills!H14&gt;0,MIN(Skills!I14,MAX(0,MAX(0,Inputs!$B$44-B564)-((R534-1)*IF(Inputs!$B$39="pvp",15,MAX(0.1,Skills!D14-IF(Skills!E14=TRUE,Inputs!$B$32,0))))))/Skills!H14,1)))/Inputs!$B$44),G534*Q534))*IF(Inputs!$B$39="pvp",1,1+(Inputs!$B$20+0+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534*(1-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534*(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534*(1-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534*(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4">
        <f>IF(C534,(H534*N534*IF(AND(Inputs!$B$39&lt;&gt;"pvp",Inputs!$B$44&gt;0),((Skills!G14*((R534-1)*IF(Skills!H14&gt;0,Skills!I14/Skills!H14,1)+IF(Skills!H14&gt;0,MIN(Skills!I14,MAX(0,MAX(0,Inputs!$B$44-B564)-((R534-1)*IF(Inputs!$B$39="pvp",15,MAX(0.1,Skills!D14-IF(Skills!E14=TRUE,Inputs!$B$32,0))))))/Skills!H14,1)))/Inputs!$B$44),G534*Q534))*IF(Inputs!$B$39="pvp",1,(1+(Inputs!$B$21+Skills!Q14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(5,0.25*B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5">
      <c r="A535">
        <f>Skills!A15</f>
        <v/>
      </c>
      <c r="B535">
        <f>Skills!B15</f>
        <v/>
      </c>
      <c r="C535">
        <f>Inputs!$B$3&gt;=110</f>
        <v/>
      </c>
      <c r="D535">
        <f>IF(Skills!C15=1,60+Inputs!$B$25+Inputs!$B$29,IF(Skills!C15=2,90+Inputs!$B$26+Inputs!$B$29,IF(Skills!C15=3,120+Inputs!$B$27+Inputs!$B$29,MAX(0,(Inputs!$B$3-100)*3)+Inputs!$B$28+Inputs!$B$29)))</f>
        <v/>
      </c>
      <c r="E535">
        <f>INDEX(FactorTable!$B$2:$Y$301, MATCH(ROUND(MIN(300,MAX(1,D535)),0), FactorTable!$A$2:$A$301,0), Skills!M15+1)</f>
        <v/>
      </c>
      <c r="F535">
        <f>IF(Skills!N15=TRUE,(Skills!L15/10)*(E535/1000),Skills!L15/10)+Skills!O15</f>
        <v/>
      </c>
      <c r="G535">
        <f>Skills!G15*IF(Skills!H15&gt;0,Skills!I15/Skills!H15,1)</f>
        <v/>
      </c>
      <c r="H535">
        <f>1-(1-Skills!J15/100)^Skills!K15</f>
        <v/>
      </c>
      <c r="I535" t="inlineStr">
        <is>
          <t>1</t>
        </is>
      </c>
      <c r="J535" t="inlineStr"/>
      <c r="K535" t="inlineStr"/>
      <c r="L535" t="inlineStr"/>
      <c r="M535" t="inlineStr"/>
      <c r="N535" t="inlineStr"/>
      <c r="O535">
        <f>(1-Summary!$B$11)*T535+Summary!$B$11*V535</f>
        <v/>
      </c>
      <c r="P535">
        <f>IF(B565=0,0,O535/B565)</f>
        <v/>
      </c>
      <c r="Q535">
        <f>IFERROR(1/IF(Inputs!$B$39="pvp",15,MAX(0.1,Skills!D15-IF(Skills!E15=TRUE,Inputs!$B$32,0))),0)</f>
        <v/>
      </c>
      <c r="R535">
        <f>IF(AND(Inputs!$B$39&lt;&gt;"pvp",Inputs!$B$44&gt;0),IF(Inputs!$B$44&lt;=0,0,(INT(Inputs!$B$44/IF(Inputs!$B$39="pvp",15,MAX(0.1,Skills!D15-IF(Skills!E15=TRUE,Inputs!$B$32,0))))+1)),0)</f>
        <v/>
      </c>
      <c r="S535">
        <f>IFERROR(O535/N535,0)</f>
        <v/>
      </c>
      <c r="T535" t="n">
        <v>0</v>
      </c>
      <c r="V535" t="n">
        <v>0</v>
      </c>
    </row>
    <row r="536">
      <c r="A536">
        <f>Skills!A16</f>
        <v/>
      </c>
      <c r="B536">
        <f>Skills!B16</f>
        <v/>
      </c>
      <c r="C536">
        <f>Inputs!$B$3&gt;=115</f>
        <v/>
      </c>
      <c r="D536">
        <f>IF(Skills!C16=1,60+Inputs!$B$25+Inputs!$B$29,IF(Skills!C16=2,90+Inputs!$B$26+Inputs!$B$29,IF(Skills!C16=3,120+Inputs!$B$27+Inputs!$B$29,MAX(0,(Inputs!$B$3-100)*3)+Inputs!$B$28+Inputs!$B$29)))</f>
        <v/>
      </c>
      <c r="E536">
        <f>INDEX(FactorTable!$B$2:$Y$301, MATCH(ROUND(MIN(300,MAX(1,D536)),0), FactorTable!$A$2:$A$301,0), Skills!M16+1)</f>
        <v/>
      </c>
      <c r="F536">
        <f>IF(Skills!N16=TRUE,(Skills!L16/10)*(E536/1000),Skills!L16/10)+Skills!O16</f>
        <v/>
      </c>
      <c r="G536">
        <f>Skills!G16*IF(Skills!H16&gt;0,Skills!I16/Skills!H16,1)</f>
        <v/>
      </c>
      <c r="H536">
        <f>1-(1-Skills!J16/100)^Skills!K16</f>
        <v/>
      </c>
      <c r="I536" t="inlineStr">
        <is>
          <t>1</t>
        </is>
      </c>
      <c r="J536">
        <f>((Inputs!$B$6*(1+Inputs!$B$7/100))+(((Inputs!$B$12*(1+Inputs!$B$13/100))-(Inputs!$B$12*(1+Inputs!$B$13/100)))+0.25*(Inputs!$B$14-Inputs!$B$14))*(1+Inputs!$B$7/100))*(F536/100)</f>
        <v/>
      </c>
      <c r="K536">
        <f>J536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547=TRUE)*(F547-Calc!F27))+((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536)</f>
        <v/>
      </c>
      <c r="L536">
        <f>K536*(MIN(Inputs!$B$22+((C544=TRUE)*(F544-Calc!F24)),((Inputs!$B$23+1)+((C549=TRUE)*(F549-Calc!F29))+IF(ArtifactsInput!$M$15,CHOOSE(ArtifactsInput!$N$15+1,25,30,35,40,45,50)/100*(Inputs!$B$11-Inputs!$B$11),0)))/100+((Inputs!$B$23+1)+((C549=TRUE)*(F549-Calc!F29))+IF(ArtifactsInput!$M$15,CHOOSE(ArtifactsInput!$N$15+1,25,30,35,40,45,50)/100*(Inputs!$B$11-Inputs!$B$11),0))/100)/2</f>
        <v/>
      </c>
      <c r="M536">
        <f>L536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6">
        <f>L536*(1-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536*(MIN((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6">
        <f>(1-Summary!$B$11)*T536+Summary!$B$11*V536</f>
        <v/>
      </c>
      <c r="P536">
        <f>IF(B565=0,0,O536/B565)</f>
        <v/>
      </c>
      <c r="Q536" t="n">
        <v>0</v>
      </c>
      <c r="R536" t="n">
        <v>0</v>
      </c>
      <c r="S536">
        <f>IFERROR(O536/N536,0)</f>
        <v/>
      </c>
      <c r="T536">
        <f>IF(C536,(Inputs!$B$38*0.2*N536)*IF(Inputs!$B$39="pvp",1,1+(Inputs!$B$20+0+Skills!P16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536*(1-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536*(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536*(1-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536*(MIN(100,(Inputs!$B$9+((C545=TRUE)*(F545-Calc!F25))+B553+(ArtifactsInput!$M$24-ArtifactsInput!$M$24)*CHOOSE(ArtifactsInput!$N$24+1,10,12,14,16,18,20)+(IF(AND(Inputs!$B$39&lt;&gt;"pvp",Inputs!$B$44=0),1,IF(IF(Inputs!$B$39="pvp",15,Inputs!$B$44)-(B564)&lt;=0,1,MAX(0,IF(Inputs!$B$39="pvp",15,Inputs!$B$44)-MAX(5,B564))/(IF(Inputs!$B$39="pvp",15,Inputs!$B$44)-(B564))))*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6">
        <f>IF(C536,(Inputs!$B$38*0.2*N536)*IF(Inputs!$B$39="pvp",1,(1+(Inputs!$B$21+Skills!Q16+B554+(IF(ArtifactsInput!$M$33,CHOOSE(ArtifactsInput!$N$33+1,30,36,42,48,54,60),0))+(IF(AND(ArtifactsInput!$M$35,Inputs!$B$4&lt;&gt;"Chapter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7">
      <c r="A537">
        <f>Skills!A17</f>
        <v/>
      </c>
      <c r="B537">
        <f>Skills!B17</f>
        <v/>
      </c>
      <c r="C537">
        <f>Inputs!$B$3&gt;=115</f>
        <v/>
      </c>
      <c r="D537">
        <f>IF(Skills!C17=1,60+Inputs!$B$25+Inputs!$B$29,IF(Skills!C17=2,90+Inputs!$B$26+Inputs!$B$29,IF(Skills!C17=3,120+Inputs!$B$27+Inputs!$B$29,MAX(0,(Inputs!$B$3-100)*3)+Inputs!$B$28+Inputs!$B$29)))</f>
        <v/>
      </c>
      <c r="E537">
        <f>INDEX(FactorTable!$B$2:$Y$301, MATCH(ROUND(MIN(300,MAX(1,D537)),0), FactorTable!$A$2:$A$301,0), Skills!M17+1)</f>
        <v/>
      </c>
      <c r="F537">
        <f>IF(Skills!N17=TRUE,(Skills!L17/10)*(E537/1000),Skills!L17/10)+Skills!O17</f>
        <v/>
      </c>
      <c r="G537">
        <f>Skills!G17*IF(Skills!H17&gt;0,Skills!I17/Skills!H17,1)</f>
        <v/>
      </c>
      <c r="H537">
        <f>1-(1-Skills!J17/100)^Skills!K17</f>
        <v/>
      </c>
      <c r="I537" t="inlineStr">
        <is>
          <t>1</t>
        </is>
      </c>
      <c r="J537" t="inlineStr"/>
      <c r="K537" t="inlineStr"/>
      <c r="L537" t="inlineStr"/>
      <c r="M537" t="inlineStr"/>
      <c r="N537" t="inlineStr"/>
      <c r="O537">
        <f>(1-Summary!$B$11)*T537+Summary!$B$11*V537</f>
        <v/>
      </c>
      <c r="P537">
        <f>IF(B565=0,0,O537/B565)</f>
        <v/>
      </c>
      <c r="Q537" t="n">
        <v>0</v>
      </c>
      <c r="R537" t="n">
        <v>0</v>
      </c>
      <c r="S537">
        <f>IFERROR(O537/N537,0)</f>
        <v/>
      </c>
      <c r="T537" t="n">
        <v>0</v>
      </c>
      <c r="V537" t="n">
        <v>0</v>
      </c>
    </row>
    <row r="538">
      <c r="A538">
        <f>Skills!A18</f>
        <v/>
      </c>
      <c r="B538">
        <f>Skills!B18</f>
        <v/>
      </c>
      <c r="C538">
        <f>Inputs!$B$3&gt;=100</f>
        <v/>
      </c>
      <c r="D538">
        <f>IF(Skills!C18=1,60+Inputs!$B$25+Inputs!$B$29,IF(Skills!C18=2,90+Inputs!$B$26+Inputs!$B$29,IF(Skills!C18=3,120+Inputs!$B$27+Inputs!$B$29,MAX(0,(Inputs!$B$3-100)*3)+Inputs!$B$28+Inputs!$B$29)))</f>
        <v/>
      </c>
      <c r="E538">
        <f>INDEX(FactorTable!$B$2:$Y$301, MATCH(ROUND(MIN(300,MAX(1,D538)),0), FactorTable!$A$2:$A$301,0), Skills!M18+1)</f>
        <v/>
      </c>
      <c r="F538">
        <f>IF(Skills!N18=TRUE,(Skills!L18/10)*(E538/1000),Skills!L18/10)+Skills!O18</f>
        <v/>
      </c>
      <c r="G538">
        <f>Skills!G18*IF(Skills!H18&gt;0,Skills!I18/Skills!H18,1)</f>
        <v/>
      </c>
      <c r="H538">
        <f>1-(1-Skills!J18/100)^Skills!K18</f>
        <v/>
      </c>
      <c r="I538" t="inlineStr">
        <is>
          <t>1</t>
        </is>
      </c>
      <c r="J538" t="inlineStr"/>
      <c r="K538" t="inlineStr"/>
      <c r="L538" t="inlineStr"/>
      <c r="M538" t="inlineStr"/>
      <c r="N538" t="inlineStr"/>
      <c r="O538">
        <f>(1-Summary!$B$11)*T538+Summary!$B$11*V538</f>
        <v/>
      </c>
      <c r="P538">
        <f>IF(B565=0,0,O538/B565)</f>
        <v/>
      </c>
      <c r="Q538" t="n">
        <v>0</v>
      </c>
      <c r="R538" t="n">
        <v>0</v>
      </c>
      <c r="S538">
        <f>IFERROR(O538/N538,0)</f>
        <v/>
      </c>
      <c r="T538" t="n">
        <v>0</v>
      </c>
      <c r="V538" t="n">
        <v>0</v>
      </c>
    </row>
    <row r="539">
      <c r="A539">
        <f>Skills!A19</f>
        <v/>
      </c>
      <c r="B539">
        <f>Skills!B19</f>
        <v/>
      </c>
      <c r="C539">
        <f>TRUE</f>
        <v/>
      </c>
      <c r="D539">
        <f>IF(Skills!C19=1,60+Inputs!$B$25+Inputs!$B$29,IF(Skills!C19=2,90+Inputs!$B$26+Inputs!$B$29,IF(Skills!C19=3,120+Inputs!$B$27+Inputs!$B$29,MAX(0,(Inputs!$B$3-100)*3)+Inputs!$B$28+Inputs!$B$29)))</f>
        <v/>
      </c>
      <c r="E539">
        <f>INDEX(FactorTable!$B$2:$Y$301, MATCH(ROUND(MIN(300,MAX(1,D539)),0), FactorTable!$A$2:$A$301,0), Skills!M19+1)</f>
        <v/>
      </c>
      <c r="F539">
        <f>IF(Skills!N19=TRUE,(Skills!L19/10)*(E539/1000),Skills!L19/10)+Skills!O19</f>
        <v/>
      </c>
      <c r="G539">
        <f>Skills!G19*IF(Skills!H19&gt;0,Skills!I19/Skills!H19,1)</f>
        <v/>
      </c>
      <c r="H539">
        <f>1-(1-Skills!J19/100)^Skills!K19</f>
        <v/>
      </c>
      <c r="I539" t="inlineStr">
        <is>
          <t>1</t>
        </is>
      </c>
      <c r="J539" t="inlineStr"/>
      <c r="K539" t="inlineStr"/>
      <c r="L539" t="inlineStr"/>
      <c r="M539" t="inlineStr"/>
      <c r="N539" t="inlineStr"/>
      <c r="O539">
        <f>(1-Summary!$B$11)*T539+Summary!$B$11*V539</f>
        <v/>
      </c>
      <c r="P539">
        <f>IF(B565=0,0,O539/B565)</f>
        <v/>
      </c>
      <c r="Q539">
        <f>IFERROR(1/IF(Inputs!$B$39="pvp",15,MAX(0.1,Skills!D19-IF(Skills!E19=TRUE,Inputs!$B$32,0))),0)</f>
        <v/>
      </c>
      <c r="R539">
        <f>IF(AND(Inputs!$B$39&lt;&gt;"pvp",Inputs!$B$44&gt;0),IF(Inputs!$B$44&lt;=0,0,(INT(Inputs!$B$44/IF(Inputs!$B$39="pvp",15,MAX(0.1,Skills!D19-IF(Skills!E19=TRUE,Inputs!$B$32,0))))+1)),0)</f>
        <v/>
      </c>
      <c r="S539">
        <f>IFERROR(O539/N539,0)</f>
        <v/>
      </c>
      <c r="T539" t="n">
        <v>0</v>
      </c>
      <c r="V539" t="n">
        <v>0</v>
      </c>
    </row>
    <row r="540">
      <c r="A540">
        <f>Skills!A20</f>
        <v/>
      </c>
      <c r="B540">
        <f>Skills!B20</f>
        <v/>
      </c>
      <c r="C540">
        <f>Inputs!$B$3&gt;=15</f>
        <v/>
      </c>
      <c r="D540">
        <f>IF(Skills!C20=1,60+Inputs!$B$25+Inputs!$B$29,IF(Skills!C20=2,90+Inputs!$B$26+Inputs!$B$29,IF(Skills!C20=3,120+Inputs!$B$27+Inputs!$B$29,MAX(0,(Inputs!$B$3-100)*3)+Inputs!$B$28+Inputs!$B$29)))</f>
        <v/>
      </c>
      <c r="E540">
        <f>INDEX(FactorTable!$B$2:$Y$301, MATCH(ROUND(MIN(300,MAX(1,D540)),0), FactorTable!$A$2:$A$301,0), Skills!M20+1)</f>
        <v/>
      </c>
      <c r="F540">
        <f>IF(Skills!N20=TRUE,(Skills!L20/10)*(E540/1000),Skills!L20/10)+Skills!O20</f>
        <v/>
      </c>
      <c r="G540">
        <f>Skills!G20*IF(Skills!H20&gt;0,Skills!I20/Skills!H20,1)</f>
        <v/>
      </c>
      <c r="H540">
        <f>1-(1-Skills!J20/100)^Skills!K20</f>
        <v/>
      </c>
      <c r="I540" t="inlineStr">
        <is>
          <t>1</t>
        </is>
      </c>
      <c r="J540" t="inlineStr"/>
      <c r="K540" t="inlineStr"/>
      <c r="L540" t="inlineStr"/>
      <c r="M540" t="inlineStr"/>
      <c r="N540" t="inlineStr"/>
      <c r="O540">
        <f>(1-Summary!$B$11)*T540+Summary!$B$11*V540</f>
        <v/>
      </c>
      <c r="P540">
        <f>IF(B565=0,0,O540/B565)</f>
        <v/>
      </c>
      <c r="Q540">
        <f>IFERROR(1/IF(Inputs!$B$39="pvp",15,MAX(0.1,Skills!D20-IF(Skills!E20=TRUE,Inputs!$B$32,0))),0)</f>
        <v/>
      </c>
      <c r="R540">
        <f>IF(AND(Inputs!$B$39&lt;&gt;"pvp",Inputs!$B$44&gt;0),IF(Inputs!$B$44&lt;=0,0,(INT(Inputs!$B$44/IF(Inputs!$B$39="pvp",15,MAX(0.1,Skills!D20-IF(Skills!E20=TRUE,Inputs!$B$32,0))))+1)),0)</f>
        <v/>
      </c>
      <c r="S540">
        <f>IFERROR(O540/N540,0)</f>
        <v/>
      </c>
      <c r="T540" t="n">
        <v>0</v>
      </c>
      <c r="V540" t="n">
        <v>0</v>
      </c>
    </row>
    <row r="541">
      <c r="A541">
        <f>Skills!A21</f>
        <v/>
      </c>
      <c r="B541">
        <f>Skills!B21</f>
        <v/>
      </c>
      <c r="C541">
        <f>Inputs!$B$3&gt;=15</f>
        <v/>
      </c>
      <c r="D541">
        <f>IF(Skills!C21=1,60+Inputs!$B$25+Inputs!$B$29,IF(Skills!C21=2,90+Inputs!$B$26+Inputs!$B$29,IF(Skills!C21=3,120+Inputs!$B$27+Inputs!$B$29,MAX(0,(Inputs!$B$3-100)*3)+Inputs!$B$28+Inputs!$B$29)))</f>
        <v/>
      </c>
      <c r="E541">
        <f>INDEX(FactorTable!$B$2:$Y$301, MATCH(ROUND(MIN(300,MAX(1,D541)),0), FactorTable!$A$2:$A$301,0), Skills!M21+1)</f>
        <v/>
      </c>
      <c r="F541">
        <f>IF(Skills!N21=TRUE,(Skills!L21/10)*(E541/1000),Skills!L21/10)+Skills!O21</f>
        <v/>
      </c>
      <c r="G541">
        <f>Skills!G21*IF(Skills!H21&gt;0,Skills!I21/Skills!H21,1)</f>
        <v/>
      </c>
      <c r="H541">
        <f>1-(1-Skills!J21/100)^Skills!K21</f>
        <v/>
      </c>
      <c r="I541" t="inlineStr">
        <is>
          <t>1</t>
        </is>
      </c>
      <c r="J541" t="inlineStr"/>
      <c r="K541" t="inlineStr"/>
      <c r="L541" t="inlineStr"/>
      <c r="M541" t="inlineStr"/>
      <c r="N541" t="inlineStr"/>
      <c r="O541">
        <f>(1-Summary!$B$11)*T541+Summary!$B$11*V541</f>
        <v/>
      </c>
      <c r="P541">
        <f>IF(B565=0,0,O541/B565)</f>
        <v/>
      </c>
      <c r="Q541">
        <f>IFERROR(1/IF(Inputs!$B$39="pvp",15,MAX(0.1,Skills!D21-IF(Skills!E21=TRUE,Inputs!$B$32,0))),0)</f>
        <v/>
      </c>
      <c r="R541">
        <f>IF(AND(Inputs!$B$39&lt;&gt;"pvp",Inputs!$B$44&gt;0),IF(Inputs!$B$44&lt;=0,0,(INT(Inputs!$B$44/IF(Inputs!$B$39="pvp",15,MAX(0.1,Skills!D21-IF(Skills!E21=TRUE,Inputs!$B$32,0))))+1)),0)</f>
        <v/>
      </c>
      <c r="S541">
        <f>IFERROR(O541/N541,0)</f>
        <v/>
      </c>
      <c r="T541" t="n">
        <v>0</v>
      </c>
      <c r="V541" t="n">
        <v>0</v>
      </c>
    </row>
    <row r="542">
      <c r="A542">
        <f>Skills!A22</f>
        <v/>
      </c>
      <c r="B542">
        <f>Skills!B22</f>
        <v/>
      </c>
      <c r="C542">
        <f>Inputs!$B$3&gt;=33</f>
        <v/>
      </c>
      <c r="D542">
        <f>IF(Skills!C22=1,60+Inputs!$B$25+Inputs!$B$29,IF(Skills!C22=2,90+Inputs!$B$26+Inputs!$B$29,IF(Skills!C22=3,120+Inputs!$B$27+Inputs!$B$29,MAX(0,(Inputs!$B$3-100)*3)+Inputs!$B$28+Inputs!$B$29)))</f>
        <v/>
      </c>
      <c r="E542">
        <f>INDEX(FactorTable!$B$2:$Y$301, MATCH(ROUND(MIN(300,MAX(1,D542)),0), FactorTable!$A$2:$A$301,0), Skills!M22+1)</f>
        <v/>
      </c>
      <c r="F542">
        <f>IF(Skills!N22=TRUE,(Skills!L22/10)*(E542/1000),Skills!L22/10)+Skills!O22</f>
        <v/>
      </c>
      <c r="G542">
        <f>Skills!G22*IF(Skills!H22&gt;0,Skills!I22/Skills!H22,1)</f>
        <v/>
      </c>
      <c r="H542">
        <f>1-(1-Skills!J22/100)^Skills!K22</f>
        <v/>
      </c>
      <c r="I542" t="inlineStr">
        <is>
          <t>1</t>
        </is>
      </c>
      <c r="J542" t="inlineStr"/>
      <c r="K542" t="inlineStr"/>
      <c r="L542" t="inlineStr"/>
      <c r="M542" t="inlineStr"/>
      <c r="N542" t="inlineStr"/>
      <c r="O542">
        <f>(1-Summary!$B$11)*T542+Summary!$B$11*V542</f>
        <v/>
      </c>
      <c r="P542">
        <f>IF(B565=0,0,O542/B565)</f>
        <v/>
      </c>
      <c r="Q542" t="n">
        <v>0</v>
      </c>
      <c r="R542" t="n">
        <v>0</v>
      </c>
      <c r="S542">
        <f>IFERROR(O542/N542,0)</f>
        <v/>
      </c>
      <c r="T542" t="n">
        <v>0</v>
      </c>
      <c r="V542" t="n">
        <v>0</v>
      </c>
    </row>
    <row r="543">
      <c r="A543">
        <f>Skills!A23</f>
        <v/>
      </c>
      <c r="B543">
        <f>Skills!B23</f>
        <v/>
      </c>
      <c r="C543">
        <f>Inputs!$B$3&gt;=40</f>
        <v/>
      </c>
      <c r="D543">
        <f>IF(Skills!C23=1,60+Inputs!$B$25+Inputs!$B$29,IF(Skills!C23=2,90+Inputs!$B$26+Inputs!$B$29,IF(Skills!C23=3,120+Inputs!$B$27+Inputs!$B$29,MAX(0,(Inputs!$B$3-100)*3)+Inputs!$B$28+Inputs!$B$29)))</f>
        <v/>
      </c>
      <c r="E543">
        <f>INDEX(FactorTable!$B$2:$Y$301, MATCH(ROUND(MIN(300,MAX(1,D543)),0), FactorTable!$A$2:$A$301,0), Skills!M23+1)</f>
        <v/>
      </c>
      <c r="F543">
        <f>IF(Skills!N23=TRUE,(Skills!L23/10)*(E543/1000),Skills!L23/10)+Skills!O23</f>
        <v/>
      </c>
      <c r="G543">
        <f>Skills!G23*IF(Skills!H23&gt;0,Skills!I23/Skills!H23,1)</f>
        <v/>
      </c>
      <c r="H543">
        <f>1-(1-Skills!J23/100)^Skills!K23</f>
        <v/>
      </c>
      <c r="I543" t="inlineStr">
        <is>
          <t>1</t>
        </is>
      </c>
      <c r="J543" t="inlineStr"/>
      <c r="K543" t="inlineStr"/>
      <c r="L543" t="inlineStr"/>
      <c r="M543" t="inlineStr"/>
      <c r="N543" t="inlineStr"/>
      <c r="O543">
        <f>(1-Summary!$B$11)*T543+Summary!$B$11*V543</f>
        <v/>
      </c>
      <c r="P543">
        <f>IF(B565=0,0,O543/B565)</f>
        <v/>
      </c>
      <c r="Q543" t="n">
        <v>0</v>
      </c>
      <c r="R543" t="n">
        <v>0</v>
      </c>
      <c r="S543">
        <f>IFERROR(O543/N543,0)</f>
        <v/>
      </c>
      <c r="T543" t="n">
        <v>0</v>
      </c>
      <c r="V543" t="n">
        <v>0</v>
      </c>
    </row>
    <row r="544">
      <c r="A544">
        <f>Skills!A24</f>
        <v/>
      </c>
      <c r="B544">
        <f>Skills!B24</f>
        <v/>
      </c>
      <c r="C544">
        <f>Inputs!$B$3&gt;=43</f>
        <v/>
      </c>
      <c r="D544">
        <f>IF(Skills!C24=1,60+Inputs!$B$25+Inputs!$B$29,IF(Skills!C24=2,90+Inputs!$B$26+Inputs!$B$29,IF(Skills!C24=3,120+Inputs!$B$27+Inputs!$B$29,MAX(0,(Inputs!$B$3-100)*3)+Inputs!$B$28+Inputs!$B$29)))</f>
        <v/>
      </c>
      <c r="E544">
        <f>INDEX(FactorTable!$B$2:$Y$301, MATCH(ROUND(MIN(300,MAX(1,D544)),0), FactorTable!$A$2:$A$301,0), Skills!M24+1)</f>
        <v/>
      </c>
      <c r="F544">
        <f>IF(Skills!N24=TRUE,(Skills!L24/10)*(E544/1000),Skills!L24/10)+Skills!O24</f>
        <v/>
      </c>
      <c r="G544">
        <f>Skills!G24*IF(Skills!H24&gt;0,Skills!I24/Skills!H24,1)</f>
        <v/>
      </c>
      <c r="H544">
        <f>1-(1-Skills!J24/100)^Skills!K24</f>
        <v/>
      </c>
      <c r="I544" t="inlineStr">
        <is>
          <t>1</t>
        </is>
      </c>
      <c r="J544" t="inlineStr"/>
      <c r="K544" t="inlineStr"/>
      <c r="L544" t="inlineStr"/>
      <c r="M544" t="inlineStr"/>
      <c r="N544" t="inlineStr"/>
      <c r="O544">
        <f>(1-Summary!$B$11)*T544+Summary!$B$11*V544</f>
        <v/>
      </c>
      <c r="P544">
        <f>IF(B565=0,0,O544/B565)</f>
        <v/>
      </c>
      <c r="Q544" t="n">
        <v>0</v>
      </c>
      <c r="R544" t="n">
        <v>0</v>
      </c>
      <c r="S544">
        <f>IFERROR(O544/N544,0)</f>
        <v/>
      </c>
      <c r="T544" t="n">
        <v>0</v>
      </c>
      <c r="V544" t="n">
        <v>0</v>
      </c>
    </row>
    <row r="545">
      <c r="A545">
        <f>Skills!A25</f>
        <v/>
      </c>
      <c r="B545">
        <f>Skills!B25</f>
        <v/>
      </c>
      <c r="C545">
        <f>Inputs!$B$3&gt;=50</f>
        <v/>
      </c>
      <c r="D545">
        <f>IF(Skills!C25=1,60+Inputs!$B$25+Inputs!$B$29,IF(Skills!C25=2,90+Inputs!$B$26+Inputs!$B$29,IF(Skills!C25=3,120+Inputs!$B$27+Inputs!$B$29,MAX(0,(Inputs!$B$3-100)*3)+Inputs!$B$28+Inputs!$B$29)))</f>
        <v/>
      </c>
      <c r="E545">
        <f>INDEX(FactorTable!$B$2:$Y$301, MATCH(ROUND(MIN(300,MAX(1,D545)),0), FactorTable!$A$2:$A$301,0), Skills!M25+1)</f>
        <v/>
      </c>
      <c r="F545">
        <f>IF(Skills!N25=TRUE,(Skills!L25/10)*(E545/1000),Skills!L25/10)+Skills!O25</f>
        <v/>
      </c>
      <c r="G545">
        <f>Skills!G25*IF(Skills!H25&gt;0,Skills!I25/Skills!H25,1)</f>
        <v/>
      </c>
      <c r="H545">
        <f>1-(1-Skills!J25/100)^Skills!K25</f>
        <v/>
      </c>
      <c r="I545" t="inlineStr">
        <is>
          <t>1</t>
        </is>
      </c>
      <c r="J545" t="inlineStr"/>
      <c r="K545" t="inlineStr"/>
      <c r="L545" t="inlineStr"/>
      <c r="M545" t="inlineStr"/>
      <c r="N545" t="inlineStr"/>
      <c r="O545">
        <f>(1-Summary!$B$11)*T545+Summary!$B$11*V545</f>
        <v/>
      </c>
      <c r="P545">
        <f>IF(B565=0,0,O545/B565)</f>
        <v/>
      </c>
      <c r="Q545" t="n">
        <v>0</v>
      </c>
      <c r="R545" t="n">
        <v>0</v>
      </c>
      <c r="S545">
        <f>IFERROR(O545/N545,0)</f>
        <v/>
      </c>
      <c r="T545" t="n">
        <v>0</v>
      </c>
      <c r="V545" t="n">
        <v>0</v>
      </c>
    </row>
    <row r="546">
      <c r="A546">
        <f>Skills!A26</f>
        <v/>
      </c>
      <c r="B546">
        <f>Skills!B26</f>
        <v/>
      </c>
      <c r="C546">
        <f>Inputs!$B$3&gt;=50</f>
        <v/>
      </c>
      <c r="D546">
        <f>IF(Skills!C26=1,60+Inputs!$B$25+Inputs!$B$29,IF(Skills!C26=2,90+Inputs!$B$26+Inputs!$B$29,IF(Skills!C26=3,120+Inputs!$B$27+Inputs!$B$29,MAX(0,(Inputs!$B$3-100)*3)+Inputs!$B$28+Inputs!$B$29)))</f>
        <v/>
      </c>
      <c r="E546">
        <f>INDEX(FactorTable!$B$2:$Y$301, MATCH(ROUND(MIN(300,MAX(1,D546)),0), FactorTable!$A$2:$A$301,0), Skills!M26+1)</f>
        <v/>
      </c>
      <c r="F546">
        <f>IF(Skills!N26=TRUE,(Skills!L26/10)*(E546/1000),Skills!L26/10)+Skills!O26</f>
        <v/>
      </c>
      <c r="G546">
        <f>Skills!G26*IF(Skills!H26&gt;0,Skills!I26/Skills!H26,1)</f>
        <v/>
      </c>
      <c r="H546">
        <f>1-(1-Skills!J26/100)^Skills!K26</f>
        <v/>
      </c>
      <c r="I546" t="inlineStr">
        <is>
          <t>1</t>
        </is>
      </c>
      <c r="J546" t="inlineStr"/>
      <c r="K546" t="inlineStr"/>
      <c r="L546" t="inlineStr"/>
      <c r="M546" t="inlineStr"/>
      <c r="N546" t="inlineStr"/>
      <c r="O546">
        <f>(1-Summary!$B$11)*T546+Summary!$B$11*V546</f>
        <v/>
      </c>
      <c r="P546">
        <f>IF(B565=0,0,O546/B565)</f>
        <v/>
      </c>
      <c r="Q546" t="n">
        <v>0</v>
      </c>
      <c r="R546" t="n">
        <v>0</v>
      </c>
      <c r="S546">
        <f>IFERROR(O546/N546,0)</f>
        <v/>
      </c>
      <c r="T546" t="n">
        <v>0</v>
      </c>
      <c r="V546" t="n">
        <v>0</v>
      </c>
    </row>
    <row r="547">
      <c r="A547">
        <f>Skills!A27</f>
        <v/>
      </c>
      <c r="B547">
        <f>Skills!B27</f>
        <v/>
      </c>
      <c r="C547">
        <f>Inputs!$B$3&gt;=38</f>
        <v/>
      </c>
      <c r="D547">
        <f>IF(Skills!C27=1,60+Inputs!$B$25+Inputs!$B$29,IF(Skills!C27=2,90+Inputs!$B$26+Inputs!$B$29,IF(Skills!C27=3,120+Inputs!$B$27+Inputs!$B$29,MAX(0,(Inputs!$B$3-100)*3)+Inputs!$B$28+Inputs!$B$29)))</f>
        <v/>
      </c>
      <c r="E547">
        <f>INDEX(FactorTable!$B$2:$Y$301, MATCH(ROUND(MIN(300,MAX(1,D547)),0), FactorTable!$A$2:$A$301,0), Skills!M27+1)</f>
        <v/>
      </c>
      <c r="F547">
        <f>IF(Skills!N27=TRUE,(Skills!L27/10)*(E547/1000),Skills!L27/10)+Skills!O27</f>
        <v/>
      </c>
      <c r="G547">
        <f>Skills!G27*IF(Skills!H27&gt;0,Skills!I27/Skills!H27,1)</f>
        <v/>
      </c>
      <c r="H547">
        <f>1-(1-Skills!J27/100)^Skills!K27</f>
        <v/>
      </c>
      <c r="I547" t="inlineStr">
        <is>
          <t>1</t>
        </is>
      </c>
      <c r="J547" t="inlineStr"/>
      <c r="K547" t="inlineStr"/>
      <c r="L547" t="inlineStr"/>
      <c r="M547" t="inlineStr"/>
      <c r="N547" t="inlineStr"/>
      <c r="O547">
        <f>(1-Summary!$B$11)*T547+Summary!$B$11*V547</f>
        <v/>
      </c>
      <c r="P547">
        <f>IF(B565=0,0,O547/B565)</f>
        <v/>
      </c>
      <c r="Q547" t="n">
        <v>0</v>
      </c>
      <c r="R547" t="n">
        <v>0</v>
      </c>
      <c r="S547">
        <f>IFERROR(O547/N547,0)</f>
        <v/>
      </c>
      <c r="T547" t="n">
        <v>0</v>
      </c>
      <c r="V547" t="n">
        <v>0</v>
      </c>
    </row>
    <row r="548">
      <c r="A548">
        <f>Skills!A28</f>
        <v/>
      </c>
      <c r="B548">
        <f>Skills!B28</f>
        <v/>
      </c>
      <c r="C548">
        <f>Inputs!$B$3&gt;=120</f>
        <v/>
      </c>
      <c r="D548">
        <f>IF(Skills!C28=1,60+Inputs!$B$25+Inputs!$B$29,IF(Skills!C28=2,90+Inputs!$B$26+Inputs!$B$29,IF(Skills!C28=3,120+Inputs!$B$27+Inputs!$B$29,MAX(0,(Inputs!$B$3-100)*3)+Inputs!$B$28+Inputs!$B$29)))</f>
        <v/>
      </c>
      <c r="E548">
        <f>INDEX(FactorTable!$B$2:$Y$301, MATCH(ROUND(MIN(300,MAX(1,D548)),0), FactorTable!$A$2:$A$301,0), Skills!M28+1)</f>
        <v/>
      </c>
      <c r="F548">
        <f>IF(Skills!N28=TRUE,(Skills!L28/10)*(E548/1000),Skills!L28/10)+Skills!O28</f>
        <v/>
      </c>
      <c r="G548">
        <f>Skills!G28*IF(Skills!H28&gt;0,Skills!I28/Skills!H28,1)</f>
        <v/>
      </c>
      <c r="H548">
        <f>1-(1-Skills!J28/100)^Skills!K28</f>
        <v/>
      </c>
      <c r="I548" t="inlineStr">
        <is>
          <t>1</t>
        </is>
      </c>
      <c r="J548" t="inlineStr"/>
      <c r="K548" t="inlineStr"/>
      <c r="L548" t="inlineStr"/>
      <c r="M548" t="inlineStr"/>
      <c r="N548" t="inlineStr"/>
      <c r="O548">
        <f>(1-Summary!$B$11)*T548+Summary!$B$11*V548</f>
        <v/>
      </c>
      <c r="P548">
        <f>IF(B565=0,0,O548/B565)</f>
        <v/>
      </c>
      <c r="Q548" t="n">
        <v>0</v>
      </c>
      <c r="R548" t="n">
        <v>0</v>
      </c>
      <c r="S548">
        <f>IFERROR(O548/N548,0)</f>
        <v/>
      </c>
      <c r="T548" t="n">
        <v>0</v>
      </c>
      <c r="V548" t="n">
        <v>0</v>
      </c>
    </row>
    <row r="549">
      <c r="A549">
        <f>Skills!A29</f>
        <v/>
      </c>
      <c r="B549">
        <f>Skills!B29</f>
        <v/>
      </c>
      <c r="C549">
        <f>Inputs!$B$3&gt;=120</f>
        <v/>
      </c>
      <c r="D549">
        <f>IF(Skills!C29=1,60+Inputs!$B$25+Inputs!$B$29,IF(Skills!C29=2,90+Inputs!$B$26+Inputs!$B$29,IF(Skills!C29=3,120+Inputs!$B$27+Inputs!$B$29,MAX(0,(Inputs!$B$3-100)*3)+Inputs!$B$28+Inputs!$B$29)))</f>
        <v/>
      </c>
      <c r="E549">
        <f>INDEX(FactorTable!$B$2:$Y$301, MATCH(ROUND(MIN(300,MAX(1,D549)),0), FactorTable!$A$2:$A$301,0), Skills!M29+1)</f>
        <v/>
      </c>
      <c r="F549">
        <f>IF(Skills!N29=TRUE,(Skills!L29/10)*(E549/1000),Skills!L29/10)+Skills!O29</f>
        <v/>
      </c>
      <c r="G549">
        <f>Skills!G29*IF(Skills!H29&gt;0,Skills!I29/Skills!H29,1)</f>
        <v/>
      </c>
      <c r="H549">
        <f>1-(1-Skills!J29/100)^Skills!K29</f>
        <v/>
      </c>
      <c r="I549" t="inlineStr">
        <is>
          <t>1</t>
        </is>
      </c>
      <c r="J549" t="inlineStr"/>
      <c r="K549" t="inlineStr"/>
      <c r="L549" t="inlineStr"/>
      <c r="M549" t="inlineStr"/>
      <c r="N549" t="inlineStr"/>
      <c r="O549">
        <f>(1-Summary!$B$11)*T549+Summary!$B$11*V549</f>
        <v/>
      </c>
      <c r="P549">
        <f>IF(B565=0,0,O549/B565)</f>
        <v/>
      </c>
      <c r="Q549" t="n">
        <v>0</v>
      </c>
      <c r="R549" t="n">
        <v>0</v>
      </c>
      <c r="S549">
        <f>IFERROR(O549/N549,0)</f>
        <v/>
      </c>
      <c r="T549" t="n">
        <v>0</v>
      </c>
      <c r="V549" t="n">
        <v>0</v>
      </c>
    </row>
    <row r="550">
      <c r="A550">
        <f>Skills!A30</f>
        <v/>
      </c>
      <c r="B550">
        <f>Skills!B30</f>
        <v/>
      </c>
      <c r="C550">
        <f>Inputs!$B$3&gt;=125</f>
        <v/>
      </c>
      <c r="D550">
        <f>IF(Skills!C30=1,60+Inputs!$B$25+Inputs!$B$29,IF(Skills!C30=2,90+Inputs!$B$26+Inputs!$B$29,IF(Skills!C30=3,120+Inputs!$B$27+Inputs!$B$29,MAX(0,(Inputs!$B$3-100)*3)+Inputs!$B$28+Inputs!$B$29)))</f>
        <v/>
      </c>
      <c r="E550">
        <f>INDEX(FactorTable!$B$2:$Y$301, MATCH(ROUND(MIN(300,MAX(1,D550)),0), FactorTable!$A$2:$A$301,0), Skills!M30+1)</f>
        <v/>
      </c>
      <c r="F550">
        <f>IF(Skills!N30=TRUE,(Skills!L30/10)*(E550/1000),Skills!L30/10)+Skills!O30</f>
        <v/>
      </c>
      <c r="G550">
        <f>Skills!G30*IF(Skills!H30&gt;0,Skills!I30/Skills!H30,1)</f>
        <v/>
      </c>
      <c r="H550">
        <f>1-(1-Skills!J30/100)^Skills!K30</f>
        <v/>
      </c>
      <c r="I550" t="inlineStr">
        <is>
          <t>1</t>
        </is>
      </c>
      <c r="J550" t="inlineStr"/>
      <c r="K550" t="inlineStr"/>
      <c r="L550" t="inlineStr"/>
      <c r="M550" t="inlineStr"/>
      <c r="N550" t="inlineStr"/>
      <c r="O550">
        <f>(1-Summary!$B$11)*T550+Summary!$B$11*V550</f>
        <v/>
      </c>
      <c r="P550">
        <f>IF(B565=0,0,O550/B565)</f>
        <v/>
      </c>
      <c r="Q550" t="n">
        <v>0</v>
      </c>
      <c r="R550" t="n">
        <v>0</v>
      </c>
      <c r="S550">
        <f>IFERROR(O550/N550,0)</f>
        <v/>
      </c>
      <c r="T550" t="n">
        <v>0</v>
      </c>
      <c r="V550" t="n">
        <v>0</v>
      </c>
    </row>
    <row r="552">
      <c r="A552" t="inlineStr">
        <is>
          <t>Average Buff Multiplier</t>
        </is>
      </c>
      <c r="B552">
        <f>(1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f>
        <v/>
      </c>
    </row>
    <row r="553">
      <c r="A553" t="inlineStr">
        <is>
          <t>Global Crit Rate Bonus %</t>
        </is>
      </c>
      <c r="B553">
        <f>((C540=TRUE)*F540*IF(AND(Inputs!$B$39&lt;&gt;"pvp",Inputs!$B$44&gt;0),(((R540-1)*(Skills!Y20*(1+Inputs!$B$34/100))+MIN((Skills!Y20*(1+Inputs!$B$34/100)),MAX(0,Inputs!$B$44-((R540-1)*Skills!D20))))/Inputs!$B$44),IF(Inputs!$B$39="pvp",MIN((Skills!Y20*(1+Inputs!$B$34/100)),15)/15,(Skills!Y20*(1+Inputs!$B$34/100))/Skills!D20)))</f>
        <v/>
      </c>
    </row>
    <row r="554">
      <c r="A554" t="inlineStr">
        <is>
          <t>Global Monster Damage-Taken Bonus %</t>
        </is>
      </c>
      <c r="B554">
        <f>IF(Inputs!$B$3&gt;=82,15,0)</f>
        <v/>
      </c>
    </row>
    <row r="555">
      <c r="A555" t="inlineStr">
        <is>
          <t>Shadow Partner Average Multiplier</t>
        </is>
      </c>
      <c r="B555">
        <f>1+((C527=TRUE)*F527*(1+3.3333333333333335*IF(C538=TRUE,F538,0)/100)*I527*Skills!J7/100)/100</f>
        <v/>
      </c>
    </row>
    <row r="556">
      <c r="A556" t="inlineStr">
        <is>
          <t>Attack Speed Buff Bonus %</t>
        </is>
      </c>
      <c r="B556">
        <f>((C539=TRUE)*F539*IF(AND(Inputs!$B$39&lt;&gt;"pvp",Inputs!$B$44&gt;0),(((R539-1)*(Skills!Y19*(1+Inputs!$B$34/100))+MIN((Skills!Y19*(1+Inputs!$B$34/100)),MAX(0,Inputs!$B$44-((R539-1)*Skills!D19))))/Inputs!$B$44),IF(Inputs!$B$39="pvp",MIN((Skills!Y19*(1+Inputs!$B$34/100)),15)/15,(Skills!Y19*(1+Inputs!$B$34/100))/Skills!D19)))+((C523=TRUE)*F523*3)</f>
        <v/>
      </c>
    </row>
    <row r="557">
      <c r="A557" t="inlineStr">
        <is>
          <t>Actions Per Second</t>
        </is>
      </c>
      <c r="B557">
        <f>1+MIN(150,150*(1-(1-(Inputs!$B$11+((C542=TRUE)*(F542-Calc!F22)))/150)*(1-B556/150)))/100</f>
        <v/>
      </c>
    </row>
    <row r="558">
      <c r="A558" t="inlineStr">
        <is>
          <t>Skill + Buff Cast Rate</t>
        </is>
      </c>
      <c r="B558">
        <f>IF(AND(Inputs!$B$39&lt;&gt;"pvp",Inputs!$B$44&gt;0),SUMPRODUCT((Skills!E2:E30=TRUE)*(C522:C550=TRUE)*R522:R550*Skills!F2:F30)/Inputs!$B$44,SUMPRODUCT((Skills!E2:E30=TRUE)*(C522:C550=TRUE)*Q522:Q550*Skills!F2:F30))</f>
        <v/>
      </c>
    </row>
    <row r="559">
      <c r="A559" t="inlineStr">
        <is>
          <t>Cruel Stab Casts Per Second</t>
        </is>
      </c>
      <c r="B559">
        <f>MAX(0,B557-B558)</f>
        <v/>
      </c>
    </row>
    <row r="560">
      <c r="A560" t="inlineStr">
        <is>
          <t>Global Critical Damage Bonus % (Smokescreen Mastery Lv.113)</t>
        </is>
      </c>
      <c r="B560">
        <f>IF(Inputs!$B$3&gt;=113,30,0)*IF(AND(Inputs!$B$39&lt;&gt;"pvp",Inputs!$B$44&gt;0),(((R535-1)*(Skills!Y15*(1+Inputs!$B$34/100))+MIN((Skills!Y15*(1+Inputs!$B$34/100)),MAX(0,Inputs!$B$44-((R535-1)*Skills!D15))))/Inputs!$B$44),IF(Inputs!$B$39="pvp",MIN((Skills!Y15*(1+Inputs!$B$34/100)),15)/15,(Skills!Y15*(1+Inputs!$B$34/100))/Skills!D15))</f>
        <v/>
      </c>
    </row>
    <row r="561">
      <c r="A561" t="inlineStr">
        <is>
          <t>Meso Explosion average stack count</t>
        </is>
      </c>
      <c r="B561">
        <f>MIN(10,0.5*B557*Skills!D4)</f>
        <v/>
      </c>
    </row>
    <row r="562">
      <c r="A562" t="inlineStr">
        <is>
          <t>Blood Money average stack count</t>
        </is>
      </c>
      <c r="B562">
        <f>MIN(5,0.25*B557*Skills!D4)</f>
        <v/>
      </c>
    </row>
    <row r="563">
      <c r="A563" t="inlineStr">
        <is>
          <t>Assassinate Murderous Intent Multiplier</t>
        </is>
      </c>
      <c r="B563">
        <f>1+IFERROR(MIN(1,Q534*2/Q531),0)</f>
        <v/>
      </c>
    </row>
    <row r="564">
      <c r="A564" t="inlineStr">
        <is>
          <t>Buff-Casting Startup Delay (s, fixed-duration only)</t>
        </is>
      </c>
      <c r="B564">
        <f>IF(AND(Inputs!$B$39&lt;&gt;"pvp",Inputs!$B$44&gt;0),SUMPRODUCT((Skills!Y2:Y30&gt;0)*(Skills!E2:E30=TRUE)*(C522:C550=TRUE))/B557,0)</f>
        <v/>
      </c>
    </row>
    <row r="565">
      <c r="A565" s="6" t="inlineStr">
        <is>
          <t>TOTAL DPS</t>
        </is>
      </c>
      <c r="B565" s="6">
        <f>SUM(O522:O550)</f>
        <v/>
      </c>
    </row>
    <row r="566">
      <c r="A566" t="inlineStr">
        <is>
          <t>Boss-Only Total DPS (this block's swept value)</t>
        </is>
      </c>
      <c r="B566">
        <f>SUM(T522:T550)</f>
        <v/>
      </c>
    </row>
    <row r="567">
      <c r="A567" t="inlineStr">
        <is>
          <t>Normal-Only Total DPS (this block's swept value)</t>
        </is>
      </c>
      <c r="B567">
        <f>SUM(V522:V550)</f>
        <v/>
      </c>
    </row>
    <row r="570">
      <c r="A570" s="6" t="inlineStr">
        <is>
          <t>Stat: CRIT_RATE %</t>
        </is>
      </c>
    </row>
    <row r="571">
      <c r="A571" s="5" t="inlineStr">
        <is>
          <t>Key</t>
        </is>
      </c>
      <c r="B571" s="5" t="inlineStr">
        <is>
          <t>Name</t>
        </is>
      </c>
      <c r="C571" s="5" t="inlineStr">
        <is>
          <t>Unlocked</t>
        </is>
      </c>
      <c r="D571" s="5" t="inlineStr">
        <is>
          <t>InputLevel</t>
        </is>
      </c>
      <c r="E571" s="5" t="inlineStr">
        <is>
          <t>Factor</t>
        </is>
      </c>
      <c r="F571" s="5" t="inlineStr">
        <is>
          <t>CoefficientPercent</t>
        </is>
      </c>
      <c r="G571" s="5" t="inlineStr">
        <is>
          <t>EffectiveHits</t>
        </is>
      </c>
      <c r="H571" s="5" t="inlineStr">
        <is>
          <t>ProcProbability</t>
        </is>
      </c>
      <c r="I571" s="5" t="inlineStr">
        <is>
          <t>MapleHeroMultiplier</t>
        </is>
      </c>
      <c r="J571" s="5" t="inlineStr">
        <is>
          <t>BaseDamage</t>
        </is>
      </c>
      <c r="K571" s="5" t="inlineStr">
        <is>
          <t>BaseHitDamage</t>
        </is>
      </c>
      <c r="L571" s="5" t="inlineStr">
        <is>
          <t>NonCritAvg</t>
        </is>
      </c>
      <c r="M571" s="5" t="inlineStr">
        <is>
          <t>CritAvg</t>
        </is>
      </c>
      <c r="N571" s="5" t="inlineStr">
        <is>
          <t>ExpectedDamage(perHit)</t>
        </is>
      </c>
      <c r="O571" s="5" t="inlineStr">
        <is>
          <t>DPS</t>
        </is>
      </c>
      <c r="P571" s="5" t="inlineStr">
        <is>
          <t>% of Total</t>
        </is>
      </c>
      <c r="Q571" s="5" t="inlineStr">
        <is>
          <t>InvCooldown</t>
        </is>
      </c>
      <c r="R571" s="5" t="inlineStr">
        <is>
          <t>CastsInFight</t>
        </is>
      </c>
      <c r="S571" s="5" t="inlineStr">
        <is>
          <t>HitRate(perSec)</t>
        </is>
      </c>
      <c r="U571" t="inlineStr">
        <is>
          <t>helpers</t>
        </is>
      </c>
    </row>
    <row r="572">
      <c r="A572">
        <f>Skills!A2</f>
        <v/>
      </c>
      <c r="B572">
        <f>Skills!B2</f>
        <v/>
      </c>
      <c r="C572">
        <f>Inputs!$B$3&gt;=100</f>
        <v/>
      </c>
      <c r="D572" t="inlineStr"/>
      <c r="E572" t="inlineStr"/>
      <c r="F572">
        <f>U574+Skills!O2</f>
        <v/>
      </c>
      <c r="G572">
        <f>Skills!G2*IF(Skills!H2&gt;0,Skills!I2/Skills!H2,1)</f>
        <v/>
      </c>
      <c r="H572">
        <f>1-(1-Skills!J2/100)^Skills!K2</f>
        <v/>
      </c>
      <c r="I572" t="inlineStr">
        <is>
          <t>1</t>
        </is>
      </c>
      <c r="J572">
        <f>((Inputs!$B$6*(1+Inputs!$B$7/100))+(((Inputs!$B$12*(1+Inputs!$B$13/100))-(Inputs!$B$12*(1+Inputs!$B$13/100)))+0.25*(Inputs!$B$14-Inputs!$B$14))*(1+Inputs!$B$7/100))*(F572/100)</f>
        <v/>
      </c>
      <c r="K572">
        <f>J572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572)</f>
        <v/>
      </c>
      <c r="L572">
        <f>K572*(MIN(Inputs!$B$22+((C594=TRUE)*(F594-Calc!F24)),(Inputs!$B$23+((C599=TRUE)*(F599-Calc!F29))+IF(ArtifactsInput!$M$15,CHOOSE(ArtifactsInput!$N$15+1,25,30,35,40,45,50)/100*(Inputs!$B$11-Inputs!$B$11),0)))/100+(Inputs!$B$23+((C599=TRUE)*(F599-Calc!F29))+IF(ArtifactsInput!$M$15,CHOOSE(ArtifactsInput!$N$15+1,25,30,35,40,45,50)/100*(Inputs!$B$11-Inputs!$B$11),0))/100)/2</f>
        <v/>
      </c>
      <c r="M572">
        <f>L572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IF(B615=0,0,O572/B615)</f>
        <v/>
      </c>
      <c r="Q572" t="n">
        <v>0</v>
      </c>
      <c r="R572" t="n">
        <v>0</v>
      </c>
      <c r="S572">
        <f>IFERROR(O572/N572,0)</f>
        <v/>
      </c>
      <c r="T572">
        <f>IF(C572,(Skills!G2*N572*B609)*IF(Inputs!$B$39="pvp",1,1+(Inputs!$B$20+0+Skills!P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572*(1-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2">
        <f>MAX(0,(Inputs!$B$3-100)*3)+Inputs!$B$28+Inputs!$B$29</f>
        <v/>
      </c>
      <c r="V572">
        <f>IF(C572,(Skills!G2*N572*B609)*IF(Inputs!$B$39="pvp",1,(1+(Inputs!$B$21+Skills!Q2+B604+(IF(ArtifactsInput!$M$33,CHOOSE(ArtifactsInput!$N$33+1,30,36,42,48,54,60),0))+(IF(AND(ArtifactsInput!$M$35,Inputs!$B$4&lt;&gt;"Chapter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Skills!A3</f>
        <v/>
      </c>
      <c r="B573">
        <f>Skills!B3</f>
        <v/>
      </c>
      <c r="C573">
        <f>Inputs!$B$3&gt;=35</f>
        <v/>
      </c>
      <c r="D573">
        <f>IF(Skills!C3=1,60+Inputs!$B$25+Inputs!$B$29,IF(Skills!C3=2,90+Inputs!$B$26+Inputs!$B$29,IF(Skills!C3=3,120+Inputs!$B$27+Inputs!$B$29,MAX(0,(Inputs!$B$3-100)*3)+Inputs!$B$28+Inputs!$B$29)))</f>
        <v/>
      </c>
      <c r="E573">
        <f>INDEX(FactorTable!$B$2:$Y$301, MATCH(ROUND(MIN(300,MAX(1,D573)),0), FactorTable!$A$2:$A$301,0), Skills!M3+1)</f>
        <v/>
      </c>
      <c r="F573">
        <f>IF(Skills!N3=TRUE,(Skills!L3/10)*(E573/1000),Skills!L3/10)+Skills!O3</f>
        <v/>
      </c>
      <c r="G573">
        <f>Skills!G3*IF(Skills!H3&gt;0,Skills!I3/Skills!H3,1)</f>
        <v/>
      </c>
      <c r="H573">
        <f>1-(1-Skills!J3/100)^Skills!K3</f>
        <v/>
      </c>
      <c r="I573" t="inlineStr">
        <is>
          <t>1</t>
        </is>
      </c>
      <c r="J573" t="inlineStr"/>
      <c r="K573" t="inlineStr"/>
      <c r="L573" t="inlineStr"/>
      <c r="M573" t="inlineStr"/>
      <c r="N573" t="inlineStr"/>
      <c r="O573">
        <f>(1-Summary!$B$11)*T573+Summary!$B$11*V573</f>
        <v/>
      </c>
      <c r="P573">
        <f>IF(B615=0,0,O573/B615)</f>
        <v/>
      </c>
      <c r="Q573" t="n">
        <v>0</v>
      </c>
      <c r="R573" t="n">
        <v>0</v>
      </c>
      <c r="S573">
        <f>IFERROR(O573/N573,0)</f>
        <v/>
      </c>
      <c r="T573" t="n">
        <v>0</v>
      </c>
      <c r="U573">
        <f>INDEX(FactorTable!$B$2:$Y$301, MATCH(ROUND(MIN(300,MAX(1,U572)),0), FactorTable!$A$2:$A$301,0), 22)</f>
        <v/>
      </c>
      <c r="V573" t="n">
        <v>0</v>
      </c>
    </row>
    <row r="574">
      <c r="A574">
        <f>Skills!A4</f>
        <v/>
      </c>
      <c r="B574">
        <f>Skills!B4</f>
        <v/>
      </c>
      <c r="C574">
        <f>Inputs!$B$3&gt;=66</f>
        <v/>
      </c>
      <c r="D574">
        <f>IF(Skills!C4=1,60+Inputs!$B$25+Inputs!$B$29,IF(Skills!C4=2,90+Inputs!$B$26+Inputs!$B$29,IF(Skills!C4=3,120+Inputs!$B$27+Inputs!$B$29,MAX(0,(Inputs!$B$3-100)*3)+Inputs!$B$28+Inputs!$B$29)))</f>
        <v/>
      </c>
      <c r="E574">
        <f>INDEX(FactorTable!$B$2:$Y$301, MATCH(ROUND(MIN(300,MAX(1,D574)),0), FactorTable!$A$2:$A$301,0), Skills!M4+1)</f>
        <v/>
      </c>
      <c r="F574">
        <f>IF(Skills!N4=TRUE,(Skills!L4/10)*(E574/1000),Skills!L4/10)+Skills!O4</f>
        <v/>
      </c>
      <c r="G574">
        <f>Skills!G4*IF(Skills!H4&gt;0,Skills!I4/Skills!H4,1)</f>
        <v/>
      </c>
      <c r="H574">
        <f>1-(1-Skills!J4/100)^Skills!K4</f>
        <v/>
      </c>
      <c r="I574" t="inlineStr">
        <is>
          <t>1</t>
        </is>
      </c>
      <c r="J574">
        <f>((Inputs!$B$6*(1+Inputs!$B$7/100))+(((Inputs!$B$12*(1+Inputs!$B$13/100))-(Inputs!$B$12*(1+Inputs!$B$13/100)))+0.25*(Inputs!$B$14-Inputs!$B$14))*(1+Inputs!$B$7/100))*(F574/100)</f>
        <v/>
      </c>
      <c r="K574">
        <f>J574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574)</f>
        <v/>
      </c>
      <c r="L574">
        <f>K574*(MIN(Inputs!$B$22+((C594=TRUE)*(F594-Calc!F24)),(Inputs!$B$23+((C599=TRUE)*(F599-Calc!F29))+IF(ArtifactsInput!$M$15,CHOOSE(ArtifactsInput!$N$15+1,25,30,35,40,45,50)/100*(Inputs!$B$11-Inputs!$B$11),0)))/100+(Inputs!$B$23+((C599=TRUE)*(F599-Calc!F29))+IF(ArtifactsInput!$M$15,CHOOSE(ArtifactsInput!$N$15+1,25,30,35,40,45,50)/100*(Inputs!$B$11-Inputs!$B$11),0))/100)/2</f>
        <v/>
      </c>
      <c r="M574">
        <f>L574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IF(B615=0,0,O574/B615)</f>
        <v/>
      </c>
      <c r="Q574">
        <f>IFERROR(1/IF(Inputs!$B$39="pvp",15,MAX(0.1,Skills!D4-IF(Skills!E4=TRUE,Inputs!$B$32,0))),0)</f>
        <v/>
      </c>
      <c r="R574">
        <f>IF(AND(Inputs!$B$39&lt;&gt;"pvp",Inputs!$B$44&gt;0),IF(MAX(0,Inputs!$B$44-B614)&lt;=0,0,(INT(MAX(0,Inputs!$B$44-B614)/IF(Inputs!$B$39="pvp",15,MAX(0.1,Skills!D4-IF(Skills!E4=TRUE,Inputs!$B$32,0))))+1)),0)</f>
        <v/>
      </c>
      <c r="S574">
        <f>IFERROR(O574/N574,0)</f>
        <v/>
      </c>
      <c r="T574">
        <f>IF(C574,(H574*N574*IF(AND(Inputs!$B$39&lt;&gt;"pvp",Inputs!$B$44&gt;0),((Skills!G4*((R574-1)*IF(Skills!H4&gt;0,Skills!I4/Skills!H4,1)+IF(Skills!H4&gt;0,MIN(Skills!I4,MAX(0,MAX(0,Inputs!$B$44-B614)-((R574-1)*IF(Inputs!$B$39="pvp",15,MAX(0.1,Skills!D4-IF(Skills!E4=TRUE,Inputs!$B$32,0))))))/Skills!H4,1)))/Inputs!$B$44),G574*Q574))*IF(Inputs!$B$39="pvp",1,1+(Inputs!$B$20+0+Skills!P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574*(1-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f>290*U573/1000</f>
        <v/>
      </c>
      <c r="V574">
        <f>IF(C574,(H574*N574*IF(AND(Inputs!$B$39&lt;&gt;"pvp",Inputs!$B$44&gt;0),((Skills!G4*((R574-1)*IF(Skills!H4&gt;0,Skills!I4/Skills!H4,1)+IF(Skills!H4&gt;0,MIN(Skills!I4,MAX(0,MAX(0,Inputs!$B$44-B614)-((R574-1)*IF(Inputs!$B$39="pvp",15,MAX(0.1,Skills!D4-IF(Skills!E4=TRUE,Inputs!$B$32,0))))))/Skills!H4,1)))/Inputs!$B$44),G574*Q574))*IF(Inputs!$B$39="pvp",1,(1+(Inputs!$B$21+Skills!Q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(10,0.5*B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Skills!A5</f>
        <v/>
      </c>
      <c r="B575">
        <f>Skills!B5</f>
        <v/>
      </c>
      <c r="C575">
        <f>Inputs!$B$3&gt;=63</f>
        <v/>
      </c>
      <c r="D575">
        <f>IF(Skills!C5=1,60+Inputs!$B$25+Inputs!$B$29,IF(Skills!C5=2,90+Inputs!$B$26+Inputs!$B$29,IF(Skills!C5=3,120+Inputs!$B$27+Inputs!$B$29,MAX(0,(Inputs!$B$3-100)*3)+Inputs!$B$28+Inputs!$B$29)))</f>
        <v/>
      </c>
      <c r="E575">
        <f>INDEX(FactorTable!$B$2:$Y$301, MATCH(ROUND(MIN(300,MAX(1,D575)),0), FactorTable!$A$2:$A$301,0), Skills!M5+1)</f>
        <v/>
      </c>
      <c r="F575">
        <f>IF(Skills!N5=TRUE,(Skills!L5/10)*(E575/1000),Skills!L5/10)+Skills!O5</f>
        <v/>
      </c>
      <c r="G575">
        <f>Skills!G5*IF(Skills!H5&gt;0,Skills!I5/Skills!H5,1)</f>
        <v/>
      </c>
      <c r="H575">
        <f>1-(1-Skills!J5/100)^Skills!K5</f>
        <v/>
      </c>
      <c r="I575" t="inlineStr">
        <is>
          <t>1</t>
        </is>
      </c>
      <c r="J575">
        <f>((Inputs!$B$6*(1+Inputs!$B$7/100))+(((Inputs!$B$12*(1+Inputs!$B$13/100))-(Inputs!$B$12*(1+Inputs!$B$13/100)))+0.25*(Inputs!$B$14-Inputs!$B$14))*(1+Inputs!$B$7/100))*(F575/100)</f>
        <v/>
      </c>
      <c r="K575">
        <f>J575*(1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588=TRUE,F588,0)/100)*(1+(IF(Skills!A5="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575)</f>
        <v/>
      </c>
      <c r="L575">
        <f>K575*(MIN(Inputs!$B$22+((C594=TRUE)*(F594-Calc!F24)),(Inputs!$B$23+((C599=TRUE)*(F599-Calc!F29))+IF(ArtifactsInput!$M$15,CHOOSE(ArtifactsInput!$N$15+1,25,30,35,40,45,50)/100*(Inputs!$B$11-Inputs!$B$11),0)))/100+(Inputs!$B$23+((C599=TRUE)*(F599-Calc!F29))+IF(ArtifactsInput!$M$15,CHOOSE(ArtifactsInput!$N$15+1,25,30,35,40,45,50)/100*(Inputs!$B$11-Inputs!$B$11),0))/100)/2</f>
        <v/>
      </c>
      <c r="M575">
        <f>L575*(1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IF(B615=0,0,O575/B615)</f>
        <v/>
      </c>
      <c r="Q575">
        <f>IFERROR(1/IF(Inputs!$B$39="pvp",15,MAX(0.1,Skills!D5-IF(Skills!E5=TRUE,Inputs!$B$32,0))),0)</f>
        <v/>
      </c>
      <c r="R575">
        <f>IF(AND(Inputs!$B$39&lt;&gt;"pvp",Inputs!$B$44&gt;0),IF(MAX(0,Inputs!$B$44-B614)&lt;=0,0,(INT(MAX(0,Inputs!$B$44-B614)/IF(Inputs!$B$39="pvp",15,MAX(0.1,Skills!D5-IF(Skills!E5=TRUE,Inputs!$B$32,0))))+1)),0)</f>
        <v/>
      </c>
      <c r="S575">
        <f>IFERROR(O575/N575,0)</f>
        <v/>
      </c>
      <c r="T575">
        <f>IF(C575,(H575*N575*IF(AND(Inputs!$B$39&lt;&gt;"pvp",Inputs!$B$44&gt;0),((Skills!G5*((R575-1)*IF(Skills!H5&gt;0,Skills!I5/Skills!H5,1)+IF(Skills!H5&gt;0,MIN(Skills!I5,MAX(0,MAX(0,Inputs!$B$44-B614)-((R575-1)*IF(Inputs!$B$39="pvp",15,MAX(0.1,Skills!D5-IF(Skills!E5=TRUE,Inputs!$B$32,0))))))/Skills!H5,1)))/Inputs!$B$44),G575*Q575))*IF(Inputs!$B$39="pvp",1,1+(Inputs!$B$20+0+Skills!P5+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575*(1-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5*((R575-1)*IF(Skills!H5&gt;0,Skills!I5/Skills!H5,1)+IF(Skills!H5&gt;0,MIN(Skills!I5,MAX(0,MAX(0,Inputs!$B$44-B614)-((R575-1)*IF(Inputs!$B$39="pvp",15,MAX(0.1,Skills!D5-IF(Skills!E5=TRUE,Inputs!$B$32,0))))))/Skills!H5,1)))/Inputs!$B$44),G575*Q575))*IF(Inputs!$B$39="pvp",1,(1+(Inputs!$B$21+Skills!Q5+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Skills!A6</f>
        <v/>
      </c>
      <c r="B576">
        <f>Skills!B6</f>
        <v/>
      </c>
      <c r="C576">
        <f>Inputs!$B$3&gt;=69</f>
        <v/>
      </c>
      <c r="D576">
        <f>IF(Skills!C6=1,60+Inputs!$B$25+Inputs!$B$29,IF(Skills!C6=2,90+Inputs!$B$26+Inputs!$B$29,IF(Skills!C6=3,120+Inputs!$B$27+Inputs!$B$29,MAX(0,(Inputs!$B$3-100)*3)+Inputs!$B$28+Inputs!$B$29)))</f>
        <v/>
      </c>
      <c r="E576">
        <f>INDEX(FactorTable!$B$2:$Y$301, MATCH(ROUND(MIN(300,MAX(1,D576)),0), FactorTable!$A$2:$A$301,0), Skills!M6+1)</f>
        <v/>
      </c>
      <c r="F576">
        <f>IF(Skills!N6=TRUE,(Skills!L6/10)*(E576/1000),Skills!L6/10)+Skills!O6</f>
        <v/>
      </c>
      <c r="G576">
        <f>Skills!G6*IF(Skills!H6&gt;0,Skills!I6/Skills!H6,1)</f>
        <v/>
      </c>
      <c r="H576">
        <f>1-(1-Skills!J6/100)^Skills!K6</f>
        <v/>
      </c>
      <c r="I576" t="inlineStr">
        <is>
          <t>1</t>
        </is>
      </c>
      <c r="J576">
        <f>((Inputs!$B$6*(1+Inputs!$B$7/100))+(((Inputs!$B$12*(1+Inputs!$B$13/100))-(Inputs!$B$12*(1+Inputs!$B$13/100)))+0.25*(Inputs!$B$14-Inputs!$B$14))*(1+Inputs!$B$7/100))*(F576/100)</f>
        <v/>
      </c>
      <c r="K576">
        <f>J576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588=TRUE,F588,0)/100)*(1+(IF(Skills!A6="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576)</f>
        <v/>
      </c>
      <c r="L576">
        <f>K576*(MIN(Inputs!$B$22+((C594=TRUE)*(F594-Calc!F24)),(Inputs!$B$23+((C599=TRUE)*(F599-Calc!F29))+IF(ArtifactsInput!$M$15,CHOOSE(ArtifactsInput!$N$15+1,25,30,35,40,45,50)/100*(Inputs!$B$11-Inputs!$B$11),0)))/100+(Inputs!$B$23+((C599=TRUE)*(F599-Calc!F29))+IF(ArtifactsInput!$M$15,CHOOSE(ArtifactsInput!$N$15+1,25,30,35,40,45,50)/100*(Inputs!$B$11-Inputs!$B$11),0))/100)/2</f>
        <v/>
      </c>
      <c r="M576">
        <f>L576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IF(B615=0,0,O576/B615)</f>
        <v/>
      </c>
      <c r="Q576">
        <f>IFERROR(1/IF(Inputs!$B$39="pvp",15,MAX(0.1,Skills!D6-IF(Skills!E6=TRUE,Inputs!$B$32,0))),0)</f>
        <v/>
      </c>
      <c r="R576">
        <f>IF(AND(Inputs!$B$39&lt;&gt;"pvp",Inputs!$B$44&gt;0),IF(MAX(0,Inputs!$B$44-B614)&lt;=0,0,(INT(MAX(0,Inputs!$B$44-B614)/IF(Inputs!$B$39="pvp",15,MAX(0.1,Skills!D6-IF(Skills!E6=TRUE,Inputs!$B$32,0))))+1)),0)</f>
        <v/>
      </c>
      <c r="S576">
        <f>IFERROR(O576/N576,0)</f>
        <v/>
      </c>
      <c r="T576">
        <f>IF(C576,(H576*N576*IF(AND(Inputs!$B$39&lt;&gt;"pvp",Inputs!$B$44&gt;0),((Skills!G6*((R576-1)*IF(Skills!H6&gt;0,Skills!I6/Skills!H6,1)+IF(Skills!H6&gt;0,MIN(Skills!I6,MAX(0,MAX(0,Inputs!$B$44-B614)-((R576-1)*IF(Inputs!$B$39="pvp",15,MAX(0.1,Skills!D6-IF(Skills!E6=TRUE,Inputs!$B$32,0))))))/Skills!H6,1)))/Inputs!$B$44),G576*Q576))*IF(Inputs!$B$39="pvp",1,1+(Inputs!$B$20+0+Skills!P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576*(1-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6*((R576-1)*IF(Skills!H6&gt;0,Skills!I6/Skills!H6,1)+IF(Skills!H6&gt;0,MIN(Skills!I6,MAX(0,MAX(0,Inputs!$B$44-B614)-((R576-1)*IF(Inputs!$B$39="pvp",15,MAX(0.1,Skills!D6-IF(Skills!E6=TRUE,Inputs!$B$32,0))))))/Skills!H6,1)))/Inputs!$B$44),G576*Q576))*IF(Inputs!$B$39="pvp",1,(1+(Inputs!$B$21+Skills!Q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Skills!A7</f>
        <v/>
      </c>
      <c r="B577">
        <f>Skills!B7</f>
        <v/>
      </c>
      <c r="C577">
        <f>Inputs!$B$3&gt;=60</f>
        <v/>
      </c>
      <c r="D577">
        <f>IF(Skills!C7=1,60+Inputs!$B$25+Inputs!$B$29,IF(Skills!C7=2,90+Inputs!$B$26+Inputs!$B$29,IF(Skills!C7=3,120+Inputs!$B$27+Inputs!$B$29,MAX(0,(Inputs!$B$3-100)*3)+Inputs!$B$28+Inputs!$B$29)))</f>
        <v/>
      </c>
      <c r="E577">
        <f>INDEX(FactorTable!$B$2:$Y$301, MATCH(ROUND(MIN(300,MAX(1,D577)),0), FactorTable!$A$2:$A$301,0), Skills!M7+1)</f>
        <v/>
      </c>
      <c r="F577">
        <f>IF(Skills!N7=TRUE,(Skills!L7/10)*(E577/1000),Skills!L7/10)+Skills!O7</f>
        <v/>
      </c>
      <c r="G577">
        <f>Skills!G7*IF(Skills!H7&gt;0,Skills!I7/Skills!H7,1)</f>
        <v/>
      </c>
      <c r="H577">
        <f>1-(1-Skills!J7/100)^Skills!K7</f>
        <v/>
      </c>
      <c r="I577" t="inlineStr">
        <is>
          <t>1</t>
        </is>
      </c>
      <c r="J577" t="inlineStr"/>
      <c r="K577" t="inlineStr"/>
      <c r="L577" t="inlineStr"/>
      <c r="M577" t="inlineStr"/>
      <c r="N577" t="inlineStr"/>
      <c r="O577">
        <f>(1-Summary!$B$11)*T577+Summary!$B$11*V577</f>
        <v/>
      </c>
      <c r="P577">
        <f>IF(B615=0,0,O577/B615)</f>
        <v/>
      </c>
      <c r="Q577" t="n">
        <v>0</v>
      </c>
      <c r="R577" t="n">
        <v>0</v>
      </c>
      <c r="S577">
        <f>IFERROR(O577/N577,0)</f>
        <v/>
      </c>
      <c r="T577" t="n">
        <v>0</v>
      </c>
      <c r="V577" t="n">
        <v>0</v>
      </c>
    </row>
    <row r="578">
      <c r="A578">
        <f>Skills!A8</f>
        <v/>
      </c>
      <c r="B578">
        <f>Skills!B8</f>
        <v/>
      </c>
      <c r="C578">
        <f>Inputs!$B$3&gt;=72</f>
        <v/>
      </c>
      <c r="D578">
        <f>IF(Skills!C8=1,60+Inputs!$B$25+Inputs!$B$29,IF(Skills!C8=2,90+Inputs!$B$26+Inputs!$B$29,IF(Skills!C8=3,120+Inputs!$B$27+Inputs!$B$29,MAX(0,(Inputs!$B$3-100)*3)+Inputs!$B$28+Inputs!$B$29)))</f>
        <v/>
      </c>
      <c r="E578">
        <f>INDEX(FactorTable!$B$2:$Y$301, MATCH(ROUND(MIN(300,MAX(1,D578)),0), FactorTable!$A$2:$A$301,0), Skills!M8+1)</f>
        <v/>
      </c>
      <c r="F578">
        <f>IF(Skills!N8=TRUE,(Skills!L8/10)*(E578/1000),Skills!L8/10)+Skills!O8</f>
        <v/>
      </c>
      <c r="G578">
        <f>Skills!G8*IF(Skills!H8&gt;0,Skills!I8/Skills!H8,1)</f>
        <v/>
      </c>
      <c r="H578">
        <f>1-(1-Skills!J8/100)^Skills!K8</f>
        <v/>
      </c>
      <c r="I578" t="inlineStr">
        <is>
          <t>1</t>
        </is>
      </c>
      <c r="J578">
        <f>((Inputs!$B$6*(1+Inputs!$B$7/100))+(((Inputs!$B$12*(1+Inputs!$B$13/100))-(Inputs!$B$12*(1+Inputs!$B$13/100)))+0.25*(Inputs!$B$14-Inputs!$B$14))*(1+Inputs!$B$7/100))*(F578/100)</f>
        <v/>
      </c>
      <c r="K578">
        <f>J578*(1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588=TRUE,F588,0)/100)*(1+(IF(Skills!A8="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578)</f>
        <v/>
      </c>
      <c r="L578">
        <f>K578*(MIN(Inputs!$B$22+((C594=TRUE)*(F594-Calc!F24)),(Inputs!$B$23+((C599=TRUE)*(F599-Calc!F29))+IF(ArtifactsInput!$M$15,CHOOSE(ArtifactsInput!$N$15+1,25,30,35,40,45,50)/100*(Inputs!$B$11-Inputs!$B$11),0)))/100+(Inputs!$B$23+((C599=TRUE)*(F599-Calc!F29))+IF(ArtifactsInput!$M$15,CHOOSE(ArtifactsInput!$N$15+1,25,30,35,40,45,50)/100*(Inputs!$B$11-Inputs!$B$11),0))/100)/2</f>
        <v/>
      </c>
      <c r="M578">
        <f>L578*(1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8">
        <f>L578*(1-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578*(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8">
        <f>(1-Summary!$B$11)*T578+Summary!$B$11*V578</f>
        <v/>
      </c>
      <c r="P578">
        <f>IF(B615=0,0,O578/B615)</f>
        <v/>
      </c>
      <c r="Q578">
        <f>IFERROR(1/IF(Inputs!$B$39="pvp",15,MAX(0.1,Skills!D8-IF(Skills!E8=TRUE,Inputs!$B$32,0))),0)</f>
        <v/>
      </c>
      <c r="R578">
        <f>IF(AND(Inputs!$B$39&lt;&gt;"pvp",Inputs!$B$44&gt;0),IF(MAX(0,Inputs!$B$44-B614)&lt;=0,0,(INT(MAX(0,Inputs!$B$44-B614)/IF(Inputs!$B$39="pvp",15,MAX(0.1,Skills!D8-IF(Skills!E8=TRUE,Inputs!$B$32,0))))+1)),0)</f>
        <v/>
      </c>
      <c r="S578">
        <f>IFERROR(O578/N578,0)</f>
        <v/>
      </c>
      <c r="T578">
        <f>IF(C578,(H578*N578*IF(AND(Inputs!$B$39&lt;&gt;"pvp",Inputs!$B$44&gt;0),((Skills!G8*((R578-1)*IF(Skills!H8&gt;0,Skills!I8/Skills!H8,1)+IF(Skills!H8&gt;0,MIN(Skills!I8,MAX(0,MAX(0,Inputs!$B$44-B614)-((R578-1)*IF(Inputs!$B$39="pvp",15,MAX(0.1,Skills!D8-IF(Skills!E8=TRUE,Inputs!$B$32,0))))))/Skills!H8,1)))/Inputs!$B$44),G578*Q578))*IF(Inputs!$B$39="pvp",1,1+(Inputs!$B$20+0+Skills!P8+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578*(1-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578*(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578*(1-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578*(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8">
        <f>IF(C578,(H578*N578*IF(AND(Inputs!$B$39&lt;&gt;"pvp",Inputs!$B$44&gt;0),((Skills!G8*((R578-1)*IF(Skills!H8&gt;0,Skills!I8/Skills!H8,1)+IF(Skills!H8&gt;0,MIN(Skills!I8,MAX(0,MAX(0,Inputs!$B$44-B614)-((R578-1)*IF(Inputs!$B$39="pvp",15,MAX(0.1,Skills!D8-IF(Skills!E8=TRUE,Inputs!$B$32,0))))))/Skills!H8,1)))/Inputs!$B$44),G578*Q578))*IF(Inputs!$B$39="pvp",1,(1+(Inputs!$B$21+Skills!Q8+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9">
      <c r="A579">
        <f>Skills!A9</f>
        <v/>
      </c>
      <c r="B579">
        <f>Skills!B9</f>
        <v/>
      </c>
      <c r="C579">
        <f>Inputs!$B$3&gt;=117</f>
        <v/>
      </c>
      <c r="D579">
        <f>IF(Skills!C9=1,60+Inputs!$B$25+Inputs!$B$29,IF(Skills!C9=2,90+Inputs!$B$26+Inputs!$B$29,IF(Skills!C9=3,120+Inputs!$B$27+Inputs!$B$29,MAX(0,(Inputs!$B$3-100)*3)+Inputs!$B$28+Inputs!$B$29)))</f>
        <v/>
      </c>
      <c r="E579">
        <f>INDEX(FactorTable!$B$2:$Y$301, MATCH(ROUND(MIN(300,MAX(1,D579)),0), FactorTable!$A$2:$A$301,0), Skills!M9+1)</f>
        <v/>
      </c>
      <c r="F579">
        <f>IF(Skills!N9=TRUE,(Skills!L9/10)*(E579/1000),Skills!L9/10)+Skills!O9</f>
        <v/>
      </c>
      <c r="G579">
        <f>Skills!G9*IF(Skills!H9&gt;0,Skills!I9/Skills!H9,1)</f>
        <v/>
      </c>
      <c r="H579">
        <f>1-(1-Skills!J9/100)^Skills!K9</f>
        <v/>
      </c>
      <c r="I579" t="inlineStr">
        <is>
          <t>1</t>
        </is>
      </c>
      <c r="J579">
        <f>((Inputs!$B$6*(1+Inputs!$B$7/100))+(((Inputs!$B$12*(1+Inputs!$B$13/100))-(Inputs!$B$12*(1+Inputs!$B$13/100)))+0.25*(Inputs!$B$14-Inputs!$B$14))*(1+Inputs!$B$7/100))*(F579/100)</f>
        <v/>
      </c>
      <c r="K579">
        <f>J579*(1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579)</f>
        <v/>
      </c>
      <c r="L579">
        <f>K579*(MIN(Inputs!$B$22+((C594=TRUE)*(F594-Calc!F24)),(Inputs!$B$23+((C599=TRUE)*(F599-Calc!F29))+IF(ArtifactsInput!$M$15,CHOOSE(ArtifactsInput!$N$15+1,25,30,35,40,45,50)/100*(Inputs!$B$11-Inputs!$B$11),0)))/100+(Inputs!$B$23+((C599=TRUE)*(F599-Calc!F29))+IF(ArtifactsInput!$M$15,CHOOSE(ArtifactsInput!$N$15+1,25,30,35,40,45,50)/100*(Inputs!$B$11-Inputs!$B$11),0))/100)/2</f>
        <v/>
      </c>
      <c r="M579">
        <f>L579*(1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IF(B615=0,0,O579/B615)</f>
        <v/>
      </c>
      <c r="Q579" t="n">
        <v>0</v>
      </c>
      <c r="R579" t="n">
        <v>0</v>
      </c>
      <c r="S579" t="n">
        <v>0</v>
      </c>
      <c r="T579">
        <f>IF(C579,(0.2*SUMPRODUCT((Skills!Z2:Z30=TRUE)*(C572:C600=TRUE)*S572:S600)*N579)*IF(Inputs!$B$39="pvp",1,1+(Inputs!$B$20+0+Skills!P9+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579*(1-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IF(C579,(0.2*SUMPRODUCT((Skills!Z2:Z30=TRUE)*(C572:C600=TRUE)*S572:S600)*N579)*IF(Inputs!$B$39="pvp",1,(1+(Inputs!$B$21+Skills!Q9+B604+(IF(ArtifactsInput!$M$33,CHOOSE(ArtifactsInput!$N$33+1,30,36,42,48,54,60),0))+(IF(AND(ArtifactsInput!$M$35,Inputs!$B$4&lt;&gt;"Chapter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Skills!A10</f>
        <v/>
      </c>
      <c r="B580">
        <f>Skills!B10</f>
        <v/>
      </c>
      <c r="C580">
        <f>Inputs!$B$3&gt;=74</f>
        <v/>
      </c>
      <c r="D580">
        <f>IF(Skills!C10=1,60+Inputs!$B$25+Inputs!$B$29,IF(Skills!C10=2,90+Inputs!$B$26+Inputs!$B$29,IF(Skills!C10=3,120+Inputs!$B$27+Inputs!$B$29,MAX(0,(Inputs!$B$3-100)*3)+Inputs!$B$28+Inputs!$B$29)))</f>
        <v/>
      </c>
      <c r="E580">
        <f>INDEX(FactorTable!$B$2:$Y$301, MATCH(ROUND(MIN(300,MAX(1,D580)),0), FactorTable!$A$2:$A$301,0), Skills!M10+1)</f>
        <v/>
      </c>
      <c r="F580">
        <f>IF(Skills!N10=TRUE,(Skills!L10/10)*(E580/1000),Skills!L10/10)+Skills!O10</f>
        <v/>
      </c>
      <c r="G580">
        <f>Skills!G10*IF(Skills!H10&gt;0,Skills!I10/Skills!H10,1)</f>
        <v/>
      </c>
      <c r="H580">
        <f>1-(1-Skills!J10/100)^Skills!K10</f>
        <v/>
      </c>
      <c r="I580" t="inlineStr">
        <is>
          <t>1</t>
        </is>
      </c>
      <c r="J580" t="inlineStr"/>
      <c r="K580" t="inlineStr"/>
      <c r="L580" t="inlineStr"/>
      <c r="M580" t="inlineStr"/>
      <c r="N580" t="inlineStr"/>
      <c r="O580">
        <f>(1-Summary!$B$11)*T580+Summary!$B$11*V580</f>
        <v/>
      </c>
      <c r="P580">
        <f>IF(B615=0,0,O580/B615)</f>
        <v/>
      </c>
      <c r="Q580">
        <f>IFERROR(1/IF(Inputs!$B$39="pvp",15,MAX(0.1,Skills!D10-IF(Skills!E10=TRUE,Inputs!$B$32,0))),0)</f>
        <v/>
      </c>
      <c r="R580">
        <f>IF(AND(Inputs!$B$39&lt;&gt;"pvp",Inputs!$B$44&gt;0),IF(Inputs!$B$44&lt;=0,0,(INT(Inputs!$B$44/IF(Inputs!$B$39="pvp",15,MAX(0.1,Skills!D10-IF(Skills!E10=TRUE,Inputs!$B$32,0))))+1)),0)</f>
        <v/>
      </c>
      <c r="S580">
        <f>IFERROR(O580/N580,0)</f>
        <v/>
      </c>
      <c r="T580" t="n">
        <v>0</v>
      </c>
      <c r="V580" t="n">
        <v>0</v>
      </c>
    </row>
    <row r="581">
      <c r="A581">
        <f>Skills!A11</f>
        <v/>
      </c>
      <c r="B581">
        <f>Skills!B11</f>
        <v/>
      </c>
      <c r="C581">
        <f>Inputs!$B$3&gt;=103</f>
        <v/>
      </c>
      <c r="D581">
        <f>IF(Skills!C11=1,60+Inputs!$B$25+Inputs!$B$29,IF(Skills!C11=2,90+Inputs!$B$26+Inputs!$B$29,IF(Skills!C11=3,120+Inputs!$B$27+Inputs!$B$29,MAX(0,(Inputs!$B$3-100)*3)+Inputs!$B$28+Inputs!$B$29)))</f>
        <v/>
      </c>
      <c r="E581">
        <f>INDEX(FactorTable!$B$2:$Y$301, MATCH(ROUND(MIN(300,MAX(1,D581)),0), FactorTable!$A$2:$A$301,0), Skills!M11+1)</f>
        <v/>
      </c>
      <c r="F581">
        <f>(Skills!L11/10)*(E581/1000)+IF(Inputs!$B$3&gt;=134,50,0)+0.5*(30000/10)*(INDEX(FactorTable!$B$2:$Y$301, MATCH(ROUND(MIN(300,MAX(1,D581)),0), FactorTable!$A$2:$A$301,0), 13)/1000)*B613</f>
        <v/>
      </c>
      <c r="G581">
        <f>Skills!G11*IF(Skills!H11&gt;0,Skills!I11/Skills!H11,1)</f>
        <v/>
      </c>
      <c r="H581">
        <f>1-(1-Skills!J11/100)^Skills!K11</f>
        <v/>
      </c>
      <c r="I581" t="inlineStr">
        <is>
          <t>1</t>
        </is>
      </c>
      <c r="J581">
        <f>((Inputs!$B$6*(1+Inputs!$B$7/100))+(((Inputs!$B$12*(1+Inputs!$B$13/100))-(Inputs!$B$12*(1+Inputs!$B$13/100)))+0.25*(Inputs!$B$14-Inputs!$B$14))*(1+Inputs!$B$7/100))*(F581/100)</f>
        <v/>
      </c>
      <c r="K581">
        <f>J581*(1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581)</f>
        <v/>
      </c>
      <c r="L581">
        <f>K581*(MIN(Inputs!$B$22+((C594=TRUE)*(F594-Calc!F24)),(Inputs!$B$23+((C599=TRUE)*(F599-Calc!F29))+IF(ArtifactsInput!$M$15,CHOOSE(ArtifactsInput!$N$15+1,25,30,35,40,45,50)/100*(Inputs!$B$11-Inputs!$B$11),0)))/100+(Inputs!$B$23+((C599=TRUE)*(F599-Calc!F29))+IF(ArtifactsInput!$M$15,CHOOSE(ArtifactsInput!$N$15+1,25,30,35,40,45,50)/100*(Inputs!$B$11-Inputs!$B$11),0))/100)/2</f>
        <v/>
      </c>
      <c r="M581">
        <f>L581*(1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1">
        <f>L581*(1-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1">
        <f>(1-Summary!$B$11)*T581+Summary!$B$11*V581</f>
        <v/>
      </c>
      <c r="P581">
        <f>IF(B615=0,0,O581/B615)</f>
        <v/>
      </c>
      <c r="Q581">
        <f>IFERROR(1/IF(Inputs!$B$39="pvp",15,MAX(0.1,Skills!D11-IF(Skills!E11=TRUE,Inputs!$B$32,0))),0)</f>
        <v/>
      </c>
      <c r="R581">
        <f>IF(AND(Inputs!$B$39&lt;&gt;"pvp",Inputs!$B$44&gt;0),IF(MAX(0,Inputs!$B$44-B614)&lt;=0,0,(INT(MAX(0,Inputs!$B$44-B614)/IF(Inputs!$B$39="pvp",15,MAX(0.1,Skills!D11-IF(Skills!E11=TRUE,Inputs!$B$32,0))))+1)),0)</f>
        <v/>
      </c>
      <c r="S581">
        <f>IFERROR(O581/N581,0)</f>
        <v/>
      </c>
      <c r="T581">
        <f>IF(C581,(H581*N581*IF(AND(Inputs!$B$39&lt;&gt;"pvp",Inputs!$B$44&gt;0),((Skills!G11*((R581-1)*IF(Skills!H11&gt;0,Skills!I11/Skills!H11,1)+IF(Skills!H11&gt;0,MIN(Skills!I11,MAX(0,MAX(0,Inputs!$B$44-B614)-((R581-1)*IF(Inputs!$B$39="pvp",15,MAX(0.1,Skills!D11-IF(Skills!E11=TRUE,Inputs!$B$32,0))))))/Skills!H11,1)))/Inputs!$B$44),G581*Q581))*IF(Inputs!$B$39="pvp",1,1+(Inputs!$B$20+0+Skills!P11+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581*(1-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581*(1-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1">
        <f>IF(C581,(H581*N581*IF(AND(Inputs!$B$39&lt;&gt;"pvp",Inputs!$B$44&gt;0),((Skills!G11*((R581-1)*IF(Skills!H11&gt;0,Skills!I11/Skills!H11,1)+IF(Skills!H11&gt;0,MIN(Skills!I11,MAX(0,MAX(0,Inputs!$B$44-B614)-((R581-1)*IF(Inputs!$B$39="pvp",15,MAX(0.1,Skills!D11-IF(Skills!E11=TRUE,Inputs!$B$32,0))))))/Skills!H11,1)))/Inputs!$B$44),G581*Q581))*IF(Inputs!$B$39="pvp",1,(1+(Inputs!$B$21+Skills!Q11+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2">
      <c r="A582">
        <f>Skills!A12</f>
        <v/>
      </c>
      <c r="B582">
        <f>Skills!B12</f>
        <v/>
      </c>
      <c r="C582">
        <f>Inputs!$B$3&gt;=105</f>
        <v/>
      </c>
      <c r="D582">
        <f>IF(Skills!C12=1,60+Inputs!$B$25+Inputs!$B$29,IF(Skills!C12=2,90+Inputs!$B$26+Inputs!$B$29,IF(Skills!C12=3,120+Inputs!$B$27+Inputs!$B$29,MAX(0,(Inputs!$B$3-100)*3)+Inputs!$B$28+Inputs!$B$29)))</f>
        <v/>
      </c>
      <c r="E582">
        <f>INDEX(FactorTable!$B$2:$Y$301, MATCH(ROUND(MIN(300,MAX(1,D582)),0), FactorTable!$A$2:$A$301,0), Skills!M12+1)</f>
        <v/>
      </c>
      <c r="F582">
        <f>IF(Skills!N12=TRUE,(Skills!L12/10)*(E582/1000),Skills!L12/10)+Skills!O12</f>
        <v/>
      </c>
      <c r="G582">
        <f>Skills!G12*IF(Skills!H12&gt;0,Skills!I12/Skills!H12,1)</f>
        <v/>
      </c>
      <c r="H582">
        <f>1-(1-Skills!J12/100)^Skills!K12</f>
        <v/>
      </c>
      <c r="I582" t="inlineStr">
        <is>
          <t>1</t>
        </is>
      </c>
      <c r="J582">
        <f>((Inputs!$B$6*(1+Inputs!$B$7/100))+(((Inputs!$B$12*(1+Inputs!$B$13/100))-(Inputs!$B$12*(1+Inputs!$B$13/100)))+0.25*(Inputs!$B$14-Inputs!$B$14))*(1+Inputs!$B$7/100))*(F582/100)</f>
        <v/>
      </c>
      <c r="K582">
        <f>J582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582)</f>
        <v/>
      </c>
      <c r="L582">
        <f>K582*(MIN(Inputs!$B$22+((C594=TRUE)*(F594-Calc!F24)),(Inputs!$B$23+((C599=TRUE)*(F599-Calc!F29))+IF(ArtifactsInput!$M$15,CHOOSE(ArtifactsInput!$N$15+1,25,30,35,40,45,50)/100*(Inputs!$B$11-Inputs!$B$11),0)))/100+(Inputs!$B$23+((C599=TRUE)*(F599-Calc!F29))+IF(ArtifactsInput!$M$15,CHOOSE(ArtifactsInput!$N$15+1,25,30,35,40,45,50)/100*(Inputs!$B$11-Inputs!$B$11),0))/100)/2</f>
        <v/>
      </c>
      <c r="M582">
        <f>L582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2">
        <f>L582*(1-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IF(B615=0,0,O582/B615)</f>
        <v/>
      </c>
      <c r="Q582">
        <f>IFERROR(1/IF(Inputs!$B$39="pvp",15,MAX(0.1,Skills!D12-IF(Skills!E12=TRUE,Inputs!$B$32,0))),0)</f>
        <v/>
      </c>
      <c r="R582">
        <f>IF(AND(Inputs!$B$39&lt;&gt;"pvp",Inputs!$B$44&gt;0),IF(MAX(0,Inputs!$B$44-B614)&lt;=0,0,(INT(MAX(0,Inputs!$B$44-B614)/IF(Inputs!$B$39="pvp",15,MAX(0.1,Skills!D12-IF(Skills!E12=TRUE,Inputs!$B$32,0))))+1)),0)</f>
        <v/>
      </c>
      <c r="S582">
        <f>IFERROR(O582/N582,0)</f>
        <v/>
      </c>
      <c r="T582">
        <f>IF(C582,(H582*N582*IF(AND(Inputs!$B$39&lt;&gt;"pvp",Inputs!$B$44&gt;0),((Skills!G12*((R582-1)*IF(Skills!H12&gt;0,Skills!I12/Skills!H12,1)+IF(Skills!H12&gt;0,MIN(Skills!I12,MAX(0,MAX(0,Inputs!$B$44-B614)-((R582-1)*IF(Inputs!$B$39="pvp",15,MAX(0.1,Skills!D12-IF(Skills!E12=TRUE,Inputs!$B$32,0))))))/Skills!H12,1)))/Inputs!$B$44),G582*Q582))*IF(Inputs!$B$39="pvp",1,1+(Inputs!$B$20+0+Skills!P12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582*(1-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12*((R582-1)*IF(Skills!H12&gt;0,Skills!I12/Skills!H12,1)+IF(Skills!H12&gt;0,MIN(Skills!I12,MAX(0,MAX(0,Inputs!$B$44-B614)-((R582-1)*IF(Inputs!$B$39="pvp",15,MAX(0.1,Skills!D12-IF(Skills!E12=TRUE,Inputs!$B$32,0))))))/Skills!H12,1)))/Inputs!$B$44),G582*Q582))*IF(Inputs!$B$39="pvp",1,(1+(Inputs!$B$21+Skills!Q12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Skills!A13</f>
        <v/>
      </c>
      <c r="B583">
        <f>Skills!B13</f>
        <v/>
      </c>
      <c r="C583">
        <f>Inputs!$B$3&gt;=105</f>
        <v/>
      </c>
      <c r="D583">
        <f>IF(Skills!C13=1,60+Inputs!$B$25+Inputs!$B$29,IF(Skills!C13=2,90+Inputs!$B$26+Inputs!$B$29,IF(Skills!C13=3,120+Inputs!$B$27+Inputs!$B$29,MAX(0,(Inputs!$B$3-100)*3)+Inputs!$B$28+Inputs!$B$29)))</f>
        <v/>
      </c>
      <c r="E583">
        <f>INDEX(FactorTable!$B$2:$Y$301, MATCH(ROUND(MIN(300,MAX(1,D583)),0), FactorTable!$A$2:$A$301,0), Skills!M13+1)</f>
        <v/>
      </c>
      <c r="F583">
        <f>IF(Skills!N13=TRUE,(Skills!L13/10)*(E583/1000),Skills!L13/10)+Skills!O13</f>
        <v/>
      </c>
      <c r="G583">
        <f>Skills!G13*IF(Skills!H13&gt;0,Skills!I13/Skills!H13,1)</f>
        <v/>
      </c>
      <c r="H583">
        <f>1-(1-Skills!J13/100)^Skills!K13</f>
        <v/>
      </c>
      <c r="I583" t="inlineStr">
        <is>
          <t>1</t>
        </is>
      </c>
      <c r="J583">
        <f>((Inputs!$B$6*(1+Inputs!$B$7/100))+(((Inputs!$B$12*(1+Inputs!$B$13/100))-(Inputs!$B$12*(1+Inputs!$B$13/100)))+0.25*(Inputs!$B$14-Inputs!$B$14))*(1+Inputs!$B$7/100))*(F583/100)</f>
        <v/>
      </c>
      <c r="K583">
        <f>J583*(1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583)</f>
        <v/>
      </c>
      <c r="L583">
        <f>K583*(MIN(Inputs!$B$22+((C594=TRUE)*(F594-Calc!F24)),(Inputs!$B$23+((C599=TRUE)*(F599-Calc!F29))+IF(ArtifactsInput!$M$15,CHOOSE(ArtifactsInput!$N$15+1,25,30,35,40,45,50)/100*(Inputs!$B$11-Inputs!$B$11),0)))/100+(Inputs!$B$23+((C599=TRUE)*(F599-Calc!F29))+IF(ArtifactsInput!$M$15,CHOOSE(ArtifactsInput!$N$15+1,25,30,35,40,45,50)/100*(Inputs!$B$11-Inputs!$B$11),0))/100)/2</f>
        <v/>
      </c>
      <c r="M583">
        <f>L583*(1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3">
        <f>L583*(1-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IF(B615=0,0,O583/B615)</f>
        <v/>
      </c>
      <c r="Q583">
        <f>IFERROR(1/IF(Inputs!$B$39="pvp",15,MAX(0.1,Skills!D13-IF(Skills!E13=TRUE,Inputs!$B$32,0))),0)</f>
        <v/>
      </c>
      <c r="R583">
        <f>IF(AND(Inputs!$B$39&lt;&gt;"pvp",Inputs!$B$44&gt;0),IF(MAX(0,Inputs!$B$44-B614)&lt;=0,0,(INT(MAX(0,Inputs!$B$44-B614)/IF(Inputs!$B$39="pvp",15,MAX(0.1,Skills!D13-IF(Skills!E13=TRUE,Inputs!$B$32,0))))+1)),0)</f>
        <v/>
      </c>
      <c r="S583">
        <f>IFERROR(O583/N583,0)</f>
        <v/>
      </c>
      <c r="T583">
        <f>IF(C583,(H583*N583*IF(AND(Inputs!$B$39&lt;&gt;"pvp",Inputs!$B$44&gt;0),((Skills!G13*((R583-1)*IF(Skills!H13&gt;0,Skills!I13/Skills!H13,1)+IF(Skills!H13&gt;0,MIN(Skills!I13,MAX(0,MAX(0,Inputs!$B$44-B614)-((R583-1)*IF(Inputs!$B$39="pvp",15,MAX(0.1,Skills!D13-IF(Skills!E13=TRUE,Inputs!$B$32,0))))))/Skills!H13,1)))/Inputs!$B$44),G583*Q583))*IF(Inputs!$B$39="pvp",1,1+(Inputs!$B$20+0+Skills!P13+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583*(1-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13*((R583-1)*IF(Skills!H13&gt;0,Skills!I13/Skills!H13,1)+IF(Skills!H13&gt;0,MIN(Skills!I13,MAX(0,MAX(0,Inputs!$B$44-B614)-((R583-1)*IF(Inputs!$B$39="pvp",15,MAX(0.1,Skills!D13-IF(Skills!E13=TRUE,Inputs!$B$32,0))))))/Skills!H13,1)))/Inputs!$B$44),G583*Q583))*IF(Inputs!$B$39="pvp",1,(1+(Inputs!$B$21+Skills!Q13+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Skills!A14</f>
        <v/>
      </c>
      <c r="B584">
        <f>Skills!B14</f>
        <v/>
      </c>
      <c r="C584">
        <f>Inputs!$B$3&gt;=107</f>
        <v/>
      </c>
      <c r="D584">
        <f>IF(Skills!C14=1,60+Inputs!$B$25+Inputs!$B$29,IF(Skills!C14=2,90+Inputs!$B$26+Inputs!$B$29,IF(Skills!C14=3,120+Inputs!$B$27+Inputs!$B$29,MAX(0,(Inputs!$B$3-100)*3)+Inputs!$B$28+Inputs!$B$29)))</f>
        <v/>
      </c>
      <c r="E584">
        <f>INDEX(FactorTable!$B$2:$Y$301, MATCH(ROUND(MIN(300,MAX(1,D584)),0), FactorTable!$A$2:$A$301,0), Skills!M14+1)</f>
        <v/>
      </c>
      <c r="F584">
        <f>IF(Skills!N14=TRUE,(Skills!L14/10)*(E584/1000),Skills!L14/10)+Skills!O14</f>
        <v/>
      </c>
      <c r="G584">
        <f>Skills!G14*IF(Skills!H14&gt;0,Skills!I14/Skills!H14,1)</f>
        <v/>
      </c>
      <c r="H584">
        <f>1-(1-Skills!J14/100)^Skills!K14</f>
        <v/>
      </c>
      <c r="I584" t="inlineStr">
        <is>
          <t>1</t>
        </is>
      </c>
      <c r="J584">
        <f>((Inputs!$B$6*(1+Inputs!$B$7/100))+(((Inputs!$B$12*(1+Inputs!$B$13/100))-(Inputs!$B$12*(1+Inputs!$B$13/100)))+0.25*(Inputs!$B$14-Inputs!$B$14))*(1+Inputs!$B$7/100))*(F584/100)</f>
        <v/>
      </c>
      <c r="K584">
        <f>J584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584)</f>
        <v/>
      </c>
      <c r="L584">
        <f>K584*(MIN(Inputs!$B$22+((C594=TRUE)*(F594-Calc!F24)),(Inputs!$B$23+((C599=TRUE)*(F599-Calc!F29))+IF(ArtifactsInput!$M$15,CHOOSE(ArtifactsInput!$N$15+1,25,30,35,40,45,50)/100*(Inputs!$B$11-Inputs!$B$11),0)))/100+(Inputs!$B$23+((C599=TRUE)*(F599-Calc!F29))+IF(ArtifactsInput!$M$15,CHOOSE(ArtifactsInput!$N$15+1,25,30,35,40,45,50)/100*(Inputs!$B$11-Inputs!$B$11),0))/100)/2</f>
        <v/>
      </c>
      <c r="M584">
        <f>L584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4">
        <f>L584*(1-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IF(B615=0,0,O584/B615)</f>
        <v/>
      </c>
      <c r="Q584">
        <f>IFERROR(1/IF(Inputs!$B$39="pvp",15,MAX(0.1,Skills!D14-IF(Skills!E14=TRUE,Inputs!$B$32,0))),0)</f>
        <v/>
      </c>
      <c r="R584">
        <f>IF(AND(Inputs!$B$39&lt;&gt;"pvp",Inputs!$B$44&gt;0),IF(MAX(0,Inputs!$B$44-B614)&lt;=0,0,(INT(MAX(0,Inputs!$B$44-B614)/IF(Inputs!$B$39="pvp",15,MAX(0.1,Skills!D14-IF(Skills!E14=TRUE,Inputs!$B$32,0))))+1)),0)</f>
        <v/>
      </c>
      <c r="S584">
        <f>IFERROR(O584/N584,0)</f>
        <v/>
      </c>
      <c r="T584">
        <f>IF(C584,(H584*N584*IF(AND(Inputs!$B$39&lt;&gt;"pvp",Inputs!$B$44&gt;0),((Skills!G14*((R584-1)*IF(Skills!H14&gt;0,Skills!I14/Skills!H14,1)+IF(Skills!H14&gt;0,MIN(Skills!I14,MAX(0,MAX(0,Inputs!$B$44-B614)-((R584-1)*IF(Inputs!$B$39="pvp",15,MAX(0.1,Skills!D14-IF(Skills!E14=TRUE,Inputs!$B$32,0))))))/Skills!H14,1)))/Inputs!$B$44),G584*Q584))*IF(Inputs!$B$39="pvp",1,1+(Inputs!$B$20+0+Skills!P14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584*(1-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14*((R584-1)*IF(Skills!H14&gt;0,Skills!I14/Skills!H14,1)+IF(Skills!H14&gt;0,MIN(Skills!I14,MAX(0,MAX(0,Inputs!$B$44-B614)-((R584-1)*IF(Inputs!$B$39="pvp",15,MAX(0.1,Skills!D14-IF(Skills!E14=TRUE,Inputs!$B$32,0))))))/Skills!H14,1)))/Inputs!$B$44),G584*Q584))*IF(Inputs!$B$39="pvp",1,(1+(Inputs!$B$21+Skills!Q14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(5,0.25*B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Skills!A15</f>
        <v/>
      </c>
      <c r="B585">
        <f>Skills!B15</f>
        <v/>
      </c>
      <c r="C585">
        <f>Inputs!$B$3&gt;=110</f>
        <v/>
      </c>
      <c r="D585">
        <f>IF(Skills!C15=1,60+Inputs!$B$25+Inputs!$B$29,IF(Skills!C15=2,90+Inputs!$B$26+Inputs!$B$29,IF(Skills!C15=3,120+Inputs!$B$27+Inputs!$B$29,MAX(0,(Inputs!$B$3-100)*3)+Inputs!$B$28+Inputs!$B$29)))</f>
        <v/>
      </c>
      <c r="E585">
        <f>INDEX(FactorTable!$B$2:$Y$301, MATCH(ROUND(MIN(300,MAX(1,D585)),0), FactorTable!$A$2:$A$301,0), Skills!M15+1)</f>
        <v/>
      </c>
      <c r="F585">
        <f>IF(Skills!N15=TRUE,(Skills!L15/10)*(E585/1000),Skills!L15/10)+Skills!O15</f>
        <v/>
      </c>
      <c r="G585">
        <f>Skills!G15*IF(Skills!H15&gt;0,Skills!I15/Skills!H15,1)</f>
        <v/>
      </c>
      <c r="H585">
        <f>1-(1-Skills!J15/100)^Skills!K15</f>
        <v/>
      </c>
      <c r="I585" t="inlineStr">
        <is>
          <t>1</t>
        </is>
      </c>
      <c r="J585" t="inlineStr"/>
      <c r="K585" t="inlineStr"/>
      <c r="L585" t="inlineStr"/>
      <c r="M585" t="inlineStr"/>
      <c r="N585" t="inlineStr"/>
      <c r="O585">
        <f>(1-Summary!$B$11)*T585+Summary!$B$11*V585</f>
        <v/>
      </c>
      <c r="P585">
        <f>IF(B615=0,0,O585/B615)</f>
        <v/>
      </c>
      <c r="Q585">
        <f>IFERROR(1/IF(Inputs!$B$39="pvp",15,MAX(0.1,Skills!D15-IF(Skills!E15=TRUE,Inputs!$B$32,0))),0)</f>
        <v/>
      </c>
      <c r="R585">
        <f>IF(AND(Inputs!$B$39&lt;&gt;"pvp",Inputs!$B$44&gt;0),IF(Inputs!$B$44&lt;=0,0,(INT(Inputs!$B$44/IF(Inputs!$B$39="pvp",15,MAX(0.1,Skills!D15-IF(Skills!E15=TRUE,Inputs!$B$32,0))))+1)),0)</f>
        <v/>
      </c>
      <c r="S585">
        <f>IFERROR(O585/N585,0)</f>
        <v/>
      </c>
      <c r="T585" t="n">
        <v>0</v>
      </c>
      <c r="V585" t="n">
        <v>0</v>
      </c>
    </row>
    <row r="586">
      <c r="A586">
        <f>Skills!A16</f>
        <v/>
      </c>
      <c r="B586">
        <f>Skills!B16</f>
        <v/>
      </c>
      <c r="C586">
        <f>Inputs!$B$3&gt;=115</f>
        <v/>
      </c>
      <c r="D586">
        <f>IF(Skills!C16=1,60+Inputs!$B$25+Inputs!$B$29,IF(Skills!C16=2,90+Inputs!$B$26+Inputs!$B$29,IF(Skills!C16=3,120+Inputs!$B$27+Inputs!$B$29,MAX(0,(Inputs!$B$3-100)*3)+Inputs!$B$28+Inputs!$B$29)))</f>
        <v/>
      </c>
      <c r="E586">
        <f>INDEX(FactorTable!$B$2:$Y$301, MATCH(ROUND(MIN(300,MAX(1,D586)),0), FactorTable!$A$2:$A$301,0), Skills!M16+1)</f>
        <v/>
      </c>
      <c r="F586">
        <f>IF(Skills!N16=TRUE,(Skills!L16/10)*(E586/1000),Skills!L16/10)+Skills!O16</f>
        <v/>
      </c>
      <c r="G586">
        <f>Skills!G16*IF(Skills!H16&gt;0,Skills!I16/Skills!H16,1)</f>
        <v/>
      </c>
      <c r="H586">
        <f>1-(1-Skills!J16/100)^Skills!K16</f>
        <v/>
      </c>
      <c r="I586" t="inlineStr">
        <is>
          <t>1</t>
        </is>
      </c>
      <c r="J586">
        <f>((Inputs!$B$6*(1+Inputs!$B$7/100))+(((Inputs!$B$12*(1+Inputs!$B$13/100))-(Inputs!$B$12*(1+Inputs!$B$13/100)))+0.25*(Inputs!$B$14-Inputs!$B$14))*(1+Inputs!$B$7/100))*(F586/100)</f>
        <v/>
      </c>
      <c r="K586">
        <f>J586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597=TRUE)*(F597-Calc!F27))+((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586)</f>
        <v/>
      </c>
      <c r="L586">
        <f>K586*(MIN(Inputs!$B$22+((C594=TRUE)*(F594-Calc!F24)),(Inputs!$B$23+((C599=TRUE)*(F599-Calc!F29))+IF(ArtifactsInput!$M$15,CHOOSE(ArtifactsInput!$N$15+1,25,30,35,40,45,50)/100*(Inputs!$B$11-Inputs!$B$11),0)))/100+(Inputs!$B$23+((C599=TRUE)*(F599-Calc!F29))+IF(ArtifactsInput!$M$15,CHOOSE(ArtifactsInput!$N$15+1,25,30,35,40,45,50)/100*(Inputs!$B$11-Inputs!$B$11),0))/100)/2</f>
        <v/>
      </c>
      <c r="M586">
        <f>L586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6">
        <f>L586*(1-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IF(B615=0,0,O586/B615)</f>
        <v/>
      </c>
      <c r="Q586" t="n">
        <v>0</v>
      </c>
      <c r="R586" t="n">
        <v>0</v>
      </c>
      <c r="S586">
        <f>IFERROR(O586/N586,0)</f>
        <v/>
      </c>
      <c r="T586">
        <f>IF(C586,(Inputs!$B$38*0.2*N586)*IF(Inputs!$B$39="pvp",1,1+(Inputs!$B$20+0+Skills!P16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586*(1-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$9+1)+((C595=TRUE)*(F595-Calc!F25))+B603+(ArtifactsInput!$M$24-ArtifactsInput!$M$24)*CHOOSE(ArtifactsInput!$N$24+1,10,12,14,16,18,20)+(IF(AND(Inputs!$B$39&lt;&gt;"pvp",Inputs!$B$44=0),1,IF(IF(Inputs!$B$39="pvp",15,Inputs!$B$44)-(B614)&lt;=0,1,MAX(0,IF(Inputs!$B$39="pvp",15,Inputs!$B$44)-MAX(5,B614))/(IF(Inputs!$B$39="pvp",15,Inputs!$B$44)-(B614))))*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IF(C586,(Inputs!$B$38*0.2*N586)*IF(Inputs!$B$39="pvp",1,(1+(Inputs!$B$21+Skills!Q16+B604+(IF(ArtifactsInput!$M$33,CHOOSE(ArtifactsInput!$N$33+1,30,36,42,48,54,60),0))+(IF(AND(ArtifactsInput!$M$35,Inputs!$B$4&lt;&gt;"Chapter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Skills!A17</f>
        <v/>
      </c>
      <c r="B587">
        <f>Skills!B17</f>
        <v/>
      </c>
      <c r="C587">
        <f>Inputs!$B$3&gt;=115</f>
        <v/>
      </c>
      <c r="D587">
        <f>IF(Skills!C17=1,60+Inputs!$B$25+Inputs!$B$29,IF(Skills!C17=2,90+Inputs!$B$26+Inputs!$B$29,IF(Skills!C17=3,120+Inputs!$B$27+Inputs!$B$29,MAX(0,(Inputs!$B$3-100)*3)+Inputs!$B$28+Inputs!$B$29)))</f>
        <v/>
      </c>
      <c r="E587">
        <f>INDEX(FactorTable!$B$2:$Y$301, MATCH(ROUND(MIN(300,MAX(1,D587)),0), FactorTable!$A$2:$A$301,0), Skills!M17+1)</f>
        <v/>
      </c>
      <c r="F587">
        <f>IF(Skills!N17=TRUE,(Skills!L17/10)*(E587/1000),Skills!L17/10)+Skills!O17</f>
        <v/>
      </c>
      <c r="G587">
        <f>Skills!G17*IF(Skills!H17&gt;0,Skills!I17/Skills!H17,1)</f>
        <v/>
      </c>
      <c r="H587">
        <f>1-(1-Skills!J17/100)^Skills!K17</f>
        <v/>
      </c>
      <c r="I587" t="inlineStr">
        <is>
          <t>1</t>
        </is>
      </c>
      <c r="J587" t="inlineStr"/>
      <c r="K587" t="inlineStr"/>
      <c r="L587" t="inlineStr"/>
      <c r="M587" t="inlineStr"/>
      <c r="N587" t="inlineStr"/>
      <c r="O587">
        <f>(1-Summary!$B$11)*T587+Summary!$B$11*V587</f>
        <v/>
      </c>
      <c r="P587">
        <f>IF(B615=0,0,O587/B615)</f>
        <v/>
      </c>
      <c r="Q587" t="n">
        <v>0</v>
      </c>
      <c r="R587" t="n">
        <v>0</v>
      </c>
      <c r="S587">
        <f>IFERROR(O587/N587,0)</f>
        <v/>
      </c>
      <c r="T587" t="n">
        <v>0</v>
      </c>
      <c r="V587" t="n">
        <v>0</v>
      </c>
    </row>
    <row r="588">
      <c r="A588">
        <f>Skills!A18</f>
        <v/>
      </c>
      <c r="B588">
        <f>Skills!B18</f>
        <v/>
      </c>
      <c r="C588">
        <f>Inputs!$B$3&gt;=100</f>
        <v/>
      </c>
      <c r="D588">
        <f>IF(Skills!C18=1,60+Inputs!$B$25+Inputs!$B$29,IF(Skills!C18=2,90+Inputs!$B$26+Inputs!$B$29,IF(Skills!C18=3,120+Inputs!$B$27+Inputs!$B$29,MAX(0,(Inputs!$B$3-100)*3)+Inputs!$B$28+Inputs!$B$29)))</f>
        <v/>
      </c>
      <c r="E588">
        <f>INDEX(FactorTable!$B$2:$Y$301, MATCH(ROUND(MIN(300,MAX(1,D588)),0), FactorTable!$A$2:$A$301,0), Skills!M18+1)</f>
        <v/>
      </c>
      <c r="F588">
        <f>IF(Skills!N18=TRUE,(Skills!L18/10)*(E588/1000),Skills!L18/10)+Skills!O18</f>
        <v/>
      </c>
      <c r="G588">
        <f>Skills!G18*IF(Skills!H18&gt;0,Skills!I18/Skills!H18,1)</f>
        <v/>
      </c>
      <c r="H588">
        <f>1-(1-Skills!J18/100)^Skills!K18</f>
        <v/>
      </c>
      <c r="I588" t="inlineStr">
        <is>
          <t>1</t>
        </is>
      </c>
      <c r="J588" t="inlineStr"/>
      <c r="K588" t="inlineStr"/>
      <c r="L588" t="inlineStr"/>
      <c r="M588" t="inlineStr"/>
      <c r="N588" t="inlineStr"/>
      <c r="O588">
        <f>(1-Summary!$B$11)*T588+Summary!$B$11*V588</f>
        <v/>
      </c>
      <c r="P588">
        <f>IF(B615=0,0,O588/B615)</f>
        <v/>
      </c>
      <c r="Q588" t="n">
        <v>0</v>
      </c>
      <c r="R588" t="n">
        <v>0</v>
      </c>
      <c r="S588">
        <f>IFERROR(O588/N588,0)</f>
        <v/>
      </c>
      <c r="T588" t="n">
        <v>0</v>
      </c>
      <c r="V588" t="n">
        <v>0</v>
      </c>
    </row>
    <row r="589">
      <c r="A589">
        <f>Skills!A19</f>
        <v/>
      </c>
      <c r="B589">
        <f>Skills!B19</f>
        <v/>
      </c>
      <c r="C589">
        <f>TRUE</f>
        <v/>
      </c>
      <c r="D589">
        <f>IF(Skills!C19=1,60+Inputs!$B$25+Inputs!$B$29,IF(Skills!C19=2,90+Inputs!$B$26+Inputs!$B$29,IF(Skills!C19=3,120+Inputs!$B$27+Inputs!$B$29,MAX(0,(Inputs!$B$3-100)*3)+Inputs!$B$28+Inputs!$B$29)))</f>
        <v/>
      </c>
      <c r="E589">
        <f>INDEX(FactorTable!$B$2:$Y$301, MATCH(ROUND(MIN(300,MAX(1,D589)),0), FactorTable!$A$2:$A$301,0), Skills!M19+1)</f>
        <v/>
      </c>
      <c r="F589">
        <f>IF(Skills!N19=TRUE,(Skills!L19/10)*(E589/1000),Skills!L19/10)+Skills!O19</f>
        <v/>
      </c>
      <c r="G589">
        <f>Skills!G19*IF(Skills!H19&gt;0,Skills!I19/Skills!H19,1)</f>
        <v/>
      </c>
      <c r="H589">
        <f>1-(1-Skills!J19/100)^Skills!K19</f>
        <v/>
      </c>
      <c r="I589" t="inlineStr">
        <is>
          <t>1</t>
        </is>
      </c>
      <c r="J589" t="inlineStr"/>
      <c r="K589" t="inlineStr"/>
      <c r="L589" t="inlineStr"/>
      <c r="M589" t="inlineStr"/>
      <c r="N589" t="inlineStr"/>
      <c r="O589">
        <f>(1-Summary!$B$11)*T589+Summary!$B$11*V589</f>
        <v/>
      </c>
      <c r="P589">
        <f>IF(B615=0,0,O589/B615)</f>
        <v/>
      </c>
      <c r="Q589">
        <f>IFERROR(1/IF(Inputs!$B$39="pvp",15,MAX(0.1,Skills!D19-IF(Skills!E19=TRUE,Inputs!$B$32,0))),0)</f>
        <v/>
      </c>
      <c r="R589">
        <f>IF(AND(Inputs!$B$39&lt;&gt;"pvp",Inputs!$B$44&gt;0),IF(Inputs!$B$44&lt;=0,0,(INT(Inputs!$B$44/IF(Inputs!$B$39="pvp",15,MAX(0.1,Skills!D19-IF(Skills!E19=TRUE,Inputs!$B$32,0))))+1)),0)</f>
        <v/>
      </c>
      <c r="S589">
        <f>IFERROR(O589/N589,0)</f>
        <v/>
      </c>
      <c r="T589" t="n">
        <v>0</v>
      </c>
      <c r="V589" t="n">
        <v>0</v>
      </c>
    </row>
    <row r="590">
      <c r="A590">
        <f>Skills!A20</f>
        <v/>
      </c>
      <c r="B590">
        <f>Skills!B20</f>
        <v/>
      </c>
      <c r="C590">
        <f>Inputs!$B$3&gt;=15</f>
        <v/>
      </c>
      <c r="D590">
        <f>IF(Skills!C20=1,60+Inputs!$B$25+Inputs!$B$29,IF(Skills!C20=2,90+Inputs!$B$26+Inputs!$B$29,IF(Skills!C20=3,120+Inputs!$B$27+Inputs!$B$29,MAX(0,(Inputs!$B$3-100)*3)+Inputs!$B$28+Inputs!$B$29)))</f>
        <v/>
      </c>
      <c r="E590">
        <f>INDEX(FactorTable!$B$2:$Y$301, MATCH(ROUND(MIN(300,MAX(1,D590)),0), FactorTable!$A$2:$A$301,0), Skills!M20+1)</f>
        <v/>
      </c>
      <c r="F590">
        <f>IF(Skills!N20=TRUE,(Skills!L20/10)*(E590/1000),Skills!L20/10)+Skills!O20</f>
        <v/>
      </c>
      <c r="G590">
        <f>Skills!G20*IF(Skills!H20&gt;0,Skills!I20/Skills!H20,1)</f>
        <v/>
      </c>
      <c r="H590">
        <f>1-(1-Skills!J20/100)^Skills!K20</f>
        <v/>
      </c>
      <c r="I590" t="inlineStr">
        <is>
          <t>1</t>
        </is>
      </c>
      <c r="J590" t="inlineStr"/>
      <c r="K590" t="inlineStr"/>
      <c r="L590" t="inlineStr"/>
      <c r="M590" t="inlineStr"/>
      <c r="N590" t="inlineStr"/>
      <c r="O590">
        <f>(1-Summary!$B$11)*T590+Summary!$B$11*V590</f>
        <v/>
      </c>
      <c r="P590">
        <f>IF(B615=0,0,O590/B615)</f>
        <v/>
      </c>
      <c r="Q590">
        <f>IFERROR(1/IF(Inputs!$B$39="pvp",15,MAX(0.1,Skills!D20-IF(Skills!E20=TRUE,Inputs!$B$32,0))),0)</f>
        <v/>
      </c>
      <c r="R590">
        <f>IF(AND(Inputs!$B$39&lt;&gt;"pvp",Inputs!$B$44&gt;0),IF(Inputs!$B$44&lt;=0,0,(INT(Inputs!$B$44/IF(Inputs!$B$39="pvp",15,MAX(0.1,Skills!D20-IF(Skills!E20=TRUE,Inputs!$B$32,0))))+1)),0)</f>
        <v/>
      </c>
      <c r="S590">
        <f>IFERROR(O590/N590,0)</f>
        <v/>
      </c>
      <c r="T590" t="n">
        <v>0</v>
      </c>
      <c r="V590" t="n">
        <v>0</v>
      </c>
    </row>
    <row r="591">
      <c r="A591">
        <f>Skills!A21</f>
        <v/>
      </c>
      <c r="B591">
        <f>Skills!B21</f>
        <v/>
      </c>
      <c r="C591">
        <f>Inputs!$B$3&gt;=15</f>
        <v/>
      </c>
      <c r="D591">
        <f>IF(Skills!C21=1,60+Inputs!$B$25+Inputs!$B$29,IF(Skills!C21=2,90+Inputs!$B$26+Inputs!$B$29,IF(Skills!C21=3,120+Inputs!$B$27+Inputs!$B$29,MAX(0,(Inputs!$B$3-100)*3)+Inputs!$B$28+Inputs!$B$29)))</f>
        <v/>
      </c>
      <c r="E591">
        <f>INDEX(FactorTable!$B$2:$Y$301, MATCH(ROUND(MIN(300,MAX(1,D591)),0), FactorTable!$A$2:$A$301,0), Skills!M21+1)</f>
        <v/>
      </c>
      <c r="F591">
        <f>IF(Skills!N21=TRUE,(Skills!L21/10)*(E591/1000),Skills!L21/10)+Skills!O21</f>
        <v/>
      </c>
      <c r="G591">
        <f>Skills!G21*IF(Skills!H21&gt;0,Skills!I21/Skills!H21,1)</f>
        <v/>
      </c>
      <c r="H591">
        <f>1-(1-Skills!J21/100)^Skills!K21</f>
        <v/>
      </c>
      <c r="I591" t="inlineStr">
        <is>
          <t>1</t>
        </is>
      </c>
      <c r="J591" t="inlineStr"/>
      <c r="K591" t="inlineStr"/>
      <c r="L591" t="inlineStr"/>
      <c r="M591" t="inlineStr"/>
      <c r="N591" t="inlineStr"/>
      <c r="O591">
        <f>(1-Summary!$B$11)*T591+Summary!$B$11*V591</f>
        <v/>
      </c>
      <c r="P591">
        <f>IF(B615=0,0,O591/B615)</f>
        <v/>
      </c>
      <c r="Q591">
        <f>IFERROR(1/IF(Inputs!$B$39="pvp",15,MAX(0.1,Skills!D21-IF(Skills!E21=TRUE,Inputs!$B$32,0))),0)</f>
        <v/>
      </c>
      <c r="R591">
        <f>IF(AND(Inputs!$B$39&lt;&gt;"pvp",Inputs!$B$44&gt;0),IF(Inputs!$B$44&lt;=0,0,(INT(Inputs!$B$44/IF(Inputs!$B$39="pvp",15,MAX(0.1,Skills!D21-IF(Skills!E21=TRUE,Inputs!$B$32,0))))+1)),0)</f>
        <v/>
      </c>
      <c r="S591">
        <f>IFERROR(O591/N591,0)</f>
        <v/>
      </c>
      <c r="T591" t="n">
        <v>0</v>
      </c>
      <c r="V591" t="n">
        <v>0</v>
      </c>
    </row>
    <row r="592">
      <c r="A592">
        <f>Skills!A22</f>
        <v/>
      </c>
      <c r="B592">
        <f>Skills!B22</f>
        <v/>
      </c>
      <c r="C592">
        <f>Inputs!$B$3&gt;=33</f>
        <v/>
      </c>
      <c r="D592">
        <f>IF(Skills!C22=1,60+Inputs!$B$25+Inputs!$B$29,IF(Skills!C22=2,90+Inputs!$B$26+Inputs!$B$29,IF(Skills!C22=3,120+Inputs!$B$27+Inputs!$B$29,MAX(0,(Inputs!$B$3-100)*3)+Inputs!$B$28+Inputs!$B$29)))</f>
        <v/>
      </c>
      <c r="E592">
        <f>INDEX(FactorTable!$B$2:$Y$301, MATCH(ROUND(MIN(300,MAX(1,D592)),0), FactorTable!$A$2:$A$301,0), Skills!M22+1)</f>
        <v/>
      </c>
      <c r="F592">
        <f>IF(Skills!N22=TRUE,(Skills!L22/10)*(E592/1000),Skills!L22/10)+Skills!O22</f>
        <v/>
      </c>
      <c r="G592">
        <f>Skills!G22*IF(Skills!H22&gt;0,Skills!I22/Skills!H22,1)</f>
        <v/>
      </c>
      <c r="H592">
        <f>1-(1-Skills!J22/100)^Skills!K22</f>
        <v/>
      </c>
      <c r="I592" t="inlineStr">
        <is>
          <t>1</t>
        </is>
      </c>
      <c r="J592" t="inlineStr"/>
      <c r="K592" t="inlineStr"/>
      <c r="L592" t="inlineStr"/>
      <c r="M592" t="inlineStr"/>
      <c r="N592" t="inlineStr"/>
      <c r="O592">
        <f>(1-Summary!$B$11)*T592+Summary!$B$11*V592</f>
        <v/>
      </c>
      <c r="P592">
        <f>IF(B615=0,0,O592/B615)</f>
        <v/>
      </c>
      <c r="Q592" t="n">
        <v>0</v>
      </c>
      <c r="R592" t="n">
        <v>0</v>
      </c>
      <c r="S592">
        <f>IFERROR(O592/N592,0)</f>
        <v/>
      </c>
      <c r="T592" t="n">
        <v>0</v>
      </c>
      <c r="V592" t="n">
        <v>0</v>
      </c>
    </row>
    <row r="593">
      <c r="A593">
        <f>Skills!A23</f>
        <v/>
      </c>
      <c r="B593">
        <f>Skills!B23</f>
        <v/>
      </c>
      <c r="C593">
        <f>Inputs!$B$3&gt;=40</f>
        <v/>
      </c>
      <c r="D593">
        <f>IF(Skills!C23=1,60+Inputs!$B$25+Inputs!$B$29,IF(Skills!C23=2,90+Inputs!$B$26+Inputs!$B$29,IF(Skills!C23=3,120+Inputs!$B$27+Inputs!$B$29,MAX(0,(Inputs!$B$3-100)*3)+Inputs!$B$28+Inputs!$B$29)))</f>
        <v/>
      </c>
      <c r="E593">
        <f>INDEX(FactorTable!$B$2:$Y$301, MATCH(ROUND(MIN(300,MAX(1,D593)),0), FactorTable!$A$2:$A$301,0), Skills!M23+1)</f>
        <v/>
      </c>
      <c r="F593">
        <f>IF(Skills!N23=TRUE,(Skills!L23/10)*(E593/1000),Skills!L23/10)+Skills!O23</f>
        <v/>
      </c>
      <c r="G593">
        <f>Skills!G23*IF(Skills!H23&gt;0,Skills!I23/Skills!H23,1)</f>
        <v/>
      </c>
      <c r="H593">
        <f>1-(1-Skills!J23/100)^Skills!K23</f>
        <v/>
      </c>
      <c r="I593" t="inlineStr">
        <is>
          <t>1</t>
        </is>
      </c>
      <c r="J593" t="inlineStr"/>
      <c r="K593" t="inlineStr"/>
      <c r="L593" t="inlineStr"/>
      <c r="M593" t="inlineStr"/>
      <c r="N593" t="inlineStr"/>
      <c r="O593">
        <f>(1-Summary!$B$11)*T593+Summary!$B$11*V593</f>
        <v/>
      </c>
      <c r="P593">
        <f>IF(B615=0,0,O593/B615)</f>
        <v/>
      </c>
      <c r="Q593" t="n">
        <v>0</v>
      </c>
      <c r="R593" t="n">
        <v>0</v>
      </c>
      <c r="S593">
        <f>IFERROR(O593/N593,0)</f>
        <v/>
      </c>
      <c r="T593" t="n">
        <v>0</v>
      </c>
      <c r="V593" t="n">
        <v>0</v>
      </c>
    </row>
    <row r="594">
      <c r="A594">
        <f>Skills!A24</f>
        <v/>
      </c>
      <c r="B594">
        <f>Skills!B24</f>
        <v/>
      </c>
      <c r="C594">
        <f>Inputs!$B$3&gt;=43</f>
        <v/>
      </c>
      <c r="D594">
        <f>IF(Skills!C24=1,60+Inputs!$B$25+Inputs!$B$29,IF(Skills!C24=2,90+Inputs!$B$26+Inputs!$B$29,IF(Skills!C24=3,120+Inputs!$B$27+Inputs!$B$29,MAX(0,(Inputs!$B$3-100)*3)+Inputs!$B$28+Inputs!$B$29)))</f>
        <v/>
      </c>
      <c r="E594">
        <f>INDEX(FactorTable!$B$2:$Y$301, MATCH(ROUND(MIN(300,MAX(1,D594)),0), FactorTable!$A$2:$A$301,0), Skills!M24+1)</f>
        <v/>
      </c>
      <c r="F594">
        <f>IF(Skills!N24=TRUE,(Skills!L24/10)*(E594/1000),Skills!L24/10)+Skills!O24</f>
        <v/>
      </c>
      <c r="G594">
        <f>Skills!G24*IF(Skills!H24&gt;0,Skills!I24/Skills!H24,1)</f>
        <v/>
      </c>
      <c r="H594">
        <f>1-(1-Skills!J24/100)^Skills!K24</f>
        <v/>
      </c>
      <c r="I594" t="inlineStr">
        <is>
          <t>1</t>
        </is>
      </c>
      <c r="J594" t="inlineStr"/>
      <c r="K594" t="inlineStr"/>
      <c r="L594" t="inlineStr"/>
      <c r="M594" t="inlineStr"/>
      <c r="N594" t="inlineStr"/>
      <c r="O594">
        <f>(1-Summary!$B$11)*T594+Summary!$B$11*V594</f>
        <v/>
      </c>
      <c r="P594">
        <f>IF(B615=0,0,O594/B615)</f>
        <v/>
      </c>
      <c r="Q594" t="n">
        <v>0</v>
      </c>
      <c r="R594" t="n">
        <v>0</v>
      </c>
      <c r="S594">
        <f>IFERROR(O594/N594,0)</f>
        <v/>
      </c>
      <c r="T594" t="n">
        <v>0</v>
      </c>
      <c r="V594" t="n">
        <v>0</v>
      </c>
    </row>
    <row r="595">
      <c r="A595">
        <f>Skills!A25</f>
        <v/>
      </c>
      <c r="B595">
        <f>Skills!B25</f>
        <v/>
      </c>
      <c r="C595">
        <f>Inputs!$B$3&gt;=50</f>
        <v/>
      </c>
      <c r="D595">
        <f>IF(Skills!C25=1,60+Inputs!$B$25+Inputs!$B$29,IF(Skills!C25=2,90+Inputs!$B$26+Inputs!$B$29,IF(Skills!C25=3,120+Inputs!$B$27+Inputs!$B$29,MAX(0,(Inputs!$B$3-100)*3)+Inputs!$B$28+Inputs!$B$29)))</f>
        <v/>
      </c>
      <c r="E595">
        <f>INDEX(FactorTable!$B$2:$Y$301, MATCH(ROUND(MIN(300,MAX(1,D595)),0), FactorTable!$A$2:$A$301,0), Skills!M25+1)</f>
        <v/>
      </c>
      <c r="F595">
        <f>IF(Skills!N25=TRUE,(Skills!L25/10)*(E595/1000),Skills!L25/10)+Skills!O25</f>
        <v/>
      </c>
      <c r="G595">
        <f>Skills!G25*IF(Skills!H25&gt;0,Skills!I25/Skills!H25,1)</f>
        <v/>
      </c>
      <c r="H595">
        <f>1-(1-Skills!J25/100)^Skills!K25</f>
        <v/>
      </c>
      <c r="I595" t="inlineStr">
        <is>
          <t>1</t>
        </is>
      </c>
      <c r="J595" t="inlineStr"/>
      <c r="K595" t="inlineStr"/>
      <c r="L595" t="inlineStr"/>
      <c r="M595" t="inlineStr"/>
      <c r="N595" t="inlineStr"/>
      <c r="O595">
        <f>(1-Summary!$B$11)*T595+Summary!$B$11*V595</f>
        <v/>
      </c>
      <c r="P595">
        <f>IF(B615=0,0,O595/B615)</f>
        <v/>
      </c>
      <c r="Q595" t="n">
        <v>0</v>
      </c>
      <c r="R595" t="n">
        <v>0</v>
      </c>
      <c r="S595">
        <f>IFERROR(O595/N595,0)</f>
        <v/>
      </c>
      <c r="T595" t="n">
        <v>0</v>
      </c>
      <c r="V595" t="n">
        <v>0</v>
      </c>
    </row>
    <row r="596">
      <c r="A596">
        <f>Skills!A26</f>
        <v/>
      </c>
      <c r="B596">
        <f>Skills!B26</f>
        <v/>
      </c>
      <c r="C596">
        <f>Inputs!$B$3&gt;=50</f>
        <v/>
      </c>
      <c r="D596">
        <f>IF(Skills!C26=1,60+Inputs!$B$25+Inputs!$B$29,IF(Skills!C26=2,90+Inputs!$B$26+Inputs!$B$29,IF(Skills!C26=3,120+Inputs!$B$27+Inputs!$B$29,MAX(0,(Inputs!$B$3-100)*3)+Inputs!$B$28+Inputs!$B$29)))</f>
        <v/>
      </c>
      <c r="E596">
        <f>INDEX(FactorTable!$B$2:$Y$301, MATCH(ROUND(MIN(300,MAX(1,D596)),0), FactorTable!$A$2:$A$301,0), Skills!M26+1)</f>
        <v/>
      </c>
      <c r="F596">
        <f>IF(Skills!N26=TRUE,(Skills!L26/10)*(E596/1000),Skills!L26/10)+Skills!O26</f>
        <v/>
      </c>
      <c r="G596">
        <f>Skills!G26*IF(Skills!H26&gt;0,Skills!I26/Skills!H26,1)</f>
        <v/>
      </c>
      <c r="H596">
        <f>1-(1-Skills!J26/100)^Skills!K26</f>
        <v/>
      </c>
      <c r="I596" t="inlineStr">
        <is>
          <t>1</t>
        </is>
      </c>
      <c r="J596" t="inlineStr"/>
      <c r="K596" t="inlineStr"/>
      <c r="L596" t="inlineStr"/>
      <c r="M596" t="inlineStr"/>
      <c r="N596" t="inlineStr"/>
      <c r="O596">
        <f>(1-Summary!$B$11)*T596+Summary!$B$11*V596</f>
        <v/>
      </c>
      <c r="P596">
        <f>IF(B615=0,0,O596/B615)</f>
        <v/>
      </c>
      <c r="Q596" t="n">
        <v>0</v>
      </c>
      <c r="R596" t="n">
        <v>0</v>
      </c>
      <c r="S596">
        <f>IFERROR(O596/N596,0)</f>
        <v/>
      </c>
      <c r="T596" t="n">
        <v>0</v>
      </c>
      <c r="V596" t="n">
        <v>0</v>
      </c>
    </row>
    <row r="597">
      <c r="A597">
        <f>Skills!A27</f>
        <v/>
      </c>
      <c r="B597">
        <f>Skills!B27</f>
        <v/>
      </c>
      <c r="C597">
        <f>Inputs!$B$3&gt;=38</f>
        <v/>
      </c>
      <c r="D597">
        <f>IF(Skills!C27=1,60+Inputs!$B$25+Inputs!$B$29,IF(Skills!C27=2,90+Inputs!$B$26+Inputs!$B$29,IF(Skills!C27=3,120+Inputs!$B$27+Inputs!$B$29,MAX(0,(Inputs!$B$3-100)*3)+Inputs!$B$28+Inputs!$B$29)))</f>
        <v/>
      </c>
      <c r="E597">
        <f>INDEX(FactorTable!$B$2:$Y$301, MATCH(ROUND(MIN(300,MAX(1,D597)),0), FactorTable!$A$2:$A$301,0), Skills!M27+1)</f>
        <v/>
      </c>
      <c r="F597">
        <f>IF(Skills!N27=TRUE,(Skills!L27/10)*(E597/1000),Skills!L27/10)+Skills!O27</f>
        <v/>
      </c>
      <c r="G597">
        <f>Skills!G27*IF(Skills!H27&gt;0,Skills!I27/Skills!H27,1)</f>
        <v/>
      </c>
      <c r="H597">
        <f>1-(1-Skills!J27/100)^Skills!K27</f>
        <v/>
      </c>
      <c r="I597" t="inlineStr">
        <is>
          <t>1</t>
        </is>
      </c>
      <c r="J597" t="inlineStr"/>
      <c r="K597" t="inlineStr"/>
      <c r="L597" t="inlineStr"/>
      <c r="M597" t="inlineStr"/>
      <c r="N597" t="inlineStr"/>
      <c r="O597">
        <f>(1-Summary!$B$11)*T597+Summary!$B$11*V597</f>
        <v/>
      </c>
      <c r="P597">
        <f>IF(B615=0,0,O597/B615)</f>
        <v/>
      </c>
      <c r="Q597" t="n">
        <v>0</v>
      </c>
      <c r="R597" t="n">
        <v>0</v>
      </c>
      <c r="S597">
        <f>IFERROR(O597/N597,0)</f>
        <v/>
      </c>
      <c r="T597" t="n">
        <v>0</v>
      </c>
      <c r="V597" t="n">
        <v>0</v>
      </c>
    </row>
    <row r="598">
      <c r="A598">
        <f>Skills!A28</f>
        <v/>
      </c>
      <c r="B598">
        <f>Skills!B28</f>
        <v/>
      </c>
      <c r="C598">
        <f>Inputs!$B$3&gt;=120</f>
        <v/>
      </c>
      <c r="D598">
        <f>IF(Skills!C28=1,60+Inputs!$B$25+Inputs!$B$29,IF(Skills!C28=2,90+Inputs!$B$26+Inputs!$B$29,IF(Skills!C28=3,120+Inputs!$B$27+Inputs!$B$29,MAX(0,(Inputs!$B$3-100)*3)+Inputs!$B$28+Inputs!$B$29)))</f>
        <v/>
      </c>
      <c r="E598">
        <f>INDEX(FactorTable!$B$2:$Y$301, MATCH(ROUND(MIN(300,MAX(1,D598)),0), FactorTable!$A$2:$A$301,0), Skills!M28+1)</f>
        <v/>
      </c>
      <c r="F598">
        <f>IF(Skills!N28=TRUE,(Skills!L28/10)*(E598/1000),Skills!L28/10)+Skills!O28</f>
        <v/>
      </c>
      <c r="G598">
        <f>Skills!G28*IF(Skills!H28&gt;0,Skills!I28/Skills!H28,1)</f>
        <v/>
      </c>
      <c r="H598">
        <f>1-(1-Skills!J28/100)^Skills!K28</f>
        <v/>
      </c>
      <c r="I598" t="inlineStr">
        <is>
          <t>1</t>
        </is>
      </c>
      <c r="J598" t="inlineStr"/>
      <c r="K598" t="inlineStr"/>
      <c r="L598" t="inlineStr"/>
      <c r="M598" t="inlineStr"/>
      <c r="N598" t="inlineStr"/>
      <c r="O598">
        <f>(1-Summary!$B$11)*T598+Summary!$B$11*V598</f>
        <v/>
      </c>
      <c r="P598">
        <f>IF(B615=0,0,O598/B615)</f>
        <v/>
      </c>
      <c r="Q598" t="n">
        <v>0</v>
      </c>
      <c r="R598" t="n">
        <v>0</v>
      </c>
      <c r="S598">
        <f>IFERROR(O598/N598,0)</f>
        <v/>
      </c>
      <c r="T598" t="n">
        <v>0</v>
      </c>
      <c r="V598" t="n">
        <v>0</v>
      </c>
    </row>
    <row r="599">
      <c r="A599">
        <f>Skills!A29</f>
        <v/>
      </c>
      <c r="B599">
        <f>Skills!B29</f>
        <v/>
      </c>
      <c r="C599">
        <f>Inputs!$B$3&gt;=120</f>
        <v/>
      </c>
      <c r="D599">
        <f>IF(Skills!C29=1,60+Inputs!$B$25+Inputs!$B$29,IF(Skills!C29=2,90+Inputs!$B$26+Inputs!$B$29,IF(Skills!C29=3,120+Inputs!$B$27+Inputs!$B$29,MAX(0,(Inputs!$B$3-100)*3)+Inputs!$B$28+Inputs!$B$29)))</f>
        <v/>
      </c>
      <c r="E599">
        <f>INDEX(FactorTable!$B$2:$Y$301, MATCH(ROUND(MIN(300,MAX(1,D599)),0), FactorTable!$A$2:$A$301,0), Skills!M29+1)</f>
        <v/>
      </c>
      <c r="F599">
        <f>IF(Skills!N29=TRUE,(Skills!L29/10)*(E599/1000),Skills!L29/10)+Skills!O29</f>
        <v/>
      </c>
      <c r="G599">
        <f>Skills!G29*IF(Skills!H29&gt;0,Skills!I29/Skills!H29,1)</f>
        <v/>
      </c>
      <c r="H599">
        <f>1-(1-Skills!J29/100)^Skills!K29</f>
        <v/>
      </c>
      <c r="I599" t="inlineStr">
        <is>
          <t>1</t>
        </is>
      </c>
      <c r="J599" t="inlineStr"/>
      <c r="K599" t="inlineStr"/>
      <c r="L599" t="inlineStr"/>
      <c r="M599" t="inlineStr"/>
      <c r="N599" t="inlineStr"/>
      <c r="O599">
        <f>(1-Summary!$B$11)*T599+Summary!$B$11*V599</f>
        <v/>
      </c>
      <c r="P599">
        <f>IF(B615=0,0,O599/B615)</f>
        <v/>
      </c>
      <c r="Q599" t="n">
        <v>0</v>
      </c>
      <c r="R599" t="n">
        <v>0</v>
      </c>
      <c r="S599">
        <f>IFERROR(O599/N599,0)</f>
        <v/>
      </c>
      <c r="T599" t="n">
        <v>0</v>
      </c>
      <c r="V599" t="n">
        <v>0</v>
      </c>
    </row>
    <row r="600">
      <c r="A600">
        <f>Skills!A30</f>
        <v/>
      </c>
      <c r="B600">
        <f>Skills!B30</f>
        <v/>
      </c>
      <c r="C600">
        <f>Inputs!$B$3&gt;=125</f>
        <v/>
      </c>
      <c r="D600">
        <f>IF(Skills!C30=1,60+Inputs!$B$25+Inputs!$B$29,IF(Skills!C30=2,90+Inputs!$B$26+Inputs!$B$29,IF(Skills!C30=3,120+Inputs!$B$27+Inputs!$B$29,MAX(0,(Inputs!$B$3-100)*3)+Inputs!$B$28+Inputs!$B$29)))</f>
        <v/>
      </c>
      <c r="E600">
        <f>INDEX(FactorTable!$B$2:$Y$301, MATCH(ROUND(MIN(300,MAX(1,D600)),0), FactorTable!$A$2:$A$301,0), Skills!M30+1)</f>
        <v/>
      </c>
      <c r="F600">
        <f>IF(Skills!N30=TRUE,(Skills!L30/10)*(E600/1000),Skills!L30/10)+Skills!O30</f>
        <v/>
      </c>
      <c r="G600">
        <f>Skills!G30*IF(Skills!H30&gt;0,Skills!I30/Skills!H30,1)</f>
        <v/>
      </c>
      <c r="H600">
        <f>1-(1-Skills!J30/100)^Skills!K30</f>
        <v/>
      </c>
      <c r="I600" t="inlineStr">
        <is>
          <t>1</t>
        </is>
      </c>
      <c r="J600" t="inlineStr"/>
      <c r="K600" t="inlineStr"/>
      <c r="L600" t="inlineStr"/>
      <c r="M600" t="inlineStr"/>
      <c r="N600" t="inlineStr"/>
      <c r="O600">
        <f>(1-Summary!$B$11)*T600+Summary!$B$11*V600</f>
        <v/>
      </c>
      <c r="P600">
        <f>IF(B615=0,0,O600/B615)</f>
        <v/>
      </c>
      <c r="Q600" t="n">
        <v>0</v>
      </c>
      <c r="R600" t="n">
        <v>0</v>
      </c>
      <c r="S600">
        <f>IFERROR(O600/N600,0)</f>
        <v/>
      </c>
      <c r="T600" t="n">
        <v>0</v>
      </c>
      <c r="V600" t="n">
        <v>0</v>
      </c>
    </row>
    <row r="602">
      <c r="A602" t="inlineStr">
        <is>
          <t>Average Buff Multiplier</t>
        </is>
      </c>
      <c r="B602">
        <f>(1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f>
        <v/>
      </c>
    </row>
    <row r="603">
      <c r="A603" t="inlineStr">
        <is>
          <t>Global Crit Rate Bonus %</t>
        </is>
      </c>
      <c r="B603">
        <f>((C590=TRUE)*F590*IF(AND(Inputs!$B$39&lt;&gt;"pvp",Inputs!$B$44&gt;0),(((R590-1)*(Skills!Y20*(1+Inputs!$B$34/100))+MIN((Skills!Y20*(1+Inputs!$B$34/100)),MAX(0,Inputs!$B$44-((R590-1)*Skills!D20))))/Inputs!$B$44),IF(Inputs!$B$39="pvp",MIN((Skills!Y20*(1+Inputs!$B$34/100)),15)/15,(Skills!Y20*(1+Inputs!$B$34/100))/Skills!D20)))</f>
        <v/>
      </c>
    </row>
    <row r="604">
      <c r="A604" t="inlineStr">
        <is>
          <t>Global Monster Damage-Taken Bonus %</t>
        </is>
      </c>
      <c r="B604">
        <f>IF(Inputs!$B$3&gt;=82,15,0)</f>
        <v/>
      </c>
    </row>
    <row r="605">
      <c r="A605" t="inlineStr">
        <is>
          <t>Shadow Partner Average Multiplier</t>
        </is>
      </c>
      <c r="B605">
        <f>1+((C577=TRUE)*F577*(1+3.3333333333333335*IF(C588=TRUE,F588,0)/100)*I577*Skills!J7/100)/100</f>
        <v/>
      </c>
    </row>
    <row r="606">
      <c r="A606" t="inlineStr">
        <is>
          <t>Attack Speed Buff Bonus %</t>
        </is>
      </c>
      <c r="B606">
        <f>((C589=TRUE)*F589*IF(AND(Inputs!$B$39&lt;&gt;"pvp",Inputs!$B$44&gt;0),(((R589-1)*(Skills!Y19*(1+Inputs!$B$34/100))+MIN((Skills!Y19*(1+Inputs!$B$34/100)),MAX(0,Inputs!$B$44-((R589-1)*Skills!D19))))/Inputs!$B$44),IF(Inputs!$B$39="pvp",MIN((Skills!Y19*(1+Inputs!$B$34/100)),15)/15,(Skills!Y19*(1+Inputs!$B$34/100))/Skills!D19)))+((C573=TRUE)*F573*3)</f>
        <v/>
      </c>
    </row>
    <row r="607">
      <c r="A607" t="inlineStr">
        <is>
          <t>Actions Per Second</t>
        </is>
      </c>
      <c r="B607">
        <f>1+MIN(150,150*(1-(1-(Inputs!$B$11+((C592=TRUE)*(F592-Calc!F22)))/150)*(1-B606/150)))/100</f>
        <v/>
      </c>
    </row>
    <row r="608">
      <c r="A608" t="inlineStr">
        <is>
          <t>Skill + Buff Cast Rate</t>
        </is>
      </c>
      <c r="B608">
        <f>IF(AND(Inputs!$B$39&lt;&gt;"pvp",Inputs!$B$44&gt;0),SUMPRODUCT((Skills!E2:E30=TRUE)*(C572:C600=TRUE)*R572:R600*Skills!F2:F30)/Inputs!$B$44,SUMPRODUCT((Skills!E2:E30=TRUE)*(C572:C600=TRUE)*Q572:Q600*Skills!F2:F30))</f>
        <v/>
      </c>
    </row>
    <row r="609">
      <c r="A609" t="inlineStr">
        <is>
          <t>Cruel Stab Casts Per Second</t>
        </is>
      </c>
      <c r="B609">
        <f>MAX(0,B607-B608)</f>
        <v/>
      </c>
    </row>
    <row r="610">
      <c r="A610" t="inlineStr">
        <is>
          <t>Global Critical Damage Bonus % (Smokescreen Mastery Lv.113)</t>
        </is>
      </c>
      <c r="B610">
        <f>IF(Inputs!$B$3&gt;=113,30,0)*IF(AND(Inputs!$B$39&lt;&gt;"pvp",Inputs!$B$44&gt;0),(((R585-1)*(Skills!Y15*(1+Inputs!$B$34/100))+MIN((Skills!Y15*(1+Inputs!$B$34/100)),MAX(0,Inputs!$B$44-((R585-1)*Skills!D15))))/Inputs!$B$44),IF(Inputs!$B$39="pvp",MIN((Skills!Y15*(1+Inputs!$B$34/100)),15)/15,(Skills!Y15*(1+Inputs!$B$34/100))/Skills!D15))</f>
        <v/>
      </c>
    </row>
    <row r="611">
      <c r="A611" t="inlineStr">
        <is>
          <t>Meso Explosion average stack count</t>
        </is>
      </c>
      <c r="B611">
        <f>MIN(10,0.5*B607*Skills!D4)</f>
        <v/>
      </c>
    </row>
    <row r="612">
      <c r="A612" t="inlineStr">
        <is>
          <t>Blood Money average stack count</t>
        </is>
      </c>
      <c r="B612">
        <f>MIN(5,0.25*B607*Skills!D4)</f>
        <v/>
      </c>
    </row>
    <row r="613">
      <c r="A613" t="inlineStr">
        <is>
          <t>Assassinate Murderous Intent Multiplier</t>
        </is>
      </c>
      <c r="B613">
        <f>1+IFERROR(MIN(1,Q584*2/Q581),0)</f>
        <v/>
      </c>
    </row>
    <row r="614">
      <c r="A614" t="inlineStr">
        <is>
          <t>Buff-Casting Startup Delay (s, fixed-duration only)</t>
        </is>
      </c>
      <c r="B614">
        <f>IF(AND(Inputs!$B$39&lt;&gt;"pvp",Inputs!$B$44&gt;0),SUMPRODUCT((Skills!Y2:Y30&gt;0)*(Skills!E2:E30=TRUE)*(C572:C600=TRUE))/B607,0)</f>
        <v/>
      </c>
    </row>
    <row r="615">
      <c r="A615" s="6" t="inlineStr">
        <is>
          <t>TOTAL DPS</t>
        </is>
      </c>
      <c r="B615" s="6">
        <f>SUM(O572:O600)</f>
        <v/>
      </c>
    </row>
    <row r="616">
      <c r="A616" t="inlineStr">
        <is>
          <t>Boss-Only Total DPS (this block's swept value)</t>
        </is>
      </c>
      <c r="B616">
        <f>SUM(T572:T600)</f>
        <v/>
      </c>
    </row>
    <row r="617">
      <c r="A617" t="inlineStr">
        <is>
          <t>Normal-Only Total DPS (this block's swept value)</t>
        </is>
      </c>
      <c r="B617">
        <f>SUM(V572:V600)</f>
        <v/>
      </c>
    </row>
    <row r="620">
      <c r="A620" s="6" t="inlineStr">
        <is>
          <t>Stat: CRIT_DAMAGE %</t>
        </is>
      </c>
    </row>
    <row r="621">
      <c r="A621" s="5" t="inlineStr">
        <is>
          <t>Key</t>
        </is>
      </c>
      <c r="B621" s="5" t="inlineStr">
        <is>
          <t>Name</t>
        </is>
      </c>
      <c r="C621" s="5" t="inlineStr">
        <is>
          <t>Unlocked</t>
        </is>
      </c>
      <c r="D621" s="5" t="inlineStr">
        <is>
          <t>InputLevel</t>
        </is>
      </c>
      <c r="E621" s="5" t="inlineStr">
        <is>
          <t>Factor</t>
        </is>
      </c>
      <c r="F621" s="5" t="inlineStr">
        <is>
          <t>CoefficientPercent</t>
        </is>
      </c>
      <c r="G621" s="5" t="inlineStr">
        <is>
          <t>EffectiveHits</t>
        </is>
      </c>
      <c r="H621" s="5" t="inlineStr">
        <is>
          <t>ProcProbability</t>
        </is>
      </c>
      <c r="I621" s="5" t="inlineStr">
        <is>
          <t>MapleHeroMultiplier</t>
        </is>
      </c>
      <c r="J621" s="5" t="inlineStr">
        <is>
          <t>BaseDamage</t>
        </is>
      </c>
      <c r="K621" s="5" t="inlineStr">
        <is>
          <t>BaseHitDamage</t>
        </is>
      </c>
      <c r="L621" s="5" t="inlineStr">
        <is>
          <t>NonCritAvg</t>
        </is>
      </c>
      <c r="M621" s="5" t="inlineStr">
        <is>
          <t>CritAvg</t>
        </is>
      </c>
      <c r="N621" s="5" t="inlineStr">
        <is>
          <t>ExpectedDamage(perHit)</t>
        </is>
      </c>
      <c r="O621" s="5" t="inlineStr">
        <is>
          <t>DPS</t>
        </is>
      </c>
      <c r="P621" s="5" t="inlineStr">
        <is>
          <t>% of Total</t>
        </is>
      </c>
      <c r="Q621" s="5" t="inlineStr">
        <is>
          <t>InvCooldown</t>
        </is>
      </c>
      <c r="R621" s="5" t="inlineStr">
        <is>
          <t>CastsInFight</t>
        </is>
      </c>
      <c r="S621" s="5" t="inlineStr">
        <is>
          <t>HitRate(perSec)</t>
        </is>
      </c>
      <c r="U621" t="inlineStr">
        <is>
          <t>helpers</t>
        </is>
      </c>
    </row>
    <row r="622">
      <c r="A622">
        <f>Skills!A2</f>
        <v/>
      </c>
      <c r="B622">
        <f>Skills!B2</f>
        <v/>
      </c>
      <c r="C622">
        <f>Inputs!$B$3&gt;=100</f>
        <v/>
      </c>
      <c r="D622" t="inlineStr"/>
      <c r="E622" t="inlineStr"/>
      <c r="F622">
        <f>U624+Skills!O2</f>
        <v/>
      </c>
      <c r="G622">
        <f>Skills!G2*IF(Skills!H2&gt;0,Skills!I2/Skills!H2,1)</f>
        <v/>
      </c>
      <c r="H622">
        <f>1-(1-Skills!J2/100)^Skills!K2</f>
        <v/>
      </c>
      <c r="I622" t="inlineStr">
        <is>
          <t>1</t>
        </is>
      </c>
      <c r="J622">
        <f>((Inputs!$B$6*(1+Inputs!$B$7/100))+(((Inputs!$B$12*(1+Inputs!$B$13/100))-(Inputs!$B$12*(1+Inputs!$B$13/100)))+0.25*(Inputs!$B$14-Inputs!$B$14))*(1+Inputs!$B$7/100))*(F622/100)</f>
        <v/>
      </c>
      <c r="K622">
        <f>J622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622)</f>
        <v/>
      </c>
      <c r="L622">
        <f>K622*(MIN(Inputs!$B$22+((C644=TRUE)*(F644-Calc!F24)),(Inputs!$B$23+((C649=TRUE)*(F649-Calc!F29))+IF(ArtifactsInput!$M$15,CHOOSE(ArtifactsInput!$N$15+1,25,30,35,40,45,50)/100*(Inputs!$B$11-Inputs!$B$11),0)))/100+(Inputs!$B$23+((C649=TRUE)*(F649-Calc!F29))+IF(ArtifactsInput!$M$15,CHOOSE(ArtifactsInput!$N$15+1,25,30,35,40,45,50)/100*(Inputs!$B$11-Inputs!$B$11),0))/100)/2</f>
        <v/>
      </c>
      <c r="M622">
        <f>L622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2">
        <f>L622*(1-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622*(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2">
        <f>(1-Summary!$B$11)*T622+Summary!$B$11*V622</f>
        <v/>
      </c>
      <c r="P622">
        <f>IF(B665=0,0,O622/B665)</f>
        <v/>
      </c>
      <c r="Q622" t="n">
        <v>0</v>
      </c>
      <c r="R622" t="n">
        <v>0</v>
      </c>
      <c r="S622">
        <f>IFERROR(O622/N622,0)</f>
        <v/>
      </c>
      <c r="T622">
        <f>IF(C622,(Skills!G2*N622*B659)*IF(Inputs!$B$39="pvp",1,1+(Inputs!$B$20+0+Skills!P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622*(1-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622*(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622*(1-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622*(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2">
        <f>MAX(0,(Inputs!$B$3-100)*3)+Inputs!$B$28+Inputs!$B$29</f>
        <v/>
      </c>
      <c r="V622">
        <f>IF(C622,(Skills!G2*N622*B659)*IF(Inputs!$B$39="pvp",1,(1+(Inputs!$B$21+Skills!Q2+B654+(IF(ArtifactsInput!$M$33,CHOOSE(ArtifactsInput!$N$33+1,30,36,42,48,54,60),0))+(IF(AND(ArtifactsInput!$M$35,Inputs!$B$4&lt;&gt;"Chapter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3">
      <c r="A623">
        <f>Skills!A3</f>
        <v/>
      </c>
      <c r="B623">
        <f>Skills!B3</f>
        <v/>
      </c>
      <c r="C623">
        <f>Inputs!$B$3&gt;=35</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Skills!G3*IF(Skills!H3&gt;0,Skills!I3/Skills!H3,1)</f>
        <v/>
      </c>
      <c r="H623">
        <f>1-(1-Skills!J3/100)^Skills!K3</f>
        <v/>
      </c>
      <c r="I623" t="inlineStr">
        <is>
          <t>1</t>
        </is>
      </c>
      <c r="J623" t="inlineStr"/>
      <c r="K623" t="inlineStr"/>
      <c r="L623" t="inlineStr"/>
      <c r="M623" t="inlineStr"/>
      <c r="N623" t="inlineStr"/>
      <c r="O623">
        <f>(1-Summary!$B$11)*T623+Summary!$B$11*V623</f>
        <v/>
      </c>
      <c r="P623">
        <f>IF(B665=0,0,O623/B665)</f>
        <v/>
      </c>
      <c r="Q623" t="n">
        <v>0</v>
      </c>
      <c r="R623" t="n">
        <v>0</v>
      </c>
      <c r="S623">
        <f>IFERROR(O623/N623,0)</f>
        <v/>
      </c>
      <c r="T623" t="n">
        <v>0</v>
      </c>
      <c r="U623">
        <f>INDEX(FactorTable!$B$2:$Y$301, MATCH(ROUND(MIN(300,MAX(1,U622)),0), FactorTable!$A$2:$A$301,0), 22)</f>
        <v/>
      </c>
      <c r="V623" t="n">
        <v>0</v>
      </c>
    </row>
    <row r="624">
      <c r="A624">
        <f>Skills!A4</f>
        <v/>
      </c>
      <c r="B624">
        <f>Skills!B4</f>
        <v/>
      </c>
      <c r="C624">
        <f>Inputs!$B$3&gt;=66</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Skills!G4*IF(Skills!H4&gt;0,Skills!I4/Skills!H4,1)</f>
        <v/>
      </c>
      <c r="H624">
        <f>1-(1-Skills!J4/100)^Skills!K4</f>
        <v/>
      </c>
      <c r="I624" t="inlineStr">
        <is>
          <t>1</t>
        </is>
      </c>
      <c r="J624">
        <f>((Inputs!$B$6*(1+Inputs!$B$7/100))+(((Inputs!$B$12*(1+Inputs!$B$13/100))-(Inputs!$B$12*(1+Inputs!$B$13/100)))+0.25*(Inputs!$B$14-Inputs!$B$14))*(1+Inputs!$B$7/100))*(F624/100)</f>
        <v/>
      </c>
      <c r="K624">
        <f>J624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624)</f>
        <v/>
      </c>
      <c r="L624">
        <f>K624*(MIN(Inputs!$B$22+((C644=TRUE)*(F644-Calc!F24)),(Inputs!$B$23+((C649=TRUE)*(F649-Calc!F29))+IF(ArtifactsInput!$M$15,CHOOSE(ArtifactsInput!$N$15+1,25,30,35,40,45,50)/100*(Inputs!$B$11-Inputs!$B$11),0)))/100+(Inputs!$B$23+((C649=TRUE)*(F649-Calc!F29))+IF(ArtifactsInput!$M$15,CHOOSE(ArtifactsInput!$N$15+1,25,30,35,40,45,50)/100*(Inputs!$B$11-Inputs!$B$11),0))/100)/2</f>
        <v/>
      </c>
      <c r="M624">
        <f>L624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IF(B665=0,0,O624/B665)</f>
        <v/>
      </c>
      <c r="Q624">
        <f>IFERROR(1/IF(Inputs!$B$39="pvp",15,MAX(0.1,Skills!D4-IF(Skills!E4=TRUE,Inputs!$B$32,0))),0)</f>
        <v/>
      </c>
      <c r="R624">
        <f>IF(AND(Inputs!$B$39&lt;&gt;"pvp",Inputs!$B$44&gt;0),IF(MAX(0,Inputs!$B$44-B664)&lt;=0,0,(INT(MAX(0,Inputs!$B$44-B664)/IF(Inputs!$B$39="pvp",15,MAX(0.1,Skills!D4-IF(Skills!E4=TRUE,Inputs!$B$32,0))))+1)),0)</f>
        <v/>
      </c>
      <c r="S624">
        <f>IFERROR(O624/N624,0)</f>
        <v/>
      </c>
      <c r="T624">
        <f>IF(C624,(H624*N624*IF(AND(Inputs!$B$39&lt;&gt;"pvp",Inputs!$B$44&gt;0),((Skills!G4*((R624-1)*IF(Skills!H4&gt;0,Skills!I4/Skills!H4,1)+IF(Skills!H4&gt;0,MIN(Skills!I4,MAX(0,MAX(0,Inputs!$B$44-B664)-((R624-1)*IF(Inputs!$B$39="pvp",15,MAX(0.1,Skills!D4-IF(Skills!E4=TRUE,Inputs!$B$32,0))))))/Skills!H4,1)))/Inputs!$B$44),G624*Q624))*IF(Inputs!$B$39="pvp",1,1+(Inputs!$B$20+0+Skills!P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624*(1-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4">
        <f>290*U623/1000</f>
        <v/>
      </c>
      <c r="V624">
        <f>IF(C624,(H624*N624*IF(AND(Inputs!$B$39&lt;&gt;"pvp",Inputs!$B$44&gt;0),((Skills!G4*((R624-1)*IF(Skills!H4&gt;0,Skills!I4/Skills!H4,1)+IF(Skills!H4&gt;0,MIN(Skills!I4,MAX(0,MAX(0,Inputs!$B$44-B664)-((R624-1)*IF(Inputs!$B$39="pvp",15,MAX(0.1,Skills!D4-IF(Skills!E4=TRUE,Inputs!$B$32,0))))))/Skills!H4,1)))/Inputs!$B$44),G624*Q624))*IF(Inputs!$B$39="pvp",1,(1+(Inputs!$B$21+Skills!Q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(10,0.5*B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Skills!A5</f>
        <v/>
      </c>
      <c r="B625">
        <f>Skills!B5</f>
        <v/>
      </c>
      <c r="C625">
        <f>Inputs!$B$3&gt;=63</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Skills!G5*IF(Skills!H5&gt;0,Skills!I5/Skills!H5,1)</f>
        <v/>
      </c>
      <c r="H625">
        <f>1-(1-Skills!J5/100)^Skills!K5</f>
        <v/>
      </c>
      <c r="I625" t="inlineStr">
        <is>
          <t>1</t>
        </is>
      </c>
      <c r="J625">
        <f>((Inputs!$B$6*(1+Inputs!$B$7/100))+(((Inputs!$B$12*(1+Inputs!$B$13/100))-(Inputs!$B$12*(1+Inputs!$B$13/100)))+0.25*(Inputs!$B$14-Inputs!$B$14))*(1+Inputs!$B$7/100))*(F625/100)</f>
        <v/>
      </c>
      <c r="K625">
        <f>J625*(1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638=TRUE,F638,0)/100)*(1+(IF(Skills!A5="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625)</f>
        <v/>
      </c>
      <c r="L625">
        <f>K625*(MIN(Inputs!$B$22+((C644=TRUE)*(F644-Calc!F24)),(Inputs!$B$23+((C649=TRUE)*(F649-Calc!F29))+IF(ArtifactsInput!$M$15,CHOOSE(ArtifactsInput!$N$15+1,25,30,35,40,45,50)/100*(Inputs!$B$11-Inputs!$B$11),0)))/100+(Inputs!$B$23+((C649=TRUE)*(F649-Calc!F29))+IF(ArtifactsInput!$M$15,CHOOSE(ArtifactsInput!$N$15+1,25,30,35,40,45,50)/100*(Inputs!$B$11-Inputs!$B$11),0))/100)/2</f>
        <v/>
      </c>
      <c r="M625">
        <f>L625*(1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IF(B665=0,0,O625/B665)</f>
        <v/>
      </c>
      <c r="Q625">
        <f>IFERROR(1/IF(Inputs!$B$39="pvp",15,MAX(0.1,Skills!D5-IF(Skills!E5=TRUE,Inputs!$B$32,0))),0)</f>
        <v/>
      </c>
      <c r="R625">
        <f>IF(AND(Inputs!$B$39&lt;&gt;"pvp",Inputs!$B$44&gt;0),IF(MAX(0,Inputs!$B$44-B664)&lt;=0,0,(INT(MAX(0,Inputs!$B$44-B664)/IF(Inputs!$B$39="pvp",15,MAX(0.1,Skills!D5-IF(Skills!E5=TRUE,Inputs!$B$32,0))))+1)),0)</f>
        <v/>
      </c>
      <c r="S625">
        <f>IFERROR(O625/N625,0)</f>
        <v/>
      </c>
      <c r="T625">
        <f>IF(C625,(H625*N625*IF(AND(Inputs!$B$39&lt;&gt;"pvp",Inputs!$B$44&gt;0),((Skills!G5*((R625-1)*IF(Skills!H5&gt;0,Skills!I5/Skills!H5,1)+IF(Skills!H5&gt;0,MIN(Skills!I5,MAX(0,MAX(0,Inputs!$B$44-B664)-((R625-1)*IF(Inputs!$B$39="pvp",15,MAX(0.1,Skills!D5-IF(Skills!E5=TRUE,Inputs!$B$32,0))))))/Skills!H5,1)))/Inputs!$B$44),G625*Q625))*IF(Inputs!$B$39="pvp",1,1+(Inputs!$B$20+0+Skills!P5+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625*(1-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5*((R625-1)*IF(Skills!H5&gt;0,Skills!I5/Skills!H5,1)+IF(Skills!H5&gt;0,MIN(Skills!I5,MAX(0,MAX(0,Inputs!$B$44-B664)-((R625-1)*IF(Inputs!$B$39="pvp",15,MAX(0.1,Skills!D5-IF(Skills!E5=TRUE,Inputs!$B$32,0))))))/Skills!H5,1)))/Inputs!$B$44),G625*Q625))*IF(Inputs!$B$39="pvp",1,(1+(Inputs!$B$21+Skills!Q5+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Skills!A6</f>
        <v/>
      </c>
      <c r="B626">
        <f>Skills!B6</f>
        <v/>
      </c>
      <c r="C626">
        <f>Inputs!$B$3&gt;=69</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Skills!G6*IF(Skills!H6&gt;0,Skills!I6/Skills!H6,1)</f>
        <v/>
      </c>
      <c r="H626">
        <f>1-(1-Skills!J6/100)^Skills!K6</f>
        <v/>
      </c>
      <c r="I626" t="inlineStr">
        <is>
          <t>1</t>
        </is>
      </c>
      <c r="J626">
        <f>((Inputs!$B$6*(1+Inputs!$B$7/100))+(((Inputs!$B$12*(1+Inputs!$B$13/100))-(Inputs!$B$12*(1+Inputs!$B$13/100)))+0.25*(Inputs!$B$14-Inputs!$B$14))*(1+Inputs!$B$7/100))*(F626/100)</f>
        <v/>
      </c>
      <c r="K626">
        <f>J626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638=TRUE,F638,0)/100)*(1+(IF(Skills!A6="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626)</f>
        <v/>
      </c>
      <c r="L626">
        <f>K626*(MIN(Inputs!$B$22+((C644=TRUE)*(F644-Calc!F24)),(Inputs!$B$23+((C649=TRUE)*(F649-Calc!F29))+IF(ArtifactsInput!$M$15,CHOOSE(ArtifactsInput!$N$15+1,25,30,35,40,45,50)/100*(Inputs!$B$11-Inputs!$B$11),0)))/100+(Inputs!$B$23+((C649=TRUE)*(F649-Calc!F29))+IF(ArtifactsInput!$M$15,CHOOSE(ArtifactsInput!$N$15+1,25,30,35,40,45,50)/100*(Inputs!$B$11-Inputs!$B$11),0))/100)/2</f>
        <v/>
      </c>
      <c r="M626">
        <f>L626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6">
        <f>L626*(1-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IF(B665=0,0,O626/B665)</f>
        <v/>
      </c>
      <c r="Q626">
        <f>IFERROR(1/IF(Inputs!$B$39="pvp",15,MAX(0.1,Skills!D6-IF(Skills!E6=TRUE,Inputs!$B$32,0))),0)</f>
        <v/>
      </c>
      <c r="R626">
        <f>IF(AND(Inputs!$B$39&lt;&gt;"pvp",Inputs!$B$44&gt;0),IF(MAX(0,Inputs!$B$44-B664)&lt;=0,0,(INT(MAX(0,Inputs!$B$44-B664)/IF(Inputs!$B$39="pvp",15,MAX(0.1,Skills!D6-IF(Skills!E6=TRUE,Inputs!$B$32,0))))+1)),0)</f>
        <v/>
      </c>
      <c r="S626">
        <f>IFERROR(O626/N626,0)</f>
        <v/>
      </c>
      <c r="T626">
        <f>IF(C626,(H626*N626*IF(AND(Inputs!$B$39&lt;&gt;"pvp",Inputs!$B$44&gt;0),((Skills!G6*((R626-1)*IF(Skills!H6&gt;0,Skills!I6/Skills!H6,1)+IF(Skills!H6&gt;0,MIN(Skills!I6,MAX(0,MAX(0,Inputs!$B$44-B664)-((R626-1)*IF(Inputs!$B$39="pvp",15,MAX(0.1,Skills!D6-IF(Skills!E6=TRUE,Inputs!$B$32,0))))))/Skills!H6,1)))/Inputs!$B$44),G626*Q626))*IF(Inputs!$B$39="pvp",1,1+(Inputs!$B$20+0+Skills!P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626*(1-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6*((R626-1)*IF(Skills!H6&gt;0,Skills!I6/Skills!H6,1)+IF(Skills!H6&gt;0,MIN(Skills!I6,MAX(0,MAX(0,Inputs!$B$44-B664)-((R626-1)*IF(Inputs!$B$39="pvp",15,MAX(0.1,Skills!D6-IF(Skills!E6=TRUE,Inputs!$B$32,0))))))/Skills!H6,1)))/Inputs!$B$44),G626*Q626))*IF(Inputs!$B$39="pvp",1,(1+(Inputs!$B$21+Skills!Q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Skills!A7</f>
        <v/>
      </c>
      <c r="B627">
        <f>Skills!B7</f>
        <v/>
      </c>
      <c r="C627">
        <f>Inputs!$B$3&gt;=60</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Skills!G7*IF(Skills!H7&gt;0,Skills!I7/Skills!H7,1)</f>
        <v/>
      </c>
      <c r="H627">
        <f>1-(1-Skills!J7/100)^Skills!K7</f>
        <v/>
      </c>
      <c r="I627" t="inlineStr">
        <is>
          <t>1</t>
        </is>
      </c>
      <c r="J627" t="inlineStr"/>
      <c r="K627" t="inlineStr"/>
      <c r="L627" t="inlineStr"/>
      <c r="M627" t="inlineStr"/>
      <c r="N627" t="inlineStr"/>
      <c r="O627">
        <f>(1-Summary!$B$11)*T627+Summary!$B$11*V627</f>
        <v/>
      </c>
      <c r="P627">
        <f>IF(B665=0,0,O627/B665)</f>
        <v/>
      </c>
      <c r="Q627" t="n">
        <v>0</v>
      </c>
      <c r="R627" t="n">
        <v>0</v>
      </c>
      <c r="S627">
        <f>IFERROR(O627/N627,0)</f>
        <v/>
      </c>
      <c r="T627" t="n">
        <v>0</v>
      </c>
      <c r="V627" t="n">
        <v>0</v>
      </c>
    </row>
    <row r="628">
      <c r="A628">
        <f>Skills!A8</f>
        <v/>
      </c>
      <c r="B628">
        <f>Skills!B8</f>
        <v/>
      </c>
      <c r="C628">
        <f>Inputs!$B$3&gt;=72</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Skills!G8*IF(Skills!H8&gt;0,Skills!I8/Skills!H8,1)</f>
        <v/>
      </c>
      <c r="H628">
        <f>1-(1-Skills!J8/100)^Skills!K8</f>
        <v/>
      </c>
      <c r="I628" t="inlineStr">
        <is>
          <t>1</t>
        </is>
      </c>
      <c r="J628">
        <f>((Inputs!$B$6*(1+Inputs!$B$7/100))+(((Inputs!$B$12*(1+Inputs!$B$13/100))-(Inputs!$B$12*(1+Inputs!$B$13/100)))+0.25*(Inputs!$B$14-Inputs!$B$14))*(1+Inputs!$B$7/100))*(F628/100)</f>
        <v/>
      </c>
      <c r="K628">
        <f>J628*(1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638=TRUE,F638,0)/100)*(1+(IF(Skills!A8="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628)</f>
        <v/>
      </c>
      <c r="L628">
        <f>K628*(MIN(Inputs!$B$22+((C644=TRUE)*(F644-Calc!F24)),(Inputs!$B$23+((C649=TRUE)*(F649-Calc!F29))+IF(ArtifactsInput!$M$15,CHOOSE(ArtifactsInput!$N$15+1,25,30,35,40,45,50)/100*(Inputs!$B$11-Inputs!$B$11),0)))/100+(Inputs!$B$23+((C649=TRUE)*(F649-Calc!F29))+IF(ArtifactsInput!$M$15,CHOOSE(ArtifactsInput!$N$15+1,25,30,35,40,45,50)/100*(Inputs!$B$11-Inputs!$B$11),0))/100)/2</f>
        <v/>
      </c>
      <c r="M628">
        <f>L628*(1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IF(B665=0,0,O628/B665)</f>
        <v/>
      </c>
      <c r="Q628">
        <f>IFERROR(1/IF(Inputs!$B$39="pvp",15,MAX(0.1,Skills!D8-IF(Skills!E8=TRUE,Inputs!$B$32,0))),0)</f>
        <v/>
      </c>
      <c r="R628">
        <f>IF(AND(Inputs!$B$39&lt;&gt;"pvp",Inputs!$B$44&gt;0),IF(MAX(0,Inputs!$B$44-B664)&lt;=0,0,(INT(MAX(0,Inputs!$B$44-B664)/IF(Inputs!$B$39="pvp",15,MAX(0.1,Skills!D8-IF(Skills!E8=TRUE,Inputs!$B$32,0))))+1)),0)</f>
        <v/>
      </c>
      <c r="S628">
        <f>IFERROR(O628/N628,0)</f>
        <v/>
      </c>
      <c r="T628">
        <f>IF(C628,(H628*N628*IF(AND(Inputs!$B$39&lt;&gt;"pvp",Inputs!$B$44&gt;0),((Skills!G8*((R628-1)*IF(Skills!H8&gt;0,Skills!I8/Skills!H8,1)+IF(Skills!H8&gt;0,MIN(Skills!I8,MAX(0,MAX(0,Inputs!$B$44-B664)-((R628-1)*IF(Inputs!$B$39="pvp",15,MAX(0.1,Skills!D8-IF(Skills!E8=TRUE,Inputs!$B$32,0))))))/Skills!H8,1)))/Inputs!$B$44),G628*Q628))*IF(Inputs!$B$39="pvp",1,1+(Inputs!$B$20+0+Skills!P8+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628*(1-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8*((R628-1)*IF(Skills!H8&gt;0,Skills!I8/Skills!H8,1)+IF(Skills!H8&gt;0,MIN(Skills!I8,MAX(0,MAX(0,Inputs!$B$44-B664)-((R628-1)*IF(Inputs!$B$39="pvp",15,MAX(0.1,Skills!D8-IF(Skills!E8=TRUE,Inputs!$B$32,0))))))/Skills!H8,1)))/Inputs!$B$44),G628*Q628))*IF(Inputs!$B$39="pvp",1,(1+(Inputs!$B$21+Skills!Q8+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Skills!A9</f>
        <v/>
      </c>
      <c r="B629">
        <f>Skills!B9</f>
        <v/>
      </c>
      <c r="C629">
        <f>Inputs!$B$3&gt;=117</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Skills!G9*IF(Skills!H9&gt;0,Skills!I9/Skills!H9,1)</f>
        <v/>
      </c>
      <c r="H629">
        <f>1-(1-Skills!J9/100)^Skills!K9</f>
        <v/>
      </c>
      <c r="I629" t="inlineStr">
        <is>
          <t>1</t>
        </is>
      </c>
      <c r="J629">
        <f>((Inputs!$B$6*(1+Inputs!$B$7/100))+(((Inputs!$B$12*(1+Inputs!$B$13/100))-(Inputs!$B$12*(1+Inputs!$B$13/100)))+0.25*(Inputs!$B$14-Inputs!$B$14))*(1+Inputs!$B$7/100))*(F629/100)</f>
        <v/>
      </c>
      <c r="K629">
        <f>J629*(1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629)</f>
        <v/>
      </c>
      <c r="L629">
        <f>K629*(MIN(Inputs!$B$22+((C644=TRUE)*(F644-Calc!F24)),(Inputs!$B$23+((C649=TRUE)*(F649-Calc!F29))+IF(ArtifactsInput!$M$15,CHOOSE(ArtifactsInput!$N$15+1,25,30,35,40,45,50)/100*(Inputs!$B$11-Inputs!$B$11),0)))/100+(Inputs!$B$23+((C649=TRUE)*(F649-Calc!F29))+IF(ArtifactsInput!$M$15,CHOOSE(ArtifactsInput!$N$15+1,25,30,35,40,45,50)/100*(Inputs!$B$11-Inputs!$B$11),0))/100)/2</f>
        <v/>
      </c>
      <c r="M629">
        <f>L629*(1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9">
        <f>L629*(1-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IF(B665=0,0,O629/B665)</f>
        <v/>
      </c>
      <c r="Q629" t="n">
        <v>0</v>
      </c>
      <c r="R629" t="n">
        <v>0</v>
      </c>
      <c r="S629" t="n">
        <v>0</v>
      </c>
      <c r="T629">
        <f>IF(C629,(0.2*SUMPRODUCT((Skills!Z2:Z30=TRUE)*(C622:C650=TRUE)*S622:S650)*N629)*IF(Inputs!$B$39="pvp",1,1+(Inputs!$B$20+0+Skills!P9+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629*(1-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IF(C629,(0.2*SUMPRODUCT((Skills!Z2:Z30=TRUE)*(C622:C650=TRUE)*S622:S650)*N629)*IF(Inputs!$B$39="pvp",1,(1+(Inputs!$B$21+Skills!Q9+B654+(IF(ArtifactsInput!$M$33,CHOOSE(ArtifactsInput!$N$33+1,30,36,42,48,54,60),0))+(IF(AND(ArtifactsInput!$M$35,Inputs!$B$4&lt;&gt;"Chapter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Skills!A10</f>
        <v/>
      </c>
      <c r="B630">
        <f>Skills!B10</f>
        <v/>
      </c>
      <c r="C630">
        <f>Inputs!$B$3&gt;=74</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Skills!G10*IF(Skills!H10&gt;0,Skills!I10/Skills!H10,1)</f>
        <v/>
      </c>
      <c r="H630">
        <f>1-(1-Skills!J10/100)^Skills!K10</f>
        <v/>
      </c>
      <c r="I630" t="inlineStr">
        <is>
          <t>1</t>
        </is>
      </c>
      <c r="J630" t="inlineStr"/>
      <c r="K630" t="inlineStr"/>
      <c r="L630" t="inlineStr"/>
      <c r="M630" t="inlineStr"/>
      <c r="N630" t="inlineStr"/>
      <c r="O630">
        <f>(1-Summary!$B$11)*T630+Summary!$B$11*V630</f>
        <v/>
      </c>
      <c r="P630">
        <f>IF(B665=0,0,O630/B665)</f>
        <v/>
      </c>
      <c r="Q630">
        <f>IFERROR(1/IF(Inputs!$B$39="pvp",15,MAX(0.1,Skills!D10-IF(Skills!E10=TRUE,Inputs!$B$32,0))),0)</f>
        <v/>
      </c>
      <c r="R630">
        <f>IF(AND(Inputs!$B$39&lt;&gt;"pvp",Inputs!$B$44&gt;0),IF(Inputs!$B$44&lt;=0,0,(INT(Inputs!$B$44/IF(Inputs!$B$39="pvp",15,MAX(0.1,Skills!D10-IF(Skills!E10=TRUE,Inputs!$B$32,0))))+1)),0)</f>
        <v/>
      </c>
      <c r="S630">
        <f>IFERROR(O630/N630,0)</f>
        <v/>
      </c>
      <c r="T630" t="n">
        <v>0</v>
      </c>
      <c r="V630" t="n">
        <v>0</v>
      </c>
    </row>
    <row r="631">
      <c r="A631">
        <f>Skills!A11</f>
        <v/>
      </c>
      <c r="B631">
        <f>Skills!B11</f>
        <v/>
      </c>
      <c r="C631">
        <f>Inputs!$B$3&gt;=103</f>
        <v/>
      </c>
      <c r="D631">
        <f>IF(Skills!C11=1,60+Inputs!$B$25+Inputs!$B$29,IF(Skills!C11=2,90+Inputs!$B$26+Inputs!$B$29,IF(Skills!C11=3,120+Inputs!$B$27+Inputs!$B$29,MAX(0,(Inputs!$B$3-100)*3)+Inputs!$B$28+Inputs!$B$29)))</f>
        <v/>
      </c>
      <c r="E631">
        <f>INDEX(FactorTable!$B$2:$Y$301, MATCH(ROUND(MIN(300,MAX(1,D631)),0), FactorTable!$A$2:$A$301,0), Skills!M11+1)</f>
        <v/>
      </c>
      <c r="F631">
        <f>(Skills!L11/10)*(E631/1000)+IF(Inputs!$B$3&gt;=134,50,0)+0.5*(30000/10)*(INDEX(FactorTable!$B$2:$Y$301, MATCH(ROUND(MIN(300,MAX(1,D631)),0), FactorTable!$A$2:$A$301,0), 13)/1000)*B663</f>
        <v/>
      </c>
      <c r="G631">
        <f>Skills!G11*IF(Skills!H11&gt;0,Skills!I11/Skills!H11,1)</f>
        <v/>
      </c>
      <c r="H631">
        <f>1-(1-Skills!J11/100)^Skills!K11</f>
        <v/>
      </c>
      <c r="I631" t="inlineStr">
        <is>
          <t>1</t>
        </is>
      </c>
      <c r="J631">
        <f>((Inputs!$B$6*(1+Inputs!$B$7/100))+(((Inputs!$B$12*(1+Inputs!$B$13/100))-(Inputs!$B$12*(1+Inputs!$B$13/100)))+0.25*(Inputs!$B$14-Inputs!$B$14))*(1+Inputs!$B$7/100))*(F631/100)</f>
        <v/>
      </c>
      <c r="K631">
        <f>J631*(1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631)</f>
        <v/>
      </c>
      <c r="L631">
        <f>K631*(MIN(Inputs!$B$22+((C644=TRUE)*(F644-Calc!F24)),(Inputs!$B$23+((C649=TRUE)*(F649-Calc!F29))+IF(ArtifactsInput!$M$15,CHOOSE(ArtifactsInput!$N$15+1,25,30,35,40,45,50)/100*(Inputs!$B$11-Inputs!$B$11),0)))/100+(Inputs!$B$23+((C649=TRUE)*(F649-Calc!F29))+IF(ArtifactsInput!$M$15,CHOOSE(ArtifactsInput!$N$15+1,25,30,35,40,45,50)/100*(Inputs!$B$11-Inputs!$B$11),0))/100)/2</f>
        <v/>
      </c>
      <c r="M631">
        <f>L631*(1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1">
        <f>L631*(1-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IF(B665=0,0,O631/B665)</f>
        <v/>
      </c>
      <c r="Q631">
        <f>IFERROR(1/IF(Inputs!$B$39="pvp",15,MAX(0.1,Skills!D11-IF(Skills!E11=TRUE,Inputs!$B$32,0))),0)</f>
        <v/>
      </c>
      <c r="R631">
        <f>IF(AND(Inputs!$B$39&lt;&gt;"pvp",Inputs!$B$44&gt;0),IF(MAX(0,Inputs!$B$44-B664)&lt;=0,0,(INT(MAX(0,Inputs!$B$44-B664)/IF(Inputs!$B$39="pvp",15,MAX(0.1,Skills!D11-IF(Skills!E11=TRUE,Inputs!$B$32,0))))+1)),0)</f>
        <v/>
      </c>
      <c r="S631">
        <f>IFERROR(O631/N631,0)</f>
        <v/>
      </c>
      <c r="T631">
        <f>IF(C631,(H631*N631*IF(AND(Inputs!$B$39&lt;&gt;"pvp",Inputs!$B$44&gt;0),((Skills!G11*((R631-1)*IF(Skills!H11&gt;0,Skills!I11/Skills!H11,1)+IF(Skills!H11&gt;0,MIN(Skills!I11,MAX(0,MAX(0,Inputs!$B$44-B664)-((R631-1)*IF(Inputs!$B$39="pvp",15,MAX(0.1,Skills!D11-IF(Skills!E11=TRUE,Inputs!$B$32,0))))))/Skills!H11,1)))/Inputs!$B$44),G631*Q631))*IF(Inputs!$B$39="pvp",1,1+(Inputs!$B$20+0+Skills!P11+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631*(1-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11*((R631-1)*IF(Skills!H11&gt;0,Skills!I11/Skills!H11,1)+IF(Skills!H11&gt;0,MIN(Skills!I11,MAX(0,MAX(0,Inputs!$B$44-B664)-((R631-1)*IF(Inputs!$B$39="pvp",15,MAX(0.1,Skills!D11-IF(Skills!E11=TRUE,Inputs!$B$32,0))))))/Skills!H11,1)))/Inputs!$B$44),G631*Q631))*IF(Inputs!$B$39="pvp",1,(1+(Inputs!$B$21+Skills!Q11+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Skills!A12</f>
        <v/>
      </c>
      <c r="B632">
        <f>Skills!B12</f>
        <v/>
      </c>
      <c r="C632">
        <f>Inputs!$B$3&gt;=105</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Skills!G12*IF(Skills!H12&gt;0,Skills!I12/Skills!H12,1)</f>
        <v/>
      </c>
      <c r="H632">
        <f>1-(1-Skills!J12/100)^Skills!K12</f>
        <v/>
      </c>
      <c r="I632" t="inlineStr">
        <is>
          <t>1</t>
        </is>
      </c>
      <c r="J632">
        <f>((Inputs!$B$6*(1+Inputs!$B$7/100))+(((Inputs!$B$12*(1+Inputs!$B$13/100))-(Inputs!$B$12*(1+Inputs!$B$13/100)))+0.25*(Inputs!$B$14-Inputs!$B$14))*(1+Inputs!$B$7/100))*(F632/100)</f>
        <v/>
      </c>
      <c r="K632">
        <f>J632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632)</f>
        <v/>
      </c>
      <c r="L632">
        <f>K632*(MIN(Inputs!$B$22+((C644=TRUE)*(F644-Calc!F24)),(Inputs!$B$23+((C649=TRUE)*(F649-Calc!F29))+IF(ArtifactsInput!$M$15,CHOOSE(ArtifactsInput!$N$15+1,25,30,35,40,45,50)/100*(Inputs!$B$11-Inputs!$B$11),0)))/100+(Inputs!$B$23+((C649=TRUE)*(F649-Calc!F29))+IF(ArtifactsInput!$M$15,CHOOSE(ArtifactsInput!$N$15+1,25,30,35,40,45,50)/100*(Inputs!$B$11-Inputs!$B$11),0))/100)/2</f>
        <v/>
      </c>
      <c r="M632">
        <f>L632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2">
        <f>L632*(1-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632*(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2">
        <f>(1-Summary!$B$11)*T632+Summary!$B$11*V632</f>
        <v/>
      </c>
      <c r="P632">
        <f>IF(B665=0,0,O632/B665)</f>
        <v/>
      </c>
      <c r="Q632">
        <f>IFERROR(1/IF(Inputs!$B$39="pvp",15,MAX(0.1,Skills!D12-IF(Skills!E12=TRUE,Inputs!$B$32,0))),0)</f>
        <v/>
      </c>
      <c r="R632">
        <f>IF(AND(Inputs!$B$39&lt;&gt;"pvp",Inputs!$B$44&gt;0),IF(MAX(0,Inputs!$B$44-B664)&lt;=0,0,(INT(MAX(0,Inputs!$B$44-B664)/IF(Inputs!$B$39="pvp",15,MAX(0.1,Skills!D12-IF(Skills!E12=TRUE,Inputs!$B$32,0))))+1)),0)</f>
        <v/>
      </c>
      <c r="S632">
        <f>IFERROR(O632/N632,0)</f>
        <v/>
      </c>
      <c r="T632">
        <f>IF(C632,(H632*N632*IF(AND(Inputs!$B$39&lt;&gt;"pvp",Inputs!$B$44&gt;0),((Skills!G12*((R632-1)*IF(Skills!H12&gt;0,Skills!I12/Skills!H12,1)+IF(Skills!H12&gt;0,MIN(Skills!I12,MAX(0,MAX(0,Inputs!$B$44-B664)-((R632-1)*IF(Inputs!$B$39="pvp",15,MAX(0.1,Skills!D12-IF(Skills!E12=TRUE,Inputs!$B$32,0))))))/Skills!H12,1)))/Inputs!$B$44),G632*Q632))*IF(Inputs!$B$39="pvp",1,1+(Inputs!$B$20+0+Skills!P12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632*(1-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632*(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632*(1-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632*(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2">
        <f>IF(C632,(H632*N632*IF(AND(Inputs!$B$39&lt;&gt;"pvp",Inputs!$B$44&gt;0),((Skills!G12*((R632-1)*IF(Skills!H12&gt;0,Skills!I12/Skills!H12,1)+IF(Skills!H12&gt;0,MIN(Skills!I12,MAX(0,MAX(0,Inputs!$B$44-B664)-((R632-1)*IF(Inputs!$B$39="pvp",15,MAX(0.1,Skills!D12-IF(Skills!E12=TRUE,Inputs!$B$32,0))))))/Skills!H12,1)))/Inputs!$B$44),G632*Q632))*IF(Inputs!$B$39="pvp",1,(1+(Inputs!$B$21+Skills!Q12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Skills!G13*IF(Skills!H13&gt;0,Skills!I13/Skills!H13,1)</f>
        <v/>
      </c>
      <c r="H633">
        <f>1-(1-Skills!J13/100)^Skills!K13</f>
        <v/>
      </c>
      <c r="I633" t="inlineStr">
        <is>
          <t>1</t>
        </is>
      </c>
      <c r="J633">
        <f>((Inputs!$B$6*(1+Inputs!$B$7/100))+(((Inputs!$B$12*(1+Inputs!$B$13/100))-(Inputs!$B$12*(1+Inputs!$B$13/100)))+0.25*(Inputs!$B$14-Inputs!$B$14))*(1+Inputs!$B$7/100))*(F633/100)</f>
        <v/>
      </c>
      <c r="K633">
        <f>J633*(1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633)</f>
        <v/>
      </c>
      <c r="L633">
        <f>K633*(MIN(Inputs!$B$22+((C644=TRUE)*(F644-Calc!F24)),(Inputs!$B$23+((C649=TRUE)*(F649-Calc!F29))+IF(ArtifactsInput!$M$15,CHOOSE(ArtifactsInput!$N$15+1,25,30,35,40,45,50)/100*(Inputs!$B$11-Inputs!$B$11),0)))/100+(Inputs!$B$23+((C649=TRUE)*(F649-Calc!F29))+IF(ArtifactsInput!$M$15,CHOOSE(ArtifactsInput!$N$15+1,25,30,35,40,45,50)/100*(Inputs!$B$11-Inputs!$B$11),0))/100)/2</f>
        <v/>
      </c>
      <c r="M633">
        <f>L633*(1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3">
        <f>L633*(1-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633*(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3">
        <f>(1-Summary!$B$11)*T633+Summary!$B$11*V633</f>
        <v/>
      </c>
      <c r="P633">
        <f>IF(B665=0,0,O633/B665)</f>
        <v/>
      </c>
      <c r="Q633">
        <f>IFERROR(1/IF(Inputs!$B$39="pvp",15,MAX(0.1,Skills!D13-IF(Skills!E13=TRUE,Inputs!$B$32,0))),0)</f>
        <v/>
      </c>
      <c r="R633">
        <f>IF(AND(Inputs!$B$39&lt;&gt;"pvp",Inputs!$B$44&gt;0),IF(MAX(0,Inputs!$B$44-B664)&lt;=0,0,(INT(MAX(0,Inputs!$B$44-B664)/IF(Inputs!$B$39="pvp",15,MAX(0.1,Skills!D13-IF(Skills!E13=TRUE,Inputs!$B$32,0))))+1)),0)</f>
        <v/>
      </c>
      <c r="S633">
        <f>IFERROR(O633/N633,0)</f>
        <v/>
      </c>
      <c r="T633">
        <f>IF(C633,(H633*N633*IF(AND(Inputs!$B$39&lt;&gt;"pvp",Inputs!$B$44&gt;0),((Skills!G13*((R633-1)*IF(Skills!H13&gt;0,Skills!I13/Skills!H13,1)+IF(Skills!H13&gt;0,MIN(Skills!I13,MAX(0,MAX(0,Inputs!$B$44-B664)-((R633-1)*IF(Inputs!$B$39="pvp",15,MAX(0.1,Skills!D13-IF(Skills!E13=TRUE,Inputs!$B$32,0))))))/Skills!H13,1)))/Inputs!$B$44),G633*Q633))*IF(Inputs!$B$39="pvp",1,1+(Inputs!$B$20+0+Skills!P13+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633*(1-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633*(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633*(1-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633*(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3">
        <f>IF(C633,(H633*N633*IF(AND(Inputs!$B$39&lt;&gt;"pvp",Inputs!$B$44&gt;0),((Skills!G13*((R633-1)*IF(Skills!H13&gt;0,Skills!I13/Skills!H13,1)+IF(Skills!H13&gt;0,MIN(Skills!I13,MAX(0,MAX(0,Inputs!$B$44-B664)-((R633-1)*IF(Inputs!$B$39="pvp",15,MAX(0.1,Skills!D13-IF(Skills!E13=TRUE,Inputs!$B$32,0))))))/Skills!H13,1)))/Inputs!$B$44),G633*Q633))*IF(Inputs!$B$39="pvp",1,(1+(Inputs!$B$21+Skills!Q13+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4">
      <c r="A634">
        <f>Skills!A14</f>
        <v/>
      </c>
      <c r="B634">
        <f>Skills!B14</f>
        <v/>
      </c>
      <c r="C634">
        <f>Inputs!$B$3&gt;=107</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Skills!G14*IF(Skills!H14&gt;0,Skills!I14/Skills!H14,1)</f>
        <v/>
      </c>
      <c r="H634">
        <f>1-(1-Skills!J14/100)^Skills!K14</f>
        <v/>
      </c>
      <c r="I634" t="inlineStr">
        <is>
          <t>1</t>
        </is>
      </c>
      <c r="J634">
        <f>((Inputs!$B$6*(1+Inputs!$B$7/100))+(((Inputs!$B$12*(1+Inputs!$B$13/100))-(Inputs!$B$12*(1+Inputs!$B$13/100)))+0.25*(Inputs!$B$14-Inputs!$B$14))*(1+Inputs!$B$7/100))*(F634/100)</f>
        <v/>
      </c>
      <c r="K634">
        <f>J634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634)</f>
        <v/>
      </c>
      <c r="L634">
        <f>K634*(MIN(Inputs!$B$22+((C644=TRUE)*(F644-Calc!F24)),(Inputs!$B$23+((C649=TRUE)*(F649-Calc!F29))+IF(ArtifactsInput!$M$15,CHOOSE(ArtifactsInput!$N$15+1,25,30,35,40,45,50)/100*(Inputs!$B$11-Inputs!$B$11),0)))/100+(Inputs!$B$23+((C649=TRUE)*(F649-Calc!F29))+IF(ArtifactsInput!$M$15,CHOOSE(ArtifactsInput!$N$15+1,25,30,35,40,45,50)/100*(Inputs!$B$11-Inputs!$B$11),0))/100)/2</f>
        <v/>
      </c>
      <c r="M634">
        <f>L634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4">
        <f>L634*(1-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634*(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4">
        <f>(1-Summary!$B$11)*T634+Summary!$B$11*V634</f>
        <v/>
      </c>
      <c r="P634">
        <f>IF(B665=0,0,O634/B665)</f>
        <v/>
      </c>
      <c r="Q634">
        <f>IFERROR(1/IF(Inputs!$B$39="pvp",15,MAX(0.1,Skills!D14-IF(Skills!E14=TRUE,Inputs!$B$32,0))),0)</f>
        <v/>
      </c>
      <c r="R634">
        <f>IF(AND(Inputs!$B$39&lt;&gt;"pvp",Inputs!$B$44&gt;0),IF(MAX(0,Inputs!$B$44-B664)&lt;=0,0,(INT(MAX(0,Inputs!$B$44-B664)/IF(Inputs!$B$39="pvp",15,MAX(0.1,Skills!D14-IF(Skills!E14=TRUE,Inputs!$B$32,0))))+1)),0)</f>
        <v/>
      </c>
      <c r="S634">
        <f>IFERROR(O634/N634,0)</f>
        <v/>
      </c>
      <c r="T634">
        <f>IF(C634,(H634*N634*IF(AND(Inputs!$B$39&lt;&gt;"pvp",Inputs!$B$44&gt;0),((Skills!G14*((R634-1)*IF(Skills!H14&gt;0,Skills!I14/Skills!H14,1)+IF(Skills!H14&gt;0,MIN(Skills!I14,MAX(0,MAX(0,Inputs!$B$44-B664)-((R634-1)*IF(Inputs!$B$39="pvp",15,MAX(0.1,Skills!D14-IF(Skills!E14=TRUE,Inputs!$B$32,0))))))/Skills!H14,1)))/Inputs!$B$44),G634*Q634))*IF(Inputs!$B$39="pvp",1,1+(Inputs!$B$20+0+Skills!P14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634*(1-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634*(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634*(1-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634*(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4">
        <f>IF(C634,(H634*N634*IF(AND(Inputs!$B$39&lt;&gt;"pvp",Inputs!$B$44&gt;0),((Skills!G14*((R634-1)*IF(Skills!H14&gt;0,Skills!I14/Skills!H14,1)+IF(Skills!H14&gt;0,MIN(Skills!I14,MAX(0,MAX(0,Inputs!$B$44-B664)-((R634-1)*IF(Inputs!$B$39="pvp",15,MAX(0.1,Skills!D14-IF(Skills!E14=TRUE,Inputs!$B$32,0))))))/Skills!H14,1)))/Inputs!$B$44),G634*Q634))*IF(Inputs!$B$39="pvp",1,(1+(Inputs!$B$21+Skills!Q14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(5,0.25*B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5">
      <c r="A635">
        <f>Skills!A15</f>
        <v/>
      </c>
      <c r="B635">
        <f>Skills!B15</f>
        <v/>
      </c>
      <c r="C635">
        <f>Inputs!$B$3&gt;=110</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Skills!G15*IF(Skills!H15&gt;0,Skills!I15/Skills!H15,1)</f>
        <v/>
      </c>
      <c r="H635">
        <f>1-(1-Skills!J15/100)^Skills!K15</f>
        <v/>
      </c>
      <c r="I635" t="inlineStr">
        <is>
          <t>1</t>
        </is>
      </c>
      <c r="J635" t="inlineStr"/>
      <c r="K635" t="inlineStr"/>
      <c r="L635" t="inlineStr"/>
      <c r="M635" t="inlineStr"/>
      <c r="N635" t="inlineStr"/>
      <c r="O635">
        <f>(1-Summary!$B$11)*T635+Summary!$B$11*V635</f>
        <v/>
      </c>
      <c r="P635">
        <f>IF(B665=0,0,O635/B665)</f>
        <v/>
      </c>
      <c r="Q635">
        <f>IFERROR(1/IF(Inputs!$B$39="pvp",15,MAX(0.1,Skills!D15-IF(Skills!E15=TRUE,Inputs!$B$32,0))),0)</f>
        <v/>
      </c>
      <c r="R635">
        <f>IF(AND(Inputs!$B$39&lt;&gt;"pvp",Inputs!$B$44&gt;0),IF(Inputs!$B$44&lt;=0,0,(INT(Inputs!$B$44/IF(Inputs!$B$39="pvp",15,MAX(0.1,Skills!D15-IF(Skills!E15=TRUE,Inputs!$B$32,0))))+1)),0)</f>
        <v/>
      </c>
      <c r="S635">
        <f>IFERROR(O635/N635,0)</f>
        <v/>
      </c>
      <c r="T635" t="n">
        <v>0</v>
      </c>
      <c r="V635" t="n">
        <v>0</v>
      </c>
    </row>
    <row r="636">
      <c r="A636">
        <f>Skills!A16</f>
        <v/>
      </c>
      <c r="B636">
        <f>Skills!B16</f>
        <v/>
      </c>
      <c r="C636">
        <f>Inputs!$B$3&gt;=115</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Skills!G16*IF(Skills!H16&gt;0,Skills!I16/Skills!H16,1)</f>
        <v/>
      </c>
      <c r="H636">
        <f>1-(1-Skills!J16/100)^Skills!K16</f>
        <v/>
      </c>
      <c r="I636" t="inlineStr">
        <is>
          <t>1</t>
        </is>
      </c>
      <c r="J636">
        <f>((Inputs!$B$6*(1+Inputs!$B$7/100))+(((Inputs!$B$12*(1+Inputs!$B$13/100))-(Inputs!$B$12*(1+Inputs!$B$13/100)))+0.25*(Inputs!$B$14-Inputs!$B$14))*(1+Inputs!$B$7/100))*(F636/100)</f>
        <v/>
      </c>
      <c r="K636">
        <f>J636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647=TRUE)*(F647-Calc!F27))+((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636)</f>
        <v/>
      </c>
      <c r="L636">
        <f>K636*(MIN(Inputs!$B$22+((C644=TRUE)*(F644-Calc!F24)),(Inputs!$B$23+((C649=TRUE)*(F649-Calc!F29))+IF(ArtifactsInput!$M$15,CHOOSE(ArtifactsInput!$N$15+1,25,30,35,40,45,50)/100*(Inputs!$B$11-Inputs!$B$11),0)))/100+(Inputs!$B$23+((C649=TRUE)*(F649-Calc!F29))+IF(ArtifactsInput!$M$15,CHOOSE(ArtifactsInput!$N$15+1,25,30,35,40,45,50)/100*(Inputs!$B$11-Inputs!$B$11),0))/100)/2</f>
        <v/>
      </c>
      <c r="M636">
        <f>L636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6">
        <f>L636*(1-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636*(MIN((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6">
        <f>(1-Summary!$B$11)*T636+Summary!$B$11*V636</f>
        <v/>
      </c>
      <c r="P636">
        <f>IF(B665=0,0,O636/B665)</f>
        <v/>
      </c>
      <c r="Q636" t="n">
        <v>0</v>
      </c>
      <c r="R636" t="n">
        <v>0</v>
      </c>
      <c r="S636">
        <f>IFERROR(O636/N636,0)</f>
        <v/>
      </c>
      <c r="T636">
        <f>IF(C636,(Inputs!$B$38*0.2*N636)*IF(Inputs!$B$39="pvp",1,1+(Inputs!$B$20+0+Skills!P16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636*(1-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636*(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636*(1-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636*(MIN(100,(Inputs!$B$9+((C645=TRUE)*(F645-Calc!F25))+B653+(ArtifactsInput!$M$24-ArtifactsInput!$M$24)*CHOOSE(ArtifactsInput!$N$24+1,10,12,14,16,18,20)+(IF(AND(Inputs!$B$39&lt;&gt;"pvp",Inputs!$B$44=0),1,IF(IF(Inputs!$B$39="pvp",15,Inputs!$B$44)-(B664)&lt;=0,1,MAX(0,IF(Inputs!$B$39="pvp",15,Inputs!$B$44)-MAX(5,B664))/(IF(Inputs!$B$39="pvp",15,Inputs!$B$44)-(B664))))*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6">
        <f>IF(C636,(Inputs!$B$38*0.2*N636)*IF(Inputs!$B$39="pvp",1,(1+(Inputs!$B$21+Skills!Q16+B654+(IF(ArtifactsInput!$M$33,CHOOSE(ArtifactsInput!$N$33+1,30,36,42,48,54,60),0))+(IF(AND(ArtifactsInput!$M$35,Inputs!$B$4&lt;&gt;"Chapter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7">
      <c r="A637">
        <f>Skills!A17</f>
        <v/>
      </c>
      <c r="B637">
        <f>Skills!B17</f>
        <v/>
      </c>
      <c r="C637">
        <f>Inputs!$B$3&gt;=115</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Skills!G17*IF(Skills!H17&gt;0,Skills!I17/Skills!H17,1)</f>
        <v/>
      </c>
      <c r="H637">
        <f>1-(1-Skills!J17/100)^Skills!K17</f>
        <v/>
      </c>
      <c r="I637" t="inlineStr">
        <is>
          <t>1</t>
        </is>
      </c>
      <c r="J637" t="inlineStr"/>
      <c r="K637" t="inlineStr"/>
      <c r="L637" t="inlineStr"/>
      <c r="M637" t="inlineStr"/>
      <c r="N637" t="inlineStr"/>
      <c r="O637">
        <f>(1-Summary!$B$11)*T637+Summary!$B$11*V637</f>
        <v/>
      </c>
      <c r="P637">
        <f>IF(B665=0,0,O637/B665)</f>
        <v/>
      </c>
      <c r="Q637" t="n">
        <v>0</v>
      </c>
      <c r="R637" t="n">
        <v>0</v>
      </c>
      <c r="S637">
        <f>IFERROR(O637/N637,0)</f>
        <v/>
      </c>
      <c r="T637" t="n">
        <v>0</v>
      </c>
      <c r="V637" t="n">
        <v>0</v>
      </c>
    </row>
    <row r="638">
      <c r="A638">
        <f>Skills!A18</f>
        <v/>
      </c>
      <c r="B638">
        <f>Skills!B18</f>
        <v/>
      </c>
      <c r="C638">
        <f>Inputs!$B$3&gt;=100</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Skills!G18*IF(Skills!H18&gt;0,Skills!I18/Skills!H18,1)</f>
        <v/>
      </c>
      <c r="H638">
        <f>1-(1-Skills!J18/100)^Skills!K18</f>
        <v/>
      </c>
      <c r="I638" t="inlineStr">
        <is>
          <t>1</t>
        </is>
      </c>
      <c r="J638" t="inlineStr"/>
      <c r="K638" t="inlineStr"/>
      <c r="L638" t="inlineStr"/>
      <c r="M638" t="inlineStr"/>
      <c r="N638" t="inlineStr"/>
      <c r="O638">
        <f>(1-Summary!$B$11)*T638+Summary!$B$11*V638</f>
        <v/>
      </c>
      <c r="P638">
        <f>IF(B665=0,0,O638/B665)</f>
        <v/>
      </c>
      <c r="Q638" t="n">
        <v>0</v>
      </c>
      <c r="R638" t="n">
        <v>0</v>
      </c>
      <c r="S638">
        <f>IFERROR(O638/N638,0)</f>
        <v/>
      </c>
      <c r="T638" t="n">
        <v>0</v>
      </c>
      <c r="V638" t="n">
        <v>0</v>
      </c>
    </row>
    <row r="639">
      <c r="A639">
        <f>Skills!A19</f>
        <v/>
      </c>
      <c r="B639">
        <f>Skills!B19</f>
        <v/>
      </c>
      <c r="C639">
        <f>TRUE</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Skills!G19*IF(Skills!H19&gt;0,Skills!I19/Skills!H19,1)</f>
        <v/>
      </c>
      <c r="H639">
        <f>1-(1-Skills!J19/100)^Skills!K19</f>
        <v/>
      </c>
      <c r="I639" t="inlineStr">
        <is>
          <t>1</t>
        </is>
      </c>
      <c r="J639" t="inlineStr"/>
      <c r="K639" t="inlineStr"/>
      <c r="L639" t="inlineStr"/>
      <c r="M639" t="inlineStr"/>
      <c r="N639" t="inlineStr"/>
      <c r="O639">
        <f>(1-Summary!$B$11)*T639+Summary!$B$11*V639</f>
        <v/>
      </c>
      <c r="P639">
        <f>IF(B665=0,0,O639/B665)</f>
        <v/>
      </c>
      <c r="Q639">
        <f>IFERROR(1/IF(Inputs!$B$39="pvp",15,MAX(0.1,Skills!D19-IF(Skills!E19=TRUE,Inputs!$B$32,0))),0)</f>
        <v/>
      </c>
      <c r="R639">
        <f>IF(AND(Inputs!$B$39&lt;&gt;"pvp",Inputs!$B$44&gt;0),IF(Inputs!$B$44&lt;=0,0,(INT(Inputs!$B$44/IF(Inputs!$B$39="pvp",15,MAX(0.1,Skills!D19-IF(Skills!E19=TRUE,Inputs!$B$32,0))))+1)),0)</f>
        <v/>
      </c>
      <c r="S639">
        <f>IFERROR(O639/N639,0)</f>
        <v/>
      </c>
      <c r="T639" t="n">
        <v>0</v>
      </c>
      <c r="V639" t="n">
        <v>0</v>
      </c>
    </row>
    <row r="640">
      <c r="A640">
        <f>Skills!A20</f>
        <v/>
      </c>
      <c r="B640">
        <f>Skills!B20</f>
        <v/>
      </c>
      <c r="C640">
        <f>Inputs!$B$3&gt;=15</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Skills!G20*IF(Skills!H20&gt;0,Skills!I20/Skills!H20,1)</f>
        <v/>
      </c>
      <c r="H640">
        <f>1-(1-Skills!J20/100)^Skills!K20</f>
        <v/>
      </c>
      <c r="I640" t="inlineStr">
        <is>
          <t>1</t>
        </is>
      </c>
      <c r="J640" t="inlineStr"/>
      <c r="K640" t="inlineStr"/>
      <c r="L640" t="inlineStr"/>
      <c r="M640" t="inlineStr"/>
      <c r="N640" t="inlineStr"/>
      <c r="O640">
        <f>(1-Summary!$B$11)*T640+Summary!$B$11*V640</f>
        <v/>
      </c>
      <c r="P640">
        <f>IF(B665=0,0,O640/B665)</f>
        <v/>
      </c>
      <c r="Q640">
        <f>IFERROR(1/IF(Inputs!$B$39="pvp",15,MAX(0.1,Skills!D20-IF(Skills!E20=TRUE,Inputs!$B$32,0))),0)</f>
        <v/>
      </c>
      <c r="R640">
        <f>IF(AND(Inputs!$B$39&lt;&gt;"pvp",Inputs!$B$44&gt;0),IF(Inputs!$B$44&lt;=0,0,(INT(Inputs!$B$44/IF(Inputs!$B$39="pvp",15,MAX(0.1,Skills!D20-IF(Skills!E20=TRUE,Inputs!$B$32,0))))+1)),0)</f>
        <v/>
      </c>
      <c r="S640">
        <f>IFERROR(O640/N640,0)</f>
        <v/>
      </c>
      <c r="T640" t="n">
        <v>0</v>
      </c>
      <c r="V640" t="n">
        <v>0</v>
      </c>
    </row>
    <row r="641">
      <c r="A641">
        <f>Skills!A21</f>
        <v/>
      </c>
      <c r="B641">
        <f>Skills!B21</f>
        <v/>
      </c>
      <c r="C641">
        <f>Inputs!$B$3&gt;=15</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Skills!G21*IF(Skills!H21&gt;0,Skills!I21/Skills!H21,1)</f>
        <v/>
      </c>
      <c r="H641">
        <f>1-(1-Skills!J21/100)^Skills!K21</f>
        <v/>
      </c>
      <c r="I641" t="inlineStr">
        <is>
          <t>1</t>
        </is>
      </c>
      <c r="J641" t="inlineStr"/>
      <c r="K641" t="inlineStr"/>
      <c r="L641" t="inlineStr"/>
      <c r="M641" t="inlineStr"/>
      <c r="N641" t="inlineStr"/>
      <c r="O641">
        <f>(1-Summary!$B$11)*T641+Summary!$B$11*V641</f>
        <v/>
      </c>
      <c r="P641">
        <f>IF(B665=0,0,O641/B665)</f>
        <v/>
      </c>
      <c r="Q641">
        <f>IFERROR(1/IF(Inputs!$B$39="pvp",15,MAX(0.1,Skills!D21-IF(Skills!E21=TRUE,Inputs!$B$32,0))),0)</f>
        <v/>
      </c>
      <c r="R641">
        <f>IF(AND(Inputs!$B$39&lt;&gt;"pvp",Inputs!$B$44&gt;0),IF(Inputs!$B$44&lt;=0,0,(INT(Inputs!$B$44/IF(Inputs!$B$39="pvp",15,MAX(0.1,Skills!D21-IF(Skills!E21=TRUE,Inputs!$B$32,0))))+1)),0)</f>
        <v/>
      </c>
      <c r="S641">
        <f>IFERROR(O641/N641,0)</f>
        <v/>
      </c>
      <c r="T641" t="n">
        <v>0</v>
      </c>
      <c r="V641" t="n">
        <v>0</v>
      </c>
    </row>
    <row r="642">
      <c r="A642">
        <f>Skills!A22</f>
        <v/>
      </c>
      <c r="B642">
        <f>Skills!B22</f>
        <v/>
      </c>
      <c r="C642">
        <f>Inputs!$B$3&gt;=33</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Skills!G22*IF(Skills!H22&gt;0,Skills!I22/Skills!H22,1)</f>
        <v/>
      </c>
      <c r="H642">
        <f>1-(1-Skills!J22/100)^Skills!K22</f>
        <v/>
      </c>
      <c r="I642" t="inlineStr">
        <is>
          <t>1</t>
        </is>
      </c>
      <c r="J642" t="inlineStr"/>
      <c r="K642" t="inlineStr"/>
      <c r="L642" t="inlineStr"/>
      <c r="M642" t="inlineStr"/>
      <c r="N642" t="inlineStr"/>
      <c r="O642">
        <f>(1-Summary!$B$11)*T642+Summary!$B$11*V642</f>
        <v/>
      </c>
      <c r="P642">
        <f>IF(B665=0,0,O642/B665)</f>
        <v/>
      </c>
      <c r="Q642" t="n">
        <v>0</v>
      </c>
      <c r="R642" t="n">
        <v>0</v>
      </c>
      <c r="S642">
        <f>IFERROR(O642/N642,0)</f>
        <v/>
      </c>
      <c r="T642" t="n">
        <v>0</v>
      </c>
      <c r="V642" t="n">
        <v>0</v>
      </c>
    </row>
    <row r="643">
      <c r="A643">
        <f>Skills!A23</f>
        <v/>
      </c>
      <c r="B643">
        <f>Skills!B23</f>
        <v/>
      </c>
      <c r="C643">
        <f>Inputs!$B$3&gt;=40</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Skills!G23*IF(Skills!H23&gt;0,Skills!I23/Skills!H23,1)</f>
        <v/>
      </c>
      <c r="H643">
        <f>1-(1-Skills!J23/100)^Skills!K23</f>
        <v/>
      </c>
      <c r="I643" t="inlineStr">
        <is>
          <t>1</t>
        </is>
      </c>
      <c r="J643" t="inlineStr"/>
      <c r="K643" t="inlineStr"/>
      <c r="L643" t="inlineStr"/>
      <c r="M643" t="inlineStr"/>
      <c r="N643" t="inlineStr"/>
      <c r="O643">
        <f>(1-Summary!$B$11)*T643+Summary!$B$11*V643</f>
        <v/>
      </c>
      <c r="P643">
        <f>IF(B665=0,0,O643/B665)</f>
        <v/>
      </c>
      <c r="Q643" t="n">
        <v>0</v>
      </c>
      <c r="R643" t="n">
        <v>0</v>
      </c>
      <c r="S643">
        <f>IFERROR(O643/N643,0)</f>
        <v/>
      </c>
      <c r="T643" t="n">
        <v>0</v>
      </c>
      <c r="V643" t="n">
        <v>0</v>
      </c>
    </row>
    <row r="644">
      <c r="A644">
        <f>Skills!A24</f>
        <v/>
      </c>
      <c r="B644">
        <f>Skills!B24</f>
        <v/>
      </c>
      <c r="C644">
        <f>Inputs!$B$3&gt;=43</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Skills!G24*IF(Skills!H24&gt;0,Skills!I24/Skills!H24,1)</f>
        <v/>
      </c>
      <c r="H644">
        <f>1-(1-Skills!J24/100)^Skills!K24</f>
        <v/>
      </c>
      <c r="I644" t="inlineStr">
        <is>
          <t>1</t>
        </is>
      </c>
      <c r="J644" t="inlineStr"/>
      <c r="K644" t="inlineStr"/>
      <c r="L644" t="inlineStr"/>
      <c r="M644" t="inlineStr"/>
      <c r="N644" t="inlineStr"/>
      <c r="O644">
        <f>(1-Summary!$B$11)*T644+Summary!$B$11*V644</f>
        <v/>
      </c>
      <c r="P644">
        <f>IF(B665=0,0,O644/B665)</f>
        <v/>
      </c>
      <c r="Q644" t="n">
        <v>0</v>
      </c>
      <c r="R644" t="n">
        <v>0</v>
      </c>
      <c r="S644">
        <f>IFERROR(O644/N644,0)</f>
        <v/>
      </c>
      <c r="T644" t="n">
        <v>0</v>
      </c>
      <c r="V644" t="n">
        <v>0</v>
      </c>
    </row>
    <row r="645">
      <c r="A645">
        <f>Skills!A25</f>
        <v/>
      </c>
      <c r="B645">
        <f>Skills!B25</f>
        <v/>
      </c>
      <c r="C645">
        <f>Inputs!$B$3&gt;=50</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Skills!G25*IF(Skills!H25&gt;0,Skills!I25/Skills!H25,1)</f>
        <v/>
      </c>
      <c r="H645">
        <f>1-(1-Skills!J25/100)^Skills!K25</f>
        <v/>
      </c>
      <c r="I645" t="inlineStr">
        <is>
          <t>1</t>
        </is>
      </c>
      <c r="J645" t="inlineStr"/>
      <c r="K645" t="inlineStr"/>
      <c r="L645" t="inlineStr"/>
      <c r="M645" t="inlineStr"/>
      <c r="N645" t="inlineStr"/>
      <c r="O645">
        <f>(1-Summary!$B$11)*T645+Summary!$B$11*V645</f>
        <v/>
      </c>
      <c r="P645">
        <f>IF(B665=0,0,O645/B665)</f>
        <v/>
      </c>
      <c r="Q645" t="n">
        <v>0</v>
      </c>
      <c r="R645" t="n">
        <v>0</v>
      </c>
      <c r="S645">
        <f>IFERROR(O645/N645,0)</f>
        <v/>
      </c>
      <c r="T645" t="n">
        <v>0</v>
      </c>
      <c r="V645" t="n">
        <v>0</v>
      </c>
    </row>
    <row r="646">
      <c r="A646">
        <f>Skills!A26</f>
        <v/>
      </c>
      <c r="B646">
        <f>Skills!B26</f>
        <v/>
      </c>
      <c r="C646">
        <f>Inputs!$B$3&gt;=50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Skills!G26*IF(Skills!H26&gt;0,Skills!I26/Skills!H26,1)</f>
        <v/>
      </c>
      <c r="H646">
        <f>1-(1-Skills!J26/100)^Skills!K26</f>
        <v/>
      </c>
      <c r="I646" t="inlineStr">
        <is>
          <t>1</t>
        </is>
      </c>
      <c r="J646" t="inlineStr"/>
      <c r="K646" t="inlineStr"/>
      <c r="L646" t="inlineStr"/>
      <c r="M646" t="inlineStr"/>
      <c r="N646" t="inlineStr"/>
      <c r="O646">
        <f>(1-Summary!$B$11)*T646+Summary!$B$11*V646</f>
        <v/>
      </c>
      <c r="P646">
        <f>IF(B665=0,0,O646/B665)</f>
        <v/>
      </c>
      <c r="Q646" t="n">
        <v>0</v>
      </c>
      <c r="R646" t="n">
        <v>0</v>
      </c>
      <c r="S646">
        <f>IFERROR(O646/N646,0)</f>
        <v/>
      </c>
      <c r="T646" t="n">
        <v>0</v>
      </c>
      <c r="V646" t="n">
        <v>0</v>
      </c>
    </row>
    <row r="647">
      <c r="A647">
        <f>Skills!A27</f>
        <v/>
      </c>
      <c r="B647">
        <f>Skills!B27</f>
        <v/>
      </c>
      <c r="C647">
        <f>Inputs!$B$3&gt;=38</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Skills!G27*IF(Skills!H27&gt;0,Skills!I27/Skills!H27,1)</f>
        <v/>
      </c>
      <c r="H647">
        <f>1-(1-Skills!J27/100)^Skills!K27</f>
        <v/>
      </c>
      <c r="I647" t="inlineStr">
        <is>
          <t>1</t>
        </is>
      </c>
      <c r="J647" t="inlineStr"/>
      <c r="K647" t="inlineStr"/>
      <c r="L647" t="inlineStr"/>
      <c r="M647" t="inlineStr"/>
      <c r="N647" t="inlineStr"/>
      <c r="O647">
        <f>(1-Summary!$B$11)*T647+Summary!$B$11*V647</f>
        <v/>
      </c>
      <c r="P647">
        <f>IF(B665=0,0,O647/B665)</f>
        <v/>
      </c>
      <c r="Q647" t="n">
        <v>0</v>
      </c>
      <c r="R647" t="n">
        <v>0</v>
      </c>
      <c r="S647">
        <f>IFERROR(O647/N647,0)</f>
        <v/>
      </c>
      <c r="T647" t="n">
        <v>0</v>
      </c>
      <c r="V647" t="n">
        <v>0</v>
      </c>
    </row>
    <row r="648">
      <c r="A648">
        <f>Skills!A28</f>
        <v/>
      </c>
      <c r="B648">
        <f>Skills!B28</f>
        <v/>
      </c>
      <c r="C648">
        <f>Inputs!$B$3&gt;=120</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Skills!G28*IF(Skills!H28&gt;0,Skills!I28/Skills!H28,1)</f>
        <v/>
      </c>
      <c r="H648">
        <f>1-(1-Skills!J28/100)^Skills!K28</f>
        <v/>
      </c>
      <c r="I648" t="inlineStr">
        <is>
          <t>1</t>
        </is>
      </c>
      <c r="J648" t="inlineStr"/>
      <c r="K648" t="inlineStr"/>
      <c r="L648" t="inlineStr"/>
      <c r="M648" t="inlineStr"/>
      <c r="N648" t="inlineStr"/>
      <c r="O648">
        <f>(1-Summary!$B$11)*T648+Summary!$B$11*V648</f>
        <v/>
      </c>
      <c r="P648">
        <f>IF(B665=0,0,O648/B665)</f>
        <v/>
      </c>
      <c r="Q648" t="n">
        <v>0</v>
      </c>
      <c r="R648" t="n">
        <v>0</v>
      </c>
      <c r="S648">
        <f>IFERROR(O648/N648,0)</f>
        <v/>
      </c>
      <c r="T648" t="n">
        <v>0</v>
      </c>
      <c r="V648" t="n">
        <v>0</v>
      </c>
    </row>
    <row r="649">
      <c r="A649">
        <f>Skills!A29</f>
        <v/>
      </c>
      <c r="B649">
        <f>Skills!B29</f>
        <v/>
      </c>
      <c r="C649">
        <f>Inputs!$B$3&gt;=120</f>
        <v/>
      </c>
      <c r="D649">
        <f>IF(Skills!C29=1,60+Inputs!$B$25+Inputs!$B$29,IF(Skills!C29=2,90+Inputs!$B$26+Inputs!$B$29,IF(Skills!C29=3,120+Inputs!$B$27+Inputs!$B$29,MAX(0,(Inputs!$B$3-100)*3)+Inputs!$B$28+Inputs!$B$29)))</f>
        <v/>
      </c>
      <c r="E649">
        <f>INDEX(FactorTable!$B$2:$Y$301, MATCH(ROUND(MIN(300,MAX(1,D649)),0), FactorTable!$A$2:$A$301,0), Skills!M29+1)</f>
        <v/>
      </c>
      <c r="F649">
        <f>IF(Skills!N29=TRUE,(Skills!L29/10)*(E649/1000),Skills!L29/10)+Skills!O29</f>
        <v/>
      </c>
      <c r="G649">
        <f>Skills!G29*IF(Skills!H29&gt;0,Skills!I29/Skills!H29,1)</f>
        <v/>
      </c>
      <c r="H649">
        <f>1-(1-Skills!J29/100)^Skills!K29</f>
        <v/>
      </c>
      <c r="I649" t="inlineStr">
        <is>
          <t>1</t>
        </is>
      </c>
      <c r="J649" t="inlineStr"/>
      <c r="K649" t="inlineStr"/>
      <c r="L649" t="inlineStr"/>
      <c r="M649" t="inlineStr"/>
      <c r="N649" t="inlineStr"/>
      <c r="O649">
        <f>(1-Summary!$B$11)*T649+Summary!$B$11*V649</f>
        <v/>
      </c>
      <c r="P649">
        <f>IF(B665=0,0,O649/B665)</f>
        <v/>
      </c>
      <c r="Q649" t="n">
        <v>0</v>
      </c>
      <c r="R649" t="n">
        <v>0</v>
      </c>
      <c r="S649">
        <f>IFERROR(O649/N649,0)</f>
        <v/>
      </c>
      <c r="T649" t="n">
        <v>0</v>
      </c>
      <c r="V649" t="n">
        <v>0</v>
      </c>
    </row>
    <row r="650">
      <c r="A650">
        <f>Skills!A30</f>
        <v/>
      </c>
      <c r="B650">
        <f>Skills!B30</f>
        <v/>
      </c>
      <c r="C650">
        <f>Inputs!$B$3&gt;=125</f>
        <v/>
      </c>
      <c r="D650">
        <f>IF(Skills!C30=1,60+Inputs!$B$25+Inputs!$B$29,IF(Skills!C30=2,90+Inputs!$B$26+Inputs!$B$29,IF(Skills!C30=3,120+Inputs!$B$27+Inputs!$B$29,MAX(0,(Inputs!$B$3-100)*3)+Inputs!$B$28+Inputs!$B$29)))</f>
        <v/>
      </c>
      <c r="E650">
        <f>INDEX(FactorTable!$B$2:$Y$301, MATCH(ROUND(MIN(300,MAX(1,D650)),0), FactorTable!$A$2:$A$301,0), Skills!M30+1)</f>
        <v/>
      </c>
      <c r="F650">
        <f>IF(Skills!N30=TRUE,(Skills!L30/10)*(E650/1000),Skills!L30/10)+Skills!O30</f>
        <v/>
      </c>
      <c r="G650">
        <f>Skills!G30*IF(Skills!H30&gt;0,Skills!I30/Skills!H30,1)</f>
        <v/>
      </c>
      <c r="H650">
        <f>1-(1-Skills!J30/100)^Skills!K30</f>
        <v/>
      </c>
      <c r="I650" t="inlineStr">
        <is>
          <t>1</t>
        </is>
      </c>
      <c r="J650" t="inlineStr"/>
      <c r="K650" t="inlineStr"/>
      <c r="L650" t="inlineStr"/>
      <c r="M650" t="inlineStr"/>
      <c r="N650" t="inlineStr"/>
      <c r="O650">
        <f>(1-Summary!$B$11)*T650+Summary!$B$11*V650</f>
        <v/>
      </c>
      <c r="P650">
        <f>IF(B665=0,0,O650/B665)</f>
        <v/>
      </c>
      <c r="Q650" t="n">
        <v>0</v>
      </c>
      <c r="R650" t="n">
        <v>0</v>
      </c>
      <c r="S650">
        <f>IFERROR(O650/N650,0)</f>
        <v/>
      </c>
      <c r="T650" t="n">
        <v>0</v>
      </c>
      <c r="V650" t="n">
        <v>0</v>
      </c>
    </row>
    <row r="652">
      <c r="A652" t="inlineStr">
        <is>
          <t>Average Buff Multiplier</t>
        </is>
      </c>
      <c r="B652">
        <f>(1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f>
        <v/>
      </c>
    </row>
    <row r="653">
      <c r="A653" t="inlineStr">
        <is>
          <t>Global Crit Rate Bonus %</t>
        </is>
      </c>
      <c r="B653">
        <f>((C640=TRUE)*F640*IF(AND(Inputs!$B$39&lt;&gt;"pvp",Inputs!$B$44&gt;0),(((R640-1)*(Skills!Y20*(1+Inputs!$B$34/100))+MIN((Skills!Y20*(1+Inputs!$B$34/100)),MAX(0,Inputs!$B$44-((R640-1)*Skills!D20))))/Inputs!$B$44),IF(Inputs!$B$39="pvp",MIN((Skills!Y20*(1+Inputs!$B$34/100)),15)/15,(Skills!Y20*(1+Inputs!$B$34/100))/Skills!D20)))</f>
        <v/>
      </c>
    </row>
    <row r="654">
      <c r="A654" t="inlineStr">
        <is>
          <t>Global Monster Damage-Taken Bonus %</t>
        </is>
      </c>
      <c r="B654">
        <f>IF(Inputs!$B$3&gt;=82,15,0)</f>
        <v/>
      </c>
    </row>
    <row r="655">
      <c r="A655" t="inlineStr">
        <is>
          <t>Shadow Partner Average Multiplier</t>
        </is>
      </c>
      <c r="B655">
        <f>1+((C627=TRUE)*F627*(1+3.3333333333333335*IF(C638=TRUE,F638,0)/100)*I627*Skills!J7/100)/100</f>
        <v/>
      </c>
    </row>
    <row r="656">
      <c r="A656" t="inlineStr">
        <is>
          <t>Attack Speed Buff Bonus %</t>
        </is>
      </c>
      <c r="B656">
        <f>((C639=TRUE)*F639*IF(AND(Inputs!$B$39&lt;&gt;"pvp",Inputs!$B$44&gt;0),(((R639-1)*(Skills!Y19*(1+Inputs!$B$34/100))+MIN((Skills!Y19*(1+Inputs!$B$34/100)),MAX(0,Inputs!$B$44-((R639-1)*Skills!D19))))/Inputs!$B$44),IF(Inputs!$B$39="pvp",MIN((Skills!Y19*(1+Inputs!$B$34/100)),15)/15,(Skills!Y19*(1+Inputs!$B$34/100))/Skills!D19)))+((C623=TRUE)*F623*3)</f>
        <v/>
      </c>
    </row>
    <row r="657">
      <c r="A657" t="inlineStr">
        <is>
          <t>Actions Per Second</t>
        </is>
      </c>
      <c r="B657">
        <f>1+MIN(150,150*(1-(1-(Inputs!$B$11+((C642=TRUE)*(F642-Calc!F22)))/150)*(1-B656/150)))/100</f>
        <v/>
      </c>
    </row>
    <row r="658">
      <c r="A658" t="inlineStr">
        <is>
          <t>Skill + Buff Cast Rate</t>
        </is>
      </c>
      <c r="B658">
        <f>IF(AND(Inputs!$B$39&lt;&gt;"pvp",Inputs!$B$44&gt;0),SUMPRODUCT((Skills!E2:E30=TRUE)*(C622:C650=TRUE)*R622:R650*Skills!F2:F30)/Inputs!$B$44,SUMPRODUCT((Skills!E2:E30=TRUE)*(C622:C650=TRUE)*Q622:Q650*Skills!F2:F30))</f>
        <v/>
      </c>
    </row>
    <row r="659">
      <c r="A659" t="inlineStr">
        <is>
          <t>Cruel Stab Casts Per Second</t>
        </is>
      </c>
      <c r="B659">
        <f>MAX(0,B657-B658)</f>
        <v/>
      </c>
    </row>
    <row r="660">
      <c r="A660" t="inlineStr">
        <is>
          <t>Global Critical Damage Bonus % (Smokescreen Mastery Lv.113)</t>
        </is>
      </c>
      <c r="B660">
        <f>IF(Inputs!$B$3&gt;=113,30,0)*IF(AND(Inputs!$B$39&lt;&gt;"pvp",Inputs!$B$44&gt;0),(((R635-1)*(Skills!Y15*(1+Inputs!$B$34/100))+MIN((Skills!Y15*(1+Inputs!$B$34/100)),MAX(0,Inputs!$B$44-((R635-1)*Skills!D15))))/Inputs!$B$44),IF(Inputs!$B$39="pvp",MIN((Skills!Y15*(1+Inputs!$B$34/100)),15)/15,(Skills!Y15*(1+Inputs!$B$34/100))/Skills!D15))</f>
        <v/>
      </c>
    </row>
    <row r="661">
      <c r="A661" t="inlineStr">
        <is>
          <t>Meso Explosion average stack count</t>
        </is>
      </c>
      <c r="B661">
        <f>MIN(10,0.5*B657*Skills!D4)</f>
        <v/>
      </c>
    </row>
    <row r="662">
      <c r="A662" t="inlineStr">
        <is>
          <t>Blood Money average stack count</t>
        </is>
      </c>
      <c r="B662">
        <f>MIN(5,0.25*B657*Skills!D4)</f>
        <v/>
      </c>
    </row>
    <row r="663">
      <c r="A663" t="inlineStr">
        <is>
          <t>Assassinate Murderous Intent Multiplier</t>
        </is>
      </c>
      <c r="B663">
        <f>1+IFERROR(MIN(1,Q634*2/Q631),0)</f>
        <v/>
      </c>
    </row>
    <row r="664">
      <c r="A664" t="inlineStr">
        <is>
          <t>Buff-Casting Startup Delay (s, fixed-duration only)</t>
        </is>
      </c>
      <c r="B664">
        <f>IF(AND(Inputs!$B$39&lt;&gt;"pvp",Inputs!$B$44&gt;0),SUMPRODUCT((Skills!Y2:Y30&gt;0)*(Skills!E2:E30=TRUE)*(C622:C650=TRUE))/B657,0)</f>
        <v/>
      </c>
    </row>
    <row r="665">
      <c r="A665" s="6" t="inlineStr">
        <is>
          <t>TOTAL DPS</t>
        </is>
      </c>
      <c r="B665" s="6">
        <f>SUM(O622:O650)</f>
        <v/>
      </c>
    </row>
    <row r="666">
      <c r="A666" t="inlineStr">
        <is>
          <t>Boss-Only Total DPS (this block's swept value)</t>
        </is>
      </c>
      <c r="B666">
        <f>SUM(T622:T650)</f>
        <v/>
      </c>
    </row>
    <row r="667">
      <c r="A667" t="inlineStr">
        <is>
          <t>Normal-Only Total DPS (this block's swept value)</t>
        </is>
      </c>
      <c r="B667">
        <f>SUM(V622:V650)</f>
        <v/>
      </c>
    </row>
    <row r="670">
      <c r="A670" s="6" t="inlineStr">
        <is>
          <t>Stat: ATTACK_SPEED % (diminishing returns, factor 150)</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Q671" s="5" t="inlineStr">
        <is>
          <t>InvCooldown</t>
        </is>
      </c>
      <c r="R671" s="5" t="inlineStr">
        <is>
          <t>CastsInFight</t>
        </is>
      </c>
      <c r="S671" s="5" t="inlineStr">
        <is>
          <t>HitRate(perSec)</t>
        </is>
      </c>
      <c r="U671" t="inlineStr">
        <is>
          <t>helpers</t>
        </is>
      </c>
    </row>
    <row r="672">
      <c r="A672">
        <f>Skills!A2</f>
        <v/>
      </c>
      <c r="B672">
        <f>Skills!B2</f>
        <v/>
      </c>
      <c r="C672">
        <f>Inputs!$B$3&gt;=100</f>
        <v/>
      </c>
      <c r="D672" t="inlineStr"/>
      <c r="E672" t="inlineStr"/>
      <c r="F672">
        <f>U674+Skills!O2</f>
        <v/>
      </c>
      <c r="G672">
        <f>Skills!G2*IF(Skills!H2&gt;0,Skills!I2/Skills!H2,1)</f>
        <v/>
      </c>
      <c r="H672">
        <f>1-(1-Skills!J2/100)^Skills!K2</f>
        <v/>
      </c>
      <c r="I672" t="inlineStr">
        <is>
          <t>1</t>
        </is>
      </c>
      <c r="J672">
        <f>((Inputs!$B$6*(1+Inputs!$B$7/100))+(((Inputs!$B$12*(1+Inputs!$B$13/100))-(Inputs!$B$12*(1+Inputs!$B$13/100)))+0.25*(Inputs!$B$14-Inputs!$B$14))*(1+Inputs!$B$7/100))*(F672/100)</f>
        <v/>
      </c>
      <c r="K672">
        <f>J672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672)</f>
        <v/>
      </c>
      <c r="L672">
        <f>K672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2">
        <f>L672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IF(B715=0,0,O672/B715)</f>
        <v/>
      </c>
      <c r="Q672" t="n">
        <v>0</v>
      </c>
      <c r="R672" t="n">
        <v>0</v>
      </c>
      <c r="S672">
        <f>IFERROR(O672/N672,0)</f>
        <v/>
      </c>
      <c r="T672">
        <f>IF(C672,(Skills!G2*N672*B709)*IF(Inputs!$B$39="pvp",1,1+(Inputs!$B$20+0+Skills!P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672*(1-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MAX(0,(Inputs!$B$3-100)*3)+Inputs!$B$28+Inputs!$B$29</f>
        <v/>
      </c>
      <c r="V672">
        <f>IF(C672,(Skills!G2*N672*B709)*IF(Inputs!$B$39="pvp",1,(1+(Inputs!$B$21+Skills!Q2+B704+(IF(ArtifactsInput!$M$33,CHOOSE(ArtifactsInput!$N$33+1,30,36,42,48,54,60),0))+(IF(AND(ArtifactsInput!$M$35,Inputs!$B$4&lt;&gt;"Chapter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Skills!A3</f>
        <v/>
      </c>
      <c r="B673">
        <f>Skills!B3</f>
        <v/>
      </c>
      <c r="C673">
        <f>Inputs!$B$3&gt;=35</f>
        <v/>
      </c>
      <c r="D673">
        <f>IF(Skills!C3=1,60+Inputs!$B$25+Inputs!$B$29,IF(Skills!C3=2,90+Inputs!$B$26+Inputs!$B$29,IF(Skills!C3=3,120+Inputs!$B$27+Inputs!$B$29,MAX(0,(Inputs!$B$3-100)*3)+Inputs!$B$28+Inputs!$B$29)))</f>
        <v/>
      </c>
      <c r="E673">
        <f>INDEX(FactorTable!$B$2:$Y$301, MATCH(ROUND(MIN(300,MAX(1,D673)),0), FactorTable!$A$2:$A$301,0), Skills!M3+1)</f>
        <v/>
      </c>
      <c r="F673">
        <f>IF(Skills!N3=TRUE,(Skills!L3/10)*(E673/1000),Skills!L3/10)+Skills!O3</f>
        <v/>
      </c>
      <c r="G673">
        <f>Skills!G3*IF(Skills!H3&gt;0,Skills!I3/Skills!H3,1)</f>
        <v/>
      </c>
      <c r="H673">
        <f>1-(1-Skills!J3/100)^Skills!K3</f>
        <v/>
      </c>
      <c r="I673" t="inlineStr">
        <is>
          <t>1</t>
        </is>
      </c>
      <c r="J673" t="inlineStr"/>
      <c r="K673" t="inlineStr"/>
      <c r="L673" t="inlineStr"/>
      <c r="M673" t="inlineStr"/>
      <c r="N673" t="inlineStr"/>
      <c r="O673">
        <f>(1-Summary!$B$11)*T673+Summary!$B$11*V673</f>
        <v/>
      </c>
      <c r="P673">
        <f>IF(B715=0,0,O673/B715)</f>
        <v/>
      </c>
      <c r="Q673" t="n">
        <v>0</v>
      </c>
      <c r="R673" t="n">
        <v>0</v>
      </c>
      <c r="S673">
        <f>IFERROR(O673/N673,0)</f>
        <v/>
      </c>
      <c r="T673" t="n">
        <v>0</v>
      </c>
      <c r="U673">
        <f>INDEX(FactorTable!$B$2:$Y$301, MATCH(ROUND(MIN(300,MAX(1,U672)),0), FactorTable!$A$2:$A$301,0), 22)</f>
        <v/>
      </c>
      <c r="V673" t="n">
        <v>0</v>
      </c>
    </row>
    <row r="674">
      <c r="A674">
        <f>Skills!A4</f>
        <v/>
      </c>
      <c r="B674">
        <f>Skills!B4</f>
        <v/>
      </c>
      <c r="C674">
        <f>Inputs!$B$3&gt;=66</f>
        <v/>
      </c>
      <c r="D674">
        <f>IF(Skills!C4=1,60+Inputs!$B$25+Inputs!$B$29,IF(Skills!C4=2,90+Inputs!$B$26+Inputs!$B$29,IF(Skills!C4=3,120+Inputs!$B$27+Inputs!$B$29,MAX(0,(Inputs!$B$3-100)*3)+Inputs!$B$28+Inputs!$B$29)))</f>
        <v/>
      </c>
      <c r="E674">
        <f>INDEX(FactorTable!$B$2:$Y$301, MATCH(ROUND(MIN(300,MAX(1,D674)),0), FactorTable!$A$2:$A$301,0), Skills!M4+1)</f>
        <v/>
      </c>
      <c r="F674">
        <f>IF(Skills!N4=TRUE,(Skills!L4/10)*(E674/1000),Skills!L4/10)+Skills!O4</f>
        <v/>
      </c>
      <c r="G674">
        <f>Skills!G4*IF(Skills!H4&gt;0,Skills!I4/Skills!H4,1)</f>
        <v/>
      </c>
      <c r="H674">
        <f>1-(1-Skills!J4/100)^Skills!K4</f>
        <v/>
      </c>
      <c r="I674" t="inlineStr">
        <is>
          <t>1</t>
        </is>
      </c>
      <c r="J674">
        <f>((Inputs!$B$6*(1+Inputs!$B$7/100))+(((Inputs!$B$12*(1+Inputs!$B$13/100))-(Inputs!$B$12*(1+Inputs!$B$13/100)))+0.25*(Inputs!$B$14-Inputs!$B$14))*(1+Inputs!$B$7/100))*(F674/100)</f>
        <v/>
      </c>
      <c r="K674">
        <f>J674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674)</f>
        <v/>
      </c>
      <c r="L674">
        <f>K674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4">
        <f>L674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IF(B715=0,0,O674/B715)</f>
        <v/>
      </c>
      <c r="Q674">
        <f>IFERROR(1/IF(Inputs!$B$39="pvp",15,MAX(0.1,Skills!D4-IF(Skills!E4=TRUE,Inputs!$B$32,0))),0)</f>
        <v/>
      </c>
      <c r="R674">
        <f>IF(AND(Inputs!$B$39&lt;&gt;"pvp",Inputs!$B$44&gt;0),IF(MAX(0,Inputs!$B$44-B714)&lt;=0,0,(INT(MAX(0,Inputs!$B$44-B714)/IF(Inputs!$B$39="pvp",15,MAX(0.1,Skills!D4-IF(Skills!E4=TRUE,Inputs!$B$32,0))))+1)),0)</f>
        <v/>
      </c>
      <c r="S674">
        <f>IFERROR(O674/N674,0)</f>
        <v/>
      </c>
      <c r="T674">
        <f>IF(C674,(H674*N674*IF(AND(Inputs!$B$39&lt;&gt;"pvp",Inputs!$B$44&gt;0),((Skills!G4*((R674-1)*IF(Skills!H4&gt;0,Skills!I4/Skills!H4,1)+IF(Skills!H4&gt;0,MIN(Skills!I4,MAX(0,MAX(0,Inputs!$B$44-B714)-((R674-1)*IF(Inputs!$B$39="pvp",15,MAX(0.1,Skills!D4-IF(Skills!E4=TRUE,Inputs!$B$32,0))))))/Skills!H4,1)))/Inputs!$B$44),G674*Q674))*IF(Inputs!$B$39="pvp",1,1+(Inputs!$B$20+0+Skills!P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674*(1-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4">
        <f>290*U673/1000</f>
        <v/>
      </c>
      <c r="V674">
        <f>IF(C674,(H674*N674*IF(AND(Inputs!$B$39&lt;&gt;"pvp",Inputs!$B$44&gt;0),((Skills!G4*((R674-1)*IF(Skills!H4&gt;0,Skills!I4/Skills!H4,1)+IF(Skills!H4&gt;0,MIN(Skills!I4,MAX(0,MAX(0,Inputs!$B$44-B714)-((R674-1)*IF(Inputs!$B$39="pvp",15,MAX(0.1,Skills!D4-IF(Skills!E4=TRUE,Inputs!$B$32,0))))))/Skills!H4,1)))/Inputs!$B$44),G674*Q674))*IF(Inputs!$B$39="pvp",1,(1+(Inputs!$B$21+Skills!Q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(10,0.5*B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Skills!A5</f>
        <v/>
      </c>
      <c r="B675">
        <f>Skills!B5</f>
        <v/>
      </c>
      <c r="C675">
        <f>Inputs!$B$3&gt;=63</f>
        <v/>
      </c>
      <c r="D675">
        <f>IF(Skills!C5=1,60+Inputs!$B$25+Inputs!$B$29,IF(Skills!C5=2,90+Inputs!$B$26+Inputs!$B$29,IF(Skills!C5=3,120+Inputs!$B$27+Inputs!$B$29,MAX(0,(Inputs!$B$3-100)*3)+Inputs!$B$28+Inputs!$B$29)))</f>
        <v/>
      </c>
      <c r="E675">
        <f>INDEX(FactorTable!$B$2:$Y$301, MATCH(ROUND(MIN(300,MAX(1,D675)),0), FactorTable!$A$2:$A$301,0), Skills!M5+1)</f>
        <v/>
      </c>
      <c r="F675">
        <f>IF(Skills!N5=TRUE,(Skills!L5/10)*(E675/1000),Skills!L5/10)+Skills!O5</f>
        <v/>
      </c>
      <c r="G675">
        <f>Skills!G5*IF(Skills!H5&gt;0,Skills!I5/Skills!H5,1)</f>
        <v/>
      </c>
      <c r="H675">
        <f>1-(1-Skills!J5/100)^Skills!K5</f>
        <v/>
      </c>
      <c r="I675" t="inlineStr">
        <is>
          <t>1</t>
        </is>
      </c>
      <c r="J675">
        <f>((Inputs!$B$6*(1+Inputs!$B$7/100))+(((Inputs!$B$12*(1+Inputs!$B$13/100))-(Inputs!$B$12*(1+Inputs!$B$13/100)))+0.25*(Inputs!$B$14-Inputs!$B$14))*(1+Inputs!$B$7/100))*(F675/100)</f>
        <v/>
      </c>
      <c r="K675">
        <f>J675*(1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+2.6666666666666665*IF(C688=TRUE,F688,0)/100)*(1+(IF(Skills!A5="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675)</f>
        <v/>
      </c>
      <c r="L675">
        <f>K675*(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5">
        <f>L675*(1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5">
        <f>L675*(1-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675*(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5">
        <f>(1-Summary!$B$11)*T675+Summary!$B$11*V675</f>
        <v/>
      </c>
      <c r="P675">
        <f>IF(B715=0,0,O675/B715)</f>
        <v/>
      </c>
      <c r="Q675">
        <f>IFERROR(1/IF(Inputs!$B$39="pvp",15,MAX(0.1,Skills!D5-IF(Skills!E5=TRUE,Inputs!$B$32,0))),0)</f>
        <v/>
      </c>
      <c r="R675">
        <f>IF(AND(Inputs!$B$39&lt;&gt;"pvp",Inputs!$B$44&gt;0),IF(MAX(0,Inputs!$B$44-B714)&lt;=0,0,(INT(MAX(0,Inputs!$B$44-B714)/IF(Inputs!$B$39="pvp",15,MAX(0.1,Skills!D5-IF(Skills!E5=TRUE,Inputs!$B$32,0))))+1)),0)</f>
        <v/>
      </c>
      <c r="S675">
        <f>IFERROR(O675/N675,0)</f>
        <v/>
      </c>
      <c r="T675">
        <f>IF(C675,(H675*N675*IF(AND(Inputs!$B$39&lt;&gt;"pvp",Inputs!$B$44&gt;0),((Skills!G5*((R675-1)*IF(Skills!H5&gt;0,Skills!I5/Skills!H5,1)+IF(Skills!H5&gt;0,MIN(Skills!I5,MAX(0,MAX(0,Inputs!$B$44-B714)-((R675-1)*IF(Inputs!$B$39="pvp",15,MAX(0.1,Skills!D5-IF(Skills!E5=TRUE,Inputs!$B$32,0))))))/Skills!H5,1)))/Inputs!$B$44),G675*Q675))*IF(Inputs!$B$39="pvp",1,1+(Inputs!$B$20+0+Skills!P5+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675*(1-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675*(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675*(1-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675*(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5">
        <f>IF(C675,(H675*N675*IF(AND(Inputs!$B$39&lt;&gt;"pvp",Inputs!$B$44&gt;0),((Skills!G5*((R675-1)*IF(Skills!H5&gt;0,Skills!I5/Skills!H5,1)+IF(Skills!H5&gt;0,MIN(Skills!I5,MAX(0,MAX(0,Inputs!$B$44-B714)-((R675-1)*IF(Inputs!$B$39="pvp",15,MAX(0.1,Skills!D5-IF(Skills!E5=TRUE,Inputs!$B$32,0))))))/Skills!H5,1)))/Inputs!$B$44),G675*Q675))*IF(Inputs!$B$39="pvp",1,(1+(Inputs!$B$21+Skills!Q5+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6">
      <c r="A676">
        <f>Skills!A6</f>
        <v/>
      </c>
      <c r="B676">
        <f>Skills!B6</f>
        <v/>
      </c>
      <c r="C676">
        <f>Inputs!$B$3&gt;=69</f>
        <v/>
      </c>
      <c r="D676">
        <f>IF(Skills!C6=1,60+Inputs!$B$25+Inputs!$B$29,IF(Skills!C6=2,90+Inputs!$B$26+Inputs!$B$29,IF(Skills!C6=3,120+Inputs!$B$27+Inputs!$B$29,MAX(0,(Inputs!$B$3-100)*3)+Inputs!$B$28+Inputs!$B$29)))</f>
        <v/>
      </c>
      <c r="E676">
        <f>INDEX(FactorTable!$B$2:$Y$301, MATCH(ROUND(MIN(300,MAX(1,D676)),0), FactorTable!$A$2:$A$301,0), Skills!M6+1)</f>
        <v/>
      </c>
      <c r="F676">
        <f>IF(Skills!N6=TRUE,(Skills!L6/10)*(E676/1000),Skills!L6/10)+Skills!O6</f>
        <v/>
      </c>
      <c r="G676">
        <f>Skills!G6*IF(Skills!H6&gt;0,Skills!I6/Skills!H6,1)</f>
        <v/>
      </c>
      <c r="H676">
        <f>1-(1-Skills!J6/100)^Skills!K6</f>
        <v/>
      </c>
      <c r="I676" t="inlineStr">
        <is>
          <t>1</t>
        </is>
      </c>
      <c r="J676">
        <f>((Inputs!$B$6*(1+Inputs!$B$7/100))+(((Inputs!$B$12*(1+Inputs!$B$13/100))-(Inputs!$B$12*(1+Inputs!$B$13/100)))+0.25*(Inputs!$B$14-Inputs!$B$14))*(1+Inputs!$B$7/100))*(F676/100)</f>
        <v/>
      </c>
      <c r="K676">
        <f>J676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688=TRUE,F688,0)/100)*(1+(IF(Skills!A6="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676)</f>
        <v/>
      </c>
      <c r="L676">
        <f>K676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6">
        <f>L676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6">
        <f>L676*(1-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676*(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6">
        <f>(1-Summary!$B$11)*T676+Summary!$B$11*V676</f>
        <v/>
      </c>
      <c r="P676">
        <f>IF(B715=0,0,O676/B715)</f>
        <v/>
      </c>
      <c r="Q676">
        <f>IFERROR(1/IF(Inputs!$B$39="pvp",15,MAX(0.1,Skills!D6-IF(Skills!E6=TRUE,Inputs!$B$32,0))),0)</f>
        <v/>
      </c>
      <c r="R676">
        <f>IF(AND(Inputs!$B$39&lt;&gt;"pvp",Inputs!$B$44&gt;0),IF(MAX(0,Inputs!$B$44-B714)&lt;=0,0,(INT(MAX(0,Inputs!$B$44-B714)/IF(Inputs!$B$39="pvp",15,MAX(0.1,Skills!D6-IF(Skills!E6=TRUE,Inputs!$B$32,0))))+1)),0)</f>
        <v/>
      </c>
      <c r="S676">
        <f>IFERROR(O676/N676,0)</f>
        <v/>
      </c>
      <c r="T676">
        <f>IF(C676,(H676*N676*IF(AND(Inputs!$B$39&lt;&gt;"pvp",Inputs!$B$44&gt;0),((Skills!G6*((R676-1)*IF(Skills!H6&gt;0,Skills!I6/Skills!H6,1)+IF(Skills!H6&gt;0,MIN(Skills!I6,MAX(0,MAX(0,Inputs!$B$44-B714)-((R676-1)*IF(Inputs!$B$39="pvp",15,MAX(0.1,Skills!D6-IF(Skills!E6=TRUE,Inputs!$B$32,0))))))/Skills!H6,1)))/Inputs!$B$44),G676*Q676))*IF(Inputs!$B$39="pvp",1,1+(Inputs!$B$20+0+Skills!P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676*(1-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676*(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676*(1-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676*(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6">
        <f>IF(C676,(H676*N676*IF(AND(Inputs!$B$39&lt;&gt;"pvp",Inputs!$B$44&gt;0),((Skills!G6*((R676-1)*IF(Skills!H6&gt;0,Skills!I6/Skills!H6,1)+IF(Skills!H6&gt;0,MIN(Skills!I6,MAX(0,MAX(0,Inputs!$B$44-B714)-((R676-1)*IF(Inputs!$B$39="pvp",15,MAX(0.1,Skills!D6-IF(Skills!E6=TRUE,Inputs!$B$32,0))))))/Skills!H6,1)))/Inputs!$B$44),G676*Q676))*IF(Inputs!$B$39="pvp",1,(1+(Inputs!$B$21+Skills!Q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7">
      <c r="A677">
        <f>Skills!A7</f>
        <v/>
      </c>
      <c r="B677">
        <f>Skills!B7</f>
        <v/>
      </c>
      <c r="C677">
        <f>Inputs!$B$3&gt;=60</f>
        <v/>
      </c>
      <c r="D677">
        <f>IF(Skills!C7=1,60+Inputs!$B$25+Inputs!$B$29,IF(Skills!C7=2,90+Inputs!$B$26+Inputs!$B$29,IF(Skills!C7=3,120+Inputs!$B$27+Inputs!$B$29,MAX(0,(Inputs!$B$3-100)*3)+Inputs!$B$28+Inputs!$B$29)))</f>
        <v/>
      </c>
      <c r="E677">
        <f>INDEX(FactorTable!$B$2:$Y$301, MATCH(ROUND(MIN(300,MAX(1,D677)),0), FactorTable!$A$2:$A$301,0), Skills!M7+1)</f>
        <v/>
      </c>
      <c r="F677">
        <f>IF(Skills!N7=TRUE,(Skills!L7/10)*(E677/1000),Skills!L7/10)+Skills!O7</f>
        <v/>
      </c>
      <c r="G677">
        <f>Skills!G7*IF(Skills!H7&gt;0,Skills!I7/Skills!H7,1)</f>
        <v/>
      </c>
      <c r="H677">
        <f>1-(1-Skills!J7/100)^Skills!K7</f>
        <v/>
      </c>
      <c r="I677" t="inlineStr">
        <is>
          <t>1</t>
        </is>
      </c>
      <c r="J677" t="inlineStr"/>
      <c r="K677" t="inlineStr"/>
      <c r="L677" t="inlineStr"/>
      <c r="M677" t="inlineStr"/>
      <c r="N677" t="inlineStr"/>
      <c r="O677">
        <f>(1-Summary!$B$11)*T677+Summary!$B$11*V677</f>
        <v/>
      </c>
      <c r="P677">
        <f>IF(B715=0,0,O677/B715)</f>
        <v/>
      </c>
      <c r="Q677" t="n">
        <v>0</v>
      </c>
      <c r="R677" t="n">
        <v>0</v>
      </c>
      <c r="S677">
        <f>IFERROR(O677/N677,0)</f>
        <v/>
      </c>
      <c r="T677" t="n">
        <v>0</v>
      </c>
      <c r="V677" t="n">
        <v>0</v>
      </c>
    </row>
    <row r="678">
      <c r="A678">
        <f>Skills!A8</f>
        <v/>
      </c>
      <c r="B678">
        <f>Skills!B8</f>
        <v/>
      </c>
      <c r="C678">
        <f>Inputs!$B$3&gt;=72</f>
        <v/>
      </c>
      <c r="D678">
        <f>IF(Skills!C8=1,60+Inputs!$B$25+Inputs!$B$29,IF(Skills!C8=2,90+Inputs!$B$26+Inputs!$B$29,IF(Skills!C8=3,120+Inputs!$B$27+Inputs!$B$29,MAX(0,(Inputs!$B$3-100)*3)+Inputs!$B$28+Inputs!$B$29)))</f>
        <v/>
      </c>
      <c r="E678">
        <f>INDEX(FactorTable!$B$2:$Y$301, MATCH(ROUND(MIN(300,MAX(1,D678)),0), FactorTable!$A$2:$A$301,0), Skills!M8+1)</f>
        <v/>
      </c>
      <c r="F678">
        <f>IF(Skills!N8=TRUE,(Skills!L8/10)*(E678/1000),Skills!L8/10)+Skills!O8</f>
        <v/>
      </c>
      <c r="G678">
        <f>Skills!G8*IF(Skills!H8&gt;0,Skills!I8/Skills!H8,1)</f>
        <v/>
      </c>
      <c r="H678">
        <f>1-(1-Skills!J8/100)^Skills!K8</f>
        <v/>
      </c>
      <c r="I678" t="inlineStr">
        <is>
          <t>1</t>
        </is>
      </c>
      <c r="J678">
        <f>((Inputs!$B$6*(1+Inputs!$B$7/100))+(((Inputs!$B$12*(1+Inputs!$B$13/100))-(Inputs!$B$12*(1+Inputs!$B$13/100)))+0.25*(Inputs!$B$14-Inputs!$B$14))*(1+Inputs!$B$7/100))*(F678/100)</f>
        <v/>
      </c>
      <c r="K678">
        <f>J678*(1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+3.3333333333333335*IF(C688=TRUE,F688,0)/100)*(1+(IF(Skills!A8="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678)</f>
        <v/>
      </c>
      <c r="L678">
        <f>K678*(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8">
        <f>L678*(1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8">
        <f>L678*(1-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678*(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8">
        <f>(1-Summary!$B$11)*T678+Summary!$B$11*V678</f>
        <v/>
      </c>
      <c r="P678">
        <f>IF(B715=0,0,O678/B715)</f>
        <v/>
      </c>
      <c r="Q678">
        <f>IFERROR(1/IF(Inputs!$B$39="pvp",15,MAX(0.1,Skills!D8-IF(Skills!E8=TRUE,Inputs!$B$32,0))),0)</f>
        <v/>
      </c>
      <c r="R678">
        <f>IF(AND(Inputs!$B$39&lt;&gt;"pvp",Inputs!$B$44&gt;0),IF(MAX(0,Inputs!$B$44-B714)&lt;=0,0,(INT(MAX(0,Inputs!$B$44-B714)/IF(Inputs!$B$39="pvp",15,MAX(0.1,Skills!D8-IF(Skills!E8=TRUE,Inputs!$B$32,0))))+1)),0)</f>
        <v/>
      </c>
      <c r="S678">
        <f>IFERROR(O678/N678,0)</f>
        <v/>
      </c>
      <c r="T678">
        <f>IF(C678,(H678*N678*IF(AND(Inputs!$B$39&lt;&gt;"pvp",Inputs!$B$44&gt;0),((Skills!G8*((R678-1)*IF(Skills!H8&gt;0,Skills!I8/Skills!H8,1)+IF(Skills!H8&gt;0,MIN(Skills!I8,MAX(0,MAX(0,Inputs!$B$44-B714)-((R678-1)*IF(Inputs!$B$39="pvp",15,MAX(0.1,Skills!D8-IF(Skills!E8=TRUE,Inputs!$B$32,0))))))/Skills!H8,1)))/Inputs!$B$44),G678*Q678))*IF(Inputs!$B$39="pvp",1,1+(Inputs!$B$20+0+Skills!P8+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678*(1-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678*(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678*(1-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678*(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8">
        <f>IF(C678,(H678*N678*IF(AND(Inputs!$B$39&lt;&gt;"pvp",Inputs!$B$44&gt;0),((Skills!G8*((R678-1)*IF(Skills!H8&gt;0,Skills!I8/Skills!H8,1)+IF(Skills!H8&gt;0,MIN(Skills!I8,MAX(0,MAX(0,Inputs!$B$44-B714)-((R678-1)*IF(Inputs!$B$39="pvp",15,MAX(0.1,Skills!D8-IF(Skills!E8=TRUE,Inputs!$B$32,0))))))/Skills!H8,1)))/Inputs!$B$44),G678*Q678))*IF(Inputs!$B$39="pvp",1,(1+(Inputs!$B$21+Skills!Q8+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9">
      <c r="A679">
        <f>Skills!A9</f>
        <v/>
      </c>
      <c r="B679">
        <f>Skills!B9</f>
        <v/>
      </c>
      <c r="C679">
        <f>Inputs!$B$3&gt;=117</f>
        <v/>
      </c>
      <c r="D679">
        <f>IF(Skills!C9=1,60+Inputs!$B$25+Inputs!$B$29,IF(Skills!C9=2,90+Inputs!$B$26+Inputs!$B$29,IF(Skills!C9=3,120+Inputs!$B$27+Inputs!$B$29,MAX(0,(Inputs!$B$3-100)*3)+Inputs!$B$28+Inputs!$B$29)))</f>
        <v/>
      </c>
      <c r="E679">
        <f>INDEX(FactorTable!$B$2:$Y$301, MATCH(ROUND(MIN(300,MAX(1,D679)),0), FactorTable!$A$2:$A$301,0), Skills!M9+1)</f>
        <v/>
      </c>
      <c r="F679">
        <f>IF(Skills!N9=TRUE,(Skills!L9/10)*(E679/1000),Skills!L9/10)+Skills!O9</f>
        <v/>
      </c>
      <c r="G679">
        <f>Skills!G9*IF(Skills!H9&gt;0,Skills!I9/Skills!H9,1)</f>
        <v/>
      </c>
      <c r="H679">
        <f>1-(1-Skills!J9/100)^Skills!K9</f>
        <v/>
      </c>
      <c r="I679" t="inlineStr">
        <is>
          <t>1</t>
        </is>
      </c>
      <c r="J679">
        <f>((Inputs!$B$6*(1+Inputs!$B$7/100))+(((Inputs!$B$12*(1+Inputs!$B$13/100))-(Inputs!$B$12*(1+Inputs!$B$13/100)))+0.25*(Inputs!$B$14-Inputs!$B$14))*(1+Inputs!$B$7/100))*(F679/100)</f>
        <v/>
      </c>
      <c r="K679">
        <f>J679*(1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679)</f>
        <v/>
      </c>
      <c r="L679">
        <f>K679*(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9">
        <f>L679*(1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9">
        <f>L679*(1-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679*(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9">
        <f>(1-Summary!$B$11)*T679+Summary!$B$11*V679</f>
        <v/>
      </c>
      <c r="P679">
        <f>IF(B715=0,0,O679/B715)</f>
        <v/>
      </c>
      <c r="Q679" t="n">
        <v>0</v>
      </c>
      <c r="R679" t="n">
        <v>0</v>
      </c>
      <c r="S679" t="n">
        <v>0</v>
      </c>
      <c r="T679">
        <f>IF(C679,(0.2*SUMPRODUCT((Skills!Z2:Z30=TRUE)*(C672:C700=TRUE)*S672:S700)*N679)*IF(Inputs!$B$39="pvp",1,1+(Inputs!$B$20+0+Skills!P9+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679*(1-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679*(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679*(1-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679*(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9">
        <f>IF(C679,(0.2*SUMPRODUCT((Skills!Z2:Z30=TRUE)*(C672:C700=TRUE)*S672:S700)*N679)*IF(Inputs!$B$39="pvp",1,(1+(Inputs!$B$21+Skills!Q9+B704+(IF(ArtifactsInput!$M$33,CHOOSE(ArtifactsInput!$N$33+1,30,36,42,48,54,60),0))+(IF(AND(ArtifactsInput!$M$35,Inputs!$B$4&lt;&gt;"Chapter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0">
      <c r="A680">
        <f>Skills!A10</f>
        <v/>
      </c>
      <c r="B680">
        <f>Skills!B10</f>
        <v/>
      </c>
      <c r="C680">
        <f>Inputs!$B$3&gt;=74</f>
        <v/>
      </c>
      <c r="D680">
        <f>IF(Skills!C10=1,60+Inputs!$B$25+Inputs!$B$29,IF(Skills!C10=2,90+Inputs!$B$26+Inputs!$B$29,IF(Skills!C10=3,120+Inputs!$B$27+Inputs!$B$29,MAX(0,(Inputs!$B$3-100)*3)+Inputs!$B$28+Inputs!$B$29)))</f>
        <v/>
      </c>
      <c r="E680">
        <f>INDEX(FactorTable!$B$2:$Y$301, MATCH(ROUND(MIN(300,MAX(1,D680)),0), FactorTable!$A$2:$A$301,0), Skills!M10+1)</f>
        <v/>
      </c>
      <c r="F680">
        <f>IF(Skills!N10=TRUE,(Skills!L10/10)*(E680/1000),Skills!L10/10)+Skills!O10</f>
        <v/>
      </c>
      <c r="G680">
        <f>Skills!G10*IF(Skills!H10&gt;0,Skills!I10/Skills!H10,1)</f>
        <v/>
      </c>
      <c r="H680">
        <f>1-(1-Skills!J10/100)^Skills!K10</f>
        <v/>
      </c>
      <c r="I680" t="inlineStr">
        <is>
          <t>1</t>
        </is>
      </c>
      <c r="J680" t="inlineStr"/>
      <c r="K680" t="inlineStr"/>
      <c r="L680" t="inlineStr"/>
      <c r="M680" t="inlineStr"/>
      <c r="N680" t="inlineStr"/>
      <c r="O680">
        <f>(1-Summary!$B$11)*T680+Summary!$B$11*V680</f>
        <v/>
      </c>
      <c r="P680">
        <f>IF(B715=0,0,O680/B715)</f>
        <v/>
      </c>
      <c r="Q680">
        <f>IFERROR(1/IF(Inputs!$B$39="pvp",15,MAX(0.1,Skills!D10-IF(Skills!E10=TRUE,Inputs!$B$32,0))),0)</f>
        <v/>
      </c>
      <c r="R680">
        <f>IF(AND(Inputs!$B$39&lt;&gt;"pvp",Inputs!$B$44&gt;0),IF(Inputs!$B$44&lt;=0,0,(INT(Inputs!$B$44/IF(Inputs!$B$39="pvp",15,MAX(0.1,Skills!D10-IF(Skills!E10=TRUE,Inputs!$B$32,0))))+1)),0)</f>
        <v/>
      </c>
      <c r="S680">
        <f>IFERROR(O680/N680,0)</f>
        <v/>
      </c>
      <c r="T680" t="n">
        <v>0</v>
      </c>
      <c r="V680" t="n">
        <v>0</v>
      </c>
    </row>
    <row r="681">
      <c r="A681">
        <f>Skills!A11</f>
        <v/>
      </c>
      <c r="B681">
        <f>Skills!B11</f>
        <v/>
      </c>
      <c r="C681">
        <f>Inputs!$B$3&gt;=103</f>
        <v/>
      </c>
      <c r="D681">
        <f>IF(Skills!C11=1,60+Inputs!$B$25+Inputs!$B$29,IF(Skills!C11=2,90+Inputs!$B$26+Inputs!$B$29,IF(Skills!C11=3,120+Inputs!$B$27+Inputs!$B$29,MAX(0,(Inputs!$B$3-100)*3)+Inputs!$B$28+Inputs!$B$29)))</f>
        <v/>
      </c>
      <c r="E681">
        <f>INDEX(FactorTable!$B$2:$Y$301, MATCH(ROUND(MIN(300,MAX(1,D681)),0), FactorTable!$A$2:$A$301,0), Skills!M11+1)</f>
        <v/>
      </c>
      <c r="F681">
        <f>(Skills!L11/10)*(E681/1000)+IF(Inputs!$B$3&gt;=134,50,0)+0.5*(30000/10)*(INDEX(FactorTable!$B$2:$Y$301, MATCH(ROUND(MIN(300,MAX(1,D681)),0), FactorTable!$A$2:$A$301,0), 13)/1000)*B713</f>
        <v/>
      </c>
      <c r="G681">
        <f>Skills!G11*IF(Skills!H11&gt;0,Skills!I11/Skills!H11,1)</f>
        <v/>
      </c>
      <c r="H681">
        <f>1-(1-Skills!J11/100)^Skills!K11</f>
        <v/>
      </c>
      <c r="I681" t="inlineStr">
        <is>
          <t>1</t>
        </is>
      </c>
      <c r="J681">
        <f>((Inputs!$B$6*(1+Inputs!$B$7/100))+(((Inputs!$B$12*(1+Inputs!$B$13/100))-(Inputs!$B$12*(1+Inputs!$B$13/100)))+0.25*(Inputs!$B$14-Inputs!$B$14))*(1+Inputs!$B$7/100))*(F681/100)</f>
        <v/>
      </c>
      <c r="K681">
        <f>J681*(1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681)</f>
        <v/>
      </c>
      <c r="L681">
        <f>K681*(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1">
        <f>L681*(1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1">
        <f>L681*(1-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1">
        <f>(1-Summary!$B$11)*T681+Summary!$B$11*V681</f>
        <v/>
      </c>
      <c r="P681">
        <f>IF(B715=0,0,O681/B715)</f>
        <v/>
      </c>
      <c r="Q681">
        <f>IFERROR(1/IF(Inputs!$B$39="pvp",15,MAX(0.1,Skills!D11-IF(Skills!E11=TRUE,Inputs!$B$32,0))),0)</f>
        <v/>
      </c>
      <c r="R681">
        <f>IF(AND(Inputs!$B$39&lt;&gt;"pvp",Inputs!$B$44&gt;0),IF(MAX(0,Inputs!$B$44-B714)&lt;=0,0,(INT(MAX(0,Inputs!$B$44-B714)/IF(Inputs!$B$39="pvp",15,MAX(0.1,Skills!D11-IF(Skills!E11=TRUE,Inputs!$B$32,0))))+1)),0)</f>
        <v/>
      </c>
      <c r="S681">
        <f>IFERROR(O681/N681,0)</f>
        <v/>
      </c>
      <c r="T681">
        <f>IF(C681,(H681*N681*IF(AND(Inputs!$B$39&lt;&gt;"pvp",Inputs!$B$44&gt;0),((Skills!G11*((R681-1)*IF(Skills!H11&gt;0,Skills!I11/Skills!H11,1)+IF(Skills!H11&gt;0,MIN(Skills!I11,MAX(0,MAX(0,Inputs!$B$44-B714)-((R681-1)*IF(Inputs!$B$39="pvp",15,MAX(0.1,Skills!D11-IF(Skills!E11=TRUE,Inputs!$B$32,0))))))/Skills!H11,1)))/Inputs!$B$44),G681*Q681))*IF(Inputs!$B$39="pvp",1,1+(Inputs!$B$20+0+Skills!P11+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681*(1-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681*(1-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1">
        <f>IF(C681,(H681*N681*IF(AND(Inputs!$B$39&lt;&gt;"pvp",Inputs!$B$44&gt;0),((Skills!G11*((R681-1)*IF(Skills!H11&gt;0,Skills!I11/Skills!H11,1)+IF(Skills!H11&gt;0,MIN(Skills!I11,MAX(0,MAX(0,Inputs!$B$44-B714)-((R681-1)*IF(Inputs!$B$39="pvp",15,MAX(0.1,Skills!D11-IF(Skills!E11=TRUE,Inputs!$B$32,0))))))/Skills!H11,1)))/Inputs!$B$44),G681*Q681))*IF(Inputs!$B$39="pvp",1,(1+(Inputs!$B$21+Skills!Q11+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2">
      <c r="A682">
        <f>Skills!A12</f>
        <v/>
      </c>
      <c r="B682">
        <f>Skills!B12</f>
        <v/>
      </c>
      <c r="C682">
        <f>Inputs!$B$3&gt;=105</f>
        <v/>
      </c>
      <c r="D682">
        <f>IF(Skills!C12=1,60+Inputs!$B$25+Inputs!$B$29,IF(Skills!C12=2,90+Inputs!$B$26+Inputs!$B$29,IF(Skills!C12=3,120+Inputs!$B$27+Inputs!$B$29,MAX(0,(Inputs!$B$3-100)*3)+Inputs!$B$28+Inputs!$B$29)))</f>
        <v/>
      </c>
      <c r="E682">
        <f>INDEX(FactorTable!$B$2:$Y$301, MATCH(ROUND(MIN(300,MAX(1,D682)),0), FactorTable!$A$2:$A$301,0), Skills!M12+1)</f>
        <v/>
      </c>
      <c r="F682">
        <f>IF(Skills!N12=TRUE,(Skills!L12/10)*(E682/1000),Skills!L12/10)+Skills!O12</f>
        <v/>
      </c>
      <c r="G682">
        <f>Skills!G12*IF(Skills!H12&gt;0,Skills!I12/Skills!H12,1)</f>
        <v/>
      </c>
      <c r="H682">
        <f>1-(1-Skills!J12/100)^Skills!K12</f>
        <v/>
      </c>
      <c r="I682" t="inlineStr">
        <is>
          <t>1</t>
        </is>
      </c>
      <c r="J682">
        <f>((Inputs!$B$6*(1+Inputs!$B$7/100))+(((Inputs!$B$12*(1+Inputs!$B$13/100))-(Inputs!$B$12*(1+Inputs!$B$13/100)))+0.25*(Inputs!$B$14-Inputs!$B$14))*(1+Inputs!$B$7/100))*(F682/100)</f>
        <v/>
      </c>
      <c r="K682">
        <f>J682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682)</f>
        <v/>
      </c>
      <c r="L682">
        <f>K682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2">
        <f>L682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2">
        <f>L682*(1-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682*(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2">
        <f>(1-Summary!$B$11)*T682+Summary!$B$11*V682</f>
        <v/>
      </c>
      <c r="P682">
        <f>IF(B715=0,0,O682/B715)</f>
        <v/>
      </c>
      <c r="Q682">
        <f>IFERROR(1/IF(Inputs!$B$39="pvp",15,MAX(0.1,Skills!D12-IF(Skills!E12=TRUE,Inputs!$B$32,0))),0)</f>
        <v/>
      </c>
      <c r="R682">
        <f>IF(AND(Inputs!$B$39&lt;&gt;"pvp",Inputs!$B$44&gt;0),IF(MAX(0,Inputs!$B$44-B714)&lt;=0,0,(INT(MAX(0,Inputs!$B$44-B714)/IF(Inputs!$B$39="pvp",15,MAX(0.1,Skills!D12-IF(Skills!E12=TRUE,Inputs!$B$32,0))))+1)),0)</f>
        <v/>
      </c>
      <c r="S682">
        <f>IFERROR(O682/N682,0)</f>
        <v/>
      </c>
      <c r="T682">
        <f>IF(C682,(H682*N682*IF(AND(Inputs!$B$39&lt;&gt;"pvp",Inputs!$B$44&gt;0),((Skills!G12*((R682-1)*IF(Skills!H12&gt;0,Skills!I12/Skills!H12,1)+IF(Skills!H12&gt;0,MIN(Skills!I12,MAX(0,MAX(0,Inputs!$B$44-B714)-((R682-1)*IF(Inputs!$B$39="pvp",15,MAX(0.1,Skills!D12-IF(Skills!E12=TRUE,Inputs!$B$32,0))))))/Skills!H12,1)))/Inputs!$B$44),G682*Q682))*IF(Inputs!$B$39="pvp",1,1+(Inputs!$B$20+0+Skills!P12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682*(1-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682*(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682*(1-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682*(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2">
        <f>IF(C682,(H682*N682*IF(AND(Inputs!$B$39&lt;&gt;"pvp",Inputs!$B$44&gt;0),((Skills!G12*((R682-1)*IF(Skills!H12&gt;0,Skills!I12/Skills!H12,1)+IF(Skills!H12&gt;0,MIN(Skills!I12,MAX(0,MAX(0,Inputs!$B$44-B714)-((R682-1)*IF(Inputs!$B$39="pvp",15,MAX(0.1,Skills!D12-IF(Skills!E12=TRUE,Inputs!$B$32,0))))))/Skills!H12,1)))/Inputs!$B$44),G682*Q682))*IF(Inputs!$B$39="pvp",1,(1+(Inputs!$B$21+Skills!Q12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3">
      <c r="A683">
        <f>Skills!A13</f>
        <v/>
      </c>
      <c r="B683">
        <f>Skills!B13</f>
        <v/>
      </c>
      <c r="C683">
        <f>Inputs!$B$3&gt;=105</f>
        <v/>
      </c>
      <c r="D683">
        <f>IF(Skills!C13=1,60+Inputs!$B$25+Inputs!$B$29,IF(Skills!C13=2,90+Inputs!$B$26+Inputs!$B$29,IF(Skills!C13=3,120+Inputs!$B$27+Inputs!$B$29,MAX(0,(Inputs!$B$3-100)*3)+Inputs!$B$28+Inputs!$B$29)))</f>
        <v/>
      </c>
      <c r="E683">
        <f>INDEX(FactorTable!$B$2:$Y$301, MATCH(ROUND(MIN(300,MAX(1,D683)),0), FactorTable!$A$2:$A$301,0), Skills!M13+1)</f>
        <v/>
      </c>
      <c r="F683">
        <f>IF(Skills!N13=TRUE,(Skills!L13/10)*(E683/1000),Skills!L13/10)+Skills!O13</f>
        <v/>
      </c>
      <c r="G683">
        <f>Skills!G13*IF(Skills!H13&gt;0,Skills!I13/Skills!H13,1)</f>
        <v/>
      </c>
      <c r="H683">
        <f>1-(1-Skills!J13/100)^Skills!K13</f>
        <v/>
      </c>
      <c r="I683" t="inlineStr">
        <is>
          <t>1</t>
        </is>
      </c>
      <c r="J683">
        <f>((Inputs!$B$6*(1+Inputs!$B$7/100))+(((Inputs!$B$12*(1+Inputs!$B$13/100))-(Inputs!$B$12*(1+Inputs!$B$13/100)))+0.25*(Inputs!$B$14-Inputs!$B$14))*(1+Inputs!$B$7/100))*(F683/100)</f>
        <v/>
      </c>
      <c r="K683">
        <f>J683*(1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683)</f>
        <v/>
      </c>
      <c r="L683">
        <f>K683*(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3">
        <f>L683*(1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3">
        <f>L683*(1-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683*(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3">
        <f>(1-Summary!$B$11)*T683+Summary!$B$11*V683</f>
        <v/>
      </c>
      <c r="P683">
        <f>IF(B715=0,0,O683/B715)</f>
        <v/>
      </c>
      <c r="Q683">
        <f>IFERROR(1/IF(Inputs!$B$39="pvp",15,MAX(0.1,Skills!D13-IF(Skills!E13=TRUE,Inputs!$B$32,0))),0)</f>
        <v/>
      </c>
      <c r="R683">
        <f>IF(AND(Inputs!$B$39&lt;&gt;"pvp",Inputs!$B$44&gt;0),IF(MAX(0,Inputs!$B$44-B714)&lt;=0,0,(INT(MAX(0,Inputs!$B$44-B714)/IF(Inputs!$B$39="pvp",15,MAX(0.1,Skills!D13-IF(Skills!E13=TRUE,Inputs!$B$32,0))))+1)),0)</f>
        <v/>
      </c>
      <c r="S683">
        <f>IFERROR(O683/N683,0)</f>
        <v/>
      </c>
      <c r="T683">
        <f>IF(C683,(H683*N683*IF(AND(Inputs!$B$39&lt;&gt;"pvp",Inputs!$B$44&gt;0),((Skills!G13*((R683-1)*IF(Skills!H13&gt;0,Skills!I13/Skills!H13,1)+IF(Skills!H13&gt;0,MIN(Skills!I13,MAX(0,MAX(0,Inputs!$B$44-B714)-((R683-1)*IF(Inputs!$B$39="pvp",15,MAX(0.1,Skills!D13-IF(Skills!E13=TRUE,Inputs!$B$32,0))))))/Skills!H13,1)))/Inputs!$B$44),G683*Q683))*IF(Inputs!$B$39="pvp",1,1+(Inputs!$B$20+0+Skills!P13+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683*(1-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683*(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683*(1-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683*(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3">
        <f>IF(C683,(H683*N683*IF(AND(Inputs!$B$39&lt;&gt;"pvp",Inputs!$B$44&gt;0),((Skills!G13*((R683-1)*IF(Skills!H13&gt;0,Skills!I13/Skills!H13,1)+IF(Skills!H13&gt;0,MIN(Skills!I13,MAX(0,MAX(0,Inputs!$B$44-B714)-((R683-1)*IF(Inputs!$B$39="pvp",15,MAX(0.1,Skills!D13-IF(Skills!E13=TRUE,Inputs!$B$32,0))))))/Skills!H13,1)))/Inputs!$B$44),G683*Q683))*IF(Inputs!$B$39="pvp",1,(1+(Inputs!$B$21+Skills!Q13+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4">
      <c r="A684">
        <f>Skills!A14</f>
        <v/>
      </c>
      <c r="B684">
        <f>Skills!B14</f>
        <v/>
      </c>
      <c r="C684">
        <f>Inputs!$B$3&gt;=107</f>
        <v/>
      </c>
      <c r="D684">
        <f>IF(Skills!C14=1,60+Inputs!$B$25+Inputs!$B$29,IF(Skills!C14=2,90+Inputs!$B$26+Inputs!$B$29,IF(Skills!C14=3,120+Inputs!$B$27+Inputs!$B$29,MAX(0,(Inputs!$B$3-100)*3)+Inputs!$B$28+Inputs!$B$29)))</f>
        <v/>
      </c>
      <c r="E684">
        <f>INDEX(FactorTable!$B$2:$Y$301, MATCH(ROUND(MIN(300,MAX(1,D684)),0), FactorTable!$A$2:$A$301,0), Skills!M14+1)</f>
        <v/>
      </c>
      <c r="F684">
        <f>IF(Skills!N14=TRUE,(Skills!L14/10)*(E684/1000),Skills!L14/10)+Skills!O14</f>
        <v/>
      </c>
      <c r="G684">
        <f>Skills!G14*IF(Skills!H14&gt;0,Skills!I14/Skills!H14,1)</f>
        <v/>
      </c>
      <c r="H684">
        <f>1-(1-Skills!J14/100)^Skills!K14</f>
        <v/>
      </c>
      <c r="I684" t="inlineStr">
        <is>
          <t>1</t>
        </is>
      </c>
      <c r="J684">
        <f>((Inputs!$B$6*(1+Inputs!$B$7/100))+(((Inputs!$B$12*(1+Inputs!$B$13/100))-(Inputs!$B$12*(1+Inputs!$B$13/100)))+0.25*(Inputs!$B$14-Inputs!$B$14))*(1+Inputs!$B$7/100))*(F684/100)</f>
        <v/>
      </c>
      <c r="K684">
        <f>J684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684)</f>
        <v/>
      </c>
      <c r="L684">
        <f>K684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4">
        <f>L684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4">
        <f>L684*(1-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684*(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4">
        <f>(1-Summary!$B$11)*T684+Summary!$B$11*V684</f>
        <v/>
      </c>
      <c r="P684">
        <f>IF(B715=0,0,O684/B715)</f>
        <v/>
      </c>
      <c r="Q684">
        <f>IFERROR(1/IF(Inputs!$B$39="pvp",15,MAX(0.1,Skills!D14-IF(Skills!E14=TRUE,Inputs!$B$32,0))),0)</f>
        <v/>
      </c>
      <c r="R684">
        <f>IF(AND(Inputs!$B$39&lt;&gt;"pvp",Inputs!$B$44&gt;0),IF(MAX(0,Inputs!$B$44-B714)&lt;=0,0,(INT(MAX(0,Inputs!$B$44-B714)/IF(Inputs!$B$39="pvp",15,MAX(0.1,Skills!D14-IF(Skills!E14=TRUE,Inputs!$B$32,0))))+1)),0)</f>
        <v/>
      </c>
      <c r="S684">
        <f>IFERROR(O684/N684,0)</f>
        <v/>
      </c>
      <c r="T684">
        <f>IF(C684,(H684*N684*IF(AND(Inputs!$B$39&lt;&gt;"pvp",Inputs!$B$44&gt;0),((Skills!G14*((R684-1)*IF(Skills!H14&gt;0,Skills!I14/Skills!H14,1)+IF(Skills!H14&gt;0,MIN(Skills!I14,MAX(0,MAX(0,Inputs!$B$44-B714)-((R684-1)*IF(Inputs!$B$39="pvp",15,MAX(0.1,Skills!D14-IF(Skills!E14=TRUE,Inputs!$B$32,0))))))/Skills!H14,1)))/Inputs!$B$44),G684*Q684))*IF(Inputs!$B$39="pvp",1,1+(Inputs!$B$20+0+Skills!P14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684*(1-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684*(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684*(1-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684*(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4">
        <f>IF(C684,(H684*N684*IF(AND(Inputs!$B$39&lt;&gt;"pvp",Inputs!$B$44&gt;0),((Skills!G14*((R684-1)*IF(Skills!H14&gt;0,Skills!I14/Skills!H14,1)+IF(Skills!H14&gt;0,MIN(Skills!I14,MAX(0,MAX(0,Inputs!$B$44-B714)-((R684-1)*IF(Inputs!$B$39="pvp",15,MAX(0.1,Skills!D14-IF(Skills!E14=TRUE,Inputs!$B$32,0))))))/Skills!H14,1)))/Inputs!$B$44),G684*Q684))*IF(Inputs!$B$39="pvp",1,(1+(Inputs!$B$21+Skills!Q14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(5,0.25*B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5">
      <c r="A685">
        <f>Skills!A15</f>
        <v/>
      </c>
      <c r="B685">
        <f>Skills!B15</f>
        <v/>
      </c>
      <c r="C685">
        <f>Inputs!$B$3&gt;=110</f>
        <v/>
      </c>
      <c r="D685">
        <f>IF(Skills!C15=1,60+Inputs!$B$25+Inputs!$B$29,IF(Skills!C15=2,90+Inputs!$B$26+Inputs!$B$29,IF(Skills!C15=3,120+Inputs!$B$27+Inputs!$B$29,MAX(0,(Inputs!$B$3-100)*3)+Inputs!$B$28+Inputs!$B$29)))</f>
        <v/>
      </c>
      <c r="E685">
        <f>INDEX(FactorTable!$B$2:$Y$301, MATCH(ROUND(MIN(300,MAX(1,D685)),0), FactorTable!$A$2:$A$301,0), Skills!M15+1)</f>
        <v/>
      </c>
      <c r="F685">
        <f>IF(Skills!N15=TRUE,(Skills!L15/10)*(E685/1000),Skills!L15/10)+Skills!O15</f>
        <v/>
      </c>
      <c r="G685">
        <f>Skills!G15*IF(Skills!H15&gt;0,Skills!I15/Skills!H15,1)</f>
        <v/>
      </c>
      <c r="H685">
        <f>1-(1-Skills!J15/100)^Skills!K15</f>
        <v/>
      </c>
      <c r="I685" t="inlineStr">
        <is>
          <t>1</t>
        </is>
      </c>
      <c r="J685" t="inlineStr"/>
      <c r="K685" t="inlineStr"/>
      <c r="L685" t="inlineStr"/>
      <c r="M685" t="inlineStr"/>
      <c r="N685" t="inlineStr"/>
      <c r="O685">
        <f>(1-Summary!$B$11)*T685+Summary!$B$11*V685</f>
        <v/>
      </c>
      <c r="P685">
        <f>IF(B715=0,0,O685/B715)</f>
        <v/>
      </c>
      <c r="Q685">
        <f>IFERROR(1/IF(Inputs!$B$39="pvp",15,MAX(0.1,Skills!D15-IF(Skills!E15=TRUE,Inputs!$B$32,0))),0)</f>
        <v/>
      </c>
      <c r="R685">
        <f>IF(AND(Inputs!$B$39&lt;&gt;"pvp",Inputs!$B$44&gt;0),IF(Inputs!$B$44&lt;=0,0,(INT(Inputs!$B$44/IF(Inputs!$B$39="pvp",15,MAX(0.1,Skills!D15-IF(Skills!E15=TRUE,Inputs!$B$32,0))))+1)),0)</f>
        <v/>
      </c>
      <c r="S685">
        <f>IFERROR(O685/N685,0)</f>
        <v/>
      </c>
      <c r="T685" t="n">
        <v>0</v>
      </c>
      <c r="V685" t="n">
        <v>0</v>
      </c>
    </row>
    <row r="686">
      <c r="A686">
        <f>Skills!A16</f>
        <v/>
      </c>
      <c r="B686">
        <f>Skills!B16</f>
        <v/>
      </c>
      <c r="C686">
        <f>Inputs!$B$3&gt;=115</f>
        <v/>
      </c>
      <c r="D686">
        <f>IF(Skills!C16=1,60+Inputs!$B$25+Inputs!$B$29,IF(Skills!C16=2,90+Inputs!$B$26+Inputs!$B$29,IF(Skills!C16=3,120+Inputs!$B$27+Inputs!$B$29,MAX(0,(Inputs!$B$3-100)*3)+Inputs!$B$28+Inputs!$B$29)))</f>
        <v/>
      </c>
      <c r="E686">
        <f>INDEX(FactorTable!$B$2:$Y$301, MATCH(ROUND(MIN(300,MAX(1,D686)),0), FactorTable!$A$2:$A$301,0), Skills!M16+1)</f>
        <v/>
      </c>
      <c r="F686">
        <f>IF(Skills!N16=TRUE,(Skills!L16/10)*(E686/1000),Skills!L16/10)+Skills!O16</f>
        <v/>
      </c>
      <c r="G686">
        <f>Skills!G16*IF(Skills!H16&gt;0,Skills!I16/Skills!H16,1)</f>
        <v/>
      </c>
      <c r="H686">
        <f>1-(1-Skills!J16/100)^Skills!K16</f>
        <v/>
      </c>
      <c r="I686" t="inlineStr">
        <is>
          <t>1</t>
        </is>
      </c>
      <c r="J686">
        <f>((Inputs!$B$6*(1+Inputs!$B$7/100))+(((Inputs!$B$12*(1+Inputs!$B$13/100))-(Inputs!$B$12*(1+Inputs!$B$13/100)))+0.25*(Inputs!$B$14-Inputs!$B$14))*(1+Inputs!$B$7/100))*(F686/100)</f>
        <v/>
      </c>
      <c r="K686">
        <f>J686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16="CRUEL_STAB",Inputs!$B$17+((C697=TRUE)*(F697-Calc!F27))+((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686)</f>
        <v/>
      </c>
      <c r="L686">
        <f>K686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6">
        <f>L686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6">
        <f>L686*(1-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686*(MIN((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6">
        <f>(1-Summary!$B$11)*T686+Summary!$B$11*V686</f>
        <v/>
      </c>
      <c r="P686">
        <f>IF(B715=0,0,O686/B715)</f>
        <v/>
      </c>
      <c r="Q686" t="n">
        <v>0</v>
      </c>
      <c r="R686" t="n">
        <v>0</v>
      </c>
      <c r="S686">
        <f>IFERROR(O686/N686,0)</f>
        <v/>
      </c>
      <c r="T686">
        <f>IF(C686,(Inputs!$B$38*0.2*N686)*IF(Inputs!$B$39="pvp",1,1+(Inputs!$B$20+0+Skills!P16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686*(1-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686*(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686*(1-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686*(MIN(100,(Inputs!$B$9+((C695=TRUE)*(F695-Calc!F25))+B703+(ArtifactsInput!$M$24-ArtifactsInput!$M$24)*CHOOSE(ArtifactsInput!$N$24+1,10,12,14,16,18,20)+(IF(AND(Inputs!$B$39&lt;&gt;"pvp",Inputs!$B$44=0),1,IF(IF(Inputs!$B$39="pvp",15,Inputs!$B$44)-(B714)&lt;=0,1,MAX(0,IF(Inputs!$B$39="pvp",15,Inputs!$B$44)-MAX(5,B714))/(IF(Inputs!$B$39="pvp",15,Inputs!$B$44)-(B714))))*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6">
        <f>IF(C686,(Inputs!$B$38*0.2*N686)*IF(Inputs!$B$39="pvp",1,(1+(Inputs!$B$21+Skills!Q16+B704+(IF(ArtifactsInput!$M$33,CHOOSE(ArtifactsInput!$N$33+1,30,36,42,48,54,60),0))+(IF(AND(ArtifactsInput!$M$35,Inputs!$B$4&lt;&gt;"Chapter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7">
      <c r="A687">
        <f>Skills!A17</f>
        <v/>
      </c>
      <c r="B687">
        <f>Skills!B17</f>
        <v/>
      </c>
      <c r="C687">
        <f>Inputs!$B$3&gt;=115</f>
        <v/>
      </c>
      <c r="D687">
        <f>IF(Skills!C17=1,60+Inputs!$B$25+Inputs!$B$29,IF(Skills!C17=2,90+Inputs!$B$26+Inputs!$B$29,IF(Skills!C17=3,120+Inputs!$B$27+Inputs!$B$29,MAX(0,(Inputs!$B$3-100)*3)+Inputs!$B$28+Inputs!$B$29)))</f>
        <v/>
      </c>
      <c r="E687">
        <f>INDEX(FactorTable!$B$2:$Y$301, MATCH(ROUND(MIN(300,MAX(1,D687)),0), FactorTable!$A$2:$A$301,0), Skills!M17+1)</f>
        <v/>
      </c>
      <c r="F687">
        <f>IF(Skills!N17=TRUE,(Skills!L17/10)*(E687/1000),Skills!L17/10)+Skills!O17</f>
        <v/>
      </c>
      <c r="G687">
        <f>Skills!G17*IF(Skills!H17&gt;0,Skills!I17/Skills!H17,1)</f>
        <v/>
      </c>
      <c r="H687">
        <f>1-(1-Skills!J17/100)^Skills!K17</f>
        <v/>
      </c>
      <c r="I687" t="inlineStr">
        <is>
          <t>1</t>
        </is>
      </c>
      <c r="J687" t="inlineStr"/>
      <c r="K687" t="inlineStr"/>
      <c r="L687" t="inlineStr"/>
      <c r="M687" t="inlineStr"/>
      <c r="N687" t="inlineStr"/>
      <c r="O687">
        <f>(1-Summary!$B$11)*T687+Summary!$B$11*V687</f>
        <v/>
      </c>
      <c r="P687">
        <f>IF(B715=0,0,O687/B715)</f>
        <v/>
      </c>
      <c r="Q687" t="n">
        <v>0</v>
      </c>
      <c r="R687" t="n">
        <v>0</v>
      </c>
      <c r="S687">
        <f>IFERROR(O687/N687,0)</f>
        <v/>
      </c>
      <c r="T687" t="n">
        <v>0</v>
      </c>
      <c r="V687" t="n">
        <v>0</v>
      </c>
    </row>
    <row r="688">
      <c r="A688">
        <f>Skills!A18</f>
        <v/>
      </c>
      <c r="B688">
        <f>Skills!B18</f>
        <v/>
      </c>
      <c r="C688">
        <f>Inputs!$B$3&gt;=100</f>
        <v/>
      </c>
      <c r="D688">
        <f>IF(Skills!C18=1,60+Inputs!$B$25+Inputs!$B$29,IF(Skills!C18=2,90+Inputs!$B$26+Inputs!$B$29,IF(Skills!C18=3,120+Inputs!$B$27+Inputs!$B$29,MAX(0,(Inputs!$B$3-100)*3)+Inputs!$B$28+Inputs!$B$29)))</f>
        <v/>
      </c>
      <c r="E688">
        <f>INDEX(FactorTable!$B$2:$Y$301, MATCH(ROUND(MIN(300,MAX(1,D688)),0), FactorTable!$A$2:$A$301,0), Skills!M18+1)</f>
        <v/>
      </c>
      <c r="F688">
        <f>IF(Skills!N18=TRUE,(Skills!L18/10)*(E688/1000),Skills!L18/10)+Skills!O18</f>
        <v/>
      </c>
      <c r="G688">
        <f>Skills!G18*IF(Skills!H18&gt;0,Skills!I18/Skills!H18,1)</f>
        <v/>
      </c>
      <c r="H688">
        <f>1-(1-Skills!J18/100)^Skills!K18</f>
        <v/>
      </c>
      <c r="I688" t="inlineStr">
        <is>
          <t>1</t>
        </is>
      </c>
      <c r="J688" t="inlineStr"/>
      <c r="K688" t="inlineStr"/>
      <c r="L688" t="inlineStr"/>
      <c r="M688" t="inlineStr"/>
      <c r="N688" t="inlineStr"/>
      <c r="O688">
        <f>(1-Summary!$B$11)*T688+Summary!$B$11*V688</f>
        <v/>
      </c>
      <c r="P688">
        <f>IF(B715=0,0,O688/B715)</f>
        <v/>
      </c>
      <c r="Q688" t="n">
        <v>0</v>
      </c>
      <c r="R688" t="n">
        <v>0</v>
      </c>
      <c r="S688">
        <f>IFERROR(O688/N688,0)</f>
        <v/>
      </c>
      <c r="T688" t="n">
        <v>0</v>
      </c>
      <c r="V688" t="n">
        <v>0</v>
      </c>
    </row>
    <row r="689">
      <c r="A689">
        <f>Skills!A19</f>
        <v/>
      </c>
      <c r="B689">
        <f>Skills!B19</f>
        <v/>
      </c>
      <c r="C689">
        <f>TRUE</f>
        <v/>
      </c>
      <c r="D689">
        <f>IF(Skills!C19=1,60+Inputs!$B$25+Inputs!$B$29,IF(Skills!C19=2,90+Inputs!$B$26+Inputs!$B$29,IF(Skills!C19=3,120+Inputs!$B$27+Inputs!$B$29,MAX(0,(Inputs!$B$3-100)*3)+Inputs!$B$28+Inputs!$B$29)))</f>
        <v/>
      </c>
      <c r="E689">
        <f>INDEX(FactorTable!$B$2:$Y$301, MATCH(ROUND(MIN(300,MAX(1,D689)),0), FactorTable!$A$2:$A$301,0), Skills!M19+1)</f>
        <v/>
      </c>
      <c r="F689">
        <f>IF(Skills!N19=TRUE,(Skills!L19/10)*(E689/1000),Skills!L19/10)+Skills!O19</f>
        <v/>
      </c>
      <c r="G689">
        <f>Skills!G19*IF(Skills!H19&gt;0,Skills!I19/Skills!H19,1)</f>
        <v/>
      </c>
      <c r="H689">
        <f>1-(1-Skills!J19/100)^Skills!K19</f>
        <v/>
      </c>
      <c r="I689" t="inlineStr">
        <is>
          <t>1</t>
        </is>
      </c>
      <c r="J689" t="inlineStr"/>
      <c r="K689" t="inlineStr"/>
      <c r="L689" t="inlineStr"/>
      <c r="M689" t="inlineStr"/>
      <c r="N689" t="inlineStr"/>
      <c r="O689">
        <f>(1-Summary!$B$11)*T689+Summary!$B$11*V689</f>
        <v/>
      </c>
      <c r="P689">
        <f>IF(B715=0,0,O689/B715)</f>
        <v/>
      </c>
      <c r="Q689">
        <f>IFERROR(1/IF(Inputs!$B$39="pvp",15,MAX(0.1,Skills!D19-IF(Skills!E19=TRUE,Inputs!$B$32,0))),0)</f>
        <v/>
      </c>
      <c r="R689">
        <f>IF(AND(Inputs!$B$39&lt;&gt;"pvp",Inputs!$B$44&gt;0),IF(Inputs!$B$44&lt;=0,0,(INT(Inputs!$B$44/IF(Inputs!$B$39="pvp",15,MAX(0.1,Skills!D19-IF(Skills!E19=TRUE,Inputs!$B$32,0))))+1)),0)</f>
        <v/>
      </c>
      <c r="S689">
        <f>IFERROR(O689/N689,0)</f>
        <v/>
      </c>
      <c r="T689" t="n">
        <v>0</v>
      </c>
      <c r="V689" t="n">
        <v>0</v>
      </c>
    </row>
    <row r="690">
      <c r="A690">
        <f>Skills!A20</f>
        <v/>
      </c>
      <c r="B690">
        <f>Skills!B20</f>
        <v/>
      </c>
      <c r="C690">
        <f>Inputs!$B$3&gt;=15</f>
        <v/>
      </c>
      <c r="D690">
        <f>IF(Skills!C20=1,60+Inputs!$B$25+Inputs!$B$29,IF(Skills!C20=2,90+Inputs!$B$26+Inputs!$B$29,IF(Skills!C20=3,120+Inputs!$B$27+Inputs!$B$29,MAX(0,(Inputs!$B$3-100)*3)+Inputs!$B$28+Inputs!$B$29)))</f>
        <v/>
      </c>
      <c r="E690">
        <f>INDEX(FactorTable!$B$2:$Y$301, MATCH(ROUND(MIN(300,MAX(1,D690)),0), FactorTable!$A$2:$A$301,0), Skills!M20+1)</f>
        <v/>
      </c>
      <c r="F690">
        <f>IF(Skills!N20=TRUE,(Skills!L20/10)*(E690/1000),Skills!L20/10)+Skills!O20</f>
        <v/>
      </c>
      <c r="G690">
        <f>Skills!G20*IF(Skills!H20&gt;0,Skills!I20/Skills!H20,1)</f>
        <v/>
      </c>
      <c r="H690">
        <f>1-(1-Skills!J20/100)^Skills!K20</f>
        <v/>
      </c>
      <c r="I690" t="inlineStr">
        <is>
          <t>1</t>
        </is>
      </c>
      <c r="J690" t="inlineStr"/>
      <c r="K690" t="inlineStr"/>
      <c r="L690" t="inlineStr"/>
      <c r="M690" t="inlineStr"/>
      <c r="N690" t="inlineStr"/>
      <c r="O690">
        <f>(1-Summary!$B$11)*T690+Summary!$B$11*V690</f>
        <v/>
      </c>
      <c r="P690">
        <f>IF(B715=0,0,O690/B715)</f>
        <v/>
      </c>
      <c r="Q690">
        <f>IFERROR(1/IF(Inputs!$B$39="pvp",15,MAX(0.1,Skills!D20-IF(Skills!E20=TRUE,Inputs!$B$32,0))),0)</f>
        <v/>
      </c>
      <c r="R690">
        <f>IF(AND(Inputs!$B$39&lt;&gt;"pvp",Inputs!$B$44&gt;0),IF(Inputs!$B$44&lt;=0,0,(INT(Inputs!$B$44/IF(Inputs!$B$39="pvp",15,MAX(0.1,Skills!D20-IF(Skills!E20=TRUE,Inputs!$B$32,0))))+1)),0)</f>
        <v/>
      </c>
      <c r="S690">
        <f>IFERROR(O690/N690,0)</f>
        <v/>
      </c>
      <c r="T690" t="n">
        <v>0</v>
      </c>
      <c r="V690" t="n">
        <v>0</v>
      </c>
    </row>
    <row r="691">
      <c r="A691">
        <f>Skills!A21</f>
        <v/>
      </c>
      <c r="B691">
        <f>Skills!B21</f>
        <v/>
      </c>
      <c r="C691">
        <f>Inputs!$B$3&gt;=15</f>
        <v/>
      </c>
      <c r="D691">
        <f>IF(Skills!C21=1,60+Inputs!$B$25+Inputs!$B$29,IF(Skills!C21=2,90+Inputs!$B$26+Inputs!$B$29,IF(Skills!C21=3,120+Inputs!$B$27+Inputs!$B$29,MAX(0,(Inputs!$B$3-100)*3)+Inputs!$B$28+Inputs!$B$29)))</f>
        <v/>
      </c>
      <c r="E691">
        <f>INDEX(FactorTable!$B$2:$Y$301, MATCH(ROUND(MIN(300,MAX(1,D691)),0), FactorTable!$A$2:$A$301,0), Skills!M21+1)</f>
        <v/>
      </c>
      <c r="F691">
        <f>IF(Skills!N21=TRUE,(Skills!L21/10)*(E691/1000),Skills!L21/10)+Skills!O21</f>
        <v/>
      </c>
      <c r="G691">
        <f>Skills!G21*IF(Skills!H21&gt;0,Skills!I21/Skills!H21,1)</f>
        <v/>
      </c>
      <c r="H691">
        <f>1-(1-Skills!J21/100)^Skills!K21</f>
        <v/>
      </c>
      <c r="I691" t="inlineStr">
        <is>
          <t>1</t>
        </is>
      </c>
      <c r="J691" t="inlineStr"/>
      <c r="K691" t="inlineStr"/>
      <c r="L691" t="inlineStr"/>
      <c r="M691" t="inlineStr"/>
      <c r="N691" t="inlineStr"/>
      <c r="O691">
        <f>(1-Summary!$B$11)*T691+Summary!$B$11*V691</f>
        <v/>
      </c>
      <c r="P691">
        <f>IF(B715=0,0,O691/B715)</f>
        <v/>
      </c>
      <c r="Q691">
        <f>IFERROR(1/IF(Inputs!$B$39="pvp",15,MAX(0.1,Skills!D21-IF(Skills!E21=TRUE,Inputs!$B$32,0))),0)</f>
        <v/>
      </c>
      <c r="R691">
        <f>IF(AND(Inputs!$B$39&lt;&gt;"pvp",Inputs!$B$44&gt;0),IF(Inputs!$B$44&lt;=0,0,(INT(Inputs!$B$44/IF(Inputs!$B$39="pvp",15,MAX(0.1,Skills!D21-IF(Skills!E21=TRUE,Inputs!$B$32,0))))+1)),0)</f>
        <v/>
      </c>
      <c r="S691">
        <f>IFERROR(O691/N691,0)</f>
        <v/>
      </c>
      <c r="T691" t="n">
        <v>0</v>
      </c>
      <c r="V691" t="n">
        <v>0</v>
      </c>
    </row>
    <row r="692">
      <c r="A692">
        <f>Skills!A22</f>
        <v/>
      </c>
      <c r="B692">
        <f>Skills!B22</f>
        <v/>
      </c>
      <c r="C692">
        <f>Inputs!$B$3&gt;=33</f>
        <v/>
      </c>
      <c r="D692">
        <f>IF(Skills!C22=1,60+Inputs!$B$25+Inputs!$B$29,IF(Skills!C22=2,90+Inputs!$B$26+Inputs!$B$29,IF(Skills!C22=3,120+Inputs!$B$27+Inputs!$B$29,MAX(0,(Inputs!$B$3-100)*3)+Inputs!$B$28+Inputs!$B$29)))</f>
        <v/>
      </c>
      <c r="E692">
        <f>INDEX(FactorTable!$B$2:$Y$301, MATCH(ROUND(MIN(300,MAX(1,D692)),0), FactorTable!$A$2:$A$301,0), Skills!M22+1)</f>
        <v/>
      </c>
      <c r="F692">
        <f>IF(Skills!N22=TRUE,(Skills!L22/10)*(E692/1000),Skills!L22/10)+Skills!O22</f>
        <v/>
      </c>
      <c r="G692">
        <f>Skills!G22*IF(Skills!H22&gt;0,Skills!I22/Skills!H22,1)</f>
        <v/>
      </c>
      <c r="H692">
        <f>1-(1-Skills!J22/100)^Skills!K22</f>
        <v/>
      </c>
      <c r="I692" t="inlineStr">
        <is>
          <t>1</t>
        </is>
      </c>
      <c r="J692" t="inlineStr"/>
      <c r="K692" t="inlineStr"/>
      <c r="L692" t="inlineStr"/>
      <c r="M692" t="inlineStr"/>
      <c r="N692" t="inlineStr"/>
      <c r="O692">
        <f>(1-Summary!$B$11)*T692+Summary!$B$11*V692</f>
        <v/>
      </c>
      <c r="P692">
        <f>IF(B715=0,0,O692/B715)</f>
        <v/>
      </c>
      <c r="Q692" t="n">
        <v>0</v>
      </c>
      <c r="R692" t="n">
        <v>0</v>
      </c>
      <c r="S692">
        <f>IFERROR(O692/N692,0)</f>
        <v/>
      </c>
      <c r="T692" t="n">
        <v>0</v>
      </c>
      <c r="V692" t="n">
        <v>0</v>
      </c>
    </row>
    <row r="693">
      <c r="A693">
        <f>Skills!A23</f>
        <v/>
      </c>
      <c r="B693">
        <f>Skills!B23</f>
        <v/>
      </c>
      <c r="C693">
        <f>Inputs!$B$3&gt;=40</f>
        <v/>
      </c>
      <c r="D693">
        <f>IF(Skills!C23=1,60+Inputs!$B$25+Inputs!$B$29,IF(Skills!C23=2,90+Inputs!$B$26+Inputs!$B$29,IF(Skills!C23=3,120+Inputs!$B$27+Inputs!$B$29,MAX(0,(Inputs!$B$3-100)*3)+Inputs!$B$28+Inputs!$B$29)))</f>
        <v/>
      </c>
      <c r="E693">
        <f>INDEX(FactorTable!$B$2:$Y$301, MATCH(ROUND(MIN(300,MAX(1,D693)),0), FactorTable!$A$2:$A$301,0), Skills!M23+1)</f>
        <v/>
      </c>
      <c r="F693">
        <f>IF(Skills!N23=TRUE,(Skills!L23/10)*(E693/1000),Skills!L23/10)+Skills!O23</f>
        <v/>
      </c>
      <c r="G693">
        <f>Skills!G23*IF(Skills!H23&gt;0,Skills!I23/Skills!H23,1)</f>
        <v/>
      </c>
      <c r="H693">
        <f>1-(1-Skills!J23/100)^Skills!K23</f>
        <v/>
      </c>
      <c r="I693" t="inlineStr">
        <is>
          <t>1</t>
        </is>
      </c>
      <c r="J693" t="inlineStr"/>
      <c r="K693" t="inlineStr"/>
      <c r="L693" t="inlineStr"/>
      <c r="M693" t="inlineStr"/>
      <c r="N693" t="inlineStr"/>
      <c r="O693">
        <f>(1-Summary!$B$11)*T693+Summary!$B$11*V693</f>
        <v/>
      </c>
      <c r="P693">
        <f>IF(B715=0,0,O693/B715)</f>
        <v/>
      </c>
      <c r="Q693" t="n">
        <v>0</v>
      </c>
      <c r="R693" t="n">
        <v>0</v>
      </c>
      <c r="S693">
        <f>IFERROR(O693/N693,0)</f>
        <v/>
      </c>
      <c r="T693" t="n">
        <v>0</v>
      </c>
      <c r="V693" t="n">
        <v>0</v>
      </c>
    </row>
    <row r="694">
      <c r="A694">
        <f>Skills!A24</f>
        <v/>
      </c>
      <c r="B694">
        <f>Skills!B24</f>
        <v/>
      </c>
      <c r="C694">
        <f>Inputs!$B$3&gt;=43</f>
        <v/>
      </c>
      <c r="D694">
        <f>IF(Skills!C24=1,60+Inputs!$B$25+Inputs!$B$29,IF(Skills!C24=2,90+Inputs!$B$26+Inputs!$B$29,IF(Skills!C24=3,120+Inputs!$B$27+Inputs!$B$29,MAX(0,(Inputs!$B$3-100)*3)+Inputs!$B$28+Inputs!$B$29)))</f>
        <v/>
      </c>
      <c r="E694">
        <f>INDEX(FactorTable!$B$2:$Y$301, MATCH(ROUND(MIN(300,MAX(1,D694)),0), FactorTable!$A$2:$A$301,0), Skills!M24+1)</f>
        <v/>
      </c>
      <c r="F694">
        <f>IF(Skills!N24=TRUE,(Skills!L24/10)*(E694/1000),Skills!L24/10)+Skills!O24</f>
        <v/>
      </c>
      <c r="G694">
        <f>Skills!G24*IF(Skills!H24&gt;0,Skills!I24/Skills!H24,1)</f>
        <v/>
      </c>
      <c r="H694">
        <f>1-(1-Skills!J24/100)^Skills!K24</f>
        <v/>
      </c>
      <c r="I694" t="inlineStr">
        <is>
          <t>1</t>
        </is>
      </c>
      <c r="J694" t="inlineStr"/>
      <c r="K694" t="inlineStr"/>
      <c r="L694" t="inlineStr"/>
      <c r="M694" t="inlineStr"/>
      <c r="N694" t="inlineStr"/>
      <c r="O694">
        <f>(1-Summary!$B$11)*T694+Summary!$B$11*V694</f>
        <v/>
      </c>
      <c r="P694">
        <f>IF(B715=0,0,O694/B715)</f>
        <v/>
      </c>
      <c r="Q694" t="n">
        <v>0</v>
      </c>
      <c r="R694" t="n">
        <v>0</v>
      </c>
      <c r="S694">
        <f>IFERROR(O694/N694,0)</f>
        <v/>
      </c>
      <c r="T694" t="n">
        <v>0</v>
      </c>
      <c r="V694" t="n">
        <v>0</v>
      </c>
    </row>
    <row r="695">
      <c r="A695">
        <f>Skills!A25</f>
        <v/>
      </c>
      <c r="B695">
        <f>Skills!B25</f>
        <v/>
      </c>
      <c r="C695">
        <f>Inputs!$B$3&gt;=50</f>
        <v/>
      </c>
      <c r="D695">
        <f>IF(Skills!C25=1,60+Inputs!$B$25+Inputs!$B$29,IF(Skills!C25=2,90+Inputs!$B$26+Inputs!$B$29,IF(Skills!C25=3,120+Inputs!$B$27+Inputs!$B$29,MAX(0,(Inputs!$B$3-100)*3)+Inputs!$B$28+Inputs!$B$29)))</f>
        <v/>
      </c>
      <c r="E695">
        <f>INDEX(FactorTable!$B$2:$Y$301, MATCH(ROUND(MIN(300,MAX(1,D695)),0), FactorTable!$A$2:$A$301,0), Skills!M25+1)</f>
        <v/>
      </c>
      <c r="F695">
        <f>IF(Skills!N25=TRUE,(Skills!L25/10)*(E695/1000),Skills!L25/10)+Skills!O25</f>
        <v/>
      </c>
      <c r="G695">
        <f>Skills!G25*IF(Skills!H25&gt;0,Skills!I25/Skills!H25,1)</f>
        <v/>
      </c>
      <c r="H695">
        <f>1-(1-Skills!J25/100)^Skills!K25</f>
        <v/>
      </c>
      <c r="I695" t="inlineStr">
        <is>
          <t>1</t>
        </is>
      </c>
      <c r="J695" t="inlineStr"/>
      <c r="K695" t="inlineStr"/>
      <c r="L695" t="inlineStr"/>
      <c r="M695" t="inlineStr"/>
      <c r="N695" t="inlineStr"/>
      <c r="O695">
        <f>(1-Summary!$B$11)*T695+Summary!$B$11*V695</f>
        <v/>
      </c>
      <c r="P695">
        <f>IF(B715=0,0,O695/B715)</f>
        <v/>
      </c>
      <c r="Q695" t="n">
        <v>0</v>
      </c>
      <c r="R695" t="n">
        <v>0</v>
      </c>
      <c r="S695">
        <f>IFERROR(O695/N695,0)</f>
        <v/>
      </c>
      <c r="T695" t="n">
        <v>0</v>
      </c>
      <c r="V695" t="n">
        <v>0</v>
      </c>
    </row>
    <row r="696">
      <c r="A696">
        <f>Skills!A26</f>
        <v/>
      </c>
      <c r="B696">
        <f>Skills!B26</f>
        <v/>
      </c>
      <c r="C696">
        <f>Inputs!$B$3&gt;=50</f>
        <v/>
      </c>
      <c r="D696">
        <f>IF(Skills!C26=1,60+Inputs!$B$25+Inputs!$B$29,IF(Skills!C26=2,90+Inputs!$B$26+Inputs!$B$29,IF(Skills!C26=3,120+Inputs!$B$27+Inputs!$B$29,MAX(0,(Inputs!$B$3-100)*3)+Inputs!$B$28+Inputs!$B$29)))</f>
        <v/>
      </c>
      <c r="E696">
        <f>INDEX(FactorTable!$B$2:$Y$301, MATCH(ROUND(MIN(300,MAX(1,D696)),0), FactorTable!$A$2:$A$301,0), Skills!M26+1)</f>
        <v/>
      </c>
      <c r="F696">
        <f>IF(Skills!N26=TRUE,(Skills!L26/10)*(E696/1000),Skills!L26/10)+Skills!O26</f>
        <v/>
      </c>
      <c r="G696">
        <f>Skills!G26*IF(Skills!H26&gt;0,Skills!I26/Skills!H26,1)</f>
        <v/>
      </c>
      <c r="H696">
        <f>1-(1-Skills!J26/100)^Skills!K26</f>
        <v/>
      </c>
      <c r="I696" t="inlineStr">
        <is>
          <t>1</t>
        </is>
      </c>
      <c r="J696" t="inlineStr"/>
      <c r="K696" t="inlineStr"/>
      <c r="L696" t="inlineStr"/>
      <c r="M696" t="inlineStr"/>
      <c r="N696" t="inlineStr"/>
      <c r="O696">
        <f>(1-Summary!$B$11)*T696+Summary!$B$11*V696</f>
        <v/>
      </c>
      <c r="P696">
        <f>IF(B715=0,0,O696/B715)</f>
        <v/>
      </c>
      <c r="Q696" t="n">
        <v>0</v>
      </c>
      <c r="R696" t="n">
        <v>0</v>
      </c>
      <c r="S696">
        <f>IFERROR(O696/N696,0)</f>
        <v/>
      </c>
      <c r="T696" t="n">
        <v>0</v>
      </c>
      <c r="V696" t="n">
        <v>0</v>
      </c>
    </row>
    <row r="697">
      <c r="A697">
        <f>Skills!A27</f>
        <v/>
      </c>
      <c r="B697">
        <f>Skills!B27</f>
        <v/>
      </c>
      <c r="C697">
        <f>Inputs!$B$3&gt;=38</f>
        <v/>
      </c>
      <c r="D697">
        <f>IF(Skills!C27=1,60+Inputs!$B$25+Inputs!$B$29,IF(Skills!C27=2,90+Inputs!$B$26+Inputs!$B$29,IF(Skills!C27=3,120+Inputs!$B$27+Inputs!$B$29,MAX(0,(Inputs!$B$3-100)*3)+Inputs!$B$28+Inputs!$B$29)))</f>
        <v/>
      </c>
      <c r="E697">
        <f>INDEX(FactorTable!$B$2:$Y$301, MATCH(ROUND(MIN(300,MAX(1,D697)),0), FactorTable!$A$2:$A$301,0), Skills!M27+1)</f>
        <v/>
      </c>
      <c r="F697">
        <f>IF(Skills!N27=TRUE,(Skills!L27/10)*(E697/1000),Skills!L27/10)+Skills!O27</f>
        <v/>
      </c>
      <c r="G697">
        <f>Skills!G27*IF(Skills!H27&gt;0,Skills!I27/Skills!H27,1)</f>
        <v/>
      </c>
      <c r="H697">
        <f>1-(1-Skills!J27/100)^Skills!K27</f>
        <v/>
      </c>
      <c r="I697" t="inlineStr">
        <is>
          <t>1</t>
        </is>
      </c>
      <c r="J697" t="inlineStr"/>
      <c r="K697" t="inlineStr"/>
      <c r="L697" t="inlineStr"/>
      <c r="M697" t="inlineStr"/>
      <c r="N697" t="inlineStr"/>
      <c r="O697">
        <f>(1-Summary!$B$11)*T697+Summary!$B$11*V697</f>
        <v/>
      </c>
      <c r="P697">
        <f>IF(B715=0,0,O697/B715)</f>
        <v/>
      </c>
      <c r="Q697" t="n">
        <v>0</v>
      </c>
      <c r="R697" t="n">
        <v>0</v>
      </c>
      <c r="S697">
        <f>IFERROR(O697/N697,0)</f>
        <v/>
      </c>
      <c r="T697" t="n">
        <v>0</v>
      </c>
      <c r="V697" t="n">
        <v>0</v>
      </c>
    </row>
    <row r="698">
      <c r="A698">
        <f>Skills!A28</f>
        <v/>
      </c>
      <c r="B698">
        <f>Skills!B28</f>
        <v/>
      </c>
      <c r="C698">
        <f>Inputs!$B$3&gt;=120</f>
        <v/>
      </c>
      <c r="D698">
        <f>IF(Skills!C28=1,60+Inputs!$B$25+Inputs!$B$29,IF(Skills!C28=2,90+Inputs!$B$26+Inputs!$B$29,IF(Skills!C28=3,120+Inputs!$B$27+Inputs!$B$29,MAX(0,(Inputs!$B$3-100)*3)+Inputs!$B$28+Inputs!$B$29)))</f>
        <v/>
      </c>
      <c r="E698">
        <f>INDEX(FactorTable!$B$2:$Y$301, MATCH(ROUND(MIN(300,MAX(1,D698)),0), FactorTable!$A$2:$A$301,0), Skills!M28+1)</f>
        <v/>
      </c>
      <c r="F698">
        <f>IF(Skills!N28=TRUE,(Skills!L28/10)*(E698/1000),Skills!L28/10)+Skills!O28</f>
        <v/>
      </c>
      <c r="G698">
        <f>Skills!G28*IF(Skills!H28&gt;0,Skills!I28/Skills!H28,1)</f>
        <v/>
      </c>
      <c r="H698">
        <f>1-(1-Skills!J28/100)^Skills!K28</f>
        <v/>
      </c>
      <c r="I698" t="inlineStr">
        <is>
          <t>1</t>
        </is>
      </c>
      <c r="J698" t="inlineStr"/>
      <c r="K698" t="inlineStr"/>
      <c r="L698" t="inlineStr"/>
      <c r="M698" t="inlineStr"/>
      <c r="N698" t="inlineStr"/>
      <c r="O698">
        <f>(1-Summary!$B$11)*T698+Summary!$B$11*V698</f>
        <v/>
      </c>
      <c r="P698">
        <f>IF(B715=0,0,O698/B715)</f>
        <v/>
      </c>
      <c r="Q698" t="n">
        <v>0</v>
      </c>
      <c r="R698" t="n">
        <v>0</v>
      </c>
      <c r="S698">
        <f>IFERROR(O698/N698,0)</f>
        <v/>
      </c>
      <c r="T698" t="n">
        <v>0</v>
      </c>
      <c r="V698" t="n">
        <v>0</v>
      </c>
    </row>
    <row r="699">
      <c r="A699">
        <f>Skills!A29</f>
        <v/>
      </c>
      <c r="B699">
        <f>Skills!B29</f>
        <v/>
      </c>
      <c r="C699">
        <f>Inputs!$B$3&gt;=120</f>
        <v/>
      </c>
      <c r="D699">
        <f>IF(Skills!C29=1,60+Inputs!$B$25+Inputs!$B$29,IF(Skills!C29=2,90+Inputs!$B$26+Inputs!$B$29,IF(Skills!C29=3,120+Inputs!$B$27+Inputs!$B$29,MAX(0,(Inputs!$B$3-100)*3)+Inputs!$B$28+Inputs!$B$29)))</f>
        <v/>
      </c>
      <c r="E699">
        <f>INDEX(FactorTable!$B$2:$Y$301, MATCH(ROUND(MIN(300,MAX(1,D699)),0), FactorTable!$A$2:$A$301,0), Skills!M29+1)</f>
        <v/>
      </c>
      <c r="F699">
        <f>IF(Skills!N29=TRUE,(Skills!L29/10)*(E699/1000),Skills!L29/10)+Skills!O29</f>
        <v/>
      </c>
      <c r="G699">
        <f>Skills!G29*IF(Skills!H29&gt;0,Skills!I29/Skills!H29,1)</f>
        <v/>
      </c>
      <c r="H699">
        <f>1-(1-Skills!J29/100)^Skills!K29</f>
        <v/>
      </c>
      <c r="I699" t="inlineStr">
        <is>
          <t>1</t>
        </is>
      </c>
      <c r="J699" t="inlineStr"/>
      <c r="K699" t="inlineStr"/>
      <c r="L699" t="inlineStr"/>
      <c r="M699" t="inlineStr"/>
      <c r="N699" t="inlineStr"/>
      <c r="O699">
        <f>(1-Summary!$B$11)*T699+Summary!$B$11*V699</f>
        <v/>
      </c>
      <c r="P699">
        <f>IF(B715=0,0,O699/B715)</f>
        <v/>
      </c>
      <c r="Q699" t="n">
        <v>0</v>
      </c>
      <c r="R699" t="n">
        <v>0</v>
      </c>
      <c r="S699">
        <f>IFERROR(O699/N699,0)</f>
        <v/>
      </c>
      <c r="T699" t="n">
        <v>0</v>
      </c>
      <c r="V699" t="n">
        <v>0</v>
      </c>
    </row>
    <row r="700">
      <c r="A700">
        <f>Skills!A30</f>
        <v/>
      </c>
      <c r="B700">
        <f>Skills!B30</f>
        <v/>
      </c>
      <c r="C700">
        <f>Inputs!$B$3&gt;=125</f>
        <v/>
      </c>
      <c r="D700">
        <f>IF(Skills!C30=1,60+Inputs!$B$25+Inputs!$B$29,IF(Skills!C30=2,90+Inputs!$B$26+Inputs!$B$29,IF(Skills!C30=3,120+Inputs!$B$27+Inputs!$B$29,MAX(0,(Inputs!$B$3-100)*3)+Inputs!$B$28+Inputs!$B$29)))</f>
        <v/>
      </c>
      <c r="E700">
        <f>INDEX(FactorTable!$B$2:$Y$301, MATCH(ROUND(MIN(300,MAX(1,D700)),0), FactorTable!$A$2:$A$301,0), Skills!M30+1)</f>
        <v/>
      </c>
      <c r="F700">
        <f>IF(Skills!N30=TRUE,(Skills!L30/10)*(E700/1000),Skills!L30/10)+Skills!O30</f>
        <v/>
      </c>
      <c r="G700">
        <f>Skills!G30*IF(Skills!H30&gt;0,Skills!I30/Skills!H30,1)</f>
        <v/>
      </c>
      <c r="H700">
        <f>1-(1-Skills!J30/100)^Skills!K30</f>
        <v/>
      </c>
      <c r="I700" t="inlineStr">
        <is>
          <t>1</t>
        </is>
      </c>
      <c r="J700" t="inlineStr"/>
      <c r="K700" t="inlineStr"/>
      <c r="L700" t="inlineStr"/>
      <c r="M700" t="inlineStr"/>
      <c r="N700" t="inlineStr"/>
      <c r="O700">
        <f>(1-Summary!$B$11)*T700+Summary!$B$11*V700</f>
        <v/>
      </c>
      <c r="P700">
        <f>IF(B715=0,0,O700/B715)</f>
        <v/>
      </c>
      <c r="Q700" t="n">
        <v>0</v>
      </c>
      <c r="R700" t="n">
        <v>0</v>
      </c>
      <c r="S700">
        <f>IFERROR(O700/N700,0)</f>
        <v/>
      </c>
      <c r="T700" t="n">
        <v>0</v>
      </c>
      <c r="V700" t="n">
        <v>0</v>
      </c>
    </row>
    <row r="702">
      <c r="A702" t="inlineStr">
        <is>
          <t>Average Buff Multiplier</t>
        </is>
      </c>
      <c r="B702">
        <f>(1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f>
        <v/>
      </c>
    </row>
    <row r="703">
      <c r="A703" t="inlineStr">
        <is>
          <t>Global Crit Rate Bonus %</t>
        </is>
      </c>
      <c r="B703">
        <f>((C690=TRUE)*F690*IF(AND(Inputs!$B$39&lt;&gt;"pvp",Inputs!$B$44&gt;0),(((R690-1)*(Skills!Y20*(1+Inputs!$B$34/100))+MIN((Skills!Y20*(1+Inputs!$B$34/100)),MAX(0,Inputs!$B$44-((R690-1)*Skills!D20))))/Inputs!$B$44),IF(Inputs!$B$39="pvp",MIN((Skills!Y20*(1+Inputs!$B$34/100)),15)/15,(Skills!Y20*(1+Inputs!$B$34/100))/Skills!D20)))</f>
        <v/>
      </c>
    </row>
    <row r="704">
      <c r="A704" t="inlineStr">
        <is>
          <t>Global Monster Damage-Taken Bonus %</t>
        </is>
      </c>
      <c r="B704">
        <f>IF(Inputs!$B$3&gt;=82,15,0)</f>
        <v/>
      </c>
    </row>
    <row r="705">
      <c r="A705" t="inlineStr">
        <is>
          <t>Shadow Partner Average Multiplier</t>
        </is>
      </c>
      <c r="B705">
        <f>1+((C677=TRUE)*F677*(1+3.3333333333333335*IF(C688=TRUE,F688,0)/100)*I677*Skills!J7/100)/100</f>
        <v/>
      </c>
    </row>
    <row r="706">
      <c r="A706" t="inlineStr">
        <is>
          <t>Attack Speed Buff Bonus %</t>
        </is>
      </c>
      <c r="B706">
        <f>((C689=TRUE)*F689*IF(AND(Inputs!$B$39&lt;&gt;"pvp",Inputs!$B$44&gt;0),(((R689-1)*(Skills!Y19*(1+Inputs!$B$34/100))+MIN((Skills!Y19*(1+Inputs!$B$34/100)),MAX(0,Inputs!$B$44-((R689-1)*Skills!D19))))/Inputs!$B$44),IF(Inputs!$B$39="pvp",MIN((Skills!Y19*(1+Inputs!$B$34/100)),15)/15,(Skills!Y19*(1+Inputs!$B$34/100))/Skills!D19)))+((C673=TRUE)*F673*3)</f>
        <v/>
      </c>
    </row>
    <row r="707">
      <c r="A707" t="inlineStr">
        <is>
          <t>Actions Per Second</t>
        </is>
      </c>
      <c r="B707">
        <f>1+MIN(150,150*(1-(1-(((1-(1-Inputs!$B$11/150)*(1-1/150))*150)+((C692=TRUE)*(F692-Calc!F22)))/150)*(1-B706/150)))/100</f>
        <v/>
      </c>
    </row>
    <row r="708">
      <c r="A708" t="inlineStr">
        <is>
          <t>Skill + Buff Cast Rate</t>
        </is>
      </c>
      <c r="B708">
        <f>IF(AND(Inputs!$B$39&lt;&gt;"pvp",Inputs!$B$44&gt;0),SUMPRODUCT((Skills!E2:E30=TRUE)*(C672:C700=TRUE)*R672:R700*Skills!F2:F30)/Inputs!$B$44,SUMPRODUCT((Skills!E2:E30=TRUE)*(C672:C700=TRUE)*Q672:Q700*Skills!F2:F30))</f>
        <v/>
      </c>
    </row>
    <row r="709">
      <c r="A709" t="inlineStr">
        <is>
          <t>Cruel Stab Casts Per Second</t>
        </is>
      </c>
      <c r="B709">
        <f>MAX(0,B707-B708)</f>
        <v/>
      </c>
    </row>
    <row r="710">
      <c r="A710" t="inlineStr">
        <is>
          <t>Global Critical Damage Bonus % (Smokescreen Mastery Lv.113)</t>
        </is>
      </c>
      <c r="B710">
        <f>IF(Inputs!$B$3&gt;=113,30,0)*IF(AND(Inputs!$B$39&lt;&gt;"pvp",Inputs!$B$44&gt;0),(((R685-1)*(Skills!Y15*(1+Inputs!$B$34/100))+MIN((Skills!Y15*(1+Inputs!$B$34/100)),MAX(0,Inputs!$B$44-((R685-1)*Skills!D15))))/Inputs!$B$44),IF(Inputs!$B$39="pvp",MIN((Skills!Y15*(1+Inputs!$B$34/100)),15)/15,(Skills!Y15*(1+Inputs!$B$34/100))/Skills!D15))</f>
        <v/>
      </c>
    </row>
    <row r="711">
      <c r="A711" t="inlineStr">
        <is>
          <t>Meso Explosion average stack count</t>
        </is>
      </c>
      <c r="B711">
        <f>MIN(10,0.5*B707*Skills!D4)</f>
        <v/>
      </c>
    </row>
    <row r="712">
      <c r="A712" t="inlineStr">
        <is>
          <t>Blood Money average stack count</t>
        </is>
      </c>
      <c r="B712">
        <f>MIN(5,0.25*B707*Skills!D4)</f>
        <v/>
      </c>
    </row>
    <row r="713">
      <c r="A713" t="inlineStr">
        <is>
          <t>Assassinate Murderous Intent Multiplier</t>
        </is>
      </c>
      <c r="B713">
        <f>1+IFERROR(MIN(1,Q684*2/Q681),0)</f>
        <v/>
      </c>
    </row>
    <row r="714">
      <c r="A714" t="inlineStr">
        <is>
          <t>Buff-Casting Startup Delay (s, fixed-duration only)</t>
        </is>
      </c>
      <c r="B714">
        <f>IF(AND(Inputs!$B$39&lt;&gt;"pvp",Inputs!$B$44&gt;0),SUMPRODUCT((Skills!Y2:Y30&gt;0)*(Skills!E2:E30=TRUE)*(C672:C700=TRUE))/B707,0)</f>
        <v/>
      </c>
    </row>
    <row r="715">
      <c r="A715" s="6" t="inlineStr">
        <is>
          <t>TOTAL DPS</t>
        </is>
      </c>
      <c r="B715" s="6">
        <f>SUM(O672:O700)</f>
        <v/>
      </c>
    </row>
    <row r="716">
      <c r="A716" t="inlineStr">
        <is>
          <t>Boss-Only Total DPS (this block's swept value)</t>
        </is>
      </c>
      <c r="B716">
        <f>SUM(T672:T700)</f>
        <v/>
      </c>
    </row>
    <row r="717">
      <c r="A717" t="inlineStr">
        <is>
          <t>Normal-Only Total DPS (this block's swept value)</t>
        </is>
      </c>
      <c r="B717">
        <f>SUM(V672:V700)</f>
        <v/>
      </c>
    </row>
    <row r="720">
      <c r="A720" s="6" t="inlineStr">
        <is>
          <t>Stat: DEF_PEN % (diminishing returns, factor 100)</t>
        </is>
      </c>
    </row>
    <row r="721">
      <c r="A721" s="5" t="inlineStr">
        <is>
          <t>Key</t>
        </is>
      </c>
      <c r="B721" s="5" t="inlineStr">
        <is>
          <t>Name</t>
        </is>
      </c>
      <c r="C721" s="5" t="inlineStr">
        <is>
          <t>Unlocked</t>
        </is>
      </c>
      <c r="D721" s="5" t="inlineStr">
        <is>
          <t>InputLevel</t>
        </is>
      </c>
      <c r="E721" s="5" t="inlineStr">
        <is>
          <t>Factor</t>
        </is>
      </c>
      <c r="F721" s="5" t="inlineStr">
        <is>
          <t>CoefficientPercent</t>
        </is>
      </c>
      <c r="G721" s="5" t="inlineStr">
        <is>
          <t>EffectiveHits</t>
        </is>
      </c>
      <c r="H721" s="5" t="inlineStr">
        <is>
          <t>ProcProbability</t>
        </is>
      </c>
      <c r="I721" s="5" t="inlineStr">
        <is>
          <t>MapleHeroMultiplier</t>
        </is>
      </c>
      <c r="J721" s="5" t="inlineStr">
        <is>
          <t>BaseDamage</t>
        </is>
      </c>
      <c r="K721" s="5" t="inlineStr">
        <is>
          <t>BaseHitDamage</t>
        </is>
      </c>
      <c r="L721" s="5" t="inlineStr">
        <is>
          <t>NonCritAvg</t>
        </is>
      </c>
      <c r="M721" s="5" t="inlineStr">
        <is>
          <t>CritAvg</t>
        </is>
      </c>
      <c r="N721" s="5" t="inlineStr">
        <is>
          <t>ExpectedDamage(perHit)</t>
        </is>
      </c>
      <c r="O721" s="5" t="inlineStr">
        <is>
          <t>DPS</t>
        </is>
      </c>
      <c r="P721" s="5" t="inlineStr">
        <is>
          <t>% of Total</t>
        </is>
      </c>
      <c r="Q721" s="5" t="inlineStr">
        <is>
          <t>InvCooldown</t>
        </is>
      </c>
      <c r="R721" s="5" t="inlineStr">
        <is>
          <t>CastsInFight</t>
        </is>
      </c>
      <c r="S721" s="5" t="inlineStr">
        <is>
          <t>HitRate(perSec)</t>
        </is>
      </c>
      <c r="U721" t="inlineStr">
        <is>
          <t>helpers</t>
        </is>
      </c>
    </row>
    <row r="722">
      <c r="A722">
        <f>Skills!A2</f>
        <v/>
      </c>
      <c r="B722">
        <f>Skills!B2</f>
        <v/>
      </c>
      <c r="C722">
        <f>Inputs!$B$3&gt;=100</f>
        <v/>
      </c>
      <c r="D722" t="inlineStr"/>
      <c r="E722" t="inlineStr"/>
      <c r="F722">
        <f>U724+Skills!O2</f>
        <v/>
      </c>
      <c r="G722">
        <f>Skills!G2*IF(Skills!H2&gt;0,Skills!I2/Skills!H2,1)</f>
        <v/>
      </c>
      <c r="H722">
        <f>1-(1-Skills!J2/100)^Skills!K2</f>
        <v/>
      </c>
      <c r="I722" t="inlineStr">
        <is>
          <t>1</t>
        </is>
      </c>
      <c r="J722">
        <f>((Inputs!$B$6*(1+Inputs!$B$7/100))+(((Inputs!$B$12*(1+Inputs!$B$13/100))-(Inputs!$B$12*(1+Inputs!$B$13/100)))+0.25*(Inputs!$B$14-Inputs!$B$14))*(1+Inputs!$B$7/100))*(F722/100)</f>
        <v/>
      </c>
      <c r="K722">
        <f>J722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722)</f>
        <v/>
      </c>
      <c r="L722">
        <f>K722*(MIN(Inputs!$B$22+((C744=TRUE)*(F744-Calc!F24)),(Inputs!$B$23+((C749=TRUE)*(F749-Calc!F29))+IF(ArtifactsInput!$M$15,CHOOSE(ArtifactsInput!$N$15+1,25,30,35,40,45,50)/100*(Inputs!$B$11-Inputs!$B$11),0)))/100+(Inputs!$B$23+((C749=TRUE)*(F749-Calc!F29))+IF(ArtifactsInput!$M$15,CHOOSE(ArtifactsInput!$N$15+1,25,30,35,40,45,50)/100*(Inputs!$B$11-Inputs!$B$11),0))/100)/2</f>
        <v/>
      </c>
      <c r="M722">
        <f>L722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IF(B765=0,0,O722/B765)</f>
        <v/>
      </c>
      <c r="Q722" t="n">
        <v>0</v>
      </c>
      <c r="R722" t="n">
        <v>0</v>
      </c>
      <c r="S722">
        <f>IFERROR(O722/N722,0)</f>
        <v/>
      </c>
      <c r="T722">
        <f>IF(C722,(Skills!G2*N722*B759)*IF(Inputs!$B$39="pvp",1,1+(Inputs!$B$20+0+Skills!P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722*(1-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2">
        <f>MAX(0,(Inputs!$B$3-100)*3)+Inputs!$B$28+Inputs!$B$29</f>
        <v/>
      </c>
      <c r="V722">
        <f>IF(C722,(Skills!G2*N722*B759)*IF(Inputs!$B$39="pvp",1,(1+(Inputs!$B$21+Skills!Q2+B754+(IF(ArtifactsInput!$M$33,CHOOSE(ArtifactsInput!$N$33+1,30,36,42,48,54,60),0))+(IF(AND(ArtifactsInput!$M$35,Inputs!$B$4&lt;&gt;"Chapter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Skills!A3</f>
        <v/>
      </c>
      <c r="B723">
        <f>Skills!B3</f>
        <v/>
      </c>
      <c r="C723">
        <f>Inputs!$B$3&gt;=35</f>
        <v/>
      </c>
      <c r="D723">
        <f>IF(Skills!C3=1,60+Inputs!$B$25+Inputs!$B$29,IF(Skills!C3=2,90+Inputs!$B$26+Inputs!$B$29,IF(Skills!C3=3,120+Inputs!$B$27+Inputs!$B$29,MAX(0,(Inputs!$B$3-100)*3)+Inputs!$B$28+Inputs!$B$29)))</f>
        <v/>
      </c>
      <c r="E723">
        <f>INDEX(FactorTable!$B$2:$Y$301, MATCH(ROUND(MIN(300,MAX(1,D723)),0), FactorTable!$A$2:$A$301,0), Skills!M3+1)</f>
        <v/>
      </c>
      <c r="F723">
        <f>IF(Skills!N3=TRUE,(Skills!L3/10)*(E723/1000),Skills!L3/10)+Skills!O3</f>
        <v/>
      </c>
      <c r="G723">
        <f>Skills!G3*IF(Skills!H3&gt;0,Skills!I3/Skills!H3,1)</f>
        <v/>
      </c>
      <c r="H723">
        <f>1-(1-Skills!J3/100)^Skills!K3</f>
        <v/>
      </c>
      <c r="I723" t="inlineStr">
        <is>
          <t>1</t>
        </is>
      </c>
      <c r="J723" t="inlineStr"/>
      <c r="K723" t="inlineStr"/>
      <c r="L723" t="inlineStr"/>
      <c r="M723" t="inlineStr"/>
      <c r="N723" t="inlineStr"/>
      <c r="O723">
        <f>(1-Summary!$B$11)*T723+Summary!$B$11*V723</f>
        <v/>
      </c>
      <c r="P723">
        <f>IF(B765=0,0,O723/B765)</f>
        <v/>
      </c>
      <c r="Q723" t="n">
        <v>0</v>
      </c>
      <c r="R723" t="n">
        <v>0</v>
      </c>
      <c r="S723">
        <f>IFERROR(O723/N723,0)</f>
        <v/>
      </c>
      <c r="T723" t="n">
        <v>0</v>
      </c>
      <c r="U723">
        <f>INDEX(FactorTable!$B$2:$Y$301, MATCH(ROUND(MIN(300,MAX(1,U722)),0), FactorTable!$A$2:$A$301,0), 22)</f>
        <v/>
      </c>
      <c r="V723" t="n">
        <v>0</v>
      </c>
    </row>
    <row r="724">
      <c r="A724">
        <f>Skills!A4</f>
        <v/>
      </c>
      <c r="B724">
        <f>Skills!B4</f>
        <v/>
      </c>
      <c r="C724">
        <f>Inputs!$B$3&gt;=66</f>
        <v/>
      </c>
      <c r="D724">
        <f>IF(Skills!C4=1,60+Inputs!$B$25+Inputs!$B$29,IF(Skills!C4=2,90+Inputs!$B$26+Inputs!$B$29,IF(Skills!C4=3,120+Inputs!$B$27+Inputs!$B$29,MAX(0,(Inputs!$B$3-100)*3)+Inputs!$B$28+Inputs!$B$29)))</f>
        <v/>
      </c>
      <c r="E724">
        <f>INDEX(FactorTable!$B$2:$Y$301, MATCH(ROUND(MIN(300,MAX(1,D724)),0), FactorTable!$A$2:$A$301,0), Skills!M4+1)</f>
        <v/>
      </c>
      <c r="F724">
        <f>IF(Skills!N4=TRUE,(Skills!L4/10)*(E724/1000),Skills!L4/10)+Skills!O4</f>
        <v/>
      </c>
      <c r="G724">
        <f>Skills!G4*IF(Skills!H4&gt;0,Skills!I4/Skills!H4,1)</f>
        <v/>
      </c>
      <c r="H724">
        <f>1-(1-Skills!J4/100)^Skills!K4</f>
        <v/>
      </c>
      <c r="I724" t="inlineStr">
        <is>
          <t>1</t>
        </is>
      </c>
      <c r="J724">
        <f>((Inputs!$B$6*(1+Inputs!$B$7/100))+(((Inputs!$B$12*(1+Inputs!$B$13/100))-(Inputs!$B$12*(1+Inputs!$B$13/100)))+0.25*(Inputs!$B$14-Inputs!$B$14))*(1+Inputs!$B$7/100))*(F724/100)</f>
        <v/>
      </c>
      <c r="K724">
        <f>J724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724)</f>
        <v/>
      </c>
      <c r="L724">
        <f>K724*(MIN(Inputs!$B$22+((C744=TRUE)*(F744-Calc!F24)),(Inputs!$B$23+((C749=TRUE)*(F749-Calc!F29))+IF(ArtifactsInput!$M$15,CHOOSE(ArtifactsInput!$N$15+1,25,30,35,40,45,50)/100*(Inputs!$B$11-Inputs!$B$11),0)))/100+(Inputs!$B$23+((C749=TRUE)*(F749-Calc!F29))+IF(ArtifactsInput!$M$15,CHOOSE(ArtifactsInput!$N$15+1,25,30,35,40,45,50)/100*(Inputs!$B$11-Inputs!$B$11),0))/100)/2</f>
        <v/>
      </c>
      <c r="M724">
        <f>L724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4">
        <f>L724*(1-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724*(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4">
        <f>(1-Summary!$B$11)*T724+Summary!$B$11*V724</f>
        <v/>
      </c>
      <c r="P724">
        <f>IF(B765=0,0,O724/B765)</f>
        <v/>
      </c>
      <c r="Q724">
        <f>IFERROR(1/IF(Inputs!$B$39="pvp",15,MAX(0.1,Skills!D4-IF(Skills!E4=TRUE,Inputs!$B$32,0))),0)</f>
        <v/>
      </c>
      <c r="R724">
        <f>IF(AND(Inputs!$B$39&lt;&gt;"pvp",Inputs!$B$44&gt;0),IF(MAX(0,Inputs!$B$44-B764)&lt;=0,0,(INT(MAX(0,Inputs!$B$44-B764)/IF(Inputs!$B$39="pvp",15,MAX(0.1,Skills!D4-IF(Skills!E4=TRUE,Inputs!$B$32,0))))+1)),0)</f>
        <v/>
      </c>
      <c r="S724">
        <f>IFERROR(O724/N724,0)</f>
        <v/>
      </c>
      <c r="T724">
        <f>IF(C724,(H724*N724*IF(AND(Inputs!$B$39&lt;&gt;"pvp",Inputs!$B$44&gt;0),((Skills!G4*((R724-1)*IF(Skills!H4&gt;0,Skills!I4/Skills!H4,1)+IF(Skills!H4&gt;0,MIN(Skills!I4,MAX(0,MAX(0,Inputs!$B$44-B764)-((R724-1)*IF(Inputs!$B$39="pvp",15,MAX(0.1,Skills!D4-IF(Skills!E4=TRUE,Inputs!$B$32,0))))))/Skills!H4,1)))/Inputs!$B$44),G724*Q724))*IF(Inputs!$B$39="pvp",1,1+(Inputs!$B$20+0+Skills!P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724*(1-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724*(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724*(1-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724*(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4">
        <f>290*U723/1000</f>
        <v/>
      </c>
      <c r="V724">
        <f>IF(C724,(H724*N724*IF(AND(Inputs!$B$39&lt;&gt;"pvp",Inputs!$B$44&gt;0),((Skills!G4*((R724-1)*IF(Skills!H4&gt;0,Skills!I4/Skills!H4,1)+IF(Skills!H4&gt;0,MIN(Skills!I4,MAX(0,MAX(0,Inputs!$B$44-B764)-((R724-1)*IF(Inputs!$B$39="pvp",15,MAX(0.1,Skills!D4-IF(Skills!E4=TRUE,Inputs!$B$32,0))))))/Skills!H4,1)))/Inputs!$B$44),G724*Q724))*IF(Inputs!$B$39="pvp",1,(1+(Inputs!$B$21+Skills!Q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(10,0.5*B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5">
      <c r="A725">
        <f>Skills!A5</f>
        <v/>
      </c>
      <c r="B725">
        <f>Skills!B5</f>
        <v/>
      </c>
      <c r="C725">
        <f>Inputs!$B$3&gt;=63</f>
        <v/>
      </c>
      <c r="D725">
        <f>IF(Skills!C5=1,60+Inputs!$B$25+Inputs!$B$29,IF(Skills!C5=2,90+Inputs!$B$26+Inputs!$B$29,IF(Skills!C5=3,120+Inputs!$B$27+Inputs!$B$29,MAX(0,(Inputs!$B$3-100)*3)+Inputs!$B$28+Inputs!$B$29)))</f>
        <v/>
      </c>
      <c r="E725">
        <f>INDEX(FactorTable!$B$2:$Y$301, MATCH(ROUND(MIN(300,MAX(1,D725)),0), FactorTable!$A$2:$A$301,0), Skills!M5+1)</f>
        <v/>
      </c>
      <c r="F725">
        <f>IF(Skills!N5=TRUE,(Skills!L5/10)*(E725/1000),Skills!L5/10)+Skills!O5</f>
        <v/>
      </c>
      <c r="G725">
        <f>Skills!G5*IF(Skills!H5&gt;0,Skills!I5/Skills!H5,1)</f>
        <v/>
      </c>
      <c r="H725">
        <f>1-(1-Skills!J5/100)^Skills!K5</f>
        <v/>
      </c>
      <c r="I725" t="inlineStr">
        <is>
          <t>1</t>
        </is>
      </c>
      <c r="J725">
        <f>((Inputs!$B$6*(1+Inputs!$B$7/100))+(((Inputs!$B$12*(1+Inputs!$B$13/100))-(Inputs!$B$12*(1+Inputs!$B$13/100)))+0.25*(Inputs!$B$14-Inputs!$B$14))*(1+Inputs!$B$7/100))*(F725/100)</f>
        <v/>
      </c>
      <c r="K725">
        <f>J725*(1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738=TRUE,F738,0)/100)*(1+(IF(Skills!A5="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725)</f>
        <v/>
      </c>
      <c r="L725">
        <f>K725*(MIN(Inputs!$B$22+((C744=TRUE)*(F744-Calc!F24)),(Inputs!$B$23+((C749=TRUE)*(F749-Calc!F29))+IF(ArtifactsInput!$M$15,CHOOSE(ArtifactsInput!$N$15+1,25,30,35,40,45,50)/100*(Inputs!$B$11-Inputs!$B$11),0)))/100+(Inputs!$B$23+((C749=TRUE)*(F749-Calc!F29))+IF(ArtifactsInput!$M$15,CHOOSE(ArtifactsInput!$N$15+1,25,30,35,40,45,50)/100*(Inputs!$B$11-Inputs!$B$11),0))/100)/2</f>
        <v/>
      </c>
      <c r="M725">
        <f>L725*(1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5">
        <f>L725*(1-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725*(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5">
        <f>(1-Summary!$B$11)*T725+Summary!$B$11*V725</f>
        <v/>
      </c>
      <c r="P725">
        <f>IF(B765=0,0,O725/B765)</f>
        <v/>
      </c>
      <c r="Q725">
        <f>IFERROR(1/IF(Inputs!$B$39="pvp",15,MAX(0.1,Skills!D5-IF(Skills!E5=TRUE,Inputs!$B$32,0))),0)</f>
        <v/>
      </c>
      <c r="R725">
        <f>IF(AND(Inputs!$B$39&lt;&gt;"pvp",Inputs!$B$44&gt;0),IF(MAX(0,Inputs!$B$44-B764)&lt;=0,0,(INT(MAX(0,Inputs!$B$44-B764)/IF(Inputs!$B$39="pvp",15,MAX(0.1,Skills!D5-IF(Skills!E5=TRUE,Inputs!$B$32,0))))+1)),0)</f>
        <v/>
      </c>
      <c r="S725">
        <f>IFERROR(O725/N725,0)</f>
        <v/>
      </c>
      <c r="T725">
        <f>IF(C725,(H725*N725*IF(AND(Inputs!$B$39&lt;&gt;"pvp",Inputs!$B$44&gt;0),((Skills!G5*((R725-1)*IF(Skills!H5&gt;0,Skills!I5/Skills!H5,1)+IF(Skills!H5&gt;0,MIN(Skills!I5,MAX(0,MAX(0,Inputs!$B$44-B764)-((R725-1)*IF(Inputs!$B$39="pvp",15,MAX(0.1,Skills!D5-IF(Skills!E5=TRUE,Inputs!$B$32,0))))))/Skills!H5,1)))/Inputs!$B$44),G725*Q725))*IF(Inputs!$B$39="pvp",1,1+(Inputs!$B$20+0+Skills!P5+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725*(1-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725*(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725*(1-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725*(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5">
        <f>IF(C725,(H725*N725*IF(AND(Inputs!$B$39&lt;&gt;"pvp",Inputs!$B$44&gt;0),((Skills!G5*((R725-1)*IF(Skills!H5&gt;0,Skills!I5/Skills!H5,1)+IF(Skills!H5&gt;0,MIN(Skills!I5,MAX(0,MAX(0,Inputs!$B$44-B764)-((R725-1)*IF(Inputs!$B$39="pvp",15,MAX(0.1,Skills!D5-IF(Skills!E5=TRUE,Inputs!$B$32,0))))))/Skills!H5,1)))/Inputs!$B$44),G725*Q725))*IF(Inputs!$B$39="pvp",1,(1+(Inputs!$B$21+Skills!Q5+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6">
      <c r="A726">
        <f>Skills!A6</f>
        <v/>
      </c>
      <c r="B726">
        <f>Skills!B6</f>
        <v/>
      </c>
      <c r="C726">
        <f>Inputs!$B$3&gt;=69</f>
        <v/>
      </c>
      <c r="D726">
        <f>IF(Skills!C6=1,60+Inputs!$B$25+Inputs!$B$29,IF(Skills!C6=2,90+Inputs!$B$26+Inputs!$B$29,IF(Skills!C6=3,120+Inputs!$B$27+Inputs!$B$29,MAX(0,(Inputs!$B$3-100)*3)+Inputs!$B$28+Inputs!$B$29)))</f>
        <v/>
      </c>
      <c r="E726">
        <f>INDEX(FactorTable!$B$2:$Y$301, MATCH(ROUND(MIN(300,MAX(1,D726)),0), FactorTable!$A$2:$A$301,0), Skills!M6+1)</f>
        <v/>
      </c>
      <c r="F726">
        <f>IF(Skills!N6=TRUE,(Skills!L6/10)*(E726/1000),Skills!L6/10)+Skills!O6</f>
        <v/>
      </c>
      <c r="G726">
        <f>Skills!G6*IF(Skills!H6&gt;0,Skills!I6/Skills!H6,1)</f>
        <v/>
      </c>
      <c r="H726">
        <f>1-(1-Skills!J6/100)^Skills!K6</f>
        <v/>
      </c>
      <c r="I726" t="inlineStr">
        <is>
          <t>1</t>
        </is>
      </c>
      <c r="J726">
        <f>((Inputs!$B$6*(1+Inputs!$B$7/100))+(((Inputs!$B$12*(1+Inputs!$B$13/100))-(Inputs!$B$12*(1+Inputs!$B$13/100)))+0.25*(Inputs!$B$14-Inputs!$B$14))*(1+Inputs!$B$7/100))*(F726/100)</f>
        <v/>
      </c>
      <c r="K726">
        <f>J726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738=TRUE,F738,0)/100)*(1+(IF(Skills!A6="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726)</f>
        <v/>
      </c>
      <c r="L726">
        <f>K726*(MIN(Inputs!$B$22+((C744=TRUE)*(F744-Calc!F24)),(Inputs!$B$23+((C749=TRUE)*(F749-Calc!F29))+IF(ArtifactsInput!$M$15,CHOOSE(ArtifactsInput!$N$15+1,25,30,35,40,45,50)/100*(Inputs!$B$11-Inputs!$B$11),0)))/100+(Inputs!$B$23+((C749=TRUE)*(F749-Calc!F29))+IF(ArtifactsInput!$M$15,CHOOSE(ArtifactsInput!$N$15+1,25,30,35,40,45,50)/100*(Inputs!$B$11-Inputs!$B$11),0))/100)/2</f>
        <v/>
      </c>
      <c r="M726">
        <f>L726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IF(B765=0,0,O726/B765)</f>
        <v/>
      </c>
      <c r="Q726">
        <f>IFERROR(1/IF(Inputs!$B$39="pvp",15,MAX(0.1,Skills!D6-IF(Skills!E6=TRUE,Inputs!$B$32,0))),0)</f>
        <v/>
      </c>
      <c r="R726">
        <f>IF(AND(Inputs!$B$39&lt;&gt;"pvp",Inputs!$B$44&gt;0),IF(MAX(0,Inputs!$B$44-B764)&lt;=0,0,(INT(MAX(0,Inputs!$B$44-B764)/IF(Inputs!$B$39="pvp",15,MAX(0.1,Skills!D6-IF(Skills!E6=TRUE,Inputs!$B$32,0))))+1)),0)</f>
        <v/>
      </c>
      <c r="S726">
        <f>IFERROR(O726/N726,0)</f>
        <v/>
      </c>
      <c r="T726">
        <f>IF(C726,(H726*N726*IF(AND(Inputs!$B$39&lt;&gt;"pvp",Inputs!$B$44&gt;0),((Skills!G6*((R726-1)*IF(Skills!H6&gt;0,Skills!I6/Skills!H6,1)+IF(Skills!H6&gt;0,MIN(Skills!I6,MAX(0,MAX(0,Inputs!$B$44-B764)-((R726-1)*IF(Inputs!$B$39="pvp",15,MAX(0.1,Skills!D6-IF(Skills!E6=TRUE,Inputs!$B$32,0))))))/Skills!H6,1)))/Inputs!$B$44),G726*Q726))*IF(Inputs!$B$39="pvp",1,1+(Inputs!$B$20+0+Skills!P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726*(1-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H726*N726*IF(AND(Inputs!$B$39&lt;&gt;"pvp",Inputs!$B$44&gt;0),((Skills!G6*((R726-1)*IF(Skills!H6&gt;0,Skills!I6/Skills!H6,1)+IF(Skills!H6&gt;0,MIN(Skills!I6,MAX(0,MAX(0,Inputs!$B$44-B764)-((R726-1)*IF(Inputs!$B$39="pvp",15,MAX(0.1,Skills!D6-IF(Skills!E6=TRUE,Inputs!$B$32,0))))))/Skills!H6,1)))/Inputs!$B$44),G726*Q726))*IF(Inputs!$B$39="pvp",1,(1+(Inputs!$B$21+Skills!Q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Skills!A7</f>
        <v/>
      </c>
      <c r="B727">
        <f>Skills!B7</f>
        <v/>
      </c>
      <c r="C727">
        <f>Inputs!$B$3&gt;=60</f>
        <v/>
      </c>
      <c r="D727">
        <f>IF(Skills!C7=1,60+Inputs!$B$25+Inputs!$B$29,IF(Skills!C7=2,90+Inputs!$B$26+Inputs!$B$29,IF(Skills!C7=3,120+Inputs!$B$27+Inputs!$B$29,MAX(0,(Inputs!$B$3-100)*3)+Inputs!$B$28+Inputs!$B$29)))</f>
        <v/>
      </c>
      <c r="E727">
        <f>INDEX(FactorTable!$B$2:$Y$301, MATCH(ROUND(MIN(300,MAX(1,D727)),0), FactorTable!$A$2:$A$301,0), Skills!M7+1)</f>
        <v/>
      </c>
      <c r="F727">
        <f>IF(Skills!N7=TRUE,(Skills!L7/10)*(E727/1000),Skills!L7/10)+Skills!O7</f>
        <v/>
      </c>
      <c r="G727">
        <f>Skills!G7*IF(Skills!H7&gt;0,Skills!I7/Skills!H7,1)</f>
        <v/>
      </c>
      <c r="H727">
        <f>1-(1-Skills!J7/100)^Skills!K7</f>
        <v/>
      </c>
      <c r="I727" t="inlineStr">
        <is>
          <t>1</t>
        </is>
      </c>
      <c r="J727" t="inlineStr"/>
      <c r="K727" t="inlineStr"/>
      <c r="L727" t="inlineStr"/>
      <c r="M727" t="inlineStr"/>
      <c r="N727" t="inlineStr"/>
      <c r="O727">
        <f>(1-Summary!$B$11)*T727+Summary!$B$11*V727</f>
        <v/>
      </c>
      <c r="P727">
        <f>IF(B765=0,0,O727/B765)</f>
        <v/>
      </c>
      <c r="Q727" t="n">
        <v>0</v>
      </c>
      <c r="R727" t="n">
        <v>0</v>
      </c>
      <c r="S727">
        <f>IFERROR(O727/N727,0)</f>
        <v/>
      </c>
      <c r="T727" t="n">
        <v>0</v>
      </c>
      <c r="V727" t="n">
        <v>0</v>
      </c>
    </row>
    <row r="728">
      <c r="A728">
        <f>Skills!A8</f>
        <v/>
      </c>
      <c r="B728">
        <f>Skills!B8</f>
        <v/>
      </c>
      <c r="C728">
        <f>Inputs!$B$3&gt;=72</f>
        <v/>
      </c>
      <c r="D728">
        <f>IF(Skills!C8=1,60+Inputs!$B$25+Inputs!$B$29,IF(Skills!C8=2,90+Inputs!$B$26+Inputs!$B$29,IF(Skills!C8=3,120+Inputs!$B$27+Inputs!$B$29,MAX(0,(Inputs!$B$3-100)*3)+Inputs!$B$28+Inputs!$B$29)))</f>
        <v/>
      </c>
      <c r="E728">
        <f>INDEX(FactorTable!$B$2:$Y$301, MATCH(ROUND(MIN(300,MAX(1,D728)),0), FactorTable!$A$2:$A$301,0), Skills!M8+1)</f>
        <v/>
      </c>
      <c r="F728">
        <f>IF(Skills!N8=TRUE,(Skills!L8/10)*(E728/1000),Skills!L8/10)+Skills!O8</f>
        <v/>
      </c>
      <c r="G728">
        <f>Skills!G8*IF(Skills!H8&gt;0,Skills!I8/Skills!H8,1)</f>
        <v/>
      </c>
      <c r="H728">
        <f>1-(1-Skills!J8/100)^Skills!K8</f>
        <v/>
      </c>
      <c r="I728" t="inlineStr">
        <is>
          <t>1</t>
        </is>
      </c>
      <c r="J728">
        <f>((Inputs!$B$6*(1+Inputs!$B$7/100))+(((Inputs!$B$12*(1+Inputs!$B$13/100))-(Inputs!$B$12*(1+Inputs!$B$13/100)))+0.25*(Inputs!$B$14-Inputs!$B$14))*(1+Inputs!$B$7/100))*(F728/100)</f>
        <v/>
      </c>
      <c r="K728">
        <f>J728*(1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738=TRUE,F738,0)/100)*(1+(IF(Skills!A8="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728)</f>
        <v/>
      </c>
      <c r="L728">
        <f>K728*(MIN(Inputs!$B$22+((C744=TRUE)*(F744-Calc!F24)),(Inputs!$B$23+((C749=TRUE)*(F749-Calc!F29))+IF(ArtifactsInput!$M$15,CHOOSE(ArtifactsInput!$N$15+1,25,30,35,40,45,50)/100*(Inputs!$B$11-Inputs!$B$11),0)))/100+(Inputs!$B$23+((C749=TRUE)*(F749-Calc!F29))+IF(ArtifactsInput!$M$15,CHOOSE(ArtifactsInput!$N$15+1,25,30,35,40,45,50)/100*(Inputs!$B$11-Inputs!$B$11),0))/100)/2</f>
        <v/>
      </c>
      <c r="M728">
        <f>L728*(1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8">
        <f>L728*(1-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728*(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8">
        <f>(1-Summary!$B$11)*T728+Summary!$B$11*V728</f>
        <v/>
      </c>
      <c r="P728">
        <f>IF(B765=0,0,O728/B765)</f>
        <v/>
      </c>
      <c r="Q728">
        <f>IFERROR(1/IF(Inputs!$B$39="pvp",15,MAX(0.1,Skills!D8-IF(Skills!E8=TRUE,Inputs!$B$32,0))),0)</f>
        <v/>
      </c>
      <c r="R728">
        <f>IF(AND(Inputs!$B$39&lt;&gt;"pvp",Inputs!$B$44&gt;0),IF(MAX(0,Inputs!$B$44-B764)&lt;=0,0,(INT(MAX(0,Inputs!$B$44-B764)/IF(Inputs!$B$39="pvp",15,MAX(0.1,Skills!D8-IF(Skills!E8=TRUE,Inputs!$B$32,0))))+1)),0)</f>
        <v/>
      </c>
      <c r="S728">
        <f>IFERROR(O728/N728,0)</f>
        <v/>
      </c>
      <c r="T728">
        <f>IF(C728,(H728*N728*IF(AND(Inputs!$B$39&lt;&gt;"pvp",Inputs!$B$44&gt;0),((Skills!G8*((R728-1)*IF(Skills!H8&gt;0,Skills!I8/Skills!H8,1)+IF(Skills!H8&gt;0,MIN(Skills!I8,MAX(0,MAX(0,Inputs!$B$44-B764)-((R728-1)*IF(Inputs!$B$39="pvp",15,MAX(0.1,Skills!D8-IF(Skills!E8=TRUE,Inputs!$B$32,0))))))/Skills!H8,1)))/Inputs!$B$44),G728*Q728))*IF(Inputs!$B$39="pvp",1,1+(Inputs!$B$20+0+Skills!P8+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728*(1-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728*(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728*(1-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728*(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8">
        <f>IF(C728,(H728*N728*IF(AND(Inputs!$B$39&lt;&gt;"pvp",Inputs!$B$44&gt;0),((Skills!G8*((R728-1)*IF(Skills!H8&gt;0,Skills!I8/Skills!H8,1)+IF(Skills!H8&gt;0,MIN(Skills!I8,MAX(0,MAX(0,Inputs!$B$44-B764)-((R728-1)*IF(Inputs!$B$39="pvp",15,MAX(0.1,Skills!D8-IF(Skills!E8=TRUE,Inputs!$B$32,0))))))/Skills!H8,1)))/Inputs!$B$44),G728*Q728))*IF(Inputs!$B$39="pvp",1,(1+(Inputs!$B$21+Skills!Q8+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9">
      <c r="A729">
        <f>Skills!A9</f>
        <v/>
      </c>
      <c r="B729">
        <f>Skills!B9</f>
        <v/>
      </c>
      <c r="C729">
        <f>Inputs!$B$3&gt;=117</f>
        <v/>
      </c>
      <c r="D729">
        <f>IF(Skills!C9=1,60+Inputs!$B$25+Inputs!$B$29,IF(Skills!C9=2,90+Inputs!$B$26+Inputs!$B$29,IF(Skills!C9=3,120+Inputs!$B$27+Inputs!$B$29,MAX(0,(Inputs!$B$3-100)*3)+Inputs!$B$28+Inputs!$B$29)))</f>
        <v/>
      </c>
      <c r="E729">
        <f>INDEX(FactorTable!$B$2:$Y$301, MATCH(ROUND(MIN(300,MAX(1,D729)),0), FactorTable!$A$2:$A$301,0), Skills!M9+1)</f>
        <v/>
      </c>
      <c r="F729">
        <f>IF(Skills!N9=TRUE,(Skills!L9/10)*(E729/1000),Skills!L9/10)+Skills!O9</f>
        <v/>
      </c>
      <c r="G729">
        <f>Skills!G9*IF(Skills!H9&gt;0,Skills!I9/Skills!H9,1)</f>
        <v/>
      </c>
      <c r="H729">
        <f>1-(1-Skills!J9/100)^Skills!K9</f>
        <v/>
      </c>
      <c r="I729" t="inlineStr">
        <is>
          <t>1</t>
        </is>
      </c>
      <c r="J729">
        <f>((Inputs!$B$6*(1+Inputs!$B$7/100))+(((Inputs!$B$12*(1+Inputs!$B$13/100))-(Inputs!$B$12*(1+Inputs!$B$13/100)))+0.25*(Inputs!$B$14-Inputs!$B$14))*(1+Inputs!$B$7/100))*(F729/100)</f>
        <v/>
      </c>
      <c r="K729">
        <f>J729*(1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729)</f>
        <v/>
      </c>
      <c r="L729">
        <f>K729*(MIN(Inputs!$B$22+((C744=TRUE)*(F744-Calc!F24)),(Inputs!$B$23+((C749=TRUE)*(F749-Calc!F29))+IF(ArtifactsInput!$M$15,CHOOSE(ArtifactsInput!$N$15+1,25,30,35,40,45,50)/100*(Inputs!$B$11-Inputs!$B$11),0)))/100+(Inputs!$B$23+((C749=TRUE)*(F749-Calc!F29))+IF(ArtifactsInput!$M$15,CHOOSE(ArtifactsInput!$N$15+1,25,30,35,40,45,50)/100*(Inputs!$B$11-Inputs!$B$11),0))/100)/2</f>
        <v/>
      </c>
      <c r="M729">
        <f>L729*(1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9">
        <f>L729*(1-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729*(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9">
        <f>(1-Summary!$B$11)*T729+Summary!$B$11*V729</f>
        <v/>
      </c>
      <c r="P729">
        <f>IF(B765=0,0,O729/B765)</f>
        <v/>
      </c>
      <c r="Q729" t="n">
        <v>0</v>
      </c>
      <c r="R729" t="n">
        <v>0</v>
      </c>
      <c r="S729" t="n">
        <v>0</v>
      </c>
      <c r="T729">
        <f>IF(C729,(0.2*SUMPRODUCT((Skills!Z2:Z30=TRUE)*(C722:C750=TRUE)*S722:S750)*N729)*IF(Inputs!$B$39="pvp",1,1+(Inputs!$B$20+0+Skills!P9+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729*(1-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729*(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729*(1-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729*(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9">
        <f>IF(C729,(0.2*SUMPRODUCT((Skills!Z2:Z30=TRUE)*(C722:C750=TRUE)*S722:S750)*N729)*IF(Inputs!$B$39="pvp",1,(1+(Inputs!$B$21+Skills!Q9+B754+(IF(ArtifactsInput!$M$33,CHOOSE(ArtifactsInput!$N$33+1,30,36,42,48,54,60),0))+(IF(AND(ArtifactsInput!$M$35,Inputs!$B$4&lt;&gt;"Chapter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0">
      <c r="A730">
        <f>Skills!A10</f>
        <v/>
      </c>
      <c r="B730">
        <f>Skills!B10</f>
        <v/>
      </c>
      <c r="C730">
        <f>Inputs!$B$3&gt;=74</f>
        <v/>
      </c>
      <c r="D730">
        <f>IF(Skills!C10=1,60+Inputs!$B$25+Inputs!$B$29,IF(Skills!C10=2,90+Inputs!$B$26+Inputs!$B$29,IF(Skills!C10=3,120+Inputs!$B$27+Inputs!$B$29,MAX(0,(Inputs!$B$3-100)*3)+Inputs!$B$28+Inputs!$B$29)))</f>
        <v/>
      </c>
      <c r="E730">
        <f>INDEX(FactorTable!$B$2:$Y$301, MATCH(ROUND(MIN(300,MAX(1,D730)),0), FactorTable!$A$2:$A$301,0), Skills!M10+1)</f>
        <v/>
      </c>
      <c r="F730">
        <f>IF(Skills!N10=TRUE,(Skills!L10/10)*(E730/1000),Skills!L10/10)+Skills!O10</f>
        <v/>
      </c>
      <c r="G730">
        <f>Skills!G10*IF(Skills!H10&gt;0,Skills!I10/Skills!H10,1)</f>
        <v/>
      </c>
      <c r="H730">
        <f>1-(1-Skills!J10/100)^Skills!K10</f>
        <v/>
      </c>
      <c r="I730" t="inlineStr">
        <is>
          <t>1</t>
        </is>
      </c>
      <c r="J730" t="inlineStr"/>
      <c r="K730" t="inlineStr"/>
      <c r="L730" t="inlineStr"/>
      <c r="M730" t="inlineStr"/>
      <c r="N730" t="inlineStr"/>
      <c r="O730">
        <f>(1-Summary!$B$11)*T730+Summary!$B$11*V730</f>
        <v/>
      </c>
      <c r="P730">
        <f>IF(B765=0,0,O730/B765)</f>
        <v/>
      </c>
      <c r="Q730">
        <f>IFERROR(1/IF(Inputs!$B$39="pvp",15,MAX(0.1,Skills!D10-IF(Skills!E10=TRUE,Inputs!$B$32,0))),0)</f>
        <v/>
      </c>
      <c r="R730">
        <f>IF(AND(Inputs!$B$39&lt;&gt;"pvp",Inputs!$B$44&gt;0),IF(Inputs!$B$44&lt;=0,0,(INT(Inputs!$B$44/IF(Inputs!$B$39="pvp",15,MAX(0.1,Skills!D10-IF(Skills!E10=TRUE,Inputs!$B$32,0))))+1)),0)</f>
        <v/>
      </c>
      <c r="S730">
        <f>IFERROR(O730/N730,0)</f>
        <v/>
      </c>
      <c r="T730" t="n">
        <v>0</v>
      </c>
      <c r="V730" t="n">
        <v>0</v>
      </c>
    </row>
    <row r="731">
      <c r="A731">
        <f>Skills!A11</f>
        <v/>
      </c>
      <c r="B731">
        <f>Skills!B11</f>
        <v/>
      </c>
      <c r="C731">
        <f>Inputs!$B$3&gt;=103</f>
        <v/>
      </c>
      <c r="D731">
        <f>IF(Skills!C11=1,60+Inputs!$B$25+Inputs!$B$29,IF(Skills!C11=2,90+Inputs!$B$26+Inputs!$B$29,IF(Skills!C11=3,120+Inputs!$B$27+Inputs!$B$29,MAX(0,(Inputs!$B$3-100)*3)+Inputs!$B$28+Inputs!$B$29)))</f>
        <v/>
      </c>
      <c r="E731">
        <f>INDEX(FactorTable!$B$2:$Y$301, MATCH(ROUND(MIN(300,MAX(1,D731)),0), FactorTable!$A$2:$A$301,0), Skills!M11+1)</f>
        <v/>
      </c>
      <c r="F731">
        <f>(Skills!L11/10)*(E731/1000)+IF(Inputs!$B$3&gt;=134,50,0)+0.5*(30000/10)*(INDEX(FactorTable!$B$2:$Y$301, MATCH(ROUND(MIN(300,MAX(1,D731)),0), FactorTable!$A$2:$A$301,0), 13)/1000)*B763</f>
        <v/>
      </c>
      <c r="G731">
        <f>Skills!G11*IF(Skills!H11&gt;0,Skills!I11/Skills!H11,1)</f>
        <v/>
      </c>
      <c r="H731">
        <f>1-(1-Skills!J11/100)^Skills!K11</f>
        <v/>
      </c>
      <c r="I731" t="inlineStr">
        <is>
          <t>1</t>
        </is>
      </c>
      <c r="J731">
        <f>((Inputs!$B$6*(1+Inputs!$B$7/100))+(((Inputs!$B$12*(1+Inputs!$B$13/100))-(Inputs!$B$12*(1+Inputs!$B$13/100)))+0.25*(Inputs!$B$14-Inputs!$B$14))*(1+Inputs!$B$7/100))*(F731/100)</f>
        <v/>
      </c>
      <c r="K731">
        <f>J731*(1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731)</f>
        <v/>
      </c>
      <c r="L731">
        <f>K731*(MIN(Inputs!$B$22+((C744=TRUE)*(F744-Calc!F24)),(Inputs!$B$23+((C749=TRUE)*(F749-Calc!F29))+IF(ArtifactsInput!$M$15,CHOOSE(ArtifactsInput!$N$15+1,25,30,35,40,45,50)/100*(Inputs!$B$11-Inputs!$B$11),0)))/100+(Inputs!$B$23+((C749=TRUE)*(F749-Calc!F29))+IF(ArtifactsInput!$M$15,CHOOSE(ArtifactsInput!$N$15+1,25,30,35,40,45,50)/100*(Inputs!$B$11-Inputs!$B$11),0))/100)/2</f>
        <v/>
      </c>
      <c r="M731">
        <f>L731*(1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1">
        <f>L731*(1-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1">
        <f>(1-Summary!$B$11)*T731+Summary!$B$11*V731</f>
        <v/>
      </c>
      <c r="P731">
        <f>IF(B765=0,0,O731/B765)</f>
        <v/>
      </c>
      <c r="Q731">
        <f>IFERROR(1/IF(Inputs!$B$39="pvp",15,MAX(0.1,Skills!D11-IF(Skills!E11=TRUE,Inputs!$B$32,0))),0)</f>
        <v/>
      </c>
      <c r="R731">
        <f>IF(AND(Inputs!$B$39&lt;&gt;"pvp",Inputs!$B$44&gt;0),IF(MAX(0,Inputs!$B$44-B764)&lt;=0,0,(INT(MAX(0,Inputs!$B$44-B764)/IF(Inputs!$B$39="pvp",15,MAX(0.1,Skills!D11-IF(Skills!E11=TRUE,Inputs!$B$32,0))))+1)),0)</f>
        <v/>
      </c>
      <c r="S731">
        <f>IFERROR(O731/N731,0)</f>
        <v/>
      </c>
      <c r="T731">
        <f>IF(C731,(H731*N731*IF(AND(Inputs!$B$39&lt;&gt;"pvp",Inputs!$B$44&gt;0),((Skills!G11*((R731-1)*IF(Skills!H11&gt;0,Skills!I11/Skills!H11,1)+IF(Skills!H11&gt;0,MIN(Skills!I11,MAX(0,MAX(0,Inputs!$B$44-B764)-((R731-1)*IF(Inputs!$B$39="pvp",15,MAX(0.1,Skills!D11-IF(Skills!E11=TRUE,Inputs!$B$32,0))))))/Skills!H11,1)))/Inputs!$B$44),G731*Q731))*IF(Inputs!$B$39="pvp",1,1+(Inputs!$B$20+0+Skills!P11+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731*(1-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731*(1-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1">
        <f>IF(C731,(H731*N731*IF(AND(Inputs!$B$39&lt;&gt;"pvp",Inputs!$B$44&gt;0),((Skills!G11*((R731-1)*IF(Skills!H11&gt;0,Skills!I11/Skills!H11,1)+IF(Skills!H11&gt;0,MIN(Skills!I11,MAX(0,MAX(0,Inputs!$B$44-B764)-((R731-1)*IF(Inputs!$B$39="pvp",15,MAX(0.1,Skills!D11-IF(Skills!E11=TRUE,Inputs!$B$32,0))))))/Skills!H11,1)))/Inputs!$B$44),G731*Q731))*IF(Inputs!$B$39="pvp",1,(1+(Inputs!$B$21+Skills!Q11+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2">
      <c r="A732">
        <f>Skills!A12</f>
        <v/>
      </c>
      <c r="B732">
        <f>Skills!B12</f>
        <v/>
      </c>
      <c r="C732">
        <f>Inputs!$B$3&gt;=105</f>
        <v/>
      </c>
      <c r="D732">
        <f>IF(Skills!C12=1,60+Inputs!$B$25+Inputs!$B$29,IF(Skills!C12=2,90+Inputs!$B$26+Inputs!$B$29,IF(Skills!C12=3,120+Inputs!$B$27+Inputs!$B$29,MAX(0,(Inputs!$B$3-100)*3)+Inputs!$B$28+Inputs!$B$29)))</f>
        <v/>
      </c>
      <c r="E732">
        <f>INDEX(FactorTable!$B$2:$Y$301, MATCH(ROUND(MIN(300,MAX(1,D732)),0), FactorTable!$A$2:$A$301,0), Skills!M12+1)</f>
        <v/>
      </c>
      <c r="F732">
        <f>IF(Skills!N12=TRUE,(Skills!L12/10)*(E732/1000),Skills!L12/10)+Skills!O12</f>
        <v/>
      </c>
      <c r="G732">
        <f>Skills!G12*IF(Skills!H12&gt;0,Skills!I12/Skills!H12,1)</f>
        <v/>
      </c>
      <c r="H732">
        <f>1-(1-Skills!J12/100)^Skills!K12</f>
        <v/>
      </c>
      <c r="I732" t="inlineStr">
        <is>
          <t>1</t>
        </is>
      </c>
      <c r="J732">
        <f>((Inputs!$B$6*(1+Inputs!$B$7/100))+(((Inputs!$B$12*(1+Inputs!$B$13/100))-(Inputs!$B$12*(1+Inputs!$B$13/100)))+0.25*(Inputs!$B$14-Inputs!$B$14))*(1+Inputs!$B$7/100))*(F732/100)</f>
        <v/>
      </c>
      <c r="K732">
        <f>J732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732)</f>
        <v/>
      </c>
      <c r="L732">
        <f>K732*(MIN(Inputs!$B$22+((C744=TRUE)*(F744-Calc!F24)),(Inputs!$B$23+((C749=TRUE)*(F749-Calc!F29))+IF(ArtifactsInput!$M$15,CHOOSE(ArtifactsInput!$N$15+1,25,30,35,40,45,50)/100*(Inputs!$B$11-Inputs!$B$11),0)))/100+(Inputs!$B$23+((C749=TRUE)*(F749-Calc!F29))+IF(ArtifactsInput!$M$15,CHOOSE(ArtifactsInput!$N$15+1,25,30,35,40,45,50)/100*(Inputs!$B$11-Inputs!$B$11),0))/100)/2</f>
        <v/>
      </c>
      <c r="M732">
        <f>L732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2">
        <f>L732*(1-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732*(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2">
        <f>(1-Summary!$B$11)*T732+Summary!$B$11*V732</f>
        <v/>
      </c>
      <c r="P732">
        <f>IF(B765=0,0,O732/B765)</f>
        <v/>
      </c>
      <c r="Q732">
        <f>IFERROR(1/IF(Inputs!$B$39="pvp",15,MAX(0.1,Skills!D12-IF(Skills!E12=TRUE,Inputs!$B$32,0))),0)</f>
        <v/>
      </c>
      <c r="R732">
        <f>IF(AND(Inputs!$B$39&lt;&gt;"pvp",Inputs!$B$44&gt;0),IF(MAX(0,Inputs!$B$44-B764)&lt;=0,0,(INT(MAX(0,Inputs!$B$44-B764)/IF(Inputs!$B$39="pvp",15,MAX(0.1,Skills!D12-IF(Skills!E12=TRUE,Inputs!$B$32,0))))+1)),0)</f>
        <v/>
      </c>
      <c r="S732">
        <f>IFERROR(O732/N732,0)</f>
        <v/>
      </c>
      <c r="T732">
        <f>IF(C732,(H732*N732*IF(AND(Inputs!$B$39&lt;&gt;"pvp",Inputs!$B$44&gt;0),((Skills!G12*((R732-1)*IF(Skills!H12&gt;0,Skills!I12/Skills!H12,1)+IF(Skills!H12&gt;0,MIN(Skills!I12,MAX(0,MAX(0,Inputs!$B$44-B764)-((R732-1)*IF(Inputs!$B$39="pvp",15,MAX(0.1,Skills!D12-IF(Skills!E12=TRUE,Inputs!$B$32,0))))))/Skills!H12,1)))/Inputs!$B$44),G732*Q732))*IF(Inputs!$B$39="pvp",1,1+(Inputs!$B$20+0+Skills!P12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732*(1-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732*(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732*(1-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732*(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2">
        <f>IF(C732,(H732*N732*IF(AND(Inputs!$B$39&lt;&gt;"pvp",Inputs!$B$44&gt;0),((Skills!G12*((R732-1)*IF(Skills!H12&gt;0,Skills!I12/Skills!H12,1)+IF(Skills!H12&gt;0,MIN(Skills!I12,MAX(0,MAX(0,Inputs!$B$44-B764)-((R732-1)*IF(Inputs!$B$39="pvp",15,MAX(0.1,Skills!D12-IF(Skills!E12=TRUE,Inputs!$B$32,0))))))/Skills!H12,1)))/Inputs!$B$44),G732*Q732))*IF(Inputs!$B$39="pvp",1,(1+(Inputs!$B$21+Skills!Q12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3">
      <c r="A733">
        <f>Skills!A13</f>
        <v/>
      </c>
      <c r="B733">
        <f>Skills!B13</f>
        <v/>
      </c>
      <c r="C733">
        <f>Inputs!$B$3&gt;=105</f>
        <v/>
      </c>
      <c r="D733">
        <f>IF(Skills!C13=1,60+Inputs!$B$25+Inputs!$B$29,IF(Skills!C13=2,90+Inputs!$B$26+Inputs!$B$29,IF(Skills!C13=3,120+Inputs!$B$27+Inputs!$B$29,MAX(0,(Inputs!$B$3-100)*3)+Inputs!$B$28+Inputs!$B$29)))</f>
        <v/>
      </c>
      <c r="E733">
        <f>INDEX(FactorTable!$B$2:$Y$301, MATCH(ROUND(MIN(300,MAX(1,D733)),0), FactorTable!$A$2:$A$301,0), Skills!M13+1)</f>
        <v/>
      </c>
      <c r="F733">
        <f>IF(Skills!N13=TRUE,(Skills!L13/10)*(E733/1000),Skills!L13/10)+Skills!O13</f>
        <v/>
      </c>
      <c r="G733">
        <f>Skills!G13*IF(Skills!H13&gt;0,Skills!I13/Skills!H13,1)</f>
        <v/>
      </c>
      <c r="H733">
        <f>1-(1-Skills!J13/100)^Skills!K13</f>
        <v/>
      </c>
      <c r="I733" t="inlineStr">
        <is>
          <t>1</t>
        </is>
      </c>
      <c r="J733">
        <f>((Inputs!$B$6*(1+Inputs!$B$7/100))+(((Inputs!$B$12*(1+Inputs!$B$13/100))-(Inputs!$B$12*(1+Inputs!$B$13/100)))+0.25*(Inputs!$B$14-Inputs!$B$14))*(1+Inputs!$B$7/100))*(F733/100)</f>
        <v/>
      </c>
      <c r="K733">
        <f>J733*(1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733)</f>
        <v/>
      </c>
      <c r="L733">
        <f>K733*(MIN(Inputs!$B$22+((C744=TRUE)*(F744-Calc!F24)),(Inputs!$B$23+((C749=TRUE)*(F749-Calc!F29))+IF(ArtifactsInput!$M$15,CHOOSE(ArtifactsInput!$N$15+1,25,30,35,40,45,50)/100*(Inputs!$B$11-Inputs!$B$11),0)))/100+(Inputs!$B$23+((C749=TRUE)*(F749-Calc!F29))+IF(ArtifactsInput!$M$15,CHOOSE(ArtifactsInput!$N$15+1,25,30,35,40,45,50)/100*(Inputs!$B$11-Inputs!$B$11),0))/100)/2</f>
        <v/>
      </c>
      <c r="M733">
        <f>L733*(1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3">
        <f>L733*(1-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733*(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3">
        <f>(1-Summary!$B$11)*T733+Summary!$B$11*V733</f>
        <v/>
      </c>
      <c r="P733">
        <f>IF(B765=0,0,O733/B765)</f>
        <v/>
      </c>
      <c r="Q733">
        <f>IFERROR(1/IF(Inputs!$B$39="pvp",15,MAX(0.1,Skills!D13-IF(Skills!E13=TRUE,Inputs!$B$32,0))),0)</f>
        <v/>
      </c>
      <c r="R733">
        <f>IF(AND(Inputs!$B$39&lt;&gt;"pvp",Inputs!$B$44&gt;0),IF(MAX(0,Inputs!$B$44-B764)&lt;=0,0,(INT(MAX(0,Inputs!$B$44-B764)/IF(Inputs!$B$39="pvp",15,MAX(0.1,Skills!D13-IF(Skills!E13=TRUE,Inputs!$B$32,0))))+1)),0)</f>
        <v/>
      </c>
      <c r="S733">
        <f>IFERROR(O733/N733,0)</f>
        <v/>
      </c>
      <c r="T733">
        <f>IF(C733,(H733*N733*IF(AND(Inputs!$B$39&lt;&gt;"pvp",Inputs!$B$44&gt;0),((Skills!G13*((R733-1)*IF(Skills!H13&gt;0,Skills!I13/Skills!H13,1)+IF(Skills!H13&gt;0,MIN(Skills!I13,MAX(0,MAX(0,Inputs!$B$44-B764)-((R733-1)*IF(Inputs!$B$39="pvp",15,MAX(0.1,Skills!D13-IF(Skills!E13=TRUE,Inputs!$B$32,0))))))/Skills!H13,1)))/Inputs!$B$44),G733*Q733))*IF(Inputs!$B$39="pvp",1,1+(Inputs!$B$20+0+Skills!P13+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733*(1-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733*(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733*(1-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733*(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3">
        <f>IF(C733,(H733*N733*IF(AND(Inputs!$B$39&lt;&gt;"pvp",Inputs!$B$44&gt;0),((Skills!G13*((R733-1)*IF(Skills!H13&gt;0,Skills!I13/Skills!H13,1)+IF(Skills!H13&gt;0,MIN(Skills!I13,MAX(0,MAX(0,Inputs!$B$44-B764)-((R733-1)*IF(Inputs!$B$39="pvp",15,MAX(0.1,Skills!D13-IF(Skills!E13=TRUE,Inputs!$B$32,0))))))/Skills!H13,1)))/Inputs!$B$44),G733*Q733))*IF(Inputs!$B$39="pvp",1,(1+(Inputs!$B$21+Skills!Q13+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4">
      <c r="A734">
        <f>Skills!A14</f>
        <v/>
      </c>
      <c r="B734">
        <f>Skills!B14</f>
        <v/>
      </c>
      <c r="C734">
        <f>Inputs!$B$3&gt;=107</f>
        <v/>
      </c>
      <c r="D734">
        <f>IF(Skills!C14=1,60+Inputs!$B$25+Inputs!$B$29,IF(Skills!C14=2,90+Inputs!$B$26+Inputs!$B$29,IF(Skills!C14=3,120+Inputs!$B$27+Inputs!$B$29,MAX(0,(Inputs!$B$3-100)*3)+Inputs!$B$28+Inputs!$B$29)))</f>
        <v/>
      </c>
      <c r="E734">
        <f>INDEX(FactorTable!$B$2:$Y$301, MATCH(ROUND(MIN(300,MAX(1,D734)),0), FactorTable!$A$2:$A$301,0), Skills!M14+1)</f>
        <v/>
      </c>
      <c r="F734">
        <f>IF(Skills!N14=TRUE,(Skills!L14/10)*(E734/1000),Skills!L14/10)+Skills!O14</f>
        <v/>
      </c>
      <c r="G734">
        <f>Skills!G14*IF(Skills!H14&gt;0,Skills!I14/Skills!H14,1)</f>
        <v/>
      </c>
      <c r="H734">
        <f>1-(1-Skills!J14/100)^Skills!K14</f>
        <v/>
      </c>
      <c r="I734" t="inlineStr">
        <is>
          <t>1</t>
        </is>
      </c>
      <c r="J734">
        <f>((Inputs!$B$6*(1+Inputs!$B$7/100))+(((Inputs!$B$12*(1+Inputs!$B$13/100))-(Inputs!$B$12*(1+Inputs!$B$13/100)))+0.25*(Inputs!$B$14-Inputs!$B$14))*(1+Inputs!$B$7/100))*(F734/100)</f>
        <v/>
      </c>
      <c r="K734">
        <f>J734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734)</f>
        <v/>
      </c>
      <c r="L734">
        <f>K734*(MIN(Inputs!$B$22+((C744=TRUE)*(F744-Calc!F24)),(Inputs!$B$23+((C749=TRUE)*(F749-Calc!F29))+IF(ArtifactsInput!$M$15,CHOOSE(ArtifactsInput!$N$15+1,25,30,35,40,45,50)/100*(Inputs!$B$11-Inputs!$B$11),0)))/100+(Inputs!$B$23+((C749=TRUE)*(F749-Calc!F29))+IF(ArtifactsInput!$M$15,CHOOSE(ArtifactsInput!$N$15+1,25,30,35,40,45,50)/100*(Inputs!$B$11-Inputs!$B$11),0))/100)/2</f>
        <v/>
      </c>
      <c r="M734">
        <f>L734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4">
        <f>L734*(1-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734*(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4">
        <f>(1-Summary!$B$11)*T734+Summary!$B$11*V734</f>
        <v/>
      </c>
      <c r="P734">
        <f>IF(B765=0,0,O734/B765)</f>
        <v/>
      </c>
      <c r="Q734">
        <f>IFERROR(1/IF(Inputs!$B$39="pvp",15,MAX(0.1,Skills!D14-IF(Skills!E14=TRUE,Inputs!$B$32,0))),0)</f>
        <v/>
      </c>
      <c r="R734">
        <f>IF(AND(Inputs!$B$39&lt;&gt;"pvp",Inputs!$B$44&gt;0),IF(MAX(0,Inputs!$B$44-B764)&lt;=0,0,(INT(MAX(0,Inputs!$B$44-B764)/IF(Inputs!$B$39="pvp",15,MAX(0.1,Skills!D14-IF(Skills!E14=TRUE,Inputs!$B$32,0))))+1)),0)</f>
        <v/>
      </c>
      <c r="S734">
        <f>IFERROR(O734/N734,0)</f>
        <v/>
      </c>
      <c r="T734">
        <f>IF(C734,(H734*N734*IF(AND(Inputs!$B$39&lt;&gt;"pvp",Inputs!$B$44&gt;0),((Skills!G14*((R734-1)*IF(Skills!H14&gt;0,Skills!I14/Skills!H14,1)+IF(Skills!H14&gt;0,MIN(Skills!I14,MAX(0,MAX(0,Inputs!$B$44-B764)-((R734-1)*IF(Inputs!$B$39="pvp",15,MAX(0.1,Skills!D14-IF(Skills!E14=TRUE,Inputs!$B$32,0))))))/Skills!H14,1)))/Inputs!$B$44),G734*Q734))*IF(Inputs!$B$39="pvp",1,1+(Inputs!$B$20+0+Skills!P14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734*(1-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734*(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734*(1-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734*(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4">
        <f>IF(C734,(H734*N734*IF(AND(Inputs!$B$39&lt;&gt;"pvp",Inputs!$B$44&gt;0),((Skills!G14*((R734-1)*IF(Skills!H14&gt;0,Skills!I14/Skills!H14,1)+IF(Skills!H14&gt;0,MIN(Skills!I14,MAX(0,MAX(0,Inputs!$B$44-B764)-((R734-1)*IF(Inputs!$B$39="pvp",15,MAX(0.1,Skills!D14-IF(Skills!E14=TRUE,Inputs!$B$32,0))))))/Skills!H14,1)))/Inputs!$B$44),G734*Q734))*IF(Inputs!$B$39="pvp",1,(1+(Inputs!$B$21+Skills!Q14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(5,0.25*B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5">
      <c r="A735">
        <f>Skills!A15</f>
        <v/>
      </c>
      <c r="B735">
        <f>Skills!B15</f>
        <v/>
      </c>
      <c r="C735">
        <f>Inputs!$B$3&gt;=110</f>
        <v/>
      </c>
      <c r="D735">
        <f>IF(Skills!C15=1,60+Inputs!$B$25+Inputs!$B$29,IF(Skills!C15=2,90+Inputs!$B$26+Inputs!$B$29,IF(Skills!C15=3,120+Inputs!$B$27+Inputs!$B$29,MAX(0,(Inputs!$B$3-100)*3)+Inputs!$B$28+Inputs!$B$29)))</f>
        <v/>
      </c>
      <c r="E735">
        <f>INDEX(FactorTable!$B$2:$Y$301, MATCH(ROUND(MIN(300,MAX(1,D735)),0), FactorTable!$A$2:$A$301,0), Skills!M15+1)</f>
        <v/>
      </c>
      <c r="F735">
        <f>IF(Skills!N15=TRUE,(Skills!L15/10)*(E735/1000),Skills!L15/10)+Skills!O15</f>
        <v/>
      </c>
      <c r="G735">
        <f>Skills!G15*IF(Skills!H15&gt;0,Skills!I15/Skills!H15,1)</f>
        <v/>
      </c>
      <c r="H735">
        <f>1-(1-Skills!J15/100)^Skills!K15</f>
        <v/>
      </c>
      <c r="I735" t="inlineStr">
        <is>
          <t>1</t>
        </is>
      </c>
      <c r="J735" t="inlineStr"/>
      <c r="K735" t="inlineStr"/>
      <c r="L735" t="inlineStr"/>
      <c r="M735" t="inlineStr"/>
      <c r="N735" t="inlineStr"/>
      <c r="O735">
        <f>(1-Summary!$B$11)*T735+Summary!$B$11*V735</f>
        <v/>
      </c>
      <c r="P735">
        <f>IF(B765=0,0,O735/B765)</f>
        <v/>
      </c>
      <c r="Q735">
        <f>IFERROR(1/IF(Inputs!$B$39="pvp",15,MAX(0.1,Skills!D15-IF(Skills!E15=TRUE,Inputs!$B$32,0))),0)</f>
        <v/>
      </c>
      <c r="R735">
        <f>IF(AND(Inputs!$B$39&lt;&gt;"pvp",Inputs!$B$44&gt;0),IF(Inputs!$B$44&lt;=0,0,(INT(Inputs!$B$44/IF(Inputs!$B$39="pvp",15,MAX(0.1,Skills!D15-IF(Skills!E15=TRUE,Inputs!$B$32,0))))+1)),0)</f>
        <v/>
      </c>
      <c r="S735">
        <f>IFERROR(O735/N735,0)</f>
        <v/>
      </c>
      <c r="T735" t="n">
        <v>0</v>
      </c>
      <c r="V735" t="n">
        <v>0</v>
      </c>
    </row>
    <row r="736">
      <c r="A736">
        <f>Skills!A16</f>
        <v/>
      </c>
      <c r="B736">
        <f>Skills!B16</f>
        <v/>
      </c>
      <c r="C736">
        <f>Inputs!$B$3&gt;=115</f>
        <v/>
      </c>
      <c r="D736">
        <f>IF(Skills!C16=1,60+Inputs!$B$25+Inputs!$B$29,IF(Skills!C16=2,90+Inputs!$B$26+Inputs!$B$29,IF(Skills!C16=3,120+Inputs!$B$27+Inputs!$B$29,MAX(0,(Inputs!$B$3-100)*3)+Inputs!$B$28+Inputs!$B$29)))</f>
        <v/>
      </c>
      <c r="E736">
        <f>INDEX(FactorTable!$B$2:$Y$301, MATCH(ROUND(MIN(300,MAX(1,D736)),0), FactorTable!$A$2:$A$301,0), Skills!M16+1)</f>
        <v/>
      </c>
      <c r="F736">
        <f>IF(Skills!N16=TRUE,(Skills!L16/10)*(E736/1000),Skills!L16/10)+Skills!O16</f>
        <v/>
      </c>
      <c r="G736">
        <f>Skills!G16*IF(Skills!H16&gt;0,Skills!I16/Skills!H16,1)</f>
        <v/>
      </c>
      <c r="H736">
        <f>1-(1-Skills!J16/100)^Skills!K16</f>
        <v/>
      </c>
      <c r="I736" t="inlineStr">
        <is>
          <t>1</t>
        </is>
      </c>
      <c r="J736">
        <f>((Inputs!$B$6*(1+Inputs!$B$7/100))+(((Inputs!$B$12*(1+Inputs!$B$13/100))-(Inputs!$B$12*(1+Inputs!$B$13/100)))+0.25*(Inputs!$B$14-Inputs!$B$14))*(1+Inputs!$B$7/100))*(F736/100)</f>
        <v/>
      </c>
      <c r="K736">
        <f>J736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747=TRUE)*(F747-Calc!F27))+((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736)</f>
        <v/>
      </c>
      <c r="L736">
        <f>K736*(MIN(Inputs!$B$22+((C744=TRUE)*(F744-Calc!F24)),(Inputs!$B$23+((C749=TRUE)*(F749-Calc!F29))+IF(ArtifactsInput!$M$15,CHOOSE(ArtifactsInput!$N$15+1,25,30,35,40,45,50)/100*(Inputs!$B$11-Inputs!$B$11),0)))/100+(Inputs!$B$23+((C749=TRUE)*(F749-Calc!F29))+IF(ArtifactsInput!$M$15,CHOOSE(ArtifactsInput!$N$15+1,25,30,35,40,45,50)/100*(Inputs!$B$11-Inputs!$B$11),0))/100)/2</f>
        <v/>
      </c>
      <c r="M736">
        <f>L736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6">
        <f>L736*(1-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736*(MIN((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6">
        <f>(1-Summary!$B$11)*T736+Summary!$B$11*V736</f>
        <v/>
      </c>
      <c r="P736">
        <f>IF(B765=0,0,O736/B765)</f>
        <v/>
      </c>
      <c r="Q736" t="n">
        <v>0</v>
      </c>
      <c r="R736" t="n">
        <v>0</v>
      </c>
      <c r="S736">
        <f>IFERROR(O736/N736,0)</f>
        <v/>
      </c>
      <c r="T736">
        <f>IF(C736,(Inputs!$B$38*0.2*N736)*IF(Inputs!$B$39="pvp",1,1+(Inputs!$B$20+0+Skills!P16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736*(1-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736*(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736*(1-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736*(MIN(100,(Inputs!$B$9+((C745=TRUE)*(F745-Calc!F25))+B753+(ArtifactsInput!$M$24-ArtifactsInput!$M$24)*CHOOSE(ArtifactsInput!$N$24+1,10,12,14,16,18,20)+(IF(AND(Inputs!$B$39&lt;&gt;"pvp",Inputs!$B$44=0),1,IF(IF(Inputs!$B$39="pvp",15,Inputs!$B$44)-(B764)&lt;=0,1,MAX(0,IF(Inputs!$B$39="pvp",15,Inputs!$B$44)-MAX(5,B764))/(IF(Inputs!$B$39="pvp",15,Inputs!$B$44)-(B764))))*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6">
        <f>IF(C736,(Inputs!$B$38*0.2*N736)*IF(Inputs!$B$39="pvp",1,(1+(Inputs!$B$21+Skills!Q16+B754+(IF(ArtifactsInput!$M$33,CHOOSE(ArtifactsInput!$N$33+1,30,36,42,48,54,60),0))+(IF(AND(ArtifactsInput!$M$35,Inputs!$B$4&lt;&gt;"Chapter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7">
      <c r="A737">
        <f>Skills!A17</f>
        <v/>
      </c>
      <c r="B737">
        <f>Skills!B17</f>
        <v/>
      </c>
      <c r="C737">
        <f>Inputs!$B$3&gt;=115</f>
        <v/>
      </c>
      <c r="D737">
        <f>IF(Skills!C17=1,60+Inputs!$B$25+Inputs!$B$29,IF(Skills!C17=2,90+Inputs!$B$26+Inputs!$B$29,IF(Skills!C17=3,120+Inputs!$B$27+Inputs!$B$29,MAX(0,(Inputs!$B$3-100)*3)+Inputs!$B$28+Inputs!$B$29)))</f>
        <v/>
      </c>
      <c r="E737">
        <f>INDEX(FactorTable!$B$2:$Y$301, MATCH(ROUND(MIN(300,MAX(1,D737)),0), FactorTable!$A$2:$A$301,0), Skills!M17+1)</f>
        <v/>
      </c>
      <c r="F737">
        <f>IF(Skills!N17=TRUE,(Skills!L17/10)*(E737/1000),Skills!L17/10)+Skills!O17</f>
        <v/>
      </c>
      <c r="G737">
        <f>Skills!G17*IF(Skills!H17&gt;0,Skills!I17/Skills!H17,1)</f>
        <v/>
      </c>
      <c r="H737">
        <f>1-(1-Skills!J17/100)^Skills!K17</f>
        <v/>
      </c>
      <c r="I737" t="inlineStr">
        <is>
          <t>1</t>
        </is>
      </c>
      <c r="J737" t="inlineStr"/>
      <c r="K737" t="inlineStr"/>
      <c r="L737" t="inlineStr"/>
      <c r="M737" t="inlineStr"/>
      <c r="N737" t="inlineStr"/>
      <c r="O737">
        <f>(1-Summary!$B$11)*T737+Summary!$B$11*V737</f>
        <v/>
      </c>
      <c r="P737">
        <f>IF(B765=0,0,O737/B765)</f>
        <v/>
      </c>
      <c r="Q737" t="n">
        <v>0</v>
      </c>
      <c r="R737" t="n">
        <v>0</v>
      </c>
      <c r="S737">
        <f>IFERROR(O737/N737,0)</f>
        <v/>
      </c>
      <c r="T737" t="n">
        <v>0</v>
      </c>
      <c r="V737" t="n">
        <v>0</v>
      </c>
    </row>
    <row r="738">
      <c r="A738">
        <f>Skills!A18</f>
        <v/>
      </c>
      <c r="B738">
        <f>Skills!B18</f>
        <v/>
      </c>
      <c r="C738">
        <f>Inputs!$B$3&gt;=100</f>
        <v/>
      </c>
      <c r="D738">
        <f>IF(Skills!C18=1,60+Inputs!$B$25+Inputs!$B$29,IF(Skills!C18=2,90+Inputs!$B$26+Inputs!$B$29,IF(Skills!C18=3,120+Inputs!$B$27+Inputs!$B$29,MAX(0,(Inputs!$B$3-100)*3)+Inputs!$B$28+Inputs!$B$29)))</f>
        <v/>
      </c>
      <c r="E738">
        <f>INDEX(FactorTable!$B$2:$Y$301, MATCH(ROUND(MIN(300,MAX(1,D738)),0), FactorTable!$A$2:$A$301,0), Skills!M18+1)</f>
        <v/>
      </c>
      <c r="F738">
        <f>IF(Skills!N18=TRUE,(Skills!L18/10)*(E738/1000),Skills!L18/10)+Skills!O18</f>
        <v/>
      </c>
      <c r="G738">
        <f>Skills!G18*IF(Skills!H18&gt;0,Skills!I18/Skills!H18,1)</f>
        <v/>
      </c>
      <c r="H738">
        <f>1-(1-Skills!J18/100)^Skills!K18</f>
        <v/>
      </c>
      <c r="I738" t="inlineStr">
        <is>
          <t>1</t>
        </is>
      </c>
      <c r="J738" t="inlineStr"/>
      <c r="K738" t="inlineStr"/>
      <c r="L738" t="inlineStr"/>
      <c r="M738" t="inlineStr"/>
      <c r="N738" t="inlineStr"/>
      <c r="O738">
        <f>(1-Summary!$B$11)*T738+Summary!$B$11*V738</f>
        <v/>
      </c>
      <c r="P738">
        <f>IF(B765=0,0,O738/B765)</f>
        <v/>
      </c>
      <c r="Q738" t="n">
        <v>0</v>
      </c>
      <c r="R738" t="n">
        <v>0</v>
      </c>
      <c r="S738">
        <f>IFERROR(O738/N738,0)</f>
        <v/>
      </c>
      <c r="T738" t="n">
        <v>0</v>
      </c>
      <c r="V738" t="n">
        <v>0</v>
      </c>
    </row>
    <row r="739">
      <c r="A739">
        <f>Skills!A19</f>
        <v/>
      </c>
      <c r="B739">
        <f>Skills!B19</f>
        <v/>
      </c>
      <c r="C739">
        <f>TRUE</f>
        <v/>
      </c>
      <c r="D739">
        <f>IF(Skills!C19=1,60+Inputs!$B$25+Inputs!$B$29,IF(Skills!C19=2,90+Inputs!$B$26+Inputs!$B$29,IF(Skills!C19=3,120+Inputs!$B$27+Inputs!$B$29,MAX(0,(Inputs!$B$3-100)*3)+Inputs!$B$28+Inputs!$B$29)))</f>
        <v/>
      </c>
      <c r="E739">
        <f>INDEX(FactorTable!$B$2:$Y$301, MATCH(ROUND(MIN(300,MAX(1,D739)),0), FactorTable!$A$2:$A$301,0), Skills!M19+1)</f>
        <v/>
      </c>
      <c r="F739">
        <f>IF(Skills!N19=TRUE,(Skills!L19/10)*(E739/1000),Skills!L19/10)+Skills!O19</f>
        <v/>
      </c>
      <c r="G739">
        <f>Skills!G19*IF(Skills!H19&gt;0,Skills!I19/Skills!H19,1)</f>
        <v/>
      </c>
      <c r="H739">
        <f>1-(1-Skills!J19/100)^Skills!K19</f>
        <v/>
      </c>
      <c r="I739" t="inlineStr">
        <is>
          <t>1</t>
        </is>
      </c>
      <c r="J739" t="inlineStr"/>
      <c r="K739" t="inlineStr"/>
      <c r="L739" t="inlineStr"/>
      <c r="M739" t="inlineStr"/>
      <c r="N739" t="inlineStr"/>
      <c r="O739">
        <f>(1-Summary!$B$11)*T739+Summary!$B$11*V739</f>
        <v/>
      </c>
      <c r="P739">
        <f>IF(B765=0,0,O739/B765)</f>
        <v/>
      </c>
      <c r="Q739">
        <f>IFERROR(1/IF(Inputs!$B$39="pvp",15,MAX(0.1,Skills!D19-IF(Skills!E19=TRUE,Inputs!$B$32,0))),0)</f>
        <v/>
      </c>
      <c r="R739">
        <f>IF(AND(Inputs!$B$39&lt;&gt;"pvp",Inputs!$B$44&gt;0),IF(Inputs!$B$44&lt;=0,0,(INT(Inputs!$B$44/IF(Inputs!$B$39="pvp",15,MAX(0.1,Skills!D19-IF(Skills!E19=TRUE,Inputs!$B$32,0))))+1)),0)</f>
        <v/>
      </c>
      <c r="S739">
        <f>IFERROR(O739/N739,0)</f>
        <v/>
      </c>
      <c r="T739" t="n">
        <v>0</v>
      </c>
      <c r="V739" t="n">
        <v>0</v>
      </c>
    </row>
    <row r="740">
      <c r="A740">
        <f>Skills!A20</f>
        <v/>
      </c>
      <c r="B740">
        <f>Skills!B20</f>
        <v/>
      </c>
      <c r="C740">
        <f>Inputs!$B$3&gt;=15</f>
        <v/>
      </c>
      <c r="D740">
        <f>IF(Skills!C20=1,60+Inputs!$B$25+Inputs!$B$29,IF(Skills!C20=2,90+Inputs!$B$26+Inputs!$B$29,IF(Skills!C20=3,120+Inputs!$B$27+Inputs!$B$29,MAX(0,(Inputs!$B$3-100)*3)+Inputs!$B$28+Inputs!$B$29)))</f>
        <v/>
      </c>
      <c r="E740">
        <f>INDEX(FactorTable!$B$2:$Y$301, MATCH(ROUND(MIN(300,MAX(1,D740)),0), FactorTable!$A$2:$A$301,0), Skills!M20+1)</f>
        <v/>
      </c>
      <c r="F740">
        <f>IF(Skills!N20=TRUE,(Skills!L20/10)*(E740/1000),Skills!L20/10)+Skills!O20</f>
        <v/>
      </c>
      <c r="G740">
        <f>Skills!G20*IF(Skills!H20&gt;0,Skills!I20/Skills!H20,1)</f>
        <v/>
      </c>
      <c r="H740">
        <f>1-(1-Skills!J20/100)^Skills!K20</f>
        <v/>
      </c>
      <c r="I740" t="inlineStr">
        <is>
          <t>1</t>
        </is>
      </c>
      <c r="J740" t="inlineStr"/>
      <c r="K740" t="inlineStr"/>
      <c r="L740" t="inlineStr"/>
      <c r="M740" t="inlineStr"/>
      <c r="N740" t="inlineStr"/>
      <c r="O740">
        <f>(1-Summary!$B$11)*T740+Summary!$B$11*V740</f>
        <v/>
      </c>
      <c r="P740">
        <f>IF(B765=0,0,O740/B765)</f>
        <v/>
      </c>
      <c r="Q740">
        <f>IFERROR(1/IF(Inputs!$B$39="pvp",15,MAX(0.1,Skills!D20-IF(Skills!E20=TRUE,Inputs!$B$32,0))),0)</f>
        <v/>
      </c>
      <c r="R740">
        <f>IF(AND(Inputs!$B$39&lt;&gt;"pvp",Inputs!$B$44&gt;0),IF(Inputs!$B$44&lt;=0,0,(INT(Inputs!$B$44/IF(Inputs!$B$39="pvp",15,MAX(0.1,Skills!D20-IF(Skills!E20=TRUE,Inputs!$B$32,0))))+1)),0)</f>
        <v/>
      </c>
      <c r="S740">
        <f>IFERROR(O740/N740,0)</f>
        <v/>
      </c>
      <c r="T740" t="n">
        <v>0</v>
      </c>
      <c r="V740" t="n">
        <v>0</v>
      </c>
    </row>
    <row r="741">
      <c r="A741">
        <f>Skills!A21</f>
        <v/>
      </c>
      <c r="B741">
        <f>Skills!B21</f>
        <v/>
      </c>
      <c r="C741">
        <f>Inputs!$B$3&gt;=15</f>
        <v/>
      </c>
      <c r="D741">
        <f>IF(Skills!C21=1,60+Inputs!$B$25+Inputs!$B$29,IF(Skills!C21=2,90+Inputs!$B$26+Inputs!$B$29,IF(Skills!C21=3,120+Inputs!$B$27+Inputs!$B$29,MAX(0,(Inputs!$B$3-100)*3)+Inputs!$B$28+Inputs!$B$29)))</f>
        <v/>
      </c>
      <c r="E741">
        <f>INDEX(FactorTable!$B$2:$Y$301, MATCH(ROUND(MIN(300,MAX(1,D741)),0), FactorTable!$A$2:$A$301,0), Skills!M21+1)</f>
        <v/>
      </c>
      <c r="F741">
        <f>IF(Skills!N21=TRUE,(Skills!L21/10)*(E741/1000),Skills!L21/10)+Skills!O21</f>
        <v/>
      </c>
      <c r="G741">
        <f>Skills!G21*IF(Skills!H21&gt;0,Skills!I21/Skills!H21,1)</f>
        <v/>
      </c>
      <c r="H741">
        <f>1-(1-Skills!J21/100)^Skills!K21</f>
        <v/>
      </c>
      <c r="I741" t="inlineStr">
        <is>
          <t>1</t>
        </is>
      </c>
      <c r="J741" t="inlineStr"/>
      <c r="K741" t="inlineStr"/>
      <c r="L741" t="inlineStr"/>
      <c r="M741" t="inlineStr"/>
      <c r="N741" t="inlineStr"/>
      <c r="O741">
        <f>(1-Summary!$B$11)*T741+Summary!$B$11*V741</f>
        <v/>
      </c>
      <c r="P741">
        <f>IF(B765=0,0,O741/B765)</f>
        <v/>
      </c>
      <c r="Q741">
        <f>IFERROR(1/IF(Inputs!$B$39="pvp",15,MAX(0.1,Skills!D21-IF(Skills!E21=TRUE,Inputs!$B$32,0))),0)</f>
        <v/>
      </c>
      <c r="R741">
        <f>IF(AND(Inputs!$B$39&lt;&gt;"pvp",Inputs!$B$44&gt;0),IF(Inputs!$B$44&lt;=0,0,(INT(Inputs!$B$44/IF(Inputs!$B$39="pvp",15,MAX(0.1,Skills!D21-IF(Skills!E21=TRUE,Inputs!$B$32,0))))+1)),0)</f>
        <v/>
      </c>
      <c r="S741">
        <f>IFERROR(O741/N741,0)</f>
        <v/>
      </c>
      <c r="T741" t="n">
        <v>0</v>
      </c>
      <c r="V741" t="n">
        <v>0</v>
      </c>
    </row>
    <row r="742">
      <c r="A742">
        <f>Skills!A22</f>
        <v/>
      </c>
      <c r="B742">
        <f>Skills!B22</f>
        <v/>
      </c>
      <c r="C742">
        <f>Inputs!$B$3&gt;=33</f>
        <v/>
      </c>
      <c r="D742">
        <f>IF(Skills!C22=1,60+Inputs!$B$25+Inputs!$B$29,IF(Skills!C22=2,90+Inputs!$B$26+Inputs!$B$29,IF(Skills!C22=3,120+Inputs!$B$27+Inputs!$B$29,MAX(0,(Inputs!$B$3-100)*3)+Inputs!$B$28+Inputs!$B$29)))</f>
        <v/>
      </c>
      <c r="E742">
        <f>INDEX(FactorTable!$B$2:$Y$301, MATCH(ROUND(MIN(300,MAX(1,D742)),0), FactorTable!$A$2:$A$301,0), Skills!M22+1)</f>
        <v/>
      </c>
      <c r="F742">
        <f>IF(Skills!N22=TRUE,(Skills!L22/10)*(E742/1000),Skills!L22/10)+Skills!O22</f>
        <v/>
      </c>
      <c r="G742">
        <f>Skills!G22*IF(Skills!H22&gt;0,Skills!I22/Skills!H22,1)</f>
        <v/>
      </c>
      <c r="H742">
        <f>1-(1-Skills!J22/100)^Skills!K22</f>
        <v/>
      </c>
      <c r="I742" t="inlineStr">
        <is>
          <t>1</t>
        </is>
      </c>
      <c r="J742" t="inlineStr"/>
      <c r="K742" t="inlineStr"/>
      <c r="L742" t="inlineStr"/>
      <c r="M742" t="inlineStr"/>
      <c r="N742" t="inlineStr"/>
      <c r="O742">
        <f>(1-Summary!$B$11)*T742+Summary!$B$11*V742</f>
        <v/>
      </c>
      <c r="P742">
        <f>IF(B765=0,0,O742/B765)</f>
        <v/>
      </c>
      <c r="Q742" t="n">
        <v>0</v>
      </c>
      <c r="R742" t="n">
        <v>0</v>
      </c>
      <c r="S742">
        <f>IFERROR(O742/N742,0)</f>
        <v/>
      </c>
      <c r="T742" t="n">
        <v>0</v>
      </c>
      <c r="V742" t="n">
        <v>0</v>
      </c>
    </row>
    <row r="743">
      <c r="A743">
        <f>Skills!A23</f>
        <v/>
      </c>
      <c r="B743">
        <f>Skills!B23</f>
        <v/>
      </c>
      <c r="C743">
        <f>Inputs!$B$3&gt;=40</f>
        <v/>
      </c>
      <c r="D743">
        <f>IF(Skills!C23=1,60+Inputs!$B$25+Inputs!$B$29,IF(Skills!C23=2,90+Inputs!$B$26+Inputs!$B$29,IF(Skills!C23=3,120+Inputs!$B$27+Inputs!$B$29,MAX(0,(Inputs!$B$3-100)*3)+Inputs!$B$28+Inputs!$B$29)))</f>
        <v/>
      </c>
      <c r="E743">
        <f>INDEX(FactorTable!$B$2:$Y$301, MATCH(ROUND(MIN(300,MAX(1,D743)),0), FactorTable!$A$2:$A$301,0), Skills!M23+1)</f>
        <v/>
      </c>
      <c r="F743">
        <f>IF(Skills!N23=TRUE,(Skills!L23/10)*(E743/1000),Skills!L23/10)+Skills!O23</f>
        <v/>
      </c>
      <c r="G743">
        <f>Skills!G23*IF(Skills!H23&gt;0,Skills!I23/Skills!H23,1)</f>
        <v/>
      </c>
      <c r="H743">
        <f>1-(1-Skills!J23/100)^Skills!K23</f>
        <v/>
      </c>
      <c r="I743" t="inlineStr">
        <is>
          <t>1</t>
        </is>
      </c>
      <c r="J743" t="inlineStr"/>
      <c r="K743" t="inlineStr"/>
      <c r="L743" t="inlineStr"/>
      <c r="M743" t="inlineStr"/>
      <c r="N743" t="inlineStr"/>
      <c r="O743">
        <f>(1-Summary!$B$11)*T743+Summary!$B$11*V743</f>
        <v/>
      </c>
      <c r="P743">
        <f>IF(B765=0,0,O743/B765)</f>
        <v/>
      </c>
      <c r="Q743" t="n">
        <v>0</v>
      </c>
      <c r="R743" t="n">
        <v>0</v>
      </c>
      <c r="S743">
        <f>IFERROR(O743/N743,0)</f>
        <v/>
      </c>
      <c r="T743" t="n">
        <v>0</v>
      </c>
      <c r="V743" t="n">
        <v>0</v>
      </c>
    </row>
    <row r="744">
      <c r="A744">
        <f>Skills!A24</f>
        <v/>
      </c>
      <c r="B744">
        <f>Skills!B24</f>
        <v/>
      </c>
      <c r="C744">
        <f>Inputs!$B$3&gt;=43</f>
        <v/>
      </c>
      <c r="D744">
        <f>IF(Skills!C24=1,60+Inputs!$B$25+Inputs!$B$29,IF(Skills!C24=2,90+Inputs!$B$26+Inputs!$B$29,IF(Skills!C24=3,120+Inputs!$B$27+Inputs!$B$29,MAX(0,(Inputs!$B$3-100)*3)+Inputs!$B$28+Inputs!$B$29)))</f>
        <v/>
      </c>
      <c r="E744">
        <f>INDEX(FactorTable!$B$2:$Y$301, MATCH(ROUND(MIN(300,MAX(1,D744)),0), FactorTable!$A$2:$A$301,0), Skills!M24+1)</f>
        <v/>
      </c>
      <c r="F744">
        <f>IF(Skills!N24=TRUE,(Skills!L24/10)*(E744/1000),Skills!L24/10)+Skills!O24</f>
        <v/>
      </c>
      <c r="G744">
        <f>Skills!G24*IF(Skills!H24&gt;0,Skills!I24/Skills!H24,1)</f>
        <v/>
      </c>
      <c r="H744">
        <f>1-(1-Skills!J24/100)^Skills!K24</f>
        <v/>
      </c>
      <c r="I744" t="inlineStr">
        <is>
          <t>1</t>
        </is>
      </c>
      <c r="J744" t="inlineStr"/>
      <c r="K744" t="inlineStr"/>
      <c r="L744" t="inlineStr"/>
      <c r="M744" t="inlineStr"/>
      <c r="N744" t="inlineStr"/>
      <c r="O744">
        <f>(1-Summary!$B$11)*T744+Summary!$B$11*V744</f>
        <v/>
      </c>
      <c r="P744">
        <f>IF(B765=0,0,O744/B765)</f>
        <v/>
      </c>
      <c r="Q744" t="n">
        <v>0</v>
      </c>
      <c r="R744" t="n">
        <v>0</v>
      </c>
      <c r="S744">
        <f>IFERROR(O744/N744,0)</f>
        <v/>
      </c>
      <c r="T744" t="n">
        <v>0</v>
      </c>
      <c r="V744" t="n">
        <v>0</v>
      </c>
    </row>
    <row r="745">
      <c r="A745">
        <f>Skills!A25</f>
        <v/>
      </c>
      <c r="B745">
        <f>Skills!B25</f>
        <v/>
      </c>
      <c r="C745">
        <f>Inputs!$B$3&gt;=50</f>
        <v/>
      </c>
      <c r="D745">
        <f>IF(Skills!C25=1,60+Inputs!$B$25+Inputs!$B$29,IF(Skills!C25=2,90+Inputs!$B$26+Inputs!$B$29,IF(Skills!C25=3,120+Inputs!$B$27+Inputs!$B$29,MAX(0,(Inputs!$B$3-100)*3)+Inputs!$B$28+Inputs!$B$29)))</f>
        <v/>
      </c>
      <c r="E745">
        <f>INDEX(FactorTable!$B$2:$Y$301, MATCH(ROUND(MIN(300,MAX(1,D745)),0), FactorTable!$A$2:$A$301,0), Skills!M25+1)</f>
        <v/>
      </c>
      <c r="F745">
        <f>IF(Skills!N25=TRUE,(Skills!L25/10)*(E745/1000),Skills!L25/10)+Skills!O25</f>
        <v/>
      </c>
      <c r="G745">
        <f>Skills!G25*IF(Skills!H25&gt;0,Skills!I25/Skills!H25,1)</f>
        <v/>
      </c>
      <c r="H745">
        <f>1-(1-Skills!J25/100)^Skills!K25</f>
        <v/>
      </c>
      <c r="I745" t="inlineStr">
        <is>
          <t>1</t>
        </is>
      </c>
      <c r="J745" t="inlineStr"/>
      <c r="K745" t="inlineStr"/>
      <c r="L745" t="inlineStr"/>
      <c r="M745" t="inlineStr"/>
      <c r="N745" t="inlineStr"/>
      <c r="O745">
        <f>(1-Summary!$B$11)*T745+Summary!$B$11*V745</f>
        <v/>
      </c>
      <c r="P745">
        <f>IF(B765=0,0,O745/B765)</f>
        <v/>
      </c>
      <c r="Q745" t="n">
        <v>0</v>
      </c>
      <c r="R745" t="n">
        <v>0</v>
      </c>
      <c r="S745">
        <f>IFERROR(O745/N745,0)</f>
        <v/>
      </c>
      <c r="T745" t="n">
        <v>0</v>
      </c>
      <c r="V745" t="n">
        <v>0</v>
      </c>
    </row>
    <row r="746">
      <c r="A746">
        <f>Skills!A26</f>
        <v/>
      </c>
      <c r="B746">
        <f>Skills!B26</f>
        <v/>
      </c>
      <c r="C746">
        <f>Inputs!$B$3&gt;=50</f>
        <v/>
      </c>
      <c r="D746">
        <f>IF(Skills!C26=1,60+Inputs!$B$25+Inputs!$B$29,IF(Skills!C26=2,90+Inputs!$B$26+Inputs!$B$29,IF(Skills!C26=3,120+Inputs!$B$27+Inputs!$B$29,MAX(0,(Inputs!$B$3-100)*3)+Inputs!$B$28+Inputs!$B$29)))</f>
        <v/>
      </c>
      <c r="E746">
        <f>INDEX(FactorTable!$B$2:$Y$301, MATCH(ROUND(MIN(300,MAX(1,D746)),0), FactorTable!$A$2:$A$301,0), Skills!M26+1)</f>
        <v/>
      </c>
      <c r="F746">
        <f>IF(Skills!N26=TRUE,(Skills!L26/10)*(E746/1000),Skills!L26/10)+Skills!O26</f>
        <v/>
      </c>
      <c r="G746">
        <f>Skills!G26*IF(Skills!H26&gt;0,Skills!I26/Skills!H26,1)</f>
        <v/>
      </c>
      <c r="H746">
        <f>1-(1-Skills!J26/100)^Skills!K26</f>
        <v/>
      </c>
      <c r="I746" t="inlineStr">
        <is>
          <t>1</t>
        </is>
      </c>
      <c r="J746" t="inlineStr"/>
      <c r="K746" t="inlineStr"/>
      <c r="L746" t="inlineStr"/>
      <c r="M746" t="inlineStr"/>
      <c r="N746" t="inlineStr"/>
      <c r="O746">
        <f>(1-Summary!$B$11)*T746+Summary!$B$11*V746</f>
        <v/>
      </c>
      <c r="P746">
        <f>IF(B765=0,0,O746/B765)</f>
        <v/>
      </c>
      <c r="Q746" t="n">
        <v>0</v>
      </c>
      <c r="R746" t="n">
        <v>0</v>
      </c>
      <c r="S746">
        <f>IFERROR(O746/N746,0)</f>
        <v/>
      </c>
      <c r="T746" t="n">
        <v>0</v>
      </c>
      <c r="V746" t="n">
        <v>0</v>
      </c>
    </row>
    <row r="747">
      <c r="A747">
        <f>Skills!A27</f>
        <v/>
      </c>
      <c r="B747">
        <f>Skills!B27</f>
        <v/>
      </c>
      <c r="C747">
        <f>Inputs!$B$3&gt;=38</f>
        <v/>
      </c>
      <c r="D747">
        <f>IF(Skills!C27=1,60+Inputs!$B$25+Inputs!$B$29,IF(Skills!C27=2,90+Inputs!$B$26+Inputs!$B$29,IF(Skills!C27=3,120+Inputs!$B$27+Inputs!$B$29,MAX(0,(Inputs!$B$3-100)*3)+Inputs!$B$28+Inputs!$B$29)))</f>
        <v/>
      </c>
      <c r="E747">
        <f>INDEX(FactorTable!$B$2:$Y$301, MATCH(ROUND(MIN(300,MAX(1,D747)),0), FactorTable!$A$2:$A$301,0), Skills!M27+1)</f>
        <v/>
      </c>
      <c r="F747">
        <f>IF(Skills!N27=TRUE,(Skills!L27/10)*(E747/1000),Skills!L27/10)+Skills!O27</f>
        <v/>
      </c>
      <c r="G747">
        <f>Skills!G27*IF(Skills!H27&gt;0,Skills!I27/Skills!H27,1)</f>
        <v/>
      </c>
      <c r="H747">
        <f>1-(1-Skills!J27/100)^Skills!K27</f>
        <v/>
      </c>
      <c r="I747" t="inlineStr">
        <is>
          <t>1</t>
        </is>
      </c>
      <c r="J747" t="inlineStr"/>
      <c r="K747" t="inlineStr"/>
      <c r="L747" t="inlineStr"/>
      <c r="M747" t="inlineStr"/>
      <c r="N747" t="inlineStr"/>
      <c r="O747">
        <f>(1-Summary!$B$11)*T747+Summary!$B$11*V747</f>
        <v/>
      </c>
      <c r="P747">
        <f>IF(B765=0,0,O747/B765)</f>
        <v/>
      </c>
      <c r="Q747" t="n">
        <v>0</v>
      </c>
      <c r="R747" t="n">
        <v>0</v>
      </c>
      <c r="S747">
        <f>IFERROR(O747/N747,0)</f>
        <v/>
      </c>
      <c r="T747" t="n">
        <v>0</v>
      </c>
      <c r="V747" t="n">
        <v>0</v>
      </c>
    </row>
    <row r="748">
      <c r="A748">
        <f>Skills!A28</f>
        <v/>
      </c>
      <c r="B748">
        <f>Skills!B28</f>
        <v/>
      </c>
      <c r="C748">
        <f>Inputs!$B$3&gt;=120</f>
        <v/>
      </c>
      <c r="D748">
        <f>IF(Skills!C28=1,60+Inputs!$B$25+Inputs!$B$29,IF(Skills!C28=2,90+Inputs!$B$26+Inputs!$B$29,IF(Skills!C28=3,120+Inputs!$B$27+Inputs!$B$29,MAX(0,(Inputs!$B$3-100)*3)+Inputs!$B$28+Inputs!$B$29)))</f>
        <v/>
      </c>
      <c r="E748">
        <f>INDEX(FactorTable!$B$2:$Y$301, MATCH(ROUND(MIN(300,MAX(1,D748)),0), FactorTable!$A$2:$A$301,0), Skills!M28+1)</f>
        <v/>
      </c>
      <c r="F748">
        <f>IF(Skills!N28=TRUE,(Skills!L28/10)*(E748/1000),Skills!L28/10)+Skills!O28</f>
        <v/>
      </c>
      <c r="G748">
        <f>Skills!G28*IF(Skills!H28&gt;0,Skills!I28/Skills!H28,1)</f>
        <v/>
      </c>
      <c r="H748">
        <f>1-(1-Skills!J28/100)^Skills!K28</f>
        <v/>
      </c>
      <c r="I748" t="inlineStr">
        <is>
          <t>1</t>
        </is>
      </c>
      <c r="J748" t="inlineStr"/>
      <c r="K748" t="inlineStr"/>
      <c r="L748" t="inlineStr"/>
      <c r="M748" t="inlineStr"/>
      <c r="N748" t="inlineStr"/>
      <c r="O748">
        <f>(1-Summary!$B$11)*T748+Summary!$B$11*V748</f>
        <v/>
      </c>
      <c r="P748">
        <f>IF(B765=0,0,O748/B765)</f>
        <v/>
      </c>
      <c r="Q748" t="n">
        <v>0</v>
      </c>
      <c r="R748" t="n">
        <v>0</v>
      </c>
      <c r="S748">
        <f>IFERROR(O748/N748,0)</f>
        <v/>
      </c>
      <c r="T748" t="n">
        <v>0</v>
      </c>
      <c r="V748" t="n">
        <v>0</v>
      </c>
    </row>
    <row r="749">
      <c r="A749">
        <f>Skills!A29</f>
        <v/>
      </c>
      <c r="B749">
        <f>Skills!B29</f>
        <v/>
      </c>
      <c r="C749">
        <f>Inputs!$B$3&gt;=120</f>
        <v/>
      </c>
      <c r="D749">
        <f>IF(Skills!C29=1,60+Inputs!$B$25+Inputs!$B$29,IF(Skills!C29=2,90+Inputs!$B$26+Inputs!$B$29,IF(Skills!C29=3,120+Inputs!$B$27+Inputs!$B$29,MAX(0,(Inputs!$B$3-100)*3)+Inputs!$B$28+Inputs!$B$29)))</f>
        <v/>
      </c>
      <c r="E749">
        <f>INDEX(FactorTable!$B$2:$Y$301, MATCH(ROUND(MIN(300,MAX(1,D749)),0), FactorTable!$A$2:$A$301,0), Skills!M29+1)</f>
        <v/>
      </c>
      <c r="F749">
        <f>IF(Skills!N29=TRUE,(Skills!L29/10)*(E749/1000),Skills!L29/10)+Skills!O29</f>
        <v/>
      </c>
      <c r="G749">
        <f>Skills!G29*IF(Skills!H29&gt;0,Skills!I29/Skills!H29,1)</f>
        <v/>
      </c>
      <c r="H749">
        <f>1-(1-Skills!J29/100)^Skills!K29</f>
        <v/>
      </c>
      <c r="I749" t="inlineStr">
        <is>
          <t>1</t>
        </is>
      </c>
      <c r="J749" t="inlineStr"/>
      <c r="K749" t="inlineStr"/>
      <c r="L749" t="inlineStr"/>
      <c r="M749" t="inlineStr"/>
      <c r="N749" t="inlineStr"/>
      <c r="O749">
        <f>(1-Summary!$B$11)*T749+Summary!$B$11*V749</f>
        <v/>
      </c>
      <c r="P749">
        <f>IF(B765=0,0,O749/B765)</f>
        <v/>
      </c>
      <c r="Q749" t="n">
        <v>0</v>
      </c>
      <c r="R749" t="n">
        <v>0</v>
      </c>
      <c r="S749">
        <f>IFERROR(O749/N749,0)</f>
        <v/>
      </c>
      <c r="T749" t="n">
        <v>0</v>
      </c>
      <c r="V749" t="n">
        <v>0</v>
      </c>
    </row>
    <row r="750">
      <c r="A750">
        <f>Skills!A30</f>
        <v/>
      </c>
      <c r="B750">
        <f>Skills!B30</f>
        <v/>
      </c>
      <c r="C750">
        <f>Inputs!$B$3&gt;=125</f>
        <v/>
      </c>
      <c r="D750">
        <f>IF(Skills!C30=1,60+Inputs!$B$25+Inputs!$B$29,IF(Skills!C30=2,90+Inputs!$B$26+Inputs!$B$29,IF(Skills!C30=3,120+Inputs!$B$27+Inputs!$B$29,MAX(0,(Inputs!$B$3-100)*3)+Inputs!$B$28+Inputs!$B$29)))</f>
        <v/>
      </c>
      <c r="E750">
        <f>INDEX(FactorTable!$B$2:$Y$301, MATCH(ROUND(MIN(300,MAX(1,D750)),0), FactorTable!$A$2:$A$301,0), Skills!M30+1)</f>
        <v/>
      </c>
      <c r="F750">
        <f>IF(Skills!N30=TRUE,(Skills!L30/10)*(E750/1000),Skills!L30/10)+Skills!O30</f>
        <v/>
      </c>
      <c r="G750">
        <f>Skills!G30*IF(Skills!H30&gt;0,Skills!I30/Skills!H30,1)</f>
        <v/>
      </c>
      <c r="H750">
        <f>1-(1-Skills!J30/100)^Skills!K30</f>
        <v/>
      </c>
      <c r="I750" t="inlineStr">
        <is>
          <t>1</t>
        </is>
      </c>
      <c r="J750" t="inlineStr"/>
      <c r="K750" t="inlineStr"/>
      <c r="L750" t="inlineStr"/>
      <c r="M750" t="inlineStr"/>
      <c r="N750" t="inlineStr"/>
      <c r="O750">
        <f>(1-Summary!$B$11)*T750+Summary!$B$11*V750</f>
        <v/>
      </c>
      <c r="P750">
        <f>IF(B765=0,0,O750/B765)</f>
        <v/>
      </c>
      <c r="Q750" t="n">
        <v>0</v>
      </c>
      <c r="R750" t="n">
        <v>0</v>
      </c>
      <c r="S750">
        <f>IFERROR(O750/N750,0)</f>
        <v/>
      </c>
      <c r="T750" t="n">
        <v>0</v>
      </c>
      <c r="V750" t="n">
        <v>0</v>
      </c>
    </row>
    <row r="752">
      <c r="A752" t="inlineStr">
        <is>
          <t>Average Buff Multiplier</t>
        </is>
      </c>
      <c r="B752">
        <f>(1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f>
        <v/>
      </c>
    </row>
    <row r="753">
      <c r="A753" t="inlineStr">
        <is>
          <t>Global Crit Rate Bonus %</t>
        </is>
      </c>
      <c r="B753">
        <f>((C740=TRUE)*F740*IF(AND(Inputs!$B$39&lt;&gt;"pvp",Inputs!$B$44&gt;0),(((R740-1)*(Skills!Y20*(1+Inputs!$B$34/100))+MIN((Skills!Y20*(1+Inputs!$B$34/100)),MAX(0,Inputs!$B$44-((R740-1)*Skills!D20))))/Inputs!$B$44),IF(Inputs!$B$39="pvp",MIN((Skills!Y20*(1+Inputs!$B$34/100)),15)/15,(Skills!Y20*(1+Inputs!$B$34/100))/Skills!D20)))</f>
        <v/>
      </c>
    </row>
    <row r="754">
      <c r="A754" t="inlineStr">
        <is>
          <t>Global Monster Damage-Taken Bonus %</t>
        </is>
      </c>
      <c r="B754">
        <f>IF(Inputs!$B$3&gt;=82,15,0)</f>
        <v/>
      </c>
    </row>
    <row r="755">
      <c r="A755" t="inlineStr">
        <is>
          <t>Shadow Partner Average Multiplier</t>
        </is>
      </c>
      <c r="B755">
        <f>1+((C727=TRUE)*F727*(1+3.3333333333333335*IF(C738=TRUE,F738,0)/100)*I727*Skills!J7/100)/100</f>
        <v/>
      </c>
    </row>
    <row r="756">
      <c r="A756" t="inlineStr">
        <is>
          <t>Attack Speed Buff Bonus %</t>
        </is>
      </c>
      <c r="B756">
        <f>((C739=TRUE)*F739*IF(AND(Inputs!$B$39&lt;&gt;"pvp",Inputs!$B$44&gt;0),(((R739-1)*(Skills!Y19*(1+Inputs!$B$34/100))+MIN((Skills!Y19*(1+Inputs!$B$34/100)),MAX(0,Inputs!$B$44-((R739-1)*Skills!D19))))/Inputs!$B$44),IF(Inputs!$B$39="pvp",MIN((Skills!Y19*(1+Inputs!$B$34/100)),15)/15,(Skills!Y19*(1+Inputs!$B$34/100))/Skills!D19)))+((C723=TRUE)*F723*3)</f>
        <v/>
      </c>
    </row>
    <row r="757">
      <c r="A757" t="inlineStr">
        <is>
          <t>Actions Per Second</t>
        </is>
      </c>
      <c r="B757">
        <f>1+MIN(150,150*(1-(1-(Inputs!$B$11+((C742=TRUE)*(F742-Calc!F22)))/150)*(1-B756/150)))/100</f>
        <v/>
      </c>
    </row>
    <row r="758">
      <c r="A758" t="inlineStr">
        <is>
          <t>Skill + Buff Cast Rate</t>
        </is>
      </c>
      <c r="B758">
        <f>IF(AND(Inputs!$B$39&lt;&gt;"pvp",Inputs!$B$44&gt;0),SUMPRODUCT((Skills!E2:E30=TRUE)*(C722:C750=TRUE)*R722:R750*Skills!F2:F30)/Inputs!$B$44,SUMPRODUCT((Skills!E2:E30=TRUE)*(C722:C750=TRUE)*Q722:Q750*Skills!F2:F30))</f>
        <v/>
      </c>
    </row>
    <row r="759">
      <c r="A759" t="inlineStr">
        <is>
          <t>Cruel Stab Casts Per Second</t>
        </is>
      </c>
      <c r="B759">
        <f>MAX(0,B757-B758)</f>
        <v/>
      </c>
    </row>
    <row r="760">
      <c r="A760" t="inlineStr">
        <is>
          <t>Global Critical Damage Bonus % (Smokescreen Mastery Lv.113)</t>
        </is>
      </c>
      <c r="B760">
        <f>IF(Inputs!$B$3&gt;=113,30,0)*IF(AND(Inputs!$B$39&lt;&gt;"pvp",Inputs!$B$44&gt;0),(((R735-1)*(Skills!Y15*(1+Inputs!$B$34/100))+MIN((Skills!Y15*(1+Inputs!$B$34/100)),MAX(0,Inputs!$B$44-((R735-1)*Skills!D15))))/Inputs!$B$44),IF(Inputs!$B$39="pvp",MIN((Skills!Y15*(1+Inputs!$B$34/100)),15)/15,(Skills!Y15*(1+Inputs!$B$34/100))/Skills!D15))</f>
        <v/>
      </c>
    </row>
    <row r="761">
      <c r="A761" t="inlineStr">
        <is>
          <t>Meso Explosion average stack count</t>
        </is>
      </c>
      <c r="B761">
        <f>MIN(10,0.5*B757*Skills!D4)</f>
        <v/>
      </c>
    </row>
    <row r="762">
      <c r="A762" t="inlineStr">
        <is>
          <t>Blood Money average stack count</t>
        </is>
      </c>
      <c r="B762">
        <f>MIN(5,0.25*B757*Skills!D4)</f>
        <v/>
      </c>
    </row>
    <row r="763">
      <c r="A763" t="inlineStr">
        <is>
          <t>Assassinate Murderous Intent Multiplier</t>
        </is>
      </c>
      <c r="B763">
        <f>1+IFERROR(MIN(1,Q734*2/Q731),0)</f>
        <v/>
      </c>
    </row>
    <row r="764">
      <c r="A764" t="inlineStr">
        <is>
          <t>Buff-Casting Startup Delay (s, fixed-duration only)</t>
        </is>
      </c>
      <c r="B764">
        <f>IF(AND(Inputs!$B$39&lt;&gt;"pvp",Inputs!$B$44&gt;0),SUMPRODUCT((Skills!Y2:Y30&gt;0)*(Skills!E2:E30=TRUE)*(C722:C750=TRUE))/B757,0)</f>
        <v/>
      </c>
    </row>
    <row r="765">
      <c r="A765" s="6" t="inlineStr">
        <is>
          <t>TOTAL DPS</t>
        </is>
      </c>
      <c r="B765" s="6">
        <f>SUM(O722:O750)</f>
        <v/>
      </c>
    </row>
    <row r="766">
      <c r="A766" t="inlineStr">
        <is>
          <t>Boss-Only Total DPS (this block's swept value)</t>
        </is>
      </c>
      <c r="B766">
        <f>SUM(T722:T750)</f>
        <v/>
      </c>
    </row>
    <row r="767">
      <c r="A767" t="inlineStr">
        <is>
          <t>Normal-Only Total DPS (this block's swept value)</t>
        </is>
      </c>
      <c r="B767">
        <f>SUM(V722:V750)</f>
        <v/>
      </c>
    </row>
    <row r="770">
      <c r="A770" s="6" t="inlineStr">
        <is>
          <t>Stat: BASIC_ATTACK_DAMAGE %</t>
        </is>
      </c>
    </row>
    <row r="771">
      <c r="A771" s="5" t="inlineStr">
        <is>
          <t>Key</t>
        </is>
      </c>
      <c r="B771" s="5" t="inlineStr">
        <is>
          <t>Name</t>
        </is>
      </c>
      <c r="C771" s="5" t="inlineStr">
        <is>
          <t>Unlocked</t>
        </is>
      </c>
      <c r="D771" s="5" t="inlineStr">
        <is>
          <t>InputLevel</t>
        </is>
      </c>
      <c r="E771" s="5" t="inlineStr">
        <is>
          <t>Factor</t>
        </is>
      </c>
      <c r="F771" s="5" t="inlineStr">
        <is>
          <t>CoefficientPercent</t>
        </is>
      </c>
      <c r="G771" s="5" t="inlineStr">
        <is>
          <t>EffectiveHits</t>
        </is>
      </c>
      <c r="H771" s="5" t="inlineStr">
        <is>
          <t>ProcProbability</t>
        </is>
      </c>
      <c r="I771" s="5" t="inlineStr">
        <is>
          <t>MapleHeroMultiplier</t>
        </is>
      </c>
      <c r="J771" s="5" t="inlineStr">
        <is>
          <t>BaseDamage</t>
        </is>
      </c>
      <c r="K771" s="5" t="inlineStr">
        <is>
          <t>BaseHitDamage</t>
        </is>
      </c>
      <c r="L771" s="5" t="inlineStr">
        <is>
          <t>NonCritAvg</t>
        </is>
      </c>
      <c r="M771" s="5" t="inlineStr">
        <is>
          <t>CritAvg</t>
        </is>
      </c>
      <c r="N771" s="5" t="inlineStr">
        <is>
          <t>ExpectedDamage(perHit)</t>
        </is>
      </c>
      <c r="O771" s="5" t="inlineStr">
        <is>
          <t>DPS</t>
        </is>
      </c>
      <c r="P771" s="5" t="inlineStr">
        <is>
          <t>% of Total</t>
        </is>
      </c>
      <c r="Q771" s="5" t="inlineStr">
        <is>
          <t>InvCooldown</t>
        </is>
      </c>
      <c r="R771" s="5" t="inlineStr">
        <is>
          <t>CastsInFight</t>
        </is>
      </c>
      <c r="S771" s="5" t="inlineStr">
        <is>
          <t>HitRate(perSec)</t>
        </is>
      </c>
      <c r="U771" t="inlineStr">
        <is>
          <t>helpers</t>
        </is>
      </c>
    </row>
    <row r="772">
      <c r="A772">
        <f>Skills!A2</f>
        <v/>
      </c>
      <c r="B772">
        <f>Skills!B2</f>
        <v/>
      </c>
      <c r="C772">
        <f>Inputs!$B$3&gt;=100</f>
        <v/>
      </c>
      <c r="D772" t="inlineStr"/>
      <c r="E772" t="inlineStr"/>
      <c r="F772">
        <f>U774+Skills!O2</f>
        <v/>
      </c>
      <c r="G772">
        <f>Skills!G2*IF(Skills!H2&gt;0,Skills!I2/Skills!H2,1)</f>
        <v/>
      </c>
      <c r="H772">
        <f>1-(1-Skills!J2/100)^Skills!K2</f>
        <v/>
      </c>
      <c r="I772" t="inlineStr">
        <is>
          <t>1</t>
        </is>
      </c>
      <c r="J772">
        <f>((Inputs!$B$6*(1+Inputs!$B$7/100))+(((Inputs!$B$12*(1+Inputs!$B$13/100))-(Inputs!$B$12*(1+Inputs!$B$13/100)))+0.25*(Inputs!$B$14-Inputs!$B$14))*(1+Inputs!$B$7/100))*(F772/100)</f>
        <v/>
      </c>
      <c r="K772">
        <f>J772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772)</f>
        <v/>
      </c>
      <c r="L772">
        <f>K772*(MIN(Inputs!$B$22+((C794=TRUE)*(F794-Calc!F24)),(Inputs!$B$23+((C799=TRUE)*(F799-Calc!F29))+IF(ArtifactsInput!$M$15,CHOOSE(ArtifactsInput!$N$15+1,25,30,35,40,45,50)/100*(Inputs!$B$11-Inputs!$B$11),0)))/100+(Inputs!$B$23+((C799=TRUE)*(F799-Calc!F29))+IF(ArtifactsInput!$M$15,CHOOSE(ArtifactsInput!$N$15+1,25,30,35,40,45,50)/100*(Inputs!$B$11-Inputs!$B$11),0))/100)/2</f>
        <v/>
      </c>
      <c r="M772">
        <f>L772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IF(B815=0,0,O772/B815)</f>
        <v/>
      </c>
      <c r="Q772" t="n">
        <v>0</v>
      </c>
      <c r="R772" t="n">
        <v>0</v>
      </c>
      <c r="S772">
        <f>IFERROR(O772/N772,0)</f>
        <v/>
      </c>
      <c r="T772">
        <f>IF(C772,(Skills!G2*N772*B809)*IF(Inputs!$B$39="pvp",1,1+(Inputs!$B$20+0+Skills!P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772*(1-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2">
        <f>MAX(0,(Inputs!$B$3-100)*3)+Inputs!$B$28+Inputs!$B$29</f>
        <v/>
      </c>
      <c r="V772">
        <f>IF(C772,(Skills!G2*N772*B809)*IF(Inputs!$B$39="pvp",1,(1+(Inputs!$B$21+Skills!Q2+B804+(IF(ArtifactsInput!$M$33,CHOOSE(ArtifactsInput!$N$33+1,30,36,42,48,54,60),0))+(IF(AND(ArtifactsInput!$M$35,Inputs!$B$4&lt;&gt;"Chapter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Skills!A3</f>
        <v/>
      </c>
      <c r="B773">
        <f>Skills!B3</f>
        <v/>
      </c>
      <c r="C773">
        <f>Inputs!$B$3&gt;=35</f>
        <v/>
      </c>
      <c r="D773">
        <f>IF(Skills!C3=1,60+Inputs!$B$25+Inputs!$B$29,IF(Skills!C3=2,90+Inputs!$B$26+Inputs!$B$29,IF(Skills!C3=3,120+Inputs!$B$27+Inputs!$B$29,MAX(0,(Inputs!$B$3-100)*3)+Inputs!$B$28+Inputs!$B$29)))</f>
        <v/>
      </c>
      <c r="E773">
        <f>INDEX(FactorTable!$B$2:$Y$301, MATCH(ROUND(MIN(300,MAX(1,D773)),0), FactorTable!$A$2:$A$301,0), Skills!M3+1)</f>
        <v/>
      </c>
      <c r="F773">
        <f>IF(Skills!N3=TRUE,(Skills!L3/10)*(E773/1000),Skills!L3/10)+Skills!O3</f>
        <v/>
      </c>
      <c r="G773">
        <f>Skills!G3*IF(Skills!H3&gt;0,Skills!I3/Skills!H3,1)</f>
        <v/>
      </c>
      <c r="H773">
        <f>1-(1-Skills!J3/100)^Skills!K3</f>
        <v/>
      </c>
      <c r="I773" t="inlineStr">
        <is>
          <t>1</t>
        </is>
      </c>
      <c r="J773" t="inlineStr"/>
      <c r="K773" t="inlineStr"/>
      <c r="L773" t="inlineStr"/>
      <c r="M773" t="inlineStr"/>
      <c r="N773" t="inlineStr"/>
      <c r="O773">
        <f>(1-Summary!$B$11)*T773+Summary!$B$11*V773</f>
        <v/>
      </c>
      <c r="P773">
        <f>IF(B815=0,0,O773/B815)</f>
        <v/>
      </c>
      <c r="Q773" t="n">
        <v>0</v>
      </c>
      <c r="R773" t="n">
        <v>0</v>
      </c>
      <c r="S773">
        <f>IFERROR(O773/N773,0)</f>
        <v/>
      </c>
      <c r="T773" t="n">
        <v>0</v>
      </c>
      <c r="U773">
        <f>INDEX(FactorTable!$B$2:$Y$301, MATCH(ROUND(MIN(300,MAX(1,U772)),0), FactorTable!$A$2:$A$301,0), 22)</f>
        <v/>
      </c>
      <c r="V773" t="n">
        <v>0</v>
      </c>
    </row>
    <row r="774">
      <c r="A774">
        <f>Skills!A4</f>
        <v/>
      </c>
      <c r="B774">
        <f>Skills!B4</f>
        <v/>
      </c>
      <c r="C774">
        <f>Inputs!$B$3&gt;=66</f>
        <v/>
      </c>
      <c r="D774">
        <f>IF(Skills!C4=1,60+Inputs!$B$25+Inputs!$B$29,IF(Skills!C4=2,90+Inputs!$B$26+Inputs!$B$29,IF(Skills!C4=3,120+Inputs!$B$27+Inputs!$B$29,MAX(0,(Inputs!$B$3-100)*3)+Inputs!$B$28+Inputs!$B$29)))</f>
        <v/>
      </c>
      <c r="E774">
        <f>INDEX(FactorTable!$B$2:$Y$301, MATCH(ROUND(MIN(300,MAX(1,D774)),0), FactorTable!$A$2:$A$301,0), Skills!M4+1)</f>
        <v/>
      </c>
      <c r="F774">
        <f>IF(Skills!N4=TRUE,(Skills!L4/10)*(E774/1000),Skills!L4/10)+Skills!O4</f>
        <v/>
      </c>
      <c r="G774">
        <f>Skills!G4*IF(Skills!H4&gt;0,Skills!I4/Skills!H4,1)</f>
        <v/>
      </c>
      <c r="H774">
        <f>1-(1-Skills!J4/100)^Skills!K4</f>
        <v/>
      </c>
      <c r="I774" t="inlineStr">
        <is>
          <t>1</t>
        </is>
      </c>
      <c r="J774">
        <f>((Inputs!$B$6*(1+Inputs!$B$7/100))+(((Inputs!$B$12*(1+Inputs!$B$13/100))-(Inputs!$B$12*(1+Inputs!$B$13/100)))+0.25*(Inputs!$B$14-Inputs!$B$14))*(1+Inputs!$B$7/100))*(F774/100)</f>
        <v/>
      </c>
      <c r="K774">
        <f>J774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774)</f>
        <v/>
      </c>
      <c r="L774">
        <f>K774*(MIN(Inputs!$B$22+((C794=TRUE)*(F794-Calc!F24)),(Inputs!$B$23+((C799=TRUE)*(F799-Calc!F29))+IF(ArtifactsInput!$M$15,CHOOSE(ArtifactsInput!$N$15+1,25,30,35,40,45,50)/100*(Inputs!$B$11-Inputs!$B$11),0)))/100+(Inputs!$B$23+((C799=TRUE)*(F799-Calc!F29))+IF(ArtifactsInput!$M$15,CHOOSE(ArtifactsInput!$N$15+1,25,30,35,40,45,50)/100*(Inputs!$B$11-Inputs!$B$11),0))/100)/2</f>
        <v/>
      </c>
      <c r="M774">
        <f>L774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4">
        <f>L774*(1-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774*(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4">
        <f>(1-Summary!$B$11)*T774+Summary!$B$11*V774</f>
        <v/>
      </c>
      <c r="P774">
        <f>IF(B815=0,0,O774/B815)</f>
        <v/>
      </c>
      <c r="Q774">
        <f>IFERROR(1/IF(Inputs!$B$39="pvp",15,MAX(0.1,Skills!D4-IF(Skills!E4=TRUE,Inputs!$B$32,0))),0)</f>
        <v/>
      </c>
      <c r="R774">
        <f>IF(AND(Inputs!$B$39&lt;&gt;"pvp",Inputs!$B$44&gt;0),IF(MAX(0,Inputs!$B$44-B814)&lt;=0,0,(INT(MAX(0,Inputs!$B$44-B814)/IF(Inputs!$B$39="pvp",15,MAX(0.1,Skills!D4-IF(Skills!E4=TRUE,Inputs!$B$32,0))))+1)),0)</f>
        <v/>
      </c>
      <c r="S774">
        <f>IFERROR(O774/N774,0)</f>
        <v/>
      </c>
      <c r="T774">
        <f>IF(C774,(H774*N774*IF(AND(Inputs!$B$39&lt;&gt;"pvp",Inputs!$B$44&gt;0),((Skills!G4*((R774-1)*IF(Skills!H4&gt;0,Skills!I4/Skills!H4,1)+IF(Skills!H4&gt;0,MIN(Skills!I4,MAX(0,MAX(0,Inputs!$B$44-B814)-((R774-1)*IF(Inputs!$B$39="pvp",15,MAX(0.1,Skills!D4-IF(Skills!E4=TRUE,Inputs!$B$32,0))))))/Skills!H4,1)))/Inputs!$B$44),G774*Q774))*IF(Inputs!$B$39="pvp",1,1+(Inputs!$B$20+0+Skills!P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774*(1-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774*(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774*(1-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774*(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4">
        <f>290*U773/1000</f>
        <v/>
      </c>
      <c r="V774">
        <f>IF(C774,(H774*N774*IF(AND(Inputs!$B$39&lt;&gt;"pvp",Inputs!$B$44&gt;0),((Skills!G4*((R774-1)*IF(Skills!H4&gt;0,Skills!I4/Skills!H4,1)+IF(Skills!H4&gt;0,MIN(Skills!I4,MAX(0,MAX(0,Inputs!$B$44-B814)-((R774-1)*IF(Inputs!$B$39="pvp",15,MAX(0.1,Skills!D4-IF(Skills!E4=TRUE,Inputs!$B$32,0))))))/Skills!H4,1)))/Inputs!$B$44),G774*Q774))*IF(Inputs!$B$39="pvp",1,(1+(Inputs!$B$21+Skills!Q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(10,0.5*B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5">
      <c r="A775">
        <f>Skills!A5</f>
        <v/>
      </c>
      <c r="B775">
        <f>Skills!B5</f>
        <v/>
      </c>
      <c r="C775">
        <f>Inputs!$B$3&gt;=63</f>
        <v/>
      </c>
      <c r="D775">
        <f>IF(Skills!C5=1,60+Inputs!$B$25+Inputs!$B$29,IF(Skills!C5=2,90+Inputs!$B$26+Inputs!$B$29,IF(Skills!C5=3,120+Inputs!$B$27+Inputs!$B$29,MAX(0,(Inputs!$B$3-100)*3)+Inputs!$B$28+Inputs!$B$29)))</f>
        <v/>
      </c>
      <c r="E775">
        <f>INDEX(FactorTable!$B$2:$Y$301, MATCH(ROUND(MIN(300,MAX(1,D775)),0), FactorTable!$A$2:$A$301,0), Skills!M5+1)</f>
        <v/>
      </c>
      <c r="F775">
        <f>IF(Skills!N5=TRUE,(Skills!L5/10)*(E775/1000),Skills!L5/10)+Skills!O5</f>
        <v/>
      </c>
      <c r="G775">
        <f>Skills!G5*IF(Skills!H5&gt;0,Skills!I5/Skills!H5,1)</f>
        <v/>
      </c>
      <c r="H775">
        <f>1-(1-Skills!J5/100)^Skills!K5</f>
        <v/>
      </c>
      <c r="I775" t="inlineStr">
        <is>
          <t>1</t>
        </is>
      </c>
      <c r="J775">
        <f>((Inputs!$B$6*(1+Inputs!$B$7/100))+(((Inputs!$B$12*(1+Inputs!$B$13/100))-(Inputs!$B$12*(1+Inputs!$B$13/100)))+0.25*(Inputs!$B$14-Inputs!$B$14))*(1+Inputs!$B$7/100))*(F775/100)</f>
        <v/>
      </c>
      <c r="K775">
        <f>J775*(1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788=TRUE,F788,0)/100)*(1+(IF(Skills!A5="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775)</f>
        <v/>
      </c>
      <c r="L775">
        <f>K775*(MIN(Inputs!$B$22+((C794=TRUE)*(F794-Calc!F24)),(Inputs!$B$23+((C799=TRUE)*(F799-Calc!F29))+IF(ArtifactsInput!$M$15,CHOOSE(ArtifactsInput!$N$15+1,25,30,35,40,45,50)/100*(Inputs!$B$11-Inputs!$B$11),0)))/100+(Inputs!$B$23+((C799=TRUE)*(F799-Calc!F29))+IF(ArtifactsInput!$M$15,CHOOSE(ArtifactsInput!$N$15+1,25,30,35,40,45,50)/100*(Inputs!$B$11-Inputs!$B$11),0))/100)/2</f>
        <v/>
      </c>
      <c r="M775">
        <f>L775*(1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IF(B815=0,0,O775/B815)</f>
        <v/>
      </c>
      <c r="Q775">
        <f>IFERROR(1/IF(Inputs!$B$39="pvp",15,MAX(0.1,Skills!D5-IF(Skills!E5=TRUE,Inputs!$B$32,0))),0)</f>
        <v/>
      </c>
      <c r="R775">
        <f>IF(AND(Inputs!$B$39&lt;&gt;"pvp",Inputs!$B$44&gt;0),IF(MAX(0,Inputs!$B$44-B814)&lt;=0,0,(INT(MAX(0,Inputs!$B$44-B814)/IF(Inputs!$B$39="pvp",15,MAX(0.1,Skills!D5-IF(Skills!E5=TRUE,Inputs!$B$32,0))))+1)),0)</f>
        <v/>
      </c>
      <c r="S775">
        <f>IFERROR(O775/N775,0)</f>
        <v/>
      </c>
      <c r="T775">
        <f>IF(C775,(H775*N775*IF(AND(Inputs!$B$39&lt;&gt;"pvp",Inputs!$B$44&gt;0),((Skills!G5*((R775-1)*IF(Skills!H5&gt;0,Skills!I5/Skills!H5,1)+IF(Skills!H5&gt;0,MIN(Skills!I5,MAX(0,MAX(0,Inputs!$B$44-B814)-((R775-1)*IF(Inputs!$B$39="pvp",15,MAX(0.1,Skills!D5-IF(Skills!E5=TRUE,Inputs!$B$32,0))))))/Skills!H5,1)))/Inputs!$B$44),G775*Q775))*IF(Inputs!$B$39="pvp",1,1+(Inputs!$B$20+0+Skills!P5+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775*(1-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H775*N775*IF(AND(Inputs!$B$39&lt;&gt;"pvp",Inputs!$B$44&gt;0),((Skills!G5*((R775-1)*IF(Skills!H5&gt;0,Skills!I5/Skills!H5,1)+IF(Skills!H5&gt;0,MIN(Skills!I5,MAX(0,MAX(0,Inputs!$B$44-B814)-((R775-1)*IF(Inputs!$B$39="pvp",15,MAX(0.1,Skills!D5-IF(Skills!E5=TRUE,Inputs!$B$32,0))))))/Skills!H5,1)))/Inputs!$B$44),G775*Q775))*IF(Inputs!$B$39="pvp",1,(1+(Inputs!$B$21+Skills!Q5+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Skills!A6</f>
        <v/>
      </c>
      <c r="B776">
        <f>Skills!B6</f>
        <v/>
      </c>
      <c r="C776">
        <f>Inputs!$B$3&gt;=69</f>
        <v/>
      </c>
      <c r="D776">
        <f>IF(Skills!C6=1,60+Inputs!$B$25+Inputs!$B$29,IF(Skills!C6=2,90+Inputs!$B$26+Inputs!$B$29,IF(Skills!C6=3,120+Inputs!$B$27+Inputs!$B$29,MAX(0,(Inputs!$B$3-100)*3)+Inputs!$B$28+Inputs!$B$29)))</f>
        <v/>
      </c>
      <c r="E776">
        <f>INDEX(FactorTable!$B$2:$Y$301, MATCH(ROUND(MIN(300,MAX(1,D776)),0), FactorTable!$A$2:$A$301,0), Skills!M6+1)</f>
        <v/>
      </c>
      <c r="F776">
        <f>IF(Skills!N6=TRUE,(Skills!L6/10)*(E776/1000),Skills!L6/10)+Skills!O6</f>
        <v/>
      </c>
      <c r="G776">
        <f>Skills!G6*IF(Skills!H6&gt;0,Skills!I6/Skills!H6,1)</f>
        <v/>
      </c>
      <c r="H776">
        <f>1-(1-Skills!J6/100)^Skills!K6</f>
        <v/>
      </c>
      <c r="I776" t="inlineStr">
        <is>
          <t>1</t>
        </is>
      </c>
      <c r="J776">
        <f>((Inputs!$B$6*(1+Inputs!$B$7/100))+(((Inputs!$B$12*(1+Inputs!$B$13/100))-(Inputs!$B$12*(1+Inputs!$B$13/100)))+0.25*(Inputs!$B$14-Inputs!$B$14))*(1+Inputs!$B$7/100))*(F776/100)</f>
        <v/>
      </c>
      <c r="K776">
        <f>J776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788=TRUE,F788,0)/100)*(1+(IF(Skills!A6="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776)</f>
        <v/>
      </c>
      <c r="L776">
        <f>K776*(MIN(Inputs!$B$22+((C794=TRUE)*(F794-Calc!F24)),(Inputs!$B$23+((C799=TRUE)*(F799-Calc!F29))+IF(ArtifactsInput!$M$15,CHOOSE(ArtifactsInput!$N$15+1,25,30,35,40,45,50)/100*(Inputs!$B$11-Inputs!$B$11),0)))/100+(Inputs!$B$23+((C799=TRUE)*(F799-Calc!F29))+IF(ArtifactsInput!$M$15,CHOOSE(ArtifactsInput!$N$15+1,25,30,35,40,45,50)/100*(Inputs!$B$11-Inputs!$B$11),0))/100)/2</f>
        <v/>
      </c>
      <c r="M776">
        <f>L776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6">
        <f>L776*(1-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776*(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6">
        <f>(1-Summary!$B$11)*T776+Summary!$B$11*V776</f>
        <v/>
      </c>
      <c r="P776">
        <f>IF(B815=0,0,O776/B815)</f>
        <v/>
      </c>
      <c r="Q776">
        <f>IFERROR(1/IF(Inputs!$B$39="pvp",15,MAX(0.1,Skills!D6-IF(Skills!E6=TRUE,Inputs!$B$32,0))),0)</f>
        <v/>
      </c>
      <c r="R776">
        <f>IF(AND(Inputs!$B$39&lt;&gt;"pvp",Inputs!$B$44&gt;0),IF(MAX(0,Inputs!$B$44-B814)&lt;=0,0,(INT(MAX(0,Inputs!$B$44-B814)/IF(Inputs!$B$39="pvp",15,MAX(0.1,Skills!D6-IF(Skills!E6=TRUE,Inputs!$B$32,0))))+1)),0)</f>
        <v/>
      </c>
      <c r="S776">
        <f>IFERROR(O776/N776,0)</f>
        <v/>
      </c>
      <c r="T776">
        <f>IF(C776,(H776*N776*IF(AND(Inputs!$B$39&lt;&gt;"pvp",Inputs!$B$44&gt;0),((Skills!G6*((R776-1)*IF(Skills!H6&gt;0,Skills!I6/Skills!H6,1)+IF(Skills!H6&gt;0,MIN(Skills!I6,MAX(0,MAX(0,Inputs!$B$44-B814)-((R776-1)*IF(Inputs!$B$39="pvp",15,MAX(0.1,Skills!D6-IF(Skills!E6=TRUE,Inputs!$B$32,0))))))/Skills!H6,1)))/Inputs!$B$44),G776*Q776))*IF(Inputs!$B$39="pvp",1,1+(Inputs!$B$20+0+Skills!P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776*(1-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776*(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776*(1-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776*(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6">
        <f>IF(C776,(H776*N776*IF(AND(Inputs!$B$39&lt;&gt;"pvp",Inputs!$B$44&gt;0),((Skills!G6*((R776-1)*IF(Skills!H6&gt;0,Skills!I6/Skills!H6,1)+IF(Skills!H6&gt;0,MIN(Skills!I6,MAX(0,MAX(0,Inputs!$B$44-B814)-((R776-1)*IF(Inputs!$B$39="pvp",15,MAX(0.1,Skills!D6-IF(Skills!E6=TRUE,Inputs!$B$32,0))))))/Skills!H6,1)))/Inputs!$B$44),G776*Q776))*IF(Inputs!$B$39="pvp",1,(1+(Inputs!$B$21+Skills!Q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7">
      <c r="A777">
        <f>Skills!A7</f>
        <v/>
      </c>
      <c r="B777">
        <f>Skills!B7</f>
        <v/>
      </c>
      <c r="C777">
        <f>Inputs!$B$3&gt;=60</f>
        <v/>
      </c>
      <c r="D777">
        <f>IF(Skills!C7=1,60+Inputs!$B$25+Inputs!$B$29,IF(Skills!C7=2,90+Inputs!$B$26+Inputs!$B$29,IF(Skills!C7=3,120+Inputs!$B$27+Inputs!$B$29,MAX(0,(Inputs!$B$3-100)*3)+Inputs!$B$28+Inputs!$B$29)))</f>
        <v/>
      </c>
      <c r="E777">
        <f>INDEX(FactorTable!$B$2:$Y$301, MATCH(ROUND(MIN(300,MAX(1,D777)),0), FactorTable!$A$2:$A$301,0), Skills!M7+1)</f>
        <v/>
      </c>
      <c r="F777">
        <f>IF(Skills!N7=TRUE,(Skills!L7/10)*(E777/1000),Skills!L7/10)+Skills!O7</f>
        <v/>
      </c>
      <c r="G777">
        <f>Skills!G7*IF(Skills!H7&gt;0,Skills!I7/Skills!H7,1)</f>
        <v/>
      </c>
      <c r="H777">
        <f>1-(1-Skills!J7/100)^Skills!K7</f>
        <v/>
      </c>
      <c r="I777" t="inlineStr">
        <is>
          <t>1</t>
        </is>
      </c>
      <c r="J777" t="inlineStr"/>
      <c r="K777" t="inlineStr"/>
      <c r="L777" t="inlineStr"/>
      <c r="M777" t="inlineStr"/>
      <c r="N777" t="inlineStr"/>
      <c r="O777">
        <f>(1-Summary!$B$11)*T777+Summary!$B$11*V777</f>
        <v/>
      </c>
      <c r="P777">
        <f>IF(B815=0,0,O777/B815)</f>
        <v/>
      </c>
      <c r="Q777" t="n">
        <v>0</v>
      </c>
      <c r="R777" t="n">
        <v>0</v>
      </c>
      <c r="S777">
        <f>IFERROR(O777/N777,0)</f>
        <v/>
      </c>
      <c r="T777" t="n">
        <v>0</v>
      </c>
      <c r="V777" t="n">
        <v>0</v>
      </c>
    </row>
    <row r="778">
      <c r="A778">
        <f>Skills!A8</f>
        <v/>
      </c>
      <c r="B778">
        <f>Skills!B8</f>
        <v/>
      </c>
      <c r="C778">
        <f>Inputs!$B$3&gt;=72</f>
        <v/>
      </c>
      <c r="D778">
        <f>IF(Skills!C8=1,60+Inputs!$B$25+Inputs!$B$29,IF(Skills!C8=2,90+Inputs!$B$26+Inputs!$B$29,IF(Skills!C8=3,120+Inputs!$B$27+Inputs!$B$29,MAX(0,(Inputs!$B$3-100)*3)+Inputs!$B$28+Inputs!$B$29)))</f>
        <v/>
      </c>
      <c r="E778">
        <f>INDEX(FactorTable!$B$2:$Y$301, MATCH(ROUND(MIN(300,MAX(1,D778)),0), FactorTable!$A$2:$A$301,0), Skills!M8+1)</f>
        <v/>
      </c>
      <c r="F778">
        <f>IF(Skills!N8=TRUE,(Skills!L8/10)*(E778/1000),Skills!L8/10)+Skills!O8</f>
        <v/>
      </c>
      <c r="G778">
        <f>Skills!G8*IF(Skills!H8&gt;0,Skills!I8/Skills!H8,1)</f>
        <v/>
      </c>
      <c r="H778">
        <f>1-(1-Skills!J8/100)^Skills!K8</f>
        <v/>
      </c>
      <c r="I778" t="inlineStr">
        <is>
          <t>1</t>
        </is>
      </c>
      <c r="J778">
        <f>((Inputs!$B$6*(1+Inputs!$B$7/100))+(((Inputs!$B$12*(1+Inputs!$B$13/100))-(Inputs!$B$12*(1+Inputs!$B$13/100)))+0.25*(Inputs!$B$14-Inputs!$B$14))*(1+Inputs!$B$7/100))*(F778/100)</f>
        <v/>
      </c>
      <c r="K778">
        <f>J778*(1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788=TRUE,F788,0)/100)*(1+(IF(Skills!A8="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778)</f>
        <v/>
      </c>
      <c r="L778">
        <f>K778*(MIN(Inputs!$B$22+((C794=TRUE)*(F794-Calc!F24)),(Inputs!$B$23+((C799=TRUE)*(F799-Calc!F29))+IF(ArtifactsInput!$M$15,CHOOSE(ArtifactsInput!$N$15+1,25,30,35,40,45,50)/100*(Inputs!$B$11-Inputs!$B$11),0)))/100+(Inputs!$B$23+((C799=TRUE)*(F799-Calc!F29))+IF(ArtifactsInput!$M$15,CHOOSE(ArtifactsInput!$N$15+1,25,30,35,40,45,50)/100*(Inputs!$B$11-Inputs!$B$11),0))/100)/2</f>
        <v/>
      </c>
      <c r="M778">
        <f>L778*(1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8">
        <f>L778*(1-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778*(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8">
        <f>(1-Summary!$B$11)*T778+Summary!$B$11*V778</f>
        <v/>
      </c>
      <c r="P778">
        <f>IF(B815=0,0,O778/B815)</f>
        <v/>
      </c>
      <c r="Q778">
        <f>IFERROR(1/IF(Inputs!$B$39="pvp",15,MAX(0.1,Skills!D8-IF(Skills!E8=TRUE,Inputs!$B$32,0))),0)</f>
        <v/>
      </c>
      <c r="R778">
        <f>IF(AND(Inputs!$B$39&lt;&gt;"pvp",Inputs!$B$44&gt;0),IF(MAX(0,Inputs!$B$44-B814)&lt;=0,0,(INT(MAX(0,Inputs!$B$44-B814)/IF(Inputs!$B$39="pvp",15,MAX(0.1,Skills!D8-IF(Skills!E8=TRUE,Inputs!$B$32,0))))+1)),0)</f>
        <v/>
      </c>
      <c r="S778">
        <f>IFERROR(O778/N778,0)</f>
        <v/>
      </c>
      <c r="T778">
        <f>IF(C778,(H778*N778*IF(AND(Inputs!$B$39&lt;&gt;"pvp",Inputs!$B$44&gt;0),((Skills!G8*((R778-1)*IF(Skills!H8&gt;0,Skills!I8/Skills!H8,1)+IF(Skills!H8&gt;0,MIN(Skills!I8,MAX(0,MAX(0,Inputs!$B$44-B814)-((R778-1)*IF(Inputs!$B$39="pvp",15,MAX(0.1,Skills!D8-IF(Skills!E8=TRUE,Inputs!$B$32,0))))))/Skills!H8,1)))/Inputs!$B$44),G778*Q778))*IF(Inputs!$B$39="pvp",1,1+(Inputs!$B$20+0+Skills!P8+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778*(1-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778*(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778*(1-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778*(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8">
        <f>IF(C778,(H778*N778*IF(AND(Inputs!$B$39&lt;&gt;"pvp",Inputs!$B$44&gt;0),((Skills!G8*((R778-1)*IF(Skills!H8&gt;0,Skills!I8/Skills!H8,1)+IF(Skills!H8&gt;0,MIN(Skills!I8,MAX(0,MAX(0,Inputs!$B$44-B814)-((R778-1)*IF(Inputs!$B$39="pvp",15,MAX(0.1,Skills!D8-IF(Skills!E8=TRUE,Inputs!$B$32,0))))))/Skills!H8,1)))/Inputs!$B$44),G778*Q778))*IF(Inputs!$B$39="pvp",1,(1+(Inputs!$B$21+Skills!Q8+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9">
      <c r="A779">
        <f>Skills!A9</f>
        <v/>
      </c>
      <c r="B779">
        <f>Skills!B9</f>
        <v/>
      </c>
      <c r="C779">
        <f>Inputs!$B$3&gt;=117</f>
        <v/>
      </c>
      <c r="D779">
        <f>IF(Skills!C9=1,60+Inputs!$B$25+Inputs!$B$29,IF(Skills!C9=2,90+Inputs!$B$26+Inputs!$B$29,IF(Skills!C9=3,120+Inputs!$B$27+Inputs!$B$29,MAX(0,(Inputs!$B$3-100)*3)+Inputs!$B$28+Inputs!$B$29)))</f>
        <v/>
      </c>
      <c r="E779">
        <f>INDEX(FactorTable!$B$2:$Y$301, MATCH(ROUND(MIN(300,MAX(1,D779)),0), FactorTable!$A$2:$A$301,0), Skills!M9+1)</f>
        <v/>
      </c>
      <c r="F779">
        <f>IF(Skills!N9=TRUE,(Skills!L9/10)*(E779/1000),Skills!L9/10)+Skills!O9</f>
        <v/>
      </c>
      <c r="G779">
        <f>Skills!G9*IF(Skills!H9&gt;0,Skills!I9/Skills!H9,1)</f>
        <v/>
      </c>
      <c r="H779">
        <f>1-(1-Skills!J9/100)^Skills!K9</f>
        <v/>
      </c>
      <c r="I779" t="inlineStr">
        <is>
          <t>1</t>
        </is>
      </c>
      <c r="J779">
        <f>((Inputs!$B$6*(1+Inputs!$B$7/100))+(((Inputs!$B$12*(1+Inputs!$B$13/100))-(Inputs!$B$12*(1+Inputs!$B$13/100)))+0.25*(Inputs!$B$14-Inputs!$B$14))*(1+Inputs!$B$7/100))*(F779/100)</f>
        <v/>
      </c>
      <c r="K779">
        <f>J779*(1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779)</f>
        <v/>
      </c>
      <c r="L779">
        <f>K779*(MIN(Inputs!$B$22+((C794=TRUE)*(F794-Calc!F24)),(Inputs!$B$23+((C799=TRUE)*(F799-Calc!F29))+IF(ArtifactsInput!$M$15,CHOOSE(ArtifactsInput!$N$15+1,25,30,35,40,45,50)/100*(Inputs!$B$11-Inputs!$B$11),0)))/100+(Inputs!$B$23+((C799=TRUE)*(F799-Calc!F29))+IF(ArtifactsInput!$M$15,CHOOSE(ArtifactsInput!$N$15+1,25,30,35,40,45,50)/100*(Inputs!$B$11-Inputs!$B$11),0))/100)/2</f>
        <v/>
      </c>
      <c r="M779">
        <f>L779*(1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9">
        <f>L779*(1-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779*(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9">
        <f>(1-Summary!$B$11)*T779+Summary!$B$11*V779</f>
        <v/>
      </c>
      <c r="P779">
        <f>IF(B815=0,0,O779/B815)</f>
        <v/>
      </c>
      <c r="Q779" t="n">
        <v>0</v>
      </c>
      <c r="R779" t="n">
        <v>0</v>
      </c>
      <c r="S779" t="n">
        <v>0</v>
      </c>
      <c r="T779">
        <f>IF(C779,(0.2*SUMPRODUCT((Skills!Z2:Z30=TRUE)*(C772:C800=TRUE)*S772:S800)*N779)*IF(Inputs!$B$39="pvp",1,1+(Inputs!$B$20+0+Skills!P9+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779*(1-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779*(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779*(1-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779*(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9">
        <f>IF(C779,(0.2*SUMPRODUCT((Skills!Z2:Z30=TRUE)*(C772:C800=TRUE)*S772:S800)*N779)*IF(Inputs!$B$39="pvp",1,(1+(Inputs!$B$21+Skills!Q9+B804+(IF(ArtifactsInput!$M$33,CHOOSE(ArtifactsInput!$N$33+1,30,36,42,48,54,60),0))+(IF(AND(ArtifactsInput!$M$35,Inputs!$B$4&lt;&gt;"Chapter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0">
      <c r="A780">
        <f>Skills!A10</f>
        <v/>
      </c>
      <c r="B780">
        <f>Skills!B10</f>
        <v/>
      </c>
      <c r="C780">
        <f>Inputs!$B$3&gt;=74</f>
        <v/>
      </c>
      <c r="D780">
        <f>IF(Skills!C10=1,60+Inputs!$B$25+Inputs!$B$29,IF(Skills!C10=2,90+Inputs!$B$26+Inputs!$B$29,IF(Skills!C10=3,120+Inputs!$B$27+Inputs!$B$29,MAX(0,(Inputs!$B$3-100)*3)+Inputs!$B$28+Inputs!$B$29)))</f>
        <v/>
      </c>
      <c r="E780">
        <f>INDEX(FactorTable!$B$2:$Y$301, MATCH(ROUND(MIN(300,MAX(1,D780)),0), FactorTable!$A$2:$A$301,0), Skills!M10+1)</f>
        <v/>
      </c>
      <c r="F780">
        <f>IF(Skills!N10=TRUE,(Skills!L10/10)*(E780/1000),Skills!L10/10)+Skills!O10</f>
        <v/>
      </c>
      <c r="G780">
        <f>Skills!G10*IF(Skills!H10&gt;0,Skills!I10/Skills!H10,1)</f>
        <v/>
      </c>
      <c r="H780">
        <f>1-(1-Skills!J10/100)^Skills!K10</f>
        <v/>
      </c>
      <c r="I780" t="inlineStr">
        <is>
          <t>1</t>
        </is>
      </c>
      <c r="J780" t="inlineStr"/>
      <c r="K780" t="inlineStr"/>
      <c r="L780" t="inlineStr"/>
      <c r="M780" t="inlineStr"/>
      <c r="N780" t="inlineStr"/>
      <c r="O780">
        <f>(1-Summary!$B$11)*T780+Summary!$B$11*V780</f>
        <v/>
      </c>
      <c r="P780">
        <f>IF(B815=0,0,O780/B815)</f>
        <v/>
      </c>
      <c r="Q780">
        <f>IFERROR(1/IF(Inputs!$B$39="pvp",15,MAX(0.1,Skills!D10-IF(Skills!E10=TRUE,Inputs!$B$32,0))),0)</f>
        <v/>
      </c>
      <c r="R780">
        <f>IF(AND(Inputs!$B$39&lt;&gt;"pvp",Inputs!$B$44&gt;0),IF(Inputs!$B$44&lt;=0,0,(INT(Inputs!$B$44/IF(Inputs!$B$39="pvp",15,MAX(0.1,Skills!D10-IF(Skills!E10=TRUE,Inputs!$B$32,0))))+1)),0)</f>
        <v/>
      </c>
      <c r="S780">
        <f>IFERROR(O780/N780,0)</f>
        <v/>
      </c>
      <c r="T780" t="n">
        <v>0</v>
      </c>
      <c r="V780" t="n">
        <v>0</v>
      </c>
    </row>
    <row r="781">
      <c r="A781">
        <f>Skills!A11</f>
        <v/>
      </c>
      <c r="B781">
        <f>Skills!B11</f>
        <v/>
      </c>
      <c r="C781">
        <f>Inputs!$B$3&gt;=103</f>
        <v/>
      </c>
      <c r="D781">
        <f>IF(Skills!C11=1,60+Inputs!$B$25+Inputs!$B$29,IF(Skills!C11=2,90+Inputs!$B$26+Inputs!$B$29,IF(Skills!C11=3,120+Inputs!$B$27+Inputs!$B$29,MAX(0,(Inputs!$B$3-100)*3)+Inputs!$B$28+Inputs!$B$29)))</f>
        <v/>
      </c>
      <c r="E781">
        <f>INDEX(FactorTable!$B$2:$Y$301, MATCH(ROUND(MIN(300,MAX(1,D781)),0), FactorTable!$A$2:$A$301,0), Skills!M11+1)</f>
        <v/>
      </c>
      <c r="F781">
        <f>(Skills!L11/10)*(E781/1000)+IF(Inputs!$B$3&gt;=134,50,0)+0.5*(30000/10)*(INDEX(FactorTable!$B$2:$Y$301, MATCH(ROUND(MIN(300,MAX(1,D781)),0), FactorTable!$A$2:$A$301,0), 13)/1000)*B813</f>
        <v/>
      </c>
      <c r="G781">
        <f>Skills!G11*IF(Skills!H11&gt;0,Skills!I11/Skills!H11,1)</f>
        <v/>
      </c>
      <c r="H781">
        <f>1-(1-Skills!J11/100)^Skills!K11</f>
        <v/>
      </c>
      <c r="I781" t="inlineStr">
        <is>
          <t>1</t>
        </is>
      </c>
      <c r="J781">
        <f>((Inputs!$B$6*(1+Inputs!$B$7/100))+(((Inputs!$B$12*(1+Inputs!$B$13/100))-(Inputs!$B$12*(1+Inputs!$B$13/100)))+0.25*(Inputs!$B$14-Inputs!$B$14))*(1+Inputs!$B$7/100))*(F781/100)</f>
        <v/>
      </c>
      <c r="K781">
        <f>J781*(1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781)</f>
        <v/>
      </c>
      <c r="L781">
        <f>K781*(MIN(Inputs!$B$22+((C794=TRUE)*(F794-Calc!F24)),(Inputs!$B$23+((C799=TRUE)*(F799-Calc!F29))+IF(ArtifactsInput!$M$15,CHOOSE(ArtifactsInput!$N$15+1,25,30,35,40,45,50)/100*(Inputs!$B$11-Inputs!$B$11),0)))/100+(Inputs!$B$23+((C799=TRUE)*(F799-Calc!F29))+IF(ArtifactsInput!$M$15,CHOOSE(ArtifactsInput!$N$15+1,25,30,35,40,45,50)/100*(Inputs!$B$11-Inputs!$B$11),0))/100)/2</f>
        <v/>
      </c>
      <c r="M781">
        <f>L781*(1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1">
        <f>L781*(1-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1">
        <f>(1-Summary!$B$11)*T781+Summary!$B$11*V781</f>
        <v/>
      </c>
      <c r="P781">
        <f>IF(B815=0,0,O781/B815)</f>
        <v/>
      </c>
      <c r="Q781">
        <f>IFERROR(1/IF(Inputs!$B$39="pvp",15,MAX(0.1,Skills!D11-IF(Skills!E11=TRUE,Inputs!$B$32,0))),0)</f>
        <v/>
      </c>
      <c r="R781">
        <f>IF(AND(Inputs!$B$39&lt;&gt;"pvp",Inputs!$B$44&gt;0),IF(MAX(0,Inputs!$B$44-B814)&lt;=0,0,(INT(MAX(0,Inputs!$B$44-B814)/IF(Inputs!$B$39="pvp",15,MAX(0.1,Skills!D11-IF(Skills!E11=TRUE,Inputs!$B$32,0))))+1)),0)</f>
        <v/>
      </c>
      <c r="S781">
        <f>IFERROR(O781/N781,0)</f>
        <v/>
      </c>
      <c r="T781">
        <f>IF(C781,(H781*N781*IF(AND(Inputs!$B$39&lt;&gt;"pvp",Inputs!$B$44&gt;0),((Skills!G11*((R781-1)*IF(Skills!H11&gt;0,Skills!I11/Skills!H11,1)+IF(Skills!H11&gt;0,MIN(Skills!I11,MAX(0,MAX(0,Inputs!$B$44-B814)-((R781-1)*IF(Inputs!$B$39="pvp",15,MAX(0.1,Skills!D11-IF(Skills!E11=TRUE,Inputs!$B$32,0))))))/Skills!H11,1)))/Inputs!$B$44),G781*Q781))*IF(Inputs!$B$39="pvp",1,1+(Inputs!$B$20+0+Skills!P11+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1">
        <f>IF(C781,(H781*N781*IF(AND(Inputs!$B$39&lt;&gt;"pvp",Inputs!$B$44&gt;0),((Skills!G11*((R781-1)*IF(Skills!H11&gt;0,Skills!I11/Skills!H11,1)+IF(Skills!H11&gt;0,MIN(Skills!I11,MAX(0,MAX(0,Inputs!$B$44-B814)-((R781-1)*IF(Inputs!$B$39="pvp",15,MAX(0.1,Skills!D11-IF(Skills!E11=TRUE,Inputs!$B$32,0))))))/Skills!H11,1)))/Inputs!$B$44),G781*Q781))*IF(Inputs!$B$39="pvp",1,(1+(Inputs!$B$21+Skills!Q11+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2">
      <c r="A782">
        <f>Skills!A12</f>
        <v/>
      </c>
      <c r="B782">
        <f>Skills!B12</f>
        <v/>
      </c>
      <c r="C782">
        <f>Inputs!$B$3&gt;=105</f>
        <v/>
      </c>
      <c r="D782">
        <f>IF(Skills!C12=1,60+Inputs!$B$25+Inputs!$B$29,IF(Skills!C12=2,90+Inputs!$B$26+Inputs!$B$29,IF(Skills!C12=3,120+Inputs!$B$27+Inputs!$B$29,MAX(0,(Inputs!$B$3-100)*3)+Inputs!$B$28+Inputs!$B$29)))</f>
        <v/>
      </c>
      <c r="E782">
        <f>INDEX(FactorTable!$B$2:$Y$301, MATCH(ROUND(MIN(300,MAX(1,D782)),0), FactorTable!$A$2:$A$301,0), Skills!M12+1)</f>
        <v/>
      </c>
      <c r="F782">
        <f>IF(Skills!N12=TRUE,(Skills!L12/10)*(E782/1000),Skills!L12/10)+Skills!O12</f>
        <v/>
      </c>
      <c r="G782">
        <f>Skills!G12*IF(Skills!H12&gt;0,Skills!I12/Skills!H12,1)</f>
        <v/>
      </c>
      <c r="H782">
        <f>1-(1-Skills!J12/100)^Skills!K12</f>
        <v/>
      </c>
      <c r="I782" t="inlineStr">
        <is>
          <t>1</t>
        </is>
      </c>
      <c r="J782">
        <f>((Inputs!$B$6*(1+Inputs!$B$7/100))+(((Inputs!$B$12*(1+Inputs!$B$13/100))-(Inputs!$B$12*(1+Inputs!$B$13/100)))+0.25*(Inputs!$B$14-Inputs!$B$14))*(1+Inputs!$B$7/100))*(F782/100)</f>
        <v/>
      </c>
      <c r="K782">
        <f>J782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782)</f>
        <v/>
      </c>
      <c r="L782">
        <f>K782*(MIN(Inputs!$B$22+((C794=TRUE)*(F794-Calc!F24)),(Inputs!$B$23+((C799=TRUE)*(F799-Calc!F29))+IF(ArtifactsInput!$M$15,CHOOSE(ArtifactsInput!$N$15+1,25,30,35,40,45,50)/100*(Inputs!$B$11-Inputs!$B$11),0)))/100+(Inputs!$B$23+((C799=TRUE)*(F799-Calc!F29))+IF(ArtifactsInput!$M$15,CHOOSE(ArtifactsInput!$N$15+1,25,30,35,40,45,50)/100*(Inputs!$B$11-Inputs!$B$11),0))/100)/2</f>
        <v/>
      </c>
      <c r="M782">
        <f>L782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2">
        <f>L782*(1-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782*(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2">
        <f>(1-Summary!$B$11)*T782+Summary!$B$11*V782</f>
        <v/>
      </c>
      <c r="P782">
        <f>IF(B815=0,0,O782/B815)</f>
        <v/>
      </c>
      <c r="Q782">
        <f>IFERROR(1/IF(Inputs!$B$39="pvp",15,MAX(0.1,Skills!D12-IF(Skills!E12=TRUE,Inputs!$B$32,0))),0)</f>
        <v/>
      </c>
      <c r="R782">
        <f>IF(AND(Inputs!$B$39&lt;&gt;"pvp",Inputs!$B$44&gt;0),IF(MAX(0,Inputs!$B$44-B814)&lt;=0,0,(INT(MAX(0,Inputs!$B$44-B814)/IF(Inputs!$B$39="pvp",15,MAX(0.1,Skills!D12-IF(Skills!E12=TRUE,Inputs!$B$32,0))))+1)),0)</f>
        <v/>
      </c>
      <c r="S782">
        <f>IFERROR(O782/N782,0)</f>
        <v/>
      </c>
      <c r="T782">
        <f>IF(C782,(H782*N782*IF(AND(Inputs!$B$39&lt;&gt;"pvp",Inputs!$B$44&gt;0),((Skills!G12*((R782-1)*IF(Skills!H12&gt;0,Skills!I12/Skills!H12,1)+IF(Skills!H12&gt;0,MIN(Skills!I12,MAX(0,MAX(0,Inputs!$B$44-B814)-((R782-1)*IF(Inputs!$B$39="pvp",15,MAX(0.1,Skills!D12-IF(Skills!E12=TRUE,Inputs!$B$32,0))))))/Skills!H12,1)))/Inputs!$B$44),G782*Q782))*IF(Inputs!$B$39="pvp",1,1+(Inputs!$B$20+0+Skills!P12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782*(1-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782*(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782*(1-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782*(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2">
        <f>IF(C782,(H782*N782*IF(AND(Inputs!$B$39&lt;&gt;"pvp",Inputs!$B$44&gt;0),((Skills!G12*((R782-1)*IF(Skills!H12&gt;0,Skills!I12/Skills!H12,1)+IF(Skills!H12&gt;0,MIN(Skills!I12,MAX(0,MAX(0,Inputs!$B$44-B814)-((R782-1)*IF(Inputs!$B$39="pvp",15,MAX(0.1,Skills!D12-IF(Skills!E12=TRUE,Inputs!$B$32,0))))))/Skills!H12,1)))/Inputs!$B$44),G782*Q782))*IF(Inputs!$B$39="pvp",1,(1+(Inputs!$B$21+Skills!Q12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3">
      <c r="A783">
        <f>Skills!A13</f>
        <v/>
      </c>
      <c r="B783">
        <f>Skills!B13</f>
        <v/>
      </c>
      <c r="C783">
        <f>Inputs!$B$3&gt;=105</f>
        <v/>
      </c>
      <c r="D783">
        <f>IF(Skills!C13=1,60+Inputs!$B$25+Inputs!$B$29,IF(Skills!C13=2,90+Inputs!$B$26+Inputs!$B$29,IF(Skills!C13=3,120+Inputs!$B$27+Inputs!$B$29,MAX(0,(Inputs!$B$3-100)*3)+Inputs!$B$28+Inputs!$B$29)))</f>
        <v/>
      </c>
      <c r="E783">
        <f>INDEX(FactorTable!$B$2:$Y$301, MATCH(ROUND(MIN(300,MAX(1,D783)),0), FactorTable!$A$2:$A$301,0), Skills!M13+1)</f>
        <v/>
      </c>
      <c r="F783">
        <f>IF(Skills!N13=TRUE,(Skills!L13/10)*(E783/1000),Skills!L13/10)+Skills!O13</f>
        <v/>
      </c>
      <c r="G783">
        <f>Skills!G13*IF(Skills!H13&gt;0,Skills!I13/Skills!H13,1)</f>
        <v/>
      </c>
      <c r="H783">
        <f>1-(1-Skills!J13/100)^Skills!K13</f>
        <v/>
      </c>
      <c r="I783" t="inlineStr">
        <is>
          <t>1</t>
        </is>
      </c>
      <c r="J783">
        <f>((Inputs!$B$6*(1+Inputs!$B$7/100))+(((Inputs!$B$12*(1+Inputs!$B$13/100))-(Inputs!$B$12*(1+Inputs!$B$13/100)))+0.25*(Inputs!$B$14-Inputs!$B$14))*(1+Inputs!$B$7/100))*(F783/100)</f>
        <v/>
      </c>
      <c r="K783">
        <f>J783*(1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783)</f>
        <v/>
      </c>
      <c r="L783">
        <f>K783*(MIN(Inputs!$B$22+((C794=TRUE)*(F794-Calc!F24)),(Inputs!$B$23+((C799=TRUE)*(F799-Calc!F29))+IF(ArtifactsInput!$M$15,CHOOSE(ArtifactsInput!$N$15+1,25,30,35,40,45,50)/100*(Inputs!$B$11-Inputs!$B$11),0)))/100+(Inputs!$B$23+((C799=TRUE)*(F799-Calc!F29))+IF(ArtifactsInput!$M$15,CHOOSE(ArtifactsInput!$N$15+1,25,30,35,40,45,50)/100*(Inputs!$B$11-Inputs!$B$11),0))/100)/2</f>
        <v/>
      </c>
      <c r="M783">
        <f>L783*(1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3">
        <f>L783*(1-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783*(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3">
        <f>(1-Summary!$B$11)*T783+Summary!$B$11*V783</f>
        <v/>
      </c>
      <c r="P783">
        <f>IF(B815=0,0,O783/B815)</f>
        <v/>
      </c>
      <c r="Q783">
        <f>IFERROR(1/IF(Inputs!$B$39="pvp",15,MAX(0.1,Skills!D13-IF(Skills!E13=TRUE,Inputs!$B$32,0))),0)</f>
        <v/>
      </c>
      <c r="R783">
        <f>IF(AND(Inputs!$B$39&lt;&gt;"pvp",Inputs!$B$44&gt;0),IF(MAX(0,Inputs!$B$44-B814)&lt;=0,0,(INT(MAX(0,Inputs!$B$44-B814)/IF(Inputs!$B$39="pvp",15,MAX(0.1,Skills!D13-IF(Skills!E13=TRUE,Inputs!$B$32,0))))+1)),0)</f>
        <v/>
      </c>
      <c r="S783">
        <f>IFERROR(O783/N783,0)</f>
        <v/>
      </c>
      <c r="T783">
        <f>IF(C783,(H783*N783*IF(AND(Inputs!$B$39&lt;&gt;"pvp",Inputs!$B$44&gt;0),((Skills!G13*((R783-1)*IF(Skills!H13&gt;0,Skills!I13/Skills!H13,1)+IF(Skills!H13&gt;0,MIN(Skills!I13,MAX(0,MAX(0,Inputs!$B$44-B814)-((R783-1)*IF(Inputs!$B$39="pvp",15,MAX(0.1,Skills!D13-IF(Skills!E13=TRUE,Inputs!$B$32,0))))))/Skills!H13,1)))/Inputs!$B$44),G783*Q783))*IF(Inputs!$B$39="pvp",1,1+(Inputs!$B$20+0+Skills!P13+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783*(1-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783*(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783*(1-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783*(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3">
        <f>IF(C783,(H783*N783*IF(AND(Inputs!$B$39&lt;&gt;"pvp",Inputs!$B$44&gt;0),((Skills!G13*((R783-1)*IF(Skills!H13&gt;0,Skills!I13/Skills!H13,1)+IF(Skills!H13&gt;0,MIN(Skills!I13,MAX(0,MAX(0,Inputs!$B$44-B814)-((R783-1)*IF(Inputs!$B$39="pvp",15,MAX(0.1,Skills!D13-IF(Skills!E13=TRUE,Inputs!$B$32,0))))))/Skills!H13,1)))/Inputs!$B$44),G783*Q783))*IF(Inputs!$B$39="pvp",1,(1+(Inputs!$B$21+Skills!Q13+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4">
      <c r="A784">
        <f>Skills!A14</f>
        <v/>
      </c>
      <c r="B784">
        <f>Skills!B14</f>
        <v/>
      </c>
      <c r="C784">
        <f>Inputs!$B$3&gt;=107</f>
        <v/>
      </c>
      <c r="D784">
        <f>IF(Skills!C14=1,60+Inputs!$B$25+Inputs!$B$29,IF(Skills!C14=2,90+Inputs!$B$26+Inputs!$B$29,IF(Skills!C14=3,120+Inputs!$B$27+Inputs!$B$29,MAX(0,(Inputs!$B$3-100)*3)+Inputs!$B$28+Inputs!$B$29)))</f>
        <v/>
      </c>
      <c r="E784">
        <f>INDEX(FactorTable!$B$2:$Y$301, MATCH(ROUND(MIN(300,MAX(1,D784)),0), FactorTable!$A$2:$A$301,0), Skills!M14+1)</f>
        <v/>
      </c>
      <c r="F784">
        <f>IF(Skills!N14=TRUE,(Skills!L14/10)*(E784/1000),Skills!L14/10)+Skills!O14</f>
        <v/>
      </c>
      <c r="G784">
        <f>Skills!G14*IF(Skills!H14&gt;0,Skills!I14/Skills!H14,1)</f>
        <v/>
      </c>
      <c r="H784">
        <f>1-(1-Skills!J14/100)^Skills!K14</f>
        <v/>
      </c>
      <c r="I784" t="inlineStr">
        <is>
          <t>1</t>
        </is>
      </c>
      <c r="J784">
        <f>((Inputs!$B$6*(1+Inputs!$B$7/100))+(((Inputs!$B$12*(1+Inputs!$B$13/100))-(Inputs!$B$12*(1+Inputs!$B$13/100)))+0.25*(Inputs!$B$14-Inputs!$B$14))*(1+Inputs!$B$7/100))*(F784/100)</f>
        <v/>
      </c>
      <c r="K784">
        <f>J784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784)</f>
        <v/>
      </c>
      <c r="L784">
        <f>K784*(MIN(Inputs!$B$22+((C794=TRUE)*(F794-Calc!F24)),(Inputs!$B$23+((C799=TRUE)*(F799-Calc!F29))+IF(ArtifactsInput!$M$15,CHOOSE(ArtifactsInput!$N$15+1,25,30,35,40,45,50)/100*(Inputs!$B$11-Inputs!$B$11),0)))/100+(Inputs!$B$23+((C799=TRUE)*(F799-Calc!F29))+IF(ArtifactsInput!$M$15,CHOOSE(ArtifactsInput!$N$15+1,25,30,35,40,45,50)/100*(Inputs!$B$11-Inputs!$B$11),0))/100)/2</f>
        <v/>
      </c>
      <c r="M784">
        <f>L784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4">
        <f>L784*(1-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784*(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4">
        <f>(1-Summary!$B$11)*T784+Summary!$B$11*V784</f>
        <v/>
      </c>
      <c r="P784">
        <f>IF(B815=0,0,O784/B815)</f>
        <v/>
      </c>
      <c r="Q784">
        <f>IFERROR(1/IF(Inputs!$B$39="pvp",15,MAX(0.1,Skills!D14-IF(Skills!E14=TRUE,Inputs!$B$32,0))),0)</f>
        <v/>
      </c>
      <c r="R784">
        <f>IF(AND(Inputs!$B$39&lt;&gt;"pvp",Inputs!$B$44&gt;0),IF(MAX(0,Inputs!$B$44-B814)&lt;=0,0,(INT(MAX(0,Inputs!$B$44-B814)/IF(Inputs!$B$39="pvp",15,MAX(0.1,Skills!D14-IF(Skills!E14=TRUE,Inputs!$B$32,0))))+1)),0)</f>
        <v/>
      </c>
      <c r="S784">
        <f>IFERROR(O784/N784,0)</f>
        <v/>
      </c>
      <c r="T784">
        <f>IF(C784,(H784*N784*IF(AND(Inputs!$B$39&lt;&gt;"pvp",Inputs!$B$44&gt;0),((Skills!G14*((R784-1)*IF(Skills!H14&gt;0,Skills!I14/Skills!H14,1)+IF(Skills!H14&gt;0,MIN(Skills!I14,MAX(0,MAX(0,Inputs!$B$44-B814)-((R784-1)*IF(Inputs!$B$39="pvp",15,MAX(0.1,Skills!D14-IF(Skills!E14=TRUE,Inputs!$B$32,0))))))/Skills!H14,1)))/Inputs!$B$44),G784*Q784))*IF(Inputs!$B$39="pvp",1,1+(Inputs!$B$20+0+Skills!P14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784*(1-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784*(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784*(1-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784*(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4">
        <f>IF(C784,(H784*N784*IF(AND(Inputs!$B$39&lt;&gt;"pvp",Inputs!$B$44&gt;0),((Skills!G14*((R784-1)*IF(Skills!H14&gt;0,Skills!I14/Skills!H14,1)+IF(Skills!H14&gt;0,MIN(Skills!I14,MAX(0,MAX(0,Inputs!$B$44-B814)-((R784-1)*IF(Inputs!$B$39="pvp",15,MAX(0.1,Skills!D14-IF(Skills!E14=TRUE,Inputs!$B$32,0))))))/Skills!H14,1)))/Inputs!$B$44),G784*Q784))*IF(Inputs!$B$39="pvp",1,(1+(Inputs!$B$21+Skills!Q14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(5,0.25*B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5">
      <c r="A785">
        <f>Skills!A15</f>
        <v/>
      </c>
      <c r="B785">
        <f>Skills!B15</f>
        <v/>
      </c>
      <c r="C785">
        <f>Inputs!$B$3&gt;=110</f>
        <v/>
      </c>
      <c r="D785">
        <f>IF(Skills!C15=1,60+Inputs!$B$25+Inputs!$B$29,IF(Skills!C15=2,90+Inputs!$B$26+Inputs!$B$29,IF(Skills!C15=3,120+Inputs!$B$27+Inputs!$B$29,MAX(0,(Inputs!$B$3-100)*3)+Inputs!$B$28+Inputs!$B$29)))</f>
        <v/>
      </c>
      <c r="E785">
        <f>INDEX(FactorTable!$B$2:$Y$301, MATCH(ROUND(MIN(300,MAX(1,D785)),0), FactorTable!$A$2:$A$301,0), Skills!M15+1)</f>
        <v/>
      </c>
      <c r="F785">
        <f>IF(Skills!N15=TRUE,(Skills!L15/10)*(E785/1000),Skills!L15/10)+Skills!O15</f>
        <v/>
      </c>
      <c r="G785">
        <f>Skills!G15*IF(Skills!H15&gt;0,Skills!I15/Skills!H15,1)</f>
        <v/>
      </c>
      <c r="H785">
        <f>1-(1-Skills!J15/100)^Skills!K15</f>
        <v/>
      </c>
      <c r="I785" t="inlineStr">
        <is>
          <t>1</t>
        </is>
      </c>
      <c r="J785" t="inlineStr"/>
      <c r="K785" t="inlineStr"/>
      <c r="L785" t="inlineStr"/>
      <c r="M785" t="inlineStr"/>
      <c r="N785" t="inlineStr"/>
      <c r="O785">
        <f>(1-Summary!$B$11)*T785+Summary!$B$11*V785</f>
        <v/>
      </c>
      <c r="P785">
        <f>IF(B815=0,0,O785/B815)</f>
        <v/>
      </c>
      <c r="Q785">
        <f>IFERROR(1/IF(Inputs!$B$39="pvp",15,MAX(0.1,Skills!D15-IF(Skills!E15=TRUE,Inputs!$B$32,0))),0)</f>
        <v/>
      </c>
      <c r="R785">
        <f>IF(AND(Inputs!$B$39&lt;&gt;"pvp",Inputs!$B$44&gt;0),IF(Inputs!$B$44&lt;=0,0,(INT(Inputs!$B$44/IF(Inputs!$B$39="pvp",15,MAX(0.1,Skills!D15-IF(Skills!E15=TRUE,Inputs!$B$32,0))))+1)),0)</f>
        <v/>
      </c>
      <c r="S785">
        <f>IFERROR(O785/N785,0)</f>
        <v/>
      </c>
      <c r="T785" t="n">
        <v>0</v>
      </c>
      <c r="V785" t="n">
        <v>0</v>
      </c>
    </row>
    <row r="786">
      <c r="A786">
        <f>Skills!A16</f>
        <v/>
      </c>
      <c r="B786">
        <f>Skills!B16</f>
        <v/>
      </c>
      <c r="C786">
        <f>Inputs!$B$3&gt;=115</f>
        <v/>
      </c>
      <c r="D786">
        <f>IF(Skills!C16=1,60+Inputs!$B$25+Inputs!$B$29,IF(Skills!C16=2,90+Inputs!$B$26+Inputs!$B$29,IF(Skills!C16=3,120+Inputs!$B$27+Inputs!$B$29,MAX(0,(Inputs!$B$3-100)*3)+Inputs!$B$28+Inputs!$B$29)))</f>
        <v/>
      </c>
      <c r="E786">
        <f>INDEX(FactorTable!$B$2:$Y$301, MATCH(ROUND(MIN(300,MAX(1,D786)),0), FactorTable!$A$2:$A$301,0), Skills!M16+1)</f>
        <v/>
      </c>
      <c r="F786">
        <f>IF(Skills!N16=TRUE,(Skills!L16/10)*(E786/1000),Skills!L16/10)+Skills!O16</f>
        <v/>
      </c>
      <c r="G786">
        <f>Skills!G16*IF(Skills!H16&gt;0,Skills!I16/Skills!H16,1)</f>
        <v/>
      </c>
      <c r="H786">
        <f>1-(1-Skills!J16/100)^Skills!K16</f>
        <v/>
      </c>
      <c r="I786" t="inlineStr">
        <is>
          <t>1</t>
        </is>
      </c>
      <c r="J786">
        <f>((Inputs!$B$6*(1+Inputs!$B$7/100))+(((Inputs!$B$12*(1+Inputs!$B$13/100))-(Inputs!$B$12*(1+Inputs!$B$13/100)))+0.25*(Inputs!$B$14-Inputs!$B$14))*(1+Inputs!$B$7/100))*(F786/100)</f>
        <v/>
      </c>
      <c r="K786">
        <f>J786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+1)+((C797=TRUE)*(F797-Calc!F27))+((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786)</f>
        <v/>
      </c>
      <c r="L786">
        <f>K786*(MIN(Inputs!$B$22+((C794=TRUE)*(F794-Calc!F24)),(Inputs!$B$23+((C799=TRUE)*(F799-Calc!F29))+IF(ArtifactsInput!$M$15,CHOOSE(ArtifactsInput!$N$15+1,25,30,35,40,45,50)/100*(Inputs!$B$11-Inputs!$B$11),0)))/100+(Inputs!$B$23+((C799=TRUE)*(F799-Calc!F29))+IF(ArtifactsInput!$M$15,CHOOSE(ArtifactsInput!$N$15+1,25,30,35,40,45,50)/100*(Inputs!$B$11-Inputs!$B$11),0))/100)/2</f>
        <v/>
      </c>
      <c r="M786">
        <f>L786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6">
        <f>L786*(1-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786*(MIN((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6">
        <f>(1-Summary!$B$11)*T786+Summary!$B$11*V786</f>
        <v/>
      </c>
      <c r="P786">
        <f>IF(B815=0,0,O786/B815)</f>
        <v/>
      </c>
      <c r="Q786" t="n">
        <v>0</v>
      </c>
      <c r="R786" t="n">
        <v>0</v>
      </c>
      <c r="S786">
        <f>IFERROR(O786/N786,0)</f>
        <v/>
      </c>
      <c r="T786">
        <f>IF(C786,(Inputs!$B$38*0.2*N786)*IF(Inputs!$B$39="pvp",1,1+(Inputs!$B$20+0+Skills!P16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786*(1-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786*(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786*(1-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786*(MIN(100,(Inputs!$B$9+((C795=TRUE)*(F795-Calc!F25))+B803+(ArtifactsInput!$M$24-ArtifactsInput!$M$24)*CHOOSE(ArtifactsInput!$N$24+1,10,12,14,16,18,20)+(IF(AND(Inputs!$B$39&lt;&gt;"pvp",Inputs!$B$44=0),1,IF(IF(Inputs!$B$39="pvp",15,Inputs!$B$44)-(B814)&lt;=0,1,MAX(0,IF(Inputs!$B$39="pvp",15,Inputs!$B$44)-MAX(5,B814))/(IF(Inputs!$B$39="pvp",15,Inputs!$B$44)-(B814))))*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6">
        <f>IF(C786,(Inputs!$B$38*0.2*N786)*IF(Inputs!$B$39="pvp",1,(1+(Inputs!$B$21+Skills!Q16+B804+(IF(ArtifactsInput!$M$33,CHOOSE(ArtifactsInput!$N$33+1,30,36,42,48,54,60),0))+(IF(AND(ArtifactsInput!$M$35,Inputs!$B$4&lt;&gt;"Chapter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7">
      <c r="A787">
        <f>Skills!A17</f>
        <v/>
      </c>
      <c r="B787">
        <f>Skills!B17</f>
        <v/>
      </c>
      <c r="C787">
        <f>Inputs!$B$3&gt;=115</f>
        <v/>
      </c>
      <c r="D787">
        <f>IF(Skills!C17=1,60+Inputs!$B$25+Inputs!$B$29,IF(Skills!C17=2,90+Inputs!$B$26+Inputs!$B$29,IF(Skills!C17=3,120+Inputs!$B$27+Inputs!$B$29,MAX(0,(Inputs!$B$3-100)*3)+Inputs!$B$28+Inputs!$B$29)))</f>
        <v/>
      </c>
      <c r="E787">
        <f>INDEX(FactorTable!$B$2:$Y$301, MATCH(ROUND(MIN(300,MAX(1,D787)),0), FactorTable!$A$2:$A$301,0), Skills!M17+1)</f>
        <v/>
      </c>
      <c r="F787">
        <f>IF(Skills!N17=TRUE,(Skills!L17/10)*(E787/1000),Skills!L17/10)+Skills!O17</f>
        <v/>
      </c>
      <c r="G787">
        <f>Skills!G17*IF(Skills!H17&gt;0,Skills!I17/Skills!H17,1)</f>
        <v/>
      </c>
      <c r="H787">
        <f>1-(1-Skills!J17/100)^Skills!K17</f>
        <v/>
      </c>
      <c r="I787" t="inlineStr">
        <is>
          <t>1</t>
        </is>
      </c>
      <c r="J787" t="inlineStr"/>
      <c r="K787" t="inlineStr"/>
      <c r="L787" t="inlineStr"/>
      <c r="M787" t="inlineStr"/>
      <c r="N787" t="inlineStr"/>
      <c r="O787">
        <f>(1-Summary!$B$11)*T787+Summary!$B$11*V787</f>
        <v/>
      </c>
      <c r="P787">
        <f>IF(B815=0,0,O787/B815)</f>
        <v/>
      </c>
      <c r="Q787" t="n">
        <v>0</v>
      </c>
      <c r="R787" t="n">
        <v>0</v>
      </c>
      <c r="S787">
        <f>IFERROR(O787/N787,0)</f>
        <v/>
      </c>
      <c r="T787" t="n">
        <v>0</v>
      </c>
      <c r="V787" t="n">
        <v>0</v>
      </c>
    </row>
    <row r="788">
      <c r="A788">
        <f>Skills!A18</f>
        <v/>
      </c>
      <c r="B788">
        <f>Skills!B18</f>
        <v/>
      </c>
      <c r="C788">
        <f>Inputs!$B$3&gt;=100</f>
        <v/>
      </c>
      <c r="D788">
        <f>IF(Skills!C18=1,60+Inputs!$B$25+Inputs!$B$29,IF(Skills!C18=2,90+Inputs!$B$26+Inputs!$B$29,IF(Skills!C18=3,120+Inputs!$B$27+Inputs!$B$29,MAX(0,(Inputs!$B$3-100)*3)+Inputs!$B$28+Inputs!$B$29)))</f>
        <v/>
      </c>
      <c r="E788">
        <f>INDEX(FactorTable!$B$2:$Y$301, MATCH(ROUND(MIN(300,MAX(1,D788)),0), FactorTable!$A$2:$A$301,0), Skills!M18+1)</f>
        <v/>
      </c>
      <c r="F788">
        <f>IF(Skills!N18=TRUE,(Skills!L18/10)*(E788/1000),Skills!L18/10)+Skills!O18</f>
        <v/>
      </c>
      <c r="G788">
        <f>Skills!G18*IF(Skills!H18&gt;0,Skills!I18/Skills!H18,1)</f>
        <v/>
      </c>
      <c r="H788">
        <f>1-(1-Skills!J18/100)^Skills!K18</f>
        <v/>
      </c>
      <c r="I788" t="inlineStr">
        <is>
          <t>1</t>
        </is>
      </c>
      <c r="J788" t="inlineStr"/>
      <c r="K788" t="inlineStr"/>
      <c r="L788" t="inlineStr"/>
      <c r="M788" t="inlineStr"/>
      <c r="N788" t="inlineStr"/>
      <c r="O788">
        <f>(1-Summary!$B$11)*T788+Summary!$B$11*V788</f>
        <v/>
      </c>
      <c r="P788">
        <f>IF(B815=0,0,O788/B815)</f>
        <v/>
      </c>
      <c r="Q788" t="n">
        <v>0</v>
      </c>
      <c r="R788" t="n">
        <v>0</v>
      </c>
      <c r="S788">
        <f>IFERROR(O788/N788,0)</f>
        <v/>
      </c>
      <c r="T788" t="n">
        <v>0</v>
      </c>
      <c r="V788" t="n">
        <v>0</v>
      </c>
    </row>
    <row r="789">
      <c r="A789">
        <f>Skills!A19</f>
        <v/>
      </c>
      <c r="B789">
        <f>Skills!B19</f>
        <v/>
      </c>
      <c r="C789">
        <f>TRUE</f>
        <v/>
      </c>
      <c r="D789">
        <f>IF(Skills!C19=1,60+Inputs!$B$25+Inputs!$B$29,IF(Skills!C19=2,90+Inputs!$B$26+Inputs!$B$29,IF(Skills!C19=3,120+Inputs!$B$27+Inputs!$B$29,MAX(0,(Inputs!$B$3-100)*3)+Inputs!$B$28+Inputs!$B$29)))</f>
        <v/>
      </c>
      <c r="E789">
        <f>INDEX(FactorTable!$B$2:$Y$301, MATCH(ROUND(MIN(300,MAX(1,D789)),0), FactorTable!$A$2:$A$301,0), Skills!M19+1)</f>
        <v/>
      </c>
      <c r="F789">
        <f>IF(Skills!N19=TRUE,(Skills!L19/10)*(E789/1000),Skills!L19/10)+Skills!O19</f>
        <v/>
      </c>
      <c r="G789">
        <f>Skills!G19*IF(Skills!H19&gt;0,Skills!I19/Skills!H19,1)</f>
        <v/>
      </c>
      <c r="H789">
        <f>1-(1-Skills!J19/100)^Skills!K19</f>
        <v/>
      </c>
      <c r="I789" t="inlineStr">
        <is>
          <t>1</t>
        </is>
      </c>
      <c r="J789" t="inlineStr"/>
      <c r="K789" t="inlineStr"/>
      <c r="L789" t="inlineStr"/>
      <c r="M789" t="inlineStr"/>
      <c r="N789" t="inlineStr"/>
      <c r="O789">
        <f>(1-Summary!$B$11)*T789+Summary!$B$11*V789</f>
        <v/>
      </c>
      <c r="P789">
        <f>IF(B815=0,0,O789/B815)</f>
        <v/>
      </c>
      <c r="Q789">
        <f>IFERROR(1/IF(Inputs!$B$39="pvp",15,MAX(0.1,Skills!D19-IF(Skills!E19=TRUE,Inputs!$B$32,0))),0)</f>
        <v/>
      </c>
      <c r="R789">
        <f>IF(AND(Inputs!$B$39&lt;&gt;"pvp",Inputs!$B$44&gt;0),IF(Inputs!$B$44&lt;=0,0,(INT(Inputs!$B$44/IF(Inputs!$B$39="pvp",15,MAX(0.1,Skills!D19-IF(Skills!E19=TRUE,Inputs!$B$32,0))))+1)),0)</f>
        <v/>
      </c>
      <c r="S789">
        <f>IFERROR(O789/N789,0)</f>
        <v/>
      </c>
      <c r="T789" t="n">
        <v>0</v>
      </c>
      <c r="V789" t="n">
        <v>0</v>
      </c>
    </row>
    <row r="790">
      <c r="A790">
        <f>Skills!A20</f>
        <v/>
      </c>
      <c r="B790">
        <f>Skills!B20</f>
        <v/>
      </c>
      <c r="C790">
        <f>Inputs!$B$3&gt;=15</f>
        <v/>
      </c>
      <c r="D790">
        <f>IF(Skills!C20=1,60+Inputs!$B$25+Inputs!$B$29,IF(Skills!C20=2,90+Inputs!$B$26+Inputs!$B$29,IF(Skills!C20=3,120+Inputs!$B$27+Inputs!$B$29,MAX(0,(Inputs!$B$3-100)*3)+Inputs!$B$28+Inputs!$B$29)))</f>
        <v/>
      </c>
      <c r="E790">
        <f>INDEX(FactorTable!$B$2:$Y$301, MATCH(ROUND(MIN(300,MAX(1,D790)),0), FactorTable!$A$2:$A$301,0), Skills!M20+1)</f>
        <v/>
      </c>
      <c r="F790">
        <f>IF(Skills!N20=TRUE,(Skills!L20/10)*(E790/1000),Skills!L20/10)+Skills!O20</f>
        <v/>
      </c>
      <c r="G790">
        <f>Skills!G20*IF(Skills!H20&gt;0,Skills!I20/Skills!H20,1)</f>
        <v/>
      </c>
      <c r="H790">
        <f>1-(1-Skills!J20/100)^Skills!K20</f>
        <v/>
      </c>
      <c r="I790" t="inlineStr">
        <is>
          <t>1</t>
        </is>
      </c>
      <c r="J790" t="inlineStr"/>
      <c r="K790" t="inlineStr"/>
      <c r="L790" t="inlineStr"/>
      <c r="M790" t="inlineStr"/>
      <c r="N790" t="inlineStr"/>
      <c r="O790">
        <f>(1-Summary!$B$11)*T790+Summary!$B$11*V790</f>
        <v/>
      </c>
      <c r="P790">
        <f>IF(B815=0,0,O790/B815)</f>
        <v/>
      </c>
      <c r="Q790">
        <f>IFERROR(1/IF(Inputs!$B$39="pvp",15,MAX(0.1,Skills!D20-IF(Skills!E20=TRUE,Inputs!$B$32,0))),0)</f>
        <v/>
      </c>
      <c r="R790">
        <f>IF(AND(Inputs!$B$39&lt;&gt;"pvp",Inputs!$B$44&gt;0),IF(Inputs!$B$44&lt;=0,0,(INT(Inputs!$B$44/IF(Inputs!$B$39="pvp",15,MAX(0.1,Skills!D20-IF(Skills!E20=TRUE,Inputs!$B$32,0))))+1)),0)</f>
        <v/>
      </c>
      <c r="S790">
        <f>IFERROR(O790/N790,0)</f>
        <v/>
      </c>
      <c r="T790" t="n">
        <v>0</v>
      </c>
      <c r="V790" t="n">
        <v>0</v>
      </c>
    </row>
    <row r="791">
      <c r="A791">
        <f>Skills!A21</f>
        <v/>
      </c>
      <c r="B791">
        <f>Skills!B21</f>
        <v/>
      </c>
      <c r="C791">
        <f>Inputs!$B$3&gt;=15</f>
        <v/>
      </c>
      <c r="D791">
        <f>IF(Skills!C21=1,60+Inputs!$B$25+Inputs!$B$29,IF(Skills!C21=2,90+Inputs!$B$26+Inputs!$B$29,IF(Skills!C21=3,120+Inputs!$B$27+Inputs!$B$29,MAX(0,(Inputs!$B$3-100)*3)+Inputs!$B$28+Inputs!$B$29)))</f>
        <v/>
      </c>
      <c r="E791">
        <f>INDEX(FactorTable!$B$2:$Y$301, MATCH(ROUND(MIN(300,MAX(1,D791)),0), FactorTable!$A$2:$A$301,0), Skills!M21+1)</f>
        <v/>
      </c>
      <c r="F791">
        <f>IF(Skills!N21=TRUE,(Skills!L21/10)*(E791/1000),Skills!L21/10)+Skills!O21</f>
        <v/>
      </c>
      <c r="G791">
        <f>Skills!G21*IF(Skills!H21&gt;0,Skills!I21/Skills!H21,1)</f>
        <v/>
      </c>
      <c r="H791">
        <f>1-(1-Skills!J21/100)^Skills!K21</f>
        <v/>
      </c>
      <c r="I791" t="inlineStr">
        <is>
          <t>1</t>
        </is>
      </c>
      <c r="J791" t="inlineStr"/>
      <c r="K791" t="inlineStr"/>
      <c r="L791" t="inlineStr"/>
      <c r="M791" t="inlineStr"/>
      <c r="N791" t="inlineStr"/>
      <c r="O791">
        <f>(1-Summary!$B$11)*T791+Summary!$B$11*V791</f>
        <v/>
      </c>
      <c r="P791">
        <f>IF(B815=0,0,O791/B815)</f>
        <v/>
      </c>
      <c r="Q791">
        <f>IFERROR(1/IF(Inputs!$B$39="pvp",15,MAX(0.1,Skills!D21-IF(Skills!E21=TRUE,Inputs!$B$32,0))),0)</f>
        <v/>
      </c>
      <c r="R791">
        <f>IF(AND(Inputs!$B$39&lt;&gt;"pvp",Inputs!$B$44&gt;0),IF(Inputs!$B$44&lt;=0,0,(INT(Inputs!$B$44/IF(Inputs!$B$39="pvp",15,MAX(0.1,Skills!D21-IF(Skills!E21=TRUE,Inputs!$B$32,0))))+1)),0)</f>
        <v/>
      </c>
      <c r="S791">
        <f>IFERROR(O791/N791,0)</f>
        <v/>
      </c>
      <c r="T791" t="n">
        <v>0</v>
      </c>
      <c r="V791" t="n">
        <v>0</v>
      </c>
    </row>
    <row r="792">
      <c r="A792">
        <f>Skills!A22</f>
        <v/>
      </c>
      <c r="B792">
        <f>Skills!B22</f>
        <v/>
      </c>
      <c r="C792">
        <f>Inputs!$B$3&gt;=33</f>
        <v/>
      </c>
      <c r="D792">
        <f>IF(Skills!C22=1,60+Inputs!$B$25+Inputs!$B$29,IF(Skills!C22=2,90+Inputs!$B$26+Inputs!$B$29,IF(Skills!C22=3,120+Inputs!$B$27+Inputs!$B$29,MAX(0,(Inputs!$B$3-100)*3)+Inputs!$B$28+Inputs!$B$29)))</f>
        <v/>
      </c>
      <c r="E792">
        <f>INDEX(FactorTable!$B$2:$Y$301, MATCH(ROUND(MIN(300,MAX(1,D792)),0), FactorTable!$A$2:$A$301,0), Skills!M22+1)</f>
        <v/>
      </c>
      <c r="F792">
        <f>IF(Skills!N22=TRUE,(Skills!L22/10)*(E792/1000),Skills!L22/10)+Skills!O22</f>
        <v/>
      </c>
      <c r="G792">
        <f>Skills!G22*IF(Skills!H22&gt;0,Skills!I22/Skills!H22,1)</f>
        <v/>
      </c>
      <c r="H792">
        <f>1-(1-Skills!J22/100)^Skills!K22</f>
        <v/>
      </c>
      <c r="I792" t="inlineStr">
        <is>
          <t>1</t>
        </is>
      </c>
      <c r="J792" t="inlineStr"/>
      <c r="K792" t="inlineStr"/>
      <c r="L792" t="inlineStr"/>
      <c r="M792" t="inlineStr"/>
      <c r="N792" t="inlineStr"/>
      <c r="O792">
        <f>(1-Summary!$B$11)*T792+Summary!$B$11*V792</f>
        <v/>
      </c>
      <c r="P792">
        <f>IF(B815=0,0,O792/B815)</f>
        <v/>
      </c>
      <c r="Q792" t="n">
        <v>0</v>
      </c>
      <c r="R792" t="n">
        <v>0</v>
      </c>
      <c r="S792">
        <f>IFERROR(O792/N792,0)</f>
        <v/>
      </c>
      <c r="T792" t="n">
        <v>0</v>
      </c>
      <c r="V792" t="n">
        <v>0</v>
      </c>
    </row>
    <row r="793">
      <c r="A793">
        <f>Skills!A23</f>
        <v/>
      </c>
      <c r="B793">
        <f>Skills!B23</f>
        <v/>
      </c>
      <c r="C793">
        <f>Inputs!$B$3&gt;=40</f>
        <v/>
      </c>
      <c r="D793">
        <f>IF(Skills!C23=1,60+Inputs!$B$25+Inputs!$B$29,IF(Skills!C23=2,90+Inputs!$B$26+Inputs!$B$29,IF(Skills!C23=3,120+Inputs!$B$27+Inputs!$B$29,MAX(0,(Inputs!$B$3-100)*3)+Inputs!$B$28+Inputs!$B$29)))</f>
        <v/>
      </c>
      <c r="E793">
        <f>INDEX(FactorTable!$B$2:$Y$301, MATCH(ROUND(MIN(300,MAX(1,D793)),0), FactorTable!$A$2:$A$301,0), Skills!M23+1)</f>
        <v/>
      </c>
      <c r="F793">
        <f>IF(Skills!N23=TRUE,(Skills!L23/10)*(E793/1000),Skills!L23/10)+Skills!O23</f>
        <v/>
      </c>
      <c r="G793">
        <f>Skills!G23*IF(Skills!H23&gt;0,Skills!I23/Skills!H23,1)</f>
        <v/>
      </c>
      <c r="H793">
        <f>1-(1-Skills!J23/100)^Skills!K23</f>
        <v/>
      </c>
      <c r="I793" t="inlineStr">
        <is>
          <t>1</t>
        </is>
      </c>
      <c r="J793" t="inlineStr"/>
      <c r="K793" t="inlineStr"/>
      <c r="L793" t="inlineStr"/>
      <c r="M793" t="inlineStr"/>
      <c r="N793" t="inlineStr"/>
      <c r="O793">
        <f>(1-Summary!$B$11)*T793+Summary!$B$11*V793</f>
        <v/>
      </c>
      <c r="P793">
        <f>IF(B815=0,0,O793/B815)</f>
        <v/>
      </c>
      <c r="Q793" t="n">
        <v>0</v>
      </c>
      <c r="R793" t="n">
        <v>0</v>
      </c>
      <c r="S793">
        <f>IFERROR(O793/N793,0)</f>
        <v/>
      </c>
      <c r="T793" t="n">
        <v>0</v>
      </c>
      <c r="V793" t="n">
        <v>0</v>
      </c>
    </row>
    <row r="794">
      <c r="A794">
        <f>Skills!A24</f>
        <v/>
      </c>
      <c r="B794">
        <f>Skills!B24</f>
        <v/>
      </c>
      <c r="C794">
        <f>Inputs!$B$3&gt;=43</f>
        <v/>
      </c>
      <c r="D794">
        <f>IF(Skills!C24=1,60+Inputs!$B$25+Inputs!$B$29,IF(Skills!C24=2,90+Inputs!$B$26+Inputs!$B$29,IF(Skills!C24=3,120+Inputs!$B$27+Inputs!$B$29,MAX(0,(Inputs!$B$3-100)*3)+Inputs!$B$28+Inputs!$B$29)))</f>
        <v/>
      </c>
      <c r="E794">
        <f>INDEX(FactorTable!$B$2:$Y$301, MATCH(ROUND(MIN(300,MAX(1,D794)),0), FactorTable!$A$2:$A$301,0), Skills!M24+1)</f>
        <v/>
      </c>
      <c r="F794">
        <f>IF(Skills!N24=TRUE,(Skills!L24/10)*(E794/1000),Skills!L24/10)+Skills!O24</f>
        <v/>
      </c>
      <c r="G794">
        <f>Skills!G24*IF(Skills!H24&gt;0,Skills!I24/Skills!H24,1)</f>
        <v/>
      </c>
      <c r="H794">
        <f>1-(1-Skills!J24/100)^Skills!K24</f>
        <v/>
      </c>
      <c r="I794" t="inlineStr">
        <is>
          <t>1</t>
        </is>
      </c>
      <c r="J794" t="inlineStr"/>
      <c r="K794" t="inlineStr"/>
      <c r="L794" t="inlineStr"/>
      <c r="M794" t="inlineStr"/>
      <c r="N794" t="inlineStr"/>
      <c r="O794">
        <f>(1-Summary!$B$11)*T794+Summary!$B$11*V794</f>
        <v/>
      </c>
      <c r="P794">
        <f>IF(B815=0,0,O794/B815)</f>
        <v/>
      </c>
      <c r="Q794" t="n">
        <v>0</v>
      </c>
      <c r="R794" t="n">
        <v>0</v>
      </c>
      <c r="S794">
        <f>IFERROR(O794/N794,0)</f>
        <v/>
      </c>
      <c r="T794" t="n">
        <v>0</v>
      </c>
      <c r="V794" t="n">
        <v>0</v>
      </c>
    </row>
    <row r="795">
      <c r="A795">
        <f>Skills!A25</f>
        <v/>
      </c>
      <c r="B795">
        <f>Skills!B25</f>
        <v/>
      </c>
      <c r="C795">
        <f>Inputs!$B$3&gt;=50</f>
        <v/>
      </c>
      <c r="D795">
        <f>IF(Skills!C25=1,60+Inputs!$B$25+Inputs!$B$29,IF(Skills!C25=2,90+Inputs!$B$26+Inputs!$B$29,IF(Skills!C25=3,120+Inputs!$B$27+Inputs!$B$29,MAX(0,(Inputs!$B$3-100)*3)+Inputs!$B$28+Inputs!$B$29)))</f>
        <v/>
      </c>
      <c r="E795">
        <f>INDEX(FactorTable!$B$2:$Y$301, MATCH(ROUND(MIN(300,MAX(1,D795)),0), FactorTable!$A$2:$A$301,0), Skills!M25+1)</f>
        <v/>
      </c>
      <c r="F795">
        <f>IF(Skills!N25=TRUE,(Skills!L25/10)*(E795/1000),Skills!L25/10)+Skills!O25</f>
        <v/>
      </c>
      <c r="G795">
        <f>Skills!G25*IF(Skills!H25&gt;0,Skills!I25/Skills!H25,1)</f>
        <v/>
      </c>
      <c r="H795">
        <f>1-(1-Skills!J25/100)^Skills!K25</f>
        <v/>
      </c>
      <c r="I795" t="inlineStr">
        <is>
          <t>1</t>
        </is>
      </c>
      <c r="J795" t="inlineStr"/>
      <c r="K795" t="inlineStr"/>
      <c r="L795" t="inlineStr"/>
      <c r="M795" t="inlineStr"/>
      <c r="N795" t="inlineStr"/>
      <c r="O795">
        <f>(1-Summary!$B$11)*T795+Summary!$B$11*V795</f>
        <v/>
      </c>
      <c r="P795">
        <f>IF(B815=0,0,O795/B815)</f>
        <v/>
      </c>
      <c r="Q795" t="n">
        <v>0</v>
      </c>
      <c r="R795" t="n">
        <v>0</v>
      </c>
      <c r="S795">
        <f>IFERROR(O795/N795,0)</f>
        <v/>
      </c>
      <c r="T795" t="n">
        <v>0</v>
      </c>
      <c r="V795" t="n">
        <v>0</v>
      </c>
    </row>
    <row r="796">
      <c r="A796">
        <f>Skills!A26</f>
        <v/>
      </c>
      <c r="B796">
        <f>Skills!B26</f>
        <v/>
      </c>
      <c r="C796">
        <f>Inputs!$B$3&gt;=50</f>
        <v/>
      </c>
      <c r="D796">
        <f>IF(Skills!C26=1,60+Inputs!$B$25+Inputs!$B$29,IF(Skills!C26=2,90+Inputs!$B$26+Inputs!$B$29,IF(Skills!C26=3,120+Inputs!$B$27+Inputs!$B$29,MAX(0,(Inputs!$B$3-100)*3)+Inputs!$B$28+Inputs!$B$29)))</f>
        <v/>
      </c>
      <c r="E796">
        <f>INDEX(FactorTable!$B$2:$Y$301, MATCH(ROUND(MIN(300,MAX(1,D796)),0), FactorTable!$A$2:$A$301,0), Skills!M26+1)</f>
        <v/>
      </c>
      <c r="F796">
        <f>IF(Skills!N26=TRUE,(Skills!L26/10)*(E796/1000),Skills!L26/10)+Skills!O26</f>
        <v/>
      </c>
      <c r="G796">
        <f>Skills!G26*IF(Skills!H26&gt;0,Skills!I26/Skills!H26,1)</f>
        <v/>
      </c>
      <c r="H796">
        <f>1-(1-Skills!J26/100)^Skills!K26</f>
        <v/>
      </c>
      <c r="I796" t="inlineStr">
        <is>
          <t>1</t>
        </is>
      </c>
      <c r="J796" t="inlineStr"/>
      <c r="K796" t="inlineStr"/>
      <c r="L796" t="inlineStr"/>
      <c r="M796" t="inlineStr"/>
      <c r="N796" t="inlineStr"/>
      <c r="O796">
        <f>(1-Summary!$B$11)*T796+Summary!$B$11*V796</f>
        <v/>
      </c>
      <c r="P796">
        <f>IF(B815=0,0,O796/B815)</f>
        <v/>
      </c>
      <c r="Q796" t="n">
        <v>0</v>
      </c>
      <c r="R796" t="n">
        <v>0</v>
      </c>
      <c r="S796">
        <f>IFERROR(O796/N796,0)</f>
        <v/>
      </c>
      <c r="T796" t="n">
        <v>0</v>
      </c>
      <c r="V796" t="n">
        <v>0</v>
      </c>
    </row>
    <row r="797">
      <c r="A797">
        <f>Skills!A27</f>
        <v/>
      </c>
      <c r="B797">
        <f>Skills!B27</f>
        <v/>
      </c>
      <c r="C797">
        <f>Inputs!$B$3&gt;=38</f>
        <v/>
      </c>
      <c r="D797">
        <f>IF(Skills!C27=1,60+Inputs!$B$25+Inputs!$B$29,IF(Skills!C27=2,90+Inputs!$B$26+Inputs!$B$29,IF(Skills!C27=3,120+Inputs!$B$27+Inputs!$B$29,MAX(0,(Inputs!$B$3-100)*3)+Inputs!$B$28+Inputs!$B$29)))</f>
        <v/>
      </c>
      <c r="E797">
        <f>INDEX(FactorTable!$B$2:$Y$301, MATCH(ROUND(MIN(300,MAX(1,D797)),0), FactorTable!$A$2:$A$301,0), Skills!M27+1)</f>
        <v/>
      </c>
      <c r="F797">
        <f>IF(Skills!N27=TRUE,(Skills!L27/10)*(E797/1000),Skills!L27/10)+Skills!O27</f>
        <v/>
      </c>
      <c r="G797">
        <f>Skills!G27*IF(Skills!H27&gt;0,Skills!I27/Skills!H27,1)</f>
        <v/>
      </c>
      <c r="H797">
        <f>1-(1-Skills!J27/100)^Skills!K27</f>
        <v/>
      </c>
      <c r="I797" t="inlineStr">
        <is>
          <t>1</t>
        </is>
      </c>
      <c r="J797" t="inlineStr"/>
      <c r="K797" t="inlineStr"/>
      <c r="L797" t="inlineStr"/>
      <c r="M797" t="inlineStr"/>
      <c r="N797" t="inlineStr"/>
      <c r="O797">
        <f>(1-Summary!$B$11)*T797+Summary!$B$11*V797</f>
        <v/>
      </c>
      <c r="P797">
        <f>IF(B815=0,0,O797/B815)</f>
        <v/>
      </c>
      <c r="Q797" t="n">
        <v>0</v>
      </c>
      <c r="R797" t="n">
        <v>0</v>
      </c>
      <c r="S797">
        <f>IFERROR(O797/N797,0)</f>
        <v/>
      </c>
      <c r="T797" t="n">
        <v>0</v>
      </c>
      <c r="V797" t="n">
        <v>0</v>
      </c>
    </row>
    <row r="798">
      <c r="A798">
        <f>Skills!A28</f>
        <v/>
      </c>
      <c r="B798">
        <f>Skills!B28</f>
        <v/>
      </c>
      <c r="C798">
        <f>Inputs!$B$3&gt;=120</f>
        <v/>
      </c>
      <c r="D798">
        <f>IF(Skills!C28=1,60+Inputs!$B$25+Inputs!$B$29,IF(Skills!C28=2,90+Inputs!$B$26+Inputs!$B$29,IF(Skills!C28=3,120+Inputs!$B$27+Inputs!$B$29,MAX(0,(Inputs!$B$3-100)*3)+Inputs!$B$28+Inputs!$B$29)))</f>
        <v/>
      </c>
      <c r="E798">
        <f>INDEX(FactorTable!$B$2:$Y$301, MATCH(ROUND(MIN(300,MAX(1,D798)),0), FactorTable!$A$2:$A$301,0), Skills!M28+1)</f>
        <v/>
      </c>
      <c r="F798">
        <f>IF(Skills!N28=TRUE,(Skills!L28/10)*(E798/1000),Skills!L28/10)+Skills!O28</f>
        <v/>
      </c>
      <c r="G798">
        <f>Skills!G28*IF(Skills!H28&gt;0,Skills!I28/Skills!H28,1)</f>
        <v/>
      </c>
      <c r="H798">
        <f>1-(1-Skills!J28/100)^Skills!K28</f>
        <v/>
      </c>
      <c r="I798" t="inlineStr">
        <is>
          <t>1</t>
        </is>
      </c>
      <c r="J798" t="inlineStr"/>
      <c r="K798" t="inlineStr"/>
      <c r="L798" t="inlineStr"/>
      <c r="M798" t="inlineStr"/>
      <c r="N798" t="inlineStr"/>
      <c r="O798">
        <f>(1-Summary!$B$11)*T798+Summary!$B$11*V798</f>
        <v/>
      </c>
      <c r="P798">
        <f>IF(B815=0,0,O798/B815)</f>
        <v/>
      </c>
      <c r="Q798" t="n">
        <v>0</v>
      </c>
      <c r="R798" t="n">
        <v>0</v>
      </c>
      <c r="S798">
        <f>IFERROR(O798/N798,0)</f>
        <v/>
      </c>
      <c r="T798" t="n">
        <v>0</v>
      </c>
      <c r="V798" t="n">
        <v>0</v>
      </c>
    </row>
    <row r="799">
      <c r="A799">
        <f>Skills!A29</f>
        <v/>
      </c>
      <c r="B799">
        <f>Skills!B29</f>
        <v/>
      </c>
      <c r="C799">
        <f>Inputs!$B$3&gt;=120</f>
        <v/>
      </c>
      <c r="D799">
        <f>IF(Skills!C29=1,60+Inputs!$B$25+Inputs!$B$29,IF(Skills!C29=2,90+Inputs!$B$26+Inputs!$B$29,IF(Skills!C29=3,120+Inputs!$B$27+Inputs!$B$29,MAX(0,(Inputs!$B$3-100)*3)+Inputs!$B$28+Inputs!$B$29)))</f>
        <v/>
      </c>
      <c r="E799">
        <f>INDEX(FactorTable!$B$2:$Y$301, MATCH(ROUND(MIN(300,MAX(1,D799)),0), FactorTable!$A$2:$A$301,0), Skills!M29+1)</f>
        <v/>
      </c>
      <c r="F799">
        <f>IF(Skills!N29=TRUE,(Skills!L29/10)*(E799/1000),Skills!L29/10)+Skills!O29</f>
        <v/>
      </c>
      <c r="G799">
        <f>Skills!G29*IF(Skills!H29&gt;0,Skills!I29/Skills!H29,1)</f>
        <v/>
      </c>
      <c r="H799">
        <f>1-(1-Skills!J29/100)^Skills!K29</f>
        <v/>
      </c>
      <c r="I799" t="inlineStr">
        <is>
          <t>1</t>
        </is>
      </c>
      <c r="J799" t="inlineStr"/>
      <c r="K799" t="inlineStr"/>
      <c r="L799" t="inlineStr"/>
      <c r="M799" t="inlineStr"/>
      <c r="N799" t="inlineStr"/>
      <c r="O799">
        <f>(1-Summary!$B$11)*T799+Summary!$B$11*V799</f>
        <v/>
      </c>
      <c r="P799">
        <f>IF(B815=0,0,O799/B815)</f>
        <v/>
      </c>
      <c r="Q799" t="n">
        <v>0</v>
      </c>
      <c r="R799" t="n">
        <v>0</v>
      </c>
      <c r="S799">
        <f>IFERROR(O799/N799,0)</f>
        <v/>
      </c>
      <c r="T799" t="n">
        <v>0</v>
      </c>
      <c r="V799" t="n">
        <v>0</v>
      </c>
    </row>
    <row r="800">
      <c r="A800">
        <f>Skills!A30</f>
        <v/>
      </c>
      <c r="B800">
        <f>Skills!B30</f>
        <v/>
      </c>
      <c r="C800">
        <f>Inputs!$B$3&gt;=125</f>
        <v/>
      </c>
      <c r="D800">
        <f>IF(Skills!C30=1,60+Inputs!$B$25+Inputs!$B$29,IF(Skills!C30=2,90+Inputs!$B$26+Inputs!$B$29,IF(Skills!C30=3,120+Inputs!$B$27+Inputs!$B$29,MAX(0,(Inputs!$B$3-100)*3)+Inputs!$B$28+Inputs!$B$29)))</f>
        <v/>
      </c>
      <c r="E800">
        <f>INDEX(FactorTable!$B$2:$Y$301, MATCH(ROUND(MIN(300,MAX(1,D800)),0), FactorTable!$A$2:$A$301,0), Skills!M30+1)</f>
        <v/>
      </c>
      <c r="F800">
        <f>IF(Skills!N30=TRUE,(Skills!L30/10)*(E800/1000),Skills!L30/10)+Skills!O30</f>
        <v/>
      </c>
      <c r="G800">
        <f>Skills!G30*IF(Skills!H30&gt;0,Skills!I30/Skills!H30,1)</f>
        <v/>
      </c>
      <c r="H800">
        <f>1-(1-Skills!J30/100)^Skills!K30</f>
        <v/>
      </c>
      <c r="I800" t="inlineStr">
        <is>
          <t>1</t>
        </is>
      </c>
      <c r="J800" t="inlineStr"/>
      <c r="K800" t="inlineStr"/>
      <c r="L800" t="inlineStr"/>
      <c r="M800" t="inlineStr"/>
      <c r="N800" t="inlineStr"/>
      <c r="O800">
        <f>(1-Summary!$B$11)*T800+Summary!$B$11*V800</f>
        <v/>
      </c>
      <c r="P800">
        <f>IF(B815=0,0,O800/B815)</f>
        <v/>
      </c>
      <c r="Q800" t="n">
        <v>0</v>
      </c>
      <c r="R800" t="n">
        <v>0</v>
      </c>
      <c r="S800">
        <f>IFERROR(O800/N800,0)</f>
        <v/>
      </c>
      <c r="T800" t="n">
        <v>0</v>
      </c>
      <c r="V800" t="n">
        <v>0</v>
      </c>
    </row>
    <row r="802">
      <c r="A802" t="inlineStr">
        <is>
          <t>Average Buff Multiplier</t>
        </is>
      </c>
      <c r="B802">
        <f>(1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f>
        <v/>
      </c>
    </row>
    <row r="803">
      <c r="A803" t="inlineStr">
        <is>
          <t>Global Crit Rate Bonus %</t>
        </is>
      </c>
      <c r="B803">
        <f>((C790=TRUE)*F790*IF(AND(Inputs!$B$39&lt;&gt;"pvp",Inputs!$B$44&gt;0),(((R790-1)*(Skills!Y20*(1+Inputs!$B$34/100))+MIN((Skills!Y20*(1+Inputs!$B$34/100)),MAX(0,Inputs!$B$44-((R790-1)*Skills!D20))))/Inputs!$B$44),IF(Inputs!$B$39="pvp",MIN((Skills!Y20*(1+Inputs!$B$34/100)),15)/15,(Skills!Y20*(1+Inputs!$B$34/100))/Skills!D20)))</f>
        <v/>
      </c>
    </row>
    <row r="804">
      <c r="A804" t="inlineStr">
        <is>
          <t>Global Monster Damage-Taken Bonus %</t>
        </is>
      </c>
      <c r="B804">
        <f>IF(Inputs!$B$3&gt;=82,15,0)</f>
        <v/>
      </c>
    </row>
    <row r="805">
      <c r="A805" t="inlineStr">
        <is>
          <t>Shadow Partner Average Multiplier</t>
        </is>
      </c>
      <c r="B805">
        <f>1+((C777=TRUE)*F777*(1+3.3333333333333335*IF(C788=TRUE,F788,0)/100)*I777*Skills!J7/100)/100</f>
        <v/>
      </c>
    </row>
    <row r="806">
      <c r="A806" t="inlineStr">
        <is>
          <t>Attack Speed Buff Bonus %</t>
        </is>
      </c>
      <c r="B806">
        <f>((C789=TRUE)*F789*IF(AND(Inputs!$B$39&lt;&gt;"pvp",Inputs!$B$44&gt;0),(((R789-1)*(Skills!Y19*(1+Inputs!$B$34/100))+MIN((Skills!Y19*(1+Inputs!$B$34/100)),MAX(0,Inputs!$B$44-((R789-1)*Skills!D19))))/Inputs!$B$44),IF(Inputs!$B$39="pvp",MIN((Skills!Y19*(1+Inputs!$B$34/100)),15)/15,(Skills!Y19*(1+Inputs!$B$34/100))/Skills!D19)))+((C773=TRUE)*F773*3)</f>
        <v/>
      </c>
    </row>
    <row r="807">
      <c r="A807" t="inlineStr">
        <is>
          <t>Actions Per Second</t>
        </is>
      </c>
      <c r="B807">
        <f>1+MIN(150,150*(1-(1-(Inputs!$B$11+((C792=TRUE)*(F792-Calc!F22)))/150)*(1-B806/150)))/100</f>
        <v/>
      </c>
    </row>
    <row r="808">
      <c r="A808" t="inlineStr">
        <is>
          <t>Skill + Buff Cast Rate</t>
        </is>
      </c>
      <c r="B808">
        <f>IF(AND(Inputs!$B$39&lt;&gt;"pvp",Inputs!$B$44&gt;0),SUMPRODUCT((Skills!E2:E30=TRUE)*(C772:C800=TRUE)*R772:R800*Skills!F2:F30)/Inputs!$B$44,SUMPRODUCT((Skills!E2:E30=TRUE)*(C772:C800=TRUE)*Q772:Q800*Skills!F2:F30))</f>
        <v/>
      </c>
    </row>
    <row r="809">
      <c r="A809" t="inlineStr">
        <is>
          <t>Cruel Stab Casts Per Second</t>
        </is>
      </c>
      <c r="B809">
        <f>MAX(0,B807-B808)</f>
        <v/>
      </c>
    </row>
    <row r="810">
      <c r="A810" t="inlineStr">
        <is>
          <t>Global Critical Damage Bonus % (Smokescreen Mastery Lv.113)</t>
        </is>
      </c>
      <c r="B810">
        <f>IF(Inputs!$B$3&gt;=113,30,0)*IF(AND(Inputs!$B$39&lt;&gt;"pvp",Inputs!$B$44&gt;0),(((R785-1)*(Skills!Y15*(1+Inputs!$B$34/100))+MIN((Skills!Y15*(1+Inputs!$B$34/100)),MAX(0,Inputs!$B$44-((R785-1)*Skills!D15))))/Inputs!$B$44),IF(Inputs!$B$39="pvp",MIN((Skills!Y15*(1+Inputs!$B$34/100)),15)/15,(Skills!Y15*(1+Inputs!$B$34/100))/Skills!D15))</f>
        <v/>
      </c>
    </row>
    <row r="811">
      <c r="A811" t="inlineStr">
        <is>
          <t>Meso Explosion average stack count</t>
        </is>
      </c>
      <c r="B811">
        <f>MIN(10,0.5*B807*Skills!D4)</f>
        <v/>
      </c>
    </row>
    <row r="812">
      <c r="A812" t="inlineStr">
        <is>
          <t>Blood Money average stack count</t>
        </is>
      </c>
      <c r="B812">
        <f>MIN(5,0.25*B807*Skills!D4)</f>
        <v/>
      </c>
    </row>
    <row r="813">
      <c r="A813" t="inlineStr">
        <is>
          <t>Assassinate Murderous Intent Multiplier</t>
        </is>
      </c>
      <c r="B813">
        <f>1+IFERROR(MIN(1,Q784*2/Q781),0)</f>
        <v/>
      </c>
    </row>
    <row r="814">
      <c r="A814" t="inlineStr">
        <is>
          <t>Buff-Casting Startup Delay (s, fixed-duration only)</t>
        </is>
      </c>
      <c r="B814">
        <f>IF(AND(Inputs!$B$39&lt;&gt;"pvp",Inputs!$B$44&gt;0),SUMPRODUCT((Skills!Y2:Y30&gt;0)*(Skills!E2:E30=TRUE)*(C772:C800=TRUE))/B807,0)</f>
        <v/>
      </c>
    </row>
    <row r="815">
      <c r="A815" s="6" t="inlineStr">
        <is>
          <t>TOTAL DPS</t>
        </is>
      </c>
      <c r="B815" s="6">
        <f>SUM(O772:O800)</f>
        <v/>
      </c>
    </row>
    <row r="816">
      <c r="A816" t="inlineStr">
        <is>
          <t>Boss-Only Total DPS (this block's swept value)</t>
        </is>
      </c>
      <c r="B816">
        <f>SUM(T772:T800)</f>
        <v/>
      </c>
    </row>
    <row r="817">
      <c r="A817" t="inlineStr">
        <is>
          <t>Normal-Only Total DPS (this block's swept value)</t>
        </is>
      </c>
      <c r="B817">
        <f>SUM(V772:V800)</f>
        <v/>
      </c>
    </row>
    <row r="820">
      <c r="A820" s="6" t="inlineStr">
        <is>
          <t>Stat: SKILL_DAMAGE %</t>
        </is>
      </c>
    </row>
    <row r="821">
      <c r="A821" s="5" t="inlineStr">
        <is>
          <t>Key</t>
        </is>
      </c>
      <c r="B821" s="5" t="inlineStr">
        <is>
          <t>Name</t>
        </is>
      </c>
      <c r="C821" s="5" t="inlineStr">
        <is>
          <t>Unlocked</t>
        </is>
      </c>
      <c r="D821" s="5" t="inlineStr">
        <is>
          <t>InputLevel</t>
        </is>
      </c>
      <c r="E821" s="5" t="inlineStr">
        <is>
          <t>Factor</t>
        </is>
      </c>
      <c r="F821" s="5" t="inlineStr">
        <is>
          <t>CoefficientPercent</t>
        </is>
      </c>
      <c r="G821" s="5" t="inlineStr">
        <is>
          <t>EffectiveHits</t>
        </is>
      </c>
      <c r="H821" s="5" t="inlineStr">
        <is>
          <t>ProcProbability</t>
        </is>
      </c>
      <c r="I821" s="5" t="inlineStr">
        <is>
          <t>MapleHeroMultiplier</t>
        </is>
      </c>
      <c r="J821" s="5" t="inlineStr">
        <is>
          <t>BaseDamage</t>
        </is>
      </c>
      <c r="K821" s="5" t="inlineStr">
        <is>
          <t>BaseHitDamage</t>
        </is>
      </c>
      <c r="L821" s="5" t="inlineStr">
        <is>
          <t>NonCritAvg</t>
        </is>
      </c>
      <c r="M821" s="5" t="inlineStr">
        <is>
          <t>CritAvg</t>
        </is>
      </c>
      <c r="N821" s="5" t="inlineStr">
        <is>
          <t>ExpectedDamage(perHit)</t>
        </is>
      </c>
      <c r="O821" s="5" t="inlineStr">
        <is>
          <t>DPS</t>
        </is>
      </c>
      <c r="P821" s="5" t="inlineStr">
        <is>
          <t>% of Total</t>
        </is>
      </c>
      <c r="Q821" s="5" t="inlineStr">
        <is>
          <t>InvCooldown</t>
        </is>
      </c>
      <c r="R821" s="5" t="inlineStr">
        <is>
          <t>CastsInFight</t>
        </is>
      </c>
      <c r="S821" s="5" t="inlineStr">
        <is>
          <t>HitRate(perSec)</t>
        </is>
      </c>
      <c r="U821" t="inlineStr">
        <is>
          <t>helpers</t>
        </is>
      </c>
    </row>
    <row r="822">
      <c r="A822">
        <f>Skills!A2</f>
        <v/>
      </c>
      <c r="B822">
        <f>Skills!B2</f>
        <v/>
      </c>
      <c r="C822">
        <f>Inputs!$B$3&gt;=100</f>
        <v/>
      </c>
      <c r="D822" t="inlineStr"/>
      <c r="E822" t="inlineStr"/>
      <c r="F822">
        <f>U824+Skills!O2</f>
        <v/>
      </c>
      <c r="G822">
        <f>Skills!G2*IF(Skills!H2&gt;0,Skills!I2/Skills!H2,1)</f>
        <v/>
      </c>
      <c r="H822">
        <f>1-(1-Skills!J2/100)^Skills!K2</f>
        <v/>
      </c>
      <c r="I822" t="inlineStr">
        <is>
          <t>1</t>
        </is>
      </c>
      <c r="J822">
        <f>((Inputs!$B$6*(1+Inputs!$B$7/100))+(((Inputs!$B$12*(1+Inputs!$B$13/100))-(Inputs!$B$12*(1+Inputs!$B$13/100)))+0.25*(Inputs!$B$14-Inputs!$B$14))*(1+Inputs!$B$7/100))*(F822/100)</f>
        <v/>
      </c>
      <c r="K822">
        <f>J822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822)</f>
        <v/>
      </c>
      <c r="L822">
        <f>K822*(MIN(Inputs!$B$22+((C844=TRUE)*(F844-Calc!F24)),(Inputs!$B$23+((C849=TRUE)*(F849-Calc!F29))+IF(ArtifactsInput!$M$15,CHOOSE(ArtifactsInput!$N$15+1,25,30,35,40,45,50)/100*(Inputs!$B$11-Inputs!$B$11),0)))/100+(Inputs!$B$23+((C849=TRUE)*(F849-Calc!F29))+IF(ArtifactsInput!$M$15,CHOOSE(ArtifactsInput!$N$15+1,25,30,35,40,45,50)/100*(Inputs!$B$11-Inputs!$B$11),0))/100)/2</f>
        <v/>
      </c>
      <c r="M822">
        <f>L822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2">
        <f>L822*(1-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822*(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2">
        <f>(1-Summary!$B$11)*T822+Summary!$B$11*V822</f>
        <v/>
      </c>
      <c r="P822">
        <f>IF(B865=0,0,O822/B865)</f>
        <v/>
      </c>
      <c r="Q822" t="n">
        <v>0</v>
      </c>
      <c r="R822" t="n">
        <v>0</v>
      </c>
      <c r="S822">
        <f>IFERROR(O822/N822,0)</f>
        <v/>
      </c>
      <c r="T822">
        <f>IF(C822,(Skills!G2*N822*B859)*IF(Inputs!$B$39="pvp",1,1+(Inputs!$B$20+0+Skills!P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822*(1-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822*(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822*(1-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822*(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2">
        <f>MAX(0,(Inputs!$B$3-100)*3)+Inputs!$B$28+Inputs!$B$29</f>
        <v/>
      </c>
      <c r="V822">
        <f>IF(C822,(Skills!G2*N822*B859)*IF(Inputs!$B$39="pvp",1,(1+(Inputs!$B$21+Skills!Q2+B854+(IF(ArtifactsInput!$M$33,CHOOSE(ArtifactsInput!$N$33+1,30,36,42,48,54,60),0))+(IF(AND(ArtifactsInput!$M$35,Inputs!$B$4&lt;&gt;"Chapter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3">
      <c r="A823">
        <f>Skills!A3</f>
        <v/>
      </c>
      <c r="B823">
        <f>Skills!B3</f>
        <v/>
      </c>
      <c r="C823">
        <f>Inputs!$B$3&gt;=35</f>
        <v/>
      </c>
      <c r="D823">
        <f>IF(Skills!C3=1,60+Inputs!$B$25+Inputs!$B$29,IF(Skills!C3=2,90+Inputs!$B$26+Inputs!$B$29,IF(Skills!C3=3,120+Inputs!$B$27+Inputs!$B$29,MAX(0,(Inputs!$B$3-100)*3)+Inputs!$B$28+Inputs!$B$29)))</f>
        <v/>
      </c>
      <c r="E823">
        <f>INDEX(FactorTable!$B$2:$Y$301, MATCH(ROUND(MIN(300,MAX(1,D823)),0), FactorTable!$A$2:$A$301,0), Skills!M3+1)</f>
        <v/>
      </c>
      <c r="F823">
        <f>IF(Skills!N3=TRUE,(Skills!L3/10)*(E823/1000),Skills!L3/10)+Skills!O3</f>
        <v/>
      </c>
      <c r="G823">
        <f>Skills!G3*IF(Skills!H3&gt;0,Skills!I3/Skills!H3,1)</f>
        <v/>
      </c>
      <c r="H823">
        <f>1-(1-Skills!J3/100)^Skills!K3</f>
        <v/>
      </c>
      <c r="I823" t="inlineStr">
        <is>
          <t>1</t>
        </is>
      </c>
      <c r="J823" t="inlineStr"/>
      <c r="K823" t="inlineStr"/>
      <c r="L823" t="inlineStr"/>
      <c r="M823" t="inlineStr"/>
      <c r="N823" t="inlineStr"/>
      <c r="O823">
        <f>(1-Summary!$B$11)*T823+Summary!$B$11*V823</f>
        <v/>
      </c>
      <c r="P823">
        <f>IF(B865=0,0,O823/B865)</f>
        <v/>
      </c>
      <c r="Q823" t="n">
        <v>0</v>
      </c>
      <c r="R823" t="n">
        <v>0</v>
      </c>
      <c r="S823">
        <f>IFERROR(O823/N823,0)</f>
        <v/>
      </c>
      <c r="T823" t="n">
        <v>0</v>
      </c>
      <c r="U823">
        <f>INDEX(FactorTable!$B$2:$Y$301, MATCH(ROUND(MIN(300,MAX(1,U822)),0), FactorTable!$A$2:$A$301,0), 22)</f>
        <v/>
      </c>
      <c r="V823" t="n">
        <v>0</v>
      </c>
    </row>
    <row r="824">
      <c r="A824">
        <f>Skills!A4</f>
        <v/>
      </c>
      <c r="B824">
        <f>Skills!B4</f>
        <v/>
      </c>
      <c r="C824">
        <f>Inputs!$B$3&gt;=66</f>
        <v/>
      </c>
      <c r="D824">
        <f>IF(Skills!C4=1,60+Inputs!$B$25+Inputs!$B$29,IF(Skills!C4=2,90+Inputs!$B$26+Inputs!$B$29,IF(Skills!C4=3,120+Inputs!$B$27+Inputs!$B$29,MAX(0,(Inputs!$B$3-100)*3)+Inputs!$B$28+Inputs!$B$29)))</f>
        <v/>
      </c>
      <c r="E824">
        <f>INDEX(FactorTable!$B$2:$Y$301, MATCH(ROUND(MIN(300,MAX(1,D824)),0), FactorTable!$A$2:$A$301,0), Skills!M4+1)</f>
        <v/>
      </c>
      <c r="F824">
        <f>IF(Skills!N4=TRUE,(Skills!L4/10)*(E824/1000),Skills!L4/10)+Skills!O4</f>
        <v/>
      </c>
      <c r="G824">
        <f>Skills!G4*IF(Skills!H4&gt;0,Skills!I4/Skills!H4,1)</f>
        <v/>
      </c>
      <c r="H824">
        <f>1-(1-Skills!J4/100)^Skills!K4</f>
        <v/>
      </c>
      <c r="I824" t="inlineStr">
        <is>
          <t>1</t>
        </is>
      </c>
      <c r="J824">
        <f>((Inputs!$B$6*(1+Inputs!$B$7/100))+(((Inputs!$B$12*(1+Inputs!$B$13/100))-(Inputs!$B$12*(1+Inputs!$B$13/100)))+0.25*(Inputs!$B$14-Inputs!$B$14))*(1+Inputs!$B$7/100))*(F824/100)</f>
        <v/>
      </c>
      <c r="K824">
        <f>J824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824)</f>
        <v/>
      </c>
      <c r="L824">
        <f>K824*(MIN(Inputs!$B$22+((C844=TRUE)*(F844-Calc!F24)),(Inputs!$B$23+((C849=TRUE)*(F849-Calc!F29))+IF(ArtifactsInput!$M$15,CHOOSE(ArtifactsInput!$N$15+1,25,30,35,40,45,50)/100*(Inputs!$B$11-Inputs!$B$11),0)))/100+(Inputs!$B$23+((C849=TRUE)*(F849-Calc!F29))+IF(ArtifactsInput!$M$15,CHOOSE(ArtifactsInput!$N$15+1,25,30,35,40,45,50)/100*(Inputs!$B$11-Inputs!$B$11),0))/100)/2</f>
        <v/>
      </c>
      <c r="M824">
        <f>L824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IF(B865=0,0,O824/B865)</f>
        <v/>
      </c>
      <c r="Q824">
        <f>IFERROR(1/IF(Inputs!$B$39="pvp",15,MAX(0.1,Skills!D4-IF(Skills!E4=TRUE,Inputs!$B$32,0))),0)</f>
        <v/>
      </c>
      <c r="R824">
        <f>IF(AND(Inputs!$B$39&lt;&gt;"pvp",Inputs!$B$44&gt;0),IF(MAX(0,Inputs!$B$44-B864)&lt;=0,0,(INT(MAX(0,Inputs!$B$44-B864)/IF(Inputs!$B$39="pvp",15,MAX(0.1,Skills!D4-IF(Skills!E4=TRUE,Inputs!$B$32,0))))+1)),0)</f>
        <v/>
      </c>
      <c r="S824">
        <f>IFERROR(O824/N824,0)</f>
        <v/>
      </c>
      <c r="T824">
        <f>IF(C824,(H824*N824*IF(AND(Inputs!$B$39&lt;&gt;"pvp",Inputs!$B$44&gt;0),((Skills!G4*((R824-1)*IF(Skills!H4&gt;0,Skills!I4/Skills!H4,1)+IF(Skills!H4&gt;0,MIN(Skills!I4,MAX(0,MAX(0,Inputs!$B$44-B864)-((R824-1)*IF(Inputs!$B$39="pvp",15,MAX(0.1,Skills!D4-IF(Skills!E4=TRUE,Inputs!$B$32,0))))))/Skills!H4,1)))/Inputs!$B$44),G824*Q824))*IF(Inputs!$B$39="pvp",1,1+(Inputs!$B$20+0+Skills!P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824*(1-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4">
        <f>290*U823/1000</f>
        <v/>
      </c>
      <c r="V824">
        <f>IF(C824,(H824*N824*IF(AND(Inputs!$B$39&lt;&gt;"pvp",Inputs!$B$44&gt;0),((Skills!G4*((R824-1)*IF(Skills!H4&gt;0,Skills!I4/Skills!H4,1)+IF(Skills!H4&gt;0,MIN(Skills!I4,MAX(0,MAX(0,Inputs!$B$44-B864)-((R824-1)*IF(Inputs!$B$39="pvp",15,MAX(0.1,Skills!D4-IF(Skills!E4=TRUE,Inputs!$B$32,0))))))/Skills!H4,1)))/Inputs!$B$44),G824*Q824))*IF(Inputs!$B$39="pvp",1,(1+(Inputs!$B$21+Skills!Q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(10,0.5*B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Skills!A5</f>
        <v/>
      </c>
      <c r="B825">
        <f>Skills!B5</f>
        <v/>
      </c>
      <c r="C825">
        <f>Inputs!$B$3&gt;=63</f>
        <v/>
      </c>
      <c r="D825">
        <f>IF(Skills!C5=1,60+Inputs!$B$25+Inputs!$B$29,IF(Skills!C5=2,90+Inputs!$B$26+Inputs!$B$29,IF(Skills!C5=3,120+Inputs!$B$27+Inputs!$B$29,MAX(0,(Inputs!$B$3-100)*3)+Inputs!$B$28+Inputs!$B$29)))</f>
        <v/>
      </c>
      <c r="E825">
        <f>INDEX(FactorTable!$B$2:$Y$301, MATCH(ROUND(MIN(300,MAX(1,D825)),0), FactorTable!$A$2:$A$301,0), Skills!M5+1)</f>
        <v/>
      </c>
      <c r="F825">
        <f>IF(Skills!N5=TRUE,(Skills!L5/10)*(E825/1000),Skills!L5/10)+Skills!O5</f>
        <v/>
      </c>
      <c r="G825">
        <f>Skills!G5*IF(Skills!H5&gt;0,Skills!I5/Skills!H5,1)</f>
        <v/>
      </c>
      <c r="H825">
        <f>1-(1-Skills!J5/100)^Skills!K5</f>
        <v/>
      </c>
      <c r="I825" t="inlineStr">
        <is>
          <t>1</t>
        </is>
      </c>
      <c r="J825">
        <f>((Inputs!$B$6*(1+Inputs!$B$7/100))+(((Inputs!$B$12*(1+Inputs!$B$13/100))-(Inputs!$B$12*(1+Inputs!$B$13/100)))+0.25*(Inputs!$B$14-Inputs!$B$14))*(1+Inputs!$B$7/100))*(F825/100)</f>
        <v/>
      </c>
      <c r="K825">
        <f>J825*(1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838=TRUE,F838,0)/100)*(1+(IF(Skills!A5="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825)</f>
        <v/>
      </c>
      <c r="L825">
        <f>K825*(MIN(Inputs!$B$22+((C844=TRUE)*(F844-Calc!F24)),(Inputs!$B$23+((C849=TRUE)*(F849-Calc!F29))+IF(ArtifactsInput!$M$15,CHOOSE(ArtifactsInput!$N$15+1,25,30,35,40,45,50)/100*(Inputs!$B$11-Inputs!$B$11),0)))/100+(Inputs!$B$23+((C849=TRUE)*(F849-Calc!F29))+IF(ArtifactsInput!$M$15,CHOOSE(ArtifactsInput!$N$15+1,25,30,35,40,45,50)/100*(Inputs!$B$11-Inputs!$B$11),0))/100)/2</f>
        <v/>
      </c>
      <c r="M825">
        <f>L825*(1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5">
        <f>L825*(1-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825*(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5">
        <f>(1-Summary!$B$11)*T825+Summary!$B$11*V825</f>
        <v/>
      </c>
      <c r="P825">
        <f>IF(B865=0,0,O825/B865)</f>
        <v/>
      </c>
      <c r="Q825">
        <f>IFERROR(1/IF(Inputs!$B$39="pvp",15,MAX(0.1,Skills!D5-IF(Skills!E5=TRUE,Inputs!$B$32,0))),0)</f>
        <v/>
      </c>
      <c r="R825">
        <f>IF(AND(Inputs!$B$39&lt;&gt;"pvp",Inputs!$B$44&gt;0),IF(MAX(0,Inputs!$B$44-B864)&lt;=0,0,(INT(MAX(0,Inputs!$B$44-B864)/IF(Inputs!$B$39="pvp",15,MAX(0.1,Skills!D5-IF(Skills!E5=TRUE,Inputs!$B$32,0))))+1)),0)</f>
        <v/>
      </c>
      <c r="S825">
        <f>IFERROR(O825/N825,0)</f>
        <v/>
      </c>
      <c r="T825">
        <f>IF(C825,(H825*N825*IF(AND(Inputs!$B$39&lt;&gt;"pvp",Inputs!$B$44&gt;0),((Skills!G5*((R825-1)*IF(Skills!H5&gt;0,Skills!I5/Skills!H5,1)+IF(Skills!H5&gt;0,MIN(Skills!I5,MAX(0,MAX(0,Inputs!$B$44-B864)-((R825-1)*IF(Inputs!$B$39="pvp",15,MAX(0.1,Skills!D5-IF(Skills!E5=TRUE,Inputs!$B$32,0))))))/Skills!H5,1)))/Inputs!$B$44),G825*Q825))*IF(Inputs!$B$39="pvp",1,1+(Inputs!$B$20+0+Skills!P5+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825*(1-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825*(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825*(1-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825*(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5">
        <f>IF(C825,(H825*N825*IF(AND(Inputs!$B$39&lt;&gt;"pvp",Inputs!$B$44&gt;0),((Skills!G5*((R825-1)*IF(Skills!H5&gt;0,Skills!I5/Skills!H5,1)+IF(Skills!H5&gt;0,MIN(Skills!I5,MAX(0,MAX(0,Inputs!$B$44-B864)-((R825-1)*IF(Inputs!$B$39="pvp",15,MAX(0.1,Skills!D5-IF(Skills!E5=TRUE,Inputs!$B$32,0))))))/Skills!H5,1)))/Inputs!$B$44),G825*Q825))*IF(Inputs!$B$39="pvp",1,(1+(Inputs!$B$21+Skills!Q5+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6">
      <c r="A826">
        <f>Skills!A6</f>
        <v/>
      </c>
      <c r="B826">
        <f>Skills!B6</f>
        <v/>
      </c>
      <c r="C826">
        <f>Inputs!$B$3&gt;=69</f>
        <v/>
      </c>
      <c r="D826">
        <f>IF(Skills!C6=1,60+Inputs!$B$25+Inputs!$B$29,IF(Skills!C6=2,90+Inputs!$B$26+Inputs!$B$29,IF(Skills!C6=3,120+Inputs!$B$27+Inputs!$B$29,MAX(0,(Inputs!$B$3-100)*3)+Inputs!$B$28+Inputs!$B$29)))</f>
        <v/>
      </c>
      <c r="E826">
        <f>INDEX(FactorTable!$B$2:$Y$301, MATCH(ROUND(MIN(300,MAX(1,D826)),0), FactorTable!$A$2:$A$301,0), Skills!M6+1)</f>
        <v/>
      </c>
      <c r="F826">
        <f>IF(Skills!N6=TRUE,(Skills!L6/10)*(E826/1000),Skills!L6/10)+Skills!O6</f>
        <v/>
      </c>
      <c r="G826">
        <f>Skills!G6*IF(Skills!H6&gt;0,Skills!I6/Skills!H6,1)</f>
        <v/>
      </c>
      <c r="H826">
        <f>1-(1-Skills!J6/100)^Skills!K6</f>
        <v/>
      </c>
      <c r="I826" t="inlineStr">
        <is>
          <t>1</t>
        </is>
      </c>
      <c r="J826">
        <f>((Inputs!$B$6*(1+Inputs!$B$7/100))+(((Inputs!$B$12*(1+Inputs!$B$13/100))-(Inputs!$B$12*(1+Inputs!$B$13/100)))+0.25*(Inputs!$B$14-Inputs!$B$14))*(1+Inputs!$B$7/100))*(F826/100)</f>
        <v/>
      </c>
      <c r="K826">
        <f>J826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838=TRUE,F838,0)/100)*(1+(IF(Skills!A6="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826)</f>
        <v/>
      </c>
      <c r="L826">
        <f>K826*(MIN(Inputs!$B$22+((C844=TRUE)*(F844-Calc!F24)),(Inputs!$B$23+((C849=TRUE)*(F849-Calc!F29))+IF(ArtifactsInput!$M$15,CHOOSE(ArtifactsInput!$N$15+1,25,30,35,40,45,50)/100*(Inputs!$B$11-Inputs!$B$11),0)))/100+(Inputs!$B$23+((C849=TRUE)*(F849-Calc!F29))+IF(ArtifactsInput!$M$15,CHOOSE(ArtifactsInput!$N$15+1,25,30,35,40,45,50)/100*(Inputs!$B$11-Inputs!$B$11),0))/100)/2</f>
        <v/>
      </c>
      <c r="M826">
        <f>L826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6">
        <f>L826*(1-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826*(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6">
        <f>(1-Summary!$B$11)*T826+Summary!$B$11*V826</f>
        <v/>
      </c>
      <c r="P826">
        <f>IF(B865=0,0,O826/B865)</f>
        <v/>
      </c>
      <c r="Q826">
        <f>IFERROR(1/IF(Inputs!$B$39="pvp",15,MAX(0.1,Skills!D6-IF(Skills!E6=TRUE,Inputs!$B$32,0))),0)</f>
        <v/>
      </c>
      <c r="R826">
        <f>IF(AND(Inputs!$B$39&lt;&gt;"pvp",Inputs!$B$44&gt;0),IF(MAX(0,Inputs!$B$44-B864)&lt;=0,0,(INT(MAX(0,Inputs!$B$44-B864)/IF(Inputs!$B$39="pvp",15,MAX(0.1,Skills!D6-IF(Skills!E6=TRUE,Inputs!$B$32,0))))+1)),0)</f>
        <v/>
      </c>
      <c r="S826">
        <f>IFERROR(O826/N826,0)</f>
        <v/>
      </c>
      <c r="T826">
        <f>IF(C826,(H826*N826*IF(AND(Inputs!$B$39&lt;&gt;"pvp",Inputs!$B$44&gt;0),((Skills!G6*((R826-1)*IF(Skills!H6&gt;0,Skills!I6/Skills!H6,1)+IF(Skills!H6&gt;0,MIN(Skills!I6,MAX(0,MAX(0,Inputs!$B$44-B864)-((R826-1)*IF(Inputs!$B$39="pvp",15,MAX(0.1,Skills!D6-IF(Skills!E6=TRUE,Inputs!$B$32,0))))))/Skills!H6,1)))/Inputs!$B$44),G826*Q826))*IF(Inputs!$B$39="pvp",1,1+(Inputs!$B$20+0+Skills!P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826*(1-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826*(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826*(1-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826*(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6">
        <f>IF(C826,(H826*N826*IF(AND(Inputs!$B$39&lt;&gt;"pvp",Inputs!$B$44&gt;0),((Skills!G6*((R826-1)*IF(Skills!H6&gt;0,Skills!I6/Skills!H6,1)+IF(Skills!H6&gt;0,MIN(Skills!I6,MAX(0,MAX(0,Inputs!$B$44-B864)-((R826-1)*IF(Inputs!$B$39="pvp",15,MAX(0.1,Skills!D6-IF(Skills!E6=TRUE,Inputs!$B$32,0))))))/Skills!H6,1)))/Inputs!$B$44),G826*Q826))*IF(Inputs!$B$39="pvp",1,(1+(Inputs!$B$21+Skills!Q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7">
      <c r="A827">
        <f>Skills!A7</f>
        <v/>
      </c>
      <c r="B827">
        <f>Skills!B7</f>
        <v/>
      </c>
      <c r="C827">
        <f>Inputs!$B$3&gt;=60</f>
        <v/>
      </c>
      <c r="D827">
        <f>IF(Skills!C7=1,60+Inputs!$B$25+Inputs!$B$29,IF(Skills!C7=2,90+Inputs!$B$26+Inputs!$B$29,IF(Skills!C7=3,120+Inputs!$B$27+Inputs!$B$29,MAX(0,(Inputs!$B$3-100)*3)+Inputs!$B$28+Inputs!$B$29)))</f>
        <v/>
      </c>
      <c r="E827">
        <f>INDEX(FactorTable!$B$2:$Y$301, MATCH(ROUND(MIN(300,MAX(1,D827)),0), FactorTable!$A$2:$A$301,0), Skills!M7+1)</f>
        <v/>
      </c>
      <c r="F827">
        <f>IF(Skills!N7=TRUE,(Skills!L7/10)*(E827/1000),Skills!L7/10)+Skills!O7</f>
        <v/>
      </c>
      <c r="G827">
        <f>Skills!G7*IF(Skills!H7&gt;0,Skills!I7/Skills!H7,1)</f>
        <v/>
      </c>
      <c r="H827">
        <f>1-(1-Skills!J7/100)^Skills!K7</f>
        <v/>
      </c>
      <c r="I827" t="inlineStr">
        <is>
          <t>1</t>
        </is>
      </c>
      <c r="J827" t="inlineStr"/>
      <c r="K827" t="inlineStr"/>
      <c r="L827" t="inlineStr"/>
      <c r="M827" t="inlineStr"/>
      <c r="N827" t="inlineStr"/>
      <c r="O827">
        <f>(1-Summary!$B$11)*T827+Summary!$B$11*V827</f>
        <v/>
      </c>
      <c r="P827">
        <f>IF(B865=0,0,O827/B865)</f>
        <v/>
      </c>
      <c r="Q827" t="n">
        <v>0</v>
      </c>
      <c r="R827" t="n">
        <v>0</v>
      </c>
      <c r="S827">
        <f>IFERROR(O827/N827,0)</f>
        <v/>
      </c>
      <c r="T827" t="n">
        <v>0</v>
      </c>
      <c r="V827" t="n">
        <v>0</v>
      </c>
    </row>
    <row r="828">
      <c r="A828">
        <f>Skills!A8</f>
        <v/>
      </c>
      <c r="B828">
        <f>Skills!B8</f>
        <v/>
      </c>
      <c r="C828">
        <f>Inputs!$B$3&gt;=72</f>
        <v/>
      </c>
      <c r="D828">
        <f>IF(Skills!C8=1,60+Inputs!$B$25+Inputs!$B$29,IF(Skills!C8=2,90+Inputs!$B$26+Inputs!$B$29,IF(Skills!C8=3,120+Inputs!$B$27+Inputs!$B$29,MAX(0,(Inputs!$B$3-100)*3)+Inputs!$B$28+Inputs!$B$29)))</f>
        <v/>
      </c>
      <c r="E828">
        <f>INDEX(FactorTable!$B$2:$Y$301, MATCH(ROUND(MIN(300,MAX(1,D828)),0), FactorTable!$A$2:$A$301,0), Skills!M8+1)</f>
        <v/>
      </c>
      <c r="F828">
        <f>IF(Skills!N8=TRUE,(Skills!L8/10)*(E828/1000),Skills!L8/10)+Skills!O8</f>
        <v/>
      </c>
      <c r="G828">
        <f>Skills!G8*IF(Skills!H8&gt;0,Skills!I8/Skills!H8,1)</f>
        <v/>
      </c>
      <c r="H828">
        <f>1-(1-Skills!J8/100)^Skills!K8</f>
        <v/>
      </c>
      <c r="I828" t="inlineStr">
        <is>
          <t>1</t>
        </is>
      </c>
      <c r="J828">
        <f>((Inputs!$B$6*(1+Inputs!$B$7/100))+(((Inputs!$B$12*(1+Inputs!$B$13/100))-(Inputs!$B$12*(1+Inputs!$B$13/100)))+0.25*(Inputs!$B$14-Inputs!$B$14))*(1+Inputs!$B$7/100))*(F828/100)</f>
        <v/>
      </c>
      <c r="K828">
        <f>J828*(1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838=TRUE,F838,0)/100)*(1+(IF(Skills!A8="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828)</f>
        <v/>
      </c>
      <c r="L828">
        <f>K828*(MIN(Inputs!$B$22+((C844=TRUE)*(F844-Calc!F24)),(Inputs!$B$23+((C849=TRUE)*(F849-Calc!F29))+IF(ArtifactsInput!$M$15,CHOOSE(ArtifactsInput!$N$15+1,25,30,35,40,45,50)/100*(Inputs!$B$11-Inputs!$B$11),0)))/100+(Inputs!$B$23+((C849=TRUE)*(F849-Calc!F29))+IF(ArtifactsInput!$M$15,CHOOSE(ArtifactsInput!$N$15+1,25,30,35,40,45,50)/100*(Inputs!$B$11-Inputs!$B$11),0))/100)/2</f>
        <v/>
      </c>
      <c r="M828">
        <f>L828*(1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8">
        <f>L828*(1-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828*(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8">
        <f>(1-Summary!$B$11)*T828+Summary!$B$11*V828</f>
        <v/>
      </c>
      <c r="P828">
        <f>IF(B865=0,0,O828/B865)</f>
        <v/>
      </c>
      <c r="Q828">
        <f>IFERROR(1/IF(Inputs!$B$39="pvp",15,MAX(0.1,Skills!D8-IF(Skills!E8=TRUE,Inputs!$B$32,0))),0)</f>
        <v/>
      </c>
      <c r="R828">
        <f>IF(AND(Inputs!$B$39&lt;&gt;"pvp",Inputs!$B$44&gt;0),IF(MAX(0,Inputs!$B$44-B864)&lt;=0,0,(INT(MAX(0,Inputs!$B$44-B864)/IF(Inputs!$B$39="pvp",15,MAX(0.1,Skills!D8-IF(Skills!E8=TRUE,Inputs!$B$32,0))))+1)),0)</f>
        <v/>
      </c>
      <c r="S828">
        <f>IFERROR(O828/N828,0)</f>
        <v/>
      </c>
      <c r="T828">
        <f>IF(C828,(H828*N828*IF(AND(Inputs!$B$39&lt;&gt;"pvp",Inputs!$B$44&gt;0),((Skills!G8*((R828-1)*IF(Skills!H8&gt;0,Skills!I8/Skills!H8,1)+IF(Skills!H8&gt;0,MIN(Skills!I8,MAX(0,MAX(0,Inputs!$B$44-B864)-((R828-1)*IF(Inputs!$B$39="pvp",15,MAX(0.1,Skills!D8-IF(Skills!E8=TRUE,Inputs!$B$32,0))))))/Skills!H8,1)))/Inputs!$B$44),G828*Q828))*IF(Inputs!$B$39="pvp",1,1+(Inputs!$B$20+0+Skills!P8+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828*(1-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828*(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828*(1-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828*(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8">
        <f>IF(C828,(H828*N828*IF(AND(Inputs!$B$39&lt;&gt;"pvp",Inputs!$B$44&gt;0),((Skills!G8*((R828-1)*IF(Skills!H8&gt;0,Skills!I8/Skills!H8,1)+IF(Skills!H8&gt;0,MIN(Skills!I8,MAX(0,MAX(0,Inputs!$B$44-B864)-((R828-1)*IF(Inputs!$B$39="pvp",15,MAX(0.1,Skills!D8-IF(Skills!E8=TRUE,Inputs!$B$32,0))))))/Skills!H8,1)))/Inputs!$B$44),G828*Q828))*IF(Inputs!$B$39="pvp",1,(1+(Inputs!$B$21+Skills!Q8+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9">
      <c r="A829">
        <f>Skills!A9</f>
        <v/>
      </c>
      <c r="B829">
        <f>Skills!B9</f>
        <v/>
      </c>
      <c r="C829">
        <f>Inputs!$B$3&gt;=117</f>
        <v/>
      </c>
      <c r="D829">
        <f>IF(Skills!C9=1,60+Inputs!$B$25+Inputs!$B$29,IF(Skills!C9=2,90+Inputs!$B$26+Inputs!$B$29,IF(Skills!C9=3,120+Inputs!$B$27+Inputs!$B$29,MAX(0,(Inputs!$B$3-100)*3)+Inputs!$B$28+Inputs!$B$29)))</f>
        <v/>
      </c>
      <c r="E829">
        <f>INDEX(FactorTable!$B$2:$Y$301, MATCH(ROUND(MIN(300,MAX(1,D829)),0), FactorTable!$A$2:$A$301,0), Skills!M9+1)</f>
        <v/>
      </c>
      <c r="F829">
        <f>IF(Skills!N9=TRUE,(Skills!L9/10)*(E829/1000),Skills!L9/10)+Skills!O9</f>
        <v/>
      </c>
      <c r="G829">
        <f>Skills!G9*IF(Skills!H9&gt;0,Skills!I9/Skills!H9,1)</f>
        <v/>
      </c>
      <c r="H829">
        <f>1-(1-Skills!J9/100)^Skills!K9</f>
        <v/>
      </c>
      <c r="I829" t="inlineStr">
        <is>
          <t>1</t>
        </is>
      </c>
      <c r="J829">
        <f>((Inputs!$B$6*(1+Inputs!$B$7/100))+(((Inputs!$B$12*(1+Inputs!$B$13/100))-(Inputs!$B$12*(1+Inputs!$B$13/100)))+0.25*(Inputs!$B$14-Inputs!$B$14))*(1+Inputs!$B$7/100))*(F829/100)</f>
        <v/>
      </c>
      <c r="K829">
        <f>J829*(1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829)</f>
        <v/>
      </c>
      <c r="L829">
        <f>K829*(MIN(Inputs!$B$22+((C844=TRUE)*(F844-Calc!F24)),(Inputs!$B$23+((C849=TRUE)*(F849-Calc!F29))+IF(ArtifactsInput!$M$15,CHOOSE(ArtifactsInput!$N$15+1,25,30,35,40,45,50)/100*(Inputs!$B$11-Inputs!$B$11),0)))/100+(Inputs!$B$23+((C849=TRUE)*(F849-Calc!F29))+IF(ArtifactsInput!$M$15,CHOOSE(ArtifactsInput!$N$15+1,25,30,35,40,45,50)/100*(Inputs!$B$11-Inputs!$B$11),0))/100)/2</f>
        <v/>
      </c>
      <c r="M829">
        <f>L829*(1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9">
        <f>L829*(1-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829*(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9">
        <f>(1-Summary!$B$11)*T829+Summary!$B$11*V829</f>
        <v/>
      </c>
      <c r="P829">
        <f>IF(B865=0,0,O829/B865)</f>
        <v/>
      </c>
      <c r="Q829" t="n">
        <v>0</v>
      </c>
      <c r="R829" t="n">
        <v>0</v>
      </c>
      <c r="S829" t="n">
        <v>0</v>
      </c>
      <c r="T829">
        <f>IF(C829,(0.2*SUMPRODUCT((Skills!Z2:Z30=TRUE)*(C822:C850=TRUE)*S822:S850)*N829)*IF(Inputs!$B$39="pvp",1,1+(Inputs!$B$20+0+Skills!P9+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829*(1-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829*(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829*(1-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829*(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9">
        <f>IF(C829,(0.2*SUMPRODUCT((Skills!Z2:Z30=TRUE)*(C822:C850=TRUE)*S822:S850)*N829)*IF(Inputs!$B$39="pvp",1,(1+(Inputs!$B$21+Skills!Q9+B854+(IF(ArtifactsInput!$M$33,CHOOSE(ArtifactsInput!$N$33+1,30,36,42,48,54,60),0))+(IF(AND(ArtifactsInput!$M$35,Inputs!$B$4&lt;&gt;"Chapter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0">
      <c r="A830">
        <f>Skills!A10</f>
        <v/>
      </c>
      <c r="B830">
        <f>Skills!B10</f>
        <v/>
      </c>
      <c r="C830">
        <f>Inputs!$B$3&gt;=74</f>
        <v/>
      </c>
      <c r="D830">
        <f>IF(Skills!C10=1,60+Inputs!$B$25+Inputs!$B$29,IF(Skills!C10=2,90+Inputs!$B$26+Inputs!$B$29,IF(Skills!C10=3,120+Inputs!$B$27+Inputs!$B$29,MAX(0,(Inputs!$B$3-100)*3)+Inputs!$B$28+Inputs!$B$29)))</f>
        <v/>
      </c>
      <c r="E830">
        <f>INDEX(FactorTable!$B$2:$Y$301, MATCH(ROUND(MIN(300,MAX(1,D830)),0), FactorTable!$A$2:$A$301,0), Skills!M10+1)</f>
        <v/>
      </c>
      <c r="F830">
        <f>IF(Skills!N10=TRUE,(Skills!L10/10)*(E830/1000),Skills!L10/10)+Skills!O10</f>
        <v/>
      </c>
      <c r="G830">
        <f>Skills!G10*IF(Skills!H10&gt;0,Skills!I10/Skills!H10,1)</f>
        <v/>
      </c>
      <c r="H830">
        <f>1-(1-Skills!J10/100)^Skills!K10</f>
        <v/>
      </c>
      <c r="I830" t="inlineStr">
        <is>
          <t>1</t>
        </is>
      </c>
      <c r="J830" t="inlineStr"/>
      <c r="K830" t="inlineStr"/>
      <c r="L830" t="inlineStr"/>
      <c r="M830" t="inlineStr"/>
      <c r="N830" t="inlineStr"/>
      <c r="O830">
        <f>(1-Summary!$B$11)*T830+Summary!$B$11*V830</f>
        <v/>
      </c>
      <c r="P830">
        <f>IF(B865=0,0,O830/B865)</f>
        <v/>
      </c>
      <c r="Q830">
        <f>IFERROR(1/IF(Inputs!$B$39="pvp",15,MAX(0.1,Skills!D10-IF(Skills!E10=TRUE,Inputs!$B$32,0))),0)</f>
        <v/>
      </c>
      <c r="R830">
        <f>IF(AND(Inputs!$B$39&lt;&gt;"pvp",Inputs!$B$44&gt;0),IF(Inputs!$B$44&lt;=0,0,(INT(Inputs!$B$44/IF(Inputs!$B$39="pvp",15,MAX(0.1,Skills!D10-IF(Skills!E10=TRUE,Inputs!$B$32,0))))+1)),0)</f>
        <v/>
      </c>
      <c r="S830">
        <f>IFERROR(O830/N830,0)</f>
        <v/>
      </c>
      <c r="T830" t="n">
        <v>0</v>
      </c>
      <c r="V830" t="n">
        <v>0</v>
      </c>
    </row>
    <row r="831">
      <c r="A831">
        <f>Skills!A11</f>
        <v/>
      </c>
      <c r="B831">
        <f>Skills!B11</f>
        <v/>
      </c>
      <c r="C831">
        <f>Inputs!$B$3&gt;=103</f>
        <v/>
      </c>
      <c r="D831">
        <f>IF(Skills!C11=1,60+Inputs!$B$25+Inputs!$B$29,IF(Skills!C11=2,90+Inputs!$B$26+Inputs!$B$29,IF(Skills!C11=3,120+Inputs!$B$27+Inputs!$B$29,MAX(0,(Inputs!$B$3-100)*3)+Inputs!$B$28+Inputs!$B$29)))</f>
        <v/>
      </c>
      <c r="E831">
        <f>INDEX(FactorTable!$B$2:$Y$301, MATCH(ROUND(MIN(300,MAX(1,D831)),0), FactorTable!$A$2:$A$301,0), Skills!M11+1)</f>
        <v/>
      </c>
      <c r="F831">
        <f>(Skills!L11/10)*(E831/1000)+IF(Inputs!$B$3&gt;=134,50,0)+0.5*(30000/10)*(INDEX(FactorTable!$B$2:$Y$301, MATCH(ROUND(MIN(300,MAX(1,D831)),0), FactorTable!$A$2:$A$301,0), 13)/1000)*B863</f>
        <v/>
      </c>
      <c r="G831">
        <f>Skills!G11*IF(Skills!H11&gt;0,Skills!I11/Skills!H11,1)</f>
        <v/>
      </c>
      <c r="H831">
        <f>1-(1-Skills!J11/100)^Skills!K11</f>
        <v/>
      </c>
      <c r="I831" t="inlineStr">
        <is>
          <t>1</t>
        </is>
      </c>
      <c r="J831">
        <f>((Inputs!$B$6*(1+Inputs!$B$7/100))+(((Inputs!$B$12*(1+Inputs!$B$13/100))-(Inputs!$B$12*(1+Inputs!$B$13/100)))+0.25*(Inputs!$B$14-Inputs!$B$14))*(1+Inputs!$B$7/100))*(F831/100)</f>
        <v/>
      </c>
      <c r="K831">
        <f>J831*(1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831)</f>
        <v/>
      </c>
      <c r="L831">
        <f>K831*(MIN(Inputs!$B$22+((C844=TRUE)*(F844-Calc!F24)),(Inputs!$B$23+((C849=TRUE)*(F849-Calc!F29))+IF(ArtifactsInput!$M$15,CHOOSE(ArtifactsInput!$N$15+1,25,30,35,40,45,50)/100*(Inputs!$B$11-Inputs!$B$11),0)))/100+(Inputs!$B$23+((C849=TRUE)*(F849-Calc!F29))+IF(ArtifactsInput!$M$15,CHOOSE(ArtifactsInput!$N$15+1,25,30,35,40,45,50)/100*(Inputs!$B$11-Inputs!$B$11),0))/100)/2</f>
        <v/>
      </c>
      <c r="M831">
        <f>L831*(1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1">
        <f>L831*(1-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IF(B865=0,0,O831/B865)</f>
        <v/>
      </c>
      <c r="Q831">
        <f>IFERROR(1/IF(Inputs!$B$39="pvp",15,MAX(0.1,Skills!D11-IF(Skills!E11=TRUE,Inputs!$B$32,0))),0)</f>
        <v/>
      </c>
      <c r="R831">
        <f>IF(AND(Inputs!$B$39&lt;&gt;"pvp",Inputs!$B$44&gt;0),IF(MAX(0,Inputs!$B$44-B864)&lt;=0,0,(INT(MAX(0,Inputs!$B$44-B864)/IF(Inputs!$B$39="pvp",15,MAX(0.1,Skills!D11-IF(Skills!E11=TRUE,Inputs!$B$32,0))))+1)),0)</f>
        <v/>
      </c>
      <c r="S831">
        <f>IFERROR(O831/N831,0)</f>
        <v/>
      </c>
      <c r="T831">
        <f>IF(C831,(H831*N831*IF(AND(Inputs!$B$39&lt;&gt;"pvp",Inputs!$B$44&gt;0),((Skills!G11*((R831-1)*IF(Skills!H11&gt;0,Skills!I11/Skills!H11,1)+IF(Skills!H11&gt;0,MIN(Skills!I11,MAX(0,MAX(0,Inputs!$B$44-B864)-((R831-1)*IF(Inputs!$B$39="pvp",15,MAX(0.1,Skills!D11-IF(Skills!E11=TRUE,Inputs!$B$32,0))))))/Skills!H11,1)))/Inputs!$B$44),G831*Q831))*IF(Inputs!$B$39="pvp",1,1+(Inputs!$B$20+0+Skills!P11+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1">
        <f>IF(C831,(H831*N831*IF(AND(Inputs!$B$39&lt;&gt;"pvp",Inputs!$B$44&gt;0),((Skills!G11*((R831-1)*IF(Skills!H11&gt;0,Skills!I11/Skills!H11,1)+IF(Skills!H11&gt;0,MIN(Skills!I11,MAX(0,MAX(0,Inputs!$B$44-B864)-((R831-1)*IF(Inputs!$B$39="pvp",15,MAX(0.1,Skills!D11-IF(Skills!E11=TRUE,Inputs!$B$32,0))))))/Skills!H11,1)))/Inputs!$B$44),G831*Q831))*IF(Inputs!$B$39="pvp",1,(1+(Inputs!$B$21+Skills!Q11+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Skills!A12</f>
        <v/>
      </c>
      <c r="B832">
        <f>Skills!B12</f>
        <v/>
      </c>
      <c r="C832">
        <f>Inputs!$B$3&gt;=105</f>
        <v/>
      </c>
      <c r="D832">
        <f>IF(Skills!C12=1,60+Inputs!$B$25+Inputs!$B$29,IF(Skills!C12=2,90+Inputs!$B$26+Inputs!$B$29,IF(Skills!C12=3,120+Inputs!$B$27+Inputs!$B$29,MAX(0,(Inputs!$B$3-100)*3)+Inputs!$B$28+Inputs!$B$29)))</f>
        <v/>
      </c>
      <c r="E832">
        <f>INDEX(FactorTable!$B$2:$Y$301, MATCH(ROUND(MIN(300,MAX(1,D832)),0), FactorTable!$A$2:$A$301,0), Skills!M12+1)</f>
        <v/>
      </c>
      <c r="F832">
        <f>IF(Skills!N12=TRUE,(Skills!L12/10)*(E832/1000),Skills!L12/10)+Skills!O12</f>
        <v/>
      </c>
      <c r="G832">
        <f>Skills!G12*IF(Skills!H12&gt;0,Skills!I12/Skills!H12,1)</f>
        <v/>
      </c>
      <c r="H832">
        <f>1-(1-Skills!J12/100)^Skills!K12</f>
        <v/>
      </c>
      <c r="I832" t="inlineStr">
        <is>
          <t>1</t>
        </is>
      </c>
      <c r="J832">
        <f>((Inputs!$B$6*(1+Inputs!$B$7/100))+(((Inputs!$B$12*(1+Inputs!$B$13/100))-(Inputs!$B$12*(1+Inputs!$B$13/100)))+0.25*(Inputs!$B$14-Inputs!$B$14))*(1+Inputs!$B$7/100))*(F832/100)</f>
        <v/>
      </c>
      <c r="K832">
        <f>J832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832)</f>
        <v/>
      </c>
      <c r="L832">
        <f>K832*(MIN(Inputs!$B$22+((C844=TRUE)*(F844-Calc!F24)),(Inputs!$B$23+((C849=TRUE)*(F849-Calc!F29))+IF(ArtifactsInput!$M$15,CHOOSE(ArtifactsInput!$N$15+1,25,30,35,40,45,50)/100*(Inputs!$B$11-Inputs!$B$11),0)))/100+(Inputs!$B$23+((C849=TRUE)*(F849-Calc!F29))+IF(ArtifactsInput!$M$15,CHOOSE(ArtifactsInput!$N$15+1,25,30,35,40,45,50)/100*(Inputs!$B$11-Inputs!$B$11),0))/100)/2</f>
        <v/>
      </c>
      <c r="M832">
        <f>L832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2">
        <f>L832*(1-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832*(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2">
        <f>(1-Summary!$B$11)*T832+Summary!$B$11*V832</f>
        <v/>
      </c>
      <c r="P832">
        <f>IF(B865=0,0,O832/B865)</f>
        <v/>
      </c>
      <c r="Q832">
        <f>IFERROR(1/IF(Inputs!$B$39="pvp",15,MAX(0.1,Skills!D12-IF(Skills!E12=TRUE,Inputs!$B$32,0))),0)</f>
        <v/>
      </c>
      <c r="R832">
        <f>IF(AND(Inputs!$B$39&lt;&gt;"pvp",Inputs!$B$44&gt;0),IF(MAX(0,Inputs!$B$44-B864)&lt;=0,0,(INT(MAX(0,Inputs!$B$44-B864)/IF(Inputs!$B$39="pvp",15,MAX(0.1,Skills!D12-IF(Skills!E12=TRUE,Inputs!$B$32,0))))+1)),0)</f>
        <v/>
      </c>
      <c r="S832">
        <f>IFERROR(O832/N832,0)</f>
        <v/>
      </c>
      <c r="T832">
        <f>IF(C832,(H832*N832*IF(AND(Inputs!$B$39&lt;&gt;"pvp",Inputs!$B$44&gt;0),((Skills!G12*((R832-1)*IF(Skills!H12&gt;0,Skills!I12/Skills!H12,1)+IF(Skills!H12&gt;0,MIN(Skills!I12,MAX(0,MAX(0,Inputs!$B$44-B864)-((R832-1)*IF(Inputs!$B$39="pvp",15,MAX(0.1,Skills!D12-IF(Skills!E12=TRUE,Inputs!$B$32,0))))))/Skills!H12,1)))/Inputs!$B$44),G832*Q832))*IF(Inputs!$B$39="pvp",1,1+(Inputs!$B$20+0+Skills!P12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832*(1-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832*(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832*(1-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832*(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2">
        <f>IF(C832,(H832*N832*IF(AND(Inputs!$B$39&lt;&gt;"pvp",Inputs!$B$44&gt;0),((Skills!G12*((R832-1)*IF(Skills!H12&gt;0,Skills!I12/Skills!H12,1)+IF(Skills!H12&gt;0,MIN(Skills!I12,MAX(0,MAX(0,Inputs!$B$44-B864)-((R832-1)*IF(Inputs!$B$39="pvp",15,MAX(0.1,Skills!D12-IF(Skills!E12=TRUE,Inputs!$B$32,0))))))/Skills!H12,1)))/Inputs!$B$44),G832*Q832))*IF(Inputs!$B$39="pvp",1,(1+(Inputs!$B$21+Skills!Q12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3">
      <c r="A833">
        <f>Skills!A13</f>
        <v/>
      </c>
      <c r="B833">
        <f>Skills!B13</f>
        <v/>
      </c>
      <c r="C833">
        <f>Inputs!$B$3&gt;=105</f>
        <v/>
      </c>
      <c r="D833">
        <f>IF(Skills!C13=1,60+Inputs!$B$25+Inputs!$B$29,IF(Skills!C13=2,90+Inputs!$B$26+Inputs!$B$29,IF(Skills!C13=3,120+Inputs!$B$27+Inputs!$B$29,MAX(0,(Inputs!$B$3-100)*3)+Inputs!$B$28+Inputs!$B$29)))</f>
        <v/>
      </c>
      <c r="E833">
        <f>INDEX(FactorTable!$B$2:$Y$301, MATCH(ROUND(MIN(300,MAX(1,D833)),0), FactorTable!$A$2:$A$301,0), Skills!M13+1)</f>
        <v/>
      </c>
      <c r="F833">
        <f>IF(Skills!N13=TRUE,(Skills!L13/10)*(E833/1000),Skills!L13/10)+Skills!O13</f>
        <v/>
      </c>
      <c r="G833">
        <f>Skills!G13*IF(Skills!H13&gt;0,Skills!I13/Skills!H13,1)</f>
        <v/>
      </c>
      <c r="H833">
        <f>1-(1-Skills!J13/100)^Skills!K13</f>
        <v/>
      </c>
      <c r="I833" t="inlineStr">
        <is>
          <t>1</t>
        </is>
      </c>
      <c r="J833">
        <f>((Inputs!$B$6*(1+Inputs!$B$7/100))+(((Inputs!$B$12*(1+Inputs!$B$13/100))-(Inputs!$B$12*(1+Inputs!$B$13/100)))+0.25*(Inputs!$B$14-Inputs!$B$14))*(1+Inputs!$B$7/100))*(F833/100)</f>
        <v/>
      </c>
      <c r="K833">
        <f>J833*(1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833)</f>
        <v/>
      </c>
      <c r="L833">
        <f>K833*(MIN(Inputs!$B$22+((C844=TRUE)*(F844-Calc!F24)),(Inputs!$B$23+((C849=TRUE)*(F849-Calc!F29))+IF(ArtifactsInput!$M$15,CHOOSE(ArtifactsInput!$N$15+1,25,30,35,40,45,50)/100*(Inputs!$B$11-Inputs!$B$11),0)))/100+(Inputs!$B$23+((C849=TRUE)*(F849-Calc!F29))+IF(ArtifactsInput!$M$15,CHOOSE(ArtifactsInput!$N$15+1,25,30,35,40,45,50)/100*(Inputs!$B$11-Inputs!$B$11),0))/100)/2</f>
        <v/>
      </c>
      <c r="M833">
        <f>L833*(1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3">
        <f>L833*(1-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833*(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3">
        <f>(1-Summary!$B$11)*T833+Summary!$B$11*V833</f>
        <v/>
      </c>
      <c r="P833">
        <f>IF(B865=0,0,O833/B865)</f>
        <v/>
      </c>
      <c r="Q833">
        <f>IFERROR(1/IF(Inputs!$B$39="pvp",15,MAX(0.1,Skills!D13-IF(Skills!E13=TRUE,Inputs!$B$32,0))),0)</f>
        <v/>
      </c>
      <c r="R833">
        <f>IF(AND(Inputs!$B$39&lt;&gt;"pvp",Inputs!$B$44&gt;0),IF(MAX(0,Inputs!$B$44-B864)&lt;=0,0,(INT(MAX(0,Inputs!$B$44-B864)/IF(Inputs!$B$39="pvp",15,MAX(0.1,Skills!D13-IF(Skills!E13=TRUE,Inputs!$B$32,0))))+1)),0)</f>
        <v/>
      </c>
      <c r="S833">
        <f>IFERROR(O833/N833,0)</f>
        <v/>
      </c>
      <c r="T833">
        <f>IF(C833,(H833*N833*IF(AND(Inputs!$B$39&lt;&gt;"pvp",Inputs!$B$44&gt;0),((Skills!G13*((R833-1)*IF(Skills!H13&gt;0,Skills!I13/Skills!H13,1)+IF(Skills!H13&gt;0,MIN(Skills!I13,MAX(0,MAX(0,Inputs!$B$44-B864)-((R833-1)*IF(Inputs!$B$39="pvp",15,MAX(0.1,Skills!D13-IF(Skills!E13=TRUE,Inputs!$B$32,0))))))/Skills!H13,1)))/Inputs!$B$44),G833*Q833))*IF(Inputs!$B$39="pvp",1,1+(Inputs!$B$20+0+Skills!P13+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833*(1-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833*(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833*(1-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833*(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3">
        <f>IF(C833,(H833*N833*IF(AND(Inputs!$B$39&lt;&gt;"pvp",Inputs!$B$44&gt;0),((Skills!G13*((R833-1)*IF(Skills!H13&gt;0,Skills!I13/Skills!H13,1)+IF(Skills!H13&gt;0,MIN(Skills!I13,MAX(0,MAX(0,Inputs!$B$44-B864)-((R833-1)*IF(Inputs!$B$39="pvp",15,MAX(0.1,Skills!D13-IF(Skills!E13=TRUE,Inputs!$B$32,0))))))/Skills!H13,1)))/Inputs!$B$44),G833*Q833))*IF(Inputs!$B$39="pvp",1,(1+(Inputs!$B$21+Skills!Q13+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4">
      <c r="A834">
        <f>Skills!A14</f>
        <v/>
      </c>
      <c r="B834">
        <f>Skills!B14</f>
        <v/>
      </c>
      <c r="C834">
        <f>Inputs!$B$3&gt;=107</f>
        <v/>
      </c>
      <c r="D834">
        <f>IF(Skills!C14=1,60+Inputs!$B$25+Inputs!$B$29,IF(Skills!C14=2,90+Inputs!$B$26+Inputs!$B$29,IF(Skills!C14=3,120+Inputs!$B$27+Inputs!$B$29,MAX(0,(Inputs!$B$3-100)*3)+Inputs!$B$28+Inputs!$B$29)))</f>
        <v/>
      </c>
      <c r="E834">
        <f>INDEX(FactorTable!$B$2:$Y$301, MATCH(ROUND(MIN(300,MAX(1,D834)),0), FactorTable!$A$2:$A$301,0), Skills!M14+1)</f>
        <v/>
      </c>
      <c r="F834">
        <f>IF(Skills!N14=TRUE,(Skills!L14/10)*(E834/1000),Skills!L14/10)+Skills!O14</f>
        <v/>
      </c>
      <c r="G834">
        <f>Skills!G14*IF(Skills!H14&gt;0,Skills!I14/Skills!H14,1)</f>
        <v/>
      </c>
      <c r="H834">
        <f>1-(1-Skills!J14/100)^Skills!K14</f>
        <v/>
      </c>
      <c r="I834" t="inlineStr">
        <is>
          <t>1</t>
        </is>
      </c>
      <c r="J834">
        <f>((Inputs!$B$6*(1+Inputs!$B$7/100))+(((Inputs!$B$12*(1+Inputs!$B$13/100))-(Inputs!$B$12*(1+Inputs!$B$13/100)))+0.25*(Inputs!$B$14-Inputs!$B$14))*(1+Inputs!$B$7/100))*(F834/100)</f>
        <v/>
      </c>
      <c r="K834">
        <f>J834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834)</f>
        <v/>
      </c>
      <c r="L834">
        <f>K834*(MIN(Inputs!$B$22+((C844=TRUE)*(F844-Calc!F24)),(Inputs!$B$23+((C849=TRUE)*(F849-Calc!F29))+IF(ArtifactsInput!$M$15,CHOOSE(ArtifactsInput!$N$15+1,25,30,35,40,45,50)/100*(Inputs!$B$11-Inputs!$B$11),0)))/100+(Inputs!$B$23+((C849=TRUE)*(F849-Calc!F29))+IF(ArtifactsInput!$M$15,CHOOSE(ArtifactsInput!$N$15+1,25,30,35,40,45,50)/100*(Inputs!$B$11-Inputs!$B$11),0))/100)/2</f>
        <v/>
      </c>
      <c r="M834">
        <f>L834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4">
        <f>L834*(1-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IF(B865=0,0,O834/B865)</f>
        <v/>
      </c>
      <c r="Q834">
        <f>IFERROR(1/IF(Inputs!$B$39="pvp",15,MAX(0.1,Skills!D14-IF(Skills!E14=TRUE,Inputs!$B$32,0))),0)</f>
        <v/>
      </c>
      <c r="R834">
        <f>IF(AND(Inputs!$B$39&lt;&gt;"pvp",Inputs!$B$44&gt;0),IF(MAX(0,Inputs!$B$44-B864)&lt;=0,0,(INT(MAX(0,Inputs!$B$44-B864)/IF(Inputs!$B$39="pvp",15,MAX(0.1,Skills!D14-IF(Skills!E14=TRUE,Inputs!$B$32,0))))+1)),0)</f>
        <v/>
      </c>
      <c r="S834">
        <f>IFERROR(O834/N834,0)</f>
        <v/>
      </c>
      <c r="T834">
        <f>IF(C834,(H834*N834*IF(AND(Inputs!$B$39&lt;&gt;"pvp",Inputs!$B$44&gt;0),((Skills!G14*((R834-1)*IF(Skills!H14&gt;0,Skills!I14/Skills!H14,1)+IF(Skills!H14&gt;0,MIN(Skills!I14,MAX(0,MAX(0,Inputs!$B$44-B864)-((R834-1)*IF(Inputs!$B$39="pvp",15,MAX(0.1,Skills!D14-IF(Skills!E14=TRUE,Inputs!$B$32,0))))))/Skills!H14,1)))/Inputs!$B$44),G834*Q834))*IF(Inputs!$B$39="pvp",1,1+(Inputs!$B$20+0+Skills!P14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834*(1-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14*((R834-1)*IF(Skills!H14&gt;0,Skills!I14/Skills!H14,1)+IF(Skills!H14&gt;0,MIN(Skills!I14,MAX(0,MAX(0,Inputs!$B$44-B864)-((R834-1)*IF(Inputs!$B$39="pvp",15,MAX(0.1,Skills!D14-IF(Skills!E14=TRUE,Inputs!$B$32,0))))))/Skills!H14,1)))/Inputs!$B$44),G834*Q834))*IF(Inputs!$B$39="pvp",1,(1+(Inputs!$B$21+Skills!Q14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(5,0.25*B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Skills!A15</f>
        <v/>
      </c>
      <c r="B835">
        <f>Skills!B15</f>
        <v/>
      </c>
      <c r="C835">
        <f>Inputs!$B$3&gt;=110</f>
        <v/>
      </c>
      <c r="D835">
        <f>IF(Skills!C15=1,60+Inputs!$B$25+Inputs!$B$29,IF(Skills!C15=2,90+Inputs!$B$26+Inputs!$B$29,IF(Skills!C15=3,120+Inputs!$B$27+Inputs!$B$29,MAX(0,(Inputs!$B$3-100)*3)+Inputs!$B$28+Inputs!$B$29)))</f>
        <v/>
      </c>
      <c r="E835">
        <f>INDEX(FactorTable!$B$2:$Y$301, MATCH(ROUND(MIN(300,MAX(1,D835)),0), FactorTable!$A$2:$A$301,0), Skills!M15+1)</f>
        <v/>
      </c>
      <c r="F835">
        <f>IF(Skills!N15=TRUE,(Skills!L15/10)*(E835/1000),Skills!L15/10)+Skills!O15</f>
        <v/>
      </c>
      <c r="G835">
        <f>Skills!G15*IF(Skills!H15&gt;0,Skills!I15/Skills!H15,1)</f>
        <v/>
      </c>
      <c r="H835">
        <f>1-(1-Skills!J15/100)^Skills!K15</f>
        <v/>
      </c>
      <c r="I835" t="inlineStr">
        <is>
          <t>1</t>
        </is>
      </c>
      <c r="J835" t="inlineStr"/>
      <c r="K835" t="inlineStr"/>
      <c r="L835" t="inlineStr"/>
      <c r="M835" t="inlineStr"/>
      <c r="N835" t="inlineStr"/>
      <c r="O835">
        <f>(1-Summary!$B$11)*T835+Summary!$B$11*V835</f>
        <v/>
      </c>
      <c r="P835">
        <f>IF(B865=0,0,O835/B865)</f>
        <v/>
      </c>
      <c r="Q835">
        <f>IFERROR(1/IF(Inputs!$B$39="pvp",15,MAX(0.1,Skills!D15-IF(Skills!E15=TRUE,Inputs!$B$32,0))),0)</f>
        <v/>
      </c>
      <c r="R835">
        <f>IF(AND(Inputs!$B$39&lt;&gt;"pvp",Inputs!$B$44&gt;0),IF(Inputs!$B$44&lt;=0,0,(INT(Inputs!$B$44/IF(Inputs!$B$39="pvp",15,MAX(0.1,Skills!D15-IF(Skills!E15=TRUE,Inputs!$B$32,0))))+1)),0)</f>
        <v/>
      </c>
      <c r="S835">
        <f>IFERROR(O835/N835,0)</f>
        <v/>
      </c>
      <c r="T835" t="n">
        <v>0</v>
      </c>
      <c r="V835" t="n">
        <v>0</v>
      </c>
    </row>
    <row r="836">
      <c r="A836">
        <f>Skills!A16</f>
        <v/>
      </c>
      <c r="B836">
        <f>Skills!B16</f>
        <v/>
      </c>
      <c r="C836">
        <f>Inputs!$B$3&gt;=115</f>
        <v/>
      </c>
      <c r="D836">
        <f>IF(Skills!C16=1,60+Inputs!$B$25+Inputs!$B$29,IF(Skills!C16=2,90+Inputs!$B$26+Inputs!$B$29,IF(Skills!C16=3,120+Inputs!$B$27+Inputs!$B$29,MAX(0,(Inputs!$B$3-100)*3)+Inputs!$B$28+Inputs!$B$29)))</f>
        <v/>
      </c>
      <c r="E836">
        <f>INDEX(FactorTable!$B$2:$Y$301, MATCH(ROUND(MIN(300,MAX(1,D836)),0), FactorTable!$A$2:$A$301,0), Skills!M16+1)</f>
        <v/>
      </c>
      <c r="F836">
        <f>IF(Skills!N16=TRUE,(Skills!L16/10)*(E836/1000),Skills!L16/10)+Skills!O16</f>
        <v/>
      </c>
      <c r="G836">
        <f>Skills!G16*IF(Skills!H16&gt;0,Skills!I16/Skills!H16,1)</f>
        <v/>
      </c>
      <c r="H836">
        <f>1-(1-Skills!J16/100)^Skills!K16</f>
        <v/>
      </c>
      <c r="I836" t="inlineStr">
        <is>
          <t>1</t>
        </is>
      </c>
      <c r="J836">
        <f>((Inputs!$B$6*(1+Inputs!$B$7/100))+(((Inputs!$B$12*(1+Inputs!$B$13/100))-(Inputs!$B$12*(1+Inputs!$B$13/100)))+0.25*(Inputs!$B$14-Inputs!$B$14))*(1+Inputs!$B$7/100))*(F836/100)</f>
        <v/>
      </c>
      <c r="K836">
        <f>J836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847=TRUE)*(F847-Calc!F27))+((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836)</f>
        <v/>
      </c>
      <c r="L836">
        <f>K836*(MIN(Inputs!$B$22+((C844=TRUE)*(F844-Calc!F24)),(Inputs!$B$23+((C849=TRUE)*(F849-Calc!F29))+IF(ArtifactsInput!$M$15,CHOOSE(ArtifactsInput!$N$15+1,25,30,35,40,45,50)/100*(Inputs!$B$11-Inputs!$B$11),0)))/100+(Inputs!$B$23+((C849=TRUE)*(F849-Calc!F29))+IF(ArtifactsInput!$M$15,CHOOSE(ArtifactsInput!$N$15+1,25,30,35,40,45,50)/100*(Inputs!$B$11-Inputs!$B$11),0))/100)/2</f>
        <v/>
      </c>
      <c r="M836">
        <f>L836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6">
        <f>L836*(1-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IF(B865=0,0,O836/B865)</f>
        <v/>
      </c>
      <c r="Q836" t="n">
        <v>0</v>
      </c>
      <c r="R836" t="n">
        <v>0</v>
      </c>
      <c r="S836">
        <f>IFERROR(O836/N836,0)</f>
        <v/>
      </c>
      <c r="T836">
        <f>IF(C836,(Inputs!$B$38*0.2*N836)*IF(Inputs!$B$39="pvp",1,1+(Inputs!$B$20+0+Skills!P16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836*(1-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$9+((C845=TRUE)*(F845-Calc!F25))+B853+(ArtifactsInput!$M$24-ArtifactsInput!$M$24)*CHOOSE(ArtifactsInput!$N$24+1,10,12,14,16,18,20)+(IF(AND(Inputs!$B$39&lt;&gt;"pvp",Inputs!$B$44=0),1,IF(IF(Inputs!$B$39="pvp",15,Inputs!$B$44)-(B864)&lt;=0,1,MAX(0,IF(Inputs!$B$39="pvp",15,Inputs!$B$44)-MAX(5,B864))/(IF(Inputs!$B$39="pvp",15,Inputs!$B$44)-(B864))))*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IF(C836,(Inputs!$B$38*0.2*N836)*IF(Inputs!$B$39="pvp",1,(1+(Inputs!$B$21+Skills!Q16+B854+(IF(ArtifactsInput!$M$33,CHOOSE(ArtifactsInput!$N$33+1,30,36,42,48,54,60),0))+(IF(AND(ArtifactsInput!$M$35,Inputs!$B$4&lt;&gt;"Chapter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Skills!A17</f>
        <v/>
      </c>
      <c r="B837">
        <f>Skills!B17</f>
        <v/>
      </c>
      <c r="C837">
        <f>Inputs!$B$3&gt;=115</f>
        <v/>
      </c>
      <c r="D837">
        <f>IF(Skills!C17=1,60+Inputs!$B$25+Inputs!$B$29,IF(Skills!C17=2,90+Inputs!$B$26+Inputs!$B$29,IF(Skills!C17=3,120+Inputs!$B$27+Inputs!$B$29,MAX(0,(Inputs!$B$3-100)*3)+Inputs!$B$28+Inputs!$B$29)))</f>
        <v/>
      </c>
      <c r="E837">
        <f>INDEX(FactorTable!$B$2:$Y$301, MATCH(ROUND(MIN(300,MAX(1,D837)),0), FactorTable!$A$2:$A$301,0), Skills!M17+1)</f>
        <v/>
      </c>
      <c r="F837">
        <f>IF(Skills!N17=TRUE,(Skills!L17/10)*(E837/1000),Skills!L17/10)+Skills!O17</f>
        <v/>
      </c>
      <c r="G837">
        <f>Skills!G17*IF(Skills!H17&gt;0,Skills!I17/Skills!H17,1)</f>
        <v/>
      </c>
      <c r="H837">
        <f>1-(1-Skills!J17/100)^Skills!K17</f>
        <v/>
      </c>
      <c r="I837" t="inlineStr">
        <is>
          <t>1</t>
        </is>
      </c>
      <c r="J837" t="inlineStr"/>
      <c r="K837" t="inlineStr"/>
      <c r="L837" t="inlineStr"/>
      <c r="M837" t="inlineStr"/>
      <c r="N837" t="inlineStr"/>
      <c r="O837">
        <f>(1-Summary!$B$11)*T837+Summary!$B$11*V837</f>
        <v/>
      </c>
      <c r="P837">
        <f>IF(B865=0,0,O837/B865)</f>
        <v/>
      </c>
      <c r="Q837" t="n">
        <v>0</v>
      </c>
      <c r="R837" t="n">
        <v>0</v>
      </c>
      <c r="S837">
        <f>IFERROR(O837/N837,0)</f>
        <v/>
      </c>
      <c r="T837" t="n">
        <v>0</v>
      </c>
      <c r="V837" t="n">
        <v>0</v>
      </c>
    </row>
    <row r="838">
      <c r="A838">
        <f>Skills!A18</f>
        <v/>
      </c>
      <c r="B838">
        <f>Skills!B18</f>
        <v/>
      </c>
      <c r="C838">
        <f>Inputs!$B$3&gt;=100</f>
        <v/>
      </c>
      <c r="D838">
        <f>IF(Skills!C18=1,60+Inputs!$B$25+Inputs!$B$29,IF(Skills!C18=2,90+Inputs!$B$26+Inputs!$B$29,IF(Skills!C18=3,120+Inputs!$B$27+Inputs!$B$29,MAX(0,(Inputs!$B$3-100)*3)+Inputs!$B$28+Inputs!$B$29)))</f>
        <v/>
      </c>
      <c r="E838">
        <f>INDEX(FactorTable!$B$2:$Y$301, MATCH(ROUND(MIN(300,MAX(1,D838)),0), FactorTable!$A$2:$A$301,0), Skills!M18+1)</f>
        <v/>
      </c>
      <c r="F838">
        <f>IF(Skills!N18=TRUE,(Skills!L18/10)*(E838/1000),Skills!L18/10)+Skills!O18</f>
        <v/>
      </c>
      <c r="G838">
        <f>Skills!G18*IF(Skills!H18&gt;0,Skills!I18/Skills!H18,1)</f>
        <v/>
      </c>
      <c r="H838">
        <f>1-(1-Skills!J18/100)^Skills!K18</f>
        <v/>
      </c>
      <c r="I838" t="inlineStr">
        <is>
          <t>1</t>
        </is>
      </c>
      <c r="J838" t="inlineStr"/>
      <c r="K838" t="inlineStr"/>
      <c r="L838" t="inlineStr"/>
      <c r="M838" t="inlineStr"/>
      <c r="N838" t="inlineStr"/>
      <c r="O838">
        <f>(1-Summary!$B$11)*T838+Summary!$B$11*V838</f>
        <v/>
      </c>
      <c r="P838">
        <f>IF(B865=0,0,O838/B865)</f>
        <v/>
      </c>
      <c r="Q838" t="n">
        <v>0</v>
      </c>
      <c r="R838" t="n">
        <v>0</v>
      </c>
      <c r="S838">
        <f>IFERROR(O838/N838,0)</f>
        <v/>
      </c>
      <c r="T838" t="n">
        <v>0</v>
      </c>
      <c r="V838" t="n">
        <v>0</v>
      </c>
    </row>
    <row r="839">
      <c r="A839">
        <f>Skills!A19</f>
        <v/>
      </c>
      <c r="B839">
        <f>Skills!B19</f>
        <v/>
      </c>
      <c r="C839">
        <f>TRUE</f>
        <v/>
      </c>
      <c r="D839">
        <f>IF(Skills!C19=1,60+Inputs!$B$25+Inputs!$B$29,IF(Skills!C19=2,90+Inputs!$B$26+Inputs!$B$29,IF(Skills!C19=3,120+Inputs!$B$27+Inputs!$B$29,MAX(0,(Inputs!$B$3-100)*3)+Inputs!$B$28+Inputs!$B$29)))</f>
        <v/>
      </c>
      <c r="E839">
        <f>INDEX(FactorTable!$B$2:$Y$301, MATCH(ROUND(MIN(300,MAX(1,D839)),0), FactorTable!$A$2:$A$301,0), Skills!M19+1)</f>
        <v/>
      </c>
      <c r="F839">
        <f>IF(Skills!N19=TRUE,(Skills!L19/10)*(E839/1000),Skills!L19/10)+Skills!O19</f>
        <v/>
      </c>
      <c r="G839">
        <f>Skills!G19*IF(Skills!H19&gt;0,Skills!I19/Skills!H19,1)</f>
        <v/>
      </c>
      <c r="H839">
        <f>1-(1-Skills!J19/100)^Skills!K19</f>
        <v/>
      </c>
      <c r="I839" t="inlineStr">
        <is>
          <t>1</t>
        </is>
      </c>
      <c r="J839" t="inlineStr"/>
      <c r="K839" t="inlineStr"/>
      <c r="L839" t="inlineStr"/>
      <c r="M839" t="inlineStr"/>
      <c r="N839" t="inlineStr"/>
      <c r="O839">
        <f>(1-Summary!$B$11)*T839+Summary!$B$11*V839</f>
        <v/>
      </c>
      <c r="P839">
        <f>IF(B865=0,0,O839/B865)</f>
        <v/>
      </c>
      <c r="Q839">
        <f>IFERROR(1/IF(Inputs!$B$39="pvp",15,MAX(0.1,Skills!D19-IF(Skills!E19=TRUE,Inputs!$B$32,0))),0)</f>
        <v/>
      </c>
      <c r="R839">
        <f>IF(AND(Inputs!$B$39&lt;&gt;"pvp",Inputs!$B$44&gt;0),IF(Inputs!$B$44&lt;=0,0,(INT(Inputs!$B$44/IF(Inputs!$B$39="pvp",15,MAX(0.1,Skills!D19-IF(Skills!E19=TRUE,Inputs!$B$32,0))))+1)),0)</f>
        <v/>
      </c>
      <c r="S839">
        <f>IFERROR(O839/N839,0)</f>
        <v/>
      </c>
      <c r="T839" t="n">
        <v>0</v>
      </c>
      <c r="V839" t="n">
        <v>0</v>
      </c>
    </row>
    <row r="840">
      <c r="A840">
        <f>Skills!A20</f>
        <v/>
      </c>
      <c r="B840">
        <f>Skills!B20</f>
        <v/>
      </c>
      <c r="C840">
        <f>Inputs!$B$3&gt;=15</f>
        <v/>
      </c>
      <c r="D840">
        <f>IF(Skills!C20=1,60+Inputs!$B$25+Inputs!$B$29,IF(Skills!C20=2,90+Inputs!$B$26+Inputs!$B$29,IF(Skills!C20=3,120+Inputs!$B$27+Inputs!$B$29,MAX(0,(Inputs!$B$3-100)*3)+Inputs!$B$28+Inputs!$B$29)))</f>
        <v/>
      </c>
      <c r="E840">
        <f>INDEX(FactorTable!$B$2:$Y$301, MATCH(ROUND(MIN(300,MAX(1,D840)),0), FactorTable!$A$2:$A$301,0), Skills!M20+1)</f>
        <v/>
      </c>
      <c r="F840">
        <f>IF(Skills!N20=TRUE,(Skills!L20/10)*(E840/1000),Skills!L20/10)+Skills!O20</f>
        <v/>
      </c>
      <c r="G840">
        <f>Skills!G20*IF(Skills!H20&gt;0,Skills!I20/Skills!H20,1)</f>
        <v/>
      </c>
      <c r="H840">
        <f>1-(1-Skills!J20/100)^Skills!K20</f>
        <v/>
      </c>
      <c r="I840" t="inlineStr">
        <is>
          <t>1</t>
        </is>
      </c>
      <c r="J840" t="inlineStr"/>
      <c r="K840" t="inlineStr"/>
      <c r="L840" t="inlineStr"/>
      <c r="M840" t="inlineStr"/>
      <c r="N840" t="inlineStr"/>
      <c r="O840">
        <f>(1-Summary!$B$11)*T840+Summary!$B$11*V840</f>
        <v/>
      </c>
      <c r="P840">
        <f>IF(B865=0,0,O840/B865)</f>
        <v/>
      </c>
      <c r="Q840">
        <f>IFERROR(1/IF(Inputs!$B$39="pvp",15,MAX(0.1,Skills!D20-IF(Skills!E20=TRUE,Inputs!$B$32,0))),0)</f>
        <v/>
      </c>
      <c r="R840">
        <f>IF(AND(Inputs!$B$39&lt;&gt;"pvp",Inputs!$B$44&gt;0),IF(Inputs!$B$44&lt;=0,0,(INT(Inputs!$B$44/IF(Inputs!$B$39="pvp",15,MAX(0.1,Skills!D20-IF(Skills!E20=TRUE,Inputs!$B$32,0))))+1)),0)</f>
        <v/>
      </c>
      <c r="S840">
        <f>IFERROR(O840/N840,0)</f>
        <v/>
      </c>
      <c r="T840" t="n">
        <v>0</v>
      </c>
      <c r="V840" t="n">
        <v>0</v>
      </c>
    </row>
    <row r="841">
      <c r="A841">
        <f>Skills!A21</f>
        <v/>
      </c>
      <c r="B841">
        <f>Skills!B21</f>
        <v/>
      </c>
      <c r="C841">
        <f>Inputs!$B$3&gt;=15</f>
        <v/>
      </c>
      <c r="D841">
        <f>IF(Skills!C21=1,60+Inputs!$B$25+Inputs!$B$29,IF(Skills!C21=2,90+Inputs!$B$26+Inputs!$B$29,IF(Skills!C21=3,120+Inputs!$B$27+Inputs!$B$29,MAX(0,(Inputs!$B$3-100)*3)+Inputs!$B$28+Inputs!$B$29)))</f>
        <v/>
      </c>
      <c r="E841">
        <f>INDEX(FactorTable!$B$2:$Y$301, MATCH(ROUND(MIN(300,MAX(1,D841)),0), FactorTable!$A$2:$A$301,0), Skills!M21+1)</f>
        <v/>
      </c>
      <c r="F841">
        <f>IF(Skills!N21=TRUE,(Skills!L21/10)*(E841/1000),Skills!L21/10)+Skills!O21</f>
        <v/>
      </c>
      <c r="G841">
        <f>Skills!G21*IF(Skills!H21&gt;0,Skills!I21/Skills!H21,1)</f>
        <v/>
      </c>
      <c r="H841">
        <f>1-(1-Skills!J21/100)^Skills!K21</f>
        <v/>
      </c>
      <c r="I841" t="inlineStr">
        <is>
          <t>1</t>
        </is>
      </c>
      <c r="J841" t="inlineStr"/>
      <c r="K841" t="inlineStr"/>
      <c r="L841" t="inlineStr"/>
      <c r="M841" t="inlineStr"/>
      <c r="N841" t="inlineStr"/>
      <c r="O841">
        <f>(1-Summary!$B$11)*T841+Summary!$B$11*V841</f>
        <v/>
      </c>
      <c r="P841">
        <f>IF(B865=0,0,O841/B865)</f>
        <v/>
      </c>
      <c r="Q841">
        <f>IFERROR(1/IF(Inputs!$B$39="pvp",15,MAX(0.1,Skills!D21-IF(Skills!E21=TRUE,Inputs!$B$32,0))),0)</f>
        <v/>
      </c>
      <c r="R841">
        <f>IF(AND(Inputs!$B$39&lt;&gt;"pvp",Inputs!$B$44&gt;0),IF(Inputs!$B$44&lt;=0,0,(INT(Inputs!$B$44/IF(Inputs!$B$39="pvp",15,MAX(0.1,Skills!D21-IF(Skills!E21=TRUE,Inputs!$B$32,0))))+1)),0)</f>
        <v/>
      </c>
      <c r="S841">
        <f>IFERROR(O841/N841,0)</f>
        <v/>
      </c>
      <c r="T841" t="n">
        <v>0</v>
      </c>
      <c r="V841" t="n">
        <v>0</v>
      </c>
    </row>
    <row r="842">
      <c r="A842">
        <f>Skills!A22</f>
        <v/>
      </c>
      <c r="B842">
        <f>Skills!B22</f>
        <v/>
      </c>
      <c r="C842">
        <f>Inputs!$B$3&gt;=33</f>
        <v/>
      </c>
      <c r="D842">
        <f>IF(Skills!C22=1,60+Inputs!$B$25+Inputs!$B$29,IF(Skills!C22=2,90+Inputs!$B$26+Inputs!$B$29,IF(Skills!C22=3,120+Inputs!$B$27+Inputs!$B$29,MAX(0,(Inputs!$B$3-100)*3)+Inputs!$B$28+Inputs!$B$29)))</f>
        <v/>
      </c>
      <c r="E842">
        <f>INDEX(FactorTable!$B$2:$Y$301, MATCH(ROUND(MIN(300,MAX(1,D842)),0), FactorTable!$A$2:$A$301,0), Skills!M22+1)</f>
        <v/>
      </c>
      <c r="F842">
        <f>IF(Skills!N22=TRUE,(Skills!L22/10)*(E842/1000),Skills!L22/10)+Skills!O22</f>
        <v/>
      </c>
      <c r="G842">
        <f>Skills!G22*IF(Skills!H22&gt;0,Skills!I22/Skills!H22,1)</f>
        <v/>
      </c>
      <c r="H842">
        <f>1-(1-Skills!J22/100)^Skills!K22</f>
        <v/>
      </c>
      <c r="I842" t="inlineStr">
        <is>
          <t>1</t>
        </is>
      </c>
      <c r="J842" t="inlineStr"/>
      <c r="K842" t="inlineStr"/>
      <c r="L842" t="inlineStr"/>
      <c r="M842" t="inlineStr"/>
      <c r="N842" t="inlineStr"/>
      <c r="O842">
        <f>(1-Summary!$B$11)*T842+Summary!$B$11*V842</f>
        <v/>
      </c>
      <c r="P842">
        <f>IF(B865=0,0,O842/B865)</f>
        <v/>
      </c>
      <c r="Q842" t="n">
        <v>0</v>
      </c>
      <c r="R842" t="n">
        <v>0</v>
      </c>
      <c r="S842">
        <f>IFERROR(O842/N842,0)</f>
        <v/>
      </c>
      <c r="T842" t="n">
        <v>0</v>
      </c>
      <c r="V842" t="n">
        <v>0</v>
      </c>
    </row>
    <row r="843">
      <c r="A843">
        <f>Skills!A23</f>
        <v/>
      </c>
      <c r="B843">
        <f>Skills!B23</f>
        <v/>
      </c>
      <c r="C843">
        <f>Inputs!$B$3&gt;=40</f>
        <v/>
      </c>
      <c r="D843">
        <f>IF(Skills!C23=1,60+Inputs!$B$25+Inputs!$B$29,IF(Skills!C23=2,90+Inputs!$B$26+Inputs!$B$29,IF(Skills!C23=3,120+Inputs!$B$27+Inputs!$B$29,MAX(0,(Inputs!$B$3-100)*3)+Inputs!$B$28+Inputs!$B$29)))</f>
        <v/>
      </c>
      <c r="E843">
        <f>INDEX(FactorTable!$B$2:$Y$301, MATCH(ROUND(MIN(300,MAX(1,D843)),0), FactorTable!$A$2:$A$301,0), Skills!M23+1)</f>
        <v/>
      </c>
      <c r="F843">
        <f>IF(Skills!N23=TRUE,(Skills!L23/10)*(E843/1000),Skills!L23/10)+Skills!O23</f>
        <v/>
      </c>
      <c r="G843">
        <f>Skills!G23*IF(Skills!H23&gt;0,Skills!I23/Skills!H23,1)</f>
        <v/>
      </c>
      <c r="H843">
        <f>1-(1-Skills!J23/100)^Skills!K23</f>
        <v/>
      </c>
      <c r="I843" t="inlineStr">
        <is>
          <t>1</t>
        </is>
      </c>
      <c r="J843" t="inlineStr"/>
      <c r="K843" t="inlineStr"/>
      <c r="L843" t="inlineStr"/>
      <c r="M843" t="inlineStr"/>
      <c r="N843" t="inlineStr"/>
      <c r="O843">
        <f>(1-Summary!$B$11)*T843+Summary!$B$11*V843</f>
        <v/>
      </c>
      <c r="P843">
        <f>IF(B865=0,0,O843/B865)</f>
        <v/>
      </c>
      <c r="Q843" t="n">
        <v>0</v>
      </c>
      <c r="R843" t="n">
        <v>0</v>
      </c>
      <c r="S843">
        <f>IFERROR(O843/N843,0)</f>
        <v/>
      </c>
      <c r="T843" t="n">
        <v>0</v>
      </c>
      <c r="V843" t="n">
        <v>0</v>
      </c>
    </row>
    <row r="844">
      <c r="A844">
        <f>Skills!A24</f>
        <v/>
      </c>
      <c r="B844">
        <f>Skills!B24</f>
        <v/>
      </c>
      <c r="C844">
        <f>Inputs!$B$3&gt;=43</f>
        <v/>
      </c>
      <c r="D844">
        <f>IF(Skills!C24=1,60+Inputs!$B$25+Inputs!$B$29,IF(Skills!C24=2,90+Inputs!$B$26+Inputs!$B$29,IF(Skills!C24=3,120+Inputs!$B$27+Inputs!$B$29,MAX(0,(Inputs!$B$3-100)*3)+Inputs!$B$28+Inputs!$B$29)))</f>
        <v/>
      </c>
      <c r="E844">
        <f>INDEX(FactorTable!$B$2:$Y$301, MATCH(ROUND(MIN(300,MAX(1,D844)),0), FactorTable!$A$2:$A$301,0), Skills!M24+1)</f>
        <v/>
      </c>
      <c r="F844">
        <f>IF(Skills!N24=TRUE,(Skills!L24/10)*(E844/1000),Skills!L24/10)+Skills!O24</f>
        <v/>
      </c>
      <c r="G844">
        <f>Skills!G24*IF(Skills!H24&gt;0,Skills!I24/Skills!H24,1)</f>
        <v/>
      </c>
      <c r="H844">
        <f>1-(1-Skills!J24/100)^Skills!K24</f>
        <v/>
      </c>
      <c r="I844" t="inlineStr">
        <is>
          <t>1</t>
        </is>
      </c>
      <c r="J844" t="inlineStr"/>
      <c r="K844" t="inlineStr"/>
      <c r="L844" t="inlineStr"/>
      <c r="M844" t="inlineStr"/>
      <c r="N844" t="inlineStr"/>
      <c r="O844">
        <f>(1-Summary!$B$11)*T844+Summary!$B$11*V844</f>
        <v/>
      </c>
      <c r="P844">
        <f>IF(B865=0,0,O844/B865)</f>
        <v/>
      </c>
      <c r="Q844" t="n">
        <v>0</v>
      </c>
      <c r="R844" t="n">
        <v>0</v>
      </c>
      <c r="S844">
        <f>IFERROR(O844/N844,0)</f>
        <v/>
      </c>
      <c r="T844" t="n">
        <v>0</v>
      </c>
      <c r="V844" t="n">
        <v>0</v>
      </c>
    </row>
    <row r="845">
      <c r="A845">
        <f>Skills!A25</f>
        <v/>
      </c>
      <c r="B845">
        <f>Skills!B25</f>
        <v/>
      </c>
      <c r="C845">
        <f>Inputs!$B$3&gt;=50</f>
        <v/>
      </c>
      <c r="D845">
        <f>IF(Skills!C25=1,60+Inputs!$B$25+Inputs!$B$29,IF(Skills!C25=2,90+Inputs!$B$26+Inputs!$B$29,IF(Skills!C25=3,120+Inputs!$B$27+Inputs!$B$29,MAX(0,(Inputs!$B$3-100)*3)+Inputs!$B$28+Inputs!$B$29)))</f>
        <v/>
      </c>
      <c r="E845">
        <f>INDEX(FactorTable!$B$2:$Y$301, MATCH(ROUND(MIN(300,MAX(1,D845)),0), FactorTable!$A$2:$A$301,0), Skills!M25+1)</f>
        <v/>
      </c>
      <c r="F845">
        <f>IF(Skills!N25=TRUE,(Skills!L25/10)*(E845/1000),Skills!L25/10)+Skills!O25</f>
        <v/>
      </c>
      <c r="G845">
        <f>Skills!G25*IF(Skills!H25&gt;0,Skills!I25/Skills!H25,1)</f>
        <v/>
      </c>
      <c r="H845">
        <f>1-(1-Skills!J25/100)^Skills!K25</f>
        <v/>
      </c>
      <c r="I845" t="inlineStr">
        <is>
          <t>1</t>
        </is>
      </c>
      <c r="J845" t="inlineStr"/>
      <c r="K845" t="inlineStr"/>
      <c r="L845" t="inlineStr"/>
      <c r="M845" t="inlineStr"/>
      <c r="N845" t="inlineStr"/>
      <c r="O845">
        <f>(1-Summary!$B$11)*T845+Summary!$B$11*V845</f>
        <v/>
      </c>
      <c r="P845">
        <f>IF(B865=0,0,O845/B865)</f>
        <v/>
      </c>
      <c r="Q845" t="n">
        <v>0</v>
      </c>
      <c r="R845" t="n">
        <v>0</v>
      </c>
      <c r="S845">
        <f>IFERROR(O845/N845,0)</f>
        <v/>
      </c>
      <c r="T845" t="n">
        <v>0</v>
      </c>
      <c r="V845" t="n">
        <v>0</v>
      </c>
    </row>
    <row r="846">
      <c r="A846">
        <f>Skills!A26</f>
        <v/>
      </c>
      <c r="B846">
        <f>Skills!B26</f>
        <v/>
      </c>
      <c r="C846">
        <f>Inputs!$B$3&gt;=50</f>
        <v/>
      </c>
      <c r="D846">
        <f>IF(Skills!C26=1,60+Inputs!$B$25+Inputs!$B$29,IF(Skills!C26=2,90+Inputs!$B$26+Inputs!$B$29,IF(Skills!C26=3,120+Inputs!$B$27+Inputs!$B$29,MAX(0,(Inputs!$B$3-100)*3)+Inputs!$B$28+Inputs!$B$29)))</f>
        <v/>
      </c>
      <c r="E846">
        <f>INDEX(FactorTable!$B$2:$Y$301, MATCH(ROUND(MIN(300,MAX(1,D846)),0), FactorTable!$A$2:$A$301,0), Skills!M26+1)</f>
        <v/>
      </c>
      <c r="F846">
        <f>IF(Skills!N26=TRUE,(Skills!L26/10)*(E846/1000),Skills!L26/10)+Skills!O26</f>
        <v/>
      </c>
      <c r="G846">
        <f>Skills!G26*IF(Skills!H26&gt;0,Skills!I26/Skills!H26,1)</f>
        <v/>
      </c>
      <c r="H846">
        <f>1-(1-Skills!J26/100)^Skills!K26</f>
        <v/>
      </c>
      <c r="I846" t="inlineStr">
        <is>
          <t>1</t>
        </is>
      </c>
      <c r="J846" t="inlineStr"/>
      <c r="K846" t="inlineStr"/>
      <c r="L846" t="inlineStr"/>
      <c r="M846" t="inlineStr"/>
      <c r="N846" t="inlineStr"/>
      <c r="O846">
        <f>(1-Summary!$B$11)*T846+Summary!$B$11*V846</f>
        <v/>
      </c>
      <c r="P846">
        <f>IF(B865=0,0,O846/B865)</f>
        <v/>
      </c>
      <c r="Q846" t="n">
        <v>0</v>
      </c>
      <c r="R846" t="n">
        <v>0</v>
      </c>
      <c r="S846">
        <f>IFERROR(O846/N846,0)</f>
        <v/>
      </c>
      <c r="T846" t="n">
        <v>0</v>
      </c>
      <c r="V846" t="n">
        <v>0</v>
      </c>
    </row>
    <row r="847">
      <c r="A847">
        <f>Skills!A27</f>
        <v/>
      </c>
      <c r="B847">
        <f>Skills!B27</f>
        <v/>
      </c>
      <c r="C847">
        <f>Inputs!$B$3&gt;=38</f>
        <v/>
      </c>
      <c r="D847">
        <f>IF(Skills!C27=1,60+Inputs!$B$25+Inputs!$B$29,IF(Skills!C27=2,90+Inputs!$B$26+Inputs!$B$29,IF(Skills!C27=3,120+Inputs!$B$27+Inputs!$B$29,MAX(0,(Inputs!$B$3-100)*3)+Inputs!$B$28+Inputs!$B$29)))</f>
        <v/>
      </c>
      <c r="E847">
        <f>INDEX(FactorTable!$B$2:$Y$301, MATCH(ROUND(MIN(300,MAX(1,D847)),0), FactorTable!$A$2:$A$301,0), Skills!M27+1)</f>
        <v/>
      </c>
      <c r="F847">
        <f>IF(Skills!N27=TRUE,(Skills!L27/10)*(E847/1000),Skills!L27/10)+Skills!O27</f>
        <v/>
      </c>
      <c r="G847">
        <f>Skills!G27*IF(Skills!H27&gt;0,Skills!I27/Skills!H27,1)</f>
        <v/>
      </c>
      <c r="H847">
        <f>1-(1-Skills!J27/100)^Skills!K27</f>
        <v/>
      </c>
      <c r="I847" t="inlineStr">
        <is>
          <t>1</t>
        </is>
      </c>
      <c r="J847" t="inlineStr"/>
      <c r="K847" t="inlineStr"/>
      <c r="L847" t="inlineStr"/>
      <c r="M847" t="inlineStr"/>
      <c r="N847" t="inlineStr"/>
      <c r="O847">
        <f>(1-Summary!$B$11)*T847+Summary!$B$11*V847</f>
        <v/>
      </c>
      <c r="P847">
        <f>IF(B865=0,0,O847/B865)</f>
        <v/>
      </c>
      <c r="Q847" t="n">
        <v>0</v>
      </c>
      <c r="R847" t="n">
        <v>0</v>
      </c>
      <c r="S847">
        <f>IFERROR(O847/N847,0)</f>
        <v/>
      </c>
      <c r="T847" t="n">
        <v>0</v>
      </c>
      <c r="V847" t="n">
        <v>0</v>
      </c>
    </row>
    <row r="848">
      <c r="A848">
        <f>Skills!A28</f>
        <v/>
      </c>
      <c r="B848">
        <f>Skills!B28</f>
        <v/>
      </c>
      <c r="C848">
        <f>Inputs!$B$3&gt;=120</f>
        <v/>
      </c>
      <c r="D848">
        <f>IF(Skills!C28=1,60+Inputs!$B$25+Inputs!$B$29,IF(Skills!C28=2,90+Inputs!$B$26+Inputs!$B$29,IF(Skills!C28=3,120+Inputs!$B$27+Inputs!$B$29,MAX(0,(Inputs!$B$3-100)*3)+Inputs!$B$28+Inputs!$B$29)))</f>
        <v/>
      </c>
      <c r="E848">
        <f>INDEX(FactorTable!$B$2:$Y$301, MATCH(ROUND(MIN(300,MAX(1,D848)),0), FactorTable!$A$2:$A$301,0), Skills!M28+1)</f>
        <v/>
      </c>
      <c r="F848">
        <f>IF(Skills!N28=TRUE,(Skills!L28/10)*(E848/1000),Skills!L28/10)+Skills!O28</f>
        <v/>
      </c>
      <c r="G848">
        <f>Skills!G28*IF(Skills!H28&gt;0,Skills!I28/Skills!H28,1)</f>
        <v/>
      </c>
      <c r="H848">
        <f>1-(1-Skills!J28/100)^Skills!K28</f>
        <v/>
      </c>
      <c r="I848" t="inlineStr">
        <is>
          <t>1</t>
        </is>
      </c>
      <c r="J848" t="inlineStr"/>
      <c r="K848" t="inlineStr"/>
      <c r="L848" t="inlineStr"/>
      <c r="M848" t="inlineStr"/>
      <c r="N848" t="inlineStr"/>
      <c r="O848">
        <f>(1-Summary!$B$11)*T848+Summary!$B$11*V848</f>
        <v/>
      </c>
      <c r="P848">
        <f>IF(B865=0,0,O848/B865)</f>
        <v/>
      </c>
      <c r="Q848" t="n">
        <v>0</v>
      </c>
      <c r="R848" t="n">
        <v>0</v>
      </c>
      <c r="S848">
        <f>IFERROR(O848/N848,0)</f>
        <v/>
      </c>
      <c r="T848" t="n">
        <v>0</v>
      </c>
      <c r="V848" t="n">
        <v>0</v>
      </c>
    </row>
    <row r="849">
      <c r="A849">
        <f>Skills!A29</f>
        <v/>
      </c>
      <c r="B849">
        <f>Skills!B29</f>
        <v/>
      </c>
      <c r="C849">
        <f>Inputs!$B$3&gt;=120</f>
        <v/>
      </c>
      <c r="D849">
        <f>IF(Skills!C29=1,60+Inputs!$B$25+Inputs!$B$29,IF(Skills!C29=2,90+Inputs!$B$26+Inputs!$B$29,IF(Skills!C29=3,120+Inputs!$B$27+Inputs!$B$29,MAX(0,(Inputs!$B$3-100)*3)+Inputs!$B$28+Inputs!$B$29)))</f>
        <v/>
      </c>
      <c r="E849">
        <f>INDEX(FactorTable!$B$2:$Y$301, MATCH(ROUND(MIN(300,MAX(1,D849)),0), FactorTable!$A$2:$A$301,0), Skills!M29+1)</f>
        <v/>
      </c>
      <c r="F849">
        <f>IF(Skills!N29=TRUE,(Skills!L29/10)*(E849/1000),Skills!L29/10)+Skills!O29</f>
        <v/>
      </c>
      <c r="G849">
        <f>Skills!G29*IF(Skills!H29&gt;0,Skills!I29/Skills!H29,1)</f>
        <v/>
      </c>
      <c r="H849">
        <f>1-(1-Skills!J29/100)^Skills!K29</f>
        <v/>
      </c>
      <c r="I849" t="inlineStr">
        <is>
          <t>1</t>
        </is>
      </c>
      <c r="J849" t="inlineStr"/>
      <c r="K849" t="inlineStr"/>
      <c r="L849" t="inlineStr"/>
      <c r="M849" t="inlineStr"/>
      <c r="N849" t="inlineStr"/>
      <c r="O849">
        <f>(1-Summary!$B$11)*T849+Summary!$B$11*V849</f>
        <v/>
      </c>
      <c r="P849">
        <f>IF(B865=0,0,O849/B865)</f>
        <v/>
      </c>
      <c r="Q849" t="n">
        <v>0</v>
      </c>
      <c r="R849" t="n">
        <v>0</v>
      </c>
      <c r="S849">
        <f>IFERROR(O849/N849,0)</f>
        <v/>
      </c>
      <c r="T849" t="n">
        <v>0</v>
      </c>
      <c r="V849" t="n">
        <v>0</v>
      </c>
    </row>
    <row r="850">
      <c r="A850">
        <f>Skills!A30</f>
        <v/>
      </c>
      <c r="B850">
        <f>Skills!B30</f>
        <v/>
      </c>
      <c r="C850">
        <f>Inputs!$B$3&gt;=125</f>
        <v/>
      </c>
      <c r="D850">
        <f>IF(Skills!C30=1,60+Inputs!$B$25+Inputs!$B$29,IF(Skills!C30=2,90+Inputs!$B$26+Inputs!$B$29,IF(Skills!C30=3,120+Inputs!$B$27+Inputs!$B$29,MAX(0,(Inputs!$B$3-100)*3)+Inputs!$B$28+Inputs!$B$29)))</f>
        <v/>
      </c>
      <c r="E850">
        <f>INDEX(FactorTable!$B$2:$Y$301, MATCH(ROUND(MIN(300,MAX(1,D850)),0), FactorTable!$A$2:$A$301,0), Skills!M30+1)</f>
        <v/>
      </c>
      <c r="F850">
        <f>IF(Skills!N30=TRUE,(Skills!L30/10)*(E850/1000),Skills!L30/10)+Skills!O30</f>
        <v/>
      </c>
      <c r="G850">
        <f>Skills!G30*IF(Skills!H30&gt;0,Skills!I30/Skills!H30,1)</f>
        <v/>
      </c>
      <c r="H850">
        <f>1-(1-Skills!J30/100)^Skills!K30</f>
        <v/>
      </c>
      <c r="I850" t="inlineStr">
        <is>
          <t>1</t>
        </is>
      </c>
      <c r="J850" t="inlineStr"/>
      <c r="K850" t="inlineStr"/>
      <c r="L850" t="inlineStr"/>
      <c r="M850" t="inlineStr"/>
      <c r="N850" t="inlineStr"/>
      <c r="O850">
        <f>(1-Summary!$B$11)*T850+Summary!$B$11*V850</f>
        <v/>
      </c>
      <c r="P850">
        <f>IF(B865=0,0,O850/B865)</f>
        <v/>
      </c>
      <c r="Q850" t="n">
        <v>0</v>
      </c>
      <c r="R850" t="n">
        <v>0</v>
      </c>
      <c r="S850">
        <f>IFERROR(O850/N850,0)</f>
        <v/>
      </c>
      <c r="T850" t="n">
        <v>0</v>
      </c>
      <c r="V850" t="n">
        <v>0</v>
      </c>
    </row>
    <row r="852">
      <c r="A852" t="inlineStr">
        <is>
          <t>Average Buff Multiplier</t>
        </is>
      </c>
      <c r="B852">
        <f>(1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f>
        <v/>
      </c>
    </row>
    <row r="853">
      <c r="A853" t="inlineStr">
        <is>
          <t>Global Crit Rate Bonus %</t>
        </is>
      </c>
      <c r="B853">
        <f>((C840=TRUE)*F840*IF(AND(Inputs!$B$39&lt;&gt;"pvp",Inputs!$B$44&gt;0),(((R840-1)*(Skills!Y20*(1+Inputs!$B$34/100))+MIN((Skills!Y20*(1+Inputs!$B$34/100)),MAX(0,Inputs!$B$44-((R840-1)*Skills!D20))))/Inputs!$B$44),IF(Inputs!$B$39="pvp",MIN((Skills!Y20*(1+Inputs!$B$34/100)),15)/15,(Skills!Y20*(1+Inputs!$B$34/100))/Skills!D20)))</f>
        <v/>
      </c>
    </row>
    <row r="854">
      <c r="A854" t="inlineStr">
        <is>
          <t>Global Monster Damage-Taken Bonus %</t>
        </is>
      </c>
      <c r="B854">
        <f>IF(Inputs!$B$3&gt;=82,15,0)</f>
        <v/>
      </c>
    </row>
    <row r="855">
      <c r="A855" t="inlineStr">
        <is>
          <t>Shadow Partner Average Multiplier</t>
        </is>
      </c>
      <c r="B855">
        <f>1+((C827=TRUE)*F827*(1+3.3333333333333335*IF(C838=TRUE,F838,0)/100)*I827*Skills!J7/100)/100</f>
        <v/>
      </c>
    </row>
    <row r="856">
      <c r="A856" t="inlineStr">
        <is>
          <t>Attack Speed Buff Bonus %</t>
        </is>
      </c>
      <c r="B856">
        <f>((C839=TRUE)*F839*IF(AND(Inputs!$B$39&lt;&gt;"pvp",Inputs!$B$44&gt;0),(((R839-1)*(Skills!Y19*(1+Inputs!$B$34/100))+MIN((Skills!Y19*(1+Inputs!$B$34/100)),MAX(0,Inputs!$B$44-((R839-1)*Skills!D19))))/Inputs!$B$44),IF(Inputs!$B$39="pvp",MIN((Skills!Y19*(1+Inputs!$B$34/100)),15)/15,(Skills!Y19*(1+Inputs!$B$34/100))/Skills!D19)))+((C823=TRUE)*F823*3)</f>
        <v/>
      </c>
    </row>
    <row r="857">
      <c r="A857" t="inlineStr">
        <is>
          <t>Actions Per Second</t>
        </is>
      </c>
      <c r="B857">
        <f>1+MIN(150,150*(1-(1-(Inputs!$B$11+((C842=TRUE)*(F842-Calc!F22)))/150)*(1-B856/150)))/100</f>
        <v/>
      </c>
    </row>
    <row r="858">
      <c r="A858" t="inlineStr">
        <is>
          <t>Skill + Buff Cast Rate</t>
        </is>
      </c>
      <c r="B858">
        <f>IF(AND(Inputs!$B$39&lt;&gt;"pvp",Inputs!$B$44&gt;0),SUMPRODUCT((Skills!E2:E30=TRUE)*(C822:C850=TRUE)*R822:R850*Skills!F2:F30)/Inputs!$B$44,SUMPRODUCT((Skills!E2:E30=TRUE)*(C822:C850=TRUE)*Q822:Q850*Skills!F2:F30))</f>
        <v/>
      </c>
    </row>
    <row r="859">
      <c r="A859" t="inlineStr">
        <is>
          <t>Cruel Stab Casts Per Second</t>
        </is>
      </c>
      <c r="B859">
        <f>MAX(0,B857-B858)</f>
        <v/>
      </c>
    </row>
    <row r="860">
      <c r="A860" t="inlineStr">
        <is>
          <t>Global Critical Damage Bonus % (Smokescreen Mastery Lv.113)</t>
        </is>
      </c>
      <c r="B860">
        <f>IF(Inputs!$B$3&gt;=113,30,0)*IF(AND(Inputs!$B$39&lt;&gt;"pvp",Inputs!$B$44&gt;0),(((R835-1)*(Skills!Y15*(1+Inputs!$B$34/100))+MIN((Skills!Y15*(1+Inputs!$B$34/100)),MAX(0,Inputs!$B$44-((R835-1)*Skills!D15))))/Inputs!$B$44),IF(Inputs!$B$39="pvp",MIN((Skills!Y15*(1+Inputs!$B$34/100)),15)/15,(Skills!Y15*(1+Inputs!$B$34/100))/Skills!D15))</f>
        <v/>
      </c>
    </row>
    <row r="861">
      <c r="A861" t="inlineStr">
        <is>
          <t>Meso Explosion average stack count</t>
        </is>
      </c>
      <c r="B861">
        <f>MIN(10,0.5*B857*Skills!D4)</f>
        <v/>
      </c>
    </row>
    <row r="862">
      <c r="A862" t="inlineStr">
        <is>
          <t>Blood Money average stack count</t>
        </is>
      </c>
      <c r="B862">
        <f>MIN(5,0.25*B857*Skills!D4)</f>
        <v/>
      </c>
    </row>
    <row r="863">
      <c r="A863" t="inlineStr">
        <is>
          <t>Assassinate Murderous Intent Multiplier</t>
        </is>
      </c>
      <c r="B863">
        <f>1+IFERROR(MIN(1,Q834*2/Q831),0)</f>
        <v/>
      </c>
    </row>
    <row r="864">
      <c r="A864" t="inlineStr">
        <is>
          <t>Buff-Casting Startup Delay (s, fixed-duration only)</t>
        </is>
      </c>
      <c r="B864">
        <f>IF(AND(Inputs!$B$39&lt;&gt;"pvp",Inputs!$B$44&gt;0),SUMPRODUCT((Skills!Y2:Y30&gt;0)*(Skills!E2:E30=TRUE)*(C822:C850=TRUE))/B857,0)</f>
        <v/>
      </c>
    </row>
    <row r="865">
      <c r="A865" s="6" t="inlineStr">
        <is>
          <t>TOTAL DPS</t>
        </is>
      </c>
      <c r="B865" s="6">
        <f>SUM(O822:O850)</f>
        <v/>
      </c>
    </row>
    <row r="866">
      <c r="A866" t="inlineStr">
        <is>
          <t>Boss-Only Total DPS (this block's swept value)</t>
        </is>
      </c>
      <c r="B866">
        <f>SUM(T822:T850)</f>
        <v/>
      </c>
    </row>
    <row r="867">
      <c r="A867" t="inlineStr">
        <is>
          <t>Normal-Only Total DPS (this block's swept value)</t>
        </is>
      </c>
      <c r="B867">
        <f>SUM(V822:V850)</f>
        <v/>
      </c>
    </row>
    <row r="870">
      <c r="A870" s="6" t="inlineStr">
        <is>
          <t>Stat: Skill Level Bonus — 1st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872)</f>
        <v/>
      </c>
      <c r="L872">
        <f>K872*(MIN(Inputs!$B$22+((C894=TRUE)*(F894-Calc!F24)),(Inputs!$B$23+((C899=TRUE)*(F899-Calc!F29))+IF(ArtifactsInput!$M$15,CHOOSE(ArtifactsInput!$N$15+1,25,30,35,40,45,50)/100*(Inputs!$B$11-Inputs!$B$11),0)))/100+(Inputs!$B$23+((C899=TRUE)*(F899-Calc!F29))+IF(ArtifactsInput!$M$15,CHOOSE(ArtifactsInput!$N$15+1,25,30,35,40,45,50)/100*(Inputs!$B$11-Inputs!$B$11),0))/100)/2</f>
        <v/>
      </c>
      <c r="M872">
        <f>L872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2">
        <f>L872*(1-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872*(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2">
        <f>(1-Summary!$B$11)*T872+Summary!$B$11*V872</f>
        <v/>
      </c>
      <c r="P872">
        <f>IF(B915=0,0,O872/B915)</f>
        <v/>
      </c>
      <c r="Q872" t="n">
        <v>0</v>
      </c>
      <c r="R872" t="n">
        <v>0</v>
      </c>
      <c r="S872">
        <f>IFERROR(O872/N872,0)</f>
        <v/>
      </c>
      <c r="T872">
        <f>IF(C872,(Skills!G2*N872*B909)*IF(Inputs!$B$39="pvp",1,1+(Inputs!$B$20+0+Skills!P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872*(1-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872*(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872*(1-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872*(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2">
        <f>MAX(0,(Inputs!$B$3-100)*3)+Inputs!$B$28+Inputs!$B$29</f>
        <v/>
      </c>
      <c r="V872">
        <f>IF(C872,(Skills!G2*N872*B909)*IF(Inputs!$B$39="pvp",1,(1+(Inputs!$B$21+Skills!Q2+B904+(IF(ArtifactsInput!$M$33,CHOOSE(ArtifactsInput!$N$33+1,30,36,42,48,54,60),0))+(IF(AND(ArtifactsInput!$M$35,Inputs!$B$4&lt;&gt;"Chapter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3">
      <c r="A873">
        <f>Skills!A3</f>
        <v/>
      </c>
      <c r="B873">
        <f>Skills!B3</f>
        <v/>
      </c>
      <c r="C873">
        <f>Inputs!$B$3&gt;=35</f>
        <v/>
      </c>
      <c r="D873">
        <f>IF(Skills!C3=1,60+(Inputs!$B$25+1)+Inputs!$B$29,IF(Skills!C3=2,90+Inputs!$B$26+Inputs!$B$29,IF(Skills!C3=3,120+Inputs!$B$27+Inputs!$B$29,MAX(0,(Inputs!$B$3-100)*3)+Inputs!$B$28+Inputs!$B$29)))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t="inlineStr"/>
      <c r="K873" t="inlineStr"/>
      <c r="L873" t="inlineStr"/>
      <c r="M873" t="inlineStr"/>
      <c r="N873" t="inlineStr"/>
      <c r="O873">
        <f>(1-Summary!$B$11)*T873+Summary!$B$11*V873</f>
        <v/>
      </c>
      <c r="P873">
        <f>IF(B915=0,0,O873/B915)</f>
        <v/>
      </c>
      <c r="Q873" t="n">
        <v>0</v>
      </c>
      <c r="R873" t="n">
        <v>0</v>
      </c>
      <c r="S873">
        <f>IFERROR(O873/N873,0)</f>
        <v/>
      </c>
      <c r="T873" t="n">
        <v>0</v>
      </c>
      <c r="U873">
        <f>INDEX(FactorTable!$B$2:$Y$301, MATCH(ROUND(MIN(300,MAX(1,U872)),0), FactorTable!$A$2:$A$301,0), 22)</f>
        <v/>
      </c>
      <c r="V873" t="n">
        <v>0</v>
      </c>
    </row>
    <row r="874">
      <c r="A874">
        <f>Skills!A4</f>
        <v/>
      </c>
      <c r="B874">
        <f>Skills!B4</f>
        <v/>
      </c>
      <c r="C874">
        <f>Inputs!$B$3&gt;=66</f>
        <v/>
      </c>
      <c r="D874">
        <f>IF(Skills!C4=1,60+(Inputs!$B$25+1)+Inputs!$B$29,IF(Skills!C4=2,90+Inputs!$B$26+Inputs!$B$29,IF(Skills!C4=3,120+Inputs!$B$27+Inputs!$B$29,MAX(0,(Inputs!$B$3-100)*3)+Inputs!$B$28+Inputs!$B$29)))</f>
        <v/>
      </c>
      <c r="E874">
        <f>INDEX(FactorTable!$B$2:$Y$301, MATCH(ROUND(MIN(300,MAX(1,D874)),0), FactorTable!$A$2:$A$301,0), Skills!M4+1)</f>
        <v/>
      </c>
      <c r="F874">
        <f>IF(Skills!N4=TRUE,(Skills!L4/10)*(E874/1000),Skills!L4/10)+Skills!O4</f>
        <v/>
      </c>
      <c r="G874">
        <f>Skills!G4*IF(Skills!H4&gt;0,Skills!I4/Skills!H4,1)</f>
        <v/>
      </c>
      <c r="H874">
        <f>1-(1-Skills!J4/100)^Skills!K4</f>
        <v/>
      </c>
      <c r="I874" t="inlineStr">
        <is>
          <t>1</t>
        </is>
      </c>
      <c r="J874">
        <f>((Inputs!$B$6*(1+Inputs!$B$7/100))+(((Inputs!$B$12*(1+Inputs!$B$13/100))-(Inputs!$B$12*(1+Inputs!$B$13/100)))+0.25*(Inputs!$B$14-Inputs!$B$14))*(1+Inputs!$B$7/100))*(F874/100)</f>
        <v/>
      </c>
      <c r="K874">
        <f>J874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874)</f>
        <v/>
      </c>
      <c r="L874">
        <f>K874*(MIN(Inputs!$B$22+((C894=TRUE)*(F894-Calc!F24)),(Inputs!$B$23+((C899=TRUE)*(F899-Calc!F29))+IF(ArtifactsInput!$M$15,CHOOSE(ArtifactsInput!$N$15+1,25,30,35,40,45,50)/100*(Inputs!$B$11-Inputs!$B$11),0)))/100+(Inputs!$B$23+((C899=TRUE)*(F899-Calc!F29))+IF(ArtifactsInput!$M$15,CHOOSE(ArtifactsInput!$N$15+1,25,30,35,40,45,50)/100*(Inputs!$B$11-Inputs!$B$11),0))/100)/2</f>
        <v/>
      </c>
      <c r="M874">
        <f>L874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4">
        <f>L874*(1-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874*(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4">
        <f>(1-Summary!$B$11)*T874+Summary!$B$11*V874</f>
        <v/>
      </c>
      <c r="P874">
        <f>IF(B915=0,0,O874/B915)</f>
        <v/>
      </c>
      <c r="Q874">
        <f>IFERROR(1/IF(Inputs!$B$39="pvp",15,MAX(0.1,Skills!D4-IF(Skills!E4=TRUE,Inputs!$B$32,0))),0)</f>
        <v/>
      </c>
      <c r="R874">
        <f>IF(AND(Inputs!$B$39&lt;&gt;"pvp",Inputs!$B$44&gt;0),IF(MAX(0,Inputs!$B$44-B914)&lt;=0,0,(INT(MAX(0,Inputs!$B$44-B914)/IF(Inputs!$B$39="pvp",15,MAX(0.1,Skills!D4-IF(Skills!E4=TRUE,Inputs!$B$32,0))))+1)),0)</f>
        <v/>
      </c>
      <c r="S874">
        <f>IFERROR(O874/N874,0)</f>
        <v/>
      </c>
      <c r="T874">
        <f>IF(C874,(H874*N874*IF(AND(Inputs!$B$39&lt;&gt;"pvp",Inputs!$B$44&gt;0),((Skills!G4*((R874-1)*IF(Skills!H4&gt;0,Skills!I4/Skills!H4,1)+IF(Skills!H4&gt;0,MIN(Skills!I4,MAX(0,MAX(0,Inputs!$B$44-B914)-((R874-1)*IF(Inputs!$B$39="pvp",15,MAX(0.1,Skills!D4-IF(Skills!E4=TRUE,Inputs!$B$32,0))))))/Skills!H4,1)))/Inputs!$B$44),G874*Q874))*IF(Inputs!$B$39="pvp",1,1+(Inputs!$B$20+0+Skills!P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874*(1-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874*(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874*(1-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874*(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4">
        <f>290*U873/1000</f>
        <v/>
      </c>
      <c r="V874">
        <f>IF(C874,(H874*N874*IF(AND(Inputs!$B$39&lt;&gt;"pvp",Inputs!$B$44&gt;0),((Skills!G4*((R874-1)*IF(Skills!H4&gt;0,Skills!I4/Skills!H4,1)+IF(Skills!H4&gt;0,MIN(Skills!I4,MAX(0,MAX(0,Inputs!$B$44-B914)-((R874-1)*IF(Inputs!$B$39="pvp",15,MAX(0.1,Skills!D4-IF(Skills!E4=TRUE,Inputs!$B$32,0))))))/Skills!H4,1)))/Inputs!$B$44),G874*Q874))*IF(Inputs!$B$39="pvp",1,(1+(Inputs!$B$21+Skills!Q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(10,0.5*B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5">
      <c r="A875">
        <f>Skills!A5</f>
        <v/>
      </c>
      <c r="B875">
        <f>Skills!B5</f>
        <v/>
      </c>
      <c r="C875">
        <f>Inputs!$B$3&gt;=63</f>
        <v/>
      </c>
      <c r="D875">
        <f>IF(Skills!C5=1,60+(Inputs!$B$25+1)+Inputs!$B$29,IF(Skills!C5=2,90+Inputs!$B$26+Inputs!$B$29,IF(Skills!C5=3,120+Inputs!$B$27+Inputs!$B$29,MAX(0,(Inputs!$B$3-100)*3)+Inputs!$B$28+Inputs!$B$29)))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888=TRUE,F888,0)/100)*(1+(IF(Skills!A5="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875)</f>
        <v/>
      </c>
      <c r="L875">
        <f>K875*(MIN(Inputs!$B$22+((C894=TRUE)*(F894-Calc!F24)),(Inputs!$B$23+((C899=TRUE)*(F899-Calc!F29))+IF(ArtifactsInput!$M$15,CHOOSE(ArtifactsInput!$N$15+1,25,30,35,40,45,50)/100*(Inputs!$B$11-Inputs!$B$11),0)))/100+(Inputs!$B$23+((C899=TRUE)*(F899-Calc!F29))+IF(ArtifactsInput!$M$15,CHOOSE(ArtifactsInput!$N$15+1,25,30,35,40,45,50)/100*(Inputs!$B$11-Inputs!$B$11),0))/100)/2</f>
        <v/>
      </c>
      <c r="M875">
        <f>L875*(1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5">
        <f>L875*(1-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875*(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5">
        <f>(1-Summary!$B$11)*T875+Summary!$B$11*V875</f>
        <v/>
      </c>
      <c r="P875">
        <f>IF(B915=0,0,O875/B915)</f>
        <v/>
      </c>
      <c r="Q875">
        <f>IFERROR(1/IF(Inputs!$B$39="pvp",15,MAX(0.1,Skills!D5-IF(Skills!E5=TRUE,Inputs!$B$32,0))),0)</f>
        <v/>
      </c>
      <c r="R875">
        <f>IF(AND(Inputs!$B$39&lt;&gt;"pvp",Inputs!$B$44&gt;0),IF(MAX(0,Inputs!$B$44-B914)&lt;=0,0,(INT(MAX(0,Inputs!$B$44-B914)/IF(Inputs!$B$39="pvp",15,MAX(0.1,Skills!D5-IF(Skills!E5=TRUE,Inputs!$B$32,0))))+1)),0)</f>
        <v/>
      </c>
      <c r="S875">
        <f>IFERROR(O875/N875,0)</f>
        <v/>
      </c>
      <c r="T875">
        <f>IF(C875,(H875*N875*IF(AND(Inputs!$B$39&lt;&gt;"pvp",Inputs!$B$44&gt;0),((Skills!G5*((R875-1)*IF(Skills!H5&gt;0,Skills!I5/Skills!H5,1)+IF(Skills!H5&gt;0,MIN(Skills!I5,MAX(0,MAX(0,Inputs!$B$44-B914)-((R875-1)*IF(Inputs!$B$39="pvp",15,MAX(0.1,Skills!D5-IF(Skills!E5=TRUE,Inputs!$B$32,0))))))/Skills!H5,1)))/Inputs!$B$44),G875*Q875))*IF(Inputs!$B$39="pvp",1,1+(Inputs!$B$20+0+Skills!P5+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875*(1-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875*(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875*(1-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875*(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5">
        <f>IF(C875,(H875*N875*IF(AND(Inputs!$B$39&lt;&gt;"pvp",Inputs!$B$44&gt;0),((Skills!G5*((R875-1)*IF(Skills!H5&gt;0,Skills!I5/Skills!H5,1)+IF(Skills!H5&gt;0,MIN(Skills!I5,MAX(0,MAX(0,Inputs!$B$44-B914)-((R875-1)*IF(Inputs!$B$39="pvp",15,MAX(0.1,Skills!D5-IF(Skills!E5=TRUE,Inputs!$B$32,0))))))/Skills!H5,1)))/Inputs!$B$44),G875*Q875))*IF(Inputs!$B$39="pvp",1,(1+(Inputs!$B$21+Skills!Q5+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6">
      <c r="A876">
        <f>Skills!A6</f>
        <v/>
      </c>
      <c r="B876">
        <f>Skills!B6</f>
        <v/>
      </c>
      <c r="C876">
        <f>Inputs!$B$3&gt;=69</f>
        <v/>
      </c>
      <c r="D876">
        <f>IF(Skills!C6=1,60+(Inputs!$B$25+1)+Inputs!$B$29,IF(Skills!C6=2,90+Inputs!$B$26+Inputs!$B$29,IF(Skills!C6=3,120+Inputs!$B$27+Inputs!$B$29,MAX(0,(Inputs!$B$3-100)*3)+Inputs!$B$28+Inputs!$B$29)))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888=TRUE,F888,0)/100)*(1+(IF(Skills!A6="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876)</f>
        <v/>
      </c>
      <c r="L876">
        <f>K876*(MIN(Inputs!$B$22+((C894=TRUE)*(F894-Calc!F24)),(Inputs!$B$23+((C899=TRUE)*(F899-Calc!F29))+IF(ArtifactsInput!$M$15,CHOOSE(ArtifactsInput!$N$15+1,25,30,35,40,45,50)/100*(Inputs!$B$11-Inputs!$B$11),0)))/100+(Inputs!$B$23+((C899=TRUE)*(F899-Calc!F29))+IF(ArtifactsInput!$M$15,CHOOSE(ArtifactsInput!$N$15+1,25,30,35,40,45,50)/100*(Inputs!$B$11-Inputs!$B$11),0))/100)/2</f>
        <v/>
      </c>
      <c r="M876">
        <f>L876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6">
        <f>L876*(1-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IF(B915=0,0,O876/B915)</f>
        <v/>
      </c>
      <c r="Q876">
        <f>IFERROR(1/IF(Inputs!$B$39="pvp",15,MAX(0.1,Skills!D6-IF(Skills!E6=TRUE,Inputs!$B$32,0))),0)</f>
        <v/>
      </c>
      <c r="R876">
        <f>IF(AND(Inputs!$B$39&lt;&gt;"pvp",Inputs!$B$44&gt;0),IF(MAX(0,Inputs!$B$44-B914)&lt;=0,0,(INT(MAX(0,Inputs!$B$44-B914)/IF(Inputs!$B$39="pvp",15,MAX(0.1,Skills!D6-IF(Skills!E6=TRUE,Inputs!$B$32,0))))+1)),0)</f>
        <v/>
      </c>
      <c r="S876">
        <f>IFERROR(O876/N876,0)</f>
        <v/>
      </c>
      <c r="T876">
        <f>IF(C876,(H876*N876*IF(AND(Inputs!$B$39&lt;&gt;"pvp",Inputs!$B$44&gt;0),((Skills!G6*((R876-1)*IF(Skills!H6&gt;0,Skills!I6/Skills!H6,1)+IF(Skills!H6&gt;0,MIN(Skills!I6,MAX(0,MAX(0,Inputs!$B$44-B914)-((R876-1)*IF(Inputs!$B$39="pvp",15,MAX(0.1,Skills!D6-IF(Skills!E6=TRUE,Inputs!$B$32,0))))))/Skills!H6,1)))/Inputs!$B$44),G876*Q876))*IF(Inputs!$B$39="pvp",1,1+(Inputs!$B$20+0+Skills!P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876*(1-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6*((R876-1)*IF(Skills!H6&gt;0,Skills!I6/Skills!H6,1)+IF(Skills!H6&gt;0,MIN(Skills!I6,MAX(0,MAX(0,Inputs!$B$44-B914)-((R876-1)*IF(Inputs!$B$39="pvp",15,MAX(0.1,Skills!D6-IF(Skills!E6=TRUE,Inputs!$B$32,0))))))/Skills!H6,1)))/Inputs!$B$44),G876*Q876))*IF(Inputs!$B$39="pvp",1,(1+(Inputs!$B$21+Skills!Q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Skills!A7</f>
        <v/>
      </c>
      <c r="B877">
        <f>Skills!B7</f>
        <v/>
      </c>
      <c r="C877">
        <f>Inputs!$B$3&gt;=60</f>
        <v/>
      </c>
      <c r="D877">
        <f>IF(Skills!C7=1,60+(Inputs!$B$25+1)+Inputs!$B$29,IF(Skills!C7=2,90+Inputs!$B$26+Inputs!$B$29,IF(Skills!C7=3,120+Inputs!$B$27+Inputs!$B$29,MAX(0,(Inputs!$B$3-100)*3)+Inputs!$B$28+Inputs!$B$29)))</f>
        <v/>
      </c>
      <c r="E877">
        <f>INDEX(FactorTable!$B$2:$Y$301, MATCH(ROUND(MIN(300,MAX(1,D877)),0), FactorTable!$A$2:$A$301,0), Skills!M7+1)</f>
        <v/>
      </c>
      <c r="F877">
        <f>IF(Skills!N7=TRUE,(Skills!L7/10)*(E877/1000),Skills!L7/10)+Skills!O7</f>
        <v/>
      </c>
      <c r="G877">
        <f>Skills!G7*IF(Skills!H7&gt;0,Skills!I7/Skills!H7,1)</f>
        <v/>
      </c>
      <c r="H877">
        <f>1-(1-Skills!J7/100)^Skills!K7</f>
        <v/>
      </c>
      <c r="I877" t="inlineStr">
        <is>
          <t>1</t>
        </is>
      </c>
      <c r="J877" t="inlineStr"/>
      <c r="K877" t="inlineStr"/>
      <c r="L877" t="inlineStr"/>
      <c r="M877" t="inlineStr"/>
      <c r="N877" t="inlineStr"/>
      <c r="O877">
        <f>(1-Summary!$B$11)*T877+Summary!$B$11*V877</f>
        <v/>
      </c>
      <c r="P877">
        <f>IF(B915=0,0,O877/B915)</f>
        <v/>
      </c>
      <c r="Q877" t="n">
        <v>0</v>
      </c>
      <c r="R877" t="n">
        <v>0</v>
      </c>
      <c r="S877">
        <f>IFERROR(O877/N877,0)</f>
        <v/>
      </c>
      <c r="T877" t="n">
        <v>0</v>
      </c>
      <c r="V877" t="n">
        <v>0</v>
      </c>
    </row>
    <row r="878">
      <c r="A878">
        <f>Skills!A8</f>
        <v/>
      </c>
      <c r="B878">
        <f>Skills!B8</f>
        <v/>
      </c>
      <c r="C878">
        <f>Inputs!$B$3&gt;=72</f>
        <v/>
      </c>
      <c r="D878">
        <f>IF(Skills!C8=1,60+(Inputs!$B$25+1)+Inputs!$B$29,IF(Skills!C8=2,90+Inputs!$B$26+Inputs!$B$29,IF(Skills!C8=3,120+Inputs!$B$27+Inputs!$B$29,MAX(0,(Inputs!$B$3-100)*3)+Inputs!$B$28+Inputs!$B$29)))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888=TRUE,F888,0)/100)*(1+(IF(Skills!A8="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878)</f>
        <v/>
      </c>
      <c r="L878">
        <f>K878*(MIN(Inputs!$B$22+((C894=TRUE)*(F894-Calc!F24)),(Inputs!$B$23+((C899=TRUE)*(F899-Calc!F29))+IF(ArtifactsInput!$M$15,CHOOSE(ArtifactsInput!$N$15+1,25,30,35,40,45,50)/100*(Inputs!$B$11-Inputs!$B$11),0)))/100+(Inputs!$B$23+((C899=TRUE)*(F899-Calc!F29))+IF(ArtifactsInput!$M$15,CHOOSE(ArtifactsInput!$N$15+1,25,30,35,40,45,50)/100*(Inputs!$B$11-Inputs!$B$11),0))/100)/2</f>
        <v/>
      </c>
      <c r="M878">
        <f>L878*(1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8">
        <f>L878*(1-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IF(B915=0,0,O878/B915)</f>
        <v/>
      </c>
      <c r="Q878">
        <f>IFERROR(1/IF(Inputs!$B$39="pvp",15,MAX(0.1,Skills!D8-IF(Skills!E8=TRUE,Inputs!$B$32,0))),0)</f>
        <v/>
      </c>
      <c r="R878">
        <f>IF(AND(Inputs!$B$39&lt;&gt;"pvp",Inputs!$B$44&gt;0),IF(MAX(0,Inputs!$B$44-B914)&lt;=0,0,(INT(MAX(0,Inputs!$B$44-B914)/IF(Inputs!$B$39="pvp",15,MAX(0.1,Skills!D8-IF(Skills!E8=TRUE,Inputs!$B$32,0))))+1)),0)</f>
        <v/>
      </c>
      <c r="S878">
        <f>IFERROR(O878/N878,0)</f>
        <v/>
      </c>
      <c r="T878">
        <f>IF(C878,(H878*N878*IF(AND(Inputs!$B$39&lt;&gt;"pvp",Inputs!$B$44&gt;0),((Skills!G8*((R878-1)*IF(Skills!H8&gt;0,Skills!I8/Skills!H8,1)+IF(Skills!H8&gt;0,MIN(Skills!I8,MAX(0,MAX(0,Inputs!$B$44-B914)-((R878-1)*IF(Inputs!$B$39="pvp",15,MAX(0.1,Skills!D8-IF(Skills!E8=TRUE,Inputs!$B$32,0))))))/Skills!H8,1)))/Inputs!$B$44),G878*Q878))*IF(Inputs!$B$39="pvp",1,1+(Inputs!$B$20+0+Skills!P8+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878*(1-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8*((R878-1)*IF(Skills!H8&gt;0,Skills!I8/Skills!H8,1)+IF(Skills!H8&gt;0,MIN(Skills!I8,MAX(0,MAX(0,Inputs!$B$44-B914)-((R878-1)*IF(Inputs!$B$39="pvp",15,MAX(0.1,Skills!D8-IF(Skills!E8=TRUE,Inputs!$B$32,0))))))/Skills!H8,1)))/Inputs!$B$44),G878*Q878))*IF(Inputs!$B$39="pvp",1,(1+(Inputs!$B$21+Skills!Q8+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Skills!A9</f>
        <v/>
      </c>
      <c r="B879">
        <f>Skills!B9</f>
        <v/>
      </c>
      <c r="C879">
        <f>Inputs!$B$3&gt;=117</f>
        <v/>
      </c>
      <c r="D879">
        <f>IF(Skills!C9=1,60+(Inputs!$B$25+1)+Inputs!$B$29,IF(Skills!C9=2,90+Inputs!$B$26+Inputs!$B$29,IF(Skills!C9=3,120+Inputs!$B$27+Inputs!$B$29,MAX(0,(Inputs!$B$3-100)*3)+Inputs!$B$28+Inputs!$B$29)))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879)</f>
        <v/>
      </c>
      <c r="L879">
        <f>K879*(MIN(Inputs!$B$22+((C894=TRUE)*(F894-Calc!F24)),(Inputs!$B$23+((C899=TRUE)*(F899-Calc!F29))+IF(ArtifactsInput!$M$15,CHOOSE(ArtifactsInput!$N$15+1,25,30,35,40,45,50)/100*(Inputs!$B$11-Inputs!$B$11),0)))/100+(Inputs!$B$23+((C899=TRUE)*(F899-Calc!F29))+IF(ArtifactsInput!$M$15,CHOOSE(ArtifactsInput!$N$15+1,25,30,35,40,45,50)/100*(Inputs!$B$11-Inputs!$B$11),0))/100)/2</f>
        <v/>
      </c>
      <c r="M879">
        <f>L879*(1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9">
        <f>L879*(1-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879*(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9">
        <f>(1-Summary!$B$11)*T879+Summary!$B$11*V879</f>
        <v/>
      </c>
      <c r="P879">
        <f>IF(B915=0,0,O879/B915)</f>
        <v/>
      </c>
      <c r="Q879" t="n">
        <v>0</v>
      </c>
      <c r="R879" t="n">
        <v>0</v>
      </c>
      <c r="S879" t="n">
        <v>0</v>
      </c>
      <c r="T879">
        <f>IF(C879,(0.2*SUMPRODUCT((Skills!Z2:Z30=TRUE)*(C872:C900=TRUE)*S872:S900)*N879)*IF(Inputs!$B$39="pvp",1,1+(Inputs!$B$20+0+Skills!P9+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879*(1-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879*(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879*(1-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879*(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9">
        <f>IF(C879,(0.2*SUMPRODUCT((Skills!Z2:Z30=TRUE)*(C872:C900=TRUE)*S872:S900)*N879)*IF(Inputs!$B$39="pvp",1,(1+(Inputs!$B$21+Skills!Q9+B904+(IF(ArtifactsInput!$M$33,CHOOSE(ArtifactsInput!$N$33+1,30,36,42,48,54,60),0))+(IF(AND(ArtifactsInput!$M$35,Inputs!$B$4&lt;&gt;"Chapter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0">
      <c r="A880">
        <f>Skills!A10</f>
        <v/>
      </c>
      <c r="B880">
        <f>Skills!B10</f>
        <v/>
      </c>
      <c r="C880">
        <f>Inputs!$B$3&gt;=74</f>
        <v/>
      </c>
      <c r="D880">
        <f>IF(Skills!C10=1,60+(Inputs!$B$25+1)+Inputs!$B$29,IF(Skills!C10=2,90+Inputs!$B$26+Inputs!$B$29,IF(Skills!C10=3,120+Inputs!$B$27+Inputs!$B$29,MAX(0,(Inputs!$B$3-100)*3)+Inputs!$B$28+Inputs!$B$29)))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t="inlineStr"/>
      <c r="K880" t="inlineStr"/>
      <c r="L880" t="inlineStr"/>
      <c r="M880" t="inlineStr"/>
      <c r="N880" t="inlineStr"/>
      <c r="O880">
        <f>(1-Summary!$B$11)*T880+Summary!$B$11*V880</f>
        <v/>
      </c>
      <c r="P880">
        <f>IF(B915=0,0,O880/B915)</f>
        <v/>
      </c>
      <c r="Q880">
        <f>IFERROR(1/IF(Inputs!$B$39="pvp",15,MAX(0.1,Skills!D10-IF(Skills!E10=TRUE,Inputs!$B$32,0))),0)</f>
        <v/>
      </c>
      <c r="R880">
        <f>IF(AND(Inputs!$B$39&lt;&gt;"pvp",Inputs!$B$44&gt;0),IF(Inputs!$B$44&lt;=0,0,(INT(Inputs!$B$44/IF(Inputs!$B$39="pvp",15,MAX(0.1,Skills!D10-IF(Skills!E10=TRUE,Inputs!$B$32,0))))+1)),0)</f>
        <v/>
      </c>
      <c r="S880">
        <f>IFERROR(O880/N880,0)</f>
        <v/>
      </c>
      <c r="T880" t="n">
        <v>0</v>
      </c>
      <c r="V880" t="n">
        <v>0</v>
      </c>
    </row>
    <row r="881">
      <c r="A881">
        <f>Skills!A11</f>
        <v/>
      </c>
      <c r="B881">
        <f>Skills!B11</f>
        <v/>
      </c>
      <c r="C881">
        <f>Inputs!$B$3&gt;=103</f>
        <v/>
      </c>
      <c r="D881">
        <f>IF(Skills!C11=1,60+(Inputs!$B$25+1)+Inputs!$B$29,IF(Skills!C11=2,90+Inputs!$B$26+Inputs!$B$29,IF(Skills!C11=3,120+Inputs!$B$27+Inputs!$B$29,MAX(0,(Inputs!$B$3-100)*3)+Inputs!$B$28+Inputs!$B$29)))</f>
        <v/>
      </c>
      <c r="E881">
        <f>INDEX(FactorTable!$B$2:$Y$301, MATCH(ROUND(MIN(300,MAX(1,D881)),0), FactorTable!$A$2:$A$301,0), Skills!M11+1)</f>
        <v/>
      </c>
      <c r="F881">
        <f>(Skills!L11/10)*(E881/1000)+IF(Inputs!$B$3&gt;=134,50,0)+0.5*(30000/10)*(INDEX(FactorTable!$B$2:$Y$301, MATCH(ROUND(MIN(300,MAX(1,D881)),0), FactorTable!$A$2:$A$301,0), 13)/1000)*B913</f>
        <v/>
      </c>
      <c r="G881">
        <f>Skills!G11*IF(Skills!H11&gt;0,Skills!I11/Skills!H11,1)</f>
        <v/>
      </c>
      <c r="H881">
        <f>1-(1-Skills!J11/100)^Skills!K11</f>
        <v/>
      </c>
      <c r="I881" t="inlineStr">
        <is>
          <t>1</t>
        </is>
      </c>
      <c r="J881">
        <f>((Inputs!$B$6*(1+Inputs!$B$7/100))+(((Inputs!$B$12*(1+Inputs!$B$13/100))-(Inputs!$B$12*(1+Inputs!$B$13/100)))+0.25*(Inputs!$B$14-Inputs!$B$14))*(1+Inputs!$B$7/100))*(F881/100)</f>
        <v/>
      </c>
      <c r="K881">
        <f>J881*(1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881)</f>
        <v/>
      </c>
      <c r="L881">
        <f>K881*(MIN(Inputs!$B$22+((C894=TRUE)*(F894-Calc!F24)),(Inputs!$B$23+((C899=TRUE)*(F899-Calc!F29))+IF(ArtifactsInput!$M$15,CHOOSE(ArtifactsInput!$N$15+1,25,30,35,40,45,50)/100*(Inputs!$B$11-Inputs!$B$11),0)))/100+(Inputs!$B$23+((C899=TRUE)*(F899-Calc!F29))+IF(ArtifactsInput!$M$15,CHOOSE(ArtifactsInput!$N$15+1,25,30,35,40,45,50)/100*(Inputs!$B$11-Inputs!$B$11),0))/100)/2</f>
        <v/>
      </c>
      <c r="M881">
        <f>L881*(1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1">
        <f>L881*(1-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IF(B915=0,0,O881/B915)</f>
        <v/>
      </c>
      <c r="Q881">
        <f>IFERROR(1/IF(Inputs!$B$39="pvp",15,MAX(0.1,Skills!D11-IF(Skills!E11=TRUE,Inputs!$B$32,0))),0)</f>
        <v/>
      </c>
      <c r="R881">
        <f>IF(AND(Inputs!$B$39&lt;&gt;"pvp",Inputs!$B$44&gt;0),IF(MAX(0,Inputs!$B$44-B914)&lt;=0,0,(INT(MAX(0,Inputs!$B$44-B914)/IF(Inputs!$B$39="pvp",15,MAX(0.1,Skills!D11-IF(Skills!E11=TRUE,Inputs!$B$32,0))))+1)),0)</f>
        <v/>
      </c>
      <c r="S881">
        <f>IFERROR(O881/N881,0)</f>
        <v/>
      </c>
      <c r="T881">
        <f>IF(C881,(H881*N881*IF(AND(Inputs!$B$39&lt;&gt;"pvp",Inputs!$B$44&gt;0),((Skills!G11*((R881-1)*IF(Skills!H11&gt;0,Skills!I11/Skills!H11,1)+IF(Skills!H11&gt;0,MIN(Skills!I11,MAX(0,MAX(0,Inputs!$B$44-B914)-((R881-1)*IF(Inputs!$B$39="pvp",15,MAX(0.1,Skills!D11-IF(Skills!E11=TRUE,Inputs!$B$32,0))))))/Skills!H11,1)))/Inputs!$B$44),G881*Q881))*IF(Inputs!$B$39="pvp",1,1+(Inputs!$B$20+0+Skills!P11+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881*(1-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11*((R881-1)*IF(Skills!H11&gt;0,Skills!I11/Skills!H11,1)+IF(Skills!H11&gt;0,MIN(Skills!I11,MAX(0,MAX(0,Inputs!$B$44-B914)-((R881-1)*IF(Inputs!$B$39="pvp",15,MAX(0.1,Skills!D11-IF(Skills!E11=TRUE,Inputs!$B$32,0))))))/Skills!H11,1)))/Inputs!$B$44),G881*Q881))*IF(Inputs!$B$39="pvp",1,(1+(Inputs!$B$21+Skills!Q11+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Skills!A12</f>
        <v/>
      </c>
      <c r="B882">
        <f>Skills!B12</f>
        <v/>
      </c>
      <c r="C882">
        <f>Inputs!$B$3&gt;=105</f>
        <v/>
      </c>
      <c r="D882">
        <f>IF(Skills!C12=1,60+(Inputs!$B$25+1)+Inputs!$B$29,IF(Skills!C12=2,90+Inputs!$B$26+Inputs!$B$29,IF(Skills!C12=3,120+Inputs!$B$27+Inputs!$B$29,MAX(0,(Inputs!$B$3-100)*3)+Inputs!$B$28+Inputs!$B$29)))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882)</f>
        <v/>
      </c>
      <c r="L882">
        <f>K882*(MIN(Inputs!$B$22+((C894=TRUE)*(F894-Calc!F24)),(Inputs!$B$23+((C899=TRUE)*(F899-Calc!F29))+IF(ArtifactsInput!$M$15,CHOOSE(ArtifactsInput!$N$15+1,25,30,35,40,45,50)/100*(Inputs!$B$11-Inputs!$B$11),0)))/100+(Inputs!$B$23+((C899=TRUE)*(F899-Calc!F29))+IF(ArtifactsInput!$M$15,CHOOSE(ArtifactsInput!$N$15+1,25,30,35,40,45,50)/100*(Inputs!$B$11-Inputs!$B$11),0))/100)/2</f>
        <v/>
      </c>
      <c r="M882">
        <f>L882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2">
        <f>L882*(1-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882*(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2">
        <f>(1-Summary!$B$11)*T882+Summary!$B$11*V882</f>
        <v/>
      </c>
      <c r="P882">
        <f>IF(B915=0,0,O882/B915)</f>
        <v/>
      </c>
      <c r="Q882">
        <f>IFERROR(1/IF(Inputs!$B$39="pvp",15,MAX(0.1,Skills!D12-IF(Skills!E12=TRUE,Inputs!$B$32,0))),0)</f>
        <v/>
      </c>
      <c r="R882">
        <f>IF(AND(Inputs!$B$39&lt;&gt;"pvp",Inputs!$B$44&gt;0),IF(MAX(0,Inputs!$B$44-B914)&lt;=0,0,(INT(MAX(0,Inputs!$B$44-B914)/IF(Inputs!$B$39="pvp",15,MAX(0.1,Skills!D12-IF(Skills!E12=TRUE,Inputs!$B$32,0))))+1)),0)</f>
        <v/>
      </c>
      <c r="S882">
        <f>IFERROR(O882/N882,0)</f>
        <v/>
      </c>
      <c r="T882">
        <f>IF(C882,(H882*N882*IF(AND(Inputs!$B$39&lt;&gt;"pvp",Inputs!$B$44&gt;0),((Skills!G12*((R882-1)*IF(Skills!H12&gt;0,Skills!I12/Skills!H12,1)+IF(Skills!H12&gt;0,MIN(Skills!I12,MAX(0,MAX(0,Inputs!$B$44-B914)-((R882-1)*IF(Inputs!$B$39="pvp",15,MAX(0.1,Skills!D12-IF(Skills!E12=TRUE,Inputs!$B$32,0))))))/Skills!H12,1)))/Inputs!$B$44),G882*Q882))*IF(Inputs!$B$39="pvp",1,1+(Inputs!$B$20+0+Skills!P12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882*(1-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882*(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882*(1-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882*(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2">
        <f>IF(C882,(H882*N882*IF(AND(Inputs!$B$39&lt;&gt;"pvp",Inputs!$B$44&gt;0),((Skills!G12*((R882-1)*IF(Skills!H12&gt;0,Skills!I12/Skills!H12,1)+IF(Skills!H12&gt;0,MIN(Skills!I12,MAX(0,MAX(0,Inputs!$B$44-B914)-((R882-1)*IF(Inputs!$B$39="pvp",15,MAX(0.1,Skills!D12-IF(Skills!E12=TRUE,Inputs!$B$32,0))))))/Skills!H12,1)))/Inputs!$B$44),G882*Q882))*IF(Inputs!$B$39="pvp",1,(1+(Inputs!$B$21+Skills!Q12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3">
      <c r="A883">
        <f>Skills!A13</f>
        <v/>
      </c>
      <c r="B883">
        <f>Skills!B13</f>
        <v/>
      </c>
      <c r="C883">
        <f>Inputs!$B$3&gt;=105</f>
        <v/>
      </c>
      <c r="D883">
        <f>IF(Skills!C13=1,60+(Inputs!$B$25+1)+Inputs!$B$29,IF(Skills!C13=2,90+Inputs!$B$26+Inputs!$B$29,IF(Skills!C13=3,120+Inputs!$B$27+Inputs!$B$29,MAX(0,(Inputs!$B$3-100)*3)+Inputs!$B$28+Inputs!$B$29)))</f>
        <v/>
      </c>
      <c r="E883">
        <f>INDEX(FactorTable!$B$2:$Y$301, MATCH(ROUND(MIN(300,MAX(1,D883)),0), FactorTable!$A$2:$A$301,0), Skills!M13+1)</f>
        <v/>
      </c>
      <c r="F883">
        <f>IF(Skills!N13=TRUE,(Skills!L13/10)*(E883/1000),Skills!L13/10)+Skills!O13</f>
        <v/>
      </c>
      <c r="G883">
        <f>Skills!G13*IF(Skills!H13&gt;0,Skills!I13/Skills!H13,1)</f>
        <v/>
      </c>
      <c r="H883">
        <f>1-(1-Skills!J13/100)^Skills!K13</f>
        <v/>
      </c>
      <c r="I883" t="inlineStr">
        <is>
          <t>1</t>
        </is>
      </c>
      <c r="J883">
        <f>((Inputs!$B$6*(1+Inputs!$B$7/100))+(((Inputs!$B$12*(1+Inputs!$B$13/100))-(Inputs!$B$12*(1+Inputs!$B$13/100)))+0.25*(Inputs!$B$14-Inputs!$B$14))*(1+Inputs!$B$7/100))*(F883/100)</f>
        <v/>
      </c>
      <c r="K883">
        <f>J883*(1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883)</f>
        <v/>
      </c>
      <c r="L883">
        <f>K883*(MIN(Inputs!$B$22+((C894=TRUE)*(F894-Calc!F24)),(Inputs!$B$23+((C899=TRUE)*(F899-Calc!F29))+IF(ArtifactsInput!$M$15,CHOOSE(ArtifactsInput!$N$15+1,25,30,35,40,45,50)/100*(Inputs!$B$11-Inputs!$B$11),0)))/100+(Inputs!$B$23+((C899=TRUE)*(F899-Calc!F29))+IF(ArtifactsInput!$M$15,CHOOSE(ArtifactsInput!$N$15+1,25,30,35,40,45,50)/100*(Inputs!$B$11-Inputs!$B$11),0))/100)/2</f>
        <v/>
      </c>
      <c r="M883">
        <f>L883*(1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3">
        <f>L883*(1-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IF(B915=0,0,O883/B915)</f>
        <v/>
      </c>
      <c r="Q883">
        <f>IFERROR(1/IF(Inputs!$B$39="pvp",15,MAX(0.1,Skills!D13-IF(Skills!E13=TRUE,Inputs!$B$32,0))),0)</f>
        <v/>
      </c>
      <c r="R883">
        <f>IF(AND(Inputs!$B$39&lt;&gt;"pvp",Inputs!$B$44&gt;0),IF(MAX(0,Inputs!$B$44-B914)&lt;=0,0,(INT(MAX(0,Inputs!$B$44-B914)/IF(Inputs!$B$39="pvp",15,MAX(0.1,Skills!D13-IF(Skills!E13=TRUE,Inputs!$B$32,0))))+1)),0)</f>
        <v/>
      </c>
      <c r="S883">
        <f>IFERROR(O883/N883,0)</f>
        <v/>
      </c>
      <c r="T883">
        <f>IF(C883,(H883*N883*IF(AND(Inputs!$B$39&lt;&gt;"pvp",Inputs!$B$44&gt;0),((Skills!G13*((R883-1)*IF(Skills!H13&gt;0,Skills!I13/Skills!H13,1)+IF(Skills!H13&gt;0,MIN(Skills!I13,MAX(0,MAX(0,Inputs!$B$44-B914)-((R883-1)*IF(Inputs!$B$39="pvp",15,MAX(0.1,Skills!D13-IF(Skills!E13=TRUE,Inputs!$B$32,0))))))/Skills!H13,1)))/Inputs!$B$44),G883*Q883))*IF(Inputs!$B$39="pvp",1,1+(Inputs!$B$20+0+Skills!P13+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883*(1-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13*((R883-1)*IF(Skills!H13&gt;0,Skills!I13/Skills!H13,1)+IF(Skills!H13&gt;0,MIN(Skills!I13,MAX(0,MAX(0,Inputs!$B$44-B914)-((R883-1)*IF(Inputs!$B$39="pvp",15,MAX(0.1,Skills!D13-IF(Skills!E13=TRUE,Inputs!$B$32,0))))))/Skills!H13,1)))/Inputs!$B$44),G883*Q883))*IF(Inputs!$B$39="pvp",1,(1+(Inputs!$B$21+Skills!Q13+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Skills!A14</f>
        <v/>
      </c>
      <c r="B884">
        <f>Skills!B14</f>
        <v/>
      </c>
      <c r="C884">
        <f>Inputs!$B$3&gt;=107</f>
        <v/>
      </c>
      <c r="D884">
        <f>IF(Skills!C14=1,60+(Inputs!$B$25+1)+Inputs!$B$29,IF(Skills!C14=2,90+Inputs!$B$26+Inputs!$B$29,IF(Skills!C14=3,120+Inputs!$B$27+Inputs!$B$29,MAX(0,(Inputs!$B$3-100)*3)+Inputs!$B$28+Inputs!$B$29)))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f>((Inputs!$B$6*(1+Inputs!$B$7/100))+(((Inputs!$B$12*(1+Inputs!$B$13/100))-(Inputs!$B$12*(1+Inputs!$B$13/100)))+0.25*(Inputs!$B$14-Inputs!$B$14))*(1+Inputs!$B$7/100))*(F884/100)</f>
        <v/>
      </c>
      <c r="K884">
        <f>J884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884)</f>
        <v/>
      </c>
      <c r="L884">
        <f>K884*(MIN(Inputs!$B$22+((C894=TRUE)*(F894-Calc!F24)),(Inputs!$B$23+((C899=TRUE)*(F899-Calc!F29))+IF(ArtifactsInput!$M$15,CHOOSE(ArtifactsInput!$N$15+1,25,30,35,40,45,50)/100*(Inputs!$B$11-Inputs!$B$11),0)))/100+(Inputs!$B$23+((C899=TRUE)*(F899-Calc!F29))+IF(ArtifactsInput!$M$15,CHOOSE(ArtifactsInput!$N$15+1,25,30,35,40,45,50)/100*(Inputs!$B$11-Inputs!$B$11),0))/100)/2</f>
        <v/>
      </c>
      <c r="M884">
        <f>L884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4">
        <f>L884*(1-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(1-Summary!$B$11)*T884+Summary!$B$11*V884</f>
        <v/>
      </c>
      <c r="P884">
        <f>IF(B915=0,0,O884/B915)</f>
        <v/>
      </c>
      <c r="Q884">
        <f>IFERROR(1/IF(Inputs!$B$39="pvp",15,MAX(0.1,Skills!D14-IF(Skills!E14=TRUE,Inputs!$B$32,0))),0)</f>
        <v/>
      </c>
      <c r="R884">
        <f>IF(AND(Inputs!$B$39&lt;&gt;"pvp",Inputs!$B$44&gt;0),IF(MAX(0,Inputs!$B$44-B914)&lt;=0,0,(INT(MAX(0,Inputs!$B$44-B914)/IF(Inputs!$B$39="pvp",15,MAX(0.1,Skills!D14-IF(Skills!E14=TRUE,Inputs!$B$32,0))))+1)),0)</f>
        <v/>
      </c>
      <c r="S884">
        <f>IFERROR(O884/N884,0)</f>
        <v/>
      </c>
      <c r="T884">
        <f>IF(C884,(H884*N884*IF(AND(Inputs!$B$39&lt;&gt;"pvp",Inputs!$B$44&gt;0),((Skills!G14*((R884-1)*IF(Skills!H14&gt;0,Skills!I14/Skills!H14,1)+IF(Skills!H14&gt;0,MIN(Skills!I14,MAX(0,MAX(0,Inputs!$B$44-B914)-((R884-1)*IF(Inputs!$B$39="pvp",15,MAX(0.1,Skills!D14-IF(Skills!E14=TRUE,Inputs!$B$32,0))))))/Skills!H14,1)))/Inputs!$B$44),G884*Q884))*IF(Inputs!$B$39="pvp",1,1+(Inputs!$B$20+0+Skills!P14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884*(1-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4">
        <f>IF(C884,(H884*N884*IF(AND(Inputs!$B$39&lt;&gt;"pvp",Inputs!$B$44&gt;0),((Skills!G14*((R884-1)*IF(Skills!H14&gt;0,Skills!I14/Skills!H14,1)+IF(Skills!H14&gt;0,MIN(Skills!I14,MAX(0,MAX(0,Inputs!$B$44-B914)-((R884-1)*IF(Inputs!$B$39="pvp",15,MAX(0.1,Skills!D14-IF(Skills!E14=TRUE,Inputs!$B$32,0))))))/Skills!H14,1)))/Inputs!$B$44),G884*Q884))*IF(Inputs!$B$39="pvp",1,(1+(Inputs!$B$21+Skills!Q14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(5,0.25*B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Skills!A15</f>
        <v/>
      </c>
      <c r="B885">
        <f>Skills!B15</f>
        <v/>
      </c>
      <c r="C885">
        <f>Inputs!$B$3&gt;=110</f>
        <v/>
      </c>
      <c r="D885">
        <f>IF(Skills!C15=1,60+(Inputs!$B$25+1)+Inputs!$B$29,IF(Skills!C15=2,90+Inputs!$B$26+Inputs!$B$29,IF(Skills!C15=3,120+Inputs!$B$27+Inputs!$B$29,MAX(0,(Inputs!$B$3-100)*3)+Inputs!$B$28+Inputs!$B$29)))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IF(B915=0,0,O885/B915)</f>
        <v/>
      </c>
      <c r="Q885">
        <f>IFERROR(1/IF(Inputs!$B$39="pvp",15,MAX(0.1,Skills!D15-IF(Skills!E15=TRUE,Inputs!$B$32,0))),0)</f>
        <v/>
      </c>
      <c r="R885">
        <f>IF(AND(Inputs!$B$39&lt;&gt;"pvp",Inputs!$B$44&gt;0),IF(Inputs!$B$44&lt;=0,0,(INT(Inputs!$B$44/IF(Inputs!$B$39="pvp",15,MAX(0.1,Skills!D15-IF(Skills!E15=TRUE,Inputs!$B$32,0))))+1)),0)</f>
        <v/>
      </c>
      <c r="S885">
        <f>IFERROR(O885/N885,0)</f>
        <v/>
      </c>
      <c r="T885" t="n">
        <v>0</v>
      </c>
      <c r="V885" t="n">
        <v>0</v>
      </c>
    </row>
    <row r="886">
      <c r="A886">
        <f>Skills!A16</f>
        <v/>
      </c>
      <c r="B886">
        <f>Skills!B16</f>
        <v/>
      </c>
      <c r="C886">
        <f>Inputs!$B$3&gt;=115</f>
        <v/>
      </c>
      <c r="D886">
        <f>IF(Skills!C16=1,60+(Inputs!$B$25+1)+Inputs!$B$29,IF(Skills!C16=2,90+Inputs!$B$26+Inputs!$B$29,IF(Skills!C16=3,120+Inputs!$B$27+Inputs!$B$29,MAX(0,(Inputs!$B$3-100)*3)+Inputs!$B$28+Inputs!$B$29)))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f>((Inputs!$B$6*(1+Inputs!$B$7/100))+(((Inputs!$B$12*(1+Inputs!$B$13/100))-(Inputs!$B$12*(1+Inputs!$B$13/100)))+0.25*(Inputs!$B$14-Inputs!$B$14))*(1+Inputs!$B$7/100))*(F886/100)</f>
        <v/>
      </c>
      <c r="K886">
        <f>J886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897=TRUE)*(F897-Calc!F27))+((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886)</f>
        <v/>
      </c>
      <c r="L886">
        <f>K886*(MIN(Inputs!$B$22+((C894=TRUE)*(F894-Calc!F24)),(Inputs!$B$23+((C899=TRUE)*(F899-Calc!F29))+IF(ArtifactsInput!$M$15,CHOOSE(ArtifactsInput!$N$15+1,25,30,35,40,45,50)/100*(Inputs!$B$11-Inputs!$B$11),0)))/100+(Inputs!$B$23+((C899=TRUE)*(F899-Calc!F29))+IF(ArtifactsInput!$M$15,CHOOSE(ArtifactsInput!$N$15+1,25,30,35,40,45,50)/100*(Inputs!$B$11-Inputs!$B$11),0))/100)/2</f>
        <v/>
      </c>
      <c r="M886">
        <f>L886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6">
        <f>L886*(1-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886*(MIN((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6">
        <f>(1-Summary!$B$11)*T886+Summary!$B$11*V886</f>
        <v/>
      </c>
      <c r="P886">
        <f>IF(B915=0,0,O886/B915)</f>
        <v/>
      </c>
      <c r="Q886" t="n">
        <v>0</v>
      </c>
      <c r="R886" t="n">
        <v>0</v>
      </c>
      <c r="S886">
        <f>IFERROR(O886/N886,0)</f>
        <v/>
      </c>
      <c r="T886">
        <f>IF(C886,(Inputs!$B$38*0.2*N886)*IF(Inputs!$B$39="pvp",1,1+(Inputs!$B$20+0+Skills!P16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886*(1-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886*(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886*(1-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886*(MIN(100,(Inputs!$B$9+((C895=TRUE)*(F895-Calc!F25))+B903+(ArtifactsInput!$M$24-ArtifactsInput!$M$24)*CHOOSE(ArtifactsInput!$N$24+1,10,12,14,16,18,20)+(IF(AND(Inputs!$B$39&lt;&gt;"pvp",Inputs!$B$44=0),1,IF(IF(Inputs!$B$39="pvp",15,Inputs!$B$44)-(B914)&lt;=0,1,MAX(0,IF(Inputs!$B$39="pvp",15,Inputs!$B$44)-MAX(5,B914))/(IF(Inputs!$B$39="pvp",15,Inputs!$B$44)-(B914))))*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6">
        <f>IF(C886,(Inputs!$B$38*0.2*N886)*IF(Inputs!$B$39="pvp",1,(1+(Inputs!$B$21+Skills!Q16+B904+(IF(ArtifactsInput!$M$33,CHOOSE(ArtifactsInput!$N$33+1,30,36,42,48,54,60),0))+(IF(AND(ArtifactsInput!$M$35,Inputs!$B$4&lt;&gt;"Chapter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7">
      <c r="A887">
        <f>Skills!A17</f>
        <v/>
      </c>
      <c r="B887">
        <f>Skills!B17</f>
        <v/>
      </c>
      <c r="C887">
        <f>Inputs!$B$3&gt;=115</f>
        <v/>
      </c>
      <c r="D887">
        <f>IF(Skills!C17=1,60+(Inputs!$B$25+1)+Inputs!$B$29,IF(Skills!C17=2,90+Inputs!$B$26+Inputs!$B$29,IF(Skills!C17=3,120+Inputs!$B$27+Inputs!$B$29,MAX(0,(Inputs!$B$3-100)*3)+Inputs!$B$28+Inputs!$B$29)))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IF(B915=0,0,O887/B915)</f>
        <v/>
      </c>
      <c r="Q887" t="n">
        <v>0</v>
      </c>
      <c r="R887" t="n">
        <v>0</v>
      </c>
      <c r="S887">
        <f>IFERROR(O887/N887,0)</f>
        <v/>
      </c>
      <c r="T887" t="n">
        <v>0</v>
      </c>
      <c r="V887" t="n">
        <v>0</v>
      </c>
    </row>
    <row r="888">
      <c r="A888">
        <f>Skills!A18</f>
        <v/>
      </c>
      <c r="B888">
        <f>Skills!B18</f>
        <v/>
      </c>
      <c r="C888">
        <f>Inputs!$B$3&gt;=100</f>
        <v/>
      </c>
      <c r="D888">
        <f>IF(Skills!C18=1,60+(Inputs!$B$25+1)+Inputs!$B$29,IF(Skills!C18=2,90+Inputs!$B$26+Inputs!$B$29,IF(Skills!C18=3,120+Inputs!$B$27+Inputs!$B$29,MAX(0,(Inputs!$B$3-100)*3)+Inputs!$B$28+Inputs!$B$29)))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IF(B915=0,0,O888/B915)</f>
        <v/>
      </c>
      <c r="Q888" t="n">
        <v>0</v>
      </c>
      <c r="R888" t="n">
        <v>0</v>
      </c>
      <c r="S888">
        <f>IFERROR(O888/N888,0)</f>
        <v/>
      </c>
      <c r="T888" t="n">
        <v>0</v>
      </c>
      <c r="V888" t="n">
        <v>0</v>
      </c>
    </row>
    <row r="889">
      <c r="A889">
        <f>Skills!A19</f>
        <v/>
      </c>
      <c r="B889">
        <f>Skills!B19</f>
        <v/>
      </c>
      <c r="C889">
        <f>TRUE</f>
        <v/>
      </c>
      <c r="D889">
        <f>IF(Skills!C19=1,60+(Inputs!$B$25+1)+Inputs!$B$29,IF(Skills!C19=2,90+Inputs!$B$26+Inputs!$B$29,IF(Skills!C19=3,120+Inputs!$B$27+Inputs!$B$29,MAX(0,(Inputs!$B$3-100)*3)+Inputs!$B$28+Inputs!$B$29)))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IF(B915=0,0,O889/B915)</f>
        <v/>
      </c>
      <c r="Q889">
        <f>IFERROR(1/IF(Inputs!$B$39="pvp",15,MAX(0.1,Skills!D19-IF(Skills!E19=TRUE,Inputs!$B$32,0))),0)</f>
        <v/>
      </c>
      <c r="R889">
        <f>IF(AND(Inputs!$B$39&lt;&gt;"pvp",Inputs!$B$44&gt;0),IF(Inputs!$B$44&lt;=0,0,(INT(Inputs!$B$44/IF(Inputs!$B$39="pvp",15,MAX(0.1,Skills!D19-IF(Skills!E19=TRUE,Inputs!$B$32,0))))+1)),0)</f>
        <v/>
      </c>
      <c r="S889">
        <f>IFERROR(O889/N889,0)</f>
        <v/>
      </c>
      <c r="T889" t="n">
        <v>0</v>
      </c>
      <c r="V889" t="n">
        <v>0</v>
      </c>
    </row>
    <row r="890">
      <c r="A890">
        <f>Skills!A20</f>
        <v/>
      </c>
      <c r="B890">
        <f>Skills!B20</f>
        <v/>
      </c>
      <c r="C890">
        <f>Inputs!$B$3&gt;=15</f>
        <v/>
      </c>
      <c r="D890">
        <f>IF(Skills!C20=1,60+(Inputs!$B$25+1)+Inputs!$B$29,IF(Skills!C20=2,90+Inputs!$B$26+Inputs!$B$29,IF(Skills!C20=3,120+Inputs!$B$27+Inputs!$B$29,MAX(0,(Inputs!$B$3-100)*3)+Inputs!$B$28+Inputs!$B$29)))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IF(B915=0,0,O890/B915)</f>
        <v/>
      </c>
      <c r="Q890">
        <f>IFERROR(1/IF(Inputs!$B$39="pvp",15,MAX(0.1,Skills!D20-IF(Skills!E20=TRUE,Inputs!$B$32,0))),0)</f>
        <v/>
      </c>
      <c r="R890">
        <f>IF(AND(Inputs!$B$39&lt;&gt;"pvp",Inputs!$B$44&gt;0),IF(Inputs!$B$44&lt;=0,0,(INT(Inputs!$B$44/IF(Inputs!$B$39="pvp",15,MAX(0.1,Skills!D20-IF(Skills!E20=TRUE,Inputs!$B$32,0))))+1)),0)</f>
        <v/>
      </c>
      <c r="S890">
        <f>IFERROR(O890/N890,0)</f>
        <v/>
      </c>
      <c r="T890" t="n">
        <v>0</v>
      </c>
      <c r="V890" t="n">
        <v>0</v>
      </c>
    </row>
    <row r="891">
      <c r="A891">
        <f>Skills!A21</f>
        <v/>
      </c>
      <c r="B891">
        <f>Skills!B21</f>
        <v/>
      </c>
      <c r="C891">
        <f>Inputs!$B$3&gt;=15</f>
        <v/>
      </c>
      <c r="D891">
        <f>IF(Skills!C21=1,60+(Inputs!$B$25+1)+Inputs!$B$29,IF(Skills!C21=2,90+Inputs!$B$26+Inputs!$B$29,IF(Skills!C21=3,120+Inputs!$B$27+Inputs!$B$29,MAX(0,(Inputs!$B$3-100)*3)+Inputs!$B$28+Inputs!$B$29)))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IF(B915=0,0,O891/B915)</f>
        <v/>
      </c>
      <c r="Q891">
        <f>IFERROR(1/IF(Inputs!$B$39="pvp",15,MAX(0.1,Skills!D21-IF(Skills!E21=TRUE,Inputs!$B$32,0))),0)</f>
        <v/>
      </c>
      <c r="R891">
        <f>IF(AND(Inputs!$B$39&lt;&gt;"pvp",Inputs!$B$44&gt;0),IF(Inputs!$B$44&lt;=0,0,(INT(Inputs!$B$44/IF(Inputs!$B$39="pvp",15,MAX(0.1,Skills!D21-IF(Skills!E21=TRUE,Inputs!$B$32,0))))+1)),0)</f>
        <v/>
      </c>
      <c r="S891">
        <f>IFERROR(O891/N891,0)</f>
        <v/>
      </c>
      <c r="T891" t="n">
        <v>0</v>
      </c>
      <c r="V891" t="n">
        <v>0</v>
      </c>
    </row>
    <row r="892">
      <c r="A892">
        <f>Skills!A22</f>
        <v/>
      </c>
      <c r="B892">
        <f>Skills!B22</f>
        <v/>
      </c>
      <c r="C892">
        <f>Inputs!$B$3&gt;=33</f>
        <v/>
      </c>
      <c r="D892">
        <f>IF(Skills!C22=1,60+(Inputs!$B$25+1)+Inputs!$B$29,IF(Skills!C22=2,90+Inputs!$B$26+Inputs!$B$29,IF(Skills!C22=3,120+Inputs!$B$27+Inputs!$B$29,MAX(0,(Inputs!$B$3-100)*3)+Inputs!$B$28+Inputs!$B$29)))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IF(B915=0,0,O892/B915)</f>
        <v/>
      </c>
      <c r="Q892" t="n">
        <v>0</v>
      </c>
      <c r="R892" t="n">
        <v>0</v>
      </c>
      <c r="S892">
        <f>IFERROR(O892/N892,0)</f>
        <v/>
      </c>
      <c r="T892" t="n">
        <v>0</v>
      </c>
      <c r="V892" t="n">
        <v>0</v>
      </c>
    </row>
    <row r="893">
      <c r="A893">
        <f>Skills!A23</f>
        <v/>
      </c>
      <c r="B893">
        <f>Skills!B23</f>
        <v/>
      </c>
      <c r="C893">
        <f>Inputs!$B$3&gt;=40</f>
        <v/>
      </c>
      <c r="D893">
        <f>IF(Skills!C23=1,60+(Inputs!$B$25+1)+Inputs!$B$29,IF(Skills!C23=2,90+Inputs!$B$26+Inputs!$B$29,IF(Skills!C23=3,120+Inputs!$B$27+Inputs!$B$29,MAX(0,(Inputs!$B$3-100)*3)+Inputs!$B$28+Inputs!$B$29)))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IF(B915=0,0,O893/B915)</f>
        <v/>
      </c>
      <c r="Q893" t="n">
        <v>0</v>
      </c>
      <c r="R893" t="n">
        <v>0</v>
      </c>
      <c r="S893">
        <f>IFERROR(O893/N893,0)</f>
        <v/>
      </c>
      <c r="T893" t="n">
        <v>0</v>
      </c>
      <c r="V893" t="n">
        <v>0</v>
      </c>
    </row>
    <row r="894">
      <c r="A894">
        <f>Skills!A24</f>
        <v/>
      </c>
      <c r="B894">
        <f>Skills!B24</f>
        <v/>
      </c>
      <c r="C894">
        <f>Inputs!$B$3&gt;=43</f>
        <v/>
      </c>
      <c r="D894">
        <f>IF(Skills!C24=1,60+(Inputs!$B$25+1)+Inputs!$B$29,IF(Skills!C24=2,90+Inputs!$B$26+Inputs!$B$29,IF(Skills!C24=3,120+Inputs!$B$27+Inputs!$B$29,MAX(0,(Inputs!$B$3-100)*3)+Inputs!$B$28+Inputs!$B$29)))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IF(B915=0,0,O894/B915)</f>
        <v/>
      </c>
      <c r="Q894" t="n">
        <v>0</v>
      </c>
      <c r="R894" t="n">
        <v>0</v>
      </c>
      <c r="S894">
        <f>IFERROR(O894/N894,0)</f>
        <v/>
      </c>
      <c r="T894" t="n">
        <v>0</v>
      </c>
      <c r="V894" t="n">
        <v>0</v>
      </c>
    </row>
    <row r="895">
      <c r="A895">
        <f>Skills!A25</f>
        <v/>
      </c>
      <c r="B895">
        <f>Skills!B25</f>
        <v/>
      </c>
      <c r="C895">
        <f>Inputs!$B$3&gt;=50</f>
        <v/>
      </c>
      <c r="D895">
        <f>IF(Skills!C25=1,60+(Inputs!$B$25+1)+Inputs!$B$29,IF(Skills!C25=2,90+Inputs!$B$26+Inputs!$B$29,IF(Skills!C25=3,120+Inputs!$B$27+Inputs!$B$29,MAX(0,(Inputs!$B$3-100)*3)+Inputs!$B$28+Inputs!$B$29)))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IF(B915=0,0,O895/B915)</f>
        <v/>
      </c>
      <c r="Q895" t="n">
        <v>0</v>
      </c>
      <c r="R895" t="n">
        <v>0</v>
      </c>
      <c r="S895">
        <f>IFERROR(O895/N895,0)</f>
        <v/>
      </c>
      <c r="T895" t="n">
        <v>0</v>
      </c>
      <c r="V895" t="n">
        <v>0</v>
      </c>
    </row>
    <row r="896">
      <c r="A896">
        <f>Skills!A26</f>
        <v/>
      </c>
      <c r="B896">
        <f>Skills!B26</f>
        <v/>
      </c>
      <c r="C896">
        <f>Inputs!$B$3&gt;=50</f>
        <v/>
      </c>
      <c r="D896">
        <f>IF(Skills!C26=1,60+(Inputs!$B$25+1)+Inputs!$B$29,IF(Skills!C26=2,90+Inputs!$B$26+Inputs!$B$29,IF(Skills!C26=3,120+Inputs!$B$27+Inputs!$B$29,MAX(0,(Inputs!$B$3-100)*3)+Inputs!$B$28+Inputs!$B$29)))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IF(B915=0,0,O896/B915)</f>
        <v/>
      </c>
      <c r="Q896" t="n">
        <v>0</v>
      </c>
      <c r="R896" t="n">
        <v>0</v>
      </c>
      <c r="S896">
        <f>IFERROR(O896/N896,0)</f>
        <v/>
      </c>
      <c r="T896" t="n">
        <v>0</v>
      </c>
      <c r="V896" t="n">
        <v>0</v>
      </c>
    </row>
    <row r="897">
      <c r="A897">
        <f>Skills!A27</f>
        <v/>
      </c>
      <c r="B897">
        <f>Skills!B27</f>
        <v/>
      </c>
      <c r="C897">
        <f>Inputs!$B$3&gt;=38</f>
        <v/>
      </c>
      <c r="D897">
        <f>IF(Skills!C27=1,60+(Inputs!$B$25+1)+Inputs!$B$29,IF(Skills!C27=2,90+Inputs!$B$26+Inputs!$B$29,IF(Skills!C27=3,120+Inputs!$B$27+Inputs!$B$29,MAX(0,(Inputs!$B$3-100)*3)+Inputs!$B$28+Inputs!$B$29)))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IF(B915=0,0,O897/B915)</f>
        <v/>
      </c>
      <c r="Q897" t="n">
        <v>0</v>
      </c>
      <c r="R897" t="n">
        <v>0</v>
      </c>
      <c r="S897">
        <f>IFERROR(O897/N897,0)</f>
        <v/>
      </c>
      <c r="T897" t="n">
        <v>0</v>
      </c>
      <c r="V897" t="n">
        <v>0</v>
      </c>
    </row>
    <row r="898">
      <c r="A898">
        <f>Skills!A28</f>
        <v/>
      </c>
      <c r="B898">
        <f>Skills!B28</f>
        <v/>
      </c>
      <c r="C898">
        <f>Inputs!$B$3&gt;=120</f>
        <v/>
      </c>
      <c r="D898">
        <f>IF(Skills!C28=1,60+(Inputs!$B$25+1)+Inputs!$B$29,IF(Skills!C28=2,90+Inputs!$B$26+Inputs!$B$29,IF(Skills!C28=3,120+Inputs!$B$27+Inputs!$B$29,MAX(0,(Inputs!$B$3-100)*3)+Inputs!$B$28+Inputs!$B$29)))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IF(B915=0,0,O898/B915)</f>
        <v/>
      </c>
      <c r="Q898" t="n">
        <v>0</v>
      </c>
      <c r="R898" t="n">
        <v>0</v>
      </c>
      <c r="S898">
        <f>IFERROR(O898/N898,0)</f>
        <v/>
      </c>
      <c r="T898" t="n">
        <v>0</v>
      </c>
      <c r="V898" t="n">
        <v>0</v>
      </c>
    </row>
    <row r="899">
      <c r="A899">
        <f>Skills!A29</f>
        <v/>
      </c>
      <c r="B899">
        <f>Skills!B29</f>
        <v/>
      </c>
      <c r="C899">
        <f>Inputs!$B$3&gt;=120</f>
        <v/>
      </c>
      <c r="D899">
        <f>IF(Skills!C29=1,60+(Inputs!$B$25+1)+Inputs!$B$29,IF(Skills!C29=2,90+Inputs!$B$26+Inputs!$B$29,IF(Skills!C29=3,120+Inputs!$B$27+Inputs!$B$29,MAX(0,(Inputs!$B$3-100)*3)+Inputs!$B$28+Inputs!$B$29)))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IF(B915=0,0,O899/B915)</f>
        <v/>
      </c>
      <c r="Q899" t="n">
        <v>0</v>
      </c>
      <c r="R899" t="n">
        <v>0</v>
      </c>
      <c r="S899">
        <f>IFERROR(O899/N899,0)</f>
        <v/>
      </c>
      <c r="T899" t="n">
        <v>0</v>
      </c>
      <c r="V899" t="n">
        <v>0</v>
      </c>
    </row>
    <row r="900">
      <c r="A900">
        <f>Skills!A30</f>
        <v/>
      </c>
      <c r="B900">
        <f>Skills!B30</f>
        <v/>
      </c>
      <c r="C900">
        <f>Inputs!$B$3&gt;=125</f>
        <v/>
      </c>
      <c r="D900">
        <f>IF(Skills!C30=1,60+(Inputs!$B$25+1)+Inputs!$B$29,IF(Skills!C30=2,90+Inputs!$B$26+Inputs!$B$29,IF(Skills!C30=3,120+Inputs!$B$27+Inputs!$B$29,MAX(0,(Inputs!$B$3-100)*3)+Inputs!$B$28+Inputs!$B$29)))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IF(B915=0,0,O900/B915)</f>
        <v/>
      </c>
      <c r="Q900" t="n">
        <v>0</v>
      </c>
      <c r="R900" t="n">
        <v>0</v>
      </c>
      <c r="S900">
        <f>IFERROR(O900/N900,0)</f>
        <v/>
      </c>
      <c r="T900" t="n">
        <v>0</v>
      </c>
      <c r="V900" t="n">
        <v>0</v>
      </c>
    </row>
    <row r="902">
      <c r="A902" t="inlineStr">
        <is>
          <t>Average Buff Multiplier</t>
        </is>
      </c>
      <c r="B902">
        <f>(1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f>
        <v/>
      </c>
    </row>
    <row r="903">
      <c r="A903" t="inlineStr">
        <is>
          <t>Global Crit Rate Bonus %</t>
        </is>
      </c>
      <c r="B903">
        <f>((C890=TRUE)*F890*IF(AND(Inputs!$B$39&lt;&gt;"pvp",Inputs!$B$44&gt;0),(((R890-1)*(Skills!Y20*(1+Inputs!$B$34/100))+MIN((Skills!Y20*(1+Inputs!$B$34/100)),MAX(0,Inputs!$B$44-((R890-1)*Skills!D20))))/Inputs!$B$44),IF(Inputs!$B$39="pvp",MIN((Skills!Y20*(1+Inputs!$B$34/100)),15)/15,(Skills!Y20*(1+Inputs!$B$34/100))/Skills!D20)))</f>
        <v/>
      </c>
    </row>
    <row r="904">
      <c r="A904" t="inlineStr">
        <is>
          <t>Global Monster Damage-Taken Bonus %</t>
        </is>
      </c>
      <c r="B904">
        <f>IF(Inputs!$B$3&gt;=82,15,0)</f>
        <v/>
      </c>
    </row>
    <row r="905">
      <c r="A905" t="inlineStr">
        <is>
          <t>Shadow Partner Average Multiplier</t>
        </is>
      </c>
      <c r="B905">
        <f>1+((C877=TRUE)*F877*(1+3.3333333333333335*IF(C888=TRUE,F888,0)/100)*I877*Skills!J7/100)/100</f>
        <v/>
      </c>
    </row>
    <row r="906">
      <c r="A906" t="inlineStr">
        <is>
          <t>Attack Speed Buff Bonus %</t>
        </is>
      </c>
      <c r="B906">
        <f>((C889=TRUE)*F889*IF(AND(Inputs!$B$39&lt;&gt;"pvp",Inputs!$B$44&gt;0),(((R889-1)*(Skills!Y19*(1+Inputs!$B$34/100))+MIN((Skills!Y19*(1+Inputs!$B$34/100)),MAX(0,Inputs!$B$44-((R889-1)*Skills!D19))))/Inputs!$B$44),IF(Inputs!$B$39="pvp",MIN((Skills!Y19*(1+Inputs!$B$34/100)),15)/15,(Skills!Y19*(1+Inputs!$B$34/100))/Skills!D19)))+((C873=TRUE)*F873*3)</f>
        <v/>
      </c>
    </row>
    <row r="907">
      <c r="A907" t="inlineStr">
        <is>
          <t>Actions Per Second</t>
        </is>
      </c>
      <c r="B907">
        <f>1+MIN(150,150*(1-(1-(Inputs!$B$11+((C892=TRUE)*(F892-Calc!F22)))/150)*(1-B906/150)))/100</f>
        <v/>
      </c>
    </row>
    <row r="908">
      <c r="A908" t="inlineStr">
        <is>
          <t>Skill + Buff Cast Rate</t>
        </is>
      </c>
      <c r="B908">
        <f>IF(AND(Inputs!$B$39&lt;&gt;"pvp",Inputs!$B$44&gt;0),SUMPRODUCT((Skills!E2:E30=TRUE)*(C872:C900=TRUE)*R872:R900*Skills!F2:F30)/Inputs!$B$44,SUMPRODUCT((Skills!E2:E30=TRUE)*(C872:C900=TRUE)*Q872:Q900*Skills!F2:F30))</f>
        <v/>
      </c>
    </row>
    <row r="909">
      <c r="A909" t="inlineStr">
        <is>
          <t>Cruel Stab Casts Per Second</t>
        </is>
      </c>
      <c r="B909">
        <f>MAX(0,B907-B908)</f>
        <v/>
      </c>
    </row>
    <row r="910">
      <c r="A910" t="inlineStr">
        <is>
          <t>Global Critical Damage Bonus % (Smokescreen Mastery Lv.113)</t>
        </is>
      </c>
      <c r="B910">
        <f>IF(Inputs!$B$3&gt;=113,30,0)*IF(AND(Inputs!$B$39&lt;&gt;"pvp",Inputs!$B$44&gt;0),(((R885-1)*(Skills!Y15*(1+Inputs!$B$34/100))+MIN((Skills!Y15*(1+Inputs!$B$34/100)),MAX(0,Inputs!$B$44-((R885-1)*Skills!D15))))/Inputs!$B$44),IF(Inputs!$B$39="pvp",MIN((Skills!Y15*(1+Inputs!$B$34/100)),15)/15,(Skills!Y15*(1+Inputs!$B$34/100))/Skills!D15))</f>
        <v/>
      </c>
    </row>
    <row r="911">
      <c r="A911" t="inlineStr">
        <is>
          <t>Meso Explosion average stack count</t>
        </is>
      </c>
      <c r="B911">
        <f>MIN(10,0.5*B907*Skills!D4)</f>
        <v/>
      </c>
    </row>
    <row r="912">
      <c r="A912" t="inlineStr">
        <is>
          <t>Blood Money average stack count</t>
        </is>
      </c>
      <c r="B912">
        <f>MIN(5,0.25*B907*Skills!D4)</f>
        <v/>
      </c>
    </row>
    <row r="913">
      <c r="A913" t="inlineStr">
        <is>
          <t>Assassinate Murderous Intent Multiplier</t>
        </is>
      </c>
      <c r="B913">
        <f>1+IFERROR(MIN(1,Q884*2/Q881),0)</f>
        <v/>
      </c>
    </row>
    <row r="914">
      <c r="A914" t="inlineStr">
        <is>
          <t>Buff-Casting Startup Delay (s, fixed-duration only)</t>
        </is>
      </c>
      <c r="B914">
        <f>IF(AND(Inputs!$B$39&lt;&gt;"pvp",Inputs!$B$44&gt;0),SUMPRODUCT((Skills!Y2:Y30&gt;0)*(Skills!E2:E30=TRUE)*(C872:C900=TRUE))/B907,0)</f>
        <v/>
      </c>
    </row>
    <row r="915">
      <c r="A915" s="6" t="inlineStr">
        <is>
          <t>TOTAL DPS</t>
        </is>
      </c>
      <c r="B915" s="6">
        <f>SUM(O872:O900)</f>
        <v/>
      </c>
    </row>
    <row r="916">
      <c r="A916" t="inlineStr">
        <is>
          <t>Boss-Only Total DPS (this block's swept value)</t>
        </is>
      </c>
      <c r="B916">
        <f>SUM(T872:T900)</f>
        <v/>
      </c>
    </row>
    <row r="917">
      <c r="A917" t="inlineStr">
        <is>
          <t>Normal-Only Total DPS (this block's swept value)</t>
        </is>
      </c>
      <c r="B917">
        <f>SUM(V872:V900)</f>
        <v/>
      </c>
    </row>
    <row r="920">
      <c r="A920" s="6" t="inlineStr">
        <is>
          <t>Stat: Skill Level Bonus — 2nd Job</t>
        </is>
      </c>
    </row>
    <row r="921">
      <c r="A921" s="5" t="inlineStr">
        <is>
          <t>Key</t>
        </is>
      </c>
      <c r="B921" s="5" t="inlineStr">
        <is>
          <t>Name</t>
        </is>
      </c>
      <c r="C921" s="5" t="inlineStr">
        <is>
          <t>Unlocked</t>
        </is>
      </c>
      <c r="D921" s="5" t="inlineStr">
        <is>
          <t>InputLevel</t>
        </is>
      </c>
      <c r="E921" s="5" t="inlineStr">
        <is>
          <t>Factor</t>
        </is>
      </c>
      <c r="F921" s="5" t="inlineStr">
        <is>
          <t>CoefficientPercent</t>
        </is>
      </c>
      <c r="G921" s="5" t="inlineStr">
        <is>
          <t>EffectiveHits</t>
        </is>
      </c>
      <c r="H921" s="5" t="inlineStr">
        <is>
          <t>ProcProbability</t>
        </is>
      </c>
      <c r="I921" s="5" t="inlineStr">
        <is>
          <t>MapleHeroMultiplier</t>
        </is>
      </c>
      <c r="J921" s="5" t="inlineStr">
        <is>
          <t>BaseDamage</t>
        </is>
      </c>
      <c r="K921" s="5" t="inlineStr">
        <is>
          <t>BaseHitDamage</t>
        </is>
      </c>
      <c r="L921" s="5" t="inlineStr">
        <is>
          <t>NonCritAvg</t>
        </is>
      </c>
      <c r="M921" s="5" t="inlineStr">
        <is>
          <t>CritAvg</t>
        </is>
      </c>
      <c r="N921" s="5" t="inlineStr">
        <is>
          <t>ExpectedDamage(perHit)</t>
        </is>
      </c>
      <c r="O921" s="5" t="inlineStr">
        <is>
          <t>DPS</t>
        </is>
      </c>
      <c r="P921" s="5" t="inlineStr">
        <is>
          <t>% of Total</t>
        </is>
      </c>
      <c r="Q921" s="5" t="inlineStr">
        <is>
          <t>InvCooldown</t>
        </is>
      </c>
      <c r="R921" s="5" t="inlineStr">
        <is>
          <t>CastsInFight</t>
        </is>
      </c>
      <c r="S921" s="5" t="inlineStr">
        <is>
          <t>HitRate(perSec)</t>
        </is>
      </c>
      <c r="U921" t="inlineStr">
        <is>
          <t>helpers</t>
        </is>
      </c>
    </row>
    <row r="922">
      <c r="A922">
        <f>Skills!A2</f>
        <v/>
      </c>
      <c r="B922">
        <f>Skills!B2</f>
        <v/>
      </c>
      <c r="C922">
        <f>Inputs!$B$3&gt;=100</f>
        <v/>
      </c>
      <c r="D922" t="inlineStr"/>
      <c r="E922" t="inlineStr"/>
      <c r="F922">
        <f>U924+Skills!O2</f>
        <v/>
      </c>
      <c r="G922">
        <f>Skills!G2*IF(Skills!H2&gt;0,Skills!I2/Skills!H2,1)</f>
        <v/>
      </c>
      <c r="H922">
        <f>1-(1-Skills!J2/100)^Skills!K2</f>
        <v/>
      </c>
      <c r="I922" t="inlineStr">
        <is>
          <t>1</t>
        </is>
      </c>
      <c r="J922">
        <f>((Inputs!$B$6*(1+Inputs!$B$7/100))+(((Inputs!$B$12*(1+Inputs!$B$13/100))-(Inputs!$B$12*(1+Inputs!$B$13/100)))+0.25*(Inputs!$B$14-Inputs!$B$14))*(1+Inputs!$B$7/100))*(F922/100)</f>
        <v/>
      </c>
      <c r="K922">
        <f>J922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922)</f>
        <v/>
      </c>
      <c r="L922">
        <f>K922*(MIN(Inputs!$B$22+((C944=TRUE)*(F944-Calc!F24)),(Inputs!$B$23+((C949=TRUE)*(F949-Calc!F29))+IF(ArtifactsInput!$M$15,CHOOSE(ArtifactsInput!$N$15+1,25,30,35,40,45,50)/100*(Inputs!$B$11-Inputs!$B$11),0)))/100+(Inputs!$B$23+((C949=TRUE)*(F949-Calc!F29))+IF(ArtifactsInput!$M$15,CHOOSE(ArtifactsInput!$N$15+1,25,30,35,40,45,50)/100*(Inputs!$B$11-Inputs!$B$11),0))/100)/2</f>
        <v/>
      </c>
      <c r="M922">
        <f>L922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IF(B965=0,0,O922/B965)</f>
        <v/>
      </c>
      <c r="Q922" t="n">
        <v>0</v>
      </c>
      <c r="R922" t="n">
        <v>0</v>
      </c>
      <c r="S922">
        <f>IFERROR(O922/N922,0)</f>
        <v/>
      </c>
      <c r="T922">
        <f>IF(C922,(Skills!G2*N922*B959)*IF(Inputs!$B$39="pvp",1,1+(Inputs!$B$20+0+Skills!P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922*(1-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2">
        <f>MAX(0,(Inputs!$B$3-100)*3)+Inputs!$B$28+Inputs!$B$29</f>
        <v/>
      </c>
      <c r="V922">
        <f>IF(C922,(Skills!G2*N922*B959)*IF(Inputs!$B$39="pvp",1,(1+(Inputs!$B$21+Skills!Q2+B954+(IF(ArtifactsInput!$M$33,CHOOSE(ArtifactsInput!$N$33+1,30,36,42,48,54,60),0))+(IF(AND(ArtifactsInput!$M$35,Inputs!$B$4&lt;&gt;"Chapter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Skills!A3</f>
        <v/>
      </c>
      <c r="B923">
        <f>Skills!B3</f>
        <v/>
      </c>
      <c r="C923">
        <f>Inputs!$B$3&gt;=35</f>
        <v/>
      </c>
      <c r="D923">
        <f>IF(Skills!C3=1,60+Inputs!$B$25+Inputs!$B$29,IF(Skills!C3=2,90+(Inputs!$B$26+1)+Inputs!$B$29,IF(Skills!C3=3,120+Inputs!$B$27+Inputs!$B$29,MAX(0,(Inputs!$B$3-100)*3)+Inputs!$B$28+Inputs!$B$29)))</f>
        <v/>
      </c>
      <c r="E923">
        <f>INDEX(FactorTable!$B$2:$Y$301, MATCH(ROUND(MIN(300,MAX(1,D923)),0), FactorTable!$A$2:$A$301,0), Skills!M3+1)</f>
        <v/>
      </c>
      <c r="F923">
        <f>IF(Skills!N3=TRUE,(Skills!L3/10)*(E923/1000),Skills!L3/10)+Skills!O3</f>
        <v/>
      </c>
      <c r="G923">
        <f>Skills!G3*IF(Skills!H3&gt;0,Skills!I3/Skills!H3,1)</f>
        <v/>
      </c>
      <c r="H923">
        <f>1-(1-Skills!J3/100)^Skills!K3</f>
        <v/>
      </c>
      <c r="I923" t="inlineStr">
        <is>
          <t>1</t>
        </is>
      </c>
      <c r="J923" t="inlineStr"/>
      <c r="K923" t="inlineStr"/>
      <c r="L923" t="inlineStr"/>
      <c r="M923" t="inlineStr"/>
      <c r="N923" t="inlineStr"/>
      <c r="O923">
        <f>(1-Summary!$B$11)*T923+Summary!$B$11*V923</f>
        <v/>
      </c>
      <c r="P923">
        <f>IF(B965=0,0,O923/B965)</f>
        <v/>
      </c>
      <c r="Q923" t="n">
        <v>0</v>
      </c>
      <c r="R923" t="n">
        <v>0</v>
      </c>
      <c r="S923">
        <f>IFERROR(O923/N923,0)</f>
        <v/>
      </c>
      <c r="T923" t="n">
        <v>0</v>
      </c>
      <c r="U923">
        <f>INDEX(FactorTable!$B$2:$Y$301, MATCH(ROUND(MIN(300,MAX(1,U922)),0), FactorTable!$A$2:$A$301,0), 22)</f>
        <v/>
      </c>
      <c r="V923" t="n">
        <v>0</v>
      </c>
    </row>
    <row r="924">
      <c r="A924">
        <f>Skills!A4</f>
        <v/>
      </c>
      <c r="B924">
        <f>Skills!B4</f>
        <v/>
      </c>
      <c r="C924">
        <f>Inputs!$B$3&gt;=66</f>
        <v/>
      </c>
      <c r="D924">
        <f>IF(Skills!C4=1,60+Inputs!$B$25+Inputs!$B$29,IF(Skills!C4=2,90+(Inputs!$B$26+1)+Inputs!$B$29,IF(Skills!C4=3,120+Inputs!$B$27+Inputs!$B$29,MAX(0,(Inputs!$B$3-100)*3)+Inputs!$B$28+Inputs!$B$29)))</f>
        <v/>
      </c>
      <c r="E924">
        <f>INDEX(FactorTable!$B$2:$Y$301, MATCH(ROUND(MIN(300,MAX(1,D924)),0), FactorTable!$A$2:$A$301,0), Skills!M4+1)</f>
        <v/>
      </c>
      <c r="F924">
        <f>IF(Skills!N4=TRUE,(Skills!L4/10)*(E924/1000),Skills!L4/10)+Skills!O4</f>
        <v/>
      </c>
      <c r="G924">
        <f>Skills!G4*IF(Skills!H4&gt;0,Skills!I4/Skills!H4,1)</f>
        <v/>
      </c>
      <c r="H924">
        <f>1-(1-Skills!J4/100)^Skills!K4</f>
        <v/>
      </c>
      <c r="I924" t="inlineStr">
        <is>
          <t>1</t>
        </is>
      </c>
      <c r="J924">
        <f>((Inputs!$B$6*(1+Inputs!$B$7/100))+(((Inputs!$B$12*(1+Inputs!$B$13/100))-(Inputs!$B$12*(1+Inputs!$B$13/100)))+0.25*(Inputs!$B$14-Inputs!$B$14))*(1+Inputs!$B$7/100))*(F924/100)</f>
        <v/>
      </c>
      <c r="K924">
        <f>J924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924)</f>
        <v/>
      </c>
      <c r="L924">
        <f>K924*(MIN(Inputs!$B$22+((C944=TRUE)*(F944-Calc!F24)),(Inputs!$B$23+((C949=TRUE)*(F949-Calc!F29))+IF(ArtifactsInput!$M$15,CHOOSE(ArtifactsInput!$N$15+1,25,30,35,40,45,50)/100*(Inputs!$B$11-Inputs!$B$11),0)))/100+(Inputs!$B$23+((C949=TRUE)*(F949-Calc!F29))+IF(ArtifactsInput!$M$15,CHOOSE(ArtifactsInput!$N$15+1,25,30,35,40,45,50)/100*(Inputs!$B$11-Inputs!$B$11),0))/100)/2</f>
        <v/>
      </c>
      <c r="M924">
        <f>L924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4">
        <f>L924*(1-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924*(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4">
        <f>(1-Summary!$B$11)*T924+Summary!$B$11*V924</f>
        <v/>
      </c>
      <c r="P924">
        <f>IF(B965=0,0,O924/B965)</f>
        <v/>
      </c>
      <c r="Q924">
        <f>IFERROR(1/IF(Inputs!$B$39="pvp",15,MAX(0.1,Skills!D4-IF(Skills!E4=TRUE,Inputs!$B$32,0))),0)</f>
        <v/>
      </c>
      <c r="R924">
        <f>IF(AND(Inputs!$B$39&lt;&gt;"pvp",Inputs!$B$44&gt;0),IF(MAX(0,Inputs!$B$44-B964)&lt;=0,0,(INT(MAX(0,Inputs!$B$44-B964)/IF(Inputs!$B$39="pvp",15,MAX(0.1,Skills!D4-IF(Skills!E4=TRUE,Inputs!$B$32,0))))+1)),0)</f>
        <v/>
      </c>
      <c r="S924">
        <f>IFERROR(O924/N924,0)</f>
        <v/>
      </c>
      <c r="T924">
        <f>IF(C924,(H924*N924*IF(AND(Inputs!$B$39&lt;&gt;"pvp",Inputs!$B$44&gt;0),((Skills!G4*((R924-1)*IF(Skills!H4&gt;0,Skills!I4/Skills!H4,1)+IF(Skills!H4&gt;0,MIN(Skills!I4,MAX(0,MAX(0,Inputs!$B$44-B964)-((R924-1)*IF(Inputs!$B$39="pvp",15,MAX(0.1,Skills!D4-IF(Skills!E4=TRUE,Inputs!$B$32,0))))))/Skills!H4,1)))/Inputs!$B$44),G924*Q924))*IF(Inputs!$B$39="pvp",1,1+(Inputs!$B$20+0+Skills!P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924*(1-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924*(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924*(1-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924*(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4">
        <f>290*U923/1000</f>
        <v/>
      </c>
      <c r="V924">
        <f>IF(C924,(H924*N924*IF(AND(Inputs!$B$39&lt;&gt;"pvp",Inputs!$B$44&gt;0),((Skills!G4*((R924-1)*IF(Skills!H4&gt;0,Skills!I4/Skills!H4,1)+IF(Skills!H4&gt;0,MIN(Skills!I4,MAX(0,MAX(0,Inputs!$B$44-B964)-((R924-1)*IF(Inputs!$B$39="pvp",15,MAX(0.1,Skills!D4-IF(Skills!E4=TRUE,Inputs!$B$32,0))))))/Skills!H4,1)))/Inputs!$B$44),G924*Q924))*IF(Inputs!$B$39="pvp",1,(1+(Inputs!$B$21+Skills!Q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(10,0.5*B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5">
      <c r="A925">
        <f>Skills!A5</f>
        <v/>
      </c>
      <c r="B925">
        <f>Skills!B5</f>
        <v/>
      </c>
      <c r="C925">
        <f>Inputs!$B$3&gt;=63</f>
        <v/>
      </c>
      <c r="D925">
        <f>IF(Skills!C5=1,60+Inputs!$B$25+Inputs!$B$29,IF(Skills!C5=2,90+(Inputs!$B$26+1)+Inputs!$B$29,IF(Skills!C5=3,120+Inputs!$B$27+Inputs!$B$29,MAX(0,(Inputs!$B$3-100)*3)+Inputs!$B$28+Inputs!$B$29)))</f>
        <v/>
      </c>
      <c r="E925">
        <f>INDEX(FactorTable!$B$2:$Y$301, MATCH(ROUND(MIN(300,MAX(1,D925)),0), FactorTable!$A$2:$A$301,0), Skills!M5+1)</f>
        <v/>
      </c>
      <c r="F925">
        <f>IF(Skills!N5=TRUE,(Skills!L5/10)*(E925/1000),Skills!L5/10)+Skills!O5</f>
        <v/>
      </c>
      <c r="G925">
        <f>Skills!G5*IF(Skills!H5&gt;0,Skills!I5/Skills!H5,1)</f>
        <v/>
      </c>
      <c r="H925">
        <f>1-(1-Skills!J5/100)^Skills!K5</f>
        <v/>
      </c>
      <c r="I925" t="inlineStr">
        <is>
          <t>1</t>
        </is>
      </c>
      <c r="J925">
        <f>((Inputs!$B$6*(1+Inputs!$B$7/100))+(((Inputs!$B$12*(1+Inputs!$B$13/100))-(Inputs!$B$12*(1+Inputs!$B$13/100)))+0.25*(Inputs!$B$14-Inputs!$B$14))*(1+Inputs!$B$7/100))*(F925/100)</f>
        <v/>
      </c>
      <c r="K925">
        <f>J925*(1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938=TRUE,F938,0)/100)*(1+(IF(Skills!A5="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925)</f>
        <v/>
      </c>
      <c r="L925">
        <f>K925*(MIN(Inputs!$B$22+((C944=TRUE)*(F944-Calc!F24)),(Inputs!$B$23+((C949=TRUE)*(F949-Calc!F29))+IF(ArtifactsInput!$M$15,CHOOSE(ArtifactsInput!$N$15+1,25,30,35,40,45,50)/100*(Inputs!$B$11-Inputs!$B$11),0)))/100+(Inputs!$B$23+((C949=TRUE)*(F949-Calc!F29))+IF(ArtifactsInput!$M$15,CHOOSE(ArtifactsInput!$N$15+1,25,30,35,40,45,50)/100*(Inputs!$B$11-Inputs!$B$11),0))/100)/2</f>
        <v/>
      </c>
      <c r="M925">
        <f>L925*(1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5">
        <f>L925*(1-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IF(B965=0,0,O925/B965)</f>
        <v/>
      </c>
      <c r="Q925">
        <f>IFERROR(1/IF(Inputs!$B$39="pvp",15,MAX(0.1,Skills!D5-IF(Skills!E5=TRUE,Inputs!$B$32,0))),0)</f>
        <v/>
      </c>
      <c r="R925">
        <f>IF(AND(Inputs!$B$39&lt;&gt;"pvp",Inputs!$B$44&gt;0),IF(MAX(0,Inputs!$B$44-B964)&lt;=0,0,(INT(MAX(0,Inputs!$B$44-B964)/IF(Inputs!$B$39="pvp",15,MAX(0.1,Skills!D5-IF(Skills!E5=TRUE,Inputs!$B$32,0))))+1)),0)</f>
        <v/>
      </c>
      <c r="S925">
        <f>IFERROR(O925/N925,0)</f>
        <v/>
      </c>
      <c r="T925">
        <f>IF(C925,(H925*N925*IF(AND(Inputs!$B$39&lt;&gt;"pvp",Inputs!$B$44&gt;0),((Skills!G5*((R925-1)*IF(Skills!H5&gt;0,Skills!I5/Skills!H5,1)+IF(Skills!H5&gt;0,MIN(Skills!I5,MAX(0,MAX(0,Inputs!$B$44-B964)-((R925-1)*IF(Inputs!$B$39="pvp",15,MAX(0.1,Skills!D5-IF(Skills!E5=TRUE,Inputs!$B$32,0))))))/Skills!H5,1)))/Inputs!$B$44),G925*Q925))*IF(Inputs!$B$39="pvp",1,1+(Inputs!$B$20+0+Skills!P5+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925*(1-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5*((R925-1)*IF(Skills!H5&gt;0,Skills!I5/Skills!H5,1)+IF(Skills!H5&gt;0,MIN(Skills!I5,MAX(0,MAX(0,Inputs!$B$44-B964)-((R925-1)*IF(Inputs!$B$39="pvp",15,MAX(0.1,Skills!D5-IF(Skills!E5=TRUE,Inputs!$B$32,0))))))/Skills!H5,1)))/Inputs!$B$44),G925*Q925))*IF(Inputs!$B$39="pvp",1,(1+(Inputs!$B$21+Skills!Q5+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Skills!A6</f>
        <v/>
      </c>
      <c r="B926">
        <f>Skills!B6</f>
        <v/>
      </c>
      <c r="C926">
        <f>Inputs!$B$3&gt;=69</f>
        <v/>
      </c>
      <c r="D926">
        <f>IF(Skills!C6=1,60+Inputs!$B$25+Inputs!$B$29,IF(Skills!C6=2,90+(Inputs!$B$26+1)+Inputs!$B$29,IF(Skills!C6=3,120+Inputs!$B$27+Inputs!$B$29,MAX(0,(Inputs!$B$3-100)*3)+Inputs!$B$28+Inputs!$B$29)))</f>
        <v/>
      </c>
      <c r="E926">
        <f>INDEX(FactorTable!$B$2:$Y$301, MATCH(ROUND(MIN(300,MAX(1,D926)),0), FactorTable!$A$2:$A$301,0), Skills!M6+1)</f>
        <v/>
      </c>
      <c r="F926">
        <f>IF(Skills!N6=TRUE,(Skills!L6/10)*(E926/1000),Skills!L6/10)+Skills!O6</f>
        <v/>
      </c>
      <c r="G926">
        <f>Skills!G6*IF(Skills!H6&gt;0,Skills!I6/Skills!H6,1)</f>
        <v/>
      </c>
      <c r="H926">
        <f>1-(1-Skills!J6/100)^Skills!K6</f>
        <v/>
      </c>
      <c r="I926" t="inlineStr">
        <is>
          <t>1</t>
        </is>
      </c>
      <c r="J926">
        <f>((Inputs!$B$6*(1+Inputs!$B$7/100))+(((Inputs!$B$12*(1+Inputs!$B$13/100))-(Inputs!$B$12*(1+Inputs!$B$13/100)))+0.25*(Inputs!$B$14-Inputs!$B$14))*(1+Inputs!$B$7/100))*(F926/100)</f>
        <v/>
      </c>
      <c r="K926">
        <f>J926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938=TRUE,F938,0)/100)*(1+(IF(Skills!A6="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926)</f>
        <v/>
      </c>
      <c r="L926">
        <f>K926*(MIN(Inputs!$B$22+((C944=TRUE)*(F944-Calc!F24)),(Inputs!$B$23+((C949=TRUE)*(F949-Calc!F29))+IF(ArtifactsInput!$M$15,CHOOSE(ArtifactsInput!$N$15+1,25,30,35,40,45,50)/100*(Inputs!$B$11-Inputs!$B$11),0)))/100+(Inputs!$B$23+((C949=TRUE)*(F949-Calc!F29))+IF(ArtifactsInput!$M$15,CHOOSE(ArtifactsInput!$N$15+1,25,30,35,40,45,50)/100*(Inputs!$B$11-Inputs!$B$11),0))/100)/2</f>
        <v/>
      </c>
      <c r="M926">
        <f>L926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6">
        <f>L926*(1-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926*(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6">
        <f>(1-Summary!$B$11)*T926+Summary!$B$11*V926</f>
        <v/>
      </c>
      <c r="P926">
        <f>IF(B965=0,0,O926/B965)</f>
        <v/>
      </c>
      <c r="Q926">
        <f>IFERROR(1/IF(Inputs!$B$39="pvp",15,MAX(0.1,Skills!D6-IF(Skills!E6=TRUE,Inputs!$B$32,0))),0)</f>
        <v/>
      </c>
      <c r="R926">
        <f>IF(AND(Inputs!$B$39&lt;&gt;"pvp",Inputs!$B$44&gt;0),IF(MAX(0,Inputs!$B$44-B964)&lt;=0,0,(INT(MAX(0,Inputs!$B$44-B964)/IF(Inputs!$B$39="pvp",15,MAX(0.1,Skills!D6-IF(Skills!E6=TRUE,Inputs!$B$32,0))))+1)),0)</f>
        <v/>
      </c>
      <c r="S926">
        <f>IFERROR(O926/N926,0)</f>
        <v/>
      </c>
      <c r="T926">
        <f>IF(C926,(H926*N926*IF(AND(Inputs!$B$39&lt;&gt;"pvp",Inputs!$B$44&gt;0),((Skills!G6*((R926-1)*IF(Skills!H6&gt;0,Skills!I6/Skills!H6,1)+IF(Skills!H6&gt;0,MIN(Skills!I6,MAX(0,MAX(0,Inputs!$B$44-B964)-((R926-1)*IF(Inputs!$B$39="pvp",15,MAX(0.1,Skills!D6-IF(Skills!E6=TRUE,Inputs!$B$32,0))))))/Skills!H6,1)))/Inputs!$B$44),G926*Q926))*IF(Inputs!$B$39="pvp",1,1+(Inputs!$B$20+0+Skills!P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926*(1-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926*(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926*(1-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926*(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6">
        <f>IF(C926,(H926*N926*IF(AND(Inputs!$B$39&lt;&gt;"pvp",Inputs!$B$44&gt;0),((Skills!G6*((R926-1)*IF(Skills!H6&gt;0,Skills!I6/Skills!H6,1)+IF(Skills!H6&gt;0,MIN(Skills!I6,MAX(0,MAX(0,Inputs!$B$44-B964)-((R926-1)*IF(Inputs!$B$39="pvp",15,MAX(0.1,Skills!D6-IF(Skills!E6=TRUE,Inputs!$B$32,0))))))/Skills!H6,1)))/Inputs!$B$44),G926*Q926))*IF(Inputs!$B$39="pvp",1,(1+(Inputs!$B$21+Skills!Q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7">
      <c r="A927">
        <f>Skills!A7</f>
        <v/>
      </c>
      <c r="B927">
        <f>Skills!B7</f>
        <v/>
      </c>
      <c r="C927">
        <f>Inputs!$B$3&gt;=60</f>
        <v/>
      </c>
      <c r="D927">
        <f>IF(Skills!C7=1,60+Inputs!$B$25+Inputs!$B$29,IF(Skills!C7=2,90+(Inputs!$B$26+1)+Inputs!$B$29,IF(Skills!C7=3,120+Inputs!$B$27+Inputs!$B$29,MAX(0,(Inputs!$B$3-100)*3)+Inputs!$B$28+Inputs!$B$29)))</f>
        <v/>
      </c>
      <c r="E927">
        <f>INDEX(FactorTable!$B$2:$Y$301, MATCH(ROUND(MIN(300,MAX(1,D927)),0), FactorTable!$A$2:$A$301,0), Skills!M7+1)</f>
        <v/>
      </c>
      <c r="F927">
        <f>IF(Skills!N7=TRUE,(Skills!L7/10)*(E927/1000),Skills!L7/10)+Skills!O7</f>
        <v/>
      </c>
      <c r="G927">
        <f>Skills!G7*IF(Skills!H7&gt;0,Skills!I7/Skills!H7,1)</f>
        <v/>
      </c>
      <c r="H927">
        <f>1-(1-Skills!J7/100)^Skills!K7</f>
        <v/>
      </c>
      <c r="I927" t="inlineStr">
        <is>
          <t>1</t>
        </is>
      </c>
      <c r="J927" t="inlineStr"/>
      <c r="K927" t="inlineStr"/>
      <c r="L927" t="inlineStr"/>
      <c r="M927" t="inlineStr"/>
      <c r="N927" t="inlineStr"/>
      <c r="O927">
        <f>(1-Summary!$B$11)*T927+Summary!$B$11*V927</f>
        <v/>
      </c>
      <c r="P927">
        <f>IF(B965=0,0,O927/B965)</f>
        <v/>
      </c>
      <c r="Q927" t="n">
        <v>0</v>
      </c>
      <c r="R927" t="n">
        <v>0</v>
      </c>
      <c r="S927">
        <f>IFERROR(O927/N927,0)</f>
        <v/>
      </c>
      <c r="T927" t="n">
        <v>0</v>
      </c>
      <c r="V927" t="n">
        <v>0</v>
      </c>
    </row>
    <row r="928">
      <c r="A928">
        <f>Skills!A8</f>
        <v/>
      </c>
      <c r="B928">
        <f>Skills!B8</f>
        <v/>
      </c>
      <c r="C928">
        <f>Inputs!$B$3&gt;=72</f>
        <v/>
      </c>
      <c r="D928">
        <f>IF(Skills!C8=1,60+Inputs!$B$25+Inputs!$B$29,IF(Skills!C8=2,90+(Inputs!$B$26+1)+Inputs!$B$29,IF(Skills!C8=3,120+Inputs!$B$27+Inputs!$B$29,MAX(0,(Inputs!$B$3-100)*3)+Inputs!$B$28+Inputs!$B$29)))</f>
        <v/>
      </c>
      <c r="E928">
        <f>INDEX(FactorTable!$B$2:$Y$301, MATCH(ROUND(MIN(300,MAX(1,D928)),0), FactorTable!$A$2:$A$301,0), Skills!M8+1)</f>
        <v/>
      </c>
      <c r="F928">
        <f>IF(Skills!N8=TRUE,(Skills!L8/10)*(E928/1000),Skills!L8/10)+Skills!O8</f>
        <v/>
      </c>
      <c r="G928">
        <f>Skills!G8*IF(Skills!H8&gt;0,Skills!I8/Skills!H8,1)</f>
        <v/>
      </c>
      <c r="H928">
        <f>1-(1-Skills!J8/100)^Skills!K8</f>
        <v/>
      </c>
      <c r="I928" t="inlineStr">
        <is>
          <t>1</t>
        </is>
      </c>
      <c r="J928">
        <f>((Inputs!$B$6*(1+Inputs!$B$7/100))+(((Inputs!$B$12*(1+Inputs!$B$13/100))-(Inputs!$B$12*(1+Inputs!$B$13/100)))+0.25*(Inputs!$B$14-Inputs!$B$14))*(1+Inputs!$B$7/100))*(F928/100)</f>
        <v/>
      </c>
      <c r="K928">
        <f>J928*(1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938=TRUE,F938,0)/100)*(1+(IF(Skills!A8="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928)</f>
        <v/>
      </c>
      <c r="L928">
        <f>K928*(MIN(Inputs!$B$22+((C944=TRUE)*(F944-Calc!F24)),(Inputs!$B$23+((C949=TRUE)*(F949-Calc!F29))+IF(ArtifactsInput!$M$15,CHOOSE(ArtifactsInput!$N$15+1,25,30,35,40,45,50)/100*(Inputs!$B$11-Inputs!$B$11),0)))/100+(Inputs!$B$23+((C949=TRUE)*(F949-Calc!F29))+IF(ArtifactsInput!$M$15,CHOOSE(ArtifactsInput!$N$15+1,25,30,35,40,45,50)/100*(Inputs!$B$11-Inputs!$B$11),0))/100)/2</f>
        <v/>
      </c>
      <c r="M928">
        <f>L928*(1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8">
        <f>L928*(1-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928*(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8">
        <f>(1-Summary!$B$11)*T928+Summary!$B$11*V928</f>
        <v/>
      </c>
      <c r="P928">
        <f>IF(B965=0,0,O928/B965)</f>
        <v/>
      </c>
      <c r="Q928">
        <f>IFERROR(1/IF(Inputs!$B$39="pvp",15,MAX(0.1,Skills!D8-IF(Skills!E8=TRUE,Inputs!$B$32,0))),0)</f>
        <v/>
      </c>
      <c r="R928">
        <f>IF(AND(Inputs!$B$39&lt;&gt;"pvp",Inputs!$B$44&gt;0),IF(MAX(0,Inputs!$B$44-B964)&lt;=0,0,(INT(MAX(0,Inputs!$B$44-B964)/IF(Inputs!$B$39="pvp",15,MAX(0.1,Skills!D8-IF(Skills!E8=TRUE,Inputs!$B$32,0))))+1)),0)</f>
        <v/>
      </c>
      <c r="S928">
        <f>IFERROR(O928/N928,0)</f>
        <v/>
      </c>
      <c r="T928">
        <f>IF(C928,(H928*N928*IF(AND(Inputs!$B$39&lt;&gt;"pvp",Inputs!$B$44&gt;0),((Skills!G8*((R928-1)*IF(Skills!H8&gt;0,Skills!I8/Skills!H8,1)+IF(Skills!H8&gt;0,MIN(Skills!I8,MAX(0,MAX(0,Inputs!$B$44-B964)-((R928-1)*IF(Inputs!$B$39="pvp",15,MAX(0.1,Skills!D8-IF(Skills!E8=TRUE,Inputs!$B$32,0))))))/Skills!H8,1)))/Inputs!$B$44),G928*Q928))*IF(Inputs!$B$39="pvp",1,1+(Inputs!$B$20+0+Skills!P8+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928*(1-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928*(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928*(1-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928*(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8">
        <f>IF(C928,(H928*N928*IF(AND(Inputs!$B$39&lt;&gt;"pvp",Inputs!$B$44&gt;0),((Skills!G8*((R928-1)*IF(Skills!H8&gt;0,Skills!I8/Skills!H8,1)+IF(Skills!H8&gt;0,MIN(Skills!I8,MAX(0,MAX(0,Inputs!$B$44-B964)-((R928-1)*IF(Inputs!$B$39="pvp",15,MAX(0.1,Skills!D8-IF(Skills!E8=TRUE,Inputs!$B$32,0))))))/Skills!H8,1)))/Inputs!$B$44),G928*Q928))*IF(Inputs!$B$39="pvp",1,(1+(Inputs!$B$21+Skills!Q8+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9">
      <c r="A929">
        <f>Skills!A9</f>
        <v/>
      </c>
      <c r="B929">
        <f>Skills!B9</f>
        <v/>
      </c>
      <c r="C929">
        <f>Inputs!$B$3&gt;=117</f>
        <v/>
      </c>
      <c r="D929">
        <f>IF(Skills!C9=1,60+Inputs!$B$25+Inputs!$B$29,IF(Skills!C9=2,90+(Inputs!$B$26+1)+Inputs!$B$29,IF(Skills!C9=3,120+Inputs!$B$27+Inputs!$B$29,MAX(0,(Inputs!$B$3-100)*3)+Inputs!$B$28+Inputs!$B$29)))</f>
        <v/>
      </c>
      <c r="E929">
        <f>INDEX(FactorTable!$B$2:$Y$301, MATCH(ROUND(MIN(300,MAX(1,D929)),0), FactorTable!$A$2:$A$301,0), Skills!M9+1)</f>
        <v/>
      </c>
      <c r="F929">
        <f>IF(Skills!N9=TRUE,(Skills!L9/10)*(E929/1000),Skills!L9/10)+Skills!O9</f>
        <v/>
      </c>
      <c r="G929">
        <f>Skills!G9*IF(Skills!H9&gt;0,Skills!I9/Skills!H9,1)</f>
        <v/>
      </c>
      <c r="H929">
        <f>1-(1-Skills!J9/100)^Skills!K9</f>
        <v/>
      </c>
      <c r="I929" t="inlineStr">
        <is>
          <t>1</t>
        </is>
      </c>
      <c r="J929">
        <f>((Inputs!$B$6*(1+Inputs!$B$7/100))+(((Inputs!$B$12*(1+Inputs!$B$13/100))-(Inputs!$B$12*(1+Inputs!$B$13/100)))+0.25*(Inputs!$B$14-Inputs!$B$14))*(1+Inputs!$B$7/100))*(F929/100)</f>
        <v/>
      </c>
      <c r="K929">
        <f>J929*(1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929)</f>
        <v/>
      </c>
      <c r="L929">
        <f>K929*(MIN(Inputs!$B$22+((C944=TRUE)*(F944-Calc!F24)),(Inputs!$B$23+((C949=TRUE)*(F949-Calc!F29))+IF(ArtifactsInput!$M$15,CHOOSE(ArtifactsInput!$N$15+1,25,30,35,40,45,50)/100*(Inputs!$B$11-Inputs!$B$11),0)))/100+(Inputs!$B$23+((C949=TRUE)*(F949-Calc!F29))+IF(ArtifactsInput!$M$15,CHOOSE(ArtifactsInput!$N$15+1,25,30,35,40,45,50)/100*(Inputs!$B$11-Inputs!$B$11),0))/100)/2</f>
        <v/>
      </c>
      <c r="M929">
        <f>L929*(1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9">
        <f>L929*(1-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(1-Summary!$B$11)*T929+Summary!$B$11*V929</f>
        <v/>
      </c>
      <c r="P929">
        <f>IF(B965=0,0,O929/B965)</f>
        <v/>
      </c>
      <c r="Q929" t="n">
        <v>0</v>
      </c>
      <c r="R929" t="n">
        <v>0</v>
      </c>
      <c r="S929" t="n">
        <v>0</v>
      </c>
      <c r="T929">
        <f>IF(C929,(0.2*SUMPRODUCT((Skills!Z2:Z30=TRUE)*(C922:C950=TRUE)*S922:S950)*N929)*IF(Inputs!$B$39="pvp",1,1+(Inputs!$B$20+0+Skills!P9+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929*(1-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9">
        <f>IF(C929,(0.2*SUMPRODUCT((Skills!Z2:Z30=TRUE)*(C922:C950=TRUE)*S922:S950)*N929)*IF(Inputs!$B$39="pvp",1,(1+(Inputs!$B$21+Skills!Q9+B954+(IF(ArtifactsInput!$M$33,CHOOSE(ArtifactsInput!$N$33+1,30,36,42,48,54,60),0))+(IF(AND(ArtifactsInput!$M$35,Inputs!$B$4&lt;&gt;"Chapter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Skills!A10</f>
        <v/>
      </c>
      <c r="B930">
        <f>Skills!B10</f>
        <v/>
      </c>
      <c r="C930">
        <f>Inputs!$B$3&gt;=74</f>
        <v/>
      </c>
      <c r="D930">
        <f>IF(Skills!C10=1,60+Inputs!$B$25+Inputs!$B$29,IF(Skills!C10=2,90+(Inputs!$B$26+1)+Inputs!$B$29,IF(Skills!C10=3,120+Inputs!$B$27+Inputs!$B$29,MAX(0,(Inputs!$B$3-100)*3)+Inputs!$B$28+Inputs!$B$29)))</f>
        <v/>
      </c>
      <c r="E930">
        <f>INDEX(FactorTable!$B$2:$Y$301, MATCH(ROUND(MIN(300,MAX(1,D930)),0), FactorTable!$A$2:$A$301,0), Skills!M10+1)</f>
        <v/>
      </c>
      <c r="F930">
        <f>IF(Skills!N10=TRUE,(Skills!L10/10)*(E930/1000),Skills!L10/10)+Skills!O10</f>
        <v/>
      </c>
      <c r="G930">
        <f>Skills!G10*IF(Skills!H10&gt;0,Skills!I10/Skills!H10,1)</f>
        <v/>
      </c>
      <c r="H930">
        <f>1-(1-Skills!J10/100)^Skills!K10</f>
        <v/>
      </c>
      <c r="I930" t="inlineStr">
        <is>
          <t>1</t>
        </is>
      </c>
      <c r="J930" t="inlineStr"/>
      <c r="K930" t="inlineStr"/>
      <c r="L930" t="inlineStr"/>
      <c r="M930" t="inlineStr"/>
      <c r="N930" t="inlineStr"/>
      <c r="O930">
        <f>(1-Summary!$B$11)*T930+Summary!$B$11*V930</f>
        <v/>
      </c>
      <c r="P930">
        <f>IF(B965=0,0,O930/B965)</f>
        <v/>
      </c>
      <c r="Q930">
        <f>IFERROR(1/IF(Inputs!$B$39="pvp",15,MAX(0.1,Skills!D10-IF(Skills!E10=TRUE,Inputs!$B$32,0))),0)</f>
        <v/>
      </c>
      <c r="R930">
        <f>IF(AND(Inputs!$B$39&lt;&gt;"pvp",Inputs!$B$44&gt;0),IF(Inputs!$B$44&lt;=0,0,(INT(Inputs!$B$44/IF(Inputs!$B$39="pvp",15,MAX(0.1,Skills!D10-IF(Skills!E10=TRUE,Inputs!$B$32,0))))+1)),0)</f>
        <v/>
      </c>
      <c r="S930">
        <f>IFERROR(O930/N930,0)</f>
        <v/>
      </c>
      <c r="T930" t="n">
        <v>0</v>
      </c>
      <c r="V930" t="n">
        <v>0</v>
      </c>
    </row>
    <row r="931">
      <c r="A931">
        <f>Skills!A11</f>
        <v/>
      </c>
      <c r="B931">
        <f>Skills!B11</f>
        <v/>
      </c>
      <c r="C931">
        <f>Inputs!$B$3&gt;=103</f>
        <v/>
      </c>
      <c r="D931">
        <f>IF(Skills!C11=1,60+Inputs!$B$25+Inputs!$B$29,IF(Skills!C11=2,90+(Inputs!$B$26+1)+Inputs!$B$29,IF(Skills!C11=3,120+Inputs!$B$27+Inputs!$B$29,MAX(0,(Inputs!$B$3-100)*3)+Inputs!$B$28+Inputs!$B$29)))</f>
        <v/>
      </c>
      <c r="E931">
        <f>INDEX(FactorTable!$B$2:$Y$301, MATCH(ROUND(MIN(300,MAX(1,D931)),0), FactorTable!$A$2:$A$301,0), Skills!M11+1)</f>
        <v/>
      </c>
      <c r="F931">
        <f>(Skills!L11/10)*(E931/1000)+IF(Inputs!$B$3&gt;=134,50,0)+0.5*(30000/10)*(INDEX(FactorTable!$B$2:$Y$301, MATCH(ROUND(MIN(300,MAX(1,D931)),0), FactorTable!$A$2:$A$301,0), 13)/1000)*B963</f>
        <v/>
      </c>
      <c r="G931">
        <f>Skills!G11*IF(Skills!H11&gt;0,Skills!I11/Skills!H11,1)</f>
        <v/>
      </c>
      <c r="H931">
        <f>1-(1-Skills!J11/100)^Skills!K11</f>
        <v/>
      </c>
      <c r="I931" t="inlineStr">
        <is>
          <t>1</t>
        </is>
      </c>
      <c r="J931">
        <f>((Inputs!$B$6*(1+Inputs!$B$7/100))+(((Inputs!$B$12*(1+Inputs!$B$13/100))-(Inputs!$B$12*(1+Inputs!$B$13/100)))+0.25*(Inputs!$B$14-Inputs!$B$14))*(1+Inputs!$B$7/100))*(F931/100)</f>
        <v/>
      </c>
      <c r="K931">
        <f>J931*(1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931)</f>
        <v/>
      </c>
      <c r="L931">
        <f>K931*(MIN(Inputs!$B$22+((C944=TRUE)*(F944-Calc!F24)),(Inputs!$B$23+((C949=TRUE)*(F949-Calc!F29))+IF(ArtifactsInput!$M$15,CHOOSE(ArtifactsInput!$N$15+1,25,30,35,40,45,50)/100*(Inputs!$B$11-Inputs!$B$11),0)))/100+(Inputs!$B$23+((C949=TRUE)*(F949-Calc!F29))+IF(ArtifactsInput!$M$15,CHOOSE(ArtifactsInput!$N$15+1,25,30,35,40,45,50)/100*(Inputs!$B$11-Inputs!$B$11),0))/100)/2</f>
        <v/>
      </c>
      <c r="M931">
        <f>L931*(1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1">
        <f>L931*(1-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1">
        <f>(1-Summary!$B$11)*T931+Summary!$B$11*V931</f>
        <v/>
      </c>
      <c r="P931">
        <f>IF(B965=0,0,O931/B965)</f>
        <v/>
      </c>
      <c r="Q931">
        <f>IFERROR(1/IF(Inputs!$B$39="pvp",15,MAX(0.1,Skills!D11-IF(Skills!E11=TRUE,Inputs!$B$32,0))),0)</f>
        <v/>
      </c>
      <c r="R931">
        <f>IF(AND(Inputs!$B$39&lt;&gt;"pvp",Inputs!$B$44&gt;0),IF(MAX(0,Inputs!$B$44-B964)&lt;=0,0,(INT(MAX(0,Inputs!$B$44-B964)/IF(Inputs!$B$39="pvp",15,MAX(0.1,Skills!D11-IF(Skills!E11=TRUE,Inputs!$B$32,0))))+1)),0)</f>
        <v/>
      </c>
      <c r="S931">
        <f>IFERROR(O931/N931,0)</f>
        <v/>
      </c>
      <c r="T931">
        <f>IF(C931,(H931*N931*IF(AND(Inputs!$B$39&lt;&gt;"pvp",Inputs!$B$44&gt;0),((Skills!G11*((R931-1)*IF(Skills!H11&gt;0,Skills!I11/Skills!H11,1)+IF(Skills!H11&gt;0,MIN(Skills!I11,MAX(0,MAX(0,Inputs!$B$44-B964)-((R931-1)*IF(Inputs!$B$39="pvp",15,MAX(0.1,Skills!D11-IF(Skills!E11=TRUE,Inputs!$B$32,0))))))/Skills!H11,1)))/Inputs!$B$44),G931*Q931))*IF(Inputs!$B$39="pvp",1,1+(Inputs!$B$20+0+Skills!P11+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931*(1-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931*(1-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1">
        <f>IF(C931,(H931*N931*IF(AND(Inputs!$B$39&lt;&gt;"pvp",Inputs!$B$44&gt;0),((Skills!G11*((R931-1)*IF(Skills!H11&gt;0,Skills!I11/Skills!H11,1)+IF(Skills!H11&gt;0,MIN(Skills!I11,MAX(0,MAX(0,Inputs!$B$44-B964)-((R931-1)*IF(Inputs!$B$39="pvp",15,MAX(0.1,Skills!D11-IF(Skills!E11=TRUE,Inputs!$B$32,0))))))/Skills!H11,1)))/Inputs!$B$44),G931*Q931))*IF(Inputs!$B$39="pvp",1,(1+(Inputs!$B$21+Skills!Q11+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2">
      <c r="A932">
        <f>Skills!A12</f>
        <v/>
      </c>
      <c r="B932">
        <f>Skills!B12</f>
        <v/>
      </c>
      <c r="C932">
        <f>Inputs!$B$3&gt;=105</f>
        <v/>
      </c>
      <c r="D932">
        <f>IF(Skills!C12=1,60+Inputs!$B$25+Inputs!$B$29,IF(Skills!C12=2,90+(Inputs!$B$26+1)+Inputs!$B$29,IF(Skills!C12=3,120+Inputs!$B$27+Inputs!$B$29,MAX(0,(Inputs!$B$3-100)*3)+Inputs!$B$28+Inputs!$B$29)))</f>
        <v/>
      </c>
      <c r="E932">
        <f>INDEX(FactorTable!$B$2:$Y$301, MATCH(ROUND(MIN(300,MAX(1,D932)),0), FactorTable!$A$2:$A$301,0), Skills!M12+1)</f>
        <v/>
      </c>
      <c r="F932">
        <f>IF(Skills!N12=TRUE,(Skills!L12/10)*(E932/1000),Skills!L12/10)+Skills!O12</f>
        <v/>
      </c>
      <c r="G932">
        <f>Skills!G12*IF(Skills!H12&gt;0,Skills!I12/Skills!H12,1)</f>
        <v/>
      </c>
      <c r="H932">
        <f>1-(1-Skills!J12/100)^Skills!K12</f>
        <v/>
      </c>
      <c r="I932" t="inlineStr">
        <is>
          <t>1</t>
        </is>
      </c>
      <c r="J932">
        <f>((Inputs!$B$6*(1+Inputs!$B$7/100))+(((Inputs!$B$12*(1+Inputs!$B$13/100))-(Inputs!$B$12*(1+Inputs!$B$13/100)))+0.25*(Inputs!$B$14-Inputs!$B$14))*(1+Inputs!$B$7/100))*(F932/100)</f>
        <v/>
      </c>
      <c r="K932">
        <f>J932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932)</f>
        <v/>
      </c>
      <c r="L932">
        <f>K932*(MIN(Inputs!$B$22+((C944=TRUE)*(F944-Calc!F24)),(Inputs!$B$23+((C949=TRUE)*(F949-Calc!F29))+IF(ArtifactsInput!$M$15,CHOOSE(ArtifactsInput!$N$15+1,25,30,35,40,45,50)/100*(Inputs!$B$11-Inputs!$B$11),0)))/100+(Inputs!$B$23+((C949=TRUE)*(F949-Calc!F29))+IF(ArtifactsInput!$M$15,CHOOSE(ArtifactsInput!$N$15+1,25,30,35,40,45,50)/100*(Inputs!$B$11-Inputs!$B$11),0))/100)/2</f>
        <v/>
      </c>
      <c r="M932">
        <f>L932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2">
        <f>L932*(1-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932*(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2">
        <f>(1-Summary!$B$11)*T932+Summary!$B$11*V932</f>
        <v/>
      </c>
      <c r="P932">
        <f>IF(B965=0,0,O932/B965)</f>
        <v/>
      </c>
      <c r="Q932">
        <f>IFERROR(1/IF(Inputs!$B$39="pvp",15,MAX(0.1,Skills!D12-IF(Skills!E12=TRUE,Inputs!$B$32,0))),0)</f>
        <v/>
      </c>
      <c r="R932">
        <f>IF(AND(Inputs!$B$39&lt;&gt;"pvp",Inputs!$B$44&gt;0),IF(MAX(0,Inputs!$B$44-B964)&lt;=0,0,(INT(MAX(0,Inputs!$B$44-B964)/IF(Inputs!$B$39="pvp",15,MAX(0.1,Skills!D12-IF(Skills!E12=TRUE,Inputs!$B$32,0))))+1)),0)</f>
        <v/>
      </c>
      <c r="S932">
        <f>IFERROR(O932/N932,0)</f>
        <v/>
      </c>
      <c r="T932">
        <f>IF(C932,(H932*N932*IF(AND(Inputs!$B$39&lt;&gt;"pvp",Inputs!$B$44&gt;0),((Skills!G12*((R932-1)*IF(Skills!H12&gt;0,Skills!I12/Skills!H12,1)+IF(Skills!H12&gt;0,MIN(Skills!I12,MAX(0,MAX(0,Inputs!$B$44-B964)-((R932-1)*IF(Inputs!$B$39="pvp",15,MAX(0.1,Skills!D12-IF(Skills!E12=TRUE,Inputs!$B$32,0))))))/Skills!H12,1)))/Inputs!$B$44),G932*Q932))*IF(Inputs!$B$39="pvp",1,1+(Inputs!$B$20+0+Skills!P12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932*(1-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932*(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932*(1-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932*(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2">
        <f>IF(C932,(H932*N932*IF(AND(Inputs!$B$39&lt;&gt;"pvp",Inputs!$B$44&gt;0),((Skills!G12*((R932-1)*IF(Skills!H12&gt;0,Skills!I12/Skills!H12,1)+IF(Skills!H12&gt;0,MIN(Skills!I12,MAX(0,MAX(0,Inputs!$B$44-B964)-((R932-1)*IF(Inputs!$B$39="pvp",15,MAX(0.1,Skills!D12-IF(Skills!E12=TRUE,Inputs!$B$32,0))))))/Skills!H12,1)))/Inputs!$B$44),G932*Q932))*IF(Inputs!$B$39="pvp",1,(1+(Inputs!$B$21+Skills!Q12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3">
      <c r="A933">
        <f>Skills!A13</f>
        <v/>
      </c>
      <c r="B933">
        <f>Skills!B13</f>
        <v/>
      </c>
      <c r="C933">
        <f>Inputs!$B$3&gt;=105</f>
        <v/>
      </c>
      <c r="D933">
        <f>IF(Skills!C13=1,60+Inputs!$B$25+Inputs!$B$29,IF(Skills!C13=2,90+(Inputs!$B$26+1)+Inputs!$B$29,IF(Skills!C13=3,120+Inputs!$B$27+Inputs!$B$29,MAX(0,(Inputs!$B$3-100)*3)+Inputs!$B$28+Inputs!$B$29)))</f>
        <v/>
      </c>
      <c r="E933">
        <f>INDEX(FactorTable!$B$2:$Y$301, MATCH(ROUND(MIN(300,MAX(1,D933)),0), FactorTable!$A$2:$A$301,0), Skills!M13+1)</f>
        <v/>
      </c>
      <c r="F933">
        <f>IF(Skills!N13=TRUE,(Skills!L13/10)*(E933/1000),Skills!L13/10)+Skills!O13</f>
        <v/>
      </c>
      <c r="G933">
        <f>Skills!G13*IF(Skills!H13&gt;0,Skills!I13/Skills!H13,1)</f>
        <v/>
      </c>
      <c r="H933">
        <f>1-(1-Skills!J13/100)^Skills!K13</f>
        <v/>
      </c>
      <c r="I933" t="inlineStr">
        <is>
          <t>1</t>
        </is>
      </c>
      <c r="J933">
        <f>((Inputs!$B$6*(1+Inputs!$B$7/100))+(((Inputs!$B$12*(1+Inputs!$B$13/100))-(Inputs!$B$12*(1+Inputs!$B$13/100)))+0.25*(Inputs!$B$14-Inputs!$B$14))*(1+Inputs!$B$7/100))*(F933/100)</f>
        <v/>
      </c>
      <c r="K933">
        <f>J933*(1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933)</f>
        <v/>
      </c>
      <c r="L933">
        <f>K933*(MIN(Inputs!$B$22+((C944=TRUE)*(F944-Calc!F24)),(Inputs!$B$23+((C949=TRUE)*(F949-Calc!F29))+IF(ArtifactsInput!$M$15,CHOOSE(ArtifactsInput!$N$15+1,25,30,35,40,45,50)/100*(Inputs!$B$11-Inputs!$B$11),0)))/100+(Inputs!$B$23+((C949=TRUE)*(F949-Calc!F29))+IF(ArtifactsInput!$M$15,CHOOSE(ArtifactsInput!$N$15+1,25,30,35,40,45,50)/100*(Inputs!$B$11-Inputs!$B$11),0))/100)/2</f>
        <v/>
      </c>
      <c r="M933">
        <f>L933*(1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3">
        <f>L933*(1-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(1-Summary!$B$11)*T933+Summary!$B$11*V933</f>
        <v/>
      </c>
      <c r="P933">
        <f>IF(B965=0,0,O933/B965)</f>
        <v/>
      </c>
      <c r="Q933">
        <f>IFERROR(1/IF(Inputs!$B$39="pvp",15,MAX(0.1,Skills!D13-IF(Skills!E13=TRUE,Inputs!$B$32,0))),0)</f>
        <v/>
      </c>
      <c r="R933">
        <f>IF(AND(Inputs!$B$39&lt;&gt;"pvp",Inputs!$B$44&gt;0),IF(MAX(0,Inputs!$B$44-B964)&lt;=0,0,(INT(MAX(0,Inputs!$B$44-B964)/IF(Inputs!$B$39="pvp",15,MAX(0.1,Skills!D13-IF(Skills!E13=TRUE,Inputs!$B$32,0))))+1)),0)</f>
        <v/>
      </c>
      <c r="S933">
        <f>IFERROR(O933/N933,0)</f>
        <v/>
      </c>
      <c r="T933">
        <f>IF(C933,(H933*N933*IF(AND(Inputs!$B$39&lt;&gt;"pvp",Inputs!$B$44&gt;0),((Skills!G13*((R933-1)*IF(Skills!H13&gt;0,Skills!I13/Skills!H13,1)+IF(Skills!H13&gt;0,MIN(Skills!I13,MAX(0,MAX(0,Inputs!$B$44-B964)-((R933-1)*IF(Inputs!$B$39="pvp",15,MAX(0.1,Skills!D13-IF(Skills!E13=TRUE,Inputs!$B$32,0))))))/Skills!H13,1)))/Inputs!$B$44),G933*Q933))*IF(Inputs!$B$39="pvp",1,1+(Inputs!$B$20+0+Skills!P13+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933*(1-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3">
        <f>IF(C933,(H933*N933*IF(AND(Inputs!$B$39&lt;&gt;"pvp",Inputs!$B$44&gt;0),((Skills!G13*((R933-1)*IF(Skills!H13&gt;0,Skills!I13/Skills!H13,1)+IF(Skills!H13&gt;0,MIN(Skills!I13,MAX(0,MAX(0,Inputs!$B$44-B964)-((R933-1)*IF(Inputs!$B$39="pvp",15,MAX(0.1,Skills!D13-IF(Skills!E13=TRUE,Inputs!$B$32,0))))))/Skills!H13,1)))/Inputs!$B$44),G933*Q933))*IF(Inputs!$B$39="pvp",1,(1+(Inputs!$B$21+Skills!Q13+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Skills!A14</f>
        <v/>
      </c>
      <c r="B934">
        <f>Skills!B14</f>
        <v/>
      </c>
      <c r="C934">
        <f>Inputs!$B$3&gt;=107</f>
        <v/>
      </c>
      <c r="D934">
        <f>IF(Skills!C14=1,60+Inputs!$B$25+Inputs!$B$29,IF(Skills!C14=2,90+(Inputs!$B$26+1)+Inputs!$B$29,IF(Skills!C14=3,120+Inputs!$B$27+Inputs!$B$29,MAX(0,(Inputs!$B$3-100)*3)+Inputs!$B$28+Inputs!$B$29)))</f>
        <v/>
      </c>
      <c r="E934">
        <f>INDEX(FactorTable!$B$2:$Y$301, MATCH(ROUND(MIN(300,MAX(1,D934)),0), FactorTable!$A$2:$A$301,0), Skills!M14+1)</f>
        <v/>
      </c>
      <c r="F934">
        <f>IF(Skills!N14=TRUE,(Skills!L14/10)*(E934/1000),Skills!L14/10)+Skills!O14</f>
        <v/>
      </c>
      <c r="G934">
        <f>Skills!G14*IF(Skills!H14&gt;0,Skills!I14/Skills!H14,1)</f>
        <v/>
      </c>
      <c r="H934">
        <f>1-(1-Skills!J14/100)^Skills!K14</f>
        <v/>
      </c>
      <c r="I934" t="inlineStr">
        <is>
          <t>1</t>
        </is>
      </c>
      <c r="J934">
        <f>((Inputs!$B$6*(1+Inputs!$B$7/100))+(((Inputs!$B$12*(1+Inputs!$B$13/100))-(Inputs!$B$12*(1+Inputs!$B$13/100)))+0.25*(Inputs!$B$14-Inputs!$B$14))*(1+Inputs!$B$7/100))*(F934/100)</f>
        <v/>
      </c>
      <c r="K934">
        <f>J934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934)</f>
        <v/>
      </c>
      <c r="L934">
        <f>K934*(MIN(Inputs!$B$22+((C944=TRUE)*(F944-Calc!F24)),(Inputs!$B$23+((C949=TRUE)*(F949-Calc!F29))+IF(ArtifactsInput!$M$15,CHOOSE(ArtifactsInput!$N$15+1,25,30,35,40,45,50)/100*(Inputs!$B$11-Inputs!$B$11),0)))/100+(Inputs!$B$23+((C949=TRUE)*(F949-Calc!F29))+IF(ArtifactsInput!$M$15,CHOOSE(ArtifactsInput!$N$15+1,25,30,35,40,45,50)/100*(Inputs!$B$11-Inputs!$B$11),0))/100)/2</f>
        <v/>
      </c>
      <c r="M934">
        <f>L934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4">
        <f>L934*(1-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(1-Summary!$B$11)*T934+Summary!$B$11*V934</f>
        <v/>
      </c>
      <c r="P934">
        <f>IF(B965=0,0,O934/B965)</f>
        <v/>
      </c>
      <c r="Q934">
        <f>IFERROR(1/IF(Inputs!$B$39="pvp",15,MAX(0.1,Skills!D14-IF(Skills!E14=TRUE,Inputs!$B$32,0))),0)</f>
        <v/>
      </c>
      <c r="R934">
        <f>IF(AND(Inputs!$B$39&lt;&gt;"pvp",Inputs!$B$44&gt;0),IF(MAX(0,Inputs!$B$44-B964)&lt;=0,0,(INT(MAX(0,Inputs!$B$44-B964)/IF(Inputs!$B$39="pvp",15,MAX(0.1,Skills!D14-IF(Skills!E14=TRUE,Inputs!$B$32,0))))+1)),0)</f>
        <v/>
      </c>
      <c r="S934">
        <f>IFERROR(O934/N934,0)</f>
        <v/>
      </c>
      <c r="T934">
        <f>IF(C934,(H934*N934*IF(AND(Inputs!$B$39&lt;&gt;"pvp",Inputs!$B$44&gt;0),((Skills!G14*((R934-1)*IF(Skills!H14&gt;0,Skills!I14/Skills!H14,1)+IF(Skills!H14&gt;0,MIN(Skills!I14,MAX(0,MAX(0,Inputs!$B$44-B964)-((R934-1)*IF(Inputs!$B$39="pvp",15,MAX(0.1,Skills!D14-IF(Skills!E14=TRUE,Inputs!$B$32,0))))))/Skills!H14,1)))/Inputs!$B$44),G934*Q934))*IF(Inputs!$B$39="pvp",1,1+(Inputs!$B$20+0+Skills!P14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934*(1-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4">
        <f>IF(C934,(H934*N934*IF(AND(Inputs!$B$39&lt;&gt;"pvp",Inputs!$B$44&gt;0),((Skills!G14*((R934-1)*IF(Skills!H14&gt;0,Skills!I14/Skills!H14,1)+IF(Skills!H14&gt;0,MIN(Skills!I14,MAX(0,MAX(0,Inputs!$B$44-B964)-((R934-1)*IF(Inputs!$B$39="pvp",15,MAX(0.1,Skills!D14-IF(Skills!E14=TRUE,Inputs!$B$32,0))))))/Skills!H14,1)))/Inputs!$B$44),G934*Q934))*IF(Inputs!$B$39="pvp",1,(1+(Inputs!$B$21+Skills!Q14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(5,0.25*B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5">
      <c r="A935">
        <f>Skills!A15</f>
        <v/>
      </c>
      <c r="B935">
        <f>Skills!B15</f>
        <v/>
      </c>
      <c r="C935">
        <f>Inputs!$B$3&gt;=110</f>
        <v/>
      </c>
      <c r="D935">
        <f>IF(Skills!C15=1,60+Inputs!$B$25+Inputs!$B$29,IF(Skills!C15=2,90+(Inputs!$B$26+1)+Inputs!$B$29,IF(Skills!C15=3,120+Inputs!$B$27+Inputs!$B$29,MAX(0,(Inputs!$B$3-100)*3)+Inputs!$B$28+Inputs!$B$29)))</f>
        <v/>
      </c>
      <c r="E935">
        <f>INDEX(FactorTable!$B$2:$Y$301, MATCH(ROUND(MIN(300,MAX(1,D935)),0), FactorTable!$A$2:$A$301,0), Skills!M15+1)</f>
        <v/>
      </c>
      <c r="F935">
        <f>IF(Skills!N15=TRUE,(Skills!L15/10)*(E935/1000),Skills!L15/10)+Skills!O15</f>
        <v/>
      </c>
      <c r="G935">
        <f>Skills!G15*IF(Skills!H15&gt;0,Skills!I15/Skills!H15,1)</f>
        <v/>
      </c>
      <c r="H935">
        <f>1-(1-Skills!J15/100)^Skills!K15</f>
        <v/>
      </c>
      <c r="I935" t="inlineStr">
        <is>
          <t>1</t>
        </is>
      </c>
      <c r="J935" t="inlineStr"/>
      <c r="K935" t="inlineStr"/>
      <c r="L935" t="inlineStr"/>
      <c r="M935" t="inlineStr"/>
      <c r="N935" t="inlineStr"/>
      <c r="O935">
        <f>(1-Summary!$B$11)*T935+Summary!$B$11*V935</f>
        <v/>
      </c>
      <c r="P935">
        <f>IF(B965=0,0,O935/B965)</f>
        <v/>
      </c>
      <c r="Q935">
        <f>IFERROR(1/IF(Inputs!$B$39="pvp",15,MAX(0.1,Skills!D15-IF(Skills!E15=TRUE,Inputs!$B$32,0))),0)</f>
        <v/>
      </c>
      <c r="R935">
        <f>IF(AND(Inputs!$B$39&lt;&gt;"pvp",Inputs!$B$44&gt;0),IF(Inputs!$B$44&lt;=0,0,(INT(Inputs!$B$44/IF(Inputs!$B$39="pvp",15,MAX(0.1,Skills!D15-IF(Skills!E15=TRUE,Inputs!$B$32,0))))+1)),0)</f>
        <v/>
      </c>
      <c r="S935">
        <f>IFERROR(O935/N935,0)</f>
        <v/>
      </c>
      <c r="T935" t="n">
        <v>0</v>
      </c>
      <c r="V935" t="n">
        <v>0</v>
      </c>
    </row>
    <row r="936">
      <c r="A936">
        <f>Skills!A16</f>
        <v/>
      </c>
      <c r="B936">
        <f>Skills!B16</f>
        <v/>
      </c>
      <c r="C936">
        <f>Inputs!$B$3&gt;=115</f>
        <v/>
      </c>
      <c r="D936">
        <f>IF(Skills!C16=1,60+Inputs!$B$25+Inputs!$B$29,IF(Skills!C16=2,90+(Inputs!$B$26+1)+Inputs!$B$29,IF(Skills!C16=3,120+Inputs!$B$27+Inputs!$B$29,MAX(0,(Inputs!$B$3-100)*3)+Inputs!$B$28+Inputs!$B$29)))</f>
        <v/>
      </c>
      <c r="E936">
        <f>INDEX(FactorTable!$B$2:$Y$301, MATCH(ROUND(MIN(300,MAX(1,D936)),0), FactorTable!$A$2:$A$301,0), Skills!M16+1)</f>
        <v/>
      </c>
      <c r="F936">
        <f>IF(Skills!N16=TRUE,(Skills!L16/10)*(E936/1000),Skills!L16/10)+Skills!O16</f>
        <v/>
      </c>
      <c r="G936">
        <f>Skills!G16*IF(Skills!H16&gt;0,Skills!I16/Skills!H16,1)</f>
        <v/>
      </c>
      <c r="H936">
        <f>1-(1-Skills!J16/100)^Skills!K16</f>
        <v/>
      </c>
      <c r="I936" t="inlineStr">
        <is>
          <t>1</t>
        </is>
      </c>
      <c r="J936">
        <f>((Inputs!$B$6*(1+Inputs!$B$7/100))+(((Inputs!$B$12*(1+Inputs!$B$13/100))-(Inputs!$B$12*(1+Inputs!$B$13/100)))+0.25*(Inputs!$B$14-Inputs!$B$14))*(1+Inputs!$B$7/100))*(F936/100)</f>
        <v/>
      </c>
      <c r="K936">
        <f>J936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947=TRUE)*(F947-Calc!F27))+((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936)</f>
        <v/>
      </c>
      <c r="L936">
        <f>K936*(MIN(Inputs!$B$22+((C944=TRUE)*(F944-Calc!F24)),(Inputs!$B$23+((C949=TRUE)*(F949-Calc!F29))+IF(ArtifactsInput!$M$15,CHOOSE(ArtifactsInput!$N$15+1,25,30,35,40,45,50)/100*(Inputs!$B$11-Inputs!$B$11),0)))/100+(Inputs!$B$23+((C949=TRUE)*(F949-Calc!F29))+IF(ArtifactsInput!$M$15,CHOOSE(ArtifactsInput!$N$15+1,25,30,35,40,45,50)/100*(Inputs!$B$11-Inputs!$B$11),0))/100)/2</f>
        <v/>
      </c>
      <c r="M936">
        <f>L936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6">
        <f>L936*(1-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(1-Summary!$B$11)*T936+Summary!$B$11*V936</f>
        <v/>
      </c>
      <c r="P936">
        <f>IF(B965=0,0,O936/B965)</f>
        <v/>
      </c>
      <c r="Q936" t="n">
        <v>0</v>
      </c>
      <c r="R936" t="n">
        <v>0</v>
      </c>
      <c r="S936">
        <f>IFERROR(O936/N936,0)</f>
        <v/>
      </c>
      <c r="T936">
        <f>IF(C936,(Inputs!$B$38*0.2*N936)*IF(Inputs!$B$39="pvp",1,1+(Inputs!$B$20+0+Skills!P16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936*(1-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$9+((C945=TRUE)*(F945-Calc!F25))+B953+(ArtifactsInput!$M$24-ArtifactsInput!$M$24)*CHOOSE(ArtifactsInput!$N$24+1,10,12,14,16,18,20)+(IF(AND(Inputs!$B$39&lt;&gt;"pvp",Inputs!$B$44=0),1,IF(IF(Inputs!$B$39="pvp",15,Inputs!$B$44)-(B964)&lt;=0,1,MAX(0,IF(Inputs!$B$39="pvp",15,Inputs!$B$44)-MAX(5,B964))/(IF(Inputs!$B$39="pvp",15,Inputs!$B$44)-(B964))))*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6">
        <f>IF(C936,(Inputs!$B$38*0.2*N936)*IF(Inputs!$B$39="pvp",1,(1+(Inputs!$B$21+Skills!Q16+B954+(IF(ArtifactsInput!$M$33,CHOOSE(ArtifactsInput!$N$33+1,30,36,42,48,54,60),0))+(IF(AND(ArtifactsInput!$M$35,Inputs!$B$4&lt;&gt;"Chapter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Skills!A17</f>
        <v/>
      </c>
      <c r="B937">
        <f>Skills!B17</f>
        <v/>
      </c>
      <c r="C937">
        <f>Inputs!$B$3&gt;=115</f>
        <v/>
      </c>
      <c r="D937">
        <f>IF(Skills!C17=1,60+Inputs!$B$25+Inputs!$B$29,IF(Skills!C17=2,90+(Inputs!$B$26+1)+Inputs!$B$29,IF(Skills!C17=3,120+Inputs!$B$27+Inputs!$B$29,MAX(0,(Inputs!$B$3-100)*3)+Inputs!$B$28+Inputs!$B$29)))</f>
        <v/>
      </c>
      <c r="E937">
        <f>INDEX(FactorTable!$B$2:$Y$301, MATCH(ROUND(MIN(300,MAX(1,D937)),0), FactorTable!$A$2:$A$301,0), Skills!M17+1)</f>
        <v/>
      </c>
      <c r="F937">
        <f>IF(Skills!N17=TRUE,(Skills!L17/10)*(E937/1000),Skills!L17/10)+Skills!O17</f>
        <v/>
      </c>
      <c r="G937">
        <f>Skills!G17*IF(Skills!H17&gt;0,Skills!I17/Skills!H17,1)</f>
        <v/>
      </c>
      <c r="H937">
        <f>1-(1-Skills!J17/100)^Skills!K17</f>
        <v/>
      </c>
      <c r="I937" t="inlineStr">
        <is>
          <t>1</t>
        </is>
      </c>
      <c r="J937" t="inlineStr"/>
      <c r="K937" t="inlineStr"/>
      <c r="L937" t="inlineStr"/>
      <c r="M937" t="inlineStr"/>
      <c r="N937" t="inlineStr"/>
      <c r="O937">
        <f>(1-Summary!$B$11)*T937+Summary!$B$11*V937</f>
        <v/>
      </c>
      <c r="P937">
        <f>IF(B965=0,0,O937/B965)</f>
        <v/>
      </c>
      <c r="Q937" t="n">
        <v>0</v>
      </c>
      <c r="R937" t="n">
        <v>0</v>
      </c>
      <c r="S937">
        <f>IFERROR(O937/N937,0)</f>
        <v/>
      </c>
      <c r="T937" t="n">
        <v>0</v>
      </c>
      <c r="V937" t="n">
        <v>0</v>
      </c>
    </row>
    <row r="938">
      <c r="A938">
        <f>Skills!A18</f>
        <v/>
      </c>
      <c r="B938">
        <f>Skills!B18</f>
        <v/>
      </c>
      <c r="C938">
        <f>Inputs!$B$3&gt;=100</f>
        <v/>
      </c>
      <c r="D938">
        <f>IF(Skills!C18=1,60+Inputs!$B$25+Inputs!$B$29,IF(Skills!C18=2,90+(Inputs!$B$26+1)+Inputs!$B$29,IF(Skills!C18=3,120+Inputs!$B$27+Inputs!$B$29,MAX(0,(Inputs!$B$3-100)*3)+Inputs!$B$28+Inputs!$B$29)))</f>
        <v/>
      </c>
      <c r="E938">
        <f>INDEX(FactorTable!$B$2:$Y$301, MATCH(ROUND(MIN(300,MAX(1,D938)),0), FactorTable!$A$2:$A$301,0), Skills!M18+1)</f>
        <v/>
      </c>
      <c r="F938">
        <f>IF(Skills!N18=TRUE,(Skills!L18/10)*(E938/1000),Skills!L18/10)+Skills!O18</f>
        <v/>
      </c>
      <c r="G938">
        <f>Skills!G18*IF(Skills!H18&gt;0,Skills!I18/Skills!H18,1)</f>
        <v/>
      </c>
      <c r="H938">
        <f>1-(1-Skills!J18/100)^Skills!K18</f>
        <v/>
      </c>
      <c r="I938" t="inlineStr">
        <is>
          <t>1</t>
        </is>
      </c>
      <c r="J938" t="inlineStr"/>
      <c r="K938" t="inlineStr"/>
      <c r="L938" t="inlineStr"/>
      <c r="M938" t="inlineStr"/>
      <c r="N938" t="inlineStr"/>
      <c r="O938">
        <f>(1-Summary!$B$11)*T938+Summary!$B$11*V938</f>
        <v/>
      </c>
      <c r="P938">
        <f>IF(B965=0,0,O938/B965)</f>
        <v/>
      </c>
      <c r="Q938" t="n">
        <v>0</v>
      </c>
      <c r="R938" t="n">
        <v>0</v>
      </c>
      <c r="S938">
        <f>IFERROR(O938/N938,0)</f>
        <v/>
      </c>
      <c r="T938" t="n">
        <v>0</v>
      </c>
      <c r="V938" t="n">
        <v>0</v>
      </c>
    </row>
    <row r="939">
      <c r="A939">
        <f>Skills!A19</f>
        <v/>
      </c>
      <c r="B939">
        <f>Skills!B19</f>
        <v/>
      </c>
      <c r="C939">
        <f>TRUE</f>
        <v/>
      </c>
      <c r="D939">
        <f>IF(Skills!C19=1,60+Inputs!$B$25+Inputs!$B$29,IF(Skills!C19=2,90+(Inputs!$B$26+1)+Inputs!$B$29,IF(Skills!C19=3,120+Inputs!$B$27+Inputs!$B$29,MAX(0,(Inputs!$B$3-100)*3)+Inputs!$B$28+Inputs!$B$29)))</f>
        <v/>
      </c>
      <c r="E939">
        <f>INDEX(FactorTable!$B$2:$Y$301, MATCH(ROUND(MIN(300,MAX(1,D939)),0), FactorTable!$A$2:$A$301,0), Skills!M19+1)</f>
        <v/>
      </c>
      <c r="F939">
        <f>IF(Skills!N19=TRUE,(Skills!L19/10)*(E939/1000),Skills!L19/10)+Skills!O19</f>
        <v/>
      </c>
      <c r="G939">
        <f>Skills!G19*IF(Skills!H19&gt;0,Skills!I19/Skills!H19,1)</f>
        <v/>
      </c>
      <c r="H939">
        <f>1-(1-Skills!J19/100)^Skills!K19</f>
        <v/>
      </c>
      <c r="I939" t="inlineStr">
        <is>
          <t>1</t>
        </is>
      </c>
      <c r="J939" t="inlineStr"/>
      <c r="K939" t="inlineStr"/>
      <c r="L939" t="inlineStr"/>
      <c r="M939" t="inlineStr"/>
      <c r="N939" t="inlineStr"/>
      <c r="O939">
        <f>(1-Summary!$B$11)*T939+Summary!$B$11*V939</f>
        <v/>
      </c>
      <c r="P939">
        <f>IF(B965=0,0,O939/B965)</f>
        <v/>
      </c>
      <c r="Q939">
        <f>IFERROR(1/IF(Inputs!$B$39="pvp",15,MAX(0.1,Skills!D19-IF(Skills!E19=TRUE,Inputs!$B$32,0))),0)</f>
        <v/>
      </c>
      <c r="R939">
        <f>IF(AND(Inputs!$B$39&lt;&gt;"pvp",Inputs!$B$44&gt;0),IF(Inputs!$B$44&lt;=0,0,(INT(Inputs!$B$44/IF(Inputs!$B$39="pvp",15,MAX(0.1,Skills!D19-IF(Skills!E19=TRUE,Inputs!$B$32,0))))+1)),0)</f>
        <v/>
      </c>
      <c r="S939">
        <f>IFERROR(O939/N939,0)</f>
        <v/>
      </c>
      <c r="T939" t="n">
        <v>0</v>
      </c>
      <c r="V939" t="n">
        <v>0</v>
      </c>
    </row>
    <row r="940">
      <c r="A940">
        <f>Skills!A20</f>
        <v/>
      </c>
      <c r="B940">
        <f>Skills!B20</f>
        <v/>
      </c>
      <c r="C940">
        <f>Inputs!$B$3&gt;=15</f>
        <v/>
      </c>
      <c r="D940">
        <f>IF(Skills!C20=1,60+Inputs!$B$25+Inputs!$B$29,IF(Skills!C20=2,90+(Inputs!$B$26+1)+Inputs!$B$29,IF(Skills!C20=3,120+Inputs!$B$27+Inputs!$B$29,MAX(0,(Inputs!$B$3-100)*3)+Inputs!$B$28+Inputs!$B$29)))</f>
        <v/>
      </c>
      <c r="E940">
        <f>INDEX(FactorTable!$B$2:$Y$301, MATCH(ROUND(MIN(300,MAX(1,D940)),0), FactorTable!$A$2:$A$301,0), Skills!M20+1)</f>
        <v/>
      </c>
      <c r="F940">
        <f>IF(Skills!N20=TRUE,(Skills!L20/10)*(E940/1000),Skills!L20/10)+Skills!O20</f>
        <v/>
      </c>
      <c r="G940">
        <f>Skills!G20*IF(Skills!H20&gt;0,Skills!I20/Skills!H20,1)</f>
        <v/>
      </c>
      <c r="H940">
        <f>1-(1-Skills!J20/100)^Skills!K20</f>
        <v/>
      </c>
      <c r="I940" t="inlineStr">
        <is>
          <t>1</t>
        </is>
      </c>
      <c r="J940" t="inlineStr"/>
      <c r="K940" t="inlineStr"/>
      <c r="L940" t="inlineStr"/>
      <c r="M940" t="inlineStr"/>
      <c r="N940" t="inlineStr"/>
      <c r="O940">
        <f>(1-Summary!$B$11)*T940+Summary!$B$11*V940</f>
        <v/>
      </c>
      <c r="P940">
        <f>IF(B965=0,0,O940/B965)</f>
        <v/>
      </c>
      <c r="Q940">
        <f>IFERROR(1/IF(Inputs!$B$39="pvp",15,MAX(0.1,Skills!D20-IF(Skills!E20=TRUE,Inputs!$B$32,0))),0)</f>
        <v/>
      </c>
      <c r="R940">
        <f>IF(AND(Inputs!$B$39&lt;&gt;"pvp",Inputs!$B$44&gt;0),IF(Inputs!$B$44&lt;=0,0,(INT(Inputs!$B$44/IF(Inputs!$B$39="pvp",15,MAX(0.1,Skills!D20-IF(Skills!E20=TRUE,Inputs!$B$32,0))))+1)),0)</f>
        <v/>
      </c>
      <c r="S940">
        <f>IFERROR(O940/N940,0)</f>
        <v/>
      </c>
      <c r="T940" t="n">
        <v>0</v>
      </c>
      <c r="V940" t="n">
        <v>0</v>
      </c>
    </row>
    <row r="941">
      <c r="A941">
        <f>Skills!A21</f>
        <v/>
      </c>
      <c r="B941">
        <f>Skills!B21</f>
        <v/>
      </c>
      <c r="C941">
        <f>Inputs!$B$3&gt;=15</f>
        <v/>
      </c>
      <c r="D941">
        <f>IF(Skills!C21=1,60+Inputs!$B$25+Inputs!$B$29,IF(Skills!C21=2,90+(Inputs!$B$26+1)+Inputs!$B$29,IF(Skills!C21=3,120+Inputs!$B$27+Inputs!$B$29,MAX(0,(Inputs!$B$3-100)*3)+Inputs!$B$28+Inputs!$B$29)))</f>
        <v/>
      </c>
      <c r="E941">
        <f>INDEX(FactorTable!$B$2:$Y$301, MATCH(ROUND(MIN(300,MAX(1,D941)),0), FactorTable!$A$2:$A$301,0), Skills!M21+1)</f>
        <v/>
      </c>
      <c r="F941">
        <f>IF(Skills!N21=TRUE,(Skills!L21/10)*(E941/1000),Skills!L21/10)+Skills!O21</f>
        <v/>
      </c>
      <c r="G941">
        <f>Skills!G21*IF(Skills!H21&gt;0,Skills!I21/Skills!H21,1)</f>
        <v/>
      </c>
      <c r="H941">
        <f>1-(1-Skills!J21/100)^Skills!K21</f>
        <v/>
      </c>
      <c r="I941" t="inlineStr">
        <is>
          <t>1</t>
        </is>
      </c>
      <c r="J941" t="inlineStr"/>
      <c r="K941" t="inlineStr"/>
      <c r="L941" t="inlineStr"/>
      <c r="M941" t="inlineStr"/>
      <c r="N941" t="inlineStr"/>
      <c r="O941">
        <f>(1-Summary!$B$11)*T941+Summary!$B$11*V941</f>
        <v/>
      </c>
      <c r="P941">
        <f>IF(B965=0,0,O941/B965)</f>
        <v/>
      </c>
      <c r="Q941">
        <f>IFERROR(1/IF(Inputs!$B$39="pvp",15,MAX(0.1,Skills!D21-IF(Skills!E21=TRUE,Inputs!$B$32,0))),0)</f>
        <v/>
      </c>
      <c r="R941">
        <f>IF(AND(Inputs!$B$39&lt;&gt;"pvp",Inputs!$B$44&gt;0),IF(Inputs!$B$44&lt;=0,0,(INT(Inputs!$B$44/IF(Inputs!$B$39="pvp",15,MAX(0.1,Skills!D21-IF(Skills!E21=TRUE,Inputs!$B$32,0))))+1)),0)</f>
        <v/>
      </c>
      <c r="S941">
        <f>IFERROR(O941/N941,0)</f>
        <v/>
      </c>
      <c r="T941" t="n">
        <v>0</v>
      </c>
      <c r="V941" t="n">
        <v>0</v>
      </c>
    </row>
    <row r="942">
      <c r="A942">
        <f>Skills!A22</f>
        <v/>
      </c>
      <c r="B942">
        <f>Skills!B22</f>
        <v/>
      </c>
      <c r="C942">
        <f>Inputs!$B$3&gt;=33</f>
        <v/>
      </c>
      <c r="D942">
        <f>IF(Skills!C22=1,60+Inputs!$B$25+Inputs!$B$29,IF(Skills!C22=2,90+(Inputs!$B$26+1)+Inputs!$B$29,IF(Skills!C22=3,120+Inputs!$B$27+Inputs!$B$29,MAX(0,(Inputs!$B$3-100)*3)+Inputs!$B$28+Inputs!$B$29)))</f>
        <v/>
      </c>
      <c r="E942">
        <f>INDEX(FactorTable!$B$2:$Y$301, MATCH(ROUND(MIN(300,MAX(1,D942)),0), FactorTable!$A$2:$A$301,0), Skills!M22+1)</f>
        <v/>
      </c>
      <c r="F942">
        <f>IF(Skills!N22=TRUE,(Skills!L22/10)*(E942/1000),Skills!L22/10)+Skills!O22</f>
        <v/>
      </c>
      <c r="G942">
        <f>Skills!G22*IF(Skills!H22&gt;0,Skills!I22/Skills!H22,1)</f>
        <v/>
      </c>
      <c r="H942">
        <f>1-(1-Skills!J22/100)^Skills!K22</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Skills!A23</f>
        <v/>
      </c>
      <c r="B943">
        <f>Skills!B23</f>
        <v/>
      </c>
      <c r="C943">
        <f>Inputs!$B$3&gt;=40</f>
        <v/>
      </c>
      <c r="D943">
        <f>IF(Skills!C23=1,60+Inputs!$B$25+Inputs!$B$29,IF(Skills!C23=2,90+(Inputs!$B$26+1)+Inputs!$B$29,IF(Skills!C23=3,120+Inputs!$B$27+Inputs!$B$29,MAX(0,(Inputs!$B$3-100)*3)+Inputs!$B$28+Inputs!$B$29)))</f>
        <v/>
      </c>
      <c r="E943">
        <f>INDEX(FactorTable!$B$2:$Y$301, MATCH(ROUND(MIN(300,MAX(1,D943)),0), FactorTable!$A$2:$A$301,0), Skills!M23+1)</f>
        <v/>
      </c>
      <c r="F943">
        <f>IF(Skills!N23=TRUE,(Skills!L23/10)*(E943/1000),Skills!L23/10)+Skills!O23</f>
        <v/>
      </c>
      <c r="G943">
        <f>Skills!G23*IF(Skills!H23&gt;0,Skills!I23/Skills!H23,1)</f>
        <v/>
      </c>
      <c r="H943">
        <f>1-(1-Skills!J23/100)^Skills!K23</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Skills!A24</f>
        <v/>
      </c>
      <c r="B944">
        <f>Skills!B24</f>
        <v/>
      </c>
      <c r="C944">
        <f>Inputs!$B$3&gt;=43</f>
        <v/>
      </c>
      <c r="D944">
        <f>IF(Skills!C24=1,60+Inputs!$B$25+Inputs!$B$29,IF(Skills!C24=2,90+(Inputs!$B$26+1)+Inputs!$B$29,IF(Skills!C24=3,120+Inputs!$B$27+Inputs!$B$29,MAX(0,(Inputs!$B$3-100)*3)+Inputs!$B$28+Inputs!$B$29)))</f>
        <v/>
      </c>
      <c r="E944">
        <f>INDEX(FactorTable!$B$2:$Y$301, MATCH(ROUND(MIN(300,MAX(1,D944)),0), FactorTable!$A$2:$A$301,0), Skills!M24+1)</f>
        <v/>
      </c>
      <c r="F944">
        <f>IF(Skills!N24=TRUE,(Skills!L24/10)*(E944/1000),Skills!L24/10)+Skills!O24</f>
        <v/>
      </c>
      <c r="G944">
        <f>Skills!G24*IF(Skills!H24&gt;0,Skills!I24/Skills!H24,1)</f>
        <v/>
      </c>
      <c r="H944">
        <f>1-(1-Skills!J24/100)^Skills!K24</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Skills!A25</f>
        <v/>
      </c>
      <c r="B945">
        <f>Skills!B25</f>
        <v/>
      </c>
      <c r="C945">
        <f>Inputs!$B$3&gt;=50</f>
        <v/>
      </c>
      <c r="D945">
        <f>IF(Skills!C25=1,60+Inputs!$B$25+Inputs!$B$29,IF(Skills!C25=2,90+(Inputs!$B$26+1)+Inputs!$B$29,IF(Skills!C25=3,120+Inputs!$B$27+Inputs!$B$29,MAX(0,(Inputs!$B$3-100)*3)+Inputs!$B$28+Inputs!$B$29)))</f>
        <v/>
      </c>
      <c r="E945">
        <f>INDEX(FactorTable!$B$2:$Y$301, MATCH(ROUND(MIN(300,MAX(1,D945)),0), FactorTable!$A$2:$A$301,0), Skills!M25+1)</f>
        <v/>
      </c>
      <c r="F945">
        <f>IF(Skills!N25=TRUE,(Skills!L25/10)*(E945/1000),Skills!L25/10)+Skills!O25</f>
        <v/>
      </c>
      <c r="G945">
        <f>Skills!G25*IF(Skills!H25&gt;0,Skills!I25/Skills!H25,1)</f>
        <v/>
      </c>
      <c r="H945">
        <f>1-(1-Skills!J25/100)^Skills!K25</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Skills!A26</f>
        <v/>
      </c>
      <c r="B946">
        <f>Skills!B26</f>
        <v/>
      </c>
      <c r="C946">
        <f>Inputs!$B$3&gt;=50</f>
        <v/>
      </c>
      <c r="D946">
        <f>IF(Skills!C26=1,60+Inputs!$B$25+Inputs!$B$29,IF(Skills!C26=2,90+(Inputs!$B$26+1)+Inputs!$B$29,IF(Skills!C26=3,120+Inputs!$B$27+Inputs!$B$29,MAX(0,(Inputs!$B$3-100)*3)+Inputs!$B$28+Inputs!$B$29)))</f>
        <v/>
      </c>
      <c r="E946">
        <f>INDEX(FactorTable!$B$2:$Y$301, MATCH(ROUND(MIN(300,MAX(1,D946)),0), FactorTable!$A$2:$A$301,0), Skills!M26+1)</f>
        <v/>
      </c>
      <c r="F946">
        <f>IF(Skills!N26=TRUE,(Skills!L26/10)*(E946/1000),Skills!L26/10)+Skills!O26</f>
        <v/>
      </c>
      <c r="G946">
        <f>Skills!G26*IF(Skills!H26&gt;0,Skills!I26/Skills!H26,1)</f>
        <v/>
      </c>
      <c r="H946">
        <f>1-(1-Skills!J26/100)^Skills!K26</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Skills!A27</f>
        <v/>
      </c>
      <c r="B947">
        <f>Skills!B27</f>
        <v/>
      </c>
      <c r="C947">
        <f>Inputs!$B$3&gt;=38</f>
        <v/>
      </c>
      <c r="D947">
        <f>IF(Skills!C27=1,60+Inputs!$B$25+Inputs!$B$29,IF(Skills!C27=2,90+(Inputs!$B$26+1)+Inputs!$B$29,IF(Skills!C27=3,120+Inputs!$B$27+Inputs!$B$29,MAX(0,(Inputs!$B$3-100)*3)+Inputs!$B$28+Inputs!$B$29)))</f>
        <v/>
      </c>
      <c r="E947">
        <f>INDEX(FactorTable!$B$2:$Y$301, MATCH(ROUND(MIN(300,MAX(1,D947)),0), FactorTable!$A$2:$A$301,0), Skills!M27+1)</f>
        <v/>
      </c>
      <c r="F947">
        <f>IF(Skills!N27=TRUE,(Skills!L27/10)*(E947/1000),Skills!L27/10)+Skills!O27</f>
        <v/>
      </c>
      <c r="G947">
        <f>Skills!G27*IF(Skills!H27&gt;0,Skills!I27/Skills!H27,1)</f>
        <v/>
      </c>
      <c r="H947">
        <f>1-(1-Skills!J27/100)^Skills!K27</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Skills!A28</f>
        <v/>
      </c>
      <c r="B948">
        <f>Skills!B28</f>
        <v/>
      </c>
      <c r="C948">
        <f>Inputs!$B$3&gt;=120</f>
        <v/>
      </c>
      <c r="D948">
        <f>IF(Skills!C28=1,60+Inputs!$B$25+Inputs!$B$29,IF(Skills!C28=2,90+(Inputs!$B$26+1)+Inputs!$B$29,IF(Skills!C28=3,120+Inputs!$B$27+Inputs!$B$29,MAX(0,(Inputs!$B$3-100)*3)+Inputs!$B$28+Inputs!$B$29)))</f>
        <v/>
      </c>
      <c r="E948">
        <f>INDEX(FactorTable!$B$2:$Y$301, MATCH(ROUND(MIN(300,MAX(1,D948)),0), FactorTable!$A$2:$A$301,0), Skills!M28+1)</f>
        <v/>
      </c>
      <c r="F948">
        <f>IF(Skills!N28=TRUE,(Skills!L28/10)*(E948/1000),Skills!L28/10)+Skills!O28</f>
        <v/>
      </c>
      <c r="G948">
        <f>Skills!G28*IF(Skills!H28&gt;0,Skills!I28/Skills!H28,1)</f>
        <v/>
      </c>
      <c r="H948">
        <f>1-(1-Skills!J28/100)^Skills!K28</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Skills!A29</f>
        <v/>
      </c>
      <c r="B949">
        <f>Skills!B29</f>
        <v/>
      </c>
      <c r="C949">
        <f>Inputs!$B$3&gt;=120</f>
        <v/>
      </c>
      <c r="D949">
        <f>IF(Skills!C29=1,60+Inputs!$B$25+Inputs!$B$29,IF(Skills!C29=2,90+(Inputs!$B$26+1)+Inputs!$B$29,IF(Skills!C29=3,120+Inputs!$B$27+Inputs!$B$29,MAX(0,(Inputs!$B$3-100)*3)+Inputs!$B$28+Inputs!$B$29)))</f>
        <v/>
      </c>
      <c r="E949">
        <f>INDEX(FactorTable!$B$2:$Y$301, MATCH(ROUND(MIN(300,MAX(1,D949)),0), FactorTable!$A$2:$A$301,0), Skills!M29+1)</f>
        <v/>
      </c>
      <c r="F949">
        <f>IF(Skills!N29=TRUE,(Skills!L29/10)*(E949/1000),Skills!L29/10)+Skills!O29</f>
        <v/>
      </c>
      <c r="G949">
        <f>Skills!G29*IF(Skills!H29&gt;0,Skills!I29/Skills!H29,1)</f>
        <v/>
      </c>
      <c r="H949">
        <f>1-(1-Skills!J29/100)^Skills!K29</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Skills!A30</f>
        <v/>
      </c>
      <c r="B950">
        <f>Skills!B30</f>
        <v/>
      </c>
      <c r="C950">
        <f>Inputs!$B$3&gt;=125</f>
        <v/>
      </c>
      <c r="D950">
        <f>IF(Skills!C30=1,60+Inputs!$B$25+Inputs!$B$29,IF(Skills!C30=2,90+(Inputs!$B$26+1)+Inputs!$B$29,IF(Skills!C30=3,120+Inputs!$B$27+Inputs!$B$29,MAX(0,(Inputs!$B$3-100)*3)+Inputs!$B$28+Inputs!$B$29)))</f>
        <v/>
      </c>
      <c r="E950">
        <f>INDEX(FactorTable!$B$2:$Y$301, MATCH(ROUND(MIN(300,MAX(1,D950)),0), FactorTable!$A$2:$A$301,0), Skills!M30+1)</f>
        <v/>
      </c>
      <c r="F950">
        <f>IF(Skills!N30=TRUE,(Skills!L30/10)*(E950/1000),Skills!L30/10)+Skills!O30</f>
        <v/>
      </c>
      <c r="G950">
        <f>Skills!G30*IF(Skills!H30&gt;0,Skills!I30/Skills!H30,1)</f>
        <v/>
      </c>
      <c r="H950">
        <f>1-(1-Skills!J30/100)^Skills!K30</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2">
      <c r="A952" t="inlineStr">
        <is>
          <t>Average Buff Multiplier</t>
        </is>
      </c>
      <c r="B952">
        <f>(1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f>
        <v/>
      </c>
    </row>
    <row r="953">
      <c r="A953" t="inlineStr">
        <is>
          <t>Global Crit Rate Bonus %</t>
        </is>
      </c>
      <c r="B953">
        <f>((C940=TRUE)*F940*IF(AND(Inputs!$B$39&lt;&gt;"pvp",Inputs!$B$44&gt;0),(((R940-1)*(Skills!Y20*(1+Inputs!$B$34/100))+MIN((Skills!Y20*(1+Inputs!$B$34/100)),MAX(0,Inputs!$B$44-((R940-1)*Skills!D20))))/Inputs!$B$44),IF(Inputs!$B$39="pvp",MIN((Skills!Y20*(1+Inputs!$B$34/100)),15)/15,(Skills!Y20*(1+Inputs!$B$34/100))/Skills!D20)))</f>
        <v/>
      </c>
    </row>
    <row r="954">
      <c r="A954" t="inlineStr">
        <is>
          <t>Global Monster Damage-Taken Bonus %</t>
        </is>
      </c>
      <c r="B954">
        <f>IF(Inputs!$B$3&gt;=82,15,0)</f>
        <v/>
      </c>
    </row>
    <row r="955">
      <c r="A955" t="inlineStr">
        <is>
          <t>Shadow Partner Average Multiplier</t>
        </is>
      </c>
      <c r="B955">
        <f>1+((C927=TRUE)*F927*(1+3.3333333333333335*IF(C938=TRUE,F938,0)/100)*I927*Skills!J7/100)/100</f>
        <v/>
      </c>
    </row>
    <row r="956">
      <c r="A956" t="inlineStr">
        <is>
          <t>Attack Speed Buff Bonus %</t>
        </is>
      </c>
      <c r="B956">
        <f>((C939=TRUE)*F939*IF(AND(Inputs!$B$39&lt;&gt;"pvp",Inputs!$B$44&gt;0),(((R939-1)*(Skills!Y19*(1+Inputs!$B$34/100))+MIN((Skills!Y19*(1+Inputs!$B$34/100)),MAX(0,Inputs!$B$44-((R939-1)*Skills!D19))))/Inputs!$B$44),IF(Inputs!$B$39="pvp",MIN((Skills!Y19*(1+Inputs!$B$34/100)),15)/15,(Skills!Y19*(1+Inputs!$B$34/100))/Skills!D19)))+((C923=TRUE)*F923*3)</f>
        <v/>
      </c>
    </row>
    <row r="957">
      <c r="A957" t="inlineStr">
        <is>
          <t>Actions Per Second</t>
        </is>
      </c>
      <c r="B957">
        <f>1+MIN(150,150*(1-(1-(Inputs!$B$11+((C942=TRUE)*(F942-Calc!F22)))/150)*(1-B956/150)))/100</f>
        <v/>
      </c>
    </row>
    <row r="958">
      <c r="A958" t="inlineStr">
        <is>
          <t>Skill + Buff Cast Rate</t>
        </is>
      </c>
      <c r="B958">
        <f>IF(AND(Inputs!$B$39&lt;&gt;"pvp",Inputs!$B$44&gt;0),SUMPRODUCT((Skills!E2:E30=TRUE)*(C922:C950=TRUE)*R922:R950*Skills!F2:F30)/Inputs!$B$44,SUMPRODUCT((Skills!E2:E30=TRUE)*(C922:C950=TRUE)*Q922:Q950*Skills!F2:F30))</f>
        <v/>
      </c>
    </row>
    <row r="959">
      <c r="A959" t="inlineStr">
        <is>
          <t>Cruel Stab Casts Per Second</t>
        </is>
      </c>
      <c r="B959">
        <f>MAX(0,B957-B958)</f>
        <v/>
      </c>
    </row>
    <row r="960">
      <c r="A960" t="inlineStr">
        <is>
          <t>Global Critical Damage Bonus % (Smokescreen Mastery Lv.113)</t>
        </is>
      </c>
      <c r="B960">
        <f>IF(Inputs!$B$3&gt;=113,30,0)*IF(AND(Inputs!$B$39&lt;&gt;"pvp",Inputs!$B$44&gt;0),(((R935-1)*(Skills!Y15*(1+Inputs!$B$34/100))+MIN((Skills!Y15*(1+Inputs!$B$34/100)),MAX(0,Inputs!$B$44-((R935-1)*Skills!D15))))/Inputs!$B$44),IF(Inputs!$B$39="pvp",MIN((Skills!Y15*(1+Inputs!$B$34/100)),15)/15,(Skills!Y15*(1+Inputs!$B$34/100))/Skills!D15))</f>
        <v/>
      </c>
    </row>
    <row r="961">
      <c r="A961" t="inlineStr">
        <is>
          <t>Meso Explosion average stack count</t>
        </is>
      </c>
      <c r="B961">
        <f>MIN(10,0.5*B957*Skills!D4)</f>
        <v/>
      </c>
    </row>
    <row r="962">
      <c r="A962" t="inlineStr">
        <is>
          <t>Blood Money average stack count</t>
        </is>
      </c>
      <c r="B962">
        <f>MIN(5,0.25*B957*Skills!D4)</f>
        <v/>
      </c>
    </row>
    <row r="963">
      <c r="A963" t="inlineStr">
        <is>
          <t>Assassinate Murderous Intent Multiplier</t>
        </is>
      </c>
      <c r="B963">
        <f>1+IFERROR(MIN(1,Q934*2/Q931),0)</f>
        <v/>
      </c>
    </row>
    <row r="964">
      <c r="A964" t="inlineStr">
        <is>
          <t>Buff-Casting Startup Delay (s, fixed-duration only)</t>
        </is>
      </c>
      <c r="B964">
        <f>IF(AND(Inputs!$B$39&lt;&gt;"pvp",Inputs!$B$44&gt;0),SUMPRODUCT((Skills!Y2:Y30&gt;0)*(Skills!E2:E30=TRUE)*(C922:C950=TRUE))/B957,0)</f>
        <v/>
      </c>
    </row>
    <row r="965">
      <c r="A965" s="6" t="inlineStr">
        <is>
          <t>TOTAL DPS</t>
        </is>
      </c>
      <c r="B965" s="6">
        <f>SUM(O922:O950)</f>
        <v/>
      </c>
    </row>
    <row r="966">
      <c r="A966" t="inlineStr">
        <is>
          <t>Boss-Only Total DPS (this block's swept value)</t>
        </is>
      </c>
      <c r="B966">
        <f>SUM(T922:T950)</f>
        <v/>
      </c>
    </row>
    <row r="967">
      <c r="A967" t="inlineStr">
        <is>
          <t>Normal-Only Total DPS (this block's swept value)</t>
        </is>
      </c>
      <c r="B967">
        <f>SUM(V922:V950)</f>
        <v/>
      </c>
    </row>
    <row r="970">
      <c r="A970" s="6" t="inlineStr">
        <is>
          <t>Stat: Skill Level Bonus — 3rd Job</t>
        </is>
      </c>
    </row>
    <row r="971">
      <c r="A971" s="5" t="inlineStr">
        <is>
          <t>Key</t>
        </is>
      </c>
      <c r="B971" s="5" t="inlineStr">
        <is>
          <t>Name</t>
        </is>
      </c>
      <c r="C971" s="5" t="inlineStr">
        <is>
          <t>Unlocked</t>
        </is>
      </c>
      <c r="D971" s="5" t="inlineStr">
        <is>
          <t>InputLevel</t>
        </is>
      </c>
      <c r="E971" s="5" t="inlineStr">
        <is>
          <t>Factor</t>
        </is>
      </c>
      <c r="F971" s="5" t="inlineStr">
        <is>
          <t>CoefficientPercent</t>
        </is>
      </c>
      <c r="G971" s="5" t="inlineStr">
        <is>
          <t>EffectiveHits</t>
        </is>
      </c>
      <c r="H971" s="5" t="inlineStr">
        <is>
          <t>ProcProbability</t>
        </is>
      </c>
      <c r="I971" s="5" t="inlineStr">
        <is>
          <t>MapleHeroMultiplier</t>
        </is>
      </c>
      <c r="J971" s="5" t="inlineStr">
        <is>
          <t>BaseDamage</t>
        </is>
      </c>
      <c r="K971" s="5" t="inlineStr">
        <is>
          <t>BaseHitDamage</t>
        </is>
      </c>
      <c r="L971" s="5" t="inlineStr">
        <is>
          <t>NonCritAvg</t>
        </is>
      </c>
      <c r="M971" s="5" t="inlineStr">
        <is>
          <t>CritAvg</t>
        </is>
      </c>
      <c r="N971" s="5" t="inlineStr">
        <is>
          <t>ExpectedDamage(perHit)</t>
        </is>
      </c>
      <c r="O971" s="5" t="inlineStr">
        <is>
          <t>DPS</t>
        </is>
      </c>
      <c r="P971" s="5" t="inlineStr">
        <is>
          <t>% of Total</t>
        </is>
      </c>
      <c r="Q971" s="5" t="inlineStr">
        <is>
          <t>InvCooldown</t>
        </is>
      </c>
      <c r="R971" s="5" t="inlineStr">
        <is>
          <t>CastsInFight</t>
        </is>
      </c>
      <c r="S971" s="5" t="inlineStr">
        <is>
          <t>HitRate(perSec)</t>
        </is>
      </c>
      <c r="U971" t="inlineStr">
        <is>
          <t>helpers</t>
        </is>
      </c>
    </row>
    <row r="972">
      <c r="A972">
        <f>Skills!A2</f>
        <v/>
      </c>
      <c r="B972">
        <f>Skills!B2</f>
        <v/>
      </c>
      <c r="C972">
        <f>Inputs!$B$3&gt;=100</f>
        <v/>
      </c>
      <c r="D972" t="inlineStr"/>
      <c r="E972" t="inlineStr"/>
      <c r="F972">
        <f>U974+Skills!O2</f>
        <v/>
      </c>
      <c r="G972">
        <f>Skills!G2*IF(Skills!H2&gt;0,Skills!I2/Skills!H2,1)</f>
        <v/>
      </c>
      <c r="H972">
        <f>1-(1-Skills!J2/100)^Skills!K2</f>
        <v/>
      </c>
      <c r="I972" t="inlineStr">
        <is>
          <t>1</t>
        </is>
      </c>
      <c r="J972">
        <f>((Inputs!$B$6*(1+Inputs!$B$7/100))+(((Inputs!$B$12*(1+Inputs!$B$13/100))-(Inputs!$B$12*(1+Inputs!$B$13/100)))+0.25*(Inputs!$B$14-Inputs!$B$14))*(1+Inputs!$B$7/100))*(F972/100)</f>
        <v/>
      </c>
      <c r="K972">
        <f>J972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972)</f>
        <v/>
      </c>
      <c r="L972">
        <f>K972*(MIN(Inputs!$B$22+((C994=TRUE)*(F994-Calc!F24)),(Inputs!$B$23+((C999=TRUE)*(F999-Calc!F29))+IF(ArtifactsInput!$M$15,CHOOSE(ArtifactsInput!$N$15+1,25,30,35,40,45,50)/100*(Inputs!$B$11-Inputs!$B$11),0)))/100+(Inputs!$B$23+((C999=TRUE)*(F999-Calc!F29))+IF(ArtifactsInput!$M$15,CHOOSE(ArtifactsInput!$N$15+1,25,30,35,40,45,50)/100*(Inputs!$B$11-Inputs!$B$11),0))/100)/2</f>
        <v/>
      </c>
      <c r="M972">
        <f>L972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2">
        <f>L972*(1-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972*(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2">
        <f>(1-Summary!$B$11)*T972+Summary!$B$11*V972</f>
        <v/>
      </c>
      <c r="P972">
        <f>IF(B1015=0,0,O972/B1015)</f>
        <v/>
      </c>
      <c r="Q972" t="n">
        <v>0</v>
      </c>
      <c r="R972" t="n">
        <v>0</v>
      </c>
      <c r="S972">
        <f>IFERROR(O972/N972,0)</f>
        <v/>
      </c>
      <c r="T972">
        <f>IF(C972,(Skills!G2*N972*B1009)*IF(Inputs!$B$39="pvp",1,1+(Inputs!$B$20+0+Skills!P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972*(1-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972*(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972*(1-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972*(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2">
        <f>MAX(0,(Inputs!$B$3-100)*3)+Inputs!$B$28+Inputs!$B$29</f>
        <v/>
      </c>
      <c r="V972">
        <f>IF(C972,(Skills!G2*N972*B1009)*IF(Inputs!$B$39="pvp",1,(1+(Inputs!$B$21+Skills!Q2+B1004+(IF(ArtifactsInput!$M$33,CHOOSE(ArtifactsInput!$N$33+1,30,36,42,48,54,60),0))+(IF(AND(ArtifactsInput!$M$35,Inputs!$B$4&lt;&gt;"Chapter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3">
      <c r="A973">
        <f>Skills!A3</f>
        <v/>
      </c>
      <c r="B973">
        <f>Skills!B3</f>
        <v/>
      </c>
      <c r="C973">
        <f>Inputs!$B$3&gt;=35</f>
        <v/>
      </c>
      <c r="D973">
        <f>IF(Skills!C3=1,60+Inputs!$B$25+Inputs!$B$29,IF(Skills!C3=2,90+Inputs!$B$26+Inputs!$B$29,IF(Skills!C3=3,120+(Inputs!$B$27+1)+Inputs!$B$29,MAX(0,(Inputs!$B$3-100)*3)+Inputs!$B$28+Inputs!$B$29)))</f>
        <v/>
      </c>
      <c r="E973">
        <f>INDEX(FactorTable!$B$2:$Y$301, MATCH(ROUND(MIN(300,MAX(1,D973)),0), FactorTable!$A$2:$A$301,0), Skills!M3+1)</f>
        <v/>
      </c>
      <c r="F973">
        <f>IF(Skills!N3=TRUE,(Skills!L3/10)*(E973/1000),Skills!L3/10)+Skills!O3</f>
        <v/>
      </c>
      <c r="G973">
        <f>Skills!G3*IF(Skills!H3&gt;0,Skills!I3/Skills!H3,1)</f>
        <v/>
      </c>
      <c r="H973">
        <f>1-(1-Skills!J3/100)^Skills!K3</f>
        <v/>
      </c>
      <c r="I973" t="inlineStr">
        <is>
          <t>1</t>
        </is>
      </c>
      <c r="J973" t="inlineStr"/>
      <c r="K973" t="inlineStr"/>
      <c r="L973" t="inlineStr"/>
      <c r="M973" t="inlineStr"/>
      <c r="N973" t="inlineStr"/>
      <c r="O973">
        <f>(1-Summary!$B$11)*T973+Summary!$B$11*V973</f>
        <v/>
      </c>
      <c r="P973">
        <f>IF(B1015=0,0,O973/B1015)</f>
        <v/>
      </c>
      <c r="Q973" t="n">
        <v>0</v>
      </c>
      <c r="R973" t="n">
        <v>0</v>
      </c>
      <c r="S973">
        <f>IFERROR(O973/N973,0)</f>
        <v/>
      </c>
      <c r="T973" t="n">
        <v>0</v>
      </c>
      <c r="U973">
        <f>INDEX(FactorTable!$B$2:$Y$301, MATCH(ROUND(MIN(300,MAX(1,U972)),0), FactorTable!$A$2:$A$301,0), 22)</f>
        <v/>
      </c>
      <c r="V973" t="n">
        <v>0</v>
      </c>
    </row>
    <row r="974">
      <c r="A974">
        <f>Skills!A4</f>
        <v/>
      </c>
      <c r="B974">
        <f>Skills!B4</f>
        <v/>
      </c>
      <c r="C974">
        <f>Inputs!$B$3&gt;=66</f>
        <v/>
      </c>
      <c r="D974">
        <f>IF(Skills!C4=1,60+Inputs!$B$25+Inputs!$B$29,IF(Skills!C4=2,90+Inputs!$B$26+Inputs!$B$29,IF(Skills!C4=3,120+(Inputs!$B$27+1)+Inputs!$B$29,MAX(0,(Inputs!$B$3-100)*3)+Inputs!$B$28+Inputs!$B$29)))</f>
        <v/>
      </c>
      <c r="E974">
        <f>INDEX(FactorTable!$B$2:$Y$301, MATCH(ROUND(MIN(300,MAX(1,D974)),0), FactorTable!$A$2:$A$301,0), Skills!M4+1)</f>
        <v/>
      </c>
      <c r="F974">
        <f>IF(Skills!N4=TRUE,(Skills!L4/10)*(E974/1000),Skills!L4/10)+Skills!O4</f>
        <v/>
      </c>
      <c r="G974">
        <f>Skills!G4*IF(Skills!H4&gt;0,Skills!I4/Skills!H4,1)</f>
        <v/>
      </c>
      <c r="H974">
        <f>1-(1-Skills!J4/100)^Skills!K4</f>
        <v/>
      </c>
      <c r="I974" t="inlineStr">
        <is>
          <t>1</t>
        </is>
      </c>
      <c r="J974">
        <f>((Inputs!$B$6*(1+Inputs!$B$7/100))+(((Inputs!$B$12*(1+Inputs!$B$13/100))-(Inputs!$B$12*(1+Inputs!$B$13/100)))+0.25*(Inputs!$B$14-Inputs!$B$14))*(1+Inputs!$B$7/100))*(F974/100)</f>
        <v/>
      </c>
      <c r="K974">
        <f>J974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974)</f>
        <v/>
      </c>
      <c r="L974">
        <f>K974*(MIN(Inputs!$B$22+((C994=TRUE)*(F994-Calc!F24)),(Inputs!$B$23+((C999=TRUE)*(F999-Calc!F29))+IF(ArtifactsInput!$M$15,CHOOSE(ArtifactsInput!$N$15+1,25,30,35,40,45,50)/100*(Inputs!$B$11-Inputs!$B$11),0)))/100+(Inputs!$B$23+((C999=TRUE)*(F999-Calc!F29))+IF(ArtifactsInput!$M$15,CHOOSE(ArtifactsInput!$N$15+1,25,30,35,40,45,50)/100*(Inputs!$B$11-Inputs!$B$11),0))/100)/2</f>
        <v/>
      </c>
      <c r="M974">
        <f>L974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4">
        <f>L974*(1-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(1-Summary!$B$11)*T974+Summary!$B$11*V974</f>
        <v/>
      </c>
      <c r="P974">
        <f>IF(B1015=0,0,O974/B1015)</f>
        <v/>
      </c>
      <c r="Q974">
        <f>IFERROR(1/IF(Inputs!$B$39="pvp",15,MAX(0.1,Skills!D4-IF(Skills!E4=TRUE,Inputs!$B$32,0))),0)</f>
        <v/>
      </c>
      <c r="R974">
        <f>IF(AND(Inputs!$B$39&lt;&gt;"pvp",Inputs!$B$44&gt;0),IF(MAX(0,Inputs!$B$44-B1014)&lt;=0,0,(INT(MAX(0,Inputs!$B$44-B1014)/IF(Inputs!$B$39="pvp",15,MAX(0.1,Skills!D4-IF(Skills!E4=TRUE,Inputs!$B$32,0))))+1)),0)</f>
        <v/>
      </c>
      <c r="S974">
        <f>IFERROR(O974/N974,0)</f>
        <v/>
      </c>
      <c r="T974">
        <f>IF(C974,(H974*N974*IF(AND(Inputs!$B$39&lt;&gt;"pvp",Inputs!$B$44&gt;0),((Skills!G4*((R974-1)*IF(Skills!H4&gt;0,Skills!I4/Skills!H4,1)+IF(Skills!H4&gt;0,MIN(Skills!I4,MAX(0,MAX(0,Inputs!$B$44-B1014)-((R974-1)*IF(Inputs!$B$39="pvp",15,MAX(0.1,Skills!D4-IF(Skills!E4=TRUE,Inputs!$B$32,0))))))/Skills!H4,1)))/Inputs!$B$44),G974*Q974))*IF(Inputs!$B$39="pvp",1,1+(Inputs!$B$20+0+Skills!P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974*(1-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4">
        <f>290*U973/1000</f>
        <v/>
      </c>
      <c r="V974">
        <f>IF(C974,(H974*N974*IF(AND(Inputs!$B$39&lt;&gt;"pvp",Inputs!$B$44&gt;0),((Skills!G4*((R974-1)*IF(Skills!H4&gt;0,Skills!I4/Skills!H4,1)+IF(Skills!H4&gt;0,MIN(Skills!I4,MAX(0,MAX(0,Inputs!$B$44-B1014)-((R974-1)*IF(Inputs!$B$39="pvp",15,MAX(0.1,Skills!D4-IF(Skills!E4=TRUE,Inputs!$B$32,0))))))/Skills!H4,1)))/Inputs!$B$44),G974*Q974))*IF(Inputs!$B$39="pvp",1,(1+(Inputs!$B$21+Skills!Q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(10,0.5*B1007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Skills!A5</f>
        <v/>
      </c>
      <c r="B975">
        <f>Skills!B5</f>
        <v/>
      </c>
      <c r="C975">
        <f>Inputs!$B$3&gt;=63</f>
        <v/>
      </c>
      <c r="D975">
        <f>IF(Skills!C5=1,60+Inputs!$B$25+Inputs!$B$29,IF(Skills!C5=2,90+Inputs!$B$26+Inputs!$B$29,IF(Skills!C5=3,120+(Inputs!$B$27+1)+Inputs!$B$29,MAX(0,(Inputs!$B$3-100)*3)+Inputs!$B$28+Inputs!$B$29)))</f>
        <v/>
      </c>
      <c r="E975">
        <f>INDEX(FactorTable!$B$2:$Y$301, MATCH(ROUND(MIN(300,MAX(1,D975)),0), FactorTable!$A$2:$A$301,0), Skills!M5+1)</f>
        <v/>
      </c>
      <c r="F975">
        <f>IF(Skills!N5=TRUE,(Skills!L5/10)*(E975/1000),Skills!L5/10)+Skills!O5</f>
        <v/>
      </c>
      <c r="G975">
        <f>Skills!G5*IF(Skills!H5&gt;0,Skills!I5/Skills!H5,1)</f>
        <v/>
      </c>
      <c r="H975">
        <f>1-(1-Skills!J5/100)^Skills!K5</f>
        <v/>
      </c>
      <c r="I975" t="inlineStr">
        <is>
          <t>1</t>
        </is>
      </c>
      <c r="J975">
        <f>((Inputs!$B$6*(1+Inputs!$B$7/100))+(((Inputs!$B$12*(1+Inputs!$B$13/100))-(Inputs!$B$12*(1+Inputs!$B$13/100)))+0.25*(Inputs!$B$14-Inputs!$B$14))*(1+Inputs!$B$7/100))*(F975/100)</f>
        <v/>
      </c>
      <c r="K975">
        <f>J975*(1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988=TRUE,F988,0)/100)*(1+(IF(Skills!A5="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975)</f>
        <v/>
      </c>
      <c r="L975">
        <f>K975*(MIN(Inputs!$B$22+((C994=TRUE)*(F994-Calc!F24)),(Inputs!$B$23+((C999=TRUE)*(F999-Calc!F29))+IF(ArtifactsInput!$M$15,CHOOSE(ArtifactsInput!$N$15+1,25,30,35,40,45,50)/100*(Inputs!$B$11-Inputs!$B$11),0)))/100+(Inputs!$B$23+((C999=TRUE)*(F999-Calc!F29))+IF(ArtifactsInput!$M$15,CHOOSE(ArtifactsInput!$N$15+1,25,30,35,40,45,50)/100*(Inputs!$B$11-Inputs!$B$11),0))/100)/2</f>
        <v/>
      </c>
      <c r="M975">
        <f>L975*(1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5">
        <f>L975*(1-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975*(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5">
        <f>(1-Summary!$B$11)*T975+Summary!$B$11*V975</f>
        <v/>
      </c>
      <c r="P975">
        <f>IF(B1015=0,0,O975/B1015)</f>
        <v/>
      </c>
      <c r="Q975">
        <f>IFERROR(1/IF(Inputs!$B$39="pvp",15,MAX(0.1,Skills!D5-IF(Skills!E5=TRUE,Inputs!$B$32,0))),0)</f>
        <v/>
      </c>
      <c r="R975">
        <f>IF(AND(Inputs!$B$39&lt;&gt;"pvp",Inputs!$B$44&gt;0),IF(MAX(0,Inputs!$B$44-B1014)&lt;=0,0,(INT(MAX(0,Inputs!$B$44-B1014)/IF(Inputs!$B$39="pvp",15,MAX(0.1,Skills!D5-IF(Skills!E5=TRUE,Inputs!$B$32,0))))+1)),0)</f>
        <v/>
      </c>
      <c r="S975">
        <f>IFERROR(O975/N975,0)</f>
        <v/>
      </c>
      <c r="T975">
        <f>IF(C975,(H975*N975*IF(AND(Inputs!$B$39&lt;&gt;"pvp",Inputs!$B$44&gt;0),((Skills!G5*((R975-1)*IF(Skills!H5&gt;0,Skills!I5/Skills!H5,1)+IF(Skills!H5&gt;0,MIN(Skills!I5,MAX(0,MAX(0,Inputs!$B$44-B1014)-((R975-1)*IF(Inputs!$B$39="pvp",15,MAX(0.1,Skills!D5-IF(Skills!E5=TRUE,Inputs!$B$32,0))))))/Skills!H5,1)))/Inputs!$B$44),G975*Q975))*IF(Inputs!$B$39="pvp",1,1+(Inputs!$B$20+0+Skills!P5+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975*(1-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975*(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975*(1-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975*(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5">
        <f>IF(C975,(H975*N975*IF(AND(Inputs!$B$39&lt;&gt;"pvp",Inputs!$B$44&gt;0),((Skills!G5*((R975-1)*IF(Skills!H5&gt;0,Skills!I5/Skills!H5,1)+IF(Skills!H5&gt;0,MIN(Skills!I5,MAX(0,MAX(0,Inputs!$B$44-B1014)-((R975-1)*IF(Inputs!$B$39="pvp",15,MAX(0.1,Skills!D5-IF(Skills!E5=TRUE,Inputs!$B$32,0))))))/Skills!H5,1)))/Inputs!$B$44),G975*Q975))*IF(Inputs!$B$39="pvp",1,(1+(Inputs!$B$21+Skills!Q5+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6">
      <c r="A976">
        <f>Skills!A6</f>
        <v/>
      </c>
      <c r="B976">
        <f>Skills!B6</f>
        <v/>
      </c>
      <c r="C976">
        <f>Inputs!$B$3&gt;=69</f>
        <v/>
      </c>
      <c r="D976">
        <f>IF(Skills!C6=1,60+Inputs!$B$25+Inputs!$B$29,IF(Skills!C6=2,90+Inputs!$B$26+Inputs!$B$29,IF(Skills!C6=3,120+(Inputs!$B$27+1)+Inputs!$B$29,MAX(0,(Inputs!$B$3-100)*3)+Inputs!$B$28+Inputs!$B$29)))</f>
        <v/>
      </c>
      <c r="E976">
        <f>INDEX(FactorTable!$B$2:$Y$301, MATCH(ROUND(MIN(300,MAX(1,D976)),0), FactorTable!$A$2:$A$301,0), Skills!M6+1)</f>
        <v/>
      </c>
      <c r="F976">
        <f>IF(Skills!N6=TRUE,(Skills!L6/10)*(E976/1000),Skills!L6/10)+Skills!O6</f>
        <v/>
      </c>
      <c r="G976">
        <f>Skills!G6*IF(Skills!H6&gt;0,Skills!I6/Skills!H6,1)</f>
        <v/>
      </c>
      <c r="H976">
        <f>1-(1-Skills!J6/100)^Skills!K6</f>
        <v/>
      </c>
      <c r="I976" t="inlineStr">
        <is>
          <t>1</t>
        </is>
      </c>
      <c r="J976">
        <f>((Inputs!$B$6*(1+Inputs!$B$7/100))+(((Inputs!$B$12*(1+Inputs!$B$13/100))-(Inputs!$B$12*(1+Inputs!$B$13/100)))+0.25*(Inputs!$B$14-Inputs!$B$14))*(1+Inputs!$B$7/100))*(F976/100)</f>
        <v/>
      </c>
      <c r="K976">
        <f>J976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988=TRUE,F988,0)/100)*(1+(IF(Skills!A6="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976)</f>
        <v/>
      </c>
      <c r="L976">
        <f>K976*(MIN(Inputs!$B$22+((C994=TRUE)*(F994-Calc!F24)),(Inputs!$B$23+((C999=TRUE)*(F999-Calc!F29))+IF(ArtifactsInput!$M$15,CHOOSE(ArtifactsInput!$N$15+1,25,30,35,40,45,50)/100*(Inputs!$B$11-Inputs!$B$11),0)))/100+(Inputs!$B$23+((C999=TRUE)*(F999-Calc!F29))+IF(ArtifactsInput!$M$15,CHOOSE(ArtifactsInput!$N$15+1,25,30,35,40,45,50)/100*(Inputs!$B$11-Inputs!$B$11),0))/100)/2</f>
        <v/>
      </c>
      <c r="M976">
        <f>L976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6">
        <f>L976*(1-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976*(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6">
        <f>(1-Summary!$B$11)*T976+Summary!$B$11*V976</f>
        <v/>
      </c>
      <c r="P976">
        <f>IF(B1015=0,0,O976/B1015)</f>
        <v/>
      </c>
      <c r="Q976">
        <f>IFERROR(1/IF(Inputs!$B$39="pvp",15,MAX(0.1,Skills!D6-IF(Skills!E6=TRUE,Inputs!$B$32,0))),0)</f>
        <v/>
      </c>
      <c r="R976">
        <f>IF(AND(Inputs!$B$39&lt;&gt;"pvp",Inputs!$B$44&gt;0),IF(MAX(0,Inputs!$B$44-B1014)&lt;=0,0,(INT(MAX(0,Inputs!$B$44-B1014)/IF(Inputs!$B$39="pvp",15,MAX(0.1,Skills!D6-IF(Skills!E6=TRUE,Inputs!$B$32,0))))+1)),0)</f>
        <v/>
      </c>
      <c r="S976">
        <f>IFERROR(O976/N976,0)</f>
        <v/>
      </c>
      <c r="T976">
        <f>IF(C976,(H976*N976*IF(AND(Inputs!$B$39&lt;&gt;"pvp",Inputs!$B$44&gt;0),((Skills!G6*((R976-1)*IF(Skills!H6&gt;0,Skills!I6/Skills!H6,1)+IF(Skills!H6&gt;0,MIN(Skills!I6,MAX(0,MAX(0,Inputs!$B$44-B1014)-((R976-1)*IF(Inputs!$B$39="pvp",15,MAX(0.1,Skills!D6-IF(Skills!E6=TRUE,Inputs!$B$32,0))))))/Skills!H6,1)))/Inputs!$B$44),G976*Q976))*IF(Inputs!$B$39="pvp",1,1+(Inputs!$B$20+0+Skills!P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976*(1-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976*(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976*(1-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976*(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6">
        <f>IF(C976,(H976*N976*IF(AND(Inputs!$B$39&lt;&gt;"pvp",Inputs!$B$44&gt;0),((Skills!G6*((R976-1)*IF(Skills!H6&gt;0,Skills!I6/Skills!H6,1)+IF(Skills!H6&gt;0,MIN(Skills!I6,MAX(0,MAX(0,Inputs!$B$44-B1014)-((R976-1)*IF(Inputs!$B$39="pvp",15,MAX(0.1,Skills!D6-IF(Skills!E6=TRUE,Inputs!$B$32,0))))))/Skills!H6,1)))/Inputs!$B$44),G976*Q976))*IF(Inputs!$B$39="pvp",1,(1+(Inputs!$B$21+Skills!Q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7">
      <c r="A977">
        <f>Skills!A7</f>
        <v/>
      </c>
      <c r="B977">
        <f>Skills!B7</f>
        <v/>
      </c>
      <c r="C977">
        <f>Inputs!$B$3&gt;=60</f>
        <v/>
      </c>
      <c r="D977">
        <f>IF(Skills!C7=1,60+Inputs!$B$25+Inputs!$B$29,IF(Skills!C7=2,90+Inputs!$B$26+Inputs!$B$29,IF(Skills!C7=3,120+(Inputs!$B$27+1)+Inputs!$B$29,MAX(0,(Inputs!$B$3-100)*3)+Inputs!$B$28+Inputs!$B$29)))</f>
        <v/>
      </c>
      <c r="E977">
        <f>INDEX(FactorTable!$B$2:$Y$301, MATCH(ROUND(MIN(300,MAX(1,D977)),0), FactorTable!$A$2:$A$301,0), Skills!M7+1)</f>
        <v/>
      </c>
      <c r="F977">
        <f>IF(Skills!N7=TRUE,(Skills!L7/10)*(E977/1000),Skills!L7/10)+Skills!O7</f>
        <v/>
      </c>
      <c r="G977">
        <f>Skills!G7*IF(Skills!H7&gt;0,Skills!I7/Skills!H7,1)</f>
        <v/>
      </c>
      <c r="H977">
        <f>1-(1-Skills!J7/100)^Skills!K7</f>
        <v/>
      </c>
      <c r="I977" t="inlineStr">
        <is>
          <t>1</t>
        </is>
      </c>
      <c r="J977" t="inlineStr"/>
      <c r="K977" t="inlineStr"/>
      <c r="L977" t="inlineStr"/>
      <c r="M977" t="inlineStr"/>
      <c r="N977" t="inlineStr"/>
      <c r="O977">
        <f>(1-Summary!$B$11)*T977+Summary!$B$11*V977</f>
        <v/>
      </c>
      <c r="P977">
        <f>IF(B1015=0,0,O977/B1015)</f>
        <v/>
      </c>
      <c r="Q977" t="n">
        <v>0</v>
      </c>
      <c r="R977" t="n">
        <v>0</v>
      </c>
      <c r="S977">
        <f>IFERROR(O977/N977,0)</f>
        <v/>
      </c>
      <c r="T977" t="n">
        <v>0</v>
      </c>
      <c r="V977" t="n">
        <v>0</v>
      </c>
    </row>
    <row r="978">
      <c r="A978">
        <f>Skills!A8</f>
        <v/>
      </c>
      <c r="B978">
        <f>Skills!B8</f>
        <v/>
      </c>
      <c r="C978">
        <f>Inputs!$B$3&gt;=72</f>
        <v/>
      </c>
      <c r="D978">
        <f>IF(Skills!C8=1,60+Inputs!$B$25+Inputs!$B$29,IF(Skills!C8=2,90+Inputs!$B$26+Inputs!$B$29,IF(Skills!C8=3,120+(Inputs!$B$27+1)+Inputs!$B$29,MAX(0,(Inputs!$B$3-100)*3)+Inputs!$B$28+Inputs!$B$29)))</f>
        <v/>
      </c>
      <c r="E978">
        <f>INDEX(FactorTable!$B$2:$Y$301, MATCH(ROUND(MIN(300,MAX(1,D978)),0), FactorTable!$A$2:$A$301,0), Skills!M8+1)</f>
        <v/>
      </c>
      <c r="F978">
        <f>IF(Skills!N8=TRUE,(Skills!L8/10)*(E978/1000),Skills!L8/10)+Skills!O8</f>
        <v/>
      </c>
      <c r="G978">
        <f>Skills!G8*IF(Skills!H8&gt;0,Skills!I8/Skills!H8,1)</f>
        <v/>
      </c>
      <c r="H978">
        <f>1-(1-Skills!J8/100)^Skills!K8</f>
        <v/>
      </c>
      <c r="I978" t="inlineStr">
        <is>
          <t>1</t>
        </is>
      </c>
      <c r="J978">
        <f>((Inputs!$B$6*(1+Inputs!$B$7/100))+(((Inputs!$B$12*(1+Inputs!$B$13/100))-(Inputs!$B$12*(1+Inputs!$B$13/100)))+0.25*(Inputs!$B$14-Inputs!$B$14))*(1+Inputs!$B$7/100))*(F978/100)</f>
        <v/>
      </c>
      <c r="K978">
        <f>J978*(1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988=TRUE,F988,0)/100)*(1+(IF(Skills!A8="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978)</f>
        <v/>
      </c>
      <c r="L978">
        <f>K978*(MIN(Inputs!$B$22+((C994=TRUE)*(F994-Calc!F24)),(Inputs!$B$23+((C999=TRUE)*(F999-Calc!F29))+IF(ArtifactsInput!$M$15,CHOOSE(ArtifactsInput!$N$15+1,25,30,35,40,45,50)/100*(Inputs!$B$11-Inputs!$B$11),0)))/100+(Inputs!$B$23+((C999=TRUE)*(F999-Calc!F29))+IF(ArtifactsInput!$M$15,CHOOSE(ArtifactsInput!$N$15+1,25,30,35,40,45,50)/100*(Inputs!$B$11-Inputs!$B$11),0))/100)/2</f>
        <v/>
      </c>
      <c r="M978">
        <f>L978*(1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8">
        <f>L978*(1-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(1-Summary!$B$11)*T978+Summary!$B$11*V978</f>
        <v/>
      </c>
      <c r="P978">
        <f>IF(B1015=0,0,O978/B1015)</f>
        <v/>
      </c>
      <c r="Q978">
        <f>IFERROR(1/IF(Inputs!$B$39="pvp",15,MAX(0.1,Skills!D8-IF(Skills!E8=TRUE,Inputs!$B$32,0))),0)</f>
        <v/>
      </c>
      <c r="R978">
        <f>IF(AND(Inputs!$B$39&lt;&gt;"pvp",Inputs!$B$44&gt;0),IF(MAX(0,Inputs!$B$44-B1014)&lt;=0,0,(INT(MAX(0,Inputs!$B$44-B1014)/IF(Inputs!$B$39="pvp",15,MAX(0.1,Skills!D8-IF(Skills!E8=TRUE,Inputs!$B$32,0))))+1)),0)</f>
        <v/>
      </c>
      <c r="S978">
        <f>IFERROR(O978/N978,0)</f>
        <v/>
      </c>
      <c r="T978">
        <f>IF(C978,(H978*N978*IF(AND(Inputs!$B$39&lt;&gt;"pvp",Inputs!$B$44&gt;0),((Skills!G8*((R978-1)*IF(Skills!H8&gt;0,Skills!I8/Skills!H8,1)+IF(Skills!H8&gt;0,MIN(Skills!I8,MAX(0,MAX(0,Inputs!$B$44-B1014)-((R978-1)*IF(Inputs!$B$39="pvp",15,MAX(0.1,Skills!D8-IF(Skills!E8=TRUE,Inputs!$B$32,0))))))/Skills!H8,1)))/Inputs!$B$44),G978*Q978))*IF(Inputs!$B$39="pvp",1,1+(Inputs!$B$20+0+Skills!P8+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978*(1-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8">
        <f>IF(C978,(H978*N978*IF(AND(Inputs!$B$39&lt;&gt;"pvp",Inputs!$B$44&gt;0),((Skills!G8*((R978-1)*IF(Skills!H8&gt;0,Skills!I8/Skills!H8,1)+IF(Skills!H8&gt;0,MIN(Skills!I8,MAX(0,MAX(0,Inputs!$B$44-B1014)-((R978-1)*IF(Inputs!$B$39="pvp",15,MAX(0.1,Skills!D8-IF(Skills!E8=TRUE,Inputs!$B$32,0))))))/Skills!H8,1)))/Inputs!$B$44),G978*Q978))*IF(Inputs!$B$39="pvp",1,(1+(Inputs!$B$21+Skills!Q8+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Skills!A9</f>
        <v/>
      </c>
      <c r="B979">
        <f>Skills!B9</f>
        <v/>
      </c>
      <c r="C979">
        <f>Inputs!$B$3&gt;=117</f>
        <v/>
      </c>
      <c r="D979">
        <f>IF(Skills!C9=1,60+Inputs!$B$25+Inputs!$B$29,IF(Skills!C9=2,90+Inputs!$B$26+Inputs!$B$29,IF(Skills!C9=3,120+(Inputs!$B$27+1)+Inputs!$B$29,MAX(0,(Inputs!$B$3-100)*3)+Inputs!$B$28+Inputs!$B$29)))</f>
        <v/>
      </c>
      <c r="E979">
        <f>INDEX(FactorTable!$B$2:$Y$301, MATCH(ROUND(MIN(300,MAX(1,D979)),0), FactorTable!$A$2:$A$301,0), Skills!M9+1)</f>
        <v/>
      </c>
      <c r="F979">
        <f>IF(Skills!N9=TRUE,(Skills!L9/10)*(E979/1000),Skills!L9/10)+Skills!O9</f>
        <v/>
      </c>
      <c r="G979">
        <f>Skills!G9*IF(Skills!H9&gt;0,Skills!I9/Skills!H9,1)</f>
        <v/>
      </c>
      <c r="H979">
        <f>1-(1-Skills!J9/100)^Skills!K9</f>
        <v/>
      </c>
      <c r="I979" t="inlineStr">
        <is>
          <t>1</t>
        </is>
      </c>
      <c r="J979">
        <f>((Inputs!$B$6*(1+Inputs!$B$7/100))+(((Inputs!$B$12*(1+Inputs!$B$13/100))-(Inputs!$B$12*(1+Inputs!$B$13/100)))+0.25*(Inputs!$B$14-Inputs!$B$14))*(1+Inputs!$B$7/100))*(F979/100)</f>
        <v/>
      </c>
      <c r="K979">
        <f>J979*(1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979)</f>
        <v/>
      </c>
      <c r="L979">
        <f>K979*(MIN(Inputs!$B$22+((C994=TRUE)*(F994-Calc!F24)),(Inputs!$B$23+((C999=TRUE)*(F999-Calc!F29))+IF(ArtifactsInput!$M$15,CHOOSE(ArtifactsInput!$N$15+1,25,30,35,40,45,50)/100*(Inputs!$B$11-Inputs!$B$11),0)))/100+(Inputs!$B$23+((C999=TRUE)*(F999-Calc!F29))+IF(ArtifactsInput!$M$15,CHOOSE(ArtifactsInput!$N$15+1,25,30,35,40,45,50)/100*(Inputs!$B$11-Inputs!$B$11),0))/100)/2</f>
        <v/>
      </c>
      <c r="M979">
        <f>L979*(1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9">
        <f>L979*(1-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(1-Summary!$B$11)*T979+Summary!$B$11*V979</f>
        <v/>
      </c>
      <c r="P979">
        <f>IF(B1015=0,0,O979/B1015)</f>
        <v/>
      </c>
      <c r="Q979" t="n">
        <v>0</v>
      </c>
      <c r="R979" t="n">
        <v>0</v>
      </c>
      <c r="S979" t="n">
        <v>0</v>
      </c>
      <c r="T979">
        <f>IF(C979,(0.2*SUMPRODUCT((Skills!Z2:Z30=TRUE)*(C972:C1000=TRUE)*S972:S1000)*N979)*IF(Inputs!$B$39="pvp",1,1+(Inputs!$B$20+0+Skills!P9+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979*(1-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9">
        <f>IF(C979,(0.2*SUMPRODUCT((Skills!Z2:Z30=TRUE)*(C972:C1000=TRUE)*S972:S1000)*N979)*IF(Inputs!$B$39="pvp",1,(1+(Inputs!$B$21+Skills!Q9+B1004+(IF(ArtifactsInput!$M$33,CHOOSE(ArtifactsInput!$N$33+1,30,36,42,48,54,60),0))+(IF(AND(ArtifactsInput!$M$35,Inputs!$B$4&lt;&gt;"Chapter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0">
      <c r="A980">
        <f>Skills!A10</f>
        <v/>
      </c>
      <c r="B980">
        <f>Skills!B10</f>
        <v/>
      </c>
      <c r="C980">
        <f>Inputs!$B$3&gt;=74</f>
        <v/>
      </c>
      <c r="D980">
        <f>IF(Skills!C10=1,60+Inputs!$B$25+Inputs!$B$29,IF(Skills!C10=2,90+Inputs!$B$26+Inputs!$B$29,IF(Skills!C10=3,120+(Inputs!$B$27+1)+Inputs!$B$29,MAX(0,(Inputs!$B$3-100)*3)+Inputs!$B$28+Inputs!$B$29)))</f>
        <v/>
      </c>
      <c r="E980">
        <f>INDEX(FactorTable!$B$2:$Y$301, MATCH(ROUND(MIN(300,MAX(1,D980)),0), FactorTable!$A$2:$A$301,0), Skills!M10+1)</f>
        <v/>
      </c>
      <c r="F980">
        <f>IF(Skills!N10=TRUE,(Skills!L10/10)*(E980/1000),Skills!L10/10)+Skills!O10</f>
        <v/>
      </c>
      <c r="G980">
        <f>Skills!G10*IF(Skills!H10&gt;0,Skills!I10/Skills!H10,1)</f>
        <v/>
      </c>
      <c r="H980">
        <f>1-(1-Skills!J10/100)^Skills!K10</f>
        <v/>
      </c>
      <c r="I980" t="inlineStr">
        <is>
          <t>1</t>
        </is>
      </c>
      <c r="J980" t="inlineStr"/>
      <c r="K980" t="inlineStr"/>
      <c r="L980" t="inlineStr"/>
      <c r="M980" t="inlineStr"/>
      <c r="N980" t="inlineStr"/>
      <c r="O980">
        <f>(1-Summary!$B$11)*T980+Summary!$B$11*V980</f>
        <v/>
      </c>
      <c r="P980">
        <f>IF(B1015=0,0,O980/B1015)</f>
        <v/>
      </c>
      <c r="Q980">
        <f>IFERROR(1/IF(Inputs!$B$39="pvp",15,MAX(0.1,Skills!D10-IF(Skills!E10=TRUE,Inputs!$B$32,0))),0)</f>
        <v/>
      </c>
      <c r="R980">
        <f>IF(AND(Inputs!$B$39&lt;&gt;"pvp",Inputs!$B$44&gt;0),IF(Inputs!$B$44&lt;=0,0,(INT(Inputs!$B$44/IF(Inputs!$B$39="pvp",15,MAX(0.1,Skills!D10-IF(Skills!E10=TRUE,Inputs!$B$32,0))))+1)),0)</f>
        <v/>
      </c>
      <c r="S980">
        <f>IFERROR(O980/N980,0)</f>
        <v/>
      </c>
      <c r="T980" t="n">
        <v>0</v>
      </c>
      <c r="V980" t="n">
        <v>0</v>
      </c>
    </row>
    <row r="981">
      <c r="A981">
        <f>Skills!A11</f>
        <v/>
      </c>
      <c r="B981">
        <f>Skills!B11</f>
        <v/>
      </c>
      <c r="C981">
        <f>Inputs!$B$3&gt;=103</f>
        <v/>
      </c>
      <c r="D981">
        <f>IF(Skills!C11=1,60+Inputs!$B$25+Inputs!$B$29,IF(Skills!C11=2,90+Inputs!$B$26+Inputs!$B$29,IF(Skills!C11=3,120+(Inputs!$B$27+1)+Inputs!$B$29,MAX(0,(Inputs!$B$3-100)*3)+Inputs!$B$28+Inputs!$B$29)))</f>
        <v/>
      </c>
      <c r="E981">
        <f>INDEX(FactorTable!$B$2:$Y$301, MATCH(ROUND(MIN(300,MAX(1,D981)),0), FactorTable!$A$2:$A$301,0), Skills!M11+1)</f>
        <v/>
      </c>
      <c r="F981">
        <f>(Skills!L11/10)*(E981/1000)+IF(Inputs!$B$3&gt;=134,50,0)+0.5*(30000/10)*(INDEX(FactorTable!$B$2:$Y$301, MATCH(ROUND(MIN(300,MAX(1,D981)),0), FactorTable!$A$2:$A$301,0), 13)/1000)*B1013</f>
        <v/>
      </c>
      <c r="G981">
        <f>Skills!G11*IF(Skills!H11&gt;0,Skills!I11/Skills!H11,1)</f>
        <v/>
      </c>
      <c r="H981">
        <f>1-(1-Skills!J11/100)^Skills!K11</f>
        <v/>
      </c>
      <c r="I981" t="inlineStr">
        <is>
          <t>1</t>
        </is>
      </c>
      <c r="J981">
        <f>((Inputs!$B$6*(1+Inputs!$B$7/100))+(((Inputs!$B$12*(1+Inputs!$B$13/100))-(Inputs!$B$12*(1+Inputs!$B$13/100)))+0.25*(Inputs!$B$14-Inputs!$B$14))*(1+Inputs!$B$7/100))*(F981/100)</f>
        <v/>
      </c>
      <c r="K981">
        <f>J981*(1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981)</f>
        <v/>
      </c>
      <c r="L981">
        <f>K981*(MIN(Inputs!$B$22+((C994=TRUE)*(F994-Calc!F24)),(Inputs!$B$23+((C999=TRUE)*(F999-Calc!F29))+IF(ArtifactsInput!$M$15,CHOOSE(ArtifactsInput!$N$15+1,25,30,35,40,45,50)/100*(Inputs!$B$11-Inputs!$B$11),0)))/100+(Inputs!$B$23+((C999=TRUE)*(F999-Calc!F29))+IF(ArtifactsInput!$M$15,CHOOSE(ArtifactsInput!$N$15+1,25,30,35,40,45,50)/100*(Inputs!$B$11-Inputs!$B$11),0))/100)/2</f>
        <v/>
      </c>
      <c r="M981">
        <f>L981*(1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1">
        <f>L981*(1-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(1-Summary!$B$11)*T981+Summary!$B$11*V981</f>
        <v/>
      </c>
      <c r="P981">
        <f>IF(B1015=0,0,O981/B1015)</f>
        <v/>
      </c>
      <c r="Q981">
        <f>IFERROR(1/IF(Inputs!$B$39="pvp",15,MAX(0.1,Skills!D11-IF(Skills!E11=TRUE,Inputs!$B$32,0))),0)</f>
        <v/>
      </c>
      <c r="R981">
        <f>IF(AND(Inputs!$B$39&lt;&gt;"pvp",Inputs!$B$44&gt;0),IF(MAX(0,Inputs!$B$44-B1014)&lt;=0,0,(INT(MAX(0,Inputs!$B$44-B1014)/IF(Inputs!$B$39="pvp",15,MAX(0.1,Skills!D11-IF(Skills!E11=TRUE,Inputs!$B$32,0))))+1)),0)</f>
        <v/>
      </c>
      <c r="S981">
        <f>IFERROR(O981/N981,0)</f>
        <v/>
      </c>
      <c r="T981">
        <f>IF(C981,(H981*N981*IF(AND(Inputs!$B$39&lt;&gt;"pvp",Inputs!$B$44&gt;0),((Skills!G11*((R981-1)*IF(Skills!H11&gt;0,Skills!I11/Skills!H11,1)+IF(Skills!H11&gt;0,MIN(Skills!I11,MAX(0,MAX(0,Inputs!$B$44-B1014)-((R981-1)*IF(Inputs!$B$39="pvp",15,MAX(0.1,Skills!D11-IF(Skills!E11=TRUE,Inputs!$B$32,0))))))/Skills!H11,1)))/Inputs!$B$44),G981*Q981))*IF(Inputs!$B$39="pvp",1,1+(Inputs!$B$20+0+Skills!P11+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981*(1-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1">
        <f>IF(C981,(H981*N981*IF(AND(Inputs!$B$39&lt;&gt;"pvp",Inputs!$B$44&gt;0),((Skills!G11*((R981-1)*IF(Skills!H11&gt;0,Skills!I11/Skills!H11,1)+IF(Skills!H11&gt;0,MIN(Skills!I11,MAX(0,MAX(0,Inputs!$B$44-B1014)-((R981-1)*IF(Inputs!$B$39="pvp",15,MAX(0.1,Skills!D11-IF(Skills!E11=TRUE,Inputs!$B$32,0))))))/Skills!H11,1)))/Inputs!$B$44),G981*Q981))*IF(Inputs!$B$39="pvp",1,(1+(Inputs!$B$21+Skills!Q11+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Skills!A12</f>
        <v/>
      </c>
      <c r="B982">
        <f>Skills!B12</f>
        <v/>
      </c>
      <c r="C982">
        <f>Inputs!$B$3&gt;=105</f>
        <v/>
      </c>
      <c r="D982">
        <f>IF(Skills!C12=1,60+Inputs!$B$25+Inputs!$B$29,IF(Skills!C12=2,90+Inputs!$B$26+Inputs!$B$29,IF(Skills!C12=3,120+(Inputs!$B$27+1)+Inputs!$B$29,MAX(0,(Inputs!$B$3-100)*3)+Inputs!$B$28+Inputs!$B$29)))</f>
        <v/>
      </c>
      <c r="E982">
        <f>INDEX(FactorTable!$B$2:$Y$301, MATCH(ROUND(MIN(300,MAX(1,D982)),0), FactorTable!$A$2:$A$301,0), Skills!M12+1)</f>
        <v/>
      </c>
      <c r="F982">
        <f>IF(Skills!N12=TRUE,(Skills!L12/10)*(E982/1000),Skills!L12/10)+Skills!O12</f>
        <v/>
      </c>
      <c r="G982">
        <f>Skills!G12*IF(Skills!H12&gt;0,Skills!I12/Skills!H12,1)</f>
        <v/>
      </c>
      <c r="H982">
        <f>1-(1-Skills!J12/100)^Skills!K12</f>
        <v/>
      </c>
      <c r="I982" t="inlineStr">
        <is>
          <t>1</t>
        </is>
      </c>
      <c r="J982">
        <f>((Inputs!$B$6*(1+Inputs!$B$7/100))+(((Inputs!$B$12*(1+Inputs!$B$13/100))-(Inputs!$B$12*(1+Inputs!$B$13/100)))+0.25*(Inputs!$B$14-Inputs!$B$14))*(1+Inputs!$B$7/100))*(F982/100)</f>
        <v/>
      </c>
      <c r="K982">
        <f>J982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982)</f>
        <v/>
      </c>
      <c r="L982">
        <f>K982*(MIN(Inputs!$B$22+((C994=TRUE)*(F994-Calc!F24)),(Inputs!$B$23+((C999=TRUE)*(F999-Calc!F29))+IF(ArtifactsInput!$M$15,CHOOSE(ArtifactsInput!$N$15+1,25,30,35,40,45,50)/100*(Inputs!$B$11-Inputs!$B$11),0)))/100+(Inputs!$B$23+((C999=TRUE)*(F999-Calc!F29))+IF(ArtifactsInput!$M$15,CHOOSE(ArtifactsInput!$N$15+1,25,30,35,40,45,50)/100*(Inputs!$B$11-Inputs!$B$11),0))/100)/2</f>
        <v/>
      </c>
      <c r="M982">
        <f>L982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2">
        <f>L982*(1-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982*(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2">
        <f>(1-Summary!$B$11)*T982+Summary!$B$11*V982</f>
        <v/>
      </c>
      <c r="P982">
        <f>IF(B1015=0,0,O982/B1015)</f>
        <v/>
      </c>
      <c r="Q982">
        <f>IFERROR(1/IF(Inputs!$B$39="pvp",15,MAX(0.1,Skills!D12-IF(Skills!E12=TRUE,Inputs!$B$32,0))),0)</f>
        <v/>
      </c>
      <c r="R982">
        <f>IF(AND(Inputs!$B$39&lt;&gt;"pvp",Inputs!$B$44&gt;0),IF(MAX(0,Inputs!$B$44-B1014)&lt;=0,0,(INT(MAX(0,Inputs!$B$44-B1014)/IF(Inputs!$B$39="pvp",15,MAX(0.1,Skills!D12-IF(Skills!E12=TRUE,Inputs!$B$32,0))))+1)),0)</f>
        <v/>
      </c>
      <c r="S982">
        <f>IFERROR(O982/N982,0)</f>
        <v/>
      </c>
      <c r="T982">
        <f>IF(C982,(H982*N982*IF(AND(Inputs!$B$39&lt;&gt;"pvp",Inputs!$B$44&gt;0),((Skills!G12*((R982-1)*IF(Skills!H12&gt;0,Skills!I12/Skills!H12,1)+IF(Skills!H12&gt;0,MIN(Skills!I12,MAX(0,MAX(0,Inputs!$B$44-B1014)-((R982-1)*IF(Inputs!$B$39="pvp",15,MAX(0.1,Skills!D12-IF(Skills!E12=TRUE,Inputs!$B$32,0))))))/Skills!H12,1)))/Inputs!$B$44),G982*Q982))*IF(Inputs!$B$39="pvp",1,1+(Inputs!$B$20+0+Skills!P12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982*(1-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982*(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982*(1-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982*(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2">
        <f>IF(C982,(H982*N982*IF(AND(Inputs!$B$39&lt;&gt;"pvp",Inputs!$B$44&gt;0),((Skills!G12*((R982-1)*IF(Skills!H12&gt;0,Skills!I12/Skills!H12,1)+IF(Skills!H12&gt;0,MIN(Skills!I12,MAX(0,MAX(0,Inputs!$B$44-B1014)-((R982-1)*IF(Inputs!$B$39="pvp",15,MAX(0.1,Skills!D12-IF(Skills!E12=TRUE,Inputs!$B$32,0))))))/Skills!H12,1)))/Inputs!$B$44),G982*Q982))*IF(Inputs!$B$39="pvp",1,(1+(Inputs!$B$21+Skills!Q12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3">
      <c r="A983">
        <f>Skills!A13</f>
        <v/>
      </c>
      <c r="B983">
        <f>Skills!B13</f>
        <v/>
      </c>
      <c r="C983">
        <f>Inputs!$B$3&gt;=105</f>
        <v/>
      </c>
      <c r="D983">
        <f>IF(Skills!C13=1,60+Inputs!$B$25+Inputs!$B$29,IF(Skills!C13=2,90+Inputs!$B$26+Inputs!$B$29,IF(Skills!C13=3,120+(Inputs!$B$27+1)+Inputs!$B$29,MAX(0,(Inputs!$B$3-100)*3)+Inputs!$B$28+Inputs!$B$29)))</f>
        <v/>
      </c>
      <c r="E983">
        <f>INDEX(FactorTable!$B$2:$Y$301, MATCH(ROUND(MIN(300,MAX(1,D983)),0), FactorTable!$A$2:$A$301,0), Skills!M13+1)</f>
        <v/>
      </c>
      <c r="F983">
        <f>IF(Skills!N13=TRUE,(Skills!L13/10)*(E983/1000),Skills!L13/10)+Skills!O13</f>
        <v/>
      </c>
      <c r="G983">
        <f>Skills!G13*IF(Skills!H13&gt;0,Skills!I13/Skills!H13,1)</f>
        <v/>
      </c>
      <c r="H983">
        <f>1-(1-Skills!J13/100)^Skills!K13</f>
        <v/>
      </c>
      <c r="I983" t="inlineStr">
        <is>
          <t>1</t>
        </is>
      </c>
      <c r="J983">
        <f>((Inputs!$B$6*(1+Inputs!$B$7/100))+(((Inputs!$B$12*(1+Inputs!$B$13/100))-(Inputs!$B$12*(1+Inputs!$B$13/100)))+0.25*(Inputs!$B$14-Inputs!$B$14))*(1+Inputs!$B$7/100))*(F983/100)</f>
        <v/>
      </c>
      <c r="K983">
        <f>J983*(1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983)</f>
        <v/>
      </c>
      <c r="L983">
        <f>K983*(MIN(Inputs!$B$22+((C994=TRUE)*(F994-Calc!F24)),(Inputs!$B$23+((C999=TRUE)*(F999-Calc!F29))+IF(ArtifactsInput!$M$15,CHOOSE(ArtifactsInput!$N$15+1,25,30,35,40,45,50)/100*(Inputs!$B$11-Inputs!$B$11),0)))/100+(Inputs!$B$23+((C999=TRUE)*(F999-Calc!F29))+IF(ArtifactsInput!$M$15,CHOOSE(ArtifactsInput!$N$15+1,25,30,35,40,45,50)/100*(Inputs!$B$11-Inputs!$B$11),0))/100)/2</f>
        <v/>
      </c>
      <c r="M983">
        <f>L983*(1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3">
        <f>L983*(1-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983*(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3">
        <f>(1-Summary!$B$11)*T983+Summary!$B$11*V983</f>
        <v/>
      </c>
      <c r="P983">
        <f>IF(B1015=0,0,O983/B1015)</f>
        <v/>
      </c>
      <c r="Q983">
        <f>IFERROR(1/IF(Inputs!$B$39="pvp",15,MAX(0.1,Skills!D13-IF(Skills!E13=TRUE,Inputs!$B$32,0))),0)</f>
        <v/>
      </c>
      <c r="R983">
        <f>IF(AND(Inputs!$B$39&lt;&gt;"pvp",Inputs!$B$44&gt;0),IF(MAX(0,Inputs!$B$44-B1014)&lt;=0,0,(INT(MAX(0,Inputs!$B$44-B1014)/IF(Inputs!$B$39="pvp",15,MAX(0.1,Skills!D13-IF(Skills!E13=TRUE,Inputs!$B$32,0))))+1)),0)</f>
        <v/>
      </c>
      <c r="S983">
        <f>IFERROR(O983/N983,0)</f>
        <v/>
      </c>
      <c r="T983">
        <f>IF(C983,(H983*N983*IF(AND(Inputs!$B$39&lt;&gt;"pvp",Inputs!$B$44&gt;0),((Skills!G13*((R983-1)*IF(Skills!H13&gt;0,Skills!I13/Skills!H13,1)+IF(Skills!H13&gt;0,MIN(Skills!I13,MAX(0,MAX(0,Inputs!$B$44-B1014)-((R983-1)*IF(Inputs!$B$39="pvp",15,MAX(0.1,Skills!D13-IF(Skills!E13=TRUE,Inputs!$B$32,0))))))/Skills!H13,1)))/Inputs!$B$44),G983*Q983))*IF(Inputs!$B$39="pvp",1,1+(Inputs!$B$20+0+Skills!P13+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983*(1-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983*(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983*(1-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983*(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3">
        <f>IF(C983,(H983*N983*IF(AND(Inputs!$B$39&lt;&gt;"pvp",Inputs!$B$44&gt;0),((Skills!G13*((R983-1)*IF(Skills!H13&gt;0,Skills!I13/Skills!H13,1)+IF(Skills!H13&gt;0,MIN(Skills!I13,MAX(0,MAX(0,Inputs!$B$44-B1014)-((R983-1)*IF(Inputs!$B$39="pvp",15,MAX(0.1,Skills!D13-IF(Skills!E13=TRUE,Inputs!$B$32,0))))))/Skills!H13,1)))/Inputs!$B$44),G983*Q983))*IF(Inputs!$B$39="pvp",1,(1+(Inputs!$B$21+Skills!Q13+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4">
      <c r="A984">
        <f>Skills!A14</f>
        <v/>
      </c>
      <c r="B984">
        <f>Skills!B14</f>
        <v/>
      </c>
      <c r="C984">
        <f>Inputs!$B$3&gt;=107</f>
        <v/>
      </c>
      <c r="D984">
        <f>IF(Skills!C14=1,60+Inputs!$B$25+Inputs!$B$29,IF(Skills!C14=2,90+Inputs!$B$26+Inputs!$B$29,IF(Skills!C14=3,120+(Inputs!$B$27+1)+Inputs!$B$29,MAX(0,(Inputs!$B$3-100)*3)+Inputs!$B$28+Inputs!$B$29)))</f>
        <v/>
      </c>
      <c r="E984">
        <f>INDEX(FactorTable!$B$2:$Y$301, MATCH(ROUND(MIN(300,MAX(1,D984)),0), FactorTable!$A$2:$A$301,0), Skills!M14+1)</f>
        <v/>
      </c>
      <c r="F984">
        <f>IF(Skills!N14=TRUE,(Skills!L14/10)*(E984/1000),Skills!L14/10)+Skills!O14</f>
        <v/>
      </c>
      <c r="G984">
        <f>Skills!G14*IF(Skills!H14&gt;0,Skills!I14/Skills!H14,1)</f>
        <v/>
      </c>
      <c r="H984">
        <f>1-(1-Skills!J14/100)^Skills!K14</f>
        <v/>
      </c>
      <c r="I984" t="inlineStr">
        <is>
          <t>1</t>
        </is>
      </c>
      <c r="J984">
        <f>((Inputs!$B$6*(1+Inputs!$B$7/100))+(((Inputs!$B$12*(1+Inputs!$B$13/100))-(Inputs!$B$12*(1+Inputs!$B$13/100)))+0.25*(Inputs!$B$14-Inputs!$B$14))*(1+Inputs!$B$7/100))*(F984/100)</f>
        <v/>
      </c>
      <c r="K984">
        <f>J984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984)</f>
        <v/>
      </c>
      <c r="L984">
        <f>K984*(MIN(Inputs!$B$22+((C994=TRUE)*(F994-Calc!F24)),(Inputs!$B$23+((C999=TRUE)*(F999-Calc!F29))+IF(ArtifactsInput!$M$15,CHOOSE(ArtifactsInput!$N$15+1,25,30,35,40,45,50)/100*(Inputs!$B$11-Inputs!$B$11),0)))/100+(Inputs!$B$23+((C999=TRUE)*(F999-Calc!F29))+IF(ArtifactsInput!$M$15,CHOOSE(ArtifactsInput!$N$15+1,25,30,35,40,45,50)/100*(Inputs!$B$11-Inputs!$B$11),0))/100)/2</f>
        <v/>
      </c>
      <c r="M984">
        <f>L984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4">
        <f>L984*(1-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984*(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4">
        <f>(1-Summary!$B$11)*T984+Summary!$B$11*V984</f>
        <v/>
      </c>
      <c r="P984">
        <f>IF(B1015=0,0,O984/B1015)</f>
        <v/>
      </c>
      <c r="Q984">
        <f>IFERROR(1/IF(Inputs!$B$39="pvp",15,MAX(0.1,Skills!D14-IF(Skills!E14=TRUE,Inputs!$B$32,0))),0)</f>
        <v/>
      </c>
      <c r="R984">
        <f>IF(AND(Inputs!$B$39&lt;&gt;"pvp",Inputs!$B$44&gt;0),IF(MAX(0,Inputs!$B$44-B1014)&lt;=0,0,(INT(MAX(0,Inputs!$B$44-B1014)/IF(Inputs!$B$39="pvp",15,MAX(0.1,Skills!D14-IF(Skills!E14=TRUE,Inputs!$B$32,0))))+1)),0)</f>
        <v/>
      </c>
      <c r="S984">
        <f>IFERROR(O984/N984,0)</f>
        <v/>
      </c>
      <c r="T984">
        <f>IF(C984,(H984*N984*IF(AND(Inputs!$B$39&lt;&gt;"pvp",Inputs!$B$44&gt;0),((Skills!G14*((R984-1)*IF(Skills!H14&gt;0,Skills!I14/Skills!H14,1)+IF(Skills!H14&gt;0,MIN(Skills!I14,MAX(0,MAX(0,Inputs!$B$44-B1014)-((R984-1)*IF(Inputs!$B$39="pvp",15,MAX(0.1,Skills!D14-IF(Skills!E14=TRUE,Inputs!$B$32,0))))))/Skills!H14,1)))/Inputs!$B$44),G984*Q984))*IF(Inputs!$B$39="pvp",1,1+(Inputs!$B$20+0+Skills!P14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984*(1-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984*(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984*(1-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984*(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4">
        <f>IF(C984,(H984*N984*IF(AND(Inputs!$B$39&lt;&gt;"pvp",Inputs!$B$44&gt;0),((Skills!G14*((R984-1)*IF(Skills!H14&gt;0,Skills!I14/Skills!H14,1)+IF(Skills!H14&gt;0,MIN(Skills!I14,MAX(0,MAX(0,Inputs!$B$44-B1014)-((R984-1)*IF(Inputs!$B$39="pvp",15,MAX(0.1,Skills!D14-IF(Skills!E14=TRUE,Inputs!$B$32,0))))))/Skills!H14,1)))/Inputs!$B$44),G984*Q984))*IF(Inputs!$B$39="pvp",1,(1+(Inputs!$B$21+Skills!Q14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(5,0.25*B1007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5">
      <c r="A985">
        <f>Skills!A15</f>
        <v/>
      </c>
      <c r="B985">
        <f>Skills!B15</f>
        <v/>
      </c>
      <c r="C985">
        <f>Inputs!$B$3&gt;=110</f>
        <v/>
      </c>
      <c r="D985">
        <f>IF(Skills!C15=1,60+Inputs!$B$25+Inputs!$B$29,IF(Skills!C15=2,90+Inputs!$B$26+Inputs!$B$29,IF(Skills!C15=3,120+(Inputs!$B$27+1)+Inputs!$B$29,MAX(0,(Inputs!$B$3-100)*3)+Inputs!$B$28+Inputs!$B$29)))</f>
        <v/>
      </c>
      <c r="E985">
        <f>INDEX(FactorTable!$B$2:$Y$301, MATCH(ROUND(MIN(300,MAX(1,D985)),0), FactorTable!$A$2:$A$301,0), Skills!M15+1)</f>
        <v/>
      </c>
      <c r="F985">
        <f>IF(Skills!N15=TRUE,(Skills!L15/10)*(E985/1000),Skills!L15/10)+Skills!O15</f>
        <v/>
      </c>
      <c r="G985">
        <f>Skills!G15*IF(Skills!H15&gt;0,Skills!I15/Skills!H15,1)</f>
        <v/>
      </c>
      <c r="H985">
        <f>1-(1-Skills!J15/100)^Skills!K15</f>
        <v/>
      </c>
      <c r="I985" t="inlineStr">
        <is>
          <t>1</t>
        </is>
      </c>
      <c r="J985" t="inlineStr"/>
      <c r="K985" t="inlineStr"/>
      <c r="L985" t="inlineStr"/>
      <c r="M985" t="inlineStr"/>
      <c r="N985" t="inlineStr"/>
      <c r="O985">
        <f>(1-Summary!$B$11)*T985+Summary!$B$11*V985</f>
        <v/>
      </c>
      <c r="P985">
        <f>IF(B1015=0,0,O985/B1015)</f>
        <v/>
      </c>
      <c r="Q985">
        <f>IFERROR(1/IF(Inputs!$B$39="pvp",15,MAX(0.1,Skills!D15-IF(Skills!E15=TRUE,Inputs!$B$32,0))),0)</f>
        <v/>
      </c>
      <c r="R985">
        <f>IF(AND(Inputs!$B$39&lt;&gt;"pvp",Inputs!$B$44&gt;0),IF(Inputs!$B$44&lt;=0,0,(INT(Inputs!$B$44/IF(Inputs!$B$39="pvp",15,MAX(0.1,Skills!D15-IF(Skills!E15=TRUE,Inputs!$B$32,0))))+1)),0)</f>
        <v/>
      </c>
      <c r="S985">
        <f>IFERROR(O985/N985,0)</f>
        <v/>
      </c>
      <c r="T985" t="n">
        <v>0</v>
      </c>
      <c r="V985" t="n">
        <v>0</v>
      </c>
    </row>
    <row r="986">
      <c r="A986">
        <f>Skills!A16</f>
        <v/>
      </c>
      <c r="B986">
        <f>Skills!B16</f>
        <v/>
      </c>
      <c r="C986">
        <f>Inputs!$B$3&gt;=115</f>
        <v/>
      </c>
      <c r="D986">
        <f>IF(Skills!C16=1,60+Inputs!$B$25+Inputs!$B$29,IF(Skills!C16=2,90+Inputs!$B$26+Inputs!$B$29,IF(Skills!C16=3,120+(Inputs!$B$27+1)+Inputs!$B$29,MAX(0,(Inputs!$B$3-100)*3)+Inputs!$B$28+Inputs!$B$29)))</f>
        <v/>
      </c>
      <c r="E986">
        <f>INDEX(FactorTable!$B$2:$Y$301, MATCH(ROUND(MIN(300,MAX(1,D986)),0), FactorTable!$A$2:$A$301,0), Skills!M16+1)</f>
        <v/>
      </c>
      <c r="F986">
        <f>IF(Skills!N16=TRUE,(Skills!L16/10)*(E986/1000),Skills!L16/10)+Skills!O16</f>
        <v/>
      </c>
      <c r="G986">
        <f>Skills!G16*IF(Skills!H16&gt;0,Skills!I16/Skills!H16,1)</f>
        <v/>
      </c>
      <c r="H986">
        <f>1-(1-Skills!J16/100)^Skills!K16</f>
        <v/>
      </c>
      <c r="I986" t="inlineStr">
        <is>
          <t>1</t>
        </is>
      </c>
      <c r="J986">
        <f>((Inputs!$B$6*(1+Inputs!$B$7/100))+(((Inputs!$B$12*(1+Inputs!$B$13/100))-(Inputs!$B$12*(1+Inputs!$B$13/100)))+0.25*(Inputs!$B$14-Inputs!$B$14))*(1+Inputs!$B$7/100))*(F986/100)</f>
        <v/>
      </c>
      <c r="K986">
        <f>J986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997=TRUE)*(F997-Calc!F27))+((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986)</f>
        <v/>
      </c>
      <c r="L986">
        <f>K986*(MIN(Inputs!$B$22+((C994=TRUE)*(F994-Calc!F24)),(Inputs!$B$23+((C999=TRUE)*(F999-Calc!F29))+IF(ArtifactsInput!$M$15,CHOOSE(ArtifactsInput!$N$15+1,25,30,35,40,45,50)/100*(Inputs!$B$11-Inputs!$B$11),0)))/100+(Inputs!$B$23+((C999=TRUE)*(F999-Calc!F29))+IF(ArtifactsInput!$M$15,CHOOSE(ArtifactsInput!$N$15+1,25,30,35,40,45,50)/100*(Inputs!$B$11-Inputs!$B$11),0))/100)/2</f>
        <v/>
      </c>
      <c r="M986">
        <f>L986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6">
        <f>L986*(1-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986*(MIN((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6">
        <f>(1-Summary!$B$11)*T986+Summary!$B$11*V986</f>
        <v/>
      </c>
      <c r="P986">
        <f>IF(B1015=0,0,O986/B1015)</f>
        <v/>
      </c>
      <c r="Q986" t="n">
        <v>0</v>
      </c>
      <c r="R986" t="n">
        <v>0</v>
      </c>
      <c r="S986">
        <f>IFERROR(O986/N986,0)</f>
        <v/>
      </c>
      <c r="T986">
        <f>IF(C986,(Inputs!$B$38*0.2*N986)*IF(Inputs!$B$39="pvp",1,1+(Inputs!$B$20+0+Skills!P16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986*(1-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986*(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986*(1-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986*(MIN(100,(Inputs!$B$9+((C995=TRUE)*(F995-Calc!F25))+B1003+(ArtifactsInput!$M$24-ArtifactsInput!$M$24)*CHOOSE(ArtifactsInput!$N$24+1,10,12,14,16,18,20)+(IF(AND(Inputs!$B$39&lt;&gt;"pvp",Inputs!$B$44=0),1,IF(IF(Inputs!$B$39="pvp",15,Inputs!$B$44)-(B1014)&lt;=0,1,MAX(0,IF(Inputs!$B$39="pvp",15,Inputs!$B$44)-MAX(5,B1014))/(IF(Inputs!$B$39="pvp",15,Inputs!$B$44)-(B1014))))*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6">
        <f>IF(C986,(Inputs!$B$38*0.2*N986)*IF(Inputs!$B$39="pvp",1,(1+(Inputs!$B$21+Skills!Q16+B1004+(IF(ArtifactsInput!$M$33,CHOOSE(ArtifactsInput!$N$33+1,30,36,42,48,54,60),0))+(IF(AND(ArtifactsInput!$M$35,Inputs!$B$4&lt;&gt;"Chapter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7">
      <c r="A987">
        <f>Skills!A17</f>
        <v/>
      </c>
      <c r="B987">
        <f>Skills!B17</f>
        <v/>
      </c>
      <c r="C987">
        <f>Inputs!$B$3&gt;=115</f>
        <v/>
      </c>
      <c r="D987">
        <f>IF(Skills!C17=1,60+Inputs!$B$25+Inputs!$B$29,IF(Skills!C17=2,90+Inputs!$B$26+Inputs!$B$29,IF(Skills!C17=3,120+(Inputs!$B$27+1)+Inputs!$B$29,MAX(0,(Inputs!$B$3-100)*3)+Inputs!$B$28+Inputs!$B$29)))</f>
        <v/>
      </c>
      <c r="E987">
        <f>INDEX(FactorTable!$B$2:$Y$301, MATCH(ROUND(MIN(300,MAX(1,D987)),0), FactorTable!$A$2:$A$301,0), Skills!M17+1)</f>
        <v/>
      </c>
      <c r="F987">
        <f>IF(Skills!N17=TRUE,(Skills!L17/10)*(E987/1000),Skills!L17/10)+Skills!O17</f>
        <v/>
      </c>
      <c r="G987">
        <f>Skills!G17*IF(Skills!H17&gt;0,Skills!I17/Skills!H17,1)</f>
        <v/>
      </c>
      <c r="H987">
        <f>1-(1-Skills!J17/100)^Skills!K17</f>
        <v/>
      </c>
      <c r="I987" t="inlineStr">
        <is>
          <t>1</t>
        </is>
      </c>
      <c r="J987" t="inlineStr"/>
      <c r="K987" t="inlineStr"/>
      <c r="L987" t="inlineStr"/>
      <c r="M987" t="inlineStr"/>
      <c r="N987" t="inlineStr"/>
      <c r="O987">
        <f>(1-Summary!$B$11)*T987+Summary!$B$11*V987</f>
        <v/>
      </c>
      <c r="P987">
        <f>IF(B1015=0,0,O987/B1015)</f>
        <v/>
      </c>
      <c r="Q987" t="n">
        <v>0</v>
      </c>
      <c r="R987" t="n">
        <v>0</v>
      </c>
      <c r="S987">
        <f>IFERROR(O987/N987,0)</f>
        <v/>
      </c>
      <c r="T987" t="n">
        <v>0</v>
      </c>
      <c r="V987" t="n">
        <v>0</v>
      </c>
    </row>
    <row r="988">
      <c r="A988">
        <f>Skills!A18</f>
        <v/>
      </c>
      <c r="B988">
        <f>Skills!B18</f>
        <v/>
      </c>
      <c r="C988">
        <f>Inputs!$B$3&gt;=100</f>
        <v/>
      </c>
      <c r="D988">
        <f>IF(Skills!C18=1,60+Inputs!$B$25+Inputs!$B$29,IF(Skills!C18=2,90+Inputs!$B$26+Inputs!$B$29,IF(Skills!C18=3,120+(Inputs!$B$27+1)+Inputs!$B$29,MAX(0,(Inputs!$B$3-100)*3)+Inputs!$B$28+Inputs!$B$29)))</f>
        <v/>
      </c>
      <c r="E988">
        <f>INDEX(FactorTable!$B$2:$Y$301, MATCH(ROUND(MIN(300,MAX(1,D988)),0), FactorTable!$A$2:$A$301,0), Skills!M18+1)</f>
        <v/>
      </c>
      <c r="F988">
        <f>IF(Skills!N18=TRUE,(Skills!L18/10)*(E988/1000),Skills!L18/10)+Skills!O18</f>
        <v/>
      </c>
      <c r="G988">
        <f>Skills!G18*IF(Skills!H18&gt;0,Skills!I18/Skills!H18,1)</f>
        <v/>
      </c>
      <c r="H988">
        <f>1-(1-Skills!J18/100)^Skills!K18</f>
        <v/>
      </c>
      <c r="I988" t="inlineStr">
        <is>
          <t>1</t>
        </is>
      </c>
      <c r="J988" t="inlineStr"/>
      <c r="K988" t="inlineStr"/>
      <c r="L988" t="inlineStr"/>
      <c r="M988" t="inlineStr"/>
      <c r="N988" t="inlineStr"/>
      <c r="O988">
        <f>(1-Summary!$B$11)*T988+Summary!$B$11*V988</f>
        <v/>
      </c>
      <c r="P988">
        <f>IF(B1015=0,0,O988/B1015)</f>
        <v/>
      </c>
      <c r="Q988" t="n">
        <v>0</v>
      </c>
      <c r="R988" t="n">
        <v>0</v>
      </c>
      <c r="S988">
        <f>IFERROR(O988/N988,0)</f>
        <v/>
      </c>
      <c r="T988" t="n">
        <v>0</v>
      </c>
      <c r="V988" t="n">
        <v>0</v>
      </c>
    </row>
    <row r="989">
      <c r="A989">
        <f>Skills!A19</f>
        <v/>
      </c>
      <c r="B989">
        <f>Skills!B19</f>
        <v/>
      </c>
      <c r="C989">
        <f>TRUE</f>
        <v/>
      </c>
      <c r="D989">
        <f>IF(Skills!C19=1,60+Inputs!$B$25+Inputs!$B$29,IF(Skills!C19=2,90+Inputs!$B$26+Inputs!$B$29,IF(Skills!C19=3,120+(Inputs!$B$27+1)+Inputs!$B$29,MAX(0,(Inputs!$B$3-100)*3)+Inputs!$B$28+Inputs!$B$29)))</f>
        <v/>
      </c>
      <c r="E989">
        <f>INDEX(FactorTable!$B$2:$Y$301, MATCH(ROUND(MIN(300,MAX(1,D989)),0), FactorTable!$A$2:$A$301,0), Skills!M19+1)</f>
        <v/>
      </c>
      <c r="F989">
        <f>IF(Skills!N19=TRUE,(Skills!L19/10)*(E989/1000),Skills!L19/10)+Skills!O19</f>
        <v/>
      </c>
      <c r="G989">
        <f>Skills!G19*IF(Skills!H19&gt;0,Skills!I19/Skills!H19,1)</f>
        <v/>
      </c>
      <c r="H989">
        <f>1-(1-Skills!J19/100)^Skills!K19</f>
        <v/>
      </c>
      <c r="I989" t="inlineStr">
        <is>
          <t>1</t>
        </is>
      </c>
      <c r="J989" t="inlineStr"/>
      <c r="K989" t="inlineStr"/>
      <c r="L989" t="inlineStr"/>
      <c r="M989" t="inlineStr"/>
      <c r="N989" t="inlineStr"/>
      <c r="O989">
        <f>(1-Summary!$B$11)*T989+Summary!$B$11*V989</f>
        <v/>
      </c>
      <c r="P989">
        <f>IF(B1015=0,0,O989/B1015)</f>
        <v/>
      </c>
      <c r="Q989">
        <f>IFERROR(1/IF(Inputs!$B$39="pvp",15,MAX(0.1,Skills!D19-IF(Skills!E19=TRUE,Inputs!$B$32,0))),0)</f>
        <v/>
      </c>
      <c r="R989">
        <f>IF(AND(Inputs!$B$39&lt;&gt;"pvp",Inputs!$B$44&gt;0),IF(Inputs!$B$44&lt;=0,0,(INT(Inputs!$B$44/IF(Inputs!$B$39="pvp",15,MAX(0.1,Skills!D19-IF(Skills!E19=TRUE,Inputs!$B$32,0))))+1)),0)</f>
        <v/>
      </c>
      <c r="S989">
        <f>IFERROR(O989/N989,0)</f>
        <v/>
      </c>
      <c r="T989" t="n">
        <v>0</v>
      </c>
      <c r="V989" t="n">
        <v>0</v>
      </c>
    </row>
    <row r="990">
      <c r="A990">
        <f>Skills!A20</f>
        <v/>
      </c>
      <c r="B990">
        <f>Skills!B20</f>
        <v/>
      </c>
      <c r="C990">
        <f>Inputs!$B$3&gt;=15</f>
        <v/>
      </c>
      <c r="D990">
        <f>IF(Skills!C20=1,60+Inputs!$B$25+Inputs!$B$29,IF(Skills!C20=2,90+Inputs!$B$26+Inputs!$B$29,IF(Skills!C20=3,120+(Inputs!$B$27+1)+Inputs!$B$29,MAX(0,(Inputs!$B$3-100)*3)+Inputs!$B$28+Inputs!$B$29)))</f>
        <v/>
      </c>
      <c r="E990">
        <f>INDEX(FactorTable!$B$2:$Y$301, MATCH(ROUND(MIN(300,MAX(1,D990)),0), FactorTable!$A$2:$A$301,0), Skills!M20+1)</f>
        <v/>
      </c>
      <c r="F990">
        <f>IF(Skills!N20=TRUE,(Skills!L20/10)*(E990/1000),Skills!L20/10)+Skills!O20</f>
        <v/>
      </c>
      <c r="G990">
        <f>Skills!G20*IF(Skills!H20&gt;0,Skills!I20/Skills!H20,1)</f>
        <v/>
      </c>
      <c r="H990">
        <f>1-(1-Skills!J20/100)^Skills!K20</f>
        <v/>
      </c>
      <c r="I990" t="inlineStr">
        <is>
          <t>1</t>
        </is>
      </c>
      <c r="J990" t="inlineStr"/>
      <c r="K990" t="inlineStr"/>
      <c r="L990" t="inlineStr"/>
      <c r="M990" t="inlineStr"/>
      <c r="N990" t="inlineStr"/>
      <c r="O990">
        <f>(1-Summary!$B$11)*T990+Summary!$B$11*V990</f>
        <v/>
      </c>
      <c r="P990">
        <f>IF(B1015=0,0,O990/B1015)</f>
        <v/>
      </c>
      <c r="Q990">
        <f>IFERROR(1/IF(Inputs!$B$39="pvp",15,MAX(0.1,Skills!D20-IF(Skills!E20=TRUE,Inputs!$B$32,0))),0)</f>
        <v/>
      </c>
      <c r="R990">
        <f>IF(AND(Inputs!$B$39&lt;&gt;"pvp",Inputs!$B$44&gt;0),IF(Inputs!$B$44&lt;=0,0,(INT(Inputs!$B$44/IF(Inputs!$B$39="pvp",15,MAX(0.1,Skills!D20-IF(Skills!E20=TRUE,Inputs!$B$32,0))))+1)),0)</f>
        <v/>
      </c>
      <c r="S990">
        <f>IFERROR(O990/N990,0)</f>
        <v/>
      </c>
      <c r="T990" t="n">
        <v>0</v>
      </c>
      <c r="V990" t="n">
        <v>0</v>
      </c>
    </row>
    <row r="991">
      <c r="A991">
        <f>Skills!A21</f>
        <v/>
      </c>
      <c r="B991">
        <f>Skills!B21</f>
        <v/>
      </c>
      <c r="C991">
        <f>Inputs!$B$3&gt;=15</f>
        <v/>
      </c>
      <c r="D991">
        <f>IF(Skills!C21=1,60+Inputs!$B$25+Inputs!$B$29,IF(Skills!C21=2,90+Inputs!$B$26+Inputs!$B$29,IF(Skills!C21=3,120+(Inputs!$B$27+1)+Inputs!$B$29,MAX(0,(Inputs!$B$3-100)*3)+Inputs!$B$28+Inputs!$B$29)))</f>
        <v/>
      </c>
      <c r="E991">
        <f>INDEX(FactorTable!$B$2:$Y$301, MATCH(ROUND(MIN(300,MAX(1,D991)),0), FactorTable!$A$2:$A$301,0), Skills!M21+1)</f>
        <v/>
      </c>
      <c r="F991">
        <f>IF(Skills!N21=TRUE,(Skills!L21/10)*(E991/1000),Skills!L21/10)+Skills!O21</f>
        <v/>
      </c>
      <c r="G991">
        <f>Skills!G21*IF(Skills!H21&gt;0,Skills!I21/Skills!H21,1)</f>
        <v/>
      </c>
      <c r="H991">
        <f>1-(1-Skills!J21/100)^Skills!K21</f>
        <v/>
      </c>
      <c r="I991" t="inlineStr">
        <is>
          <t>1</t>
        </is>
      </c>
      <c r="J991" t="inlineStr"/>
      <c r="K991" t="inlineStr"/>
      <c r="L991" t="inlineStr"/>
      <c r="M991" t="inlineStr"/>
      <c r="N991" t="inlineStr"/>
      <c r="O991">
        <f>(1-Summary!$B$11)*T991+Summary!$B$11*V991</f>
        <v/>
      </c>
      <c r="P991">
        <f>IF(B1015=0,0,O991/B1015)</f>
        <v/>
      </c>
      <c r="Q991">
        <f>IFERROR(1/IF(Inputs!$B$39="pvp",15,MAX(0.1,Skills!D21-IF(Skills!E21=TRUE,Inputs!$B$32,0))),0)</f>
        <v/>
      </c>
      <c r="R991">
        <f>IF(AND(Inputs!$B$39&lt;&gt;"pvp",Inputs!$B$44&gt;0),IF(Inputs!$B$44&lt;=0,0,(INT(Inputs!$B$44/IF(Inputs!$B$39="pvp",15,MAX(0.1,Skills!D21-IF(Skills!E21=TRUE,Inputs!$B$32,0))))+1)),0)</f>
        <v/>
      </c>
      <c r="S991">
        <f>IFERROR(O991/N991,0)</f>
        <v/>
      </c>
      <c r="T991" t="n">
        <v>0</v>
      </c>
      <c r="V991" t="n">
        <v>0</v>
      </c>
    </row>
    <row r="992">
      <c r="A992">
        <f>Skills!A22</f>
        <v/>
      </c>
      <c r="B992">
        <f>Skills!B22</f>
        <v/>
      </c>
      <c r="C992">
        <f>Inputs!$B$3&gt;=33</f>
        <v/>
      </c>
      <c r="D992">
        <f>IF(Skills!C22=1,60+Inputs!$B$25+Inputs!$B$29,IF(Skills!C22=2,90+Inputs!$B$26+Inputs!$B$29,IF(Skills!C22=3,120+(Inputs!$B$27+1)+Inputs!$B$29,MAX(0,(Inputs!$B$3-100)*3)+Inputs!$B$28+Inputs!$B$29)))</f>
        <v/>
      </c>
      <c r="E992">
        <f>INDEX(FactorTable!$B$2:$Y$301, MATCH(ROUND(MIN(300,MAX(1,D992)),0), FactorTable!$A$2:$A$301,0), Skills!M22+1)</f>
        <v/>
      </c>
      <c r="F992">
        <f>IF(Skills!N22=TRUE,(Skills!L22/10)*(E992/1000),Skills!L22/10)+Skills!O22</f>
        <v/>
      </c>
      <c r="G992">
        <f>Skills!G22*IF(Skills!H22&gt;0,Skills!I22/Skills!H22,1)</f>
        <v/>
      </c>
      <c r="H992">
        <f>1-(1-Skills!J22/100)^Skills!K22</f>
        <v/>
      </c>
      <c r="I992" t="inlineStr">
        <is>
          <t>1</t>
        </is>
      </c>
      <c r="J992" t="inlineStr"/>
      <c r="K992" t="inlineStr"/>
      <c r="L992" t="inlineStr"/>
      <c r="M992" t="inlineStr"/>
      <c r="N992" t="inlineStr"/>
      <c r="O992">
        <f>(1-Summary!$B$11)*T992+Summary!$B$11*V992</f>
        <v/>
      </c>
      <c r="P992">
        <f>IF(B1015=0,0,O992/B1015)</f>
        <v/>
      </c>
      <c r="Q992" t="n">
        <v>0</v>
      </c>
      <c r="R992" t="n">
        <v>0</v>
      </c>
      <c r="S992">
        <f>IFERROR(O992/N992,0)</f>
        <v/>
      </c>
      <c r="T992" t="n">
        <v>0</v>
      </c>
      <c r="V992" t="n">
        <v>0</v>
      </c>
    </row>
    <row r="993">
      <c r="A993">
        <f>Skills!A23</f>
        <v/>
      </c>
      <c r="B993">
        <f>Skills!B23</f>
        <v/>
      </c>
      <c r="C993">
        <f>Inputs!$B$3&gt;=40</f>
        <v/>
      </c>
      <c r="D993">
        <f>IF(Skills!C23=1,60+Inputs!$B$25+Inputs!$B$29,IF(Skills!C23=2,90+Inputs!$B$26+Inputs!$B$29,IF(Skills!C23=3,120+(Inputs!$B$27+1)+Inputs!$B$29,MAX(0,(Inputs!$B$3-100)*3)+Inputs!$B$28+Inputs!$B$29)))</f>
        <v/>
      </c>
      <c r="E993">
        <f>INDEX(FactorTable!$B$2:$Y$301, MATCH(ROUND(MIN(300,MAX(1,D993)),0), FactorTable!$A$2:$A$301,0), Skills!M23+1)</f>
        <v/>
      </c>
      <c r="F993">
        <f>IF(Skills!N23=TRUE,(Skills!L23/10)*(E993/1000),Skills!L23/10)+Skills!O23</f>
        <v/>
      </c>
      <c r="G993">
        <f>Skills!G23*IF(Skills!H23&gt;0,Skills!I23/Skills!H23,1)</f>
        <v/>
      </c>
      <c r="H993">
        <f>1-(1-Skills!J23/100)^Skills!K23</f>
        <v/>
      </c>
      <c r="I993" t="inlineStr">
        <is>
          <t>1</t>
        </is>
      </c>
      <c r="J993" t="inlineStr"/>
      <c r="K993" t="inlineStr"/>
      <c r="L993" t="inlineStr"/>
      <c r="M993" t="inlineStr"/>
      <c r="N993" t="inlineStr"/>
      <c r="O993">
        <f>(1-Summary!$B$11)*T993+Summary!$B$11*V993</f>
        <v/>
      </c>
      <c r="P993">
        <f>IF(B1015=0,0,O993/B1015)</f>
        <v/>
      </c>
      <c r="Q993" t="n">
        <v>0</v>
      </c>
      <c r="R993" t="n">
        <v>0</v>
      </c>
      <c r="S993">
        <f>IFERROR(O993/N993,0)</f>
        <v/>
      </c>
      <c r="T993" t="n">
        <v>0</v>
      </c>
      <c r="V993" t="n">
        <v>0</v>
      </c>
    </row>
    <row r="994">
      <c r="A994">
        <f>Skills!A24</f>
        <v/>
      </c>
      <c r="B994">
        <f>Skills!B24</f>
        <v/>
      </c>
      <c r="C994">
        <f>Inputs!$B$3&gt;=43</f>
        <v/>
      </c>
      <c r="D994">
        <f>IF(Skills!C24=1,60+Inputs!$B$25+Inputs!$B$29,IF(Skills!C24=2,90+Inputs!$B$26+Inputs!$B$29,IF(Skills!C24=3,120+(Inputs!$B$27+1)+Inputs!$B$29,MAX(0,(Inputs!$B$3-100)*3)+Inputs!$B$28+Inputs!$B$29)))</f>
        <v/>
      </c>
      <c r="E994">
        <f>INDEX(FactorTable!$B$2:$Y$301, MATCH(ROUND(MIN(300,MAX(1,D994)),0), FactorTable!$A$2:$A$301,0), Skills!M24+1)</f>
        <v/>
      </c>
      <c r="F994">
        <f>IF(Skills!N24=TRUE,(Skills!L24/10)*(E994/1000),Skills!L24/10)+Skills!O24</f>
        <v/>
      </c>
      <c r="G994">
        <f>Skills!G24*IF(Skills!H24&gt;0,Skills!I24/Skills!H24,1)</f>
        <v/>
      </c>
      <c r="H994">
        <f>1-(1-Skills!J24/100)^Skills!K24</f>
        <v/>
      </c>
      <c r="I994" t="inlineStr">
        <is>
          <t>1</t>
        </is>
      </c>
      <c r="J994" t="inlineStr"/>
      <c r="K994" t="inlineStr"/>
      <c r="L994" t="inlineStr"/>
      <c r="M994" t="inlineStr"/>
      <c r="N994" t="inlineStr"/>
      <c r="O994">
        <f>(1-Summary!$B$11)*T994+Summary!$B$11*V994</f>
        <v/>
      </c>
      <c r="P994">
        <f>IF(B1015=0,0,O994/B1015)</f>
        <v/>
      </c>
      <c r="Q994" t="n">
        <v>0</v>
      </c>
      <c r="R994" t="n">
        <v>0</v>
      </c>
      <c r="S994">
        <f>IFERROR(O994/N994,0)</f>
        <v/>
      </c>
      <c r="T994" t="n">
        <v>0</v>
      </c>
      <c r="V994" t="n">
        <v>0</v>
      </c>
    </row>
    <row r="995">
      <c r="A995">
        <f>Skills!A25</f>
        <v/>
      </c>
      <c r="B995">
        <f>Skills!B25</f>
        <v/>
      </c>
      <c r="C995">
        <f>Inputs!$B$3&gt;=50</f>
        <v/>
      </c>
      <c r="D995">
        <f>IF(Skills!C25=1,60+Inputs!$B$25+Inputs!$B$29,IF(Skills!C25=2,90+Inputs!$B$26+Inputs!$B$29,IF(Skills!C25=3,120+(Inputs!$B$27+1)+Inputs!$B$29,MAX(0,(Inputs!$B$3-100)*3)+Inputs!$B$28+Inputs!$B$29)))</f>
        <v/>
      </c>
      <c r="E995">
        <f>INDEX(FactorTable!$B$2:$Y$301, MATCH(ROUND(MIN(300,MAX(1,D995)),0), FactorTable!$A$2:$A$301,0), Skills!M25+1)</f>
        <v/>
      </c>
      <c r="F995">
        <f>IF(Skills!N25=TRUE,(Skills!L25/10)*(E995/1000),Skills!L25/10)+Skills!O25</f>
        <v/>
      </c>
      <c r="G995">
        <f>Skills!G25*IF(Skills!H25&gt;0,Skills!I25/Skills!H25,1)</f>
        <v/>
      </c>
      <c r="H995">
        <f>1-(1-Skills!J25/100)^Skills!K25</f>
        <v/>
      </c>
      <c r="I995" t="inlineStr">
        <is>
          <t>1</t>
        </is>
      </c>
      <c r="J995" t="inlineStr"/>
      <c r="K995" t="inlineStr"/>
      <c r="L995" t="inlineStr"/>
      <c r="M995" t="inlineStr"/>
      <c r="N995" t="inlineStr"/>
      <c r="O995">
        <f>(1-Summary!$B$11)*T995+Summary!$B$11*V995</f>
        <v/>
      </c>
      <c r="P995">
        <f>IF(B1015=0,0,O995/B1015)</f>
        <v/>
      </c>
      <c r="Q995" t="n">
        <v>0</v>
      </c>
      <c r="R995" t="n">
        <v>0</v>
      </c>
      <c r="S995">
        <f>IFERROR(O995/N995,0)</f>
        <v/>
      </c>
      <c r="T995" t="n">
        <v>0</v>
      </c>
      <c r="V995" t="n">
        <v>0</v>
      </c>
    </row>
    <row r="996">
      <c r="A996">
        <f>Skills!A26</f>
        <v/>
      </c>
      <c r="B996">
        <f>Skills!B26</f>
        <v/>
      </c>
      <c r="C996">
        <f>Inputs!$B$3&gt;=50</f>
        <v/>
      </c>
      <c r="D996">
        <f>IF(Skills!C26=1,60+Inputs!$B$25+Inputs!$B$29,IF(Skills!C26=2,90+Inputs!$B$26+Inputs!$B$29,IF(Skills!C26=3,120+(Inputs!$B$27+1)+Inputs!$B$29,MAX(0,(Inputs!$B$3-100)*3)+Inputs!$B$28+Inputs!$B$29)))</f>
        <v/>
      </c>
      <c r="E996">
        <f>INDEX(FactorTable!$B$2:$Y$301, MATCH(ROUND(MIN(300,MAX(1,D996)),0), FactorTable!$A$2:$A$301,0), Skills!M26+1)</f>
        <v/>
      </c>
      <c r="F996">
        <f>IF(Skills!N26=TRUE,(Skills!L26/10)*(E996/1000),Skills!L26/10)+Skills!O26</f>
        <v/>
      </c>
      <c r="G996">
        <f>Skills!G26*IF(Skills!H26&gt;0,Skills!I26/Skills!H26,1)</f>
        <v/>
      </c>
      <c r="H996">
        <f>1-(1-Skills!J26/100)^Skills!K26</f>
        <v/>
      </c>
      <c r="I996" t="inlineStr">
        <is>
          <t>1</t>
        </is>
      </c>
      <c r="J996" t="inlineStr"/>
      <c r="K996" t="inlineStr"/>
      <c r="L996" t="inlineStr"/>
      <c r="M996" t="inlineStr"/>
      <c r="N996" t="inlineStr"/>
      <c r="O996">
        <f>(1-Summary!$B$11)*T996+Summary!$B$11*V996</f>
        <v/>
      </c>
      <c r="P996">
        <f>IF(B1015=0,0,O996/B1015)</f>
        <v/>
      </c>
      <c r="Q996" t="n">
        <v>0</v>
      </c>
      <c r="R996" t="n">
        <v>0</v>
      </c>
      <c r="S996">
        <f>IFERROR(O996/N996,0)</f>
        <v/>
      </c>
      <c r="T996" t="n">
        <v>0</v>
      </c>
      <c r="V996" t="n">
        <v>0</v>
      </c>
    </row>
    <row r="997">
      <c r="A997">
        <f>Skills!A27</f>
        <v/>
      </c>
      <c r="B997">
        <f>Skills!B27</f>
        <v/>
      </c>
      <c r="C997">
        <f>Inputs!$B$3&gt;=38</f>
        <v/>
      </c>
      <c r="D997">
        <f>IF(Skills!C27=1,60+Inputs!$B$25+Inputs!$B$29,IF(Skills!C27=2,90+Inputs!$B$26+Inputs!$B$29,IF(Skills!C27=3,120+(Inputs!$B$27+1)+Inputs!$B$29,MAX(0,(Inputs!$B$3-100)*3)+Inputs!$B$28+Inputs!$B$29)))</f>
        <v/>
      </c>
      <c r="E997">
        <f>INDEX(FactorTable!$B$2:$Y$301, MATCH(ROUND(MIN(300,MAX(1,D997)),0), FactorTable!$A$2:$A$301,0), Skills!M27+1)</f>
        <v/>
      </c>
      <c r="F997">
        <f>IF(Skills!N27=TRUE,(Skills!L27/10)*(E997/1000),Skills!L27/10)+Skills!O27</f>
        <v/>
      </c>
      <c r="G997">
        <f>Skills!G27*IF(Skills!H27&gt;0,Skills!I27/Skills!H27,1)</f>
        <v/>
      </c>
      <c r="H997">
        <f>1-(1-Skills!J27/100)^Skills!K27</f>
        <v/>
      </c>
      <c r="I997" t="inlineStr">
        <is>
          <t>1</t>
        </is>
      </c>
      <c r="J997" t="inlineStr"/>
      <c r="K997" t="inlineStr"/>
      <c r="L997" t="inlineStr"/>
      <c r="M997" t="inlineStr"/>
      <c r="N997" t="inlineStr"/>
      <c r="O997">
        <f>(1-Summary!$B$11)*T997+Summary!$B$11*V997</f>
        <v/>
      </c>
      <c r="P997">
        <f>IF(B1015=0,0,O997/B1015)</f>
        <v/>
      </c>
      <c r="Q997" t="n">
        <v>0</v>
      </c>
      <c r="R997" t="n">
        <v>0</v>
      </c>
      <c r="S997">
        <f>IFERROR(O997/N997,0)</f>
        <v/>
      </c>
      <c r="T997" t="n">
        <v>0</v>
      </c>
      <c r="V997" t="n">
        <v>0</v>
      </c>
    </row>
    <row r="998">
      <c r="A998">
        <f>Skills!A28</f>
        <v/>
      </c>
      <c r="B998">
        <f>Skills!B28</f>
        <v/>
      </c>
      <c r="C998">
        <f>Inputs!$B$3&gt;=120</f>
        <v/>
      </c>
      <c r="D998">
        <f>IF(Skills!C28=1,60+Inputs!$B$25+Inputs!$B$29,IF(Skills!C28=2,90+Inputs!$B$26+Inputs!$B$29,IF(Skills!C28=3,120+(Inputs!$B$27+1)+Inputs!$B$29,MAX(0,(Inputs!$B$3-100)*3)+Inputs!$B$28+Inputs!$B$29)))</f>
        <v/>
      </c>
      <c r="E998">
        <f>INDEX(FactorTable!$B$2:$Y$301, MATCH(ROUND(MIN(300,MAX(1,D998)),0), FactorTable!$A$2:$A$301,0), Skills!M28+1)</f>
        <v/>
      </c>
      <c r="F998">
        <f>IF(Skills!N28=TRUE,(Skills!L28/10)*(E998/1000),Skills!L28/10)+Skills!O28</f>
        <v/>
      </c>
      <c r="G998">
        <f>Skills!G28*IF(Skills!H28&gt;0,Skills!I28/Skills!H28,1)</f>
        <v/>
      </c>
      <c r="H998">
        <f>1-(1-Skills!J28/100)^Skills!K28</f>
        <v/>
      </c>
      <c r="I998" t="inlineStr">
        <is>
          <t>1</t>
        </is>
      </c>
      <c r="J998" t="inlineStr"/>
      <c r="K998" t="inlineStr"/>
      <c r="L998" t="inlineStr"/>
      <c r="M998" t="inlineStr"/>
      <c r="N998" t="inlineStr"/>
      <c r="O998">
        <f>(1-Summary!$B$11)*T998+Summary!$B$11*V998</f>
        <v/>
      </c>
      <c r="P998">
        <f>IF(B1015=0,0,O998/B1015)</f>
        <v/>
      </c>
      <c r="Q998" t="n">
        <v>0</v>
      </c>
      <c r="R998" t="n">
        <v>0</v>
      </c>
      <c r="S998">
        <f>IFERROR(O998/N998,0)</f>
        <v/>
      </c>
      <c r="T998" t="n">
        <v>0</v>
      </c>
      <c r="V998" t="n">
        <v>0</v>
      </c>
    </row>
    <row r="999">
      <c r="A999">
        <f>Skills!A29</f>
        <v/>
      </c>
      <c r="B999">
        <f>Skills!B29</f>
        <v/>
      </c>
      <c r="C999">
        <f>Inputs!$B$3&gt;=120</f>
        <v/>
      </c>
      <c r="D999">
        <f>IF(Skills!C29=1,60+Inputs!$B$25+Inputs!$B$29,IF(Skills!C29=2,90+Inputs!$B$26+Inputs!$B$29,IF(Skills!C29=3,120+(Inputs!$B$27+1)+Inputs!$B$29,MAX(0,(Inputs!$B$3-100)*3)+Inputs!$B$28+Inputs!$B$29)))</f>
        <v/>
      </c>
      <c r="E999">
        <f>INDEX(FactorTable!$B$2:$Y$301, MATCH(ROUND(MIN(300,MAX(1,D999)),0), FactorTable!$A$2:$A$301,0), Skills!M29+1)</f>
        <v/>
      </c>
      <c r="F999">
        <f>IF(Skills!N29=TRUE,(Skills!L29/10)*(E999/1000),Skills!L29/10)+Skills!O29</f>
        <v/>
      </c>
      <c r="G999">
        <f>Skills!G29*IF(Skills!H29&gt;0,Skills!I29/Skills!H29,1)</f>
        <v/>
      </c>
      <c r="H999">
        <f>1-(1-Skills!J29/100)^Skills!K29</f>
        <v/>
      </c>
      <c r="I999" t="inlineStr">
        <is>
          <t>1</t>
        </is>
      </c>
      <c r="J999" t="inlineStr"/>
      <c r="K999" t="inlineStr"/>
      <c r="L999" t="inlineStr"/>
      <c r="M999" t="inlineStr"/>
      <c r="N999" t="inlineStr"/>
      <c r="O999">
        <f>(1-Summary!$B$11)*T999+Summary!$B$11*V999</f>
        <v/>
      </c>
      <c r="P999">
        <f>IF(B1015=0,0,O999/B1015)</f>
        <v/>
      </c>
      <c r="Q999" t="n">
        <v>0</v>
      </c>
      <c r="R999" t="n">
        <v>0</v>
      </c>
      <c r="S999">
        <f>IFERROR(O999/N999,0)</f>
        <v/>
      </c>
      <c r="T999" t="n">
        <v>0</v>
      </c>
      <c r="V999" t="n">
        <v>0</v>
      </c>
    </row>
    <row r="1000">
      <c r="A1000">
        <f>Skills!A30</f>
        <v/>
      </c>
      <c r="B1000">
        <f>Skills!B30</f>
        <v/>
      </c>
      <c r="C1000">
        <f>Inputs!$B$3&gt;=125</f>
        <v/>
      </c>
      <c r="D1000">
        <f>IF(Skills!C30=1,60+Inputs!$B$25+Inputs!$B$29,IF(Skills!C30=2,90+Inputs!$B$26+Inputs!$B$29,IF(Skills!C30=3,120+(Inputs!$B$27+1)+Inputs!$B$29,MAX(0,(Inputs!$B$3-100)*3)+Inputs!$B$28+Inputs!$B$29)))</f>
        <v/>
      </c>
      <c r="E1000">
        <f>INDEX(FactorTable!$B$2:$Y$301, MATCH(ROUND(MIN(300,MAX(1,D1000)),0), FactorTable!$A$2:$A$301,0), Skills!M30+1)</f>
        <v/>
      </c>
      <c r="F1000">
        <f>IF(Skills!N30=TRUE,(Skills!L30/10)*(E1000/1000),Skills!L30/10)+Skills!O30</f>
        <v/>
      </c>
      <c r="G1000">
        <f>Skills!G30*IF(Skills!H30&gt;0,Skills!I30/Skills!H30,1)</f>
        <v/>
      </c>
      <c r="H1000">
        <f>1-(1-Skills!J30/100)^Skills!K30</f>
        <v/>
      </c>
      <c r="I1000" t="inlineStr">
        <is>
          <t>1</t>
        </is>
      </c>
      <c r="J1000" t="inlineStr"/>
      <c r="K1000" t="inlineStr"/>
      <c r="L1000" t="inlineStr"/>
      <c r="M1000" t="inlineStr"/>
      <c r="N1000" t="inlineStr"/>
      <c r="O1000">
        <f>(1-Summary!$B$11)*T1000+Summary!$B$11*V1000</f>
        <v/>
      </c>
      <c r="P1000">
        <f>IF(B1015=0,0,O1000/B1015)</f>
        <v/>
      </c>
      <c r="Q1000" t="n">
        <v>0</v>
      </c>
      <c r="R1000" t="n">
        <v>0</v>
      </c>
      <c r="S1000">
        <f>IFERROR(O1000/N1000,0)</f>
        <v/>
      </c>
      <c r="T1000" t="n">
        <v>0</v>
      </c>
      <c r="V1000" t="n">
        <v>0</v>
      </c>
    </row>
    <row r="1002">
      <c r="A1002" t="inlineStr">
        <is>
          <t>Average Buff Multiplier</t>
        </is>
      </c>
      <c r="B1002">
        <f>(1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f>
        <v/>
      </c>
    </row>
    <row r="1003">
      <c r="A1003" t="inlineStr">
        <is>
          <t>Global Crit Rate Bonus %</t>
        </is>
      </c>
      <c r="B1003">
        <f>((C990=TRUE)*F990*IF(AND(Inputs!$B$39&lt;&gt;"pvp",Inputs!$B$44&gt;0),(((R990-1)*(Skills!Y20*(1+Inputs!$B$34/100))+MIN((Skills!Y20*(1+Inputs!$B$34/100)),MAX(0,Inputs!$B$44-((R990-1)*Skills!D20))))/Inputs!$B$44),IF(Inputs!$B$39="pvp",MIN((Skills!Y20*(1+Inputs!$B$34/100)),15)/15,(Skills!Y20*(1+Inputs!$B$34/100))/Skills!D20)))</f>
        <v/>
      </c>
    </row>
    <row r="1004">
      <c r="A1004" t="inlineStr">
        <is>
          <t>Global Monster Damage-Taken Bonus %</t>
        </is>
      </c>
      <c r="B1004">
        <f>IF(Inputs!$B$3&gt;=82,15,0)</f>
        <v/>
      </c>
    </row>
    <row r="1005">
      <c r="A1005" t="inlineStr">
        <is>
          <t>Shadow Partner Average Multiplier</t>
        </is>
      </c>
      <c r="B1005">
        <f>1+((C977=TRUE)*F977*(1+3.3333333333333335*IF(C988=TRUE,F988,0)/100)*I977*Skills!J7/100)/100</f>
        <v/>
      </c>
    </row>
    <row r="1006">
      <c r="A1006" t="inlineStr">
        <is>
          <t>Attack Speed Buff Bonus %</t>
        </is>
      </c>
      <c r="B1006">
        <f>((C989=TRUE)*F989*IF(AND(Inputs!$B$39&lt;&gt;"pvp",Inputs!$B$44&gt;0),(((R989-1)*(Skills!Y19*(1+Inputs!$B$34/100))+MIN((Skills!Y19*(1+Inputs!$B$34/100)),MAX(0,Inputs!$B$44-((R989-1)*Skills!D19))))/Inputs!$B$44),IF(Inputs!$B$39="pvp",MIN((Skills!Y19*(1+Inputs!$B$34/100)),15)/15,(Skills!Y19*(1+Inputs!$B$34/100))/Skills!D19)))+((C973=TRUE)*F973*3)</f>
        <v/>
      </c>
    </row>
    <row r="1007">
      <c r="A1007" t="inlineStr">
        <is>
          <t>Actions Per Second</t>
        </is>
      </c>
      <c r="B1007">
        <f>1+MIN(150,150*(1-(1-(Inputs!$B$11+((C992=TRUE)*(F992-Calc!F22)))/150)*(1-B1006/150)))/100</f>
        <v/>
      </c>
    </row>
    <row r="1008">
      <c r="A1008" t="inlineStr">
        <is>
          <t>Skill + Buff Cast Rate</t>
        </is>
      </c>
      <c r="B1008">
        <f>IF(AND(Inputs!$B$39&lt;&gt;"pvp",Inputs!$B$44&gt;0),SUMPRODUCT((Skills!E2:E30=TRUE)*(C972:C1000=TRUE)*R972:R1000*Skills!F2:F30)/Inputs!$B$44,SUMPRODUCT((Skills!E2:E30=TRUE)*(C972:C1000=TRUE)*Q972:Q1000*Skills!F2:F30))</f>
        <v/>
      </c>
    </row>
    <row r="1009">
      <c r="A1009" t="inlineStr">
        <is>
          <t>Cruel Stab Casts Per Second</t>
        </is>
      </c>
      <c r="B1009">
        <f>MAX(0,B1007-B1008)</f>
        <v/>
      </c>
    </row>
    <row r="1010">
      <c r="A1010" t="inlineStr">
        <is>
          <t>Global Critical Damage Bonus % (Smokescreen Mastery Lv.113)</t>
        </is>
      </c>
      <c r="B1010">
        <f>IF(Inputs!$B$3&gt;=113,30,0)*IF(AND(Inputs!$B$39&lt;&gt;"pvp",Inputs!$B$44&gt;0),(((R985-1)*(Skills!Y15*(1+Inputs!$B$34/100))+MIN((Skills!Y15*(1+Inputs!$B$34/100)),MAX(0,Inputs!$B$44-((R985-1)*Skills!D15))))/Inputs!$B$44),IF(Inputs!$B$39="pvp",MIN((Skills!Y15*(1+Inputs!$B$34/100)),15)/15,(Skills!Y15*(1+Inputs!$B$34/100))/Skills!D15))</f>
        <v/>
      </c>
    </row>
    <row r="1011">
      <c r="A1011" t="inlineStr">
        <is>
          <t>Meso Explosion average stack count</t>
        </is>
      </c>
      <c r="B1011">
        <f>MIN(10,0.5*B1007*Skills!D4)</f>
        <v/>
      </c>
    </row>
    <row r="1012">
      <c r="A1012" t="inlineStr">
        <is>
          <t>Blood Money average stack count</t>
        </is>
      </c>
      <c r="B1012">
        <f>MIN(5,0.25*B1007*Skills!D4)</f>
        <v/>
      </c>
    </row>
    <row r="1013">
      <c r="A1013" t="inlineStr">
        <is>
          <t>Assassinate Murderous Intent Multiplier</t>
        </is>
      </c>
      <c r="B1013">
        <f>1+IFERROR(MIN(1,Q984*2/Q981),0)</f>
        <v/>
      </c>
    </row>
    <row r="1014">
      <c r="A1014" t="inlineStr">
        <is>
          <t>Buff-Casting Startup Delay (s, fixed-duration only)</t>
        </is>
      </c>
      <c r="B1014">
        <f>IF(AND(Inputs!$B$39&lt;&gt;"pvp",Inputs!$B$44&gt;0),SUMPRODUCT((Skills!Y2:Y30&gt;0)*(Skills!E2:E30=TRUE)*(C972:C1000=TRUE))/B1007,0)</f>
        <v/>
      </c>
    </row>
    <row r="1015">
      <c r="A1015" s="6" t="inlineStr">
        <is>
          <t>TOTAL DPS</t>
        </is>
      </c>
      <c r="B1015" s="6">
        <f>SUM(O972:O1000)</f>
        <v/>
      </c>
    </row>
    <row r="1016">
      <c r="A1016" t="inlineStr">
        <is>
          <t>Boss-Only Total DPS (this block's swept value)</t>
        </is>
      </c>
      <c r="B1016">
        <f>SUM(T972:T1000)</f>
        <v/>
      </c>
    </row>
    <row r="1017">
      <c r="A1017" t="inlineStr">
        <is>
          <t>Normal-Only Total DPS (this block's swept value)</t>
        </is>
      </c>
      <c r="B1017">
        <f>SUM(V972:V1000)</f>
        <v/>
      </c>
    </row>
    <row r="1020">
      <c r="A1020" s="6" t="inlineStr">
        <is>
          <t>Stat: Skill Level Bonus — 4th Job</t>
        </is>
      </c>
    </row>
    <row r="1021">
      <c r="A1021" s="5" t="inlineStr">
        <is>
          <t>Key</t>
        </is>
      </c>
      <c r="B1021" s="5" t="inlineStr">
        <is>
          <t>Name</t>
        </is>
      </c>
      <c r="C1021" s="5" t="inlineStr">
        <is>
          <t>Unlocked</t>
        </is>
      </c>
      <c r="D1021" s="5" t="inlineStr">
        <is>
          <t>InputLevel</t>
        </is>
      </c>
      <c r="E1021" s="5" t="inlineStr">
        <is>
          <t>Factor</t>
        </is>
      </c>
      <c r="F1021" s="5" t="inlineStr">
        <is>
          <t>CoefficientPercent</t>
        </is>
      </c>
      <c r="G1021" s="5" t="inlineStr">
        <is>
          <t>EffectiveHits</t>
        </is>
      </c>
      <c r="H1021" s="5" t="inlineStr">
        <is>
          <t>ProcProbability</t>
        </is>
      </c>
      <c r="I1021" s="5" t="inlineStr">
        <is>
          <t>MapleHeroMultiplier</t>
        </is>
      </c>
      <c r="J1021" s="5" t="inlineStr">
        <is>
          <t>BaseDamage</t>
        </is>
      </c>
      <c r="K1021" s="5" t="inlineStr">
        <is>
          <t>BaseHitDamage</t>
        </is>
      </c>
      <c r="L1021" s="5" t="inlineStr">
        <is>
          <t>NonCritAvg</t>
        </is>
      </c>
      <c r="M1021" s="5" t="inlineStr">
        <is>
          <t>CritAvg</t>
        </is>
      </c>
      <c r="N1021" s="5" t="inlineStr">
        <is>
          <t>ExpectedDamage(perHit)</t>
        </is>
      </c>
      <c r="O1021" s="5" t="inlineStr">
        <is>
          <t>DPS</t>
        </is>
      </c>
      <c r="P1021" s="5" t="inlineStr">
        <is>
          <t>% of Total</t>
        </is>
      </c>
      <c r="Q1021" s="5" t="inlineStr">
        <is>
          <t>InvCooldown</t>
        </is>
      </c>
      <c r="R1021" s="5" t="inlineStr">
        <is>
          <t>CastsInFight</t>
        </is>
      </c>
      <c r="S1021" s="5" t="inlineStr">
        <is>
          <t>HitRate(perSec)</t>
        </is>
      </c>
      <c r="U1021" t="inlineStr">
        <is>
          <t>helpers</t>
        </is>
      </c>
    </row>
    <row r="1022">
      <c r="A1022">
        <f>Skills!A2</f>
        <v/>
      </c>
      <c r="B1022">
        <f>Skills!B2</f>
        <v/>
      </c>
      <c r="C1022">
        <f>Inputs!$B$3&gt;=100</f>
        <v/>
      </c>
      <c r="D1022" t="inlineStr"/>
      <c r="E1022" t="inlineStr"/>
      <c r="F1022">
        <f>U1024+Skills!O2</f>
        <v/>
      </c>
      <c r="G1022">
        <f>Skills!G2*IF(Skills!H2&gt;0,Skills!I2/Skills!H2,1)</f>
        <v/>
      </c>
      <c r="H1022">
        <f>1-(1-Skills!J2/100)^Skills!K2</f>
        <v/>
      </c>
      <c r="I1022" t="inlineStr">
        <is>
          <t>1</t>
        </is>
      </c>
      <c r="J1022">
        <f>((Inputs!$B$6*(1+Inputs!$B$7/100))+(((Inputs!$B$12*(1+Inputs!$B$13/100))-(Inputs!$B$12*(1+Inputs!$B$13/100)))+0.25*(Inputs!$B$14-Inputs!$B$14))*(1+Inputs!$B$7/100))*(F1022/100)</f>
        <v/>
      </c>
      <c r="K1022">
        <f>J1022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1022)</f>
        <v/>
      </c>
      <c r="L1022">
        <f>K1022*(MIN(Inputs!$B$22+((C1044=TRUE)*(F1044-Calc!F24)),(Inputs!$B$23+((C1049=TRUE)*(F1049-Calc!F29))+IF(ArtifactsInput!$M$15,CHOOSE(ArtifactsInput!$N$15+1,25,30,35,40,45,50)/100*(Inputs!$B$11-Inputs!$B$11),0)))/100+(Inputs!$B$23+((C1049=TRUE)*(F1049-Calc!F29))+IF(ArtifactsInput!$M$15,CHOOSE(ArtifactsInput!$N$15+1,25,30,35,40,45,50)/100*(Inputs!$B$11-Inputs!$B$11),0))/100)/2</f>
        <v/>
      </c>
      <c r="M1022">
        <f>L1022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2">
        <f>L1022*(1-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1022*(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2">
        <f>(1-Summary!$B$11)*T1022+Summary!$B$11*V1022</f>
        <v/>
      </c>
      <c r="P1022">
        <f>IF(B1065=0,0,O1022/B1065)</f>
        <v/>
      </c>
      <c r="Q1022" t="n">
        <v>0</v>
      </c>
      <c r="R1022" t="n">
        <v>0</v>
      </c>
      <c r="S1022">
        <f>IFERROR(O1022/N1022,0)</f>
        <v/>
      </c>
      <c r="T1022">
        <f>IF(C1022,(Skills!G2*N1022*B1059)*IF(Inputs!$B$39="pvp",1,1+(Inputs!$B$20+0+Skills!P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1022*(1-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1022*(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1022*(1-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1022*(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2">
        <f>MAX(0,(Inputs!$B$3-100)*3)+(Inputs!$B$28+1)+Inputs!$B$29</f>
        <v/>
      </c>
      <c r="V1022">
        <f>IF(C1022,(Skills!G2*N1022*B1059)*IF(Inputs!$B$39="pvp",1,(1+(Inputs!$B$21+Skills!Q2+B1054+(IF(ArtifactsInput!$M$33,CHOOSE(ArtifactsInput!$N$33+1,30,36,42,48,54,60),0))+(IF(AND(ArtifactsInput!$M$35,Inputs!$B$4&lt;&gt;"Chapter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3">
      <c r="A1023">
        <f>Skills!A3</f>
        <v/>
      </c>
      <c r="B1023">
        <f>Skills!B3</f>
        <v/>
      </c>
      <c r="C1023">
        <f>Inputs!$B$3&gt;=35</f>
        <v/>
      </c>
      <c r="D1023">
        <f>IF(Skills!C3=1,60+Inputs!$B$25+Inputs!$B$29,IF(Skills!C3=2,90+Inputs!$B$26+Inputs!$B$29,IF(Skills!C3=3,120+Inputs!$B$27+Inputs!$B$29,MAX(0,(Inputs!$B$3-100)*3)+(Inputs!$B$28+1)+Inputs!$B$29)))</f>
        <v/>
      </c>
      <c r="E1023">
        <f>INDEX(FactorTable!$B$2:$Y$301, MATCH(ROUND(MIN(300,MAX(1,D1023)),0), FactorTable!$A$2:$A$301,0), Skills!M3+1)</f>
        <v/>
      </c>
      <c r="F1023">
        <f>IF(Skills!N3=TRUE,(Skills!L3/10)*(E1023/1000),Skills!L3/10)+Skills!O3</f>
        <v/>
      </c>
      <c r="G1023">
        <f>Skills!G3*IF(Skills!H3&gt;0,Skills!I3/Skills!H3,1)</f>
        <v/>
      </c>
      <c r="H1023">
        <f>1-(1-Skills!J3/100)^Skills!K3</f>
        <v/>
      </c>
      <c r="I1023" t="inlineStr">
        <is>
          <t>1</t>
        </is>
      </c>
      <c r="J1023" t="inlineStr"/>
      <c r="K1023" t="inlineStr"/>
      <c r="L1023" t="inlineStr"/>
      <c r="M1023" t="inlineStr"/>
      <c r="N1023" t="inlineStr"/>
      <c r="O1023">
        <f>(1-Summary!$B$11)*T1023+Summary!$B$11*V1023</f>
        <v/>
      </c>
      <c r="P1023">
        <f>IF(B1065=0,0,O1023/B1065)</f>
        <v/>
      </c>
      <c r="Q1023" t="n">
        <v>0</v>
      </c>
      <c r="R1023" t="n">
        <v>0</v>
      </c>
      <c r="S1023">
        <f>IFERROR(O1023/N1023,0)</f>
        <v/>
      </c>
      <c r="T1023" t="n">
        <v>0</v>
      </c>
      <c r="U1023">
        <f>INDEX(FactorTable!$B$2:$Y$301, MATCH(ROUND(MIN(300,MAX(1,U1022)),0), FactorTable!$A$2:$A$301,0), 22)</f>
        <v/>
      </c>
      <c r="V1023" t="n">
        <v>0</v>
      </c>
    </row>
    <row r="1024">
      <c r="A1024">
        <f>Skills!A4</f>
        <v/>
      </c>
      <c r="B1024">
        <f>Skills!B4</f>
        <v/>
      </c>
      <c r="C1024">
        <f>Inputs!$B$3&gt;=66</f>
        <v/>
      </c>
      <c r="D1024">
        <f>IF(Skills!C4=1,60+Inputs!$B$25+Inputs!$B$29,IF(Skills!C4=2,90+Inputs!$B$26+Inputs!$B$29,IF(Skills!C4=3,120+Inputs!$B$27+Inputs!$B$29,MAX(0,(Inputs!$B$3-100)*3)+(Inputs!$B$28+1)+Inputs!$B$29)))</f>
        <v/>
      </c>
      <c r="E1024">
        <f>INDEX(FactorTable!$B$2:$Y$301, MATCH(ROUND(MIN(300,MAX(1,D1024)),0), FactorTable!$A$2:$A$301,0), Skills!M4+1)</f>
        <v/>
      </c>
      <c r="F1024">
        <f>IF(Skills!N4=TRUE,(Skills!L4/10)*(E1024/1000),Skills!L4/10)+Skills!O4</f>
        <v/>
      </c>
      <c r="G1024">
        <f>Skills!G4*IF(Skills!H4&gt;0,Skills!I4/Skills!H4,1)</f>
        <v/>
      </c>
      <c r="H1024">
        <f>1-(1-Skills!J4/100)^Skills!K4</f>
        <v/>
      </c>
      <c r="I1024" t="inlineStr">
        <is>
          <t>1</t>
        </is>
      </c>
      <c r="J1024">
        <f>((Inputs!$B$6*(1+Inputs!$B$7/100))+(((Inputs!$B$12*(1+Inputs!$B$13/100))-(Inputs!$B$12*(1+Inputs!$B$13/100)))+0.25*(Inputs!$B$14-Inputs!$B$14))*(1+Inputs!$B$7/100))*(F1024/100)</f>
        <v/>
      </c>
      <c r="K1024">
        <f>J1024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1024)</f>
        <v/>
      </c>
      <c r="L1024">
        <f>K1024*(MIN(Inputs!$B$22+((C1044=TRUE)*(F1044-Calc!F24)),(Inputs!$B$23+((C1049=TRUE)*(F1049-Calc!F29))+IF(ArtifactsInput!$M$15,CHOOSE(ArtifactsInput!$N$15+1,25,30,35,40,45,50)/100*(Inputs!$B$11-Inputs!$B$11),0)))/100+(Inputs!$B$23+((C1049=TRUE)*(F1049-Calc!F29))+IF(ArtifactsInput!$M$15,CHOOSE(ArtifactsInput!$N$15+1,25,30,35,40,45,50)/100*(Inputs!$B$11-Inputs!$B$11),0))/100)/2</f>
        <v/>
      </c>
      <c r="M1024">
        <f>L1024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4">
        <f>L1024*(1-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(1-Summary!$B$11)*T1024+Summary!$B$11*V1024</f>
        <v/>
      </c>
      <c r="P1024">
        <f>IF(B1065=0,0,O1024/B1065)</f>
        <v/>
      </c>
      <c r="Q1024">
        <f>IFERROR(1/IF(Inputs!$B$39="pvp",15,MAX(0.1,Skills!D4-IF(Skills!E4=TRUE,Inputs!$B$32,0))),0)</f>
        <v/>
      </c>
      <c r="R1024">
        <f>IF(AND(Inputs!$B$39&lt;&gt;"pvp",Inputs!$B$44&gt;0),IF(MAX(0,Inputs!$B$44-B1064)&lt;=0,0,(INT(MAX(0,Inputs!$B$44-B1064)/IF(Inputs!$B$39="pvp",15,MAX(0.1,Skills!D4-IF(Skills!E4=TRUE,Inputs!$B$32,0))))+1)),0)</f>
        <v/>
      </c>
      <c r="S1024">
        <f>IFERROR(O1024/N1024,0)</f>
        <v/>
      </c>
      <c r="T1024">
        <f>IF(C1024,(H1024*N1024*IF(AND(Inputs!$B$39&lt;&gt;"pvp",Inputs!$B$44&gt;0),((Skills!G4*((R1024-1)*IF(Skills!H4&gt;0,Skills!I4/Skills!H4,1)+IF(Skills!H4&gt;0,MIN(Skills!I4,MAX(0,MAX(0,Inputs!$B$44-B1064)-((R1024-1)*IF(Inputs!$B$39="pvp",15,MAX(0.1,Skills!D4-IF(Skills!E4=TRUE,Inputs!$B$32,0))))))/Skills!H4,1)))/Inputs!$B$44),G1024*Q1024))*IF(Inputs!$B$39="pvp",1,1+(Inputs!$B$20+0+Skills!P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1024*(1-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f>290*U1023/1000</f>
        <v/>
      </c>
      <c r="V1024">
        <f>IF(C1024,(H1024*N1024*IF(AND(Inputs!$B$39&lt;&gt;"pvp",Inputs!$B$44&gt;0),((Skills!G4*((R1024-1)*IF(Skills!H4&gt;0,Skills!I4/Skills!H4,1)+IF(Skills!H4&gt;0,MIN(Skills!I4,MAX(0,MAX(0,Inputs!$B$44-B1064)-((R1024-1)*IF(Inputs!$B$39="pvp",15,MAX(0.1,Skills!D4-IF(Skills!E4=TRUE,Inputs!$B$32,0))))))/Skills!H4,1)))/Inputs!$B$44),G1024*Q1024))*IF(Inputs!$B$39="pvp",1,(1+(Inputs!$B$21+Skills!Q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(10,0.5*B1057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5">
      <c r="A1025">
        <f>Skills!A5</f>
        <v/>
      </c>
      <c r="B1025">
        <f>Skills!B5</f>
        <v/>
      </c>
      <c r="C1025">
        <f>Inputs!$B$3&gt;=63</f>
        <v/>
      </c>
      <c r="D1025">
        <f>IF(Skills!C5=1,60+Inputs!$B$25+Inputs!$B$29,IF(Skills!C5=2,90+Inputs!$B$26+Inputs!$B$29,IF(Skills!C5=3,120+Inputs!$B$27+Inputs!$B$29,MAX(0,(Inputs!$B$3-100)*3)+(Inputs!$B$28+1)+Inputs!$B$29)))</f>
        <v/>
      </c>
      <c r="E1025">
        <f>INDEX(FactorTable!$B$2:$Y$301, MATCH(ROUND(MIN(300,MAX(1,D1025)),0), FactorTable!$A$2:$A$301,0), Skills!M5+1)</f>
        <v/>
      </c>
      <c r="F1025">
        <f>IF(Skills!N5=TRUE,(Skills!L5/10)*(E1025/1000),Skills!L5/10)+Skills!O5</f>
        <v/>
      </c>
      <c r="G1025">
        <f>Skills!G5*IF(Skills!H5&gt;0,Skills!I5/Skills!H5,1)</f>
        <v/>
      </c>
      <c r="H1025">
        <f>1-(1-Skills!J5/100)^Skills!K5</f>
        <v/>
      </c>
      <c r="I1025" t="inlineStr">
        <is>
          <t>1</t>
        </is>
      </c>
      <c r="J1025">
        <f>((Inputs!$B$6*(1+Inputs!$B$7/100))+(((Inputs!$B$12*(1+Inputs!$B$13/100))-(Inputs!$B$12*(1+Inputs!$B$13/100)))+0.25*(Inputs!$B$14-Inputs!$B$14))*(1+Inputs!$B$7/100))*(F1025/100)</f>
        <v/>
      </c>
      <c r="K1025">
        <f>J1025*(1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1038=TRUE,F1038,0)/100)*(1+(IF(Skills!A5="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1025)</f>
        <v/>
      </c>
      <c r="L1025">
        <f>K1025*(MIN(Inputs!$B$22+((C1044=TRUE)*(F1044-Calc!F24)),(Inputs!$B$23+((C1049=TRUE)*(F1049-Calc!F29))+IF(ArtifactsInput!$M$15,CHOOSE(ArtifactsInput!$N$15+1,25,30,35,40,45,50)/100*(Inputs!$B$11-Inputs!$B$11),0)))/100+(Inputs!$B$23+((C1049=TRUE)*(F1049-Calc!F29))+IF(ArtifactsInput!$M$15,CHOOSE(ArtifactsInput!$N$15+1,25,30,35,40,45,50)/100*(Inputs!$B$11-Inputs!$B$11),0))/100)/2</f>
        <v/>
      </c>
      <c r="M1025">
        <f>L1025*(1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5">
        <f>L1025*(1-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(1-Summary!$B$11)*T1025+Summary!$B$11*V1025</f>
        <v/>
      </c>
      <c r="P1025">
        <f>IF(B1065=0,0,O1025/B1065)</f>
        <v/>
      </c>
      <c r="Q1025">
        <f>IFERROR(1/IF(Inputs!$B$39="pvp",15,MAX(0.1,Skills!D5-IF(Skills!E5=TRUE,Inputs!$B$32,0))),0)</f>
        <v/>
      </c>
      <c r="R1025">
        <f>IF(AND(Inputs!$B$39&lt;&gt;"pvp",Inputs!$B$44&gt;0),IF(MAX(0,Inputs!$B$44-B1064)&lt;=0,0,(INT(MAX(0,Inputs!$B$44-B1064)/IF(Inputs!$B$39="pvp",15,MAX(0.1,Skills!D5-IF(Skills!E5=TRUE,Inputs!$B$32,0))))+1)),0)</f>
        <v/>
      </c>
      <c r="S1025">
        <f>IFERROR(O1025/N1025,0)</f>
        <v/>
      </c>
      <c r="T1025">
        <f>IF(C1025,(H1025*N1025*IF(AND(Inputs!$B$39&lt;&gt;"pvp",Inputs!$B$44&gt;0),((Skills!G5*((R1025-1)*IF(Skills!H5&gt;0,Skills!I5/Skills!H5,1)+IF(Skills!H5&gt;0,MIN(Skills!I5,MAX(0,MAX(0,Inputs!$B$44-B1064)-((R1025-1)*IF(Inputs!$B$39="pvp",15,MAX(0.1,Skills!D5-IF(Skills!E5=TRUE,Inputs!$B$32,0))))))/Skills!H5,1)))/Inputs!$B$44),G1025*Q1025))*IF(Inputs!$B$39="pvp",1,1+(Inputs!$B$20+0+Skills!P5+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1025*(1-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5">
        <f>IF(C1025,(H1025*N1025*IF(AND(Inputs!$B$39&lt;&gt;"pvp",Inputs!$B$44&gt;0),((Skills!G5*((R1025-1)*IF(Skills!H5&gt;0,Skills!I5/Skills!H5,1)+IF(Skills!H5&gt;0,MIN(Skills!I5,MAX(0,MAX(0,Inputs!$B$44-B1064)-((R1025-1)*IF(Inputs!$B$39="pvp",15,MAX(0.1,Skills!D5-IF(Skills!E5=TRUE,Inputs!$B$32,0))))))/Skills!H5,1)))/Inputs!$B$44),G1025*Q1025))*IF(Inputs!$B$39="pvp",1,(1+(Inputs!$B$21+Skills!Q5+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Skills!A6</f>
        <v/>
      </c>
      <c r="B1026">
        <f>Skills!B6</f>
        <v/>
      </c>
      <c r="C1026">
        <f>Inputs!$B$3&gt;=69</f>
        <v/>
      </c>
      <c r="D1026">
        <f>IF(Skills!C6=1,60+Inputs!$B$25+Inputs!$B$29,IF(Skills!C6=2,90+Inputs!$B$26+Inputs!$B$29,IF(Skills!C6=3,120+Inputs!$B$27+Inputs!$B$29,MAX(0,(Inputs!$B$3-100)*3)+(Inputs!$B$28+1)+Inputs!$B$29)))</f>
        <v/>
      </c>
      <c r="E1026">
        <f>INDEX(FactorTable!$B$2:$Y$301, MATCH(ROUND(MIN(300,MAX(1,D1026)),0), FactorTable!$A$2:$A$301,0), Skills!M6+1)</f>
        <v/>
      </c>
      <c r="F1026">
        <f>IF(Skills!N6=TRUE,(Skills!L6/10)*(E1026/1000),Skills!L6/10)+Skills!O6</f>
        <v/>
      </c>
      <c r="G1026">
        <f>Skills!G6*IF(Skills!H6&gt;0,Skills!I6/Skills!H6,1)</f>
        <v/>
      </c>
      <c r="H1026">
        <f>1-(1-Skills!J6/100)^Skills!K6</f>
        <v/>
      </c>
      <c r="I1026" t="inlineStr">
        <is>
          <t>1</t>
        </is>
      </c>
      <c r="J1026">
        <f>((Inputs!$B$6*(1+Inputs!$B$7/100))+(((Inputs!$B$12*(1+Inputs!$B$13/100))-(Inputs!$B$12*(1+Inputs!$B$13/100)))+0.25*(Inputs!$B$14-Inputs!$B$14))*(1+Inputs!$B$7/100))*(F1026/100)</f>
        <v/>
      </c>
      <c r="K1026">
        <f>J1026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1038=TRUE,F1038,0)/100)*(1+(IF(Skills!A6="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1026)</f>
        <v/>
      </c>
      <c r="L1026">
        <f>K1026*(MIN(Inputs!$B$22+((C1044=TRUE)*(F1044-Calc!F24)),(Inputs!$B$23+((C1049=TRUE)*(F1049-Calc!F29))+IF(ArtifactsInput!$M$15,CHOOSE(ArtifactsInput!$N$15+1,25,30,35,40,45,50)/100*(Inputs!$B$11-Inputs!$B$11),0)))/100+(Inputs!$B$23+((C1049=TRUE)*(F1049-Calc!F29))+IF(ArtifactsInput!$M$15,CHOOSE(ArtifactsInput!$N$15+1,25,30,35,40,45,50)/100*(Inputs!$B$11-Inputs!$B$11),0))/100)/2</f>
        <v/>
      </c>
      <c r="M1026">
        <f>L1026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6">
        <f>L1026*(1-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(1-Summary!$B$11)*T1026+Summary!$B$11*V1026</f>
        <v/>
      </c>
      <c r="P1026">
        <f>IF(B1065=0,0,O1026/B1065)</f>
        <v/>
      </c>
      <c r="Q1026">
        <f>IFERROR(1/IF(Inputs!$B$39="pvp",15,MAX(0.1,Skills!D6-IF(Skills!E6=TRUE,Inputs!$B$32,0))),0)</f>
        <v/>
      </c>
      <c r="R1026">
        <f>IF(AND(Inputs!$B$39&lt;&gt;"pvp",Inputs!$B$44&gt;0),IF(MAX(0,Inputs!$B$44-B1064)&lt;=0,0,(INT(MAX(0,Inputs!$B$44-B1064)/IF(Inputs!$B$39="pvp",15,MAX(0.1,Skills!D6-IF(Skills!E6=TRUE,Inputs!$B$32,0))))+1)),0)</f>
        <v/>
      </c>
      <c r="S1026">
        <f>IFERROR(O1026/N1026,0)</f>
        <v/>
      </c>
      <c r="T1026">
        <f>IF(C1026,(H1026*N1026*IF(AND(Inputs!$B$39&lt;&gt;"pvp",Inputs!$B$44&gt;0),((Skills!G6*((R1026-1)*IF(Skills!H6&gt;0,Skills!I6/Skills!H6,1)+IF(Skills!H6&gt;0,MIN(Skills!I6,MAX(0,MAX(0,Inputs!$B$44-B1064)-((R1026-1)*IF(Inputs!$B$39="pvp",15,MAX(0.1,Skills!D6-IF(Skills!E6=TRUE,Inputs!$B$32,0))))))/Skills!H6,1)))/Inputs!$B$44),G1026*Q1026))*IF(Inputs!$B$39="pvp",1,1+(Inputs!$B$20+0+Skills!P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1026*(1-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6">
        <f>IF(C1026,(H1026*N1026*IF(AND(Inputs!$B$39&lt;&gt;"pvp",Inputs!$B$44&gt;0),((Skills!G6*((R1026-1)*IF(Skills!H6&gt;0,Skills!I6/Skills!H6,1)+IF(Skills!H6&gt;0,MIN(Skills!I6,MAX(0,MAX(0,Inputs!$B$44-B1064)-((R1026-1)*IF(Inputs!$B$39="pvp",15,MAX(0.1,Skills!D6-IF(Skills!E6=TRUE,Inputs!$B$32,0))))))/Skills!H6,1)))/Inputs!$B$44),G1026*Q1026))*IF(Inputs!$B$39="pvp",1,(1+(Inputs!$B$21+Skills!Q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Skills!A7</f>
        <v/>
      </c>
      <c r="B1027">
        <f>Skills!B7</f>
        <v/>
      </c>
      <c r="C1027">
        <f>Inputs!$B$3&gt;=60</f>
        <v/>
      </c>
      <c r="D1027">
        <f>IF(Skills!C7=1,60+Inputs!$B$25+Inputs!$B$29,IF(Skills!C7=2,90+Inputs!$B$26+Inputs!$B$29,IF(Skills!C7=3,120+Inputs!$B$27+Inputs!$B$29,MAX(0,(Inputs!$B$3-100)*3)+(Inputs!$B$28+1)+Inputs!$B$29)))</f>
        <v/>
      </c>
      <c r="E1027">
        <f>INDEX(FactorTable!$B$2:$Y$301, MATCH(ROUND(MIN(300,MAX(1,D1027)),0), FactorTable!$A$2:$A$301,0), Skills!M7+1)</f>
        <v/>
      </c>
      <c r="F1027">
        <f>IF(Skills!N7=TRUE,(Skills!L7/10)*(E1027/1000),Skills!L7/10)+Skills!O7</f>
        <v/>
      </c>
      <c r="G1027">
        <f>Skills!G7*IF(Skills!H7&gt;0,Skills!I7/Skills!H7,1)</f>
        <v/>
      </c>
      <c r="H1027">
        <f>1-(1-Skills!J7/100)^Skills!K7</f>
        <v/>
      </c>
      <c r="I1027" t="inlineStr">
        <is>
          <t>1</t>
        </is>
      </c>
      <c r="J1027" t="inlineStr"/>
      <c r="K1027" t="inlineStr"/>
      <c r="L1027" t="inlineStr"/>
      <c r="M1027" t="inlineStr"/>
      <c r="N1027" t="inlineStr"/>
      <c r="O1027">
        <f>(1-Summary!$B$11)*T1027+Summary!$B$11*V1027</f>
        <v/>
      </c>
      <c r="P1027">
        <f>IF(B1065=0,0,O1027/B1065)</f>
        <v/>
      </c>
      <c r="Q1027" t="n">
        <v>0</v>
      </c>
      <c r="R1027" t="n">
        <v>0</v>
      </c>
      <c r="S1027">
        <f>IFERROR(O1027/N1027,0)</f>
        <v/>
      </c>
      <c r="T1027" t="n">
        <v>0</v>
      </c>
      <c r="V1027" t="n">
        <v>0</v>
      </c>
    </row>
    <row r="1028">
      <c r="A1028">
        <f>Skills!A8</f>
        <v/>
      </c>
      <c r="B1028">
        <f>Skills!B8</f>
        <v/>
      </c>
      <c r="C1028">
        <f>Inputs!$B$3&gt;=72</f>
        <v/>
      </c>
      <c r="D1028">
        <f>IF(Skills!C8=1,60+Inputs!$B$25+Inputs!$B$29,IF(Skills!C8=2,90+Inputs!$B$26+Inputs!$B$29,IF(Skills!C8=3,120+Inputs!$B$27+Inputs!$B$29,MAX(0,(Inputs!$B$3-100)*3)+(Inputs!$B$28+1)+Inputs!$B$29)))</f>
        <v/>
      </c>
      <c r="E1028">
        <f>INDEX(FactorTable!$B$2:$Y$301, MATCH(ROUND(MIN(300,MAX(1,D1028)),0), FactorTable!$A$2:$A$301,0), Skills!M8+1)</f>
        <v/>
      </c>
      <c r="F1028">
        <f>IF(Skills!N8=TRUE,(Skills!L8/10)*(E1028/1000),Skills!L8/10)+Skills!O8</f>
        <v/>
      </c>
      <c r="G1028">
        <f>Skills!G8*IF(Skills!H8&gt;0,Skills!I8/Skills!H8,1)</f>
        <v/>
      </c>
      <c r="H1028">
        <f>1-(1-Skills!J8/100)^Skills!K8</f>
        <v/>
      </c>
      <c r="I1028" t="inlineStr">
        <is>
          <t>1</t>
        </is>
      </c>
      <c r="J1028">
        <f>((Inputs!$B$6*(1+Inputs!$B$7/100))+(((Inputs!$B$12*(1+Inputs!$B$13/100))-(Inputs!$B$12*(1+Inputs!$B$13/100)))+0.25*(Inputs!$B$14-Inputs!$B$14))*(1+Inputs!$B$7/100))*(F1028/100)</f>
        <v/>
      </c>
      <c r="K1028">
        <f>J1028*(1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1038=TRUE,F1038,0)/100)*(1+(IF(Skills!A8="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1028)</f>
        <v/>
      </c>
      <c r="L1028">
        <f>K1028*(MIN(Inputs!$B$22+((C1044=TRUE)*(F1044-Calc!F24)),(Inputs!$B$23+((C1049=TRUE)*(F1049-Calc!F29))+IF(ArtifactsInput!$M$15,CHOOSE(ArtifactsInput!$N$15+1,25,30,35,40,45,50)/100*(Inputs!$B$11-Inputs!$B$11),0)))/100+(Inputs!$B$23+((C1049=TRUE)*(F1049-Calc!F29))+IF(ArtifactsInput!$M$15,CHOOSE(ArtifactsInput!$N$15+1,25,30,35,40,45,50)/100*(Inputs!$B$11-Inputs!$B$11),0))/100)/2</f>
        <v/>
      </c>
      <c r="M1028">
        <f>L1028*(1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8">
        <f>L1028*(1-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1028*(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8">
        <f>(1-Summary!$B$11)*T1028+Summary!$B$11*V1028</f>
        <v/>
      </c>
      <c r="P1028">
        <f>IF(B1065=0,0,O1028/B1065)</f>
        <v/>
      </c>
      <c r="Q1028">
        <f>IFERROR(1/IF(Inputs!$B$39="pvp",15,MAX(0.1,Skills!D8-IF(Skills!E8=TRUE,Inputs!$B$32,0))),0)</f>
        <v/>
      </c>
      <c r="R1028">
        <f>IF(AND(Inputs!$B$39&lt;&gt;"pvp",Inputs!$B$44&gt;0),IF(MAX(0,Inputs!$B$44-B1064)&lt;=0,0,(INT(MAX(0,Inputs!$B$44-B1064)/IF(Inputs!$B$39="pvp",15,MAX(0.1,Skills!D8-IF(Skills!E8=TRUE,Inputs!$B$32,0))))+1)),0)</f>
        <v/>
      </c>
      <c r="S1028">
        <f>IFERROR(O1028/N1028,0)</f>
        <v/>
      </c>
      <c r="T1028">
        <f>IF(C1028,(H1028*N1028*IF(AND(Inputs!$B$39&lt;&gt;"pvp",Inputs!$B$44&gt;0),((Skills!G8*((R1028-1)*IF(Skills!H8&gt;0,Skills!I8/Skills!H8,1)+IF(Skills!H8&gt;0,MIN(Skills!I8,MAX(0,MAX(0,Inputs!$B$44-B1064)-((R1028-1)*IF(Inputs!$B$39="pvp",15,MAX(0.1,Skills!D8-IF(Skills!E8=TRUE,Inputs!$B$32,0))))))/Skills!H8,1)))/Inputs!$B$44),G1028*Q1028))*IF(Inputs!$B$39="pvp",1,1+(Inputs!$B$20+0+Skills!P8+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1028*(1-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1028*(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1028*(1-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1028*(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8">
        <f>IF(C1028,(H1028*N1028*IF(AND(Inputs!$B$39&lt;&gt;"pvp",Inputs!$B$44&gt;0),((Skills!G8*((R1028-1)*IF(Skills!H8&gt;0,Skills!I8/Skills!H8,1)+IF(Skills!H8&gt;0,MIN(Skills!I8,MAX(0,MAX(0,Inputs!$B$44-B1064)-((R1028-1)*IF(Inputs!$B$39="pvp",15,MAX(0.1,Skills!D8-IF(Skills!E8=TRUE,Inputs!$B$32,0))))))/Skills!H8,1)))/Inputs!$B$44),G1028*Q1028))*IF(Inputs!$B$39="pvp",1,(1+(Inputs!$B$21+Skills!Q8+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9">
      <c r="A1029">
        <f>Skills!A9</f>
        <v/>
      </c>
      <c r="B1029">
        <f>Skills!B9</f>
        <v/>
      </c>
      <c r="C1029">
        <f>Inputs!$B$3&gt;=117</f>
        <v/>
      </c>
      <c r="D1029">
        <f>IF(Skills!C9=1,60+Inputs!$B$25+Inputs!$B$29,IF(Skills!C9=2,90+Inputs!$B$26+Inputs!$B$29,IF(Skills!C9=3,120+Inputs!$B$27+Inputs!$B$29,MAX(0,(Inputs!$B$3-100)*3)+(Inputs!$B$28+1)+Inputs!$B$29)))</f>
        <v/>
      </c>
      <c r="E1029">
        <f>INDEX(FactorTable!$B$2:$Y$301, MATCH(ROUND(MIN(300,MAX(1,D1029)),0), FactorTable!$A$2:$A$301,0), Skills!M9+1)</f>
        <v/>
      </c>
      <c r="F1029">
        <f>IF(Skills!N9=TRUE,(Skills!L9/10)*(E1029/1000),Skills!L9/10)+Skills!O9</f>
        <v/>
      </c>
      <c r="G1029">
        <f>Skills!G9*IF(Skills!H9&gt;0,Skills!I9/Skills!H9,1)</f>
        <v/>
      </c>
      <c r="H1029">
        <f>1-(1-Skills!J9/100)^Skills!K9</f>
        <v/>
      </c>
      <c r="I1029" t="inlineStr">
        <is>
          <t>1</t>
        </is>
      </c>
      <c r="J1029">
        <f>((Inputs!$B$6*(1+Inputs!$B$7/100))+(((Inputs!$B$12*(1+Inputs!$B$13/100))-(Inputs!$B$12*(1+Inputs!$B$13/100)))+0.25*(Inputs!$B$14-Inputs!$B$14))*(1+Inputs!$B$7/100))*(F1029/100)</f>
        <v/>
      </c>
      <c r="K1029">
        <f>J1029*(1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1029)</f>
        <v/>
      </c>
      <c r="L1029">
        <f>K1029*(MIN(Inputs!$B$22+((C1044=TRUE)*(F1044-Calc!F24)),(Inputs!$B$23+((C1049=TRUE)*(F1049-Calc!F29))+IF(ArtifactsInput!$M$15,CHOOSE(ArtifactsInput!$N$15+1,25,30,35,40,45,50)/100*(Inputs!$B$11-Inputs!$B$11),0)))/100+(Inputs!$B$23+((C1049=TRUE)*(F1049-Calc!F29))+IF(ArtifactsInput!$M$15,CHOOSE(ArtifactsInput!$N$15+1,25,30,35,40,45,50)/100*(Inputs!$B$11-Inputs!$B$11),0))/100)/2</f>
        <v/>
      </c>
      <c r="M1029">
        <f>L1029*(1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9">
        <f>L1029*(1-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1029*(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9">
        <f>(1-Summary!$B$11)*T1029+Summary!$B$11*V1029</f>
        <v/>
      </c>
      <c r="P1029">
        <f>IF(B1065=0,0,O1029/B1065)</f>
        <v/>
      </c>
      <c r="Q1029" t="n">
        <v>0</v>
      </c>
      <c r="R1029" t="n">
        <v>0</v>
      </c>
      <c r="S1029" t="n">
        <v>0</v>
      </c>
      <c r="T1029">
        <f>IF(C1029,(0.2*SUMPRODUCT((Skills!Z2:Z30=TRUE)*(C1022:C1050=TRUE)*S1022:S1050)*N1029)*IF(Inputs!$B$39="pvp",1,1+(Inputs!$B$20+0+Skills!P9+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1029*(1-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1029*(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1029*(1-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1029*(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9">
        <f>IF(C1029,(0.2*SUMPRODUCT((Skills!Z2:Z30=TRUE)*(C1022:C1050=TRUE)*S1022:S1050)*N1029)*IF(Inputs!$B$39="pvp",1,(1+(Inputs!$B$21+Skills!Q9+B1054+(IF(ArtifactsInput!$M$33,CHOOSE(ArtifactsInput!$N$33+1,30,36,42,48,54,60),0))+(IF(AND(ArtifactsInput!$M$35,Inputs!$B$4&lt;&gt;"Chapter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0">
      <c r="A1030">
        <f>Skills!A10</f>
        <v/>
      </c>
      <c r="B1030">
        <f>Skills!B10</f>
        <v/>
      </c>
      <c r="C1030">
        <f>Inputs!$B$3&gt;=74</f>
        <v/>
      </c>
      <c r="D1030">
        <f>IF(Skills!C10=1,60+Inputs!$B$25+Inputs!$B$29,IF(Skills!C10=2,90+Inputs!$B$26+Inputs!$B$29,IF(Skills!C10=3,120+Inputs!$B$27+Inputs!$B$29,MAX(0,(Inputs!$B$3-100)*3)+(Inputs!$B$28+1)+Inputs!$B$29)))</f>
        <v/>
      </c>
      <c r="E1030">
        <f>INDEX(FactorTable!$B$2:$Y$301, MATCH(ROUND(MIN(300,MAX(1,D1030)),0), FactorTable!$A$2:$A$301,0), Skills!M10+1)</f>
        <v/>
      </c>
      <c r="F1030">
        <f>IF(Skills!N10=TRUE,(Skills!L10/10)*(E1030/1000),Skills!L10/10)+Skills!O10</f>
        <v/>
      </c>
      <c r="G1030">
        <f>Skills!G10*IF(Skills!H10&gt;0,Skills!I10/Skills!H10,1)</f>
        <v/>
      </c>
      <c r="H1030">
        <f>1-(1-Skills!J10/100)^Skills!K10</f>
        <v/>
      </c>
      <c r="I1030" t="inlineStr">
        <is>
          <t>1</t>
        </is>
      </c>
      <c r="J1030" t="inlineStr"/>
      <c r="K1030" t="inlineStr"/>
      <c r="L1030" t="inlineStr"/>
      <c r="M1030" t="inlineStr"/>
      <c r="N1030" t="inlineStr"/>
      <c r="O1030">
        <f>(1-Summary!$B$11)*T1030+Summary!$B$11*V1030</f>
        <v/>
      </c>
      <c r="P1030">
        <f>IF(B1065=0,0,O1030/B1065)</f>
        <v/>
      </c>
      <c r="Q1030">
        <f>IFERROR(1/IF(Inputs!$B$39="pvp",15,MAX(0.1,Skills!D10-IF(Skills!E10=TRUE,Inputs!$B$32,0))),0)</f>
        <v/>
      </c>
      <c r="R1030">
        <f>IF(AND(Inputs!$B$39&lt;&gt;"pvp",Inputs!$B$44&gt;0),IF(Inputs!$B$44&lt;=0,0,(INT(Inputs!$B$44/IF(Inputs!$B$39="pvp",15,MAX(0.1,Skills!D10-IF(Skills!E10=TRUE,Inputs!$B$32,0))))+1)),0)</f>
        <v/>
      </c>
      <c r="S1030">
        <f>IFERROR(O1030/N1030,0)</f>
        <v/>
      </c>
      <c r="T1030" t="n">
        <v>0</v>
      </c>
      <c r="V1030" t="n">
        <v>0</v>
      </c>
    </row>
    <row r="1031">
      <c r="A1031">
        <f>Skills!A11</f>
        <v/>
      </c>
      <c r="B1031">
        <f>Skills!B11</f>
        <v/>
      </c>
      <c r="C1031">
        <f>Inputs!$B$3&gt;=103</f>
        <v/>
      </c>
      <c r="D1031">
        <f>IF(Skills!C11=1,60+Inputs!$B$25+Inputs!$B$29,IF(Skills!C11=2,90+Inputs!$B$26+Inputs!$B$29,IF(Skills!C11=3,120+Inputs!$B$27+Inputs!$B$29,MAX(0,(Inputs!$B$3-100)*3)+(Inputs!$B$28+1)+Inputs!$B$29)))</f>
        <v/>
      </c>
      <c r="E1031">
        <f>INDEX(FactorTable!$B$2:$Y$301, MATCH(ROUND(MIN(300,MAX(1,D1031)),0), FactorTable!$A$2:$A$301,0), Skills!M11+1)</f>
        <v/>
      </c>
      <c r="F1031">
        <f>(Skills!L11/10)*(E1031/1000)+IF(Inputs!$B$3&gt;=134,50,0)+0.5*(30000/10)*(INDEX(FactorTable!$B$2:$Y$301, MATCH(ROUND(MIN(300,MAX(1,D1031)),0), FactorTable!$A$2:$A$301,0), 13)/1000)*B1063</f>
        <v/>
      </c>
      <c r="G1031">
        <f>Skills!G11*IF(Skills!H11&gt;0,Skills!I11/Skills!H11,1)</f>
        <v/>
      </c>
      <c r="H1031">
        <f>1-(1-Skills!J11/100)^Skills!K11</f>
        <v/>
      </c>
      <c r="I1031" t="inlineStr">
        <is>
          <t>1</t>
        </is>
      </c>
      <c r="J1031">
        <f>((Inputs!$B$6*(1+Inputs!$B$7/100))+(((Inputs!$B$12*(1+Inputs!$B$13/100))-(Inputs!$B$12*(1+Inputs!$B$13/100)))+0.25*(Inputs!$B$14-Inputs!$B$14))*(1+Inputs!$B$7/100))*(F1031/100)</f>
        <v/>
      </c>
      <c r="K1031">
        <f>J1031*(1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1031)</f>
        <v/>
      </c>
      <c r="L1031">
        <f>K1031*(MIN(Inputs!$B$22+((C1044=TRUE)*(F1044-Calc!F24)),(Inputs!$B$23+((C1049=TRUE)*(F1049-Calc!F29))+IF(ArtifactsInput!$M$15,CHOOSE(ArtifactsInput!$N$15+1,25,30,35,40,45,50)/100*(Inputs!$B$11-Inputs!$B$11),0)))/100+(Inputs!$B$23+((C1049=TRUE)*(F1049-Calc!F29))+IF(ArtifactsInput!$M$15,CHOOSE(ArtifactsInput!$N$15+1,25,30,35,40,45,50)/100*(Inputs!$B$11-Inputs!$B$11),0))/100)/2</f>
        <v/>
      </c>
      <c r="M1031">
        <f>L1031*(1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1">
        <f>L1031*(1-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1">
        <f>(1-Summary!$B$11)*T1031+Summary!$B$11*V1031</f>
        <v/>
      </c>
      <c r="P1031">
        <f>IF(B1065=0,0,O1031/B1065)</f>
        <v/>
      </c>
      <c r="Q1031">
        <f>IFERROR(1/IF(Inputs!$B$39="pvp",15,MAX(0.1,Skills!D11-IF(Skills!E11=TRUE,Inputs!$B$32,0))),0)</f>
        <v/>
      </c>
      <c r="R1031">
        <f>IF(AND(Inputs!$B$39&lt;&gt;"pvp",Inputs!$B$44&gt;0),IF(MAX(0,Inputs!$B$44-B1064)&lt;=0,0,(INT(MAX(0,Inputs!$B$44-B1064)/IF(Inputs!$B$39="pvp",15,MAX(0.1,Skills!D11-IF(Skills!E11=TRUE,Inputs!$B$32,0))))+1)),0)</f>
        <v/>
      </c>
      <c r="S1031">
        <f>IFERROR(O1031/N1031,0)</f>
        <v/>
      </c>
      <c r="T1031">
        <f>IF(C1031,(H1031*N1031*IF(AND(Inputs!$B$39&lt;&gt;"pvp",Inputs!$B$44&gt;0),((Skills!G11*((R1031-1)*IF(Skills!H11&gt;0,Skills!I11/Skills!H11,1)+IF(Skills!H11&gt;0,MIN(Skills!I11,MAX(0,MAX(0,Inputs!$B$44-B1064)-((R1031-1)*IF(Inputs!$B$39="pvp",15,MAX(0.1,Skills!D11-IF(Skills!E11=TRUE,Inputs!$B$32,0))))))/Skills!H11,1)))/Inputs!$B$44),G1031*Q1031))*IF(Inputs!$B$39="pvp",1,1+(Inputs!$B$20+0+Skills!P11+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1031*(1-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1031*(1-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1">
        <f>IF(C1031,(H1031*N1031*IF(AND(Inputs!$B$39&lt;&gt;"pvp",Inputs!$B$44&gt;0),((Skills!G11*((R1031-1)*IF(Skills!H11&gt;0,Skills!I11/Skills!H11,1)+IF(Skills!H11&gt;0,MIN(Skills!I11,MAX(0,MAX(0,Inputs!$B$44-B1064)-((R1031-1)*IF(Inputs!$B$39="pvp",15,MAX(0.1,Skills!D11-IF(Skills!E11=TRUE,Inputs!$B$32,0))))))/Skills!H11,1)))/Inputs!$B$44),G1031*Q1031))*IF(Inputs!$B$39="pvp",1,(1+(Inputs!$B$21+Skills!Q11+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2">
      <c r="A1032">
        <f>Skills!A12</f>
        <v/>
      </c>
      <c r="B1032">
        <f>Skills!B12</f>
        <v/>
      </c>
      <c r="C1032">
        <f>Inputs!$B$3&gt;=105</f>
        <v/>
      </c>
      <c r="D1032">
        <f>IF(Skills!C12=1,60+Inputs!$B$25+Inputs!$B$29,IF(Skills!C12=2,90+Inputs!$B$26+Inputs!$B$29,IF(Skills!C12=3,120+Inputs!$B$27+Inputs!$B$29,MAX(0,(Inputs!$B$3-100)*3)+(Inputs!$B$28+1)+Inputs!$B$29)))</f>
        <v/>
      </c>
      <c r="E1032">
        <f>INDEX(FactorTable!$B$2:$Y$301, MATCH(ROUND(MIN(300,MAX(1,D1032)),0), FactorTable!$A$2:$A$301,0), Skills!M12+1)</f>
        <v/>
      </c>
      <c r="F1032">
        <f>IF(Skills!N12=TRUE,(Skills!L12/10)*(E1032/1000),Skills!L12/10)+Skills!O12</f>
        <v/>
      </c>
      <c r="G1032">
        <f>Skills!G12*IF(Skills!H12&gt;0,Skills!I12/Skills!H12,1)</f>
        <v/>
      </c>
      <c r="H1032">
        <f>1-(1-Skills!J12/100)^Skills!K12</f>
        <v/>
      </c>
      <c r="I1032" t="inlineStr">
        <is>
          <t>1</t>
        </is>
      </c>
      <c r="J1032">
        <f>((Inputs!$B$6*(1+Inputs!$B$7/100))+(((Inputs!$B$12*(1+Inputs!$B$13/100))-(Inputs!$B$12*(1+Inputs!$B$13/100)))+0.25*(Inputs!$B$14-Inputs!$B$14))*(1+Inputs!$B$7/100))*(F1032/100)</f>
        <v/>
      </c>
      <c r="K1032">
        <f>J1032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1032)</f>
        <v/>
      </c>
      <c r="L1032">
        <f>K1032*(MIN(Inputs!$B$22+((C1044=TRUE)*(F1044-Calc!F24)),(Inputs!$B$23+((C1049=TRUE)*(F1049-Calc!F29))+IF(ArtifactsInput!$M$15,CHOOSE(ArtifactsInput!$N$15+1,25,30,35,40,45,50)/100*(Inputs!$B$11-Inputs!$B$11),0)))/100+(Inputs!$B$23+((C1049=TRUE)*(F1049-Calc!F29))+IF(ArtifactsInput!$M$15,CHOOSE(ArtifactsInput!$N$15+1,25,30,35,40,45,50)/100*(Inputs!$B$11-Inputs!$B$11),0))/100)/2</f>
        <v/>
      </c>
      <c r="M1032">
        <f>L1032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2">
        <f>L1032*(1-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(1-Summary!$B$11)*T1032+Summary!$B$11*V1032</f>
        <v/>
      </c>
      <c r="P1032">
        <f>IF(B1065=0,0,O1032/B1065)</f>
        <v/>
      </c>
      <c r="Q1032">
        <f>IFERROR(1/IF(Inputs!$B$39="pvp",15,MAX(0.1,Skills!D12-IF(Skills!E12=TRUE,Inputs!$B$32,0))),0)</f>
        <v/>
      </c>
      <c r="R1032">
        <f>IF(AND(Inputs!$B$39&lt;&gt;"pvp",Inputs!$B$44&gt;0),IF(MAX(0,Inputs!$B$44-B1064)&lt;=0,0,(INT(MAX(0,Inputs!$B$44-B1064)/IF(Inputs!$B$39="pvp",15,MAX(0.1,Skills!D12-IF(Skills!E12=TRUE,Inputs!$B$32,0))))+1)),0)</f>
        <v/>
      </c>
      <c r="S1032">
        <f>IFERROR(O1032/N1032,0)</f>
        <v/>
      </c>
      <c r="T1032">
        <f>IF(C1032,(H1032*N1032*IF(AND(Inputs!$B$39&lt;&gt;"pvp",Inputs!$B$44&gt;0),((Skills!G12*((R1032-1)*IF(Skills!H12&gt;0,Skills!I12/Skills!H12,1)+IF(Skills!H12&gt;0,MIN(Skills!I12,MAX(0,MAX(0,Inputs!$B$44-B1064)-((R1032-1)*IF(Inputs!$B$39="pvp",15,MAX(0.1,Skills!D12-IF(Skills!E12=TRUE,Inputs!$B$32,0))))))/Skills!H12,1)))/Inputs!$B$44),G1032*Q1032))*IF(Inputs!$B$39="pvp",1,1+(Inputs!$B$20+0+Skills!P12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1032*(1-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2">
        <f>IF(C1032,(H1032*N1032*IF(AND(Inputs!$B$39&lt;&gt;"pvp",Inputs!$B$44&gt;0),((Skills!G12*((R1032-1)*IF(Skills!H12&gt;0,Skills!I12/Skills!H12,1)+IF(Skills!H12&gt;0,MIN(Skills!I12,MAX(0,MAX(0,Inputs!$B$44-B1064)-((R1032-1)*IF(Inputs!$B$39="pvp",15,MAX(0.1,Skills!D12-IF(Skills!E12=TRUE,Inputs!$B$32,0))))))/Skills!H12,1)))/Inputs!$B$44),G1032*Q1032))*IF(Inputs!$B$39="pvp",1,(1+(Inputs!$B$21+Skills!Q12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Skills!A13</f>
        <v/>
      </c>
      <c r="B1033">
        <f>Skills!B13</f>
        <v/>
      </c>
      <c r="C1033">
        <f>Inputs!$B$3&gt;=105</f>
        <v/>
      </c>
      <c r="D1033">
        <f>IF(Skills!C13=1,60+Inputs!$B$25+Inputs!$B$29,IF(Skills!C13=2,90+Inputs!$B$26+Inputs!$B$29,IF(Skills!C13=3,120+Inputs!$B$27+Inputs!$B$29,MAX(0,(Inputs!$B$3-100)*3)+(Inputs!$B$28+1)+Inputs!$B$29)))</f>
        <v/>
      </c>
      <c r="E1033">
        <f>INDEX(FactorTable!$B$2:$Y$301, MATCH(ROUND(MIN(300,MAX(1,D1033)),0), FactorTable!$A$2:$A$301,0), Skills!M13+1)</f>
        <v/>
      </c>
      <c r="F1033">
        <f>IF(Skills!N13=TRUE,(Skills!L13/10)*(E1033/1000),Skills!L13/10)+Skills!O13</f>
        <v/>
      </c>
      <c r="G1033">
        <f>Skills!G13*IF(Skills!H13&gt;0,Skills!I13/Skills!H13,1)</f>
        <v/>
      </c>
      <c r="H1033">
        <f>1-(1-Skills!J13/100)^Skills!K13</f>
        <v/>
      </c>
      <c r="I1033" t="inlineStr">
        <is>
          <t>1</t>
        </is>
      </c>
      <c r="J1033">
        <f>((Inputs!$B$6*(1+Inputs!$B$7/100))+(((Inputs!$B$12*(1+Inputs!$B$13/100))-(Inputs!$B$12*(1+Inputs!$B$13/100)))+0.25*(Inputs!$B$14-Inputs!$B$14))*(1+Inputs!$B$7/100))*(F1033/100)</f>
        <v/>
      </c>
      <c r="K1033">
        <f>J1033*(1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1033)</f>
        <v/>
      </c>
      <c r="L1033">
        <f>K1033*(MIN(Inputs!$B$22+((C1044=TRUE)*(F1044-Calc!F24)),(Inputs!$B$23+((C1049=TRUE)*(F1049-Calc!F29))+IF(ArtifactsInput!$M$15,CHOOSE(ArtifactsInput!$N$15+1,25,30,35,40,45,50)/100*(Inputs!$B$11-Inputs!$B$11),0)))/100+(Inputs!$B$23+((C1049=TRUE)*(F1049-Calc!F29))+IF(ArtifactsInput!$M$15,CHOOSE(ArtifactsInput!$N$15+1,25,30,35,40,45,50)/100*(Inputs!$B$11-Inputs!$B$11),0))/100)/2</f>
        <v/>
      </c>
      <c r="M1033">
        <f>L1033*(1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3">
        <f>L1033*(1-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1033*(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3">
        <f>(1-Summary!$B$11)*T1033+Summary!$B$11*V1033</f>
        <v/>
      </c>
      <c r="P1033">
        <f>IF(B1065=0,0,O1033/B1065)</f>
        <v/>
      </c>
      <c r="Q1033">
        <f>IFERROR(1/IF(Inputs!$B$39="pvp",15,MAX(0.1,Skills!D13-IF(Skills!E13=TRUE,Inputs!$B$32,0))),0)</f>
        <v/>
      </c>
      <c r="R1033">
        <f>IF(AND(Inputs!$B$39&lt;&gt;"pvp",Inputs!$B$44&gt;0),IF(MAX(0,Inputs!$B$44-B1064)&lt;=0,0,(INT(MAX(0,Inputs!$B$44-B1064)/IF(Inputs!$B$39="pvp",15,MAX(0.1,Skills!D13-IF(Skills!E13=TRUE,Inputs!$B$32,0))))+1)),0)</f>
        <v/>
      </c>
      <c r="S1033">
        <f>IFERROR(O1033/N1033,0)</f>
        <v/>
      </c>
      <c r="T1033">
        <f>IF(C1033,(H1033*N1033*IF(AND(Inputs!$B$39&lt;&gt;"pvp",Inputs!$B$44&gt;0),((Skills!G13*((R1033-1)*IF(Skills!H13&gt;0,Skills!I13/Skills!H13,1)+IF(Skills!H13&gt;0,MIN(Skills!I13,MAX(0,MAX(0,Inputs!$B$44-B1064)-((R1033-1)*IF(Inputs!$B$39="pvp",15,MAX(0.1,Skills!D13-IF(Skills!E13=TRUE,Inputs!$B$32,0))))))/Skills!H13,1)))/Inputs!$B$44),G1033*Q1033))*IF(Inputs!$B$39="pvp",1,1+(Inputs!$B$20+0+Skills!P13+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1033*(1-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1033*(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1033*(1-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1033*(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3">
        <f>IF(C1033,(H1033*N1033*IF(AND(Inputs!$B$39&lt;&gt;"pvp",Inputs!$B$44&gt;0),((Skills!G13*((R1033-1)*IF(Skills!H13&gt;0,Skills!I13/Skills!H13,1)+IF(Skills!H13&gt;0,MIN(Skills!I13,MAX(0,MAX(0,Inputs!$B$44-B1064)-((R1033-1)*IF(Inputs!$B$39="pvp",15,MAX(0.1,Skills!D13-IF(Skills!E13=TRUE,Inputs!$B$32,0))))))/Skills!H13,1)))/Inputs!$B$44),G1033*Q1033))*IF(Inputs!$B$39="pvp",1,(1+(Inputs!$B$21+Skills!Q13+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4">
      <c r="A1034">
        <f>Skills!A14</f>
        <v/>
      </c>
      <c r="B1034">
        <f>Skills!B14</f>
        <v/>
      </c>
      <c r="C1034">
        <f>Inputs!$B$3&gt;=107</f>
        <v/>
      </c>
      <c r="D1034">
        <f>IF(Skills!C14=1,60+Inputs!$B$25+Inputs!$B$29,IF(Skills!C14=2,90+Inputs!$B$26+Inputs!$B$29,IF(Skills!C14=3,120+Inputs!$B$27+Inputs!$B$29,MAX(0,(Inputs!$B$3-100)*3)+(Inputs!$B$28+1)+Inputs!$B$29)))</f>
        <v/>
      </c>
      <c r="E1034">
        <f>INDEX(FactorTable!$B$2:$Y$301, MATCH(ROUND(MIN(300,MAX(1,D1034)),0), FactorTable!$A$2:$A$301,0), Skills!M14+1)</f>
        <v/>
      </c>
      <c r="F1034">
        <f>IF(Skills!N14=TRUE,(Skills!L14/10)*(E1034/1000),Skills!L14/10)+Skills!O14</f>
        <v/>
      </c>
      <c r="G1034">
        <f>Skills!G14*IF(Skills!H14&gt;0,Skills!I14/Skills!H14,1)</f>
        <v/>
      </c>
      <c r="H1034">
        <f>1-(1-Skills!J14/100)^Skills!K14</f>
        <v/>
      </c>
      <c r="I1034" t="inlineStr">
        <is>
          <t>1</t>
        </is>
      </c>
      <c r="J1034">
        <f>((Inputs!$B$6*(1+Inputs!$B$7/100))+(((Inputs!$B$12*(1+Inputs!$B$13/100))-(Inputs!$B$12*(1+Inputs!$B$13/100)))+0.25*(Inputs!$B$14-Inputs!$B$14))*(1+Inputs!$B$7/100))*(F1034/100)</f>
        <v/>
      </c>
      <c r="K1034">
        <f>J1034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1034)</f>
        <v/>
      </c>
      <c r="L1034">
        <f>K1034*(MIN(Inputs!$B$22+((C1044=TRUE)*(F1044-Calc!F24)),(Inputs!$B$23+((C1049=TRUE)*(F1049-Calc!F29))+IF(ArtifactsInput!$M$15,CHOOSE(ArtifactsInput!$N$15+1,25,30,35,40,45,50)/100*(Inputs!$B$11-Inputs!$B$11),0)))/100+(Inputs!$B$23+((C1049=TRUE)*(F1049-Calc!F29))+IF(ArtifactsInput!$M$15,CHOOSE(ArtifactsInput!$N$15+1,25,30,35,40,45,50)/100*(Inputs!$B$11-Inputs!$B$11),0))/100)/2</f>
        <v/>
      </c>
      <c r="M1034">
        <f>L1034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4">
        <f>L1034*(1-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1034*(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4">
        <f>(1-Summary!$B$11)*T1034+Summary!$B$11*V1034</f>
        <v/>
      </c>
      <c r="P1034">
        <f>IF(B1065=0,0,O1034/B1065)</f>
        <v/>
      </c>
      <c r="Q1034">
        <f>IFERROR(1/IF(Inputs!$B$39="pvp",15,MAX(0.1,Skills!D14-IF(Skills!E14=TRUE,Inputs!$B$32,0))),0)</f>
        <v/>
      </c>
      <c r="R1034">
        <f>IF(AND(Inputs!$B$39&lt;&gt;"pvp",Inputs!$B$44&gt;0),IF(MAX(0,Inputs!$B$44-B1064)&lt;=0,0,(INT(MAX(0,Inputs!$B$44-B1064)/IF(Inputs!$B$39="pvp",15,MAX(0.1,Skills!D14-IF(Skills!E14=TRUE,Inputs!$B$32,0))))+1)),0)</f>
        <v/>
      </c>
      <c r="S1034">
        <f>IFERROR(O1034/N1034,0)</f>
        <v/>
      </c>
      <c r="T1034">
        <f>IF(C1034,(H1034*N1034*IF(AND(Inputs!$B$39&lt;&gt;"pvp",Inputs!$B$44&gt;0),((Skills!G14*((R1034-1)*IF(Skills!H14&gt;0,Skills!I14/Skills!H14,1)+IF(Skills!H14&gt;0,MIN(Skills!I14,MAX(0,MAX(0,Inputs!$B$44-B1064)-((R1034-1)*IF(Inputs!$B$39="pvp",15,MAX(0.1,Skills!D14-IF(Skills!E14=TRUE,Inputs!$B$32,0))))))/Skills!H14,1)))/Inputs!$B$44),G1034*Q1034))*IF(Inputs!$B$39="pvp",1,1+(Inputs!$B$20+0+Skills!P14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1034*(1-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1034*(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1034*(1-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1034*(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4">
        <f>IF(C1034,(H1034*N1034*IF(AND(Inputs!$B$39&lt;&gt;"pvp",Inputs!$B$44&gt;0),((Skills!G14*((R1034-1)*IF(Skills!H14&gt;0,Skills!I14/Skills!H14,1)+IF(Skills!H14&gt;0,MIN(Skills!I14,MAX(0,MAX(0,Inputs!$B$44-B1064)-((R1034-1)*IF(Inputs!$B$39="pvp",15,MAX(0.1,Skills!D14-IF(Skills!E14=TRUE,Inputs!$B$32,0))))))/Skills!H14,1)))/Inputs!$B$44),G1034*Q1034))*IF(Inputs!$B$39="pvp",1,(1+(Inputs!$B$21+Skills!Q14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(5,0.25*B1057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5">
      <c r="A1035">
        <f>Skills!A15</f>
        <v/>
      </c>
      <c r="B1035">
        <f>Skills!B15</f>
        <v/>
      </c>
      <c r="C1035">
        <f>Inputs!$B$3&gt;=110</f>
        <v/>
      </c>
      <c r="D1035">
        <f>IF(Skills!C15=1,60+Inputs!$B$25+Inputs!$B$29,IF(Skills!C15=2,90+Inputs!$B$26+Inputs!$B$29,IF(Skills!C15=3,120+Inputs!$B$27+Inputs!$B$29,MAX(0,(Inputs!$B$3-100)*3)+(Inputs!$B$28+1)+Inputs!$B$29)))</f>
        <v/>
      </c>
      <c r="E1035">
        <f>INDEX(FactorTable!$B$2:$Y$301, MATCH(ROUND(MIN(300,MAX(1,D1035)),0), FactorTable!$A$2:$A$301,0), Skills!M15+1)</f>
        <v/>
      </c>
      <c r="F1035">
        <f>IF(Skills!N15=TRUE,(Skills!L15/10)*(E1035/1000),Skills!L15/10)+Skills!O15</f>
        <v/>
      </c>
      <c r="G1035">
        <f>Skills!G15*IF(Skills!H15&gt;0,Skills!I15/Skills!H15,1)</f>
        <v/>
      </c>
      <c r="H1035">
        <f>1-(1-Skills!J15/100)^Skills!K15</f>
        <v/>
      </c>
      <c r="I1035" t="inlineStr">
        <is>
          <t>1</t>
        </is>
      </c>
      <c r="J1035" t="inlineStr"/>
      <c r="K1035" t="inlineStr"/>
      <c r="L1035" t="inlineStr"/>
      <c r="M1035" t="inlineStr"/>
      <c r="N1035" t="inlineStr"/>
      <c r="O1035">
        <f>(1-Summary!$B$11)*T1035+Summary!$B$11*V1035</f>
        <v/>
      </c>
      <c r="P1035">
        <f>IF(B1065=0,0,O1035/B1065)</f>
        <v/>
      </c>
      <c r="Q1035">
        <f>IFERROR(1/IF(Inputs!$B$39="pvp",15,MAX(0.1,Skills!D15-IF(Skills!E15=TRUE,Inputs!$B$32,0))),0)</f>
        <v/>
      </c>
      <c r="R1035">
        <f>IF(AND(Inputs!$B$39&lt;&gt;"pvp",Inputs!$B$44&gt;0),IF(Inputs!$B$44&lt;=0,0,(INT(Inputs!$B$44/IF(Inputs!$B$39="pvp",15,MAX(0.1,Skills!D15-IF(Skills!E15=TRUE,Inputs!$B$32,0))))+1)),0)</f>
        <v/>
      </c>
      <c r="S1035">
        <f>IFERROR(O1035/N1035,0)</f>
        <v/>
      </c>
      <c r="T1035" t="n">
        <v>0</v>
      </c>
      <c r="V1035" t="n">
        <v>0</v>
      </c>
    </row>
    <row r="1036">
      <c r="A1036">
        <f>Skills!A16</f>
        <v/>
      </c>
      <c r="B1036">
        <f>Skills!B16</f>
        <v/>
      </c>
      <c r="C1036">
        <f>Inputs!$B$3&gt;=115</f>
        <v/>
      </c>
      <c r="D1036">
        <f>IF(Skills!C16=1,60+Inputs!$B$25+Inputs!$B$29,IF(Skills!C16=2,90+Inputs!$B$26+Inputs!$B$29,IF(Skills!C16=3,120+Inputs!$B$27+Inputs!$B$29,MAX(0,(Inputs!$B$3-100)*3)+(Inputs!$B$28+1)+Inputs!$B$29)))</f>
        <v/>
      </c>
      <c r="E1036">
        <f>INDEX(FactorTable!$B$2:$Y$301, MATCH(ROUND(MIN(300,MAX(1,D1036)),0), FactorTable!$A$2:$A$301,0), Skills!M16+1)</f>
        <v/>
      </c>
      <c r="F1036">
        <f>IF(Skills!N16=TRUE,(Skills!L16/10)*(E1036/1000),Skills!L16/10)+Skills!O16</f>
        <v/>
      </c>
      <c r="G1036">
        <f>Skills!G16*IF(Skills!H16&gt;0,Skills!I16/Skills!H16,1)</f>
        <v/>
      </c>
      <c r="H1036">
        <f>1-(1-Skills!J16/100)^Skills!K16</f>
        <v/>
      </c>
      <c r="I1036" t="inlineStr">
        <is>
          <t>1</t>
        </is>
      </c>
      <c r="J1036">
        <f>((Inputs!$B$6*(1+Inputs!$B$7/100))+(((Inputs!$B$12*(1+Inputs!$B$13/100))-(Inputs!$B$12*(1+Inputs!$B$13/100)))+0.25*(Inputs!$B$14-Inputs!$B$14))*(1+Inputs!$B$7/100))*(F1036/100)</f>
        <v/>
      </c>
      <c r="K1036">
        <f>J1036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1047=TRUE)*(F1047-Calc!F27))+((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1036)</f>
        <v/>
      </c>
      <c r="L1036">
        <f>K1036*(MIN(Inputs!$B$22+((C1044=TRUE)*(F1044-Calc!F24)),(Inputs!$B$23+((C1049=TRUE)*(F1049-Calc!F29))+IF(ArtifactsInput!$M$15,CHOOSE(ArtifactsInput!$N$15+1,25,30,35,40,45,50)/100*(Inputs!$B$11-Inputs!$B$11),0)))/100+(Inputs!$B$23+((C1049=TRUE)*(F1049-Calc!F29))+IF(ArtifactsInput!$M$15,CHOOSE(ArtifactsInput!$N$15+1,25,30,35,40,45,50)/100*(Inputs!$B$11-Inputs!$B$11),0))/100)/2</f>
        <v/>
      </c>
      <c r="M1036">
        <f>L1036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6">
        <f>L1036*(1-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1036*(MIN((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6">
        <f>(1-Summary!$B$11)*T1036+Summary!$B$11*V1036</f>
        <v/>
      </c>
      <c r="P1036">
        <f>IF(B1065=0,0,O1036/B1065)</f>
        <v/>
      </c>
      <c r="Q1036" t="n">
        <v>0</v>
      </c>
      <c r="R1036" t="n">
        <v>0</v>
      </c>
      <c r="S1036">
        <f>IFERROR(O1036/N1036,0)</f>
        <v/>
      </c>
      <c r="T1036">
        <f>IF(C1036,(Inputs!$B$38*0.2*N1036)*IF(Inputs!$B$39="pvp",1,1+(Inputs!$B$20+0+Skills!P16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1036*(1-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1036*(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1036*(1-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1036*(MIN(100,(Inputs!$B$9+((C1045=TRUE)*(F1045-Calc!F25))+B1053+(ArtifactsInput!$M$24-ArtifactsInput!$M$24)*CHOOSE(ArtifactsInput!$N$24+1,10,12,14,16,18,20)+(IF(AND(Inputs!$B$39&lt;&gt;"pvp",Inputs!$B$44=0),1,IF(IF(Inputs!$B$39="pvp",15,Inputs!$B$44)-(B1064)&lt;=0,1,MAX(0,IF(Inputs!$B$39="pvp",15,Inputs!$B$44)-MAX(5,B1064))/(IF(Inputs!$B$39="pvp",15,Inputs!$B$44)-(B1064))))*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6">
        <f>IF(C1036,(Inputs!$B$38*0.2*N1036)*IF(Inputs!$B$39="pvp",1,(1+(Inputs!$B$21+Skills!Q16+B1054+(IF(ArtifactsInput!$M$33,CHOOSE(ArtifactsInput!$N$33+1,30,36,42,48,54,60),0))+(IF(AND(ArtifactsInput!$M$35,Inputs!$B$4&lt;&gt;"Chapter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7">
      <c r="A1037">
        <f>Skills!A17</f>
        <v/>
      </c>
      <c r="B1037">
        <f>Skills!B17</f>
        <v/>
      </c>
      <c r="C1037">
        <f>Inputs!$B$3&gt;=115</f>
        <v/>
      </c>
      <c r="D1037">
        <f>IF(Skills!C17=1,60+Inputs!$B$25+Inputs!$B$29,IF(Skills!C17=2,90+Inputs!$B$26+Inputs!$B$29,IF(Skills!C17=3,120+Inputs!$B$27+Inputs!$B$29,MAX(0,(Inputs!$B$3-100)*3)+(Inputs!$B$28+1)+Inputs!$B$29)))</f>
        <v/>
      </c>
      <c r="E1037">
        <f>INDEX(FactorTable!$B$2:$Y$301, MATCH(ROUND(MIN(300,MAX(1,D1037)),0), FactorTable!$A$2:$A$301,0), Skills!M17+1)</f>
        <v/>
      </c>
      <c r="F1037">
        <f>IF(Skills!N17=TRUE,(Skills!L17/10)*(E1037/1000),Skills!L17/10)+Skills!O17</f>
        <v/>
      </c>
      <c r="G1037">
        <f>Skills!G17*IF(Skills!H17&gt;0,Skills!I17/Skills!H17,1)</f>
        <v/>
      </c>
      <c r="H1037">
        <f>1-(1-Skills!J17/100)^Skills!K17</f>
        <v/>
      </c>
      <c r="I1037" t="inlineStr">
        <is>
          <t>1</t>
        </is>
      </c>
      <c r="J1037" t="inlineStr"/>
      <c r="K1037" t="inlineStr"/>
      <c r="L1037" t="inlineStr"/>
      <c r="M1037" t="inlineStr"/>
      <c r="N1037" t="inlineStr"/>
      <c r="O1037">
        <f>(1-Summary!$B$11)*T1037+Summary!$B$11*V1037</f>
        <v/>
      </c>
      <c r="P1037">
        <f>IF(B1065=0,0,O1037/B1065)</f>
        <v/>
      </c>
      <c r="Q1037" t="n">
        <v>0</v>
      </c>
      <c r="R1037" t="n">
        <v>0</v>
      </c>
      <c r="S1037">
        <f>IFERROR(O1037/N1037,0)</f>
        <v/>
      </c>
      <c r="T1037" t="n">
        <v>0</v>
      </c>
      <c r="V1037" t="n">
        <v>0</v>
      </c>
    </row>
    <row r="1038">
      <c r="A1038">
        <f>Skills!A18</f>
        <v/>
      </c>
      <c r="B1038">
        <f>Skills!B18</f>
        <v/>
      </c>
      <c r="C1038">
        <f>Inputs!$B$3&gt;=100</f>
        <v/>
      </c>
      <c r="D1038">
        <f>IF(Skills!C18=1,60+Inputs!$B$25+Inputs!$B$29,IF(Skills!C18=2,90+Inputs!$B$26+Inputs!$B$29,IF(Skills!C18=3,120+Inputs!$B$27+Inputs!$B$29,MAX(0,(Inputs!$B$3-100)*3)+(Inputs!$B$28+1)+Inputs!$B$29)))</f>
        <v/>
      </c>
      <c r="E1038">
        <f>INDEX(FactorTable!$B$2:$Y$301, MATCH(ROUND(MIN(300,MAX(1,D1038)),0), FactorTable!$A$2:$A$301,0), Skills!M18+1)</f>
        <v/>
      </c>
      <c r="F1038">
        <f>IF(Skills!N18=TRUE,(Skills!L18/10)*(E1038/1000),Skills!L18/10)+Skills!O18</f>
        <v/>
      </c>
      <c r="G1038">
        <f>Skills!G18*IF(Skills!H18&gt;0,Skills!I18/Skills!H18,1)</f>
        <v/>
      </c>
      <c r="H1038">
        <f>1-(1-Skills!J18/100)^Skills!K18</f>
        <v/>
      </c>
      <c r="I1038" t="inlineStr">
        <is>
          <t>1</t>
        </is>
      </c>
      <c r="J1038" t="inlineStr"/>
      <c r="K1038" t="inlineStr"/>
      <c r="L1038" t="inlineStr"/>
      <c r="M1038" t="inlineStr"/>
      <c r="N1038" t="inlineStr"/>
      <c r="O1038">
        <f>(1-Summary!$B$11)*T1038+Summary!$B$11*V1038</f>
        <v/>
      </c>
      <c r="P1038">
        <f>IF(B1065=0,0,O1038/B1065)</f>
        <v/>
      </c>
      <c r="Q1038" t="n">
        <v>0</v>
      </c>
      <c r="R1038" t="n">
        <v>0</v>
      </c>
      <c r="S1038">
        <f>IFERROR(O1038/N1038,0)</f>
        <v/>
      </c>
      <c r="T1038" t="n">
        <v>0</v>
      </c>
      <c r="V1038" t="n">
        <v>0</v>
      </c>
    </row>
    <row r="1039">
      <c r="A1039">
        <f>Skills!A19</f>
        <v/>
      </c>
      <c r="B1039">
        <f>Skills!B19</f>
        <v/>
      </c>
      <c r="C1039">
        <f>TRUE</f>
        <v/>
      </c>
      <c r="D1039">
        <f>IF(Skills!C19=1,60+Inputs!$B$25+Inputs!$B$29,IF(Skills!C19=2,90+Inputs!$B$26+Inputs!$B$29,IF(Skills!C19=3,120+Inputs!$B$27+Inputs!$B$29,MAX(0,(Inputs!$B$3-100)*3)+(Inputs!$B$28+1)+Inputs!$B$29)))</f>
        <v/>
      </c>
      <c r="E1039">
        <f>INDEX(FactorTable!$B$2:$Y$301, MATCH(ROUND(MIN(300,MAX(1,D1039)),0), FactorTable!$A$2:$A$301,0), Skills!M19+1)</f>
        <v/>
      </c>
      <c r="F1039">
        <f>IF(Skills!N19=TRUE,(Skills!L19/10)*(E1039/1000),Skills!L19/10)+Skills!O19</f>
        <v/>
      </c>
      <c r="G1039">
        <f>Skills!G19*IF(Skills!H19&gt;0,Skills!I19/Skills!H19,1)</f>
        <v/>
      </c>
      <c r="H1039">
        <f>1-(1-Skills!J19/100)^Skills!K19</f>
        <v/>
      </c>
      <c r="I1039" t="inlineStr">
        <is>
          <t>1</t>
        </is>
      </c>
      <c r="J1039" t="inlineStr"/>
      <c r="K1039" t="inlineStr"/>
      <c r="L1039" t="inlineStr"/>
      <c r="M1039" t="inlineStr"/>
      <c r="N1039" t="inlineStr"/>
      <c r="O1039">
        <f>(1-Summary!$B$11)*T1039+Summary!$B$11*V1039</f>
        <v/>
      </c>
      <c r="P1039">
        <f>IF(B1065=0,0,O1039/B1065)</f>
        <v/>
      </c>
      <c r="Q1039">
        <f>IFERROR(1/IF(Inputs!$B$39="pvp",15,MAX(0.1,Skills!D19-IF(Skills!E19=TRUE,Inputs!$B$32,0))),0)</f>
        <v/>
      </c>
      <c r="R1039">
        <f>IF(AND(Inputs!$B$39&lt;&gt;"pvp",Inputs!$B$44&gt;0),IF(Inputs!$B$44&lt;=0,0,(INT(Inputs!$B$44/IF(Inputs!$B$39="pvp",15,MAX(0.1,Skills!D19-IF(Skills!E19=TRUE,Inputs!$B$32,0))))+1)),0)</f>
        <v/>
      </c>
      <c r="S1039">
        <f>IFERROR(O1039/N1039,0)</f>
        <v/>
      </c>
      <c r="T1039" t="n">
        <v>0</v>
      </c>
      <c r="V1039" t="n">
        <v>0</v>
      </c>
    </row>
    <row r="1040">
      <c r="A1040">
        <f>Skills!A20</f>
        <v/>
      </c>
      <c r="B1040">
        <f>Skills!B20</f>
        <v/>
      </c>
      <c r="C1040">
        <f>Inputs!$B$3&gt;=15</f>
        <v/>
      </c>
      <c r="D1040">
        <f>IF(Skills!C20=1,60+Inputs!$B$25+Inputs!$B$29,IF(Skills!C20=2,90+Inputs!$B$26+Inputs!$B$29,IF(Skills!C20=3,120+Inputs!$B$27+Inputs!$B$29,MAX(0,(Inputs!$B$3-100)*3)+(Inputs!$B$28+1)+Inputs!$B$29)))</f>
        <v/>
      </c>
      <c r="E1040">
        <f>INDEX(FactorTable!$B$2:$Y$301, MATCH(ROUND(MIN(300,MAX(1,D1040)),0), FactorTable!$A$2:$A$301,0), Skills!M20+1)</f>
        <v/>
      </c>
      <c r="F1040">
        <f>IF(Skills!N20=TRUE,(Skills!L20/10)*(E1040/1000),Skills!L20/10)+Skills!O20</f>
        <v/>
      </c>
      <c r="G1040">
        <f>Skills!G20*IF(Skills!H20&gt;0,Skills!I20/Skills!H20,1)</f>
        <v/>
      </c>
      <c r="H1040">
        <f>1-(1-Skills!J20/100)^Skills!K20</f>
        <v/>
      </c>
      <c r="I1040" t="inlineStr">
        <is>
          <t>1</t>
        </is>
      </c>
      <c r="J1040" t="inlineStr"/>
      <c r="K1040" t="inlineStr"/>
      <c r="L1040" t="inlineStr"/>
      <c r="M1040" t="inlineStr"/>
      <c r="N1040" t="inlineStr"/>
      <c r="O1040">
        <f>(1-Summary!$B$11)*T1040+Summary!$B$11*V1040</f>
        <v/>
      </c>
      <c r="P1040">
        <f>IF(B1065=0,0,O1040/B1065)</f>
        <v/>
      </c>
      <c r="Q1040">
        <f>IFERROR(1/IF(Inputs!$B$39="pvp",15,MAX(0.1,Skills!D20-IF(Skills!E20=TRUE,Inputs!$B$32,0))),0)</f>
        <v/>
      </c>
      <c r="R1040">
        <f>IF(AND(Inputs!$B$39&lt;&gt;"pvp",Inputs!$B$44&gt;0),IF(Inputs!$B$44&lt;=0,0,(INT(Inputs!$B$44/IF(Inputs!$B$39="pvp",15,MAX(0.1,Skills!D20-IF(Skills!E20=TRUE,Inputs!$B$32,0))))+1)),0)</f>
        <v/>
      </c>
      <c r="S1040">
        <f>IFERROR(O1040/N1040,0)</f>
        <v/>
      </c>
      <c r="T1040" t="n">
        <v>0</v>
      </c>
      <c r="V1040" t="n">
        <v>0</v>
      </c>
    </row>
    <row r="1041">
      <c r="A1041">
        <f>Skills!A21</f>
        <v/>
      </c>
      <c r="B1041">
        <f>Skills!B21</f>
        <v/>
      </c>
      <c r="C1041">
        <f>Inputs!$B$3&gt;=15</f>
        <v/>
      </c>
      <c r="D1041">
        <f>IF(Skills!C21=1,60+Inputs!$B$25+Inputs!$B$29,IF(Skills!C21=2,90+Inputs!$B$26+Inputs!$B$29,IF(Skills!C21=3,120+Inputs!$B$27+Inputs!$B$29,MAX(0,(Inputs!$B$3-100)*3)+(Inputs!$B$28+1)+Inputs!$B$29)))</f>
        <v/>
      </c>
      <c r="E1041">
        <f>INDEX(FactorTable!$B$2:$Y$301, MATCH(ROUND(MIN(300,MAX(1,D1041)),0), FactorTable!$A$2:$A$301,0), Skills!M21+1)</f>
        <v/>
      </c>
      <c r="F1041">
        <f>IF(Skills!N21=TRUE,(Skills!L21/10)*(E1041/1000),Skills!L21/10)+Skills!O21</f>
        <v/>
      </c>
      <c r="G1041">
        <f>Skills!G21*IF(Skills!H21&gt;0,Skills!I21/Skills!H21,1)</f>
        <v/>
      </c>
      <c r="H1041">
        <f>1-(1-Skills!J21/100)^Skills!K21</f>
        <v/>
      </c>
      <c r="I1041" t="inlineStr">
        <is>
          <t>1</t>
        </is>
      </c>
      <c r="J1041" t="inlineStr"/>
      <c r="K1041" t="inlineStr"/>
      <c r="L1041" t="inlineStr"/>
      <c r="M1041" t="inlineStr"/>
      <c r="N1041" t="inlineStr"/>
      <c r="O1041">
        <f>(1-Summary!$B$11)*T1041+Summary!$B$11*V1041</f>
        <v/>
      </c>
      <c r="P1041">
        <f>IF(B1065=0,0,O1041/B1065)</f>
        <v/>
      </c>
      <c r="Q1041">
        <f>IFERROR(1/IF(Inputs!$B$39="pvp",15,MAX(0.1,Skills!D21-IF(Skills!E21=TRUE,Inputs!$B$32,0))),0)</f>
        <v/>
      </c>
      <c r="R1041">
        <f>IF(AND(Inputs!$B$39&lt;&gt;"pvp",Inputs!$B$44&gt;0),IF(Inputs!$B$44&lt;=0,0,(INT(Inputs!$B$44/IF(Inputs!$B$39="pvp",15,MAX(0.1,Skills!D21-IF(Skills!E21=TRUE,Inputs!$B$32,0))))+1)),0)</f>
        <v/>
      </c>
      <c r="S1041">
        <f>IFERROR(O1041/N1041,0)</f>
        <v/>
      </c>
      <c r="T1041" t="n">
        <v>0</v>
      </c>
      <c r="V1041" t="n">
        <v>0</v>
      </c>
    </row>
    <row r="1042">
      <c r="A1042">
        <f>Skills!A22</f>
        <v/>
      </c>
      <c r="B1042">
        <f>Skills!B22</f>
        <v/>
      </c>
      <c r="C1042">
        <f>Inputs!$B$3&gt;=33</f>
        <v/>
      </c>
      <c r="D1042">
        <f>IF(Skills!C22=1,60+Inputs!$B$25+Inputs!$B$29,IF(Skills!C22=2,90+Inputs!$B$26+Inputs!$B$29,IF(Skills!C22=3,120+Inputs!$B$27+Inputs!$B$29,MAX(0,(Inputs!$B$3-100)*3)+(Inputs!$B$28+1)+Inputs!$B$29)))</f>
        <v/>
      </c>
      <c r="E1042">
        <f>INDEX(FactorTable!$B$2:$Y$301, MATCH(ROUND(MIN(300,MAX(1,D1042)),0), FactorTable!$A$2:$A$301,0), Skills!M22+1)</f>
        <v/>
      </c>
      <c r="F1042">
        <f>IF(Skills!N22=TRUE,(Skills!L22/10)*(E1042/1000),Skills!L22/10)+Skills!O22</f>
        <v/>
      </c>
      <c r="G1042">
        <f>Skills!G22*IF(Skills!H22&gt;0,Skills!I22/Skills!H22,1)</f>
        <v/>
      </c>
      <c r="H1042">
        <f>1-(1-Skills!J22/100)^Skills!K22</f>
        <v/>
      </c>
      <c r="I1042" t="inlineStr">
        <is>
          <t>1</t>
        </is>
      </c>
      <c r="J1042" t="inlineStr"/>
      <c r="K1042" t="inlineStr"/>
      <c r="L1042" t="inlineStr"/>
      <c r="M1042" t="inlineStr"/>
      <c r="N1042" t="inlineStr"/>
      <c r="O1042">
        <f>(1-Summary!$B$11)*T1042+Summary!$B$11*V1042</f>
        <v/>
      </c>
      <c r="P1042">
        <f>IF(B1065=0,0,O1042/B1065)</f>
        <v/>
      </c>
      <c r="Q1042" t="n">
        <v>0</v>
      </c>
      <c r="R1042" t="n">
        <v>0</v>
      </c>
      <c r="S1042">
        <f>IFERROR(O1042/N1042,0)</f>
        <v/>
      </c>
      <c r="T1042" t="n">
        <v>0</v>
      </c>
      <c r="V1042" t="n">
        <v>0</v>
      </c>
    </row>
    <row r="1043">
      <c r="A1043">
        <f>Skills!A23</f>
        <v/>
      </c>
      <c r="B1043">
        <f>Skills!B23</f>
        <v/>
      </c>
      <c r="C1043">
        <f>Inputs!$B$3&gt;=40</f>
        <v/>
      </c>
      <c r="D1043">
        <f>IF(Skills!C23=1,60+Inputs!$B$25+Inputs!$B$29,IF(Skills!C23=2,90+Inputs!$B$26+Inputs!$B$29,IF(Skills!C23=3,120+Inputs!$B$27+Inputs!$B$29,MAX(0,(Inputs!$B$3-100)*3)+(Inputs!$B$28+1)+Inputs!$B$29)))</f>
        <v/>
      </c>
      <c r="E1043">
        <f>INDEX(FactorTable!$B$2:$Y$301, MATCH(ROUND(MIN(300,MAX(1,D1043)),0), FactorTable!$A$2:$A$301,0), Skills!M23+1)</f>
        <v/>
      </c>
      <c r="F1043">
        <f>IF(Skills!N23=TRUE,(Skills!L23/10)*(E1043/1000),Skills!L23/10)+Skills!O23</f>
        <v/>
      </c>
      <c r="G1043">
        <f>Skills!G23*IF(Skills!H23&gt;0,Skills!I23/Skills!H23,1)</f>
        <v/>
      </c>
      <c r="H1043">
        <f>1-(1-Skills!J23/100)^Skills!K23</f>
        <v/>
      </c>
      <c r="I1043" t="inlineStr">
        <is>
          <t>1</t>
        </is>
      </c>
      <c r="J1043" t="inlineStr"/>
      <c r="K1043" t="inlineStr"/>
      <c r="L1043" t="inlineStr"/>
      <c r="M1043" t="inlineStr"/>
      <c r="N1043" t="inlineStr"/>
      <c r="O1043">
        <f>(1-Summary!$B$11)*T1043+Summary!$B$11*V1043</f>
        <v/>
      </c>
      <c r="P1043">
        <f>IF(B1065=0,0,O1043/B1065)</f>
        <v/>
      </c>
      <c r="Q1043" t="n">
        <v>0</v>
      </c>
      <c r="R1043" t="n">
        <v>0</v>
      </c>
      <c r="S1043">
        <f>IFERROR(O1043/N1043,0)</f>
        <v/>
      </c>
      <c r="T1043" t="n">
        <v>0</v>
      </c>
      <c r="V1043" t="n">
        <v>0</v>
      </c>
    </row>
    <row r="1044">
      <c r="A1044">
        <f>Skills!A24</f>
        <v/>
      </c>
      <c r="B1044">
        <f>Skills!B24</f>
        <v/>
      </c>
      <c r="C1044">
        <f>Inputs!$B$3&gt;=43</f>
        <v/>
      </c>
      <c r="D1044">
        <f>IF(Skills!C24=1,60+Inputs!$B$25+Inputs!$B$29,IF(Skills!C24=2,90+Inputs!$B$26+Inputs!$B$29,IF(Skills!C24=3,120+Inputs!$B$27+Inputs!$B$29,MAX(0,(Inputs!$B$3-100)*3)+(Inputs!$B$28+1)+Inputs!$B$29)))</f>
        <v/>
      </c>
      <c r="E1044">
        <f>INDEX(FactorTable!$B$2:$Y$301, MATCH(ROUND(MIN(300,MAX(1,D1044)),0), FactorTable!$A$2:$A$301,0), Skills!M24+1)</f>
        <v/>
      </c>
      <c r="F1044">
        <f>IF(Skills!N24=TRUE,(Skills!L24/10)*(E1044/1000),Skills!L24/10)+Skills!O24</f>
        <v/>
      </c>
      <c r="G1044">
        <f>Skills!G24*IF(Skills!H24&gt;0,Skills!I24/Skills!H24,1)</f>
        <v/>
      </c>
      <c r="H1044">
        <f>1-(1-Skills!J24/100)^Skills!K24</f>
        <v/>
      </c>
      <c r="I1044" t="inlineStr">
        <is>
          <t>1</t>
        </is>
      </c>
      <c r="J1044" t="inlineStr"/>
      <c r="K1044" t="inlineStr"/>
      <c r="L1044" t="inlineStr"/>
      <c r="M1044" t="inlineStr"/>
      <c r="N1044" t="inlineStr"/>
      <c r="O1044">
        <f>(1-Summary!$B$11)*T1044+Summary!$B$11*V1044</f>
        <v/>
      </c>
      <c r="P1044">
        <f>IF(B1065=0,0,O1044/B1065)</f>
        <v/>
      </c>
      <c r="Q1044" t="n">
        <v>0</v>
      </c>
      <c r="R1044" t="n">
        <v>0</v>
      </c>
      <c r="S1044">
        <f>IFERROR(O1044/N1044,0)</f>
        <v/>
      </c>
      <c r="T1044" t="n">
        <v>0</v>
      </c>
      <c r="V1044" t="n">
        <v>0</v>
      </c>
    </row>
    <row r="1045">
      <c r="A1045">
        <f>Skills!A25</f>
        <v/>
      </c>
      <c r="B1045">
        <f>Skills!B25</f>
        <v/>
      </c>
      <c r="C1045">
        <f>Inputs!$B$3&gt;=50</f>
        <v/>
      </c>
      <c r="D1045">
        <f>IF(Skills!C25=1,60+Inputs!$B$25+Inputs!$B$29,IF(Skills!C25=2,90+Inputs!$B$26+Inputs!$B$29,IF(Skills!C25=3,120+Inputs!$B$27+Inputs!$B$29,MAX(0,(Inputs!$B$3-100)*3)+(Inputs!$B$28+1)+Inputs!$B$29)))</f>
        <v/>
      </c>
      <c r="E1045">
        <f>INDEX(FactorTable!$B$2:$Y$301, MATCH(ROUND(MIN(300,MAX(1,D1045)),0), FactorTable!$A$2:$A$301,0), Skills!M25+1)</f>
        <v/>
      </c>
      <c r="F1045">
        <f>IF(Skills!N25=TRUE,(Skills!L25/10)*(E1045/1000),Skills!L25/10)+Skills!O25</f>
        <v/>
      </c>
      <c r="G1045">
        <f>Skills!G25*IF(Skills!H25&gt;0,Skills!I25/Skills!H25,1)</f>
        <v/>
      </c>
      <c r="H1045">
        <f>1-(1-Skills!J25/100)^Skills!K25</f>
        <v/>
      </c>
      <c r="I1045" t="inlineStr">
        <is>
          <t>1</t>
        </is>
      </c>
      <c r="J1045" t="inlineStr"/>
      <c r="K1045" t="inlineStr"/>
      <c r="L1045" t="inlineStr"/>
      <c r="M1045" t="inlineStr"/>
      <c r="N1045" t="inlineStr"/>
      <c r="O1045">
        <f>(1-Summary!$B$11)*T1045+Summary!$B$11*V1045</f>
        <v/>
      </c>
      <c r="P1045">
        <f>IF(B1065=0,0,O1045/B1065)</f>
        <v/>
      </c>
      <c r="Q1045" t="n">
        <v>0</v>
      </c>
      <c r="R1045" t="n">
        <v>0</v>
      </c>
      <c r="S1045">
        <f>IFERROR(O1045/N1045,0)</f>
        <v/>
      </c>
      <c r="T1045" t="n">
        <v>0</v>
      </c>
      <c r="V1045" t="n">
        <v>0</v>
      </c>
    </row>
    <row r="1046">
      <c r="A1046">
        <f>Skills!A26</f>
        <v/>
      </c>
      <c r="B1046">
        <f>Skills!B26</f>
        <v/>
      </c>
      <c r="C1046">
        <f>Inputs!$B$3&gt;=50</f>
        <v/>
      </c>
      <c r="D1046">
        <f>IF(Skills!C26=1,60+Inputs!$B$25+Inputs!$B$29,IF(Skills!C26=2,90+Inputs!$B$26+Inputs!$B$29,IF(Skills!C26=3,120+Inputs!$B$27+Inputs!$B$29,MAX(0,(Inputs!$B$3-100)*3)+(Inputs!$B$28+1)+Inputs!$B$29)))</f>
        <v/>
      </c>
      <c r="E1046">
        <f>INDEX(FactorTable!$B$2:$Y$301, MATCH(ROUND(MIN(300,MAX(1,D1046)),0), FactorTable!$A$2:$A$301,0), Skills!M26+1)</f>
        <v/>
      </c>
      <c r="F1046">
        <f>IF(Skills!N26=TRUE,(Skills!L26/10)*(E1046/1000),Skills!L26/10)+Skills!O26</f>
        <v/>
      </c>
      <c r="G1046">
        <f>Skills!G26*IF(Skills!H26&gt;0,Skills!I26/Skills!H26,1)</f>
        <v/>
      </c>
      <c r="H1046">
        <f>1-(1-Skills!J26/100)^Skills!K26</f>
        <v/>
      </c>
      <c r="I1046" t="inlineStr">
        <is>
          <t>1</t>
        </is>
      </c>
      <c r="J1046" t="inlineStr"/>
      <c r="K1046" t="inlineStr"/>
      <c r="L1046" t="inlineStr"/>
      <c r="M1046" t="inlineStr"/>
      <c r="N1046" t="inlineStr"/>
      <c r="O1046">
        <f>(1-Summary!$B$11)*T1046+Summary!$B$11*V1046</f>
        <v/>
      </c>
      <c r="P1046">
        <f>IF(B1065=0,0,O1046/B1065)</f>
        <v/>
      </c>
      <c r="Q1046" t="n">
        <v>0</v>
      </c>
      <c r="R1046" t="n">
        <v>0</v>
      </c>
      <c r="S1046">
        <f>IFERROR(O1046/N1046,0)</f>
        <v/>
      </c>
      <c r="T1046" t="n">
        <v>0</v>
      </c>
      <c r="V1046" t="n">
        <v>0</v>
      </c>
    </row>
    <row r="1047">
      <c r="A1047">
        <f>Skills!A27</f>
        <v/>
      </c>
      <c r="B1047">
        <f>Skills!B27</f>
        <v/>
      </c>
      <c r="C1047">
        <f>Inputs!$B$3&gt;=38</f>
        <v/>
      </c>
      <c r="D1047">
        <f>IF(Skills!C27=1,60+Inputs!$B$25+Inputs!$B$29,IF(Skills!C27=2,90+Inputs!$B$26+Inputs!$B$29,IF(Skills!C27=3,120+Inputs!$B$27+Inputs!$B$29,MAX(0,(Inputs!$B$3-100)*3)+(Inputs!$B$28+1)+Inputs!$B$29)))</f>
        <v/>
      </c>
      <c r="E1047">
        <f>INDEX(FactorTable!$B$2:$Y$301, MATCH(ROUND(MIN(300,MAX(1,D1047)),0), FactorTable!$A$2:$A$301,0), Skills!M27+1)</f>
        <v/>
      </c>
      <c r="F1047">
        <f>IF(Skills!N27=TRUE,(Skills!L27/10)*(E1047/1000),Skills!L27/10)+Skills!O27</f>
        <v/>
      </c>
      <c r="G1047">
        <f>Skills!G27*IF(Skills!H27&gt;0,Skills!I27/Skills!H27,1)</f>
        <v/>
      </c>
      <c r="H1047">
        <f>1-(1-Skills!J27/100)^Skills!K27</f>
        <v/>
      </c>
      <c r="I1047" t="inlineStr">
        <is>
          <t>1</t>
        </is>
      </c>
      <c r="J1047" t="inlineStr"/>
      <c r="K1047" t="inlineStr"/>
      <c r="L1047" t="inlineStr"/>
      <c r="M1047" t="inlineStr"/>
      <c r="N1047" t="inlineStr"/>
      <c r="O1047">
        <f>(1-Summary!$B$11)*T1047+Summary!$B$11*V1047</f>
        <v/>
      </c>
      <c r="P1047">
        <f>IF(B1065=0,0,O1047/B1065)</f>
        <v/>
      </c>
      <c r="Q1047" t="n">
        <v>0</v>
      </c>
      <c r="R1047" t="n">
        <v>0</v>
      </c>
      <c r="S1047">
        <f>IFERROR(O1047/N1047,0)</f>
        <v/>
      </c>
      <c r="T1047" t="n">
        <v>0</v>
      </c>
      <c r="V1047" t="n">
        <v>0</v>
      </c>
    </row>
    <row r="1048">
      <c r="A1048">
        <f>Skills!A28</f>
        <v/>
      </c>
      <c r="B1048">
        <f>Skills!B28</f>
        <v/>
      </c>
      <c r="C1048">
        <f>Inputs!$B$3&gt;=120</f>
        <v/>
      </c>
      <c r="D1048">
        <f>IF(Skills!C28=1,60+Inputs!$B$25+Inputs!$B$29,IF(Skills!C28=2,90+Inputs!$B$26+Inputs!$B$29,IF(Skills!C28=3,120+Inputs!$B$27+Inputs!$B$29,MAX(0,(Inputs!$B$3-100)*3)+(Inputs!$B$28+1)+Inputs!$B$29)))</f>
        <v/>
      </c>
      <c r="E1048">
        <f>INDEX(FactorTable!$B$2:$Y$301, MATCH(ROUND(MIN(300,MAX(1,D1048)),0), FactorTable!$A$2:$A$301,0), Skills!M28+1)</f>
        <v/>
      </c>
      <c r="F1048">
        <f>IF(Skills!N28=TRUE,(Skills!L28/10)*(E1048/1000),Skills!L28/10)+Skills!O28</f>
        <v/>
      </c>
      <c r="G1048">
        <f>Skills!G28*IF(Skills!H28&gt;0,Skills!I28/Skills!H28,1)</f>
        <v/>
      </c>
      <c r="H1048">
        <f>1-(1-Skills!J28/100)^Skills!K28</f>
        <v/>
      </c>
      <c r="I1048" t="inlineStr">
        <is>
          <t>1</t>
        </is>
      </c>
      <c r="J1048" t="inlineStr"/>
      <c r="K1048" t="inlineStr"/>
      <c r="L1048" t="inlineStr"/>
      <c r="M1048" t="inlineStr"/>
      <c r="N1048" t="inlineStr"/>
      <c r="O1048">
        <f>(1-Summary!$B$11)*T1048+Summary!$B$11*V1048</f>
        <v/>
      </c>
      <c r="P1048">
        <f>IF(B1065=0,0,O1048/B1065)</f>
        <v/>
      </c>
      <c r="Q1048" t="n">
        <v>0</v>
      </c>
      <c r="R1048" t="n">
        <v>0</v>
      </c>
      <c r="S1048">
        <f>IFERROR(O1048/N1048,0)</f>
        <v/>
      </c>
      <c r="T1048" t="n">
        <v>0</v>
      </c>
      <c r="V1048" t="n">
        <v>0</v>
      </c>
    </row>
    <row r="1049">
      <c r="A1049">
        <f>Skills!A29</f>
        <v/>
      </c>
      <c r="B1049">
        <f>Skills!B29</f>
        <v/>
      </c>
      <c r="C1049">
        <f>Inputs!$B$3&gt;=120</f>
        <v/>
      </c>
      <c r="D1049">
        <f>IF(Skills!C29=1,60+Inputs!$B$25+Inputs!$B$29,IF(Skills!C29=2,90+Inputs!$B$26+Inputs!$B$29,IF(Skills!C29=3,120+Inputs!$B$27+Inputs!$B$29,MAX(0,(Inputs!$B$3-100)*3)+(Inputs!$B$28+1)+Inputs!$B$29)))</f>
        <v/>
      </c>
      <c r="E1049">
        <f>INDEX(FactorTable!$B$2:$Y$301, MATCH(ROUND(MIN(300,MAX(1,D1049)),0), FactorTable!$A$2:$A$301,0), Skills!M29+1)</f>
        <v/>
      </c>
      <c r="F1049">
        <f>IF(Skills!N29=TRUE,(Skills!L29/10)*(E1049/1000),Skills!L29/10)+Skills!O29</f>
        <v/>
      </c>
      <c r="G1049">
        <f>Skills!G29*IF(Skills!H29&gt;0,Skills!I29/Skills!H29,1)</f>
        <v/>
      </c>
      <c r="H1049">
        <f>1-(1-Skills!J29/100)^Skills!K29</f>
        <v/>
      </c>
      <c r="I1049" t="inlineStr">
        <is>
          <t>1</t>
        </is>
      </c>
      <c r="J1049" t="inlineStr"/>
      <c r="K1049" t="inlineStr"/>
      <c r="L1049" t="inlineStr"/>
      <c r="M1049" t="inlineStr"/>
      <c r="N1049" t="inlineStr"/>
      <c r="O1049">
        <f>(1-Summary!$B$11)*T1049+Summary!$B$11*V1049</f>
        <v/>
      </c>
      <c r="P1049">
        <f>IF(B1065=0,0,O1049/B1065)</f>
        <v/>
      </c>
      <c r="Q1049" t="n">
        <v>0</v>
      </c>
      <c r="R1049" t="n">
        <v>0</v>
      </c>
      <c r="S1049">
        <f>IFERROR(O1049/N1049,0)</f>
        <v/>
      </c>
      <c r="T1049" t="n">
        <v>0</v>
      </c>
      <c r="V1049" t="n">
        <v>0</v>
      </c>
    </row>
    <row r="1050">
      <c r="A1050">
        <f>Skills!A30</f>
        <v/>
      </c>
      <c r="B1050">
        <f>Skills!B30</f>
        <v/>
      </c>
      <c r="C1050">
        <f>Inputs!$B$3&gt;=125</f>
        <v/>
      </c>
      <c r="D1050">
        <f>IF(Skills!C30=1,60+Inputs!$B$25+Inputs!$B$29,IF(Skills!C30=2,90+Inputs!$B$26+Inputs!$B$29,IF(Skills!C30=3,120+Inputs!$B$27+Inputs!$B$29,MAX(0,(Inputs!$B$3-100)*3)+(Inputs!$B$28+1)+Inputs!$B$29)))</f>
        <v/>
      </c>
      <c r="E1050">
        <f>INDEX(FactorTable!$B$2:$Y$301, MATCH(ROUND(MIN(300,MAX(1,D1050)),0), FactorTable!$A$2:$A$301,0), Skills!M30+1)</f>
        <v/>
      </c>
      <c r="F1050">
        <f>IF(Skills!N30=TRUE,(Skills!L30/10)*(E1050/1000),Skills!L30/10)+Skills!O30</f>
        <v/>
      </c>
      <c r="G1050">
        <f>Skills!G30*IF(Skills!H30&gt;0,Skills!I30/Skills!H30,1)</f>
        <v/>
      </c>
      <c r="H1050">
        <f>1-(1-Skills!J30/100)^Skills!K30</f>
        <v/>
      </c>
      <c r="I1050" t="inlineStr">
        <is>
          <t>1</t>
        </is>
      </c>
      <c r="J1050" t="inlineStr"/>
      <c r="K1050" t="inlineStr"/>
      <c r="L1050" t="inlineStr"/>
      <c r="M1050" t="inlineStr"/>
      <c r="N1050" t="inlineStr"/>
      <c r="O1050">
        <f>(1-Summary!$B$11)*T1050+Summary!$B$11*V1050</f>
        <v/>
      </c>
      <c r="P1050">
        <f>IF(B1065=0,0,O1050/B1065)</f>
        <v/>
      </c>
      <c r="Q1050" t="n">
        <v>0</v>
      </c>
      <c r="R1050" t="n">
        <v>0</v>
      </c>
      <c r="S1050">
        <f>IFERROR(O1050/N1050,0)</f>
        <v/>
      </c>
      <c r="T1050" t="n">
        <v>0</v>
      </c>
      <c r="V1050" t="n">
        <v>0</v>
      </c>
    </row>
    <row r="1052">
      <c r="A1052" t="inlineStr">
        <is>
          <t>Average Buff Multiplier</t>
        </is>
      </c>
      <c r="B1052">
        <f>(1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f>
        <v/>
      </c>
    </row>
    <row r="1053">
      <c r="A1053" t="inlineStr">
        <is>
          <t>Global Crit Rate Bonus %</t>
        </is>
      </c>
      <c r="B1053">
        <f>((C1040=TRUE)*F1040*IF(AND(Inputs!$B$39&lt;&gt;"pvp",Inputs!$B$44&gt;0),(((R1040-1)*(Skills!Y20*(1+Inputs!$B$34/100))+MIN((Skills!Y20*(1+Inputs!$B$34/100)),MAX(0,Inputs!$B$44-((R1040-1)*Skills!D20))))/Inputs!$B$44),IF(Inputs!$B$39="pvp",MIN((Skills!Y20*(1+Inputs!$B$34/100)),15)/15,(Skills!Y20*(1+Inputs!$B$34/100))/Skills!D20)))</f>
        <v/>
      </c>
    </row>
    <row r="1054">
      <c r="A1054" t="inlineStr">
        <is>
          <t>Global Monster Damage-Taken Bonus %</t>
        </is>
      </c>
      <c r="B1054">
        <f>IF(Inputs!$B$3&gt;=82,15,0)</f>
        <v/>
      </c>
    </row>
    <row r="1055">
      <c r="A1055" t="inlineStr">
        <is>
          <t>Shadow Partner Average Multiplier</t>
        </is>
      </c>
      <c r="B1055">
        <f>1+((C1027=TRUE)*F1027*(1+3.3333333333333335*IF(C1038=TRUE,F1038,0)/100)*I1027*Skills!J7/100)/100</f>
        <v/>
      </c>
    </row>
    <row r="1056">
      <c r="A1056" t="inlineStr">
        <is>
          <t>Attack Speed Buff Bonus %</t>
        </is>
      </c>
      <c r="B1056">
        <f>((C1039=TRUE)*F1039*IF(AND(Inputs!$B$39&lt;&gt;"pvp",Inputs!$B$44&gt;0),(((R1039-1)*(Skills!Y19*(1+Inputs!$B$34/100))+MIN((Skills!Y19*(1+Inputs!$B$34/100)),MAX(0,Inputs!$B$44-((R1039-1)*Skills!D19))))/Inputs!$B$44),IF(Inputs!$B$39="pvp",MIN((Skills!Y19*(1+Inputs!$B$34/100)),15)/15,(Skills!Y19*(1+Inputs!$B$34/100))/Skills!D19)))+((C1023=TRUE)*F1023*3)</f>
        <v/>
      </c>
    </row>
    <row r="1057">
      <c r="A1057" t="inlineStr">
        <is>
          <t>Actions Per Second</t>
        </is>
      </c>
      <c r="B1057">
        <f>1+MIN(150,150*(1-(1-(Inputs!$B$11+((C1042=TRUE)*(F1042-Calc!F22)))/150)*(1-B1056/150)))/100</f>
        <v/>
      </c>
    </row>
    <row r="1058">
      <c r="A1058" t="inlineStr">
        <is>
          <t>Skill + Buff Cast Rate</t>
        </is>
      </c>
      <c r="B1058">
        <f>IF(AND(Inputs!$B$39&lt;&gt;"pvp",Inputs!$B$44&gt;0),SUMPRODUCT((Skills!E2:E30=TRUE)*(C1022:C1050=TRUE)*R1022:R1050*Skills!F2:F30)/Inputs!$B$44,SUMPRODUCT((Skills!E2:E30=TRUE)*(C1022:C1050=TRUE)*Q1022:Q1050*Skills!F2:F30))</f>
        <v/>
      </c>
    </row>
    <row r="1059">
      <c r="A1059" t="inlineStr">
        <is>
          <t>Cruel Stab Casts Per Second</t>
        </is>
      </c>
      <c r="B1059">
        <f>MAX(0,B1057-B1058)</f>
        <v/>
      </c>
    </row>
    <row r="1060">
      <c r="A1060" t="inlineStr">
        <is>
          <t>Global Critical Damage Bonus % (Smokescreen Mastery Lv.113)</t>
        </is>
      </c>
      <c r="B1060">
        <f>IF(Inputs!$B$3&gt;=113,30,0)*IF(AND(Inputs!$B$39&lt;&gt;"pvp",Inputs!$B$44&gt;0),(((R1035-1)*(Skills!Y15*(1+Inputs!$B$34/100))+MIN((Skills!Y15*(1+Inputs!$B$34/100)),MAX(0,Inputs!$B$44-((R1035-1)*Skills!D15))))/Inputs!$B$44),IF(Inputs!$B$39="pvp",MIN((Skills!Y15*(1+Inputs!$B$34/100)),15)/15,(Skills!Y15*(1+Inputs!$B$34/100))/Skills!D15))</f>
        <v/>
      </c>
    </row>
    <row r="1061">
      <c r="A1061" t="inlineStr">
        <is>
          <t>Meso Explosion average stack count</t>
        </is>
      </c>
      <c r="B1061">
        <f>MIN(10,0.5*B1057*Skills!D4)</f>
        <v/>
      </c>
    </row>
    <row r="1062">
      <c r="A1062" t="inlineStr">
        <is>
          <t>Blood Money average stack count</t>
        </is>
      </c>
      <c r="B1062">
        <f>MIN(5,0.25*B1057*Skills!D4)</f>
        <v/>
      </c>
    </row>
    <row r="1063">
      <c r="A1063" t="inlineStr">
        <is>
          <t>Assassinate Murderous Intent Multiplier</t>
        </is>
      </c>
      <c r="B1063">
        <f>1+IFERROR(MIN(1,Q1034*2/Q1031),0)</f>
        <v/>
      </c>
    </row>
    <row r="1064">
      <c r="A1064" t="inlineStr">
        <is>
          <t>Buff-Casting Startup Delay (s, fixed-duration only)</t>
        </is>
      </c>
      <c r="B1064">
        <f>IF(AND(Inputs!$B$39&lt;&gt;"pvp",Inputs!$B$44&gt;0),SUMPRODUCT((Skills!Y2:Y30&gt;0)*(Skills!E2:E30=TRUE)*(C1022:C1050=TRUE))/B1057,0)</f>
        <v/>
      </c>
    </row>
    <row r="1065">
      <c r="A1065" s="6" t="inlineStr">
        <is>
          <t>TOTAL DPS</t>
        </is>
      </c>
      <c r="B1065" s="6">
        <f>SUM(O1022:O1050)</f>
        <v/>
      </c>
    </row>
    <row r="1066">
      <c r="A1066" t="inlineStr">
        <is>
          <t>Boss-Only Total DPS (this block's swept value)</t>
        </is>
      </c>
      <c r="B1066">
        <f>SUM(T1022:T1050)</f>
        <v/>
      </c>
    </row>
    <row r="1067">
      <c r="A1067" t="inlineStr">
        <is>
          <t>Normal-Only Total DPS (this block's swept value)</t>
        </is>
      </c>
      <c r="B1067">
        <f>SUM(V1022:V1050)</f>
        <v/>
      </c>
    </row>
    <row r="1070">
      <c r="A1070" s="6" t="inlineStr">
        <is>
          <t>Stat: Skill Level Bonus — All Skills</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Q1071" s="5" t="inlineStr">
        <is>
          <t>InvCooldown</t>
        </is>
      </c>
      <c r="R1071" s="5" t="inlineStr">
        <is>
          <t>CastsInFight</t>
        </is>
      </c>
      <c r="S1071" s="5" t="inlineStr">
        <is>
          <t>HitRate(perSec)</t>
        </is>
      </c>
      <c r="U1071" t="inlineStr">
        <is>
          <t>helpers</t>
        </is>
      </c>
    </row>
    <row r="1072">
      <c r="A1072">
        <f>Skills!A2</f>
        <v/>
      </c>
      <c r="B1072">
        <f>Skills!B2</f>
        <v/>
      </c>
      <c r="C1072">
        <f>Inputs!$B$3&gt;=100</f>
        <v/>
      </c>
      <c r="D1072" t="inlineStr"/>
      <c r="E1072" t="inlineStr"/>
      <c r="F1072">
        <f>U1074+Skills!O2</f>
        <v/>
      </c>
      <c r="G1072">
        <f>Skills!G2*IF(Skills!H2&gt;0,Skills!I2/Skills!H2,1)</f>
        <v/>
      </c>
      <c r="H1072">
        <f>1-(1-Skills!J2/100)^Skills!K2</f>
        <v/>
      </c>
      <c r="I1072" t="inlineStr">
        <is>
          <t>1</t>
        </is>
      </c>
      <c r="J1072">
        <f>((Inputs!$B$6*(1+Inputs!$B$7/100))+(((Inputs!$B$12*(1+Inputs!$B$13/100))-(Inputs!$B$12*(1+Inputs!$B$13/100)))+0.25*(Inputs!$B$14-Inputs!$B$14))*(1+Inputs!$B$7/100))*(F1072/100)</f>
        <v/>
      </c>
      <c r="K1072">
        <f>J1072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1072)</f>
        <v/>
      </c>
      <c r="L1072">
        <f>K1072*(MIN(Inputs!$B$22+((C1094=TRUE)*(F1094-Calc!F24)),(Inputs!$B$23+((C1099=TRUE)*(F1099-Calc!F29))+IF(ArtifactsInput!$M$15,CHOOSE(ArtifactsInput!$N$15+1,25,30,35,40,45,50)/100*(Inputs!$B$11-Inputs!$B$11),0)))/100+(Inputs!$B$23+((C1099=TRUE)*(F1099-Calc!F29))+IF(ArtifactsInput!$M$15,CHOOSE(ArtifactsInput!$N$15+1,25,30,35,40,45,50)/100*(Inputs!$B$11-Inputs!$B$11),0))/100)/2</f>
        <v/>
      </c>
      <c r="M1072">
        <f>L1072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2">
        <f>L1072*(1-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1072*(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2">
        <f>(1-Summary!$B$11)*T1072+Summary!$B$11*V1072</f>
        <v/>
      </c>
      <c r="P1072">
        <f>IF(B1115=0,0,O1072/B1115)</f>
        <v/>
      </c>
      <c r="Q1072" t="n">
        <v>0</v>
      </c>
      <c r="R1072" t="n">
        <v>0</v>
      </c>
      <c r="S1072">
        <f>IFERROR(O1072/N1072,0)</f>
        <v/>
      </c>
      <c r="T1072">
        <f>IF(C1072,(Skills!G2*N1072*B1109)*IF(Inputs!$B$39="pvp",1,1+(Inputs!$B$20+0+Skills!P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1072*(1-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1072*(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1072*(1-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1072*(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2">
        <f>MAX(0,(Inputs!$B$3-100)*3)+Inputs!$B$28+(Inputs!$B$29+1)</f>
        <v/>
      </c>
      <c r="V1072">
        <f>IF(C1072,(Skills!G2*N1072*B1109)*IF(Inputs!$B$39="pvp",1,(1+(Inputs!$B$21+Skills!Q2+B1104+(IF(ArtifactsInput!$M$33,CHOOSE(ArtifactsInput!$N$33+1,30,36,42,48,54,60),0))+(IF(AND(ArtifactsInput!$M$35,Inputs!$B$4&lt;&gt;"Chapter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3">
      <c r="A1073">
        <f>Skills!A3</f>
        <v/>
      </c>
      <c r="B1073">
        <f>Skills!B3</f>
        <v/>
      </c>
      <c r="C1073">
        <f>Inputs!$B$3&gt;=35</f>
        <v/>
      </c>
      <c r="D1073">
        <f>IF(Skills!C3=1,60+Inputs!$B$25+(Inputs!$B$29+1),IF(Skills!C3=2,90+Inputs!$B$26+(Inputs!$B$29+1),IF(Skills!C3=3,120+Inputs!$B$27+(Inputs!$B$29+1),MAX(0,(Inputs!$B$3-100)*3)+Inputs!$B$28+(Inputs!$B$29+1))))</f>
        <v/>
      </c>
      <c r="E1073">
        <f>INDEX(FactorTable!$B$2:$Y$301, MATCH(ROUND(MIN(300,MAX(1,D1073)),0), FactorTable!$A$2:$A$301,0), Skills!M3+1)</f>
        <v/>
      </c>
      <c r="F1073">
        <f>IF(Skills!N3=TRUE,(Skills!L3/10)*(E1073/1000),Skills!L3/10)+Skills!O3</f>
        <v/>
      </c>
      <c r="G1073">
        <f>Skills!G3*IF(Skills!H3&gt;0,Skills!I3/Skills!H3,1)</f>
        <v/>
      </c>
      <c r="H1073">
        <f>1-(1-Skills!J3/100)^Skills!K3</f>
        <v/>
      </c>
      <c r="I1073" t="inlineStr">
        <is>
          <t>1</t>
        </is>
      </c>
      <c r="J1073" t="inlineStr"/>
      <c r="K1073" t="inlineStr"/>
      <c r="L1073" t="inlineStr"/>
      <c r="M1073" t="inlineStr"/>
      <c r="N1073" t="inlineStr"/>
      <c r="O1073">
        <f>(1-Summary!$B$11)*T1073+Summary!$B$11*V1073</f>
        <v/>
      </c>
      <c r="P1073">
        <f>IF(B1115=0,0,O1073/B1115)</f>
        <v/>
      </c>
      <c r="Q1073" t="n">
        <v>0</v>
      </c>
      <c r="R1073" t="n">
        <v>0</v>
      </c>
      <c r="S1073">
        <f>IFERROR(O1073/N1073,0)</f>
        <v/>
      </c>
      <c r="T1073" t="n">
        <v>0</v>
      </c>
      <c r="U1073">
        <f>INDEX(FactorTable!$B$2:$Y$301, MATCH(ROUND(MIN(300,MAX(1,U1072)),0), FactorTable!$A$2:$A$301,0), 22)</f>
        <v/>
      </c>
      <c r="V1073" t="n">
        <v>0</v>
      </c>
    </row>
    <row r="1074">
      <c r="A1074">
        <f>Skills!A4</f>
        <v/>
      </c>
      <c r="B1074">
        <f>Skills!B4</f>
        <v/>
      </c>
      <c r="C1074">
        <f>Inputs!$B$3&gt;=66</f>
        <v/>
      </c>
      <c r="D1074">
        <f>IF(Skills!C4=1,60+Inputs!$B$25+(Inputs!$B$29+1),IF(Skills!C4=2,90+Inputs!$B$26+(Inputs!$B$29+1),IF(Skills!C4=3,120+Inputs!$B$27+(Inputs!$B$29+1),MAX(0,(Inputs!$B$3-100)*3)+Inputs!$B$28+(Inputs!$B$29+1))))</f>
        <v/>
      </c>
      <c r="E1074">
        <f>INDEX(FactorTable!$B$2:$Y$301, MATCH(ROUND(MIN(300,MAX(1,D1074)),0), FactorTable!$A$2:$A$301,0), Skills!M4+1)</f>
        <v/>
      </c>
      <c r="F1074">
        <f>IF(Skills!N4=TRUE,(Skills!L4/10)*(E1074/1000),Skills!L4/10)+Skills!O4</f>
        <v/>
      </c>
      <c r="G1074">
        <f>Skills!G4*IF(Skills!H4&gt;0,Skills!I4/Skills!H4,1)</f>
        <v/>
      </c>
      <c r="H1074">
        <f>1-(1-Skills!J4/100)^Skills!K4</f>
        <v/>
      </c>
      <c r="I1074" t="inlineStr">
        <is>
          <t>1</t>
        </is>
      </c>
      <c r="J1074">
        <f>((Inputs!$B$6*(1+Inputs!$B$7/100))+(((Inputs!$B$12*(1+Inputs!$B$13/100))-(Inputs!$B$12*(1+Inputs!$B$13/100)))+0.25*(Inputs!$B$14-Inputs!$B$14))*(1+Inputs!$B$7/100))*(F1074/100)</f>
        <v/>
      </c>
      <c r="K1074">
        <f>J1074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1074)</f>
        <v/>
      </c>
      <c r="L1074">
        <f>K1074*(MIN(Inputs!$B$22+((C1094=TRUE)*(F1094-Calc!F24)),(Inputs!$B$23+((C1099=TRUE)*(F1099-Calc!F29))+IF(ArtifactsInput!$M$15,CHOOSE(ArtifactsInput!$N$15+1,25,30,35,40,45,50)/100*(Inputs!$B$11-Inputs!$B$11),0)))/100+(Inputs!$B$23+((C1099=TRUE)*(F1099-Calc!F29))+IF(ArtifactsInput!$M$15,CHOOSE(ArtifactsInput!$N$15+1,25,30,35,40,45,50)/100*(Inputs!$B$11-Inputs!$B$11),0))/100)/2</f>
        <v/>
      </c>
      <c r="M1074">
        <f>L1074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4">
        <f>L1074*(1-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1074*(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4">
        <f>(1-Summary!$B$11)*T1074+Summary!$B$11*V1074</f>
        <v/>
      </c>
      <c r="P1074">
        <f>IF(B1115=0,0,O1074/B1115)</f>
        <v/>
      </c>
      <c r="Q1074">
        <f>IFERROR(1/IF(Inputs!$B$39="pvp",15,MAX(0.1,Skills!D4-IF(Skills!E4=TRUE,Inputs!$B$32,0))),0)</f>
        <v/>
      </c>
      <c r="R1074">
        <f>IF(AND(Inputs!$B$39&lt;&gt;"pvp",Inputs!$B$44&gt;0),IF(MAX(0,Inputs!$B$44-B1114)&lt;=0,0,(INT(MAX(0,Inputs!$B$44-B1114)/IF(Inputs!$B$39="pvp",15,MAX(0.1,Skills!D4-IF(Skills!E4=TRUE,Inputs!$B$32,0))))+1)),0)</f>
        <v/>
      </c>
      <c r="S1074">
        <f>IFERROR(O1074/N1074,0)</f>
        <v/>
      </c>
      <c r="T1074">
        <f>IF(C1074,(H1074*N1074*IF(AND(Inputs!$B$39&lt;&gt;"pvp",Inputs!$B$44&gt;0),((Skills!G4*((R1074-1)*IF(Skills!H4&gt;0,Skills!I4/Skills!H4,1)+IF(Skills!H4&gt;0,MIN(Skills!I4,MAX(0,MAX(0,Inputs!$B$44-B1114)-((R1074-1)*IF(Inputs!$B$39="pvp",15,MAX(0.1,Skills!D4-IF(Skills!E4=TRUE,Inputs!$B$32,0))))))/Skills!H4,1)))/Inputs!$B$44),G1074*Q1074))*IF(Inputs!$B$39="pvp",1,1+(Inputs!$B$20+0+Skills!P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1074*(1-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1074*(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1074*(1-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1074*(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4">
        <f>290*U1073/1000</f>
        <v/>
      </c>
      <c r="V1074">
        <f>IF(C1074,(H1074*N1074*IF(AND(Inputs!$B$39&lt;&gt;"pvp",Inputs!$B$44&gt;0),((Skills!G4*((R1074-1)*IF(Skills!H4&gt;0,Skills!I4/Skills!H4,1)+IF(Skills!H4&gt;0,MIN(Skills!I4,MAX(0,MAX(0,Inputs!$B$44-B1114)-((R1074-1)*IF(Inputs!$B$39="pvp",15,MAX(0.1,Skills!D4-IF(Skills!E4=TRUE,Inputs!$B$32,0))))))/Skills!H4,1)))/Inputs!$B$44),G1074*Q1074))*IF(Inputs!$B$39="pvp",1,(1+(Inputs!$B$21+Skills!Q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(10,0.5*B1107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5">
      <c r="A1075">
        <f>Skills!A5</f>
        <v/>
      </c>
      <c r="B1075">
        <f>Skills!B5</f>
        <v/>
      </c>
      <c r="C1075">
        <f>Inputs!$B$3&gt;=63</f>
        <v/>
      </c>
      <c r="D1075">
        <f>IF(Skills!C5=1,60+Inputs!$B$25+(Inputs!$B$29+1),IF(Skills!C5=2,90+Inputs!$B$26+(Inputs!$B$29+1),IF(Skills!C5=3,120+Inputs!$B$27+(Inputs!$B$29+1),MAX(0,(Inputs!$B$3-100)*3)+Inputs!$B$28+(Inputs!$B$29+1))))</f>
        <v/>
      </c>
      <c r="E1075">
        <f>INDEX(FactorTable!$B$2:$Y$301, MATCH(ROUND(MIN(300,MAX(1,D1075)),0), FactorTable!$A$2:$A$301,0), Skills!M5+1)</f>
        <v/>
      </c>
      <c r="F1075">
        <f>IF(Skills!N5=TRUE,(Skills!L5/10)*(E1075/1000),Skills!L5/10)+Skills!O5</f>
        <v/>
      </c>
      <c r="G1075">
        <f>Skills!G5*IF(Skills!H5&gt;0,Skills!I5/Skills!H5,1)</f>
        <v/>
      </c>
      <c r="H1075">
        <f>1-(1-Skills!J5/100)^Skills!K5</f>
        <v/>
      </c>
      <c r="I1075" t="inlineStr">
        <is>
          <t>1</t>
        </is>
      </c>
      <c r="J1075">
        <f>((Inputs!$B$6*(1+Inputs!$B$7/100))+(((Inputs!$B$12*(1+Inputs!$B$13/100))-(Inputs!$B$12*(1+Inputs!$B$13/100)))+0.25*(Inputs!$B$14-Inputs!$B$14))*(1+Inputs!$B$7/100))*(F1075/100)</f>
        <v/>
      </c>
      <c r="K1075">
        <f>J1075*(1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1088=TRUE,F1088,0)/100)*(1+(IF(Skills!A5="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1075)</f>
        <v/>
      </c>
      <c r="L1075">
        <f>K1075*(MIN(Inputs!$B$22+((C1094=TRUE)*(F1094-Calc!F24)),(Inputs!$B$23+((C1099=TRUE)*(F1099-Calc!F29))+IF(ArtifactsInput!$M$15,CHOOSE(ArtifactsInput!$N$15+1,25,30,35,40,45,50)/100*(Inputs!$B$11-Inputs!$B$11),0)))/100+(Inputs!$B$23+((C1099=TRUE)*(F1099-Calc!F29))+IF(ArtifactsInput!$M$15,CHOOSE(ArtifactsInput!$N$15+1,25,30,35,40,45,50)/100*(Inputs!$B$11-Inputs!$B$11),0))/100)/2</f>
        <v/>
      </c>
      <c r="M1075">
        <f>L1075*(1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5">
        <f>L1075*(1-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1075*(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5">
        <f>(1-Summary!$B$11)*T1075+Summary!$B$11*V1075</f>
        <v/>
      </c>
      <c r="P1075">
        <f>IF(B1115=0,0,O1075/B1115)</f>
        <v/>
      </c>
      <c r="Q1075">
        <f>IFERROR(1/IF(Inputs!$B$39="pvp",15,MAX(0.1,Skills!D5-IF(Skills!E5=TRUE,Inputs!$B$32,0))),0)</f>
        <v/>
      </c>
      <c r="R1075">
        <f>IF(AND(Inputs!$B$39&lt;&gt;"pvp",Inputs!$B$44&gt;0),IF(MAX(0,Inputs!$B$44-B1114)&lt;=0,0,(INT(MAX(0,Inputs!$B$44-B1114)/IF(Inputs!$B$39="pvp",15,MAX(0.1,Skills!D5-IF(Skills!E5=TRUE,Inputs!$B$32,0))))+1)),0)</f>
        <v/>
      </c>
      <c r="S1075">
        <f>IFERROR(O1075/N1075,0)</f>
        <v/>
      </c>
      <c r="T1075">
        <f>IF(C1075,(H1075*N1075*IF(AND(Inputs!$B$39&lt;&gt;"pvp",Inputs!$B$44&gt;0),((Skills!G5*((R1075-1)*IF(Skills!H5&gt;0,Skills!I5/Skills!H5,1)+IF(Skills!H5&gt;0,MIN(Skills!I5,MAX(0,MAX(0,Inputs!$B$44-B1114)-((R1075-1)*IF(Inputs!$B$39="pvp",15,MAX(0.1,Skills!D5-IF(Skills!E5=TRUE,Inputs!$B$32,0))))))/Skills!H5,1)))/Inputs!$B$44),G1075*Q1075))*IF(Inputs!$B$39="pvp",1,1+(Inputs!$B$20+0+Skills!P5+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1075*(1-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1075*(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1075*(1-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1075*(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5">
        <f>IF(C1075,(H1075*N1075*IF(AND(Inputs!$B$39&lt;&gt;"pvp",Inputs!$B$44&gt;0),((Skills!G5*((R1075-1)*IF(Skills!H5&gt;0,Skills!I5/Skills!H5,1)+IF(Skills!H5&gt;0,MIN(Skills!I5,MAX(0,MAX(0,Inputs!$B$44-B1114)-((R1075-1)*IF(Inputs!$B$39="pvp",15,MAX(0.1,Skills!D5-IF(Skills!E5=TRUE,Inputs!$B$32,0))))))/Skills!H5,1)))/Inputs!$B$44),G1075*Q1075))*IF(Inputs!$B$39="pvp",1,(1+(Inputs!$B$21+Skills!Q5+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6">
      <c r="A1076">
        <f>Skills!A6</f>
        <v/>
      </c>
      <c r="B1076">
        <f>Skills!B6</f>
        <v/>
      </c>
      <c r="C1076">
        <f>Inputs!$B$3&gt;=69</f>
        <v/>
      </c>
      <c r="D1076">
        <f>IF(Skills!C6=1,60+Inputs!$B$25+(Inputs!$B$29+1),IF(Skills!C6=2,90+Inputs!$B$26+(Inputs!$B$29+1),IF(Skills!C6=3,120+Inputs!$B$27+(Inputs!$B$29+1),MAX(0,(Inputs!$B$3-100)*3)+Inputs!$B$28+(Inputs!$B$29+1))))</f>
        <v/>
      </c>
      <c r="E1076">
        <f>INDEX(FactorTable!$B$2:$Y$301, MATCH(ROUND(MIN(300,MAX(1,D1076)),0), FactorTable!$A$2:$A$301,0), Skills!M6+1)</f>
        <v/>
      </c>
      <c r="F1076">
        <f>IF(Skills!N6=TRUE,(Skills!L6/10)*(E1076/1000),Skills!L6/10)+Skills!O6</f>
        <v/>
      </c>
      <c r="G1076">
        <f>Skills!G6*IF(Skills!H6&gt;0,Skills!I6/Skills!H6,1)</f>
        <v/>
      </c>
      <c r="H1076">
        <f>1-(1-Skills!J6/100)^Skills!K6</f>
        <v/>
      </c>
      <c r="I1076" t="inlineStr">
        <is>
          <t>1</t>
        </is>
      </c>
      <c r="J1076">
        <f>((Inputs!$B$6*(1+Inputs!$B$7/100))+(((Inputs!$B$12*(1+Inputs!$B$13/100))-(Inputs!$B$12*(1+Inputs!$B$13/100)))+0.25*(Inputs!$B$14-Inputs!$B$14))*(1+Inputs!$B$7/100))*(F1076/100)</f>
        <v/>
      </c>
      <c r="K1076">
        <f>J1076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1088=TRUE,F1088,0)/100)*(1+(IF(Skills!A6="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1076)</f>
        <v/>
      </c>
      <c r="L1076">
        <f>K1076*(MIN(Inputs!$B$22+((C1094=TRUE)*(F1094-Calc!F24)),(Inputs!$B$23+((C1099=TRUE)*(F1099-Calc!F29))+IF(ArtifactsInput!$M$15,CHOOSE(ArtifactsInput!$N$15+1,25,30,35,40,45,50)/100*(Inputs!$B$11-Inputs!$B$11),0)))/100+(Inputs!$B$23+((C1099=TRUE)*(F1099-Calc!F29))+IF(ArtifactsInput!$M$15,CHOOSE(ArtifactsInput!$N$15+1,25,30,35,40,45,50)/100*(Inputs!$B$11-Inputs!$B$11),0))/100)/2</f>
        <v/>
      </c>
      <c r="M1076">
        <f>L1076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6">
        <f>L1076*(1-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1076*(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6">
        <f>(1-Summary!$B$11)*T1076+Summary!$B$11*V1076</f>
        <v/>
      </c>
      <c r="P1076">
        <f>IF(B1115=0,0,O1076/B1115)</f>
        <v/>
      </c>
      <c r="Q1076">
        <f>IFERROR(1/IF(Inputs!$B$39="pvp",15,MAX(0.1,Skills!D6-IF(Skills!E6=TRUE,Inputs!$B$32,0))),0)</f>
        <v/>
      </c>
      <c r="R1076">
        <f>IF(AND(Inputs!$B$39&lt;&gt;"pvp",Inputs!$B$44&gt;0),IF(MAX(0,Inputs!$B$44-B1114)&lt;=0,0,(INT(MAX(0,Inputs!$B$44-B1114)/IF(Inputs!$B$39="pvp",15,MAX(0.1,Skills!D6-IF(Skills!E6=TRUE,Inputs!$B$32,0))))+1)),0)</f>
        <v/>
      </c>
      <c r="S1076">
        <f>IFERROR(O1076/N1076,0)</f>
        <v/>
      </c>
      <c r="T1076">
        <f>IF(C1076,(H1076*N1076*IF(AND(Inputs!$B$39&lt;&gt;"pvp",Inputs!$B$44&gt;0),((Skills!G6*((R1076-1)*IF(Skills!H6&gt;0,Skills!I6/Skills!H6,1)+IF(Skills!H6&gt;0,MIN(Skills!I6,MAX(0,MAX(0,Inputs!$B$44-B1114)-((R1076-1)*IF(Inputs!$B$39="pvp",15,MAX(0.1,Skills!D6-IF(Skills!E6=TRUE,Inputs!$B$32,0))))))/Skills!H6,1)))/Inputs!$B$44),G1076*Q1076))*IF(Inputs!$B$39="pvp",1,1+(Inputs!$B$20+0+Skills!P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1076*(1-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1076*(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1076*(1-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1076*(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6">
        <f>IF(C1076,(H1076*N1076*IF(AND(Inputs!$B$39&lt;&gt;"pvp",Inputs!$B$44&gt;0),((Skills!G6*((R1076-1)*IF(Skills!H6&gt;0,Skills!I6/Skills!H6,1)+IF(Skills!H6&gt;0,MIN(Skills!I6,MAX(0,MAX(0,Inputs!$B$44-B1114)-((R1076-1)*IF(Inputs!$B$39="pvp",15,MAX(0.1,Skills!D6-IF(Skills!E6=TRUE,Inputs!$B$32,0))))))/Skills!H6,1)))/Inputs!$B$44),G1076*Q1076))*IF(Inputs!$B$39="pvp",1,(1+(Inputs!$B$21+Skills!Q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7">
      <c r="A1077">
        <f>Skills!A7</f>
        <v/>
      </c>
      <c r="B1077">
        <f>Skills!B7</f>
        <v/>
      </c>
      <c r="C1077">
        <f>Inputs!$B$3&gt;=60</f>
        <v/>
      </c>
      <c r="D1077">
        <f>IF(Skills!C7=1,60+Inputs!$B$25+(Inputs!$B$29+1),IF(Skills!C7=2,90+Inputs!$B$26+(Inputs!$B$29+1),IF(Skills!C7=3,120+Inputs!$B$27+(Inputs!$B$29+1),MAX(0,(Inputs!$B$3-100)*3)+Inputs!$B$28+(Inputs!$B$29+1))))</f>
        <v/>
      </c>
      <c r="E1077">
        <f>INDEX(FactorTable!$B$2:$Y$301, MATCH(ROUND(MIN(300,MAX(1,D1077)),0), FactorTable!$A$2:$A$301,0), Skills!M7+1)</f>
        <v/>
      </c>
      <c r="F1077">
        <f>IF(Skills!N7=TRUE,(Skills!L7/10)*(E1077/1000),Skills!L7/10)+Skills!O7</f>
        <v/>
      </c>
      <c r="G1077">
        <f>Skills!G7*IF(Skills!H7&gt;0,Skills!I7/Skills!H7,1)</f>
        <v/>
      </c>
      <c r="H1077">
        <f>1-(1-Skills!J7/100)^Skills!K7</f>
        <v/>
      </c>
      <c r="I1077" t="inlineStr">
        <is>
          <t>1</t>
        </is>
      </c>
      <c r="J1077" t="inlineStr"/>
      <c r="K1077" t="inlineStr"/>
      <c r="L1077" t="inlineStr"/>
      <c r="M1077" t="inlineStr"/>
      <c r="N1077" t="inlineStr"/>
      <c r="O1077">
        <f>(1-Summary!$B$11)*T1077+Summary!$B$11*V1077</f>
        <v/>
      </c>
      <c r="P1077">
        <f>IF(B1115=0,0,O1077/B1115)</f>
        <v/>
      </c>
      <c r="Q1077" t="n">
        <v>0</v>
      </c>
      <c r="R1077" t="n">
        <v>0</v>
      </c>
      <c r="S1077">
        <f>IFERROR(O1077/N1077,0)</f>
        <v/>
      </c>
      <c r="T1077" t="n">
        <v>0</v>
      </c>
      <c r="V1077" t="n">
        <v>0</v>
      </c>
    </row>
    <row r="1078">
      <c r="A1078">
        <f>Skills!A8</f>
        <v/>
      </c>
      <c r="B1078">
        <f>Skills!B8</f>
        <v/>
      </c>
      <c r="C1078">
        <f>Inputs!$B$3&gt;=72</f>
        <v/>
      </c>
      <c r="D1078">
        <f>IF(Skills!C8=1,60+Inputs!$B$25+(Inputs!$B$29+1),IF(Skills!C8=2,90+Inputs!$B$26+(Inputs!$B$29+1),IF(Skills!C8=3,120+Inputs!$B$27+(Inputs!$B$29+1),MAX(0,(Inputs!$B$3-100)*3)+Inputs!$B$28+(Inputs!$B$29+1))))</f>
        <v/>
      </c>
      <c r="E1078">
        <f>INDEX(FactorTable!$B$2:$Y$301, MATCH(ROUND(MIN(300,MAX(1,D1078)),0), FactorTable!$A$2:$A$301,0), Skills!M8+1)</f>
        <v/>
      </c>
      <c r="F1078">
        <f>IF(Skills!N8=TRUE,(Skills!L8/10)*(E1078/1000),Skills!L8/10)+Skills!O8</f>
        <v/>
      </c>
      <c r="G1078">
        <f>Skills!G8*IF(Skills!H8&gt;0,Skills!I8/Skills!H8,1)</f>
        <v/>
      </c>
      <c r="H1078">
        <f>1-(1-Skills!J8/100)^Skills!K8</f>
        <v/>
      </c>
      <c r="I1078" t="inlineStr">
        <is>
          <t>1</t>
        </is>
      </c>
      <c r="J1078">
        <f>((Inputs!$B$6*(1+Inputs!$B$7/100))+(((Inputs!$B$12*(1+Inputs!$B$13/100))-(Inputs!$B$12*(1+Inputs!$B$13/100)))+0.25*(Inputs!$B$14-Inputs!$B$14))*(1+Inputs!$B$7/100))*(F1078/100)</f>
        <v/>
      </c>
      <c r="K1078">
        <f>J1078*(1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1088=TRUE,F1088,0)/100)*(1+(IF(Skills!A8="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1078)</f>
        <v/>
      </c>
      <c r="L1078">
        <f>K1078*(MIN(Inputs!$B$22+((C1094=TRUE)*(F1094-Calc!F24)),(Inputs!$B$23+((C1099=TRUE)*(F1099-Calc!F29))+IF(ArtifactsInput!$M$15,CHOOSE(ArtifactsInput!$N$15+1,25,30,35,40,45,50)/100*(Inputs!$B$11-Inputs!$B$11),0)))/100+(Inputs!$B$23+((C1099=TRUE)*(F1099-Calc!F29))+IF(ArtifactsInput!$M$15,CHOOSE(ArtifactsInput!$N$15+1,25,30,35,40,45,50)/100*(Inputs!$B$11-Inputs!$B$11),0))/100)/2</f>
        <v/>
      </c>
      <c r="M1078">
        <f>L1078*(1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8">
        <f>L1078*(1-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1078*(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8">
        <f>(1-Summary!$B$11)*T1078+Summary!$B$11*V1078</f>
        <v/>
      </c>
      <c r="P1078">
        <f>IF(B1115=0,0,O1078/B1115)</f>
        <v/>
      </c>
      <c r="Q1078">
        <f>IFERROR(1/IF(Inputs!$B$39="pvp",15,MAX(0.1,Skills!D8-IF(Skills!E8=TRUE,Inputs!$B$32,0))),0)</f>
        <v/>
      </c>
      <c r="R1078">
        <f>IF(AND(Inputs!$B$39&lt;&gt;"pvp",Inputs!$B$44&gt;0),IF(MAX(0,Inputs!$B$44-B1114)&lt;=0,0,(INT(MAX(0,Inputs!$B$44-B1114)/IF(Inputs!$B$39="pvp",15,MAX(0.1,Skills!D8-IF(Skills!E8=TRUE,Inputs!$B$32,0))))+1)),0)</f>
        <v/>
      </c>
      <c r="S1078">
        <f>IFERROR(O1078/N1078,0)</f>
        <v/>
      </c>
      <c r="T1078">
        <f>IF(C1078,(H1078*N1078*IF(AND(Inputs!$B$39&lt;&gt;"pvp",Inputs!$B$44&gt;0),((Skills!G8*((R1078-1)*IF(Skills!H8&gt;0,Skills!I8/Skills!H8,1)+IF(Skills!H8&gt;0,MIN(Skills!I8,MAX(0,MAX(0,Inputs!$B$44-B1114)-((R1078-1)*IF(Inputs!$B$39="pvp",15,MAX(0.1,Skills!D8-IF(Skills!E8=TRUE,Inputs!$B$32,0))))))/Skills!H8,1)))/Inputs!$B$44),G1078*Q1078))*IF(Inputs!$B$39="pvp",1,1+(Inputs!$B$20+0+Skills!P8+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1078*(1-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1078*(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1078*(1-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1078*(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8">
        <f>IF(C1078,(H1078*N1078*IF(AND(Inputs!$B$39&lt;&gt;"pvp",Inputs!$B$44&gt;0),((Skills!G8*((R1078-1)*IF(Skills!H8&gt;0,Skills!I8/Skills!H8,1)+IF(Skills!H8&gt;0,MIN(Skills!I8,MAX(0,MAX(0,Inputs!$B$44-B1114)-((R1078-1)*IF(Inputs!$B$39="pvp",15,MAX(0.1,Skills!D8-IF(Skills!E8=TRUE,Inputs!$B$32,0))))))/Skills!H8,1)))/Inputs!$B$44),G1078*Q1078))*IF(Inputs!$B$39="pvp",1,(1+(Inputs!$B$21+Skills!Q8+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9">
      <c r="A1079">
        <f>Skills!A9</f>
        <v/>
      </c>
      <c r="B1079">
        <f>Skills!B9</f>
        <v/>
      </c>
      <c r="C1079">
        <f>Inputs!$B$3&gt;=117</f>
        <v/>
      </c>
      <c r="D1079">
        <f>IF(Skills!C9=1,60+Inputs!$B$25+(Inputs!$B$29+1),IF(Skills!C9=2,90+Inputs!$B$26+(Inputs!$B$29+1),IF(Skills!C9=3,120+Inputs!$B$27+(Inputs!$B$29+1),MAX(0,(Inputs!$B$3-100)*3)+Inputs!$B$28+(Inputs!$B$29+1))))</f>
        <v/>
      </c>
      <c r="E1079">
        <f>INDEX(FactorTable!$B$2:$Y$301, MATCH(ROUND(MIN(300,MAX(1,D1079)),0), FactorTable!$A$2:$A$301,0), Skills!M9+1)</f>
        <v/>
      </c>
      <c r="F1079">
        <f>IF(Skills!N9=TRUE,(Skills!L9/10)*(E1079/1000),Skills!L9/10)+Skills!O9</f>
        <v/>
      </c>
      <c r="G1079">
        <f>Skills!G9*IF(Skills!H9&gt;0,Skills!I9/Skills!H9,1)</f>
        <v/>
      </c>
      <c r="H1079">
        <f>1-(1-Skills!J9/100)^Skills!K9</f>
        <v/>
      </c>
      <c r="I1079" t="inlineStr">
        <is>
          <t>1</t>
        </is>
      </c>
      <c r="J1079">
        <f>((Inputs!$B$6*(1+Inputs!$B$7/100))+(((Inputs!$B$12*(1+Inputs!$B$13/100))-(Inputs!$B$12*(1+Inputs!$B$13/100)))+0.25*(Inputs!$B$14-Inputs!$B$14))*(1+Inputs!$B$7/100))*(F1079/100)</f>
        <v/>
      </c>
      <c r="K1079">
        <f>J1079*(1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1079)</f>
        <v/>
      </c>
      <c r="L1079">
        <f>K1079*(MIN(Inputs!$B$22+((C1094=TRUE)*(F1094-Calc!F24)),(Inputs!$B$23+((C1099=TRUE)*(F1099-Calc!F29))+IF(ArtifactsInput!$M$15,CHOOSE(ArtifactsInput!$N$15+1,25,30,35,40,45,50)/100*(Inputs!$B$11-Inputs!$B$11),0)))/100+(Inputs!$B$23+((C1099=TRUE)*(F1099-Calc!F29))+IF(ArtifactsInput!$M$15,CHOOSE(ArtifactsInput!$N$15+1,25,30,35,40,45,50)/100*(Inputs!$B$11-Inputs!$B$11),0))/100)/2</f>
        <v/>
      </c>
      <c r="M1079">
        <f>L1079*(1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9">
        <f>L1079*(1-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1079*(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9">
        <f>(1-Summary!$B$11)*T1079+Summary!$B$11*V1079</f>
        <v/>
      </c>
      <c r="P1079">
        <f>IF(B1115=0,0,O1079/B1115)</f>
        <v/>
      </c>
      <c r="Q1079" t="n">
        <v>0</v>
      </c>
      <c r="R1079" t="n">
        <v>0</v>
      </c>
      <c r="S1079" t="n">
        <v>0</v>
      </c>
      <c r="T1079">
        <f>IF(C1079,(0.2*SUMPRODUCT((Skills!Z2:Z30=TRUE)*(C1072:C1100=TRUE)*S1072:S1100)*N1079)*IF(Inputs!$B$39="pvp",1,1+(Inputs!$B$20+0+Skills!P9+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1079*(1-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1079*(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1079*(1-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1079*(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9">
        <f>IF(C1079,(0.2*SUMPRODUCT((Skills!Z2:Z30=TRUE)*(C1072:C1100=TRUE)*S1072:S1100)*N1079)*IF(Inputs!$B$39="pvp",1,(1+(Inputs!$B$21+Skills!Q9+B1104+(IF(ArtifactsInput!$M$33,CHOOSE(ArtifactsInput!$N$33+1,30,36,42,48,54,60),0))+(IF(AND(ArtifactsInput!$M$35,Inputs!$B$4&lt;&gt;"Chapter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0">
      <c r="A1080">
        <f>Skills!A10</f>
        <v/>
      </c>
      <c r="B1080">
        <f>Skills!B10</f>
        <v/>
      </c>
      <c r="C1080">
        <f>Inputs!$B$3&gt;=74</f>
        <v/>
      </c>
      <c r="D1080">
        <f>IF(Skills!C10=1,60+Inputs!$B$25+(Inputs!$B$29+1),IF(Skills!C10=2,90+Inputs!$B$26+(Inputs!$B$29+1),IF(Skills!C10=3,120+Inputs!$B$27+(Inputs!$B$29+1),MAX(0,(Inputs!$B$3-100)*3)+Inputs!$B$28+(Inputs!$B$29+1))))</f>
        <v/>
      </c>
      <c r="E1080">
        <f>INDEX(FactorTable!$B$2:$Y$301, MATCH(ROUND(MIN(300,MAX(1,D1080)),0), FactorTable!$A$2:$A$301,0), Skills!M10+1)</f>
        <v/>
      </c>
      <c r="F1080">
        <f>IF(Skills!N10=TRUE,(Skills!L10/10)*(E1080/1000),Skills!L10/10)+Skills!O10</f>
        <v/>
      </c>
      <c r="G1080">
        <f>Skills!G10*IF(Skills!H10&gt;0,Skills!I10/Skills!H10,1)</f>
        <v/>
      </c>
      <c r="H1080">
        <f>1-(1-Skills!J10/100)^Skills!K10</f>
        <v/>
      </c>
      <c r="I1080" t="inlineStr">
        <is>
          <t>1</t>
        </is>
      </c>
      <c r="J1080" t="inlineStr"/>
      <c r="K1080" t="inlineStr"/>
      <c r="L1080" t="inlineStr"/>
      <c r="M1080" t="inlineStr"/>
      <c r="N1080" t="inlineStr"/>
      <c r="O1080">
        <f>(1-Summary!$B$11)*T1080+Summary!$B$11*V1080</f>
        <v/>
      </c>
      <c r="P1080">
        <f>IF(B1115=0,0,O1080/B1115)</f>
        <v/>
      </c>
      <c r="Q1080">
        <f>IFERROR(1/IF(Inputs!$B$39="pvp",15,MAX(0.1,Skills!D10-IF(Skills!E10=TRUE,Inputs!$B$32,0))),0)</f>
        <v/>
      </c>
      <c r="R1080">
        <f>IF(AND(Inputs!$B$39&lt;&gt;"pvp",Inputs!$B$44&gt;0),IF(Inputs!$B$44&lt;=0,0,(INT(Inputs!$B$44/IF(Inputs!$B$39="pvp",15,MAX(0.1,Skills!D10-IF(Skills!E10=TRUE,Inputs!$B$32,0))))+1)),0)</f>
        <v/>
      </c>
      <c r="S1080">
        <f>IFERROR(O1080/N1080,0)</f>
        <v/>
      </c>
      <c r="T1080" t="n">
        <v>0</v>
      </c>
      <c r="V1080" t="n">
        <v>0</v>
      </c>
    </row>
    <row r="1081">
      <c r="A1081">
        <f>Skills!A11</f>
        <v/>
      </c>
      <c r="B1081">
        <f>Skills!B11</f>
        <v/>
      </c>
      <c r="C1081">
        <f>Inputs!$B$3&gt;=103</f>
        <v/>
      </c>
      <c r="D1081">
        <f>IF(Skills!C11=1,60+Inputs!$B$25+(Inputs!$B$29+1),IF(Skills!C11=2,90+Inputs!$B$26+(Inputs!$B$29+1),IF(Skills!C11=3,120+Inputs!$B$27+(Inputs!$B$29+1),MAX(0,(Inputs!$B$3-100)*3)+Inputs!$B$28+(Inputs!$B$29+1))))</f>
        <v/>
      </c>
      <c r="E1081">
        <f>INDEX(FactorTable!$B$2:$Y$301, MATCH(ROUND(MIN(300,MAX(1,D1081)),0), FactorTable!$A$2:$A$301,0), Skills!M11+1)</f>
        <v/>
      </c>
      <c r="F1081">
        <f>(Skills!L11/10)*(E1081/1000)+IF(Inputs!$B$3&gt;=134,50,0)+0.5*(30000/10)*(INDEX(FactorTable!$B$2:$Y$301, MATCH(ROUND(MIN(300,MAX(1,D1081)),0), FactorTable!$A$2:$A$301,0), 13)/1000)*B1113</f>
        <v/>
      </c>
      <c r="G1081">
        <f>Skills!G11*IF(Skills!H11&gt;0,Skills!I11/Skills!H11,1)</f>
        <v/>
      </c>
      <c r="H1081">
        <f>1-(1-Skills!J11/100)^Skills!K11</f>
        <v/>
      </c>
      <c r="I1081" t="inlineStr">
        <is>
          <t>1</t>
        </is>
      </c>
      <c r="J1081">
        <f>((Inputs!$B$6*(1+Inputs!$B$7/100))+(((Inputs!$B$12*(1+Inputs!$B$13/100))-(Inputs!$B$12*(1+Inputs!$B$13/100)))+0.25*(Inputs!$B$14-Inputs!$B$14))*(1+Inputs!$B$7/100))*(F1081/100)</f>
        <v/>
      </c>
      <c r="K1081">
        <f>J1081*(1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1081)</f>
        <v/>
      </c>
      <c r="L1081">
        <f>K1081*(MIN(Inputs!$B$22+((C1094=TRUE)*(F1094-Calc!F24)),(Inputs!$B$23+((C1099=TRUE)*(F1099-Calc!F29))+IF(ArtifactsInput!$M$15,CHOOSE(ArtifactsInput!$N$15+1,25,30,35,40,45,50)/100*(Inputs!$B$11-Inputs!$B$11),0)))/100+(Inputs!$B$23+((C1099=TRUE)*(F1099-Calc!F29))+IF(ArtifactsInput!$M$15,CHOOSE(ArtifactsInput!$N$15+1,25,30,35,40,45,50)/100*(Inputs!$B$11-Inputs!$B$11),0))/100)/2</f>
        <v/>
      </c>
      <c r="M1081">
        <f>L1081*(1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1">
        <f>L1081*(1-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1">
        <f>(1-Summary!$B$11)*T1081+Summary!$B$11*V1081</f>
        <v/>
      </c>
      <c r="P1081">
        <f>IF(B1115=0,0,O1081/B1115)</f>
        <v/>
      </c>
      <c r="Q1081">
        <f>IFERROR(1/IF(Inputs!$B$39="pvp",15,MAX(0.1,Skills!D11-IF(Skills!E11=TRUE,Inputs!$B$32,0))),0)</f>
        <v/>
      </c>
      <c r="R1081">
        <f>IF(AND(Inputs!$B$39&lt;&gt;"pvp",Inputs!$B$44&gt;0),IF(MAX(0,Inputs!$B$44-B1114)&lt;=0,0,(INT(MAX(0,Inputs!$B$44-B1114)/IF(Inputs!$B$39="pvp",15,MAX(0.1,Skills!D11-IF(Skills!E11=TRUE,Inputs!$B$32,0))))+1)),0)</f>
        <v/>
      </c>
      <c r="S1081">
        <f>IFERROR(O1081/N1081,0)</f>
        <v/>
      </c>
      <c r="T1081">
        <f>IF(C1081,(H1081*N1081*IF(AND(Inputs!$B$39&lt;&gt;"pvp",Inputs!$B$44&gt;0),((Skills!G11*((R1081-1)*IF(Skills!H11&gt;0,Skills!I11/Skills!H11,1)+IF(Skills!H11&gt;0,MIN(Skills!I11,MAX(0,MAX(0,Inputs!$B$44-B1114)-((R1081-1)*IF(Inputs!$B$39="pvp",15,MAX(0.1,Skills!D11-IF(Skills!E11=TRUE,Inputs!$B$32,0))))))/Skills!H11,1)))/Inputs!$B$44),G1081*Q1081))*IF(Inputs!$B$39="pvp",1,1+(Inputs!$B$20+0+Skills!P11+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1081*(1-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1081*(1-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1">
        <f>IF(C1081,(H1081*N1081*IF(AND(Inputs!$B$39&lt;&gt;"pvp",Inputs!$B$44&gt;0),((Skills!G11*((R1081-1)*IF(Skills!H11&gt;0,Skills!I11/Skills!H11,1)+IF(Skills!H11&gt;0,MIN(Skills!I11,MAX(0,MAX(0,Inputs!$B$44-B1114)-((R1081-1)*IF(Inputs!$B$39="pvp",15,MAX(0.1,Skills!D11-IF(Skills!E11=TRUE,Inputs!$B$32,0))))))/Skills!H11,1)))/Inputs!$B$44),G1081*Q1081))*IF(Inputs!$B$39="pvp",1,(1+(Inputs!$B$21+Skills!Q11+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2">
      <c r="A1082">
        <f>Skills!A12</f>
        <v/>
      </c>
      <c r="B1082">
        <f>Skills!B12</f>
        <v/>
      </c>
      <c r="C1082">
        <f>Inputs!$B$3&gt;=105</f>
        <v/>
      </c>
      <c r="D1082">
        <f>IF(Skills!C12=1,60+Inputs!$B$25+(Inputs!$B$29+1),IF(Skills!C12=2,90+Inputs!$B$26+(Inputs!$B$29+1),IF(Skills!C12=3,120+Inputs!$B$27+(Inputs!$B$29+1),MAX(0,(Inputs!$B$3-100)*3)+Inputs!$B$28+(Inputs!$B$29+1))))</f>
        <v/>
      </c>
      <c r="E1082">
        <f>INDEX(FactorTable!$B$2:$Y$301, MATCH(ROUND(MIN(300,MAX(1,D1082)),0), FactorTable!$A$2:$A$301,0), Skills!M12+1)</f>
        <v/>
      </c>
      <c r="F1082">
        <f>IF(Skills!N12=TRUE,(Skills!L12/10)*(E1082/1000),Skills!L12/10)+Skills!O12</f>
        <v/>
      </c>
      <c r="G1082">
        <f>Skills!G12*IF(Skills!H12&gt;0,Skills!I12/Skills!H12,1)</f>
        <v/>
      </c>
      <c r="H1082">
        <f>1-(1-Skills!J12/100)^Skills!K12</f>
        <v/>
      </c>
      <c r="I1082" t="inlineStr">
        <is>
          <t>1</t>
        </is>
      </c>
      <c r="J1082">
        <f>((Inputs!$B$6*(1+Inputs!$B$7/100))+(((Inputs!$B$12*(1+Inputs!$B$13/100))-(Inputs!$B$12*(1+Inputs!$B$13/100)))+0.25*(Inputs!$B$14-Inputs!$B$14))*(1+Inputs!$B$7/100))*(F1082/100)</f>
        <v/>
      </c>
      <c r="K1082">
        <f>J1082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1082)</f>
        <v/>
      </c>
      <c r="L1082">
        <f>K1082*(MIN(Inputs!$B$22+((C1094=TRUE)*(F1094-Calc!F24)),(Inputs!$B$23+((C1099=TRUE)*(F1099-Calc!F29))+IF(ArtifactsInput!$M$15,CHOOSE(ArtifactsInput!$N$15+1,25,30,35,40,45,50)/100*(Inputs!$B$11-Inputs!$B$11),0)))/100+(Inputs!$B$23+((C1099=TRUE)*(F1099-Calc!F29))+IF(ArtifactsInput!$M$15,CHOOSE(ArtifactsInput!$N$15+1,25,30,35,40,45,50)/100*(Inputs!$B$11-Inputs!$B$11),0))/100)/2</f>
        <v/>
      </c>
      <c r="M1082">
        <f>L1082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2">
        <f>L1082*(1-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1082*(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2">
        <f>(1-Summary!$B$11)*T1082+Summary!$B$11*V1082</f>
        <v/>
      </c>
      <c r="P1082">
        <f>IF(B1115=0,0,O1082/B1115)</f>
        <v/>
      </c>
      <c r="Q1082">
        <f>IFERROR(1/IF(Inputs!$B$39="pvp",15,MAX(0.1,Skills!D12-IF(Skills!E12=TRUE,Inputs!$B$32,0))),0)</f>
        <v/>
      </c>
      <c r="R1082">
        <f>IF(AND(Inputs!$B$39&lt;&gt;"pvp",Inputs!$B$44&gt;0),IF(MAX(0,Inputs!$B$44-B1114)&lt;=0,0,(INT(MAX(0,Inputs!$B$44-B1114)/IF(Inputs!$B$39="pvp",15,MAX(0.1,Skills!D12-IF(Skills!E12=TRUE,Inputs!$B$32,0))))+1)),0)</f>
        <v/>
      </c>
      <c r="S1082">
        <f>IFERROR(O1082/N1082,0)</f>
        <v/>
      </c>
      <c r="T1082">
        <f>IF(C1082,(H1082*N1082*IF(AND(Inputs!$B$39&lt;&gt;"pvp",Inputs!$B$44&gt;0),((Skills!G12*((R1082-1)*IF(Skills!H12&gt;0,Skills!I12/Skills!H12,1)+IF(Skills!H12&gt;0,MIN(Skills!I12,MAX(0,MAX(0,Inputs!$B$44-B1114)-((R1082-1)*IF(Inputs!$B$39="pvp",15,MAX(0.1,Skills!D12-IF(Skills!E12=TRUE,Inputs!$B$32,0))))))/Skills!H12,1)))/Inputs!$B$44),G1082*Q1082))*IF(Inputs!$B$39="pvp",1,1+(Inputs!$B$20+0+Skills!P12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1082*(1-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1082*(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1082*(1-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1082*(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2">
        <f>IF(C1082,(H1082*N1082*IF(AND(Inputs!$B$39&lt;&gt;"pvp",Inputs!$B$44&gt;0),((Skills!G12*((R1082-1)*IF(Skills!H12&gt;0,Skills!I12/Skills!H12,1)+IF(Skills!H12&gt;0,MIN(Skills!I12,MAX(0,MAX(0,Inputs!$B$44-B1114)-((R1082-1)*IF(Inputs!$B$39="pvp",15,MAX(0.1,Skills!D12-IF(Skills!E12=TRUE,Inputs!$B$32,0))))))/Skills!H12,1)))/Inputs!$B$44),G1082*Q1082))*IF(Inputs!$B$39="pvp",1,(1+(Inputs!$B$21+Skills!Q12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3">
      <c r="A1083">
        <f>Skills!A13</f>
        <v/>
      </c>
      <c r="B1083">
        <f>Skills!B13</f>
        <v/>
      </c>
      <c r="C1083">
        <f>Inputs!$B$3&gt;=105</f>
        <v/>
      </c>
      <c r="D1083">
        <f>IF(Skills!C13=1,60+Inputs!$B$25+(Inputs!$B$29+1),IF(Skills!C13=2,90+Inputs!$B$26+(Inputs!$B$29+1),IF(Skills!C13=3,120+Inputs!$B$27+(Inputs!$B$29+1),MAX(0,(Inputs!$B$3-100)*3)+Inputs!$B$28+(Inputs!$B$29+1))))</f>
        <v/>
      </c>
      <c r="E1083">
        <f>INDEX(FactorTable!$B$2:$Y$301, MATCH(ROUND(MIN(300,MAX(1,D1083)),0), FactorTable!$A$2:$A$301,0), Skills!M13+1)</f>
        <v/>
      </c>
      <c r="F1083">
        <f>IF(Skills!N13=TRUE,(Skills!L13/10)*(E1083/1000),Skills!L13/10)+Skills!O13</f>
        <v/>
      </c>
      <c r="G1083">
        <f>Skills!G13*IF(Skills!H13&gt;0,Skills!I13/Skills!H13,1)</f>
        <v/>
      </c>
      <c r="H1083">
        <f>1-(1-Skills!J13/100)^Skills!K13</f>
        <v/>
      </c>
      <c r="I1083" t="inlineStr">
        <is>
          <t>1</t>
        </is>
      </c>
      <c r="J1083">
        <f>((Inputs!$B$6*(1+Inputs!$B$7/100))+(((Inputs!$B$12*(1+Inputs!$B$13/100))-(Inputs!$B$12*(1+Inputs!$B$13/100)))+0.25*(Inputs!$B$14-Inputs!$B$14))*(1+Inputs!$B$7/100))*(F1083/100)</f>
        <v/>
      </c>
      <c r="K1083">
        <f>J1083*(1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1083)</f>
        <v/>
      </c>
      <c r="L1083">
        <f>K1083*(MIN(Inputs!$B$22+((C1094=TRUE)*(F1094-Calc!F24)),(Inputs!$B$23+((C1099=TRUE)*(F1099-Calc!F29))+IF(ArtifactsInput!$M$15,CHOOSE(ArtifactsInput!$N$15+1,25,30,35,40,45,50)/100*(Inputs!$B$11-Inputs!$B$11),0)))/100+(Inputs!$B$23+((C1099=TRUE)*(F1099-Calc!F29))+IF(ArtifactsInput!$M$15,CHOOSE(ArtifactsInput!$N$15+1,25,30,35,40,45,50)/100*(Inputs!$B$11-Inputs!$B$11),0))/100)/2</f>
        <v/>
      </c>
      <c r="M1083">
        <f>L1083*(1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3">
        <f>L1083*(1-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IF(B1115=0,0,O1083/B1115)</f>
        <v/>
      </c>
      <c r="Q1083">
        <f>IFERROR(1/IF(Inputs!$B$39="pvp",15,MAX(0.1,Skills!D13-IF(Skills!E13=TRUE,Inputs!$B$32,0))),0)</f>
        <v/>
      </c>
      <c r="R1083">
        <f>IF(AND(Inputs!$B$39&lt;&gt;"pvp",Inputs!$B$44&gt;0),IF(MAX(0,Inputs!$B$44-B1114)&lt;=0,0,(INT(MAX(0,Inputs!$B$44-B1114)/IF(Inputs!$B$39="pvp",15,MAX(0.1,Skills!D13-IF(Skills!E13=TRUE,Inputs!$B$32,0))))+1)),0)</f>
        <v/>
      </c>
      <c r="S1083">
        <f>IFERROR(O1083/N1083,0)</f>
        <v/>
      </c>
      <c r="T1083">
        <f>IF(C1083,(H1083*N1083*IF(AND(Inputs!$B$39&lt;&gt;"pvp",Inputs!$B$44&gt;0),((Skills!G13*((R1083-1)*IF(Skills!H13&gt;0,Skills!I13/Skills!H13,1)+IF(Skills!H13&gt;0,MIN(Skills!I13,MAX(0,MAX(0,Inputs!$B$44-B1114)-((R1083-1)*IF(Inputs!$B$39="pvp",15,MAX(0.1,Skills!D13-IF(Skills!E13=TRUE,Inputs!$B$32,0))))))/Skills!H13,1)))/Inputs!$B$44),G1083*Q1083))*IF(Inputs!$B$39="pvp",1,1+(Inputs!$B$20+0+Skills!P13+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1083*(1-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3">
        <f>IF(C1083,(H1083*N1083*IF(AND(Inputs!$B$39&lt;&gt;"pvp",Inputs!$B$44&gt;0),((Skills!G13*((R1083-1)*IF(Skills!H13&gt;0,Skills!I13/Skills!H13,1)+IF(Skills!H13&gt;0,MIN(Skills!I13,MAX(0,MAX(0,Inputs!$B$44-B1114)-((R1083-1)*IF(Inputs!$B$39="pvp",15,MAX(0.1,Skills!D13-IF(Skills!E13=TRUE,Inputs!$B$32,0))))))/Skills!H13,1)))/Inputs!$B$44),G1083*Q1083))*IF(Inputs!$B$39="pvp",1,(1+(Inputs!$B$21+Skills!Q13+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Skills!A14</f>
        <v/>
      </c>
      <c r="B1084">
        <f>Skills!B14</f>
        <v/>
      </c>
      <c r="C1084">
        <f>Inputs!$B$3&gt;=107</f>
        <v/>
      </c>
      <c r="D1084">
        <f>IF(Skills!C14=1,60+Inputs!$B$25+(Inputs!$B$29+1),IF(Skills!C14=2,90+Inputs!$B$26+(Inputs!$B$29+1),IF(Skills!C14=3,120+Inputs!$B$27+(Inputs!$B$29+1),MAX(0,(Inputs!$B$3-100)*3)+Inputs!$B$28+(Inputs!$B$29+1))))</f>
        <v/>
      </c>
      <c r="E1084">
        <f>INDEX(FactorTable!$B$2:$Y$301, MATCH(ROUND(MIN(300,MAX(1,D1084)),0), FactorTable!$A$2:$A$301,0), Skills!M14+1)</f>
        <v/>
      </c>
      <c r="F1084">
        <f>IF(Skills!N14=TRUE,(Skills!L14/10)*(E1084/1000),Skills!L14/10)+Skills!O14</f>
        <v/>
      </c>
      <c r="G1084">
        <f>Skills!G14*IF(Skills!H14&gt;0,Skills!I14/Skills!H14,1)</f>
        <v/>
      </c>
      <c r="H1084">
        <f>1-(1-Skills!J14/100)^Skills!K14</f>
        <v/>
      </c>
      <c r="I1084" t="inlineStr">
        <is>
          <t>1</t>
        </is>
      </c>
      <c r="J1084">
        <f>((Inputs!$B$6*(1+Inputs!$B$7/100))+(((Inputs!$B$12*(1+Inputs!$B$13/100))-(Inputs!$B$12*(1+Inputs!$B$13/100)))+0.25*(Inputs!$B$14-Inputs!$B$14))*(1+Inputs!$B$7/100))*(F1084/100)</f>
        <v/>
      </c>
      <c r="K1084">
        <f>J1084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1084)</f>
        <v/>
      </c>
      <c r="L1084">
        <f>K1084*(MIN(Inputs!$B$22+((C1094=TRUE)*(F1094-Calc!F24)),(Inputs!$B$23+((C1099=TRUE)*(F1099-Calc!F29))+IF(ArtifactsInput!$M$15,CHOOSE(ArtifactsInput!$N$15+1,25,30,35,40,45,50)/100*(Inputs!$B$11-Inputs!$B$11),0)))/100+(Inputs!$B$23+((C1099=TRUE)*(F1099-Calc!F29))+IF(ArtifactsInput!$M$15,CHOOSE(ArtifactsInput!$N$15+1,25,30,35,40,45,50)/100*(Inputs!$B$11-Inputs!$B$11),0))/100)/2</f>
        <v/>
      </c>
      <c r="M1084">
        <f>L1084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4">
        <f>L1084*(1-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1084*(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4">
        <f>(1-Summary!$B$11)*T1084+Summary!$B$11*V1084</f>
        <v/>
      </c>
      <c r="P1084">
        <f>IF(B1115=0,0,O1084/B1115)</f>
        <v/>
      </c>
      <c r="Q1084">
        <f>IFERROR(1/IF(Inputs!$B$39="pvp",15,MAX(0.1,Skills!D14-IF(Skills!E14=TRUE,Inputs!$B$32,0))),0)</f>
        <v/>
      </c>
      <c r="R1084">
        <f>IF(AND(Inputs!$B$39&lt;&gt;"pvp",Inputs!$B$44&gt;0),IF(MAX(0,Inputs!$B$44-B1114)&lt;=0,0,(INT(MAX(0,Inputs!$B$44-B1114)/IF(Inputs!$B$39="pvp",15,MAX(0.1,Skills!D14-IF(Skills!E14=TRUE,Inputs!$B$32,0))))+1)),0)</f>
        <v/>
      </c>
      <c r="S1084">
        <f>IFERROR(O1084/N1084,0)</f>
        <v/>
      </c>
      <c r="T1084">
        <f>IF(C1084,(H1084*N1084*IF(AND(Inputs!$B$39&lt;&gt;"pvp",Inputs!$B$44&gt;0),((Skills!G14*((R1084-1)*IF(Skills!H14&gt;0,Skills!I14/Skills!H14,1)+IF(Skills!H14&gt;0,MIN(Skills!I14,MAX(0,MAX(0,Inputs!$B$44-B1114)-((R1084-1)*IF(Inputs!$B$39="pvp",15,MAX(0.1,Skills!D14-IF(Skills!E14=TRUE,Inputs!$B$32,0))))))/Skills!H14,1)))/Inputs!$B$44),G1084*Q1084))*IF(Inputs!$B$39="pvp",1,1+(Inputs!$B$20+0+Skills!P14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1084*(1-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1084*(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1084*(1-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1084*(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4">
        <f>IF(C1084,(H1084*N1084*IF(AND(Inputs!$B$39&lt;&gt;"pvp",Inputs!$B$44&gt;0),((Skills!G14*((R1084-1)*IF(Skills!H14&gt;0,Skills!I14/Skills!H14,1)+IF(Skills!H14&gt;0,MIN(Skills!I14,MAX(0,MAX(0,Inputs!$B$44-B1114)-((R1084-1)*IF(Inputs!$B$39="pvp",15,MAX(0.1,Skills!D14-IF(Skills!E14=TRUE,Inputs!$B$32,0))))))/Skills!H14,1)))/Inputs!$B$44),G1084*Q1084))*IF(Inputs!$B$39="pvp",1,(1+(Inputs!$B$21+Skills!Q14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(5,0.25*B1107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5">
      <c r="A1085">
        <f>Skills!A15</f>
        <v/>
      </c>
      <c r="B1085">
        <f>Skills!B15</f>
        <v/>
      </c>
      <c r="C1085">
        <f>Inputs!$B$3&gt;=110</f>
        <v/>
      </c>
      <c r="D1085">
        <f>IF(Skills!C15=1,60+Inputs!$B$25+(Inputs!$B$29+1),IF(Skills!C15=2,90+Inputs!$B$26+(Inputs!$B$29+1),IF(Skills!C15=3,120+Inputs!$B$27+(Inputs!$B$29+1),MAX(0,(Inputs!$B$3-100)*3)+Inputs!$B$28+(Inputs!$B$29+1))))</f>
        <v/>
      </c>
      <c r="E1085">
        <f>INDEX(FactorTable!$B$2:$Y$301, MATCH(ROUND(MIN(300,MAX(1,D1085)),0), FactorTable!$A$2:$A$301,0), Skills!M15+1)</f>
        <v/>
      </c>
      <c r="F1085">
        <f>IF(Skills!N15=TRUE,(Skills!L15/10)*(E1085/1000),Skills!L15/10)+Skills!O15</f>
        <v/>
      </c>
      <c r="G1085">
        <f>Skills!G15*IF(Skills!H15&gt;0,Skills!I15/Skills!H15,1)</f>
        <v/>
      </c>
      <c r="H1085">
        <f>1-(1-Skills!J15/100)^Skills!K15</f>
        <v/>
      </c>
      <c r="I1085" t="inlineStr">
        <is>
          <t>1</t>
        </is>
      </c>
      <c r="J1085" t="inlineStr"/>
      <c r="K1085" t="inlineStr"/>
      <c r="L1085" t="inlineStr"/>
      <c r="M1085" t="inlineStr"/>
      <c r="N1085" t="inlineStr"/>
      <c r="O1085">
        <f>(1-Summary!$B$11)*T1085+Summary!$B$11*V1085</f>
        <v/>
      </c>
      <c r="P1085">
        <f>IF(B1115=0,0,O1085/B1115)</f>
        <v/>
      </c>
      <c r="Q1085">
        <f>IFERROR(1/IF(Inputs!$B$39="pvp",15,MAX(0.1,Skills!D15-IF(Skills!E15=TRUE,Inputs!$B$32,0))),0)</f>
        <v/>
      </c>
      <c r="R1085">
        <f>IF(AND(Inputs!$B$39&lt;&gt;"pvp",Inputs!$B$44&gt;0),IF(Inputs!$B$44&lt;=0,0,(INT(Inputs!$B$44/IF(Inputs!$B$39="pvp",15,MAX(0.1,Skills!D15-IF(Skills!E15=TRUE,Inputs!$B$32,0))))+1)),0)</f>
        <v/>
      </c>
      <c r="S1085">
        <f>IFERROR(O1085/N1085,0)</f>
        <v/>
      </c>
      <c r="T1085" t="n">
        <v>0</v>
      </c>
      <c r="V1085" t="n">
        <v>0</v>
      </c>
    </row>
    <row r="1086">
      <c r="A1086">
        <f>Skills!A16</f>
        <v/>
      </c>
      <c r="B1086">
        <f>Skills!B16</f>
        <v/>
      </c>
      <c r="C1086">
        <f>Inputs!$B$3&gt;=115</f>
        <v/>
      </c>
      <c r="D1086">
        <f>IF(Skills!C16=1,60+Inputs!$B$25+(Inputs!$B$29+1),IF(Skills!C16=2,90+Inputs!$B$26+(Inputs!$B$29+1),IF(Skills!C16=3,120+Inputs!$B$27+(Inputs!$B$29+1),MAX(0,(Inputs!$B$3-100)*3)+Inputs!$B$28+(Inputs!$B$29+1))))</f>
        <v/>
      </c>
      <c r="E1086">
        <f>INDEX(FactorTable!$B$2:$Y$301, MATCH(ROUND(MIN(300,MAX(1,D1086)),0), FactorTable!$A$2:$A$301,0), Skills!M16+1)</f>
        <v/>
      </c>
      <c r="F1086">
        <f>IF(Skills!N16=TRUE,(Skills!L16/10)*(E1086/1000),Skills!L16/10)+Skills!O16</f>
        <v/>
      </c>
      <c r="G1086">
        <f>Skills!G16*IF(Skills!H16&gt;0,Skills!I16/Skills!H16,1)</f>
        <v/>
      </c>
      <c r="H1086">
        <f>1-(1-Skills!J16/100)^Skills!K16</f>
        <v/>
      </c>
      <c r="I1086" t="inlineStr">
        <is>
          <t>1</t>
        </is>
      </c>
      <c r="J1086">
        <f>((Inputs!$B$6*(1+Inputs!$B$7/100))+(((Inputs!$B$12*(1+Inputs!$B$13/100))-(Inputs!$B$12*(1+Inputs!$B$13/100)))+0.25*(Inputs!$B$14-Inputs!$B$14))*(1+Inputs!$B$7/100))*(F1086/100)</f>
        <v/>
      </c>
      <c r="K1086">
        <f>J1086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1097=TRUE)*(F1097-Calc!F27))+((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1086)</f>
        <v/>
      </c>
      <c r="L1086">
        <f>K1086*(MIN(Inputs!$B$22+((C1094=TRUE)*(F1094-Calc!F24)),(Inputs!$B$23+((C1099=TRUE)*(F1099-Calc!F29))+IF(ArtifactsInput!$M$15,CHOOSE(ArtifactsInput!$N$15+1,25,30,35,40,45,50)/100*(Inputs!$B$11-Inputs!$B$11),0)))/100+(Inputs!$B$23+((C1099=TRUE)*(F1099-Calc!F29))+IF(ArtifactsInput!$M$15,CHOOSE(ArtifactsInput!$N$15+1,25,30,35,40,45,50)/100*(Inputs!$B$11-Inputs!$B$11),0))/100)/2</f>
        <v/>
      </c>
      <c r="M1086">
        <f>L1086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6">
        <f>L1086*(1-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IF(B1115=0,0,O1086/B1115)</f>
        <v/>
      </c>
      <c r="Q1086" t="n">
        <v>0</v>
      </c>
      <c r="R1086" t="n">
        <v>0</v>
      </c>
      <c r="S1086">
        <f>IFERROR(O1086/N1086,0)</f>
        <v/>
      </c>
      <c r="T1086">
        <f>IF(C1086,(Inputs!$B$38*0.2*N1086)*IF(Inputs!$B$39="pvp",1,1+(Inputs!$B$20+0+Skills!P16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1086*(1-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$9+((C1095=TRUE)*(F1095-Calc!F25))+B1103+(ArtifactsInput!$M$24-ArtifactsInput!$M$24)*CHOOSE(ArtifactsInput!$N$24+1,10,12,14,16,18,20)+(IF(AND(Inputs!$B$39&lt;&gt;"pvp",Inputs!$B$44=0),1,IF(IF(Inputs!$B$39="pvp",15,Inputs!$B$44)-(B1114)&lt;=0,1,MAX(0,IF(Inputs!$B$39="pvp",15,Inputs!$B$44)-MAX(5,B1114))/(IF(Inputs!$B$39="pvp",15,Inputs!$B$44)-(B1114))))*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IF(C1086,(Inputs!$B$38*0.2*N1086)*IF(Inputs!$B$39="pvp",1,(1+(Inputs!$B$21+Skills!Q16+B1104+(IF(ArtifactsInput!$M$33,CHOOSE(ArtifactsInput!$N$33+1,30,36,42,48,54,60),0))+(IF(AND(ArtifactsInput!$M$35,Inputs!$B$4&lt;&gt;"Chapter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Skills!A17</f>
        <v/>
      </c>
      <c r="B1087">
        <f>Skills!B17</f>
        <v/>
      </c>
      <c r="C1087">
        <f>Inputs!$B$3&gt;=115</f>
        <v/>
      </c>
      <c r="D1087">
        <f>IF(Skills!C17=1,60+Inputs!$B$25+(Inputs!$B$29+1),IF(Skills!C17=2,90+Inputs!$B$26+(Inputs!$B$29+1),IF(Skills!C17=3,120+Inputs!$B$27+(Inputs!$B$29+1),MAX(0,(Inputs!$B$3-100)*3)+Inputs!$B$28+(Inputs!$B$29+1))))</f>
        <v/>
      </c>
      <c r="E1087">
        <f>INDEX(FactorTable!$B$2:$Y$301, MATCH(ROUND(MIN(300,MAX(1,D1087)),0), FactorTable!$A$2:$A$301,0), Skills!M17+1)</f>
        <v/>
      </c>
      <c r="F1087">
        <f>IF(Skills!N17=TRUE,(Skills!L17/10)*(E1087/1000),Skills!L17/10)+Skills!O17</f>
        <v/>
      </c>
      <c r="G1087">
        <f>Skills!G17*IF(Skills!H17&gt;0,Skills!I17/Skills!H17,1)</f>
        <v/>
      </c>
      <c r="H1087">
        <f>1-(1-Skills!J17/100)^Skills!K17</f>
        <v/>
      </c>
      <c r="I1087" t="inlineStr">
        <is>
          <t>1</t>
        </is>
      </c>
      <c r="J1087" t="inlineStr"/>
      <c r="K1087" t="inlineStr"/>
      <c r="L1087" t="inlineStr"/>
      <c r="M1087" t="inlineStr"/>
      <c r="N1087" t="inlineStr"/>
      <c r="O1087">
        <f>(1-Summary!$B$11)*T1087+Summary!$B$11*V1087</f>
        <v/>
      </c>
      <c r="P1087">
        <f>IF(B1115=0,0,O1087/B1115)</f>
        <v/>
      </c>
      <c r="Q1087" t="n">
        <v>0</v>
      </c>
      <c r="R1087" t="n">
        <v>0</v>
      </c>
      <c r="S1087">
        <f>IFERROR(O1087/N1087,0)</f>
        <v/>
      </c>
      <c r="T1087" t="n">
        <v>0</v>
      </c>
      <c r="V1087" t="n">
        <v>0</v>
      </c>
    </row>
    <row r="1088">
      <c r="A1088">
        <f>Skills!A18</f>
        <v/>
      </c>
      <c r="B1088">
        <f>Skills!B18</f>
        <v/>
      </c>
      <c r="C1088">
        <f>Inputs!$B$3&gt;=100</f>
        <v/>
      </c>
      <c r="D1088">
        <f>IF(Skills!C18=1,60+Inputs!$B$25+(Inputs!$B$29+1),IF(Skills!C18=2,90+Inputs!$B$26+(Inputs!$B$29+1),IF(Skills!C18=3,120+Inputs!$B$27+(Inputs!$B$29+1),MAX(0,(Inputs!$B$3-100)*3)+Inputs!$B$28+(Inputs!$B$29+1))))</f>
        <v/>
      </c>
      <c r="E1088">
        <f>INDEX(FactorTable!$B$2:$Y$301, MATCH(ROUND(MIN(300,MAX(1,D1088)),0), FactorTable!$A$2:$A$301,0), Skills!M18+1)</f>
        <v/>
      </c>
      <c r="F1088">
        <f>IF(Skills!N18=TRUE,(Skills!L18/10)*(E1088/1000),Skills!L18/10)+Skills!O18</f>
        <v/>
      </c>
      <c r="G1088">
        <f>Skills!G18*IF(Skills!H18&gt;0,Skills!I18/Skills!H18,1)</f>
        <v/>
      </c>
      <c r="H1088">
        <f>1-(1-Skills!J18/100)^Skills!K18</f>
        <v/>
      </c>
      <c r="I1088" t="inlineStr">
        <is>
          <t>1</t>
        </is>
      </c>
      <c r="J1088" t="inlineStr"/>
      <c r="K1088" t="inlineStr"/>
      <c r="L1088" t="inlineStr"/>
      <c r="M1088" t="inlineStr"/>
      <c r="N1088" t="inlineStr"/>
      <c r="O1088">
        <f>(1-Summary!$B$11)*T1088+Summary!$B$11*V1088</f>
        <v/>
      </c>
      <c r="P1088">
        <f>IF(B1115=0,0,O1088/B1115)</f>
        <v/>
      </c>
      <c r="Q1088" t="n">
        <v>0</v>
      </c>
      <c r="R1088" t="n">
        <v>0</v>
      </c>
      <c r="S1088">
        <f>IFERROR(O1088/N1088,0)</f>
        <v/>
      </c>
      <c r="T1088" t="n">
        <v>0</v>
      </c>
      <c r="V1088" t="n">
        <v>0</v>
      </c>
    </row>
    <row r="1089">
      <c r="A1089">
        <f>Skills!A19</f>
        <v/>
      </c>
      <c r="B1089">
        <f>Skills!B19</f>
        <v/>
      </c>
      <c r="C1089">
        <f>TRUE</f>
        <v/>
      </c>
      <c r="D1089">
        <f>IF(Skills!C19=1,60+Inputs!$B$25+(Inputs!$B$29+1),IF(Skills!C19=2,90+Inputs!$B$26+(Inputs!$B$29+1),IF(Skills!C19=3,120+Inputs!$B$27+(Inputs!$B$29+1),MAX(0,(Inputs!$B$3-100)*3)+Inputs!$B$28+(Inputs!$B$29+1))))</f>
        <v/>
      </c>
      <c r="E1089">
        <f>INDEX(FactorTable!$B$2:$Y$301, MATCH(ROUND(MIN(300,MAX(1,D1089)),0), FactorTable!$A$2:$A$301,0), Skills!M19+1)</f>
        <v/>
      </c>
      <c r="F1089">
        <f>IF(Skills!N19=TRUE,(Skills!L19/10)*(E1089/1000),Skills!L19/10)+Skills!O19</f>
        <v/>
      </c>
      <c r="G1089">
        <f>Skills!G19*IF(Skills!H19&gt;0,Skills!I19/Skills!H19,1)</f>
        <v/>
      </c>
      <c r="H1089">
        <f>1-(1-Skills!J19/100)^Skills!K19</f>
        <v/>
      </c>
      <c r="I1089" t="inlineStr">
        <is>
          <t>1</t>
        </is>
      </c>
      <c r="J1089" t="inlineStr"/>
      <c r="K1089" t="inlineStr"/>
      <c r="L1089" t="inlineStr"/>
      <c r="M1089" t="inlineStr"/>
      <c r="N1089" t="inlineStr"/>
      <c r="O1089">
        <f>(1-Summary!$B$11)*T1089+Summary!$B$11*V1089</f>
        <v/>
      </c>
      <c r="P1089">
        <f>IF(B1115=0,0,O1089/B1115)</f>
        <v/>
      </c>
      <c r="Q1089">
        <f>IFERROR(1/IF(Inputs!$B$39="pvp",15,MAX(0.1,Skills!D19-IF(Skills!E19=TRUE,Inputs!$B$32,0))),0)</f>
        <v/>
      </c>
      <c r="R1089">
        <f>IF(AND(Inputs!$B$39&lt;&gt;"pvp",Inputs!$B$44&gt;0),IF(Inputs!$B$44&lt;=0,0,(INT(Inputs!$B$44/IF(Inputs!$B$39="pvp",15,MAX(0.1,Skills!D19-IF(Skills!E19=TRUE,Inputs!$B$32,0))))+1)),0)</f>
        <v/>
      </c>
      <c r="S1089">
        <f>IFERROR(O1089/N1089,0)</f>
        <v/>
      </c>
      <c r="T1089" t="n">
        <v>0</v>
      </c>
      <c r="V1089" t="n">
        <v>0</v>
      </c>
    </row>
    <row r="1090">
      <c r="A1090">
        <f>Skills!A20</f>
        <v/>
      </c>
      <c r="B1090">
        <f>Skills!B20</f>
        <v/>
      </c>
      <c r="C1090">
        <f>Inputs!$B$3&gt;=15</f>
        <v/>
      </c>
      <c r="D1090">
        <f>IF(Skills!C20=1,60+Inputs!$B$25+(Inputs!$B$29+1),IF(Skills!C20=2,90+Inputs!$B$26+(Inputs!$B$29+1),IF(Skills!C20=3,120+Inputs!$B$27+(Inputs!$B$29+1),MAX(0,(Inputs!$B$3-100)*3)+Inputs!$B$28+(Inputs!$B$29+1))))</f>
        <v/>
      </c>
      <c r="E1090">
        <f>INDEX(FactorTable!$B$2:$Y$301, MATCH(ROUND(MIN(300,MAX(1,D1090)),0), FactorTable!$A$2:$A$301,0), Skills!M20+1)</f>
        <v/>
      </c>
      <c r="F1090">
        <f>IF(Skills!N20=TRUE,(Skills!L20/10)*(E1090/1000),Skills!L20/10)+Skills!O20</f>
        <v/>
      </c>
      <c r="G1090">
        <f>Skills!G20*IF(Skills!H20&gt;0,Skills!I20/Skills!H20,1)</f>
        <v/>
      </c>
      <c r="H1090">
        <f>1-(1-Skills!J20/100)^Skills!K20</f>
        <v/>
      </c>
      <c r="I1090" t="inlineStr">
        <is>
          <t>1</t>
        </is>
      </c>
      <c r="J1090" t="inlineStr"/>
      <c r="K1090" t="inlineStr"/>
      <c r="L1090" t="inlineStr"/>
      <c r="M1090" t="inlineStr"/>
      <c r="N1090" t="inlineStr"/>
      <c r="O1090">
        <f>(1-Summary!$B$11)*T1090+Summary!$B$11*V1090</f>
        <v/>
      </c>
      <c r="P1090">
        <f>IF(B1115=0,0,O1090/B1115)</f>
        <v/>
      </c>
      <c r="Q1090">
        <f>IFERROR(1/IF(Inputs!$B$39="pvp",15,MAX(0.1,Skills!D20-IF(Skills!E20=TRUE,Inputs!$B$32,0))),0)</f>
        <v/>
      </c>
      <c r="R1090">
        <f>IF(AND(Inputs!$B$39&lt;&gt;"pvp",Inputs!$B$44&gt;0),IF(Inputs!$B$44&lt;=0,0,(INT(Inputs!$B$44/IF(Inputs!$B$39="pvp",15,MAX(0.1,Skills!D20-IF(Skills!E20=TRUE,Inputs!$B$32,0))))+1)),0)</f>
        <v/>
      </c>
      <c r="S1090">
        <f>IFERROR(O1090/N1090,0)</f>
        <v/>
      </c>
      <c r="T1090" t="n">
        <v>0</v>
      </c>
      <c r="V1090" t="n">
        <v>0</v>
      </c>
    </row>
    <row r="1091">
      <c r="A1091">
        <f>Skills!A21</f>
        <v/>
      </c>
      <c r="B1091">
        <f>Skills!B21</f>
        <v/>
      </c>
      <c r="C1091">
        <f>Inputs!$B$3&gt;=15</f>
        <v/>
      </c>
      <c r="D1091">
        <f>IF(Skills!C21=1,60+Inputs!$B$25+(Inputs!$B$29+1),IF(Skills!C21=2,90+Inputs!$B$26+(Inputs!$B$29+1),IF(Skills!C21=3,120+Inputs!$B$27+(Inputs!$B$29+1),MAX(0,(Inputs!$B$3-100)*3)+Inputs!$B$28+(Inputs!$B$29+1))))</f>
        <v/>
      </c>
      <c r="E1091">
        <f>INDEX(FactorTable!$B$2:$Y$301, MATCH(ROUND(MIN(300,MAX(1,D1091)),0), FactorTable!$A$2:$A$301,0), Skills!M21+1)</f>
        <v/>
      </c>
      <c r="F1091">
        <f>IF(Skills!N21=TRUE,(Skills!L21/10)*(E1091/1000),Skills!L21/10)+Skills!O21</f>
        <v/>
      </c>
      <c r="G1091">
        <f>Skills!G21*IF(Skills!H21&gt;0,Skills!I21/Skills!H21,1)</f>
        <v/>
      </c>
      <c r="H1091">
        <f>1-(1-Skills!J21/100)^Skills!K21</f>
        <v/>
      </c>
      <c r="I1091" t="inlineStr">
        <is>
          <t>1</t>
        </is>
      </c>
      <c r="J1091" t="inlineStr"/>
      <c r="K1091" t="inlineStr"/>
      <c r="L1091" t="inlineStr"/>
      <c r="M1091" t="inlineStr"/>
      <c r="N1091" t="inlineStr"/>
      <c r="O1091">
        <f>(1-Summary!$B$11)*T1091+Summary!$B$11*V1091</f>
        <v/>
      </c>
      <c r="P1091">
        <f>IF(B1115=0,0,O1091/B1115)</f>
        <v/>
      </c>
      <c r="Q1091">
        <f>IFERROR(1/IF(Inputs!$B$39="pvp",15,MAX(0.1,Skills!D21-IF(Skills!E21=TRUE,Inputs!$B$32,0))),0)</f>
        <v/>
      </c>
      <c r="R1091">
        <f>IF(AND(Inputs!$B$39&lt;&gt;"pvp",Inputs!$B$44&gt;0),IF(Inputs!$B$44&lt;=0,0,(INT(Inputs!$B$44/IF(Inputs!$B$39="pvp",15,MAX(0.1,Skills!D21-IF(Skills!E21=TRUE,Inputs!$B$32,0))))+1)),0)</f>
        <v/>
      </c>
      <c r="S1091">
        <f>IFERROR(O1091/N1091,0)</f>
        <v/>
      </c>
      <c r="T1091" t="n">
        <v>0</v>
      </c>
      <c r="V1091" t="n">
        <v>0</v>
      </c>
    </row>
    <row r="1092">
      <c r="A1092">
        <f>Skills!A22</f>
        <v/>
      </c>
      <c r="B1092">
        <f>Skills!B22</f>
        <v/>
      </c>
      <c r="C1092">
        <f>Inputs!$B$3&gt;=33</f>
        <v/>
      </c>
      <c r="D1092">
        <f>IF(Skills!C22=1,60+Inputs!$B$25+(Inputs!$B$29+1),IF(Skills!C22=2,90+Inputs!$B$26+(Inputs!$B$29+1),IF(Skills!C22=3,120+Inputs!$B$27+(Inputs!$B$29+1),MAX(0,(Inputs!$B$3-100)*3)+Inputs!$B$28+(Inputs!$B$29+1))))</f>
        <v/>
      </c>
      <c r="E1092">
        <f>INDEX(FactorTable!$B$2:$Y$301, MATCH(ROUND(MIN(300,MAX(1,D1092)),0), FactorTable!$A$2:$A$301,0), Skills!M22+1)</f>
        <v/>
      </c>
      <c r="F1092">
        <f>IF(Skills!N22=TRUE,(Skills!L22/10)*(E1092/1000),Skills!L22/10)+Skills!O22</f>
        <v/>
      </c>
      <c r="G1092">
        <f>Skills!G22*IF(Skills!H22&gt;0,Skills!I22/Skills!H22,1)</f>
        <v/>
      </c>
      <c r="H1092">
        <f>1-(1-Skills!J22/100)^Skills!K22</f>
        <v/>
      </c>
      <c r="I1092" t="inlineStr">
        <is>
          <t>1</t>
        </is>
      </c>
      <c r="J1092" t="inlineStr"/>
      <c r="K1092" t="inlineStr"/>
      <c r="L1092" t="inlineStr"/>
      <c r="M1092" t="inlineStr"/>
      <c r="N1092" t="inlineStr"/>
      <c r="O1092">
        <f>(1-Summary!$B$11)*T1092+Summary!$B$11*V1092</f>
        <v/>
      </c>
      <c r="P1092">
        <f>IF(B1115=0,0,O1092/B1115)</f>
        <v/>
      </c>
      <c r="Q1092" t="n">
        <v>0</v>
      </c>
      <c r="R1092" t="n">
        <v>0</v>
      </c>
      <c r="S1092">
        <f>IFERROR(O1092/N1092,0)</f>
        <v/>
      </c>
      <c r="T1092" t="n">
        <v>0</v>
      </c>
      <c r="V1092" t="n">
        <v>0</v>
      </c>
    </row>
    <row r="1093">
      <c r="A1093">
        <f>Skills!A23</f>
        <v/>
      </c>
      <c r="B1093">
        <f>Skills!B23</f>
        <v/>
      </c>
      <c r="C1093">
        <f>Inputs!$B$3&gt;=40</f>
        <v/>
      </c>
      <c r="D1093">
        <f>IF(Skills!C23=1,60+Inputs!$B$25+(Inputs!$B$29+1),IF(Skills!C23=2,90+Inputs!$B$26+(Inputs!$B$29+1),IF(Skills!C23=3,120+Inputs!$B$27+(Inputs!$B$29+1),MAX(0,(Inputs!$B$3-100)*3)+Inputs!$B$28+(Inputs!$B$29+1))))</f>
        <v/>
      </c>
      <c r="E1093">
        <f>INDEX(FactorTable!$B$2:$Y$301, MATCH(ROUND(MIN(300,MAX(1,D1093)),0), FactorTable!$A$2:$A$301,0), Skills!M23+1)</f>
        <v/>
      </c>
      <c r="F1093">
        <f>IF(Skills!N23=TRUE,(Skills!L23/10)*(E1093/1000),Skills!L23/10)+Skills!O23</f>
        <v/>
      </c>
      <c r="G1093">
        <f>Skills!G23*IF(Skills!H23&gt;0,Skills!I23/Skills!H23,1)</f>
        <v/>
      </c>
      <c r="H1093">
        <f>1-(1-Skills!J23/100)^Skills!K23</f>
        <v/>
      </c>
      <c r="I1093" t="inlineStr">
        <is>
          <t>1</t>
        </is>
      </c>
      <c r="J1093" t="inlineStr"/>
      <c r="K1093" t="inlineStr"/>
      <c r="L1093" t="inlineStr"/>
      <c r="M1093" t="inlineStr"/>
      <c r="N1093" t="inlineStr"/>
      <c r="O1093">
        <f>(1-Summary!$B$11)*T1093+Summary!$B$11*V1093</f>
        <v/>
      </c>
      <c r="P1093">
        <f>IF(B1115=0,0,O1093/B1115)</f>
        <v/>
      </c>
      <c r="Q1093" t="n">
        <v>0</v>
      </c>
      <c r="R1093" t="n">
        <v>0</v>
      </c>
      <c r="S1093">
        <f>IFERROR(O1093/N1093,0)</f>
        <v/>
      </c>
      <c r="T1093" t="n">
        <v>0</v>
      </c>
      <c r="V1093" t="n">
        <v>0</v>
      </c>
    </row>
    <row r="1094">
      <c r="A1094">
        <f>Skills!A24</f>
        <v/>
      </c>
      <c r="B1094">
        <f>Skills!B24</f>
        <v/>
      </c>
      <c r="C1094">
        <f>Inputs!$B$3&gt;=43</f>
        <v/>
      </c>
      <c r="D1094">
        <f>IF(Skills!C24=1,60+Inputs!$B$25+(Inputs!$B$29+1),IF(Skills!C24=2,90+Inputs!$B$26+(Inputs!$B$29+1),IF(Skills!C24=3,120+Inputs!$B$27+(Inputs!$B$29+1),MAX(0,(Inputs!$B$3-100)*3)+Inputs!$B$28+(Inputs!$B$29+1))))</f>
        <v/>
      </c>
      <c r="E1094">
        <f>INDEX(FactorTable!$B$2:$Y$301, MATCH(ROUND(MIN(300,MAX(1,D1094)),0), FactorTable!$A$2:$A$301,0), Skills!M24+1)</f>
        <v/>
      </c>
      <c r="F1094">
        <f>IF(Skills!N24=TRUE,(Skills!L24/10)*(E1094/1000),Skills!L24/10)+Skills!O24</f>
        <v/>
      </c>
      <c r="G1094">
        <f>Skills!G24*IF(Skills!H24&gt;0,Skills!I24/Skills!H24,1)</f>
        <v/>
      </c>
      <c r="H1094">
        <f>1-(1-Skills!J24/100)^Skills!K24</f>
        <v/>
      </c>
      <c r="I1094" t="inlineStr">
        <is>
          <t>1</t>
        </is>
      </c>
      <c r="J1094" t="inlineStr"/>
      <c r="K1094" t="inlineStr"/>
      <c r="L1094" t="inlineStr"/>
      <c r="M1094" t="inlineStr"/>
      <c r="N1094" t="inlineStr"/>
      <c r="O1094">
        <f>(1-Summary!$B$11)*T1094+Summary!$B$11*V1094</f>
        <v/>
      </c>
      <c r="P1094">
        <f>IF(B1115=0,0,O1094/B1115)</f>
        <v/>
      </c>
      <c r="Q1094" t="n">
        <v>0</v>
      </c>
      <c r="R1094" t="n">
        <v>0</v>
      </c>
      <c r="S1094">
        <f>IFERROR(O1094/N1094,0)</f>
        <v/>
      </c>
      <c r="T1094" t="n">
        <v>0</v>
      </c>
      <c r="V1094" t="n">
        <v>0</v>
      </c>
    </row>
    <row r="1095">
      <c r="A1095">
        <f>Skills!A25</f>
        <v/>
      </c>
      <c r="B1095">
        <f>Skills!B25</f>
        <v/>
      </c>
      <c r="C1095">
        <f>Inputs!$B$3&gt;=50</f>
        <v/>
      </c>
      <c r="D1095">
        <f>IF(Skills!C25=1,60+Inputs!$B$25+(Inputs!$B$29+1),IF(Skills!C25=2,90+Inputs!$B$26+(Inputs!$B$29+1),IF(Skills!C25=3,120+Inputs!$B$27+(Inputs!$B$29+1),MAX(0,(Inputs!$B$3-100)*3)+Inputs!$B$28+(Inputs!$B$29+1))))</f>
        <v/>
      </c>
      <c r="E1095">
        <f>INDEX(FactorTable!$B$2:$Y$301, MATCH(ROUND(MIN(300,MAX(1,D1095)),0), FactorTable!$A$2:$A$301,0), Skills!M25+1)</f>
        <v/>
      </c>
      <c r="F1095">
        <f>IF(Skills!N25=TRUE,(Skills!L25/10)*(E1095/1000),Skills!L25/10)+Skills!O25</f>
        <v/>
      </c>
      <c r="G1095">
        <f>Skills!G25*IF(Skills!H25&gt;0,Skills!I25/Skills!H25,1)</f>
        <v/>
      </c>
      <c r="H1095">
        <f>1-(1-Skills!J25/100)^Skills!K25</f>
        <v/>
      </c>
      <c r="I1095" t="inlineStr">
        <is>
          <t>1</t>
        </is>
      </c>
      <c r="J1095" t="inlineStr"/>
      <c r="K1095" t="inlineStr"/>
      <c r="L1095" t="inlineStr"/>
      <c r="M1095" t="inlineStr"/>
      <c r="N1095" t="inlineStr"/>
      <c r="O1095">
        <f>(1-Summary!$B$11)*T1095+Summary!$B$11*V1095</f>
        <v/>
      </c>
      <c r="P1095">
        <f>IF(B1115=0,0,O1095/B1115)</f>
        <v/>
      </c>
      <c r="Q1095" t="n">
        <v>0</v>
      </c>
      <c r="R1095" t="n">
        <v>0</v>
      </c>
      <c r="S1095">
        <f>IFERROR(O1095/N1095,0)</f>
        <v/>
      </c>
      <c r="T1095" t="n">
        <v>0</v>
      </c>
      <c r="V1095" t="n">
        <v>0</v>
      </c>
    </row>
    <row r="1096">
      <c r="A1096">
        <f>Skills!A26</f>
        <v/>
      </c>
      <c r="B1096">
        <f>Skills!B26</f>
        <v/>
      </c>
      <c r="C1096">
        <f>Inputs!$B$3&gt;=50</f>
        <v/>
      </c>
      <c r="D1096">
        <f>IF(Skills!C26=1,60+Inputs!$B$25+(Inputs!$B$29+1),IF(Skills!C26=2,90+Inputs!$B$26+(Inputs!$B$29+1),IF(Skills!C26=3,120+Inputs!$B$27+(Inputs!$B$29+1),MAX(0,(Inputs!$B$3-100)*3)+Inputs!$B$28+(Inputs!$B$29+1))))</f>
        <v/>
      </c>
      <c r="E1096">
        <f>INDEX(FactorTable!$B$2:$Y$301, MATCH(ROUND(MIN(300,MAX(1,D1096)),0), FactorTable!$A$2:$A$301,0), Skills!M26+1)</f>
        <v/>
      </c>
      <c r="F1096">
        <f>IF(Skills!N26=TRUE,(Skills!L26/10)*(E1096/1000),Skills!L26/10)+Skills!O26</f>
        <v/>
      </c>
      <c r="G1096">
        <f>Skills!G26*IF(Skills!H26&gt;0,Skills!I26/Skills!H26,1)</f>
        <v/>
      </c>
      <c r="H1096">
        <f>1-(1-Skills!J26/100)^Skills!K26</f>
        <v/>
      </c>
      <c r="I1096" t="inlineStr">
        <is>
          <t>1</t>
        </is>
      </c>
      <c r="J1096" t="inlineStr"/>
      <c r="K1096" t="inlineStr"/>
      <c r="L1096" t="inlineStr"/>
      <c r="M1096" t="inlineStr"/>
      <c r="N1096" t="inlineStr"/>
      <c r="O1096">
        <f>(1-Summary!$B$11)*T1096+Summary!$B$11*V1096</f>
        <v/>
      </c>
      <c r="P1096">
        <f>IF(B1115=0,0,O1096/B1115)</f>
        <v/>
      </c>
      <c r="Q1096" t="n">
        <v>0</v>
      </c>
      <c r="R1096" t="n">
        <v>0</v>
      </c>
      <c r="S1096">
        <f>IFERROR(O1096/N1096,0)</f>
        <v/>
      </c>
      <c r="T1096" t="n">
        <v>0</v>
      </c>
      <c r="V1096" t="n">
        <v>0</v>
      </c>
    </row>
    <row r="1097">
      <c r="A1097">
        <f>Skills!A27</f>
        <v/>
      </c>
      <c r="B1097">
        <f>Skills!B27</f>
        <v/>
      </c>
      <c r="C1097">
        <f>Inputs!$B$3&gt;=38</f>
        <v/>
      </c>
      <c r="D1097">
        <f>IF(Skills!C27=1,60+Inputs!$B$25+(Inputs!$B$29+1),IF(Skills!C27=2,90+Inputs!$B$26+(Inputs!$B$29+1),IF(Skills!C27=3,120+Inputs!$B$27+(Inputs!$B$29+1),MAX(0,(Inputs!$B$3-100)*3)+Inputs!$B$28+(Inputs!$B$29+1))))</f>
        <v/>
      </c>
      <c r="E1097">
        <f>INDEX(FactorTable!$B$2:$Y$301, MATCH(ROUND(MIN(300,MAX(1,D1097)),0), FactorTable!$A$2:$A$301,0), Skills!M27+1)</f>
        <v/>
      </c>
      <c r="F1097">
        <f>IF(Skills!N27=TRUE,(Skills!L27/10)*(E1097/1000),Skills!L27/10)+Skills!O27</f>
        <v/>
      </c>
      <c r="G1097">
        <f>Skills!G27*IF(Skills!H27&gt;0,Skills!I27/Skills!H27,1)</f>
        <v/>
      </c>
      <c r="H1097">
        <f>1-(1-Skills!J27/100)^Skills!K27</f>
        <v/>
      </c>
      <c r="I1097" t="inlineStr">
        <is>
          <t>1</t>
        </is>
      </c>
      <c r="J1097" t="inlineStr"/>
      <c r="K1097" t="inlineStr"/>
      <c r="L1097" t="inlineStr"/>
      <c r="M1097" t="inlineStr"/>
      <c r="N1097" t="inlineStr"/>
      <c r="O1097">
        <f>(1-Summary!$B$11)*T1097+Summary!$B$11*V1097</f>
        <v/>
      </c>
      <c r="P1097">
        <f>IF(B1115=0,0,O1097/B1115)</f>
        <v/>
      </c>
      <c r="Q1097" t="n">
        <v>0</v>
      </c>
      <c r="R1097" t="n">
        <v>0</v>
      </c>
      <c r="S1097">
        <f>IFERROR(O1097/N1097,0)</f>
        <v/>
      </c>
      <c r="T1097" t="n">
        <v>0</v>
      </c>
      <c r="V1097" t="n">
        <v>0</v>
      </c>
    </row>
    <row r="1098">
      <c r="A1098">
        <f>Skills!A28</f>
        <v/>
      </c>
      <c r="B1098">
        <f>Skills!B28</f>
        <v/>
      </c>
      <c r="C1098">
        <f>Inputs!$B$3&gt;=120</f>
        <v/>
      </c>
      <c r="D1098">
        <f>IF(Skills!C28=1,60+Inputs!$B$25+(Inputs!$B$29+1),IF(Skills!C28=2,90+Inputs!$B$26+(Inputs!$B$29+1),IF(Skills!C28=3,120+Inputs!$B$27+(Inputs!$B$29+1),MAX(0,(Inputs!$B$3-100)*3)+Inputs!$B$28+(Inputs!$B$29+1))))</f>
        <v/>
      </c>
      <c r="E1098">
        <f>INDEX(FactorTable!$B$2:$Y$301, MATCH(ROUND(MIN(300,MAX(1,D1098)),0), FactorTable!$A$2:$A$301,0), Skills!M28+1)</f>
        <v/>
      </c>
      <c r="F1098">
        <f>IF(Skills!N28=TRUE,(Skills!L28/10)*(E1098/1000),Skills!L28/10)+Skills!O28</f>
        <v/>
      </c>
      <c r="G1098">
        <f>Skills!G28*IF(Skills!H28&gt;0,Skills!I28/Skills!H28,1)</f>
        <v/>
      </c>
      <c r="H1098">
        <f>1-(1-Skills!J28/100)^Skills!K28</f>
        <v/>
      </c>
      <c r="I1098" t="inlineStr">
        <is>
          <t>1</t>
        </is>
      </c>
      <c r="J1098" t="inlineStr"/>
      <c r="K1098" t="inlineStr"/>
      <c r="L1098" t="inlineStr"/>
      <c r="M1098" t="inlineStr"/>
      <c r="N1098" t="inlineStr"/>
      <c r="O1098">
        <f>(1-Summary!$B$11)*T1098+Summary!$B$11*V1098</f>
        <v/>
      </c>
      <c r="P1098">
        <f>IF(B1115=0,0,O1098/B1115)</f>
        <v/>
      </c>
      <c r="Q1098" t="n">
        <v>0</v>
      </c>
      <c r="R1098" t="n">
        <v>0</v>
      </c>
      <c r="S1098">
        <f>IFERROR(O1098/N1098,0)</f>
        <v/>
      </c>
      <c r="T1098" t="n">
        <v>0</v>
      </c>
      <c r="V1098" t="n">
        <v>0</v>
      </c>
    </row>
    <row r="1099">
      <c r="A1099">
        <f>Skills!A29</f>
        <v/>
      </c>
      <c r="B1099">
        <f>Skills!B29</f>
        <v/>
      </c>
      <c r="C1099">
        <f>Inputs!$B$3&gt;=120</f>
        <v/>
      </c>
      <c r="D1099">
        <f>IF(Skills!C29=1,60+Inputs!$B$25+(Inputs!$B$29+1),IF(Skills!C29=2,90+Inputs!$B$26+(Inputs!$B$29+1),IF(Skills!C29=3,120+Inputs!$B$27+(Inputs!$B$29+1),MAX(0,(Inputs!$B$3-100)*3)+Inputs!$B$28+(Inputs!$B$29+1))))</f>
        <v/>
      </c>
      <c r="E1099">
        <f>INDEX(FactorTable!$B$2:$Y$301, MATCH(ROUND(MIN(300,MAX(1,D1099)),0), FactorTable!$A$2:$A$301,0), Skills!M29+1)</f>
        <v/>
      </c>
      <c r="F1099">
        <f>IF(Skills!N29=TRUE,(Skills!L29/10)*(E1099/1000),Skills!L29/10)+Skills!O29</f>
        <v/>
      </c>
      <c r="G1099">
        <f>Skills!G29*IF(Skills!H29&gt;0,Skills!I29/Skills!H29,1)</f>
        <v/>
      </c>
      <c r="H1099">
        <f>1-(1-Skills!J29/100)^Skills!K29</f>
        <v/>
      </c>
      <c r="I1099" t="inlineStr">
        <is>
          <t>1</t>
        </is>
      </c>
      <c r="J1099" t="inlineStr"/>
      <c r="K1099" t="inlineStr"/>
      <c r="L1099" t="inlineStr"/>
      <c r="M1099" t="inlineStr"/>
      <c r="N1099" t="inlineStr"/>
      <c r="O1099">
        <f>(1-Summary!$B$11)*T1099+Summary!$B$11*V1099</f>
        <v/>
      </c>
      <c r="P1099">
        <f>IF(B1115=0,0,O1099/B1115)</f>
        <v/>
      </c>
      <c r="Q1099" t="n">
        <v>0</v>
      </c>
      <c r="R1099" t="n">
        <v>0</v>
      </c>
      <c r="S1099">
        <f>IFERROR(O1099/N1099,0)</f>
        <v/>
      </c>
      <c r="T1099" t="n">
        <v>0</v>
      </c>
      <c r="V1099" t="n">
        <v>0</v>
      </c>
    </row>
    <row r="1100">
      <c r="A1100">
        <f>Skills!A30</f>
        <v/>
      </c>
      <c r="B1100">
        <f>Skills!B30</f>
        <v/>
      </c>
      <c r="C1100">
        <f>Inputs!$B$3&gt;=125</f>
        <v/>
      </c>
      <c r="D1100">
        <f>IF(Skills!C30=1,60+Inputs!$B$25+(Inputs!$B$29+1),IF(Skills!C30=2,90+Inputs!$B$26+(Inputs!$B$29+1),IF(Skills!C30=3,120+Inputs!$B$27+(Inputs!$B$29+1),MAX(0,(Inputs!$B$3-100)*3)+Inputs!$B$28+(Inputs!$B$29+1))))</f>
        <v/>
      </c>
      <c r="E1100">
        <f>INDEX(FactorTable!$B$2:$Y$301, MATCH(ROUND(MIN(300,MAX(1,D1100)),0), FactorTable!$A$2:$A$301,0), Skills!M30+1)</f>
        <v/>
      </c>
      <c r="F1100">
        <f>IF(Skills!N30=TRUE,(Skills!L30/10)*(E1100/1000),Skills!L30/10)+Skills!O30</f>
        <v/>
      </c>
      <c r="G1100">
        <f>Skills!G30*IF(Skills!H30&gt;0,Skills!I30/Skills!H30,1)</f>
        <v/>
      </c>
      <c r="H1100">
        <f>1-(1-Skills!J30/100)^Skills!K30</f>
        <v/>
      </c>
      <c r="I1100" t="inlineStr">
        <is>
          <t>1</t>
        </is>
      </c>
      <c r="J1100" t="inlineStr"/>
      <c r="K1100" t="inlineStr"/>
      <c r="L1100" t="inlineStr"/>
      <c r="M1100" t="inlineStr"/>
      <c r="N1100" t="inlineStr"/>
      <c r="O1100">
        <f>(1-Summary!$B$11)*T1100+Summary!$B$11*V1100</f>
        <v/>
      </c>
      <c r="P1100">
        <f>IF(B1115=0,0,O1100/B1115)</f>
        <v/>
      </c>
      <c r="Q1100" t="n">
        <v>0</v>
      </c>
      <c r="R1100" t="n">
        <v>0</v>
      </c>
      <c r="S1100">
        <f>IFERROR(O1100/N1100,0)</f>
        <v/>
      </c>
      <c r="T1100" t="n">
        <v>0</v>
      </c>
      <c r="V1100" t="n">
        <v>0</v>
      </c>
    </row>
    <row r="1102">
      <c r="A1102" t="inlineStr">
        <is>
          <t>Average Buff Multiplier</t>
        </is>
      </c>
      <c r="B1102">
        <f>(1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f>
        <v/>
      </c>
    </row>
    <row r="1103">
      <c r="A1103" t="inlineStr">
        <is>
          <t>Global Crit Rate Bonus %</t>
        </is>
      </c>
      <c r="B1103">
        <f>((C1090=TRUE)*F1090*IF(AND(Inputs!$B$39&lt;&gt;"pvp",Inputs!$B$44&gt;0),(((R1090-1)*(Skills!Y20*(1+Inputs!$B$34/100))+MIN((Skills!Y20*(1+Inputs!$B$34/100)),MAX(0,Inputs!$B$44-((R1090-1)*Skills!D20))))/Inputs!$B$44),IF(Inputs!$B$39="pvp",MIN((Skills!Y20*(1+Inputs!$B$34/100)),15)/15,(Skills!Y20*(1+Inputs!$B$34/100))/Skills!D20)))</f>
        <v/>
      </c>
    </row>
    <row r="1104">
      <c r="A1104" t="inlineStr">
        <is>
          <t>Global Monster Damage-Taken Bonus %</t>
        </is>
      </c>
      <c r="B1104">
        <f>IF(Inputs!$B$3&gt;=82,15,0)</f>
        <v/>
      </c>
    </row>
    <row r="1105">
      <c r="A1105" t="inlineStr">
        <is>
          <t>Shadow Partner Average Multiplier</t>
        </is>
      </c>
      <c r="B1105">
        <f>1+((C1077=TRUE)*F1077*(1+3.3333333333333335*IF(C1088=TRUE,F1088,0)/100)*I1077*Skills!J7/100)/100</f>
        <v/>
      </c>
    </row>
    <row r="1106">
      <c r="A1106" t="inlineStr">
        <is>
          <t>Attack Speed Buff Bonus %</t>
        </is>
      </c>
      <c r="B1106">
        <f>((C1089=TRUE)*F1089*IF(AND(Inputs!$B$39&lt;&gt;"pvp",Inputs!$B$44&gt;0),(((R1089-1)*(Skills!Y19*(1+Inputs!$B$34/100))+MIN((Skills!Y19*(1+Inputs!$B$34/100)),MAX(0,Inputs!$B$44-((R1089-1)*Skills!D19))))/Inputs!$B$44),IF(Inputs!$B$39="pvp",MIN((Skills!Y19*(1+Inputs!$B$34/100)),15)/15,(Skills!Y19*(1+Inputs!$B$34/100))/Skills!D19)))+((C1073=TRUE)*F1073*3)</f>
        <v/>
      </c>
    </row>
    <row r="1107">
      <c r="A1107" t="inlineStr">
        <is>
          <t>Actions Per Second</t>
        </is>
      </c>
      <c r="B1107">
        <f>1+MIN(150,150*(1-(1-(Inputs!$B$11+((C1092=TRUE)*(F1092-Calc!F22)))/150)*(1-B1106/150)))/100</f>
        <v/>
      </c>
    </row>
    <row r="1108">
      <c r="A1108" t="inlineStr">
        <is>
          <t>Skill + Buff Cast Rate</t>
        </is>
      </c>
      <c r="B1108">
        <f>IF(AND(Inputs!$B$39&lt;&gt;"pvp",Inputs!$B$44&gt;0),SUMPRODUCT((Skills!E2:E30=TRUE)*(C1072:C1100=TRUE)*R1072:R1100*Skills!F2:F30)/Inputs!$B$44,SUMPRODUCT((Skills!E2:E30=TRUE)*(C1072:C1100=TRUE)*Q1072:Q1100*Skills!F2:F30))</f>
        <v/>
      </c>
    </row>
    <row r="1109">
      <c r="A1109" t="inlineStr">
        <is>
          <t>Cruel Stab Casts Per Second</t>
        </is>
      </c>
      <c r="B1109">
        <f>MAX(0,B1107-B1108)</f>
        <v/>
      </c>
    </row>
    <row r="1110">
      <c r="A1110" t="inlineStr">
        <is>
          <t>Global Critical Damage Bonus % (Smokescreen Mastery Lv.113)</t>
        </is>
      </c>
      <c r="B1110">
        <f>IF(Inputs!$B$3&gt;=113,30,0)*IF(AND(Inputs!$B$39&lt;&gt;"pvp",Inputs!$B$44&gt;0),(((R1085-1)*(Skills!Y15*(1+Inputs!$B$34/100))+MIN((Skills!Y15*(1+Inputs!$B$34/100)),MAX(0,Inputs!$B$44-((R1085-1)*Skills!D15))))/Inputs!$B$44),IF(Inputs!$B$39="pvp",MIN((Skills!Y15*(1+Inputs!$B$34/100)),15)/15,(Skills!Y15*(1+Inputs!$B$34/100))/Skills!D15))</f>
        <v/>
      </c>
    </row>
    <row r="1111">
      <c r="A1111" t="inlineStr">
        <is>
          <t>Meso Explosion average stack count</t>
        </is>
      </c>
      <c r="B1111">
        <f>MIN(10,0.5*B1107*Skills!D4)</f>
        <v/>
      </c>
    </row>
    <row r="1112">
      <c r="A1112" t="inlineStr">
        <is>
          <t>Blood Money average stack count</t>
        </is>
      </c>
      <c r="B1112">
        <f>MIN(5,0.25*B1107*Skills!D4)</f>
        <v/>
      </c>
    </row>
    <row r="1113">
      <c r="A1113" t="inlineStr">
        <is>
          <t>Assassinate Murderous Intent Multiplier</t>
        </is>
      </c>
      <c r="B1113">
        <f>1+IFERROR(MIN(1,Q1084*2/Q1081),0)</f>
        <v/>
      </c>
    </row>
    <row r="1114">
      <c r="A1114" t="inlineStr">
        <is>
          <t>Buff-Casting Startup Delay (s, fixed-duration only)</t>
        </is>
      </c>
      <c r="B1114">
        <f>IF(AND(Inputs!$B$39&lt;&gt;"pvp",Inputs!$B$44&gt;0),SUMPRODUCT((Skills!Y2:Y30&gt;0)*(Skills!E2:E30=TRUE)*(C1072:C1100=TRUE))/B1107,0)</f>
        <v/>
      </c>
    </row>
    <row r="1115">
      <c r="A1115" s="6" t="inlineStr">
        <is>
          <t>TOTAL DPS</t>
        </is>
      </c>
      <c r="B1115" s="6">
        <f>SUM(O1072:O1100)</f>
        <v/>
      </c>
    </row>
    <row r="1116">
      <c r="A1116" t="inlineStr">
        <is>
          <t>Boss-Only Total DPS (this block's swept value)</t>
        </is>
      </c>
      <c r="B1116">
        <f>SUM(T1072:T1100)</f>
        <v/>
      </c>
    </row>
    <row r="1117">
      <c r="A1117" t="inlineStr">
        <is>
          <t>Normal-Only Total DPS (this block's swept value)</t>
        </is>
      </c>
      <c r="B1117">
        <f>SUM(V1072:V1100)</f>
        <v/>
      </c>
    </row>
    <row r="1120">
      <c r="A1120" s="6" t="inlineStr">
        <is>
          <t>Stat: Flat ATTACK</t>
        </is>
      </c>
    </row>
    <row r="1121">
      <c r="A1121" s="5" t="inlineStr">
        <is>
          <t>Key</t>
        </is>
      </c>
      <c r="B1121" s="5" t="inlineStr">
        <is>
          <t>Name</t>
        </is>
      </c>
      <c r="C1121" s="5" t="inlineStr">
        <is>
          <t>Unlocked</t>
        </is>
      </c>
      <c r="D1121" s="5" t="inlineStr">
        <is>
          <t>InputLevel</t>
        </is>
      </c>
      <c r="E1121" s="5" t="inlineStr">
        <is>
          <t>Factor</t>
        </is>
      </c>
      <c r="F1121" s="5" t="inlineStr">
        <is>
          <t>CoefficientPercent</t>
        </is>
      </c>
      <c r="G1121" s="5" t="inlineStr">
        <is>
          <t>EffectiveHits</t>
        </is>
      </c>
      <c r="H1121" s="5" t="inlineStr">
        <is>
          <t>ProcProbability</t>
        </is>
      </c>
      <c r="I1121" s="5" t="inlineStr">
        <is>
          <t>MapleHeroMultiplier</t>
        </is>
      </c>
      <c r="J1121" s="5" t="inlineStr">
        <is>
          <t>BaseDamage</t>
        </is>
      </c>
      <c r="K1121" s="5" t="inlineStr">
        <is>
          <t>BaseHitDamage</t>
        </is>
      </c>
      <c r="L1121" s="5" t="inlineStr">
        <is>
          <t>NonCritAvg</t>
        </is>
      </c>
      <c r="M1121" s="5" t="inlineStr">
        <is>
          <t>CritAvg</t>
        </is>
      </c>
      <c r="N1121" s="5" t="inlineStr">
        <is>
          <t>ExpectedDamage(perHit)</t>
        </is>
      </c>
      <c r="O1121" s="5" t="inlineStr">
        <is>
          <t>DPS</t>
        </is>
      </c>
      <c r="P1121" s="5" t="inlineStr">
        <is>
          <t>% of Total</t>
        </is>
      </c>
      <c r="Q1121" s="5" t="inlineStr">
        <is>
          <t>InvCooldown</t>
        </is>
      </c>
      <c r="R1121" s="5" t="inlineStr">
        <is>
          <t>CastsInFight</t>
        </is>
      </c>
      <c r="S1121" s="5" t="inlineStr">
        <is>
          <t>HitRate(perSec)</t>
        </is>
      </c>
      <c r="U1121" t="inlineStr">
        <is>
          <t>helpers</t>
        </is>
      </c>
    </row>
    <row r="1122">
      <c r="A1122">
        <f>Skills!A2</f>
        <v/>
      </c>
      <c r="B1122">
        <f>Skills!B2</f>
        <v/>
      </c>
      <c r="C1122">
        <f>Inputs!$B$3&gt;=100</f>
        <v/>
      </c>
      <c r="D1122" t="inlineStr"/>
      <c r="E1122" t="inlineStr"/>
      <c r="F1122">
        <f>U1124+Skills!O2</f>
        <v/>
      </c>
      <c r="G1122">
        <f>Skills!G2*IF(Skills!H2&gt;0,Skills!I2/Skills!H2,1)</f>
        <v/>
      </c>
      <c r="H1122">
        <f>1-(1-Skills!J2/100)^Skills!K2</f>
        <v/>
      </c>
      <c r="I1122" t="inlineStr">
        <is>
          <t>1</t>
        </is>
      </c>
      <c r="J1122">
        <f>(((Inputs!$B$6+1)*(1+Inputs!$B$7/100))+(((Inputs!$B$12*(1+Inputs!$B$13/100))-(Inputs!$B$12*(1+Inputs!$B$13/100)))+0.25*(Inputs!$B$14-Inputs!$B$14))*(1+Inputs!$B$7/100))*(F1122/100)</f>
        <v/>
      </c>
      <c r="K1122">
        <f>J1122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1122)</f>
        <v/>
      </c>
      <c r="L1122">
        <f>K1122*(MIN(Inputs!$B$22+((C1144=TRUE)*(F1144-Calc!F24)),(Inputs!$B$23+((C1149=TRUE)*(F1149-Calc!F29))+IF(ArtifactsInput!$M$15,CHOOSE(ArtifactsInput!$N$15+1,25,30,35,40,45,50)/100*(Inputs!$B$11-Inputs!$B$11),0)))/100+(Inputs!$B$23+((C1149=TRUE)*(F1149-Calc!F29))+IF(ArtifactsInput!$M$15,CHOOSE(ArtifactsInput!$N$15+1,25,30,35,40,45,50)/100*(Inputs!$B$11-Inputs!$B$11),0))/100)/2</f>
        <v/>
      </c>
      <c r="M1122">
        <f>L1122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2">
        <f>L1122*(1-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(1-Summary!$B$11)*T1122+Summary!$B$11*V1122</f>
        <v/>
      </c>
      <c r="P1122">
        <f>IF(B1165=0,0,O1122/B1165)</f>
        <v/>
      </c>
      <c r="Q1122" t="n">
        <v>0</v>
      </c>
      <c r="R1122" t="n">
        <v>0</v>
      </c>
      <c r="S1122">
        <f>IFERROR(O1122/N1122,0)</f>
        <v/>
      </c>
      <c r="T1122">
        <f>IF(C1122,(Skills!G2*N1122*B1159)*IF(Inputs!$B$39="pvp",1,1+(Inputs!$B$20+0+Skills!P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1122*(1-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MAX(0,(Inputs!$B$3-100)*3)+Inputs!$B$28+Inputs!$B$29</f>
        <v/>
      </c>
      <c r="V1122">
        <f>IF(C1122,(Skills!G2*N1122*B1159)*IF(Inputs!$B$39="pvp",1,(1+(Inputs!$B$21+Skills!Q2+B1154+(IF(ArtifactsInput!$M$33,CHOOSE(ArtifactsInput!$N$33+1,30,36,42,48,54,60),0))+(IF(AND(ArtifactsInput!$M$35,Inputs!$B$4&lt;&gt;"Chapter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Skills!A3</f>
        <v/>
      </c>
      <c r="B1123">
        <f>Skills!B3</f>
        <v/>
      </c>
      <c r="C1123">
        <f>Inputs!$B$3&gt;=35</f>
        <v/>
      </c>
      <c r="D1123">
        <f>IF(Skills!C3=1,60+Inputs!$B$25+Inputs!$B$29,IF(Skills!C3=2,90+Inputs!$B$26+Inputs!$B$29,IF(Skills!C3=3,120+Inputs!$B$27+Inputs!$B$29,MAX(0,(Inputs!$B$3-100)*3)+Inputs!$B$28+Inputs!$B$29)))</f>
        <v/>
      </c>
      <c r="E1123">
        <f>INDEX(FactorTable!$B$2:$Y$301, MATCH(ROUND(MIN(300,MAX(1,D1123)),0), FactorTable!$A$2:$A$301,0), Skills!M3+1)</f>
        <v/>
      </c>
      <c r="F1123">
        <f>IF(Skills!N3=TRUE,(Skills!L3/10)*(E1123/1000),Skills!L3/10)+Skills!O3</f>
        <v/>
      </c>
      <c r="G1123">
        <f>Skills!G3*IF(Skills!H3&gt;0,Skills!I3/Skills!H3,1)</f>
        <v/>
      </c>
      <c r="H1123">
        <f>1-(1-Skills!J3/100)^Skills!K3</f>
        <v/>
      </c>
      <c r="I1123" t="inlineStr">
        <is>
          <t>1</t>
        </is>
      </c>
      <c r="J1123" t="inlineStr"/>
      <c r="K1123" t="inlineStr"/>
      <c r="L1123" t="inlineStr"/>
      <c r="M1123" t="inlineStr"/>
      <c r="N1123" t="inlineStr"/>
      <c r="O1123">
        <f>(1-Summary!$B$11)*T1123+Summary!$B$11*V1123</f>
        <v/>
      </c>
      <c r="P1123">
        <f>IF(B1165=0,0,O1123/B1165)</f>
        <v/>
      </c>
      <c r="Q1123" t="n">
        <v>0</v>
      </c>
      <c r="R1123" t="n">
        <v>0</v>
      </c>
      <c r="S1123">
        <f>IFERROR(O1123/N1123,0)</f>
        <v/>
      </c>
      <c r="T1123" t="n">
        <v>0</v>
      </c>
      <c r="U1123">
        <f>INDEX(FactorTable!$B$2:$Y$301, MATCH(ROUND(MIN(300,MAX(1,U1122)),0), FactorTable!$A$2:$A$301,0), 22)</f>
        <v/>
      </c>
      <c r="V1123" t="n">
        <v>0</v>
      </c>
    </row>
    <row r="1124">
      <c r="A1124">
        <f>Skills!A4</f>
        <v/>
      </c>
      <c r="B1124">
        <f>Skills!B4</f>
        <v/>
      </c>
      <c r="C1124">
        <f>Inputs!$B$3&gt;=66</f>
        <v/>
      </c>
      <c r="D1124">
        <f>IF(Skills!C4=1,60+Inputs!$B$25+Inputs!$B$29,IF(Skills!C4=2,90+Inputs!$B$26+Inputs!$B$29,IF(Skills!C4=3,120+Inputs!$B$27+Inputs!$B$29,MAX(0,(Inputs!$B$3-100)*3)+Inputs!$B$28+Inputs!$B$29)))</f>
        <v/>
      </c>
      <c r="E1124">
        <f>INDEX(FactorTable!$B$2:$Y$301, MATCH(ROUND(MIN(300,MAX(1,D1124)),0), FactorTable!$A$2:$A$301,0), Skills!M4+1)</f>
        <v/>
      </c>
      <c r="F1124">
        <f>IF(Skills!N4=TRUE,(Skills!L4/10)*(E1124/1000),Skills!L4/10)+Skills!O4</f>
        <v/>
      </c>
      <c r="G1124">
        <f>Skills!G4*IF(Skills!H4&gt;0,Skills!I4/Skills!H4,1)</f>
        <v/>
      </c>
      <c r="H1124">
        <f>1-(1-Skills!J4/100)^Skills!K4</f>
        <v/>
      </c>
      <c r="I1124" t="inlineStr">
        <is>
          <t>1</t>
        </is>
      </c>
      <c r="J1124">
        <f>(((Inputs!$B$6+1)*(1+Inputs!$B$7/100))+(((Inputs!$B$12*(1+Inputs!$B$13/100))-(Inputs!$B$12*(1+Inputs!$B$13/100)))+0.25*(Inputs!$B$14-Inputs!$B$14))*(1+Inputs!$B$7/100))*(F1124/100)</f>
        <v/>
      </c>
      <c r="K1124">
        <f>J1124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1124)</f>
        <v/>
      </c>
      <c r="L1124">
        <f>K1124*(MIN(Inputs!$B$22+((C1144=TRUE)*(F1144-Calc!F24)),(Inputs!$B$23+((C1149=TRUE)*(F1149-Calc!F29))+IF(ArtifactsInput!$M$15,CHOOSE(ArtifactsInput!$N$15+1,25,30,35,40,45,50)/100*(Inputs!$B$11-Inputs!$B$11),0)))/100+(Inputs!$B$23+((C1149=TRUE)*(F1149-Calc!F29))+IF(ArtifactsInput!$M$15,CHOOSE(ArtifactsInput!$N$15+1,25,30,35,40,45,50)/100*(Inputs!$B$11-Inputs!$B$11),0))/100)/2</f>
        <v/>
      </c>
      <c r="M1124">
        <f>L1124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4">
        <f>L1124*(1-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1124*(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4">
        <f>(1-Summary!$B$11)*T1124+Summary!$B$11*V1124</f>
        <v/>
      </c>
      <c r="P1124">
        <f>IF(B1165=0,0,O1124/B1165)</f>
        <v/>
      </c>
      <c r="Q1124">
        <f>IFERROR(1/IF(Inputs!$B$39="pvp",15,MAX(0.1,Skills!D4-IF(Skills!E4=TRUE,Inputs!$B$32,0))),0)</f>
        <v/>
      </c>
      <c r="R1124">
        <f>IF(AND(Inputs!$B$39&lt;&gt;"pvp",Inputs!$B$44&gt;0),IF(MAX(0,Inputs!$B$44-B1164)&lt;=0,0,(INT(MAX(0,Inputs!$B$44-B1164)/IF(Inputs!$B$39="pvp",15,MAX(0.1,Skills!D4-IF(Skills!E4=TRUE,Inputs!$B$32,0))))+1)),0)</f>
        <v/>
      </c>
      <c r="S1124">
        <f>IFERROR(O1124/N1124,0)</f>
        <v/>
      </c>
      <c r="T1124">
        <f>IF(C1124,(H1124*N1124*IF(AND(Inputs!$B$39&lt;&gt;"pvp",Inputs!$B$44&gt;0),((Skills!G4*((R1124-1)*IF(Skills!H4&gt;0,Skills!I4/Skills!H4,1)+IF(Skills!H4&gt;0,MIN(Skills!I4,MAX(0,MAX(0,Inputs!$B$44-B1164)-((R1124-1)*IF(Inputs!$B$39="pvp",15,MAX(0.1,Skills!D4-IF(Skills!E4=TRUE,Inputs!$B$32,0))))))/Skills!H4,1)))/Inputs!$B$44),G1124*Q1124))*IF(Inputs!$B$39="pvp",1,1+(Inputs!$B$20+0+Skills!P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1124*(1-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1124*(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1124*(1-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1124*(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4">
        <f>290*U1123/1000</f>
        <v/>
      </c>
      <c r="V1124">
        <f>IF(C1124,(H1124*N1124*IF(AND(Inputs!$B$39&lt;&gt;"pvp",Inputs!$B$44&gt;0),((Skills!G4*((R1124-1)*IF(Skills!H4&gt;0,Skills!I4/Skills!H4,1)+IF(Skills!H4&gt;0,MIN(Skills!I4,MAX(0,MAX(0,Inputs!$B$44-B1164)-((R1124-1)*IF(Inputs!$B$39="pvp",15,MAX(0.1,Skills!D4-IF(Skills!E4=TRUE,Inputs!$B$32,0))))))/Skills!H4,1)))/Inputs!$B$44),G1124*Q1124))*IF(Inputs!$B$39="pvp",1,(1+(Inputs!$B$21+Skills!Q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(10,0.5*B1157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5">
      <c r="A1125">
        <f>Skills!A5</f>
        <v/>
      </c>
      <c r="B1125">
        <f>Skills!B5</f>
        <v/>
      </c>
      <c r="C1125">
        <f>Inputs!$B$3&gt;=63</f>
        <v/>
      </c>
      <c r="D1125">
        <f>IF(Skills!C5=1,60+Inputs!$B$25+Inputs!$B$29,IF(Skills!C5=2,90+Inputs!$B$26+Inputs!$B$29,IF(Skills!C5=3,120+Inputs!$B$27+Inputs!$B$29,MAX(0,(Inputs!$B$3-100)*3)+Inputs!$B$28+Inputs!$B$29)))</f>
        <v/>
      </c>
      <c r="E1125">
        <f>INDEX(FactorTable!$B$2:$Y$301, MATCH(ROUND(MIN(300,MAX(1,D1125)),0), FactorTable!$A$2:$A$301,0), Skills!M5+1)</f>
        <v/>
      </c>
      <c r="F1125">
        <f>IF(Skills!N5=TRUE,(Skills!L5/10)*(E1125/1000),Skills!L5/10)+Skills!O5</f>
        <v/>
      </c>
      <c r="G1125">
        <f>Skills!G5*IF(Skills!H5&gt;0,Skills!I5/Skills!H5,1)</f>
        <v/>
      </c>
      <c r="H1125">
        <f>1-(1-Skills!J5/100)^Skills!K5</f>
        <v/>
      </c>
      <c r="I1125" t="inlineStr">
        <is>
          <t>1</t>
        </is>
      </c>
      <c r="J1125">
        <f>(((Inputs!$B$6+1)*(1+Inputs!$B$7/100))+(((Inputs!$B$12*(1+Inputs!$B$13/100))-(Inputs!$B$12*(1+Inputs!$B$13/100)))+0.25*(Inputs!$B$14-Inputs!$B$14))*(1+Inputs!$B$7/100))*(F1125/100)</f>
        <v/>
      </c>
      <c r="K1125">
        <f>J1125*(1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1138=TRUE,F1138,0)/100)*(1+(IF(Skills!A5="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1125)</f>
        <v/>
      </c>
      <c r="L1125">
        <f>K1125*(MIN(Inputs!$B$22+((C1144=TRUE)*(F1144-Calc!F24)),(Inputs!$B$23+((C1149=TRUE)*(F1149-Calc!F29))+IF(ArtifactsInput!$M$15,CHOOSE(ArtifactsInput!$N$15+1,25,30,35,40,45,50)/100*(Inputs!$B$11-Inputs!$B$11),0)))/100+(Inputs!$B$23+((C1149=TRUE)*(F1149-Calc!F29))+IF(ArtifactsInput!$M$15,CHOOSE(ArtifactsInput!$N$15+1,25,30,35,40,45,50)/100*(Inputs!$B$11-Inputs!$B$11),0))/100)/2</f>
        <v/>
      </c>
      <c r="M1125">
        <f>L1125*(1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5">
        <f>L1125*(1-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IF(B1165=0,0,O1125/B1165)</f>
        <v/>
      </c>
      <c r="Q1125">
        <f>IFERROR(1/IF(Inputs!$B$39="pvp",15,MAX(0.1,Skills!D5-IF(Skills!E5=TRUE,Inputs!$B$32,0))),0)</f>
        <v/>
      </c>
      <c r="R1125">
        <f>IF(AND(Inputs!$B$39&lt;&gt;"pvp",Inputs!$B$44&gt;0),IF(MAX(0,Inputs!$B$44-B1164)&lt;=0,0,(INT(MAX(0,Inputs!$B$44-B1164)/IF(Inputs!$B$39="pvp",15,MAX(0.1,Skills!D5-IF(Skills!E5=TRUE,Inputs!$B$32,0))))+1)),0)</f>
        <v/>
      </c>
      <c r="S1125">
        <f>IFERROR(O1125/N1125,0)</f>
        <v/>
      </c>
      <c r="T1125">
        <f>IF(C1125,(H1125*N1125*IF(AND(Inputs!$B$39&lt;&gt;"pvp",Inputs!$B$44&gt;0),((Skills!G5*((R1125-1)*IF(Skills!H5&gt;0,Skills!I5/Skills!H5,1)+IF(Skills!H5&gt;0,MIN(Skills!I5,MAX(0,MAX(0,Inputs!$B$44-B1164)-((R1125-1)*IF(Inputs!$B$39="pvp",15,MAX(0.1,Skills!D5-IF(Skills!E5=TRUE,Inputs!$B$32,0))))))/Skills!H5,1)))/Inputs!$B$44),G1125*Q1125))*IF(Inputs!$B$39="pvp",1,1+(Inputs!$B$20+0+Skills!P5+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1125*(1-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5">
        <f>IF(C1125,(H1125*N1125*IF(AND(Inputs!$B$39&lt;&gt;"pvp",Inputs!$B$44&gt;0),((Skills!G5*((R1125-1)*IF(Skills!H5&gt;0,Skills!I5/Skills!H5,1)+IF(Skills!H5&gt;0,MIN(Skills!I5,MAX(0,MAX(0,Inputs!$B$44-B1164)-((R1125-1)*IF(Inputs!$B$39="pvp",15,MAX(0.1,Skills!D5-IF(Skills!E5=TRUE,Inputs!$B$32,0))))))/Skills!H5,1)))/Inputs!$B$44),G1125*Q1125))*IF(Inputs!$B$39="pvp",1,(1+(Inputs!$B$21+Skills!Q5+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Skills!A6</f>
        <v/>
      </c>
      <c r="B1126">
        <f>Skills!B6</f>
        <v/>
      </c>
      <c r="C1126">
        <f>Inputs!$B$3&gt;=69</f>
        <v/>
      </c>
      <c r="D1126">
        <f>IF(Skills!C6=1,60+Inputs!$B$25+Inputs!$B$29,IF(Skills!C6=2,90+Inputs!$B$26+Inputs!$B$29,IF(Skills!C6=3,120+Inputs!$B$27+Inputs!$B$29,MAX(0,(Inputs!$B$3-100)*3)+Inputs!$B$28+Inputs!$B$29)))</f>
        <v/>
      </c>
      <c r="E1126">
        <f>INDEX(FactorTable!$B$2:$Y$301, MATCH(ROUND(MIN(300,MAX(1,D1126)),0), FactorTable!$A$2:$A$301,0), Skills!M6+1)</f>
        <v/>
      </c>
      <c r="F1126">
        <f>IF(Skills!N6=TRUE,(Skills!L6/10)*(E1126/1000),Skills!L6/10)+Skills!O6</f>
        <v/>
      </c>
      <c r="G1126">
        <f>Skills!G6*IF(Skills!H6&gt;0,Skills!I6/Skills!H6,1)</f>
        <v/>
      </c>
      <c r="H1126">
        <f>1-(1-Skills!J6/100)^Skills!K6</f>
        <v/>
      </c>
      <c r="I1126" t="inlineStr">
        <is>
          <t>1</t>
        </is>
      </c>
      <c r="J1126">
        <f>(((Inputs!$B$6+1)*(1+Inputs!$B$7/100))+(((Inputs!$B$12*(1+Inputs!$B$13/100))-(Inputs!$B$12*(1+Inputs!$B$13/100)))+0.25*(Inputs!$B$14-Inputs!$B$14))*(1+Inputs!$B$7/100))*(F1126/100)</f>
        <v/>
      </c>
      <c r="K1126">
        <f>J1126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1138=TRUE,F1138,0)/100)*(1+(IF(Skills!A6="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1126)</f>
        <v/>
      </c>
      <c r="L1126">
        <f>K1126*(MIN(Inputs!$B$22+((C1144=TRUE)*(F1144-Calc!F24)),(Inputs!$B$23+((C1149=TRUE)*(F1149-Calc!F29))+IF(ArtifactsInput!$M$15,CHOOSE(ArtifactsInput!$N$15+1,25,30,35,40,45,50)/100*(Inputs!$B$11-Inputs!$B$11),0)))/100+(Inputs!$B$23+((C1149=TRUE)*(F1149-Calc!F29))+IF(ArtifactsInput!$M$15,CHOOSE(ArtifactsInput!$N$15+1,25,30,35,40,45,50)/100*(Inputs!$B$11-Inputs!$B$11),0))/100)/2</f>
        <v/>
      </c>
      <c r="M1126">
        <f>L1126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6">
        <f>L1126*(1-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1126*(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6">
        <f>(1-Summary!$B$11)*T1126+Summary!$B$11*V1126</f>
        <v/>
      </c>
      <c r="P1126">
        <f>IF(B1165=0,0,O1126/B1165)</f>
        <v/>
      </c>
      <c r="Q1126">
        <f>IFERROR(1/IF(Inputs!$B$39="pvp",15,MAX(0.1,Skills!D6-IF(Skills!E6=TRUE,Inputs!$B$32,0))),0)</f>
        <v/>
      </c>
      <c r="R1126">
        <f>IF(AND(Inputs!$B$39&lt;&gt;"pvp",Inputs!$B$44&gt;0),IF(MAX(0,Inputs!$B$44-B1164)&lt;=0,0,(INT(MAX(0,Inputs!$B$44-B1164)/IF(Inputs!$B$39="pvp",15,MAX(0.1,Skills!D6-IF(Skills!E6=TRUE,Inputs!$B$32,0))))+1)),0)</f>
        <v/>
      </c>
      <c r="S1126">
        <f>IFERROR(O1126/N1126,0)</f>
        <v/>
      </c>
      <c r="T1126">
        <f>IF(C1126,(H1126*N1126*IF(AND(Inputs!$B$39&lt;&gt;"pvp",Inputs!$B$44&gt;0),((Skills!G6*((R1126-1)*IF(Skills!H6&gt;0,Skills!I6/Skills!H6,1)+IF(Skills!H6&gt;0,MIN(Skills!I6,MAX(0,MAX(0,Inputs!$B$44-B1164)-((R1126-1)*IF(Inputs!$B$39="pvp",15,MAX(0.1,Skills!D6-IF(Skills!E6=TRUE,Inputs!$B$32,0))))))/Skills!H6,1)))/Inputs!$B$44),G1126*Q1126))*IF(Inputs!$B$39="pvp",1,1+(Inputs!$B$20+0+Skills!P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1126*(1-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1126*(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1126*(1-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1126*(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6">
        <f>IF(C1126,(H1126*N1126*IF(AND(Inputs!$B$39&lt;&gt;"pvp",Inputs!$B$44&gt;0),((Skills!G6*((R1126-1)*IF(Skills!H6&gt;0,Skills!I6/Skills!H6,1)+IF(Skills!H6&gt;0,MIN(Skills!I6,MAX(0,MAX(0,Inputs!$B$44-B1164)-((R1126-1)*IF(Inputs!$B$39="pvp",15,MAX(0.1,Skills!D6-IF(Skills!E6=TRUE,Inputs!$B$32,0))))))/Skills!H6,1)))/Inputs!$B$44),G1126*Q1126))*IF(Inputs!$B$39="pvp",1,(1+(Inputs!$B$21+Skills!Q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7">
      <c r="A1127">
        <f>Skills!A7</f>
        <v/>
      </c>
      <c r="B1127">
        <f>Skills!B7</f>
        <v/>
      </c>
      <c r="C1127">
        <f>Inputs!$B$3&gt;=60</f>
        <v/>
      </c>
      <c r="D1127">
        <f>IF(Skills!C7=1,60+Inputs!$B$25+Inputs!$B$29,IF(Skills!C7=2,90+Inputs!$B$26+Inputs!$B$29,IF(Skills!C7=3,120+Inputs!$B$27+Inputs!$B$29,MAX(0,(Inputs!$B$3-100)*3)+Inputs!$B$28+Inputs!$B$29)))</f>
        <v/>
      </c>
      <c r="E1127">
        <f>INDEX(FactorTable!$B$2:$Y$301, MATCH(ROUND(MIN(300,MAX(1,D1127)),0), FactorTable!$A$2:$A$301,0), Skills!M7+1)</f>
        <v/>
      </c>
      <c r="F1127">
        <f>IF(Skills!N7=TRUE,(Skills!L7/10)*(E1127/1000),Skills!L7/10)+Skills!O7</f>
        <v/>
      </c>
      <c r="G1127">
        <f>Skills!G7*IF(Skills!H7&gt;0,Skills!I7/Skills!H7,1)</f>
        <v/>
      </c>
      <c r="H1127">
        <f>1-(1-Skills!J7/100)^Skills!K7</f>
        <v/>
      </c>
      <c r="I1127" t="inlineStr">
        <is>
          <t>1</t>
        </is>
      </c>
      <c r="J1127" t="inlineStr"/>
      <c r="K1127" t="inlineStr"/>
      <c r="L1127" t="inlineStr"/>
      <c r="M1127" t="inlineStr"/>
      <c r="N1127" t="inlineStr"/>
      <c r="O1127">
        <f>(1-Summary!$B$11)*T1127+Summary!$B$11*V1127</f>
        <v/>
      </c>
      <c r="P1127">
        <f>IF(B1165=0,0,O1127/B1165)</f>
        <v/>
      </c>
      <c r="Q1127" t="n">
        <v>0</v>
      </c>
      <c r="R1127" t="n">
        <v>0</v>
      </c>
      <c r="S1127">
        <f>IFERROR(O1127/N1127,0)</f>
        <v/>
      </c>
      <c r="T1127" t="n">
        <v>0</v>
      </c>
      <c r="V1127" t="n">
        <v>0</v>
      </c>
    </row>
    <row r="1128">
      <c r="A1128">
        <f>Skills!A8</f>
        <v/>
      </c>
      <c r="B1128">
        <f>Skills!B8</f>
        <v/>
      </c>
      <c r="C1128">
        <f>Inputs!$B$3&gt;=72</f>
        <v/>
      </c>
      <c r="D1128">
        <f>IF(Skills!C8=1,60+Inputs!$B$25+Inputs!$B$29,IF(Skills!C8=2,90+Inputs!$B$26+Inputs!$B$29,IF(Skills!C8=3,120+Inputs!$B$27+Inputs!$B$29,MAX(0,(Inputs!$B$3-100)*3)+Inputs!$B$28+Inputs!$B$29)))</f>
        <v/>
      </c>
      <c r="E1128">
        <f>INDEX(FactorTable!$B$2:$Y$301, MATCH(ROUND(MIN(300,MAX(1,D1128)),0), FactorTable!$A$2:$A$301,0), Skills!M8+1)</f>
        <v/>
      </c>
      <c r="F1128">
        <f>IF(Skills!N8=TRUE,(Skills!L8/10)*(E1128/1000),Skills!L8/10)+Skills!O8</f>
        <v/>
      </c>
      <c r="G1128">
        <f>Skills!G8*IF(Skills!H8&gt;0,Skills!I8/Skills!H8,1)</f>
        <v/>
      </c>
      <c r="H1128">
        <f>1-(1-Skills!J8/100)^Skills!K8</f>
        <v/>
      </c>
      <c r="I1128" t="inlineStr">
        <is>
          <t>1</t>
        </is>
      </c>
      <c r="J1128">
        <f>(((Inputs!$B$6+1)*(1+Inputs!$B$7/100))+(((Inputs!$B$12*(1+Inputs!$B$13/100))-(Inputs!$B$12*(1+Inputs!$B$13/100)))+0.25*(Inputs!$B$14-Inputs!$B$14))*(1+Inputs!$B$7/100))*(F1128/100)</f>
        <v/>
      </c>
      <c r="K1128">
        <f>J1128*(1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1138=TRUE,F1138,0)/100)*(1+(IF(Skills!A8="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1128)</f>
        <v/>
      </c>
      <c r="L1128">
        <f>K1128*(MIN(Inputs!$B$22+((C1144=TRUE)*(F1144-Calc!F24)),(Inputs!$B$23+((C1149=TRUE)*(F1149-Calc!F29))+IF(ArtifactsInput!$M$15,CHOOSE(ArtifactsInput!$N$15+1,25,30,35,40,45,50)/100*(Inputs!$B$11-Inputs!$B$11),0)))/100+(Inputs!$B$23+((C1149=TRUE)*(F1149-Calc!F29))+IF(ArtifactsInput!$M$15,CHOOSE(ArtifactsInput!$N$15+1,25,30,35,40,45,50)/100*(Inputs!$B$11-Inputs!$B$11),0))/100)/2</f>
        <v/>
      </c>
      <c r="M1128">
        <f>L1128*(1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8">
        <f>L1128*(1-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IF(B1165=0,0,O1128/B1165)</f>
        <v/>
      </c>
      <c r="Q1128">
        <f>IFERROR(1/IF(Inputs!$B$39="pvp",15,MAX(0.1,Skills!D8-IF(Skills!E8=TRUE,Inputs!$B$32,0))),0)</f>
        <v/>
      </c>
      <c r="R1128">
        <f>IF(AND(Inputs!$B$39&lt;&gt;"pvp",Inputs!$B$44&gt;0),IF(MAX(0,Inputs!$B$44-B1164)&lt;=0,0,(INT(MAX(0,Inputs!$B$44-B1164)/IF(Inputs!$B$39="pvp",15,MAX(0.1,Skills!D8-IF(Skills!E8=TRUE,Inputs!$B$32,0))))+1)),0)</f>
        <v/>
      </c>
      <c r="S1128">
        <f>IFERROR(O1128/N1128,0)</f>
        <v/>
      </c>
      <c r="T1128">
        <f>IF(C1128,(H1128*N1128*IF(AND(Inputs!$B$39&lt;&gt;"pvp",Inputs!$B$44&gt;0),((Skills!G8*((R1128-1)*IF(Skills!H8&gt;0,Skills!I8/Skills!H8,1)+IF(Skills!H8&gt;0,MIN(Skills!I8,MAX(0,MAX(0,Inputs!$B$44-B1164)-((R1128-1)*IF(Inputs!$B$39="pvp",15,MAX(0.1,Skills!D8-IF(Skills!E8=TRUE,Inputs!$B$32,0))))))/Skills!H8,1)))/Inputs!$B$44),G1128*Q1128))*IF(Inputs!$B$39="pvp",1,1+(Inputs!$B$20+0+Skills!P8+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1128*(1-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8*((R1128-1)*IF(Skills!H8&gt;0,Skills!I8/Skills!H8,1)+IF(Skills!H8&gt;0,MIN(Skills!I8,MAX(0,MAX(0,Inputs!$B$44-B1164)-((R1128-1)*IF(Inputs!$B$39="pvp",15,MAX(0.1,Skills!D8-IF(Skills!E8=TRUE,Inputs!$B$32,0))))))/Skills!H8,1)))/Inputs!$B$44),G1128*Q1128))*IF(Inputs!$B$39="pvp",1,(1+(Inputs!$B$21+Skills!Q8+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Skills!A9</f>
        <v/>
      </c>
      <c r="B1129">
        <f>Skills!B9</f>
        <v/>
      </c>
      <c r="C1129">
        <f>Inputs!$B$3&gt;=117</f>
        <v/>
      </c>
      <c r="D1129">
        <f>IF(Skills!C9=1,60+Inputs!$B$25+Inputs!$B$29,IF(Skills!C9=2,90+Inputs!$B$26+Inputs!$B$29,IF(Skills!C9=3,120+Inputs!$B$27+Inputs!$B$29,MAX(0,(Inputs!$B$3-100)*3)+Inputs!$B$28+Inputs!$B$29)))</f>
        <v/>
      </c>
      <c r="E1129">
        <f>INDEX(FactorTable!$B$2:$Y$301, MATCH(ROUND(MIN(300,MAX(1,D1129)),0), FactorTable!$A$2:$A$301,0), Skills!M9+1)</f>
        <v/>
      </c>
      <c r="F1129">
        <f>IF(Skills!N9=TRUE,(Skills!L9/10)*(E1129/1000),Skills!L9/10)+Skills!O9</f>
        <v/>
      </c>
      <c r="G1129">
        <f>Skills!G9*IF(Skills!H9&gt;0,Skills!I9/Skills!H9,1)</f>
        <v/>
      </c>
      <c r="H1129">
        <f>1-(1-Skills!J9/100)^Skills!K9</f>
        <v/>
      </c>
      <c r="I1129" t="inlineStr">
        <is>
          <t>1</t>
        </is>
      </c>
      <c r="J1129">
        <f>(((Inputs!$B$6+1)*(1+Inputs!$B$7/100))+(((Inputs!$B$12*(1+Inputs!$B$13/100))-(Inputs!$B$12*(1+Inputs!$B$13/100)))+0.25*(Inputs!$B$14-Inputs!$B$14))*(1+Inputs!$B$7/100))*(F1129/100)</f>
        <v/>
      </c>
      <c r="K1129">
        <f>J1129*(1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1129)</f>
        <v/>
      </c>
      <c r="L1129">
        <f>K1129*(MIN(Inputs!$B$22+((C1144=TRUE)*(F1144-Calc!F24)),(Inputs!$B$23+((C1149=TRUE)*(F1149-Calc!F29))+IF(ArtifactsInput!$M$15,CHOOSE(ArtifactsInput!$N$15+1,25,30,35,40,45,50)/100*(Inputs!$B$11-Inputs!$B$11),0)))/100+(Inputs!$B$23+((C1149=TRUE)*(F1149-Calc!F29))+IF(ArtifactsInput!$M$15,CHOOSE(ArtifactsInput!$N$15+1,25,30,35,40,45,50)/100*(Inputs!$B$11-Inputs!$B$11),0))/100)/2</f>
        <v/>
      </c>
      <c r="M1129">
        <f>L1129*(1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9">
        <f>L1129*(1-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IF(B1165=0,0,O1129/B1165)</f>
        <v/>
      </c>
      <c r="Q1129" t="n">
        <v>0</v>
      </c>
      <c r="R1129" t="n">
        <v>0</v>
      </c>
      <c r="S1129" t="n">
        <v>0</v>
      </c>
      <c r="T1129">
        <f>IF(C1129,(0.2*SUMPRODUCT((Skills!Z2:Z30=TRUE)*(C1122:C1150=TRUE)*S1122:S1150)*N1129)*IF(Inputs!$B$39="pvp",1,1+(Inputs!$B$20+0+Skills!P9+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1129*(1-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IF(C1129,(0.2*SUMPRODUCT((Skills!Z2:Z30=TRUE)*(C1122:C1150=TRUE)*S1122:S1150)*N1129)*IF(Inputs!$B$39="pvp",1,(1+(Inputs!$B$21+Skills!Q9+B1154+(IF(ArtifactsInput!$M$33,CHOOSE(ArtifactsInput!$N$33+1,30,36,42,48,54,60),0))+(IF(AND(ArtifactsInput!$M$35,Inputs!$B$4&lt;&gt;"Chapter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Skills!A10</f>
        <v/>
      </c>
      <c r="B1130">
        <f>Skills!B10</f>
        <v/>
      </c>
      <c r="C1130">
        <f>Inputs!$B$3&gt;=74</f>
        <v/>
      </c>
      <c r="D1130">
        <f>IF(Skills!C10=1,60+Inputs!$B$25+Inputs!$B$29,IF(Skills!C10=2,90+Inputs!$B$26+Inputs!$B$29,IF(Skills!C10=3,120+Inputs!$B$27+Inputs!$B$29,MAX(0,(Inputs!$B$3-100)*3)+Inputs!$B$28+Inputs!$B$29)))</f>
        <v/>
      </c>
      <c r="E1130">
        <f>INDEX(FactorTable!$B$2:$Y$301, MATCH(ROUND(MIN(300,MAX(1,D1130)),0), FactorTable!$A$2:$A$301,0), Skills!M10+1)</f>
        <v/>
      </c>
      <c r="F1130">
        <f>IF(Skills!N10=TRUE,(Skills!L10/10)*(E1130/1000),Skills!L10/10)+Skills!O10</f>
        <v/>
      </c>
      <c r="G1130">
        <f>Skills!G10*IF(Skills!H10&gt;0,Skills!I10/Skills!H10,1)</f>
        <v/>
      </c>
      <c r="H1130">
        <f>1-(1-Skills!J10/100)^Skills!K10</f>
        <v/>
      </c>
      <c r="I1130" t="inlineStr">
        <is>
          <t>1</t>
        </is>
      </c>
      <c r="J1130" t="inlineStr"/>
      <c r="K1130" t="inlineStr"/>
      <c r="L1130" t="inlineStr"/>
      <c r="M1130" t="inlineStr"/>
      <c r="N1130" t="inlineStr"/>
      <c r="O1130">
        <f>(1-Summary!$B$11)*T1130+Summary!$B$11*V1130</f>
        <v/>
      </c>
      <c r="P1130">
        <f>IF(B1165=0,0,O1130/B1165)</f>
        <v/>
      </c>
      <c r="Q1130">
        <f>IFERROR(1/IF(Inputs!$B$39="pvp",15,MAX(0.1,Skills!D10-IF(Skills!E10=TRUE,Inputs!$B$32,0))),0)</f>
        <v/>
      </c>
      <c r="R1130">
        <f>IF(AND(Inputs!$B$39&lt;&gt;"pvp",Inputs!$B$44&gt;0),IF(Inputs!$B$44&lt;=0,0,(INT(Inputs!$B$44/IF(Inputs!$B$39="pvp",15,MAX(0.1,Skills!D10-IF(Skills!E10=TRUE,Inputs!$B$32,0))))+1)),0)</f>
        <v/>
      </c>
      <c r="S1130">
        <f>IFERROR(O1130/N1130,0)</f>
        <v/>
      </c>
      <c r="T1130" t="n">
        <v>0</v>
      </c>
      <c r="V1130" t="n">
        <v>0</v>
      </c>
    </row>
    <row r="1131">
      <c r="A1131">
        <f>Skills!A11</f>
        <v/>
      </c>
      <c r="B1131">
        <f>Skills!B11</f>
        <v/>
      </c>
      <c r="C1131">
        <f>Inputs!$B$3&gt;=103</f>
        <v/>
      </c>
      <c r="D1131">
        <f>IF(Skills!C11=1,60+Inputs!$B$25+Inputs!$B$29,IF(Skills!C11=2,90+Inputs!$B$26+Inputs!$B$29,IF(Skills!C11=3,120+Inputs!$B$27+Inputs!$B$29,MAX(0,(Inputs!$B$3-100)*3)+Inputs!$B$28+Inputs!$B$29)))</f>
        <v/>
      </c>
      <c r="E1131">
        <f>INDEX(FactorTable!$B$2:$Y$301, MATCH(ROUND(MIN(300,MAX(1,D1131)),0), FactorTable!$A$2:$A$301,0), Skills!M11+1)</f>
        <v/>
      </c>
      <c r="F1131">
        <f>(Skills!L11/10)*(E1131/1000)+IF(Inputs!$B$3&gt;=134,50,0)+0.5*(30000/10)*(INDEX(FactorTable!$B$2:$Y$301, MATCH(ROUND(MIN(300,MAX(1,D1131)),0), FactorTable!$A$2:$A$301,0), 13)/1000)*B1163</f>
        <v/>
      </c>
      <c r="G1131">
        <f>Skills!G11*IF(Skills!H11&gt;0,Skills!I11/Skills!H11,1)</f>
        <v/>
      </c>
      <c r="H1131">
        <f>1-(1-Skills!J11/100)^Skills!K11</f>
        <v/>
      </c>
      <c r="I1131" t="inlineStr">
        <is>
          <t>1</t>
        </is>
      </c>
      <c r="J1131">
        <f>(((Inputs!$B$6+1)*(1+Inputs!$B$7/100))+(((Inputs!$B$12*(1+Inputs!$B$13/100))-(Inputs!$B$12*(1+Inputs!$B$13/100)))+0.25*(Inputs!$B$14-Inputs!$B$14))*(1+Inputs!$B$7/100))*(F1131/100)</f>
        <v/>
      </c>
      <c r="K1131">
        <f>J1131*(1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1131)</f>
        <v/>
      </c>
      <c r="L1131">
        <f>K1131*(MIN(Inputs!$B$22+((C1144=TRUE)*(F1144-Calc!F24)),(Inputs!$B$23+((C1149=TRUE)*(F1149-Calc!F29))+IF(ArtifactsInput!$M$15,CHOOSE(ArtifactsInput!$N$15+1,25,30,35,40,45,50)/100*(Inputs!$B$11-Inputs!$B$11),0)))/100+(Inputs!$B$23+((C1149=TRUE)*(F1149-Calc!F29))+IF(ArtifactsInput!$M$15,CHOOSE(ArtifactsInput!$N$15+1,25,30,35,40,45,50)/100*(Inputs!$B$11-Inputs!$B$11),0))/100)/2</f>
        <v/>
      </c>
      <c r="M1131">
        <f>L1131*(1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1">
        <f>L1131*(1-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1">
        <f>(1-Summary!$B$11)*T1131+Summary!$B$11*V1131</f>
        <v/>
      </c>
      <c r="P1131">
        <f>IF(B1165=0,0,O1131/B1165)</f>
        <v/>
      </c>
      <c r="Q1131">
        <f>IFERROR(1/IF(Inputs!$B$39="pvp",15,MAX(0.1,Skills!D11-IF(Skills!E11=TRUE,Inputs!$B$32,0))),0)</f>
        <v/>
      </c>
      <c r="R1131">
        <f>IF(AND(Inputs!$B$39&lt;&gt;"pvp",Inputs!$B$44&gt;0),IF(MAX(0,Inputs!$B$44-B1164)&lt;=0,0,(INT(MAX(0,Inputs!$B$44-B1164)/IF(Inputs!$B$39="pvp",15,MAX(0.1,Skills!D11-IF(Skills!E11=TRUE,Inputs!$B$32,0))))+1)),0)</f>
        <v/>
      </c>
      <c r="S1131">
        <f>IFERROR(O1131/N1131,0)</f>
        <v/>
      </c>
      <c r="T1131">
        <f>IF(C1131,(H1131*N1131*IF(AND(Inputs!$B$39&lt;&gt;"pvp",Inputs!$B$44&gt;0),((Skills!G11*((R1131-1)*IF(Skills!H11&gt;0,Skills!I11/Skills!H11,1)+IF(Skills!H11&gt;0,MIN(Skills!I11,MAX(0,MAX(0,Inputs!$B$44-B1164)-((R1131-1)*IF(Inputs!$B$39="pvp",15,MAX(0.1,Skills!D11-IF(Skills!E11=TRUE,Inputs!$B$32,0))))))/Skills!H11,1)))/Inputs!$B$44),G1131*Q1131))*IF(Inputs!$B$39="pvp",1,1+(Inputs!$B$20+0+Skills!P11+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1131*(1-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1131*(1-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1">
        <f>IF(C1131,(H1131*N1131*IF(AND(Inputs!$B$39&lt;&gt;"pvp",Inputs!$B$44&gt;0),((Skills!G11*((R1131-1)*IF(Skills!H11&gt;0,Skills!I11/Skills!H11,1)+IF(Skills!H11&gt;0,MIN(Skills!I11,MAX(0,MAX(0,Inputs!$B$44-B1164)-((R1131-1)*IF(Inputs!$B$39="pvp",15,MAX(0.1,Skills!D11-IF(Skills!E11=TRUE,Inputs!$B$32,0))))))/Skills!H11,1)))/Inputs!$B$44),G1131*Q1131))*IF(Inputs!$B$39="pvp",1,(1+(Inputs!$B$21+Skills!Q11+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2">
      <c r="A1132">
        <f>Skills!A12</f>
        <v/>
      </c>
      <c r="B1132">
        <f>Skills!B12</f>
        <v/>
      </c>
      <c r="C1132">
        <f>Inputs!$B$3&gt;=105</f>
        <v/>
      </c>
      <c r="D1132">
        <f>IF(Skills!C12=1,60+Inputs!$B$25+Inputs!$B$29,IF(Skills!C12=2,90+Inputs!$B$26+Inputs!$B$29,IF(Skills!C12=3,120+Inputs!$B$27+Inputs!$B$29,MAX(0,(Inputs!$B$3-100)*3)+Inputs!$B$28+Inputs!$B$29)))</f>
        <v/>
      </c>
      <c r="E1132">
        <f>INDEX(FactorTable!$B$2:$Y$301, MATCH(ROUND(MIN(300,MAX(1,D1132)),0), FactorTable!$A$2:$A$301,0), Skills!M12+1)</f>
        <v/>
      </c>
      <c r="F1132">
        <f>IF(Skills!N12=TRUE,(Skills!L12/10)*(E1132/1000),Skills!L12/10)+Skills!O12</f>
        <v/>
      </c>
      <c r="G1132">
        <f>Skills!G12*IF(Skills!H12&gt;0,Skills!I12/Skills!H12,1)</f>
        <v/>
      </c>
      <c r="H1132">
        <f>1-(1-Skills!J12/100)^Skills!K12</f>
        <v/>
      </c>
      <c r="I1132" t="inlineStr">
        <is>
          <t>1</t>
        </is>
      </c>
      <c r="J1132">
        <f>(((Inputs!$B$6+1)*(1+Inputs!$B$7/100))+(((Inputs!$B$12*(1+Inputs!$B$13/100))-(Inputs!$B$12*(1+Inputs!$B$13/100)))+0.25*(Inputs!$B$14-Inputs!$B$14))*(1+Inputs!$B$7/100))*(F1132/100)</f>
        <v/>
      </c>
      <c r="K1132">
        <f>J1132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1132)</f>
        <v/>
      </c>
      <c r="L1132">
        <f>K1132*(MIN(Inputs!$B$22+((C1144=TRUE)*(F1144-Calc!F24)),(Inputs!$B$23+((C1149=TRUE)*(F1149-Calc!F29))+IF(ArtifactsInput!$M$15,CHOOSE(ArtifactsInput!$N$15+1,25,30,35,40,45,50)/100*(Inputs!$B$11-Inputs!$B$11),0)))/100+(Inputs!$B$23+((C1149=TRUE)*(F1149-Calc!F29))+IF(ArtifactsInput!$M$15,CHOOSE(ArtifactsInput!$N$15+1,25,30,35,40,45,50)/100*(Inputs!$B$11-Inputs!$B$11),0))/100)/2</f>
        <v/>
      </c>
      <c r="M1132">
        <f>L1132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2">
        <f>L1132*(1-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IF(B1165=0,0,O1132/B1165)</f>
        <v/>
      </c>
      <c r="Q1132">
        <f>IFERROR(1/IF(Inputs!$B$39="pvp",15,MAX(0.1,Skills!D12-IF(Skills!E12=TRUE,Inputs!$B$32,0))),0)</f>
        <v/>
      </c>
      <c r="R1132">
        <f>IF(AND(Inputs!$B$39&lt;&gt;"pvp",Inputs!$B$44&gt;0),IF(MAX(0,Inputs!$B$44-B1164)&lt;=0,0,(INT(MAX(0,Inputs!$B$44-B1164)/IF(Inputs!$B$39="pvp",15,MAX(0.1,Skills!D12-IF(Skills!E12=TRUE,Inputs!$B$32,0))))+1)),0)</f>
        <v/>
      </c>
      <c r="S1132">
        <f>IFERROR(O1132/N1132,0)</f>
        <v/>
      </c>
      <c r="T1132">
        <f>IF(C1132,(H1132*N1132*IF(AND(Inputs!$B$39&lt;&gt;"pvp",Inputs!$B$44&gt;0),((Skills!G12*((R1132-1)*IF(Skills!H12&gt;0,Skills!I12/Skills!H12,1)+IF(Skills!H12&gt;0,MIN(Skills!I12,MAX(0,MAX(0,Inputs!$B$44-B1164)-((R1132-1)*IF(Inputs!$B$39="pvp",15,MAX(0.1,Skills!D12-IF(Skills!E12=TRUE,Inputs!$B$32,0))))))/Skills!H12,1)))/Inputs!$B$44),G1132*Q1132))*IF(Inputs!$B$39="pvp",1,1+(Inputs!$B$20+0+Skills!P12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1132*(1-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12*((R1132-1)*IF(Skills!H12&gt;0,Skills!I12/Skills!H12,1)+IF(Skills!H12&gt;0,MIN(Skills!I12,MAX(0,MAX(0,Inputs!$B$44-B1164)-((R1132-1)*IF(Inputs!$B$39="pvp",15,MAX(0.1,Skills!D12-IF(Skills!E12=TRUE,Inputs!$B$32,0))))))/Skills!H12,1)))/Inputs!$B$44),G1132*Q1132))*IF(Inputs!$B$39="pvp",1,(1+(Inputs!$B$21+Skills!Q12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Skills!A13</f>
        <v/>
      </c>
      <c r="B1133">
        <f>Skills!B13</f>
        <v/>
      </c>
      <c r="C1133">
        <f>Inputs!$B$3&gt;=105</f>
        <v/>
      </c>
      <c r="D1133">
        <f>IF(Skills!C13=1,60+Inputs!$B$25+Inputs!$B$29,IF(Skills!C13=2,90+Inputs!$B$26+Inputs!$B$29,IF(Skills!C13=3,120+Inputs!$B$27+Inputs!$B$29,MAX(0,(Inputs!$B$3-100)*3)+Inputs!$B$28+Inputs!$B$29)))</f>
        <v/>
      </c>
      <c r="E1133">
        <f>INDEX(FactorTable!$B$2:$Y$301, MATCH(ROUND(MIN(300,MAX(1,D1133)),0), FactorTable!$A$2:$A$301,0), Skills!M13+1)</f>
        <v/>
      </c>
      <c r="F1133">
        <f>IF(Skills!N13=TRUE,(Skills!L13/10)*(E1133/1000),Skills!L13/10)+Skills!O13</f>
        <v/>
      </c>
      <c r="G1133">
        <f>Skills!G13*IF(Skills!H13&gt;0,Skills!I13/Skills!H13,1)</f>
        <v/>
      </c>
      <c r="H1133">
        <f>1-(1-Skills!J13/100)^Skills!K13</f>
        <v/>
      </c>
      <c r="I1133" t="inlineStr">
        <is>
          <t>1</t>
        </is>
      </c>
      <c r="J1133">
        <f>(((Inputs!$B$6+1)*(1+Inputs!$B$7/100))+(((Inputs!$B$12*(1+Inputs!$B$13/100))-(Inputs!$B$12*(1+Inputs!$B$13/100)))+0.25*(Inputs!$B$14-Inputs!$B$14))*(1+Inputs!$B$7/100))*(F1133/100)</f>
        <v/>
      </c>
      <c r="K1133">
        <f>J1133*(1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1133)</f>
        <v/>
      </c>
      <c r="L1133">
        <f>K1133*(MIN(Inputs!$B$22+((C1144=TRUE)*(F1144-Calc!F24)),(Inputs!$B$23+((C1149=TRUE)*(F1149-Calc!F29))+IF(ArtifactsInput!$M$15,CHOOSE(ArtifactsInput!$N$15+1,25,30,35,40,45,50)/100*(Inputs!$B$11-Inputs!$B$11),0)))/100+(Inputs!$B$23+((C1149=TRUE)*(F1149-Calc!F29))+IF(ArtifactsInput!$M$15,CHOOSE(ArtifactsInput!$N$15+1,25,30,35,40,45,50)/100*(Inputs!$B$11-Inputs!$B$11),0))/100)/2</f>
        <v/>
      </c>
      <c r="M1133">
        <f>L1133*(1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3">
        <f>L1133*(1-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IF(B1165=0,0,O1133/B1165)</f>
        <v/>
      </c>
      <c r="Q1133">
        <f>IFERROR(1/IF(Inputs!$B$39="pvp",15,MAX(0.1,Skills!D13-IF(Skills!E13=TRUE,Inputs!$B$32,0))),0)</f>
        <v/>
      </c>
      <c r="R1133">
        <f>IF(AND(Inputs!$B$39&lt;&gt;"pvp",Inputs!$B$44&gt;0),IF(MAX(0,Inputs!$B$44-B1164)&lt;=0,0,(INT(MAX(0,Inputs!$B$44-B1164)/IF(Inputs!$B$39="pvp",15,MAX(0.1,Skills!D13-IF(Skills!E13=TRUE,Inputs!$B$32,0))))+1)),0)</f>
        <v/>
      </c>
      <c r="S1133">
        <f>IFERROR(O1133/N1133,0)</f>
        <v/>
      </c>
      <c r="T1133">
        <f>IF(C1133,(H1133*N1133*IF(AND(Inputs!$B$39&lt;&gt;"pvp",Inputs!$B$44&gt;0),((Skills!G13*((R1133-1)*IF(Skills!H13&gt;0,Skills!I13/Skills!H13,1)+IF(Skills!H13&gt;0,MIN(Skills!I13,MAX(0,MAX(0,Inputs!$B$44-B1164)-((R1133-1)*IF(Inputs!$B$39="pvp",15,MAX(0.1,Skills!D13-IF(Skills!E13=TRUE,Inputs!$B$32,0))))))/Skills!H13,1)))/Inputs!$B$44),G1133*Q1133))*IF(Inputs!$B$39="pvp",1,1+(Inputs!$B$20+0+Skills!P13+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1133*(1-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13*((R1133-1)*IF(Skills!H13&gt;0,Skills!I13/Skills!H13,1)+IF(Skills!H13&gt;0,MIN(Skills!I13,MAX(0,MAX(0,Inputs!$B$44-B1164)-((R1133-1)*IF(Inputs!$B$39="pvp",15,MAX(0.1,Skills!D13-IF(Skills!E13=TRUE,Inputs!$B$32,0))))))/Skills!H13,1)))/Inputs!$B$44),G1133*Q1133))*IF(Inputs!$B$39="pvp",1,(1+(Inputs!$B$21+Skills!Q13+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Skills!A14</f>
        <v/>
      </c>
      <c r="B1134">
        <f>Skills!B14</f>
        <v/>
      </c>
      <c r="C1134">
        <f>Inputs!$B$3&gt;=107</f>
        <v/>
      </c>
      <c r="D1134">
        <f>IF(Skills!C14=1,60+Inputs!$B$25+Inputs!$B$29,IF(Skills!C14=2,90+Inputs!$B$26+Inputs!$B$29,IF(Skills!C14=3,120+Inputs!$B$27+Inputs!$B$29,MAX(0,(Inputs!$B$3-100)*3)+Inputs!$B$28+Inputs!$B$29)))</f>
        <v/>
      </c>
      <c r="E1134">
        <f>INDEX(FactorTable!$B$2:$Y$301, MATCH(ROUND(MIN(300,MAX(1,D1134)),0), FactorTable!$A$2:$A$301,0), Skills!M14+1)</f>
        <v/>
      </c>
      <c r="F1134">
        <f>IF(Skills!N14=TRUE,(Skills!L14/10)*(E1134/1000),Skills!L14/10)+Skills!O14</f>
        <v/>
      </c>
      <c r="G1134">
        <f>Skills!G14*IF(Skills!H14&gt;0,Skills!I14/Skills!H14,1)</f>
        <v/>
      </c>
      <c r="H1134">
        <f>1-(1-Skills!J14/100)^Skills!K14</f>
        <v/>
      </c>
      <c r="I1134" t="inlineStr">
        <is>
          <t>1</t>
        </is>
      </c>
      <c r="J1134">
        <f>(((Inputs!$B$6+1)*(1+Inputs!$B$7/100))+(((Inputs!$B$12*(1+Inputs!$B$13/100))-(Inputs!$B$12*(1+Inputs!$B$13/100)))+0.25*(Inputs!$B$14-Inputs!$B$14))*(1+Inputs!$B$7/100))*(F1134/100)</f>
        <v/>
      </c>
      <c r="K1134">
        <f>J1134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1134)</f>
        <v/>
      </c>
      <c r="L1134">
        <f>K1134*(MIN(Inputs!$B$22+((C1144=TRUE)*(F1144-Calc!F24)),(Inputs!$B$23+((C1149=TRUE)*(F1149-Calc!F29))+IF(ArtifactsInput!$M$15,CHOOSE(ArtifactsInput!$N$15+1,25,30,35,40,45,50)/100*(Inputs!$B$11-Inputs!$B$11),0)))/100+(Inputs!$B$23+((C1149=TRUE)*(F1149-Calc!F29))+IF(ArtifactsInput!$M$15,CHOOSE(ArtifactsInput!$N$15+1,25,30,35,40,45,50)/100*(Inputs!$B$11-Inputs!$B$11),0))/100)/2</f>
        <v/>
      </c>
      <c r="M1134">
        <f>L1134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4">
        <f>L1134*(1-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1134*(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4">
        <f>(1-Summary!$B$11)*T1134+Summary!$B$11*V1134</f>
        <v/>
      </c>
      <c r="P1134">
        <f>IF(B1165=0,0,O1134/B1165)</f>
        <v/>
      </c>
      <c r="Q1134">
        <f>IFERROR(1/IF(Inputs!$B$39="pvp",15,MAX(0.1,Skills!D14-IF(Skills!E14=TRUE,Inputs!$B$32,0))),0)</f>
        <v/>
      </c>
      <c r="R1134">
        <f>IF(AND(Inputs!$B$39&lt;&gt;"pvp",Inputs!$B$44&gt;0),IF(MAX(0,Inputs!$B$44-B1164)&lt;=0,0,(INT(MAX(0,Inputs!$B$44-B1164)/IF(Inputs!$B$39="pvp",15,MAX(0.1,Skills!D14-IF(Skills!E14=TRUE,Inputs!$B$32,0))))+1)),0)</f>
        <v/>
      </c>
      <c r="S1134">
        <f>IFERROR(O1134/N1134,0)</f>
        <v/>
      </c>
      <c r="T1134">
        <f>IF(C1134,(H1134*N1134*IF(AND(Inputs!$B$39&lt;&gt;"pvp",Inputs!$B$44&gt;0),((Skills!G14*((R1134-1)*IF(Skills!H14&gt;0,Skills!I14/Skills!H14,1)+IF(Skills!H14&gt;0,MIN(Skills!I14,MAX(0,MAX(0,Inputs!$B$44-B1164)-((R1134-1)*IF(Inputs!$B$39="pvp",15,MAX(0.1,Skills!D14-IF(Skills!E14=TRUE,Inputs!$B$32,0))))))/Skills!H14,1)))/Inputs!$B$44),G1134*Q1134))*IF(Inputs!$B$39="pvp",1,1+(Inputs!$B$20+0+Skills!P14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1134*(1-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1134*(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1134*(1-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1134*(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4">
        <f>IF(C1134,(H1134*N1134*IF(AND(Inputs!$B$39&lt;&gt;"pvp",Inputs!$B$44&gt;0),((Skills!G14*((R1134-1)*IF(Skills!H14&gt;0,Skills!I14/Skills!H14,1)+IF(Skills!H14&gt;0,MIN(Skills!I14,MAX(0,MAX(0,Inputs!$B$44-B1164)-((R1134-1)*IF(Inputs!$B$39="pvp",15,MAX(0.1,Skills!D14-IF(Skills!E14=TRUE,Inputs!$B$32,0))))))/Skills!H14,1)))/Inputs!$B$44),G1134*Q1134))*IF(Inputs!$B$39="pvp",1,(1+(Inputs!$B$21+Skills!Q14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(5,0.25*B1157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5">
      <c r="A1135">
        <f>Skills!A15</f>
        <v/>
      </c>
      <c r="B1135">
        <f>Skills!B15</f>
        <v/>
      </c>
      <c r="C1135">
        <f>Inputs!$B$3&gt;=110</f>
        <v/>
      </c>
      <c r="D1135">
        <f>IF(Skills!C15=1,60+Inputs!$B$25+Inputs!$B$29,IF(Skills!C15=2,90+Inputs!$B$26+Inputs!$B$29,IF(Skills!C15=3,120+Inputs!$B$27+Inputs!$B$29,MAX(0,(Inputs!$B$3-100)*3)+Inputs!$B$28+Inputs!$B$29)))</f>
        <v/>
      </c>
      <c r="E1135">
        <f>INDEX(FactorTable!$B$2:$Y$301, MATCH(ROUND(MIN(300,MAX(1,D1135)),0), FactorTable!$A$2:$A$301,0), Skills!M15+1)</f>
        <v/>
      </c>
      <c r="F1135">
        <f>IF(Skills!N15=TRUE,(Skills!L15/10)*(E1135/1000),Skills!L15/10)+Skills!O15</f>
        <v/>
      </c>
      <c r="G1135">
        <f>Skills!G15*IF(Skills!H15&gt;0,Skills!I15/Skills!H15,1)</f>
        <v/>
      </c>
      <c r="H1135">
        <f>1-(1-Skills!J15/100)^Skills!K15</f>
        <v/>
      </c>
      <c r="I1135" t="inlineStr">
        <is>
          <t>1</t>
        </is>
      </c>
      <c r="J1135" t="inlineStr"/>
      <c r="K1135" t="inlineStr"/>
      <c r="L1135" t="inlineStr"/>
      <c r="M1135" t="inlineStr"/>
      <c r="N1135" t="inlineStr"/>
      <c r="O1135">
        <f>(1-Summary!$B$11)*T1135+Summary!$B$11*V1135</f>
        <v/>
      </c>
      <c r="P1135">
        <f>IF(B1165=0,0,O1135/B1165)</f>
        <v/>
      </c>
      <c r="Q1135">
        <f>IFERROR(1/IF(Inputs!$B$39="pvp",15,MAX(0.1,Skills!D15-IF(Skills!E15=TRUE,Inputs!$B$32,0))),0)</f>
        <v/>
      </c>
      <c r="R1135">
        <f>IF(AND(Inputs!$B$39&lt;&gt;"pvp",Inputs!$B$44&gt;0),IF(Inputs!$B$44&lt;=0,0,(INT(Inputs!$B$44/IF(Inputs!$B$39="pvp",15,MAX(0.1,Skills!D15-IF(Skills!E15=TRUE,Inputs!$B$32,0))))+1)),0)</f>
        <v/>
      </c>
      <c r="S1135">
        <f>IFERROR(O1135/N1135,0)</f>
        <v/>
      </c>
      <c r="T1135" t="n">
        <v>0</v>
      </c>
      <c r="V1135" t="n">
        <v>0</v>
      </c>
    </row>
    <row r="1136">
      <c r="A1136">
        <f>Skills!A16</f>
        <v/>
      </c>
      <c r="B1136">
        <f>Skills!B16</f>
        <v/>
      </c>
      <c r="C1136">
        <f>Inputs!$B$3&gt;=115</f>
        <v/>
      </c>
      <c r="D1136">
        <f>IF(Skills!C16=1,60+Inputs!$B$25+Inputs!$B$29,IF(Skills!C16=2,90+Inputs!$B$26+Inputs!$B$29,IF(Skills!C16=3,120+Inputs!$B$27+Inputs!$B$29,MAX(0,(Inputs!$B$3-100)*3)+Inputs!$B$28+Inputs!$B$29)))</f>
        <v/>
      </c>
      <c r="E1136">
        <f>INDEX(FactorTable!$B$2:$Y$301, MATCH(ROUND(MIN(300,MAX(1,D1136)),0), FactorTable!$A$2:$A$301,0), Skills!M16+1)</f>
        <v/>
      </c>
      <c r="F1136">
        <f>IF(Skills!N16=TRUE,(Skills!L16/10)*(E1136/1000),Skills!L16/10)+Skills!O16</f>
        <v/>
      </c>
      <c r="G1136">
        <f>Skills!G16*IF(Skills!H16&gt;0,Skills!I16/Skills!H16,1)</f>
        <v/>
      </c>
      <c r="H1136">
        <f>1-(1-Skills!J16/100)^Skills!K16</f>
        <v/>
      </c>
      <c r="I1136" t="inlineStr">
        <is>
          <t>1</t>
        </is>
      </c>
      <c r="J1136">
        <f>(((Inputs!$B$6+1)*(1+Inputs!$B$7/100))+(((Inputs!$B$12*(1+Inputs!$B$13/100))-(Inputs!$B$12*(1+Inputs!$B$13/100)))+0.25*(Inputs!$B$14-Inputs!$B$14))*(1+Inputs!$B$7/100))*(F1136/100)</f>
        <v/>
      </c>
      <c r="K1136">
        <f>J1136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1147=TRUE)*(F1147-Calc!F27))+((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1136)</f>
        <v/>
      </c>
      <c r="L1136">
        <f>K1136*(MIN(Inputs!$B$22+((C1144=TRUE)*(F1144-Calc!F24)),(Inputs!$B$23+((C1149=TRUE)*(F1149-Calc!F29))+IF(ArtifactsInput!$M$15,CHOOSE(ArtifactsInput!$N$15+1,25,30,35,40,45,50)/100*(Inputs!$B$11-Inputs!$B$11),0)))/100+(Inputs!$B$23+((C1149=TRUE)*(F1149-Calc!F29))+IF(ArtifactsInput!$M$15,CHOOSE(ArtifactsInput!$N$15+1,25,30,35,40,45,50)/100*(Inputs!$B$11-Inputs!$B$11),0))/100)/2</f>
        <v/>
      </c>
      <c r="M1136">
        <f>L1136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6">
        <f>L1136*(1-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1136*(MIN((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6">
        <f>(1-Summary!$B$11)*T1136+Summary!$B$11*V1136</f>
        <v/>
      </c>
      <c r="P1136">
        <f>IF(B1165=0,0,O1136/B1165)</f>
        <v/>
      </c>
      <c r="Q1136" t="n">
        <v>0</v>
      </c>
      <c r="R1136" t="n">
        <v>0</v>
      </c>
      <c r="S1136">
        <f>IFERROR(O1136/N1136,0)</f>
        <v/>
      </c>
      <c r="T1136">
        <f>IF(C1136,(Inputs!$B$38*0.2*N1136)*IF(Inputs!$B$39="pvp",1,1+(Inputs!$B$20+0+Skills!P16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1136*(1-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1136*(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1136*(1-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1136*(MIN(100,(Inputs!$B$9+((C1145=TRUE)*(F1145-Calc!F25))+B1153+(ArtifactsInput!$M$24-ArtifactsInput!$M$24)*CHOOSE(ArtifactsInput!$N$24+1,10,12,14,16,18,20)+(IF(AND(Inputs!$B$39&lt;&gt;"pvp",Inputs!$B$44=0),1,IF(IF(Inputs!$B$39="pvp",15,Inputs!$B$44)-(B1164)&lt;=0,1,MAX(0,IF(Inputs!$B$39="pvp",15,Inputs!$B$44)-MAX(5,B1164))/(IF(Inputs!$B$39="pvp",15,Inputs!$B$44)-(B1164))))*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6">
        <f>IF(C1136,(Inputs!$B$38*0.2*N1136)*IF(Inputs!$B$39="pvp",1,(1+(Inputs!$B$21+Skills!Q16+B1154+(IF(ArtifactsInput!$M$33,CHOOSE(ArtifactsInput!$N$33+1,30,36,42,48,54,60),0))+(IF(AND(ArtifactsInput!$M$35,Inputs!$B$4&lt;&gt;"Chapter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7">
      <c r="A1137">
        <f>Skills!A17</f>
        <v/>
      </c>
      <c r="B1137">
        <f>Skills!B17</f>
        <v/>
      </c>
      <c r="C1137">
        <f>Inputs!$B$3&gt;=115</f>
        <v/>
      </c>
      <c r="D1137">
        <f>IF(Skills!C17=1,60+Inputs!$B$25+Inputs!$B$29,IF(Skills!C17=2,90+Inputs!$B$26+Inputs!$B$29,IF(Skills!C17=3,120+Inputs!$B$27+Inputs!$B$29,MAX(0,(Inputs!$B$3-100)*3)+Inputs!$B$28+Inputs!$B$29)))</f>
        <v/>
      </c>
      <c r="E1137">
        <f>INDEX(FactorTable!$B$2:$Y$301, MATCH(ROUND(MIN(300,MAX(1,D1137)),0), FactorTable!$A$2:$A$301,0), Skills!M17+1)</f>
        <v/>
      </c>
      <c r="F1137">
        <f>IF(Skills!N17=TRUE,(Skills!L17/10)*(E1137/1000),Skills!L17/10)+Skills!O17</f>
        <v/>
      </c>
      <c r="G1137">
        <f>Skills!G17*IF(Skills!H17&gt;0,Skills!I17/Skills!H17,1)</f>
        <v/>
      </c>
      <c r="H1137">
        <f>1-(1-Skills!J17/100)^Skills!K17</f>
        <v/>
      </c>
      <c r="I1137" t="inlineStr">
        <is>
          <t>1</t>
        </is>
      </c>
      <c r="J1137" t="inlineStr"/>
      <c r="K1137" t="inlineStr"/>
      <c r="L1137" t="inlineStr"/>
      <c r="M1137" t="inlineStr"/>
      <c r="N1137" t="inlineStr"/>
      <c r="O1137">
        <f>(1-Summary!$B$11)*T1137+Summary!$B$11*V1137</f>
        <v/>
      </c>
      <c r="P1137">
        <f>IF(B1165=0,0,O1137/B1165)</f>
        <v/>
      </c>
      <c r="Q1137" t="n">
        <v>0</v>
      </c>
      <c r="R1137" t="n">
        <v>0</v>
      </c>
      <c r="S1137">
        <f>IFERROR(O1137/N1137,0)</f>
        <v/>
      </c>
      <c r="T1137" t="n">
        <v>0</v>
      </c>
      <c r="V1137" t="n">
        <v>0</v>
      </c>
    </row>
    <row r="1138">
      <c r="A1138">
        <f>Skills!A18</f>
        <v/>
      </c>
      <c r="B1138">
        <f>Skills!B18</f>
        <v/>
      </c>
      <c r="C1138">
        <f>Inputs!$B$3&gt;=100</f>
        <v/>
      </c>
      <c r="D1138">
        <f>IF(Skills!C18=1,60+Inputs!$B$25+Inputs!$B$29,IF(Skills!C18=2,90+Inputs!$B$26+Inputs!$B$29,IF(Skills!C18=3,120+Inputs!$B$27+Inputs!$B$29,MAX(0,(Inputs!$B$3-100)*3)+Inputs!$B$28+Inputs!$B$29)))</f>
        <v/>
      </c>
      <c r="E1138">
        <f>INDEX(FactorTable!$B$2:$Y$301, MATCH(ROUND(MIN(300,MAX(1,D1138)),0), FactorTable!$A$2:$A$301,0), Skills!M18+1)</f>
        <v/>
      </c>
      <c r="F1138">
        <f>IF(Skills!N18=TRUE,(Skills!L18/10)*(E1138/1000),Skills!L18/10)+Skills!O18</f>
        <v/>
      </c>
      <c r="G1138">
        <f>Skills!G18*IF(Skills!H18&gt;0,Skills!I18/Skills!H18,1)</f>
        <v/>
      </c>
      <c r="H1138">
        <f>1-(1-Skills!J18/100)^Skills!K18</f>
        <v/>
      </c>
      <c r="I1138" t="inlineStr">
        <is>
          <t>1</t>
        </is>
      </c>
      <c r="J1138" t="inlineStr"/>
      <c r="K1138" t="inlineStr"/>
      <c r="L1138" t="inlineStr"/>
      <c r="M1138" t="inlineStr"/>
      <c r="N1138" t="inlineStr"/>
      <c r="O1138">
        <f>(1-Summary!$B$11)*T1138+Summary!$B$11*V1138</f>
        <v/>
      </c>
      <c r="P1138">
        <f>IF(B1165=0,0,O1138/B1165)</f>
        <v/>
      </c>
      <c r="Q1138" t="n">
        <v>0</v>
      </c>
      <c r="R1138" t="n">
        <v>0</v>
      </c>
      <c r="S1138">
        <f>IFERROR(O1138/N1138,0)</f>
        <v/>
      </c>
      <c r="T1138" t="n">
        <v>0</v>
      </c>
      <c r="V1138" t="n">
        <v>0</v>
      </c>
    </row>
    <row r="1139">
      <c r="A1139">
        <f>Skills!A19</f>
        <v/>
      </c>
      <c r="B1139">
        <f>Skills!B19</f>
        <v/>
      </c>
      <c r="C1139">
        <f>TRUE</f>
        <v/>
      </c>
      <c r="D1139">
        <f>IF(Skills!C19=1,60+Inputs!$B$25+Inputs!$B$29,IF(Skills!C19=2,90+Inputs!$B$26+Inputs!$B$29,IF(Skills!C19=3,120+Inputs!$B$27+Inputs!$B$29,MAX(0,(Inputs!$B$3-100)*3)+Inputs!$B$28+Inputs!$B$29)))</f>
        <v/>
      </c>
      <c r="E1139">
        <f>INDEX(FactorTable!$B$2:$Y$301, MATCH(ROUND(MIN(300,MAX(1,D1139)),0), FactorTable!$A$2:$A$301,0), Skills!M19+1)</f>
        <v/>
      </c>
      <c r="F1139">
        <f>IF(Skills!N19=TRUE,(Skills!L19/10)*(E1139/1000),Skills!L19/10)+Skills!O19</f>
        <v/>
      </c>
      <c r="G1139">
        <f>Skills!G19*IF(Skills!H19&gt;0,Skills!I19/Skills!H19,1)</f>
        <v/>
      </c>
      <c r="H1139">
        <f>1-(1-Skills!J19/100)^Skills!K19</f>
        <v/>
      </c>
      <c r="I1139" t="inlineStr">
        <is>
          <t>1</t>
        </is>
      </c>
      <c r="J1139" t="inlineStr"/>
      <c r="K1139" t="inlineStr"/>
      <c r="L1139" t="inlineStr"/>
      <c r="M1139" t="inlineStr"/>
      <c r="N1139" t="inlineStr"/>
      <c r="O1139">
        <f>(1-Summary!$B$11)*T1139+Summary!$B$11*V1139</f>
        <v/>
      </c>
      <c r="P1139">
        <f>IF(B1165=0,0,O1139/B1165)</f>
        <v/>
      </c>
      <c r="Q1139">
        <f>IFERROR(1/IF(Inputs!$B$39="pvp",15,MAX(0.1,Skills!D19-IF(Skills!E19=TRUE,Inputs!$B$32,0))),0)</f>
        <v/>
      </c>
      <c r="R1139">
        <f>IF(AND(Inputs!$B$39&lt;&gt;"pvp",Inputs!$B$44&gt;0),IF(Inputs!$B$44&lt;=0,0,(INT(Inputs!$B$44/IF(Inputs!$B$39="pvp",15,MAX(0.1,Skills!D19-IF(Skills!E19=TRUE,Inputs!$B$32,0))))+1)),0)</f>
        <v/>
      </c>
      <c r="S1139">
        <f>IFERROR(O1139/N1139,0)</f>
        <v/>
      </c>
      <c r="T1139" t="n">
        <v>0</v>
      </c>
      <c r="V1139" t="n">
        <v>0</v>
      </c>
    </row>
    <row r="1140">
      <c r="A1140">
        <f>Skills!A20</f>
        <v/>
      </c>
      <c r="B1140">
        <f>Skills!B20</f>
        <v/>
      </c>
      <c r="C1140">
        <f>Inputs!$B$3&gt;=15</f>
        <v/>
      </c>
      <c r="D1140">
        <f>IF(Skills!C20=1,60+Inputs!$B$25+Inputs!$B$29,IF(Skills!C20=2,90+Inputs!$B$26+Inputs!$B$29,IF(Skills!C20=3,120+Inputs!$B$27+Inputs!$B$29,MAX(0,(Inputs!$B$3-100)*3)+Inputs!$B$28+Inputs!$B$29)))</f>
        <v/>
      </c>
      <c r="E1140">
        <f>INDEX(FactorTable!$B$2:$Y$301, MATCH(ROUND(MIN(300,MAX(1,D1140)),0), FactorTable!$A$2:$A$301,0), Skills!M20+1)</f>
        <v/>
      </c>
      <c r="F1140">
        <f>IF(Skills!N20=TRUE,(Skills!L20/10)*(E1140/1000),Skills!L20/10)+Skills!O20</f>
        <v/>
      </c>
      <c r="G1140">
        <f>Skills!G20*IF(Skills!H20&gt;0,Skills!I20/Skills!H20,1)</f>
        <v/>
      </c>
      <c r="H1140">
        <f>1-(1-Skills!J20/100)^Skills!K20</f>
        <v/>
      </c>
      <c r="I1140" t="inlineStr">
        <is>
          <t>1</t>
        </is>
      </c>
      <c r="J1140" t="inlineStr"/>
      <c r="K1140" t="inlineStr"/>
      <c r="L1140" t="inlineStr"/>
      <c r="M1140" t="inlineStr"/>
      <c r="N1140" t="inlineStr"/>
      <c r="O1140">
        <f>(1-Summary!$B$11)*T1140+Summary!$B$11*V1140</f>
        <v/>
      </c>
      <c r="P1140">
        <f>IF(B1165=0,0,O1140/B1165)</f>
        <v/>
      </c>
      <c r="Q1140">
        <f>IFERROR(1/IF(Inputs!$B$39="pvp",15,MAX(0.1,Skills!D20-IF(Skills!E20=TRUE,Inputs!$B$32,0))),0)</f>
        <v/>
      </c>
      <c r="R1140">
        <f>IF(AND(Inputs!$B$39&lt;&gt;"pvp",Inputs!$B$44&gt;0),IF(Inputs!$B$44&lt;=0,0,(INT(Inputs!$B$44/IF(Inputs!$B$39="pvp",15,MAX(0.1,Skills!D20-IF(Skills!E20=TRUE,Inputs!$B$32,0))))+1)),0)</f>
        <v/>
      </c>
      <c r="S1140">
        <f>IFERROR(O1140/N1140,0)</f>
        <v/>
      </c>
      <c r="T1140" t="n">
        <v>0</v>
      </c>
      <c r="V1140" t="n">
        <v>0</v>
      </c>
    </row>
    <row r="1141">
      <c r="A1141">
        <f>Skills!A21</f>
        <v/>
      </c>
      <c r="B1141">
        <f>Skills!B21</f>
        <v/>
      </c>
      <c r="C1141">
        <f>Inputs!$B$3&gt;=15</f>
        <v/>
      </c>
      <c r="D1141">
        <f>IF(Skills!C21=1,60+Inputs!$B$25+Inputs!$B$29,IF(Skills!C21=2,90+Inputs!$B$26+Inputs!$B$29,IF(Skills!C21=3,120+Inputs!$B$27+Inputs!$B$29,MAX(0,(Inputs!$B$3-100)*3)+Inputs!$B$28+Inputs!$B$29)))</f>
        <v/>
      </c>
      <c r="E1141">
        <f>INDEX(FactorTable!$B$2:$Y$301, MATCH(ROUND(MIN(300,MAX(1,D1141)),0), FactorTable!$A$2:$A$301,0), Skills!M21+1)</f>
        <v/>
      </c>
      <c r="F1141">
        <f>IF(Skills!N21=TRUE,(Skills!L21/10)*(E1141/1000),Skills!L21/10)+Skills!O21</f>
        <v/>
      </c>
      <c r="G1141">
        <f>Skills!G21*IF(Skills!H21&gt;0,Skills!I21/Skills!H21,1)</f>
        <v/>
      </c>
      <c r="H1141">
        <f>1-(1-Skills!J21/100)^Skills!K21</f>
        <v/>
      </c>
      <c r="I1141" t="inlineStr">
        <is>
          <t>1</t>
        </is>
      </c>
      <c r="J1141" t="inlineStr"/>
      <c r="K1141" t="inlineStr"/>
      <c r="L1141" t="inlineStr"/>
      <c r="M1141" t="inlineStr"/>
      <c r="N1141" t="inlineStr"/>
      <c r="O1141">
        <f>(1-Summary!$B$11)*T1141+Summary!$B$11*V1141</f>
        <v/>
      </c>
      <c r="P1141">
        <f>IF(B1165=0,0,O1141/B1165)</f>
        <v/>
      </c>
      <c r="Q1141">
        <f>IFERROR(1/IF(Inputs!$B$39="pvp",15,MAX(0.1,Skills!D21-IF(Skills!E21=TRUE,Inputs!$B$32,0))),0)</f>
        <v/>
      </c>
      <c r="R1141">
        <f>IF(AND(Inputs!$B$39&lt;&gt;"pvp",Inputs!$B$44&gt;0),IF(Inputs!$B$44&lt;=0,0,(INT(Inputs!$B$44/IF(Inputs!$B$39="pvp",15,MAX(0.1,Skills!D21-IF(Skills!E21=TRUE,Inputs!$B$32,0))))+1)),0)</f>
        <v/>
      </c>
      <c r="S1141">
        <f>IFERROR(O1141/N1141,0)</f>
        <v/>
      </c>
      <c r="T1141" t="n">
        <v>0</v>
      </c>
      <c r="V1141" t="n">
        <v>0</v>
      </c>
    </row>
    <row r="1142">
      <c r="A1142">
        <f>Skills!A22</f>
        <v/>
      </c>
      <c r="B1142">
        <f>Skills!B22</f>
        <v/>
      </c>
      <c r="C1142">
        <f>Inputs!$B$3&gt;=33</f>
        <v/>
      </c>
      <c r="D1142">
        <f>IF(Skills!C22=1,60+Inputs!$B$25+Inputs!$B$29,IF(Skills!C22=2,90+Inputs!$B$26+Inputs!$B$29,IF(Skills!C22=3,120+Inputs!$B$27+Inputs!$B$29,MAX(0,(Inputs!$B$3-100)*3)+Inputs!$B$28+Inputs!$B$29)))</f>
        <v/>
      </c>
      <c r="E1142">
        <f>INDEX(FactorTable!$B$2:$Y$301, MATCH(ROUND(MIN(300,MAX(1,D1142)),0), FactorTable!$A$2:$A$301,0), Skills!M22+1)</f>
        <v/>
      </c>
      <c r="F1142">
        <f>IF(Skills!N22=TRUE,(Skills!L22/10)*(E1142/1000),Skills!L22/10)+Skills!O22</f>
        <v/>
      </c>
      <c r="G1142">
        <f>Skills!G22*IF(Skills!H22&gt;0,Skills!I22/Skills!H22,1)</f>
        <v/>
      </c>
      <c r="H1142">
        <f>1-(1-Skills!J22/100)^Skills!K22</f>
        <v/>
      </c>
      <c r="I1142" t="inlineStr">
        <is>
          <t>1</t>
        </is>
      </c>
      <c r="J1142" t="inlineStr"/>
      <c r="K1142" t="inlineStr"/>
      <c r="L1142" t="inlineStr"/>
      <c r="M1142" t="inlineStr"/>
      <c r="N1142" t="inlineStr"/>
      <c r="O1142">
        <f>(1-Summary!$B$11)*T1142+Summary!$B$11*V1142</f>
        <v/>
      </c>
      <c r="P1142">
        <f>IF(B1165=0,0,O1142/B1165)</f>
        <v/>
      </c>
      <c r="Q1142" t="n">
        <v>0</v>
      </c>
      <c r="R1142" t="n">
        <v>0</v>
      </c>
      <c r="S1142">
        <f>IFERROR(O1142/N1142,0)</f>
        <v/>
      </c>
      <c r="T1142" t="n">
        <v>0</v>
      </c>
      <c r="V1142" t="n">
        <v>0</v>
      </c>
    </row>
    <row r="1143">
      <c r="A1143">
        <f>Skills!A23</f>
        <v/>
      </c>
      <c r="B1143">
        <f>Skills!B23</f>
        <v/>
      </c>
      <c r="C1143">
        <f>Inputs!$B$3&gt;=40</f>
        <v/>
      </c>
      <c r="D1143">
        <f>IF(Skills!C23=1,60+Inputs!$B$25+Inputs!$B$29,IF(Skills!C23=2,90+Inputs!$B$26+Inputs!$B$29,IF(Skills!C23=3,120+Inputs!$B$27+Inputs!$B$29,MAX(0,(Inputs!$B$3-100)*3)+Inputs!$B$28+Inputs!$B$29)))</f>
        <v/>
      </c>
      <c r="E1143">
        <f>INDEX(FactorTable!$B$2:$Y$301, MATCH(ROUND(MIN(300,MAX(1,D1143)),0), FactorTable!$A$2:$A$301,0), Skills!M23+1)</f>
        <v/>
      </c>
      <c r="F1143">
        <f>IF(Skills!N23=TRUE,(Skills!L23/10)*(E1143/1000),Skills!L23/10)+Skills!O23</f>
        <v/>
      </c>
      <c r="G1143">
        <f>Skills!G23*IF(Skills!H23&gt;0,Skills!I23/Skills!H23,1)</f>
        <v/>
      </c>
      <c r="H1143">
        <f>1-(1-Skills!J23/100)^Skills!K23</f>
        <v/>
      </c>
      <c r="I1143" t="inlineStr">
        <is>
          <t>1</t>
        </is>
      </c>
      <c r="J1143" t="inlineStr"/>
      <c r="K1143" t="inlineStr"/>
      <c r="L1143" t="inlineStr"/>
      <c r="M1143" t="inlineStr"/>
      <c r="N1143" t="inlineStr"/>
      <c r="O1143">
        <f>(1-Summary!$B$11)*T1143+Summary!$B$11*V1143</f>
        <v/>
      </c>
      <c r="P1143">
        <f>IF(B1165=0,0,O1143/B1165)</f>
        <v/>
      </c>
      <c r="Q1143" t="n">
        <v>0</v>
      </c>
      <c r="R1143" t="n">
        <v>0</v>
      </c>
      <c r="S1143">
        <f>IFERROR(O1143/N1143,0)</f>
        <v/>
      </c>
      <c r="T1143" t="n">
        <v>0</v>
      </c>
      <c r="V1143" t="n">
        <v>0</v>
      </c>
    </row>
    <row r="1144">
      <c r="A1144">
        <f>Skills!A24</f>
        <v/>
      </c>
      <c r="B1144">
        <f>Skills!B24</f>
        <v/>
      </c>
      <c r="C1144">
        <f>Inputs!$B$3&gt;=43</f>
        <v/>
      </c>
      <c r="D1144">
        <f>IF(Skills!C24=1,60+Inputs!$B$25+Inputs!$B$29,IF(Skills!C24=2,90+Inputs!$B$26+Inputs!$B$29,IF(Skills!C24=3,120+Inputs!$B$27+Inputs!$B$29,MAX(0,(Inputs!$B$3-100)*3)+Inputs!$B$28+Inputs!$B$29)))</f>
        <v/>
      </c>
      <c r="E1144">
        <f>INDEX(FactorTable!$B$2:$Y$301, MATCH(ROUND(MIN(300,MAX(1,D1144)),0), FactorTable!$A$2:$A$301,0), Skills!M24+1)</f>
        <v/>
      </c>
      <c r="F1144">
        <f>IF(Skills!N24=TRUE,(Skills!L24/10)*(E1144/1000),Skills!L24/10)+Skills!O24</f>
        <v/>
      </c>
      <c r="G1144">
        <f>Skills!G24*IF(Skills!H24&gt;0,Skills!I24/Skills!H24,1)</f>
        <v/>
      </c>
      <c r="H1144">
        <f>1-(1-Skills!J24/100)^Skills!K24</f>
        <v/>
      </c>
      <c r="I1144" t="inlineStr">
        <is>
          <t>1</t>
        </is>
      </c>
      <c r="J1144" t="inlineStr"/>
      <c r="K1144" t="inlineStr"/>
      <c r="L1144" t="inlineStr"/>
      <c r="M1144" t="inlineStr"/>
      <c r="N1144" t="inlineStr"/>
      <c r="O1144">
        <f>(1-Summary!$B$11)*T1144+Summary!$B$11*V1144</f>
        <v/>
      </c>
      <c r="P1144">
        <f>IF(B1165=0,0,O1144/B1165)</f>
        <v/>
      </c>
      <c r="Q1144" t="n">
        <v>0</v>
      </c>
      <c r="R1144" t="n">
        <v>0</v>
      </c>
      <c r="S1144">
        <f>IFERROR(O1144/N1144,0)</f>
        <v/>
      </c>
      <c r="T1144" t="n">
        <v>0</v>
      </c>
      <c r="V1144" t="n">
        <v>0</v>
      </c>
    </row>
    <row r="1145">
      <c r="A1145">
        <f>Skills!A25</f>
        <v/>
      </c>
      <c r="B1145">
        <f>Skills!B25</f>
        <v/>
      </c>
      <c r="C1145">
        <f>Inputs!$B$3&gt;=50</f>
        <v/>
      </c>
      <c r="D1145">
        <f>IF(Skills!C25=1,60+Inputs!$B$25+Inputs!$B$29,IF(Skills!C25=2,90+Inputs!$B$26+Inputs!$B$29,IF(Skills!C25=3,120+Inputs!$B$27+Inputs!$B$29,MAX(0,(Inputs!$B$3-100)*3)+Inputs!$B$28+Inputs!$B$29)))</f>
        <v/>
      </c>
      <c r="E1145">
        <f>INDEX(FactorTable!$B$2:$Y$301, MATCH(ROUND(MIN(300,MAX(1,D1145)),0), FactorTable!$A$2:$A$301,0), Skills!M25+1)</f>
        <v/>
      </c>
      <c r="F1145">
        <f>IF(Skills!N25=TRUE,(Skills!L25/10)*(E1145/1000),Skills!L25/10)+Skills!O25</f>
        <v/>
      </c>
      <c r="G1145">
        <f>Skills!G25*IF(Skills!H25&gt;0,Skills!I25/Skills!H25,1)</f>
        <v/>
      </c>
      <c r="H1145">
        <f>1-(1-Skills!J25/100)^Skills!K25</f>
        <v/>
      </c>
      <c r="I1145" t="inlineStr">
        <is>
          <t>1</t>
        </is>
      </c>
      <c r="J1145" t="inlineStr"/>
      <c r="K1145" t="inlineStr"/>
      <c r="L1145" t="inlineStr"/>
      <c r="M1145" t="inlineStr"/>
      <c r="N1145" t="inlineStr"/>
      <c r="O1145">
        <f>(1-Summary!$B$11)*T1145+Summary!$B$11*V1145</f>
        <v/>
      </c>
      <c r="P1145">
        <f>IF(B1165=0,0,O1145/B1165)</f>
        <v/>
      </c>
      <c r="Q1145" t="n">
        <v>0</v>
      </c>
      <c r="R1145" t="n">
        <v>0</v>
      </c>
      <c r="S1145">
        <f>IFERROR(O1145/N1145,0)</f>
        <v/>
      </c>
      <c r="T1145" t="n">
        <v>0</v>
      </c>
      <c r="V1145" t="n">
        <v>0</v>
      </c>
    </row>
    <row r="1146">
      <c r="A1146">
        <f>Skills!A26</f>
        <v/>
      </c>
      <c r="B1146">
        <f>Skills!B26</f>
        <v/>
      </c>
      <c r="C1146">
        <f>Inputs!$B$3&gt;=50</f>
        <v/>
      </c>
      <c r="D1146">
        <f>IF(Skills!C26=1,60+Inputs!$B$25+Inputs!$B$29,IF(Skills!C26=2,90+Inputs!$B$26+Inputs!$B$29,IF(Skills!C26=3,120+Inputs!$B$27+Inputs!$B$29,MAX(0,(Inputs!$B$3-100)*3)+Inputs!$B$28+Inputs!$B$29)))</f>
        <v/>
      </c>
      <c r="E1146">
        <f>INDEX(FactorTable!$B$2:$Y$301, MATCH(ROUND(MIN(300,MAX(1,D1146)),0), FactorTable!$A$2:$A$301,0), Skills!M26+1)</f>
        <v/>
      </c>
      <c r="F1146">
        <f>IF(Skills!N26=TRUE,(Skills!L26/10)*(E1146/1000),Skills!L26/10)+Skills!O26</f>
        <v/>
      </c>
      <c r="G1146">
        <f>Skills!G26*IF(Skills!H26&gt;0,Skills!I26/Skills!H26,1)</f>
        <v/>
      </c>
      <c r="H1146">
        <f>1-(1-Skills!J26/100)^Skills!K26</f>
        <v/>
      </c>
      <c r="I1146" t="inlineStr">
        <is>
          <t>1</t>
        </is>
      </c>
      <c r="J1146" t="inlineStr"/>
      <c r="K1146" t="inlineStr"/>
      <c r="L1146" t="inlineStr"/>
      <c r="M1146" t="inlineStr"/>
      <c r="N1146" t="inlineStr"/>
      <c r="O1146">
        <f>(1-Summary!$B$11)*T1146+Summary!$B$11*V1146</f>
        <v/>
      </c>
      <c r="P1146">
        <f>IF(B1165=0,0,O1146/B1165)</f>
        <v/>
      </c>
      <c r="Q1146" t="n">
        <v>0</v>
      </c>
      <c r="R1146" t="n">
        <v>0</v>
      </c>
      <c r="S1146">
        <f>IFERROR(O1146/N1146,0)</f>
        <v/>
      </c>
      <c r="T1146" t="n">
        <v>0</v>
      </c>
      <c r="V1146" t="n">
        <v>0</v>
      </c>
    </row>
    <row r="1147">
      <c r="A1147">
        <f>Skills!A27</f>
        <v/>
      </c>
      <c r="B1147">
        <f>Skills!B27</f>
        <v/>
      </c>
      <c r="C1147">
        <f>Inputs!$B$3&gt;=38</f>
        <v/>
      </c>
      <c r="D1147">
        <f>IF(Skills!C27=1,60+Inputs!$B$25+Inputs!$B$29,IF(Skills!C27=2,90+Inputs!$B$26+Inputs!$B$29,IF(Skills!C27=3,120+Inputs!$B$27+Inputs!$B$29,MAX(0,(Inputs!$B$3-100)*3)+Inputs!$B$28+Inputs!$B$29)))</f>
        <v/>
      </c>
      <c r="E1147">
        <f>INDEX(FactorTable!$B$2:$Y$301, MATCH(ROUND(MIN(300,MAX(1,D1147)),0), FactorTable!$A$2:$A$301,0), Skills!M27+1)</f>
        <v/>
      </c>
      <c r="F1147">
        <f>IF(Skills!N27=TRUE,(Skills!L27/10)*(E1147/1000),Skills!L27/10)+Skills!O27</f>
        <v/>
      </c>
      <c r="G1147">
        <f>Skills!G27*IF(Skills!H27&gt;0,Skills!I27/Skills!H27,1)</f>
        <v/>
      </c>
      <c r="H1147">
        <f>1-(1-Skills!J27/100)^Skills!K27</f>
        <v/>
      </c>
      <c r="I1147" t="inlineStr">
        <is>
          <t>1</t>
        </is>
      </c>
      <c r="J1147" t="inlineStr"/>
      <c r="K1147" t="inlineStr"/>
      <c r="L1147" t="inlineStr"/>
      <c r="M1147" t="inlineStr"/>
      <c r="N1147" t="inlineStr"/>
      <c r="O1147">
        <f>(1-Summary!$B$11)*T1147+Summary!$B$11*V1147</f>
        <v/>
      </c>
      <c r="P1147">
        <f>IF(B1165=0,0,O1147/B1165)</f>
        <v/>
      </c>
      <c r="Q1147" t="n">
        <v>0</v>
      </c>
      <c r="R1147" t="n">
        <v>0</v>
      </c>
      <c r="S1147">
        <f>IFERROR(O1147/N1147,0)</f>
        <v/>
      </c>
      <c r="T1147" t="n">
        <v>0</v>
      </c>
      <c r="V1147" t="n">
        <v>0</v>
      </c>
    </row>
    <row r="1148">
      <c r="A1148">
        <f>Skills!A28</f>
        <v/>
      </c>
      <c r="B1148">
        <f>Skills!B28</f>
        <v/>
      </c>
      <c r="C1148">
        <f>Inputs!$B$3&gt;=120</f>
        <v/>
      </c>
      <c r="D1148">
        <f>IF(Skills!C28=1,60+Inputs!$B$25+Inputs!$B$29,IF(Skills!C28=2,90+Inputs!$B$26+Inputs!$B$29,IF(Skills!C28=3,120+Inputs!$B$27+Inputs!$B$29,MAX(0,(Inputs!$B$3-100)*3)+Inputs!$B$28+Inputs!$B$29)))</f>
        <v/>
      </c>
      <c r="E1148">
        <f>INDEX(FactorTable!$B$2:$Y$301, MATCH(ROUND(MIN(300,MAX(1,D1148)),0), FactorTable!$A$2:$A$301,0), Skills!M28+1)</f>
        <v/>
      </c>
      <c r="F1148">
        <f>IF(Skills!N28=TRUE,(Skills!L28/10)*(E1148/1000),Skills!L28/10)+Skills!O28</f>
        <v/>
      </c>
      <c r="G1148">
        <f>Skills!G28*IF(Skills!H28&gt;0,Skills!I28/Skills!H28,1)</f>
        <v/>
      </c>
      <c r="H1148">
        <f>1-(1-Skills!J28/100)^Skills!K28</f>
        <v/>
      </c>
      <c r="I1148" t="inlineStr">
        <is>
          <t>1</t>
        </is>
      </c>
      <c r="J1148" t="inlineStr"/>
      <c r="K1148" t="inlineStr"/>
      <c r="L1148" t="inlineStr"/>
      <c r="M1148" t="inlineStr"/>
      <c r="N1148" t="inlineStr"/>
      <c r="O1148">
        <f>(1-Summary!$B$11)*T1148+Summary!$B$11*V1148</f>
        <v/>
      </c>
      <c r="P1148">
        <f>IF(B1165=0,0,O1148/B1165)</f>
        <v/>
      </c>
      <c r="Q1148" t="n">
        <v>0</v>
      </c>
      <c r="R1148" t="n">
        <v>0</v>
      </c>
      <c r="S1148">
        <f>IFERROR(O1148/N1148,0)</f>
        <v/>
      </c>
      <c r="T1148" t="n">
        <v>0</v>
      </c>
      <c r="V1148" t="n">
        <v>0</v>
      </c>
    </row>
    <row r="1149">
      <c r="A1149">
        <f>Skills!A29</f>
        <v/>
      </c>
      <c r="B1149">
        <f>Skills!B29</f>
        <v/>
      </c>
      <c r="C1149">
        <f>Inputs!$B$3&gt;=120</f>
        <v/>
      </c>
      <c r="D1149">
        <f>IF(Skills!C29=1,60+Inputs!$B$25+Inputs!$B$29,IF(Skills!C29=2,90+Inputs!$B$26+Inputs!$B$29,IF(Skills!C29=3,120+Inputs!$B$27+Inputs!$B$29,MAX(0,(Inputs!$B$3-100)*3)+Inputs!$B$28+Inputs!$B$29)))</f>
        <v/>
      </c>
      <c r="E1149">
        <f>INDEX(FactorTable!$B$2:$Y$301, MATCH(ROUND(MIN(300,MAX(1,D1149)),0), FactorTable!$A$2:$A$301,0), Skills!M29+1)</f>
        <v/>
      </c>
      <c r="F1149">
        <f>IF(Skills!N29=TRUE,(Skills!L29/10)*(E1149/1000),Skills!L29/10)+Skills!O29</f>
        <v/>
      </c>
      <c r="G1149">
        <f>Skills!G29*IF(Skills!H29&gt;0,Skills!I29/Skills!H29,1)</f>
        <v/>
      </c>
      <c r="H1149">
        <f>1-(1-Skills!J29/100)^Skills!K29</f>
        <v/>
      </c>
      <c r="I1149" t="inlineStr">
        <is>
          <t>1</t>
        </is>
      </c>
      <c r="J1149" t="inlineStr"/>
      <c r="K1149" t="inlineStr"/>
      <c r="L1149" t="inlineStr"/>
      <c r="M1149" t="inlineStr"/>
      <c r="N1149" t="inlineStr"/>
      <c r="O1149">
        <f>(1-Summary!$B$11)*T1149+Summary!$B$11*V1149</f>
        <v/>
      </c>
      <c r="P1149">
        <f>IF(B1165=0,0,O1149/B1165)</f>
        <v/>
      </c>
      <c r="Q1149" t="n">
        <v>0</v>
      </c>
      <c r="R1149" t="n">
        <v>0</v>
      </c>
      <c r="S1149">
        <f>IFERROR(O1149/N1149,0)</f>
        <v/>
      </c>
      <c r="T1149" t="n">
        <v>0</v>
      </c>
      <c r="V1149" t="n">
        <v>0</v>
      </c>
    </row>
    <row r="1150">
      <c r="A1150">
        <f>Skills!A30</f>
        <v/>
      </c>
      <c r="B1150">
        <f>Skills!B30</f>
        <v/>
      </c>
      <c r="C1150">
        <f>Inputs!$B$3&gt;=125</f>
        <v/>
      </c>
      <c r="D1150">
        <f>IF(Skills!C30=1,60+Inputs!$B$25+Inputs!$B$29,IF(Skills!C30=2,90+Inputs!$B$26+Inputs!$B$29,IF(Skills!C30=3,120+Inputs!$B$27+Inputs!$B$29,MAX(0,(Inputs!$B$3-100)*3)+Inputs!$B$28+Inputs!$B$29)))</f>
        <v/>
      </c>
      <c r="E1150">
        <f>INDEX(FactorTable!$B$2:$Y$301, MATCH(ROUND(MIN(300,MAX(1,D1150)),0), FactorTable!$A$2:$A$301,0), Skills!M30+1)</f>
        <v/>
      </c>
      <c r="F1150">
        <f>IF(Skills!N30=TRUE,(Skills!L30/10)*(E1150/1000),Skills!L30/10)+Skills!O30</f>
        <v/>
      </c>
      <c r="G1150">
        <f>Skills!G30*IF(Skills!H30&gt;0,Skills!I30/Skills!H30,1)</f>
        <v/>
      </c>
      <c r="H1150">
        <f>1-(1-Skills!J30/100)^Skills!K30</f>
        <v/>
      </c>
      <c r="I1150" t="inlineStr">
        <is>
          <t>1</t>
        </is>
      </c>
      <c r="J1150" t="inlineStr"/>
      <c r="K1150" t="inlineStr"/>
      <c r="L1150" t="inlineStr"/>
      <c r="M1150" t="inlineStr"/>
      <c r="N1150" t="inlineStr"/>
      <c r="O1150">
        <f>(1-Summary!$B$11)*T1150+Summary!$B$11*V1150</f>
        <v/>
      </c>
      <c r="P1150">
        <f>IF(B1165=0,0,O1150/B1165)</f>
        <v/>
      </c>
      <c r="Q1150" t="n">
        <v>0</v>
      </c>
      <c r="R1150" t="n">
        <v>0</v>
      </c>
      <c r="S1150">
        <f>IFERROR(O1150/N1150,0)</f>
        <v/>
      </c>
      <c r="T1150" t="n">
        <v>0</v>
      </c>
      <c r="V1150" t="n">
        <v>0</v>
      </c>
    </row>
    <row r="1152">
      <c r="A1152" t="inlineStr">
        <is>
          <t>Average Buff Multiplier</t>
        </is>
      </c>
      <c r="B1152">
        <f>(1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f>
        <v/>
      </c>
    </row>
    <row r="1153">
      <c r="A1153" t="inlineStr">
        <is>
          <t>Global Crit Rate Bonus %</t>
        </is>
      </c>
      <c r="B1153">
        <f>((C1140=TRUE)*F1140*IF(AND(Inputs!$B$39&lt;&gt;"pvp",Inputs!$B$44&gt;0),(((R1140-1)*(Skills!Y20*(1+Inputs!$B$34/100))+MIN((Skills!Y20*(1+Inputs!$B$34/100)),MAX(0,Inputs!$B$44-((R1140-1)*Skills!D20))))/Inputs!$B$44),IF(Inputs!$B$39="pvp",MIN((Skills!Y20*(1+Inputs!$B$34/100)),15)/15,(Skills!Y20*(1+Inputs!$B$34/100))/Skills!D20)))</f>
        <v/>
      </c>
    </row>
    <row r="1154">
      <c r="A1154" t="inlineStr">
        <is>
          <t>Global Monster Damage-Taken Bonus %</t>
        </is>
      </c>
      <c r="B1154">
        <f>IF(Inputs!$B$3&gt;=82,15,0)</f>
        <v/>
      </c>
    </row>
    <row r="1155">
      <c r="A1155" t="inlineStr">
        <is>
          <t>Shadow Partner Average Multiplier</t>
        </is>
      </c>
      <c r="B1155">
        <f>1+((C1127=TRUE)*F1127*(1+3.3333333333333335*IF(C1138=TRUE,F1138,0)/100)*I1127*Skills!J7/100)/100</f>
        <v/>
      </c>
    </row>
    <row r="1156">
      <c r="A1156" t="inlineStr">
        <is>
          <t>Attack Speed Buff Bonus %</t>
        </is>
      </c>
      <c r="B1156">
        <f>((C1139=TRUE)*F1139*IF(AND(Inputs!$B$39&lt;&gt;"pvp",Inputs!$B$44&gt;0),(((R1139-1)*(Skills!Y19*(1+Inputs!$B$34/100))+MIN((Skills!Y19*(1+Inputs!$B$34/100)),MAX(0,Inputs!$B$44-((R1139-1)*Skills!D19))))/Inputs!$B$44),IF(Inputs!$B$39="pvp",MIN((Skills!Y19*(1+Inputs!$B$34/100)),15)/15,(Skills!Y19*(1+Inputs!$B$34/100))/Skills!D19)))+((C1123=TRUE)*F1123*3)</f>
        <v/>
      </c>
    </row>
    <row r="1157">
      <c r="A1157" t="inlineStr">
        <is>
          <t>Actions Per Second</t>
        </is>
      </c>
      <c r="B1157">
        <f>1+MIN(150,150*(1-(1-(Inputs!$B$11+((C1142=TRUE)*(F1142-Calc!F22)))/150)*(1-B1156/150)))/100</f>
        <v/>
      </c>
    </row>
    <row r="1158">
      <c r="A1158" t="inlineStr">
        <is>
          <t>Skill + Buff Cast Rate</t>
        </is>
      </c>
      <c r="B1158">
        <f>IF(AND(Inputs!$B$39&lt;&gt;"pvp",Inputs!$B$44&gt;0),SUMPRODUCT((Skills!E2:E30=TRUE)*(C1122:C1150=TRUE)*R1122:R1150*Skills!F2:F30)/Inputs!$B$44,SUMPRODUCT((Skills!E2:E30=TRUE)*(C1122:C1150=TRUE)*Q1122:Q1150*Skills!F2:F30))</f>
        <v/>
      </c>
    </row>
    <row r="1159">
      <c r="A1159" t="inlineStr">
        <is>
          <t>Cruel Stab Casts Per Second</t>
        </is>
      </c>
      <c r="B1159">
        <f>MAX(0,B1157-B1158)</f>
        <v/>
      </c>
    </row>
    <row r="1160">
      <c r="A1160" t="inlineStr">
        <is>
          <t>Global Critical Damage Bonus % (Smokescreen Mastery Lv.113)</t>
        </is>
      </c>
      <c r="B1160">
        <f>IF(Inputs!$B$3&gt;=113,30,0)*IF(AND(Inputs!$B$39&lt;&gt;"pvp",Inputs!$B$44&gt;0),(((R1135-1)*(Skills!Y15*(1+Inputs!$B$34/100))+MIN((Skills!Y15*(1+Inputs!$B$34/100)),MAX(0,Inputs!$B$44-((R1135-1)*Skills!D15))))/Inputs!$B$44),IF(Inputs!$B$39="pvp",MIN((Skills!Y15*(1+Inputs!$B$34/100)),15)/15,(Skills!Y15*(1+Inputs!$B$34/100))/Skills!D15))</f>
        <v/>
      </c>
    </row>
    <row r="1161">
      <c r="A1161" t="inlineStr">
        <is>
          <t>Meso Explosion average stack count</t>
        </is>
      </c>
      <c r="B1161">
        <f>MIN(10,0.5*B1157*Skills!D4)</f>
        <v/>
      </c>
    </row>
    <row r="1162">
      <c r="A1162" t="inlineStr">
        <is>
          <t>Blood Money average stack count</t>
        </is>
      </c>
      <c r="B1162">
        <f>MIN(5,0.25*B1157*Skills!D4)</f>
        <v/>
      </c>
    </row>
    <row r="1163">
      <c r="A1163" t="inlineStr">
        <is>
          <t>Assassinate Murderous Intent Multiplier</t>
        </is>
      </c>
      <c r="B1163">
        <f>1+IFERROR(MIN(1,Q1134*2/Q1131),0)</f>
        <v/>
      </c>
    </row>
    <row r="1164">
      <c r="A1164" t="inlineStr">
        <is>
          <t>Buff-Casting Startup Delay (s, fixed-duration only)</t>
        </is>
      </c>
      <c r="B1164">
        <f>IF(AND(Inputs!$B$39&lt;&gt;"pvp",Inputs!$B$44&gt;0),SUMPRODUCT((Skills!Y2:Y30&gt;0)*(Skills!E2:E30=TRUE)*(C1122:C1150=TRUE))/B1157,0)</f>
        <v/>
      </c>
    </row>
    <row r="1165">
      <c r="A1165" s="6" t="inlineStr">
        <is>
          <t>TOTAL DPS</t>
        </is>
      </c>
      <c r="B1165" s="6">
        <f>SUM(O1122:O1150)</f>
        <v/>
      </c>
    </row>
    <row r="1166">
      <c r="A1166" t="inlineStr">
        <is>
          <t>Boss-Only Total DPS (this block's swept value)</t>
        </is>
      </c>
      <c r="B1166">
        <f>SUM(T1122:T1150)</f>
        <v/>
      </c>
    </row>
    <row r="1167">
      <c r="A1167" t="inlineStr">
        <is>
          <t>Normal-Only Total DPS (this block's swept value)</t>
        </is>
      </c>
      <c r="B1167">
        <f>SUM(V1122:V1150)</f>
        <v/>
      </c>
    </row>
    <row r="1170">
      <c r="A1170" s="6" t="inlineStr">
        <is>
          <t>Stat: ATTACK %</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Q1171" s="5" t="inlineStr">
        <is>
          <t>InvCooldown</t>
        </is>
      </c>
      <c r="R1171" s="5" t="inlineStr">
        <is>
          <t>CastsInFight</t>
        </is>
      </c>
      <c r="S1171" s="5" t="inlineStr">
        <is>
          <t>HitRate(perSec)</t>
        </is>
      </c>
      <c r="U1171" t="inlineStr">
        <is>
          <t>helpers</t>
        </is>
      </c>
    </row>
    <row r="1172">
      <c r="A1172">
        <f>Skills!A2</f>
        <v/>
      </c>
      <c r="B1172">
        <f>Skills!B2</f>
        <v/>
      </c>
      <c r="C1172">
        <f>Inputs!$B$3&gt;=100</f>
        <v/>
      </c>
      <c r="D1172" t="inlineStr"/>
      <c r="E1172" t="inlineStr"/>
      <c r="F1172">
        <f>U1174+Skills!O2</f>
        <v/>
      </c>
      <c r="G1172">
        <f>Skills!G2*IF(Skills!H2&gt;0,Skills!I2/Skills!H2,1)</f>
        <v/>
      </c>
      <c r="H1172">
        <f>1-(1-Skills!J2/100)^Skills!K2</f>
        <v/>
      </c>
      <c r="I1172" t="inlineStr">
        <is>
          <t>1</t>
        </is>
      </c>
      <c r="J1172">
        <f>((Inputs!$B$6*(1+(Inputs!$B$7+1)/100))+(((Inputs!$B$12*(1+Inputs!$B$13/100))-(Inputs!$B$12*(1+Inputs!$B$13/100)))+0.25*(Inputs!$B$14-Inputs!$B$14))*(1+(Inputs!$B$7+1)/100))*(F1172/100)</f>
        <v/>
      </c>
      <c r="K1172">
        <f>J1172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1172)</f>
        <v/>
      </c>
      <c r="L1172">
        <f>K1172*(MIN(Inputs!$B$22+((C1194=TRUE)*(F1194-Calc!F24)),(Inputs!$B$23+((C1199=TRUE)*(F1199-Calc!F29))+IF(ArtifactsInput!$M$15,CHOOSE(ArtifactsInput!$N$15+1,25,30,35,40,45,50)/100*(Inputs!$B$11-Inputs!$B$11),0)))/100+(Inputs!$B$23+((C1199=TRUE)*(F1199-Calc!F29))+IF(ArtifactsInput!$M$15,CHOOSE(ArtifactsInput!$N$15+1,25,30,35,40,45,50)/100*(Inputs!$B$11-Inputs!$B$11),0))/100)/2</f>
        <v/>
      </c>
      <c r="M1172">
        <f>L1172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2">
        <f>L1172*(1-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IF(B1215=0,0,O1172/B1215)</f>
        <v/>
      </c>
      <c r="Q1172" t="n">
        <v>0</v>
      </c>
      <c r="R1172" t="n">
        <v>0</v>
      </c>
      <c r="S1172">
        <f>IFERROR(O1172/N1172,0)</f>
        <v/>
      </c>
      <c r="T1172">
        <f>IF(C1172,(Skills!G2*N1172*B1209)*IF(Inputs!$B$39="pvp",1,1+(Inputs!$B$20+0+Skills!P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1172*(1-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2">
        <f>MAX(0,(Inputs!$B$3-100)*3)+Inputs!$B$28+Inputs!$B$29</f>
        <v/>
      </c>
      <c r="V1172">
        <f>IF(C1172,(Skills!G2*N1172*B1209)*IF(Inputs!$B$39="pvp",1,(1+(Inputs!$B$21+Skills!Q2+B1204+(IF(ArtifactsInput!$M$33,CHOOSE(ArtifactsInput!$N$33+1,30,36,42,48,54,60),0))+(IF(AND(ArtifactsInput!$M$35,Inputs!$B$4&lt;&gt;"Chapter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Skills!A3</f>
        <v/>
      </c>
      <c r="B1173">
        <f>Skills!B3</f>
        <v/>
      </c>
      <c r="C1173">
        <f>Inputs!$B$3&gt;=35</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Skills!G3*IF(Skills!H3&gt;0,Skills!I3/Skills!H3,1)</f>
        <v/>
      </c>
      <c r="H1173">
        <f>1-(1-Skills!J3/100)^Skills!K3</f>
        <v/>
      </c>
      <c r="I1173" t="inlineStr">
        <is>
          <t>1</t>
        </is>
      </c>
      <c r="J1173" t="inlineStr"/>
      <c r="K1173" t="inlineStr"/>
      <c r="L1173" t="inlineStr"/>
      <c r="M1173" t="inlineStr"/>
      <c r="N1173" t="inlineStr"/>
      <c r="O1173">
        <f>(1-Summary!$B$11)*T1173+Summary!$B$11*V1173</f>
        <v/>
      </c>
      <c r="P1173">
        <f>IF(B1215=0,0,O1173/B1215)</f>
        <v/>
      </c>
      <c r="Q1173" t="n">
        <v>0</v>
      </c>
      <c r="R1173" t="n">
        <v>0</v>
      </c>
      <c r="S1173">
        <f>IFERROR(O1173/N1173,0)</f>
        <v/>
      </c>
      <c r="T1173" t="n">
        <v>0</v>
      </c>
      <c r="U1173">
        <f>INDEX(FactorTable!$B$2:$Y$301, MATCH(ROUND(MIN(300,MAX(1,U1172)),0), FactorTable!$A$2:$A$301,0), 22)</f>
        <v/>
      </c>
      <c r="V1173" t="n">
        <v>0</v>
      </c>
    </row>
    <row r="1174">
      <c r="A1174">
        <f>Skills!A4</f>
        <v/>
      </c>
      <c r="B1174">
        <f>Skills!B4</f>
        <v/>
      </c>
      <c r="C1174">
        <f>Inputs!$B$3&gt;=66</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Skills!G4*IF(Skills!H4&gt;0,Skills!I4/Skills!H4,1)</f>
        <v/>
      </c>
      <c r="H1174">
        <f>1-(1-Skills!J4/100)^Skills!K4</f>
        <v/>
      </c>
      <c r="I1174" t="inlineStr">
        <is>
          <t>1</t>
        </is>
      </c>
      <c r="J1174">
        <f>((Inputs!$B$6*(1+(Inputs!$B$7+1)/100))+(((Inputs!$B$12*(1+Inputs!$B$13/100))-(Inputs!$B$12*(1+Inputs!$B$13/100)))+0.25*(Inputs!$B$14-Inputs!$B$14))*(1+(Inputs!$B$7+1)/100))*(F1174/100)</f>
        <v/>
      </c>
      <c r="K1174">
        <f>J1174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1174)</f>
        <v/>
      </c>
      <c r="L1174">
        <f>K1174*(MIN(Inputs!$B$22+((C1194=TRUE)*(F1194-Calc!F24)),(Inputs!$B$23+((C1199=TRUE)*(F1199-Calc!F29))+IF(ArtifactsInput!$M$15,CHOOSE(ArtifactsInput!$N$15+1,25,30,35,40,45,50)/100*(Inputs!$B$11-Inputs!$B$11),0)))/100+(Inputs!$B$23+((C1199=TRUE)*(F1199-Calc!F29))+IF(ArtifactsInput!$M$15,CHOOSE(ArtifactsInput!$N$15+1,25,30,35,40,45,50)/100*(Inputs!$B$11-Inputs!$B$11),0))/100)/2</f>
        <v/>
      </c>
      <c r="M1174">
        <f>L1174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4">
        <f>L1174*(1-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IF(B1215=0,0,O1174/B1215)</f>
        <v/>
      </c>
      <c r="Q1174">
        <f>IFERROR(1/IF(Inputs!$B$39="pvp",15,MAX(0.1,Skills!D4-IF(Skills!E4=TRUE,Inputs!$B$32,0))),0)</f>
        <v/>
      </c>
      <c r="R1174">
        <f>IF(AND(Inputs!$B$39&lt;&gt;"pvp",Inputs!$B$44&gt;0),IF(MAX(0,Inputs!$B$44-B1214)&lt;=0,0,(INT(MAX(0,Inputs!$B$44-B1214)/IF(Inputs!$B$39="pvp",15,MAX(0.1,Skills!D4-IF(Skills!E4=TRUE,Inputs!$B$32,0))))+1)),0)</f>
        <v/>
      </c>
      <c r="S1174">
        <f>IFERROR(O1174/N1174,0)</f>
        <v/>
      </c>
      <c r="T1174">
        <f>IF(C1174,(H1174*N1174*IF(AND(Inputs!$B$39&lt;&gt;"pvp",Inputs!$B$44&gt;0),((Skills!G4*((R1174-1)*IF(Skills!H4&gt;0,Skills!I4/Skills!H4,1)+IF(Skills!H4&gt;0,MIN(Skills!I4,MAX(0,MAX(0,Inputs!$B$44-B1214)-((R1174-1)*IF(Inputs!$B$39="pvp",15,MAX(0.1,Skills!D4-IF(Skills!E4=TRUE,Inputs!$B$32,0))))))/Skills!H4,1)))/Inputs!$B$44),G1174*Q1174))*IF(Inputs!$B$39="pvp",1,1+(Inputs!$B$20+0+Skills!P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1174*(1-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4">
        <f>290*U1173/1000</f>
        <v/>
      </c>
      <c r="V1174">
        <f>IF(C1174,(H1174*N1174*IF(AND(Inputs!$B$39&lt;&gt;"pvp",Inputs!$B$44&gt;0),((Skills!G4*((R1174-1)*IF(Skills!H4&gt;0,Skills!I4/Skills!H4,1)+IF(Skills!H4&gt;0,MIN(Skills!I4,MAX(0,MAX(0,Inputs!$B$44-B1214)-((R1174-1)*IF(Inputs!$B$39="pvp",15,MAX(0.1,Skills!D4-IF(Skills!E4=TRUE,Inputs!$B$32,0))))))/Skills!H4,1)))/Inputs!$B$44),G1174*Q1174))*IF(Inputs!$B$39="pvp",1,(1+(Inputs!$B$21+Skills!Q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(10,0.5*B1207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Skills!A5</f>
        <v/>
      </c>
      <c r="B1175">
        <f>Skills!B5</f>
        <v/>
      </c>
      <c r="C1175">
        <f>Inputs!$B$3&gt;=63</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Skills!G5*IF(Skills!H5&gt;0,Skills!I5/Skills!H5,1)</f>
        <v/>
      </c>
      <c r="H1175">
        <f>1-(1-Skills!J5/100)^Skills!K5</f>
        <v/>
      </c>
      <c r="I1175" t="inlineStr">
        <is>
          <t>1</t>
        </is>
      </c>
      <c r="J1175">
        <f>((Inputs!$B$6*(1+(Inputs!$B$7+1)/100))+(((Inputs!$B$12*(1+Inputs!$B$13/100))-(Inputs!$B$12*(1+Inputs!$B$13/100)))+0.25*(Inputs!$B$14-Inputs!$B$14))*(1+(Inputs!$B$7+1)/100))*(F1175/100)</f>
        <v/>
      </c>
      <c r="K1175">
        <f>J1175*(1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1188=TRUE,F1188,0)/100)*(1+(IF(Skills!A5="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1175)</f>
        <v/>
      </c>
      <c r="L1175">
        <f>K1175*(MIN(Inputs!$B$22+((C1194=TRUE)*(F1194-Calc!F24)),(Inputs!$B$23+((C1199=TRUE)*(F1199-Calc!F29))+IF(ArtifactsInput!$M$15,CHOOSE(ArtifactsInput!$N$15+1,25,30,35,40,45,50)/100*(Inputs!$B$11-Inputs!$B$11),0)))/100+(Inputs!$B$23+((C1199=TRUE)*(F1199-Calc!F29))+IF(ArtifactsInput!$M$15,CHOOSE(ArtifactsInput!$N$15+1,25,30,35,40,45,50)/100*(Inputs!$B$11-Inputs!$B$11),0))/100)/2</f>
        <v/>
      </c>
      <c r="M1175">
        <f>L1175*(1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5">
        <f>L1175*(1-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IF(B1215=0,0,O1175/B1215)</f>
        <v/>
      </c>
      <c r="Q1175">
        <f>IFERROR(1/IF(Inputs!$B$39="pvp",15,MAX(0.1,Skills!D5-IF(Skills!E5=TRUE,Inputs!$B$32,0))),0)</f>
        <v/>
      </c>
      <c r="R1175">
        <f>IF(AND(Inputs!$B$39&lt;&gt;"pvp",Inputs!$B$44&gt;0),IF(MAX(0,Inputs!$B$44-B1214)&lt;=0,0,(INT(MAX(0,Inputs!$B$44-B1214)/IF(Inputs!$B$39="pvp",15,MAX(0.1,Skills!D5-IF(Skills!E5=TRUE,Inputs!$B$32,0))))+1)),0)</f>
        <v/>
      </c>
      <c r="S1175">
        <f>IFERROR(O1175/N1175,0)</f>
        <v/>
      </c>
      <c r="T1175">
        <f>IF(C1175,(H1175*N1175*IF(AND(Inputs!$B$39&lt;&gt;"pvp",Inputs!$B$44&gt;0),((Skills!G5*((R1175-1)*IF(Skills!H5&gt;0,Skills!I5/Skills!H5,1)+IF(Skills!H5&gt;0,MIN(Skills!I5,MAX(0,MAX(0,Inputs!$B$44-B1214)-((R1175-1)*IF(Inputs!$B$39="pvp",15,MAX(0.1,Skills!D5-IF(Skills!E5=TRUE,Inputs!$B$32,0))))))/Skills!H5,1)))/Inputs!$B$44),G1175*Q1175))*IF(Inputs!$B$39="pvp",1,1+(Inputs!$B$20+0+Skills!P5+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1175*(1-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5*((R1175-1)*IF(Skills!H5&gt;0,Skills!I5/Skills!H5,1)+IF(Skills!H5&gt;0,MIN(Skills!I5,MAX(0,MAX(0,Inputs!$B$44-B1214)-((R1175-1)*IF(Inputs!$B$39="pvp",15,MAX(0.1,Skills!D5-IF(Skills!E5=TRUE,Inputs!$B$32,0))))))/Skills!H5,1)))/Inputs!$B$44),G1175*Q1175))*IF(Inputs!$B$39="pvp",1,(1+(Inputs!$B$21+Skills!Q5+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Skills!A6</f>
        <v/>
      </c>
      <c r="B1176">
        <f>Skills!B6</f>
        <v/>
      </c>
      <c r="C1176">
        <f>Inputs!$B$3&gt;=69</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Skills!G6*IF(Skills!H6&gt;0,Skills!I6/Skills!H6,1)</f>
        <v/>
      </c>
      <c r="H1176">
        <f>1-(1-Skills!J6/100)^Skills!K6</f>
        <v/>
      </c>
      <c r="I1176" t="inlineStr">
        <is>
          <t>1</t>
        </is>
      </c>
      <c r="J1176">
        <f>((Inputs!$B$6*(1+(Inputs!$B$7+1)/100))+(((Inputs!$B$12*(1+Inputs!$B$13/100))-(Inputs!$B$12*(1+Inputs!$B$13/100)))+0.25*(Inputs!$B$14-Inputs!$B$14))*(1+(Inputs!$B$7+1)/100))*(F1176/100)</f>
        <v/>
      </c>
      <c r="K1176">
        <f>J1176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1188=TRUE,F1188,0)/100)*(1+(IF(Skills!A6="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1176)</f>
        <v/>
      </c>
      <c r="L1176">
        <f>K1176*(MIN(Inputs!$B$22+((C1194=TRUE)*(F1194-Calc!F24)),(Inputs!$B$23+((C1199=TRUE)*(F1199-Calc!F29))+IF(ArtifactsInput!$M$15,CHOOSE(ArtifactsInput!$N$15+1,25,30,35,40,45,50)/100*(Inputs!$B$11-Inputs!$B$11),0)))/100+(Inputs!$B$23+((C1199=TRUE)*(F1199-Calc!F29))+IF(ArtifactsInput!$M$15,CHOOSE(ArtifactsInput!$N$15+1,25,30,35,40,45,50)/100*(Inputs!$B$11-Inputs!$B$11),0))/100)/2</f>
        <v/>
      </c>
      <c r="M1176">
        <f>L1176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6">
        <f>L1176*(1-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1176*(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6">
        <f>(1-Summary!$B$11)*T1176+Summary!$B$11*V1176</f>
        <v/>
      </c>
      <c r="P1176">
        <f>IF(B1215=0,0,O1176/B1215)</f>
        <v/>
      </c>
      <c r="Q1176">
        <f>IFERROR(1/IF(Inputs!$B$39="pvp",15,MAX(0.1,Skills!D6-IF(Skills!E6=TRUE,Inputs!$B$32,0))),0)</f>
        <v/>
      </c>
      <c r="R1176">
        <f>IF(AND(Inputs!$B$39&lt;&gt;"pvp",Inputs!$B$44&gt;0),IF(MAX(0,Inputs!$B$44-B1214)&lt;=0,0,(INT(MAX(0,Inputs!$B$44-B1214)/IF(Inputs!$B$39="pvp",15,MAX(0.1,Skills!D6-IF(Skills!E6=TRUE,Inputs!$B$32,0))))+1)),0)</f>
        <v/>
      </c>
      <c r="S1176">
        <f>IFERROR(O1176/N1176,0)</f>
        <v/>
      </c>
      <c r="T1176">
        <f>IF(C1176,(H1176*N1176*IF(AND(Inputs!$B$39&lt;&gt;"pvp",Inputs!$B$44&gt;0),((Skills!G6*((R1176-1)*IF(Skills!H6&gt;0,Skills!I6/Skills!H6,1)+IF(Skills!H6&gt;0,MIN(Skills!I6,MAX(0,MAX(0,Inputs!$B$44-B1214)-((R1176-1)*IF(Inputs!$B$39="pvp",15,MAX(0.1,Skills!D6-IF(Skills!E6=TRUE,Inputs!$B$32,0))))))/Skills!H6,1)))/Inputs!$B$44),G1176*Q1176))*IF(Inputs!$B$39="pvp",1,1+(Inputs!$B$20+0+Skills!P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1176*(1-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1176*(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1176*(1-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1176*(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6">
        <f>IF(C1176,(H1176*N1176*IF(AND(Inputs!$B$39&lt;&gt;"pvp",Inputs!$B$44&gt;0),((Skills!G6*((R1176-1)*IF(Skills!H6&gt;0,Skills!I6/Skills!H6,1)+IF(Skills!H6&gt;0,MIN(Skills!I6,MAX(0,MAX(0,Inputs!$B$44-B1214)-((R1176-1)*IF(Inputs!$B$39="pvp",15,MAX(0.1,Skills!D6-IF(Skills!E6=TRUE,Inputs!$B$32,0))))))/Skills!H6,1)))/Inputs!$B$44),G1176*Q1176))*IF(Inputs!$B$39="pvp",1,(1+(Inputs!$B$21+Skills!Q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7">
      <c r="A1177">
        <f>Skills!A7</f>
        <v/>
      </c>
      <c r="B1177">
        <f>Skills!B7</f>
        <v/>
      </c>
      <c r="C1177">
        <f>Inputs!$B$3&gt;=60</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Skills!G7*IF(Skills!H7&gt;0,Skills!I7/Skills!H7,1)</f>
        <v/>
      </c>
      <c r="H1177">
        <f>1-(1-Skills!J7/100)^Skills!K7</f>
        <v/>
      </c>
      <c r="I1177" t="inlineStr">
        <is>
          <t>1</t>
        </is>
      </c>
      <c r="J1177" t="inlineStr"/>
      <c r="K1177" t="inlineStr"/>
      <c r="L1177" t="inlineStr"/>
      <c r="M1177" t="inlineStr"/>
      <c r="N1177" t="inlineStr"/>
      <c r="O1177">
        <f>(1-Summary!$B$11)*T1177+Summary!$B$11*V1177</f>
        <v/>
      </c>
      <c r="P1177">
        <f>IF(B1215=0,0,O1177/B1215)</f>
        <v/>
      </c>
      <c r="Q1177" t="n">
        <v>0</v>
      </c>
      <c r="R1177" t="n">
        <v>0</v>
      </c>
      <c r="S1177">
        <f>IFERROR(O1177/N1177,0)</f>
        <v/>
      </c>
      <c r="T1177" t="n">
        <v>0</v>
      </c>
      <c r="V1177" t="n">
        <v>0</v>
      </c>
    </row>
    <row r="1178">
      <c r="A1178">
        <f>Skills!A8</f>
        <v/>
      </c>
      <c r="B1178">
        <f>Skills!B8</f>
        <v/>
      </c>
      <c r="C1178">
        <f>Inputs!$B$3&gt;=72</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Skills!G8*IF(Skills!H8&gt;0,Skills!I8/Skills!H8,1)</f>
        <v/>
      </c>
      <c r="H1178">
        <f>1-(1-Skills!J8/100)^Skills!K8</f>
        <v/>
      </c>
      <c r="I1178" t="inlineStr">
        <is>
          <t>1</t>
        </is>
      </c>
      <c r="J1178">
        <f>((Inputs!$B$6*(1+(Inputs!$B$7+1)/100))+(((Inputs!$B$12*(1+Inputs!$B$13/100))-(Inputs!$B$12*(1+Inputs!$B$13/100)))+0.25*(Inputs!$B$14-Inputs!$B$14))*(1+(Inputs!$B$7+1)/100))*(F1178/100)</f>
        <v/>
      </c>
      <c r="K1178">
        <f>J1178*(1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1188=TRUE,F1188,0)/100)*(1+(IF(Skills!A8="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1178)</f>
        <v/>
      </c>
      <c r="L1178">
        <f>K1178*(MIN(Inputs!$B$22+((C1194=TRUE)*(F1194-Calc!F24)),(Inputs!$B$23+((C1199=TRUE)*(F1199-Calc!F29))+IF(ArtifactsInput!$M$15,CHOOSE(ArtifactsInput!$N$15+1,25,30,35,40,45,50)/100*(Inputs!$B$11-Inputs!$B$11),0)))/100+(Inputs!$B$23+((C1199=TRUE)*(F1199-Calc!F29))+IF(ArtifactsInput!$M$15,CHOOSE(ArtifactsInput!$N$15+1,25,30,35,40,45,50)/100*(Inputs!$B$11-Inputs!$B$11),0))/100)/2</f>
        <v/>
      </c>
      <c r="M1178">
        <f>L1178*(1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8">
        <f>L1178*(1-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1178*(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8">
        <f>(1-Summary!$B$11)*T1178+Summary!$B$11*V1178</f>
        <v/>
      </c>
      <c r="P1178">
        <f>IF(B1215=0,0,O1178/B1215)</f>
        <v/>
      </c>
      <c r="Q1178">
        <f>IFERROR(1/IF(Inputs!$B$39="pvp",15,MAX(0.1,Skills!D8-IF(Skills!E8=TRUE,Inputs!$B$32,0))),0)</f>
        <v/>
      </c>
      <c r="R1178">
        <f>IF(AND(Inputs!$B$39&lt;&gt;"pvp",Inputs!$B$44&gt;0),IF(MAX(0,Inputs!$B$44-B1214)&lt;=0,0,(INT(MAX(0,Inputs!$B$44-B1214)/IF(Inputs!$B$39="pvp",15,MAX(0.1,Skills!D8-IF(Skills!E8=TRUE,Inputs!$B$32,0))))+1)),0)</f>
        <v/>
      </c>
      <c r="S1178">
        <f>IFERROR(O1178/N1178,0)</f>
        <v/>
      </c>
      <c r="T1178">
        <f>IF(C1178,(H1178*N1178*IF(AND(Inputs!$B$39&lt;&gt;"pvp",Inputs!$B$44&gt;0),((Skills!G8*((R1178-1)*IF(Skills!H8&gt;0,Skills!I8/Skills!H8,1)+IF(Skills!H8&gt;0,MIN(Skills!I8,MAX(0,MAX(0,Inputs!$B$44-B1214)-((R1178-1)*IF(Inputs!$B$39="pvp",15,MAX(0.1,Skills!D8-IF(Skills!E8=TRUE,Inputs!$B$32,0))))))/Skills!H8,1)))/Inputs!$B$44),G1178*Q1178))*IF(Inputs!$B$39="pvp",1,1+(Inputs!$B$20+0+Skills!P8+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1178*(1-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1178*(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1178*(1-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1178*(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8">
        <f>IF(C1178,(H1178*N1178*IF(AND(Inputs!$B$39&lt;&gt;"pvp",Inputs!$B$44&gt;0),((Skills!G8*((R1178-1)*IF(Skills!H8&gt;0,Skills!I8/Skills!H8,1)+IF(Skills!H8&gt;0,MIN(Skills!I8,MAX(0,MAX(0,Inputs!$B$44-B1214)-((R1178-1)*IF(Inputs!$B$39="pvp",15,MAX(0.1,Skills!D8-IF(Skills!E8=TRUE,Inputs!$B$32,0))))))/Skills!H8,1)))/Inputs!$B$44),G1178*Q1178))*IF(Inputs!$B$39="pvp",1,(1+(Inputs!$B$21+Skills!Q8+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9">
      <c r="A1179">
        <f>Skills!A9</f>
        <v/>
      </c>
      <c r="B1179">
        <f>Skills!B9</f>
        <v/>
      </c>
      <c r="C1179">
        <f>Inputs!$B$3&gt;=117</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Skills!G9*IF(Skills!H9&gt;0,Skills!I9/Skills!H9,1)</f>
        <v/>
      </c>
      <c r="H1179">
        <f>1-(1-Skills!J9/100)^Skills!K9</f>
        <v/>
      </c>
      <c r="I1179" t="inlineStr">
        <is>
          <t>1</t>
        </is>
      </c>
      <c r="J1179">
        <f>((Inputs!$B$6*(1+(Inputs!$B$7+1)/100))+(((Inputs!$B$12*(1+Inputs!$B$13/100))-(Inputs!$B$12*(1+Inputs!$B$13/100)))+0.25*(Inputs!$B$14-Inputs!$B$14))*(1+(Inputs!$B$7+1)/100))*(F1179/100)</f>
        <v/>
      </c>
      <c r="K1179">
        <f>J1179*(1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1179)</f>
        <v/>
      </c>
      <c r="L1179">
        <f>K1179*(MIN(Inputs!$B$22+((C1194=TRUE)*(F1194-Calc!F24)),(Inputs!$B$23+((C1199=TRUE)*(F1199-Calc!F29))+IF(ArtifactsInput!$M$15,CHOOSE(ArtifactsInput!$N$15+1,25,30,35,40,45,50)/100*(Inputs!$B$11-Inputs!$B$11),0)))/100+(Inputs!$B$23+((C1199=TRUE)*(F1199-Calc!F29))+IF(ArtifactsInput!$M$15,CHOOSE(ArtifactsInput!$N$15+1,25,30,35,40,45,50)/100*(Inputs!$B$11-Inputs!$B$11),0))/100)/2</f>
        <v/>
      </c>
      <c r="M1179">
        <f>L1179*(1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9">
        <f>L1179*(1-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1179*(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9">
        <f>(1-Summary!$B$11)*T1179+Summary!$B$11*V1179</f>
        <v/>
      </c>
      <c r="P1179">
        <f>IF(B1215=0,0,O1179/B1215)</f>
        <v/>
      </c>
      <c r="Q1179" t="n">
        <v>0</v>
      </c>
      <c r="R1179" t="n">
        <v>0</v>
      </c>
      <c r="S1179" t="n">
        <v>0</v>
      </c>
      <c r="T1179">
        <f>IF(C1179,(0.2*SUMPRODUCT((Skills!Z2:Z30=TRUE)*(C1172:C1200=TRUE)*S1172:S1200)*N1179)*IF(Inputs!$B$39="pvp",1,1+(Inputs!$B$20+0+Skills!P9+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1179*(1-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1179*(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1179*(1-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1179*(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9">
        <f>IF(C1179,(0.2*SUMPRODUCT((Skills!Z2:Z30=TRUE)*(C1172:C1200=TRUE)*S1172:S1200)*N1179)*IF(Inputs!$B$39="pvp",1,(1+(Inputs!$B$21+Skills!Q9+B1204+(IF(ArtifactsInput!$M$33,CHOOSE(ArtifactsInput!$N$33+1,30,36,42,48,54,60),0))+(IF(AND(ArtifactsInput!$M$35,Inputs!$B$4&lt;&gt;"Chapter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0">
      <c r="A1180">
        <f>Skills!A10</f>
        <v/>
      </c>
      <c r="B1180">
        <f>Skills!B10</f>
        <v/>
      </c>
      <c r="C1180">
        <f>Inputs!$B$3&gt;=74</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Skills!G10*IF(Skills!H10&gt;0,Skills!I10/Skills!H10,1)</f>
        <v/>
      </c>
      <c r="H1180">
        <f>1-(1-Skills!J10/100)^Skills!K10</f>
        <v/>
      </c>
      <c r="I1180" t="inlineStr">
        <is>
          <t>1</t>
        </is>
      </c>
      <c r="J1180" t="inlineStr"/>
      <c r="K1180" t="inlineStr"/>
      <c r="L1180" t="inlineStr"/>
      <c r="M1180" t="inlineStr"/>
      <c r="N1180" t="inlineStr"/>
      <c r="O1180">
        <f>(1-Summary!$B$11)*T1180+Summary!$B$11*V1180</f>
        <v/>
      </c>
      <c r="P1180">
        <f>IF(B1215=0,0,O1180/B1215)</f>
        <v/>
      </c>
      <c r="Q1180">
        <f>IFERROR(1/IF(Inputs!$B$39="pvp",15,MAX(0.1,Skills!D10-IF(Skills!E10=TRUE,Inputs!$B$32,0))),0)</f>
        <v/>
      </c>
      <c r="R1180">
        <f>IF(AND(Inputs!$B$39&lt;&gt;"pvp",Inputs!$B$44&gt;0),IF(Inputs!$B$44&lt;=0,0,(INT(Inputs!$B$44/IF(Inputs!$B$39="pvp",15,MAX(0.1,Skills!D10-IF(Skills!E10=TRUE,Inputs!$B$32,0))))+1)),0)</f>
        <v/>
      </c>
      <c r="S1180">
        <f>IFERROR(O1180/N1180,0)</f>
        <v/>
      </c>
      <c r="T1180" t="n">
        <v>0</v>
      </c>
      <c r="V1180" t="n">
        <v>0</v>
      </c>
    </row>
    <row r="1181">
      <c r="A1181">
        <f>Skills!A11</f>
        <v/>
      </c>
      <c r="B1181">
        <f>Skills!B11</f>
        <v/>
      </c>
      <c r="C1181">
        <f>Inputs!$B$3&gt;=103</f>
        <v/>
      </c>
      <c r="D1181">
        <f>IF(Skills!C11=1,60+Inputs!$B$25+Inputs!$B$29,IF(Skills!C11=2,90+Inputs!$B$26+Inputs!$B$29,IF(Skills!C11=3,120+Inputs!$B$27+Inputs!$B$29,MAX(0,(Inputs!$B$3-100)*3)+Inputs!$B$28+Inputs!$B$29)))</f>
        <v/>
      </c>
      <c r="E1181">
        <f>INDEX(FactorTable!$B$2:$Y$301, MATCH(ROUND(MIN(300,MAX(1,D1181)),0), FactorTable!$A$2:$A$301,0), Skills!M11+1)</f>
        <v/>
      </c>
      <c r="F1181">
        <f>(Skills!L11/10)*(E1181/1000)+IF(Inputs!$B$3&gt;=134,50,0)+0.5*(30000/10)*(INDEX(FactorTable!$B$2:$Y$301, MATCH(ROUND(MIN(300,MAX(1,D1181)),0), FactorTable!$A$2:$A$301,0), 13)/1000)*B1213</f>
        <v/>
      </c>
      <c r="G1181">
        <f>Skills!G11*IF(Skills!H11&gt;0,Skills!I11/Skills!H11,1)</f>
        <v/>
      </c>
      <c r="H1181">
        <f>1-(1-Skills!J11/100)^Skills!K11</f>
        <v/>
      </c>
      <c r="I1181" t="inlineStr">
        <is>
          <t>1</t>
        </is>
      </c>
      <c r="J1181">
        <f>((Inputs!$B$6*(1+(Inputs!$B$7+1)/100))+(((Inputs!$B$12*(1+Inputs!$B$13/100))-(Inputs!$B$12*(1+Inputs!$B$13/100)))+0.25*(Inputs!$B$14-Inputs!$B$14))*(1+(Inputs!$B$7+1)/100))*(F1181/100)</f>
        <v/>
      </c>
      <c r="K1181">
        <f>J1181*(1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1181)</f>
        <v/>
      </c>
      <c r="L1181">
        <f>K1181*(MIN(Inputs!$B$22+((C1194=TRUE)*(F1194-Calc!F24)),(Inputs!$B$23+((C1199=TRUE)*(F1199-Calc!F29))+IF(ArtifactsInput!$M$15,CHOOSE(ArtifactsInput!$N$15+1,25,30,35,40,45,50)/100*(Inputs!$B$11-Inputs!$B$11),0)))/100+(Inputs!$B$23+((C1199=TRUE)*(F1199-Calc!F29))+IF(ArtifactsInput!$M$15,CHOOSE(ArtifactsInput!$N$15+1,25,30,35,40,45,50)/100*(Inputs!$B$11-Inputs!$B$11),0))/100)/2</f>
        <v/>
      </c>
      <c r="M1181">
        <f>L1181*(1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1">
        <f>L1181*(1-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1">
        <f>(1-Summary!$B$11)*T1181+Summary!$B$11*V1181</f>
        <v/>
      </c>
      <c r="P1181">
        <f>IF(B1215=0,0,O1181/B1215)</f>
        <v/>
      </c>
      <c r="Q1181">
        <f>IFERROR(1/IF(Inputs!$B$39="pvp",15,MAX(0.1,Skills!D11-IF(Skills!E11=TRUE,Inputs!$B$32,0))),0)</f>
        <v/>
      </c>
      <c r="R1181">
        <f>IF(AND(Inputs!$B$39&lt;&gt;"pvp",Inputs!$B$44&gt;0),IF(MAX(0,Inputs!$B$44-B1214)&lt;=0,0,(INT(MAX(0,Inputs!$B$44-B1214)/IF(Inputs!$B$39="pvp",15,MAX(0.1,Skills!D11-IF(Skills!E11=TRUE,Inputs!$B$32,0))))+1)),0)</f>
        <v/>
      </c>
      <c r="S1181">
        <f>IFERROR(O1181/N1181,0)</f>
        <v/>
      </c>
      <c r="T1181">
        <f>IF(C1181,(H1181*N1181*IF(AND(Inputs!$B$39&lt;&gt;"pvp",Inputs!$B$44&gt;0),((Skills!G11*((R1181-1)*IF(Skills!H11&gt;0,Skills!I11/Skills!H11,1)+IF(Skills!H11&gt;0,MIN(Skills!I11,MAX(0,MAX(0,Inputs!$B$44-B1214)-((R1181-1)*IF(Inputs!$B$39="pvp",15,MAX(0.1,Skills!D11-IF(Skills!E11=TRUE,Inputs!$B$32,0))))))/Skills!H11,1)))/Inputs!$B$44),G1181*Q1181))*IF(Inputs!$B$39="pvp",1,1+(Inputs!$B$20+0+Skills!P11+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1181*(1-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1">
        <f>IF(C1181,(H1181*N1181*IF(AND(Inputs!$B$39&lt;&gt;"pvp",Inputs!$B$44&gt;0),((Skills!G11*((R1181-1)*IF(Skills!H11&gt;0,Skills!I11/Skills!H11,1)+IF(Skills!H11&gt;0,MIN(Skills!I11,MAX(0,MAX(0,Inputs!$B$44-B1214)-((R1181-1)*IF(Inputs!$B$39="pvp",15,MAX(0.1,Skills!D11-IF(Skills!E11=TRUE,Inputs!$B$32,0))))))/Skills!H11,1)))/Inputs!$B$44),G1181*Q1181))*IF(Inputs!$B$39="pvp",1,(1+(Inputs!$B$21+Skills!Q11+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2">
      <c r="A1182">
        <f>Skills!A12</f>
        <v/>
      </c>
      <c r="B1182">
        <f>Skills!B12</f>
        <v/>
      </c>
      <c r="C1182">
        <f>Inputs!$B$3&gt;=105</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Skills!G12*IF(Skills!H12&gt;0,Skills!I12/Skills!H12,1)</f>
        <v/>
      </c>
      <c r="H1182">
        <f>1-(1-Skills!J12/100)^Skills!K12</f>
        <v/>
      </c>
      <c r="I1182" t="inlineStr">
        <is>
          <t>1</t>
        </is>
      </c>
      <c r="J1182">
        <f>((Inputs!$B$6*(1+(Inputs!$B$7+1)/100))+(((Inputs!$B$12*(1+Inputs!$B$13/100))-(Inputs!$B$12*(1+Inputs!$B$13/100)))+0.25*(Inputs!$B$14-Inputs!$B$14))*(1+(Inputs!$B$7+1)/100))*(F1182/100)</f>
        <v/>
      </c>
      <c r="K1182">
        <f>J1182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1182)</f>
        <v/>
      </c>
      <c r="L1182">
        <f>K1182*(MIN(Inputs!$B$22+((C1194=TRUE)*(F1194-Calc!F24)),(Inputs!$B$23+((C1199=TRUE)*(F1199-Calc!F29))+IF(ArtifactsInput!$M$15,CHOOSE(ArtifactsInput!$N$15+1,25,30,35,40,45,50)/100*(Inputs!$B$11-Inputs!$B$11),0)))/100+(Inputs!$B$23+((C1199=TRUE)*(F1199-Calc!F29))+IF(ArtifactsInput!$M$15,CHOOSE(ArtifactsInput!$N$15+1,25,30,35,40,45,50)/100*(Inputs!$B$11-Inputs!$B$11),0))/100)/2</f>
        <v/>
      </c>
      <c r="M1182">
        <f>L1182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2">
        <f>L1182*(1-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1182*(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2">
        <f>(1-Summary!$B$11)*T1182+Summary!$B$11*V1182</f>
        <v/>
      </c>
      <c r="P1182">
        <f>IF(B1215=0,0,O1182/B1215)</f>
        <v/>
      </c>
      <c r="Q1182">
        <f>IFERROR(1/IF(Inputs!$B$39="pvp",15,MAX(0.1,Skills!D12-IF(Skills!E12=TRUE,Inputs!$B$32,0))),0)</f>
        <v/>
      </c>
      <c r="R1182">
        <f>IF(AND(Inputs!$B$39&lt;&gt;"pvp",Inputs!$B$44&gt;0),IF(MAX(0,Inputs!$B$44-B1214)&lt;=0,0,(INT(MAX(0,Inputs!$B$44-B1214)/IF(Inputs!$B$39="pvp",15,MAX(0.1,Skills!D12-IF(Skills!E12=TRUE,Inputs!$B$32,0))))+1)),0)</f>
        <v/>
      </c>
      <c r="S1182">
        <f>IFERROR(O1182/N1182,0)</f>
        <v/>
      </c>
      <c r="T1182">
        <f>IF(C1182,(H1182*N1182*IF(AND(Inputs!$B$39&lt;&gt;"pvp",Inputs!$B$44&gt;0),((Skills!G12*((R1182-1)*IF(Skills!H12&gt;0,Skills!I12/Skills!H12,1)+IF(Skills!H12&gt;0,MIN(Skills!I12,MAX(0,MAX(0,Inputs!$B$44-B1214)-((R1182-1)*IF(Inputs!$B$39="pvp",15,MAX(0.1,Skills!D12-IF(Skills!E12=TRUE,Inputs!$B$32,0))))))/Skills!H12,1)))/Inputs!$B$44),G1182*Q1182))*IF(Inputs!$B$39="pvp",1,1+(Inputs!$B$20+0+Skills!P12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1182*(1-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1182*(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1182*(1-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1182*(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2">
        <f>IF(C1182,(H1182*N1182*IF(AND(Inputs!$B$39&lt;&gt;"pvp",Inputs!$B$44&gt;0),((Skills!G12*((R1182-1)*IF(Skills!H12&gt;0,Skills!I12/Skills!H12,1)+IF(Skills!H12&gt;0,MIN(Skills!I12,MAX(0,MAX(0,Inputs!$B$44-B1214)-((R1182-1)*IF(Inputs!$B$39="pvp",15,MAX(0.1,Skills!D12-IF(Skills!E12=TRUE,Inputs!$B$32,0))))))/Skills!H12,1)))/Inputs!$B$44),G1182*Q1182))*IF(Inputs!$B$39="pvp",1,(1+(Inputs!$B$21+Skills!Q12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Skills!G13*IF(Skills!H13&gt;0,Skills!I13/Skills!H13,1)</f>
        <v/>
      </c>
      <c r="H1183">
        <f>1-(1-Skills!J13/100)^Skills!K13</f>
        <v/>
      </c>
      <c r="I1183" t="inlineStr">
        <is>
          <t>1</t>
        </is>
      </c>
      <c r="J1183">
        <f>((Inputs!$B$6*(1+(Inputs!$B$7+1)/100))+(((Inputs!$B$12*(1+Inputs!$B$13/100))-(Inputs!$B$12*(1+Inputs!$B$13/100)))+0.25*(Inputs!$B$14-Inputs!$B$14))*(1+(Inputs!$B$7+1)/100))*(F1183/100)</f>
        <v/>
      </c>
      <c r="K1183">
        <f>J1183*(1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1183)</f>
        <v/>
      </c>
      <c r="L1183">
        <f>K1183*(MIN(Inputs!$B$22+((C1194=TRUE)*(F1194-Calc!F24)),(Inputs!$B$23+((C1199=TRUE)*(F1199-Calc!F29))+IF(ArtifactsInput!$M$15,CHOOSE(ArtifactsInput!$N$15+1,25,30,35,40,45,50)/100*(Inputs!$B$11-Inputs!$B$11),0)))/100+(Inputs!$B$23+((C1199=TRUE)*(F1199-Calc!F29))+IF(ArtifactsInput!$M$15,CHOOSE(ArtifactsInput!$N$15+1,25,30,35,40,45,50)/100*(Inputs!$B$11-Inputs!$B$11),0))/100)/2</f>
        <v/>
      </c>
      <c r="M1183">
        <f>L1183*(1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3">
        <f>L1183*(1-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1183*(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3">
        <f>(1-Summary!$B$11)*T1183+Summary!$B$11*V1183</f>
        <v/>
      </c>
      <c r="P1183">
        <f>IF(B1215=0,0,O1183/B1215)</f>
        <v/>
      </c>
      <c r="Q1183">
        <f>IFERROR(1/IF(Inputs!$B$39="pvp",15,MAX(0.1,Skills!D13-IF(Skills!E13=TRUE,Inputs!$B$32,0))),0)</f>
        <v/>
      </c>
      <c r="R1183">
        <f>IF(AND(Inputs!$B$39&lt;&gt;"pvp",Inputs!$B$44&gt;0),IF(MAX(0,Inputs!$B$44-B1214)&lt;=0,0,(INT(MAX(0,Inputs!$B$44-B1214)/IF(Inputs!$B$39="pvp",15,MAX(0.1,Skills!D13-IF(Skills!E13=TRUE,Inputs!$B$32,0))))+1)),0)</f>
        <v/>
      </c>
      <c r="S1183">
        <f>IFERROR(O1183/N1183,0)</f>
        <v/>
      </c>
      <c r="T1183">
        <f>IF(C1183,(H1183*N1183*IF(AND(Inputs!$B$39&lt;&gt;"pvp",Inputs!$B$44&gt;0),((Skills!G13*((R1183-1)*IF(Skills!H13&gt;0,Skills!I13/Skills!H13,1)+IF(Skills!H13&gt;0,MIN(Skills!I13,MAX(0,MAX(0,Inputs!$B$44-B1214)-((R1183-1)*IF(Inputs!$B$39="pvp",15,MAX(0.1,Skills!D13-IF(Skills!E13=TRUE,Inputs!$B$32,0))))))/Skills!H13,1)))/Inputs!$B$44),G1183*Q1183))*IF(Inputs!$B$39="pvp",1,1+(Inputs!$B$20+0+Skills!P13+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1183*(1-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1183*(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1183*(1-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1183*(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3">
        <f>IF(C1183,(H1183*N1183*IF(AND(Inputs!$B$39&lt;&gt;"pvp",Inputs!$B$44&gt;0),((Skills!G13*((R1183-1)*IF(Skills!H13&gt;0,Skills!I13/Skills!H13,1)+IF(Skills!H13&gt;0,MIN(Skills!I13,MAX(0,MAX(0,Inputs!$B$44-B1214)-((R1183-1)*IF(Inputs!$B$39="pvp",15,MAX(0.1,Skills!D13-IF(Skills!E13=TRUE,Inputs!$B$32,0))))))/Skills!H13,1)))/Inputs!$B$44),G1183*Q1183))*IF(Inputs!$B$39="pvp",1,(1+(Inputs!$B$21+Skills!Q13+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4">
      <c r="A1184">
        <f>Skills!A14</f>
        <v/>
      </c>
      <c r="B1184">
        <f>Skills!B14</f>
        <v/>
      </c>
      <c r="C1184">
        <f>Inputs!$B$3&gt;=107</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Skills!G14*IF(Skills!H14&gt;0,Skills!I14/Skills!H14,1)</f>
        <v/>
      </c>
      <c r="H1184">
        <f>1-(1-Skills!J14/100)^Skills!K14</f>
        <v/>
      </c>
      <c r="I1184" t="inlineStr">
        <is>
          <t>1</t>
        </is>
      </c>
      <c r="J1184">
        <f>((Inputs!$B$6*(1+(Inputs!$B$7+1)/100))+(((Inputs!$B$12*(1+Inputs!$B$13/100))-(Inputs!$B$12*(1+Inputs!$B$13/100)))+0.25*(Inputs!$B$14-Inputs!$B$14))*(1+(Inputs!$B$7+1)/100))*(F1184/100)</f>
        <v/>
      </c>
      <c r="K1184">
        <f>J1184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1184)</f>
        <v/>
      </c>
      <c r="L1184">
        <f>K1184*(MIN(Inputs!$B$22+((C1194=TRUE)*(F1194-Calc!F24)),(Inputs!$B$23+((C1199=TRUE)*(F1199-Calc!F29))+IF(ArtifactsInput!$M$15,CHOOSE(ArtifactsInput!$N$15+1,25,30,35,40,45,50)/100*(Inputs!$B$11-Inputs!$B$11),0)))/100+(Inputs!$B$23+((C1199=TRUE)*(F1199-Calc!F29))+IF(ArtifactsInput!$M$15,CHOOSE(ArtifactsInput!$N$15+1,25,30,35,40,45,50)/100*(Inputs!$B$11-Inputs!$B$11),0))/100)/2</f>
        <v/>
      </c>
      <c r="M1184">
        <f>L1184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4">
        <f>L1184*(1-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1184*(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4">
        <f>(1-Summary!$B$11)*T1184+Summary!$B$11*V1184</f>
        <v/>
      </c>
      <c r="P1184">
        <f>IF(B1215=0,0,O1184/B1215)</f>
        <v/>
      </c>
      <c r="Q1184">
        <f>IFERROR(1/IF(Inputs!$B$39="pvp",15,MAX(0.1,Skills!D14-IF(Skills!E14=TRUE,Inputs!$B$32,0))),0)</f>
        <v/>
      </c>
      <c r="R1184">
        <f>IF(AND(Inputs!$B$39&lt;&gt;"pvp",Inputs!$B$44&gt;0),IF(MAX(0,Inputs!$B$44-B1214)&lt;=0,0,(INT(MAX(0,Inputs!$B$44-B1214)/IF(Inputs!$B$39="pvp",15,MAX(0.1,Skills!D14-IF(Skills!E14=TRUE,Inputs!$B$32,0))))+1)),0)</f>
        <v/>
      </c>
      <c r="S1184">
        <f>IFERROR(O1184/N1184,0)</f>
        <v/>
      </c>
      <c r="T1184">
        <f>IF(C1184,(H1184*N1184*IF(AND(Inputs!$B$39&lt;&gt;"pvp",Inputs!$B$44&gt;0),((Skills!G14*((R1184-1)*IF(Skills!H14&gt;0,Skills!I14/Skills!H14,1)+IF(Skills!H14&gt;0,MIN(Skills!I14,MAX(0,MAX(0,Inputs!$B$44-B1214)-((R1184-1)*IF(Inputs!$B$39="pvp",15,MAX(0.1,Skills!D14-IF(Skills!E14=TRUE,Inputs!$B$32,0))))))/Skills!H14,1)))/Inputs!$B$44),G1184*Q1184))*IF(Inputs!$B$39="pvp",1,1+(Inputs!$B$20+0+Skills!P14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1184*(1-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1184*(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1184*(1-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1184*(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4">
        <f>IF(C1184,(H1184*N1184*IF(AND(Inputs!$B$39&lt;&gt;"pvp",Inputs!$B$44&gt;0),((Skills!G14*((R1184-1)*IF(Skills!H14&gt;0,Skills!I14/Skills!H14,1)+IF(Skills!H14&gt;0,MIN(Skills!I14,MAX(0,MAX(0,Inputs!$B$44-B1214)-((R1184-1)*IF(Inputs!$B$39="pvp",15,MAX(0.1,Skills!D14-IF(Skills!E14=TRUE,Inputs!$B$32,0))))))/Skills!H14,1)))/Inputs!$B$44),G1184*Q1184))*IF(Inputs!$B$39="pvp",1,(1+(Inputs!$B$21+Skills!Q14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(5,0.25*B1207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5">
      <c r="A1185">
        <f>Skills!A15</f>
        <v/>
      </c>
      <c r="B1185">
        <f>Skills!B15</f>
        <v/>
      </c>
      <c r="C1185">
        <f>Inputs!$B$3&gt;=110</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Skills!G15*IF(Skills!H15&gt;0,Skills!I15/Skills!H15,1)</f>
        <v/>
      </c>
      <c r="H1185">
        <f>1-(1-Skills!J15/100)^Skills!K15</f>
        <v/>
      </c>
      <c r="I1185" t="inlineStr">
        <is>
          <t>1</t>
        </is>
      </c>
      <c r="J1185" t="inlineStr"/>
      <c r="K1185" t="inlineStr"/>
      <c r="L1185" t="inlineStr"/>
      <c r="M1185" t="inlineStr"/>
      <c r="N1185" t="inlineStr"/>
      <c r="O1185">
        <f>(1-Summary!$B$11)*T1185+Summary!$B$11*V1185</f>
        <v/>
      </c>
      <c r="P1185">
        <f>IF(B1215=0,0,O1185/B1215)</f>
        <v/>
      </c>
      <c r="Q1185">
        <f>IFERROR(1/IF(Inputs!$B$39="pvp",15,MAX(0.1,Skills!D15-IF(Skills!E15=TRUE,Inputs!$B$32,0))),0)</f>
        <v/>
      </c>
      <c r="R1185">
        <f>IF(AND(Inputs!$B$39&lt;&gt;"pvp",Inputs!$B$44&gt;0),IF(Inputs!$B$44&lt;=0,0,(INT(Inputs!$B$44/IF(Inputs!$B$39="pvp",15,MAX(0.1,Skills!D15-IF(Skills!E15=TRUE,Inputs!$B$32,0))))+1)),0)</f>
        <v/>
      </c>
      <c r="S1185">
        <f>IFERROR(O1185/N1185,0)</f>
        <v/>
      </c>
      <c r="T1185" t="n">
        <v>0</v>
      </c>
      <c r="V1185" t="n">
        <v>0</v>
      </c>
    </row>
    <row r="1186">
      <c r="A1186">
        <f>Skills!A16</f>
        <v/>
      </c>
      <c r="B1186">
        <f>Skills!B16</f>
        <v/>
      </c>
      <c r="C1186">
        <f>Inputs!$B$3&gt;=115</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Skills!G16*IF(Skills!H16&gt;0,Skills!I16/Skills!H16,1)</f>
        <v/>
      </c>
      <c r="H1186">
        <f>1-(1-Skills!J16/100)^Skills!K16</f>
        <v/>
      </c>
      <c r="I1186" t="inlineStr">
        <is>
          <t>1</t>
        </is>
      </c>
      <c r="J1186">
        <f>((Inputs!$B$6*(1+(Inputs!$B$7+1)/100))+(((Inputs!$B$12*(1+Inputs!$B$13/100))-(Inputs!$B$12*(1+Inputs!$B$13/100)))+0.25*(Inputs!$B$14-Inputs!$B$14))*(1+(Inputs!$B$7+1)/100))*(F1186/100)</f>
        <v/>
      </c>
      <c r="K1186">
        <f>J1186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1197=TRUE)*(F1197-Calc!F27))+((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1186)</f>
        <v/>
      </c>
      <c r="L1186">
        <f>K1186*(MIN(Inputs!$B$22+((C1194=TRUE)*(F1194-Calc!F24)),(Inputs!$B$23+((C1199=TRUE)*(F1199-Calc!F29))+IF(ArtifactsInput!$M$15,CHOOSE(ArtifactsInput!$N$15+1,25,30,35,40,45,50)/100*(Inputs!$B$11-Inputs!$B$11),0)))/100+(Inputs!$B$23+((C1199=TRUE)*(F1199-Calc!F29))+IF(ArtifactsInput!$M$15,CHOOSE(ArtifactsInput!$N$15+1,25,30,35,40,45,50)/100*(Inputs!$B$11-Inputs!$B$11),0))/100)/2</f>
        <v/>
      </c>
      <c r="M1186">
        <f>L1186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6">
        <f>L1186*(1-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1186*(MIN((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6">
        <f>(1-Summary!$B$11)*T1186+Summary!$B$11*V1186</f>
        <v/>
      </c>
      <c r="P1186">
        <f>IF(B1215=0,0,O1186/B1215)</f>
        <v/>
      </c>
      <c r="Q1186" t="n">
        <v>0</v>
      </c>
      <c r="R1186" t="n">
        <v>0</v>
      </c>
      <c r="S1186">
        <f>IFERROR(O1186/N1186,0)</f>
        <v/>
      </c>
      <c r="T1186">
        <f>IF(C1186,(Inputs!$B$38*0.2*N1186)*IF(Inputs!$B$39="pvp",1,1+(Inputs!$B$20+0+Skills!P16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1186*(1-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1186*(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1186*(1-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1186*(MIN(100,(Inputs!$B$9+((C1195=TRUE)*(F1195-Calc!F25))+B1203+(ArtifactsInput!$M$24-ArtifactsInput!$M$24)*CHOOSE(ArtifactsInput!$N$24+1,10,12,14,16,18,20)+(IF(AND(Inputs!$B$39&lt;&gt;"pvp",Inputs!$B$44=0),1,IF(IF(Inputs!$B$39="pvp",15,Inputs!$B$44)-(B1214)&lt;=0,1,MAX(0,IF(Inputs!$B$39="pvp",15,Inputs!$B$44)-MAX(5,B1214))/(IF(Inputs!$B$39="pvp",15,Inputs!$B$44)-(B1214))))*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6">
        <f>IF(C1186,(Inputs!$B$38*0.2*N1186)*IF(Inputs!$B$39="pvp",1,(1+(Inputs!$B$21+Skills!Q16+B1204+(IF(ArtifactsInput!$M$33,CHOOSE(ArtifactsInput!$N$33+1,30,36,42,48,54,60),0))+(IF(AND(ArtifactsInput!$M$35,Inputs!$B$4&lt;&gt;"Chapter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7">
      <c r="A1187">
        <f>Skills!A17</f>
        <v/>
      </c>
      <c r="B1187">
        <f>Skills!B17</f>
        <v/>
      </c>
      <c r="C1187">
        <f>Inputs!$B$3&gt;=115</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Skills!G17*IF(Skills!H17&gt;0,Skills!I17/Skills!H17,1)</f>
        <v/>
      </c>
      <c r="H1187">
        <f>1-(1-Skills!J17/100)^Skills!K17</f>
        <v/>
      </c>
      <c r="I1187" t="inlineStr">
        <is>
          <t>1</t>
        </is>
      </c>
      <c r="J1187" t="inlineStr"/>
      <c r="K1187" t="inlineStr"/>
      <c r="L1187" t="inlineStr"/>
      <c r="M1187" t="inlineStr"/>
      <c r="N1187" t="inlineStr"/>
      <c r="O1187">
        <f>(1-Summary!$B$11)*T1187+Summary!$B$11*V1187</f>
        <v/>
      </c>
      <c r="P1187">
        <f>IF(B1215=0,0,O1187/B1215)</f>
        <v/>
      </c>
      <c r="Q1187" t="n">
        <v>0</v>
      </c>
      <c r="R1187" t="n">
        <v>0</v>
      </c>
      <c r="S1187">
        <f>IFERROR(O1187/N1187,0)</f>
        <v/>
      </c>
      <c r="T1187" t="n">
        <v>0</v>
      </c>
      <c r="V1187" t="n">
        <v>0</v>
      </c>
    </row>
    <row r="1188">
      <c r="A1188">
        <f>Skills!A18</f>
        <v/>
      </c>
      <c r="B1188">
        <f>Skills!B18</f>
        <v/>
      </c>
      <c r="C1188">
        <f>Inputs!$B$3&gt;=100</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Skills!G18*IF(Skills!H18&gt;0,Skills!I18/Skills!H18,1)</f>
        <v/>
      </c>
      <c r="H1188">
        <f>1-(1-Skills!J18/100)^Skills!K18</f>
        <v/>
      </c>
      <c r="I1188" t="inlineStr">
        <is>
          <t>1</t>
        </is>
      </c>
      <c r="J1188" t="inlineStr"/>
      <c r="K1188" t="inlineStr"/>
      <c r="L1188" t="inlineStr"/>
      <c r="M1188" t="inlineStr"/>
      <c r="N1188" t="inlineStr"/>
      <c r="O1188">
        <f>(1-Summary!$B$11)*T1188+Summary!$B$11*V1188</f>
        <v/>
      </c>
      <c r="P1188">
        <f>IF(B1215=0,0,O1188/B1215)</f>
        <v/>
      </c>
      <c r="Q1188" t="n">
        <v>0</v>
      </c>
      <c r="R1188" t="n">
        <v>0</v>
      </c>
      <c r="S1188">
        <f>IFERROR(O1188/N1188,0)</f>
        <v/>
      </c>
      <c r="T1188" t="n">
        <v>0</v>
      </c>
      <c r="V1188" t="n">
        <v>0</v>
      </c>
    </row>
    <row r="1189">
      <c r="A1189">
        <f>Skills!A19</f>
        <v/>
      </c>
      <c r="B1189">
        <f>Skills!B19</f>
        <v/>
      </c>
      <c r="C1189">
        <f>TRUE</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Skills!G19*IF(Skills!H19&gt;0,Skills!I19/Skills!H19,1)</f>
        <v/>
      </c>
      <c r="H1189">
        <f>1-(1-Skills!J19/100)^Skills!K19</f>
        <v/>
      </c>
      <c r="I1189" t="inlineStr">
        <is>
          <t>1</t>
        </is>
      </c>
      <c r="J1189" t="inlineStr"/>
      <c r="K1189" t="inlineStr"/>
      <c r="L1189" t="inlineStr"/>
      <c r="M1189" t="inlineStr"/>
      <c r="N1189" t="inlineStr"/>
      <c r="O1189">
        <f>(1-Summary!$B$11)*T1189+Summary!$B$11*V1189</f>
        <v/>
      </c>
      <c r="P1189">
        <f>IF(B1215=0,0,O1189/B1215)</f>
        <v/>
      </c>
      <c r="Q1189">
        <f>IFERROR(1/IF(Inputs!$B$39="pvp",15,MAX(0.1,Skills!D19-IF(Skills!E19=TRUE,Inputs!$B$32,0))),0)</f>
        <v/>
      </c>
      <c r="R1189">
        <f>IF(AND(Inputs!$B$39&lt;&gt;"pvp",Inputs!$B$44&gt;0),IF(Inputs!$B$44&lt;=0,0,(INT(Inputs!$B$44/IF(Inputs!$B$39="pvp",15,MAX(0.1,Skills!D19-IF(Skills!E19=TRUE,Inputs!$B$32,0))))+1)),0)</f>
        <v/>
      </c>
      <c r="S1189">
        <f>IFERROR(O1189/N1189,0)</f>
        <v/>
      </c>
      <c r="T1189" t="n">
        <v>0</v>
      </c>
      <c r="V1189" t="n">
        <v>0</v>
      </c>
    </row>
    <row r="1190">
      <c r="A1190">
        <f>Skills!A20</f>
        <v/>
      </c>
      <c r="B1190">
        <f>Skills!B20</f>
        <v/>
      </c>
      <c r="C1190">
        <f>Inputs!$B$3&gt;=15</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Skills!G20*IF(Skills!H20&gt;0,Skills!I20/Skills!H20,1)</f>
        <v/>
      </c>
      <c r="H1190">
        <f>1-(1-Skills!J20/100)^Skills!K20</f>
        <v/>
      </c>
      <c r="I1190" t="inlineStr">
        <is>
          <t>1</t>
        </is>
      </c>
      <c r="J1190" t="inlineStr"/>
      <c r="K1190" t="inlineStr"/>
      <c r="L1190" t="inlineStr"/>
      <c r="M1190" t="inlineStr"/>
      <c r="N1190" t="inlineStr"/>
      <c r="O1190">
        <f>(1-Summary!$B$11)*T1190+Summary!$B$11*V1190</f>
        <v/>
      </c>
      <c r="P1190">
        <f>IF(B1215=0,0,O1190/B1215)</f>
        <v/>
      </c>
      <c r="Q1190">
        <f>IFERROR(1/IF(Inputs!$B$39="pvp",15,MAX(0.1,Skills!D20-IF(Skills!E20=TRUE,Inputs!$B$32,0))),0)</f>
        <v/>
      </c>
      <c r="R1190">
        <f>IF(AND(Inputs!$B$39&lt;&gt;"pvp",Inputs!$B$44&gt;0),IF(Inputs!$B$44&lt;=0,0,(INT(Inputs!$B$44/IF(Inputs!$B$39="pvp",15,MAX(0.1,Skills!D20-IF(Skills!E20=TRUE,Inputs!$B$32,0))))+1)),0)</f>
        <v/>
      </c>
      <c r="S1190">
        <f>IFERROR(O1190/N1190,0)</f>
        <v/>
      </c>
      <c r="T1190" t="n">
        <v>0</v>
      </c>
      <c r="V1190" t="n">
        <v>0</v>
      </c>
    </row>
    <row r="1191">
      <c r="A1191">
        <f>Skills!A21</f>
        <v/>
      </c>
      <c r="B1191">
        <f>Skills!B21</f>
        <v/>
      </c>
      <c r="C1191">
        <f>Inputs!$B$3&gt;=15</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Skills!G21*IF(Skills!H21&gt;0,Skills!I21/Skills!H21,1)</f>
        <v/>
      </c>
      <c r="H1191">
        <f>1-(1-Skills!J21/100)^Skills!K21</f>
        <v/>
      </c>
      <c r="I1191" t="inlineStr">
        <is>
          <t>1</t>
        </is>
      </c>
      <c r="J1191" t="inlineStr"/>
      <c r="K1191" t="inlineStr"/>
      <c r="L1191" t="inlineStr"/>
      <c r="M1191" t="inlineStr"/>
      <c r="N1191" t="inlineStr"/>
      <c r="O1191">
        <f>(1-Summary!$B$11)*T1191+Summary!$B$11*V1191</f>
        <v/>
      </c>
      <c r="P1191">
        <f>IF(B1215=0,0,O1191/B1215)</f>
        <v/>
      </c>
      <c r="Q1191">
        <f>IFERROR(1/IF(Inputs!$B$39="pvp",15,MAX(0.1,Skills!D21-IF(Skills!E21=TRUE,Inputs!$B$32,0))),0)</f>
        <v/>
      </c>
      <c r="R1191">
        <f>IF(AND(Inputs!$B$39&lt;&gt;"pvp",Inputs!$B$44&gt;0),IF(Inputs!$B$44&lt;=0,0,(INT(Inputs!$B$44/IF(Inputs!$B$39="pvp",15,MAX(0.1,Skills!D21-IF(Skills!E21=TRUE,Inputs!$B$32,0))))+1)),0)</f>
        <v/>
      </c>
      <c r="S1191">
        <f>IFERROR(O1191/N1191,0)</f>
        <v/>
      </c>
      <c r="T1191" t="n">
        <v>0</v>
      </c>
      <c r="V1191" t="n">
        <v>0</v>
      </c>
    </row>
    <row r="1192">
      <c r="A1192">
        <f>Skills!A22</f>
        <v/>
      </c>
      <c r="B1192">
        <f>Skills!B22</f>
        <v/>
      </c>
      <c r="C1192">
        <f>Inputs!$B$3&gt;=33</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Skills!G22*IF(Skills!H22&gt;0,Skills!I22/Skills!H22,1)</f>
        <v/>
      </c>
      <c r="H1192">
        <f>1-(1-Skills!J22/100)^Skills!K22</f>
        <v/>
      </c>
      <c r="I1192" t="inlineStr">
        <is>
          <t>1</t>
        </is>
      </c>
      <c r="J1192" t="inlineStr"/>
      <c r="K1192" t="inlineStr"/>
      <c r="L1192" t="inlineStr"/>
      <c r="M1192" t="inlineStr"/>
      <c r="N1192" t="inlineStr"/>
      <c r="O1192">
        <f>(1-Summary!$B$11)*T1192+Summary!$B$11*V1192</f>
        <v/>
      </c>
      <c r="P1192">
        <f>IF(B1215=0,0,O1192/B1215)</f>
        <v/>
      </c>
      <c r="Q1192" t="n">
        <v>0</v>
      </c>
      <c r="R1192" t="n">
        <v>0</v>
      </c>
      <c r="S1192">
        <f>IFERROR(O1192/N1192,0)</f>
        <v/>
      </c>
      <c r="T1192" t="n">
        <v>0</v>
      </c>
      <c r="V1192" t="n">
        <v>0</v>
      </c>
    </row>
    <row r="1193">
      <c r="A1193">
        <f>Skills!A23</f>
        <v/>
      </c>
      <c r="B1193">
        <f>Skills!B23</f>
        <v/>
      </c>
      <c r="C1193">
        <f>Inputs!$B$3&gt;=40</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Skills!G23*IF(Skills!H23&gt;0,Skills!I23/Skills!H23,1)</f>
        <v/>
      </c>
      <c r="H1193">
        <f>1-(1-Skills!J23/100)^Skills!K23</f>
        <v/>
      </c>
      <c r="I1193" t="inlineStr">
        <is>
          <t>1</t>
        </is>
      </c>
      <c r="J1193" t="inlineStr"/>
      <c r="K1193" t="inlineStr"/>
      <c r="L1193" t="inlineStr"/>
      <c r="M1193" t="inlineStr"/>
      <c r="N1193" t="inlineStr"/>
      <c r="O1193">
        <f>(1-Summary!$B$11)*T1193+Summary!$B$11*V1193</f>
        <v/>
      </c>
      <c r="P1193">
        <f>IF(B1215=0,0,O1193/B1215)</f>
        <v/>
      </c>
      <c r="Q1193" t="n">
        <v>0</v>
      </c>
      <c r="R1193" t="n">
        <v>0</v>
      </c>
      <c r="S1193">
        <f>IFERROR(O1193/N1193,0)</f>
        <v/>
      </c>
      <c r="T1193" t="n">
        <v>0</v>
      </c>
      <c r="V1193" t="n">
        <v>0</v>
      </c>
    </row>
    <row r="1194">
      <c r="A1194">
        <f>Skills!A24</f>
        <v/>
      </c>
      <c r="B1194">
        <f>Skills!B24</f>
        <v/>
      </c>
      <c r="C1194">
        <f>Inputs!$B$3&gt;=43</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Skills!G24*IF(Skills!H24&gt;0,Skills!I24/Skills!H24,1)</f>
        <v/>
      </c>
      <c r="H1194">
        <f>1-(1-Skills!J24/100)^Skills!K24</f>
        <v/>
      </c>
      <c r="I1194" t="inlineStr">
        <is>
          <t>1</t>
        </is>
      </c>
      <c r="J1194" t="inlineStr"/>
      <c r="K1194" t="inlineStr"/>
      <c r="L1194" t="inlineStr"/>
      <c r="M1194" t="inlineStr"/>
      <c r="N1194" t="inlineStr"/>
      <c r="O1194">
        <f>(1-Summary!$B$11)*T1194+Summary!$B$11*V1194</f>
        <v/>
      </c>
      <c r="P1194">
        <f>IF(B1215=0,0,O1194/B1215)</f>
        <v/>
      </c>
      <c r="Q1194" t="n">
        <v>0</v>
      </c>
      <c r="R1194" t="n">
        <v>0</v>
      </c>
      <c r="S1194">
        <f>IFERROR(O1194/N1194,0)</f>
        <v/>
      </c>
      <c r="T1194" t="n">
        <v>0</v>
      </c>
      <c r="V1194" t="n">
        <v>0</v>
      </c>
    </row>
    <row r="1195">
      <c r="A1195">
        <f>Skills!A25</f>
        <v/>
      </c>
      <c r="B1195">
        <f>Skills!B25</f>
        <v/>
      </c>
      <c r="C1195">
        <f>Inputs!$B$3&gt;=50</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Skills!G25*IF(Skills!H25&gt;0,Skills!I25/Skills!H25,1)</f>
        <v/>
      </c>
      <c r="H1195">
        <f>1-(1-Skills!J25/100)^Skills!K25</f>
        <v/>
      </c>
      <c r="I1195" t="inlineStr">
        <is>
          <t>1</t>
        </is>
      </c>
      <c r="J1195" t="inlineStr"/>
      <c r="K1195" t="inlineStr"/>
      <c r="L1195" t="inlineStr"/>
      <c r="M1195" t="inlineStr"/>
      <c r="N1195" t="inlineStr"/>
      <c r="O1195">
        <f>(1-Summary!$B$11)*T1195+Summary!$B$11*V1195</f>
        <v/>
      </c>
      <c r="P1195">
        <f>IF(B1215=0,0,O1195/B1215)</f>
        <v/>
      </c>
      <c r="Q1195" t="n">
        <v>0</v>
      </c>
      <c r="R1195" t="n">
        <v>0</v>
      </c>
      <c r="S1195">
        <f>IFERROR(O1195/N1195,0)</f>
        <v/>
      </c>
      <c r="T1195" t="n">
        <v>0</v>
      </c>
      <c r="V1195" t="n">
        <v>0</v>
      </c>
    </row>
    <row r="1196">
      <c r="A1196">
        <f>Skills!A26</f>
        <v/>
      </c>
      <c r="B1196">
        <f>Skills!B26</f>
        <v/>
      </c>
      <c r="C1196">
        <f>Inputs!$B$3&gt;=50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Skills!G26*IF(Skills!H26&gt;0,Skills!I26/Skills!H26,1)</f>
        <v/>
      </c>
      <c r="H1196">
        <f>1-(1-Skills!J26/100)^Skills!K26</f>
        <v/>
      </c>
      <c r="I1196" t="inlineStr">
        <is>
          <t>1</t>
        </is>
      </c>
      <c r="J1196" t="inlineStr"/>
      <c r="K1196" t="inlineStr"/>
      <c r="L1196" t="inlineStr"/>
      <c r="M1196" t="inlineStr"/>
      <c r="N1196" t="inlineStr"/>
      <c r="O1196">
        <f>(1-Summary!$B$11)*T1196+Summary!$B$11*V1196</f>
        <v/>
      </c>
      <c r="P1196">
        <f>IF(B1215=0,0,O1196/B1215)</f>
        <v/>
      </c>
      <c r="Q1196" t="n">
        <v>0</v>
      </c>
      <c r="R1196" t="n">
        <v>0</v>
      </c>
      <c r="S1196">
        <f>IFERROR(O1196/N1196,0)</f>
        <v/>
      </c>
      <c r="T1196" t="n">
        <v>0</v>
      </c>
      <c r="V1196" t="n">
        <v>0</v>
      </c>
    </row>
    <row r="1197">
      <c r="A1197">
        <f>Skills!A27</f>
        <v/>
      </c>
      <c r="B1197">
        <f>Skills!B27</f>
        <v/>
      </c>
      <c r="C1197">
        <f>Inputs!$B$3&gt;=38</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Skills!G27*IF(Skills!H27&gt;0,Skills!I27/Skills!H27,1)</f>
        <v/>
      </c>
      <c r="H1197">
        <f>1-(1-Skills!J27/100)^Skills!K27</f>
        <v/>
      </c>
      <c r="I1197" t="inlineStr">
        <is>
          <t>1</t>
        </is>
      </c>
      <c r="J1197" t="inlineStr"/>
      <c r="K1197" t="inlineStr"/>
      <c r="L1197" t="inlineStr"/>
      <c r="M1197" t="inlineStr"/>
      <c r="N1197" t="inlineStr"/>
      <c r="O1197">
        <f>(1-Summary!$B$11)*T1197+Summary!$B$11*V1197</f>
        <v/>
      </c>
      <c r="P1197">
        <f>IF(B1215=0,0,O1197/B1215)</f>
        <v/>
      </c>
      <c r="Q1197" t="n">
        <v>0</v>
      </c>
      <c r="R1197" t="n">
        <v>0</v>
      </c>
      <c r="S1197">
        <f>IFERROR(O1197/N1197,0)</f>
        <v/>
      </c>
      <c r="T1197" t="n">
        <v>0</v>
      </c>
      <c r="V1197" t="n">
        <v>0</v>
      </c>
    </row>
    <row r="1198">
      <c r="A1198">
        <f>Skills!A28</f>
        <v/>
      </c>
      <c r="B1198">
        <f>Skills!B28</f>
        <v/>
      </c>
      <c r="C1198">
        <f>Inputs!$B$3&gt;=120</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Skills!G28*IF(Skills!H28&gt;0,Skills!I28/Skills!H28,1)</f>
        <v/>
      </c>
      <c r="H1198">
        <f>1-(1-Skills!J28/100)^Skills!K28</f>
        <v/>
      </c>
      <c r="I1198" t="inlineStr">
        <is>
          <t>1</t>
        </is>
      </c>
      <c r="J1198" t="inlineStr"/>
      <c r="K1198" t="inlineStr"/>
      <c r="L1198" t="inlineStr"/>
      <c r="M1198" t="inlineStr"/>
      <c r="N1198" t="inlineStr"/>
      <c r="O1198">
        <f>(1-Summary!$B$11)*T1198+Summary!$B$11*V1198</f>
        <v/>
      </c>
      <c r="P1198">
        <f>IF(B1215=0,0,O1198/B1215)</f>
        <v/>
      </c>
      <c r="Q1198" t="n">
        <v>0</v>
      </c>
      <c r="R1198" t="n">
        <v>0</v>
      </c>
      <c r="S1198">
        <f>IFERROR(O1198/N1198,0)</f>
        <v/>
      </c>
      <c r="T1198" t="n">
        <v>0</v>
      </c>
      <c r="V1198" t="n">
        <v>0</v>
      </c>
    </row>
    <row r="1199">
      <c r="A1199">
        <f>Skills!A29</f>
        <v/>
      </c>
      <c r="B1199">
        <f>Skills!B29</f>
        <v/>
      </c>
      <c r="C1199">
        <f>Inputs!$B$3&gt;=120</f>
        <v/>
      </c>
      <c r="D1199">
        <f>IF(Skills!C29=1,60+Inputs!$B$25+Inputs!$B$29,IF(Skills!C29=2,90+Inputs!$B$26+Inputs!$B$29,IF(Skills!C29=3,120+Inputs!$B$27+Inputs!$B$29,MAX(0,(Inputs!$B$3-100)*3)+Inputs!$B$28+Inputs!$B$29)))</f>
        <v/>
      </c>
      <c r="E1199">
        <f>INDEX(FactorTable!$B$2:$Y$301, MATCH(ROUND(MIN(300,MAX(1,D1199)),0), FactorTable!$A$2:$A$301,0), Skills!M29+1)</f>
        <v/>
      </c>
      <c r="F1199">
        <f>IF(Skills!N29=TRUE,(Skills!L29/10)*(E1199/1000),Skills!L29/10)+Skills!O29</f>
        <v/>
      </c>
      <c r="G1199">
        <f>Skills!G29*IF(Skills!H29&gt;0,Skills!I29/Skills!H29,1)</f>
        <v/>
      </c>
      <c r="H1199">
        <f>1-(1-Skills!J29/100)^Skills!K29</f>
        <v/>
      </c>
      <c r="I1199" t="inlineStr">
        <is>
          <t>1</t>
        </is>
      </c>
      <c r="J1199" t="inlineStr"/>
      <c r="K1199" t="inlineStr"/>
      <c r="L1199" t="inlineStr"/>
      <c r="M1199" t="inlineStr"/>
      <c r="N1199" t="inlineStr"/>
      <c r="O1199">
        <f>(1-Summary!$B$11)*T1199+Summary!$B$11*V1199</f>
        <v/>
      </c>
      <c r="P1199">
        <f>IF(B1215=0,0,O1199/B1215)</f>
        <v/>
      </c>
      <c r="Q1199" t="n">
        <v>0</v>
      </c>
      <c r="R1199" t="n">
        <v>0</v>
      </c>
      <c r="S1199">
        <f>IFERROR(O1199/N1199,0)</f>
        <v/>
      </c>
      <c r="T1199" t="n">
        <v>0</v>
      </c>
      <c r="V1199" t="n">
        <v>0</v>
      </c>
    </row>
    <row r="1200">
      <c r="A1200">
        <f>Skills!A30</f>
        <v/>
      </c>
      <c r="B1200">
        <f>Skills!B30</f>
        <v/>
      </c>
      <c r="C1200">
        <f>Inputs!$B$3&gt;=125</f>
        <v/>
      </c>
      <c r="D1200">
        <f>IF(Skills!C30=1,60+Inputs!$B$25+Inputs!$B$29,IF(Skills!C30=2,90+Inputs!$B$26+Inputs!$B$29,IF(Skills!C30=3,120+Inputs!$B$27+Inputs!$B$29,MAX(0,(Inputs!$B$3-100)*3)+Inputs!$B$28+Inputs!$B$29)))</f>
        <v/>
      </c>
      <c r="E1200">
        <f>INDEX(FactorTable!$B$2:$Y$301, MATCH(ROUND(MIN(300,MAX(1,D1200)),0), FactorTable!$A$2:$A$301,0), Skills!M30+1)</f>
        <v/>
      </c>
      <c r="F1200">
        <f>IF(Skills!N30=TRUE,(Skills!L30/10)*(E1200/1000),Skills!L30/10)+Skills!O30</f>
        <v/>
      </c>
      <c r="G1200">
        <f>Skills!G30*IF(Skills!H30&gt;0,Skills!I30/Skills!H30,1)</f>
        <v/>
      </c>
      <c r="H1200">
        <f>1-(1-Skills!J30/100)^Skills!K30</f>
        <v/>
      </c>
      <c r="I1200" t="inlineStr">
        <is>
          <t>1</t>
        </is>
      </c>
      <c r="J1200" t="inlineStr"/>
      <c r="K1200" t="inlineStr"/>
      <c r="L1200" t="inlineStr"/>
      <c r="M1200" t="inlineStr"/>
      <c r="N1200" t="inlineStr"/>
      <c r="O1200">
        <f>(1-Summary!$B$11)*T1200+Summary!$B$11*V1200</f>
        <v/>
      </c>
      <c r="P1200">
        <f>IF(B1215=0,0,O1200/B1215)</f>
        <v/>
      </c>
      <c r="Q1200" t="n">
        <v>0</v>
      </c>
      <c r="R1200" t="n">
        <v>0</v>
      </c>
      <c r="S1200">
        <f>IFERROR(O1200/N1200,0)</f>
        <v/>
      </c>
      <c r="T1200" t="n">
        <v>0</v>
      </c>
      <c r="V1200" t="n">
        <v>0</v>
      </c>
    </row>
    <row r="1202">
      <c r="A1202" t="inlineStr">
        <is>
          <t>Average Buff Multiplier</t>
        </is>
      </c>
      <c r="B1202">
        <f>(1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f>
        <v/>
      </c>
    </row>
    <row r="1203">
      <c r="A1203" t="inlineStr">
        <is>
          <t>Global Crit Rate Bonus %</t>
        </is>
      </c>
      <c r="B1203">
        <f>((C1190=TRUE)*F1190*IF(AND(Inputs!$B$39&lt;&gt;"pvp",Inputs!$B$44&gt;0),(((R1190-1)*(Skills!Y20*(1+Inputs!$B$34/100))+MIN((Skills!Y20*(1+Inputs!$B$34/100)),MAX(0,Inputs!$B$44-((R1190-1)*Skills!D20))))/Inputs!$B$44),IF(Inputs!$B$39="pvp",MIN((Skills!Y20*(1+Inputs!$B$34/100)),15)/15,(Skills!Y20*(1+Inputs!$B$34/100))/Skills!D20)))</f>
        <v/>
      </c>
    </row>
    <row r="1204">
      <c r="A1204" t="inlineStr">
        <is>
          <t>Global Monster Damage-Taken Bonus %</t>
        </is>
      </c>
      <c r="B1204">
        <f>IF(Inputs!$B$3&gt;=82,15,0)</f>
        <v/>
      </c>
    </row>
    <row r="1205">
      <c r="A1205" t="inlineStr">
        <is>
          <t>Shadow Partner Average Multiplier</t>
        </is>
      </c>
      <c r="B1205">
        <f>1+((C1177=TRUE)*F1177*(1+3.3333333333333335*IF(C1188=TRUE,F1188,0)/100)*I1177*Skills!J7/100)/100</f>
        <v/>
      </c>
    </row>
    <row r="1206">
      <c r="A1206" t="inlineStr">
        <is>
          <t>Attack Speed Buff Bonus %</t>
        </is>
      </c>
      <c r="B1206">
        <f>((C1189=TRUE)*F1189*IF(AND(Inputs!$B$39&lt;&gt;"pvp",Inputs!$B$44&gt;0),(((R1189-1)*(Skills!Y19*(1+Inputs!$B$34/100))+MIN((Skills!Y19*(1+Inputs!$B$34/100)),MAX(0,Inputs!$B$44-((R1189-1)*Skills!D19))))/Inputs!$B$44),IF(Inputs!$B$39="pvp",MIN((Skills!Y19*(1+Inputs!$B$34/100)),15)/15,(Skills!Y19*(1+Inputs!$B$34/100))/Skills!D19)))+((C1173=TRUE)*F1173*3)</f>
        <v/>
      </c>
    </row>
    <row r="1207">
      <c r="A1207" t="inlineStr">
        <is>
          <t>Actions Per Second</t>
        </is>
      </c>
      <c r="B1207">
        <f>1+MIN(150,150*(1-(1-(Inputs!$B$11+((C1192=TRUE)*(F1192-Calc!F22)))/150)*(1-B1206/150)))/100</f>
        <v/>
      </c>
    </row>
    <row r="1208">
      <c r="A1208" t="inlineStr">
        <is>
          <t>Skill + Buff Cast Rate</t>
        </is>
      </c>
      <c r="B1208">
        <f>IF(AND(Inputs!$B$39&lt;&gt;"pvp",Inputs!$B$44&gt;0),SUMPRODUCT((Skills!E2:E30=TRUE)*(C1172:C1200=TRUE)*R1172:R1200*Skills!F2:F30)/Inputs!$B$44,SUMPRODUCT((Skills!E2:E30=TRUE)*(C1172:C1200=TRUE)*Q1172:Q1200*Skills!F2:F30))</f>
        <v/>
      </c>
    </row>
    <row r="1209">
      <c r="A1209" t="inlineStr">
        <is>
          <t>Cruel Stab Casts Per Second</t>
        </is>
      </c>
      <c r="B1209">
        <f>MAX(0,B1207-B1208)</f>
        <v/>
      </c>
    </row>
    <row r="1210">
      <c r="A1210" t="inlineStr">
        <is>
          <t>Global Critical Damage Bonus % (Smokescreen Mastery Lv.113)</t>
        </is>
      </c>
      <c r="B1210">
        <f>IF(Inputs!$B$3&gt;=113,30,0)*IF(AND(Inputs!$B$39&lt;&gt;"pvp",Inputs!$B$44&gt;0),(((R1185-1)*(Skills!Y15*(1+Inputs!$B$34/100))+MIN((Skills!Y15*(1+Inputs!$B$34/100)),MAX(0,Inputs!$B$44-((R1185-1)*Skills!D15))))/Inputs!$B$44),IF(Inputs!$B$39="pvp",MIN((Skills!Y15*(1+Inputs!$B$34/100)),15)/15,(Skills!Y15*(1+Inputs!$B$34/100))/Skills!D15))</f>
        <v/>
      </c>
    </row>
    <row r="1211">
      <c r="A1211" t="inlineStr">
        <is>
          <t>Meso Explosion average stack count</t>
        </is>
      </c>
      <c r="B1211">
        <f>MIN(10,0.5*B1207*Skills!D4)</f>
        <v/>
      </c>
    </row>
    <row r="1212">
      <c r="A1212" t="inlineStr">
        <is>
          <t>Blood Money average stack count</t>
        </is>
      </c>
      <c r="B1212">
        <f>MIN(5,0.25*B1207*Skills!D4)</f>
        <v/>
      </c>
    </row>
    <row r="1213">
      <c r="A1213" t="inlineStr">
        <is>
          <t>Assassinate Murderous Intent Multiplier</t>
        </is>
      </c>
      <c r="B1213">
        <f>1+IFERROR(MIN(1,Q1184*2/Q1181),0)</f>
        <v/>
      </c>
    </row>
    <row r="1214">
      <c r="A1214" t="inlineStr">
        <is>
          <t>Buff-Casting Startup Delay (s, fixed-duration only)</t>
        </is>
      </c>
      <c r="B1214">
        <f>IF(AND(Inputs!$B$39&lt;&gt;"pvp",Inputs!$B$44&gt;0),SUMPRODUCT((Skills!Y2:Y30&gt;0)*(Skills!E2:E30=TRUE)*(C1172:C1200=TRUE))/B1207,0)</f>
        <v/>
      </c>
    </row>
    <row r="1215">
      <c r="A1215" s="6" t="inlineStr">
        <is>
          <t>TOTAL DPS</t>
        </is>
      </c>
      <c r="B1215" s="6">
        <f>SUM(O1172:O1200)</f>
        <v/>
      </c>
    </row>
    <row r="1216">
      <c r="A1216" t="inlineStr">
        <is>
          <t>Boss-Only Total DPS (this block's swept value)</t>
        </is>
      </c>
      <c r="B1216">
        <f>SUM(T1172:T1200)</f>
        <v/>
      </c>
    </row>
    <row r="1217">
      <c r="A1217" t="inlineStr">
        <is>
          <t>Normal-Only Total DPS (this block's swept value)</t>
        </is>
      </c>
      <c r="B1217">
        <f>SUM(V1172:V1200)</f>
        <v/>
      </c>
    </row>
    <row r="1220">
      <c r="A1220" s="6" t="inlineStr">
        <is>
          <t>Stat: Skill Cooldown Decrease (seconds)</t>
        </is>
      </c>
    </row>
    <row r="1221">
      <c r="A1221" s="5" t="inlineStr">
        <is>
          <t>Key</t>
        </is>
      </c>
      <c r="B1221" s="5" t="inlineStr">
        <is>
          <t>Name</t>
        </is>
      </c>
      <c r="C1221" s="5" t="inlineStr">
        <is>
          <t>Unlocked</t>
        </is>
      </c>
      <c r="D1221" s="5" t="inlineStr">
        <is>
          <t>InputLevel</t>
        </is>
      </c>
      <c r="E1221" s="5" t="inlineStr">
        <is>
          <t>Factor</t>
        </is>
      </c>
      <c r="F1221" s="5" t="inlineStr">
        <is>
          <t>CoefficientPercent</t>
        </is>
      </c>
      <c r="G1221" s="5" t="inlineStr">
        <is>
          <t>EffectiveHits</t>
        </is>
      </c>
      <c r="H1221" s="5" t="inlineStr">
        <is>
          <t>ProcProbability</t>
        </is>
      </c>
      <c r="I1221" s="5" t="inlineStr">
        <is>
          <t>MapleHeroMultiplier</t>
        </is>
      </c>
      <c r="J1221" s="5" t="inlineStr">
        <is>
          <t>BaseDamage</t>
        </is>
      </c>
      <c r="K1221" s="5" t="inlineStr">
        <is>
          <t>BaseHitDamage</t>
        </is>
      </c>
      <c r="L1221" s="5" t="inlineStr">
        <is>
          <t>NonCritAvg</t>
        </is>
      </c>
      <c r="M1221" s="5" t="inlineStr">
        <is>
          <t>CritAvg</t>
        </is>
      </c>
      <c r="N1221" s="5" t="inlineStr">
        <is>
          <t>ExpectedDamage(perHit)</t>
        </is>
      </c>
      <c r="O1221" s="5" t="inlineStr">
        <is>
          <t>DPS</t>
        </is>
      </c>
      <c r="P1221" s="5" t="inlineStr">
        <is>
          <t>% of Total</t>
        </is>
      </c>
      <c r="Q1221" s="5" t="inlineStr">
        <is>
          <t>InvCooldown</t>
        </is>
      </c>
      <c r="R1221" s="5" t="inlineStr">
        <is>
          <t>CastsInFight</t>
        </is>
      </c>
      <c r="S1221" s="5" t="inlineStr">
        <is>
          <t>HitRate(perSec)</t>
        </is>
      </c>
      <c r="U1221" t="inlineStr">
        <is>
          <t>helpers</t>
        </is>
      </c>
    </row>
    <row r="1222">
      <c r="A1222">
        <f>Skills!A2</f>
        <v/>
      </c>
      <c r="B1222">
        <f>Skills!B2</f>
        <v/>
      </c>
      <c r="C1222">
        <f>Inputs!$B$3&gt;=100</f>
        <v/>
      </c>
      <c r="D1222" t="inlineStr"/>
      <c r="E1222" t="inlineStr"/>
      <c r="F1222">
        <f>U1224+Skills!O2</f>
        <v/>
      </c>
      <c r="G1222">
        <f>Skills!G2*IF(Skills!H2&gt;0,Skills!I2/Skills!H2,1)</f>
        <v/>
      </c>
      <c r="H1222">
        <f>1-(1-Skills!J2/100)^Skills!K2</f>
        <v/>
      </c>
      <c r="I1222" t="inlineStr">
        <is>
          <t>1</t>
        </is>
      </c>
      <c r="J1222">
        <f>((Inputs!$B$6*(1+Inputs!$B$7/100))+(((Inputs!$B$12*(1+Inputs!$B$13/100))-(Inputs!$B$12*(1+Inputs!$B$13/100)))+0.25*(Inputs!$B$14-Inputs!$B$14))*(1+Inputs!$B$7/100))*(F1222/100)</f>
        <v/>
      </c>
      <c r="K1222">
        <f>J1222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1222)</f>
        <v/>
      </c>
      <c r="L1222">
        <f>K1222*(MIN(Inputs!$B$22+((C1244=TRUE)*(F1244-Calc!F24)),(Inputs!$B$23+((C1249=TRUE)*(F1249-Calc!F29))+IF(ArtifactsInput!$M$15,CHOOSE(ArtifactsInput!$N$15+1,25,30,35,40,45,50)/100*(Inputs!$B$11-Inputs!$B$11),0)))/100+(Inputs!$B$23+((C1249=TRUE)*(F1249-Calc!F29))+IF(ArtifactsInput!$M$15,CHOOSE(ArtifactsInput!$N$15+1,25,30,35,40,45,50)/100*(Inputs!$B$11-Inputs!$B$11),0))/100)/2</f>
        <v/>
      </c>
      <c r="M1222">
        <f>L1222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2">
        <f>L1222*(1-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1222*(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2">
        <f>(1-Summary!$B$11)*T1222+Summary!$B$11*V1222</f>
        <v/>
      </c>
      <c r="P1222">
        <f>IF(B1265=0,0,O1222/B1265)</f>
        <v/>
      </c>
      <c r="Q1222" t="n">
        <v>0</v>
      </c>
      <c r="R1222" t="n">
        <v>0</v>
      </c>
      <c r="S1222">
        <f>IFERROR(O1222/N1222,0)</f>
        <v/>
      </c>
      <c r="T1222">
        <f>IF(C1222,(Skills!G2*N1222*B1259)*IF(Inputs!$B$39="pvp",1,1+(Inputs!$B$20+0+Skills!P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1222*(1-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1222*(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1222*(1-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1222*(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2">
        <f>MAX(0,(Inputs!$B$3-100)*3)+Inputs!$B$28+Inputs!$B$29</f>
        <v/>
      </c>
      <c r="V1222">
        <f>IF(C1222,(Skills!G2*N1222*B1259)*IF(Inputs!$B$39="pvp",1,(1+(Inputs!$B$21+Skills!Q2+B1254+(IF(ArtifactsInput!$M$33,CHOOSE(ArtifactsInput!$N$33+1,30,36,42,48,54,60),0))+(IF(AND(ArtifactsInput!$M$35,Inputs!$B$4&lt;&gt;"Chapter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3">
      <c r="A1223">
        <f>Skills!A3</f>
        <v/>
      </c>
      <c r="B1223">
        <f>Skills!B3</f>
        <v/>
      </c>
      <c r="C1223">
        <f>Inputs!$B$3&gt;=35</f>
        <v/>
      </c>
      <c r="D1223">
        <f>IF(Skills!C3=1,60+Inputs!$B$25+Inputs!$B$29,IF(Skills!C3=2,90+Inputs!$B$26+Inputs!$B$29,IF(Skills!C3=3,120+Inputs!$B$27+Inputs!$B$29,MAX(0,(Inputs!$B$3-100)*3)+Inputs!$B$28+Inputs!$B$29)))</f>
        <v/>
      </c>
      <c r="E1223">
        <f>INDEX(FactorTable!$B$2:$Y$301, MATCH(ROUND(MIN(300,MAX(1,D1223)),0), FactorTable!$A$2:$A$301,0), Skills!M3+1)</f>
        <v/>
      </c>
      <c r="F1223">
        <f>IF(Skills!N3=TRUE,(Skills!L3/10)*(E1223/1000),Skills!L3/10)+Skills!O3</f>
        <v/>
      </c>
      <c r="G1223">
        <f>Skills!G3*IF(Skills!H3&gt;0,Skills!I3/Skills!H3,1)</f>
        <v/>
      </c>
      <c r="H1223">
        <f>1-(1-Skills!J3/100)^Skills!K3</f>
        <v/>
      </c>
      <c r="I1223" t="inlineStr">
        <is>
          <t>1</t>
        </is>
      </c>
      <c r="J1223" t="inlineStr"/>
      <c r="K1223" t="inlineStr"/>
      <c r="L1223" t="inlineStr"/>
      <c r="M1223" t="inlineStr"/>
      <c r="N1223" t="inlineStr"/>
      <c r="O1223">
        <f>(1-Summary!$B$11)*T1223+Summary!$B$11*V1223</f>
        <v/>
      </c>
      <c r="P1223">
        <f>IF(B1265=0,0,O1223/B1265)</f>
        <v/>
      </c>
      <c r="Q1223" t="n">
        <v>0</v>
      </c>
      <c r="R1223" t="n">
        <v>0</v>
      </c>
      <c r="S1223">
        <f>IFERROR(O1223/N1223,0)</f>
        <v/>
      </c>
      <c r="T1223" t="n">
        <v>0</v>
      </c>
      <c r="U1223">
        <f>INDEX(FactorTable!$B$2:$Y$301, MATCH(ROUND(MIN(300,MAX(1,U1222)),0), FactorTable!$A$2:$A$301,0), 22)</f>
        <v/>
      </c>
      <c r="V1223" t="n">
        <v>0</v>
      </c>
    </row>
    <row r="1224">
      <c r="A1224">
        <f>Skills!A4</f>
        <v/>
      </c>
      <c r="B1224">
        <f>Skills!B4</f>
        <v/>
      </c>
      <c r="C1224">
        <f>Inputs!$B$3&gt;=66</f>
        <v/>
      </c>
      <c r="D1224">
        <f>IF(Skills!C4=1,60+Inputs!$B$25+Inputs!$B$29,IF(Skills!C4=2,90+Inputs!$B$26+Inputs!$B$29,IF(Skills!C4=3,120+Inputs!$B$27+Inputs!$B$29,MAX(0,(Inputs!$B$3-100)*3)+Inputs!$B$28+Inputs!$B$29)))</f>
        <v/>
      </c>
      <c r="E1224">
        <f>INDEX(FactorTable!$B$2:$Y$301, MATCH(ROUND(MIN(300,MAX(1,D1224)),0), FactorTable!$A$2:$A$301,0), Skills!M4+1)</f>
        <v/>
      </c>
      <c r="F1224">
        <f>IF(Skills!N4=TRUE,(Skills!L4/10)*(E1224/1000),Skills!L4/10)+Skills!O4</f>
        <v/>
      </c>
      <c r="G1224">
        <f>Skills!G4*IF(Skills!H4&gt;0,Skills!I4/Skills!H4,1)</f>
        <v/>
      </c>
      <c r="H1224">
        <f>1-(1-Skills!J4/100)^Skills!K4</f>
        <v/>
      </c>
      <c r="I1224" t="inlineStr">
        <is>
          <t>1</t>
        </is>
      </c>
      <c r="J1224">
        <f>((Inputs!$B$6*(1+Inputs!$B$7/100))+(((Inputs!$B$12*(1+Inputs!$B$13/100))-(Inputs!$B$12*(1+Inputs!$B$13/100)))+0.25*(Inputs!$B$14-Inputs!$B$14))*(1+Inputs!$B$7/100))*(F1224/100)</f>
        <v/>
      </c>
      <c r="K1224">
        <f>J1224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1224)</f>
        <v/>
      </c>
      <c r="L1224">
        <f>K1224*(MIN(Inputs!$B$22+((C1244=TRUE)*(F1244-Calc!F24)),(Inputs!$B$23+((C1249=TRUE)*(F1249-Calc!F29))+IF(ArtifactsInput!$M$15,CHOOSE(ArtifactsInput!$N$15+1,25,30,35,40,45,50)/100*(Inputs!$B$11-Inputs!$B$11),0)))/100+(Inputs!$B$23+((C1249=TRUE)*(F1249-Calc!F29))+IF(ArtifactsInput!$M$15,CHOOSE(ArtifactsInput!$N$15+1,25,30,35,40,45,50)/100*(Inputs!$B$11-Inputs!$B$11),0))/100)/2</f>
        <v/>
      </c>
      <c r="M1224">
        <f>L1224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4">
        <f>L1224*(1-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1224*(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4">
        <f>(1-Summary!$B$11)*T1224+Summary!$B$11*V1224</f>
        <v/>
      </c>
      <c r="P1224">
        <f>IF(B1265=0,0,O1224/B1265)</f>
        <v/>
      </c>
      <c r="Q1224">
        <f>IFERROR(1/IF(Inputs!$B$39="pvp",15,MAX(0.1,Skills!D4-IF(Skills!E4=TRUE,(Inputs!$B$32+1),0))),0)</f>
        <v/>
      </c>
      <c r="R1224">
        <f>IF(AND(Inputs!$B$39&lt;&gt;"pvp",Inputs!$B$44&gt;0),IF(MAX(0,Inputs!$B$44-B1264)&lt;=0,0,(INT(MAX(0,Inputs!$B$44-B1264)/IF(Inputs!$B$39="pvp",15,MAX(0.1,Skills!D4-IF(Skills!E4=TRUE,(Inputs!$B$32+1),0))))+1)),0)</f>
        <v/>
      </c>
      <c r="S1224">
        <f>IFERROR(O1224/N1224,0)</f>
        <v/>
      </c>
      <c r="T1224">
        <f>IF(C1224,(H1224*N1224*IF(AND(Inputs!$B$39&lt;&gt;"pvp",Inputs!$B$44&gt;0),((Skills!G4*((R1224-1)*IF(Skills!H4&gt;0,Skills!I4/Skills!H4,1)+IF(Skills!H4&gt;0,MIN(Skills!I4,MAX(0,MAX(0,Inputs!$B$44-B1264)-((R1224-1)*IF(Inputs!$B$39="pvp",15,MAX(0.1,Skills!D4-IF(Skills!E4=TRUE,(Inputs!$B$32+1),0))))))/Skills!H4,1)))/Inputs!$B$44),G1224*Q1224))*IF(Inputs!$B$39="pvp",1,1+(Inputs!$B$20+0+Skills!P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1224*(1-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1224*(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1224*(1-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1224*(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4">
        <f>290*U1223/1000</f>
        <v/>
      </c>
      <c r="V1224">
        <f>IF(C1224,(H1224*N1224*IF(AND(Inputs!$B$39&lt;&gt;"pvp",Inputs!$B$44&gt;0),((Skills!G4*((R1224-1)*IF(Skills!H4&gt;0,Skills!I4/Skills!H4,1)+IF(Skills!H4&gt;0,MIN(Skills!I4,MAX(0,MAX(0,Inputs!$B$44-B1264)-((R1224-1)*IF(Inputs!$B$39="pvp",15,MAX(0.1,Skills!D4-IF(Skills!E4=TRUE,(Inputs!$B$32+1),0))))))/Skills!H4,1)))/Inputs!$B$44),G1224*Q1224))*IF(Inputs!$B$39="pvp",1,(1+(Inputs!$B$21+Skills!Q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(10,0.5*B1257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5">
      <c r="A1225">
        <f>Skills!A5</f>
        <v/>
      </c>
      <c r="B1225">
        <f>Skills!B5</f>
        <v/>
      </c>
      <c r="C1225">
        <f>Inputs!$B$3&gt;=63</f>
        <v/>
      </c>
      <c r="D1225">
        <f>IF(Skills!C5=1,60+Inputs!$B$25+Inputs!$B$29,IF(Skills!C5=2,90+Inputs!$B$26+Inputs!$B$29,IF(Skills!C5=3,120+Inputs!$B$27+Inputs!$B$29,MAX(0,(Inputs!$B$3-100)*3)+Inputs!$B$28+Inputs!$B$29)))</f>
        <v/>
      </c>
      <c r="E1225">
        <f>INDEX(FactorTable!$B$2:$Y$301, MATCH(ROUND(MIN(300,MAX(1,D1225)),0), FactorTable!$A$2:$A$301,0), Skills!M5+1)</f>
        <v/>
      </c>
      <c r="F1225">
        <f>IF(Skills!N5=TRUE,(Skills!L5/10)*(E1225/1000),Skills!L5/10)+Skills!O5</f>
        <v/>
      </c>
      <c r="G1225">
        <f>Skills!G5*IF(Skills!H5&gt;0,Skills!I5/Skills!H5,1)</f>
        <v/>
      </c>
      <c r="H1225">
        <f>1-(1-Skills!J5/100)^Skills!K5</f>
        <v/>
      </c>
      <c r="I1225" t="inlineStr">
        <is>
          <t>1</t>
        </is>
      </c>
      <c r="J1225">
        <f>((Inputs!$B$6*(1+Inputs!$B$7/100))+(((Inputs!$B$12*(1+Inputs!$B$13/100))-(Inputs!$B$12*(1+Inputs!$B$13/100)))+0.25*(Inputs!$B$14-Inputs!$B$14))*(1+Inputs!$B$7/100))*(F1225/100)</f>
        <v/>
      </c>
      <c r="K1225">
        <f>J1225*(1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1238=TRUE,F1238,0)/100)*(1+(IF(Skills!A5="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1225)</f>
        <v/>
      </c>
      <c r="L1225">
        <f>K1225*(MIN(Inputs!$B$22+((C1244=TRUE)*(F1244-Calc!F24)),(Inputs!$B$23+((C1249=TRUE)*(F1249-Calc!F29))+IF(ArtifactsInput!$M$15,CHOOSE(ArtifactsInput!$N$15+1,25,30,35,40,45,50)/100*(Inputs!$B$11-Inputs!$B$11),0)))/100+(Inputs!$B$23+((C1249=TRUE)*(F1249-Calc!F29))+IF(ArtifactsInput!$M$15,CHOOSE(ArtifactsInput!$N$15+1,25,30,35,40,45,50)/100*(Inputs!$B$11-Inputs!$B$11),0))/100)/2</f>
        <v/>
      </c>
      <c r="M1225">
        <f>L1225*(1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5">
        <f>L1225*(1-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1225*(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5">
        <f>(1-Summary!$B$11)*T1225+Summary!$B$11*V1225</f>
        <v/>
      </c>
      <c r="P1225">
        <f>IF(B1265=0,0,O1225/B1265)</f>
        <v/>
      </c>
      <c r="Q1225">
        <f>IFERROR(1/IF(Inputs!$B$39="pvp",15,MAX(0.1,Skills!D5-IF(Skills!E5=TRUE,(Inputs!$B$32+1),0))),0)</f>
        <v/>
      </c>
      <c r="R1225">
        <f>IF(AND(Inputs!$B$39&lt;&gt;"pvp",Inputs!$B$44&gt;0),IF(MAX(0,Inputs!$B$44-B1264)&lt;=0,0,(INT(MAX(0,Inputs!$B$44-B1264)/IF(Inputs!$B$39="pvp",15,MAX(0.1,Skills!D5-IF(Skills!E5=TRUE,(Inputs!$B$32+1),0))))+1)),0)</f>
        <v/>
      </c>
      <c r="S1225">
        <f>IFERROR(O1225/N1225,0)</f>
        <v/>
      </c>
      <c r="T1225">
        <f>IF(C1225,(H1225*N1225*IF(AND(Inputs!$B$39&lt;&gt;"pvp",Inputs!$B$44&gt;0),((Skills!G5*((R1225-1)*IF(Skills!H5&gt;0,Skills!I5/Skills!H5,1)+IF(Skills!H5&gt;0,MIN(Skills!I5,MAX(0,MAX(0,Inputs!$B$44-B1264)-((R1225-1)*IF(Inputs!$B$39="pvp",15,MAX(0.1,Skills!D5-IF(Skills!E5=TRUE,(Inputs!$B$32+1),0))))))/Skills!H5,1)))/Inputs!$B$44),G1225*Q1225))*IF(Inputs!$B$39="pvp",1,1+(Inputs!$B$20+0+Skills!P5+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1225*(1-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1225*(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1225*(1-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1225*(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5">
        <f>IF(C1225,(H1225*N1225*IF(AND(Inputs!$B$39&lt;&gt;"pvp",Inputs!$B$44&gt;0),((Skills!G5*((R1225-1)*IF(Skills!H5&gt;0,Skills!I5/Skills!H5,1)+IF(Skills!H5&gt;0,MIN(Skills!I5,MAX(0,MAX(0,Inputs!$B$44-B1264)-((R1225-1)*IF(Inputs!$B$39="pvp",15,MAX(0.1,Skills!D5-IF(Skills!E5=TRUE,(Inputs!$B$32+1),0))))))/Skills!H5,1)))/Inputs!$B$44),G1225*Q1225))*IF(Inputs!$B$39="pvp",1,(1+(Inputs!$B$21+Skills!Q5+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6">
      <c r="A1226">
        <f>Skills!A6</f>
        <v/>
      </c>
      <c r="B1226">
        <f>Skills!B6</f>
        <v/>
      </c>
      <c r="C1226">
        <f>Inputs!$B$3&gt;=69</f>
        <v/>
      </c>
      <c r="D1226">
        <f>IF(Skills!C6=1,60+Inputs!$B$25+Inputs!$B$29,IF(Skills!C6=2,90+Inputs!$B$26+Inputs!$B$29,IF(Skills!C6=3,120+Inputs!$B$27+Inputs!$B$29,MAX(0,(Inputs!$B$3-100)*3)+Inputs!$B$28+Inputs!$B$29)))</f>
        <v/>
      </c>
      <c r="E1226">
        <f>INDEX(FactorTable!$B$2:$Y$301, MATCH(ROUND(MIN(300,MAX(1,D1226)),0), FactorTable!$A$2:$A$301,0), Skills!M6+1)</f>
        <v/>
      </c>
      <c r="F1226">
        <f>IF(Skills!N6=TRUE,(Skills!L6/10)*(E1226/1000),Skills!L6/10)+Skills!O6</f>
        <v/>
      </c>
      <c r="G1226">
        <f>Skills!G6*IF(Skills!H6&gt;0,Skills!I6/Skills!H6,1)</f>
        <v/>
      </c>
      <c r="H1226">
        <f>1-(1-Skills!J6/100)^Skills!K6</f>
        <v/>
      </c>
      <c r="I1226" t="inlineStr">
        <is>
          <t>1</t>
        </is>
      </c>
      <c r="J1226">
        <f>((Inputs!$B$6*(1+Inputs!$B$7/100))+(((Inputs!$B$12*(1+Inputs!$B$13/100))-(Inputs!$B$12*(1+Inputs!$B$13/100)))+0.25*(Inputs!$B$14-Inputs!$B$14))*(1+Inputs!$B$7/100))*(F1226/100)</f>
        <v/>
      </c>
      <c r="K1226">
        <f>J1226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1238=TRUE,F1238,0)/100)*(1+(IF(Skills!A6="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1226)</f>
        <v/>
      </c>
      <c r="L1226">
        <f>K1226*(MIN(Inputs!$B$22+((C1244=TRUE)*(F1244-Calc!F24)),(Inputs!$B$23+((C1249=TRUE)*(F1249-Calc!F29))+IF(ArtifactsInput!$M$15,CHOOSE(ArtifactsInput!$N$15+1,25,30,35,40,45,50)/100*(Inputs!$B$11-Inputs!$B$11),0)))/100+(Inputs!$B$23+((C1249=TRUE)*(F1249-Calc!F29))+IF(ArtifactsInput!$M$15,CHOOSE(ArtifactsInput!$N$15+1,25,30,35,40,45,50)/100*(Inputs!$B$11-Inputs!$B$11),0))/100)/2</f>
        <v/>
      </c>
      <c r="M1226">
        <f>L1226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6">
        <f>L1226*(1-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1226*(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6">
        <f>(1-Summary!$B$11)*T1226+Summary!$B$11*V1226</f>
        <v/>
      </c>
      <c r="P1226">
        <f>IF(B1265=0,0,O1226/B1265)</f>
        <v/>
      </c>
      <c r="Q1226">
        <f>IFERROR(1/IF(Inputs!$B$39="pvp",15,MAX(0.1,Skills!D6-IF(Skills!E6=TRUE,(Inputs!$B$32+1),0))),0)</f>
        <v/>
      </c>
      <c r="R1226">
        <f>IF(AND(Inputs!$B$39&lt;&gt;"pvp",Inputs!$B$44&gt;0),IF(MAX(0,Inputs!$B$44-B1264)&lt;=0,0,(INT(MAX(0,Inputs!$B$44-B1264)/IF(Inputs!$B$39="pvp",15,MAX(0.1,Skills!D6-IF(Skills!E6=TRUE,(Inputs!$B$32+1),0))))+1)),0)</f>
        <v/>
      </c>
      <c r="S1226">
        <f>IFERROR(O1226/N1226,0)</f>
        <v/>
      </c>
      <c r="T1226">
        <f>IF(C1226,(H1226*N1226*IF(AND(Inputs!$B$39&lt;&gt;"pvp",Inputs!$B$44&gt;0),((Skills!G6*((R1226-1)*IF(Skills!H6&gt;0,Skills!I6/Skills!H6,1)+IF(Skills!H6&gt;0,MIN(Skills!I6,MAX(0,MAX(0,Inputs!$B$44-B1264)-((R1226-1)*IF(Inputs!$B$39="pvp",15,MAX(0.1,Skills!D6-IF(Skills!E6=TRUE,(Inputs!$B$32+1),0))))))/Skills!H6,1)))/Inputs!$B$44),G1226*Q1226))*IF(Inputs!$B$39="pvp",1,1+(Inputs!$B$20+0+Skills!P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1226*(1-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1226*(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1226*(1-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1226*(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6">
        <f>IF(C1226,(H1226*N1226*IF(AND(Inputs!$B$39&lt;&gt;"pvp",Inputs!$B$44&gt;0),((Skills!G6*((R1226-1)*IF(Skills!H6&gt;0,Skills!I6/Skills!H6,1)+IF(Skills!H6&gt;0,MIN(Skills!I6,MAX(0,MAX(0,Inputs!$B$44-B1264)-((R1226-1)*IF(Inputs!$B$39="pvp",15,MAX(0.1,Skills!D6-IF(Skills!E6=TRUE,(Inputs!$B$32+1),0))))))/Skills!H6,1)))/Inputs!$B$44),G1226*Q1226))*IF(Inputs!$B$39="pvp",1,(1+(Inputs!$B$21+Skills!Q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7">
      <c r="A1227">
        <f>Skills!A7</f>
        <v/>
      </c>
      <c r="B1227">
        <f>Skills!B7</f>
        <v/>
      </c>
      <c r="C1227">
        <f>Inputs!$B$3&gt;=60</f>
        <v/>
      </c>
      <c r="D1227">
        <f>IF(Skills!C7=1,60+Inputs!$B$25+Inputs!$B$29,IF(Skills!C7=2,90+Inputs!$B$26+Inputs!$B$29,IF(Skills!C7=3,120+Inputs!$B$27+Inputs!$B$29,MAX(0,(Inputs!$B$3-100)*3)+Inputs!$B$28+Inputs!$B$29)))</f>
        <v/>
      </c>
      <c r="E1227">
        <f>INDEX(FactorTable!$B$2:$Y$301, MATCH(ROUND(MIN(300,MAX(1,D1227)),0), FactorTable!$A$2:$A$301,0), Skills!M7+1)</f>
        <v/>
      </c>
      <c r="F1227">
        <f>IF(Skills!N7=TRUE,(Skills!L7/10)*(E1227/1000),Skills!L7/10)+Skills!O7</f>
        <v/>
      </c>
      <c r="G1227">
        <f>Skills!G7*IF(Skills!H7&gt;0,Skills!I7/Skills!H7,1)</f>
        <v/>
      </c>
      <c r="H1227">
        <f>1-(1-Skills!J7/100)^Skills!K7</f>
        <v/>
      </c>
      <c r="I1227" t="inlineStr">
        <is>
          <t>1</t>
        </is>
      </c>
      <c r="J1227" t="inlineStr"/>
      <c r="K1227" t="inlineStr"/>
      <c r="L1227" t="inlineStr"/>
      <c r="M1227" t="inlineStr"/>
      <c r="N1227" t="inlineStr"/>
      <c r="O1227">
        <f>(1-Summary!$B$11)*T1227+Summary!$B$11*V1227</f>
        <v/>
      </c>
      <c r="P1227">
        <f>IF(B1265=0,0,O1227/B1265)</f>
        <v/>
      </c>
      <c r="Q1227" t="n">
        <v>0</v>
      </c>
      <c r="R1227" t="n">
        <v>0</v>
      </c>
      <c r="S1227">
        <f>IFERROR(O1227/N1227,0)</f>
        <v/>
      </c>
      <c r="T1227" t="n">
        <v>0</v>
      </c>
      <c r="V1227" t="n">
        <v>0</v>
      </c>
    </row>
    <row r="1228">
      <c r="A1228">
        <f>Skills!A8</f>
        <v/>
      </c>
      <c r="B1228">
        <f>Skills!B8</f>
        <v/>
      </c>
      <c r="C1228">
        <f>Inputs!$B$3&gt;=72</f>
        <v/>
      </c>
      <c r="D1228">
        <f>IF(Skills!C8=1,60+Inputs!$B$25+Inputs!$B$29,IF(Skills!C8=2,90+Inputs!$B$26+Inputs!$B$29,IF(Skills!C8=3,120+Inputs!$B$27+Inputs!$B$29,MAX(0,(Inputs!$B$3-100)*3)+Inputs!$B$28+Inputs!$B$29)))</f>
        <v/>
      </c>
      <c r="E1228">
        <f>INDEX(FactorTable!$B$2:$Y$301, MATCH(ROUND(MIN(300,MAX(1,D1228)),0), FactorTable!$A$2:$A$301,0), Skills!M8+1)</f>
        <v/>
      </c>
      <c r="F1228">
        <f>IF(Skills!N8=TRUE,(Skills!L8/10)*(E1228/1000),Skills!L8/10)+Skills!O8</f>
        <v/>
      </c>
      <c r="G1228">
        <f>Skills!G8*IF(Skills!H8&gt;0,Skills!I8/Skills!H8,1)</f>
        <v/>
      </c>
      <c r="H1228">
        <f>1-(1-Skills!J8/100)^Skills!K8</f>
        <v/>
      </c>
      <c r="I1228" t="inlineStr">
        <is>
          <t>1</t>
        </is>
      </c>
      <c r="J1228">
        <f>((Inputs!$B$6*(1+Inputs!$B$7/100))+(((Inputs!$B$12*(1+Inputs!$B$13/100))-(Inputs!$B$12*(1+Inputs!$B$13/100)))+0.25*(Inputs!$B$14-Inputs!$B$14))*(1+Inputs!$B$7/100))*(F1228/100)</f>
        <v/>
      </c>
      <c r="K1228">
        <f>J1228*(1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1238=TRUE,F1238,0)/100)*(1+(IF(Skills!A8="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1228)</f>
        <v/>
      </c>
      <c r="L1228">
        <f>K1228*(MIN(Inputs!$B$22+((C1244=TRUE)*(F1244-Calc!F24)),(Inputs!$B$23+((C1249=TRUE)*(F1249-Calc!F29))+IF(ArtifactsInput!$M$15,CHOOSE(ArtifactsInput!$N$15+1,25,30,35,40,45,50)/100*(Inputs!$B$11-Inputs!$B$11),0)))/100+(Inputs!$B$23+((C1249=TRUE)*(F1249-Calc!F29))+IF(ArtifactsInput!$M$15,CHOOSE(ArtifactsInput!$N$15+1,25,30,35,40,45,50)/100*(Inputs!$B$11-Inputs!$B$11),0))/100)/2</f>
        <v/>
      </c>
      <c r="M1228">
        <f>L1228*(1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8">
        <f>L1228*(1-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1228*(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8">
        <f>(1-Summary!$B$11)*T1228+Summary!$B$11*V1228</f>
        <v/>
      </c>
      <c r="P1228">
        <f>IF(B1265=0,0,O1228/B1265)</f>
        <v/>
      </c>
      <c r="Q1228">
        <f>IFERROR(1/IF(Inputs!$B$39="pvp",15,MAX(0.1,Skills!D8-IF(Skills!E8=TRUE,(Inputs!$B$32+1),0))),0)</f>
        <v/>
      </c>
      <c r="R1228">
        <f>IF(AND(Inputs!$B$39&lt;&gt;"pvp",Inputs!$B$44&gt;0),IF(MAX(0,Inputs!$B$44-B1264)&lt;=0,0,(INT(MAX(0,Inputs!$B$44-B1264)/IF(Inputs!$B$39="pvp",15,MAX(0.1,Skills!D8-IF(Skills!E8=TRUE,(Inputs!$B$32+1),0))))+1)),0)</f>
        <v/>
      </c>
      <c r="S1228">
        <f>IFERROR(O1228/N1228,0)</f>
        <v/>
      </c>
      <c r="T1228">
        <f>IF(C1228,(H1228*N1228*IF(AND(Inputs!$B$39&lt;&gt;"pvp",Inputs!$B$44&gt;0),((Skills!G8*((R1228-1)*IF(Skills!H8&gt;0,Skills!I8/Skills!H8,1)+IF(Skills!H8&gt;0,MIN(Skills!I8,MAX(0,MAX(0,Inputs!$B$44-B1264)-((R1228-1)*IF(Inputs!$B$39="pvp",15,MAX(0.1,Skills!D8-IF(Skills!E8=TRUE,(Inputs!$B$32+1),0))))))/Skills!H8,1)))/Inputs!$B$44),G1228*Q1228))*IF(Inputs!$B$39="pvp",1,1+(Inputs!$B$20+0+Skills!P8+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1228*(1-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1228*(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1228*(1-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1228*(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8">
        <f>IF(C1228,(H1228*N1228*IF(AND(Inputs!$B$39&lt;&gt;"pvp",Inputs!$B$44&gt;0),((Skills!G8*((R1228-1)*IF(Skills!H8&gt;0,Skills!I8/Skills!H8,1)+IF(Skills!H8&gt;0,MIN(Skills!I8,MAX(0,MAX(0,Inputs!$B$44-B1264)-((R1228-1)*IF(Inputs!$B$39="pvp",15,MAX(0.1,Skills!D8-IF(Skills!E8=TRUE,(Inputs!$B$32+1),0))))))/Skills!H8,1)))/Inputs!$B$44),G1228*Q1228))*IF(Inputs!$B$39="pvp",1,(1+(Inputs!$B$21+Skills!Q8+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9">
      <c r="A1229">
        <f>Skills!A9</f>
        <v/>
      </c>
      <c r="B1229">
        <f>Skills!B9</f>
        <v/>
      </c>
      <c r="C1229">
        <f>Inputs!$B$3&gt;=117</f>
        <v/>
      </c>
      <c r="D1229">
        <f>IF(Skills!C9=1,60+Inputs!$B$25+Inputs!$B$29,IF(Skills!C9=2,90+Inputs!$B$26+Inputs!$B$29,IF(Skills!C9=3,120+Inputs!$B$27+Inputs!$B$29,MAX(0,(Inputs!$B$3-100)*3)+Inputs!$B$28+Inputs!$B$29)))</f>
        <v/>
      </c>
      <c r="E1229">
        <f>INDEX(FactorTable!$B$2:$Y$301, MATCH(ROUND(MIN(300,MAX(1,D1229)),0), FactorTable!$A$2:$A$301,0), Skills!M9+1)</f>
        <v/>
      </c>
      <c r="F1229">
        <f>IF(Skills!N9=TRUE,(Skills!L9/10)*(E1229/1000),Skills!L9/10)+Skills!O9</f>
        <v/>
      </c>
      <c r="G1229">
        <f>Skills!G9*IF(Skills!H9&gt;0,Skills!I9/Skills!H9,1)</f>
        <v/>
      </c>
      <c r="H1229">
        <f>1-(1-Skills!J9/100)^Skills!K9</f>
        <v/>
      </c>
      <c r="I1229" t="inlineStr">
        <is>
          <t>1</t>
        </is>
      </c>
      <c r="J1229">
        <f>((Inputs!$B$6*(1+Inputs!$B$7/100))+(((Inputs!$B$12*(1+Inputs!$B$13/100))-(Inputs!$B$12*(1+Inputs!$B$13/100)))+0.25*(Inputs!$B$14-Inputs!$B$14))*(1+Inputs!$B$7/100))*(F1229/100)</f>
        <v/>
      </c>
      <c r="K1229">
        <f>J1229*(1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1229)</f>
        <v/>
      </c>
      <c r="L1229">
        <f>K1229*(MIN(Inputs!$B$22+((C1244=TRUE)*(F1244-Calc!F24)),(Inputs!$B$23+((C1249=TRUE)*(F1249-Calc!F29))+IF(ArtifactsInput!$M$15,CHOOSE(ArtifactsInput!$N$15+1,25,30,35,40,45,50)/100*(Inputs!$B$11-Inputs!$B$11),0)))/100+(Inputs!$B$23+((C1249=TRUE)*(F1249-Calc!F29))+IF(ArtifactsInput!$M$15,CHOOSE(ArtifactsInput!$N$15+1,25,30,35,40,45,50)/100*(Inputs!$B$11-Inputs!$B$11),0))/100)/2</f>
        <v/>
      </c>
      <c r="M1229">
        <f>L1229*(1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9">
        <f>L1229*(1-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1229*(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9">
        <f>(1-Summary!$B$11)*T1229+Summary!$B$11*V1229</f>
        <v/>
      </c>
      <c r="P1229">
        <f>IF(B1265=0,0,O1229/B1265)</f>
        <v/>
      </c>
      <c r="Q1229" t="n">
        <v>0</v>
      </c>
      <c r="R1229" t="n">
        <v>0</v>
      </c>
      <c r="S1229" t="n">
        <v>0</v>
      </c>
      <c r="T1229">
        <f>IF(C1229,(0.2*SUMPRODUCT((Skills!Z2:Z30=TRUE)*(C1222:C1250=TRUE)*S1222:S1250)*N1229)*IF(Inputs!$B$39="pvp",1,1+(Inputs!$B$20+0+Skills!P9+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1229*(1-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1229*(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1229*(1-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1229*(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9">
        <f>IF(C1229,(0.2*SUMPRODUCT((Skills!Z2:Z30=TRUE)*(C1222:C1250=TRUE)*S1222:S1250)*N1229)*IF(Inputs!$B$39="pvp",1,(1+(Inputs!$B$21+Skills!Q9+B1254+(IF(ArtifactsInput!$M$33,CHOOSE(ArtifactsInput!$N$33+1,30,36,42,48,54,60),0))+(IF(AND(ArtifactsInput!$M$35,Inputs!$B$4&lt;&gt;"Chapter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0">
      <c r="A1230">
        <f>Skills!A10</f>
        <v/>
      </c>
      <c r="B1230">
        <f>Skills!B10</f>
        <v/>
      </c>
      <c r="C1230">
        <f>Inputs!$B$3&gt;=74</f>
        <v/>
      </c>
      <c r="D1230">
        <f>IF(Skills!C10=1,60+Inputs!$B$25+Inputs!$B$29,IF(Skills!C10=2,90+Inputs!$B$26+Inputs!$B$29,IF(Skills!C10=3,120+Inputs!$B$27+Inputs!$B$29,MAX(0,(Inputs!$B$3-100)*3)+Inputs!$B$28+Inputs!$B$29)))</f>
        <v/>
      </c>
      <c r="E1230">
        <f>INDEX(FactorTable!$B$2:$Y$301, MATCH(ROUND(MIN(300,MAX(1,D1230)),0), FactorTable!$A$2:$A$301,0), Skills!M10+1)</f>
        <v/>
      </c>
      <c r="F1230">
        <f>IF(Skills!N10=TRUE,(Skills!L10/10)*(E1230/1000),Skills!L10/10)+Skills!O10</f>
        <v/>
      </c>
      <c r="G1230">
        <f>Skills!G10*IF(Skills!H10&gt;0,Skills!I10/Skills!H10,1)</f>
        <v/>
      </c>
      <c r="H1230">
        <f>1-(1-Skills!J10/100)^Skills!K10</f>
        <v/>
      </c>
      <c r="I1230" t="inlineStr">
        <is>
          <t>1</t>
        </is>
      </c>
      <c r="J1230" t="inlineStr"/>
      <c r="K1230" t="inlineStr"/>
      <c r="L1230" t="inlineStr"/>
      <c r="M1230" t="inlineStr"/>
      <c r="N1230" t="inlineStr"/>
      <c r="O1230">
        <f>(1-Summary!$B$11)*T1230+Summary!$B$11*V1230</f>
        <v/>
      </c>
      <c r="P1230">
        <f>IF(B1265=0,0,O1230/B1265)</f>
        <v/>
      </c>
      <c r="Q1230">
        <f>IFERROR(1/IF(Inputs!$B$39="pvp",15,MAX(0.1,Skills!D10-IF(Skills!E10=TRUE,(Inputs!$B$32+1),0))),0)</f>
        <v/>
      </c>
      <c r="R1230">
        <f>IF(AND(Inputs!$B$39&lt;&gt;"pvp",Inputs!$B$44&gt;0),IF(Inputs!$B$44&lt;=0,0,(INT(Inputs!$B$44/IF(Inputs!$B$39="pvp",15,MAX(0.1,Skills!D10-IF(Skills!E10=TRUE,(Inputs!$B$32+1),0))))+1)),0)</f>
        <v/>
      </c>
      <c r="S1230">
        <f>IFERROR(O1230/N1230,0)</f>
        <v/>
      </c>
      <c r="T1230" t="n">
        <v>0</v>
      </c>
      <c r="V1230" t="n">
        <v>0</v>
      </c>
    </row>
    <row r="1231">
      <c r="A1231">
        <f>Skills!A11</f>
        <v/>
      </c>
      <c r="B1231">
        <f>Skills!B11</f>
        <v/>
      </c>
      <c r="C1231">
        <f>Inputs!$B$3&gt;=103</f>
        <v/>
      </c>
      <c r="D1231">
        <f>IF(Skills!C11=1,60+Inputs!$B$25+Inputs!$B$29,IF(Skills!C11=2,90+Inputs!$B$26+Inputs!$B$29,IF(Skills!C11=3,120+Inputs!$B$27+Inputs!$B$29,MAX(0,(Inputs!$B$3-100)*3)+Inputs!$B$28+Inputs!$B$29)))</f>
        <v/>
      </c>
      <c r="E1231">
        <f>INDEX(FactorTable!$B$2:$Y$301, MATCH(ROUND(MIN(300,MAX(1,D1231)),0), FactorTable!$A$2:$A$301,0), Skills!M11+1)</f>
        <v/>
      </c>
      <c r="F1231">
        <f>(Skills!L11/10)*(E1231/1000)+IF(Inputs!$B$3&gt;=134,50,0)+0.5*(30000/10)*(INDEX(FactorTable!$B$2:$Y$301, MATCH(ROUND(MIN(300,MAX(1,D1231)),0), FactorTable!$A$2:$A$301,0), 13)/1000)*B1263</f>
        <v/>
      </c>
      <c r="G1231">
        <f>Skills!G11*IF(Skills!H11&gt;0,Skills!I11/Skills!H11,1)</f>
        <v/>
      </c>
      <c r="H1231">
        <f>1-(1-Skills!J11/100)^Skills!K11</f>
        <v/>
      </c>
      <c r="I1231" t="inlineStr">
        <is>
          <t>1</t>
        </is>
      </c>
      <c r="J1231">
        <f>((Inputs!$B$6*(1+Inputs!$B$7/100))+(((Inputs!$B$12*(1+Inputs!$B$13/100))-(Inputs!$B$12*(1+Inputs!$B$13/100)))+0.25*(Inputs!$B$14-Inputs!$B$14))*(1+Inputs!$B$7/100))*(F1231/100)</f>
        <v/>
      </c>
      <c r="K1231">
        <f>J1231*(1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1231)</f>
        <v/>
      </c>
      <c r="L1231">
        <f>K1231*(MIN(Inputs!$B$22+((C1244=TRUE)*(F1244-Calc!F24)),(Inputs!$B$23+((C1249=TRUE)*(F1249-Calc!F29))+IF(ArtifactsInput!$M$15,CHOOSE(ArtifactsInput!$N$15+1,25,30,35,40,45,50)/100*(Inputs!$B$11-Inputs!$B$11),0)))/100+(Inputs!$B$23+((C1249=TRUE)*(F1249-Calc!F29))+IF(ArtifactsInput!$M$15,CHOOSE(ArtifactsInput!$N$15+1,25,30,35,40,45,50)/100*(Inputs!$B$11-Inputs!$B$11),0))/100)/2</f>
        <v/>
      </c>
      <c r="M1231">
        <f>L1231*(1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1">
        <f>L1231*(1-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1">
        <f>(1-Summary!$B$11)*T1231+Summary!$B$11*V1231</f>
        <v/>
      </c>
      <c r="P1231">
        <f>IF(B1265=0,0,O1231/B1265)</f>
        <v/>
      </c>
      <c r="Q1231">
        <f>IFERROR(1/IF(Inputs!$B$39="pvp",15,MAX(0.1,Skills!D11-IF(Skills!E11=TRUE,(Inputs!$B$32+1),0))),0)</f>
        <v/>
      </c>
      <c r="R1231">
        <f>IF(AND(Inputs!$B$39&lt;&gt;"pvp",Inputs!$B$44&gt;0),IF(MAX(0,Inputs!$B$44-B1264)&lt;=0,0,(INT(MAX(0,Inputs!$B$44-B1264)/IF(Inputs!$B$39="pvp",15,MAX(0.1,Skills!D11-IF(Skills!E11=TRUE,(Inputs!$B$32+1),0))))+1)),0)</f>
        <v/>
      </c>
      <c r="S1231">
        <f>IFERROR(O1231/N1231,0)</f>
        <v/>
      </c>
      <c r="T1231">
        <f>IF(C1231,(H1231*N1231*IF(AND(Inputs!$B$39&lt;&gt;"pvp",Inputs!$B$44&gt;0),((Skills!G11*((R1231-1)*IF(Skills!H11&gt;0,Skills!I11/Skills!H11,1)+IF(Skills!H11&gt;0,MIN(Skills!I11,MAX(0,MAX(0,Inputs!$B$44-B1264)-((R1231-1)*IF(Inputs!$B$39="pvp",15,MAX(0.1,Skills!D11-IF(Skills!E11=TRUE,(Inputs!$B$32+1),0))))))/Skills!H11,1)))/Inputs!$B$44),G1231*Q1231))*IF(Inputs!$B$39="pvp",1,1+(Inputs!$B$20+0+Skills!P11+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1231*(1-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1">
        <f>IF(C1231,(H1231*N1231*IF(AND(Inputs!$B$39&lt;&gt;"pvp",Inputs!$B$44&gt;0),((Skills!G11*((R1231-1)*IF(Skills!H11&gt;0,Skills!I11/Skills!H11,1)+IF(Skills!H11&gt;0,MIN(Skills!I11,MAX(0,MAX(0,Inputs!$B$44-B1264)-((R1231-1)*IF(Inputs!$B$39="pvp",15,MAX(0.1,Skills!D11-IF(Skills!E11=TRUE,(Inputs!$B$32+1),0))))))/Skills!H11,1)))/Inputs!$B$44),G1231*Q1231))*IF(Inputs!$B$39="pvp",1,(1+(Inputs!$B$21+Skills!Q11+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2">
      <c r="A1232">
        <f>Skills!A12</f>
        <v/>
      </c>
      <c r="B1232">
        <f>Skills!B12</f>
        <v/>
      </c>
      <c r="C1232">
        <f>Inputs!$B$3&gt;=105</f>
        <v/>
      </c>
      <c r="D1232">
        <f>IF(Skills!C12=1,60+Inputs!$B$25+Inputs!$B$29,IF(Skills!C12=2,90+Inputs!$B$26+Inputs!$B$29,IF(Skills!C12=3,120+Inputs!$B$27+Inputs!$B$29,MAX(0,(Inputs!$B$3-100)*3)+Inputs!$B$28+Inputs!$B$29)))</f>
        <v/>
      </c>
      <c r="E1232">
        <f>INDEX(FactorTable!$B$2:$Y$301, MATCH(ROUND(MIN(300,MAX(1,D1232)),0), FactorTable!$A$2:$A$301,0), Skills!M12+1)</f>
        <v/>
      </c>
      <c r="F1232">
        <f>IF(Skills!N12=TRUE,(Skills!L12/10)*(E1232/1000),Skills!L12/10)+Skills!O12</f>
        <v/>
      </c>
      <c r="G1232">
        <f>Skills!G12*IF(Skills!H12&gt;0,Skills!I12/Skills!H12,1)</f>
        <v/>
      </c>
      <c r="H1232">
        <f>1-(1-Skills!J12/100)^Skills!K12</f>
        <v/>
      </c>
      <c r="I1232" t="inlineStr">
        <is>
          <t>1</t>
        </is>
      </c>
      <c r="J1232">
        <f>((Inputs!$B$6*(1+Inputs!$B$7/100))+(((Inputs!$B$12*(1+Inputs!$B$13/100))-(Inputs!$B$12*(1+Inputs!$B$13/100)))+0.25*(Inputs!$B$14-Inputs!$B$14))*(1+Inputs!$B$7/100))*(F1232/100)</f>
        <v/>
      </c>
      <c r="K1232">
        <f>J1232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1232)</f>
        <v/>
      </c>
      <c r="L1232">
        <f>K1232*(MIN(Inputs!$B$22+((C1244=TRUE)*(F1244-Calc!F24)),(Inputs!$B$23+((C1249=TRUE)*(F1249-Calc!F29))+IF(ArtifactsInput!$M$15,CHOOSE(ArtifactsInput!$N$15+1,25,30,35,40,45,50)/100*(Inputs!$B$11-Inputs!$B$11),0)))/100+(Inputs!$B$23+((C1249=TRUE)*(F1249-Calc!F29))+IF(ArtifactsInput!$M$15,CHOOSE(ArtifactsInput!$N$15+1,25,30,35,40,45,50)/100*(Inputs!$B$11-Inputs!$B$11),0))/100)/2</f>
        <v/>
      </c>
      <c r="M1232">
        <f>L1232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2">
        <f>L1232*(1-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1232*(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2">
        <f>(1-Summary!$B$11)*T1232+Summary!$B$11*V1232</f>
        <v/>
      </c>
      <c r="P1232">
        <f>IF(B1265=0,0,O1232/B1265)</f>
        <v/>
      </c>
      <c r="Q1232">
        <f>IFERROR(1/IF(Inputs!$B$39="pvp",15,MAX(0.1,Skills!D12-IF(Skills!E12=TRUE,(Inputs!$B$32+1),0))),0)</f>
        <v/>
      </c>
      <c r="R1232">
        <f>IF(AND(Inputs!$B$39&lt;&gt;"pvp",Inputs!$B$44&gt;0),IF(MAX(0,Inputs!$B$44-B1264)&lt;=0,0,(INT(MAX(0,Inputs!$B$44-B1264)/IF(Inputs!$B$39="pvp",15,MAX(0.1,Skills!D12-IF(Skills!E12=TRUE,(Inputs!$B$32+1),0))))+1)),0)</f>
        <v/>
      </c>
      <c r="S1232">
        <f>IFERROR(O1232/N1232,0)</f>
        <v/>
      </c>
      <c r="T1232">
        <f>IF(C1232,(H1232*N1232*IF(AND(Inputs!$B$39&lt;&gt;"pvp",Inputs!$B$44&gt;0),((Skills!G12*((R1232-1)*IF(Skills!H12&gt;0,Skills!I12/Skills!H12,1)+IF(Skills!H12&gt;0,MIN(Skills!I12,MAX(0,MAX(0,Inputs!$B$44-B1264)-((R1232-1)*IF(Inputs!$B$39="pvp",15,MAX(0.1,Skills!D12-IF(Skills!E12=TRUE,(Inputs!$B$32+1),0))))))/Skills!H12,1)))/Inputs!$B$44),G1232*Q1232))*IF(Inputs!$B$39="pvp",1,1+(Inputs!$B$20+0+Skills!P12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1232*(1-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1232*(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1232*(1-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1232*(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2">
        <f>IF(C1232,(H1232*N1232*IF(AND(Inputs!$B$39&lt;&gt;"pvp",Inputs!$B$44&gt;0),((Skills!G12*((R1232-1)*IF(Skills!H12&gt;0,Skills!I12/Skills!H12,1)+IF(Skills!H12&gt;0,MIN(Skills!I12,MAX(0,MAX(0,Inputs!$B$44-B1264)-((R1232-1)*IF(Inputs!$B$39="pvp",15,MAX(0.1,Skills!D12-IF(Skills!E12=TRUE,(Inputs!$B$32+1),0))))))/Skills!H12,1)))/Inputs!$B$44),G1232*Q1232))*IF(Inputs!$B$39="pvp",1,(1+(Inputs!$B$21+Skills!Q12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3">
      <c r="A1233">
        <f>Skills!A13</f>
        <v/>
      </c>
      <c r="B1233">
        <f>Skills!B13</f>
        <v/>
      </c>
      <c r="C1233">
        <f>Inputs!$B$3&gt;=105</f>
        <v/>
      </c>
      <c r="D1233">
        <f>IF(Skills!C13=1,60+Inputs!$B$25+Inputs!$B$29,IF(Skills!C13=2,90+Inputs!$B$26+Inputs!$B$29,IF(Skills!C13=3,120+Inputs!$B$27+Inputs!$B$29,MAX(0,(Inputs!$B$3-100)*3)+Inputs!$B$28+Inputs!$B$29)))</f>
        <v/>
      </c>
      <c r="E1233">
        <f>INDEX(FactorTable!$B$2:$Y$301, MATCH(ROUND(MIN(300,MAX(1,D1233)),0), FactorTable!$A$2:$A$301,0), Skills!M13+1)</f>
        <v/>
      </c>
      <c r="F1233">
        <f>IF(Skills!N13=TRUE,(Skills!L13/10)*(E1233/1000),Skills!L13/10)+Skills!O13</f>
        <v/>
      </c>
      <c r="G1233">
        <f>Skills!G13*IF(Skills!H13&gt;0,Skills!I13/Skills!H13,1)</f>
        <v/>
      </c>
      <c r="H1233">
        <f>1-(1-Skills!J13/100)^Skills!K13</f>
        <v/>
      </c>
      <c r="I1233" t="inlineStr">
        <is>
          <t>1</t>
        </is>
      </c>
      <c r="J1233">
        <f>((Inputs!$B$6*(1+Inputs!$B$7/100))+(((Inputs!$B$12*(1+Inputs!$B$13/100))-(Inputs!$B$12*(1+Inputs!$B$13/100)))+0.25*(Inputs!$B$14-Inputs!$B$14))*(1+Inputs!$B$7/100))*(F1233/100)</f>
        <v/>
      </c>
      <c r="K1233">
        <f>J1233*(1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1233)</f>
        <v/>
      </c>
      <c r="L1233">
        <f>K1233*(MIN(Inputs!$B$22+((C1244=TRUE)*(F1244-Calc!F24)),(Inputs!$B$23+((C1249=TRUE)*(F1249-Calc!F29))+IF(ArtifactsInput!$M$15,CHOOSE(ArtifactsInput!$N$15+1,25,30,35,40,45,50)/100*(Inputs!$B$11-Inputs!$B$11),0)))/100+(Inputs!$B$23+((C1249=TRUE)*(F1249-Calc!F29))+IF(ArtifactsInput!$M$15,CHOOSE(ArtifactsInput!$N$15+1,25,30,35,40,45,50)/100*(Inputs!$B$11-Inputs!$B$11),0))/100)/2</f>
        <v/>
      </c>
      <c r="M1233">
        <f>L1233*(1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3">
        <f>L1233*(1-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1233*(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3">
        <f>(1-Summary!$B$11)*T1233+Summary!$B$11*V1233</f>
        <v/>
      </c>
      <c r="P1233">
        <f>IF(B1265=0,0,O1233/B1265)</f>
        <v/>
      </c>
      <c r="Q1233">
        <f>IFERROR(1/IF(Inputs!$B$39="pvp",15,MAX(0.1,Skills!D13-IF(Skills!E13=TRUE,(Inputs!$B$32+1),0))),0)</f>
        <v/>
      </c>
      <c r="R1233">
        <f>IF(AND(Inputs!$B$39&lt;&gt;"pvp",Inputs!$B$44&gt;0),IF(MAX(0,Inputs!$B$44-B1264)&lt;=0,0,(INT(MAX(0,Inputs!$B$44-B1264)/IF(Inputs!$B$39="pvp",15,MAX(0.1,Skills!D13-IF(Skills!E13=TRUE,(Inputs!$B$32+1),0))))+1)),0)</f>
        <v/>
      </c>
      <c r="S1233">
        <f>IFERROR(O1233/N1233,0)</f>
        <v/>
      </c>
      <c r="T1233">
        <f>IF(C1233,(H1233*N1233*IF(AND(Inputs!$B$39&lt;&gt;"pvp",Inputs!$B$44&gt;0),((Skills!G13*((R1233-1)*IF(Skills!H13&gt;0,Skills!I13/Skills!H13,1)+IF(Skills!H13&gt;0,MIN(Skills!I13,MAX(0,MAX(0,Inputs!$B$44-B1264)-((R1233-1)*IF(Inputs!$B$39="pvp",15,MAX(0.1,Skills!D13-IF(Skills!E13=TRUE,(Inputs!$B$32+1),0))))))/Skills!H13,1)))/Inputs!$B$44),G1233*Q1233))*IF(Inputs!$B$39="pvp",1,1+(Inputs!$B$20+0+Skills!P13+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1233*(1-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1233*(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1233*(1-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1233*(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3">
        <f>IF(C1233,(H1233*N1233*IF(AND(Inputs!$B$39&lt;&gt;"pvp",Inputs!$B$44&gt;0),((Skills!G13*((R1233-1)*IF(Skills!H13&gt;0,Skills!I13/Skills!H13,1)+IF(Skills!H13&gt;0,MIN(Skills!I13,MAX(0,MAX(0,Inputs!$B$44-B1264)-((R1233-1)*IF(Inputs!$B$39="pvp",15,MAX(0.1,Skills!D13-IF(Skills!E13=TRUE,(Inputs!$B$32+1),0))))))/Skills!H13,1)))/Inputs!$B$44),G1233*Q1233))*IF(Inputs!$B$39="pvp",1,(1+(Inputs!$B$21+Skills!Q13+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4">
      <c r="A1234">
        <f>Skills!A14</f>
        <v/>
      </c>
      <c r="B1234">
        <f>Skills!B14</f>
        <v/>
      </c>
      <c r="C1234">
        <f>Inputs!$B$3&gt;=107</f>
        <v/>
      </c>
      <c r="D1234">
        <f>IF(Skills!C14=1,60+Inputs!$B$25+Inputs!$B$29,IF(Skills!C14=2,90+Inputs!$B$26+Inputs!$B$29,IF(Skills!C14=3,120+Inputs!$B$27+Inputs!$B$29,MAX(0,(Inputs!$B$3-100)*3)+Inputs!$B$28+Inputs!$B$29)))</f>
        <v/>
      </c>
      <c r="E1234">
        <f>INDEX(FactorTable!$B$2:$Y$301, MATCH(ROUND(MIN(300,MAX(1,D1234)),0), FactorTable!$A$2:$A$301,0), Skills!M14+1)</f>
        <v/>
      </c>
      <c r="F1234">
        <f>IF(Skills!N14=TRUE,(Skills!L14/10)*(E1234/1000),Skills!L14/10)+Skills!O14</f>
        <v/>
      </c>
      <c r="G1234">
        <f>Skills!G14*IF(Skills!H14&gt;0,Skills!I14/Skills!H14,1)</f>
        <v/>
      </c>
      <c r="H1234">
        <f>1-(1-Skills!J14/100)^Skills!K14</f>
        <v/>
      </c>
      <c r="I1234" t="inlineStr">
        <is>
          <t>1</t>
        </is>
      </c>
      <c r="J1234">
        <f>((Inputs!$B$6*(1+Inputs!$B$7/100))+(((Inputs!$B$12*(1+Inputs!$B$13/100))-(Inputs!$B$12*(1+Inputs!$B$13/100)))+0.25*(Inputs!$B$14-Inputs!$B$14))*(1+Inputs!$B$7/100))*(F1234/100)</f>
        <v/>
      </c>
      <c r="K1234">
        <f>J1234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1234)</f>
        <v/>
      </c>
      <c r="L1234">
        <f>K1234*(MIN(Inputs!$B$22+((C1244=TRUE)*(F1244-Calc!F24)),(Inputs!$B$23+((C1249=TRUE)*(F1249-Calc!F29))+IF(ArtifactsInput!$M$15,CHOOSE(ArtifactsInput!$N$15+1,25,30,35,40,45,50)/100*(Inputs!$B$11-Inputs!$B$11),0)))/100+(Inputs!$B$23+((C1249=TRUE)*(F1249-Calc!F29))+IF(ArtifactsInput!$M$15,CHOOSE(ArtifactsInput!$N$15+1,25,30,35,40,45,50)/100*(Inputs!$B$11-Inputs!$B$11),0))/100)/2</f>
        <v/>
      </c>
      <c r="M1234">
        <f>L1234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4">
        <f>L1234*(1-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1234*(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4">
        <f>(1-Summary!$B$11)*T1234+Summary!$B$11*V1234</f>
        <v/>
      </c>
      <c r="P1234">
        <f>IF(B1265=0,0,O1234/B1265)</f>
        <v/>
      </c>
      <c r="Q1234">
        <f>IFERROR(1/IF(Inputs!$B$39="pvp",15,MAX(0.1,Skills!D14-IF(Skills!E14=TRUE,(Inputs!$B$32+1),0))),0)</f>
        <v/>
      </c>
      <c r="R1234">
        <f>IF(AND(Inputs!$B$39&lt;&gt;"pvp",Inputs!$B$44&gt;0),IF(MAX(0,Inputs!$B$44-B1264)&lt;=0,0,(INT(MAX(0,Inputs!$B$44-B1264)/IF(Inputs!$B$39="pvp",15,MAX(0.1,Skills!D14-IF(Skills!E14=TRUE,(Inputs!$B$32+1),0))))+1)),0)</f>
        <v/>
      </c>
      <c r="S1234">
        <f>IFERROR(O1234/N1234,0)</f>
        <v/>
      </c>
      <c r="T1234">
        <f>IF(C1234,(H1234*N1234*IF(AND(Inputs!$B$39&lt;&gt;"pvp",Inputs!$B$44&gt;0),((Skills!G14*((R1234-1)*IF(Skills!H14&gt;0,Skills!I14/Skills!H14,1)+IF(Skills!H14&gt;0,MIN(Skills!I14,MAX(0,MAX(0,Inputs!$B$44-B1264)-((R1234-1)*IF(Inputs!$B$39="pvp",15,MAX(0.1,Skills!D14-IF(Skills!E14=TRUE,(Inputs!$B$32+1),0))))))/Skills!H14,1)))/Inputs!$B$44),G1234*Q1234))*IF(Inputs!$B$39="pvp",1,1+(Inputs!$B$20+0+Skills!P14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1234*(1-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1234*(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1234*(1-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1234*(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4">
        <f>IF(C1234,(H1234*N1234*IF(AND(Inputs!$B$39&lt;&gt;"pvp",Inputs!$B$44&gt;0),((Skills!G14*((R1234-1)*IF(Skills!H14&gt;0,Skills!I14/Skills!H14,1)+IF(Skills!H14&gt;0,MIN(Skills!I14,MAX(0,MAX(0,Inputs!$B$44-B1264)-((R1234-1)*IF(Inputs!$B$39="pvp",15,MAX(0.1,Skills!D14-IF(Skills!E14=TRUE,(Inputs!$B$32+1),0))))))/Skills!H14,1)))/Inputs!$B$44),G1234*Q1234))*IF(Inputs!$B$39="pvp",1,(1+(Inputs!$B$21+Skills!Q14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(5,0.25*B1257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5">
      <c r="A1235">
        <f>Skills!A15</f>
        <v/>
      </c>
      <c r="B1235">
        <f>Skills!B15</f>
        <v/>
      </c>
      <c r="C1235">
        <f>Inputs!$B$3&gt;=110</f>
        <v/>
      </c>
      <c r="D1235">
        <f>IF(Skills!C15=1,60+Inputs!$B$25+Inputs!$B$29,IF(Skills!C15=2,90+Inputs!$B$26+Inputs!$B$29,IF(Skills!C15=3,120+Inputs!$B$27+Inputs!$B$29,MAX(0,(Inputs!$B$3-100)*3)+Inputs!$B$28+Inputs!$B$29)))</f>
        <v/>
      </c>
      <c r="E1235">
        <f>INDEX(FactorTable!$B$2:$Y$301, MATCH(ROUND(MIN(300,MAX(1,D1235)),0), FactorTable!$A$2:$A$301,0), Skills!M15+1)</f>
        <v/>
      </c>
      <c r="F1235">
        <f>IF(Skills!N15=TRUE,(Skills!L15/10)*(E1235/1000),Skills!L15/10)+Skills!O15</f>
        <v/>
      </c>
      <c r="G1235">
        <f>Skills!G15*IF(Skills!H15&gt;0,Skills!I15/Skills!H15,1)</f>
        <v/>
      </c>
      <c r="H1235">
        <f>1-(1-Skills!J15/100)^Skills!K15</f>
        <v/>
      </c>
      <c r="I1235" t="inlineStr">
        <is>
          <t>1</t>
        </is>
      </c>
      <c r="J1235" t="inlineStr"/>
      <c r="K1235" t="inlineStr"/>
      <c r="L1235" t="inlineStr"/>
      <c r="M1235" t="inlineStr"/>
      <c r="N1235" t="inlineStr"/>
      <c r="O1235">
        <f>(1-Summary!$B$11)*T1235+Summary!$B$11*V1235</f>
        <v/>
      </c>
      <c r="P1235">
        <f>IF(B1265=0,0,O1235/B1265)</f>
        <v/>
      </c>
      <c r="Q1235">
        <f>IFERROR(1/IF(Inputs!$B$39="pvp",15,MAX(0.1,Skills!D15-IF(Skills!E15=TRUE,(Inputs!$B$32+1),0))),0)</f>
        <v/>
      </c>
      <c r="R1235">
        <f>IF(AND(Inputs!$B$39&lt;&gt;"pvp",Inputs!$B$44&gt;0),IF(Inputs!$B$44&lt;=0,0,(INT(Inputs!$B$44/IF(Inputs!$B$39="pvp",15,MAX(0.1,Skills!D15-IF(Skills!E15=TRUE,(Inputs!$B$32+1),0))))+1)),0)</f>
        <v/>
      </c>
      <c r="S1235">
        <f>IFERROR(O1235/N1235,0)</f>
        <v/>
      </c>
      <c r="T1235" t="n">
        <v>0</v>
      </c>
      <c r="V1235" t="n">
        <v>0</v>
      </c>
    </row>
    <row r="1236">
      <c r="A1236">
        <f>Skills!A16</f>
        <v/>
      </c>
      <c r="B1236">
        <f>Skills!B16</f>
        <v/>
      </c>
      <c r="C1236">
        <f>Inputs!$B$3&gt;=115</f>
        <v/>
      </c>
      <c r="D1236">
        <f>IF(Skills!C16=1,60+Inputs!$B$25+Inputs!$B$29,IF(Skills!C16=2,90+Inputs!$B$26+Inputs!$B$29,IF(Skills!C16=3,120+Inputs!$B$27+Inputs!$B$29,MAX(0,(Inputs!$B$3-100)*3)+Inputs!$B$28+Inputs!$B$29)))</f>
        <v/>
      </c>
      <c r="E1236">
        <f>INDEX(FactorTable!$B$2:$Y$301, MATCH(ROUND(MIN(300,MAX(1,D1236)),0), FactorTable!$A$2:$A$301,0), Skills!M16+1)</f>
        <v/>
      </c>
      <c r="F1236">
        <f>IF(Skills!N16=TRUE,(Skills!L16/10)*(E1236/1000),Skills!L16/10)+Skills!O16</f>
        <v/>
      </c>
      <c r="G1236">
        <f>Skills!G16*IF(Skills!H16&gt;0,Skills!I16/Skills!H16,1)</f>
        <v/>
      </c>
      <c r="H1236">
        <f>1-(1-Skills!J16/100)^Skills!K16</f>
        <v/>
      </c>
      <c r="I1236" t="inlineStr">
        <is>
          <t>1</t>
        </is>
      </c>
      <c r="J1236">
        <f>((Inputs!$B$6*(1+Inputs!$B$7/100))+(((Inputs!$B$12*(1+Inputs!$B$13/100))-(Inputs!$B$12*(1+Inputs!$B$13/100)))+0.25*(Inputs!$B$14-Inputs!$B$14))*(1+Inputs!$B$7/100))*(F1236/100)</f>
        <v/>
      </c>
      <c r="K1236">
        <f>J1236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1247=TRUE)*(F1247-Calc!F27))+((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1236)</f>
        <v/>
      </c>
      <c r="L1236">
        <f>K1236*(MIN(Inputs!$B$22+((C1244=TRUE)*(F1244-Calc!F24)),(Inputs!$B$23+((C1249=TRUE)*(F1249-Calc!F29))+IF(ArtifactsInput!$M$15,CHOOSE(ArtifactsInput!$N$15+1,25,30,35,40,45,50)/100*(Inputs!$B$11-Inputs!$B$11),0)))/100+(Inputs!$B$23+((C1249=TRUE)*(F1249-Calc!F29))+IF(ArtifactsInput!$M$15,CHOOSE(ArtifactsInput!$N$15+1,25,30,35,40,45,50)/100*(Inputs!$B$11-Inputs!$B$11),0))/100)/2</f>
        <v/>
      </c>
      <c r="M1236">
        <f>L1236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6">
        <f>L1236*(1-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1236*(MIN((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6">
        <f>(1-Summary!$B$11)*T1236+Summary!$B$11*V1236</f>
        <v/>
      </c>
      <c r="P1236">
        <f>IF(B1265=0,0,O1236/B1265)</f>
        <v/>
      </c>
      <c r="Q1236" t="n">
        <v>0</v>
      </c>
      <c r="R1236" t="n">
        <v>0</v>
      </c>
      <c r="S1236">
        <f>IFERROR(O1236/N1236,0)</f>
        <v/>
      </c>
      <c r="T1236">
        <f>IF(C1236,(Inputs!$B$38*0.2*N1236)*IF(Inputs!$B$39="pvp",1,1+(Inputs!$B$20+0+Skills!P16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1236*(1-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1236*(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1236*(1-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1236*(MIN(100,(Inputs!$B$9+((C1245=TRUE)*(F1245-Calc!F25))+B1253+(ArtifactsInput!$M$24-ArtifactsInput!$M$24)*CHOOSE(ArtifactsInput!$N$24+1,10,12,14,16,18,20)+(IF(AND(Inputs!$B$39&lt;&gt;"pvp",Inputs!$B$44=0),1,IF(IF(Inputs!$B$39="pvp",15,Inputs!$B$44)-(B1264)&lt;=0,1,MAX(0,IF(Inputs!$B$39="pvp",15,Inputs!$B$44)-MAX(5,B1264))/(IF(Inputs!$B$39="pvp",15,Inputs!$B$44)-(B1264))))*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6">
        <f>IF(C1236,(Inputs!$B$38*0.2*N1236)*IF(Inputs!$B$39="pvp",1,(1+(Inputs!$B$21+Skills!Q16+B1254+(IF(ArtifactsInput!$M$33,CHOOSE(ArtifactsInput!$N$33+1,30,36,42,48,54,60),0))+(IF(AND(ArtifactsInput!$M$35,Inputs!$B$4&lt;&gt;"Chapter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7">
      <c r="A1237">
        <f>Skills!A17</f>
        <v/>
      </c>
      <c r="B1237">
        <f>Skills!B17</f>
        <v/>
      </c>
      <c r="C1237">
        <f>Inputs!$B$3&gt;=115</f>
        <v/>
      </c>
      <c r="D1237">
        <f>IF(Skills!C17=1,60+Inputs!$B$25+Inputs!$B$29,IF(Skills!C17=2,90+Inputs!$B$26+Inputs!$B$29,IF(Skills!C17=3,120+Inputs!$B$27+Inputs!$B$29,MAX(0,(Inputs!$B$3-100)*3)+Inputs!$B$28+Inputs!$B$29)))</f>
        <v/>
      </c>
      <c r="E1237">
        <f>INDEX(FactorTable!$B$2:$Y$301, MATCH(ROUND(MIN(300,MAX(1,D1237)),0), FactorTable!$A$2:$A$301,0), Skills!M17+1)</f>
        <v/>
      </c>
      <c r="F1237">
        <f>IF(Skills!N17=TRUE,(Skills!L17/10)*(E1237/1000),Skills!L17/10)+Skills!O17</f>
        <v/>
      </c>
      <c r="G1237">
        <f>Skills!G17*IF(Skills!H17&gt;0,Skills!I17/Skills!H17,1)</f>
        <v/>
      </c>
      <c r="H1237">
        <f>1-(1-Skills!J17/100)^Skills!K17</f>
        <v/>
      </c>
      <c r="I1237" t="inlineStr">
        <is>
          <t>1</t>
        </is>
      </c>
      <c r="J1237" t="inlineStr"/>
      <c r="K1237" t="inlineStr"/>
      <c r="L1237" t="inlineStr"/>
      <c r="M1237" t="inlineStr"/>
      <c r="N1237" t="inlineStr"/>
      <c r="O1237">
        <f>(1-Summary!$B$11)*T1237+Summary!$B$11*V1237</f>
        <v/>
      </c>
      <c r="P1237">
        <f>IF(B1265=0,0,O1237/B1265)</f>
        <v/>
      </c>
      <c r="Q1237" t="n">
        <v>0</v>
      </c>
      <c r="R1237" t="n">
        <v>0</v>
      </c>
      <c r="S1237">
        <f>IFERROR(O1237/N1237,0)</f>
        <v/>
      </c>
      <c r="T1237" t="n">
        <v>0</v>
      </c>
      <c r="V1237" t="n">
        <v>0</v>
      </c>
    </row>
    <row r="1238">
      <c r="A1238">
        <f>Skills!A18</f>
        <v/>
      </c>
      <c r="B1238">
        <f>Skills!B18</f>
        <v/>
      </c>
      <c r="C1238">
        <f>Inputs!$B$3&gt;=100</f>
        <v/>
      </c>
      <c r="D1238">
        <f>IF(Skills!C18=1,60+Inputs!$B$25+Inputs!$B$29,IF(Skills!C18=2,90+Inputs!$B$26+Inputs!$B$29,IF(Skills!C18=3,120+Inputs!$B$27+Inputs!$B$29,MAX(0,(Inputs!$B$3-100)*3)+Inputs!$B$28+Inputs!$B$29)))</f>
        <v/>
      </c>
      <c r="E1238">
        <f>INDEX(FactorTable!$B$2:$Y$301, MATCH(ROUND(MIN(300,MAX(1,D1238)),0), FactorTable!$A$2:$A$301,0), Skills!M18+1)</f>
        <v/>
      </c>
      <c r="F1238">
        <f>IF(Skills!N18=TRUE,(Skills!L18/10)*(E1238/1000),Skills!L18/10)+Skills!O18</f>
        <v/>
      </c>
      <c r="G1238">
        <f>Skills!G18*IF(Skills!H18&gt;0,Skills!I18/Skills!H18,1)</f>
        <v/>
      </c>
      <c r="H1238">
        <f>1-(1-Skills!J18/100)^Skills!K18</f>
        <v/>
      </c>
      <c r="I1238" t="inlineStr">
        <is>
          <t>1</t>
        </is>
      </c>
      <c r="J1238" t="inlineStr"/>
      <c r="K1238" t="inlineStr"/>
      <c r="L1238" t="inlineStr"/>
      <c r="M1238" t="inlineStr"/>
      <c r="N1238" t="inlineStr"/>
      <c r="O1238">
        <f>(1-Summary!$B$11)*T1238+Summary!$B$11*V1238</f>
        <v/>
      </c>
      <c r="P1238">
        <f>IF(B1265=0,0,O1238/B1265)</f>
        <v/>
      </c>
      <c r="Q1238" t="n">
        <v>0</v>
      </c>
      <c r="R1238" t="n">
        <v>0</v>
      </c>
      <c r="S1238">
        <f>IFERROR(O1238/N1238,0)</f>
        <v/>
      </c>
      <c r="T1238" t="n">
        <v>0</v>
      </c>
      <c r="V1238" t="n">
        <v>0</v>
      </c>
    </row>
    <row r="1239">
      <c r="A1239">
        <f>Skills!A19</f>
        <v/>
      </c>
      <c r="B1239">
        <f>Skills!B19</f>
        <v/>
      </c>
      <c r="C1239">
        <f>TRUE</f>
        <v/>
      </c>
      <c r="D1239">
        <f>IF(Skills!C19=1,60+Inputs!$B$25+Inputs!$B$29,IF(Skills!C19=2,90+Inputs!$B$26+Inputs!$B$29,IF(Skills!C19=3,120+Inputs!$B$27+Inputs!$B$29,MAX(0,(Inputs!$B$3-100)*3)+Inputs!$B$28+Inputs!$B$29)))</f>
        <v/>
      </c>
      <c r="E1239">
        <f>INDEX(FactorTable!$B$2:$Y$301, MATCH(ROUND(MIN(300,MAX(1,D1239)),0), FactorTable!$A$2:$A$301,0), Skills!M19+1)</f>
        <v/>
      </c>
      <c r="F1239">
        <f>IF(Skills!N19=TRUE,(Skills!L19/10)*(E1239/1000),Skills!L19/10)+Skills!O19</f>
        <v/>
      </c>
      <c r="G1239">
        <f>Skills!G19*IF(Skills!H19&gt;0,Skills!I19/Skills!H19,1)</f>
        <v/>
      </c>
      <c r="H1239">
        <f>1-(1-Skills!J19/100)^Skills!K19</f>
        <v/>
      </c>
      <c r="I1239" t="inlineStr">
        <is>
          <t>1</t>
        </is>
      </c>
      <c r="J1239" t="inlineStr"/>
      <c r="K1239" t="inlineStr"/>
      <c r="L1239" t="inlineStr"/>
      <c r="M1239" t="inlineStr"/>
      <c r="N1239" t="inlineStr"/>
      <c r="O1239">
        <f>(1-Summary!$B$11)*T1239+Summary!$B$11*V1239</f>
        <v/>
      </c>
      <c r="P1239">
        <f>IF(B1265=0,0,O1239/B1265)</f>
        <v/>
      </c>
      <c r="Q1239">
        <f>IFERROR(1/IF(Inputs!$B$39="pvp",15,MAX(0.1,Skills!D19-IF(Skills!E19=TRUE,(Inputs!$B$32+1),0))),0)</f>
        <v/>
      </c>
      <c r="R1239">
        <f>IF(AND(Inputs!$B$39&lt;&gt;"pvp",Inputs!$B$44&gt;0),IF(Inputs!$B$44&lt;=0,0,(INT(Inputs!$B$44/IF(Inputs!$B$39="pvp",15,MAX(0.1,Skills!D19-IF(Skills!E19=TRUE,(Inputs!$B$32+1),0))))+1)),0)</f>
        <v/>
      </c>
      <c r="S1239">
        <f>IFERROR(O1239/N1239,0)</f>
        <v/>
      </c>
      <c r="T1239" t="n">
        <v>0</v>
      </c>
      <c r="V1239" t="n">
        <v>0</v>
      </c>
    </row>
    <row r="1240">
      <c r="A1240">
        <f>Skills!A20</f>
        <v/>
      </c>
      <c r="B1240">
        <f>Skills!B20</f>
        <v/>
      </c>
      <c r="C1240">
        <f>Inputs!$B$3&gt;=15</f>
        <v/>
      </c>
      <c r="D1240">
        <f>IF(Skills!C20=1,60+Inputs!$B$25+Inputs!$B$29,IF(Skills!C20=2,90+Inputs!$B$26+Inputs!$B$29,IF(Skills!C20=3,120+Inputs!$B$27+Inputs!$B$29,MAX(0,(Inputs!$B$3-100)*3)+Inputs!$B$28+Inputs!$B$29)))</f>
        <v/>
      </c>
      <c r="E1240">
        <f>INDEX(FactorTable!$B$2:$Y$301, MATCH(ROUND(MIN(300,MAX(1,D1240)),0), FactorTable!$A$2:$A$301,0), Skills!M20+1)</f>
        <v/>
      </c>
      <c r="F1240">
        <f>IF(Skills!N20=TRUE,(Skills!L20/10)*(E1240/1000),Skills!L20/10)+Skills!O20</f>
        <v/>
      </c>
      <c r="G1240">
        <f>Skills!G20*IF(Skills!H20&gt;0,Skills!I20/Skills!H20,1)</f>
        <v/>
      </c>
      <c r="H1240">
        <f>1-(1-Skills!J20/100)^Skills!K20</f>
        <v/>
      </c>
      <c r="I1240" t="inlineStr">
        <is>
          <t>1</t>
        </is>
      </c>
      <c r="J1240" t="inlineStr"/>
      <c r="K1240" t="inlineStr"/>
      <c r="L1240" t="inlineStr"/>
      <c r="M1240" t="inlineStr"/>
      <c r="N1240" t="inlineStr"/>
      <c r="O1240">
        <f>(1-Summary!$B$11)*T1240+Summary!$B$11*V1240</f>
        <v/>
      </c>
      <c r="P1240">
        <f>IF(B1265=0,0,O1240/B1265)</f>
        <v/>
      </c>
      <c r="Q1240">
        <f>IFERROR(1/IF(Inputs!$B$39="pvp",15,MAX(0.1,Skills!D20-IF(Skills!E20=TRUE,(Inputs!$B$32+1),0))),0)</f>
        <v/>
      </c>
      <c r="R1240">
        <f>IF(AND(Inputs!$B$39&lt;&gt;"pvp",Inputs!$B$44&gt;0),IF(Inputs!$B$44&lt;=0,0,(INT(Inputs!$B$44/IF(Inputs!$B$39="pvp",15,MAX(0.1,Skills!D20-IF(Skills!E20=TRUE,(Inputs!$B$32+1),0))))+1)),0)</f>
        <v/>
      </c>
      <c r="S1240">
        <f>IFERROR(O1240/N1240,0)</f>
        <v/>
      </c>
      <c r="T1240" t="n">
        <v>0</v>
      </c>
      <c r="V1240" t="n">
        <v>0</v>
      </c>
    </row>
    <row r="1241">
      <c r="A1241">
        <f>Skills!A21</f>
        <v/>
      </c>
      <c r="B1241">
        <f>Skills!B21</f>
        <v/>
      </c>
      <c r="C1241">
        <f>Inputs!$B$3&gt;=15</f>
        <v/>
      </c>
      <c r="D1241">
        <f>IF(Skills!C21=1,60+Inputs!$B$25+Inputs!$B$29,IF(Skills!C21=2,90+Inputs!$B$26+Inputs!$B$29,IF(Skills!C21=3,120+Inputs!$B$27+Inputs!$B$29,MAX(0,(Inputs!$B$3-100)*3)+Inputs!$B$28+Inputs!$B$29)))</f>
        <v/>
      </c>
      <c r="E1241">
        <f>INDEX(FactorTable!$B$2:$Y$301, MATCH(ROUND(MIN(300,MAX(1,D1241)),0), FactorTable!$A$2:$A$301,0), Skills!M21+1)</f>
        <v/>
      </c>
      <c r="F1241">
        <f>IF(Skills!N21=TRUE,(Skills!L21/10)*(E1241/1000),Skills!L21/10)+Skills!O21</f>
        <v/>
      </c>
      <c r="G1241">
        <f>Skills!G21*IF(Skills!H21&gt;0,Skills!I21/Skills!H21,1)</f>
        <v/>
      </c>
      <c r="H1241">
        <f>1-(1-Skills!J21/100)^Skills!K21</f>
        <v/>
      </c>
      <c r="I1241" t="inlineStr">
        <is>
          <t>1</t>
        </is>
      </c>
      <c r="J1241" t="inlineStr"/>
      <c r="K1241" t="inlineStr"/>
      <c r="L1241" t="inlineStr"/>
      <c r="M1241" t="inlineStr"/>
      <c r="N1241" t="inlineStr"/>
      <c r="O1241">
        <f>(1-Summary!$B$11)*T1241+Summary!$B$11*V1241</f>
        <v/>
      </c>
      <c r="P1241">
        <f>IF(B1265=0,0,O1241/B1265)</f>
        <v/>
      </c>
      <c r="Q1241">
        <f>IFERROR(1/IF(Inputs!$B$39="pvp",15,MAX(0.1,Skills!D21-IF(Skills!E21=TRUE,(Inputs!$B$32+1),0))),0)</f>
        <v/>
      </c>
      <c r="R1241">
        <f>IF(AND(Inputs!$B$39&lt;&gt;"pvp",Inputs!$B$44&gt;0),IF(Inputs!$B$44&lt;=0,0,(INT(Inputs!$B$44/IF(Inputs!$B$39="pvp",15,MAX(0.1,Skills!D21-IF(Skills!E21=TRUE,(Inputs!$B$32+1),0))))+1)),0)</f>
        <v/>
      </c>
      <c r="S1241">
        <f>IFERROR(O1241/N1241,0)</f>
        <v/>
      </c>
      <c r="T1241" t="n">
        <v>0</v>
      </c>
      <c r="V1241" t="n">
        <v>0</v>
      </c>
    </row>
    <row r="1242">
      <c r="A1242">
        <f>Skills!A22</f>
        <v/>
      </c>
      <c r="B1242">
        <f>Skills!B22</f>
        <v/>
      </c>
      <c r="C1242">
        <f>Inputs!$B$3&gt;=33</f>
        <v/>
      </c>
      <c r="D1242">
        <f>IF(Skills!C22=1,60+Inputs!$B$25+Inputs!$B$29,IF(Skills!C22=2,90+Inputs!$B$26+Inputs!$B$29,IF(Skills!C22=3,120+Inputs!$B$27+Inputs!$B$29,MAX(0,(Inputs!$B$3-100)*3)+Inputs!$B$28+Inputs!$B$29)))</f>
        <v/>
      </c>
      <c r="E1242">
        <f>INDEX(FactorTable!$B$2:$Y$301, MATCH(ROUND(MIN(300,MAX(1,D1242)),0), FactorTable!$A$2:$A$301,0), Skills!M22+1)</f>
        <v/>
      </c>
      <c r="F1242">
        <f>IF(Skills!N22=TRUE,(Skills!L22/10)*(E1242/1000),Skills!L22/10)+Skills!O22</f>
        <v/>
      </c>
      <c r="G1242">
        <f>Skills!G22*IF(Skills!H22&gt;0,Skills!I22/Skills!H22,1)</f>
        <v/>
      </c>
      <c r="H1242">
        <f>1-(1-Skills!J22/100)^Skills!K22</f>
        <v/>
      </c>
      <c r="I1242" t="inlineStr">
        <is>
          <t>1</t>
        </is>
      </c>
      <c r="J1242" t="inlineStr"/>
      <c r="K1242" t="inlineStr"/>
      <c r="L1242" t="inlineStr"/>
      <c r="M1242" t="inlineStr"/>
      <c r="N1242" t="inlineStr"/>
      <c r="O1242">
        <f>(1-Summary!$B$11)*T1242+Summary!$B$11*V1242</f>
        <v/>
      </c>
      <c r="P1242">
        <f>IF(B1265=0,0,O1242/B1265)</f>
        <v/>
      </c>
      <c r="Q1242" t="n">
        <v>0</v>
      </c>
      <c r="R1242" t="n">
        <v>0</v>
      </c>
      <c r="S1242">
        <f>IFERROR(O1242/N1242,0)</f>
        <v/>
      </c>
      <c r="T1242" t="n">
        <v>0</v>
      </c>
      <c r="V1242" t="n">
        <v>0</v>
      </c>
    </row>
    <row r="1243">
      <c r="A1243">
        <f>Skills!A23</f>
        <v/>
      </c>
      <c r="B1243">
        <f>Skills!B23</f>
        <v/>
      </c>
      <c r="C1243">
        <f>Inputs!$B$3&gt;=40</f>
        <v/>
      </c>
      <c r="D1243">
        <f>IF(Skills!C23=1,60+Inputs!$B$25+Inputs!$B$29,IF(Skills!C23=2,90+Inputs!$B$26+Inputs!$B$29,IF(Skills!C23=3,120+Inputs!$B$27+Inputs!$B$29,MAX(0,(Inputs!$B$3-100)*3)+Inputs!$B$28+Inputs!$B$29)))</f>
        <v/>
      </c>
      <c r="E1243">
        <f>INDEX(FactorTable!$B$2:$Y$301, MATCH(ROUND(MIN(300,MAX(1,D1243)),0), FactorTable!$A$2:$A$301,0), Skills!M23+1)</f>
        <v/>
      </c>
      <c r="F1243">
        <f>IF(Skills!N23=TRUE,(Skills!L23/10)*(E1243/1000),Skills!L23/10)+Skills!O23</f>
        <v/>
      </c>
      <c r="G1243">
        <f>Skills!G23*IF(Skills!H23&gt;0,Skills!I23/Skills!H23,1)</f>
        <v/>
      </c>
      <c r="H1243">
        <f>1-(1-Skills!J23/100)^Skills!K23</f>
        <v/>
      </c>
      <c r="I1243" t="inlineStr">
        <is>
          <t>1</t>
        </is>
      </c>
      <c r="J1243" t="inlineStr"/>
      <c r="K1243" t="inlineStr"/>
      <c r="L1243" t="inlineStr"/>
      <c r="M1243" t="inlineStr"/>
      <c r="N1243" t="inlineStr"/>
      <c r="O1243">
        <f>(1-Summary!$B$11)*T1243+Summary!$B$11*V1243</f>
        <v/>
      </c>
      <c r="P1243">
        <f>IF(B1265=0,0,O1243/B1265)</f>
        <v/>
      </c>
      <c r="Q1243" t="n">
        <v>0</v>
      </c>
      <c r="R1243" t="n">
        <v>0</v>
      </c>
      <c r="S1243">
        <f>IFERROR(O1243/N1243,0)</f>
        <v/>
      </c>
      <c r="T1243" t="n">
        <v>0</v>
      </c>
      <c r="V1243" t="n">
        <v>0</v>
      </c>
    </row>
    <row r="1244">
      <c r="A1244">
        <f>Skills!A24</f>
        <v/>
      </c>
      <c r="B1244">
        <f>Skills!B24</f>
        <v/>
      </c>
      <c r="C1244">
        <f>Inputs!$B$3&gt;=43</f>
        <v/>
      </c>
      <c r="D1244">
        <f>IF(Skills!C24=1,60+Inputs!$B$25+Inputs!$B$29,IF(Skills!C24=2,90+Inputs!$B$26+Inputs!$B$29,IF(Skills!C24=3,120+Inputs!$B$27+Inputs!$B$29,MAX(0,(Inputs!$B$3-100)*3)+Inputs!$B$28+Inputs!$B$29)))</f>
        <v/>
      </c>
      <c r="E1244">
        <f>INDEX(FactorTable!$B$2:$Y$301, MATCH(ROUND(MIN(300,MAX(1,D1244)),0), FactorTable!$A$2:$A$301,0), Skills!M24+1)</f>
        <v/>
      </c>
      <c r="F1244">
        <f>IF(Skills!N24=TRUE,(Skills!L24/10)*(E1244/1000),Skills!L24/10)+Skills!O24</f>
        <v/>
      </c>
      <c r="G1244">
        <f>Skills!G24*IF(Skills!H24&gt;0,Skills!I24/Skills!H24,1)</f>
        <v/>
      </c>
      <c r="H1244">
        <f>1-(1-Skills!J24/100)^Skills!K24</f>
        <v/>
      </c>
      <c r="I1244" t="inlineStr">
        <is>
          <t>1</t>
        </is>
      </c>
      <c r="J1244" t="inlineStr"/>
      <c r="K1244" t="inlineStr"/>
      <c r="L1244" t="inlineStr"/>
      <c r="M1244" t="inlineStr"/>
      <c r="N1244" t="inlineStr"/>
      <c r="O1244">
        <f>(1-Summary!$B$11)*T1244+Summary!$B$11*V1244</f>
        <v/>
      </c>
      <c r="P1244">
        <f>IF(B1265=0,0,O1244/B1265)</f>
        <v/>
      </c>
      <c r="Q1244" t="n">
        <v>0</v>
      </c>
      <c r="R1244" t="n">
        <v>0</v>
      </c>
      <c r="S1244">
        <f>IFERROR(O1244/N1244,0)</f>
        <v/>
      </c>
      <c r="T1244" t="n">
        <v>0</v>
      </c>
      <c r="V1244" t="n">
        <v>0</v>
      </c>
    </row>
    <row r="1245">
      <c r="A1245">
        <f>Skills!A25</f>
        <v/>
      </c>
      <c r="B1245">
        <f>Skills!B25</f>
        <v/>
      </c>
      <c r="C1245">
        <f>Inputs!$B$3&gt;=50</f>
        <v/>
      </c>
      <c r="D1245">
        <f>IF(Skills!C25=1,60+Inputs!$B$25+Inputs!$B$29,IF(Skills!C25=2,90+Inputs!$B$26+Inputs!$B$29,IF(Skills!C25=3,120+Inputs!$B$27+Inputs!$B$29,MAX(0,(Inputs!$B$3-100)*3)+Inputs!$B$28+Inputs!$B$29)))</f>
        <v/>
      </c>
      <c r="E1245">
        <f>INDEX(FactorTable!$B$2:$Y$301, MATCH(ROUND(MIN(300,MAX(1,D1245)),0), FactorTable!$A$2:$A$301,0), Skills!M25+1)</f>
        <v/>
      </c>
      <c r="F1245">
        <f>IF(Skills!N25=TRUE,(Skills!L25/10)*(E1245/1000),Skills!L25/10)+Skills!O25</f>
        <v/>
      </c>
      <c r="G1245">
        <f>Skills!G25*IF(Skills!H25&gt;0,Skills!I25/Skills!H25,1)</f>
        <v/>
      </c>
      <c r="H1245">
        <f>1-(1-Skills!J25/100)^Skills!K25</f>
        <v/>
      </c>
      <c r="I1245" t="inlineStr">
        <is>
          <t>1</t>
        </is>
      </c>
      <c r="J1245" t="inlineStr"/>
      <c r="K1245" t="inlineStr"/>
      <c r="L1245" t="inlineStr"/>
      <c r="M1245" t="inlineStr"/>
      <c r="N1245" t="inlineStr"/>
      <c r="O1245">
        <f>(1-Summary!$B$11)*T1245+Summary!$B$11*V1245</f>
        <v/>
      </c>
      <c r="P1245">
        <f>IF(B1265=0,0,O1245/B1265)</f>
        <v/>
      </c>
      <c r="Q1245" t="n">
        <v>0</v>
      </c>
      <c r="R1245" t="n">
        <v>0</v>
      </c>
      <c r="S1245">
        <f>IFERROR(O1245/N1245,0)</f>
        <v/>
      </c>
      <c r="T1245" t="n">
        <v>0</v>
      </c>
      <c r="V1245" t="n">
        <v>0</v>
      </c>
    </row>
    <row r="1246">
      <c r="A1246">
        <f>Skills!A26</f>
        <v/>
      </c>
      <c r="B1246">
        <f>Skills!B26</f>
        <v/>
      </c>
      <c r="C1246">
        <f>Inputs!$B$3&gt;=50</f>
        <v/>
      </c>
      <c r="D1246">
        <f>IF(Skills!C26=1,60+Inputs!$B$25+Inputs!$B$29,IF(Skills!C26=2,90+Inputs!$B$26+Inputs!$B$29,IF(Skills!C26=3,120+Inputs!$B$27+Inputs!$B$29,MAX(0,(Inputs!$B$3-100)*3)+Inputs!$B$28+Inputs!$B$29)))</f>
        <v/>
      </c>
      <c r="E1246">
        <f>INDEX(FactorTable!$B$2:$Y$301, MATCH(ROUND(MIN(300,MAX(1,D1246)),0), FactorTable!$A$2:$A$301,0), Skills!M26+1)</f>
        <v/>
      </c>
      <c r="F1246">
        <f>IF(Skills!N26=TRUE,(Skills!L26/10)*(E1246/1000),Skills!L26/10)+Skills!O26</f>
        <v/>
      </c>
      <c r="G1246">
        <f>Skills!G26*IF(Skills!H26&gt;0,Skills!I26/Skills!H26,1)</f>
        <v/>
      </c>
      <c r="H1246">
        <f>1-(1-Skills!J26/100)^Skills!K26</f>
        <v/>
      </c>
      <c r="I1246" t="inlineStr">
        <is>
          <t>1</t>
        </is>
      </c>
      <c r="J1246" t="inlineStr"/>
      <c r="K1246" t="inlineStr"/>
      <c r="L1246" t="inlineStr"/>
      <c r="M1246" t="inlineStr"/>
      <c r="N1246" t="inlineStr"/>
      <c r="O1246">
        <f>(1-Summary!$B$11)*T1246+Summary!$B$11*V1246</f>
        <v/>
      </c>
      <c r="P1246">
        <f>IF(B1265=0,0,O1246/B1265)</f>
        <v/>
      </c>
      <c r="Q1246" t="n">
        <v>0</v>
      </c>
      <c r="R1246" t="n">
        <v>0</v>
      </c>
      <c r="S1246">
        <f>IFERROR(O1246/N1246,0)</f>
        <v/>
      </c>
      <c r="T1246" t="n">
        <v>0</v>
      </c>
      <c r="V1246" t="n">
        <v>0</v>
      </c>
    </row>
    <row r="1247">
      <c r="A1247">
        <f>Skills!A27</f>
        <v/>
      </c>
      <c r="B1247">
        <f>Skills!B27</f>
        <v/>
      </c>
      <c r="C1247">
        <f>Inputs!$B$3&gt;=38</f>
        <v/>
      </c>
      <c r="D1247">
        <f>IF(Skills!C27=1,60+Inputs!$B$25+Inputs!$B$29,IF(Skills!C27=2,90+Inputs!$B$26+Inputs!$B$29,IF(Skills!C27=3,120+Inputs!$B$27+Inputs!$B$29,MAX(0,(Inputs!$B$3-100)*3)+Inputs!$B$28+Inputs!$B$29)))</f>
        <v/>
      </c>
      <c r="E1247">
        <f>INDEX(FactorTable!$B$2:$Y$301, MATCH(ROUND(MIN(300,MAX(1,D1247)),0), FactorTable!$A$2:$A$301,0), Skills!M27+1)</f>
        <v/>
      </c>
      <c r="F1247">
        <f>IF(Skills!N27=TRUE,(Skills!L27/10)*(E1247/1000),Skills!L27/10)+Skills!O27</f>
        <v/>
      </c>
      <c r="G1247">
        <f>Skills!G27*IF(Skills!H27&gt;0,Skills!I27/Skills!H27,1)</f>
        <v/>
      </c>
      <c r="H1247">
        <f>1-(1-Skills!J27/100)^Skills!K27</f>
        <v/>
      </c>
      <c r="I1247" t="inlineStr">
        <is>
          <t>1</t>
        </is>
      </c>
      <c r="J1247" t="inlineStr"/>
      <c r="K1247" t="inlineStr"/>
      <c r="L1247" t="inlineStr"/>
      <c r="M1247" t="inlineStr"/>
      <c r="N1247" t="inlineStr"/>
      <c r="O1247">
        <f>(1-Summary!$B$11)*T1247+Summary!$B$11*V1247</f>
        <v/>
      </c>
      <c r="P1247">
        <f>IF(B1265=0,0,O1247/B1265)</f>
        <v/>
      </c>
      <c r="Q1247" t="n">
        <v>0</v>
      </c>
      <c r="R1247" t="n">
        <v>0</v>
      </c>
      <c r="S1247">
        <f>IFERROR(O1247/N1247,0)</f>
        <v/>
      </c>
      <c r="T1247" t="n">
        <v>0</v>
      </c>
      <c r="V1247" t="n">
        <v>0</v>
      </c>
    </row>
    <row r="1248">
      <c r="A1248">
        <f>Skills!A28</f>
        <v/>
      </c>
      <c r="B1248">
        <f>Skills!B28</f>
        <v/>
      </c>
      <c r="C1248">
        <f>Inputs!$B$3&gt;=120</f>
        <v/>
      </c>
      <c r="D1248">
        <f>IF(Skills!C28=1,60+Inputs!$B$25+Inputs!$B$29,IF(Skills!C28=2,90+Inputs!$B$26+Inputs!$B$29,IF(Skills!C28=3,120+Inputs!$B$27+Inputs!$B$29,MAX(0,(Inputs!$B$3-100)*3)+Inputs!$B$28+Inputs!$B$29)))</f>
        <v/>
      </c>
      <c r="E1248">
        <f>INDEX(FactorTable!$B$2:$Y$301, MATCH(ROUND(MIN(300,MAX(1,D1248)),0), FactorTable!$A$2:$A$301,0), Skills!M28+1)</f>
        <v/>
      </c>
      <c r="F1248">
        <f>IF(Skills!N28=TRUE,(Skills!L28/10)*(E1248/1000),Skills!L28/10)+Skills!O28</f>
        <v/>
      </c>
      <c r="G1248">
        <f>Skills!G28*IF(Skills!H28&gt;0,Skills!I28/Skills!H28,1)</f>
        <v/>
      </c>
      <c r="H1248">
        <f>1-(1-Skills!J28/100)^Skills!K28</f>
        <v/>
      </c>
      <c r="I1248" t="inlineStr">
        <is>
          <t>1</t>
        </is>
      </c>
      <c r="J1248" t="inlineStr"/>
      <c r="K1248" t="inlineStr"/>
      <c r="L1248" t="inlineStr"/>
      <c r="M1248" t="inlineStr"/>
      <c r="N1248" t="inlineStr"/>
      <c r="O1248">
        <f>(1-Summary!$B$11)*T1248+Summary!$B$11*V1248</f>
        <v/>
      </c>
      <c r="P1248">
        <f>IF(B1265=0,0,O1248/B1265)</f>
        <v/>
      </c>
      <c r="Q1248" t="n">
        <v>0</v>
      </c>
      <c r="R1248" t="n">
        <v>0</v>
      </c>
      <c r="S1248">
        <f>IFERROR(O1248/N1248,0)</f>
        <v/>
      </c>
      <c r="T1248" t="n">
        <v>0</v>
      </c>
      <c r="V1248" t="n">
        <v>0</v>
      </c>
    </row>
    <row r="1249">
      <c r="A1249">
        <f>Skills!A29</f>
        <v/>
      </c>
      <c r="B1249">
        <f>Skills!B29</f>
        <v/>
      </c>
      <c r="C1249">
        <f>Inputs!$B$3&gt;=120</f>
        <v/>
      </c>
      <c r="D1249">
        <f>IF(Skills!C29=1,60+Inputs!$B$25+Inputs!$B$29,IF(Skills!C29=2,90+Inputs!$B$26+Inputs!$B$29,IF(Skills!C29=3,120+Inputs!$B$27+Inputs!$B$29,MAX(0,(Inputs!$B$3-100)*3)+Inputs!$B$28+Inputs!$B$29)))</f>
        <v/>
      </c>
      <c r="E1249">
        <f>INDEX(FactorTable!$B$2:$Y$301, MATCH(ROUND(MIN(300,MAX(1,D1249)),0), FactorTable!$A$2:$A$301,0), Skills!M29+1)</f>
        <v/>
      </c>
      <c r="F1249">
        <f>IF(Skills!N29=TRUE,(Skills!L29/10)*(E1249/1000),Skills!L29/10)+Skills!O29</f>
        <v/>
      </c>
      <c r="G1249">
        <f>Skills!G29*IF(Skills!H29&gt;0,Skills!I29/Skills!H29,1)</f>
        <v/>
      </c>
      <c r="H1249">
        <f>1-(1-Skills!J29/100)^Skills!K29</f>
        <v/>
      </c>
      <c r="I1249" t="inlineStr">
        <is>
          <t>1</t>
        </is>
      </c>
      <c r="J1249" t="inlineStr"/>
      <c r="K1249" t="inlineStr"/>
      <c r="L1249" t="inlineStr"/>
      <c r="M1249" t="inlineStr"/>
      <c r="N1249" t="inlineStr"/>
      <c r="O1249">
        <f>(1-Summary!$B$11)*T1249+Summary!$B$11*V1249</f>
        <v/>
      </c>
      <c r="P1249">
        <f>IF(B1265=0,0,O1249/B1265)</f>
        <v/>
      </c>
      <c r="Q1249" t="n">
        <v>0</v>
      </c>
      <c r="R1249" t="n">
        <v>0</v>
      </c>
      <c r="S1249">
        <f>IFERROR(O1249/N1249,0)</f>
        <v/>
      </c>
      <c r="T1249" t="n">
        <v>0</v>
      </c>
      <c r="V1249" t="n">
        <v>0</v>
      </c>
    </row>
    <row r="1250">
      <c r="A1250">
        <f>Skills!A30</f>
        <v/>
      </c>
      <c r="B1250">
        <f>Skills!B30</f>
        <v/>
      </c>
      <c r="C1250">
        <f>Inputs!$B$3&gt;=125</f>
        <v/>
      </c>
      <c r="D1250">
        <f>IF(Skills!C30=1,60+Inputs!$B$25+Inputs!$B$29,IF(Skills!C30=2,90+Inputs!$B$26+Inputs!$B$29,IF(Skills!C30=3,120+Inputs!$B$27+Inputs!$B$29,MAX(0,(Inputs!$B$3-100)*3)+Inputs!$B$28+Inputs!$B$29)))</f>
        <v/>
      </c>
      <c r="E1250">
        <f>INDEX(FactorTable!$B$2:$Y$301, MATCH(ROUND(MIN(300,MAX(1,D1250)),0), FactorTable!$A$2:$A$301,0), Skills!M30+1)</f>
        <v/>
      </c>
      <c r="F1250">
        <f>IF(Skills!N30=TRUE,(Skills!L30/10)*(E1250/1000),Skills!L30/10)+Skills!O30</f>
        <v/>
      </c>
      <c r="G1250">
        <f>Skills!G30*IF(Skills!H30&gt;0,Skills!I30/Skills!H30,1)</f>
        <v/>
      </c>
      <c r="H1250">
        <f>1-(1-Skills!J30/100)^Skills!K30</f>
        <v/>
      </c>
      <c r="I1250" t="inlineStr">
        <is>
          <t>1</t>
        </is>
      </c>
      <c r="J1250" t="inlineStr"/>
      <c r="K1250" t="inlineStr"/>
      <c r="L1250" t="inlineStr"/>
      <c r="M1250" t="inlineStr"/>
      <c r="N1250" t="inlineStr"/>
      <c r="O1250">
        <f>(1-Summary!$B$11)*T1250+Summary!$B$11*V1250</f>
        <v/>
      </c>
      <c r="P1250">
        <f>IF(B1265=0,0,O1250/B1265)</f>
        <v/>
      </c>
      <c r="Q1250" t="n">
        <v>0</v>
      </c>
      <c r="R1250" t="n">
        <v>0</v>
      </c>
      <c r="S1250">
        <f>IFERROR(O1250/N1250,0)</f>
        <v/>
      </c>
      <c r="T1250" t="n">
        <v>0</v>
      </c>
      <c r="V1250" t="n">
        <v>0</v>
      </c>
    </row>
    <row r="1252">
      <c r="A1252" t="inlineStr">
        <is>
          <t>Average Buff Multiplier</t>
        </is>
      </c>
      <c r="B1252">
        <f>(1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f>
        <v/>
      </c>
    </row>
    <row r="1253">
      <c r="A1253" t="inlineStr">
        <is>
          <t>Global Crit Rate Bonus %</t>
        </is>
      </c>
      <c r="B1253">
        <f>((C1240=TRUE)*F1240*IF(AND(Inputs!$B$39&lt;&gt;"pvp",Inputs!$B$44&gt;0),(((R1240-1)*(Skills!Y20*(1+Inputs!$B$34/100))+MIN((Skills!Y20*(1+Inputs!$B$34/100)),MAX(0,Inputs!$B$44-((R1240-1)*Skills!D20))))/Inputs!$B$44),IF(Inputs!$B$39="pvp",MIN((Skills!Y20*(1+Inputs!$B$34/100)),15)/15,(Skills!Y20*(1+Inputs!$B$34/100))/Skills!D20)))</f>
        <v/>
      </c>
    </row>
    <row r="1254">
      <c r="A1254" t="inlineStr">
        <is>
          <t>Global Monster Damage-Taken Bonus %</t>
        </is>
      </c>
      <c r="B1254">
        <f>IF(Inputs!$B$3&gt;=82,15,0)</f>
        <v/>
      </c>
    </row>
    <row r="1255">
      <c r="A1255" t="inlineStr">
        <is>
          <t>Shadow Partner Average Multiplier</t>
        </is>
      </c>
      <c r="B1255">
        <f>1+((C1227=TRUE)*F1227*(1+3.3333333333333335*IF(C1238=TRUE,F1238,0)/100)*I1227*Skills!J7/100)/100</f>
        <v/>
      </c>
    </row>
    <row r="1256">
      <c r="A1256" t="inlineStr">
        <is>
          <t>Attack Speed Buff Bonus %</t>
        </is>
      </c>
      <c r="B1256">
        <f>((C1239=TRUE)*F1239*IF(AND(Inputs!$B$39&lt;&gt;"pvp",Inputs!$B$44&gt;0),(((R1239-1)*(Skills!Y19*(1+Inputs!$B$34/100))+MIN((Skills!Y19*(1+Inputs!$B$34/100)),MAX(0,Inputs!$B$44-((R1239-1)*Skills!D19))))/Inputs!$B$44),IF(Inputs!$B$39="pvp",MIN((Skills!Y19*(1+Inputs!$B$34/100)),15)/15,(Skills!Y19*(1+Inputs!$B$34/100))/Skills!D19)))+((C1223=TRUE)*F1223*3)</f>
        <v/>
      </c>
    </row>
    <row r="1257">
      <c r="A1257" t="inlineStr">
        <is>
          <t>Actions Per Second</t>
        </is>
      </c>
      <c r="B1257">
        <f>1+MIN(150,150*(1-(1-(Inputs!$B$11+((C1242=TRUE)*(F1242-Calc!F22)))/150)*(1-B1256/150)))/100</f>
        <v/>
      </c>
    </row>
    <row r="1258">
      <c r="A1258" t="inlineStr">
        <is>
          <t>Skill + Buff Cast Rate</t>
        </is>
      </c>
      <c r="B1258">
        <f>IF(AND(Inputs!$B$39&lt;&gt;"pvp",Inputs!$B$44&gt;0),SUMPRODUCT((Skills!E2:E30=TRUE)*(C1222:C1250=TRUE)*R1222:R1250*Skills!F2:F30)/Inputs!$B$44,SUMPRODUCT((Skills!E2:E30=TRUE)*(C1222:C1250=TRUE)*Q1222:Q1250*Skills!F2:F30))</f>
        <v/>
      </c>
    </row>
    <row r="1259">
      <c r="A1259" t="inlineStr">
        <is>
          <t>Cruel Stab Casts Per Second</t>
        </is>
      </c>
      <c r="B1259">
        <f>MAX(0,B1257-B1258)</f>
        <v/>
      </c>
    </row>
    <row r="1260">
      <c r="A1260" t="inlineStr">
        <is>
          <t>Global Critical Damage Bonus % (Smokescreen Mastery Lv.113)</t>
        </is>
      </c>
      <c r="B1260">
        <f>IF(Inputs!$B$3&gt;=113,30,0)*IF(AND(Inputs!$B$39&lt;&gt;"pvp",Inputs!$B$44&gt;0),(((R1235-1)*(Skills!Y15*(1+Inputs!$B$34/100))+MIN((Skills!Y15*(1+Inputs!$B$34/100)),MAX(0,Inputs!$B$44-((R1235-1)*Skills!D15))))/Inputs!$B$44),IF(Inputs!$B$39="pvp",MIN((Skills!Y15*(1+Inputs!$B$34/100)),15)/15,(Skills!Y15*(1+Inputs!$B$34/100))/Skills!D15))</f>
        <v/>
      </c>
    </row>
    <row r="1261">
      <c r="A1261" t="inlineStr">
        <is>
          <t>Meso Explosion average stack count</t>
        </is>
      </c>
      <c r="B1261">
        <f>MIN(10,0.5*B1257*Skills!D4)</f>
        <v/>
      </c>
    </row>
    <row r="1262">
      <c r="A1262" t="inlineStr">
        <is>
          <t>Blood Money average stack count</t>
        </is>
      </c>
      <c r="B1262">
        <f>MIN(5,0.25*B1257*Skills!D4)</f>
        <v/>
      </c>
    </row>
    <row r="1263">
      <c r="A1263" t="inlineStr">
        <is>
          <t>Assassinate Murderous Intent Multiplier</t>
        </is>
      </c>
      <c r="B1263">
        <f>1+IFERROR(MIN(1,Q1234*2/Q1231),0)</f>
        <v/>
      </c>
    </row>
    <row r="1264">
      <c r="A1264" t="inlineStr">
        <is>
          <t>Buff-Casting Startup Delay (s, fixed-duration only)</t>
        </is>
      </c>
      <c r="B1264">
        <f>IF(AND(Inputs!$B$39&lt;&gt;"pvp",Inputs!$B$44&gt;0),SUMPRODUCT((Skills!Y2:Y30&gt;0)*(Skills!E2:E30=TRUE)*(C1222:C1250=TRUE))/B1257,0)</f>
        <v/>
      </c>
    </row>
    <row r="1265">
      <c r="A1265" s="6" t="inlineStr">
        <is>
          <t>TOTAL DPS</t>
        </is>
      </c>
      <c r="B1265" s="6">
        <f>SUM(O1222:O1250)</f>
        <v/>
      </c>
    </row>
    <row r="1266">
      <c r="A1266" t="inlineStr">
        <is>
          <t>Boss-Only Total DPS (this block's swept value)</t>
        </is>
      </c>
      <c r="B1266">
        <f>SUM(T1222:T1250)</f>
        <v/>
      </c>
    </row>
    <row r="1267">
      <c r="A1267" t="inlineStr">
        <is>
          <t>Normal-Only Total DPS (this block's swept value)</t>
        </is>
      </c>
      <c r="B1267">
        <f>SUM(V1222:V1250)</f>
        <v/>
      </c>
    </row>
    <row r="1270">
      <c r="A1270" s="6" t="inlineStr">
        <is>
          <t>Stat: Basic Attack Target Increase (flat)</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Q1271" s="5" t="inlineStr">
        <is>
          <t>InvCooldown</t>
        </is>
      </c>
      <c r="R1271" s="5" t="inlineStr">
        <is>
          <t>CastsInFight</t>
        </is>
      </c>
      <c r="S1271" s="5" t="inlineStr">
        <is>
          <t>HitRate(perSec)</t>
        </is>
      </c>
      <c r="U1271" t="inlineStr">
        <is>
          <t>helpers</t>
        </is>
      </c>
    </row>
    <row r="1272">
      <c r="A1272">
        <f>Skills!A2</f>
        <v/>
      </c>
      <c r="B1272">
        <f>Skills!B2</f>
        <v/>
      </c>
      <c r="C1272">
        <f>Inputs!$B$3&gt;=100</f>
        <v/>
      </c>
      <c r="D1272" t="inlineStr"/>
      <c r="E1272" t="inlineStr"/>
      <c r="F1272">
        <f>U1274+Skills!O2</f>
        <v/>
      </c>
      <c r="G1272">
        <f>Skills!G2*IF(Skills!H2&gt;0,Skills!I2/Skills!H2,1)</f>
        <v/>
      </c>
      <c r="H1272">
        <f>1-(1-Skills!J2/100)^Skills!K2</f>
        <v/>
      </c>
      <c r="I1272" t="inlineStr">
        <is>
          <t>1</t>
        </is>
      </c>
      <c r="J1272">
        <f>((Inputs!$B$6*(1+Inputs!$B$7/100))+(((Inputs!$B$12*(1+Inputs!$B$13/100))-(Inputs!$B$12*(1+Inputs!$B$13/100)))+0.25*(Inputs!$B$14-Inputs!$B$14))*(1+Inputs!$B$7/100))*(F1272/100)</f>
        <v/>
      </c>
      <c r="K1272">
        <f>J1272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1272)</f>
        <v/>
      </c>
      <c r="L1272">
        <f>K1272*(MIN(Inputs!$B$22+((C1294=TRUE)*(F1294-Calc!F24)),(Inputs!$B$23+((C1299=TRUE)*(F1299-Calc!F29))+IF(ArtifactsInput!$M$15,CHOOSE(ArtifactsInput!$N$15+1,25,30,35,40,45,50)/100*(Inputs!$B$11-Inputs!$B$11),0)))/100+(Inputs!$B$23+((C1299=TRUE)*(F1299-Calc!F29))+IF(ArtifactsInput!$M$15,CHOOSE(ArtifactsInput!$N$15+1,25,30,35,40,45,50)/100*(Inputs!$B$11-Inputs!$B$11),0))/100)/2</f>
        <v/>
      </c>
      <c r="M1272">
        <f>L1272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2">
        <f>L1272*(1-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1272*(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2">
        <f>(1-Summary!$B$11)*T1272+Summary!$B$11*V1272</f>
        <v/>
      </c>
      <c r="P1272">
        <f>IF(B1315=0,0,O1272/B1315)</f>
        <v/>
      </c>
      <c r="Q1272" t="n">
        <v>0</v>
      </c>
      <c r="R1272" t="n">
        <v>0</v>
      </c>
      <c r="S1272">
        <f>IFERROR(O1272/N1272,0)</f>
        <v/>
      </c>
      <c r="T1272">
        <f>IF(C1272,(Skills!G2*N1272*B1309)*IF(Inputs!$B$39="pvp",1,1+(Inputs!$B$20+0+Skills!P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1272*(1-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1272*(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1272*(1-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1272*(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2">
        <f>MAX(0,(Inputs!$B$3-100)*3)+Inputs!$B$28+Inputs!$B$29</f>
        <v/>
      </c>
      <c r="V1272">
        <f>IF(C1272,(Skills!G2*N1272*B1309)*IF(Inputs!$B$39="pvp",1,(1+(Inputs!$B$21+Skills!Q2+B1304+(IF(ArtifactsInput!$M$33,CHOOSE(ArtifactsInput!$N$33+1,30,36,42,48,54,60),0))+(IF(AND(ArtifactsInput!$M$35,Inputs!$B$4&lt;&gt;"Chapter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3">
      <c r="A1273">
        <f>Skills!A3</f>
        <v/>
      </c>
      <c r="B1273">
        <f>Skills!B3</f>
        <v/>
      </c>
      <c r="C1273">
        <f>Inputs!$B$3&gt;=35</f>
        <v/>
      </c>
      <c r="D1273">
        <f>IF(Skills!C3=1,60+Inputs!$B$25+Inputs!$B$29,IF(Skills!C3=2,90+Inputs!$B$26+Inputs!$B$29,IF(Skills!C3=3,120+Inputs!$B$27+Inputs!$B$29,MAX(0,(Inputs!$B$3-100)*3)+Inputs!$B$28+Inputs!$B$29)))</f>
        <v/>
      </c>
      <c r="E1273">
        <f>INDEX(FactorTable!$B$2:$Y$301, MATCH(ROUND(MIN(300,MAX(1,D1273)),0), FactorTable!$A$2:$A$301,0), Skills!M3+1)</f>
        <v/>
      </c>
      <c r="F1273">
        <f>IF(Skills!N3=TRUE,(Skills!L3/10)*(E1273/1000),Skills!L3/10)+Skills!O3</f>
        <v/>
      </c>
      <c r="G1273">
        <f>Skills!G3*IF(Skills!H3&gt;0,Skills!I3/Skills!H3,1)</f>
        <v/>
      </c>
      <c r="H1273">
        <f>1-(1-Skills!J3/100)^Skills!K3</f>
        <v/>
      </c>
      <c r="I1273" t="inlineStr">
        <is>
          <t>1</t>
        </is>
      </c>
      <c r="J1273" t="inlineStr"/>
      <c r="K1273" t="inlineStr"/>
      <c r="L1273" t="inlineStr"/>
      <c r="M1273" t="inlineStr"/>
      <c r="N1273" t="inlineStr"/>
      <c r="O1273">
        <f>(1-Summary!$B$11)*T1273+Summary!$B$11*V1273</f>
        <v/>
      </c>
      <c r="P1273">
        <f>IF(B1315=0,0,O1273/B1315)</f>
        <v/>
      </c>
      <c r="Q1273" t="n">
        <v>0</v>
      </c>
      <c r="R1273" t="n">
        <v>0</v>
      </c>
      <c r="S1273">
        <f>IFERROR(O1273/N1273,0)</f>
        <v/>
      </c>
      <c r="T1273" t="n">
        <v>0</v>
      </c>
      <c r="U1273">
        <f>INDEX(FactorTable!$B$2:$Y$301, MATCH(ROUND(MIN(300,MAX(1,U1272)),0), FactorTable!$A$2:$A$301,0), 22)</f>
        <v/>
      </c>
      <c r="V1273" t="n">
        <v>0</v>
      </c>
    </row>
    <row r="1274">
      <c r="A1274">
        <f>Skills!A4</f>
        <v/>
      </c>
      <c r="B1274">
        <f>Skills!B4</f>
        <v/>
      </c>
      <c r="C1274">
        <f>Inputs!$B$3&gt;=66</f>
        <v/>
      </c>
      <c r="D1274">
        <f>IF(Skills!C4=1,60+Inputs!$B$25+Inputs!$B$29,IF(Skills!C4=2,90+Inputs!$B$26+Inputs!$B$29,IF(Skills!C4=3,120+Inputs!$B$27+Inputs!$B$29,MAX(0,(Inputs!$B$3-100)*3)+Inputs!$B$28+Inputs!$B$29)))</f>
        <v/>
      </c>
      <c r="E1274">
        <f>INDEX(FactorTable!$B$2:$Y$301, MATCH(ROUND(MIN(300,MAX(1,D1274)),0), FactorTable!$A$2:$A$301,0), Skills!M4+1)</f>
        <v/>
      </c>
      <c r="F1274">
        <f>IF(Skills!N4=TRUE,(Skills!L4/10)*(E1274/1000),Skills!L4/10)+Skills!O4</f>
        <v/>
      </c>
      <c r="G1274">
        <f>Skills!G4*IF(Skills!H4&gt;0,Skills!I4/Skills!H4,1)</f>
        <v/>
      </c>
      <c r="H1274">
        <f>1-(1-Skills!J4/100)^Skills!K4</f>
        <v/>
      </c>
      <c r="I1274" t="inlineStr">
        <is>
          <t>1</t>
        </is>
      </c>
      <c r="J1274">
        <f>((Inputs!$B$6*(1+Inputs!$B$7/100))+(((Inputs!$B$12*(1+Inputs!$B$13/100))-(Inputs!$B$12*(1+Inputs!$B$13/100)))+0.25*(Inputs!$B$14-Inputs!$B$14))*(1+Inputs!$B$7/100))*(F1274/100)</f>
        <v/>
      </c>
      <c r="K1274">
        <f>J1274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1274)</f>
        <v/>
      </c>
      <c r="L1274">
        <f>K1274*(MIN(Inputs!$B$22+((C1294=TRUE)*(F1294-Calc!F24)),(Inputs!$B$23+((C1299=TRUE)*(F1299-Calc!F29))+IF(ArtifactsInput!$M$15,CHOOSE(ArtifactsInput!$N$15+1,25,30,35,40,45,50)/100*(Inputs!$B$11-Inputs!$B$11),0)))/100+(Inputs!$B$23+((C1299=TRUE)*(F1299-Calc!F29))+IF(ArtifactsInput!$M$15,CHOOSE(ArtifactsInput!$N$15+1,25,30,35,40,45,50)/100*(Inputs!$B$11-Inputs!$B$11),0))/100)/2</f>
        <v/>
      </c>
      <c r="M1274">
        <f>L1274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4">
        <f>L1274*(1-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1274*(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4">
        <f>(1-Summary!$B$11)*T1274+Summary!$B$11*V1274</f>
        <v/>
      </c>
      <c r="P1274">
        <f>IF(B1315=0,0,O1274/B1315)</f>
        <v/>
      </c>
      <c r="Q1274">
        <f>IFERROR(1/IF(Inputs!$B$39="pvp",15,MAX(0.1,Skills!D4-IF(Skills!E4=TRUE,Inputs!$B$32,0))),0)</f>
        <v/>
      </c>
      <c r="R1274">
        <f>IF(AND(Inputs!$B$39&lt;&gt;"pvp",Inputs!$B$44&gt;0),IF(MAX(0,Inputs!$B$44-B1314)&lt;=0,0,(INT(MAX(0,Inputs!$B$44-B1314)/IF(Inputs!$B$39="pvp",15,MAX(0.1,Skills!D4-IF(Skills!E4=TRUE,Inputs!$B$32,0))))+1)),0)</f>
        <v/>
      </c>
      <c r="S1274">
        <f>IFERROR(O1274/N1274,0)</f>
        <v/>
      </c>
      <c r="T1274">
        <f>IF(C1274,(H1274*N1274*IF(AND(Inputs!$B$39&lt;&gt;"pvp",Inputs!$B$44&gt;0),((Skills!G4*((R1274-1)*IF(Skills!H4&gt;0,Skills!I4/Skills!H4,1)+IF(Skills!H4&gt;0,MIN(Skills!I4,MAX(0,MAX(0,Inputs!$B$44-B1314)-((R1274-1)*IF(Inputs!$B$39="pvp",15,MAX(0.1,Skills!D4-IF(Skills!E4=TRUE,Inputs!$B$32,0))))))/Skills!H4,1)))/Inputs!$B$44),G1274*Q1274))*IF(Inputs!$B$39="pvp",1,1+(Inputs!$B$20+0+Skills!P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1274*(1-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1274*(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1274*(1-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1274*(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4">
        <f>290*U1273/1000</f>
        <v/>
      </c>
      <c r="V1274">
        <f>IF(C1274,(H1274*N1274*IF(AND(Inputs!$B$39&lt;&gt;"pvp",Inputs!$B$44&gt;0),((Skills!G4*((R1274-1)*IF(Skills!H4&gt;0,Skills!I4/Skills!H4,1)+IF(Skills!H4&gt;0,MIN(Skills!I4,MAX(0,MAX(0,Inputs!$B$44-B1314)-((R1274-1)*IF(Inputs!$B$39="pvp",15,MAX(0.1,Skills!D4-IF(Skills!E4=TRUE,Inputs!$B$32,0))))))/Skills!H4,1)))/Inputs!$B$44),G1274*Q1274))*IF(Inputs!$B$39="pvp",1,(1+(Inputs!$B$21+Skills!Q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(10,0.5*B1307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5">
      <c r="A1275">
        <f>Skills!A5</f>
        <v/>
      </c>
      <c r="B1275">
        <f>Skills!B5</f>
        <v/>
      </c>
      <c r="C1275">
        <f>Inputs!$B$3&gt;=63</f>
        <v/>
      </c>
      <c r="D1275">
        <f>IF(Skills!C5=1,60+Inputs!$B$25+Inputs!$B$29,IF(Skills!C5=2,90+Inputs!$B$26+Inputs!$B$29,IF(Skills!C5=3,120+Inputs!$B$27+Inputs!$B$29,MAX(0,(Inputs!$B$3-100)*3)+Inputs!$B$28+Inputs!$B$29)))</f>
        <v/>
      </c>
      <c r="E1275">
        <f>INDEX(FactorTable!$B$2:$Y$301, MATCH(ROUND(MIN(300,MAX(1,D1275)),0), FactorTable!$A$2:$A$301,0), Skills!M5+1)</f>
        <v/>
      </c>
      <c r="F1275">
        <f>IF(Skills!N5=TRUE,(Skills!L5/10)*(E1275/1000),Skills!L5/10)+Skills!O5</f>
        <v/>
      </c>
      <c r="G1275">
        <f>Skills!G5*IF(Skills!H5&gt;0,Skills!I5/Skills!H5,1)</f>
        <v/>
      </c>
      <c r="H1275">
        <f>1-(1-Skills!J5/100)^Skills!K5</f>
        <v/>
      </c>
      <c r="I1275" t="inlineStr">
        <is>
          <t>1</t>
        </is>
      </c>
      <c r="J1275">
        <f>((Inputs!$B$6*(1+Inputs!$B$7/100))+(((Inputs!$B$12*(1+Inputs!$B$13/100))-(Inputs!$B$12*(1+Inputs!$B$13/100)))+0.25*(Inputs!$B$14-Inputs!$B$14))*(1+Inputs!$B$7/100))*(F1275/100)</f>
        <v/>
      </c>
      <c r="K1275">
        <f>J1275*(1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1288=TRUE,F1288,0)/100)*(1+(IF(Skills!A5="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1275)</f>
        <v/>
      </c>
      <c r="L1275">
        <f>K1275*(MIN(Inputs!$B$22+((C1294=TRUE)*(F1294-Calc!F24)),(Inputs!$B$23+((C1299=TRUE)*(F1299-Calc!F29))+IF(ArtifactsInput!$M$15,CHOOSE(ArtifactsInput!$N$15+1,25,30,35,40,45,50)/100*(Inputs!$B$11-Inputs!$B$11),0)))/100+(Inputs!$B$23+((C1299=TRUE)*(F1299-Calc!F29))+IF(ArtifactsInput!$M$15,CHOOSE(ArtifactsInput!$N$15+1,25,30,35,40,45,50)/100*(Inputs!$B$11-Inputs!$B$11),0))/100)/2</f>
        <v/>
      </c>
      <c r="M1275">
        <f>L1275*(1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5">
        <f>L1275*(1-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1275*(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5">
        <f>(1-Summary!$B$11)*T1275+Summary!$B$11*V1275</f>
        <v/>
      </c>
      <c r="P1275">
        <f>IF(B1315=0,0,O1275/B1315)</f>
        <v/>
      </c>
      <c r="Q1275">
        <f>IFERROR(1/IF(Inputs!$B$39="pvp",15,MAX(0.1,Skills!D5-IF(Skills!E5=TRUE,Inputs!$B$32,0))),0)</f>
        <v/>
      </c>
      <c r="R1275">
        <f>IF(AND(Inputs!$B$39&lt;&gt;"pvp",Inputs!$B$44&gt;0),IF(MAX(0,Inputs!$B$44-B1314)&lt;=0,0,(INT(MAX(0,Inputs!$B$44-B1314)/IF(Inputs!$B$39="pvp",15,MAX(0.1,Skills!D5-IF(Skills!E5=TRUE,Inputs!$B$32,0))))+1)),0)</f>
        <v/>
      </c>
      <c r="S1275">
        <f>IFERROR(O1275/N1275,0)</f>
        <v/>
      </c>
      <c r="T1275">
        <f>IF(C1275,(H1275*N1275*IF(AND(Inputs!$B$39&lt;&gt;"pvp",Inputs!$B$44&gt;0),((Skills!G5*((R1275-1)*IF(Skills!H5&gt;0,Skills!I5/Skills!H5,1)+IF(Skills!H5&gt;0,MIN(Skills!I5,MAX(0,MAX(0,Inputs!$B$44-B1314)-((R1275-1)*IF(Inputs!$B$39="pvp",15,MAX(0.1,Skills!D5-IF(Skills!E5=TRUE,Inputs!$B$32,0))))))/Skills!H5,1)))/Inputs!$B$44),G1275*Q1275))*IF(Inputs!$B$39="pvp",1,1+(Inputs!$B$20+0+Skills!P5+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1275*(1-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1275*(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1275*(1-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1275*(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5">
        <f>IF(C1275,(H1275*N1275*IF(AND(Inputs!$B$39&lt;&gt;"pvp",Inputs!$B$44&gt;0),((Skills!G5*((R1275-1)*IF(Skills!H5&gt;0,Skills!I5/Skills!H5,1)+IF(Skills!H5&gt;0,MIN(Skills!I5,MAX(0,MAX(0,Inputs!$B$44-B1314)-((R1275-1)*IF(Inputs!$B$39="pvp",15,MAX(0.1,Skills!D5-IF(Skills!E5=TRUE,Inputs!$B$32,0))))))/Skills!H5,1)))/Inputs!$B$44),G1275*Q1275))*IF(Inputs!$B$39="pvp",1,(1+(Inputs!$B$21+Skills!Q5+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6">
      <c r="A1276">
        <f>Skills!A6</f>
        <v/>
      </c>
      <c r="B1276">
        <f>Skills!B6</f>
        <v/>
      </c>
      <c r="C1276">
        <f>Inputs!$B$3&gt;=69</f>
        <v/>
      </c>
      <c r="D1276">
        <f>IF(Skills!C6=1,60+Inputs!$B$25+Inputs!$B$29,IF(Skills!C6=2,90+Inputs!$B$26+Inputs!$B$29,IF(Skills!C6=3,120+Inputs!$B$27+Inputs!$B$29,MAX(0,(Inputs!$B$3-100)*3)+Inputs!$B$28+Inputs!$B$29)))</f>
        <v/>
      </c>
      <c r="E1276">
        <f>INDEX(FactorTable!$B$2:$Y$301, MATCH(ROUND(MIN(300,MAX(1,D1276)),0), FactorTable!$A$2:$A$301,0), Skills!M6+1)</f>
        <v/>
      </c>
      <c r="F1276">
        <f>IF(Skills!N6=TRUE,(Skills!L6/10)*(E1276/1000),Skills!L6/10)+Skills!O6</f>
        <v/>
      </c>
      <c r="G1276">
        <f>Skills!G6*IF(Skills!H6&gt;0,Skills!I6/Skills!H6,1)</f>
        <v/>
      </c>
      <c r="H1276">
        <f>1-(1-Skills!J6/100)^Skills!K6</f>
        <v/>
      </c>
      <c r="I1276" t="inlineStr">
        <is>
          <t>1</t>
        </is>
      </c>
      <c r="J1276">
        <f>((Inputs!$B$6*(1+Inputs!$B$7/100))+(((Inputs!$B$12*(1+Inputs!$B$13/100))-(Inputs!$B$12*(1+Inputs!$B$13/100)))+0.25*(Inputs!$B$14-Inputs!$B$14))*(1+Inputs!$B$7/100))*(F1276/100)</f>
        <v/>
      </c>
      <c r="K1276">
        <f>J1276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1288=TRUE,F1288,0)/100)*(1+(IF(Skills!A6="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1276)</f>
        <v/>
      </c>
      <c r="L1276">
        <f>K1276*(MIN(Inputs!$B$22+((C1294=TRUE)*(F1294-Calc!F24)),(Inputs!$B$23+((C1299=TRUE)*(F1299-Calc!F29))+IF(ArtifactsInput!$M$15,CHOOSE(ArtifactsInput!$N$15+1,25,30,35,40,45,50)/100*(Inputs!$B$11-Inputs!$B$11),0)))/100+(Inputs!$B$23+((C1299=TRUE)*(F1299-Calc!F29))+IF(ArtifactsInput!$M$15,CHOOSE(ArtifactsInput!$N$15+1,25,30,35,40,45,50)/100*(Inputs!$B$11-Inputs!$B$11),0))/100)/2</f>
        <v/>
      </c>
      <c r="M1276">
        <f>L1276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6">
        <f>L1276*(1-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1276*(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6">
        <f>(1-Summary!$B$11)*T1276+Summary!$B$11*V1276</f>
        <v/>
      </c>
      <c r="P1276">
        <f>IF(B1315=0,0,O1276/B1315)</f>
        <v/>
      </c>
      <c r="Q1276">
        <f>IFERROR(1/IF(Inputs!$B$39="pvp",15,MAX(0.1,Skills!D6-IF(Skills!E6=TRUE,Inputs!$B$32,0))),0)</f>
        <v/>
      </c>
      <c r="R1276">
        <f>IF(AND(Inputs!$B$39&lt;&gt;"pvp",Inputs!$B$44&gt;0),IF(MAX(0,Inputs!$B$44-B1314)&lt;=0,0,(INT(MAX(0,Inputs!$B$44-B1314)/IF(Inputs!$B$39="pvp",15,MAX(0.1,Skills!D6-IF(Skills!E6=TRUE,Inputs!$B$32,0))))+1)),0)</f>
        <v/>
      </c>
      <c r="S1276">
        <f>IFERROR(O1276/N1276,0)</f>
        <v/>
      </c>
      <c r="T1276">
        <f>IF(C1276,(H1276*N1276*IF(AND(Inputs!$B$39&lt;&gt;"pvp",Inputs!$B$44&gt;0),((Skills!G6*((R1276-1)*IF(Skills!H6&gt;0,Skills!I6/Skills!H6,1)+IF(Skills!H6&gt;0,MIN(Skills!I6,MAX(0,MAX(0,Inputs!$B$44-B1314)-((R1276-1)*IF(Inputs!$B$39="pvp",15,MAX(0.1,Skills!D6-IF(Skills!E6=TRUE,Inputs!$B$32,0))))))/Skills!H6,1)))/Inputs!$B$44),G1276*Q1276))*IF(Inputs!$B$39="pvp",1,1+(Inputs!$B$20+0+Skills!P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1276*(1-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1276*(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1276*(1-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1276*(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6">
        <f>IF(C1276,(H1276*N1276*IF(AND(Inputs!$B$39&lt;&gt;"pvp",Inputs!$B$44&gt;0),((Skills!G6*((R1276-1)*IF(Skills!H6&gt;0,Skills!I6/Skills!H6,1)+IF(Skills!H6&gt;0,MIN(Skills!I6,MAX(0,MAX(0,Inputs!$B$44-B1314)-((R1276-1)*IF(Inputs!$B$39="pvp",15,MAX(0.1,Skills!D6-IF(Skills!E6=TRUE,Inputs!$B$32,0))))))/Skills!H6,1)))/Inputs!$B$44),G1276*Q1276))*IF(Inputs!$B$39="pvp",1,(1+(Inputs!$B$21+Skills!Q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7">
      <c r="A1277">
        <f>Skills!A7</f>
        <v/>
      </c>
      <c r="B1277">
        <f>Skills!B7</f>
        <v/>
      </c>
      <c r="C1277">
        <f>Inputs!$B$3&gt;=60</f>
        <v/>
      </c>
      <c r="D1277">
        <f>IF(Skills!C7=1,60+Inputs!$B$25+Inputs!$B$29,IF(Skills!C7=2,90+Inputs!$B$26+Inputs!$B$29,IF(Skills!C7=3,120+Inputs!$B$27+Inputs!$B$29,MAX(0,(Inputs!$B$3-100)*3)+Inputs!$B$28+Inputs!$B$29)))</f>
        <v/>
      </c>
      <c r="E1277">
        <f>INDEX(FactorTable!$B$2:$Y$301, MATCH(ROUND(MIN(300,MAX(1,D1277)),0), FactorTable!$A$2:$A$301,0), Skills!M7+1)</f>
        <v/>
      </c>
      <c r="F1277">
        <f>IF(Skills!N7=TRUE,(Skills!L7/10)*(E1277/1000),Skills!L7/10)+Skills!O7</f>
        <v/>
      </c>
      <c r="G1277">
        <f>Skills!G7*IF(Skills!H7&gt;0,Skills!I7/Skills!H7,1)</f>
        <v/>
      </c>
      <c r="H1277">
        <f>1-(1-Skills!J7/100)^Skills!K7</f>
        <v/>
      </c>
      <c r="I1277" t="inlineStr">
        <is>
          <t>1</t>
        </is>
      </c>
      <c r="J1277" t="inlineStr"/>
      <c r="K1277" t="inlineStr"/>
      <c r="L1277" t="inlineStr"/>
      <c r="M1277" t="inlineStr"/>
      <c r="N1277" t="inlineStr"/>
      <c r="O1277">
        <f>(1-Summary!$B$11)*T1277+Summary!$B$11*V1277</f>
        <v/>
      </c>
      <c r="P1277">
        <f>IF(B1315=0,0,O1277/B1315)</f>
        <v/>
      </c>
      <c r="Q1277" t="n">
        <v>0</v>
      </c>
      <c r="R1277" t="n">
        <v>0</v>
      </c>
      <c r="S1277">
        <f>IFERROR(O1277/N1277,0)</f>
        <v/>
      </c>
      <c r="T1277" t="n">
        <v>0</v>
      </c>
      <c r="V1277" t="n">
        <v>0</v>
      </c>
    </row>
    <row r="1278">
      <c r="A1278">
        <f>Skills!A8</f>
        <v/>
      </c>
      <c r="B1278">
        <f>Skills!B8</f>
        <v/>
      </c>
      <c r="C1278">
        <f>Inputs!$B$3&gt;=72</f>
        <v/>
      </c>
      <c r="D1278">
        <f>IF(Skills!C8=1,60+Inputs!$B$25+Inputs!$B$29,IF(Skills!C8=2,90+Inputs!$B$26+Inputs!$B$29,IF(Skills!C8=3,120+Inputs!$B$27+Inputs!$B$29,MAX(0,(Inputs!$B$3-100)*3)+Inputs!$B$28+Inputs!$B$29)))</f>
        <v/>
      </c>
      <c r="E1278">
        <f>INDEX(FactorTable!$B$2:$Y$301, MATCH(ROUND(MIN(300,MAX(1,D1278)),0), FactorTable!$A$2:$A$301,0), Skills!M8+1)</f>
        <v/>
      </c>
      <c r="F1278">
        <f>IF(Skills!N8=TRUE,(Skills!L8/10)*(E1278/1000),Skills!L8/10)+Skills!O8</f>
        <v/>
      </c>
      <c r="G1278">
        <f>Skills!G8*IF(Skills!H8&gt;0,Skills!I8/Skills!H8,1)</f>
        <v/>
      </c>
      <c r="H1278">
        <f>1-(1-Skills!J8/100)^Skills!K8</f>
        <v/>
      </c>
      <c r="I1278" t="inlineStr">
        <is>
          <t>1</t>
        </is>
      </c>
      <c r="J1278">
        <f>((Inputs!$B$6*(1+Inputs!$B$7/100))+(((Inputs!$B$12*(1+Inputs!$B$13/100))-(Inputs!$B$12*(1+Inputs!$B$13/100)))+0.25*(Inputs!$B$14-Inputs!$B$14))*(1+Inputs!$B$7/100))*(F1278/100)</f>
        <v/>
      </c>
      <c r="K1278">
        <f>J1278*(1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1288=TRUE,F1288,0)/100)*(1+(IF(Skills!A8="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1278)</f>
        <v/>
      </c>
      <c r="L1278">
        <f>K1278*(MIN(Inputs!$B$22+((C1294=TRUE)*(F1294-Calc!F24)),(Inputs!$B$23+((C1299=TRUE)*(F1299-Calc!F29))+IF(ArtifactsInput!$M$15,CHOOSE(ArtifactsInput!$N$15+1,25,30,35,40,45,50)/100*(Inputs!$B$11-Inputs!$B$11),0)))/100+(Inputs!$B$23+((C1299=TRUE)*(F1299-Calc!F29))+IF(ArtifactsInput!$M$15,CHOOSE(ArtifactsInput!$N$15+1,25,30,35,40,45,50)/100*(Inputs!$B$11-Inputs!$B$11),0))/100)/2</f>
        <v/>
      </c>
      <c r="M1278">
        <f>L1278*(1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8">
        <f>L1278*(1-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1278*(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8">
        <f>(1-Summary!$B$11)*T1278+Summary!$B$11*V1278</f>
        <v/>
      </c>
      <c r="P1278">
        <f>IF(B1315=0,0,O1278/B1315)</f>
        <v/>
      </c>
      <c r="Q1278">
        <f>IFERROR(1/IF(Inputs!$B$39="pvp",15,MAX(0.1,Skills!D8-IF(Skills!E8=TRUE,Inputs!$B$32,0))),0)</f>
        <v/>
      </c>
      <c r="R1278">
        <f>IF(AND(Inputs!$B$39&lt;&gt;"pvp",Inputs!$B$44&gt;0),IF(MAX(0,Inputs!$B$44-B1314)&lt;=0,0,(INT(MAX(0,Inputs!$B$44-B1314)/IF(Inputs!$B$39="pvp",15,MAX(0.1,Skills!D8-IF(Skills!E8=TRUE,Inputs!$B$32,0))))+1)),0)</f>
        <v/>
      </c>
      <c r="S1278">
        <f>IFERROR(O1278/N1278,0)</f>
        <v/>
      </c>
      <c r="T1278">
        <f>IF(C1278,(H1278*N1278*IF(AND(Inputs!$B$39&lt;&gt;"pvp",Inputs!$B$44&gt;0),((Skills!G8*((R1278-1)*IF(Skills!H8&gt;0,Skills!I8/Skills!H8,1)+IF(Skills!H8&gt;0,MIN(Skills!I8,MAX(0,MAX(0,Inputs!$B$44-B1314)-((R1278-1)*IF(Inputs!$B$39="pvp",15,MAX(0.1,Skills!D8-IF(Skills!E8=TRUE,Inputs!$B$32,0))))))/Skills!H8,1)))/Inputs!$B$44),G1278*Q1278))*IF(Inputs!$B$39="pvp",1,1+(Inputs!$B$20+0+Skills!P8+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1278*(1-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1278*(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1278*(1-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1278*(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8">
        <f>IF(C1278,(H1278*N1278*IF(AND(Inputs!$B$39&lt;&gt;"pvp",Inputs!$B$44&gt;0),((Skills!G8*((R1278-1)*IF(Skills!H8&gt;0,Skills!I8/Skills!H8,1)+IF(Skills!H8&gt;0,MIN(Skills!I8,MAX(0,MAX(0,Inputs!$B$44-B1314)-((R1278-1)*IF(Inputs!$B$39="pvp",15,MAX(0.1,Skills!D8-IF(Skills!E8=TRUE,Inputs!$B$32,0))))))/Skills!H8,1)))/Inputs!$B$44),G1278*Q1278))*IF(Inputs!$B$39="pvp",1,(1+(Inputs!$B$21+Skills!Q8+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9">
      <c r="A1279">
        <f>Skills!A9</f>
        <v/>
      </c>
      <c r="B1279">
        <f>Skills!B9</f>
        <v/>
      </c>
      <c r="C1279">
        <f>Inputs!$B$3&gt;=117</f>
        <v/>
      </c>
      <c r="D1279">
        <f>IF(Skills!C9=1,60+Inputs!$B$25+Inputs!$B$29,IF(Skills!C9=2,90+Inputs!$B$26+Inputs!$B$29,IF(Skills!C9=3,120+Inputs!$B$27+Inputs!$B$29,MAX(0,(Inputs!$B$3-100)*3)+Inputs!$B$28+Inputs!$B$29)))</f>
        <v/>
      </c>
      <c r="E1279">
        <f>INDEX(FactorTable!$B$2:$Y$301, MATCH(ROUND(MIN(300,MAX(1,D1279)),0), FactorTable!$A$2:$A$301,0), Skills!M9+1)</f>
        <v/>
      </c>
      <c r="F1279">
        <f>IF(Skills!N9=TRUE,(Skills!L9/10)*(E1279/1000),Skills!L9/10)+Skills!O9</f>
        <v/>
      </c>
      <c r="G1279">
        <f>Skills!G9*IF(Skills!H9&gt;0,Skills!I9/Skills!H9,1)</f>
        <v/>
      </c>
      <c r="H1279">
        <f>1-(1-Skills!J9/100)^Skills!K9</f>
        <v/>
      </c>
      <c r="I1279" t="inlineStr">
        <is>
          <t>1</t>
        </is>
      </c>
      <c r="J1279">
        <f>((Inputs!$B$6*(1+Inputs!$B$7/100))+(((Inputs!$B$12*(1+Inputs!$B$13/100))-(Inputs!$B$12*(1+Inputs!$B$13/100)))+0.25*(Inputs!$B$14-Inputs!$B$14))*(1+Inputs!$B$7/100))*(F1279/100)</f>
        <v/>
      </c>
      <c r="K1279">
        <f>J1279*(1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1279)</f>
        <v/>
      </c>
      <c r="L1279">
        <f>K1279*(MIN(Inputs!$B$22+((C1294=TRUE)*(F1294-Calc!F24)),(Inputs!$B$23+((C1299=TRUE)*(F1299-Calc!F29))+IF(ArtifactsInput!$M$15,CHOOSE(ArtifactsInput!$N$15+1,25,30,35,40,45,50)/100*(Inputs!$B$11-Inputs!$B$11),0)))/100+(Inputs!$B$23+((C1299=TRUE)*(F1299-Calc!F29))+IF(ArtifactsInput!$M$15,CHOOSE(ArtifactsInput!$N$15+1,25,30,35,40,45,50)/100*(Inputs!$B$11-Inputs!$B$11),0))/100)/2</f>
        <v/>
      </c>
      <c r="M1279">
        <f>L1279*(1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9">
        <f>L1279*(1-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1279*(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9">
        <f>(1-Summary!$B$11)*T1279+Summary!$B$11*V1279</f>
        <v/>
      </c>
      <c r="P1279">
        <f>IF(B1315=0,0,O1279/B1315)</f>
        <v/>
      </c>
      <c r="Q1279" t="n">
        <v>0</v>
      </c>
      <c r="R1279" t="n">
        <v>0</v>
      </c>
      <c r="S1279" t="n">
        <v>0</v>
      </c>
      <c r="T1279">
        <f>IF(C1279,(0.2*SUMPRODUCT((Skills!Z2:Z30=TRUE)*(C1272:C1300=TRUE)*S1272:S1300)*N1279)*IF(Inputs!$B$39="pvp",1,1+(Inputs!$B$20+0+Skills!P9+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1279*(1-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1279*(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1279*(1-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1279*(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9">
        <f>IF(C1279,(0.2*SUMPRODUCT((Skills!Z2:Z30=TRUE)*(C1272:C1300=TRUE)*S1272:S1300)*N1279)*IF(Inputs!$B$39="pvp",1,(1+(Inputs!$B$21+Skills!Q9+B1304+(IF(ArtifactsInput!$M$33,CHOOSE(ArtifactsInput!$N$33+1,30,36,42,48,54,60),0))+(IF(AND(ArtifactsInput!$M$35,Inputs!$B$4&lt;&gt;"Chapter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0">
      <c r="A1280">
        <f>Skills!A10</f>
        <v/>
      </c>
      <c r="B1280">
        <f>Skills!B10</f>
        <v/>
      </c>
      <c r="C1280">
        <f>Inputs!$B$3&gt;=74</f>
        <v/>
      </c>
      <c r="D1280">
        <f>IF(Skills!C10=1,60+Inputs!$B$25+Inputs!$B$29,IF(Skills!C10=2,90+Inputs!$B$26+Inputs!$B$29,IF(Skills!C10=3,120+Inputs!$B$27+Inputs!$B$29,MAX(0,(Inputs!$B$3-100)*3)+Inputs!$B$28+Inputs!$B$29)))</f>
        <v/>
      </c>
      <c r="E1280">
        <f>INDEX(FactorTable!$B$2:$Y$301, MATCH(ROUND(MIN(300,MAX(1,D1280)),0), FactorTable!$A$2:$A$301,0), Skills!M10+1)</f>
        <v/>
      </c>
      <c r="F1280">
        <f>IF(Skills!N10=TRUE,(Skills!L10/10)*(E1280/1000),Skills!L10/10)+Skills!O10</f>
        <v/>
      </c>
      <c r="G1280">
        <f>Skills!G10*IF(Skills!H10&gt;0,Skills!I10/Skills!H10,1)</f>
        <v/>
      </c>
      <c r="H1280">
        <f>1-(1-Skills!J10/100)^Skills!K10</f>
        <v/>
      </c>
      <c r="I1280" t="inlineStr">
        <is>
          <t>1</t>
        </is>
      </c>
      <c r="J1280" t="inlineStr"/>
      <c r="K1280" t="inlineStr"/>
      <c r="L1280" t="inlineStr"/>
      <c r="M1280" t="inlineStr"/>
      <c r="N1280" t="inlineStr"/>
      <c r="O1280">
        <f>(1-Summary!$B$11)*T1280+Summary!$B$11*V1280</f>
        <v/>
      </c>
      <c r="P1280">
        <f>IF(B1315=0,0,O1280/B1315)</f>
        <v/>
      </c>
      <c r="Q1280">
        <f>IFERROR(1/IF(Inputs!$B$39="pvp",15,MAX(0.1,Skills!D10-IF(Skills!E10=TRUE,Inputs!$B$32,0))),0)</f>
        <v/>
      </c>
      <c r="R1280">
        <f>IF(AND(Inputs!$B$39&lt;&gt;"pvp",Inputs!$B$44&gt;0),IF(Inputs!$B$44&lt;=0,0,(INT(Inputs!$B$44/IF(Inputs!$B$39="pvp",15,MAX(0.1,Skills!D10-IF(Skills!E10=TRUE,Inputs!$B$32,0))))+1)),0)</f>
        <v/>
      </c>
      <c r="S1280">
        <f>IFERROR(O1280/N1280,0)</f>
        <v/>
      </c>
      <c r="T1280" t="n">
        <v>0</v>
      </c>
      <c r="V1280" t="n">
        <v>0</v>
      </c>
    </row>
    <row r="1281">
      <c r="A1281">
        <f>Skills!A11</f>
        <v/>
      </c>
      <c r="B1281">
        <f>Skills!B11</f>
        <v/>
      </c>
      <c r="C1281">
        <f>Inputs!$B$3&gt;=103</f>
        <v/>
      </c>
      <c r="D1281">
        <f>IF(Skills!C11=1,60+Inputs!$B$25+Inputs!$B$29,IF(Skills!C11=2,90+Inputs!$B$26+Inputs!$B$29,IF(Skills!C11=3,120+Inputs!$B$27+Inputs!$B$29,MAX(0,(Inputs!$B$3-100)*3)+Inputs!$B$28+Inputs!$B$29)))</f>
        <v/>
      </c>
      <c r="E1281">
        <f>INDEX(FactorTable!$B$2:$Y$301, MATCH(ROUND(MIN(300,MAX(1,D1281)),0), FactorTable!$A$2:$A$301,0), Skills!M11+1)</f>
        <v/>
      </c>
      <c r="F1281">
        <f>(Skills!L11/10)*(E1281/1000)+IF(Inputs!$B$3&gt;=134,50,0)+0.5*(30000/10)*(INDEX(FactorTable!$B$2:$Y$301, MATCH(ROUND(MIN(300,MAX(1,D1281)),0), FactorTable!$A$2:$A$301,0), 13)/1000)*B1313</f>
        <v/>
      </c>
      <c r="G1281">
        <f>Skills!G11*IF(Skills!H11&gt;0,Skills!I11/Skills!H11,1)</f>
        <v/>
      </c>
      <c r="H1281">
        <f>1-(1-Skills!J11/100)^Skills!K11</f>
        <v/>
      </c>
      <c r="I1281" t="inlineStr">
        <is>
          <t>1</t>
        </is>
      </c>
      <c r="J1281">
        <f>((Inputs!$B$6*(1+Inputs!$B$7/100))+(((Inputs!$B$12*(1+Inputs!$B$13/100))-(Inputs!$B$12*(1+Inputs!$B$13/100)))+0.25*(Inputs!$B$14-Inputs!$B$14))*(1+Inputs!$B$7/100))*(F1281/100)</f>
        <v/>
      </c>
      <c r="K1281">
        <f>J1281*(1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1281)</f>
        <v/>
      </c>
      <c r="L1281">
        <f>K1281*(MIN(Inputs!$B$22+((C1294=TRUE)*(F1294-Calc!F24)),(Inputs!$B$23+((C1299=TRUE)*(F1299-Calc!F29))+IF(ArtifactsInput!$M$15,CHOOSE(ArtifactsInput!$N$15+1,25,30,35,40,45,50)/100*(Inputs!$B$11-Inputs!$B$11),0)))/100+(Inputs!$B$23+((C1299=TRUE)*(F1299-Calc!F29))+IF(ArtifactsInput!$M$15,CHOOSE(ArtifactsInput!$N$15+1,25,30,35,40,45,50)/100*(Inputs!$B$11-Inputs!$B$11),0))/100)/2</f>
        <v/>
      </c>
      <c r="M1281">
        <f>L1281*(1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1">
        <f>L1281*(1-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1">
        <f>(1-Summary!$B$11)*T1281+Summary!$B$11*V1281</f>
        <v/>
      </c>
      <c r="P1281">
        <f>IF(B1315=0,0,O1281/B1315)</f>
        <v/>
      </c>
      <c r="Q1281">
        <f>IFERROR(1/IF(Inputs!$B$39="pvp",15,MAX(0.1,Skills!D11-IF(Skills!E11=TRUE,Inputs!$B$32,0))),0)</f>
        <v/>
      </c>
      <c r="R1281">
        <f>IF(AND(Inputs!$B$39&lt;&gt;"pvp",Inputs!$B$44&gt;0),IF(MAX(0,Inputs!$B$44-B1314)&lt;=0,0,(INT(MAX(0,Inputs!$B$44-B1314)/IF(Inputs!$B$39="pvp",15,MAX(0.1,Skills!D11-IF(Skills!E11=TRUE,Inputs!$B$32,0))))+1)),0)</f>
        <v/>
      </c>
      <c r="S1281">
        <f>IFERROR(O1281/N1281,0)</f>
        <v/>
      </c>
      <c r="T1281">
        <f>IF(C1281,(H1281*N1281*IF(AND(Inputs!$B$39&lt;&gt;"pvp",Inputs!$B$44&gt;0),((Skills!G11*((R1281-1)*IF(Skills!H11&gt;0,Skills!I11/Skills!H11,1)+IF(Skills!H11&gt;0,MIN(Skills!I11,MAX(0,MAX(0,Inputs!$B$44-B1314)-((R1281-1)*IF(Inputs!$B$39="pvp",15,MAX(0.1,Skills!D11-IF(Skills!E11=TRUE,Inputs!$B$32,0))))))/Skills!H11,1)))/Inputs!$B$44),G1281*Q1281))*IF(Inputs!$B$39="pvp",1,1+(Inputs!$B$20+0+Skills!P11+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1">
        <f>IF(C1281,(H1281*N1281*IF(AND(Inputs!$B$39&lt;&gt;"pvp",Inputs!$B$44&gt;0),((Skills!G11*((R1281-1)*IF(Skills!H11&gt;0,Skills!I11/Skills!H11,1)+IF(Skills!H11&gt;0,MIN(Skills!I11,MAX(0,MAX(0,Inputs!$B$44-B1314)-((R1281-1)*IF(Inputs!$B$39="pvp",15,MAX(0.1,Skills!D11-IF(Skills!E11=TRUE,Inputs!$B$32,0))))))/Skills!H11,1)))/Inputs!$B$44),G1281*Q1281))*IF(Inputs!$B$39="pvp",1,(1+(Inputs!$B$21+Skills!Q11+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2">
      <c r="A1282">
        <f>Skills!A12</f>
        <v/>
      </c>
      <c r="B1282">
        <f>Skills!B12</f>
        <v/>
      </c>
      <c r="C1282">
        <f>Inputs!$B$3&gt;=105</f>
        <v/>
      </c>
      <c r="D1282">
        <f>IF(Skills!C12=1,60+Inputs!$B$25+Inputs!$B$29,IF(Skills!C12=2,90+Inputs!$B$26+Inputs!$B$29,IF(Skills!C12=3,120+Inputs!$B$27+Inputs!$B$29,MAX(0,(Inputs!$B$3-100)*3)+Inputs!$B$28+Inputs!$B$29)))</f>
        <v/>
      </c>
      <c r="E1282">
        <f>INDEX(FactorTable!$B$2:$Y$301, MATCH(ROUND(MIN(300,MAX(1,D1282)),0), FactorTable!$A$2:$A$301,0), Skills!M12+1)</f>
        <v/>
      </c>
      <c r="F1282">
        <f>IF(Skills!N12=TRUE,(Skills!L12/10)*(E1282/1000),Skills!L12/10)+Skills!O12</f>
        <v/>
      </c>
      <c r="G1282">
        <f>Skills!G12*IF(Skills!H12&gt;0,Skills!I12/Skills!H12,1)</f>
        <v/>
      </c>
      <c r="H1282">
        <f>1-(1-Skills!J12/100)^Skills!K12</f>
        <v/>
      </c>
      <c r="I1282" t="inlineStr">
        <is>
          <t>1</t>
        </is>
      </c>
      <c r="J1282">
        <f>((Inputs!$B$6*(1+Inputs!$B$7/100))+(((Inputs!$B$12*(1+Inputs!$B$13/100))-(Inputs!$B$12*(1+Inputs!$B$13/100)))+0.25*(Inputs!$B$14-Inputs!$B$14))*(1+Inputs!$B$7/100))*(F1282/100)</f>
        <v/>
      </c>
      <c r="K1282">
        <f>J1282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1282)</f>
        <v/>
      </c>
      <c r="L1282">
        <f>K1282*(MIN(Inputs!$B$22+((C1294=TRUE)*(F1294-Calc!F24)),(Inputs!$B$23+((C1299=TRUE)*(F1299-Calc!F29))+IF(ArtifactsInput!$M$15,CHOOSE(ArtifactsInput!$N$15+1,25,30,35,40,45,50)/100*(Inputs!$B$11-Inputs!$B$11),0)))/100+(Inputs!$B$23+((C1299=TRUE)*(F1299-Calc!F29))+IF(ArtifactsInput!$M$15,CHOOSE(ArtifactsInput!$N$15+1,25,30,35,40,45,50)/100*(Inputs!$B$11-Inputs!$B$11),0))/100)/2</f>
        <v/>
      </c>
      <c r="M1282">
        <f>L1282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2">
        <f>L1282*(1-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1282*(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2">
        <f>(1-Summary!$B$11)*T1282+Summary!$B$11*V1282</f>
        <v/>
      </c>
      <c r="P1282">
        <f>IF(B1315=0,0,O1282/B1315)</f>
        <v/>
      </c>
      <c r="Q1282">
        <f>IFERROR(1/IF(Inputs!$B$39="pvp",15,MAX(0.1,Skills!D12-IF(Skills!E12=TRUE,Inputs!$B$32,0))),0)</f>
        <v/>
      </c>
      <c r="R1282">
        <f>IF(AND(Inputs!$B$39&lt;&gt;"pvp",Inputs!$B$44&gt;0),IF(MAX(0,Inputs!$B$44-B1314)&lt;=0,0,(INT(MAX(0,Inputs!$B$44-B1314)/IF(Inputs!$B$39="pvp",15,MAX(0.1,Skills!D12-IF(Skills!E12=TRUE,Inputs!$B$32,0))))+1)),0)</f>
        <v/>
      </c>
      <c r="S1282">
        <f>IFERROR(O1282/N1282,0)</f>
        <v/>
      </c>
      <c r="T1282">
        <f>IF(C1282,(H1282*N1282*IF(AND(Inputs!$B$39&lt;&gt;"pvp",Inputs!$B$44&gt;0),((Skills!G12*((R1282-1)*IF(Skills!H12&gt;0,Skills!I12/Skills!H12,1)+IF(Skills!H12&gt;0,MIN(Skills!I12,MAX(0,MAX(0,Inputs!$B$44-B1314)-((R1282-1)*IF(Inputs!$B$39="pvp",15,MAX(0.1,Skills!D12-IF(Skills!E12=TRUE,Inputs!$B$32,0))))))/Skills!H12,1)))/Inputs!$B$44),G1282*Q1282))*IF(Inputs!$B$39="pvp",1,1+(Inputs!$B$20+0+Skills!P12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1282*(1-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1282*(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1282*(1-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1282*(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2">
        <f>IF(C1282,(H1282*N1282*IF(AND(Inputs!$B$39&lt;&gt;"pvp",Inputs!$B$44&gt;0),((Skills!G12*((R1282-1)*IF(Skills!H12&gt;0,Skills!I12/Skills!H12,1)+IF(Skills!H12&gt;0,MIN(Skills!I12,MAX(0,MAX(0,Inputs!$B$44-B1314)-((R1282-1)*IF(Inputs!$B$39="pvp",15,MAX(0.1,Skills!D12-IF(Skills!E12=TRUE,Inputs!$B$32,0))))))/Skills!H12,1)))/Inputs!$B$44),G1282*Q1282))*IF(Inputs!$B$39="pvp",1,(1+(Inputs!$B$21+Skills!Q12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3">
      <c r="A1283">
        <f>Skills!A13</f>
        <v/>
      </c>
      <c r="B1283">
        <f>Skills!B13</f>
        <v/>
      </c>
      <c r="C1283">
        <f>Inputs!$B$3&gt;=105</f>
        <v/>
      </c>
      <c r="D1283">
        <f>IF(Skills!C13=1,60+Inputs!$B$25+Inputs!$B$29,IF(Skills!C13=2,90+Inputs!$B$26+Inputs!$B$29,IF(Skills!C13=3,120+Inputs!$B$27+Inputs!$B$29,MAX(0,(Inputs!$B$3-100)*3)+Inputs!$B$28+Inputs!$B$29)))</f>
        <v/>
      </c>
      <c r="E1283">
        <f>INDEX(FactorTable!$B$2:$Y$301, MATCH(ROUND(MIN(300,MAX(1,D1283)),0), FactorTable!$A$2:$A$301,0), Skills!M13+1)</f>
        <v/>
      </c>
      <c r="F1283">
        <f>IF(Skills!N13=TRUE,(Skills!L13/10)*(E1283/1000),Skills!L13/10)+Skills!O13</f>
        <v/>
      </c>
      <c r="G1283">
        <f>Skills!G13*IF(Skills!H13&gt;0,Skills!I13/Skills!H13,1)</f>
        <v/>
      </c>
      <c r="H1283">
        <f>1-(1-Skills!J13/100)^Skills!K13</f>
        <v/>
      </c>
      <c r="I1283" t="inlineStr">
        <is>
          <t>1</t>
        </is>
      </c>
      <c r="J1283">
        <f>((Inputs!$B$6*(1+Inputs!$B$7/100))+(((Inputs!$B$12*(1+Inputs!$B$13/100))-(Inputs!$B$12*(1+Inputs!$B$13/100)))+0.25*(Inputs!$B$14-Inputs!$B$14))*(1+Inputs!$B$7/100))*(F1283/100)</f>
        <v/>
      </c>
      <c r="K1283">
        <f>J1283*(1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1283)</f>
        <v/>
      </c>
      <c r="L1283">
        <f>K1283*(MIN(Inputs!$B$22+((C1294=TRUE)*(F1294-Calc!F24)),(Inputs!$B$23+((C1299=TRUE)*(F1299-Calc!F29))+IF(ArtifactsInput!$M$15,CHOOSE(ArtifactsInput!$N$15+1,25,30,35,40,45,50)/100*(Inputs!$B$11-Inputs!$B$11),0)))/100+(Inputs!$B$23+((C1299=TRUE)*(F1299-Calc!F29))+IF(ArtifactsInput!$M$15,CHOOSE(ArtifactsInput!$N$15+1,25,30,35,40,45,50)/100*(Inputs!$B$11-Inputs!$B$11),0))/100)/2</f>
        <v/>
      </c>
      <c r="M1283">
        <f>L1283*(1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3">
        <f>L1283*(1-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1283*(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3">
        <f>(1-Summary!$B$11)*T1283+Summary!$B$11*V1283</f>
        <v/>
      </c>
      <c r="P1283">
        <f>IF(B1315=0,0,O1283/B1315)</f>
        <v/>
      </c>
      <c r="Q1283">
        <f>IFERROR(1/IF(Inputs!$B$39="pvp",15,MAX(0.1,Skills!D13-IF(Skills!E13=TRUE,Inputs!$B$32,0))),0)</f>
        <v/>
      </c>
      <c r="R1283">
        <f>IF(AND(Inputs!$B$39&lt;&gt;"pvp",Inputs!$B$44&gt;0),IF(MAX(0,Inputs!$B$44-B1314)&lt;=0,0,(INT(MAX(0,Inputs!$B$44-B1314)/IF(Inputs!$B$39="pvp",15,MAX(0.1,Skills!D13-IF(Skills!E13=TRUE,Inputs!$B$32,0))))+1)),0)</f>
        <v/>
      </c>
      <c r="S1283">
        <f>IFERROR(O1283/N1283,0)</f>
        <v/>
      </c>
      <c r="T1283">
        <f>IF(C1283,(H1283*N1283*IF(AND(Inputs!$B$39&lt;&gt;"pvp",Inputs!$B$44&gt;0),((Skills!G13*((R1283-1)*IF(Skills!H13&gt;0,Skills!I13/Skills!H13,1)+IF(Skills!H13&gt;0,MIN(Skills!I13,MAX(0,MAX(0,Inputs!$B$44-B1314)-((R1283-1)*IF(Inputs!$B$39="pvp",15,MAX(0.1,Skills!D13-IF(Skills!E13=TRUE,Inputs!$B$32,0))))))/Skills!H13,1)))/Inputs!$B$44),G1283*Q1283))*IF(Inputs!$B$39="pvp",1,1+(Inputs!$B$20+0+Skills!P13+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1283*(1-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1283*(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1283*(1-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1283*(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3">
        <f>IF(C1283,(H1283*N1283*IF(AND(Inputs!$B$39&lt;&gt;"pvp",Inputs!$B$44&gt;0),((Skills!G13*((R1283-1)*IF(Skills!H13&gt;0,Skills!I13/Skills!H13,1)+IF(Skills!H13&gt;0,MIN(Skills!I13,MAX(0,MAX(0,Inputs!$B$44-B1314)-((R1283-1)*IF(Inputs!$B$39="pvp",15,MAX(0.1,Skills!D13-IF(Skills!E13=TRUE,Inputs!$B$32,0))))))/Skills!H13,1)))/Inputs!$B$44),G1283*Q1283))*IF(Inputs!$B$39="pvp",1,(1+(Inputs!$B$21+Skills!Q13+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4">
      <c r="A1284">
        <f>Skills!A14</f>
        <v/>
      </c>
      <c r="B1284">
        <f>Skills!B14</f>
        <v/>
      </c>
      <c r="C1284">
        <f>Inputs!$B$3&gt;=107</f>
        <v/>
      </c>
      <c r="D1284">
        <f>IF(Skills!C14=1,60+Inputs!$B$25+Inputs!$B$29,IF(Skills!C14=2,90+Inputs!$B$26+Inputs!$B$29,IF(Skills!C14=3,120+Inputs!$B$27+Inputs!$B$29,MAX(0,(Inputs!$B$3-100)*3)+Inputs!$B$28+Inputs!$B$29)))</f>
        <v/>
      </c>
      <c r="E1284">
        <f>INDEX(FactorTable!$B$2:$Y$301, MATCH(ROUND(MIN(300,MAX(1,D1284)),0), FactorTable!$A$2:$A$301,0), Skills!M14+1)</f>
        <v/>
      </c>
      <c r="F1284">
        <f>IF(Skills!N14=TRUE,(Skills!L14/10)*(E1284/1000),Skills!L14/10)+Skills!O14</f>
        <v/>
      </c>
      <c r="G1284">
        <f>Skills!G14*IF(Skills!H14&gt;0,Skills!I14/Skills!H14,1)</f>
        <v/>
      </c>
      <c r="H1284">
        <f>1-(1-Skills!J14/100)^Skills!K14</f>
        <v/>
      </c>
      <c r="I1284" t="inlineStr">
        <is>
          <t>1</t>
        </is>
      </c>
      <c r="J1284">
        <f>((Inputs!$B$6*(1+Inputs!$B$7/100))+(((Inputs!$B$12*(1+Inputs!$B$13/100))-(Inputs!$B$12*(1+Inputs!$B$13/100)))+0.25*(Inputs!$B$14-Inputs!$B$14))*(1+Inputs!$B$7/100))*(F1284/100)</f>
        <v/>
      </c>
      <c r="K1284">
        <f>J1284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1284)</f>
        <v/>
      </c>
      <c r="L1284">
        <f>K1284*(MIN(Inputs!$B$22+((C1294=TRUE)*(F1294-Calc!F24)),(Inputs!$B$23+((C1299=TRUE)*(F1299-Calc!F29))+IF(ArtifactsInput!$M$15,CHOOSE(ArtifactsInput!$N$15+1,25,30,35,40,45,50)/100*(Inputs!$B$11-Inputs!$B$11),0)))/100+(Inputs!$B$23+((C1299=TRUE)*(F1299-Calc!F29))+IF(ArtifactsInput!$M$15,CHOOSE(ArtifactsInput!$N$15+1,25,30,35,40,45,50)/100*(Inputs!$B$11-Inputs!$B$11),0))/100)/2</f>
        <v/>
      </c>
      <c r="M1284">
        <f>L1284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4">
        <f>L1284*(1-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1284*(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4">
        <f>(1-Summary!$B$11)*T1284+Summary!$B$11*V1284</f>
        <v/>
      </c>
      <c r="P1284">
        <f>IF(B1315=0,0,O1284/B1315)</f>
        <v/>
      </c>
      <c r="Q1284">
        <f>IFERROR(1/IF(Inputs!$B$39="pvp",15,MAX(0.1,Skills!D14-IF(Skills!E14=TRUE,Inputs!$B$32,0))),0)</f>
        <v/>
      </c>
      <c r="R1284">
        <f>IF(AND(Inputs!$B$39&lt;&gt;"pvp",Inputs!$B$44&gt;0),IF(MAX(0,Inputs!$B$44-B1314)&lt;=0,0,(INT(MAX(0,Inputs!$B$44-B1314)/IF(Inputs!$B$39="pvp",15,MAX(0.1,Skills!D14-IF(Skills!E14=TRUE,Inputs!$B$32,0))))+1)),0)</f>
        <v/>
      </c>
      <c r="S1284">
        <f>IFERROR(O1284/N1284,0)</f>
        <v/>
      </c>
      <c r="T1284">
        <f>IF(C1284,(H1284*N1284*IF(AND(Inputs!$B$39&lt;&gt;"pvp",Inputs!$B$44&gt;0),((Skills!G14*((R1284-1)*IF(Skills!H14&gt;0,Skills!I14/Skills!H14,1)+IF(Skills!H14&gt;0,MIN(Skills!I14,MAX(0,MAX(0,Inputs!$B$44-B1314)-((R1284-1)*IF(Inputs!$B$39="pvp",15,MAX(0.1,Skills!D14-IF(Skills!E14=TRUE,Inputs!$B$32,0))))))/Skills!H14,1)))/Inputs!$B$44),G1284*Q1284))*IF(Inputs!$B$39="pvp",1,1+(Inputs!$B$20+0+Skills!P14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1284*(1-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1284*(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1284*(1-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1284*(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4">
        <f>IF(C1284,(H1284*N1284*IF(AND(Inputs!$B$39&lt;&gt;"pvp",Inputs!$B$44&gt;0),((Skills!G14*((R1284-1)*IF(Skills!H14&gt;0,Skills!I14/Skills!H14,1)+IF(Skills!H14&gt;0,MIN(Skills!I14,MAX(0,MAX(0,Inputs!$B$44-B1314)-((R1284-1)*IF(Inputs!$B$39="pvp",15,MAX(0.1,Skills!D14-IF(Skills!E14=TRUE,Inputs!$B$32,0))))))/Skills!H14,1)))/Inputs!$B$44),G1284*Q1284))*IF(Inputs!$B$39="pvp",1,(1+(Inputs!$B$21+Skills!Q14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(5,0.25*B1307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5">
      <c r="A1285">
        <f>Skills!A15</f>
        <v/>
      </c>
      <c r="B1285">
        <f>Skills!B15</f>
        <v/>
      </c>
      <c r="C1285">
        <f>Inputs!$B$3&gt;=110</f>
        <v/>
      </c>
      <c r="D1285">
        <f>IF(Skills!C15=1,60+Inputs!$B$25+Inputs!$B$29,IF(Skills!C15=2,90+Inputs!$B$26+Inputs!$B$29,IF(Skills!C15=3,120+Inputs!$B$27+Inputs!$B$29,MAX(0,(Inputs!$B$3-100)*3)+Inputs!$B$28+Inputs!$B$29)))</f>
        <v/>
      </c>
      <c r="E1285">
        <f>INDEX(FactorTable!$B$2:$Y$301, MATCH(ROUND(MIN(300,MAX(1,D1285)),0), FactorTable!$A$2:$A$301,0), Skills!M15+1)</f>
        <v/>
      </c>
      <c r="F1285">
        <f>IF(Skills!N15=TRUE,(Skills!L15/10)*(E1285/1000),Skills!L15/10)+Skills!O15</f>
        <v/>
      </c>
      <c r="G1285">
        <f>Skills!G15*IF(Skills!H15&gt;0,Skills!I15/Skills!H15,1)</f>
        <v/>
      </c>
      <c r="H1285">
        <f>1-(1-Skills!J15/100)^Skills!K15</f>
        <v/>
      </c>
      <c r="I1285" t="inlineStr">
        <is>
          <t>1</t>
        </is>
      </c>
      <c r="J1285" t="inlineStr"/>
      <c r="K1285" t="inlineStr"/>
      <c r="L1285" t="inlineStr"/>
      <c r="M1285" t="inlineStr"/>
      <c r="N1285" t="inlineStr"/>
      <c r="O1285">
        <f>(1-Summary!$B$11)*T1285+Summary!$B$11*V1285</f>
        <v/>
      </c>
      <c r="P1285">
        <f>IF(B1315=0,0,O1285/B1315)</f>
        <v/>
      </c>
      <c r="Q1285">
        <f>IFERROR(1/IF(Inputs!$B$39="pvp",15,MAX(0.1,Skills!D15-IF(Skills!E15=TRUE,Inputs!$B$32,0))),0)</f>
        <v/>
      </c>
      <c r="R1285">
        <f>IF(AND(Inputs!$B$39&lt;&gt;"pvp",Inputs!$B$44&gt;0),IF(Inputs!$B$44&lt;=0,0,(INT(Inputs!$B$44/IF(Inputs!$B$39="pvp",15,MAX(0.1,Skills!D15-IF(Skills!E15=TRUE,Inputs!$B$32,0))))+1)),0)</f>
        <v/>
      </c>
      <c r="S1285">
        <f>IFERROR(O1285/N1285,0)</f>
        <v/>
      </c>
      <c r="T1285" t="n">
        <v>0</v>
      </c>
      <c r="V1285" t="n">
        <v>0</v>
      </c>
    </row>
    <row r="1286">
      <c r="A1286">
        <f>Skills!A16</f>
        <v/>
      </c>
      <c r="B1286">
        <f>Skills!B16</f>
        <v/>
      </c>
      <c r="C1286">
        <f>Inputs!$B$3&gt;=115</f>
        <v/>
      </c>
      <c r="D1286">
        <f>IF(Skills!C16=1,60+Inputs!$B$25+Inputs!$B$29,IF(Skills!C16=2,90+Inputs!$B$26+Inputs!$B$29,IF(Skills!C16=3,120+Inputs!$B$27+Inputs!$B$29,MAX(0,(Inputs!$B$3-100)*3)+Inputs!$B$28+Inputs!$B$29)))</f>
        <v/>
      </c>
      <c r="E1286">
        <f>INDEX(FactorTable!$B$2:$Y$301, MATCH(ROUND(MIN(300,MAX(1,D1286)),0), FactorTable!$A$2:$A$301,0), Skills!M16+1)</f>
        <v/>
      </c>
      <c r="F1286">
        <f>IF(Skills!N16=TRUE,(Skills!L16/10)*(E1286/1000),Skills!L16/10)+Skills!O16</f>
        <v/>
      </c>
      <c r="G1286">
        <f>Skills!G16*IF(Skills!H16&gt;0,Skills!I16/Skills!H16,1)</f>
        <v/>
      </c>
      <c r="H1286">
        <f>1-(1-Skills!J16/100)^Skills!K16</f>
        <v/>
      </c>
      <c r="I1286" t="inlineStr">
        <is>
          <t>1</t>
        </is>
      </c>
      <c r="J1286">
        <f>((Inputs!$B$6*(1+Inputs!$B$7/100))+(((Inputs!$B$12*(1+Inputs!$B$13/100))-(Inputs!$B$12*(1+Inputs!$B$13/100)))+0.25*(Inputs!$B$14-Inputs!$B$14))*(1+Inputs!$B$7/100))*(F1286/100)</f>
        <v/>
      </c>
      <c r="K1286">
        <f>J1286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1297=TRUE)*(F1297-Calc!F27))+((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1286)</f>
        <v/>
      </c>
      <c r="L1286">
        <f>K1286*(MIN(Inputs!$B$22+((C1294=TRUE)*(F1294-Calc!F24)),(Inputs!$B$23+((C1299=TRUE)*(F1299-Calc!F29))+IF(ArtifactsInput!$M$15,CHOOSE(ArtifactsInput!$N$15+1,25,30,35,40,45,50)/100*(Inputs!$B$11-Inputs!$B$11),0)))/100+(Inputs!$B$23+((C1299=TRUE)*(F1299-Calc!F29))+IF(ArtifactsInput!$M$15,CHOOSE(ArtifactsInput!$N$15+1,25,30,35,40,45,50)/100*(Inputs!$B$11-Inputs!$B$11),0))/100)/2</f>
        <v/>
      </c>
      <c r="M1286">
        <f>L1286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6">
        <f>L1286*(1-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1286*(MIN((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6">
        <f>(1-Summary!$B$11)*T1286+Summary!$B$11*V1286</f>
        <v/>
      </c>
      <c r="P1286">
        <f>IF(B1315=0,0,O1286/B1315)</f>
        <v/>
      </c>
      <c r="Q1286" t="n">
        <v>0</v>
      </c>
      <c r="R1286" t="n">
        <v>0</v>
      </c>
      <c r="S1286">
        <f>IFERROR(O1286/N1286,0)</f>
        <v/>
      </c>
      <c r="T1286">
        <f>IF(C1286,(Inputs!$B$38*0.2*N1286)*IF(Inputs!$B$39="pvp",1,1+(Inputs!$B$20+0+Skills!P16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1286*(1-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1286*(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1286*(1-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1286*(MIN(100,(Inputs!$B$9+((C1295=TRUE)*(F1295-Calc!F25))+B1303+(ArtifactsInput!$M$24-ArtifactsInput!$M$24)*CHOOSE(ArtifactsInput!$N$24+1,10,12,14,16,18,20)+(IF(AND(Inputs!$B$39&lt;&gt;"pvp",Inputs!$B$44=0),1,IF(IF(Inputs!$B$39="pvp",15,Inputs!$B$44)-(B1314)&lt;=0,1,MAX(0,IF(Inputs!$B$39="pvp",15,Inputs!$B$44)-MAX(5,B1314))/(IF(Inputs!$B$39="pvp",15,Inputs!$B$44)-(B1314))))*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6">
        <f>IF(C1286,(Inputs!$B$38*0.2*N1286)*IF(Inputs!$B$39="pvp",1,(1+(Inputs!$B$21+Skills!Q16+B1304+(IF(ArtifactsInput!$M$33,CHOOSE(ArtifactsInput!$N$33+1,30,36,42,48,54,60),0))+(IF(AND(ArtifactsInput!$M$35,Inputs!$B$4&lt;&gt;"Chapter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7">
      <c r="A1287">
        <f>Skills!A17</f>
        <v/>
      </c>
      <c r="B1287">
        <f>Skills!B17</f>
        <v/>
      </c>
      <c r="C1287">
        <f>Inputs!$B$3&gt;=115</f>
        <v/>
      </c>
      <c r="D1287">
        <f>IF(Skills!C17=1,60+Inputs!$B$25+Inputs!$B$29,IF(Skills!C17=2,90+Inputs!$B$26+Inputs!$B$29,IF(Skills!C17=3,120+Inputs!$B$27+Inputs!$B$29,MAX(0,(Inputs!$B$3-100)*3)+Inputs!$B$28+Inputs!$B$29)))</f>
        <v/>
      </c>
      <c r="E1287">
        <f>INDEX(FactorTable!$B$2:$Y$301, MATCH(ROUND(MIN(300,MAX(1,D1287)),0), FactorTable!$A$2:$A$301,0), Skills!M17+1)</f>
        <v/>
      </c>
      <c r="F1287">
        <f>IF(Skills!N17=TRUE,(Skills!L17/10)*(E1287/1000),Skills!L17/10)+Skills!O17</f>
        <v/>
      </c>
      <c r="G1287">
        <f>Skills!G17*IF(Skills!H17&gt;0,Skills!I17/Skills!H17,1)</f>
        <v/>
      </c>
      <c r="H1287">
        <f>1-(1-Skills!J17/100)^Skills!K17</f>
        <v/>
      </c>
      <c r="I1287" t="inlineStr">
        <is>
          <t>1</t>
        </is>
      </c>
      <c r="J1287" t="inlineStr"/>
      <c r="K1287" t="inlineStr"/>
      <c r="L1287" t="inlineStr"/>
      <c r="M1287" t="inlineStr"/>
      <c r="N1287" t="inlineStr"/>
      <c r="O1287">
        <f>(1-Summary!$B$11)*T1287+Summary!$B$11*V1287</f>
        <v/>
      </c>
      <c r="P1287">
        <f>IF(B1315=0,0,O1287/B1315)</f>
        <v/>
      </c>
      <c r="Q1287" t="n">
        <v>0</v>
      </c>
      <c r="R1287" t="n">
        <v>0</v>
      </c>
      <c r="S1287">
        <f>IFERROR(O1287/N1287,0)</f>
        <v/>
      </c>
      <c r="T1287" t="n">
        <v>0</v>
      </c>
      <c r="V1287" t="n">
        <v>0</v>
      </c>
    </row>
    <row r="1288">
      <c r="A1288">
        <f>Skills!A18</f>
        <v/>
      </c>
      <c r="B1288">
        <f>Skills!B18</f>
        <v/>
      </c>
      <c r="C1288">
        <f>Inputs!$B$3&gt;=100</f>
        <v/>
      </c>
      <c r="D1288">
        <f>IF(Skills!C18=1,60+Inputs!$B$25+Inputs!$B$29,IF(Skills!C18=2,90+Inputs!$B$26+Inputs!$B$29,IF(Skills!C18=3,120+Inputs!$B$27+Inputs!$B$29,MAX(0,(Inputs!$B$3-100)*3)+Inputs!$B$28+Inputs!$B$29)))</f>
        <v/>
      </c>
      <c r="E1288">
        <f>INDEX(FactorTable!$B$2:$Y$301, MATCH(ROUND(MIN(300,MAX(1,D1288)),0), FactorTable!$A$2:$A$301,0), Skills!M18+1)</f>
        <v/>
      </c>
      <c r="F1288">
        <f>IF(Skills!N18=TRUE,(Skills!L18/10)*(E1288/1000),Skills!L18/10)+Skills!O18</f>
        <v/>
      </c>
      <c r="G1288">
        <f>Skills!G18*IF(Skills!H18&gt;0,Skills!I18/Skills!H18,1)</f>
        <v/>
      </c>
      <c r="H1288">
        <f>1-(1-Skills!J18/100)^Skills!K18</f>
        <v/>
      </c>
      <c r="I1288" t="inlineStr">
        <is>
          <t>1</t>
        </is>
      </c>
      <c r="J1288" t="inlineStr"/>
      <c r="K1288" t="inlineStr"/>
      <c r="L1288" t="inlineStr"/>
      <c r="M1288" t="inlineStr"/>
      <c r="N1288" t="inlineStr"/>
      <c r="O1288">
        <f>(1-Summary!$B$11)*T1288+Summary!$B$11*V1288</f>
        <v/>
      </c>
      <c r="P1288">
        <f>IF(B1315=0,0,O1288/B1315)</f>
        <v/>
      </c>
      <c r="Q1288" t="n">
        <v>0</v>
      </c>
      <c r="R1288" t="n">
        <v>0</v>
      </c>
      <c r="S1288">
        <f>IFERROR(O1288/N1288,0)</f>
        <v/>
      </c>
      <c r="T1288" t="n">
        <v>0</v>
      </c>
      <c r="V1288" t="n">
        <v>0</v>
      </c>
    </row>
    <row r="1289">
      <c r="A1289">
        <f>Skills!A19</f>
        <v/>
      </c>
      <c r="B1289">
        <f>Skills!B19</f>
        <v/>
      </c>
      <c r="C1289">
        <f>TRUE</f>
        <v/>
      </c>
      <c r="D1289">
        <f>IF(Skills!C19=1,60+Inputs!$B$25+Inputs!$B$29,IF(Skills!C19=2,90+Inputs!$B$26+Inputs!$B$29,IF(Skills!C19=3,120+Inputs!$B$27+Inputs!$B$29,MAX(0,(Inputs!$B$3-100)*3)+Inputs!$B$28+Inputs!$B$29)))</f>
        <v/>
      </c>
      <c r="E1289">
        <f>INDEX(FactorTable!$B$2:$Y$301, MATCH(ROUND(MIN(300,MAX(1,D1289)),0), FactorTable!$A$2:$A$301,0), Skills!M19+1)</f>
        <v/>
      </c>
      <c r="F1289">
        <f>IF(Skills!N19=TRUE,(Skills!L19/10)*(E1289/1000),Skills!L19/10)+Skills!O19</f>
        <v/>
      </c>
      <c r="G1289">
        <f>Skills!G19*IF(Skills!H19&gt;0,Skills!I19/Skills!H19,1)</f>
        <v/>
      </c>
      <c r="H1289">
        <f>1-(1-Skills!J19/100)^Skills!K19</f>
        <v/>
      </c>
      <c r="I1289" t="inlineStr">
        <is>
          <t>1</t>
        </is>
      </c>
      <c r="J1289" t="inlineStr"/>
      <c r="K1289" t="inlineStr"/>
      <c r="L1289" t="inlineStr"/>
      <c r="M1289" t="inlineStr"/>
      <c r="N1289" t="inlineStr"/>
      <c r="O1289">
        <f>(1-Summary!$B$11)*T1289+Summary!$B$11*V1289</f>
        <v/>
      </c>
      <c r="P1289">
        <f>IF(B1315=0,0,O1289/B1315)</f>
        <v/>
      </c>
      <c r="Q1289">
        <f>IFERROR(1/IF(Inputs!$B$39="pvp",15,MAX(0.1,Skills!D19-IF(Skills!E19=TRUE,Inputs!$B$32,0))),0)</f>
        <v/>
      </c>
      <c r="R1289">
        <f>IF(AND(Inputs!$B$39&lt;&gt;"pvp",Inputs!$B$44&gt;0),IF(Inputs!$B$44&lt;=0,0,(INT(Inputs!$B$44/IF(Inputs!$B$39="pvp",15,MAX(0.1,Skills!D19-IF(Skills!E19=TRUE,Inputs!$B$32,0))))+1)),0)</f>
        <v/>
      </c>
      <c r="S1289">
        <f>IFERROR(O1289/N1289,0)</f>
        <v/>
      </c>
      <c r="T1289" t="n">
        <v>0</v>
      </c>
      <c r="V1289" t="n">
        <v>0</v>
      </c>
    </row>
    <row r="1290">
      <c r="A1290">
        <f>Skills!A20</f>
        <v/>
      </c>
      <c r="B1290">
        <f>Skills!B20</f>
        <v/>
      </c>
      <c r="C1290">
        <f>Inputs!$B$3&gt;=15</f>
        <v/>
      </c>
      <c r="D1290">
        <f>IF(Skills!C20=1,60+Inputs!$B$25+Inputs!$B$29,IF(Skills!C20=2,90+Inputs!$B$26+Inputs!$B$29,IF(Skills!C20=3,120+Inputs!$B$27+Inputs!$B$29,MAX(0,(Inputs!$B$3-100)*3)+Inputs!$B$28+Inputs!$B$29)))</f>
        <v/>
      </c>
      <c r="E1290">
        <f>INDEX(FactorTable!$B$2:$Y$301, MATCH(ROUND(MIN(300,MAX(1,D1290)),0), FactorTable!$A$2:$A$301,0), Skills!M20+1)</f>
        <v/>
      </c>
      <c r="F1290">
        <f>IF(Skills!N20=TRUE,(Skills!L20/10)*(E1290/1000),Skills!L20/10)+Skills!O20</f>
        <v/>
      </c>
      <c r="G1290">
        <f>Skills!G20*IF(Skills!H20&gt;0,Skills!I20/Skills!H20,1)</f>
        <v/>
      </c>
      <c r="H1290">
        <f>1-(1-Skills!J20/100)^Skills!K20</f>
        <v/>
      </c>
      <c r="I1290" t="inlineStr">
        <is>
          <t>1</t>
        </is>
      </c>
      <c r="J1290" t="inlineStr"/>
      <c r="K1290" t="inlineStr"/>
      <c r="L1290" t="inlineStr"/>
      <c r="M1290" t="inlineStr"/>
      <c r="N1290" t="inlineStr"/>
      <c r="O1290">
        <f>(1-Summary!$B$11)*T1290+Summary!$B$11*V1290</f>
        <v/>
      </c>
      <c r="P1290">
        <f>IF(B1315=0,0,O1290/B1315)</f>
        <v/>
      </c>
      <c r="Q1290">
        <f>IFERROR(1/IF(Inputs!$B$39="pvp",15,MAX(0.1,Skills!D20-IF(Skills!E20=TRUE,Inputs!$B$32,0))),0)</f>
        <v/>
      </c>
      <c r="R1290">
        <f>IF(AND(Inputs!$B$39&lt;&gt;"pvp",Inputs!$B$44&gt;0),IF(Inputs!$B$44&lt;=0,0,(INT(Inputs!$B$44/IF(Inputs!$B$39="pvp",15,MAX(0.1,Skills!D20-IF(Skills!E20=TRUE,Inputs!$B$32,0))))+1)),0)</f>
        <v/>
      </c>
      <c r="S1290">
        <f>IFERROR(O1290/N1290,0)</f>
        <v/>
      </c>
      <c r="T1290" t="n">
        <v>0</v>
      </c>
      <c r="V1290" t="n">
        <v>0</v>
      </c>
    </row>
    <row r="1291">
      <c r="A1291">
        <f>Skills!A21</f>
        <v/>
      </c>
      <c r="B1291">
        <f>Skills!B21</f>
        <v/>
      </c>
      <c r="C1291">
        <f>Inputs!$B$3&gt;=15</f>
        <v/>
      </c>
      <c r="D1291">
        <f>IF(Skills!C21=1,60+Inputs!$B$25+Inputs!$B$29,IF(Skills!C21=2,90+Inputs!$B$26+Inputs!$B$29,IF(Skills!C21=3,120+Inputs!$B$27+Inputs!$B$29,MAX(0,(Inputs!$B$3-100)*3)+Inputs!$B$28+Inputs!$B$29)))</f>
        <v/>
      </c>
      <c r="E1291">
        <f>INDEX(FactorTable!$B$2:$Y$301, MATCH(ROUND(MIN(300,MAX(1,D1291)),0), FactorTable!$A$2:$A$301,0), Skills!M21+1)</f>
        <v/>
      </c>
      <c r="F1291">
        <f>IF(Skills!N21=TRUE,(Skills!L21/10)*(E1291/1000),Skills!L21/10)+Skills!O21</f>
        <v/>
      </c>
      <c r="G1291">
        <f>Skills!G21*IF(Skills!H21&gt;0,Skills!I21/Skills!H21,1)</f>
        <v/>
      </c>
      <c r="H1291">
        <f>1-(1-Skills!J21/100)^Skills!K21</f>
        <v/>
      </c>
      <c r="I1291" t="inlineStr">
        <is>
          <t>1</t>
        </is>
      </c>
      <c r="J1291" t="inlineStr"/>
      <c r="K1291" t="inlineStr"/>
      <c r="L1291" t="inlineStr"/>
      <c r="M1291" t="inlineStr"/>
      <c r="N1291" t="inlineStr"/>
      <c r="O1291">
        <f>(1-Summary!$B$11)*T1291+Summary!$B$11*V1291</f>
        <v/>
      </c>
      <c r="P1291">
        <f>IF(B1315=0,0,O1291/B1315)</f>
        <v/>
      </c>
      <c r="Q1291">
        <f>IFERROR(1/IF(Inputs!$B$39="pvp",15,MAX(0.1,Skills!D21-IF(Skills!E21=TRUE,Inputs!$B$32,0))),0)</f>
        <v/>
      </c>
      <c r="R1291">
        <f>IF(AND(Inputs!$B$39&lt;&gt;"pvp",Inputs!$B$44&gt;0),IF(Inputs!$B$44&lt;=0,0,(INT(Inputs!$B$44/IF(Inputs!$B$39="pvp",15,MAX(0.1,Skills!D21-IF(Skills!E21=TRUE,Inputs!$B$32,0))))+1)),0)</f>
        <v/>
      </c>
      <c r="S1291">
        <f>IFERROR(O1291/N1291,0)</f>
        <v/>
      </c>
      <c r="T1291" t="n">
        <v>0</v>
      </c>
      <c r="V1291" t="n">
        <v>0</v>
      </c>
    </row>
    <row r="1292">
      <c r="A1292">
        <f>Skills!A22</f>
        <v/>
      </c>
      <c r="B1292">
        <f>Skills!B22</f>
        <v/>
      </c>
      <c r="C1292">
        <f>Inputs!$B$3&gt;=33</f>
        <v/>
      </c>
      <c r="D1292">
        <f>IF(Skills!C22=1,60+Inputs!$B$25+Inputs!$B$29,IF(Skills!C22=2,90+Inputs!$B$26+Inputs!$B$29,IF(Skills!C22=3,120+Inputs!$B$27+Inputs!$B$29,MAX(0,(Inputs!$B$3-100)*3)+Inputs!$B$28+Inputs!$B$29)))</f>
        <v/>
      </c>
      <c r="E1292">
        <f>INDEX(FactorTable!$B$2:$Y$301, MATCH(ROUND(MIN(300,MAX(1,D1292)),0), FactorTable!$A$2:$A$301,0), Skills!M22+1)</f>
        <v/>
      </c>
      <c r="F1292">
        <f>IF(Skills!N22=TRUE,(Skills!L22/10)*(E1292/1000),Skills!L22/10)+Skills!O22</f>
        <v/>
      </c>
      <c r="G1292">
        <f>Skills!G22*IF(Skills!H22&gt;0,Skills!I22/Skills!H22,1)</f>
        <v/>
      </c>
      <c r="H1292">
        <f>1-(1-Skills!J22/100)^Skills!K22</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Skills!A23</f>
        <v/>
      </c>
      <c r="B1293">
        <f>Skills!B23</f>
        <v/>
      </c>
      <c r="C1293">
        <f>Inputs!$B$3&gt;=40</f>
        <v/>
      </c>
      <c r="D1293">
        <f>IF(Skills!C23=1,60+Inputs!$B$25+Inputs!$B$29,IF(Skills!C23=2,90+Inputs!$B$26+Inputs!$B$29,IF(Skills!C23=3,120+Inputs!$B$27+Inputs!$B$29,MAX(0,(Inputs!$B$3-100)*3)+Inputs!$B$28+Inputs!$B$29)))</f>
        <v/>
      </c>
      <c r="E1293">
        <f>INDEX(FactorTable!$B$2:$Y$301, MATCH(ROUND(MIN(300,MAX(1,D1293)),0), FactorTable!$A$2:$A$301,0), Skills!M23+1)</f>
        <v/>
      </c>
      <c r="F1293">
        <f>IF(Skills!N23=TRUE,(Skills!L23/10)*(E1293/1000),Skills!L23/10)+Skills!O23</f>
        <v/>
      </c>
      <c r="G1293">
        <f>Skills!G23*IF(Skills!H23&gt;0,Skills!I23/Skills!H23,1)</f>
        <v/>
      </c>
      <c r="H1293">
        <f>1-(1-Skills!J23/100)^Skills!K23</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Skills!A24</f>
        <v/>
      </c>
      <c r="B1294">
        <f>Skills!B24</f>
        <v/>
      </c>
      <c r="C1294">
        <f>Inputs!$B$3&gt;=43</f>
        <v/>
      </c>
      <c r="D1294">
        <f>IF(Skills!C24=1,60+Inputs!$B$25+Inputs!$B$29,IF(Skills!C24=2,90+Inputs!$B$26+Inputs!$B$29,IF(Skills!C24=3,120+Inputs!$B$27+Inputs!$B$29,MAX(0,(Inputs!$B$3-100)*3)+Inputs!$B$28+Inputs!$B$29)))</f>
        <v/>
      </c>
      <c r="E1294">
        <f>INDEX(FactorTable!$B$2:$Y$301, MATCH(ROUND(MIN(300,MAX(1,D1294)),0), FactorTable!$A$2:$A$301,0), Skills!M24+1)</f>
        <v/>
      </c>
      <c r="F1294">
        <f>IF(Skills!N24=TRUE,(Skills!L24/10)*(E1294/1000),Skills!L24/10)+Skills!O24</f>
        <v/>
      </c>
      <c r="G1294">
        <f>Skills!G24*IF(Skills!H24&gt;0,Skills!I24/Skills!H24,1)</f>
        <v/>
      </c>
      <c r="H1294">
        <f>1-(1-Skills!J24/100)^Skills!K24</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Skills!A25</f>
        <v/>
      </c>
      <c r="B1295">
        <f>Skills!B25</f>
        <v/>
      </c>
      <c r="C1295">
        <f>Inputs!$B$3&gt;=50</f>
        <v/>
      </c>
      <c r="D1295">
        <f>IF(Skills!C25=1,60+Inputs!$B$25+Inputs!$B$29,IF(Skills!C25=2,90+Inputs!$B$26+Inputs!$B$29,IF(Skills!C25=3,120+Inputs!$B$27+Inputs!$B$29,MAX(0,(Inputs!$B$3-100)*3)+Inputs!$B$28+Inputs!$B$29)))</f>
        <v/>
      </c>
      <c r="E1295">
        <f>INDEX(FactorTable!$B$2:$Y$301, MATCH(ROUND(MIN(300,MAX(1,D1295)),0), FactorTable!$A$2:$A$301,0), Skills!M25+1)</f>
        <v/>
      </c>
      <c r="F1295">
        <f>IF(Skills!N25=TRUE,(Skills!L25/10)*(E1295/1000),Skills!L25/10)+Skills!O25</f>
        <v/>
      </c>
      <c r="G1295">
        <f>Skills!G25*IF(Skills!H25&gt;0,Skills!I25/Skills!H25,1)</f>
        <v/>
      </c>
      <c r="H1295">
        <f>1-(1-Skills!J25/100)^Skills!K25</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Skills!A26</f>
        <v/>
      </c>
      <c r="B1296">
        <f>Skills!B26</f>
        <v/>
      </c>
      <c r="C1296">
        <f>Inputs!$B$3&gt;=50</f>
        <v/>
      </c>
      <c r="D1296">
        <f>IF(Skills!C26=1,60+Inputs!$B$25+Inputs!$B$29,IF(Skills!C26=2,90+Inputs!$B$26+Inputs!$B$29,IF(Skills!C26=3,120+Inputs!$B$27+Inputs!$B$29,MAX(0,(Inputs!$B$3-100)*3)+Inputs!$B$28+Inputs!$B$29)))</f>
        <v/>
      </c>
      <c r="E1296">
        <f>INDEX(FactorTable!$B$2:$Y$301, MATCH(ROUND(MIN(300,MAX(1,D1296)),0), FactorTable!$A$2:$A$301,0), Skills!M26+1)</f>
        <v/>
      </c>
      <c r="F1296">
        <f>IF(Skills!N26=TRUE,(Skills!L26/10)*(E1296/1000),Skills!L26/10)+Skills!O26</f>
        <v/>
      </c>
      <c r="G1296">
        <f>Skills!G26*IF(Skills!H26&gt;0,Skills!I26/Skills!H26,1)</f>
        <v/>
      </c>
      <c r="H1296">
        <f>1-(1-Skills!J26/100)^Skills!K26</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Skills!A27</f>
        <v/>
      </c>
      <c r="B1297">
        <f>Skills!B27</f>
        <v/>
      </c>
      <c r="C1297">
        <f>Inputs!$B$3&gt;=38</f>
        <v/>
      </c>
      <c r="D1297">
        <f>IF(Skills!C27=1,60+Inputs!$B$25+Inputs!$B$29,IF(Skills!C27=2,90+Inputs!$B$26+Inputs!$B$29,IF(Skills!C27=3,120+Inputs!$B$27+Inputs!$B$29,MAX(0,(Inputs!$B$3-100)*3)+Inputs!$B$28+Inputs!$B$29)))</f>
        <v/>
      </c>
      <c r="E1297">
        <f>INDEX(FactorTable!$B$2:$Y$301, MATCH(ROUND(MIN(300,MAX(1,D1297)),0), FactorTable!$A$2:$A$301,0), Skills!M27+1)</f>
        <v/>
      </c>
      <c r="F1297">
        <f>IF(Skills!N27=TRUE,(Skills!L27/10)*(E1297/1000),Skills!L27/10)+Skills!O27</f>
        <v/>
      </c>
      <c r="G1297">
        <f>Skills!G27*IF(Skills!H27&gt;0,Skills!I27/Skills!H27,1)</f>
        <v/>
      </c>
      <c r="H1297">
        <f>1-(1-Skills!J27/100)^Skills!K27</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Skills!A28</f>
        <v/>
      </c>
      <c r="B1298">
        <f>Skills!B28</f>
        <v/>
      </c>
      <c r="C1298">
        <f>Inputs!$B$3&gt;=120</f>
        <v/>
      </c>
      <c r="D1298">
        <f>IF(Skills!C28=1,60+Inputs!$B$25+Inputs!$B$29,IF(Skills!C28=2,90+Inputs!$B$26+Inputs!$B$29,IF(Skills!C28=3,120+Inputs!$B$27+Inputs!$B$29,MAX(0,(Inputs!$B$3-100)*3)+Inputs!$B$28+Inputs!$B$29)))</f>
        <v/>
      </c>
      <c r="E1298">
        <f>INDEX(FactorTable!$B$2:$Y$301, MATCH(ROUND(MIN(300,MAX(1,D1298)),0), FactorTable!$A$2:$A$301,0), Skills!M28+1)</f>
        <v/>
      </c>
      <c r="F1298">
        <f>IF(Skills!N28=TRUE,(Skills!L28/10)*(E1298/1000),Skills!L28/10)+Skills!O28</f>
        <v/>
      </c>
      <c r="G1298">
        <f>Skills!G28*IF(Skills!H28&gt;0,Skills!I28/Skills!H28,1)</f>
        <v/>
      </c>
      <c r="H1298">
        <f>1-(1-Skills!J28/100)^Skills!K28</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Skills!A29</f>
        <v/>
      </c>
      <c r="B1299">
        <f>Skills!B29</f>
        <v/>
      </c>
      <c r="C1299">
        <f>Inputs!$B$3&gt;=120</f>
        <v/>
      </c>
      <c r="D1299">
        <f>IF(Skills!C29=1,60+Inputs!$B$25+Inputs!$B$29,IF(Skills!C29=2,90+Inputs!$B$26+Inputs!$B$29,IF(Skills!C29=3,120+Inputs!$B$27+Inputs!$B$29,MAX(0,(Inputs!$B$3-100)*3)+Inputs!$B$28+Inputs!$B$29)))</f>
        <v/>
      </c>
      <c r="E1299">
        <f>INDEX(FactorTable!$B$2:$Y$301, MATCH(ROUND(MIN(300,MAX(1,D1299)),0), FactorTable!$A$2:$A$301,0), Skills!M29+1)</f>
        <v/>
      </c>
      <c r="F1299">
        <f>IF(Skills!N29=TRUE,(Skills!L29/10)*(E1299/1000),Skills!L29/10)+Skills!O29</f>
        <v/>
      </c>
      <c r="G1299">
        <f>Skills!G29*IF(Skills!H29&gt;0,Skills!I29/Skills!H29,1)</f>
        <v/>
      </c>
      <c r="H1299">
        <f>1-(1-Skills!J29/100)^Skills!K29</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Skills!A30</f>
        <v/>
      </c>
      <c r="B1300">
        <f>Skills!B30</f>
        <v/>
      </c>
      <c r="C1300">
        <f>Inputs!$B$3&gt;=125</f>
        <v/>
      </c>
      <c r="D1300">
        <f>IF(Skills!C30=1,60+Inputs!$B$25+Inputs!$B$29,IF(Skills!C30=2,90+Inputs!$B$26+Inputs!$B$29,IF(Skills!C30=3,120+Inputs!$B$27+Inputs!$B$29,MAX(0,(Inputs!$B$3-100)*3)+Inputs!$B$28+Inputs!$B$29)))</f>
        <v/>
      </c>
      <c r="E1300">
        <f>INDEX(FactorTable!$B$2:$Y$301, MATCH(ROUND(MIN(300,MAX(1,D1300)),0), FactorTable!$A$2:$A$301,0), Skills!M30+1)</f>
        <v/>
      </c>
      <c r="F1300">
        <f>IF(Skills!N30=TRUE,(Skills!L30/10)*(E1300/1000),Skills!L30/10)+Skills!O30</f>
        <v/>
      </c>
      <c r="G1300">
        <f>Skills!G30*IF(Skills!H30&gt;0,Skills!I30/Skills!H30,1)</f>
        <v/>
      </c>
      <c r="H1300">
        <f>1-(1-Skills!J30/100)^Skills!K30</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2">
      <c r="A1302" t="inlineStr">
        <is>
          <t>Average Buff Multiplier</t>
        </is>
      </c>
      <c r="B1302">
        <f>(1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f>
        <v/>
      </c>
    </row>
    <row r="1303">
      <c r="A1303" t="inlineStr">
        <is>
          <t>Global Crit Rate Bonus %</t>
        </is>
      </c>
      <c r="B1303">
        <f>((C1290=TRUE)*F1290*IF(AND(Inputs!$B$39&lt;&gt;"pvp",Inputs!$B$44&gt;0),(((R1290-1)*(Skills!Y20*(1+Inputs!$B$34/100))+MIN((Skills!Y20*(1+Inputs!$B$34/100)),MAX(0,Inputs!$B$44-((R1290-1)*Skills!D20))))/Inputs!$B$44),IF(Inputs!$B$39="pvp",MIN((Skills!Y20*(1+Inputs!$B$34/100)),15)/15,(Skills!Y20*(1+Inputs!$B$34/100))/Skills!D20)))</f>
        <v/>
      </c>
    </row>
    <row r="1304">
      <c r="A1304" t="inlineStr">
        <is>
          <t>Global Monster Damage-Taken Bonus %</t>
        </is>
      </c>
      <c r="B1304">
        <f>IF(Inputs!$B$3&gt;=82,15,0)</f>
        <v/>
      </c>
    </row>
    <row r="1305">
      <c r="A1305" t="inlineStr">
        <is>
          <t>Shadow Partner Average Multiplier</t>
        </is>
      </c>
      <c r="B1305">
        <f>1+((C1277=TRUE)*F1277*(1+3.3333333333333335*IF(C1288=TRUE,F1288,0)/100)*I1277*Skills!J7/100)/100</f>
        <v/>
      </c>
    </row>
    <row r="1306">
      <c r="A1306" t="inlineStr">
        <is>
          <t>Attack Speed Buff Bonus %</t>
        </is>
      </c>
      <c r="B1306">
        <f>((C1289=TRUE)*F1289*IF(AND(Inputs!$B$39&lt;&gt;"pvp",Inputs!$B$44&gt;0),(((R1289-1)*(Skills!Y19*(1+Inputs!$B$34/100))+MIN((Skills!Y19*(1+Inputs!$B$34/100)),MAX(0,Inputs!$B$44-((R1289-1)*Skills!D19))))/Inputs!$B$44),IF(Inputs!$B$39="pvp",MIN((Skills!Y19*(1+Inputs!$B$34/100)),15)/15,(Skills!Y19*(1+Inputs!$B$34/100))/Skills!D19)))+((C1273=TRUE)*F1273*3)</f>
        <v/>
      </c>
    </row>
    <row r="1307">
      <c r="A1307" t="inlineStr">
        <is>
          <t>Actions Per Second</t>
        </is>
      </c>
      <c r="B1307">
        <f>1+MIN(150,150*(1-(1-(Inputs!$B$11+((C1292=TRUE)*(F1292-Calc!F22)))/150)*(1-B1306/150)))/100</f>
        <v/>
      </c>
    </row>
    <row r="1308">
      <c r="A1308" t="inlineStr">
        <is>
          <t>Skill + Buff Cast Rate</t>
        </is>
      </c>
      <c r="B1308">
        <f>IF(AND(Inputs!$B$39&lt;&gt;"pvp",Inputs!$B$44&gt;0),SUMPRODUCT((Skills!E2:E30=TRUE)*(C1272:C1300=TRUE)*R1272:R1300*Skills!F2:F30)/Inputs!$B$44,SUMPRODUCT((Skills!E2:E30=TRUE)*(C1272:C1300=TRUE)*Q1272:Q1300*Skills!F2:F30))</f>
        <v/>
      </c>
    </row>
    <row r="1309">
      <c r="A1309" t="inlineStr">
        <is>
          <t>Cruel Stab Casts Per Second</t>
        </is>
      </c>
      <c r="B1309">
        <f>MAX(0,B1307-B1308)</f>
        <v/>
      </c>
    </row>
    <row r="1310">
      <c r="A1310" t="inlineStr">
        <is>
          <t>Global Critical Damage Bonus % (Smokescreen Mastery Lv.113)</t>
        </is>
      </c>
      <c r="B1310">
        <f>IF(Inputs!$B$3&gt;=113,30,0)*IF(AND(Inputs!$B$39&lt;&gt;"pvp",Inputs!$B$44&gt;0),(((R1285-1)*(Skills!Y15*(1+Inputs!$B$34/100))+MIN((Skills!Y15*(1+Inputs!$B$34/100)),MAX(0,Inputs!$B$44-((R1285-1)*Skills!D15))))/Inputs!$B$44),IF(Inputs!$B$39="pvp",MIN((Skills!Y15*(1+Inputs!$B$34/100)),15)/15,(Skills!Y15*(1+Inputs!$B$34/100))/Skills!D15))</f>
        <v/>
      </c>
    </row>
    <row r="1311">
      <c r="A1311" t="inlineStr">
        <is>
          <t>Meso Explosion average stack count</t>
        </is>
      </c>
      <c r="B1311">
        <f>MIN(10,0.5*B1307*Skills!D4)</f>
        <v/>
      </c>
    </row>
    <row r="1312">
      <c r="A1312" t="inlineStr">
        <is>
          <t>Blood Money average stack count</t>
        </is>
      </c>
      <c r="B1312">
        <f>MIN(5,0.25*B1307*Skills!D4)</f>
        <v/>
      </c>
    </row>
    <row r="1313">
      <c r="A1313" t="inlineStr">
        <is>
          <t>Assassinate Murderous Intent Multiplier</t>
        </is>
      </c>
      <c r="B1313">
        <f>1+IFERROR(MIN(1,Q1284*2/Q1281),0)</f>
        <v/>
      </c>
    </row>
    <row r="1314">
      <c r="A1314" t="inlineStr">
        <is>
          <t>Buff-Casting Startup Delay (s, fixed-duration only)</t>
        </is>
      </c>
      <c r="B1314">
        <f>IF(AND(Inputs!$B$39&lt;&gt;"pvp",Inputs!$B$44&gt;0),SUMPRODUCT((Skills!Y2:Y30&gt;0)*(Skills!E2:E30=TRUE)*(C1272:C1300=TRUE))/B1307,0)</f>
        <v/>
      </c>
    </row>
    <row r="1315">
      <c r="A1315" s="6" t="inlineStr">
        <is>
          <t>TOTAL DPS</t>
        </is>
      </c>
      <c r="B1315" s="6">
        <f>SUM(O1272:O1300)</f>
        <v/>
      </c>
    </row>
    <row r="1316">
      <c r="A1316" t="inlineStr">
        <is>
          <t>Boss-Only Total DPS (this block's swept value)</t>
        </is>
      </c>
      <c r="B1316">
        <f>SUM(T1272:T1300)</f>
        <v/>
      </c>
    </row>
    <row r="1317">
      <c r="A1317" t="inlineStr">
        <is>
          <t>Normal-Only Total DPS (this block's swept value)</t>
        </is>
      </c>
      <c r="B1317">
        <f>SUM(V1272:V1300)</f>
        <v/>
      </c>
    </row>
    <row r="1320">
      <c r="A1320" s="6" t="inlineStr">
        <is>
          <t>Stat: Buff Duration Increase %</t>
        </is>
      </c>
    </row>
    <row r="1321">
      <c r="A1321" s="5" t="inlineStr">
        <is>
          <t>Key</t>
        </is>
      </c>
      <c r="B1321" s="5" t="inlineStr">
        <is>
          <t>Name</t>
        </is>
      </c>
      <c r="C1321" s="5" t="inlineStr">
        <is>
          <t>Unlocked</t>
        </is>
      </c>
      <c r="D1321" s="5" t="inlineStr">
        <is>
          <t>InputLevel</t>
        </is>
      </c>
      <c r="E1321" s="5" t="inlineStr">
        <is>
          <t>Factor</t>
        </is>
      </c>
      <c r="F1321" s="5" t="inlineStr">
        <is>
          <t>CoefficientPercent</t>
        </is>
      </c>
      <c r="G1321" s="5" t="inlineStr">
        <is>
          <t>EffectiveHits</t>
        </is>
      </c>
      <c r="H1321" s="5" t="inlineStr">
        <is>
          <t>ProcProbability</t>
        </is>
      </c>
      <c r="I1321" s="5" t="inlineStr">
        <is>
          <t>MapleHeroMultiplier</t>
        </is>
      </c>
      <c r="J1321" s="5" t="inlineStr">
        <is>
          <t>BaseDamage</t>
        </is>
      </c>
      <c r="K1321" s="5" t="inlineStr">
        <is>
          <t>BaseHitDamage</t>
        </is>
      </c>
      <c r="L1321" s="5" t="inlineStr">
        <is>
          <t>NonCritAvg</t>
        </is>
      </c>
      <c r="M1321" s="5" t="inlineStr">
        <is>
          <t>CritAvg</t>
        </is>
      </c>
      <c r="N1321" s="5" t="inlineStr">
        <is>
          <t>ExpectedDamage(perHit)</t>
        </is>
      </c>
      <c r="O1321" s="5" t="inlineStr">
        <is>
          <t>DPS</t>
        </is>
      </c>
      <c r="P1321" s="5" t="inlineStr">
        <is>
          <t>% of Total</t>
        </is>
      </c>
      <c r="Q1321" s="5" t="inlineStr">
        <is>
          <t>InvCooldown</t>
        </is>
      </c>
      <c r="R1321" s="5" t="inlineStr">
        <is>
          <t>CastsInFight</t>
        </is>
      </c>
      <c r="S1321" s="5" t="inlineStr">
        <is>
          <t>HitRate(perSec)</t>
        </is>
      </c>
      <c r="U1321" t="inlineStr">
        <is>
          <t>helpers</t>
        </is>
      </c>
    </row>
    <row r="1322">
      <c r="A1322">
        <f>Skills!A2</f>
        <v/>
      </c>
      <c r="B1322">
        <f>Skills!B2</f>
        <v/>
      </c>
      <c r="C1322">
        <f>Inputs!$B$3&gt;=100</f>
        <v/>
      </c>
      <c r="D1322" t="inlineStr"/>
      <c r="E1322" t="inlineStr"/>
      <c r="F1322">
        <f>U1324+Skills!O2</f>
        <v/>
      </c>
      <c r="G1322">
        <f>Skills!G2*IF(Skills!H2&gt;0,Skills!I2/Skills!H2,1)</f>
        <v/>
      </c>
      <c r="H1322">
        <f>1-(1-Skills!J2/100)^Skills!K2</f>
        <v/>
      </c>
      <c r="I1322" t="inlineStr">
        <is>
          <t>1</t>
        </is>
      </c>
      <c r="J1322">
        <f>((Inputs!$B$6*(1+Inputs!$B$7/100))+(((Inputs!$B$12*(1+Inputs!$B$13/100))-(Inputs!$B$12*(1+Inputs!$B$13/100)))+0.25*(Inputs!$B$14-Inputs!$B$14))*(1+Inputs!$B$7/100))*(F1322/100)</f>
        <v/>
      </c>
      <c r="K1322">
        <f>J1322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1322)</f>
        <v/>
      </c>
      <c r="L1322">
        <f>K1322*(MIN(Inputs!$B$22+((C1344=TRUE)*(F1344-Calc!F24)),(Inputs!$B$23+((C1349=TRUE)*(F1349-Calc!F29))+IF(ArtifactsInput!$M$15,CHOOSE(ArtifactsInput!$N$15+1,25,30,35,40,45,50)/100*(Inputs!$B$11-Inputs!$B$11),0)))/100+(Inputs!$B$23+((C1349=TRUE)*(F1349-Calc!F29))+IF(ArtifactsInput!$M$15,CHOOSE(ArtifactsInput!$N$15+1,25,30,35,40,45,50)/100*(Inputs!$B$11-Inputs!$B$11),0))/100)/2</f>
        <v/>
      </c>
      <c r="M1322">
        <f>L1322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2">
        <f>L1322*(1-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1322*(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2">
        <f>(1-Summary!$B$11)*T1322+Summary!$B$11*V1322</f>
        <v/>
      </c>
      <c r="P1322">
        <f>IF(B1365=0,0,O1322/B1365)</f>
        <v/>
      </c>
      <c r="Q1322" t="n">
        <v>0</v>
      </c>
      <c r="R1322" t="n">
        <v>0</v>
      </c>
      <c r="S1322">
        <f>IFERROR(O1322/N1322,0)</f>
        <v/>
      </c>
      <c r="T1322">
        <f>IF(C1322,(Skills!G2*N1322*B1359)*IF(Inputs!$B$39="pvp",1,1+(Inputs!$B$20+0+Skills!P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1322*(1-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1322*(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1322*(1-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1322*(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2">
        <f>MAX(0,(Inputs!$B$3-100)*3)+Inputs!$B$28+Inputs!$B$29</f>
        <v/>
      </c>
      <c r="V1322">
        <f>IF(C1322,(Skills!G2*N1322*B1359)*IF(Inputs!$B$39="pvp",1,(1+(Inputs!$B$21+Skills!Q2+B1354+(IF(ArtifactsInput!$M$33,CHOOSE(ArtifactsInput!$N$33+1,30,36,42,48,54,60),0))+(IF(AND(ArtifactsInput!$M$35,Inputs!$B$4&lt;&gt;"Chapter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3">
      <c r="A1323">
        <f>Skills!A3</f>
        <v/>
      </c>
      <c r="B1323">
        <f>Skills!B3</f>
        <v/>
      </c>
      <c r="C1323">
        <f>Inputs!$B$3&gt;=35</f>
        <v/>
      </c>
      <c r="D1323">
        <f>IF(Skills!C3=1,60+Inputs!$B$25+Inputs!$B$29,IF(Skills!C3=2,90+Inputs!$B$26+Inputs!$B$29,IF(Skills!C3=3,120+Inputs!$B$27+Inputs!$B$29,MAX(0,(Inputs!$B$3-100)*3)+Inputs!$B$28+Inputs!$B$29)))</f>
        <v/>
      </c>
      <c r="E1323">
        <f>INDEX(FactorTable!$B$2:$Y$301, MATCH(ROUND(MIN(300,MAX(1,D1323)),0), FactorTable!$A$2:$A$301,0), Skills!M3+1)</f>
        <v/>
      </c>
      <c r="F1323">
        <f>IF(Skills!N3=TRUE,(Skills!L3/10)*(E1323/1000),Skills!L3/10)+Skills!O3</f>
        <v/>
      </c>
      <c r="G1323">
        <f>Skills!G3*IF(Skills!H3&gt;0,Skills!I3/Skills!H3,1)</f>
        <v/>
      </c>
      <c r="H1323">
        <f>1-(1-Skills!J3/100)^Skills!K3</f>
        <v/>
      </c>
      <c r="I1323" t="inlineStr">
        <is>
          <t>1</t>
        </is>
      </c>
      <c r="J1323" t="inlineStr"/>
      <c r="K1323" t="inlineStr"/>
      <c r="L1323" t="inlineStr"/>
      <c r="M1323" t="inlineStr"/>
      <c r="N1323" t="inlineStr"/>
      <c r="O1323">
        <f>(1-Summary!$B$11)*T1323+Summary!$B$11*V1323</f>
        <v/>
      </c>
      <c r="P1323">
        <f>IF(B1365=0,0,O1323/B1365)</f>
        <v/>
      </c>
      <c r="Q1323" t="n">
        <v>0</v>
      </c>
      <c r="R1323" t="n">
        <v>0</v>
      </c>
      <c r="S1323">
        <f>IFERROR(O1323/N1323,0)</f>
        <v/>
      </c>
      <c r="T1323" t="n">
        <v>0</v>
      </c>
      <c r="U1323">
        <f>INDEX(FactorTable!$B$2:$Y$301, MATCH(ROUND(MIN(300,MAX(1,U1322)),0), FactorTable!$A$2:$A$301,0), 22)</f>
        <v/>
      </c>
      <c r="V1323" t="n">
        <v>0</v>
      </c>
    </row>
    <row r="1324">
      <c r="A1324">
        <f>Skills!A4</f>
        <v/>
      </c>
      <c r="B1324">
        <f>Skills!B4</f>
        <v/>
      </c>
      <c r="C1324">
        <f>Inputs!$B$3&gt;=66</f>
        <v/>
      </c>
      <c r="D1324">
        <f>IF(Skills!C4=1,60+Inputs!$B$25+Inputs!$B$29,IF(Skills!C4=2,90+Inputs!$B$26+Inputs!$B$29,IF(Skills!C4=3,120+Inputs!$B$27+Inputs!$B$29,MAX(0,(Inputs!$B$3-100)*3)+Inputs!$B$28+Inputs!$B$29)))</f>
        <v/>
      </c>
      <c r="E1324">
        <f>INDEX(FactorTable!$B$2:$Y$301, MATCH(ROUND(MIN(300,MAX(1,D1324)),0), FactorTable!$A$2:$A$301,0), Skills!M4+1)</f>
        <v/>
      </c>
      <c r="F1324">
        <f>IF(Skills!N4=TRUE,(Skills!L4/10)*(E1324/1000),Skills!L4/10)+Skills!O4</f>
        <v/>
      </c>
      <c r="G1324">
        <f>Skills!G4*IF(Skills!H4&gt;0,Skills!I4/Skills!H4,1)</f>
        <v/>
      </c>
      <c r="H1324">
        <f>1-(1-Skills!J4/100)^Skills!K4</f>
        <v/>
      </c>
      <c r="I1324" t="inlineStr">
        <is>
          <t>1</t>
        </is>
      </c>
      <c r="J1324">
        <f>((Inputs!$B$6*(1+Inputs!$B$7/100))+(((Inputs!$B$12*(1+Inputs!$B$13/100))-(Inputs!$B$12*(1+Inputs!$B$13/100)))+0.25*(Inputs!$B$14-Inputs!$B$14))*(1+Inputs!$B$7/100))*(F1324/100)</f>
        <v/>
      </c>
      <c r="K1324">
        <f>J1324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1324)</f>
        <v/>
      </c>
      <c r="L1324">
        <f>K1324*(MIN(Inputs!$B$22+((C1344=TRUE)*(F1344-Calc!F24)),(Inputs!$B$23+((C1349=TRUE)*(F1349-Calc!F29))+IF(ArtifactsInput!$M$15,CHOOSE(ArtifactsInput!$N$15+1,25,30,35,40,45,50)/100*(Inputs!$B$11-Inputs!$B$11),0)))/100+(Inputs!$B$23+((C1349=TRUE)*(F1349-Calc!F29))+IF(ArtifactsInput!$M$15,CHOOSE(ArtifactsInput!$N$15+1,25,30,35,40,45,50)/100*(Inputs!$B$11-Inputs!$B$11),0))/100)/2</f>
        <v/>
      </c>
      <c r="M1324">
        <f>L1324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4">
        <f>L1324*(1-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1324*(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4">
        <f>(1-Summary!$B$11)*T1324+Summary!$B$11*V1324</f>
        <v/>
      </c>
      <c r="P1324">
        <f>IF(B1365=0,0,O1324/B1365)</f>
        <v/>
      </c>
      <c r="Q1324">
        <f>IFERROR(1/IF(Inputs!$B$39="pvp",15,MAX(0.1,Skills!D4-IF(Skills!E4=TRUE,Inputs!$B$32,0))),0)</f>
        <v/>
      </c>
      <c r="R1324">
        <f>IF(AND(Inputs!$B$39&lt;&gt;"pvp",Inputs!$B$44&gt;0),IF(MAX(0,Inputs!$B$44-B1364)&lt;=0,0,(INT(MAX(0,Inputs!$B$44-B1364)/IF(Inputs!$B$39="pvp",15,MAX(0.1,Skills!D4-IF(Skills!E4=TRUE,Inputs!$B$32,0))))+1)),0)</f>
        <v/>
      </c>
      <c r="S1324">
        <f>IFERROR(O1324/N1324,0)</f>
        <v/>
      </c>
      <c r="T1324">
        <f>IF(C1324,(H1324*N1324*IF(AND(Inputs!$B$39&lt;&gt;"pvp",Inputs!$B$44&gt;0),((Skills!G4*((R1324-1)*IF(Skills!H4&gt;0,Skills!I4/Skills!H4,1)+IF(Skills!H4&gt;0,MIN(Skills!I4,MAX(0,MAX(0,Inputs!$B$44-B1364)-((R1324-1)*IF(Inputs!$B$39="pvp",15,MAX(0.1,Skills!D4-IF(Skills!E4=TRUE,Inputs!$B$32,0))))))/Skills!H4,1)))/Inputs!$B$44),G1324*Q1324))*IF(Inputs!$B$39="pvp",1,1+(Inputs!$B$20+0+Skills!P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1324*(1-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1324*(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1324*(1-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1324*(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4">
        <f>290*U1323/1000</f>
        <v/>
      </c>
      <c r="V1324">
        <f>IF(C1324,(H1324*N1324*IF(AND(Inputs!$B$39&lt;&gt;"pvp",Inputs!$B$44&gt;0),((Skills!G4*((R1324-1)*IF(Skills!H4&gt;0,Skills!I4/Skills!H4,1)+IF(Skills!H4&gt;0,MIN(Skills!I4,MAX(0,MAX(0,Inputs!$B$44-B1364)-((R1324-1)*IF(Inputs!$B$39="pvp",15,MAX(0.1,Skills!D4-IF(Skills!E4=TRUE,Inputs!$B$32,0))))))/Skills!H4,1)))/Inputs!$B$44),G1324*Q1324))*IF(Inputs!$B$39="pvp",1,(1+(Inputs!$B$21+Skills!Q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(10,0.5*B1357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5">
      <c r="A1325">
        <f>Skills!A5</f>
        <v/>
      </c>
      <c r="B1325">
        <f>Skills!B5</f>
        <v/>
      </c>
      <c r="C1325">
        <f>Inputs!$B$3&gt;=63</f>
        <v/>
      </c>
      <c r="D1325">
        <f>IF(Skills!C5=1,60+Inputs!$B$25+Inputs!$B$29,IF(Skills!C5=2,90+Inputs!$B$26+Inputs!$B$29,IF(Skills!C5=3,120+Inputs!$B$27+Inputs!$B$29,MAX(0,(Inputs!$B$3-100)*3)+Inputs!$B$28+Inputs!$B$29)))</f>
        <v/>
      </c>
      <c r="E1325">
        <f>INDEX(FactorTable!$B$2:$Y$301, MATCH(ROUND(MIN(300,MAX(1,D1325)),0), FactorTable!$A$2:$A$301,0), Skills!M5+1)</f>
        <v/>
      </c>
      <c r="F1325">
        <f>IF(Skills!N5=TRUE,(Skills!L5/10)*(E1325/1000),Skills!L5/10)+Skills!O5</f>
        <v/>
      </c>
      <c r="G1325">
        <f>Skills!G5*IF(Skills!H5&gt;0,Skills!I5/Skills!H5,1)</f>
        <v/>
      </c>
      <c r="H1325">
        <f>1-(1-Skills!J5/100)^Skills!K5</f>
        <v/>
      </c>
      <c r="I1325" t="inlineStr">
        <is>
          <t>1</t>
        </is>
      </c>
      <c r="J1325">
        <f>((Inputs!$B$6*(1+Inputs!$B$7/100))+(((Inputs!$B$12*(1+Inputs!$B$13/100))-(Inputs!$B$12*(1+Inputs!$B$13/100)))+0.25*(Inputs!$B$14-Inputs!$B$14))*(1+Inputs!$B$7/100))*(F1325/100)</f>
        <v/>
      </c>
      <c r="K1325">
        <f>J1325*(1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1338=TRUE,F1338,0)/100)*(1+(IF(Skills!A5="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1325)</f>
        <v/>
      </c>
      <c r="L1325">
        <f>K1325*(MIN(Inputs!$B$22+((C1344=TRUE)*(F1344-Calc!F24)),(Inputs!$B$23+((C1349=TRUE)*(F1349-Calc!F29))+IF(ArtifactsInput!$M$15,CHOOSE(ArtifactsInput!$N$15+1,25,30,35,40,45,50)/100*(Inputs!$B$11-Inputs!$B$11),0)))/100+(Inputs!$B$23+((C1349=TRUE)*(F1349-Calc!F29))+IF(ArtifactsInput!$M$15,CHOOSE(ArtifactsInput!$N$15+1,25,30,35,40,45,50)/100*(Inputs!$B$11-Inputs!$B$11),0))/100)/2</f>
        <v/>
      </c>
      <c r="M1325">
        <f>L1325*(1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5">
        <f>L1325*(1-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1325*(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5">
        <f>(1-Summary!$B$11)*T1325+Summary!$B$11*V1325</f>
        <v/>
      </c>
      <c r="P1325">
        <f>IF(B1365=0,0,O1325/B1365)</f>
        <v/>
      </c>
      <c r="Q1325">
        <f>IFERROR(1/IF(Inputs!$B$39="pvp",15,MAX(0.1,Skills!D5-IF(Skills!E5=TRUE,Inputs!$B$32,0))),0)</f>
        <v/>
      </c>
      <c r="R1325">
        <f>IF(AND(Inputs!$B$39&lt;&gt;"pvp",Inputs!$B$44&gt;0),IF(MAX(0,Inputs!$B$44-B1364)&lt;=0,0,(INT(MAX(0,Inputs!$B$44-B1364)/IF(Inputs!$B$39="pvp",15,MAX(0.1,Skills!D5-IF(Skills!E5=TRUE,Inputs!$B$32,0))))+1)),0)</f>
        <v/>
      </c>
      <c r="S1325">
        <f>IFERROR(O1325/N1325,0)</f>
        <v/>
      </c>
      <c r="T1325">
        <f>IF(C1325,(H1325*N1325*IF(AND(Inputs!$B$39&lt;&gt;"pvp",Inputs!$B$44&gt;0),((Skills!G5*((R1325-1)*IF(Skills!H5&gt;0,Skills!I5/Skills!H5,1)+IF(Skills!H5&gt;0,MIN(Skills!I5,MAX(0,MAX(0,Inputs!$B$44-B1364)-((R1325-1)*IF(Inputs!$B$39="pvp",15,MAX(0.1,Skills!D5-IF(Skills!E5=TRUE,Inputs!$B$32,0))))))/Skills!H5,1)))/Inputs!$B$44),G1325*Q1325))*IF(Inputs!$B$39="pvp",1,1+(Inputs!$B$20+0+Skills!P5+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1325*(1-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1325*(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1325*(1-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1325*(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5">
        <f>IF(C1325,(H1325*N1325*IF(AND(Inputs!$B$39&lt;&gt;"pvp",Inputs!$B$44&gt;0),((Skills!G5*((R1325-1)*IF(Skills!H5&gt;0,Skills!I5/Skills!H5,1)+IF(Skills!H5&gt;0,MIN(Skills!I5,MAX(0,MAX(0,Inputs!$B$44-B1364)-((R1325-1)*IF(Inputs!$B$39="pvp",15,MAX(0.1,Skills!D5-IF(Skills!E5=TRUE,Inputs!$B$32,0))))))/Skills!H5,1)))/Inputs!$B$44),G1325*Q1325))*IF(Inputs!$B$39="pvp",1,(1+(Inputs!$B$21+Skills!Q5+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6">
      <c r="A1326">
        <f>Skills!A6</f>
        <v/>
      </c>
      <c r="B1326">
        <f>Skills!B6</f>
        <v/>
      </c>
      <c r="C1326">
        <f>Inputs!$B$3&gt;=69</f>
        <v/>
      </c>
      <c r="D1326">
        <f>IF(Skills!C6=1,60+Inputs!$B$25+Inputs!$B$29,IF(Skills!C6=2,90+Inputs!$B$26+Inputs!$B$29,IF(Skills!C6=3,120+Inputs!$B$27+Inputs!$B$29,MAX(0,(Inputs!$B$3-100)*3)+Inputs!$B$28+Inputs!$B$29)))</f>
        <v/>
      </c>
      <c r="E1326">
        <f>INDEX(FactorTable!$B$2:$Y$301, MATCH(ROUND(MIN(300,MAX(1,D1326)),0), FactorTable!$A$2:$A$301,0), Skills!M6+1)</f>
        <v/>
      </c>
      <c r="F1326">
        <f>IF(Skills!N6=TRUE,(Skills!L6/10)*(E1326/1000),Skills!L6/10)+Skills!O6</f>
        <v/>
      </c>
      <c r="G1326">
        <f>Skills!G6*IF(Skills!H6&gt;0,Skills!I6/Skills!H6,1)</f>
        <v/>
      </c>
      <c r="H1326">
        <f>1-(1-Skills!J6/100)^Skills!K6</f>
        <v/>
      </c>
      <c r="I1326" t="inlineStr">
        <is>
          <t>1</t>
        </is>
      </c>
      <c r="J1326">
        <f>((Inputs!$B$6*(1+Inputs!$B$7/100))+(((Inputs!$B$12*(1+Inputs!$B$13/100))-(Inputs!$B$12*(1+Inputs!$B$13/100)))+0.25*(Inputs!$B$14-Inputs!$B$14))*(1+Inputs!$B$7/100))*(F1326/100)</f>
        <v/>
      </c>
      <c r="K1326">
        <f>J1326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1338=TRUE,F1338,0)/100)*(1+(IF(Skills!A6="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1326)</f>
        <v/>
      </c>
      <c r="L1326">
        <f>K1326*(MIN(Inputs!$B$22+((C1344=TRUE)*(F1344-Calc!F24)),(Inputs!$B$23+((C1349=TRUE)*(F1349-Calc!F29))+IF(ArtifactsInput!$M$15,CHOOSE(ArtifactsInput!$N$15+1,25,30,35,40,45,50)/100*(Inputs!$B$11-Inputs!$B$11),0)))/100+(Inputs!$B$23+((C1349=TRUE)*(F1349-Calc!F29))+IF(ArtifactsInput!$M$15,CHOOSE(ArtifactsInput!$N$15+1,25,30,35,40,45,50)/100*(Inputs!$B$11-Inputs!$B$11),0))/100)/2</f>
        <v/>
      </c>
      <c r="M1326">
        <f>L1326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6">
        <f>L1326*(1-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1326*(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6">
        <f>(1-Summary!$B$11)*T1326+Summary!$B$11*V1326</f>
        <v/>
      </c>
      <c r="P1326">
        <f>IF(B1365=0,0,O1326/B1365)</f>
        <v/>
      </c>
      <c r="Q1326">
        <f>IFERROR(1/IF(Inputs!$B$39="pvp",15,MAX(0.1,Skills!D6-IF(Skills!E6=TRUE,Inputs!$B$32,0))),0)</f>
        <v/>
      </c>
      <c r="R1326">
        <f>IF(AND(Inputs!$B$39&lt;&gt;"pvp",Inputs!$B$44&gt;0),IF(MAX(0,Inputs!$B$44-B1364)&lt;=0,0,(INT(MAX(0,Inputs!$B$44-B1364)/IF(Inputs!$B$39="pvp",15,MAX(0.1,Skills!D6-IF(Skills!E6=TRUE,Inputs!$B$32,0))))+1)),0)</f>
        <v/>
      </c>
      <c r="S1326">
        <f>IFERROR(O1326/N1326,0)</f>
        <v/>
      </c>
      <c r="T1326">
        <f>IF(C1326,(H1326*N1326*IF(AND(Inputs!$B$39&lt;&gt;"pvp",Inputs!$B$44&gt;0),((Skills!G6*((R1326-1)*IF(Skills!H6&gt;0,Skills!I6/Skills!H6,1)+IF(Skills!H6&gt;0,MIN(Skills!I6,MAX(0,MAX(0,Inputs!$B$44-B1364)-((R1326-1)*IF(Inputs!$B$39="pvp",15,MAX(0.1,Skills!D6-IF(Skills!E6=TRUE,Inputs!$B$32,0))))))/Skills!H6,1)))/Inputs!$B$44),G1326*Q1326))*IF(Inputs!$B$39="pvp",1,1+(Inputs!$B$20+0+Skills!P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1326*(1-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1326*(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1326*(1-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1326*(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6">
        <f>IF(C1326,(H1326*N1326*IF(AND(Inputs!$B$39&lt;&gt;"pvp",Inputs!$B$44&gt;0),((Skills!G6*((R1326-1)*IF(Skills!H6&gt;0,Skills!I6/Skills!H6,1)+IF(Skills!H6&gt;0,MIN(Skills!I6,MAX(0,MAX(0,Inputs!$B$44-B1364)-((R1326-1)*IF(Inputs!$B$39="pvp",15,MAX(0.1,Skills!D6-IF(Skills!E6=TRUE,Inputs!$B$32,0))))))/Skills!H6,1)))/Inputs!$B$44),G1326*Q1326))*IF(Inputs!$B$39="pvp",1,(1+(Inputs!$B$21+Skills!Q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7">
      <c r="A1327">
        <f>Skills!A7</f>
        <v/>
      </c>
      <c r="B1327">
        <f>Skills!B7</f>
        <v/>
      </c>
      <c r="C1327">
        <f>Inputs!$B$3&gt;=60</f>
        <v/>
      </c>
      <c r="D1327">
        <f>IF(Skills!C7=1,60+Inputs!$B$25+Inputs!$B$29,IF(Skills!C7=2,90+Inputs!$B$26+Inputs!$B$29,IF(Skills!C7=3,120+Inputs!$B$27+Inputs!$B$29,MAX(0,(Inputs!$B$3-100)*3)+Inputs!$B$28+Inputs!$B$29)))</f>
        <v/>
      </c>
      <c r="E1327">
        <f>INDEX(FactorTable!$B$2:$Y$301, MATCH(ROUND(MIN(300,MAX(1,D1327)),0), FactorTable!$A$2:$A$301,0), Skills!M7+1)</f>
        <v/>
      </c>
      <c r="F1327">
        <f>IF(Skills!N7=TRUE,(Skills!L7/10)*(E1327/1000),Skills!L7/10)+Skills!O7</f>
        <v/>
      </c>
      <c r="G1327">
        <f>Skills!G7*IF(Skills!H7&gt;0,Skills!I7/Skills!H7,1)</f>
        <v/>
      </c>
      <c r="H1327">
        <f>1-(1-Skills!J7/100)^Skills!K7</f>
        <v/>
      </c>
      <c r="I1327" t="inlineStr">
        <is>
          <t>1</t>
        </is>
      </c>
      <c r="J1327" t="inlineStr"/>
      <c r="K1327" t="inlineStr"/>
      <c r="L1327" t="inlineStr"/>
      <c r="M1327" t="inlineStr"/>
      <c r="N1327" t="inlineStr"/>
      <c r="O1327">
        <f>(1-Summary!$B$11)*T1327+Summary!$B$11*V1327</f>
        <v/>
      </c>
      <c r="P1327">
        <f>IF(B1365=0,0,O1327/B1365)</f>
        <v/>
      </c>
      <c r="Q1327" t="n">
        <v>0</v>
      </c>
      <c r="R1327" t="n">
        <v>0</v>
      </c>
      <c r="S1327">
        <f>IFERROR(O1327/N1327,0)</f>
        <v/>
      </c>
      <c r="T1327" t="n">
        <v>0</v>
      </c>
      <c r="V1327" t="n">
        <v>0</v>
      </c>
    </row>
    <row r="1328">
      <c r="A1328">
        <f>Skills!A8</f>
        <v/>
      </c>
      <c r="B1328">
        <f>Skills!B8</f>
        <v/>
      </c>
      <c r="C1328">
        <f>Inputs!$B$3&gt;=72</f>
        <v/>
      </c>
      <c r="D1328">
        <f>IF(Skills!C8=1,60+Inputs!$B$25+Inputs!$B$29,IF(Skills!C8=2,90+Inputs!$B$26+Inputs!$B$29,IF(Skills!C8=3,120+Inputs!$B$27+Inputs!$B$29,MAX(0,(Inputs!$B$3-100)*3)+Inputs!$B$28+Inputs!$B$29)))</f>
        <v/>
      </c>
      <c r="E1328">
        <f>INDEX(FactorTable!$B$2:$Y$301, MATCH(ROUND(MIN(300,MAX(1,D1328)),0), FactorTable!$A$2:$A$301,0), Skills!M8+1)</f>
        <v/>
      </c>
      <c r="F1328">
        <f>IF(Skills!N8=TRUE,(Skills!L8/10)*(E1328/1000),Skills!L8/10)+Skills!O8</f>
        <v/>
      </c>
      <c r="G1328">
        <f>Skills!G8*IF(Skills!H8&gt;0,Skills!I8/Skills!H8,1)</f>
        <v/>
      </c>
      <c r="H1328">
        <f>1-(1-Skills!J8/100)^Skills!K8</f>
        <v/>
      </c>
      <c r="I1328" t="inlineStr">
        <is>
          <t>1</t>
        </is>
      </c>
      <c r="J1328">
        <f>((Inputs!$B$6*(1+Inputs!$B$7/100))+(((Inputs!$B$12*(1+Inputs!$B$13/100))-(Inputs!$B$12*(1+Inputs!$B$13/100)))+0.25*(Inputs!$B$14-Inputs!$B$14))*(1+Inputs!$B$7/100))*(F1328/100)</f>
        <v/>
      </c>
      <c r="K1328">
        <f>J1328*(1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1338=TRUE,F1338,0)/100)*(1+(IF(Skills!A8="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1328)</f>
        <v/>
      </c>
      <c r="L1328">
        <f>K1328*(MIN(Inputs!$B$22+((C1344=TRUE)*(F1344-Calc!F24)),(Inputs!$B$23+((C1349=TRUE)*(F1349-Calc!F29))+IF(ArtifactsInput!$M$15,CHOOSE(ArtifactsInput!$N$15+1,25,30,35,40,45,50)/100*(Inputs!$B$11-Inputs!$B$11),0)))/100+(Inputs!$B$23+((C1349=TRUE)*(F1349-Calc!F29))+IF(ArtifactsInput!$M$15,CHOOSE(ArtifactsInput!$N$15+1,25,30,35,40,45,50)/100*(Inputs!$B$11-Inputs!$B$11),0))/100)/2</f>
        <v/>
      </c>
      <c r="M1328">
        <f>L1328*(1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8">
        <f>L1328*(1-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1328*(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8">
        <f>(1-Summary!$B$11)*T1328+Summary!$B$11*V1328</f>
        <v/>
      </c>
      <c r="P1328">
        <f>IF(B1365=0,0,O1328/B1365)</f>
        <v/>
      </c>
      <c r="Q1328">
        <f>IFERROR(1/IF(Inputs!$B$39="pvp",15,MAX(0.1,Skills!D8-IF(Skills!E8=TRUE,Inputs!$B$32,0))),0)</f>
        <v/>
      </c>
      <c r="R1328">
        <f>IF(AND(Inputs!$B$39&lt;&gt;"pvp",Inputs!$B$44&gt;0),IF(MAX(0,Inputs!$B$44-B1364)&lt;=0,0,(INT(MAX(0,Inputs!$B$44-B1364)/IF(Inputs!$B$39="pvp",15,MAX(0.1,Skills!D8-IF(Skills!E8=TRUE,Inputs!$B$32,0))))+1)),0)</f>
        <v/>
      </c>
      <c r="S1328">
        <f>IFERROR(O1328/N1328,0)</f>
        <v/>
      </c>
      <c r="T1328">
        <f>IF(C1328,(H1328*N1328*IF(AND(Inputs!$B$39&lt;&gt;"pvp",Inputs!$B$44&gt;0),((Skills!G8*((R1328-1)*IF(Skills!H8&gt;0,Skills!I8/Skills!H8,1)+IF(Skills!H8&gt;0,MIN(Skills!I8,MAX(0,MAX(0,Inputs!$B$44-B1364)-((R1328-1)*IF(Inputs!$B$39="pvp",15,MAX(0.1,Skills!D8-IF(Skills!E8=TRUE,Inputs!$B$32,0))))))/Skills!H8,1)))/Inputs!$B$44),G1328*Q1328))*IF(Inputs!$B$39="pvp",1,1+(Inputs!$B$20+0+Skills!P8+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1328*(1-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1328*(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1328*(1-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1328*(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8">
        <f>IF(C1328,(H1328*N1328*IF(AND(Inputs!$B$39&lt;&gt;"pvp",Inputs!$B$44&gt;0),((Skills!G8*((R1328-1)*IF(Skills!H8&gt;0,Skills!I8/Skills!H8,1)+IF(Skills!H8&gt;0,MIN(Skills!I8,MAX(0,MAX(0,Inputs!$B$44-B1364)-((R1328-1)*IF(Inputs!$B$39="pvp",15,MAX(0.1,Skills!D8-IF(Skills!E8=TRUE,Inputs!$B$32,0))))))/Skills!H8,1)))/Inputs!$B$44),G1328*Q1328))*IF(Inputs!$B$39="pvp",1,(1+(Inputs!$B$21+Skills!Q8+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9">
      <c r="A1329">
        <f>Skills!A9</f>
        <v/>
      </c>
      <c r="B1329">
        <f>Skills!B9</f>
        <v/>
      </c>
      <c r="C1329">
        <f>Inputs!$B$3&gt;=117</f>
        <v/>
      </c>
      <c r="D1329">
        <f>IF(Skills!C9=1,60+Inputs!$B$25+Inputs!$B$29,IF(Skills!C9=2,90+Inputs!$B$26+Inputs!$B$29,IF(Skills!C9=3,120+Inputs!$B$27+Inputs!$B$29,MAX(0,(Inputs!$B$3-100)*3)+Inputs!$B$28+Inputs!$B$29)))</f>
        <v/>
      </c>
      <c r="E1329">
        <f>INDEX(FactorTable!$B$2:$Y$301, MATCH(ROUND(MIN(300,MAX(1,D1329)),0), FactorTable!$A$2:$A$301,0), Skills!M9+1)</f>
        <v/>
      </c>
      <c r="F1329">
        <f>IF(Skills!N9=TRUE,(Skills!L9/10)*(E1329/1000),Skills!L9/10)+Skills!O9</f>
        <v/>
      </c>
      <c r="G1329">
        <f>Skills!G9*IF(Skills!H9&gt;0,Skills!I9/Skills!H9,1)</f>
        <v/>
      </c>
      <c r="H1329">
        <f>1-(1-Skills!J9/100)^Skills!K9</f>
        <v/>
      </c>
      <c r="I1329" t="inlineStr">
        <is>
          <t>1</t>
        </is>
      </c>
      <c r="J1329">
        <f>((Inputs!$B$6*(1+Inputs!$B$7/100))+(((Inputs!$B$12*(1+Inputs!$B$13/100))-(Inputs!$B$12*(1+Inputs!$B$13/100)))+0.25*(Inputs!$B$14-Inputs!$B$14))*(1+Inputs!$B$7/100))*(F1329/100)</f>
        <v/>
      </c>
      <c r="K1329">
        <f>J1329*(1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1329)</f>
        <v/>
      </c>
      <c r="L1329">
        <f>K1329*(MIN(Inputs!$B$22+((C1344=TRUE)*(F1344-Calc!F24)),(Inputs!$B$23+((C1349=TRUE)*(F1349-Calc!F29))+IF(ArtifactsInput!$M$15,CHOOSE(ArtifactsInput!$N$15+1,25,30,35,40,45,50)/100*(Inputs!$B$11-Inputs!$B$11),0)))/100+(Inputs!$B$23+((C1349=TRUE)*(F1349-Calc!F29))+IF(ArtifactsInput!$M$15,CHOOSE(ArtifactsInput!$N$15+1,25,30,35,40,45,50)/100*(Inputs!$B$11-Inputs!$B$11),0))/100)/2</f>
        <v/>
      </c>
      <c r="M1329">
        <f>L1329*(1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9">
        <f>L1329*(1-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1329*(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9">
        <f>(1-Summary!$B$11)*T1329+Summary!$B$11*V1329</f>
        <v/>
      </c>
      <c r="P1329">
        <f>IF(B1365=0,0,O1329/B1365)</f>
        <v/>
      </c>
      <c r="Q1329" t="n">
        <v>0</v>
      </c>
      <c r="R1329" t="n">
        <v>0</v>
      </c>
      <c r="S1329" t="n">
        <v>0</v>
      </c>
      <c r="T1329">
        <f>IF(C1329,(0.2*SUMPRODUCT((Skills!Z2:Z30=TRUE)*(C1322:C1350=TRUE)*S1322:S1350)*N1329)*IF(Inputs!$B$39="pvp",1,1+(Inputs!$B$20+0+Skills!P9+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1329*(1-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1329*(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1329*(1-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1329*(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9">
        <f>IF(C1329,(0.2*SUMPRODUCT((Skills!Z2:Z30=TRUE)*(C1322:C1350=TRUE)*S1322:S1350)*N1329)*IF(Inputs!$B$39="pvp",1,(1+(Inputs!$B$21+Skills!Q9+B1354+(IF(ArtifactsInput!$M$33,CHOOSE(ArtifactsInput!$N$33+1,30,36,42,48,54,60),0))+(IF(AND(ArtifactsInput!$M$35,Inputs!$B$4&lt;&gt;"Chapter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0">
      <c r="A1330">
        <f>Skills!A10</f>
        <v/>
      </c>
      <c r="B1330">
        <f>Skills!B10</f>
        <v/>
      </c>
      <c r="C1330">
        <f>Inputs!$B$3&gt;=74</f>
        <v/>
      </c>
      <c r="D1330">
        <f>IF(Skills!C10=1,60+Inputs!$B$25+Inputs!$B$29,IF(Skills!C10=2,90+Inputs!$B$26+Inputs!$B$29,IF(Skills!C10=3,120+Inputs!$B$27+Inputs!$B$29,MAX(0,(Inputs!$B$3-100)*3)+Inputs!$B$28+Inputs!$B$29)))</f>
        <v/>
      </c>
      <c r="E1330">
        <f>INDEX(FactorTable!$B$2:$Y$301, MATCH(ROUND(MIN(300,MAX(1,D1330)),0), FactorTable!$A$2:$A$301,0), Skills!M10+1)</f>
        <v/>
      </c>
      <c r="F1330">
        <f>IF(Skills!N10=TRUE,(Skills!L10/10)*(E1330/1000),Skills!L10/10)+Skills!O10</f>
        <v/>
      </c>
      <c r="G1330">
        <f>Skills!G10*IF(Skills!H10&gt;0,Skills!I10/Skills!H10,1)</f>
        <v/>
      </c>
      <c r="H1330">
        <f>1-(1-Skills!J10/100)^Skills!K10</f>
        <v/>
      </c>
      <c r="I1330" t="inlineStr">
        <is>
          <t>1</t>
        </is>
      </c>
      <c r="J1330" t="inlineStr"/>
      <c r="K1330" t="inlineStr"/>
      <c r="L1330" t="inlineStr"/>
      <c r="M1330" t="inlineStr"/>
      <c r="N1330" t="inlineStr"/>
      <c r="O1330">
        <f>(1-Summary!$B$11)*T1330+Summary!$B$11*V1330</f>
        <v/>
      </c>
      <c r="P1330">
        <f>IF(B1365=0,0,O1330/B1365)</f>
        <v/>
      </c>
      <c r="Q1330">
        <f>IFERROR(1/IF(Inputs!$B$39="pvp",15,MAX(0.1,Skills!D10-IF(Skills!E10=TRUE,Inputs!$B$32,0))),0)</f>
        <v/>
      </c>
      <c r="R1330">
        <f>IF(AND(Inputs!$B$39&lt;&gt;"pvp",Inputs!$B$44&gt;0),IF(Inputs!$B$44&lt;=0,0,(INT(Inputs!$B$44/IF(Inputs!$B$39="pvp",15,MAX(0.1,Skills!D10-IF(Skills!E10=TRUE,Inputs!$B$32,0))))+1)),0)</f>
        <v/>
      </c>
      <c r="S1330">
        <f>IFERROR(O1330/N1330,0)</f>
        <v/>
      </c>
      <c r="T1330" t="n">
        <v>0</v>
      </c>
      <c r="V1330" t="n">
        <v>0</v>
      </c>
    </row>
    <row r="1331">
      <c r="A1331">
        <f>Skills!A11</f>
        <v/>
      </c>
      <c r="B1331">
        <f>Skills!B11</f>
        <v/>
      </c>
      <c r="C1331">
        <f>Inputs!$B$3&gt;=103</f>
        <v/>
      </c>
      <c r="D1331">
        <f>IF(Skills!C11=1,60+Inputs!$B$25+Inputs!$B$29,IF(Skills!C11=2,90+Inputs!$B$26+Inputs!$B$29,IF(Skills!C11=3,120+Inputs!$B$27+Inputs!$B$29,MAX(0,(Inputs!$B$3-100)*3)+Inputs!$B$28+Inputs!$B$29)))</f>
        <v/>
      </c>
      <c r="E1331">
        <f>INDEX(FactorTable!$B$2:$Y$301, MATCH(ROUND(MIN(300,MAX(1,D1331)),0), FactorTable!$A$2:$A$301,0), Skills!M11+1)</f>
        <v/>
      </c>
      <c r="F1331">
        <f>(Skills!L11/10)*(E1331/1000)+IF(Inputs!$B$3&gt;=134,50,0)+0.5*(30000/10)*(INDEX(FactorTable!$B$2:$Y$301, MATCH(ROUND(MIN(300,MAX(1,D1331)),0), FactorTable!$A$2:$A$301,0), 13)/1000)*B1363</f>
        <v/>
      </c>
      <c r="G1331">
        <f>Skills!G11*IF(Skills!H11&gt;0,Skills!I11/Skills!H11,1)</f>
        <v/>
      </c>
      <c r="H1331">
        <f>1-(1-Skills!J11/100)^Skills!K11</f>
        <v/>
      </c>
      <c r="I1331" t="inlineStr">
        <is>
          <t>1</t>
        </is>
      </c>
      <c r="J1331">
        <f>((Inputs!$B$6*(1+Inputs!$B$7/100))+(((Inputs!$B$12*(1+Inputs!$B$13/100))-(Inputs!$B$12*(1+Inputs!$B$13/100)))+0.25*(Inputs!$B$14-Inputs!$B$14))*(1+Inputs!$B$7/100))*(F1331/100)</f>
        <v/>
      </c>
      <c r="K1331">
        <f>J1331*(1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1331)</f>
        <v/>
      </c>
      <c r="L1331">
        <f>K1331*(MIN(Inputs!$B$22+((C1344=TRUE)*(F1344-Calc!F24)),(Inputs!$B$23+((C1349=TRUE)*(F1349-Calc!F29))+IF(ArtifactsInput!$M$15,CHOOSE(ArtifactsInput!$N$15+1,25,30,35,40,45,50)/100*(Inputs!$B$11-Inputs!$B$11),0)))/100+(Inputs!$B$23+((C1349=TRUE)*(F1349-Calc!F29))+IF(ArtifactsInput!$M$15,CHOOSE(ArtifactsInput!$N$15+1,25,30,35,40,45,50)/100*(Inputs!$B$11-Inputs!$B$11),0))/100)/2</f>
        <v/>
      </c>
      <c r="M1331">
        <f>L1331*(1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1">
        <f>L1331*(1-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1">
        <f>(1-Summary!$B$11)*T1331+Summary!$B$11*V1331</f>
        <v/>
      </c>
      <c r="P1331">
        <f>IF(B1365=0,0,O1331/B1365)</f>
        <v/>
      </c>
      <c r="Q1331">
        <f>IFERROR(1/IF(Inputs!$B$39="pvp",15,MAX(0.1,Skills!D11-IF(Skills!E11=TRUE,Inputs!$B$32,0))),0)</f>
        <v/>
      </c>
      <c r="R1331">
        <f>IF(AND(Inputs!$B$39&lt;&gt;"pvp",Inputs!$B$44&gt;0),IF(MAX(0,Inputs!$B$44-B1364)&lt;=0,0,(INT(MAX(0,Inputs!$B$44-B1364)/IF(Inputs!$B$39="pvp",15,MAX(0.1,Skills!D11-IF(Skills!E11=TRUE,Inputs!$B$32,0))))+1)),0)</f>
        <v/>
      </c>
      <c r="S1331">
        <f>IFERROR(O1331/N1331,0)</f>
        <v/>
      </c>
      <c r="T1331">
        <f>IF(C1331,(H1331*N1331*IF(AND(Inputs!$B$39&lt;&gt;"pvp",Inputs!$B$44&gt;0),((Skills!G11*((R1331-1)*IF(Skills!H11&gt;0,Skills!I11/Skills!H11,1)+IF(Skills!H11&gt;0,MIN(Skills!I11,MAX(0,MAX(0,Inputs!$B$44-B1364)-((R1331-1)*IF(Inputs!$B$39="pvp",15,MAX(0.1,Skills!D11-IF(Skills!E11=TRUE,Inputs!$B$32,0))))))/Skills!H11,1)))/Inputs!$B$44),G1331*Q1331))*IF(Inputs!$B$39="pvp",1,1+(Inputs!$B$20+0+Skills!P11+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1">
        <f>IF(C1331,(H1331*N1331*IF(AND(Inputs!$B$39&lt;&gt;"pvp",Inputs!$B$44&gt;0),((Skills!G11*((R1331-1)*IF(Skills!H11&gt;0,Skills!I11/Skills!H11,1)+IF(Skills!H11&gt;0,MIN(Skills!I11,MAX(0,MAX(0,Inputs!$B$44-B1364)-((R1331-1)*IF(Inputs!$B$39="pvp",15,MAX(0.1,Skills!D11-IF(Skills!E11=TRUE,Inputs!$B$32,0))))))/Skills!H11,1)))/Inputs!$B$44),G1331*Q1331))*IF(Inputs!$B$39="pvp",1,(1+(Inputs!$B$21+Skills!Q11+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2">
      <c r="A1332">
        <f>Skills!A12</f>
        <v/>
      </c>
      <c r="B1332">
        <f>Skills!B12</f>
        <v/>
      </c>
      <c r="C1332">
        <f>Inputs!$B$3&gt;=105</f>
        <v/>
      </c>
      <c r="D1332">
        <f>IF(Skills!C12=1,60+Inputs!$B$25+Inputs!$B$29,IF(Skills!C12=2,90+Inputs!$B$26+Inputs!$B$29,IF(Skills!C12=3,120+Inputs!$B$27+Inputs!$B$29,MAX(0,(Inputs!$B$3-100)*3)+Inputs!$B$28+Inputs!$B$29)))</f>
        <v/>
      </c>
      <c r="E1332">
        <f>INDEX(FactorTable!$B$2:$Y$301, MATCH(ROUND(MIN(300,MAX(1,D1332)),0), FactorTable!$A$2:$A$301,0), Skills!M12+1)</f>
        <v/>
      </c>
      <c r="F1332">
        <f>IF(Skills!N12=TRUE,(Skills!L12/10)*(E1332/1000),Skills!L12/10)+Skills!O12</f>
        <v/>
      </c>
      <c r="G1332">
        <f>Skills!G12*IF(Skills!H12&gt;0,Skills!I12/Skills!H12,1)</f>
        <v/>
      </c>
      <c r="H1332">
        <f>1-(1-Skills!J12/100)^Skills!K12</f>
        <v/>
      </c>
      <c r="I1332" t="inlineStr">
        <is>
          <t>1</t>
        </is>
      </c>
      <c r="J1332">
        <f>((Inputs!$B$6*(1+Inputs!$B$7/100))+(((Inputs!$B$12*(1+Inputs!$B$13/100))-(Inputs!$B$12*(1+Inputs!$B$13/100)))+0.25*(Inputs!$B$14-Inputs!$B$14))*(1+Inputs!$B$7/100))*(F1332/100)</f>
        <v/>
      </c>
      <c r="K1332">
        <f>J1332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1332)</f>
        <v/>
      </c>
      <c r="L1332">
        <f>K1332*(MIN(Inputs!$B$22+((C1344=TRUE)*(F1344-Calc!F24)),(Inputs!$B$23+((C1349=TRUE)*(F1349-Calc!F29))+IF(ArtifactsInput!$M$15,CHOOSE(ArtifactsInput!$N$15+1,25,30,35,40,45,50)/100*(Inputs!$B$11-Inputs!$B$11),0)))/100+(Inputs!$B$23+((C1349=TRUE)*(F1349-Calc!F29))+IF(ArtifactsInput!$M$15,CHOOSE(ArtifactsInput!$N$15+1,25,30,35,40,45,50)/100*(Inputs!$B$11-Inputs!$B$11),0))/100)/2</f>
        <v/>
      </c>
      <c r="M1332">
        <f>L1332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2">
        <f>L1332*(1-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1332*(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2">
        <f>(1-Summary!$B$11)*T1332+Summary!$B$11*V1332</f>
        <v/>
      </c>
      <c r="P1332">
        <f>IF(B1365=0,0,O1332/B1365)</f>
        <v/>
      </c>
      <c r="Q1332">
        <f>IFERROR(1/IF(Inputs!$B$39="pvp",15,MAX(0.1,Skills!D12-IF(Skills!E12=TRUE,Inputs!$B$32,0))),0)</f>
        <v/>
      </c>
      <c r="R1332">
        <f>IF(AND(Inputs!$B$39&lt;&gt;"pvp",Inputs!$B$44&gt;0),IF(MAX(0,Inputs!$B$44-B1364)&lt;=0,0,(INT(MAX(0,Inputs!$B$44-B1364)/IF(Inputs!$B$39="pvp",15,MAX(0.1,Skills!D12-IF(Skills!E12=TRUE,Inputs!$B$32,0))))+1)),0)</f>
        <v/>
      </c>
      <c r="S1332">
        <f>IFERROR(O1332/N1332,0)</f>
        <v/>
      </c>
      <c r="T1332">
        <f>IF(C1332,(H1332*N1332*IF(AND(Inputs!$B$39&lt;&gt;"pvp",Inputs!$B$44&gt;0),((Skills!G12*((R1332-1)*IF(Skills!H12&gt;0,Skills!I12/Skills!H12,1)+IF(Skills!H12&gt;0,MIN(Skills!I12,MAX(0,MAX(0,Inputs!$B$44-B1364)-((R1332-1)*IF(Inputs!$B$39="pvp",15,MAX(0.1,Skills!D12-IF(Skills!E12=TRUE,Inputs!$B$32,0))))))/Skills!H12,1)))/Inputs!$B$44),G1332*Q1332))*IF(Inputs!$B$39="pvp",1,1+(Inputs!$B$20+0+Skills!P12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1332*(1-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1332*(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1332*(1-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1332*(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2">
        <f>IF(C1332,(H1332*N1332*IF(AND(Inputs!$B$39&lt;&gt;"pvp",Inputs!$B$44&gt;0),((Skills!G12*((R1332-1)*IF(Skills!H12&gt;0,Skills!I12/Skills!H12,1)+IF(Skills!H12&gt;0,MIN(Skills!I12,MAX(0,MAX(0,Inputs!$B$44-B1364)-((R1332-1)*IF(Inputs!$B$39="pvp",15,MAX(0.1,Skills!D12-IF(Skills!E12=TRUE,Inputs!$B$32,0))))))/Skills!H12,1)))/Inputs!$B$44),G1332*Q1332))*IF(Inputs!$B$39="pvp",1,(1+(Inputs!$B$21+Skills!Q12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3">
      <c r="A1333">
        <f>Skills!A13</f>
        <v/>
      </c>
      <c r="B1333">
        <f>Skills!B13</f>
        <v/>
      </c>
      <c r="C1333">
        <f>Inputs!$B$3&gt;=105</f>
        <v/>
      </c>
      <c r="D1333">
        <f>IF(Skills!C13=1,60+Inputs!$B$25+Inputs!$B$29,IF(Skills!C13=2,90+Inputs!$B$26+Inputs!$B$29,IF(Skills!C13=3,120+Inputs!$B$27+Inputs!$B$29,MAX(0,(Inputs!$B$3-100)*3)+Inputs!$B$28+Inputs!$B$29)))</f>
        <v/>
      </c>
      <c r="E1333">
        <f>INDEX(FactorTable!$B$2:$Y$301, MATCH(ROUND(MIN(300,MAX(1,D1333)),0), FactorTable!$A$2:$A$301,0), Skills!M13+1)</f>
        <v/>
      </c>
      <c r="F1333">
        <f>IF(Skills!N13=TRUE,(Skills!L13/10)*(E1333/1000),Skills!L13/10)+Skills!O13</f>
        <v/>
      </c>
      <c r="G1333">
        <f>Skills!G13*IF(Skills!H13&gt;0,Skills!I13/Skills!H13,1)</f>
        <v/>
      </c>
      <c r="H1333">
        <f>1-(1-Skills!J13/100)^Skills!K13</f>
        <v/>
      </c>
      <c r="I1333" t="inlineStr">
        <is>
          <t>1</t>
        </is>
      </c>
      <c r="J1333">
        <f>((Inputs!$B$6*(1+Inputs!$B$7/100))+(((Inputs!$B$12*(1+Inputs!$B$13/100))-(Inputs!$B$12*(1+Inputs!$B$13/100)))+0.25*(Inputs!$B$14-Inputs!$B$14))*(1+Inputs!$B$7/100))*(F1333/100)</f>
        <v/>
      </c>
      <c r="K1333">
        <f>J1333*(1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1333)</f>
        <v/>
      </c>
      <c r="L1333">
        <f>K1333*(MIN(Inputs!$B$22+((C1344=TRUE)*(F1344-Calc!F24)),(Inputs!$B$23+((C1349=TRUE)*(F1349-Calc!F29))+IF(ArtifactsInput!$M$15,CHOOSE(ArtifactsInput!$N$15+1,25,30,35,40,45,50)/100*(Inputs!$B$11-Inputs!$B$11),0)))/100+(Inputs!$B$23+((C1349=TRUE)*(F1349-Calc!F29))+IF(ArtifactsInput!$M$15,CHOOSE(ArtifactsInput!$N$15+1,25,30,35,40,45,50)/100*(Inputs!$B$11-Inputs!$B$11),0))/100)/2</f>
        <v/>
      </c>
      <c r="M1333">
        <f>L1333*(1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3">
        <f>L1333*(1-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1333*(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3">
        <f>(1-Summary!$B$11)*T1333+Summary!$B$11*V1333</f>
        <v/>
      </c>
      <c r="P1333">
        <f>IF(B1365=0,0,O1333/B1365)</f>
        <v/>
      </c>
      <c r="Q1333">
        <f>IFERROR(1/IF(Inputs!$B$39="pvp",15,MAX(0.1,Skills!D13-IF(Skills!E13=TRUE,Inputs!$B$32,0))),0)</f>
        <v/>
      </c>
      <c r="R1333">
        <f>IF(AND(Inputs!$B$39&lt;&gt;"pvp",Inputs!$B$44&gt;0),IF(MAX(0,Inputs!$B$44-B1364)&lt;=0,0,(INT(MAX(0,Inputs!$B$44-B1364)/IF(Inputs!$B$39="pvp",15,MAX(0.1,Skills!D13-IF(Skills!E13=TRUE,Inputs!$B$32,0))))+1)),0)</f>
        <v/>
      </c>
      <c r="S1333">
        <f>IFERROR(O1333/N1333,0)</f>
        <v/>
      </c>
      <c r="T1333">
        <f>IF(C1333,(H1333*N1333*IF(AND(Inputs!$B$39&lt;&gt;"pvp",Inputs!$B$44&gt;0),((Skills!G13*((R1333-1)*IF(Skills!H13&gt;0,Skills!I13/Skills!H13,1)+IF(Skills!H13&gt;0,MIN(Skills!I13,MAX(0,MAX(0,Inputs!$B$44-B1364)-((R1333-1)*IF(Inputs!$B$39="pvp",15,MAX(0.1,Skills!D13-IF(Skills!E13=TRUE,Inputs!$B$32,0))))))/Skills!H13,1)))/Inputs!$B$44),G1333*Q1333))*IF(Inputs!$B$39="pvp",1,1+(Inputs!$B$20+0+Skills!P13+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1333*(1-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1333*(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1333*(1-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1333*(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3">
        <f>IF(C1333,(H1333*N1333*IF(AND(Inputs!$B$39&lt;&gt;"pvp",Inputs!$B$44&gt;0),((Skills!G13*((R1333-1)*IF(Skills!H13&gt;0,Skills!I13/Skills!H13,1)+IF(Skills!H13&gt;0,MIN(Skills!I13,MAX(0,MAX(0,Inputs!$B$44-B1364)-((R1333-1)*IF(Inputs!$B$39="pvp",15,MAX(0.1,Skills!D13-IF(Skills!E13=TRUE,Inputs!$B$32,0))))))/Skills!H13,1)))/Inputs!$B$44),G1333*Q1333))*IF(Inputs!$B$39="pvp",1,(1+(Inputs!$B$21+Skills!Q13+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4">
      <c r="A1334">
        <f>Skills!A14</f>
        <v/>
      </c>
      <c r="B1334">
        <f>Skills!B14</f>
        <v/>
      </c>
      <c r="C1334">
        <f>Inputs!$B$3&gt;=107</f>
        <v/>
      </c>
      <c r="D1334">
        <f>IF(Skills!C14=1,60+Inputs!$B$25+Inputs!$B$29,IF(Skills!C14=2,90+Inputs!$B$26+Inputs!$B$29,IF(Skills!C14=3,120+Inputs!$B$27+Inputs!$B$29,MAX(0,(Inputs!$B$3-100)*3)+Inputs!$B$28+Inputs!$B$29)))</f>
        <v/>
      </c>
      <c r="E1334">
        <f>INDEX(FactorTable!$B$2:$Y$301, MATCH(ROUND(MIN(300,MAX(1,D1334)),0), FactorTable!$A$2:$A$301,0), Skills!M14+1)</f>
        <v/>
      </c>
      <c r="F1334">
        <f>IF(Skills!N14=TRUE,(Skills!L14/10)*(E1334/1000),Skills!L14/10)+Skills!O14</f>
        <v/>
      </c>
      <c r="G1334">
        <f>Skills!G14*IF(Skills!H14&gt;0,Skills!I14/Skills!H14,1)</f>
        <v/>
      </c>
      <c r="H1334">
        <f>1-(1-Skills!J14/100)^Skills!K14</f>
        <v/>
      </c>
      <c r="I1334" t="inlineStr">
        <is>
          <t>1</t>
        </is>
      </c>
      <c r="J1334">
        <f>((Inputs!$B$6*(1+Inputs!$B$7/100))+(((Inputs!$B$12*(1+Inputs!$B$13/100))-(Inputs!$B$12*(1+Inputs!$B$13/100)))+0.25*(Inputs!$B$14-Inputs!$B$14))*(1+Inputs!$B$7/100))*(F1334/100)</f>
        <v/>
      </c>
      <c r="K1334">
        <f>J1334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1334)</f>
        <v/>
      </c>
      <c r="L1334">
        <f>K1334*(MIN(Inputs!$B$22+((C1344=TRUE)*(F1344-Calc!F24)),(Inputs!$B$23+((C1349=TRUE)*(F1349-Calc!F29))+IF(ArtifactsInput!$M$15,CHOOSE(ArtifactsInput!$N$15+1,25,30,35,40,45,50)/100*(Inputs!$B$11-Inputs!$B$11),0)))/100+(Inputs!$B$23+((C1349=TRUE)*(F1349-Calc!F29))+IF(ArtifactsInput!$M$15,CHOOSE(ArtifactsInput!$N$15+1,25,30,35,40,45,50)/100*(Inputs!$B$11-Inputs!$B$11),0))/100)/2</f>
        <v/>
      </c>
      <c r="M1334">
        <f>L1334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4">
        <f>L1334*(1-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(1-Summary!$B$11)*T1334+Summary!$B$11*V1334</f>
        <v/>
      </c>
      <c r="P1334">
        <f>IF(B1365=0,0,O1334/B1365)</f>
        <v/>
      </c>
      <c r="Q1334">
        <f>IFERROR(1/IF(Inputs!$B$39="pvp",15,MAX(0.1,Skills!D14-IF(Skills!E14=TRUE,Inputs!$B$32,0))),0)</f>
        <v/>
      </c>
      <c r="R1334">
        <f>IF(AND(Inputs!$B$39&lt;&gt;"pvp",Inputs!$B$44&gt;0),IF(MAX(0,Inputs!$B$44-B1364)&lt;=0,0,(INT(MAX(0,Inputs!$B$44-B1364)/IF(Inputs!$B$39="pvp",15,MAX(0.1,Skills!D14-IF(Skills!E14=TRUE,Inputs!$B$32,0))))+1)),0)</f>
        <v/>
      </c>
      <c r="S1334">
        <f>IFERROR(O1334/N1334,0)</f>
        <v/>
      </c>
      <c r="T1334">
        <f>IF(C1334,(H1334*N1334*IF(AND(Inputs!$B$39&lt;&gt;"pvp",Inputs!$B$44&gt;0),((Skills!G14*((R1334-1)*IF(Skills!H14&gt;0,Skills!I14/Skills!H14,1)+IF(Skills!H14&gt;0,MIN(Skills!I14,MAX(0,MAX(0,Inputs!$B$44-B1364)-((R1334-1)*IF(Inputs!$B$39="pvp",15,MAX(0.1,Skills!D14-IF(Skills!E14=TRUE,Inputs!$B$32,0))))))/Skills!H14,1)))/Inputs!$B$44),G1334*Q1334))*IF(Inputs!$B$39="pvp",1,1+(Inputs!$B$20+0+Skills!P14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1334*(1-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4">
        <f>IF(C1334,(H1334*N1334*IF(AND(Inputs!$B$39&lt;&gt;"pvp",Inputs!$B$44&gt;0),((Skills!G14*((R1334-1)*IF(Skills!H14&gt;0,Skills!I14/Skills!H14,1)+IF(Skills!H14&gt;0,MIN(Skills!I14,MAX(0,MAX(0,Inputs!$B$44-B1364)-((R1334-1)*IF(Inputs!$B$39="pvp",15,MAX(0.1,Skills!D14-IF(Skills!E14=TRUE,Inputs!$B$32,0))))))/Skills!H14,1)))/Inputs!$B$44),G1334*Q1334))*IF(Inputs!$B$39="pvp",1,(1+(Inputs!$B$21+Skills!Q14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(5,0.25*B1357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Skills!A15</f>
        <v/>
      </c>
      <c r="B1335">
        <f>Skills!B15</f>
        <v/>
      </c>
      <c r="C1335">
        <f>Inputs!$B$3&gt;=110</f>
        <v/>
      </c>
      <c r="D1335">
        <f>IF(Skills!C15=1,60+Inputs!$B$25+Inputs!$B$29,IF(Skills!C15=2,90+Inputs!$B$26+Inputs!$B$29,IF(Skills!C15=3,120+Inputs!$B$27+Inputs!$B$29,MAX(0,(Inputs!$B$3-100)*3)+Inputs!$B$28+Inputs!$B$29)))</f>
        <v/>
      </c>
      <c r="E1335">
        <f>INDEX(FactorTable!$B$2:$Y$301, MATCH(ROUND(MIN(300,MAX(1,D1335)),0), FactorTable!$A$2:$A$301,0), Skills!M15+1)</f>
        <v/>
      </c>
      <c r="F1335">
        <f>IF(Skills!N15=TRUE,(Skills!L15/10)*(E1335/1000),Skills!L15/10)+Skills!O15</f>
        <v/>
      </c>
      <c r="G1335">
        <f>Skills!G15*IF(Skills!H15&gt;0,Skills!I15/Skills!H15,1)</f>
        <v/>
      </c>
      <c r="H1335">
        <f>1-(1-Skills!J15/100)^Skills!K15</f>
        <v/>
      </c>
      <c r="I1335" t="inlineStr">
        <is>
          <t>1</t>
        </is>
      </c>
      <c r="J1335" t="inlineStr"/>
      <c r="K1335" t="inlineStr"/>
      <c r="L1335" t="inlineStr"/>
      <c r="M1335" t="inlineStr"/>
      <c r="N1335" t="inlineStr"/>
      <c r="O1335">
        <f>(1-Summary!$B$11)*T1335+Summary!$B$11*V1335</f>
        <v/>
      </c>
      <c r="P1335">
        <f>IF(B1365=0,0,O1335/B1365)</f>
        <v/>
      </c>
      <c r="Q1335">
        <f>IFERROR(1/IF(Inputs!$B$39="pvp",15,MAX(0.1,Skills!D15-IF(Skills!E15=TRUE,Inputs!$B$32,0))),0)</f>
        <v/>
      </c>
      <c r="R1335">
        <f>IF(AND(Inputs!$B$39&lt;&gt;"pvp",Inputs!$B$44&gt;0),IF(Inputs!$B$44&lt;=0,0,(INT(Inputs!$B$44/IF(Inputs!$B$39="pvp",15,MAX(0.1,Skills!D15-IF(Skills!E15=TRUE,Inputs!$B$32,0))))+1)),0)</f>
        <v/>
      </c>
      <c r="S1335">
        <f>IFERROR(O1335/N1335,0)</f>
        <v/>
      </c>
      <c r="T1335" t="n">
        <v>0</v>
      </c>
      <c r="V1335" t="n">
        <v>0</v>
      </c>
    </row>
    <row r="1336">
      <c r="A1336">
        <f>Skills!A16</f>
        <v/>
      </c>
      <c r="B1336">
        <f>Skills!B16</f>
        <v/>
      </c>
      <c r="C1336">
        <f>Inputs!$B$3&gt;=115</f>
        <v/>
      </c>
      <c r="D1336">
        <f>IF(Skills!C16=1,60+Inputs!$B$25+Inputs!$B$29,IF(Skills!C16=2,90+Inputs!$B$26+Inputs!$B$29,IF(Skills!C16=3,120+Inputs!$B$27+Inputs!$B$29,MAX(0,(Inputs!$B$3-100)*3)+Inputs!$B$28+Inputs!$B$29)))</f>
        <v/>
      </c>
      <c r="E1336">
        <f>INDEX(FactorTable!$B$2:$Y$301, MATCH(ROUND(MIN(300,MAX(1,D1336)),0), FactorTable!$A$2:$A$301,0), Skills!M16+1)</f>
        <v/>
      </c>
      <c r="F1336">
        <f>IF(Skills!N16=TRUE,(Skills!L16/10)*(E1336/1000),Skills!L16/10)+Skills!O16</f>
        <v/>
      </c>
      <c r="G1336">
        <f>Skills!G16*IF(Skills!H16&gt;0,Skills!I16/Skills!H16,1)</f>
        <v/>
      </c>
      <c r="H1336">
        <f>1-(1-Skills!J16/100)^Skills!K16</f>
        <v/>
      </c>
      <c r="I1336" t="inlineStr">
        <is>
          <t>1</t>
        </is>
      </c>
      <c r="J1336">
        <f>((Inputs!$B$6*(1+Inputs!$B$7/100))+(((Inputs!$B$12*(1+Inputs!$B$13/100))-(Inputs!$B$12*(1+Inputs!$B$13/100)))+0.25*(Inputs!$B$14-Inputs!$B$14))*(1+Inputs!$B$7/100))*(F1336/100)</f>
        <v/>
      </c>
      <c r="K1336">
        <f>J1336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1347=TRUE)*(F1347-Calc!F27))+((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1336)</f>
        <v/>
      </c>
      <c r="L1336">
        <f>K1336*(MIN(Inputs!$B$22+((C1344=TRUE)*(F1344-Calc!F24)),(Inputs!$B$23+((C1349=TRUE)*(F1349-Calc!F29))+IF(ArtifactsInput!$M$15,CHOOSE(ArtifactsInput!$N$15+1,25,30,35,40,45,50)/100*(Inputs!$B$11-Inputs!$B$11),0)))/100+(Inputs!$B$23+((C1349=TRUE)*(F1349-Calc!F29))+IF(ArtifactsInput!$M$15,CHOOSE(ArtifactsInput!$N$15+1,25,30,35,40,45,50)/100*(Inputs!$B$11-Inputs!$B$11),0))/100)/2</f>
        <v/>
      </c>
      <c r="M1336">
        <f>L1336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6">
        <f>L1336*(1-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1336*(MIN((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6">
        <f>(1-Summary!$B$11)*T1336+Summary!$B$11*V1336</f>
        <v/>
      </c>
      <c r="P1336">
        <f>IF(B1365=0,0,O1336/B1365)</f>
        <v/>
      </c>
      <c r="Q1336" t="n">
        <v>0</v>
      </c>
      <c r="R1336" t="n">
        <v>0</v>
      </c>
      <c r="S1336">
        <f>IFERROR(O1336/N1336,0)</f>
        <v/>
      </c>
      <c r="T1336">
        <f>IF(C1336,(Inputs!$B$38*0.2*N1336)*IF(Inputs!$B$39="pvp",1,1+(Inputs!$B$20+0+Skills!P16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1336*(1-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1336*(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1336*(1-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1336*(MIN(100,(Inputs!$B$9+((C1345=TRUE)*(F1345-Calc!F25))+B1353+(ArtifactsInput!$M$24-ArtifactsInput!$M$24)*CHOOSE(ArtifactsInput!$N$24+1,10,12,14,16,18,20)+(IF(AND(Inputs!$B$39&lt;&gt;"pvp",Inputs!$B$44=0),1,IF(IF(Inputs!$B$39="pvp",15,Inputs!$B$44)-(B1364)&lt;=0,1,MAX(0,IF(Inputs!$B$39="pvp",15,Inputs!$B$44)-MAX(5,B1364))/(IF(Inputs!$B$39="pvp",15,Inputs!$B$44)-(B1364))))*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6">
        <f>IF(C1336,(Inputs!$B$38*0.2*N1336)*IF(Inputs!$B$39="pvp",1,(1+(Inputs!$B$21+Skills!Q16+B1354+(IF(ArtifactsInput!$M$33,CHOOSE(ArtifactsInput!$N$33+1,30,36,42,48,54,60),0))+(IF(AND(ArtifactsInput!$M$35,Inputs!$B$4&lt;&gt;"Chapter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7">
      <c r="A1337">
        <f>Skills!A17</f>
        <v/>
      </c>
      <c r="B1337">
        <f>Skills!B17</f>
        <v/>
      </c>
      <c r="C1337">
        <f>Inputs!$B$3&gt;=115</f>
        <v/>
      </c>
      <c r="D1337">
        <f>IF(Skills!C17=1,60+Inputs!$B$25+Inputs!$B$29,IF(Skills!C17=2,90+Inputs!$B$26+Inputs!$B$29,IF(Skills!C17=3,120+Inputs!$B$27+Inputs!$B$29,MAX(0,(Inputs!$B$3-100)*3)+Inputs!$B$28+Inputs!$B$29)))</f>
        <v/>
      </c>
      <c r="E1337">
        <f>INDEX(FactorTable!$B$2:$Y$301, MATCH(ROUND(MIN(300,MAX(1,D1337)),0), FactorTable!$A$2:$A$301,0), Skills!M17+1)</f>
        <v/>
      </c>
      <c r="F1337">
        <f>IF(Skills!N17=TRUE,(Skills!L17/10)*(E1337/1000),Skills!L17/10)+Skills!O17</f>
        <v/>
      </c>
      <c r="G1337">
        <f>Skills!G17*IF(Skills!H17&gt;0,Skills!I17/Skills!H17,1)</f>
        <v/>
      </c>
      <c r="H1337">
        <f>1-(1-Skills!J17/100)^Skills!K17</f>
        <v/>
      </c>
      <c r="I1337" t="inlineStr">
        <is>
          <t>1</t>
        </is>
      </c>
      <c r="J1337" t="inlineStr"/>
      <c r="K1337" t="inlineStr"/>
      <c r="L1337" t="inlineStr"/>
      <c r="M1337" t="inlineStr"/>
      <c r="N1337" t="inlineStr"/>
      <c r="O1337">
        <f>(1-Summary!$B$11)*T1337+Summary!$B$11*V1337</f>
        <v/>
      </c>
      <c r="P1337">
        <f>IF(B1365=0,0,O1337/B1365)</f>
        <v/>
      </c>
      <c r="Q1337" t="n">
        <v>0</v>
      </c>
      <c r="R1337" t="n">
        <v>0</v>
      </c>
      <c r="S1337">
        <f>IFERROR(O1337/N1337,0)</f>
        <v/>
      </c>
      <c r="T1337" t="n">
        <v>0</v>
      </c>
      <c r="V1337" t="n">
        <v>0</v>
      </c>
    </row>
    <row r="1338">
      <c r="A1338">
        <f>Skills!A18</f>
        <v/>
      </c>
      <c r="B1338">
        <f>Skills!B18</f>
        <v/>
      </c>
      <c r="C1338">
        <f>Inputs!$B$3&gt;=100</f>
        <v/>
      </c>
      <c r="D1338">
        <f>IF(Skills!C18=1,60+Inputs!$B$25+Inputs!$B$29,IF(Skills!C18=2,90+Inputs!$B$26+Inputs!$B$29,IF(Skills!C18=3,120+Inputs!$B$27+Inputs!$B$29,MAX(0,(Inputs!$B$3-100)*3)+Inputs!$B$28+Inputs!$B$29)))</f>
        <v/>
      </c>
      <c r="E1338">
        <f>INDEX(FactorTable!$B$2:$Y$301, MATCH(ROUND(MIN(300,MAX(1,D1338)),0), FactorTable!$A$2:$A$301,0), Skills!M18+1)</f>
        <v/>
      </c>
      <c r="F1338">
        <f>IF(Skills!N18=TRUE,(Skills!L18/10)*(E1338/1000),Skills!L18/10)+Skills!O18</f>
        <v/>
      </c>
      <c r="G1338">
        <f>Skills!G18*IF(Skills!H18&gt;0,Skills!I18/Skills!H18,1)</f>
        <v/>
      </c>
      <c r="H1338">
        <f>1-(1-Skills!J18/100)^Skills!K18</f>
        <v/>
      </c>
      <c r="I1338" t="inlineStr">
        <is>
          <t>1</t>
        </is>
      </c>
      <c r="J1338" t="inlineStr"/>
      <c r="K1338" t="inlineStr"/>
      <c r="L1338" t="inlineStr"/>
      <c r="M1338" t="inlineStr"/>
      <c r="N1338" t="inlineStr"/>
      <c r="O1338">
        <f>(1-Summary!$B$11)*T1338+Summary!$B$11*V1338</f>
        <v/>
      </c>
      <c r="P1338">
        <f>IF(B1365=0,0,O1338/B1365)</f>
        <v/>
      </c>
      <c r="Q1338" t="n">
        <v>0</v>
      </c>
      <c r="R1338" t="n">
        <v>0</v>
      </c>
      <c r="S1338">
        <f>IFERROR(O1338/N1338,0)</f>
        <v/>
      </c>
      <c r="T1338" t="n">
        <v>0</v>
      </c>
      <c r="V1338" t="n">
        <v>0</v>
      </c>
    </row>
    <row r="1339">
      <c r="A1339">
        <f>Skills!A19</f>
        <v/>
      </c>
      <c r="B1339">
        <f>Skills!B19</f>
        <v/>
      </c>
      <c r="C1339">
        <f>TRUE</f>
        <v/>
      </c>
      <c r="D1339">
        <f>IF(Skills!C19=1,60+Inputs!$B$25+Inputs!$B$29,IF(Skills!C19=2,90+Inputs!$B$26+Inputs!$B$29,IF(Skills!C19=3,120+Inputs!$B$27+Inputs!$B$29,MAX(0,(Inputs!$B$3-100)*3)+Inputs!$B$28+Inputs!$B$29)))</f>
        <v/>
      </c>
      <c r="E1339">
        <f>INDEX(FactorTable!$B$2:$Y$301, MATCH(ROUND(MIN(300,MAX(1,D1339)),0), FactorTable!$A$2:$A$301,0), Skills!M19+1)</f>
        <v/>
      </c>
      <c r="F1339">
        <f>IF(Skills!N19=TRUE,(Skills!L19/10)*(E1339/1000),Skills!L19/10)+Skills!O19</f>
        <v/>
      </c>
      <c r="G1339">
        <f>Skills!G19*IF(Skills!H19&gt;0,Skills!I19/Skills!H19,1)</f>
        <v/>
      </c>
      <c r="H1339">
        <f>1-(1-Skills!J19/100)^Skills!K19</f>
        <v/>
      </c>
      <c r="I1339" t="inlineStr">
        <is>
          <t>1</t>
        </is>
      </c>
      <c r="J1339" t="inlineStr"/>
      <c r="K1339" t="inlineStr"/>
      <c r="L1339" t="inlineStr"/>
      <c r="M1339" t="inlineStr"/>
      <c r="N1339" t="inlineStr"/>
      <c r="O1339">
        <f>(1-Summary!$B$11)*T1339+Summary!$B$11*V1339</f>
        <v/>
      </c>
      <c r="P1339">
        <f>IF(B1365=0,0,O1339/B1365)</f>
        <v/>
      </c>
      <c r="Q1339">
        <f>IFERROR(1/IF(Inputs!$B$39="pvp",15,MAX(0.1,Skills!D19-IF(Skills!E19=TRUE,Inputs!$B$32,0))),0)</f>
        <v/>
      </c>
      <c r="R1339">
        <f>IF(AND(Inputs!$B$39&lt;&gt;"pvp",Inputs!$B$44&gt;0),IF(Inputs!$B$44&lt;=0,0,(INT(Inputs!$B$44/IF(Inputs!$B$39="pvp",15,MAX(0.1,Skills!D19-IF(Skills!E19=TRUE,Inputs!$B$32,0))))+1)),0)</f>
        <v/>
      </c>
      <c r="S1339">
        <f>IFERROR(O1339/N1339,0)</f>
        <v/>
      </c>
      <c r="T1339" t="n">
        <v>0</v>
      </c>
      <c r="V1339" t="n">
        <v>0</v>
      </c>
    </row>
    <row r="1340">
      <c r="A1340">
        <f>Skills!A20</f>
        <v/>
      </c>
      <c r="B1340">
        <f>Skills!B20</f>
        <v/>
      </c>
      <c r="C1340">
        <f>Inputs!$B$3&gt;=15</f>
        <v/>
      </c>
      <c r="D1340">
        <f>IF(Skills!C20=1,60+Inputs!$B$25+Inputs!$B$29,IF(Skills!C20=2,90+Inputs!$B$26+Inputs!$B$29,IF(Skills!C20=3,120+Inputs!$B$27+Inputs!$B$29,MAX(0,(Inputs!$B$3-100)*3)+Inputs!$B$28+Inputs!$B$29)))</f>
        <v/>
      </c>
      <c r="E1340">
        <f>INDEX(FactorTable!$B$2:$Y$301, MATCH(ROUND(MIN(300,MAX(1,D1340)),0), FactorTable!$A$2:$A$301,0), Skills!M20+1)</f>
        <v/>
      </c>
      <c r="F1340">
        <f>IF(Skills!N20=TRUE,(Skills!L20/10)*(E1340/1000),Skills!L20/10)+Skills!O20</f>
        <v/>
      </c>
      <c r="G1340">
        <f>Skills!G20*IF(Skills!H20&gt;0,Skills!I20/Skills!H20,1)</f>
        <v/>
      </c>
      <c r="H1340">
        <f>1-(1-Skills!J20/100)^Skills!K20</f>
        <v/>
      </c>
      <c r="I1340" t="inlineStr">
        <is>
          <t>1</t>
        </is>
      </c>
      <c r="J1340" t="inlineStr"/>
      <c r="K1340" t="inlineStr"/>
      <c r="L1340" t="inlineStr"/>
      <c r="M1340" t="inlineStr"/>
      <c r="N1340" t="inlineStr"/>
      <c r="O1340">
        <f>(1-Summary!$B$11)*T1340+Summary!$B$11*V1340</f>
        <v/>
      </c>
      <c r="P1340">
        <f>IF(B1365=0,0,O1340/B1365)</f>
        <v/>
      </c>
      <c r="Q1340">
        <f>IFERROR(1/IF(Inputs!$B$39="pvp",15,MAX(0.1,Skills!D20-IF(Skills!E20=TRUE,Inputs!$B$32,0))),0)</f>
        <v/>
      </c>
      <c r="R1340">
        <f>IF(AND(Inputs!$B$39&lt;&gt;"pvp",Inputs!$B$44&gt;0),IF(Inputs!$B$44&lt;=0,0,(INT(Inputs!$B$44/IF(Inputs!$B$39="pvp",15,MAX(0.1,Skills!D20-IF(Skills!E20=TRUE,Inputs!$B$32,0))))+1)),0)</f>
        <v/>
      </c>
      <c r="S1340">
        <f>IFERROR(O1340/N1340,0)</f>
        <v/>
      </c>
      <c r="T1340" t="n">
        <v>0</v>
      </c>
      <c r="V1340" t="n">
        <v>0</v>
      </c>
    </row>
    <row r="1341">
      <c r="A1341">
        <f>Skills!A21</f>
        <v/>
      </c>
      <c r="B1341">
        <f>Skills!B21</f>
        <v/>
      </c>
      <c r="C1341">
        <f>Inputs!$B$3&gt;=15</f>
        <v/>
      </c>
      <c r="D1341">
        <f>IF(Skills!C21=1,60+Inputs!$B$25+Inputs!$B$29,IF(Skills!C21=2,90+Inputs!$B$26+Inputs!$B$29,IF(Skills!C21=3,120+Inputs!$B$27+Inputs!$B$29,MAX(0,(Inputs!$B$3-100)*3)+Inputs!$B$28+Inputs!$B$29)))</f>
        <v/>
      </c>
      <c r="E1341">
        <f>INDEX(FactorTable!$B$2:$Y$301, MATCH(ROUND(MIN(300,MAX(1,D1341)),0), FactorTable!$A$2:$A$301,0), Skills!M21+1)</f>
        <v/>
      </c>
      <c r="F1341">
        <f>IF(Skills!N21=TRUE,(Skills!L21/10)*(E1341/1000),Skills!L21/10)+Skills!O21</f>
        <v/>
      </c>
      <c r="G1341">
        <f>Skills!G21*IF(Skills!H21&gt;0,Skills!I21/Skills!H21,1)</f>
        <v/>
      </c>
      <c r="H1341">
        <f>1-(1-Skills!J21/100)^Skills!K21</f>
        <v/>
      </c>
      <c r="I1341" t="inlineStr">
        <is>
          <t>1</t>
        </is>
      </c>
      <c r="J1341" t="inlineStr"/>
      <c r="K1341" t="inlineStr"/>
      <c r="L1341" t="inlineStr"/>
      <c r="M1341" t="inlineStr"/>
      <c r="N1341" t="inlineStr"/>
      <c r="O1341">
        <f>(1-Summary!$B$11)*T1341+Summary!$B$11*V1341</f>
        <v/>
      </c>
      <c r="P1341">
        <f>IF(B1365=0,0,O1341/B1365)</f>
        <v/>
      </c>
      <c r="Q1341">
        <f>IFERROR(1/IF(Inputs!$B$39="pvp",15,MAX(0.1,Skills!D21-IF(Skills!E21=TRUE,Inputs!$B$32,0))),0)</f>
        <v/>
      </c>
      <c r="R1341">
        <f>IF(AND(Inputs!$B$39&lt;&gt;"pvp",Inputs!$B$44&gt;0),IF(Inputs!$B$44&lt;=0,0,(INT(Inputs!$B$44/IF(Inputs!$B$39="pvp",15,MAX(0.1,Skills!D21-IF(Skills!E21=TRUE,Inputs!$B$32,0))))+1)),0)</f>
        <v/>
      </c>
      <c r="S1341">
        <f>IFERROR(O1341/N1341,0)</f>
        <v/>
      </c>
      <c r="T1341" t="n">
        <v>0</v>
      </c>
      <c r="V1341" t="n">
        <v>0</v>
      </c>
    </row>
    <row r="1342">
      <c r="A1342">
        <f>Skills!A22</f>
        <v/>
      </c>
      <c r="B1342">
        <f>Skills!B22</f>
        <v/>
      </c>
      <c r="C1342">
        <f>Inputs!$B$3&gt;=33</f>
        <v/>
      </c>
      <c r="D1342">
        <f>IF(Skills!C22=1,60+Inputs!$B$25+Inputs!$B$29,IF(Skills!C22=2,90+Inputs!$B$26+Inputs!$B$29,IF(Skills!C22=3,120+Inputs!$B$27+Inputs!$B$29,MAX(0,(Inputs!$B$3-100)*3)+Inputs!$B$28+Inputs!$B$29)))</f>
        <v/>
      </c>
      <c r="E1342">
        <f>INDEX(FactorTable!$B$2:$Y$301, MATCH(ROUND(MIN(300,MAX(1,D1342)),0), FactorTable!$A$2:$A$301,0), Skills!M22+1)</f>
        <v/>
      </c>
      <c r="F1342">
        <f>IF(Skills!N22=TRUE,(Skills!L22/10)*(E1342/1000),Skills!L22/10)+Skills!O22</f>
        <v/>
      </c>
      <c r="G1342">
        <f>Skills!G22*IF(Skills!H22&gt;0,Skills!I22/Skills!H22,1)</f>
        <v/>
      </c>
      <c r="H1342">
        <f>1-(1-Skills!J22/100)^Skills!K22</f>
        <v/>
      </c>
      <c r="I1342" t="inlineStr">
        <is>
          <t>1</t>
        </is>
      </c>
      <c r="J1342" t="inlineStr"/>
      <c r="K1342" t="inlineStr"/>
      <c r="L1342" t="inlineStr"/>
      <c r="M1342" t="inlineStr"/>
      <c r="N1342" t="inlineStr"/>
      <c r="O1342">
        <f>(1-Summary!$B$11)*T1342+Summary!$B$11*V1342</f>
        <v/>
      </c>
      <c r="P1342">
        <f>IF(B1365=0,0,O1342/B1365)</f>
        <v/>
      </c>
      <c r="Q1342" t="n">
        <v>0</v>
      </c>
      <c r="R1342" t="n">
        <v>0</v>
      </c>
      <c r="S1342">
        <f>IFERROR(O1342/N1342,0)</f>
        <v/>
      </c>
      <c r="T1342" t="n">
        <v>0</v>
      </c>
      <c r="V1342" t="n">
        <v>0</v>
      </c>
    </row>
    <row r="1343">
      <c r="A1343">
        <f>Skills!A23</f>
        <v/>
      </c>
      <c r="B1343">
        <f>Skills!B23</f>
        <v/>
      </c>
      <c r="C1343">
        <f>Inputs!$B$3&gt;=40</f>
        <v/>
      </c>
      <c r="D1343">
        <f>IF(Skills!C23=1,60+Inputs!$B$25+Inputs!$B$29,IF(Skills!C23=2,90+Inputs!$B$26+Inputs!$B$29,IF(Skills!C23=3,120+Inputs!$B$27+Inputs!$B$29,MAX(0,(Inputs!$B$3-100)*3)+Inputs!$B$28+Inputs!$B$29)))</f>
        <v/>
      </c>
      <c r="E1343">
        <f>INDEX(FactorTable!$B$2:$Y$301, MATCH(ROUND(MIN(300,MAX(1,D1343)),0), FactorTable!$A$2:$A$301,0), Skills!M23+1)</f>
        <v/>
      </c>
      <c r="F1343">
        <f>IF(Skills!N23=TRUE,(Skills!L23/10)*(E1343/1000),Skills!L23/10)+Skills!O23</f>
        <v/>
      </c>
      <c r="G1343">
        <f>Skills!G23*IF(Skills!H23&gt;0,Skills!I23/Skills!H23,1)</f>
        <v/>
      </c>
      <c r="H1343">
        <f>1-(1-Skills!J23/100)^Skills!K23</f>
        <v/>
      </c>
      <c r="I1343" t="inlineStr">
        <is>
          <t>1</t>
        </is>
      </c>
      <c r="J1343" t="inlineStr"/>
      <c r="K1343" t="inlineStr"/>
      <c r="L1343" t="inlineStr"/>
      <c r="M1343" t="inlineStr"/>
      <c r="N1343" t="inlineStr"/>
      <c r="O1343">
        <f>(1-Summary!$B$11)*T1343+Summary!$B$11*V1343</f>
        <v/>
      </c>
      <c r="P1343">
        <f>IF(B1365=0,0,O1343/B1365)</f>
        <v/>
      </c>
      <c r="Q1343" t="n">
        <v>0</v>
      </c>
      <c r="R1343" t="n">
        <v>0</v>
      </c>
      <c r="S1343">
        <f>IFERROR(O1343/N1343,0)</f>
        <v/>
      </c>
      <c r="T1343" t="n">
        <v>0</v>
      </c>
      <c r="V1343" t="n">
        <v>0</v>
      </c>
    </row>
    <row r="1344">
      <c r="A1344">
        <f>Skills!A24</f>
        <v/>
      </c>
      <c r="B1344">
        <f>Skills!B24</f>
        <v/>
      </c>
      <c r="C1344">
        <f>Inputs!$B$3&gt;=43</f>
        <v/>
      </c>
      <c r="D1344">
        <f>IF(Skills!C24=1,60+Inputs!$B$25+Inputs!$B$29,IF(Skills!C24=2,90+Inputs!$B$26+Inputs!$B$29,IF(Skills!C24=3,120+Inputs!$B$27+Inputs!$B$29,MAX(0,(Inputs!$B$3-100)*3)+Inputs!$B$28+Inputs!$B$29)))</f>
        <v/>
      </c>
      <c r="E1344">
        <f>INDEX(FactorTable!$B$2:$Y$301, MATCH(ROUND(MIN(300,MAX(1,D1344)),0), FactorTable!$A$2:$A$301,0), Skills!M24+1)</f>
        <v/>
      </c>
      <c r="F1344">
        <f>IF(Skills!N24=TRUE,(Skills!L24/10)*(E1344/1000),Skills!L24/10)+Skills!O24</f>
        <v/>
      </c>
      <c r="G1344">
        <f>Skills!G24*IF(Skills!H24&gt;0,Skills!I24/Skills!H24,1)</f>
        <v/>
      </c>
      <c r="H1344">
        <f>1-(1-Skills!J24/100)^Skills!K24</f>
        <v/>
      </c>
      <c r="I1344" t="inlineStr">
        <is>
          <t>1</t>
        </is>
      </c>
      <c r="J1344" t="inlineStr"/>
      <c r="K1344" t="inlineStr"/>
      <c r="L1344" t="inlineStr"/>
      <c r="M1344" t="inlineStr"/>
      <c r="N1344" t="inlineStr"/>
      <c r="O1344">
        <f>(1-Summary!$B$11)*T1344+Summary!$B$11*V1344</f>
        <v/>
      </c>
      <c r="P1344">
        <f>IF(B1365=0,0,O1344/B1365)</f>
        <v/>
      </c>
      <c r="Q1344" t="n">
        <v>0</v>
      </c>
      <c r="R1344" t="n">
        <v>0</v>
      </c>
      <c r="S1344">
        <f>IFERROR(O1344/N1344,0)</f>
        <v/>
      </c>
      <c r="T1344" t="n">
        <v>0</v>
      </c>
      <c r="V1344" t="n">
        <v>0</v>
      </c>
    </row>
    <row r="1345">
      <c r="A1345">
        <f>Skills!A25</f>
        <v/>
      </c>
      <c r="B1345">
        <f>Skills!B25</f>
        <v/>
      </c>
      <c r="C1345">
        <f>Inputs!$B$3&gt;=50</f>
        <v/>
      </c>
      <c r="D1345">
        <f>IF(Skills!C25=1,60+Inputs!$B$25+Inputs!$B$29,IF(Skills!C25=2,90+Inputs!$B$26+Inputs!$B$29,IF(Skills!C25=3,120+Inputs!$B$27+Inputs!$B$29,MAX(0,(Inputs!$B$3-100)*3)+Inputs!$B$28+Inputs!$B$29)))</f>
        <v/>
      </c>
      <c r="E1345">
        <f>INDEX(FactorTable!$B$2:$Y$301, MATCH(ROUND(MIN(300,MAX(1,D1345)),0), FactorTable!$A$2:$A$301,0), Skills!M25+1)</f>
        <v/>
      </c>
      <c r="F1345">
        <f>IF(Skills!N25=TRUE,(Skills!L25/10)*(E1345/1000),Skills!L25/10)+Skills!O25</f>
        <v/>
      </c>
      <c r="G1345">
        <f>Skills!G25*IF(Skills!H25&gt;0,Skills!I25/Skills!H25,1)</f>
        <v/>
      </c>
      <c r="H1345">
        <f>1-(1-Skills!J25/100)^Skills!K25</f>
        <v/>
      </c>
      <c r="I1345" t="inlineStr">
        <is>
          <t>1</t>
        </is>
      </c>
      <c r="J1345" t="inlineStr"/>
      <c r="K1345" t="inlineStr"/>
      <c r="L1345" t="inlineStr"/>
      <c r="M1345" t="inlineStr"/>
      <c r="N1345" t="inlineStr"/>
      <c r="O1345">
        <f>(1-Summary!$B$11)*T1345+Summary!$B$11*V1345</f>
        <v/>
      </c>
      <c r="P1345">
        <f>IF(B1365=0,0,O1345/B1365)</f>
        <v/>
      </c>
      <c r="Q1345" t="n">
        <v>0</v>
      </c>
      <c r="R1345" t="n">
        <v>0</v>
      </c>
      <c r="S1345">
        <f>IFERROR(O1345/N1345,0)</f>
        <v/>
      </c>
      <c r="T1345" t="n">
        <v>0</v>
      </c>
      <c r="V1345" t="n">
        <v>0</v>
      </c>
    </row>
    <row r="1346">
      <c r="A1346">
        <f>Skills!A26</f>
        <v/>
      </c>
      <c r="B1346">
        <f>Skills!B26</f>
        <v/>
      </c>
      <c r="C1346">
        <f>Inputs!$B$3&gt;=50</f>
        <v/>
      </c>
      <c r="D1346">
        <f>IF(Skills!C26=1,60+Inputs!$B$25+Inputs!$B$29,IF(Skills!C26=2,90+Inputs!$B$26+Inputs!$B$29,IF(Skills!C26=3,120+Inputs!$B$27+Inputs!$B$29,MAX(0,(Inputs!$B$3-100)*3)+Inputs!$B$28+Inputs!$B$29)))</f>
        <v/>
      </c>
      <c r="E1346">
        <f>INDEX(FactorTable!$B$2:$Y$301, MATCH(ROUND(MIN(300,MAX(1,D1346)),0), FactorTable!$A$2:$A$301,0), Skills!M26+1)</f>
        <v/>
      </c>
      <c r="F1346">
        <f>IF(Skills!N26=TRUE,(Skills!L26/10)*(E1346/1000),Skills!L26/10)+Skills!O26</f>
        <v/>
      </c>
      <c r="G1346">
        <f>Skills!G26*IF(Skills!H26&gt;0,Skills!I26/Skills!H26,1)</f>
        <v/>
      </c>
      <c r="H1346">
        <f>1-(1-Skills!J26/100)^Skills!K26</f>
        <v/>
      </c>
      <c r="I1346" t="inlineStr">
        <is>
          <t>1</t>
        </is>
      </c>
      <c r="J1346" t="inlineStr"/>
      <c r="K1346" t="inlineStr"/>
      <c r="L1346" t="inlineStr"/>
      <c r="M1346" t="inlineStr"/>
      <c r="N1346" t="inlineStr"/>
      <c r="O1346">
        <f>(1-Summary!$B$11)*T1346+Summary!$B$11*V1346</f>
        <v/>
      </c>
      <c r="P1346">
        <f>IF(B1365=0,0,O1346/B1365)</f>
        <v/>
      </c>
      <c r="Q1346" t="n">
        <v>0</v>
      </c>
      <c r="R1346" t="n">
        <v>0</v>
      </c>
      <c r="S1346">
        <f>IFERROR(O1346/N1346,0)</f>
        <v/>
      </c>
      <c r="T1346" t="n">
        <v>0</v>
      </c>
      <c r="V1346" t="n">
        <v>0</v>
      </c>
    </row>
    <row r="1347">
      <c r="A1347">
        <f>Skills!A27</f>
        <v/>
      </c>
      <c r="B1347">
        <f>Skills!B27</f>
        <v/>
      </c>
      <c r="C1347">
        <f>Inputs!$B$3&gt;=38</f>
        <v/>
      </c>
      <c r="D1347">
        <f>IF(Skills!C27=1,60+Inputs!$B$25+Inputs!$B$29,IF(Skills!C27=2,90+Inputs!$B$26+Inputs!$B$29,IF(Skills!C27=3,120+Inputs!$B$27+Inputs!$B$29,MAX(0,(Inputs!$B$3-100)*3)+Inputs!$B$28+Inputs!$B$29)))</f>
        <v/>
      </c>
      <c r="E1347">
        <f>INDEX(FactorTable!$B$2:$Y$301, MATCH(ROUND(MIN(300,MAX(1,D1347)),0), FactorTable!$A$2:$A$301,0), Skills!M27+1)</f>
        <v/>
      </c>
      <c r="F1347">
        <f>IF(Skills!N27=TRUE,(Skills!L27/10)*(E1347/1000),Skills!L27/10)+Skills!O27</f>
        <v/>
      </c>
      <c r="G1347">
        <f>Skills!G27*IF(Skills!H27&gt;0,Skills!I27/Skills!H27,1)</f>
        <v/>
      </c>
      <c r="H1347">
        <f>1-(1-Skills!J27/100)^Skills!K27</f>
        <v/>
      </c>
      <c r="I1347" t="inlineStr">
        <is>
          <t>1</t>
        </is>
      </c>
      <c r="J1347" t="inlineStr"/>
      <c r="K1347" t="inlineStr"/>
      <c r="L1347" t="inlineStr"/>
      <c r="M1347" t="inlineStr"/>
      <c r="N1347" t="inlineStr"/>
      <c r="O1347">
        <f>(1-Summary!$B$11)*T1347+Summary!$B$11*V1347</f>
        <v/>
      </c>
      <c r="P1347">
        <f>IF(B1365=0,0,O1347/B1365)</f>
        <v/>
      </c>
      <c r="Q1347" t="n">
        <v>0</v>
      </c>
      <c r="R1347" t="n">
        <v>0</v>
      </c>
      <c r="S1347">
        <f>IFERROR(O1347/N1347,0)</f>
        <v/>
      </c>
      <c r="T1347" t="n">
        <v>0</v>
      </c>
      <c r="V1347" t="n">
        <v>0</v>
      </c>
    </row>
    <row r="1348">
      <c r="A1348">
        <f>Skills!A28</f>
        <v/>
      </c>
      <c r="B1348">
        <f>Skills!B28</f>
        <v/>
      </c>
      <c r="C1348">
        <f>Inputs!$B$3&gt;=120</f>
        <v/>
      </c>
      <c r="D1348">
        <f>IF(Skills!C28=1,60+Inputs!$B$25+Inputs!$B$29,IF(Skills!C28=2,90+Inputs!$B$26+Inputs!$B$29,IF(Skills!C28=3,120+Inputs!$B$27+Inputs!$B$29,MAX(0,(Inputs!$B$3-100)*3)+Inputs!$B$28+Inputs!$B$29)))</f>
        <v/>
      </c>
      <c r="E1348">
        <f>INDEX(FactorTable!$B$2:$Y$301, MATCH(ROUND(MIN(300,MAX(1,D1348)),0), FactorTable!$A$2:$A$301,0), Skills!M28+1)</f>
        <v/>
      </c>
      <c r="F1348">
        <f>IF(Skills!N28=TRUE,(Skills!L28/10)*(E1348/1000),Skills!L28/10)+Skills!O28</f>
        <v/>
      </c>
      <c r="G1348">
        <f>Skills!G28*IF(Skills!H28&gt;0,Skills!I28/Skills!H28,1)</f>
        <v/>
      </c>
      <c r="H1348">
        <f>1-(1-Skills!J28/100)^Skills!K28</f>
        <v/>
      </c>
      <c r="I1348" t="inlineStr">
        <is>
          <t>1</t>
        </is>
      </c>
      <c r="J1348" t="inlineStr"/>
      <c r="K1348" t="inlineStr"/>
      <c r="L1348" t="inlineStr"/>
      <c r="M1348" t="inlineStr"/>
      <c r="N1348" t="inlineStr"/>
      <c r="O1348">
        <f>(1-Summary!$B$11)*T1348+Summary!$B$11*V1348</f>
        <v/>
      </c>
      <c r="P1348">
        <f>IF(B1365=0,0,O1348/B1365)</f>
        <v/>
      </c>
      <c r="Q1348" t="n">
        <v>0</v>
      </c>
      <c r="R1348" t="n">
        <v>0</v>
      </c>
      <c r="S1348">
        <f>IFERROR(O1348/N1348,0)</f>
        <v/>
      </c>
      <c r="T1348" t="n">
        <v>0</v>
      </c>
      <c r="V1348" t="n">
        <v>0</v>
      </c>
    </row>
    <row r="1349">
      <c r="A1349">
        <f>Skills!A29</f>
        <v/>
      </c>
      <c r="B1349">
        <f>Skills!B29</f>
        <v/>
      </c>
      <c r="C1349">
        <f>Inputs!$B$3&gt;=120</f>
        <v/>
      </c>
      <c r="D1349">
        <f>IF(Skills!C29=1,60+Inputs!$B$25+Inputs!$B$29,IF(Skills!C29=2,90+Inputs!$B$26+Inputs!$B$29,IF(Skills!C29=3,120+Inputs!$B$27+Inputs!$B$29,MAX(0,(Inputs!$B$3-100)*3)+Inputs!$B$28+Inputs!$B$29)))</f>
        <v/>
      </c>
      <c r="E1349">
        <f>INDEX(FactorTable!$B$2:$Y$301, MATCH(ROUND(MIN(300,MAX(1,D1349)),0), FactorTable!$A$2:$A$301,0), Skills!M29+1)</f>
        <v/>
      </c>
      <c r="F1349">
        <f>IF(Skills!N29=TRUE,(Skills!L29/10)*(E1349/1000),Skills!L29/10)+Skills!O29</f>
        <v/>
      </c>
      <c r="G1349">
        <f>Skills!G29*IF(Skills!H29&gt;0,Skills!I29/Skills!H29,1)</f>
        <v/>
      </c>
      <c r="H1349">
        <f>1-(1-Skills!J29/100)^Skills!K29</f>
        <v/>
      </c>
      <c r="I1349" t="inlineStr">
        <is>
          <t>1</t>
        </is>
      </c>
      <c r="J1349" t="inlineStr"/>
      <c r="K1349" t="inlineStr"/>
      <c r="L1349" t="inlineStr"/>
      <c r="M1349" t="inlineStr"/>
      <c r="N1349" t="inlineStr"/>
      <c r="O1349">
        <f>(1-Summary!$B$11)*T1349+Summary!$B$11*V1349</f>
        <v/>
      </c>
      <c r="P1349">
        <f>IF(B1365=0,0,O1349/B1365)</f>
        <v/>
      </c>
      <c r="Q1349" t="n">
        <v>0</v>
      </c>
      <c r="R1349" t="n">
        <v>0</v>
      </c>
      <c r="S1349">
        <f>IFERROR(O1349/N1349,0)</f>
        <v/>
      </c>
      <c r="T1349" t="n">
        <v>0</v>
      </c>
      <c r="V1349" t="n">
        <v>0</v>
      </c>
    </row>
    <row r="1350">
      <c r="A1350">
        <f>Skills!A30</f>
        <v/>
      </c>
      <c r="B1350">
        <f>Skills!B30</f>
        <v/>
      </c>
      <c r="C1350">
        <f>Inputs!$B$3&gt;=125</f>
        <v/>
      </c>
      <c r="D1350">
        <f>IF(Skills!C30=1,60+Inputs!$B$25+Inputs!$B$29,IF(Skills!C30=2,90+Inputs!$B$26+Inputs!$B$29,IF(Skills!C30=3,120+Inputs!$B$27+Inputs!$B$29,MAX(0,(Inputs!$B$3-100)*3)+Inputs!$B$28+Inputs!$B$29)))</f>
        <v/>
      </c>
      <c r="E1350">
        <f>INDEX(FactorTable!$B$2:$Y$301, MATCH(ROUND(MIN(300,MAX(1,D1350)),0), FactorTable!$A$2:$A$301,0), Skills!M30+1)</f>
        <v/>
      </c>
      <c r="F1350">
        <f>IF(Skills!N30=TRUE,(Skills!L30/10)*(E1350/1000),Skills!L30/10)+Skills!O30</f>
        <v/>
      </c>
      <c r="G1350">
        <f>Skills!G30*IF(Skills!H30&gt;0,Skills!I30/Skills!H30,1)</f>
        <v/>
      </c>
      <c r="H1350">
        <f>1-(1-Skills!J30/100)^Skills!K30</f>
        <v/>
      </c>
      <c r="I1350" t="inlineStr">
        <is>
          <t>1</t>
        </is>
      </c>
      <c r="J1350" t="inlineStr"/>
      <c r="K1350" t="inlineStr"/>
      <c r="L1350" t="inlineStr"/>
      <c r="M1350" t="inlineStr"/>
      <c r="N1350" t="inlineStr"/>
      <c r="O1350">
        <f>(1-Summary!$B$11)*T1350+Summary!$B$11*V1350</f>
        <v/>
      </c>
      <c r="P1350">
        <f>IF(B1365=0,0,O1350/B1365)</f>
        <v/>
      </c>
      <c r="Q1350" t="n">
        <v>0</v>
      </c>
      <c r="R1350" t="n">
        <v>0</v>
      </c>
      <c r="S1350">
        <f>IFERROR(O1350/N1350,0)</f>
        <v/>
      </c>
      <c r="T1350" t="n">
        <v>0</v>
      </c>
      <c r="V1350" t="n">
        <v>0</v>
      </c>
    </row>
    <row r="1352">
      <c r="A1352" t="inlineStr">
        <is>
          <t>Average Buff Multiplier</t>
        </is>
      </c>
      <c r="B1352">
        <f>(1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f>
        <v/>
      </c>
    </row>
    <row r="1353">
      <c r="A1353" t="inlineStr">
        <is>
          <t>Global Crit Rate Bonus %</t>
        </is>
      </c>
      <c r="B1353">
        <f>((C1340=TRUE)*F1340*IF(AND(Inputs!$B$39&lt;&gt;"pvp",Inputs!$B$44&gt;0),(((R1340-1)*(Skills!Y20*(1+(Inputs!$B$34+1)/100))+MIN((Skills!Y20*(1+(Inputs!$B$34+1)/100)),MAX(0,Inputs!$B$44-((R1340-1)*Skills!D20))))/Inputs!$B$44),IF(Inputs!$B$39="pvp",MIN((Skills!Y20*(1+(Inputs!$B$34+1)/100)),15)/15,(Skills!Y20*(1+(Inputs!$B$34+1)/100))/Skills!D20)))</f>
        <v/>
      </c>
    </row>
    <row r="1354">
      <c r="A1354" t="inlineStr">
        <is>
          <t>Global Monster Damage-Taken Bonus %</t>
        </is>
      </c>
      <c r="B1354">
        <f>IF(Inputs!$B$3&gt;=82,15,0)</f>
        <v/>
      </c>
    </row>
    <row r="1355">
      <c r="A1355" t="inlineStr">
        <is>
          <t>Shadow Partner Average Multiplier</t>
        </is>
      </c>
      <c r="B1355">
        <f>1+((C1327=TRUE)*F1327*(1+3.3333333333333335*IF(C1338=TRUE,F1338,0)/100)*I1327*Skills!J7/100)/100</f>
        <v/>
      </c>
    </row>
    <row r="1356">
      <c r="A1356" t="inlineStr">
        <is>
          <t>Attack Speed Buff Bonus %</t>
        </is>
      </c>
      <c r="B1356">
        <f>((C1339=TRUE)*F1339*IF(AND(Inputs!$B$39&lt;&gt;"pvp",Inputs!$B$44&gt;0),(((R1339-1)*(Skills!Y19*(1+(Inputs!$B$34+1)/100))+MIN((Skills!Y19*(1+(Inputs!$B$34+1)/100)),MAX(0,Inputs!$B$44-((R1339-1)*Skills!D19))))/Inputs!$B$44),IF(Inputs!$B$39="pvp",MIN((Skills!Y19*(1+(Inputs!$B$34+1)/100)),15)/15,(Skills!Y19*(1+(Inputs!$B$34+1)/100))/Skills!D19)))+((C1323=TRUE)*F1323*3)</f>
        <v/>
      </c>
    </row>
    <row r="1357">
      <c r="A1357" t="inlineStr">
        <is>
          <t>Actions Per Second</t>
        </is>
      </c>
      <c r="B1357">
        <f>1+MIN(150,150*(1-(1-(Inputs!$B$11+((C1342=TRUE)*(F1342-Calc!F22)))/150)*(1-B1356/150)))/100</f>
        <v/>
      </c>
    </row>
    <row r="1358">
      <c r="A1358" t="inlineStr">
        <is>
          <t>Skill + Buff Cast Rate</t>
        </is>
      </c>
      <c r="B1358">
        <f>IF(AND(Inputs!$B$39&lt;&gt;"pvp",Inputs!$B$44&gt;0),SUMPRODUCT((Skills!E2:E30=TRUE)*(C1322:C1350=TRUE)*R1322:R1350*Skills!F2:F30)/Inputs!$B$44,SUMPRODUCT((Skills!E2:E30=TRUE)*(C1322:C1350=TRUE)*Q1322:Q1350*Skills!F2:F30))</f>
        <v/>
      </c>
    </row>
    <row r="1359">
      <c r="A1359" t="inlineStr">
        <is>
          <t>Cruel Stab Casts Per Second</t>
        </is>
      </c>
      <c r="B1359">
        <f>MAX(0,B1357-B1358)</f>
        <v/>
      </c>
    </row>
    <row r="1360">
      <c r="A1360" t="inlineStr">
        <is>
          <t>Global Critical Damage Bonus % (Smokescreen Mastery Lv.113)</t>
        </is>
      </c>
      <c r="B1360">
        <f>IF(Inputs!$B$3&gt;=113,30,0)*IF(AND(Inputs!$B$39&lt;&gt;"pvp",Inputs!$B$44&gt;0),(((R1335-1)*(Skills!Y15*(1+(Inputs!$B$34+1)/100))+MIN((Skills!Y15*(1+(Inputs!$B$34+1)/100)),MAX(0,Inputs!$B$44-((R1335-1)*Skills!D15))))/Inputs!$B$44),IF(Inputs!$B$39="pvp",MIN((Skills!Y15*(1+(Inputs!$B$34+1)/100)),15)/15,(Skills!Y15*(1+(Inputs!$B$34+1)/100))/Skills!D15))</f>
        <v/>
      </c>
    </row>
    <row r="1361">
      <c r="A1361" t="inlineStr">
        <is>
          <t>Meso Explosion average stack count</t>
        </is>
      </c>
      <c r="B1361">
        <f>MIN(10,0.5*B1357*Skills!D4)</f>
        <v/>
      </c>
    </row>
    <row r="1362">
      <c r="A1362" t="inlineStr">
        <is>
          <t>Blood Money average stack count</t>
        </is>
      </c>
      <c r="B1362">
        <f>MIN(5,0.25*B1357*Skills!D4)</f>
        <v/>
      </c>
    </row>
    <row r="1363">
      <c r="A1363" t="inlineStr">
        <is>
          <t>Assassinate Murderous Intent Multiplier</t>
        </is>
      </c>
      <c r="B1363">
        <f>1+IFERROR(MIN(1,Q1334*2/Q1331),0)</f>
        <v/>
      </c>
    </row>
    <row r="1364">
      <c r="A1364" t="inlineStr">
        <is>
          <t>Buff-Casting Startup Delay (s, fixed-duration only)</t>
        </is>
      </c>
      <c r="B1364">
        <f>IF(AND(Inputs!$B$39&lt;&gt;"pvp",Inputs!$B$44&gt;0),SUMPRODUCT((Skills!Y2:Y30&gt;0)*(Skills!E2:E30=TRUE)*(C1322:C1350=TRUE))/B1357,0)</f>
        <v/>
      </c>
    </row>
    <row r="1365">
      <c r="A1365" s="6" t="inlineStr">
        <is>
          <t>TOTAL DPS</t>
        </is>
      </c>
      <c r="B1365" s="6">
        <f>SUM(O1322:O1350)</f>
        <v/>
      </c>
    </row>
    <row r="1366">
      <c r="A1366" t="inlineStr">
        <is>
          <t>Boss-Only Total DPS (this block's swept value)</t>
        </is>
      </c>
      <c r="B1366">
        <f>SUM(T1322:T1350)</f>
        <v/>
      </c>
    </row>
    <row r="1367">
      <c r="A1367" t="inlineStr">
        <is>
          <t>Normal-Only Total DPS (this block's swept value)</t>
        </is>
      </c>
      <c r="B1367">
        <f>SUM(V1322:V1350)</f>
        <v/>
      </c>
    </row>
    <row r="1370">
      <c r="A1370" s="6" t="inlineStr">
        <is>
          <t>Stat: Incoming Hit Rate (hits/sec, Shadow Shifter only)</t>
        </is>
      </c>
    </row>
    <row r="1371">
      <c r="A1371" s="5" t="inlineStr">
        <is>
          <t>Key</t>
        </is>
      </c>
      <c r="B1371" s="5" t="inlineStr">
        <is>
          <t>Name</t>
        </is>
      </c>
      <c r="C1371" s="5" t="inlineStr">
        <is>
          <t>Unlocked</t>
        </is>
      </c>
      <c r="D1371" s="5" t="inlineStr">
        <is>
          <t>InputLevel</t>
        </is>
      </c>
      <c r="E1371" s="5" t="inlineStr">
        <is>
          <t>Factor</t>
        </is>
      </c>
      <c r="F1371" s="5" t="inlineStr">
        <is>
          <t>CoefficientPercent</t>
        </is>
      </c>
      <c r="G1371" s="5" t="inlineStr">
        <is>
          <t>EffectiveHits</t>
        </is>
      </c>
      <c r="H1371" s="5" t="inlineStr">
        <is>
          <t>ProcProbability</t>
        </is>
      </c>
      <c r="I1371" s="5" t="inlineStr">
        <is>
          <t>MapleHeroMultiplier</t>
        </is>
      </c>
      <c r="J1371" s="5" t="inlineStr">
        <is>
          <t>BaseDamage</t>
        </is>
      </c>
      <c r="K1371" s="5" t="inlineStr">
        <is>
          <t>BaseHitDamage</t>
        </is>
      </c>
      <c r="L1371" s="5" t="inlineStr">
        <is>
          <t>NonCritAvg</t>
        </is>
      </c>
      <c r="M1371" s="5" t="inlineStr">
        <is>
          <t>CritAvg</t>
        </is>
      </c>
      <c r="N1371" s="5" t="inlineStr">
        <is>
          <t>ExpectedDamage(perHit)</t>
        </is>
      </c>
      <c r="O1371" s="5" t="inlineStr">
        <is>
          <t>DPS</t>
        </is>
      </c>
      <c r="P1371" s="5" t="inlineStr">
        <is>
          <t>% of Total</t>
        </is>
      </c>
      <c r="Q1371" s="5" t="inlineStr">
        <is>
          <t>InvCooldown</t>
        </is>
      </c>
      <c r="R1371" s="5" t="inlineStr">
        <is>
          <t>CastsInFight</t>
        </is>
      </c>
      <c r="S1371" s="5" t="inlineStr">
        <is>
          <t>HitRate(perSec)</t>
        </is>
      </c>
      <c r="U1371" t="inlineStr">
        <is>
          <t>helpers</t>
        </is>
      </c>
    </row>
    <row r="1372">
      <c r="A1372">
        <f>Skills!A2</f>
        <v/>
      </c>
      <c r="B1372">
        <f>Skills!B2</f>
        <v/>
      </c>
      <c r="C1372">
        <f>Inputs!$B$3&gt;=100</f>
        <v/>
      </c>
      <c r="D1372" t="inlineStr"/>
      <c r="E1372" t="inlineStr"/>
      <c r="F1372">
        <f>U1374+Skills!O2</f>
        <v/>
      </c>
      <c r="G1372">
        <f>Skills!G2*IF(Skills!H2&gt;0,Skills!I2/Skills!H2,1)</f>
        <v/>
      </c>
      <c r="H1372">
        <f>1-(1-Skills!J2/100)^Skills!K2</f>
        <v/>
      </c>
      <c r="I1372" t="inlineStr">
        <is>
          <t>1</t>
        </is>
      </c>
      <c r="J1372">
        <f>((Inputs!$B$6*(1+Inputs!$B$7/100))+(((Inputs!$B$12*(1+Inputs!$B$13/100))-(Inputs!$B$12*(1+Inputs!$B$13/100)))+0.25*(Inputs!$B$14-Inputs!$B$14))*(1+Inputs!$B$7/100))*(F1372/100)</f>
        <v/>
      </c>
      <c r="K1372">
        <f>J1372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1372)</f>
        <v/>
      </c>
      <c r="L1372">
        <f>K1372*(MIN(Inputs!$B$22+((C1394=TRUE)*(F1394-Calc!F24)),(Inputs!$B$23+((C1399=TRUE)*(F1399-Calc!F29))+IF(ArtifactsInput!$M$15,CHOOSE(ArtifactsInput!$N$15+1,25,30,35,40,45,50)/100*(Inputs!$B$11-Inputs!$B$11),0)))/100+(Inputs!$B$23+((C1399=TRUE)*(F1399-Calc!F29))+IF(ArtifactsInput!$M$15,CHOOSE(ArtifactsInput!$N$15+1,25,30,35,40,45,50)/100*(Inputs!$B$11-Inputs!$B$11),0))/100)/2</f>
        <v/>
      </c>
      <c r="M1372">
        <f>L1372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2">
        <f>L1372*(1-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1372*(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2">
        <f>(1-Summary!$B$11)*T1372+Summary!$B$11*V1372</f>
        <v/>
      </c>
      <c r="P1372">
        <f>IF(B1415=0,0,O1372/B1415)</f>
        <v/>
      </c>
      <c r="Q1372" t="n">
        <v>0</v>
      </c>
      <c r="R1372" t="n">
        <v>0</v>
      </c>
      <c r="S1372">
        <f>IFERROR(O1372/N1372,0)</f>
        <v/>
      </c>
      <c r="T1372">
        <f>IF(C1372,(Skills!G2*N1372*B1409)*IF(Inputs!$B$39="pvp",1,1+(Inputs!$B$20+0+Skills!P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1372*(1-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1372*(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1372*(1-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1372*(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2">
        <f>MAX(0,(Inputs!$B$3-100)*3)+Inputs!$B$28+Inputs!$B$29</f>
        <v/>
      </c>
      <c r="V1372">
        <f>IF(C1372,(Skills!G2*N1372*B1409)*IF(Inputs!$B$39="pvp",1,(1+(Inputs!$B$21+Skills!Q2+B1404+(IF(ArtifactsInput!$M$33,CHOOSE(ArtifactsInput!$N$33+1,30,36,42,48,54,60),0))+(IF(AND(ArtifactsInput!$M$35,Inputs!$B$4&lt;&gt;"Chapter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3">
      <c r="A1373">
        <f>Skills!A3</f>
        <v/>
      </c>
      <c r="B1373">
        <f>Skills!B3</f>
        <v/>
      </c>
      <c r="C1373">
        <f>Inputs!$B$3&gt;=35</f>
        <v/>
      </c>
      <c r="D1373">
        <f>IF(Skills!C3=1,60+Inputs!$B$25+Inputs!$B$29,IF(Skills!C3=2,90+Inputs!$B$26+Inputs!$B$29,IF(Skills!C3=3,120+Inputs!$B$27+Inputs!$B$29,MAX(0,(Inputs!$B$3-100)*3)+Inputs!$B$28+Inputs!$B$29)))</f>
        <v/>
      </c>
      <c r="E1373">
        <f>INDEX(FactorTable!$B$2:$Y$301, MATCH(ROUND(MIN(300,MAX(1,D1373)),0), FactorTable!$A$2:$A$301,0), Skills!M3+1)</f>
        <v/>
      </c>
      <c r="F1373">
        <f>IF(Skills!N3=TRUE,(Skills!L3/10)*(E1373/1000),Skills!L3/10)+Skills!O3</f>
        <v/>
      </c>
      <c r="G1373">
        <f>Skills!G3*IF(Skills!H3&gt;0,Skills!I3/Skills!H3,1)</f>
        <v/>
      </c>
      <c r="H1373">
        <f>1-(1-Skills!J3/100)^Skills!K3</f>
        <v/>
      </c>
      <c r="I1373" t="inlineStr">
        <is>
          <t>1</t>
        </is>
      </c>
      <c r="J1373" t="inlineStr"/>
      <c r="K1373" t="inlineStr"/>
      <c r="L1373" t="inlineStr"/>
      <c r="M1373" t="inlineStr"/>
      <c r="N1373" t="inlineStr"/>
      <c r="O1373">
        <f>(1-Summary!$B$11)*T1373+Summary!$B$11*V1373</f>
        <v/>
      </c>
      <c r="P1373">
        <f>IF(B1415=0,0,O1373/B1415)</f>
        <v/>
      </c>
      <c r="Q1373" t="n">
        <v>0</v>
      </c>
      <c r="R1373" t="n">
        <v>0</v>
      </c>
      <c r="S1373">
        <f>IFERROR(O1373/N1373,0)</f>
        <v/>
      </c>
      <c r="T1373" t="n">
        <v>0</v>
      </c>
      <c r="U1373">
        <f>INDEX(FactorTable!$B$2:$Y$301, MATCH(ROUND(MIN(300,MAX(1,U1372)),0), FactorTable!$A$2:$A$301,0), 22)</f>
        <v/>
      </c>
      <c r="V1373" t="n">
        <v>0</v>
      </c>
    </row>
    <row r="1374">
      <c r="A1374">
        <f>Skills!A4</f>
        <v/>
      </c>
      <c r="B1374">
        <f>Skills!B4</f>
        <v/>
      </c>
      <c r="C1374">
        <f>Inputs!$B$3&gt;=66</f>
        <v/>
      </c>
      <c r="D1374">
        <f>IF(Skills!C4=1,60+Inputs!$B$25+Inputs!$B$29,IF(Skills!C4=2,90+Inputs!$B$26+Inputs!$B$29,IF(Skills!C4=3,120+Inputs!$B$27+Inputs!$B$29,MAX(0,(Inputs!$B$3-100)*3)+Inputs!$B$28+Inputs!$B$29)))</f>
        <v/>
      </c>
      <c r="E1374">
        <f>INDEX(FactorTable!$B$2:$Y$301, MATCH(ROUND(MIN(300,MAX(1,D1374)),0), FactorTable!$A$2:$A$301,0), Skills!M4+1)</f>
        <v/>
      </c>
      <c r="F1374">
        <f>IF(Skills!N4=TRUE,(Skills!L4/10)*(E1374/1000),Skills!L4/10)+Skills!O4</f>
        <v/>
      </c>
      <c r="G1374">
        <f>Skills!G4*IF(Skills!H4&gt;0,Skills!I4/Skills!H4,1)</f>
        <v/>
      </c>
      <c r="H1374">
        <f>1-(1-Skills!J4/100)^Skills!K4</f>
        <v/>
      </c>
      <c r="I1374" t="inlineStr">
        <is>
          <t>1</t>
        </is>
      </c>
      <c r="J1374">
        <f>((Inputs!$B$6*(1+Inputs!$B$7/100))+(((Inputs!$B$12*(1+Inputs!$B$13/100))-(Inputs!$B$12*(1+Inputs!$B$13/100)))+0.25*(Inputs!$B$14-Inputs!$B$14))*(1+Inputs!$B$7/100))*(F1374/100)</f>
        <v/>
      </c>
      <c r="K1374">
        <f>J1374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1374)</f>
        <v/>
      </c>
      <c r="L1374">
        <f>K1374*(MIN(Inputs!$B$22+((C1394=TRUE)*(F1394-Calc!F24)),(Inputs!$B$23+((C1399=TRUE)*(F1399-Calc!F29))+IF(ArtifactsInput!$M$15,CHOOSE(ArtifactsInput!$N$15+1,25,30,35,40,45,50)/100*(Inputs!$B$11-Inputs!$B$11),0)))/100+(Inputs!$B$23+((C1399=TRUE)*(F1399-Calc!F29))+IF(ArtifactsInput!$M$15,CHOOSE(ArtifactsInput!$N$15+1,25,30,35,40,45,50)/100*(Inputs!$B$11-Inputs!$B$11),0))/100)/2</f>
        <v/>
      </c>
      <c r="M1374">
        <f>L1374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4">
        <f>L1374*(1-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1374*(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4">
        <f>(1-Summary!$B$11)*T1374+Summary!$B$11*V1374</f>
        <v/>
      </c>
      <c r="P1374">
        <f>IF(B1415=0,0,O1374/B1415)</f>
        <v/>
      </c>
      <c r="Q1374">
        <f>IFERROR(1/IF(Inputs!$B$39="pvp",15,MAX(0.1,Skills!D4-IF(Skills!E4=TRUE,Inputs!$B$32,0))),0)</f>
        <v/>
      </c>
      <c r="R1374">
        <f>IF(AND(Inputs!$B$39&lt;&gt;"pvp",Inputs!$B$44&gt;0),IF(MAX(0,Inputs!$B$44-B1414)&lt;=0,0,(INT(MAX(0,Inputs!$B$44-B1414)/IF(Inputs!$B$39="pvp",15,MAX(0.1,Skills!D4-IF(Skills!E4=TRUE,Inputs!$B$32,0))))+1)),0)</f>
        <v/>
      </c>
      <c r="S1374">
        <f>IFERROR(O1374/N1374,0)</f>
        <v/>
      </c>
      <c r="T1374">
        <f>IF(C1374,(H1374*N1374*IF(AND(Inputs!$B$39&lt;&gt;"pvp",Inputs!$B$44&gt;0),((Skills!G4*((R1374-1)*IF(Skills!H4&gt;0,Skills!I4/Skills!H4,1)+IF(Skills!H4&gt;0,MIN(Skills!I4,MAX(0,MAX(0,Inputs!$B$44-B1414)-((R1374-1)*IF(Inputs!$B$39="pvp",15,MAX(0.1,Skills!D4-IF(Skills!E4=TRUE,Inputs!$B$32,0))))))/Skills!H4,1)))/Inputs!$B$44),G1374*Q1374))*IF(Inputs!$B$39="pvp",1,1+(Inputs!$B$20+0+Skills!P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1374*(1-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1374*(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1374*(1-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1374*(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4">
        <f>290*U1373/1000</f>
        <v/>
      </c>
      <c r="V1374">
        <f>IF(C1374,(H1374*N1374*IF(AND(Inputs!$B$39&lt;&gt;"pvp",Inputs!$B$44&gt;0),((Skills!G4*((R1374-1)*IF(Skills!H4&gt;0,Skills!I4/Skills!H4,1)+IF(Skills!H4&gt;0,MIN(Skills!I4,MAX(0,MAX(0,Inputs!$B$44-B1414)-((R1374-1)*IF(Inputs!$B$39="pvp",15,MAX(0.1,Skills!D4-IF(Skills!E4=TRUE,Inputs!$B$32,0))))))/Skills!H4,1)))/Inputs!$B$44),G1374*Q1374))*IF(Inputs!$B$39="pvp",1,(1+(Inputs!$B$21+Skills!Q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(10,0.5*B1407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5">
      <c r="A1375">
        <f>Skills!A5</f>
        <v/>
      </c>
      <c r="B1375">
        <f>Skills!B5</f>
        <v/>
      </c>
      <c r="C1375">
        <f>Inputs!$B$3&gt;=63</f>
        <v/>
      </c>
      <c r="D1375">
        <f>IF(Skills!C5=1,60+Inputs!$B$25+Inputs!$B$29,IF(Skills!C5=2,90+Inputs!$B$26+Inputs!$B$29,IF(Skills!C5=3,120+Inputs!$B$27+Inputs!$B$29,MAX(0,(Inputs!$B$3-100)*3)+Inputs!$B$28+Inputs!$B$29)))</f>
        <v/>
      </c>
      <c r="E1375">
        <f>INDEX(FactorTable!$B$2:$Y$301, MATCH(ROUND(MIN(300,MAX(1,D1375)),0), FactorTable!$A$2:$A$301,0), Skills!M5+1)</f>
        <v/>
      </c>
      <c r="F1375">
        <f>IF(Skills!N5=TRUE,(Skills!L5/10)*(E1375/1000),Skills!L5/10)+Skills!O5</f>
        <v/>
      </c>
      <c r="G1375">
        <f>Skills!G5*IF(Skills!H5&gt;0,Skills!I5/Skills!H5,1)</f>
        <v/>
      </c>
      <c r="H1375">
        <f>1-(1-Skills!J5/100)^Skills!K5</f>
        <v/>
      </c>
      <c r="I1375" t="inlineStr">
        <is>
          <t>1</t>
        </is>
      </c>
      <c r="J1375">
        <f>((Inputs!$B$6*(1+Inputs!$B$7/100))+(((Inputs!$B$12*(1+Inputs!$B$13/100))-(Inputs!$B$12*(1+Inputs!$B$13/100)))+0.25*(Inputs!$B$14-Inputs!$B$14))*(1+Inputs!$B$7/100))*(F1375/100)</f>
        <v/>
      </c>
      <c r="K1375">
        <f>J1375*(1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1388=TRUE,F1388,0)/100)*(1+(IF(Skills!A5="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1375)</f>
        <v/>
      </c>
      <c r="L1375">
        <f>K1375*(MIN(Inputs!$B$22+((C1394=TRUE)*(F1394-Calc!F24)),(Inputs!$B$23+((C1399=TRUE)*(F1399-Calc!F29))+IF(ArtifactsInput!$M$15,CHOOSE(ArtifactsInput!$N$15+1,25,30,35,40,45,50)/100*(Inputs!$B$11-Inputs!$B$11),0)))/100+(Inputs!$B$23+((C1399=TRUE)*(F1399-Calc!F29))+IF(ArtifactsInput!$M$15,CHOOSE(ArtifactsInput!$N$15+1,25,30,35,40,45,50)/100*(Inputs!$B$11-Inputs!$B$11),0))/100)/2</f>
        <v/>
      </c>
      <c r="M1375">
        <f>L1375*(1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5">
        <f>L1375*(1-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1375*(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5">
        <f>(1-Summary!$B$11)*T1375+Summary!$B$11*V1375</f>
        <v/>
      </c>
      <c r="P1375">
        <f>IF(B1415=0,0,O1375/B1415)</f>
        <v/>
      </c>
      <c r="Q1375">
        <f>IFERROR(1/IF(Inputs!$B$39="pvp",15,MAX(0.1,Skills!D5-IF(Skills!E5=TRUE,Inputs!$B$32,0))),0)</f>
        <v/>
      </c>
      <c r="R1375">
        <f>IF(AND(Inputs!$B$39&lt;&gt;"pvp",Inputs!$B$44&gt;0),IF(MAX(0,Inputs!$B$44-B1414)&lt;=0,0,(INT(MAX(0,Inputs!$B$44-B1414)/IF(Inputs!$B$39="pvp",15,MAX(0.1,Skills!D5-IF(Skills!E5=TRUE,Inputs!$B$32,0))))+1)),0)</f>
        <v/>
      </c>
      <c r="S1375">
        <f>IFERROR(O1375/N1375,0)</f>
        <v/>
      </c>
      <c r="T1375">
        <f>IF(C1375,(H1375*N1375*IF(AND(Inputs!$B$39&lt;&gt;"pvp",Inputs!$B$44&gt;0),((Skills!G5*((R1375-1)*IF(Skills!H5&gt;0,Skills!I5/Skills!H5,1)+IF(Skills!H5&gt;0,MIN(Skills!I5,MAX(0,MAX(0,Inputs!$B$44-B1414)-((R1375-1)*IF(Inputs!$B$39="pvp",15,MAX(0.1,Skills!D5-IF(Skills!E5=TRUE,Inputs!$B$32,0))))))/Skills!H5,1)))/Inputs!$B$44),G1375*Q1375))*IF(Inputs!$B$39="pvp",1,1+(Inputs!$B$20+0+Skills!P5+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1375*(1-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1375*(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1375*(1-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1375*(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5">
        <f>IF(C1375,(H1375*N1375*IF(AND(Inputs!$B$39&lt;&gt;"pvp",Inputs!$B$44&gt;0),((Skills!G5*((R1375-1)*IF(Skills!H5&gt;0,Skills!I5/Skills!H5,1)+IF(Skills!H5&gt;0,MIN(Skills!I5,MAX(0,MAX(0,Inputs!$B$44-B1414)-((R1375-1)*IF(Inputs!$B$39="pvp",15,MAX(0.1,Skills!D5-IF(Skills!E5=TRUE,Inputs!$B$32,0))))))/Skills!H5,1)))/Inputs!$B$44),G1375*Q1375))*IF(Inputs!$B$39="pvp",1,(1+(Inputs!$B$21+Skills!Q5+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6">
      <c r="A1376">
        <f>Skills!A6</f>
        <v/>
      </c>
      <c r="B1376">
        <f>Skills!B6</f>
        <v/>
      </c>
      <c r="C1376">
        <f>Inputs!$B$3&gt;=69</f>
        <v/>
      </c>
      <c r="D1376">
        <f>IF(Skills!C6=1,60+Inputs!$B$25+Inputs!$B$29,IF(Skills!C6=2,90+Inputs!$B$26+Inputs!$B$29,IF(Skills!C6=3,120+Inputs!$B$27+Inputs!$B$29,MAX(0,(Inputs!$B$3-100)*3)+Inputs!$B$28+Inputs!$B$29)))</f>
        <v/>
      </c>
      <c r="E1376">
        <f>INDEX(FactorTable!$B$2:$Y$301, MATCH(ROUND(MIN(300,MAX(1,D1376)),0), FactorTable!$A$2:$A$301,0), Skills!M6+1)</f>
        <v/>
      </c>
      <c r="F1376">
        <f>IF(Skills!N6=TRUE,(Skills!L6/10)*(E1376/1000),Skills!L6/10)+Skills!O6</f>
        <v/>
      </c>
      <c r="G1376">
        <f>Skills!G6*IF(Skills!H6&gt;0,Skills!I6/Skills!H6,1)</f>
        <v/>
      </c>
      <c r="H1376">
        <f>1-(1-Skills!J6/100)^Skills!K6</f>
        <v/>
      </c>
      <c r="I1376" t="inlineStr">
        <is>
          <t>1</t>
        </is>
      </c>
      <c r="J1376">
        <f>((Inputs!$B$6*(1+Inputs!$B$7/100))+(((Inputs!$B$12*(1+Inputs!$B$13/100))-(Inputs!$B$12*(1+Inputs!$B$13/100)))+0.25*(Inputs!$B$14-Inputs!$B$14))*(1+Inputs!$B$7/100))*(F1376/100)</f>
        <v/>
      </c>
      <c r="K1376">
        <f>J1376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1388=TRUE,F1388,0)/100)*(1+(IF(Skills!A6="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1376)</f>
        <v/>
      </c>
      <c r="L1376">
        <f>K1376*(MIN(Inputs!$B$22+((C1394=TRUE)*(F1394-Calc!F24)),(Inputs!$B$23+((C1399=TRUE)*(F1399-Calc!F29))+IF(ArtifactsInput!$M$15,CHOOSE(ArtifactsInput!$N$15+1,25,30,35,40,45,50)/100*(Inputs!$B$11-Inputs!$B$11),0)))/100+(Inputs!$B$23+((C1399=TRUE)*(F1399-Calc!F29))+IF(ArtifactsInput!$M$15,CHOOSE(ArtifactsInput!$N$15+1,25,30,35,40,45,50)/100*(Inputs!$B$11-Inputs!$B$11),0))/100)/2</f>
        <v/>
      </c>
      <c r="M1376">
        <f>L1376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6">
        <f>L1376*(1-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1376*(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6">
        <f>(1-Summary!$B$11)*T1376+Summary!$B$11*V1376</f>
        <v/>
      </c>
      <c r="P1376">
        <f>IF(B1415=0,0,O1376/B1415)</f>
        <v/>
      </c>
      <c r="Q1376">
        <f>IFERROR(1/IF(Inputs!$B$39="pvp",15,MAX(0.1,Skills!D6-IF(Skills!E6=TRUE,Inputs!$B$32,0))),0)</f>
        <v/>
      </c>
      <c r="R1376">
        <f>IF(AND(Inputs!$B$39&lt;&gt;"pvp",Inputs!$B$44&gt;0),IF(MAX(0,Inputs!$B$44-B1414)&lt;=0,0,(INT(MAX(0,Inputs!$B$44-B1414)/IF(Inputs!$B$39="pvp",15,MAX(0.1,Skills!D6-IF(Skills!E6=TRUE,Inputs!$B$32,0))))+1)),0)</f>
        <v/>
      </c>
      <c r="S1376">
        <f>IFERROR(O1376/N1376,0)</f>
        <v/>
      </c>
      <c r="T1376">
        <f>IF(C1376,(H1376*N1376*IF(AND(Inputs!$B$39&lt;&gt;"pvp",Inputs!$B$44&gt;0),((Skills!G6*((R1376-1)*IF(Skills!H6&gt;0,Skills!I6/Skills!H6,1)+IF(Skills!H6&gt;0,MIN(Skills!I6,MAX(0,MAX(0,Inputs!$B$44-B1414)-((R1376-1)*IF(Inputs!$B$39="pvp",15,MAX(0.1,Skills!D6-IF(Skills!E6=TRUE,Inputs!$B$32,0))))))/Skills!H6,1)))/Inputs!$B$44),G1376*Q1376))*IF(Inputs!$B$39="pvp",1,1+(Inputs!$B$20+0+Skills!P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1376*(1-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1376*(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1376*(1-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1376*(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6">
        <f>IF(C1376,(H1376*N1376*IF(AND(Inputs!$B$39&lt;&gt;"pvp",Inputs!$B$44&gt;0),((Skills!G6*((R1376-1)*IF(Skills!H6&gt;0,Skills!I6/Skills!H6,1)+IF(Skills!H6&gt;0,MIN(Skills!I6,MAX(0,MAX(0,Inputs!$B$44-B1414)-((R1376-1)*IF(Inputs!$B$39="pvp",15,MAX(0.1,Skills!D6-IF(Skills!E6=TRUE,Inputs!$B$32,0))))))/Skills!H6,1)))/Inputs!$B$44),G1376*Q1376))*IF(Inputs!$B$39="pvp",1,(1+(Inputs!$B$21+Skills!Q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7">
      <c r="A1377">
        <f>Skills!A7</f>
        <v/>
      </c>
      <c r="B1377">
        <f>Skills!B7</f>
        <v/>
      </c>
      <c r="C1377">
        <f>Inputs!$B$3&gt;=60</f>
        <v/>
      </c>
      <c r="D1377">
        <f>IF(Skills!C7=1,60+Inputs!$B$25+Inputs!$B$29,IF(Skills!C7=2,90+Inputs!$B$26+Inputs!$B$29,IF(Skills!C7=3,120+Inputs!$B$27+Inputs!$B$29,MAX(0,(Inputs!$B$3-100)*3)+Inputs!$B$28+Inputs!$B$29)))</f>
        <v/>
      </c>
      <c r="E1377">
        <f>INDEX(FactorTable!$B$2:$Y$301, MATCH(ROUND(MIN(300,MAX(1,D1377)),0), FactorTable!$A$2:$A$301,0), Skills!M7+1)</f>
        <v/>
      </c>
      <c r="F1377">
        <f>IF(Skills!N7=TRUE,(Skills!L7/10)*(E1377/1000),Skills!L7/10)+Skills!O7</f>
        <v/>
      </c>
      <c r="G1377">
        <f>Skills!G7*IF(Skills!H7&gt;0,Skills!I7/Skills!H7,1)</f>
        <v/>
      </c>
      <c r="H1377">
        <f>1-(1-Skills!J7/100)^Skills!K7</f>
        <v/>
      </c>
      <c r="I1377" t="inlineStr">
        <is>
          <t>1</t>
        </is>
      </c>
      <c r="J1377" t="inlineStr"/>
      <c r="K1377" t="inlineStr"/>
      <c r="L1377" t="inlineStr"/>
      <c r="M1377" t="inlineStr"/>
      <c r="N1377" t="inlineStr"/>
      <c r="O1377">
        <f>(1-Summary!$B$11)*T1377+Summary!$B$11*V1377</f>
        <v/>
      </c>
      <c r="P1377">
        <f>IF(B1415=0,0,O1377/B1415)</f>
        <v/>
      </c>
      <c r="Q1377" t="n">
        <v>0</v>
      </c>
      <c r="R1377" t="n">
        <v>0</v>
      </c>
      <c r="S1377">
        <f>IFERROR(O1377/N1377,0)</f>
        <v/>
      </c>
      <c r="T1377" t="n">
        <v>0</v>
      </c>
      <c r="V1377" t="n">
        <v>0</v>
      </c>
    </row>
    <row r="1378">
      <c r="A1378">
        <f>Skills!A8</f>
        <v/>
      </c>
      <c r="B1378">
        <f>Skills!B8</f>
        <v/>
      </c>
      <c r="C1378">
        <f>Inputs!$B$3&gt;=72</f>
        <v/>
      </c>
      <c r="D1378">
        <f>IF(Skills!C8=1,60+Inputs!$B$25+Inputs!$B$29,IF(Skills!C8=2,90+Inputs!$B$26+Inputs!$B$29,IF(Skills!C8=3,120+Inputs!$B$27+Inputs!$B$29,MAX(0,(Inputs!$B$3-100)*3)+Inputs!$B$28+Inputs!$B$29)))</f>
        <v/>
      </c>
      <c r="E1378">
        <f>INDEX(FactorTable!$B$2:$Y$301, MATCH(ROUND(MIN(300,MAX(1,D1378)),0), FactorTable!$A$2:$A$301,0), Skills!M8+1)</f>
        <v/>
      </c>
      <c r="F1378">
        <f>IF(Skills!N8=TRUE,(Skills!L8/10)*(E1378/1000),Skills!L8/10)+Skills!O8</f>
        <v/>
      </c>
      <c r="G1378">
        <f>Skills!G8*IF(Skills!H8&gt;0,Skills!I8/Skills!H8,1)</f>
        <v/>
      </c>
      <c r="H1378">
        <f>1-(1-Skills!J8/100)^Skills!K8</f>
        <v/>
      </c>
      <c r="I1378" t="inlineStr">
        <is>
          <t>1</t>
        </is>
      </c>
      <c r="J1378">
        <f>((Inputs!$B$6*(1+Inputs!$B$7/100))+(((Inputs!$B$12*(1+Inputs!$B$13/100))-(Inputs!$B$12*(1+Inputs!$B$13/100)))+0.25*(Inputs!$B$14-Inputs!$B$14))*(1+Inputs!$B$7/100))*(F1378/100)</f>
        <v/>
      </c>
      <c r="K1378">
        <f>J1378*(1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1388=TRUE,F1388,0)/100)*(1+(IF(Skills!A8="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1378)</f>
        <v/>
      </c>
      <c r="L1378">
        <f>K1378*(MIN(Inputs!$B$22+((C1394=TRUE)*(F1394-Calc!F24)),(Inputs!$B$23+((C1399=TRUE)*(F1399-Calc!F29))+IF(ArtifactsInput!$M$15,CHOOSE(ArtifactsInput!$N$15+1,25,30,35,40,45,50)/100*(Inputs!$B$11-Inputs!$B$11),0)))/100+(Inputs!$B$23+((C1399=TRUE)*(F1399-Calc!F29))+IF(ArtifactsInput!$M$15,CHOOSE(ArtifactsInput!$N$15+1,25,30,35,40,45,50)/100*(Inputs!$B$11-Inputs!$B$11),0))/100)/2</f>
        <v/>
      </c>
      <c r="M1378">
        <f>L1378*(1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8">
        <f>L1378*(1-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1378*(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8">
        <f>(1-Summary!$B$11)*T1378+Summary!$B$11*V1378</f>
        <v/>
      </c>
      <c r="P1378">
        <f>IF(B1415=0,0,O1378/B1415)</f>
        <v/>
      </c>
      <c r="Q1378">
        <f>IFERROR(1/IF(Inputs!$B$39="pvp",15,MAX(0.1,Skills!D8-IF(Skills!E8=TRUE,Inputs!$B$32,0))),0)</f>
        <v/>
      </c>
      <c r="R1378">
        <f>IF(AND(Inputs!$B$39&lt;&gt;"pvp",Inputs!$B$44&gt;0),IF(MAX(0,Inputs!$B$44-B1414)&lt;=0,0,(INT(MAX(0,Inputs!$B$44-B1414)/IF(Inputs!$B$39="pvp",15,MAX(0.1,Skills!D8-IF(Skills!E8=TRUE,Inputs!$B$32,0))))+1)),0)</f>
        <v/>
      </c>
      <c r="S1378">
        <f>IFERROR(O1378/N1378,0)</f>
        <v/>
      </c>
      <c r="T1378">
        <f>IF(C1378,(H1378*N1378*IF(AND(Inputs!$B$39&lt;&gt;"pvp",Inputs!$B$44&gt;0),((Skills!G8*((R1378-1)*IF(Skills!H8&gt;0,Skills!I8/Skills!H8,1)+IF(Skills!H8&gt;0,MIN(Skills!I8,MAX(0,MAX(0,Inputs!$B$44-B1414)-((R1378-1)*IF(Inputs!$B$39="pvp",15,MAX(0.1,Skills!D8-IF(Skills!E8=TRUE,Inputs!$B$32,0))))))/Skills!H8,1)))/Inputs!$B$44),G1378*Q1378))*IF(Inputs!$B$39="pvp",1,1+(Inputs!$B$20+0+Skills!P8+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1378*(1-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1378*(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1378*(1-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1378*(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8">
        <f>IF(C1378,(H1378*N1378*IF(AND(Inputs!$B$39&lt;&gt;"pvp",Inputs!$B$44&gt;0),((Skills!G8*((R1378-1)*IF(Skills!H8&gt;0,Skills!I8/Skills!H8,1)+IF(Skills!H8&gt;0,MIN(Skills!I8,MAX(0,MAX(0,Inputs!$B$44-B1414)-((R1378-1)*IF(Inputs!$B$39="pvp",15,MAX(0.1,Skills!D8-IF(Skills!E8=TRUE,Inputs!$B$32,0))))))/Skills!H8,1)))/Inputs!$B$44),G1378*Q1378))*IF(Inputs!$B$39="pvp",1,(1+(Inputs!$B$21+Skills!Q8+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9">
      <c r="A1379">
        <f>Skills!A9</f>
        <v/>
      </c>
      <c r="B1379">
        <f>Skills!B9</f>
        <v/>
      </c>
      <c r="C1379">
        <f>Inputs!$B$3&gt;=117</f>
        <v/>
      </c>
      <c r="D1379">
        <f>IF(Skills!C9=1,60+Inputs!$B$25+Inputs!$B$29,IF(Skills!C9=2,90+Inputs!$B$26+Inputs!$B$29,IF(Skills!C9=3,120+Inputs!$B$27+Inputs!$B$29,MAX(0,(Inputs!$B$3-100)*3)+Inputs!$B$28+Inputs!$B$29)))</f>
        <v/>
      </c>
      <c r="E1379">
        <f>INDEX(FactorTable!$B$2:$Y$301, MATCH(ROUND(MIN(300,MAX(1,D1379)),0), FactorTable!$A$2:$A$301,0), Skills!M9+1)</f>
        <v/>
      </c>
      <c r="F1379">
        <f>IF(Skills!N9=TRUE,(Skills!L9/10)*(E1379/1000),Skills!L9/10)+Skills!O9</f>
        <v/>
      </c>
      <c r="G1379">
        <f>Skills!G9*IF(Skills!H9&gt;0,Skills!I9/Skills!H9,1)</f>
        <v/>
      </c>
      <c r="H1379">
        <f>1-(1-Skills!J9/100)^Skills!K9</f>
        <v/>
      </c>
      <c r="I1379" t="inlineStr">
        <is>
          <t>1</t>
        </is>
      </c>
      <c r="J1379">
        <f>((Inputs!$B$6*(1+Inputs!$B$7/100))+(((Inputs!$B$12*(1+Inputs!$B$13/100))-(Inputs!$B$12*(1+Inputs!$B$13/100)))+0.25*(Inputs!$B$14-Inputs!$B$14))*(1+Inputs!$B$7/100))*(F1379/100)</f>
        <v/>
      </c>
      <c r="K1379">
        <f>J1379*(1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1379)</f>
        <v/>
      </c>
      <c r="L1379">
        <f>K1379*(MIN(Inputs!$B$22+((C1394=TRUE)*(F1394-Calc!F24)),(Inputs!$B$23+((C1399=TRUE)*(F1399-Calc!F29))+IF(ArtifactsInput!$M$15,CHOOSE(ArtifactsInput!$N$15+1,25,30,35,40,45,50)/100*(Inputs!$B$11-Inputs!$B$11),0)))/100+(Inputs!$B$23+((C1399=TRUE)*(F1399-Calc!F29))+IF(ArtifactsInput!$M$15,CHOOSE(ArtifactsInput!$N$15+1,25,30,35,40,45,50)/100*(Inputs!$B$11-Inputs!$B$11),0))/100)/2</f>
        <v/>
      </c>
      <c r="M1379">
        <f>L1379*(1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9">
        <f>L1379*(1-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(1-Summary!$B$11)*T1379+Summary!$B$11*V1379</f>
        <v/>
      </c>
      <c r="P1379">
        <f>IF(B1415=0,0,O1379/B1415)</f>
        <v/>
      </c>
      <c r="Q1379" t="n">
        <v>0</v>
      </c>
      <c r="R1379" t="n">
        <v>0</v>
      </c>
      <c r="S1379" t="n">
        <v>0</v>
      </c>
      <c r="T1379">
        <f>IF(C1379,(0.2*SUMPRODUCT((Skills!Z2:Z30=TRUE)*(C1372:C1400=TRUE)*S1372:S1400)*N1379)*IF(Inputs!$B$39="pvp",1,1+(Inputs!$B$20+0+Skills!P9+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1379*(1-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9">
        <f>IF(C1379,(0.2*SUMPRODUCT((Skills!Z2:Z30=TRUE)*(C1372:C1400=TRUE)*S1372:S1400)*N1379)*IF(Inputs!$B$39="pvp",1,(1+(Inputs!$B$21+Skills!Q9+B1404+(IF(ArtifactsInput!$M$33,CHOOSE(ArtifactsInput!$N$33+1,30,36,42,48,54,60),0))+(IF(AND(ArtifactsInput!$M$35,Inputs!$B$4&lt;&gt;"Chapter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Skills!A10</f>
        <v/>
      </c>
      <c r="B1380">
        <f>Skills!B10</f>
        <v/>
      </c>
      <c r="C1380">
        <f>Inputs!$B$3&gt;=74</f>
        <v/>
      </c>
      <c r="D1380">
        <f>IF(Skills!C10=1,60+Inputs!$B$25+Inputs!$B$29,IF(Skills!C10=2,90+Inputs!$B$26+Inputs!$B$29,IF(Skills!C10=3,120+Inputs!$B$27+Inputs!$B$29,MAX(0,(Inputs!$B$3-100)*3)+Inputs!$B$28+Inputs!$B$29)))</f>
        <v/>
      </c>
      <c r="E1380">
        <f>INDEX(FactorTable!$B$2:$Y$301, MATCH(ROUND(MIN(300,MAX(1,D1380)),0), FactorTable!$A$2:$A$301,0), Skills!M10+1)</f>
        <v/>
      </c>
      <c r="F1380">
        <f>IF(Skills!N10=TRUE,(Skills!L10/10)*(E1380/1000),Skills!L10/10)+Skills!O10</f>
        <v/>
      </c>
      <c r="G1380">
        <f>Skills!G10*IF(Skills!H10&gt;0,Skills!I10/Skills!H10,1)</f>
        <v/>
      </c>
      <c r="H1380">
        <f>1-(1-Skills!J10/100)^Skills!K10</f>
        <v/>
      </c>
      <c r="I1380" t="inlineStr">
        <is>
          <t>1</t>
        </is>
      </c>
      <c r="J1380" t="inlineStr"/>
      <c r="K1380" t="inlineStr"/>
      <c r="L1380" t="inlineStr"/>
      <c r="M1380" t="inlineStr"/>
      <c r="N1380" t="inlineStr"/>
      <c r="O1380">
        <f>(1-Summary!$B$11)*T1380+Summary!$B$11*V1380</f>
        <v/>
      </c>
      <c r="P1380">
        <f>IF(B1415=0,0,O1380/B1415)</f>
        <v/>
      </c>
      <c r="Q1380">
        <f>IFERROR(1/IF(Inputs!$B$39="pvp",15,MAX(0.1,Skills!D10-IF(Skills!E10=TRUE,Inputs!$B$32,0))),0)</f>
        <v/>
      </c>
      <c r="R1380">
        <f>IF(AND(Inputs!$B$39&lt;&gt;"pvp",Inputs!$B$44&gt;0),IF(Inputs!$B$44&lt;=0,0,(INT(Inputs!$B$44/IF(Inputs!$B$39="pvp",15,MAX(0.1,Skills!D10-IF(Skills!E10=TRUE,Inputs!$B$32,0))))+1)),0)</f>
        <v/>
      </c>
      <c r="S1380">
        <f>IFERROR(O1380/N1380,0)</f>
        <v/>
      </c>
      <c r="T1380" t="n">
        <v>0</v>
      </c>
      <c r="V1380" t="n">
        <v>0</v>
      </c>
    </row>
    <row r="1381">
      <c r="A1381">
        <f>Skills!A11</f>
        <v/>
      </c>
      <c r="B1381">
        <f>Skills!B11</f>
        <v/>
      </c>
      <c r="C1381">
        <f>Inputs!$B$3&gt;=103</f>
        <v/>
      </c>
      <c r="D1381">
        <f>IF(Skills!C11=1,60+Inputs!$B$25+Inputs!$B$29,IF(Skills!C11=2,90+Inputs!$B$26+Inputs!$B$29,IF(Skills!C11=3,120+Inputs!$B$27+Inputs!$B$29,MAX(0,(Inputs!$B$3-100)*3)+Inputs!$B$28+Inputs!$B$29)))</f>
        <v/>
      </c>
      <c r="E1381">
        <f>INDEX(FactorTable!$B$2:$Y$301, MATCH(ROUND(MIN(300,MAX(1,D1381)),0), FactorTable!$A$2:$A$301,0), Skills!M11+1)</f>
        <v/>
      </c>
      <c r="F1381">
        <f>(Skills!L11/10)*(E1381/1000)+IF(Inputs!$B$3&gt;=134,50,0)+0.5*(30000/10)*(INDEX(FactorTable!$B$2:$Y$301, MATCH(ROUND(MIN(300,MAX(1,D1381)),0), FactorTable!$A$2:$A$301,0), 13)/1000)*B1413</f>
        <v/>
      </c>
      <c r="G1381">
        <f>Skills!G11*IF(Skills!H11&gt;0,Skills!I11/Skills!H11,1)</f>
        <v/>
      </c>
      <c r="H1381">
        <f>1-(1-Skills!J11/100)^Skills!K11</f>
        <v/>
      </c>
      <c r="I1381" t="inlineStr">
        <is>
          <t>1</t>
        </is>
      </c>
      <c r="J1381">
        <f>((Inputs!$B$6*(1+Inputs!$B$7/100))+(((Inputs!$B$12*(1+Inputs!$B$13/100))-(Inputs!$B$12*(1+Inputs!$B$13/100)))+0.25*(Inputs!$B$14-Inputs!$B$14))*(1+Inputs!$B$7/100))*(F1381/100)</f>
        <v/>
      </c>
      <c r="K1381">
        <f>J1381*(1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1381)</f>
        <v/>
      </c>
      <c r="L1381">
        <f>K1381*(MIN(Inputs!$B$22+((C1394=TRUE)*(F1394-Calc!F24)),(Inputs!$B$23+((C1399=TRUE)*(F1399-Calc!F29))+IF(ArtifactsInput!$M$15,CHOOSE(ArtifactsInput!$N$15+1,25,30,35,40,45,50)/100*(Inputs!$B$11-Inputs!$B$11),0)))/100+(Inputs!$B$23+((C1399=TRUE)*(F1399-Calc!F29))+IF(ArtifactsInput!$M$15,CHOOSE(ArtifactsInput!$N$15+1,25,30,35,40,45,50)/100*(Inputs!$B$11-Inputs!$B$11),0))/100)/2</f>
        <v/>
      </c>
      <c r="M1381">
        <f>L1381*(1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1">
        <f>L1381*(1-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IF(B1415=0,0,O1381/B1415)</f>
        <v/>
      </c>
      <c r="Q1381">
        <f>IFERROR(1/IF(Inputs!$B$39="pvp",15,MAX(0.1,Skills!D11-IF(Skills!E11=TRUE,Inputs!$B$32,0))),0)</f>
        <v/>
      </c>
      <c r="R1381">
        <f>IF(AND(Inputs!$B$39&lt;&gt;"pvp",Inputs!$B$44&gt;0),IF(MAX(0,Inputs!$B$44-B1414)&lt;=0,0,(INT(MAX(0,Inputs!$B$44-B1414)/IF(Inputs!$B$39="pvp",15,MAX(0.1,Skills!D11-IF(Skills!E11=TRUE,Inputs!$B$32,0))))+1)),0)</f>
        <v/>
      </c>
      <c r="S1381">
        <f>IFERROR(O1381/N1381,0)</f>
        <v/>
      </c>
      <c r="T1381">
        <f>IF(C1381,(H1381*N1381*IF(AND(Inputs!$B$39&lt;&gt;"pvp",Inputs!$B$44&gt;0),((Skills!G11*((R1381-1)*IF(Skills!H11&gt;0,Skills!I11/Skills!H11,1)+IF(Skills!H11&gt;0,MIN(Skills!I11,MAX(0,MAX(0,Inputs!$B$44-B1414)-((R1381-1)*IF(Inputs!$B$39="pvp",15,MAX(0.1,Skills!D11-IF(Skills!E11=TRUE,Inputs!$B$32,0))))))/Skills!H11,1)))/Inputs!$B$44),G1381*Q1381))*IF(Inputs!$B$39="pvp",1,1+(Inputs!$B$20+0+Skills!P11+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1381*(1-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11*((R1381-1)*IF(Skills!H11&gt;0,Skills!I11/Skills!H11,1)+IF(Skills!H11&gt;0,MIN(Skills!I11,MAX(0,MAX(0,Inputs!$B$44-B1414)-((R1381-1)*IF(Inputs!$B$39="pvp",15,MAX(0.1,Skills!D11-IF(Skills!E11=TRUE,Inputs!$B$32,0))))))/Skills!H11,1)))/Inputs!$B$44),G1381*Q1381))*IF(Inputs!$B$39="pvp",1,(1+(Inputs!$B$21+Skills!Q11+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Skills!A12</f>
        <v/>
      </c>
      <c r="B1382">
        <f>Skills!B12</f>
        <v/>
      </c>
      <c r="C1382">
        <f>Inputs!$B$3&gt;=105</f>
        <v/>
      </c>
      <c r="D1382">
        <f>IF(Skills!C12=1,60+Inputs!$B$25+Inputs!$B$29,IF(Skills!C12=2,90+Inputs!$B$26+Inputs!$B$29,IF(Skills!C12=3,120+Inputs!$B$27+Inputs!$B$29,MAX(0,(Inputs!$B$3-100)*3)+Inputs!$B$28+Inputs!$B$29)))</f>
        <v/>
      </c>
      <c r="E1382">
        <f>INDEX(FactorTable!$B$2:$Y$301, MATCH(ROUND(MIN(300,MAX(1,D1382)),0), FactorTable!$A$2:$A$301,0), Skills!M12+1)</f>
        <v/>
      </c>
      <c r="F1382">
        <f>IF(Skills!N12=TRUE,(Skills!L12/10)*(E1382/1000),Skills!L12/10)+Skills!O12</f>
        <v/>
      </c>
      <c r="G1382">
        <f>Skills!G12*IF(Skills!H12&gt;0,Skills!I12/Skills!H12,1)</f>
        <v/>
      </c>
      <c r="H1382">
        <f>1-(1-Skills!J12/100)^Skills!K12</f>
        <v/>
      </c>
      <c r="I1382" t="inlineStr">
        <is>
          <t>1</t>
        </is>
      </c>
      <c r="J1382">
        <f>((Inputs!$B$6*(1+Inputs!$B$7/100))+(((Inputs!$B$12*(1+Inputs!$B$13/100))-(Inputs!$B$12*(1+Inputs!$B$13/100)))+0.25*(Inputs!$B$14-Inputs!$B$14))*(1+Inputs!$B$7/100))*(F1382/100)</f>
        <v/>
      </c>
      <c r="K1382">
        <f>J1382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1382)</f>
        <v/>
      </c>
      <c r="L1382">
        <f>K1382*(MIN(Inputs!$B$22+((C1394=TRUE)*(F1394-Calc!F24)),(Inputs!$B$23+((C1399=TRUE)*(F1399-Calc!F29))+IF(ArtifactsInput!$M$15,CHOOSE(ArtifactsInput!$N$15+1,25,30,35,40,45,50)/100*(Inputs!$B$11-Inputs!$B$11),0)))/100+(Inputs!$B$23+((C1399=TRUE)*(F1399-Calc!F29))+IF(ArtifactsInput!$M$15,CHOOSE(ArtifactsInput!$N$15+1,25,30,35,40,45,50)/100*(Inputs!$B$11-Inputs!$B$11),0))/100)/2</f>
        <v/>
      </c>
      <c r="M1382">
        <f>L1382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2">
        <f>L1382*(1-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IF(B1415=0,0,O1382/B1415)</f>
        <v/>
      </c>
      <c r="Q1382">
        <f>IFERROR(1/IF(Inputs!$B$39="pvp",15,MAX(0.1,Skills!D12-IF(Skills!E12=TRUE,Inputs!$B$32,0))),0)</f>
        <v/>
      </c>
      <c r="R1382">
        <f>IF(AND(Inputs!$B$39&lt;&gt;"pvp",Inputs!$B$44&gt;0),IF(MAX(0,Inputs!$B$44-B1414)&lt;=0,0,(INT(MAX(0,Inputs!$B$44-B1414)/IF(Inputs!$B$39="pvp",15,MAX(0.1,Skills!D12-IF(Skills!E12=TRUE,Inputs!$B$32,0))))+1)),0)</f>
        <v/>
      </c>
      <c r="S1382">
        <f>IFERROR(O1382/N1382,0)</f>
        <v/>
      </c>
      <c r="T1382">
        <f>IF(C1382,(H1382*N1382*IF(AND(Inputs!$B$39&lt;&gt;"pvp",Inputs!$B$44&gt;0),((Skills!G12*((R1382-1)*IF(Skills!H12&gt;0,Skills!I12/Skills!H12,1)+IF(Skills!H12&gt;0,MIN(Skills!I12,MAX(0,MAX(0,Inputs!$B$44-B1414)-((R1382-1)*IF(Inputs!$B$39="pvp",15,MAX(0.1,Skills!D12-IF(Skills!E12=TRUE,Inputs!$B$32,0))))))/Skills!H12,1)))/Inputs!$B$44),G1382*Q1382))*IF(Inputs!$B$39="pvp",1,1+(Inputs!$B$20+0+Skills!P12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1382*(1-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1382*(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1382*(1-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12*((R1382-1)*IF(Skills!H12&gt;0,Skills!I12/Skills!H12,1)+IF(Skills!H12&gt;0,MIN(Skills!I12,MAX(0,MAX(0,Inputs!$B$44-B1414)-((R1382-1)*IF(Inputs!$B$39="pvp",15,MAX(0.1,Skills!D12-IF(Skills!E12=TRUE,Inputs!$B$32,0))))))/Skills!H12,1)))/Inputs!$B$44),G1382*Q1382))*IF(Inputs!$B$39="pvp",1,(1+(Inputs!$B$21+Skills!Q12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Skills!A13</f>
        <v/>
      </c>
      <c r="B1383">
        <f>Skills!B13</f>
        <v/>
      </c>
      <c r="C1383">
        <f>Inputs!$B$3&gt;=105</f>
        <v/>
      </c>
      <c r="D1383">
        <f>IF(Skills!C13=1,60+Inputs!$B$25+Inputs!$B$29,IF(Skills!C13=2,90+Inputs!$B$26+Inputs!$B$29,IF(Skills!C13=3,120+Inputs!$B$27+Inputs!$B$29,MAX(0,(Inputs!$B$3-100)*3)+Inputs!$B$28+Inputs!$B$29)))</f>
        <v/>
      </c>
      <c r="E1383">
        <f>INDEX(FactorTable!$B$2:$Y$301, MATCH(ROUND(MIN(300,MAX(1,D1383)),0), FactorTable!$A$2:$A$301,0), Skills!M13+1)</f>
        <v/>
      </c>
      <c r="F1383">
        <f>IF(Skills!N13=TRUE,(Skills!L13/10)*(E1383/1000),Skills!L13/10)+Skills!O13</f>
        <v/>
      </c>
      <c r="G1383">
        <f>Skills!G13*IF(Skills!H13&gt;0,Skills!I13/Skills!H13,1)</f>
        <v/>
      </c>
      <c r="H1383">
        <f>1-(1-Skills!J13/100)^Skills!K13</f>
        <v/>
      </c>
      <c r="I1383" t="inlineStr">
        <is>
          <t>1</t>
        </is>
      </c>
      <c r="J1383">
        <f>((Inputs!$B$6*(1+Inputs!$B$7/100))+(((Inputs!$B$12*(1+Inputs!$B$13/100))-(Inputs!$B$12*(1+Inputs!$B$13/100)))+0.25*(Inputs!$B$14-Inputs!$B$14))*(1+Inputs!$B$7/100))*(F1383/100)</f>
        <v/>
      </c>
      <c r="K1383">
        <f>J1383*(1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1383)</f>
        <v/>
      </c>
      <c r="L1383">
        <f>K1383*(MIN(Inputs!$B$22+((C1394=TRUE)*(F1394-Calc!F24)),(Inputs!$B$23+((C1399=TRUE)*(F1399-Calc!F29))+IF(ArtifactsInput!$M$15,CHOOSE(ArtifactsInput!$N$15+1,25,30,35,40,45,50)/100*(Inputs!$B$11-Inputs!$B$11),0)))/100+(Inputs!$B$23+((C1399=TRUE)*(F1399-Calc!F29))+IF(ArtifactsInput!$M$15,CHOOSE(ArtifactsInput!$N$15+1,25,30,35,40,45,50)/100*(Inputs!$B$11-Inputs!$B$11),0))/100)/2</f>
        <v/>
      </c>
      <c r="M1383">
        <f>L1383*(1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3">
        <f>L1383*(1-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(1-Summary!$B$11)*T1383+Summary!$B$11*V1383</f>
        <v/>
      </c>
      <c r="P1383">
        <f>IF(B1415=0,0,O1383/B1415)</f>
        <v/>
      </c>
      <c r="Q1383">
        <f>IFERROR(1/IF(Inputs!$B$39="pvp",15,MAX(0.1,Skills!D13-IF(Skills!E13=TRUE,Inputs!$B$32,0))),0)</f>
        <v/>
      </c>
      <c r="R1383">
        <f>IF(AND(Inputs!$B$39&lt;&gt;"pvp",Inputs!$B$44&gt;0),IF(MAX(0,Inputs!$B$44-B1414)&lt;=0,0,(INT(MAX(0,Inputs!$B$44-B1414)/IF(Inputs!$B$39="pvp",15,MAX(0.1,Skills!D13-IF(Skills!E13=TRUE,Inputs!$B$32,0))))+1)),0)</f>
        <v/>
      </c>
      <c r="S1383">
        <f>IFERROR(O1383/N1383,0)</f>
        <v/>
      </c>
      <c r="T1383">
        <f>IF(C1383,(H1383*N1383*IF(AND(Inputs!$B$39&lt;&gt;"pvp",Inputs!$B$44&gt;0),((Skills!G13*((R1383-1)*IF(Skills!H13&gt;0,Skills!I13/Skills!H13,1)+IF(Skills!H13&gt;0,MIN(Skills!I13,MAX(0,MAX(0,Inputs!$B$44-B1414)-((R1383-1)*IF(Inputs!$B$39="pvp",15,MAX(0.1,Skills!D13-IF(Skills!E13=TRUE,Inputs!$B$32,0))))))/Skills!H13,1)))/Inputs!$B$44),G1383*Q1383))*IF(Inputs!$B$39="pvp",1,1+(Inputs!$B$20+0+Skills!P13+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1383*(1-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3">
        <f>IF(C1383,(H1383*N1383*IF(AND(Inputs!$B$39&lt;&gt;"pvp",Inputs!$B$44&gt;0),((Skills!G13*((R1383-1)*IF(Skills!H13&gt;0,Skills!I13/Skills!H13,1)+IF(Skills!H13&gt;0,MIN(Skills!I13,MAX(0,MAX(0,Inputs!$B$44-B1414)-((R1383-1)*IF(Inputs!$B$39="pvp",15,MAX(0.1,Skills!D13-IF(Skills!E13=TRUE,Inputs!$B$32,0))))))/Skills!H13,1)))/Inputs!$B$44),G1383*Q1383))*IF(Inputs!$B$39="pvp",1,(1+(Inputs!$B$21+Skills!Q13+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Skills!A14</f>
        <v/>
      </c>
      <c r="B1384">
        <f>Skills!B14</f>
        <v/>
      </c>
      <c r="C1384">
        <f>Inputs!$B$3&gt;=107</f>
        <v/>
      </c>
      <c r="D1384">
        <f>IF(Skills!C14=1,60+Inputs!$B$25+Inputs!$B$29,IF(Skills!C14=2,90+Inputs!$B$26+Inputs!$B$29,IF(Skills!C14=3,120+Inputs!$B$27+Inputs!$B$29,MAX(0,(Inputs!$B$3-100)*3)+Inputs!$B$28+Inputs!$B$29)))</f>
        <v/>
      </c>
      <c r="E1384">
        <f>INDEX(FactorTable!$B$2:$Y$301, MATCH(ROUND(MIN(300,MAX(1,D1384)),0), FactorTable!$A$2:$A$301,0), Skills!M14+1)</f>
        <v/>
      </c>
      <c r="F1384">
        <f>IF(Skills!N14=TRUE,(Skills!L14/10)*(E1384/1000),Skills!L14/10)+Skills!O14</f>
        <v/>
      </c>
      <c r="G1384">
        <f>Skills!G14*IF(Skills!H14&gt;0,Skills!I14/Skills!H14,1)</f>
        <v/>
      </c>
      <c r="H1384">
        <f>1-(1-Skills!J14/100)^Skills!K14</f>
        <v/>
      </c>
      <c r="I1384" t="inlineStr">
        <is>
          <t>1</t>
        </is>
      </c>
      <c r="J1384">
        <f>((Inputs!$B$6*(1+Inputs!$B$7/100))+(((Inputs!$B$12*(1+Inputs!$B$13/100))-(Inputs!$B$12*(1+Inputs!$B$13/100)))+0.25*(Inputs!$B$14-Inputs!$B$14))*(1+Inputs!$B$7/100))*(F1384/100)</f>
        <v/>
      </c>
      <c r="K1384">
        <f>J1384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1384)</f>
        <v/>
      </c>
      <c r="L1384">
        <f>K1384*(MIN(Inputs!$B$22+((C1394=TRUE)*(F1394-Calc!F24)),(Inputs!$B$23+((C1399=TRUE)*(F1399-Calc!F29))+IF(ArtifactsInput!$M$15,CHOOSE(ArtifactsInput!$N$15+1,25,30,35,40,45,50)/100*(Inputs!$B$11-Inputs!$B$11),0)))/100+(Inputs!$B$23+((C1399=TRUE)*(F1399-Calc!F29))+IF(ArtifactsInput!$M$15,CHOOSE(ArtifactsInput!$N$15+1,25,30,35,40,45,50)/100*(Inputs!$B$11-Inputs!$B$11),0))/100)/2</f>
        <v/>
      </c>
      <c r="M1384">
        <f>L1384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4">
        <f>L1384*(1-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IF(B1415=0,0,O1384/B1415)</f>
        <v/>
      </c>
      <c r="Q1384">
        <f>IFERROR(1/IF(Inputs!$B$39="pvp",15,MAX(0.1,Skills!D14-IF(Skills!E14=TRUE,Inputs!$B$32,0))),0)</f>
        <v/>
      </c>
      <c r="R1384">
        <f>IF(AND(Inputs!$B$39&lt;&gt;"pvp",Inputs!$B$44&gt;0),IF(MAX(0,Inputs!$B$44-B1414)&lt;=0,0,(INT(MAX(0,Inputs!$B$44-B1414)/IF(Inputs!$B$39="pvp",15,MAX(0.1,Skills!D14-IF(Skills!E14=TRUE,Inputs!$B$32,0))))+1)),0)</f>
        <v/>
      </c>
      <c r="S1384">
        <f>IFERROR(O1384/N1384,0)</f>
        <v/>
      </c>
      <c r="T1384">
        <f>IF(C1384,(H1384*N1384*IF(AND(Inputs!$B$39&lt;&gt;"pvp",Inputs!$B$44&gt;0),((Skills!G14*((R1384-1)*IF(Skills!H14&gt;0,Skills!I14/Skills!H14,1)+IF(Skills!H14&gt;0,MIN(Skills!I14,MAX(0,MAX(0,Inputs!$B$44-B1414)-((R1384-1)*IF(Inputs!$B$39="pvp",15,MAX(0.1,Skills!D14-IF(Skills!E14=TRUE,Inputs!$B$32,0))))))/Skills!H14,1)))/Inputs!$B$44),G1384*Q1384))*IF(Inputs!$B$39="pvp",1,1+(Inputs!$B$20+0+Skills!P14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1384*(1-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14*((R1384-1)*IF(Skills!H14&gt;0,Skills!I14/Skills!H14,1)+IF(Skills!H14&gt;0,MIN(Skills!I14,MAX(0,MAX(0,Inputs!$B$44-B1414)-((R1384-1)*IF(Inputs!$B$39="pvp",15,MAX(0.1,Skills!D14-IF(Skills!E14=TRUE,Inputs!$B$32,0))))))/Skills!H14,1)))/Inputs!$B$44),G1384*Q1384))*IF(Inputs!$B$39="pvp",1,(1+(Inputs!$B$21+Skills!Q14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(5,0.25*B1407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Skills!A15</f>
        <v/>
      </c>
      <c r="B1385">
        <f>Skills!B15</f>
        <v/>
      </c>
      <c r="C1385">
        <f>Inputs!$B$3&gt;=110</f>
        <v/>
      </c>
      <c r="D1385">
        <f>IF(Skills!C15=1,60+Inputs!$B$25+Inputs!$B$29,IF(Skills!C15=2,90+Inputs!$B$26+Inputs!$B$29,IF(Skills!C15=3,120+Inputs!$B$27+Inputs!$B$29,MAX(0,(Inputs!$B$3-100)*3)+Inputs!$B$28+Inputs!$B$29)))</f>
        <v/>
      </c>
      <c r="E1385">
        <f>INDEX(FactorTable!$B$2:$Y$301, MATCH(ROUND(MIN(300,MAX(1,D1385)),0), FactorTable!$A$2:$A$301,0), Skills!M15+1)</f>
        <v/>
      </c>
      <c r="F1385">
        <f>IF(Skills!N15=TRUE,(Skills!L15/10)*(E1385/1000),Skills!L15/10)+Skills!O15</f>
        <v/>
      </c>
      <c r="G1385">
        <f>Skills!G15*IF(Skills!H15&gt;0,Skills!I15/Skills!H15,1)</f>
        <v/>
      </c>
      <c r="H1385">
        <f>1-(1-Skills!J15/100)^Skills!K15</f>
        <v/>
      </c>
      <c r="I1385" t="inlineStr">
        <is>
          <t>1</t>
        </is>
      </c>
      <c r="J1385" t="inlineStr"/>
      <c r="K1385" t="inlineStr"/>
      <c r="L1385" t="inlineStr"/>
      <c r="M1385" t="inlineStr"/>
      <c r="N1385" t="inlineStr"/>
      <c r="O1385">
        <f>(1-Summary!$B$11)*T1385+Summary!$B$11*V1385</f>
        <v/>
      </c>
      <c r="P1385">
        <f>IF(B1415=0,0,O1385/B1415)</f>
        <v/>
      </c>
      <c r="Q1385">
        <f>IFERROR(1/IF(Inputs!$B$39="pvp",15,MAX(0.1,Skills!D15-IF(Skills!E15=TRUE,Inputs!$B$32,0))),0)</f>
        <v/>
      </c>
      <c r="R1385">
        <f>IF(AND(Inputs!$B$39&lt;&gt;"pvp",Inputs!$B$44&gt;0),IF(Inputs!$B$44&lt;=0,0,(INT(Inputs!$B$44/IF(Inputs!$B$39="pvp",15,MAX(0.1,Skills!D15-IF(Skills!E15=TRUE,Inputs!$B$32,0))))+1)),0)</f>
        <v/>
      </c>
      <c r="S1385">
        <f>IFERROR(O1385/N1385,0)</f>
        <v/>
      </c>
      <c r="T1385" t="n">
        <v>0</v>
      </c>
      <c r="V1385" t="n">
        <v>0</v>
      </c>
    </row>
    <row r="1386">
      <c r="A1386">
        <f>Skills!A16</f>
        <v/>
      </c>
      <c r="B1386">
        <f>Skills!B16</f>
        <v/>
      </c>
      <c r="C1386">
        <f>Inputs!$B$3&gt;=115</f>
        <v/>
      </c>
      <c r="D1386">
        <f>IF(Skills!C16=1,60+Inputs!$B$25+Inputs!$B$29,IF(Skills!C16=2,90+Inputs!$B$26+Inputs!$B$29,IF(Skills!C16=3,120+Inputs!$B$27+Inputs!$B$29,MAX(0,(Inputs!$B$3-100)*3)+Inputs!$B$28+Inputs!$B$29)))</f>
        <v/>
      </c>
      <c r="E1386">
        <f>INDEX(FactorTable!$B$2:$Y$301, MATCH(ROUND(MIN(300,MAX(1,D1386)),0), FactorTable!$A$2:$A$301,0), Skills!M16+1)</f>
        <v/>
      </c>
      <c r="F1386">
        <f>IF(Skills!N16=TRUE,(Skills!L16/10)*(E1386/1000),Skills!L16/10)+Skills!O16</f>
        <v/>
      </c>
      <c r="G1386">
        <f>Skills!G16*IF(Skills!H16&gt;0,Skills!I16/Skills!H16,1)</f>
        <v/>
      </c>
      <c r="H1386">
        <f>1-(1-Skills!J16/100)^Skills!K16</f>
        <v/>
      </c>
      <c r="I1386" t="inlineStr">
        <is>
          <t>1</t>
        </is>
      </c>
      <c r="J1386">
        <f>((Inputs!$B$6*(1+Inputs!$B$7/100))+(((Inputs!$B$12*(1+Inputs!$B$13/100))-(Inputs!$B$12*(1+Inputs!$B$13/100)))+0.25*(Inputs!$B$14-Inputs!$B$14))*(1+Inputs!$B$7/100))*(F1386/100)</f>
        <v/>
      </c>
      <c r="K1386">
        <f>J1386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1397=TRUE)*(F1397-Calc!F27))+((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1386)</f>
        <v/>
      </c>
      <c r="L1386">
        <f>K1386*(MIN(Inputs!$B$22+((C1394=TRUE)*(F1394-Calc!F24)),(Inputs!$B$23+((C1399=TRUE)*(F1399-Calc!F29))+IF(ArtifactsInput!$M$15,CHOOSE(ArtifactsInput!$N$15+1,25,30,35,40,45,50)/100*(Inputs!$B$11-Inputs!$B$11),0)))/100+(Inputs!$B$23+((C1399=TRUE)*(F1399-Calc!F29))+IF(ArtifactsInput!$M$15,CHOOSE(ArtifactsInput!$N$15+1,25,30,35,40,45,50)/100*(Inputs!$B$11-Inputs!$B$11),0))/100)/2</f>
        <v/>
      </c>
      <c r="M1386">
        <f>L1386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6">
        <f>L1386*(1-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(1-Summary!$B$11)*T1386+Summary!$B$11*V1386</f>
        <v/>
      </c>
      <c r="P1386">
        <f>IF(B1415=0,0,O1386/B1415)</f>
        <v/>
      </c>
      <c r="Q1386" t="n">
        <v>0</v>
      </c>
      <c r="R1386" t="n">
        <v>0</v>
      </c>
      <c r="S1386">
        <f>IFERROR(O1386/N1386,0)</f>
        <v/>
      </c>
      <c r="T1386">
        <f>IF(C1386,((Inputs!$B$38+1)*0.2*N1386)*IF(Inputs!$B$39="pvp",1,1+(Inputs!$B$20+0+Skills!P16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1386*(1-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$9+((C1395=TRUE)*(F1395-Calc!F25))+B1403+(ArtifactsInput!$M$24-ArtifactsInput!$M$24)*CHOOSE(ArtifactsInput!$N$24+1,10,12,14,16,18,20)+(IF(AND(Inputs!$B$39&lt;&gt;"pvp",Inputs!$B$44=0),1,IF(IF(Inputs!$B$39="pvp",15,Inputs!$B$44)-(B1414)&lt;=0,1,MAX(0,IF(Inputs!$B$39="pvp",15,Inputs!$B$44)-MAX(5,B1414))/(IF(Inputs!$B$39="pvp",15,Inputs!$B$44)-(B1414))))*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6">
        <f>IF(C1386,((Inputs!$B$38+1)*0.2*N1386)*IF(Inputs!$B$39="pvp",1,(1+(Inputs!$B$21+Skills!Q16+B1404+(IF(ArtifactsInput!$M$33,CHOOSE(ArtifactsInput!$N$33+1,30,36,42,48,54,60),0))+(IF(AND(ArtifactsInput!$M$35,Inputs!$B$4&lt;&gt;"Chapter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Skills!A17</f>
        <v/>
      </c>
      <c r="B1387">
        <f>Skills!B17</f>
        <v/>
      </c>
      <c r="C1387">
        <f>Inputs!$B$3&gt;=115</f>
        <v/>
      </c>
      <c r="D1387">
        <f>IF(Skills!C17=1,60+Inputs!$B$25+Inputs!$B$29,IF(Skills!C17=2,90+Inputs!$B$26+Inputs!$B$29,IF(Skills!C17=3,120+Inputs!$B$27+Inputs!$B$29,MAX(0,(Inputs!$B$3-100)*3)+Inputs!$B$28+Inputs!$B$29)))</f>
        <v/>
      </c>
      <c r="E1387">
        <f>INDEX(FactorTable!$B$2:$Y$301, MATCH(ROUND(MIN(300,MAX(1,D1387)),0), FactorTable!$A$2:$A$301,0), Skills!M17+1)</f>
        <v/>
      </c>
      <c r="F1387">
        <f>IF(Skills!N17=TRUE,(Skills!L17/10)*(E1387/1000),Skills!L17/10)+Skills!O17</f>
        <v/>
      </c>
      <c r="G1387">
        <f>Skills!G17*IF(Skills!H17&gt;0,Skills!I17/Skills!H17,1)</f>
        <v/>
      </c>
      <c r="H1387">
        <f>1-(1-Skills!J17/100)^Skills!K17</f>
        <v/>
      </c>
      <c r="I1387" t="inlineStr">
        <is>
          <t>1</t>
        </is>
      </c>
      <c r="J1387" t="inlineStr"/>
      <c r="K1387" t="inlineStr"/>
      <c r="L1387" t="inlineStr"/>
      <c r="M1387" t="inlineStr"/>
      <c r="N1387" t="inlineStr"/>
      <c r="O1387">
        <f>(1-Summary!$B$11)*T1387+Summary!$B$11*V1387</f>
        <v/>
      </c>
      <c r="P1387">
        <f>IF(B1415=0,0,O1387/B1415)</f>
        <v/>
      </c>
      <c r="Q1387" t="n">
        <v>0</v>
      </c>
      <c r="R1387" t="n">
        <v>0</v>
      </c>
      <c r="S1387">
        <f>IFERROR(O1387/N1387,0)</f>
        <v/>
      </c>
      <c r="T1387" t="n">
        <v>0</v>
      </c>
      <c r="V1387" t="n">
        <v>0</v>
      </c>
    </row>
    <row r="1388">
      <c r="A1388">
        <f>Skills!A18</f>
        <v/>
      </c>
      <c r="B1388">
        <f>Skills!B18</f>
        <v/>
      </c>
      <c r="C1388">
        <f>Inputs!$B$3&gt;=100</f>
        <v/>
      </c>
      <c r="D1388">
        <f>IF(Skills!C18=1,60+Inputs!$B$25+Inputs!$B$29,IF(Skills!C18=2,90+Inputs!$B$26+Inputs!$B$29,IF(Skills!C18=3,120+Inputs!$B$27+Inputs!$B$29,MAX(0,(Inputs!$B$3-100)*3)+Inputs!$B$28+Inputs!$B$29)))</f>
        <v/>
      </c>
      <c r="E1388">
        <f>INDEX(FactorTable!$B$2:$Y$301, MATCH(ROUND(MIN(300,MAX(1,D1388)),0), FactorTable!$A$2:$A$301,0), Skills!M18+1)</f>
        <v/>
      </c>
      <c r="F1388">
        <f>IF(Skills!N18=TRUE,(Skills!L18/10)*(E1388/1000),Skills!L18/10)+Skills!O18</f>
        <v/>
      </c>
      <c r="G1388">
        <f>Skills!G18*IF(Skills!H18&gt;0,Skills!I18/Skills!H18,1)</f>
        <v/>
      </c>
      <c r="H1388">
        <f>1-(1-Skills!J18/100)^Skills!K18</f>
        <v/>
      </c>
      <c r="I1388" t="inlineStr">
        <is>
          <t>1</t>
        </is>
      </c>
      <c r="J1388" t="inlineStr"/>
      <c r="K1388" t="inlineStr"/>
      <c r="L1388" t="inlineStr"/>
      <c r="M1388" t="inlineStr"/>
      <c r="N1388" t="inlineStr"/>
      <c r="O1388">
        <f>(1-Summary!$B$11)*T1388+Summary!$B$11*V1388</f>
        <v/>
      </c>
      <c r="P1388">
        <f>IF(B1415=0,0,O1388/B1415)</f>
        <v/>
      </c>
      <c r="Q1388" t="n">
        <v>0</v>
      </c>
      <c r="R1388" t="n">
        <v>0</v>
      </c>
      <c r="S1388">
        <f>IFERROR(O1388/N1388,0)</f>
        <v/>
      </c>
      <c r="T1388" t="n">
        <v>0</v>
      </c>
      <c r="V1388" t="n">
        <v>0</v>
      </c>
    </row>
    <row r="1389">
      <c r="A1389">
        <f>Skills!A19</f>
        <v/>
      </c>
      <c r="B1389">
        <f>Skills!B19</f>
        <v/>
      </c>
      <c r="C1389">
        <f>TRUE</f>
        <v/>
      </c>
      <c r="D1389">
        <f>IF(Skills!C19=1,60+Inputs!$B$25+Inputs!$B$29,IF(Skills!C19=2,90+Inputs!$B$26+Inputs!$B$29,IF(Skills!C19=3,120+Inputs!$B$27+Inputs!$B$29,MAX(0,(Inputs!$B$3-100)*3)+Inputs!$B$28+Inputs!$B$29)))</f>
        <v/>
      </c>
      <c r="E1389">
        <f>INDEX(FactorTable!$B$2:$Y$301, MATCH(ROUND(MIN(300,MAX(1,D1389)),0), FactorTable!$A$2:$A$301,0), Skills!M19+1)</f>
        <v/>
      </c>
      <c r="F1389">
        <f>IF(Skills!N19=TRUE,(Skills!L19/10)*(E1389/1000),Skills!L19/10)+Skills!O19</f>
        <v/>
      </c>
      <c r="G1389">
        <f>Skills!G19*IF(Skills!H19&gt;0,Skills!I19/Skills!H19,1)</f>
        <v/>
      </c>
      <c r="H1389">
        <f>1-(1-Skills!J19/100)^Skills!K19</f>
        <v/>
      </c>
      <c r="I1389" t="inlineStr">
        <is>
          <t>1</t>
        </is>
      </c>
      <c r="J1389" t="inlineStr"/>
      <c r="K1389" t="inlineStr"/>
      <c r="L1389" t="inlineStr"/>
      <c r="M1389" t="inlineStr"/>
      <c r="N1389" t="inlineStr"/>
      <c r="O1389">
        <f>(1-Summary!$B$11)*T1389+Summary!$B$11*V1389</f>
        <v/>
      </c>
      <c r="P1389">
        <f>IF(B1415=0,0,O1389/B1415)</f>
        <v/>
      </c>
      <c r="Q1389">
        <f>IFERROR(1/IF(Inputs!$B$39="pvp",15,MAX(0.1,Skills!D19-IF(Skills!E19=TRUE,Inputs!$B$32,0))),0)</f>
        <v/>
      </c>
      <c r="R1389">
        <f>IF(AND(Inputs!$B$39&lt;&gt;"pvp",Inputs!$B$44&gt;0),IF(Inputs!$B$44&lt;=0,0,(INT(Inputs!$B$44/IF(Inputs!$B$39="pvp",15,MAX(0.1,Skills!D19-IF(Skills!E19=TRUE,Inputs!$B$32,0))))+1)),0)</f>
        <v/>
      </c>
      <c r="S1389">
        <f>IFERROR(O1389/N1389,0)</f>
        <v/>
      </c>
      <c r="T1389" t="n">
        <v>0</v>
      </c>
      <c r="V1389" t="n">
        <v>0</v>
      </c>
    </row>
    <row r="1390">
      <c r="A1390">
        <f>Skills!A20</f>
        <v/>
      </c>
      <c r="B1390">
        <f>Skills!B20</f>
        <v/>
      </c>
      <c r="C1390">
        <f>Inputs!$B$3&gt;=15</f>
        <v/>
      </c>
      <c r="D1390">
        <f>IF(Skills!C20=1,60+Inputs!$B$25+Inputs!$B$29,IF(Skills!C20=2,90+Inputs!$B$26+Inputs!$B$29,IF(Skills!C20=3,120+Inputs!$B$27+Inputs!$B$29,MAX(0,(Inputs!$B$3-100)*3)+Inputs!$B$28+Inputs!$B$29)))</f>
        <v/>
      </c>
      <c r="E1390">
        <f>INDEX(FactorTable!$B$2:$Y$301, MATCH(ROUND(MIN(300,MAX(1,D1390)),0), FactorTable!$A$2:$A$301,0), Skills!M20+1)</f>
        <v/>
      </c>
      <c r="F1390">
        <f>IF(Skills!N20=TRUE,(Skills!L20/10)*(E1390/1000),Skills!L20/10)+Skills!O20</f>
        <v/>
      </c>
      <c r="G1390">
        <f>Skills!G20*IF(Skills!H20&gt;0,Skills!I20/Skills!H20,1)</f>
        <v/>
      </c>
      <c r="H1390">
        <f>1-(1-Skills!J20/100)^Skills!K20</f>
        <v/>
      </c>
      <c r="I1390" t="inlineStr">
        <is>
          <t>1</t>
        </is>
      </c>
      <c r="J1390" t="inlineStr"/>
      <c r="K1390" t="inlineStr"/>
      <c r="L1390" t="inlineStr"/>
      <c r="M1390" t="inlineStr"/>
      <c r="N1390" t="inlineStr"/>
      <c r="O1390">
        <f>(1-Summary!$B$11)*T1390+Summary!$B$11*V1390</f>
        <v/>
      </c>
      <c r="P1390">
        <f>IF(B1415=0,0,O1390/B1415)</f>
        <v/>
      </c>
      <c r="Q1390">
        <f>IFERROR(1/IF(Inputs!$B$39="pvp",15,MAX(0.1,Skills!D20-IF(Skills!E20=TRUE,Inputs!$B$32,0))),0)</f>
        <v/>
      </c>
      <c r="R1390">
        <f>IF(AND(Inputs!$B$39&lt;&gt;"pvp",Inputs!$B$44&gt;0),IF(Inputs!$B$44&lt;=0,0,(INT(Inputs!$B$44/IF(Inputs!$B$39="pvp",15,MAX(0.1,Skills!D20-IF(Skills!E20=TRUE,Inputs!$B$32,0))))+1)),0)</f>
        <v/>
      </c>
      <c r="S1390">
        <f>IFERROR(O1390/N1390,0)</f>
        <v/>
      </c>
      <c r="T1390" t="n">
        <v>0</v>
      </c>
      <c r="V1390" t="n">
        <v>0</v>
      </c>
    </row>
    <row r="1391">
      <c r="A1391">
        <f>Skills!A21</f>
        <v/>
      </c>
      <c r="B1391">
        <f>Skills!B21</f>
        <v/>
      </c>
      <c r="C1391">
        <f>Inputs!$B$3&gt;=15</f>
        <v/>
      </c>
      <c r="D1391">
        <f>IF(Skills!C21=1,60+Inputs!$B$25+Inputs!$B$29,IF(Skills!C21=2,90+Inputs!$B$26+Inputs!$B$29,IF(Skills!C21=3,120+Inputs!$B$27+Inputs!$B$29,MAX(0,(Inputs!$B$3-100)*3)+Inputs!$B$28+Inputs!$B$29)))</f>
        <v/>
      </c>
      <c r="E1391">
        <f>INDEX(FactorTable!$B$2:$Y$301, MATCH(ROUND(MIN(300,MAX(1,D1391)),0), FactorTable!$A$2:$A$301,0), Skills!M21+1)</f>
        <v/>
      </c>
      <c r="F1391">
        <f>IF(Skills!N21=TRUE,(Skills!L21/10)*(E1391/1000),Skills!L21/10)+Skills!O21</f>
        <v/>
      </c>
      <c r="G1391">
        <f>Skills!G21*IF(Skills!H21&gt;0,Skills!I21/Skills!H21,1)</f>
        <v/>
      </c>
      <c r="H1391">
        <f>1-(1-Skills!J21/100)^Skills!K21</f>
        <v/>
      </c>
      <c r="I1391" t="inlineStr">
        <is>
          <t>1</t>
        </is>
      </c>
      <c r="J1391" t="inlineStr"/>
      <c r="K1391" t="inlineStr"/>
      <c r="L1391" t="inlineStr"/>
      <c r="M1391" t="inlineStr"/>
      <c r="N1391" t="inlineStr"/>
      <c r="O1391">
        <f>(1-Summary!$B$11)*T1391+Summary!$B$11*V1391</f>
        <v/>
      </c>
      <c r="P1391">
        <f>IF(B1415=0,0,O1391/B1415)</f>
        <v/>
      </c>
      <c r="Q1391">
        <f>IFERROR(1/IF(Inputs!$B$39="pvp",15,MAX(0.1,Skills!D21-IF(Skills!E21=TRUE,Inputs!$B$32,0))),0)</f>
        <v/>
      </c>
      <c r="R1391">
        <f>IF(AND(Inputs!$B$39&lt;&gt;"pvp",Inputs!$B$44&gt;0),IF(Inputs!$B$44&lt;=0,0,(INT(Inputs!$B$44/IF(Inputs!$B$39="pvp",15,MAX(0.1,Skills!D21-IF(Skills!E21=TRUE,Inputs!$B$32,0))))+1)),0)</f>
        <v/>
      </c>
      <c r="S1391">
        <f>IFERROR(O1391/N1391,0)</f>
        <v/>
      </c>
      <c r="T1391" t="n">
        <v>0</v>
      </c>
      <c r="V1391" t="n">
        <v>0</v>
      </c>
    </row>
    <row r="1392">
      <c r="A1392">
        <f>Skills!A22</f>
        <v/>
      </c>
      <c r="B1392">
        <f>Skills!B22</f>
        <v/>
      </c>
      <c r="C1392">
        <f>Inputs!$B$3&gt;=33</f>
        <v/>
      </c>
      <c r="D1392">
        <f>IF(Skills!C22=1,60+Inputs!$B$25+Inputs!$B$29,IF(Skills!C22=2,90+Inputs!$B$26+Inputs!$B$29,IF(Skills!C22=3,120+Inputs!$B$27+Inputs!$B$29,MAX(0,(Inputs!$B$3-100)*3)+Inputs!$B$28+Inputs!$B$29)))</f>
        <v/>
      </c>
      <c r="E1392">
        <f>INDEX(FactorTable!$B$2:$Y$301, MATCH(ROUND(MIN(300,MAX(1,D1392)),0), FactorTable!$A$2:$A$301,0), Skills!M22+1)</f>
        <v/>
      </c>
      <c r="F1392">
        <f>IF(Skills!N22=TRUE,(Skills!L22/10)*(E1392/1000),Skills!L22/10)+Skills!O22</f>
        <v/>
      </c>
      <c r="G1392">
        <f>Skills!G22*IF(Skills!H22&gt;0,Skills!I22/Skills!H22,1)</f>
        <v/>
      </c>
      <c r="H1392">
        <f>1-(1-Skills!J22/100)^Skills!K22</f>
        <v/>
      </c>
      <c r="I1392" t="inlineStr">
        <is>
          <t>1</t>
        </is>
      </c>
      <c r="J1392" t="inlineStr"/>
      <c r="K1392" t="inlineStr"/>
      <c r="L1392" t="inlineStr"/>
      <c r="M1392" t="inlineStr"/>
      <c r="N1392" t="inlineStr"/>
      <c r="O1392">
        <f>(1-Summary!$B$11)*T1392+Summary!$B$11*V1392</f>
        <v/>
      </c>
      <c r="P1392">
        <f>IF(B1415=0,0,O1392/B1415)</f>
        <v/>
      </c>
      <c r="Q1392" t="n">
        <v>0</v>
      </c>
      <c r="R1392" t="n">
        <v>0</v>
      </c>
      <c r="S1392">
        <f>IFERROR(O1392/N1392,0)</f>
        <v/>
      </c>
      <c r="T1392" t="n">
        <v>0</v>
      </c>
      <c r="V1392" t="n">
        <v>0</v>
      </c>
    </row>
    <row r="1393">
      <c r="A1393">
        <f>Skills!A23</f>
        <v/>
      </c>
      <c r="B1393">
        <f>Skills!B23</f>
        <v/>
      </c>
      <c r="C1393">
        <f>Inputs!$B$3&gt;=40</f>
        <v/>
      </c>
      <c r="D1393">
        <f>IF(Skills!C23=1,60+Inputs!$B$25+Inputs!$B$29,IF(Skills!C23=2,90+Inputs!$B$26+Inputs!$B$29,IF(Skills!C23=3,120+Inputs!$B$27+Inputs!$B$29,MAX(0,(Inputs!$B$3-100)*3)+Inputs!$B$28+Inputs!$B$29)))</f>
        <v/>
      </c>
      <c r="E1393">
        <f>INDEX(FactorTable!$B$2:$Y$301, MATCH(ROUND(MIN(300,MAX(1,D1393)),0), FactorTable!$A$2:$A$301,0), Skills!M23+1)</f>
        <v/>
      </c>
      <c r="F1393">
        <f>IF(Skills!N23=TRUE,(Skills!L23/10)*(E1393/1000),Skills!L23/10)+Skills!O23</f>
        <v/>
      </c>
      <c r="G1393">
        <f>Skills!G23*IF(Skills!H23&gt;0,Skills!I23/Skills!H23,1)</f>
        <v/>
      </c>
      <c r="H1393">
        <f>1-(1-Skills!J23/100)^Skills!K23</f>
        <v/>
      </c>
      <c r="I1393" t="inlineStr">
        <is>
          <t>1</t>
        </is>
      </c>
      <c r="J1393" t="inlineStr"/>
      <c r="K1393" t="inlineStr"/>
      <c r="L1393" t="inlineStr"/>
      <c r="M1393" t="inlineStr"/>
      <c r="N1393" t="inlineStr"/>
      <c r="O1393">
        <f>(1-Summary!$B$11)*T1393+Summary!$B$11*V1393</f>
        <v/>
      </c>
      <c r="P1393">
        <f>IF(B1415=0,0,O1393/B1415)</f>
        <v/>
      </c>
      <c r="Q1393" t="n">
        <v>0</v>
      </c>
      <c r="R1393" t="n">
        <v>0</v>
      </c>
      <c r="S1393">
        <f>IFERROR(O1393/N1393,0)</f>
        <v/>
      </c>
      <c r="T1393" t="n">
        <v>0</v>
      </c>
      <c r="V1393" t="n">
        <v>0</v>
      </c>
    </row>
    <row r="1394">
      <c r="A1394">
        <f>Skills!A24</f>
        <v/>
      </c>
      <c r="B1394">
        <f>Skills!B24</f>
        <v/>
      </c>
      <c r="C1394">
        <f>Inputs!$B$3&gt;=43</f>
        <v/>
      </c>
      <c r="D1394">
        <f>IF(Skills!C24=1,60+Inputs!$B$25+Inputs!$B$29,IF(Skills!C24=2,90+Inputs!$B$26+Inputs!$B$29,IF(Skills!C24=3,120+Inputs!$B$27+Inputs!$B$29,MAX(0,(Inputs!$B$3-100)*3)+Inputs!$B$28+Inputs!$B$29)))</f>
        <v/>
      </c>
      <c r="E1394">
        <f>INDEX(FactorTable!$B$2:$Y$301, MATCH(ROUND(MIN(300,MAX(1,D1394)),0), FactorTable!$A$2:$A$301,0), Skills!M24+1)</f>
        <v/>
      </c>
      <c r="F1394">
        <f>IF(Skills!N24=TRUE,(Skills!L24/10)*(E1394/1000),Skills!L24/10)+Skills!O24</f>
        <v/>
      </c>
      <c r="G1394">
        <f>Skills!G24*IF(Skills!H24&gt;0,Skills!I24/Skills!H24,1)</f>
        <v/>
      </c>
      <c r="H1394">
        <f>1-(1-Skills!J24/100)^Skills!K24</f>
        <v/>
      </c>
      <c r="I1394" t="inlineStr">
        <is>
          <t>1</t>
        </is>
      </c>
      <c r="J1394" t="inlineStr"/>
      <c r="K1394" t="inlineStr"/>
      <c r="L1394" t="inlineStr"/>
      <c r="M1394" t="inlineStr"/>
      <c r="N1394" t="inlineStr"/>
      <c r="O1394">
        <f>(1-Summary!$B$11)*T1394+Summary!$B$11*V1394</f>
        <v/>
      </c>
      <c r="P1394">
        <f>IF(B1415=0,0,O1394/B1415)</f>
        <v/>
      </c>
      <c r="Q1394" t="n">
        <v>0</v>
      </c>
      <c r="R1394" t="n">
        <v>0</v>
      </c>
      <c r="S1394">
        <f>IFERROR(O1394/N1394,0)</f>
        <v/>
      </c>
      <c r="T1394" t="n">
        <v>0</v>
      </c>
      <c r="V1394" t="n">
        <v>0</v>
      </c>
    </row>
    <row r="1395">
      <c r="A1395">
        <f>Skills!A25</f>
        <v/>
      </c>
      <c r="B1395">
        <f>Skills!B25</f>
        <v/>
      </c>
      <c r="C1395">
        <f>Inputs!$B$3&gt;=50</f>
        <v/>
      </c>
      <c r="D1395">
        <f>IF(Skills!C25=1,60+Inputs!$B$25+Inputs!$B$29,IF(Skills!C25=2,90+Inputs!$B$26+Inputs!$B$29,IF(Skills!C25=3,120+Inputs!$B$27+Inputs!$B$29,MAX(0,(Inputs!$B$3-100)*3)+Inputs!$B$28+Inputs!$B$29)))</f>
        <v/>
      </c>
      <c r="E1395">
        <f>INDEX(FactorTable!$B$2:$Y$301, MATCH(ROUND(MIN(300,MAX(1,D1395)),0), FactorTable!$A$2:$A$301,0), Skills!M25+1)</f>
        <v/>
      </c>
      <c r="F1395">
        <f>IF(Skills!N25=TRUE,(Skills!L25/10)*(E1395/1000),Skills!L25/10)+Skills!O25</f>
        <v/>
      </c>
      <c r="G1395">
        <f>Skills!G25*IF(Skills!H25&gt;0,Skills!I25/Skills!H25,1)</f>
        <v/>
      </c>
      <c r="H1395">
        <f>1-(1-Skills!J25/100)^Skills!K25</f>
        <v/>
      </c>
      <c r="I1395" t="inlineStr">
        <is>
          <t>1</t>
        </is>
      </c>
      <c r="J1395" t="inlineStr"/>
      <c r="K1395" t="inlineStr"/>
      <c r="L1395" t="inlineStr"/>
      <c r="M1395" t="inlineStr"/>
      <c r="N1395" t="inlineStr"/>
      <c r="O1395">
        <f>(1-Summary!$B$11)*T1395+Summary!$B$11*V1395</f>
        <v/>
      </c>
      <c r="P1395">
        <f>IF(B1415=0,0,O1395/B1415)</f>
        <v/>
      </c>
      <c r="Q1395" t="n">
        <v>0</v>
      </c>
      <c r="R1395" t="n">
        <v>0</v>
      </c>
      <c r="S1395">
        <f>IFERROR(O1395/N1395,0)</f>
        <v/>
      </c>
      <c r="T1395" t="n">
        <v>0</v>
      </c>
      <c r="V1395" t="n">
        <v>0</v>
      </c>
    </row>
    <row r="1396">
      <c r="A1396">
        <f>Skills!A26</f>
        <v/>
      </c>
      <c r="B1396">
        <f>Skills!B26</f>
        <v/>
      </c>
      <c r="C1396">
        <f>Inputs!$B$3&gt;=50</f>
        <v/>
      </c>
      <c r="D1396">
        <f>IF(Skills!C26=1,60+Inputs!$B$25+Inputs!$B$29,IF(Skills!C26=2,90+Inputs!$B$26+Inputs!$B$29,IF(Skills!C26=3,120+Inputs!$B$27+Inputs!$B$29,MAX(0,(Inputs!$B$3-100)*3)+Inputs!$B$28+Inputs!$B$29)))</f>
        <v/>
      </c>
      <c r="E1396">
        <f>INDEX(FactorTable!$B$2:$Y$301, MATCH(ROUND(MIN(300,MAX(1,D1396)),0), FactorTable!$A$2:$A$301,0), Skills!M26+1)</f>
        <v/>
      </c>
      <c r="F1396">
        <f>IF(Skills!N26=TRUE,(Skills!L26/10)*(E1396/1000),Skills!L26/10)+Skills!O26</f>
        <v/>
      </c>
      <c r="G1396">
        <f>Skills!G26*IF(Skills!H26&gt;0,Skills!I26/Skills!H26,1)</f>
        <v/>
      </c>
      <c r="H1396">
        <f>1-(1-Skills!J26/100)^Skills!K26</f>
        <v/>
      </c>
      <c r="I1396" t="inlineStr">
        <is>
          <t>1</t>
        </is>
      </c>
      <c r="J1396" t="inlineStr"/>
      <c r="K1396" t="inlineStr"/>
      <c r="L1396" t="inlineStr"/>
      <c r="M1396" t="inlineStr"/>
      <c r="N1396" t="inlineStr"/>
      <c r="O1396">
        <f>(1-Summary!$B$11)*T1396+Summary!$B$11*V1396</f>
        <v/>
      </c>
      <c r="P1396">
        <f>IF(B1415=0,0,O1396/B1415)</f>
        <v/>
      </c>
      <c r="Q1396" t="n">
        <v>0</v>
      </c>
      <c r="R1396" t="n">
        <v>0</v>
      </c>
      <c r="S1396">
        <f>IFERROR(O1396/N1396,0)</f>
        <v/>
      </c>
      <c r="T1396" t="n">
        <v>0</v>
      </c>
      <c r="V1396" t="n">
        <v>0</v>
      </c>
    </row>
    <row r="1397">
      <c r="A1397">
        <f>Skills!A27</f>
        <v/>
      </c>
      <c r="B1397">
        <f>Skills!B27</f>
        <v/>
      </c>
      <c r="C1397">
        <f>Inputs!$B$3&gt;=38</f>
        <v/>
      </c>
      <c r="D1397">
        <f>IF(Skills!C27=1,60+Inputs!$B$25+Inputs!$B$29,IF(Skills!C27=2,90+Inputs!$B$26+Inputs!$B$29,IF(Skills!C27=3,120+Inputs!$B$27+Inputs!$B$29,MAX(0,(Inputs!$B$3-100)*3)+Inputs!$B$28+Inputs!$B$29)))</f>
        <v/>
      </c>
      <c r="E1397">
        <f>INDEX(FactorTable!$B$2:$Y$301, MATCH(ROUND(MIN(300,MAX(1,D1397)),0), FactorTable!$A$2:$A$301,0), Skills!M27+1)</f>
        <v/>
      </c>
      <c r="F1397">
        <f>IF(Skills!N27=TRUE,(Skills!L27/10)*(E1397/1000),Skills!L27/10)+Skills!O27</f>
        <v/>
      </c>
      <c r="G1397">
        <f>Skills!G27*IF(Skills!H27&gt;0,Skills!I27/Skills!H27,1)</f>
        <v/>
      </c>
      <c r="H1397">
        <f>1-(1-Skills!J27/100)^Skills!K27</f>
        <v/>
      </c>
      <c r="I1397" t="inlineStr">
        <is>
          <t>1</t>
        </is>
      </c>
      <c r="J1397" t="inlineStr"/>
      <c r="K1397" t="inlineStr"/>
      <c r="L1397" t="inlineStr"/>
      <c r="M1397" t="inlineStr"/>
      <c r="N1397" t="inlineStr"/>
      <c r="O1397">
        <f>(1-Summary!$B$11)*T1397+Summary!$B$11*V1397</f>
        <v/>
      </c>
      <c r="P1397">
        <f>IF(B1415=0,0,O1397/B1415)</f>
        <v/>
      </c>
      <c r="Q1397" t="n">
        <v>0</v>
      </c>
      <c r="R1397" t="n">
        <v>0</v>
      </c>
      <c r="S1397">
        <f>IFERROR(O1397/N1397,0)</f>
        <v/>
      </c>
      <c r="T1397" t="n">
        <v>0</v>
      </c>
      <c r="V1397" t="n">
        <v>0</v>
      </c>
    </row>
    <row r="1398">
      <c r="A1398">
        <f>Skills!A28</f>
        <v/>
      </c>
      <c r="B1398">
        <f>Skills!B28</f>
        <v/>
      </c>
      <c r="C1398">
        <f>Inputs!$B$3&gt;=120</f>
        <v/>
      </c>
      <c r="D1398">
        <f>IF(Skills!C28=1,60+Inputs!$B$25+Inputs!$B$29,IF(Skills!C28=2,90+Inputs!$B$26+Inputs!$B$29,IF(Skills!C28=3,120+Inputs!$B$27+Inputs!$B$29,MAX(0,(Inputs!$B$3-100)*3)+Inputs!$B$28+Inputs!$B$29)))</f>
        <v/>
      </c>
      <c r="E1398">
        <f>INDEX(FactorTable!$B$2:$Y$301, MATCH(ROUND(MIN(300,MAX(1,D1398)),0), FactorTable!$A$2:$A$301,0), Skills!M28+1)</f>
        <v/>
      </c>
      <c r="F1398">
        <f>IF(Skills!N28=TRUE,(Skills!L28/10)*(E1398/1000),Skills!L28/10)+Skills!O28</f>
        <v/>
      </c>
      <c r="G1398">
        <f>Skills!G28*IF(Skills!H28&gt;0,Skills!I28/Skills!H28,1)</f>
        <v/>
      </c>
      <c r="H1398">
        <f>1-(1-Skills!J28/100)^Skills!K28</f>
        <v/>
      </c>
      <c r="I1398" t="inlineStr">
        <is>
          <t>1</t>
        </is>
      </c>
      <c r="J1398" t="inlineStr"/>
      <c r="K1398" t="inlineStr"/>
      <c r="L1398" t="inlineStr"/>
      <c r="M1398" t="inlineStr"/>
      <c r="N1398" t="inlineStr"/>
      <c r="O1398">
        <f>(1-Summary!$B$11)*T1398+Summary!$B$11*V1398</f>
        <v/>
      </c>
      <c r="P1398">
        <f>IF(B1415=0,0,O1398/B1415)</f>
        <v/>
      </c>
      <c r="Q1398" t="n">
        <v>0</v>
      </c>
      <c r="R1398" t="n">
        <v>0</v>
      </c>
      <c r="S1398">
        <f>IFERROR(O1398/N1398,0)</f>
        <v/>
      </c>
      <c r="T1398" t="n">
        <v>0</v>
      </c>
      <c r="V1398" t="n">
        <v>0</v>
      </c>
    </row>
    <row r="1399">
      <c r="A1399">
        <f>Skills!A29</f>
        <v/>
      </c>
      <c r="B1399">
        <f>Skills!B29</f>
        <v/>
      </c>
      <c r="C1399">
        <f>Inputs!$B$3&gt;=120</f>
        <v/>
      </c>
      <c r="D1399">
        <f>IF(Skills!C29=1,60+Inputs!$B$25+Inputs!$B$29,IF(Skills!C29=2,90+Inputs!$B$26+Inputs!$B$29,IF(Skills!C29=3,120+Inputs!$B$27+Inputs!$B$29,MAX(0,(Inputs!$B$3-100)*3)+Inputs!$B$28+Inputs!$B$29)))</f>
        <v/>
      </c>
      <c r="E1399">
        <f>INDEX(FactorTable!$B$2:$Y$301, MATCH(ROUND(MIN(300,MAX(1,D1399)),0), FactorTable!$A$2:$A$301,0), Skills!M29+1)</f>
        <v/>
      </c>
      <c r="F1399">
        <f>IF(Skills!N29=TRUE,(Skills!L29/10)*(E1399/1000),Skills!L29/10)+Skills!O29</f>
        <v/>
      </c>
      <c r="G1399">
        <f>Skills!G29*IF(Skills!H29&gt;0,Skills!I29/Skills!H29,1)</f>
        <v/>
      </c>
      <c r="H1399">
        <f>1-(1-Skills!J29/100)^Skills!K29</f>
        <v/>
      </c>
      <c r="I1399" t="inlineStr">
        <is>
          <t>1</t>
        </is>
      </c>
      <c r="J1399" t="inlineStr"/>
      <c r="K1399" t="inlineStr"/>
      <c r="L1399" t="inlineStr"/>
      <c r="M1399" t="inlineStr"/>
      <c r="N1399" t="inlineStr"/>
      <c r="O1399">
        <f>(1-Summary!$B$11)*T1399+Summary!$B$11*V1399</f>
        <v/>
      </c>
      <c r="P1399">
        <f>IF(B1415=0,0,O1399/B1415)</f>
        <v/>
      </c>
      <c r="Q1399" t="n">
        <v>0</v>
      </c>
      <c r="R1399" t="n">
        <v>0</v>
      </c>
      <c r="S1399">
        <f>IFERROR(O1399/N1399,0)</f>
        <v/>
      </c>
      <c r="T1399" t="n">
        <v>0</v>
      </c>
      <c r="V1399" t="n">
        <v>0</v>
      </c>
    </row>
    <row r="1400">
      <c r="A1400">
        <f>Skills!A30</f>
        <v/>
      </c>
      <c r="B1400">
        <f>Skills!B30</f>
        <v/>
      </c>
      <c r="C1400">
        <f>Inputs!$B$3&gt;=125</f>
        <v/>
      </c>
      <c r="D1400">
        <f>IF(Skills!C30=1,60+Inputs!$B$25+Inputs!$B$29,IF(Skills!C30=2,90+Inputs!$B$26+Inputs!$B$29,IF(Skills!C30=3,120+Inputs!$B$27+Inputs!$B$29,MAX(0,(Inputs!$B$3-100)*3)+Inputs!$B$28+Inputs!$B$29)))</f>
        <v/>
      </c>
      <c r="E1400">
        <f>INDEX(FactorTable!$B$2:$Y$301, MATCH(ROUND(MIN(300,MAX(1,D1400)),0), FactorTable!$A$2:$A$301,0), Skills!M30+1)</f>
        <v/>
      </c>
      <c r="F1400">
        <f>IF(Skills!N30=TRUE,(Skills!L30/10)*(E1400/1000),Skills!L30/10)+Skills!O30</f>
        <v/>
      </c>
      <c r="G1400">
        <f>Skills!G30*IF(Skills!H30&gt;0,Skills!I30/Skills!H30,1)</f>
        <v/>
      </c>
      <c r="H1400">
        <f>1-(1-Skills!J30/100)^Skills!K30</f>
        <v/>
      </c>
      <c r="I1400" t="inlineStr">
        <is>
          <t>1</t>
        </is>
      </c>
      <c r="J1400" t="inlineStr"/>
      <c r="K1400" t="inlineStr"/>
      <c r="L1400" t="inlineStr"/>
      <c r="M1400" t="inlineStr"/>
      <c r="N1400" t="inlineStr"/>
      <c r="O1400">
        <f>(1-Summary!$B$11)*T1400+Summary!$B$11*V1400</f>
        <v/>
      </c>
      <c r="P1400">
        <f>IF(B1415=0,0,O1400/B1415)</f>
        <v/>
      </c>
      <c r="Q1400" t="n">
        <v>0</v>
      </c>
      <c r="R1400" t="n">
        <v>0</v>
      </c>
      <c r="S1400">
        <f>IFERROR(O1400/N1400,0)</f>
        <v/>
      </c>
      <c r="T1400" t="n">
        <v>0</v>
      </c>
      <c r="V1400" t="n">
        <v>0</v>
      </c>
    </row>
    <row r="1402">
      <c r="A1402" t="inlineStr">
        <is>
          <t>Average Buff Multiplier</t>
        </is>
      </c>
      <c r="B1402">
        <f>(1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f>
        <v/>
      </c>
    </row>
    <row r="1403">
      <c r="A1403" t="inlineStr">
        <is>
          <t>Global Crit Rate Bonus %</t>
        </is>
      </c>
      <c r="B1403">
        <f>((C1390=TRUE)*F1390*IF(AND(Inputs!$B$39&lt;&gt;"pvp",Inputs!$B$44&gt;0),(((R1390-1)*(Skills!Y20*(1+Inputs!$B$34/100))+MIN((Skills!Y20*(1+Inputs!$B$34/100)),MAX(0,Inputs!$B$44-((R1390-1)*Skills!D20))))/Inputs!$B$44),IF(Inputs!$B$39="pvp",MIN((Skills!Y20*(1+Inputs!$B$34/100)),15)/15,(Skills!Y20*(1+Inputs!$B$34/100))/Skills!D20)))</f>
        <v/>
      </c>
    </row>
    <row r="1404">
      <c r="A1404" t="inlineStr">
        <is>
          <t>Global Monster Damage-Taken Bonus %</t>
        </is>
      </c>
      <c r="B1404">
        <f>IF(Inputs!$B$3&gt;=82,15,0)</f>
        <v/>
      </c>
    </row>
    <row r="1405">
      <c r="A1405" t="inlineStr">
        <is>
          <t>Shadow Partner Average Multiplier</t>
        </is>
      </c>
      <c r="B1405">
        <f>1+((C1377=TRUE)*F1377*(1+3.3333333333333335*IF(C1388=TRUE,F1388,0)/100)*I1377*Skills!J7/100)/100</f>
        <v/>
      </c>
    </row>
    <row r="1406">
      <c r="A1406" t="inlineStr">
        <is>
          <t>Attack Speed Buff Bonus %</t>
        </is>
      </c>
      <c r="B1406">
        <f>((C1389=TRUE)*F1389*IF(AND(Inputs!$B$39&lt;&gt;"pvp",Inputs!$B$44&gt;0),(((R1389-1)*(Skills!Y19*(1+Inputs!$B$34/100))+MIN((Skills!Y19*(1+Inputs!$B$34/100)),MAX(0,Inputs!$B$44-((R1389-1)*Skills!D19))))/Inputs!$B$44),IF(Inputs!$B$39="pvp",MIN((Skills!Y19*(1+Inputs!$B$34/100)),15)/15,(Skills!Y19*(1+Inputs!$B$34/100))/Skills!D19)))+((C1373=TRUE)*F1373*3)</f>
        <v/>
      </c>
    </row>
    <row r="1407">
      <c r="A1407" t="inlineStr">
        <is>
          <t>Actions Per Second</t>
        </is>
      </c>
      <c r="B1407">
        <f>1+MIN(150,150*(1-(1-(Inputs!$B$11+((C1392=TRUE)*(F1392-Calc!F22)))/150)*(1-B1406/150)))/100</f>
        <v/>
      </c>
    </row>
    <row r="1408">
      <c r="A1408" t="inlineStr">
        <is>
          <t>Skill + Buff Cast Rate</t>
        </is>
      </c>
      <c r="B1408">
        <f>IF(AND(Inputs!$B$39&lt;&gt;"pvp",Inputs!$B$44&gt;0),SUMPRODUCT((Skills!E2:E30=TRUE)*(C1372:C1400=TRUE)*R1372:R1400*Skills!F2:F30)/Inputs!$B$44,SUMPRODUCT((Skills!E2:E30=TRUE)*(C1372:C1400=TRUE)*Q1372:Q1400*Skills!F2:F30))</f>
        <v/>
      </c>
    </row>
    <row r="1409">
      <c r="A1409" t="inlineStr">
        <is>
          <t>Cruel Stab Casts Per Second</t>
        </is>
      </c>
      <c r="B1409">
        <f>MAX(0,B1407-B1408)</f>
        <v/>
      </c>
    </row>
    <row r="1410">
      <c r="A1410" t="inlineStr">
        <is>
          <t>Global Critical Damage Bonus % (Smokescreen Mastery Lv.113)</t>
        </is>
      </c>
      <c r="B1410">
        <f>IF(Inputs!$B$3&gt;=113,30,0)*IF(AND(Inputs!$B$39&lt;&gt;"pvp",Inputs!$B$44&gt;0),(((R1385-1)*(Skills!Y15*(1+Inputs!$B$34/100))+MIN((Skills!Y15*(1+Inputs!$B$34/100)),MAX(0,Inputs!$B$44-((R1385-1)*Skills!D15))))/Inputs!$B$44),IF(Inputs!$B$39="pvp",MIN((Skills!Y15*(1+Inputs!$B$34/100)),15)/15,(Skills!Y15*(1+Inputs!$B$34/100))/Skills!D15))</f>
        <v/>
      </c>
    </row>
    <row r="1411">
      <c r="A1411" t="inlineStr">
        <is>
          <t>Meso Explosion average stack count</t>
        </is>
      </c>
      <c r="B1411">
        <f>MIN(10,0.5*B1407*Skills!D4)</f>
        <v/>
      </c>
    </row>
    <row r="1412">
      <c r="A1412" t="inlineStr">
        <is>
          <t>Blood Money average stack count</t>
        </is>
      </c>
      <c r="B1412">
        <f>MIN(5,0.25*B1407*Skills!D4)</f>
        <v/>
      </c>
    </row>
    <row r="1413">
      <c r="A1413" t="inlineStr">
        <is>
          <t>Assassinate Murderous Intent Multiplier</t>
        </is>
      </c>
      <c r="B1413">
        <f>1+IFERROR(MIN(1,Q1384*2/Q1381),0)</f>
        <v/>
      </c>
    </row>
    <row r="1414">
      <c r="A1414" t="inlineStr">
        <is>
          <t>Buff-Casting Startup Delay (s, fixed-duration only)</t>
        </is>
      </c>
      <c r="B1414">
        <f>IF(AND(Inputs!$B$39&lt;&gt;"pvp",Inputs!$B$44&gt;0),SUMPRODUCT((Skills!Y2:Y30&gt;0)*(Skills!E2:E30=TRUE)*(C1372:C1400=TRUE))/B1407,0)</f>
        <v/>
      </c>
    </row>
    <row r="1415">
      <c r="A1415" s="6" t="inlineStr">
        <is>
          <t>TOTAL DPS</t>
        </is>
      </c>
      <c r="B1415" s="6">
        <f>SUM(O1372:O1400)</f>
        <v/>
      </c>
    </row>
    <row r="1416">
      <c r="A1416" t="inlineStr">
        <is>
          <t>Boss-Only Total DPS (this block's swept value)</t>
        </is>
      </c>
      <c r="B1416">
        <f>SUM(T1372:T1400)</f>
        <v/>
      </c>
    </row>
    <row r="1417">
      <c r="A1417" t="inlineStr">
        <is>
          <t>Normal-Only Total DPS (this block's swept value)</t>
        </is>
      </c>
      <c r="B1417">
        <f>SUM(V1372:V1400)</f>
        <v/>
      </c>
    </row>
    <row r="1420">
      <c r="A1420" s="6" t="inlineStr">
        <is>
          <t>Stat: Charm of the Undead (Equip)</t>
        </is>
      </c>
    </row>
    <row r="1421">
      <c r="A1421" s="5" t="inlineStr">
        <is>
          <t>Key</t>
        </is>
      </c>
      <c r="B1421" s="5" t="inlineStr">
        <is>
          <t>Name</t>
        </is>
      </c>
      <c r="C1421" s="5" t="inlineStr">
        <is>
          <t>Unlocked</t>
        </is>
      </c>
      <c r="D1421" s="5" t="inlineStr">
        <is>
          <t>InputLevel</t>
        </is>
      </c>
      <c r="E1421" s="5" t="inlineStr">
        <is>
          <t>Factor</t>
        </is>
      </c>
      <c r="F1421" s="5" t="inlineStr">
        <is>
          <t>CoefficientPercent</t>
        </is>
      </c>
      <c r="G1421" s="5" t="inlineStr">
        <is>
          <t>EffectiveHits</t>
        </is>
      </c>
      <c r="H1421" s="5" t="inlineStr">
        <is>
          <t>ProcProbability</t>
        </is>
      </c>
      <c r="I1421" s="5" t="inlineStr">
        <is>
          <t>MapleHeroMultiplier</t>
        </is>
      </c>
      <c r="J1421" s="5" t="inlineStr">
        <is>
          <t>BaseDamage</t>
        </is>
      </c>
      <c r="K1421" s="5" t="inlineStr">
        <is>
          <t>BaseHitDamage</t>
        </is>
      </c>
      <c r="L1421" s="5" t="inlineStr">
        <is>
          <t>NonCritAvg</t>
        </is>
      </c>
      <c r="M1421" s="5" t="inlineStr">
        <is>
          <t>CritAvg</t>
        </is>
      </c>
      <c r="N1421" s="5" t="inlineStr">
        <is>
          <t>ExpectedDamage(perHit)</t>
        </is>
      </c>
      <c r="O1421" s="5" t="inlineStr">
        <is>
          <t>DPS</t>
        </is>
      </c>
      <c r="P1421" s="5" t="inlineStr">
        <is>
          <t>% of Total</t>
        </is>
      </c>
      <c r="Q1421" s="5" t="inlineStr">
        <is>
          <t>InvCooldown</t>
        </is>
      </c>
      <c r="R1421" s="5" t="inlineStr">
        <is>
          <t>CastsInFight</t>
        </is>
      </c>
      <c r="S1421" s="5" t="inlineStr">
        <is>
          <t>HitRate(perSec)</t>
        </is>
      </c>
      <c r="U1421" t="inlineStr">
        <is>
          <t>helpers</t>
        </is>
      </c>
    </row>
    <row r="1422">
      <c r="A1422">
        <f>Skills!A2</f>
        <v/>
      </c>
      <c r="B1422">
        <f>Skills!B2</f>
        <v/>
      </c>
      <c r="C1422">
        <f>Inputs!$B$3&gt;=100</f>
        <v/>
      </c>
      <c r="D1422" t="inlineStr"/>
      <c r="E1422" t="inlineStr"/>
      <c r="F1422">
        <f>U1424+Skills!O2</f>
        <v/>
      </c>
      <c r="G1422">
        <f>Skills!G2*IF(Skills!H2&gt;0,Skills!I2/Skills!H2,1)</f>
        <v/>
      </c>
      <c r="H1422">
        <f>1-(1-Skills!J2/100)^Skills!K2</f>
        <v/>
      </c>
      <c r="I1422" t="inlineStr">
        <is>
          <t>1</t>
        </is>
      </c>
      <c r="J1422">
        <f>((Inputs!$B$6*(1+Inputs!$B$7/100))+(((Inputs!$B$12*(1+Inputs!$B$13/100))-(Inputs!$B$12*(1+Inputs!$B$13/100)))+0.25*(Inputs!$B$14-Inputs!$B$14))*(1+Inputs!$B$7/100))*(F1422/100)</f>
        <v/>
      </c>
      <c r="K1422">
        <f>J1422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1422)</f>
        <v/>
      </c>
      <c r="L1422">
        <f>K1422*(MIN(Inputs!$B$22+((C1444=TRUE)*(F1444-Calc!F24)),(Inputs!$B$23+((C1449=TRUE)*(F1449-Calc!F29))+IF(ArtifactsInput!$M$15,CHOOSE(ArtifactsInput!$N$15+1,25,30,35,40,45,50)/100*(Inputs!$B$11-Inputs!$B$11),0)))/100+(Inputs!$B$23+((C1449=TRUE)*(F1449-Calc!F29))+IF(ArtifactsInput!$M$15,CHOOSE(ArtifactsInput!$N$15+1,25,30,35,40,45,50)/100*(Inputs!$B$11-Inputs!$B$11),0))/100)/2</f>
        <v/>
      </c>
      <c r="M1422">
        <f>L1422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2">
        <f>L1422*(1-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1422*(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2">
        <f>(1-Summary!$B$11)*T1422+Summary!$B$11*V1422</f>
        <v/>
      </c>
      <c r="P1422">
        <f>IF(B1465=0,0,O1422/B1465)</f>
        <v/>
      </c>
      <c r="Q1422" t="n">
        <v>0</v>
      </c>
      <c r="R1422" t="n">
        <v>0</v>
      </c>
      <c r="S1422">
        <f>IFERROR(O1422/N1422,0)</f>
        <v/>
      </c>
      <c r="T1422">
        <f>IF(C1422,(Skills!G2*N1422*B1459)*IF(Inputs!$B$39="pvp",1,1+(Inputs!$B$20+0+Skills!P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1422*(1-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1422*(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1422*(1-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1422*(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2">
        <f>MAX(0,(Inputs!$B$3-100)*3)+Inputs!$B$28+Inputs!$B$29</f>
        <v/>
      </c>
      <c r="V1422">
        <f>IF(C1422,(Skills!G2*N1422*B1459)*IF(Inputs!$B$39="pvp",1,(1+(Inputs!$B$21+Skills!Q2+B1454+(IF(ArtifactsInput!$M$33,CHOOSE(ArtifactsInput!$N$33+1,30,36,42,48,54,60),0))+(IF(AND(ArtifactsInput!$M$35,Inputs!$B$4&lt;&gt;"Chapter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Skills!A3</f>
        <v/>
      </c>
      <c r="B1423">
        <f>Skills!B3</f>
        <v/>
      </c>
      <c r="C1423">
        <f>Inputs!$B$3&gt;=35</f>
        <v/>
      </c>
      <c r="D1423">
        <f>IF(Skills!C3=1,60+Inputs!$B$25+Inputs!$B$29,IF(Skills!C3=2,90+Inputs!$B$26+Inputs!$B$29,IF(Skills!C3=3,120+Inputs!$B$27+Inputs!$B$29,MAX(0,(Inputs!$B$3-100)*3)+Inputs!$B$28+Inputs!$B$29)))</f>
        <v/>
      </c>
      <c r="E1423">
        <f>INDEX(FactorTable!$B$2:$Y$301, MATCH(ROUND(MIN(300,MAX(1,D1423)),0), FactorTable!$A$2:$A$301,0), Skills!M3+1)</f>
        <v/>
      </c>
      <c r="F1423">
        <f>IF(Skills!N3=TRUE,(Skills!L3/10)*(E1423/1000),Skills!L3/10)+Skills!O3</f>
        <v/>
      </c>
      <c r="G1423">
        <f>Skills!G3*IF(Skills!H3&gt;0,Skills!I3/Skills!H3,1)</f>
        <v/>
      </c>
      <c r="H1423">
        <f>1-(1-Skills!J3/100)^Skills!K3</f>
        <v/>
      </c>
      <c r="I1423" t="inlineStr">
        <is>
          <t>1</t>
        </is>
      </c>
      <c r="J1423" t="inlineStr"/>
      <c r="K1423" t="inlineStr"/>
      <c r="L1423" t="inlineStr"/>
      <c r="M1423" t="inlineStr"/>
      <c r="N1423" t="inlineStr"/>
      <c r="O1423">
        <f>(1-Summary!$B$11)*T1423+Summary!$B$11*V1423</f>
        <v/>
      </c>
      <c r="P1423">
        <f>IF(B1465=0,0,O1423/B1465)</f>
        <v/>
      </c>
      <c r="Q1423" t="n">
        <v>0</v>
      </c>
      <c r="R1423" t="n">
        <v>0</v>
      </c>
      <c r="S1423">
        <f>IFERROR(O1423/N1423,0)</f>
        <v/>
      </c>
      <c r="T1423" t="n">
        <v>0</v>
      </c>
      <c r="U1423">
        <f>INDEX(FactorTable!$B$2:$Y$301, MATCH(ROUND(MIN(300,MAX(1,U1422)),0), FactorTable!$A$2:$A$301,0), 22)</f>
        <v/>
      </c>
      <c r="V1423" t="n">
        <v>0</v>
      </c>
    </row>
    <row r="1424">
      <c r="A1424">
        <f>Skills!A4</f>
        <v/>
      </c>
      <c r="B1424">
        <f>Skills!B4</f>
        <v/>
      </c>
      <c r="C1424">
        <f>Inputs!$B$3&gt;=66</f>
        <v/>
      </c>
      <c r="D1424">
        <f>IF(Skills!C4=1,60+Inputs!$B$25+Inputs!$B$29,IF(Skills!C4=2,90+Inputs!$B$26+Inputs!$B$29,IF(Skills!C4=3,120+Inputs!$B$27+Inputs!$B$29,MAX(0,(Inputs!$B$3-100)*3)+Inputs!$B$28+Inputs!$B$29)))</f>
        <v/>
      </c>
      <c r="E1424">
        <f>INDEX(FactorTable!$B$2:$Y$301, MATCH(ROUND(MIN(300,MAX(1,D1424)),0), FactorTable!$A$2:$A$301,0), Skills!M4+1)</f>
        <v/>
      </c>
      <c r="F1424">
        <f>IF(Skills!N4=TRUE,(Skills!L4/10)*(E1424/1000),Skills!L4/10)+Skills!O4</f>
        <v/>
      </c>
      <c r="G1424">
        <f>Skills!G4*IF(Skills!H4&gt;0,Skills!I4/Skills!H4,1)</f>
        <v/>
      </c>
      <c r="H1424">
        <f>1-(1-Skills!J4/100)^Skills!K4</f>
        <v/>
      </c>
      <c r="I1424" t="inlineStr">
        <is>
          <t>1</t>
        </is>
      </c>
      <c r="J1424">
        <f>((Inputs!$B$6*(1+Inputs!$B$7/100))+(((Inputs!$B$12*(1+Inputs!$B$13/100))-(Inputs!$B$12*(1+Inputs!$B$13/100)))+0.25*(Inputs!$B$14-Inputs!$B$14))*(1+Inputs!$B$7/100))*(F1424/100)</f>
        <v/>
      </c>
      <c r="K1424">
        <f>J1424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1424)</f>
        <v/>
      </c>
      <c r="L1424">
        <f>K1424*(MIN(Inputs!$B$22+((C1444=TRUE)*(F1444-Calc!F24)),(Inputs!$B$23+((C1449=TRUE)*(F1449-Calc!F29))+IF(ArtifactsInput!$M$15,CHOOSE(ArtifactsInput!$N$15+1,25,30,35,40,45,50)/100*(Inputs!$B$11-Inputs!$B$11),0)))/100+(Inputs!$B$23+((C1449=TRUE)*(F1449-Calc!F29))+IF(ArtifactsInput!$M$15,CHOOSE(ArtifactsInput!$N$15+1,25,30,35,40,45,50)/100*(Inputs!$B$11-Inputs!$B$11),0))/100)/2</f>
        <v/>
      </c>
      <c r="M1424">
        <f>L1424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4">
        <f>L1424*(1-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(1-Summary!$B$11)*T1424+Summary!$B$11*V1424</f>
        <v/>
      </c>
      <c r="P1424">
        <f>IF(B1465=0,0,O1424/B1465)</f>
        <v/>
      </c>
      <c r="Q1424">
        <f>IFERROR(1/IF(Inputs!$B$39="pvp",15,MAX(0.1,Skills!D4-IF(Skills!E4=TRUE,Inputs!$B$32,0))),0)</f>
        <v/>
      </c>
      <c r="R1424">
        <f>IF(AND(Inputs!$B$39&lt;&gt;"pvp",Inputs!$B$44&gt;0),IF(MAX(0,Inputs!$B$44-B1464)&lt;=0,0,(INT(MAX(0,Inputs!$B$44-B1464)/IF(Inputs!$B$39="pvp",15,MAX(0.1,Skills!D4-IF(Skills!E4=TRUE,Inputs!$B$32,0))))+1)),0)</f>
        <v/>
      </c>
      <c r="S1424">
        <f>IFERROR(O1424/N1424,0)</f>
        <v/>
      </c>
      <c r="T1424">
        <f>IF(C1424,(H1424*N1424*IF(AND(Inputs!$B$39&lt;&gt;"pvp",Inputs!$B$44&gt;0),((Skills!G4*((R1424-1)*IF(Skills!H4&gt;0,Skills!I4/Skills!H4,1)+IF(Skills!H4&gt;0,MIN(Skills!I4,MAX(0,MAX(0,Inputs!$B$44-B1464)-((R1424-1)*IF(Inputs!$B$39="pvp",15,MAX(0.1,Skills!D4-IF(Skills!E4=TRUE,Inputs!$B$32,0))))))/Skills!H4,1)))/Inputs!$B$44),G1424*Q1424))*IF(Inputs!$B$39="pvp",1,1+(Inputs!$B$20+0+Skills!P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1424*(1-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1424*(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1424*(1-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4">
        <f>290*U1423/1000</f>
        <v/>
      </c>
      <c r="V1424">
        <f>IF(C1424,(H1424*N1424*IF(AND(Inputs!$B$39&lt;&gt;"pvp",Inputs!$B$44&gt;0),((Skills!G4*((R1424-1)*IF(Skills!H4&gt;0,Skills!I4/Skills!H4,1)+IF(Skills!H4&gt;0,MIN(Skills!I4,MAX(0,MAX(0,Inputs!$B$44-B1464)-((R1424-1)*IF(Inputs!$B$39="pvp",15,MAX(0.1,Skills!D4-IF(Skills!E4=TRUE,Inputs!$B$32,0))))))/Skills!H4,1)))/Inputs!$B$44),G1424*Q1424))*IF(Inputs!$B$39="pvp",1,(1+(Inputs!$B$21+Skills!Q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(10,0.5*B1457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Skills!A5</f>
        <v/>
      </c>
      <c r="B1425">
        <f>Skills!B5</f>
        <v/>
      </c>
      <c r="C1425">
        <f>Inputs!$B$3&gt;=63</f>
        <v/>
      </c>
      <c r="D1425">
        <f>IF(Skills!C5=1,60+Inputs!$B$25+Inputs!$B$29,IF(Skills!C5=2,90+Inputs!$B$26+Inputs!$B$29,IF(Skills!C5=3,120+Inputs!$B$27+Inputs!$B$29,MAX(0,(Inputs!$B$3-100)*3)+Inputs!$B$28+Inputs!$B$29)))</f>
        <v/>
      </c>
      <c r="E1425">
        <f>INDEX(FactorTable!$B$2:$Y$301, MATCH(ROUND(MIN(300,MAX(1,D1425)),0), FactorTable!$A$2:$A$301,0), Skills!M5+1)</f>
        <v/>
      </c>
      <c r="F1425">
        <f>IF(Skills!N5=TRUE,(Skills!L5/10)*(E1425/1000),Skills!L5/10)+Skills!O5</f>
        <v/>
      </c>
      <c r="G1425">
        <f>Skills!G5*IF(Skills!H5&gt;0,Skills!I5/Skills!H5,1)</f>
        <v/>
      </c>
      <c r="H1425">
        <f>1-(1-Skills!J5/100)^Skills!K5</f>
        <v/>
      </c>
      <c r="I1425" t="inlineStr">
        <is>
          <t>1</t>
        </is>
      </c>
      <c r="J1425">
        <f>((Inputs!$B$6*(1+Inputs!$B$7/100))+(((Inputs!$B$12*(1+Inputs!$B$13/100))-(Inputs!$B$12*(1+Inputs!$B$13/100)))+0.25*(Inputs!$B$14-Inputs!$B$14))*(1+Inputs!$B$7/100))*(F1425/100)</f>
        <v/>
      </c>
      <c r="K1425">
        <f>J1425*(1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1438=TRUE,F1438,0)/100)*(1+(IF(Skills!A5="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1425)</f>
        <v/>
      </c>
      <c r="L1425">
        <f>K1425*(MIN(Inputs!$B$22+((C1444=TRUE)*(F1444-Calc!F24)),(Inputs!$B$23+((C1449=TRUE)*(F1449-Calc!F29))+IF(ArtifactsInput!$M$15,CHOOSE(ArtifactsInput!$N$15+1,25,30,35,40,45,50)/100*(Inputs!$B$11-Inputs!$B$11),0)))/100+(Inputs!$B$23+((C1449=TRUE)*(F1449-Calc!F29))+IF(ArtifactsInput!$M$15,CHOOSE(ArtifactsInput!$N$15+1,25,30,35,40,45,50)/100*(Inputs!$B$11-Inputs!$B$11),0))/100)/2</f>
        <v/>
      </c>
      <c r="M1425">
        <f>L1425*(1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5">
        <f>L1425*(1-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1425*(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5">
        <f>(1-Summary!$B$11)*T1425+Summary!$B$11*V1425</f>
        <v/>
      </c>
      <c r="P1425">
        <f>IF(B1465=0,0,O1425/B1465)</f>
        <v/>
      </c>
      <c r="Q1425">
        <f>IFERROR(1/IF(Inputs!$B$39="pvp",15,MAX(0.1,Skills!D5-IF(Skills!E5=TRUE,Inputs!$B$32,0))),0)</f>
        <v/>
      </c>
      <c r="R1425">
        <f>IF(AND(Inputs!$B$39&lt;&gt;"pvp",Inputs!$B$44&gt;0),IF(MAX(0,Inputs!$B$44-B1464)&lt;=0,0,(INT(MAX(0,Inputs!$B$44-B1464)/IF(Inputs!$B$39="pvp",15,MAX(0.1,Skills!D5-IF(Skills!E5=TRUE,Inputs!$B$32,0))))+1)),0)</f>
        <v/>
      </c>
      <c r="S1425">
        <f>IFERROR(O1425/N1425,0)</f>
        <v/>
      </c>
      <c r="T1425">
        <f>IF(C1425,(H1425*N1425*IF(AND(Inputs!$B$39&lt;&gt;"pvp",Inputs!$B$44&gt;0),((Skills!G5*((R1425-1)*IF(Skills!H5&gt;0,Skills!I5/Skills!H5,1)+IF(Skills!H5&gt;0,MIN(Skills!I5,MAX(0,MAX(0,Inputs!$B$44-B1464)-((R1425-1)*IF(Inputs!$B$39="pvp",15,MAX(0.1,Skills!D5-IF(Skills!E5=TRUE,Inputs!$B$32,0))))))/Skills!H5,1)))/Inputs!$B$44),G1425*Q1425))*IF(Inputs!$B$39="pvp",1,1+(Inputs!$B$20+0+Skills!P5+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1425*(1-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1425*(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1425*(1-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1425*(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5">
        <f>IF(C1425,(H1425*N1425*IF(AND(Inputs!$B$39&lt;&gt;"pvp",Inputs!$B$44&gt;0),((Skills!G5*((R1425-1)*IF(Skills!H5&gt;0,Skills!I5/Skills!H5,1)+IF(Skills!H5&gt;0,MIN(Skills!I5,MAX(0,MAX(0,Inputs!$B$44-B1464)-((R1425-1)*IF(Inputs!$B$39="pvp",15,MAX(0.1,Skills!D5-IF(Skills!E5=TRUE,Inputs!$B$32,0))))))/Skills!H5,1)))/Inputs!$B$44),G1425*Q1425))*IF(Inputs!$B$39="pvp",1,(1+(Inputs!$B$21+Skills!Q5+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6">
      <c r="A1426">
        <f>Skills!A6</f>
        <v/>
      </c>
      <c r="B1426">
        <f>Skills!B6</f>
        <v/>
      </c>
      <c r="C1426">
        <f>Inputs!$B$3&gt;=69</f>
        <v/>
      </c>
      <c r="D1426">
        <f>IF(Skills!C6=1,60+Inputs!$B$25+Inputs!$B$29,IF(Skills!C6=2,90+Inputs!$B$26+Inputs!$B$29,IF(Skills!C6=3,120+Inputs!$B$27+Inputs!$B$29,MAX(0,(Inputs!$B$3-100)*3)+Inputs!$B$28+Inputs!$B$29)))</f>
        <v/>
      </c>
      <c r="E1426">
        <f>INDEX(FactorTable!$B$2:$Y$301, MATCH(ROUND(MIN(300,MAX(1,D1426)),0), FactorTable!$A$2:$A$301,0), Skills!M6+1)</f>
        <v/>
      </c>
      <c r="F1426">
        <f>IF(Skills!N6=TRUE,(Skills!L6/10)*(E1426/1000),Skills!L6/10)+Skills!O6</f>
        <v/>
      </c>
      <c r="G1426">
        <f>Skills!G6*IF(Skills!H6&gt;0,Skills!I6/Skills!H6,1)</f>
        <v/>
      </c>
      <c r="H1426">
        <f>1-(1-Skills!J6/100)^Skills!K6</f>
        <v/>
      </c>
      <c r="I1426" t="inlineStr">
        <is>
          <t>1</t>
        </is>
      </c>
      <c r="J1426">
        <f>((Inputs!$B$6*(1+Inputs!$B$7/100))+(((Inputs!$B$12*(1+Inputs!$B$13/100))-(Inputs!$B$12*(1+Inputs!$B$13/100)))+0.25*(Inputs!$B$14-Inputs!$B$14))*(1+Inputs!$B$7/100))*(F1426/100)</f>
        <v/>
      </c>
      <c r="K1426">
        <f>J1426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1438=TRUE,F1438,0)/100)*(1+(IF(Skills!A6="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1426)</f>
        <v/>
      </c>
      <c r="L1426">
        <f>K1426*(MIN(Inputs!$B$22+((C1444=TRUE)*(F1444-Calc!F24)),(Inputs!$B$23+((C1449=TRUE)*(F1449-Calc!F29))+IF(ArtifactsInput!$M$15,CHOOSE(ArtifactsInput!$N$15+1,25,30,35,40,45,50)/100*(Inputs!$B$11-Inputs!$B$11),0)))/100+(Inputs!$B$23+((C1449=TRUE)*(F1449-Calc!F29))+IF(ArtifactsInput!$M$15,CHOOSE(ArtifactsInput!$N$15+1,25,30,35,40,45,50)/100*(Inputs!$B$11-Inputs!$B$11),0))/100)/2</f>
        <v/>
      </c>
      <c r="M1426">
        <f>L1426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6">
        <f>L1426*(1-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1426*(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6">
        <f>(1-Summary!$B$11)*T1426+Summary!$B$11*V1426</f>
        <v/>
      </c>
      <c r="P1426">
        <f>IF(B1465=0,0,O1426/B1465)</f>
        <v/>
      </c>
      <c r="Q1426">
        <f>IFERROR(1/IF(Inputs!$B$39="pvp",15,MAX(0.1,Skills!D6-IF(Skills!E6=TRUE,Inputs!$B$32,0))),0)</f>
        <v/>
      </c>
      <c r="R1426">
        <f>IF(AND(Inputs!$B$39&lt;&gt;"pvp",Inputs!$B$44&gt;0),IF(MAX(0,Inputs!$B$44-B1464)&lt;=0,0,(INT(MAX(0,Inputs!$B$44-B1464)/IF(Inputs!$B$39="pvp",15,MAX(0.1,Skills!D6-IF(Skills!E6=TRUE,Inputs!$B$32,0))))+1)),0)</f>
        <v/>
      </c>
      <c r="S1426">
        <f>IFERROR(O1426/N1426,0)</f>
        <v/>
      </c>
      <c r="T1426">
        <f>IF(C1426,(H1426*N1426*IF(AND(Inputs!$B$39&lt;&gt;"pvp",Inputs!$B$44&gt;0),((Skills!G6*((R1426-1)*IF(Skills!H6&gt;0,Skills!I6/Skills!H6,1)+IF(Skills!H6&gt;0,MIN(Skills!I6,MAX(0,MAX(0,Inputs!$B$44-B1464)-((R1426-1)*IF(Inputs!$B$39="pvp",15,MAX(0.1,Skills!D6-IF(Skills!E6=TRUE,Inputs!$B$32,0))))))/Skills!H6,1)))/Inputs!$B$44),G1426*Q1426))*IF(Inputs!$B$39="pvp",1,1+(Inputs!$B$20+0+Skills!P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1426*(1-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1426*(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1426*(1-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1426*(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6*((R1426-1)*IF(Skills!H6&gt;0,Skills!I6/Skills!H6,1)+IF(Skills!H6&gt;0,MIN(Skills!I6,MAX(0,MAX(0,Inputs!$B$44-B1464)-((R1426-1)*IF(Inputs!$B$39="pvp",15,MAX(0.1,Skills!D6-IF(Skills!E6=TRUE,Inputs!$B$32,0))))))/Skills!H6,1)))/Inputs!$B$44),G1426*Q1426))*IF(Inputs!$B$39="pvp",1,(1+(Inputs!$B$21+Skills!Q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Skills!A7</f>
        <v/>
      </c>
      <c r="B1427">
        <f>Skills!B7</f>
        <v/>
      </c>
      <c r="C1427">
        <f>Inputs!$B$3&gt;=60</f>
        <v/>
      </c>
      <c r="D1427">
        <f>IF(Skills!C7=1,60+Inputs!$B$25+Inputs!$B$29,IF(Skills!C7=2,90+Inputs!$B$26+Inputs!$B$29,IF(Skills!C7=3,120+Inputs!$B$27+Inputs!$B$29,MAX(0,(Inputs!$B$3-100)*3)+Inputs!$B$28+Inputs!$B$29)))</f>
        <v/>
      </c>
      <c r="E1427">
        <f>INDEX(FactorTable!$B$2:$Y$301, MATCH(ROUND(MIN(300,MAX(1,D1427)),0), FactorTable!$A$2:$A$301,0), Skills!M7+1)</f>
        <v/>
      </c>
      <c r="F1427">
        <f>IF(Skills!N7=TRUE,(Skills!L7/10)*(E1427/1000),Skills!L7/10)+Skills!O7</f>
        <v/>
      </c>
      <c r="G1427">
        <f>Skills!G7*IF(Skills!H7&gt;0,Skills!I7/Skills!H7,1)</f>
        <v/>
      </c>
      <c r="H1427">
        <f>1-(1-Skills!J7/100)^Skills!K7</f>
        <v/>
      </c>
      <c r="I1427" t="inlineStr">
        <is>
          <t>1</t>
        </is>
      </c>
      <c r="J1427" t="inlineStr"/>
      <c r="K1427" t="inlineStr"/>
      <c r="L1427" t="inlineStr"/>
      <c r="M1427" t="inlineStr"/>
      <c r="N1427" t="inlineStr"/>
      <c r="O1427">
        <f>(1-Summary!$B$11)*T1427+Summary!$B$11*V1427</f>
        <v/>
      </c>
      <c r="P1427">
        <f>IF(B1465=0,0,O1427/B1465)</f>
        <v/>
      </c>
      <c r="Q1427" t="n">
        <v>0</v>
      </c>
      <c r="R1427" t="n">
        <v>0</v>
      </c>
      <c r="S1427">
        <f>IFERROR(O1427/N1427,0)</f>
        <v/>
      </c>
      <c r="T1427" t="n">
        <v>0</v>
      </c>
      <c r="V1427" t="n">
        <v>0</v>
      </c>
    </row>
    <row r="1428">
      <c r="A1428">
        <f>Skills!A8</f>
        <v/>
      </c>
      <c r="B1428">
        <f>Skills!B8</f>
        <v/>
      </c>
      <c r="C1428">
        <f>Inputs!$B$3&gt;=72</f>
        <v/>
      </c>
      <c r="D1428">
        <f>IF(Skills!C8=1,60+Inputs!$B$25+Inputs!$B$29,IF(Skills!C8=2,90+Inputs!$B$26+Inputs!$B$29,IF(Skills!C8=3,120+Inputs!$B$27+Inputs!$B$29,MAX(0,(Inputs!$B$3-100)*3)+Inputs!$B$28+Inputs!$B$29)))</f>
        <v/>
      </c>
      <c r="E1428">
        <f>INDEX(FactorTable!$B$2:$Y$301, MATCH(ROUND(MIN(300,MAX(1,D1428)),0), FactorTable!$A$2:$A$301,0), Skills!M8+1)</f>
        <v/>
      </c>
      <c r="F1428">
        <f>IF(Skills!N8=TRUE,(Skills!L8/10)*(E1428/1000),Skills!L8/10)+Skills!O8</f>
        <v/>
      </c>
      <c r="G1428">
        <f>Skills!G8*IF(Skills!H8&gt;0,Skills!I8/Skills!H8,1)</f>
        <v/>
      </c>
      <c r="H1428">
        <f>1-(1-Skills!J8/100)^Skills!K8</f>
        <v/>
      </c>
      <c r="I1428" t="inlineStr">
        <is>
          <t>1</t>
        </is>
      </c>
      <c r="J1428">
        <f>((Inputs!$B$6*(1+Inputs!$B$7/100))+(((Inputs!$B$12*(1+Inputs!$B$13/100))-(Inputs!$B$12*(1+Inputs!$B$13/100)))+0.25*(Inputs!$B$14-Inputs!$B$14))*(1+Inputs!$B$7/100))*(F1428/100)</f>
        <v/>
      </c>
      <c r="K1428">
        <f>J1428*(1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1438=TRUE,F1438,0)/100)*(1+(IF(Skills!A8="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1428)</f>
        <v/>
      </c>
      <c r="L1428">
        <f>K1428*(MIN(Inputs!$B$22+((C1444=TRUE)*(F1444-Calc!F24)),(Inputs!$B$23+((C1449=TRUE)*(F1449-Calc!F29))+IF(ArtifactsInput!$M$15,CHOOSE(ArtifactsInput!$N$15+1,25,30,35,40,45,50)/100*(Inputs!$B$11-Inputs!$B$11),0)))/100+(Inputs!$B$23+((C1449=TRUE)*(F1449-Calc!F29))+IF(ArtifactsInput!$M$15,CHOOSE(ArtifactsInput!$N$15+1,25,30,35,40,45,50)/100*(Inputs!$B$11-Inputs!$B$11),0))/100)/2</f>
        <v/>
      </c>
      <c r="M1428">
        <f>L1428*(1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8">
        <f>L1428*(1-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(1-Summary!$B$11)*T1428+Summary!$B$11*V1428</f>
        <v/>
      </c>
      <c r="P1428">
        <f>IF(B1465=0,0,O1428/B1465)</f>
        <v/>
      </c>
      <c r="Q1428">
        <f>IFERROR(1/IF(Inputs!$B$39="pvp",15,MAX(0.1,Skills!D8-IF(Skills!E8=TRUE,Inputs!$B$32,0))),0)</f>
        <v/>
      </c>
      <c r="R1428">
        <f>IF(AND(Inputs!$B$39&lt;&gt;"pvp",Inputs!$B$44&gt;0),IF(MAX(0,Inputs!$B$44-B1464)&lt;=0,0,(INT(MAX(0,Inputs!$B$44-B1464)/IF(Inputs!$B$39="pvp",15,MAX(0.1,Skills!D8-IF(Skills!E8=TRUE,Inputs!$B$32,0))))+1)),0)</f>
        <v/>
      </c>
      <c r="S1428">
        <f>IFERROR(O1428/N1428,0)</f>
        <v/>
      </c>
      <c r="T1428">
        <f>IF(C1428,(H1428*N1428*IF(AND(Inputs!$B$39&lt;&gt;"pvp",Inputs!$B$44&gt;0),((Skills!G8*((R1428-1)*IF(Skills!H8&gt;0,Skills!I8/Skills!H8,1)+IF(Skills!H8&gt;0,MIN(Skills!I8,MAX(0,MAX(0,Inputs!$B$44-B1464)-((R1428-1)*IF(Inputs!$B$39="pvp",15,MAX(0.1,Skills!D8-IF(Skills!E8=TRUE,Inputs!$B$32,0))))))/Skills!H8,1)))/Inputs!$B$44),G1428*Q1428))*IF(Inputs!$B$39="pvp",1,1+(Inputs!$B$20+0+Skills!P8+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1428*(1-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1428*(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1428*(1-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8">
        <f>IF(C1428,(H1428*N1428*IF(AND(Inputs!$B$39&lt;&gt;"pvp",Inputs!$B$44&gt;0),((Skills!G8*((R1428-1)*IF(Skills!H8&gt;0,Skills!I8/Skills!H8,1)+IF(Skills!H8&gt;0,MIN(Skills!I8,MAX(0,MAX(0,Inputs!$B$44-B1464)-((R1428-1)*IF(Inputs!$B$39="pvp",15,MAX(0.1,Skills!D8-IF(Skills!E8=TRUE,Inputs!$B$32,0))))))/Skills!H8,1)))/Inputs!$B$44),G1428*Q1428))*IF(Inputs!$B$39="pvp",1,(1+(Inputs!$B$21+Skills!Q8+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Skills!A9</f>
        <v/>
      </c>
      <c r="B1429">
        <f>Skills!B9</f>
        <v/>
      </c>
      <c r="C1429">
        <f>Inputs!$B$3&gt;=117</f>
        <v/>
      </c>
      <c r="D1429">
        <f>IF(Skills!C9=1,60+Inputs!$B$25+Inputs!$B$29,IF(Skills!C9=2,90+Inputs!$B$26+Inputs!$B$29,IF(Skills!C9=3,120+Inputs!$B$27+Inputs!$B$29,MAX(0,(Inputs!$B$3-100)*3)+Inputs!$B$28+Inputs!$B$29)))</f>
        <v/>
      </c>
      <c r="E1429">
        <f>INDEX(FactorTable!$B$2:$Y$301, MATCH(ROUND(MIN(300,MAX(1,D1429)),0), FactorTable!$A$2:$A$301,0), Skills!M9+1)</f>
        <v/>
      </c>
      <c r="F1429">
        <f>IF(Skills!N9=TRUE,(Skills!L9/10)*(E1429/1000),Skills!L9/10)+Skills!O9</f>
        <v/>
      </c>
      <c r="G1429">
        <f>Skills!G9*IF(Skills!H9&gt;0,Skills!I9/Skills!H9,1)</f>
        <v/>
      </c>
      <c r="H1429">
        <f>1-(1-Skills!J9/100)^Skills!K9</f>
        <v/>
      </c>
      <c r="I1429" t="inlineStr">
        <is>
          <t>1</t>
        </is>
      </c>
      <c r="J1429">
        <f>((Inputs!$B$6*(1+Inputs!$B$7/100))+(((Inputs!$B$12*(1+Inputs!$B$13/100))-(Inputs!$B$12*(1+Inputs!$B$13/100)))+0.25*(Inputs!$B$14-Inputs!$B$14))*(1+Inputs!$B$7/100))*(F1429/100)</f>
        <v/>
      </c>
      <c r="K1429">
        <f>J1429*(1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1429)</f>
        <v/>
      </c>
      <c r="L1429">
        <f>K1429*(MIN(Inputs!$B$22+((C1444=TRUE)*(F1444-Calc!F24)),(Inputs!$B$23+((C1449=TRUE)*(F1449-Calc!F29))+IF(ArtifactsInput!$M$15,CHOOSE(ArtifactsInput!$N$15+1,25,30,35,40,45,50)/100*(Inputs!$B$11-Inputs!$B$11),0)))/100+(Inputs!$B$23+((C1449=TRUE)*(F1449-Calc!F29))+IF(ArtifactsInput!$M$15,CHOOSE(ArtifactsInput!$N$15+1,25,30,35,40,45,50)/100*(Inputs!$B$11-Inputs!$B$11),0))/100)/2</f>
        <v/>
      </c>
      <c r="M1429">
        <f>L1429*(1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9">
        <f>L1429*(1-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(1-Summary!$B$11)*T1429+Summary!$B$11*V1429</f>
        <v/>
      </c>
      <c r="P1429">
        <f>IF(B1465=0,0,O1429/B1465)</f>
        <v/>
      </c>
      <c r="Q1429" t="n">
        <v>0</v>
      </c>
      <c r="R1429" t="n">
        <v>0</v>
      </c>
      <c r="S1429" t="n">
        <v>0</v>
      </c>
      <c r="T1429">
        <f>IF(C1429,(0.2*SUMPRODUCT((Skills!Z2:Z30=TRUE)*(C1422:C1450=TRUE)*S1422:S1450)*N1429)*IF(Inputs!$B$39="pvp",1,1+(Inputs!$B$20+0+Skills!P9+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1429*(1-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1429*(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1429*(1-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IF(C1429,(0.2*SUMPRODUCT((Skills!Z2:Z30=TRUE)*(C1422:C1450=TRUE)*S1422:S1450)*N1429)*IF(Inputs!$B$39="pvp",1,(1+(Inputs!$B$21+Skills!Q9+B1454+(IF(ArtifactsInput!$M$33,CHOOSE(ArtifactsInput!$N$33+1,30,36,42,48,54,60),0))+(IF(AND(ArtifactsInput!$M$35,Inputs!$B$4&lt;&gt;"Chapter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Skills!A10</f>
        <v/>
      </c>
      <c r="B1430">
        <f>Skills!B10</f>
        <v/>
      </c>
      <c r="C1430">
        <f>Inputs!$B$3&gt;=74</f>
        <v/>
      </c>
      <c r="D1430">
        <f>IF(Skills!C10=1,60+Inputs!$B$25+Inputs!$B$29,IF(Skills!C10=2,90+Inputs!$B$26+Inputs!$B$29,IF(Skills!C10=3,120+Inputs!$B$27+Inputs!$B$29,MAX(0,(Inputs!$B$3-100)*3)+Inputs!$B$28+Inputs!$B$29)))</f>
        <v/>
      </c>
      <c r="E1430">
        <f>INDEX(FactorTable!$B$2:$Y$301, MATCH(ROUND(MIN(300,MAX(1,D1430)),0), FactorTable!$A$2:$A$301,0), Skills!M10+1)</f>
        <v/>
      </c>
      <c r="F1430">
        <f>IF(Skills!N10=TRUE,(Skills!L10/10)*(E1430/1000),Skills!L10/10)+Skills!O10</f>
        <v/>
      </c>
      <c r="G1430">
        <f>Skills!G10*IF(Skills!H10&gt;0,Skills!I10/Skills!H10,1)</f>
        <v/>
      </c>
      <c r="H1430">
        <f>1-(1-Skills!J10/100)^Skills!K10</f>
        <v/>
      </c>
      <c r="I1430" t="inlineStr">
        <is>
          <t>1</t>
        </is>
      </c>
      <c r="J1430" t="inlineStr"/>
      <c r="K1430" t="inlineStr"/>
      <c r="L1430" t="inlineStr"/>
      <c r="M1430" t="inlineStr"/>
      <c r="N1430" t="inlineStr"/>
      <c r="O1430">
        <f>(1-Summary!$B$11)*T1430+Summary!$B$11*V1430</f>
        <v/>
      </c>
      <c r="P1430">
        <f>IF(B1465=0,0,O1430/B1465)</f>
        <v/>
      </c>
      <c r="Q1430">
        <f>IFERROR(1/IF(Inputs!$B$39="pvp",15,MAX(0.1,Skills!D10-IF(Skills!E10=TRUE,Inputs!$B$32,0))),0)</f>
        <v/>
      </c>
      <c r="R1430">
        <f>IF(AND(Inputs!$B$39&lt;&gt;"pvp",Inputs!$B$44&gt;0),IF(Inputs!$B$44&lt;=0,0,(INT(Inputs!$B$44/IF(Inputs!$B$39="pvp",15,MAX(0.1,Skills!D10-IF(Skills!E10=TRUE,Inputs!$B$32,0))))+1)),0)</f>
        <v/>
      </c>
      <c r="S1430">
        <f>IFERROR(O1430/N1430,0)</f>
        <v/>
      </c>
      <c r="T1430" t="n">
        <v>0</v>
      </c>
      <c r="V1430" t="n">
        <v>0</v>
      </c>
    </row>
    <row r="1431">
      <c r="A1431">
        <f>Skills!A11</f>
        <v/>
      </c>
      <c r="B1431">
        <f>Skills!B11</f>
        <v/>
      </c>
      <c r="C1431">
        <f>Inputs!$B$3&gt;=103</f>
        <v/>
      </c>
      <c r="D1431">
        <f>IF(Skills!C11=1,60+Inputs!$B$25+Inputs!$B$29,IF(Skills!C11=2,90+Inputs!$B$26+Inputs!$B$29,IF(Skills!C11=3,120+Inputs!$B$27+Inputs!$B$29,MAX(0,(Inputs!$B$3-100)*3)+Inputs!$B$28+Inputs!$B$29)))</f>
        <v/>
      </c>
      <c r="E1431">
        <f>INDEX(FactorTable!$B$2:$Y$301, MATCH(ROUND(MIN(300,MAX(1,D1431)),0), FactorTable!$A$2:$A$301,0), Skills!M11+1)</f>
        <v/>
      </c>
      <c r="F1431">
        <f>(Skills!L11/10)*(E1431/1000)+IF(Inputs!$B$3&gt;=134,50,0)+0.5*(30000/10)*(INDEX(FactorTable!$B$2:$Y$301, MATCH(ROUND(MIN(300,MAX(1,D1431)),0), FactorTable!$A$2:$A$301,0), 13)/1000)*B1463</f>
        <v/>
      </c>
      <c r="G1431">
        <f>Skills!G11*IF(Skills!H11&gt;0,Skills!I11/Skills!H11,1)</f>
        <v/>
      </c>
      <c r="H1431">
        <f>1-(1-Skills!J11/100)^Skills!K11</f>
        <v/>
      </c>
      <c r="I1431" t="inlineStr">
        <is>
          <t>1</t>
        </is>
      </c>
      <c r="J1431">
        <f>((Inputs!$B$6*(1+Inputs!$B$7/100))+(((Inputs!$B$12*(1+Inputs!$B$13/100))-(Inputs!$B$12*(1+Inputs!$B$13/100)))+0.25*(Inputs!$B$14-Inputs!$B$14))*(1+Inputs!$B$7/100))*(F1431/100)</f>
        <v/>
      </c>
      <c r="K1431">
        <f>J1431*(1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1431)</f>
        <v/>
      </c>
      <c r="L1431">
        <f>K1431*(MIN(Inputs!$B$22+((C1444=TRUE)*(F1444-Calc!F24)),(Inputs!$B$23+((C1449=TRUE)*(F1449-Calc!F29))+IF(ArtifactsInput!$M$15,CHOOSE(ArtifactsInput!$N$15+1,25,30,35,40,45,50)/100*(Inputs!$B$11-Inputs!$B$11),0)))/100+(Inputs!$B$23+((C1449=TRUE)*(F1449-Calc!F29))+IF(ArtifactsInput!$M$15,CHOOSE(ArtifactsInput!$N$15+1,25,30,35,40,45,50)/100*(Inputs!$B$11-Inputs!$B$11),0))/100)/2</f>
        <v/>
      </c>
      <c r="M1431">
        <f>L1431*(1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1">
        <f>L1431*(1-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(1-Summary!$B$11)*T1431+Summary!$B$11*V1431</f>
        <v/>
      </c>
      <c r="P1431">
        <f>IF(B1465=0,0,O1431/B1465)</f>
        <v/>
      </c>
      <c r="Q1431">
        <f>IFERROR(1/IF(Inputs!$B$39="pvp",15,MAX(0.1,Skills!D11-IF(Skills!E11=TRUE,Inputs!$B$32,0))),0)</f>
        <v/>
      </c>
      <c r="R1431">
        <f>IF(AND(Inputs!$B$39&lt;&gt;"pvp",Inputs!$B$44&gt;0),IF(MAX(0,Inputs!$B$44-B1464)&lt;=0,0,(INT(MAX(0,Inputs!$B$44-B1464)/IF(Inputs!$B$39="pvp",15,MAX(0.1,Skills!D11-IF(Skills!E11=TRUE,Inputs!$B$32,0))))+1)),0)</f>
        <v/>
      </c>
      <c r="S1431">
        <f>IFERROR(O1431/N1431,0)</f>
        <v/>
      </c>
      <c r="T1431">
        <f>IF(C1431,(H1431*N1431*IF(AND(Inputs!$B$39&lt;&gt;"pvp",Inputs!$B$44&gt;0),((Skills!G11*((R1431-1)*IF(Skills!H11&gt;0,Skills!I11/Skills!H11,1)+IF(Skills!H11&gt;0,MIN(Skills!I11,MAX(0,MAX(0,Inputs!$B$44-B1464)-((R1431-1)*IF(Inputs!$B$39="pvp",15,MAX(0.1,Skills!D11-IF(Skills!E11=TRUE,Inputs!$B$32,0))))))/Skills!H11,1)))/Inputs!$B$44),G1431*Q1431))*IF(Inputs!$B$39="pvp",1,1+(Inputs!$B$20+0+Skills!P11+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1431*(1-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1431*(1-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1">
        <f>IF(C1431,(H1431*N1431*IF(AND(Inputs!$B$39&lt;&gt;"pvp",Inputs!$B$44&gt;0),((Skills!G11*((R1431-1)*IF(Skills!H11&gt;0,Skills!I11/Skills!H11,1)+IF(Skills!H11&gt;0,MIN(Skills!I11,MAX(0,MAX(0,Inputs!$B$44-B1464)-((R1431-1)*IF(Inputs!$B$39="pvp",15,MAX(0.1,Skills!D11-IF(Skills!E11=TRUE,Inputs!$B$32,0))))))/Skills!H11,1)))/Inputs!$B$44),G1431*Q1431))*IF(Inputs!$B$39="pvp",1,(1+(Inputs!$B$21+Skills!Q11+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Skills!A12</f>
        <v/>
      </c>
      <c r="B1432">
        <f>Skills!B12</f>
        <v/>
      </c>
      <c r="C1432">
        <f>Inputs!$B$3&gt;=105</f>
        <v/>
      </c>
      <c r="D1432">
        <f>IF(Skills!C12=1,60+Inputs!$B$25+Inputs!$B$29,IF(Skills!C12=2,90+Inputs!$B$26+Inputs!$B$29,IF(Skills!C12=3,120+Inputs!$B$27+Inputs!$B$29,MAX(0,(Inputs!$B$3-100)*3)+Inputs!$B$28+Inputs!$B$29)))</f>
        <v/>
      </c>
      <c r="E1432">
        <f>INDEX(FactorTable!$B$2:$Y$301, MATCH(ROUND(MIN(300,MAX(1,D1432)),0), FactorTable!$A$2:$A$301,0), Skills!M12+1)</f>
        <v/>
      </c>
      <c r="F1432">
        <f>IF(Skills!N12=TRUE,(Skills!L12/10)*(E1432/1000),Skills!L12/10)+Skills!O12</f>
        <v/>
      </c>
      <c r="G1432">
        <f>Skills!G12*IF(Skills!H12&gt;0,Skills!I12/Skills!H12,1)</f>
        <v/>
      </c>
      <c r="H1432">
        <f>1-(1-Skills!J12/100)^Skills!K12</f>
        <v/>
      </c>
      <c r="I1432" t="inlineStr">
        <is>
          <t>1</t>
        </is>
      </c>
      <c r="J1432">
        <f>((Inputs!$B$6*(1+Inputs!$B$7/100))+(((Inputs!$B$12*(1+Inputs!$B$13/100))-(Inputs!$B$12*(1+Inputs!$B$13/100)))+0.25*(Inputs!$B$14-Inputs!$B$14))*(1+Inputs!$B$7/100))*(F1432/100)</f>
        <v/>
      </c>
      <c r="K1432">
        <f>J1432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1432)</f>
        <v/>
      </c>
      <c r="L1432">
        <f>K1432*(MIN(Inputs!$B$22+((C1444=TRUE)*(F1444-Calc!F24)),(Inputs!$B$23+((C1449=TRUE)*(F1449-Calc!F29))+IF(ArtifactsInput!$M$15,CHOOSE(ArtifactsInput!$N$15+1,25,30,35,40,45,50)/100*(Inputs!$B$11-Inputs!$B$11),0)))/100+(Inputs!$B$23+((C1449=TRUE)*(F1449-Calc!F29))+IF(ArtifactsInput!$M$15,CHOOSE(ArtifactsInput!$N$15+1,25,30,35,40,45,50)/100*(Inputs!$B$11-Inputs!$B$11),0))/100)/2</f>
        <v/>
      </c>
      <c r="M1432">
        <f>L1432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2">
        <f>L1432*(1-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1432*(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2">
        <f>(1-Summary!$B$11)*T1432+Summary!$B$11*V1432</f>
        <v/>
      </c>
      <c r="P1432">
        <f>IF(B1465=0,0,O1432/B1465)</f>
        <v/>
      </c>
      <c r="Q1432">
        <f>IFERROR(1/IF(Inputs!$B$39="pvp",15,MAX(0.1,Skills!D12-IF(Skills!E12=TRUE,Inputs!$B$32,0))),0)</f>
        <v/>
      </c>
      <c r="R1432">
        <f>IF(AND(Inputs!$B$39&lt;&gt;"pvp",Inputs!$B$44&gt;0),IF(MAX(0,Inputs!$B$44-B1464)&lt;=0,0,(INT(MAX(0,Inputs!$B$44-B1464)/IF(Inputs!$B$39="pvp",15,MAX(0.1,Skills!D12-IF(Skills!E12=TRUE,Inputs!$B$32,0))))+1)),0)</f>
        <v/>
      </c>
      <c r="S1432">
        <f>IFERROR(O1432/N1432,0)</f>
        <v/>
      </c>
      <c r="T1432">
        <f>IF(C1432,(H1432*N1432*IF(AND(Inputs!$B$39&lt;&gt;"pvp",Inputs!$B$44&gt;0),((Skills!G12*((R1432-1)*IF(Skills!H12&gt;0,Skills!I12/Skills!H12,1)+IF(Skills!H12&gt;0,MIN(Skills!I12,MAX(0,MAX(0,Inputs!$B$44-B1464)-((R1432-1)*IF(Inputs!$B$39="pvp",15,MAX(0.1,Skills!D12-IF(Skills!E12=TRUE,Inputs!$B$32,0))))))/Skills!H12,1)))/Inputs!$B$44),G1432*Q1432))*IF(Inputs!$B$39="pvp",1,1+(Inputs!$B$20+0+Skills!P12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1432*(1-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1432*(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1432*(1-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1432*(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2">
        <f>IF(C1432,(H1432*N1432*IF(AND(Inputs!$B$39&lt;&gt;"pvp",Inputs!$B$44&gt;0),((Skills!G12*((R1432-1)*IF(Skills!H12&gt;0,Skills!I12/Skills!H12,1)+IF(Skills!H12&gt;0,MIN(Skills!I12,MAX(0,MAX(0,Inputs!$B$44-B1464)-((R1432-1)*IF(Inputs!$B$39="pvp",15,MAX(0.1,Skills!D12-IF(Skills!E12=TRUE,Inputs!$B$32,0))))))/Skills!H12,1)))/Inputs!$B$44),G1432*Q1432))*IF(Inputs!$B$39="pvp",1,(1+(Inputs!$B$21+Skills!Q12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3">
      <c r="A1433">
        <f>Skills!A13</f>
        <v/>
      </c>
      <c r="B1433">
        <f>Skills!B13</f>
        <v/>
      </c>
      <c r="C1433">
        <f>Inputs!$B$3&gt;=105</f>
        <v/>
      </c>
      <c r="D1433">
        <f>IF(Skills!C13=1,60+Inputs!$B$25+Inputs!$B$29,IF(Skills!C13=2,90+Inputs!$B$26+Inputs!$B$29,IF(Skills!C13=3,120+Inputs!$B$27+Inputs!$B$29,MAX(0,(Inputs!$B$3-100)*3)+Inputs!$B$28+Inputs!$B$29)))</f>
        <v/>
      </c>
      <c r="E1433">
        <f>INDEX(FactorTable!$B$2:$Y$301, MATCH(ROUND(MIN(300,MAX(1,D1433)),0), FactorTable!$A$2:$A$301,0), Skills!M13+1)</f>
        <v/>
      </c>
      <c r="F1433">
        <f>IF(Skills!N13=TRUE,(Skills!L13/10)*(E1433/1000),Skills!L13/10)+Skills!O13</f>
        <v/>
      </c>
      <c r="G1433">
        <f>Skills!G13*IF(Skills!H13&gt;0,Skills!I13/Skills!H13,1)</f>
        <v/>
      </c>
      <c r="H1433">
        <f>1-(1-Skills!J13/100)^Skills!K13</f>
        <v/>
      </c>
      <c r="I1433" t="inlineStr">
        <is>
          <t>1</t>
        </is>
      </c>
      <c r="J1433">
        <f>((Inputs!$B$6*(1+Inputs!$B$7/100))+(((Inputs!$B$12*(1+Inputs!$B$13/100))-(Inputs!$B$12*(1+Inputs!$B$13/100)))+0.25*(Inputs!$B$14-Inputs!$B$14))*(1+Inputs!$B$7/100))*(F1433/100)</f>
        <v/>
      </c>
      <c r="K1433">
        <f>J1433*(1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1433)</f>
        <v/>
      </c>
      <c r="L1433">
        <f>K1433*(MIN(Inputs!$B$22+((C1444=TRUE)*(F1444-Calc!F24)),(Inputs!$B$23+((C1449=TRUE)*(F1449-Calc!F29))+IF(ArtifactsInput!$M$15,CHOOSE(ArtifactsInput!$N$15+1,25,30,35,40,45,50)/100*(Inputs!$B$11-Inputs!$B$11),0)))/100+(Inputs!$B$23+((C1449=TRUE)*(F1449-Calc!F29))+IF(ArtifactsInput!$M$15,CHOOSE(ArtifactsInput!$N$15+1,25,30,35,40,45,50)/100*(Inputs!$B$11-Inputs!$B$11),0))/100)/2</f>
        <v/>
      </c>
      <c r="M1433">
        <f>L1433*(1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3">
        <f>L1433*(1-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1433*(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3">
        <f>(1-Summary!$B$11)*T1433+Summary!$B$11*V1433</f>
        <v/>
      </c>
      <c r="P1433">
        <f>IF(B1465=0,0,O1433/B1465)</f>
        <v/>
      </c>
      <c r="Q1433">
        <f>IFERROR(1/IF(Inputs!$B$39="pvp",15,MAX(0.1,Skills!D13-IF(Skills!E13=TRUE,Inputs!$B$32,0))),0)</f>
        <v/>
      </c>
      <c r="R1433">
        <f>IF(AND(Inputs!$B$39&lt;&gt;"pvp",Inputs!$B$44&gt;0),IF(MAX(0,Inputs!$B$44-B1464)&lt;=0,0,(INT(MAX(0,Inputs!$B$44-B1464)/IF(Inputs!$B$39="pvp",15,MAX(0.1,Skills!D13-IF(Skills!E13=TRUE,Inputs!$B$32,0))))+1)),0)</f>
        <v/>
      </c>
      <c r="S1433">
        <f>IFERROR(O1433/N1433,0)</f>
        <v/>
      </c>
      <c r="T1433">
        <f>IF(C1433,(H1433*N1433*IF(AND(Inputs!$B$39&lt;&gt;"pvp",Inputs!$B$44&gt;0),((Skills!G13*((R1433-1)*IF(Skills!H13&gt;0,Skills!I13/Skills!H13,1)+IF(Skills!H13&gt;0,MIN(Skills!I13,MAX(0,MAX(0,Inputs!$B$44-B1464)-((R1433-1)*IF(Inputs!$B$39="pvp",15,MAX(0.1,Skills!D13-IF(Skills!E13=TRUE,Inputs!$B$32,0))))))/Skills!H13,1)))/Inputs!$B$44),G1433*Q1433))*IF(Inputs!$B$39="pvp",1,1+(Inputs!$B$20+0+Skills!P13+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1433*(1-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1433*(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1433*(1-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1433*(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3">
        <f>IF(C1433,(H1433*N1433*IF(AND(Inputs!$B$39&lt;&gt;"pvp",Inputs!$B$44&gt;0),((Skills!G13*((R1433-1)*IF(Skills!H13&gt;0,Skills!I13/Skills!H13,1)+IF(Skills!H13&gt;0,MIN(Skills!I13,MAX(0,MAX(0,Inputs!$B$44-B1464)-((R1433-1)*IF(Inputs!$B$39="pvp",15,MAX(0.1,Skills!D13-IF(Skills!E13=TRUE,Inputs!$B$32,0))))))/Skills!H13,1)))/Inputs!$B$44),G1433*Q1433))*IF(Inputs!$B$39="pvp",1,(1+(Inputs!$B$21+Skills!Q13+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4">
      <c r="A1434">
        <f>Skills!A14</f>
        <v/>
      </c>
      <c r="B1434">
        <f>Skills!B14</f>
        <v/>
      </c>
      <c r="C1434">
        <f>Inputs!$B$3&gt;=107</f>
        <v/>
      </c>
      <c r="D1434">
        <f>IF(Skills!C14=1,60+Inputs!$B$25+Inputs!$B$29,IF(Skills!C14=2,90+Inputs!$B$26+Inputs!$B$29,IF(Skills!C14=3,120+Inputs!$B$27+Inputs!$B$29,MAX(0,(Inputs!$B$3-100)*3)+Inputs!$B$28+Inputs!$B$29)))</f>
        <v/>
      </c>
      <c r="E1434">
        <f>INDEX(FactorTable!$B$2:$Y$301, MATCH(ROUND(MIN(300,MAX(1,D1434)),0), FactorTable!$A$2:$A$301,0), Skills!M14+1)</f>
        <v/>
      </c>
      <c r="F1434">
        <f>IF(Skills!N14=TRUE,(Skills!L14/10)*(E1434/1000),Skills!L14/10)+Skills!O14</f>
        <v/>
      </c>
      <c r="G1434">
        <f>Skills!G14*IF(Skills!H14&gt;0,Skills!I14/Skills!H14,1)</f>
        <v/>
      </c>
      <c r="H1434">
        <f>1-(1-Skills!J14/100)^Skills!K14</f>
        <v/>
      </c>
      <c r="I1434" t="inlineStr">
        <is>
          <t>1</t>
        </is>
      </c>
      <c r="J1434">
        <f>((Inputs!$B$6*(1+Inputs!$B$7/100))+(((Inputs!$B$12*(1+Inputs!$B$13/100))-(Inputs!$B$12*(1+Inputs!$B$13/100)))+0.25*(Inputs!$B$14-Inputs!$B$14))*(1+Inputs!$B$7/100))*(F1434/100)</f>
        <v/>
      </c>
      <c r="K1434">
        <f>J1434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1434)</f>
        <v/>
      </c>
      <c r="L1434">
        <f>K1434*(MIN(Inputs!$B$22+((C1444=TRUE)*(F1444-Calc!F24)),(Inputs!$B$23+((C1449=TRUE)*(F1449-Calc!F29))+IF(ArtifactsInput!$M$15,CHOOSE(ArtifactsInput!$N$15+1,25,30,35,40,45,50)/100*(Inputs!$B$11-Inputs!$B$11),0)))/100+(Inputs!$B$23+((C1449=TRUE)*(F1449-Calc!F29))+IF(ArtifactsInput!$M$15,CHOOSE(ArtifactsInput!$N$15+1,25,30,35,40,45,50)/100*(Inputs!$B$11-Inputs!$B$11),0))/100)/2</f>
        <v/>
      </c>
      <c r="M1434">
        <f>L1434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4">
        <f>L1434*(1-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1434*(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4">
        <f>(1-Summary!$B$11)*T1434+Summary!$B$11*V1434</f>
        <v/>
      </c>
      <c r="P1434">
        <f>IF(B1465=0,0,O1434/B1465)</f>
        <v/>
      </c>
      <c r="Q1434">
        <f>IFERROR(1/IF(Inputs!$B$39="pvp",15,MAX(0.1,Skills!D14-IF(Skills!E14=TRUE,Inputs!$B$32,0))),0)</f>
        <v/>
      </c>
      <c r="R1434">
        <f>IF(AND(Inputs!$B$39&lt;&gt;"pvp",Inputs!$B$44&gt;0),IF(MAX(0,Inputs!$B$44-B1464)&lt;=0,0,(INT(MAX(0,Inputs!$B$44-B1464)/IF(Inputs!$B$39="pvp",15,MAX(0.1,Skills!D14-IF(Skills!E14=TRUE,Inputs!$B$32,0))))+1)),0)</f>
        <v/>
      </c>
      <c r="S1434">
        <f>IFERROR(O1434/N1434,0)</f>
        <v/>
      </c>
      <c r="T1434">
        <f>IF(C1434,(H1434*N1434*IF(AND(Inputs!$B$39&lt;&gt;"pvp",Inputs!$B$44&gt;0),((Skills!G14*((R1434-1)*IF(Skills!H14&gt;0,Skills!I14/Skills!H14,1)+IF(Skills!H14&gt;0,MIN(Skills!I14,MAX(0,MAX(0,Inputs!$B$44-B1464)-((R1434-1)*IF(Inputs!$B$39="pvp",15,MAX(0.1,Skills!D14-IF(Skills!E14=TRUE,Inputs!$B$32,0))))))/Skills!H14,1)))/Inputs!$B$44),G1434*Q1434))*IF(Inputs!$B$39="pvp",1,1+(Inputs!$B$20+0+Skills!P14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1434*(1-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1434*(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1434*(1-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1434*(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4">
        <f>IF(C1434,(H1434*N1434*IF(AND(Inputs!$B$39&lt;&gt;"pvp",Inputs!$B$44&gt;0),((Skills!G14*((R1434-1)*IF(Skills!H14&gt;0,Skills!I14/Skills!H14,1)+IF(Skills!H14&gt;0,MIN(Skills!I14,MAX(0,MAX(0,Inputs!$B$44-B1464)-((R1434-1)*IF(Inputs!$B$39="pvp",15,MAX(0.1,Skills!D14-IF(Skills!E14=TRUE,Inputs!$B$32,0))))))/Skills!H14,1)))/Inputs!$B$44),G1434*Q1434))*IF(Inputs!$B$39="pvp",1,(1+(Inputs!$B$21+Skills!Q14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(5,0.25*B1457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5">
      <c r="A1435">
        <f>Skills!A15</f>
        <v/>
      </c>
      <c r="B1435">
        <f>Skills!B15</f>
        <v/>
      </c>
      <c r="C1435">
        <f>Inputs!$B$3&gt;=110</f>
        <v/>
      </c>
      <c r="D1435">
        <f>IF(Skills!C15=1,60+Inputs!$B$25+Inputs!$B$29,IF(Skills!C15=2,90+Inputs!$B$26+Inputs!$B$29,IF(Skills!C15=3,120+Inputs!$B$27+Inputs!$B$29,MAX(0,(Inputs!$B$3-100)*3)+Inputs!$B$28+Inputs!$B$29)))</f>
        <v/>
      </c>
      <c r="E1435">
        <f>INDEX(FactorTable!$B$2:$Y$301, MATCH(ROUND(MIN(300,MAX(1,D1435)),0), FactorTable!$A$2:$A$301,0), Skills!M15+1)</f>
        <v/>
      </c>
      <c r="F1435">
        <f>IF(Skills!N15=TRUE,(Skills!L15/10)*(E1435/1000),Skills!L15/10)+Skills!O15</f>
        <v/>
      </c>
      <c r="G1435">
        <f>Skills!G15*IF(Skills!H15&gt;0,Skills!I15/Skills!H15,1)</f>
        <v/>
      </c>
      <c r="H1435">
        <f>1-(1-Skills!J15/100)^Skills!K15</f>
        <v/>
      </c>
      <c r="I1435" t="inlineStr">
        <is>
          <t>1</t>
        </is>
      </c>
      <c r="J1435" t="inlineStr"/>
      <c r="K1435" t="inlineStr"/>
      <c r="L1435" t="inlineStr"/>
      <c r="M1435" t="inlineStr"/>
      <c r="N1435" t="inlineStr"/>
      <c r="O1435">
        <f>(1-Summary!$B$11)*T1435+Summary!$B$11*V1435</f>
        <v/>
      </c>
      <c r="P1435">
        <f>IF(B1465=0,0,O1435/B1465)</f>
        <v/>
      </c>
      <c r="Q1435">
        <f>IFERROR(1/IF(Inputs!$B$39="pvp",15,MAX(0.1,Skills!D15-IF(Skills!E15=TRUE,Inputs!$B$32,0))),0)</f>
        <v/>
      </c>
      <c r="R1435">
        <f>IF(AND(Inputs!$B$39&lt;&gt;"pvp",Inputs!$B$44&gt;0),IF(Inputs!$B$44&lt;=0,0,(INT(Inputs!$B$44/IF(Inputs!$B$39="pvp",15,MAX(0.1,Skills!D15-IF(Skills!E15=TRUE,Inputs!$B$32,0))))+1)),0)</f>
        <v/>
      </c>
      <c r="S1435">
        <f>IFERROR(O1435/N1435,0)</f>
        <v/>
      </c>
      <c r="T1435" t="n">
        <v>0</v>
      </c>
      <c r="V1435" t="n">
        <v>0</v>
      </c>
    </row>
    <row r="1436">
      <c r="A1436">
        <f>Skills!A16</f>
        <v/>
      </c>
      <c r="B1436">
        <f>Skills!B16</f>
        <v/>
      </c>
      <c r="C1436">
        <f>Inputs!$B$3&gt;=115</f>
        <v/>
      </c>
      <c r="D1436">
        <f>IF(Skills!C16=1,60+Inputs!$B$25+Inputs!$B$29,IF(Skills!C16=2,90+Inputs!$B$26+Inputs!$B$29,IF(Skills!C16=3,120+Inputs!$B$27+Inputs!$B$29,MAX(0,(Inputs!$B$3-100)*3)+Inputs!$B$28+Inputs!$B$29)))</f>
        <v/>
      </c>
      <c r="E1436">
        <f>INDEX(FactorTable!$B$2:$Y$301, MATCH(ROUND(MIN(300,MAX(1,D1436)),0), FactorTable!$A$2:$A$301,0), Skills!M16+1)</f>
        <v/>
      </c>
      <c r="F1436">
        <f>IF(Skills!N16=TRUE,(Skills!L16/10)*(E1436/1000),Skills!L16/10)+Skills!O16</f>
        <v/>
      </c>
      <c r="G1436">
        <f>Skills!G16*IF(Skills!H16&gt;0,Skills!I16/Skills!H16,1)</f>
        <v/>
      </c>
      <c r="H1436">
        <f>1-(1-Skills!J16/100)^Skills!K16</f>
        <v/>
      </c>
      <c r="I1436" t="inlineStr">
        <is>
          <t>1</t>
        </is>
      </c>
      <c r="J1436">
        <f>((Inputs!$B$6*(1+Inputs!$B$7/100))+(((Inputs!$B$12*(1+Inputs!$B$13/100))-(Inputs!$B$12*(1+Inputs!$B$13/100)))+0.25*(Inputs!$B$14-Inputs!$B$14))*(1+Inputs!$B$7/100))*(F1436/100)</f>
        <v/>
      </c>
      <c r="K1436">
        <f>J1436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1447=TRUE)*(F1447-Calc!F27))+((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1436)</f>
        <v/>
      </c>
      <c r="L1436">
        <f>K1436*(MIN(Inputs!$B$22+((C1444=TRUE)*(F1444-Calc!F24)),(Inputs!$B$23+((C1449=TRUE)*(F1449-Calc!F29))+IF(ArtifactsInput!$M$15,CHOOSE(ArtifactsInput!$N$15+1,25,30,35,40,45,50)/100*(Inputs!$B$11-Inputs!$B$11),0)))/100+(Inputs!$B$23+((C1449=TRUE)*(F1449-Calc!F29))+IF(ArtifactsInput!$M$15,CHOOSE(ArtifactsInput!$N$15+1,25,30,35,40,45,50)/100*(Inputs!$B$11-Inputs!$B$11),0))/100)/2</f>
        <v/>
      </c>
      <c r="M1436">
        <f>L1436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6">
        <f>L1436*(1-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1436*(MIN((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6">
        <f>(1-Summary!$B$11)*T1436+Summary!$B$11*V1436</f>
        <v/>
      </c>
      <c r="P1436">
        <f>IF(B1465=0,0,O1436/B1465)</f>
        <v/>
      </c>
      <c r="Q1436" t="n">
        <v>0</v>
      </c>
      <c r="R1436" t="n">
        <v>0</v>
      </c>
      <c r="S1436">
        <f>IFERROR(O1436/N1436,0)</f>
        <v/>
      </c>
      <c r="T1436">
        <f>IF(C1436,(Inputs!$B$38*0.2*N1436)*IF(Inputs!$B$39="pvp",1,1+(Inputs!$B$20+0+Skills!P16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1436*(1-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1436*(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1436*(1-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1436*(MIN(100,(Inputs!$B$9+((C1445=TRUE)*(F1445-Calc!F25))+B1453+(ArtifactsInput!$M$24-ArtifactsInput!$M$24)*CHOOSE(ArtifactsInput!$N$24+1,10,12,14,16,18,20)+(IF(AND(Inputs!$B$39&lt;&gt;"pvp",Inputs!$B$44=0),1,IF(IF(Inputs!$B$39="pvp",15,Inputs!$B$44)-(B1464)&lt;=0,1,MAX(0,IF(Inputs!$B$39="pvp",15,Inputs!$B$44)-MAX(5,B1464))/(IF(Inputs!$B$39="pvp",15,Inputs!$B$44)-(B1464))))*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6">
        <f>IF(C1436,(Inputs!$B$38*0.2*N1436)*IF(Inputs!$B$39="pvp",1,(1+(Inputs!$B$21+Skills!Q16+B1454+(IF(ArtifactsInput!$M$33,CHOOSE(ArtifactsInput!$N$33+1,30,36,42,48,54,60),0))+(IF(AND(ArtifactsInput!$M$35,Inputs!$B$4&lt;&gt;"Chapter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7">
      <c r="A1437">
        <f>Skills!A17</f>
        <v/>
      </c>
      <c r="B1437">
        <f>Skills!B17</f>
        <v/>
      </c>
      <c r="C1437">
        <f>Inputs!$B$3&gt;=115</f>
        <v/>
      </c>
      <c r="D1437">
        <f>IF(Skills!C17=1,60+Inputs!$B$25+Inputs!$B$29,IF(Skills!C17=2,90+Inputs!$B$26+Inputs!$B$29,IF(Skills!C17=3,120+Inputs!$B$27+Inputs!$B$29,MAX(0,(Inputs!$B$3-100)*3)+Inputs!$B$28+Inputs!$B$29)))</f>
        <v/>
      </c>
      <c r="E1437">
        <f>INDEX(FactorTable!$B$2:$Y$301, MATCH(ROUND(MIN(300,MAX(1,D1437)),0), FactorTable!$A$2:$A$301,0), Skills!M17+1)</f>
        <v/>
      </c>
      <c r="F1437">
        <f>IF(Skills!N17=TRUE,(Skills!L17/10)*(E1437/1000),Skills!L17/10)+Skills!O17</f>
        <v/>
      </c>
      <c r="G1437">
        <f>Skills!G17*IF(Skills!H17&gt;0,Skills!I17/Skills!H17,1)</f>
        <v/>
      </c>
      <c r="H1437">
        <f>1-(1-Skills!J17/100)^Skills!K17</f>
        <v/>
      </c>
      <c r="I1437" t="inlineStr">
        <is>
          <t>1</t>
        </is>
      </c>
      <c r="J1437" t="inlineStr"/>
      <c r="K1437" t="inlineStr"/>
      <c r="L1437" t="inlineStr"/>
      <c r="M1437" t="inlineStr"/>
      <c r="N1437" t="inlineStr"/>
      <c r="O1437">
        <f>(1-Summary!$B$11)*T1437+Summary!$B$11*V1437</f>
        <v/>
      </c>
      <c r="P1437">
        <f>IF(B1465=0,0,O1437/B1465)</f>
        <v/>
      </c>
      <c r="Q1437" t="n">
        <v>0</v>
      </c>
      <c r="R1437" t="n">
        <v>0</v>
      </c>
      <c r="S1437">
        <f>IFERROR(O1437/N1437,0)</f>
        <v/>
      </c>
      <c r="T1437" t="n">
        <v>0</v>
      </c>
      <c r="V1437" t="n">
        <v>0</v>
      </c>
    </row>
    <row r="1438">
      <c r="A1438">
        <f>Skills!A18</f>
        <v/>
      </c>
      <c r="B1438">
        <f>Skills!B18</f>
        <v/>
      </c>
      <c r="C1438">
        <f>Inputs!$B$3&gt;=100</f>
        <v/>
      </c>
      <c r="D1438">
        <f>IF(Skills!C18=1,60+Inputs!$B$25+Inputs!$B$29,IF(Skills!C18=2,90+Inputs!$B$26+Inputs!$B$29,IF(Skills!C18=3,120+Inputs!$B$27+Inputs!$B$29,MAX(0,(Inputs!$B$3-100)*3)+Inputs!$B$28+Inputs!$B$29)))</f>
        <v/>
      </c>
      <c r="E1438">
        <f>INDEX(FactorTable!$B$2:$Y$301, MATCH(ROUND(MIN(300,MAX(1,D1438)),0), FactorTable!$A$2:$A$301,0), Skills!M18+1)</f>
        <v/>
      </c>
      <c r="F1438">
        <f>IF(Skills!N18=TRUE,(Skills!L18/10)*(E1438/1000),Skills!L18/10)+Skills!O18</f>
        <v/>
      </c>
      <c r="G1438">
        <f>Skills!G18*IF(Skills!H18&gt;0,Skills!I18/Skills!H18,1)</f>
        <v/>
      </c>
      <c r="H1438">
        <f>1-(1-Skills!J18/100)^Skills!K18</f>
        <v/>
      </c>
      <c r="I1438" t="inlineStr">
        <is>
          <t>1</t>
        </is>
      </c>
      <c r="J1438" t="inlineStr"/>
      <c r="K1438" t="inlineStr"/>
      <c r="L1438" t="inlineStr"/>
      <c r="M1438" t="inlineStr"/>
      <c r="N1438" t="inlineStr"/>
      <c r="O1438">
        <f>(1-Summary!$B$11)*T1438+Summary!$B$11*V1438</f>
        <v/>
      </c>
      <c r="P1438">
        <f>IF(B1465=0,0,O1438/B1465)</f>
        <v/>
      </c>
      <c r="Q1438" t="n">
        <v>0</v>
      </c>
      <c r="R1438" t="n">
        <v>0</v>
      </c>
      <c r="S1438">
        <f>IFERROR(O1438/N1438,0)</f>
        <v/>
      </c>
      <c r="T1438" t="n">
        <v>0</v>
      </c>
      <c r="V1438" t="n">
        <v>0</v>
      </c>
    </row>
    <row r="1439">
      <c r="A1439">
        <f>Skills!A19</f>
        <v/>
      </c>
      <c r="B1439">
        <f>Skills!B19</f>
        <v/>
      </c>
      <c r="C1439">
        <f>TRUE</f>
        <v/>
      </c>
      <c r="D1439">
        <f>IF(Skills!C19=1,60+Inputs!$B$25+Inputs!$B$29,IF(Skills!C19=2,90+Inputs!$B$26+Inputs!$B$29,IF(Skills!C19=3,120+Inputs!$B$27+Inputs!$B$29,MAX(0,(Inputs!$B$3-100)*3)+Inputs!$B$28+Inputs!$B$29)))</f>
        <v/>
      </c>
      <c r="E1439">
        <f>INDEX(FactorTable!$B$2:$Y$301, MATCH(ROUND(MIN(300,MAX(1,D1439)),0), FactorTable!$A$2:$A$301,0), Skills!M19+1)</f>
        <v/>
      </c>
      <c r="F1439">
        <f>IF(Skills!N19=TRUE,(Skills!L19/10)*(E1439/1000),Skills!L19/10)+Skills!O19</f>
        <v/>
      </c>
      <c r="G1439">
        <f>Skills!G19*IF(Skills!H19&gt;0,Skills!I19/Skills!H19,1)</f>
        <v/>
      </c>
      <c r="H1439">
        <f>1-(1-Skills!J19/100)^Skills!K19</f>
        <v/>
      </c>
      <c r="I1439" t="inlineStr">
        <is>
          <t>1</t>
        </is>
      </c>
      <c r="J1439" t="inlineStr"/>
      <c r="K1439" t="inlineStr"/>
      <c r="L1439" t="inlineStr"/>
      <c r="M1439" t="inlineStr"/>
      <c r="N1439" t="inlineStr"/>
      <c r="O1439">
        <f>(1-Summary!$B$11)*T1439+Summary!$B$11*V1439</f>
        <v/>
      </c>
      <c r="P1439">
        <f>IF(B1465=0,0,O1439/B1465)</f>
        <v/>
      </c>
      <c r="Q1439">
        <f>IFERROR(1/IF(Inputs!$B$39="pvp",15,MAX(0.1,Skills!D19-IF(Skills!E19=TRUE,Inputs!$B$32,0))),0)</f>
        <v/>
      </c>
      <c r="R1439">
        <f>IF(AND(Inputs!$B$39&lt;&gt;"pvp",Inputs!$B$44&gt;0),IF(Inputs!$B$44&lt;=0,0,(INT(Inputs!$B$44/IF(Inputs!$B$39="pvp",15,MAX(0.1,Skills!D19-IF(Skills!E19=TRUE,Inputs!$B$32,0))))+1)),0)</f>
        <v/>
      </c>
      <c r="S1439">
        <f>IFERROR(O1439/N1439,0)</f>
        <v/>
      </c>
      <c r="T1439" t="n">
        <v>0</v>
      </c>
      <c r="V1439" t="n">
        <v>0</v>
      </c>
    </row>
    <row r="1440">
      <c r="A1440">
        <f>Skills!A20</f>
        <v/>
      </c>
      <c r="B1440">
        <f>Skills!B20</f>
        <v/>
      </c>
      <c r="C1440">
        <f>Inputs!$B$3&gt;=15</f>
        <v/>
      </c>
      <c r="D1440">
        <f>IF(Skills!C20=1,60+Inputs!$B$25+Inputs!$B$29,IF(Skills!C20=2,90+Inputs!$B$26+Inputs!$B$29,IF(Skills!C20=3,120+Inputs!$B$27+Inputs!$B$29,MAX(0,(Inputs!$B$3-100)*3)+Inputs!$B$28+Inputs!$B$29)))</f>
        <v/>
      </c>
      <c r="E1440">
        <f>INDEX(FactorTable!$B$2:$Y$301, MATCH(ROUND(MIN(300,MAX(1,D1440)),0), FactorTable!$A$2:$A$301,0), Skills!M20+1)</f>
        <v/>
      </c>
      <c r="F1440">
        <f>IF(Skills!N20=TRUE,(Skills!L20/10)*(E1440/1000),Skills!L20/10)+Skills!O20</f>
        <v/>
      </c>
      <c r="G1440">
        <f>Skills!G20*IF(Skills!H20&gt;0,Skills!I20/Skills!H20,1)</f>
        <v/>
      </c>
      <c r="H1440">
        <f>1-(1-Skills!J20/100)^Skills!K20</f>
        <v/>
      </c>
      <c r="I1440" t="inlineStr">
        <is>
          <t>1</t>
        </is>
      </c>
      <c r="J1440" t="inlineStr"/>
      <c r="K1440" t="inlineStr"/>
      <c r="L1440" t="inlineStr"/>
      <c r="M1440" t="inlineStr"/>
      <c r="N1440" t="inlineStr"/>
      <c r="O1440">
        <f>(1-Summary!$B$11)*T1440+Summary!$B$11*V1440</f>
        <v/>
      </c>
      <c r="P1440">
        <f>IF(B1465=0,0,O1440/B1465)</f>
        <v/>
      </c>
      <c r="Q1440">
        <f>IFERROR(1/IF(Inputs!$B$39="pvp",15,MAX(0.1,Skills!D20-IF(Skills!E20=TRUE,Inputs!$B$32,0))),0)</f>
        <v/>
      </c>
      <c r="R1440">
        <f>IF(AND(Inputs!$B$39&lt;&gt;"pvp",Inputs!$B$44&gt;0),IF(Inputs!$B$44&lt;=0,0,(INT(Inputs!$B$44/IF(Inputs!$B$39="pvp",15,MAX(0.1,Skills!D20-IF(Skills!E20=TRUE,Inputs!$B$32,0))))+1)),0)</f>
        <v/>
      </c>
      <c r="S1440">
        <f>IFERROR(O1440/N1440,0)</f>
        <v/>
      </c>
      <c r="T1440" t="n">
        <v>0</v>
      </c>
      <c r="V1440" t="n">
        <v>0</v>
      </c>
    </row>
    <row r="1441">
      <c r="A1441">
        <f>Skills!A21</f>
        <v/>
      </c>
      <c r="B1441">
        <f>Skills!B21</f>
        <v/>
      </c>
      <c r="C1441">
        <f>Inputs!$B$3&gt;=15</f>
        <v/>
      </c>
      <c r="D1441">
        <f>IF(Skills!C21=1,60+Inputs!$B$25+Inputs!$B$29,IF(Skills!C21=2,90+Inputs!$B$26+Inputs!$B$29,IF(Skills!C21=3,120+Inputs!$B$27+Inputs!$B$29,MAX(0,(Inputs!$B$3-100)*3)+Inputs!$B$28+Inputs!$B$29)))</f>
        <v/>
      </c>
      <c r="E1441">
        <f>INDEX(FactorTable!$B$2:$Y$301, MATCH(ROUND(MIN(300,MAX(1,D1441)),0), FactorTable!$A$2:$A$301,0), Skills!M21+1)</f>
        <v/>
      </c>
      <c r="F1441">
        <f>IF(Skills!N21=TRUE,(Skills!L21/10)*(E1441/1000),Skills!L21/10)+Skills!O21</f>
        <v/>
      </c>
      <c r="G1441">
        <f>Skills!G21*IF(Skills!H21&gt;0,Skills!I21/Skills!H21,1)</f>
        <v/>
      </c>
      <c r="H1441">
        <f>1-(1-Skills!J21/100)^Skills!K21</f>
        <v/>
      </c>
      <c r="I1441" t="inlineStr">
        <is>
          <t>1</t>
        </is>
      </c>
      <c r="J1441" t="inlineStr"/>
      <c r="K1441" t="inlineStr"/>
      <c r="L1441" t="inlineStr"/>
      <c r="M1441" t="inlineStr"/>
      <c r="N1441" t="inlineStr"/>
      <c r="O1441">
        <f>(1-Summary!$B$11)*T1441+Summary!$B$11*V1441</f>
        <v/>
      </c>
      <c r="P1441">
        <f>IF(B1465=0,0,O1441/B1465)</f>
        <v/>
      </c>
      <c r="Q1441">
        <f>IFERROR(1/IF(Inputs!$B$39="pvp",15,MAX(0.1,Skills!D21-IF(Skills!E21=TRUE,Inputs!$B$32,0))),0)</f>
        <v/>
      </c>
      <c r="R1441">
        <f>IF(AND(Inputs!$B$39&lt;&gt;"pvp",Inputs!$B$44&gt;0),IF(Inputs!$B$44&lt;=0,0,(INT(Inputs!$B$44/IF(Inputs!$B$39="pvp",15,MAX(0.1,Skills!D21-IF(Skills!E21=TRUE,Inputs!$B$32,0))))+1)),0)</f>
        <v/>
      </c>
      <c r="S1441">
        <f>IFERROR(O1441/N1441,0)</f>
        <v/>
      </c>
      <c r="T1441" t="n">
        <v>0</v>
      </c>
      <c r="V1441" t="n">
        <v>0</v>
      </c>
    </row>
    <row r="1442">
      <c r="A1442">
        <f>Skills!A22</f>
        <v/>
      </c>
      <c r="B1442">
        <f>Skills!B22</f>
        <v/>
      </c>
      <c r="C1442">
        <f>Inputs!$B$3&gt;=33</f>
        <v/>
      </c>
      <c r="D1442">
        <f>IF(Skills!C22=1,60+Inputs!$B$25+Inputs!$B$29,IF(Skills!C22=2,90+Inputs!$B$26+Inputs!$B$29,IF(Skills!C22=3,120+Inputs!$B$27+Inputs!$B$29,MAX(0,(Inputs!$B$3-100)*3)+Inputs!$B$28+Inputs!$B$29)))</f>
        <v/>
      </c>
      <c r="E1442">
        <f>INDEX(FactorTable!$B$2:$Y$301, MATCH(ROUND(MIN(300,MAX(1,D1442)),0), FactorTable!$A$2:$A$301,0), Skills!M22+1)</f>
        <v/>
      </c>
      <c r="F1442">
        <f>IF(Skills!N22=TRUE,(Skills!L22/10)*(E1442/1000),Skills!L22/10)+Skills!O22</f>
        <v/>
      </c>
      <c r="G1442">
        <f>Skills!G22*IF(Skills!H22&gt;0,Skills!I22/Skills!H22,1)</f>
        <v/>
      </c>
      <c r="H1442">
        <f>1-(1-Skills!J22/100)^Skills!K22</f>
        <v/>
      </c>
      <c r="I1442" t="inlineStr">
        <is>
          <t>1</t>
        </is>
      </c>
      <c r="J1442" t="inlineStr"/>
      <c r="K1442" t="inlineStr"/>
      <c r="L1442" t="inlineStr"/>
      <c r="M1442" t="inlineStr"/>
      <c r="N1442" t="inlineStr"/>
      <c r="O1442">
        <f>(1-Summary!$B$11)*T1442+Summary!$B$11*V1442</f>
        <v/>
      </c>
      <c r="P1442">
        <f>IF(B1465=0,0,O1442/B1465)</f>
        <v/>
      </c>
      <c r="Q1442" t="n">
        <v>0</v>
      </c>
      <c r="R1442" t="n">
        <v>0</v>
      </c>
      <c r="S1442">
        <f>IFERROR(O1442/N1442,0)</f>
        <v/>
      </c>
      <c r="T1442" t="n">
        <v>0</v>
      </c>
      <c r="V1442" t="n">
        <v>0</v>
      </c>
    </row>
    <row r="1443">
      <c r="A1443">
        <f>Skills!A23</f>
        <v/>
      </c>
      <c r="B1443">
        <f>Skills!B23</f>
        <v/>
      </c>
      <c r="C1443">
        <f>Inputs!$B$3&gt;=40</f>
        <v/>
      </c>
      <c r="D1443">
        <f>IF(Skills!C23=1,60+Inputs!$B$25+Inputs!$B$29,IF(Skills!C23=2,90+Inputs!$B$26+Inputs!$B$29,IF(Skills!C23=3,120+Inputs!$B$27+Inputs!$B$29,MAX(0,(Inputs!$B$3-100)*3)+Inputs!$B$28+Inputs!$B$29)))</f>
        <v/>
      </c>
      <c r="E1443">
        <f>INDEX(FactorTable!$B$2:$Y$301, MATCH(ROUND(MIN(300,MAX(1,D1443)),0), FactorTable!$A$2:$A$301,0), Skills!M23+1)</f>
        <v/>
      </c>
      <c r="F1443">
        <f>IF(Skills!N23=TRUE,(Skills!L23/10)*(E1443/1000),Skills!L23/10)+Skills!O23</f>
        <v/>
      </c>
      <c r="G1443">
        <f>Skills!G23*IF(Skills!H23&gt;0,Skills!I23/Skills!H23,1)</f>
        <v/>
      </c>
      <c r="H1443">
        <f>1-(1-Skills!J23/100)^Skills!K23</f>
        <v/>
      </c>
      <c r="I1443" t="inlineStr">
        <is>
          <t>1</t>
        </is>
      </c>
      <c r="J1443" t="inlineStr"/>
      <c r="K1443" t="inlineStr"/>
      <c r="L1443" t="inlineStr"/>
      <c r="M1443" t="inlineStr"/>
      <c r="N1443" t="inlineStr"/>
      <c r="O1443">
        <f>(1-Summary!$B$11)*T1443+Summary!$B$11*V1443</f>
        <v/>
      </c>
      <c r="P1443">
        <f>IF(B1465=0,0,O1443/B1465)</f>
        <v/>
      </c>
      <c r="Q1443" t="n">
        <v>0</v>
      </c>
      <c r="R1443" t="n">
        <v>0</v>
      </c>
      <c r="S1443">
        <f>IFERROR(O1443/N1443,0)</f>
        <v/>
      </c>
      <c r="T1443" t="n">
        <v>0</v>
      </c>
      <c r="V1443" t="n">
        <v>0</v>
      </c>
    </row>
    <row r="1444">
      <c r="A1444">
        <f>Skills!A24</f>
        <v/>
      </c>
      <c r="B1444">
        <f>Skills!B24</f>
        <v/>
      </c>
      <c r="C1444">
        <f>Inputs!$B$3&gt;=43</f>
        <v/>
      </c>
      <c r="D1444">
        <f>IF(Skills!C24=1,60+Inputs!$B$25+Inputs!$B$29,IF(Skills!C24=2,90+Inputs!$B$26+Inputs!$B$29,IF(Skills!C24=3,120+Inputs!$B$27+Inputs!$B$29,MAX(0,(Inputs!$B$3-100)*3)+Inputs!$B$28+Inputs!$B$29)))</f>
        <v/>
      </c>
      <c r="E1444">
        <f>INDEX(FactorTable!$B$2:$Y$301, MATCH(ROUND(MIN(300,MAX(1,D1444)),0), FactorTable!$A$2:$A$301,0), Skills!M24+1)</f>
        <v/>
      </c>
      <c r="F1444">
        <f>IF(Skills!N24=TRUE,(Skills!L24/10)*(E1444/1000),Skills!L24/10)+Skills!O24</f>
        <v/>
      </c>
      <c r="G1444">
        <f>Skills!G24*IF(Skills!H24&gt;0,Skills!I24/Skills!H24,1)</f>
        <v/>
      </c>
      <c r="H1444">
        <f>1-(1-Skills!J24/100)^Skills!K24</f>
        <v/>
      </c>
      <c r="I1444" t="inlineStr">
        <is>
          <t>1</t>
        </is>
      </c>
      <c r="J1444" t="inlineStr"/>
      <c r="K1444" t="inlineStr"/>
      <c r="L1444" t="inlineStr"/>
      <c r="M1444" t="inlineStr"/>
      <c r="N1444" t="inlineStr"/>
      <c r="O1444">
        <f>(1-Summary!$B$11)*T1444+Summary!$B$11*V1444</f>
        <v/>
      </c>
      <c r="P1444">
        <f>IF(B1465=0,0,O1444/B1465)</f>
        <v/>
      </c>
      <c r="Q1444" t="n">
        <v>0</v>
      </c>
      <c r="R1444" t="n">
        <v>0</v>
      </c>
      <c r="S1444">
        <f>IFERROR(O1444/N1444,0)</f>
        <v/>
      </c>
      <c r="T1444" t="n">
        <v>0</v>
      </c>
      <c r="V1444" t="n">
        <v>0</v>
      </c>
    </row>
    <row r="1445">
      <c r="A1445">
        <f>Skills!A25</f>
        <v/>
      </c>
      <c r="B1445">
        <f>Skills!B25</f>
        <v/>
      </c>
      <c r="C1445">
        <f>Inputs!$B$3&gt;=50</f>
        <v/>
      </c>
      <c r="D1445">
        <f>IF(Skills!C25=1,60+Inputs!$B$25+Inputs!$B$29,IF(Skills!C25=2,90+Inputs!$B$26+Inputs!$B$29,IF(Skills!C25=3,120+Inputs!$B$27+Inputs!$B$29,MAX(0,(Inputs!$B$3-100)*3)+Inputs!$B$28+Inputs!$B$29)))</f>
        <v/>
      </c>
      <c r="E1445">
        <f>INDEX(FactorTable!$B$2:$Y$301, MATCH(ROUND(MIN(300,MAX(1,D1445)),0), FactorTable!$A$2:$A$301,0), Skills!M25+1)</f>
        <v/>
      </c>
      <c r="F1445">
        <f>IF(Skills!N25=TRUE,(Skills!L25/10)*(E1445/1000),Skills!L25/10)+Skills!O25</f>
        <v/>
      </c>
      <c r="G1445">
        <f>Skills!G25*IF(Skills!H25&gt;0,Skills!I25/Skills!H25,1)</f>
        <v/>
      </c>
      <c r="H1445">
        <f>1-(1-Skills!J25/100)^Skills!K25</f>
        <v/>
      </c>
      <c r="I1445" t="inlineStr">
        <is>
          <t>1</t>
        </is>
      </c>
      <c r="J1445" t="inlineStr"/>
      <c r="K1445" t="inlineStr"/>
      <c r="L1445" t="inlineStr"/>
      <c r="M1445" t="inlineStr"/>
      <c r="N1445" t="inlineStr"/>
      <c r="O1445">
        <f>(1-Summary!$B$11)*T1445+Summary!$B$11*V1445</f>
        <v/>
      </c>
      <c r="P1445">
        <f>IF(B1465=0,0,O1445/B1465)</f>
        <v/>
      </c>
      <c r="Q1445" t="n">
        <v>0</v>
      </c>
      <c r="R1445" t="n">
        <v>0</v>
      </c>
      <c r="S1445">
        <f>IFERROR(O1445/N1445,0)</f>
        <v/>
      </c>
      <c r="T1445" t="n">
        <v>0</v>
      </c>
      <c r="V1445" t="n">
        <v>0</v>
      </c>
    </row>
    <row r="1446">
      <c r="A1446">
        <f>Skills!A26</f>
        <v/>
      </c>
      <c r="B1446">
        <f>Skills!B26</f>
        <v/>
      </c>
      <c r="C1446">
        <f>Inputs!$B$3&gt;=50</f>
        <v/>
      </c>
      <c r="D1446">
        <f>IF(Skills!C26=1,60+Inputs!$B$25+Inputs!$B$29,IF(Skills!C26=2,90+Inputs!$B$26+Inputs!$B$29,IF(Skills!C26=3,120+Inputs!$B$27+Inputs!$B$29,MAX(0,(Inputs!$B$3-100)*3)+Inputs!$B$28+Inputs!$B$29)))</f>
        <v/>
      </c>
      <c r="E1446">
        <f>INDEX(FactorTable!$B$2:$Y$301, MATCH(ROUND(MIN(300,MAX(1,D1446)),0), FactorTable!$A$2:$A$301,0), Skills!M26+1)</f>
        <v/>
      </c>
      <c r="F1446">
        <f>IF(Skills!N26=TRUE,(Skills!L26/10)*(E1446/1000),Skills!L26/10)+Skills!O26</f>
        <v/>
      </c>
      <c r="G1446">
        <f>Skills!G26*IF(Skills!H26&gt;0,Skills!I26/Skills!H26,1)</f>
        <v/>
      </c>
      <c r="H1446">
        <f>1-(1-Skills!J26/100)^Skills!K26</f>
        <v/>
      </c>
      <c r="I1446" t="inlineStr">
        <is>
          <t>1</t>
        </is>
      </c>
      <c r="J1446" t="inlineStr"/>
      <c r="K1446" t="inlineStr"/>
      <c r="L1446" t="inlineStr"/>
      <c r="M1446" t="inlineStr"/>
      <c r="N1446" t="inlineStr"/>
      <c r="O1446">
        <f>(1-Summary!$B$11)*T1446+Summary!$B$11*V1446</f>
        <v/>
      </c>
      <c r="P1446">
        <f>IF(B1465=0,0,O1446/B1465)</f>
        <v/>
      </c>
      <c r="Q1446" t="n">
        <v>0</v>
      </c>
      <c r="R1446" t="n">
        <v>0</v>
      </c>
      <c r="S1446">
        <f>IFERROR(O1446/N1446,0)</f>
        <v/>
      </c>
      <c r="T1446" t="n">
        <v>0</v>
      </c>
      <c r="V1446" t="n">
        <v>0</v>
      </c>
    </row>
    <row r="1447">
      <c r="A1447">
        <f>Skills!A27</f>
        <v/>
      </c>
      <c r="B1447">
        <f>Skills!B27</f>
        <v/>
      </c>
      <c r="C1447">
        <f>Inputs!$B$3&gt;=38</f>
        <v/>
      </c>
      <c r="D1447">
        <f>IF(Skills!C27=1,60+Inputs!$B$25+Inputs!$B$29,IF(Skills!C27=2,90+Inputs!$B$26+Inputs!$B$29,IF(Skills!C27=3,120+Inputs!$B$27+Inputs!$B$29,MAX(0,(Inputs!$B$3-100)*3)+Inputs!$B$28+Inputs!$B$29)))</f>
        <v/>
      </c>
      <c r="E1447">
        <f>INDEX(FactorTable!$B$2:$Y$301, MATCH(ROUND(MIN(300,MAX(1,D1447)),0), FactorTable!$A$2:$A$301,0), Skills!M27+1)</f>
        <v/>
      </c>
      <c r="F1447">
        <f>IF(Skills!N27=TRUE,(Skills!L27/10)*(E1447/1000),Skills!L27/10)+Skills!O27</f>
        <v/>
      </c>
      <c r="G1447">
        <f>Skills!G27*IF(Skills!H27&gt;0,Skills!I27/Skills!H27,1)</f>
        <v/>
      </c>
      <c r="H1447">
        <f>1-(1-Skills!J27/100)^Skills!K27</f>
        <v/>
      </c>
      <c r="I1447" t="inlineStr">
        <is>
          <t>1</t>
        </is>
      </c>
      <c r="J1447" t="inlineStr"/>
      <c r="K1447" t="inlineStr"/>
      <c r="L1447" t="inlineStr"/>
      <c r="M1447" t="inlineStr"/>
      <c r="N1447" t="inlineStr"/>
      <c r="O1447">
        <f>(1-Summary!$B$11)*T1447+Summary!$B$11*V1447</f>
        <v/>
      </c>
      <c r="P1447">
        <f>IF(B1465=0,0,O1447/B1465)</f>
        <v/>
      </c>
      <c r="Q1447" t="n">
        <v>0</v>
      </c>
      <c r="R1447" t="n">
        <v>0</v>
      </c>
      <c r="S1447">
        <f>IFERROR(O1447/N1447,0)</f>
        <v/>
      </c>
      <c r="T1447" t="n">
        <v>0</v>
      </c>
      <c r="V1447" t="n">
        <v>0</v>
      </c>
    </row>
    <row r="1448">
      <c r="A1448">
        <f>Skills!A28</f>
        <v/>
      </c>
      <c r="B1448">
        <f>Skills!B28</f>
        <v/>
      </c>
      <c r="C1448">
        <f>Inputs!$B$3&gt;=120</f>
        <v/>
      </c>
      <c r="D1448">
        <f>IF(Skills!C28=1,60+Inputs!$B$25+Inputs!$B$29,IF(Skills!C28=2,90+Inputs!$B$26+Inputs!$B$29,IF(Skills!C28=3,120+Inputs!$B$27+Inputs!$B$29,MAX(0,(Inputs!$B$3-100)*3)+Inputs!$B$28+Inputs!$B$29)))</f>
        <v/>
      </c>
      <c r="E1448">
        <f>INDEX(FactorTable!$B$2:$Y$301, MATCH(ROUND(MIN(300,MAX(1,D1448)),0), FactorTable!$A$2:$A$301,0), Skills!M28+1)</f>
        <v/>
      </c>
      <c r="F1448">
        <f>IF(Skills!N28=TRUE,(Skills!L28/10)*(E1448/1000),Skills!L28/10)+Skills!O28</f>
        <v/>
      </c>
      <c r="G1448">
        <f>Skills!G28*IF(Skills!H28&gt;0,Skills!I28/Skills!H28,1)</f>
        <v/>
      </c>
      <c r="H1448">
        <f>1-(1-Skills!J28/100)^Skills!K28</f>
        <v/>
      </c>
      <c r="I1448" t="inlineStr">
        <is>
          <t>1</t>
        </is>
      </c>
      <c r="J1448" t="inlineStr"/>
      <c r="K1448" t="inlineStr"/>
      <c r="L1448" t="inlineStr"/>
      <c r="M1448" t="inlineStr"/>
      <c r="N1448" t="inlineStr"/>
      <c r="O1448">
        <f>(1-Summary!$B$11)*T1448+Summary!$B$11*V1448</f>
        <v/>
      </c>
      <c r="P1448">
        <f>IF(B1465=0,0,O1448/B1465)</f>
        <v/>
      </c>
      <c r="Q1448" t="n">
        <v>0</v>
      </c>
      <c r="R1448" t="n">
        <v>0</v>
      </c>
      <c r="S1448">
        <f>IFERROR(O1448/N1448,0)</f>
        <v/>
      </c>
      <c r="T1448" t="n">
        <v>0</v>
      </c>
      <c r="V1448" t="n">
        <v>0</v>
      </c>
    </row>
    <row r="1449">
      <c r="A1449">
        <f>Skills!A29</f>
        <v/>
      </c>
      <c r="B1449">
        <f>Skills!B29</f>
        <v/>
      </c>
      <c r="C1449">
        <f>Inputs!$B$3&gt;=120</f>
        <v/>
      </c>
      <c r="D1449">
        <f>IF(Skills!C29=1,60+Inputs!$B$25+Inputs!$B$29,IF(Skills!C29=2,90+Inputs!$B$26+Inputs!$B$29,IF(Skills!C29=3,120+Inputs!$B$27+Inputs!$B$29,MAX(0,(Inputs!$B$3-100)*3)+Inputs!$B$28+Inputs!$B$29)))</f>
        <v/>
      </c>
      <c r="E1449">
        <f>INDEX(FactorTable!$B$2:$Y$301, MATCH(ROUND(MIN(300,MAX(1,D1449)),0), FactorTable!$A$2:$A$301,0), Skills!M29+1)</f>
        <v/>
      </c>
      <c r="F1449">
        <f>IF(Skills!N29=TRUE,(Skills!L29/10)*(E1449/1000),Skills!L29/10)+Skills!O29</f>
        <v/>
      </c>
      <c r="G1449">
        <f>Skills!G29*IF(Skills!H29&gt;0,Skills!I29/Skills!H29,1)</f>
        <v/>
      </c>
      <c r="H1449">
        <f>1-(1-Skills!J29/100)^Skills!K29</f>
        <v/>
      </c>
      <c r="I1449" t="inlineStr">
        <is>
          <t>1</t>
        </is>
      </c>
      <c r="J1449" t="inlineStr"/>
      <c r="K1449" t="inlineStr"/>
      <c r="L1449" t="inlineStr"/>
      <c r="M1449" t="inlineStr"/>
      <c r="N1449" t="inlineStr"/>
      <c r="O1449">
        <f>(1-Summary!$B$11)*T1449+Summary!$B$11*V1449</f>
        <v/>
      </c>
      <c r="P1449">
        <f>IF(B1465=0,0,O1449/B1465)</f>
        <v/>
      </c>
      <c r="Q1449" t="n">
        <v>0</v>
      </c>
      <c r="R1449" t="n">
        <v>0</v>
      </c>
      <c r="S1449">
        <f>IFERROR(O1449/N1449,0)</f>
        <v/>
      </c>
      <c r="T1449" t="n">
        <v>0</v>
      </c>
      <c r="V1449" t="n">
        <v>0</v>
      </c>
    </row>
    <row r="1450">
      <c r="A1450">
        <f>Skills!A30</f>
        <v/>
      </c>
      <c r="B1450">
        <f>Skills!B30</f>
        <v/>
      </c>
      <c r="C1450">
        <f>Inputs!$B$3&gt;=125</f>
        <v/>
      </c>
      <c r="D1450">
        <f>IF(Skills!C30=1,60+Inputs!$B$25+Inputs!$B$29,IF(Skills!C30=2,90+Inputs!$B$26+Inputs!$B$29,IF(Skills!C30=3,120+Inputs!$B$27+Inputs!$B$29,MAX(0,(Inputs!$B$3-100)*3)+Inputs!$B$28+Inputs!$B$29)))</f>
        <v/>
      </c>
      <c r="E1450">
        <f>INDEX(FactorTable!$B$2:$Y$301, MATCH(ROUND(MIN(300,MAX(1,D1450)),0), FactorTable!$A$2:$A$301,0), Skills!M30+1)</f>
        <v/>
      </c>
      <c r="F1450">
        <f>IF(Skills!N30=TRUE,(Skills!L30/10)*(E1450/1000),Skills!L30/10)+Skills!O30</f>
        <v/>
      </c>
      <c r="G1450">
        <f>Skills!G30*IF(Skills!H30&gt;0,Skills!I30/Skills!H30,1)</f>
        <v/>
      </c>
      <c r="H1450">
        <f>1-(1-Skills!J30/100)^Skills!K30</f>
        <v/>
      </c>
      <c r="I1450" t="inlineStr">
        <is>
          <t>1</t>
        </is>
      </c>
      <c r="J1450" t="inlineStr"/>
      <c r="K1450" t="inlineStr"/>
      <c r="L1450" t="inlineStr"/>
      <c r="M1450" t="inlineStr"/>
      <c r="N1450" t="inlineStr"/>
      <c r="O1450">
        <f>(1-Summary!$B$11)*T1450+Summary!$B$11*V1450</f>
        <v/>
      </c>
      <c r="P1450">
        <f>IF(B1465=0,0,O1450/B1465)</f>
        <v/>
      </c>
      <c r="Q1450" t="n">
        <v>0</v>
      </c>
      <c r="R1450" t="n">
        <v>0</v>
      </c>
      <c r="S1450">
        <f>IFERROR(O1450/N1450,0)</f>
        <v/>
      </c>
      <c r="T1450" t="n">
        <v>0</v>
      </c>
      <c r="V1450" t="n">
        <v>0</v>
      </c>
    </row>
    <row r="1452">
      <c r="A1452" t="inlineStr">
        <is>
          <t>Average Buff Multiplier</t>
        </is>
      </c>
      <c r="B1452">
        <f>(1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f>
        <v/>
      </c>
    </row>
    <row r="1453">
      <c r="A1453" t="inlineStr">
        <is>
          <t>Global Crit Rate Bonus %</t>
        </is>
      </c>
      <c r="B1453">
        <f>((C1440=TRUE)*F1440*IF(AND(Inputs!$B$39&lt;&gt;"pvp",Inputs!$B$44&gt;0),(((R1440-1)*(Skills!Y20*(1+Inputs!$B$34/100))+MIN((Skills!Y20*(1+Inputs!$B$34/100)),MAX(0,Inputs!$B$44-((R1440-1)*Skills!D20))))/Inputs!$B$44),IF(Inputs!$B$39="pvp",MIN((Skills!Y20*(1+Inputs!$B$34/100)),15)/15,(Skills!Y20*(1+Inputs!$B$34/100))/Skills!D20)))</f>
        <v/>
      </c>
    </row>
    <row r="1454">
      <c r="A1454" t="inlineStr">
        <is>
          <t>Global Monster Damage-Taken Bonus %</t>
        </is>
      </c>
      <c r="B1454">
        <f>IF(Inputs!$B$3&gt;=82,15,0)</f>
        <v/>
      </c>
    </row>
    <row r="1455">
      <c r="A1455" t="inlineStr">
        <is>
          <t>Shadow Partner Average Multiplier</t>
        </is>
      </c>
      <c r="B1455">
        <f>1+((C1427=TRUE)*F1427*(1+3.3333333333333335*IF(C1438=TRUE,F1438,0)/100)*I1427*Skills!J7/100)/100</f>
        <v/>
      </c>
    </row>
    <row r="1456">
      <c r="A1456" t="inlineStr">
        <is>
          <t>Attack Speed Buff Bonus %</t>
        </is>
      </c>
      <c r="B1456">
        <f>((C1439=TRUE)*F1439*IF(AND(Inputs!$B$39&lt;&gt;"pvp",Inputs!$B$44&gt;0),(((R1439-1)*(Skills!Y19*(1+Inputs!$B$34/100))+MIN((Skills!Y19*(1+Inputs!$B$34/100)),MAX(0,Inputs!$B$44-((R1439-1)*Skills!D19))))/Inputs!$B$44),IF(Inputs!$B$39="pvp",MIN((Skills!Y19*(1+Inputs!$B$34/100)),15)/15,(Skills!Y19*(1+Inputs!$B$34/100))/Skills!D19)))+((C1423=TRUE)*F1423*3)</f>
        <v/>
      </c>
    </row>
    <row r="1457">
      <c r="A1457" t="inlineStr">
        <is>
          <t>Actions Per Second</t>
        </is>
      </c>
      <c r="B1457">
        <f>1+MIN(150,150*(1-(1-(Inputs!$B$11+((C1442=TRUE)*(F1442-Calc!F22)))/150)*(1-B1456/150)))/100</f>
        <v/>
      </c>
    </row>
    <row r="1458">
      <c r="A1458" t="inlineStr">
        <is>
          <t>Skill + Buff Cast Rate</t>
        </is>
      </c>
      <c r="B1458">
        <f>IF(AND(Inputs!$B$39&lt;&gt;"pvp",Inputs!$B$44&gt;0),SUMPRODUCT((Skills!E2:E30=TRUE)*(C1422:C1450=TRUE)*R1422:R1450*Skills!F2:F30)/Inputs!$B$44,SUMPRODUCT((Skills!E2:E30=TRUE)*(C1422:C1450=TRUE)*Q1422:Q1450*Skills!F2:F30))</f>
        <v/>
      </c>
    </row>
    <row r="1459">
      <c r="A1459" t="inlineStr">
        <is>
          <t>Cruel Stab Casts Per Second</t>
        </is>
      </c>
      <c r="B1459">
        <f>MAX(0,B1457-B1458)</f>
        <v/>
      </c>
    </row>
    <row r="1460">
      <c r="A1460" t="inlineStr">
        <is>
          <t>Global Critical Damage Bonus % (Smokescreen Mastery Lv.113)</t>
        </is>
      </c>
      <c r="B1460">
        <f>IF(Inputs!$B$3&gt;=113,30,0)*IF(AND(Inputs!$B$39&lt;&gt;"pvp",Inputs!$B$44&gt;0),(((R1435-1)*(Skills!Y15*(1+Inputs!$B$34/100))+MIN((Skills!Y15*(1+Inputs!$B$34/100)),MAX(0,Inputs!$B$44-((R1435-1)*Skills!D15))))/Inputs!$B$44),IF(Inputs!$B$39="pvp",MIN((Skills!Y15*(1+Inputs!$B$34/100)),15)/15,(Skills!Y15*(1+Inputs!$B$34/100))/Skills!D15))</f>
        <v/>
      </c>
    </row>
    <row r="1461">
      <c r="A1461" t="inlineStr">
        <is>
          <t>Meso Explosion average stack count</t>
        </is>
      </c>
      <c r="B1461">
        <f>MIN(10,0.5*B1457*Skills!D4)</f>
        <v/>
      </c>
    </row>
    <row r="1462">
      <c r="A1462" t="inlineStr">
        <is>
          <t>Blood Money average stack count</t>
        </is>
      </c>
      <c r="B1462">
        <f>MIN(5,0.25*B1457*Skills!D4)</f>
        <v/>
      </c>
    </row>
    <row r="1463">
      <c r="A1463" t="inlineStr">
        <is>
          <t>Assassinate Murderous Intent Multiplier</t>
        </is>
      </c>
      <c r="B1463">
        <f>1+IFERROR(MIN(1,Q1434*2/Q1431),0)</f>
        <v/>
      </c>
    </row>
    <row r="1464">
      <c r="A1464" t="inlineStr">
        <is>
          <t>Buff-Casting Startup Delay (s, fixed-duration only)</t>
        </is>
      </c>
      <c r="B1464">
        <f>IF(AND(Inputs!$B$39&lt;&gt;"pvp",Inputs!$B$44&gt;0),SUMPRODUCT((Skills!Y2:Y30&gt;0)*(Skills!E2:E30=TRUE)*(C1422:C1450=TRUE))/B1457,0)</f>
        <v/>
      </c>
    </row>
    <row r="1465">
      <c r="A1465" s="6" t="inlineStr">
        <is>
          <t>TOTAL DPS</t>
        </is>
      </c>
      <c r="B1465" s="6">
        <f>SUM(O1422:O1450)</f>
        <v/>
      </c>
    </row>
    <row r="1466">
      <c r="A1466" t="inlineStr">
        <is>
          <t>Boss-Only Total DPS (this block's swept value)</t>
        </is>
      </c>
      <c r="B1466">
        <f>SUM(T1422:T1450)</f>
        <v/>
      </c>
    </row>
    <row r="1467">
      <c r="A1467" t="inlineStr">
        <is>
          <t>Normal-Only Total DPS (this block's swept value)</t>
        </is>
      </c>
      <c r="B1467">
        <f>SUM(V1422:V1450)</f>
        <v/>
      </c>
    </row>
    <row r="1470">
      <c r="A1470" s="6" t="inlineStr">
        <is>
          <t>Stat: Pig's Ribbon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Q1471" s="5" t="inlineStr">
        <is>
          <t>InvCooldown</t>
        </is>
      </c>
      <c r="R1471" s="5" t="inlineStr">
        <is>
          <t>CastsInFight</t>
        </is>
      </c>
      <c r="S1471" s="5" t="inlineStr">
        <is>
          <t>HitRate(perSec)</t>
        </is>
      </c>
      <c r="U1471" t="inlineStr">
        <is>
          <t>helpers</t>
        </is>
      </c>
    </row>
    <row r="1472">
      <c r="A1472">
        <f>Skills!A2</f>
        <v/>
      </c>
      <c r="B1472">
        <f>Skills!B2</f>
        <v/>
      </c>
      <c r="C1472">
        <f>Inputs!$B$3&gt;=100</f>
        <v/>
      </c>
      <c r="D1472" t="inlineStr"/>
      <c r="E1472" t="inlineStr"/>
      <c r="F1472">
        <f>U1474+Skills!O2</f>
        <v/>
      </c>
      <c r="G1472">
        <f>Skills!G2*IF(Skills!H2&gt;0,Skills!I2/Skills!H2,1)</f>
        <v/>
      </c>
      <c r="H1472">
        <f>1-(1-Skills!J2/100)^Skills!K2</f>
        <v/>
      </c>
      <c r="I1472" t="inlineStr">
        <is>
          <t>1</t>
        </is>
      </c>
      <c r="J1472">
        <f>((Inputs!$B$6*(1+Inputs!$B$7/100))+(((Inputs!$B$12*(1+Inputs!$B$13/100))-(Inputs!$B$12*(1+Inputs!$B$13/100)))+0.25*(Inputs!$B$14-Inputs!$B$14))*(1+Inputs!$B$7/100))*(F1472/100)</f>
        <v/>
      </c>
      <c r="K1472">
        <f>J1472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1472)</f>
        <v/>
      </c>
      <c r="L1472">
        <f>K1472*(MIN(Inputs!$B$22+((C1494=TRUE)*(F1494-Calc!F24)),(Inputs!$B$23+((C1499=TRUE)*(F1499-Calc!F29))+IF(ArtifactsInput!$M$15,CHOOSE(ArtifactsInput!$N$15+1,25,30,35,40,45,50)/100*(Inputs!$B$11-Inputs!$B$11),0)))/100+(Inputs!$B$23+((C1499=TRUE)*(F1499-Calc!F29))+IF(ArtifactsInput!$M$15,CHOOSE(ArtifactsInput!$N$15+1,25,30,35,40,45,50)/100*(Inputs!$B$11-Inputs!$B$11),0))/100)/2</f>
        <v/>
      </c>
      <c r="M1472">
        <f>L1472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2">
        <f>L1472*(1-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1472*(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2">
        <f>(1-Summary!$B$11)*T1472+Summary!$B$11*V1472</f>
        <v/>
      </c>
      <c r="P1472">
        <f>IF(B1515=0,0,O1472/B1515)</f>
        <v/>
      </c>
      <c r="Q1472" t="n">
        <v>0</v>
      </c>
      <c r="R1472" t="n">
        <v>0</v>
      </c>
      <c r="S1472">
        <f>IFERROR(O1472/N1472,0)</f>
        <v/>
      </c>
      <c r="T1472">
        <f>IF(C1472,(Skills!G2*N1472*B1509)*IF(Inputs!$B$39="pvp",1,1+(Inputs!$B$20+0+Skills!P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1472*(1-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1472*(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1472*(1-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1472*(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2">
        <f>MAX(0,(Inputs!$B$3-100)*3)+Inputs!$B$28+Inputs!$B$29</f>
        <v/>
      </c>
      <c r="V1472">
        <f>IF(C1472,(Skills!G2*N1472*B1509)*IF(Inputs!$B$39="pvp",1,(1+(Inputs!$B$21+Skills!Q2+B1504+(IF(ArtifactsInput!$M$33,CHOOSE(ArtifactsInput!$N$33+1,30,36,42,48,54,60),0))+(IF(AND(ArtifactsInput!$M$35,Inputs!$B$4&lt;&gt;"Chapter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3">
      <c r="A1473">
        <f>Skills!A3</f>
        <v/>
      </c>
      <c r="B1473">
        <f>Skills!B3</f>
        <v/>
      </c>
      <c r="C1473">
        <f>Inputs!$B$3&gt;=35</f>
        <v/>
      </c>
      <c r="D1473">
        <f>IF(Skills!C3=1,60+Inputs!$B$25+Inputs!$B$29,IF(Skills!C3=2,90+Inputs!$B$26+Inputs!$B$29,IF(Skills!C3=3,120+Inputs!$B$27+Inputs!$B$29,MAX(0,(Inputs!$B$3-100)*3)+Inputs!$B$28+Inputs!$B$29)))</f>
        <v/>
      </c>
      <c r="E1473">
        <f>INDEX(FactorTable!$B$2:$Y$301, MATCH(ROUND(MIN(300,MAX(1,D1473)),0), FactorTable!$A$2:$A$301,0), Skills!M3+1)</f>
        <v/>
      </c>
      <c r="F1473">
        <f>IF(Skills!N3=TRUE,(Skills!L3/10)*(E1473/1000),Skills!L3/10)+Skills!O3</f>
        <v/>
      </c>
      <c r="G1473">
        <f>Skills!G3*IF(Skills!H3&gt;0,Skills!I3/Skills!H3,1)</f>
        <v/>
      </c>
      <c r="H1473">
        <f>1-(1-Skills!J3/100)^Skills!K3</f>
        <v/>
      </c>
      <c r="I1473" t="inlineStr">
        <is>
          <t>1</t>
        </is>
      </c>
      <c r="J1473" t="inlineStr"/>
      <c r="K1473" t="inlineStr"/>
      <c r="L1473" t="inlineStr"/>
      <c r="M1473" t="inlineStr"/>
      <c r="N1473" t="inlineStr"/>
      <c r="O1473">
        <f>(1-Summary!$B$11)*T1473+Summary!$B$11*V1473</f>
        <v/>
      </c>
      <c r="P1473">
        <f>IF(B1515=0,0,O1473/B1515)</f>
        <v/>
      </c>
      <c r="Q1473" t="n">
        <v>0</v>
      </c>
      <c r="R1473" t="n">
        <v>0</v>
      </c>
      <c r="S1473">
        <f>IFERROR(O1473/N1473,0)</f>
        <v/>
      </c>
      <c r="T1473" t="n">
        <v>0</v>
      </c>
      <c r="U1473">
        <f>INDEX(FactorTable!$B$2:$Y$301, MATCH(ROUND(MIN(300,MAX(1,U1472)),0), FactorTable!$A$2:$A$301,0), 22)</f>
        <v/>
      </c>
      <c r="V1473" t="n">
        <v>0</v>
      </c>
    </row>
    <row r="1474">
      <c r="A1474">
        <f>Skills!A4</f>
        <v/>
      </c>
      <c r="B1474">
        <f>Skills!B4</f>
        <v/>
      </c>
      <c r="C1474">
        <f>Inputs!$B$3&gt;=66</f>
        <v/>
      </c>
      <c r="D1474">
        <f>IF(Skills!C4=1,60+Inputs!$B$25+Inputs!$B$29,IF(Skills!C4=2,90+Inputs!$B$26+Inputs!$B$29,IF(Skills!C4=3,120+Inputs!$B$27+Inputs!$B$29,MAX(0,(Inputs!$B$3-100)*3)+Inputs!$B$28+Inputs!$B$29)))</f>
        <v/>
      </c>
      <c r="E1474">
        <f>INDEX(FactorTable!$B$2:$Y$301, MATCH(ROUND(MIN(300,MAX(1,D1474)),0), FactorTable!$A$2:$A$301,0), Skills!M4+1)</f>
        <v/>
      </c>
      <c r="F1474">
        <f>IF(Skills!N4=TRUE,(Skills!L4/10)*(E1474/1000),Skills!L4/10)+Skills!O4</f>
        <v/>
      </c>
      <c r="G1474">
        <f>Skills!G4*IF(Skills!H4&gt;0,Skills!I4/Skills!H4,1)</f>
        <v/>
      </c>
      <c r="H1474">
        <f>1-(1-Skills!J4/100)^Skills!K4</f>
        <v/>
      </c>
      <c r="I1474" t="inlineStr">
        <is>
          <t>1</t>
        </is>
      </c>
      <c r="J1474">
        <f>((Inputs!$B$6*(1+Inputs!$B$7/100))+(((Inputs!$B$12*(1+Inputs!$B$13/100))-(Inputs!$B$12*(1+Inputs!$B$13/100)))+0.25*(Inputs!$B$14-Inputs!$B$14))*(1+Inputs!$B$7/100))*(F1474/100)</f>
        <v/>
      </c>
      <c r="K1474">
        <f>J1474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1474)</f>
        <v/>
      </c>
      <c r="L1474">
        <f>K1474*(MIN(Inputs!$B$22+((C1494=TRUE)*(F1494-Calc!F24)),(Inputs!$B$23+((C1499=TRUE)*(F1499-Calc!F29))+IF(ArtifactsInput!$M$15,CHOOSE(ArtifactsInput!$N$15+1,25,30,35,40,45,50)/100*(Inputs!$B$11-Inputs!$B$11),0)))/100+(Inputs!$B$23+((C1499=TRUE)*(F1499-Calc!F29))+IF(ArtifactsInput!$M$15,CHOOSE(ArtifactsInput!$N$15+1,25,30,35,40,45,50)/100*(Inputs!$B$11-Inputs!$B$11),0))/100)/2</f>
        <v/>
      </c>
      <c r="M1474">
        <f>L1474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4">
        <f>L1474*(1-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1474*(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4">
        <f>(1-Summary!$B$11)*T1474+Summary!$B$11*V1474</f>
        <v/>
      </c>
      <c r="P1474">
        <f>IF(B1515=0,0,O1474/B1515)</f>
        <v/>
      </c>
      <c r="Q1474">
        <f>IFERROR(1/IF(Inputs!$B$39="pvp",15,MAX(0.1,Skills!D4-IF(Skills!E4=TRUE,Inputs!$B$32,0))),0)</f>
        <v/>
      </c>
      <c r="R1474">
        <f>IF(AND(Inputs!$B$39&lt;&gt;"pvp",Inputs!$B$44&gt;0),IF(MAX(0,Inputs!$B$44-B1514)&lt;=0,0,(INT(MAX(0,Inputs!$B$44-B1514)/IF(Inputs!$B$39="pvp",15,MAX(0.1,Skills!D4-IF(Skills!E4=TRUE,Inputs!$B$32,0))))+1)),0)</f>
        <v/>
      </c>
      <c r="S1474">
        <f>IFERROR(O1474/N1474,0)</f>
        <v/>
      </c>
      <c r="T1474">
        <f>IF(C1474,(H1474*N1474*IF(AND(Inputs!$B$39&lt;&gt;"pvp",Inputs!$B$44&gt;0),((Skills!G4*((R1474-1)*IF(Skills!H4&gt;0,Skills!I4/Skills!H4,1)+IF(Skills!H4&gt;0,MIN(Skills!I4,MAX(0,MAX(0,Inputs!$B$44-B1514)-((R1474-1)*IF(Inputs!$B$39="pvp",15,MAX(0.1,Skills!D4-IF(Skills!E4=TRUE,Inputs!$B$32,0))))))/Skills!H4,1)))/Inputs!$B$44),G1474*Q1474))*IF(Inputs!$B$39="pvp",1,1+(Inputs!$B$20+0+Skills!P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1474*(1-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1474*(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1474*(1-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1474*(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f>290*U1473/1000</f>
        <v/>
      </c>
      <c r="V1474">
        <f>IF(C1474,(H1474*N1474*IF(AND(Inputs!$B$39&lt;&gt;"pvp",Inputs!$B$44&gt;0),((Skills!G4*((R1474-1)*IF(Skills!H4&gt;0,Skills!I4/Skills!H4,1)+IF(Skills!H4&gt;0,MIN(Skills!I4,MAX(0,MAX(0,Inputs!$B$44-B1514)-((R1474-1)*IF(Inputs!$B$39="pvp",15,MAX(0.1,Skills!D4-IF(Skills!E4=TRUE,Inputs!$B$32,0))))))/Skills!H4,1)))/Inputs!$B$44),G1474*Q1474))*IF(Inputs!$B$39="pvp",1,(1+(Inputs!$B$21+Skills!Q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(10,0.5*B1507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5">
      <c r="A1475">
        <f>Skills!A5</f>
        <v/>
      </c>
      <c r="B1475">
        <f>Skills!B5</f>
        <v/>
      </c>
      <c r="C1475">
        <f>Inputs!$B$3&gt;=63</f>
        <v/>
      </c>
      <c r="D1475">
        <f>IF(Skills!C5=1,60+Inputs!$B$25+Inputs!$B$29,IF(Skills!C5=2,90+Inputs!$B$26+Inputs!$B$29,IF(Skills!C5=3,120+Inputs!$B$27+Inputs!$B$29,MAX(0,(Inputs!$B$3-100)*3)+Inputs!$B$28+Inputs!$B$29)))</f>
        <v/>
      </c>
      <c r="E1475">
        <f>INDEX(FactorTable!$B$2:$Y$301, MATCH(ROUND(MIN(300,MAX(1,D1475)),0), FactorTable!$A$2:$A$301,0), Skills!M5+1)</f>
        <v/>
      </c>
      <c r="F1475">
        <f>IF(Skills!N5=TRUE,(Skills!L5/10)*(E1475/1000),Skills!L5/10)+Skills!O5</f>
        <v/>
      </c>
      <c r="G1475">
        <f>Skills!G5*IF(Skills!H5&gt;0,Skills!I5/Skills!H5,1)</f>
        <v/>
      </c>
      <c r="H1475">
        <f>1-(1-Skills!J5/100)^Skills!K5</f>
        <v/>
      </c>
      <c r="I1475" t="inlineStr">
        <is>
          <t>1</t>
        </is>
      </c>
      <c r="J1475">
        <f>((Inputs!$B$6*(1+Inputs!$B$7/100))+(((Inputs!$B$12*(1+Inputs!$B$13/100))-(Inputs!$B$12*(1+Inputs!$B$13/100)))+0.25*(Inputs!$B$14-Inputs!$B$14))*(1+Inputs!$B$7/100))*(F1475/100)</f>
        <v/>
      </c>
      <c r="K1475">
        <f>J1475*(1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1488=TRUE,F1488,0)/100)*(1+(IF(Skills!A5="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1475)</f>
        <v/>
      </c>
      <c r="L1475">
        <f>K1475*(MIN(Inputs!$B$22+((C1494=TRUE)*(F1494-Calc!F24)),(Inputs!$B$23+((C1499=TRUE)*(F1499-Calc!F29))+IF(ArtifactsInput!$M$15,CHOOSE(ArtifactsInput!$N$15+1,25,30,35,40,45,50)/100*(Inputs!$B$11-Inputs!$B$11),0)))/100+(Inputs!$B$23+((C1499=TRUE)*(F1499-Calc!F29))+IF(ArtifactsInput!$M$15,CHOOSE(ArtifactsInput!$N$15+1,25,30,35,40,45,50)/100*(Inputs!$B$11-Inputs!$B$11),0))/100)/2</f>
        <v/>
      </c>
      <c r="M1475">
        <f>L1475*(1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5">
        <f>L1475*(1-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1475*(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5">
        <f>(1-Summary!$B$11)*T1475+Summary!$B$11*V1475</f>
        <v/>
      </c>
      <c r="P1475">
        <f>IF(B1515=0,0,O1475/B1515)</f>
        <v/>
      </c>
      <c r="Q1475">
        <f>IFERROR(1/IF(Inputs!$B$39="pvp",15,MAX(0.1,Skills!D5-IF(Skills!E5=TRUE,Inputs!$B$32,0))),0)</f>
        <v/>
      </c>
      <c r="R1475">
        <f>IF(AND(Inputs!$B$39&lt;&gt;"pvp",Inputs!$B$44&gt;0),IF(MAX(0,Inputs!$B$44-B1514)&lt;=0,0,(INT(MAX(0,Inputs!$B$44-B1514)/IF(Inputs!$B$39="pvp",15,MAX(0.1,Skills!D5-IF(Skills!E5=TRUE,Inputs!$B$32,0))))+1)),0)</f>
        <v/>
      </c>
      <c r="S1475">
        <f>IFERROR(O1475/N1475,0)</f>
        <v/>
      </c>
      <c r="T1475">
        <f>IF(C1475,(H1475*N1475*IF(AND(Inputs!$B$39&lt;&gt;"pvp",Inputs!$B$44&gt;0),((Skills!G5*((R1475-1)*IF(Skills!H5&gt;0,Skills!I5/Skills!H5,1)+IF(Skills!H5&gt;0,MIN(Skills!I5,MAX(0,MAX(0,Inputs!$B$44-B1514)-((R1475-1)*IF(Inputs!$B$39="pvp",15,MAX(0.1,Skills!D5-IF(Skills!E5=TRUE,Inputs!$B$32,0))))))/Skills!H5,1)))/Inputs!$B$44),G1475*Q1475))*IF(Inputs!$B$39="pvp",1,1+(Inputs!$B$20+0+Skills!P5+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1475*(1-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1475*(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1475*(1-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1475*(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5">
        <f>IF(C1475,(H1475*N1475*IF(AND(Inputs!$B$39&lt;&gt;"pvp",Inputs!$B$44&gt;0),((Skills!G5*((R1475-1)*IF(Skills!H5&gt;0,Skills!I5/Skills!H5,1)+IF(Skills!H5&gt;0,MIN(Skills!I5,MAX(0,MAX(0,Inputs!$B$44-B1514)-((R1475-1)*IF(Inputs!$B$39="pvp",15,MAX(0.1,Skills!D5-IF(Skills!E5=TRUE,Inputs!$B$32,0))))))/Skills!H5,1)))/Inputs!$B$44),G1475*Q1475))*IF(Inputs!$B$39="pvp",1,(1+(Inputs!$B$21+Skills!Q5+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Skills!A6</f>
        <v/>
      </c>
      <c r="B1476">
        <f>Skills!B6</f>
        <v/>
      </c>
      <c r="C1476">
        <f>Inputs!$B$3&gt;=69</f>
        <v/>
      </c>
      <c r="D1476">
        <f>IF(Skills!C6=1,60+Inputs!$B$25+Inputs!$B$29,IF(Skills!C6=2,90+Inputs!$B$26+Inputs!$B$29,IF(Skills!C6=3,120+Inputs!$B$27+Inputs!$B$29,MAX(0,(Inputs!$B$3-100)*3)+Inputs!$B$28+Inputs!$B$29)))</f>
        <v/>
      </c>
      <c r="E1476">
        <f>INDEX(FactorTable!$B$2:$Y$301, MATCH(ROUND(MIN(300,MAX(1,D1476)),0), FactorTable!$A$2:$A$301,0), Skills!M6+1)</f>
        <v/>
      </c>
      <c r="F1476">
        <f>IF(Skills!N6=TRUE,(Skills!L6/10)*(E1476/1000),Skills!L6/10)+Skills!O6</f>
        <v/>
      </c>
      <c r="G1476">
        <f>Skills!G6*IF(Skills!H6&gt;0,Skills!I6/Skills!H6,1)</f>
        <v/>
      </c>
      <c r="H1476">
        <f>1-(1-Skills!J6/100)^Skills!K6</f>
        <v/>
      </c>
      <c r="I1476" t="inlineStr">
        <is>
          <t>1</t>
        </is>
      </c>
      <c r="J1476">
        <f>((Inputs!$B$6*(1+Inputs!$B$7/100))+(((Inputs!$B$12*(1+Inputs!$B$13/100))-(Inputs!$B$12*(1+Inputs!$B$13/100)))+0.25*(Inputs!$B$14-Inputs!$B$14))*(1+Inputs!$B$7/100))*(F1476/100)</f>
        <v/>
      </c>
      <c r="K1476">
        <f>J1476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1488=TRUE,F1488,0)/100)*(1+(IF(Skills!A6="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1476)</f>
        <v/>
      </c>
      <c r="L1476">
        <f>K1476*(MIN(Inputs!$B$22+((C1494=TRUE)*(F1494-Calc!F24)),(Inputs!$B$23+((C1499=TRUE)*(F1499-Calc!F29))+IF(ArtifactsInput!$M$15,CHOOSE(ArtifactsInput!$N$15+1,25,30,35,40,45,50)/100*(Inputs!$B$11-Inputs!$B$11),0)))/100+(Inputs!$B$23+((C1499=TRUE)*(F1499-Calc!F29))+IF(ArtifactsInput!$M$15,CHOOSE(ArtifactsInput!$N$15+1,25,30,35,40,45,50)/100*(Inputs!$B$11-Inputs!$B$11),0))/100)/2</f>
        <v/>
      </c>
      <c r="M1476">
        <f>L1476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6">
        <f>L1476*(1-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1476*(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6">
        <f>(1-Summary!$B$11)*T1476+Summary!$B$11*V1476</f>
        <v/>
      </c>
      <c r="P1476">
        <f>IF(B1515=0,0,O1476/B1515)</f>
        <v/>
      </c>
      <c r="Q1476">
        <f>IFERROR(1/IF(Inputs!$B$39="pvp",15,MAX(0.1,Skills!D6-IF(Skills!E6=TRUE,Inputs!$B$32,0))),0)</f>
        <v/>
      </c>
      <c r="R1476">
        <f>IF(AND(Inputs!$B$39&lt;&gt;"pvp",Inputs!$B$44&gt;0),IF(MAX(0,Inputs!$B$44-B1514)&lt;=0,0,(INT(MAX(0,Inputs!$B$44-B1514)/IF(Inputs!$B$39="pvp",15,MAX(0.1,Skills!D6-IF(Skills!E6=TRUE,Inputs!$B$32,0))))+1)),0)</f>
        <v/>
      </c>
      <c r="S1476">
        <f>IFERROR(O1476/N1476,0)</f>
        <v/>
      </c>
      <c r="T1476">
        <f>IF(C1476,(H1476*N1476*IF(AND(Inputs!$B$39&lt;&gt;"pvp",Inputs!$B$44&gt;0),((Skills!G6*((R1476-1)*IF(Skills!H6&gt;0,Skills!I6/Skills!H6,1)+IF(Skills!H6&gt;0,MIN(Skills!I6,MAX(0,MAX(0,Inputs!$B$44-B1514)-((R1476-1)*IF(Inputs!$B$39="pvp",15,MAX(0.1,Skills!D6-IF(Skills!E6=TRUE,Inputs!$B$32,0))))))/Skills!H6,1)))/Inputs!$B$44),G1476*Q1476))*IF(Inputs!$B$39="pvp",1,1+(Inputs!$B$20+0+Skills!P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1476*(1-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1476*(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1476*(1-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1476*(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6">
        <f>IF(C1476,(H1476*N1476*IF(AND(Inputs!$B$39&lt;&gt;"pvp",Inputs!$B$44&gt;0),((Skills!G6*((R1476-1)*IF(Skills!H6&gt;0,Skills!I6/Skills!H6,1)+IF(Skills!H6&gt;0,MIN(Skills!I6,MAX(0,MAX(0,Inputs!$B$44-B1514)-((R1476-1)*IF(Inputs!$B$39="pvp",15,MAX(0.1,Skills!D6-IF(Skills!E6=TRUE,Inputs!$B$32,0))))))/Skills!H6,1)))/Inputs!$B$44),G1476*Q1476))*IF(Inputs!$B$39="pvp",1,(1+(Inputs!$B$21+Skills!Q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Skills!A7</f>
        <v/>
      </c>
      <c r="B1477">
        <f>Skills!B7</f>
        <v/>
      </c>
      <c r="C1477">
        <f>Inputs!$B$3&gt;=60</f>
        <v/>
      </c>
      <c r="D1477">
        <f>IF(Skills!C7=1,60+Inputs!$B$25+Inputs!$B$29,IF(Skills!C7=2,90+Inputs!$B$26+Inputs!$B$29,IF(Skills!C7=3,120+Inputs!$B$27+Inputs!$B$29,MAX(0,(Inputs!$B$3-100)*3)+Inputs!$B$28+Inputs!$B$29)))</f>
        <v/>
      </c>
      <c r="E1477">
        <f>INDEX(FactorTable!$B$2:$Y$301, MATCH(ROUND(MIN(300,MAX(1,D1477)),0), FactorTable!$A$2:$A$301,0), Skills!M7+1)</f>
        <v/>
      </c>
      <c r="F1477">
        <f>IF(Skills!N7=TRUE,(Skills!L7/10)*(E1477/1000),Skills!L7/10)+Skills!O7</f>
        <v/>
      </c>
      <c r="G1477">
        <f>Skills!G7*IF(Skills!H7&gt;0,Skills!I7/Skills!H7,1)</f>
        <v/>
      </c>
      <c r="H1477">
        <f>1-(1-Skills!J7/100)^Skills!K7</f>
        <v/>
      </c>
      <c r="I1477" t="inlineStr">
        <is>
          <t>1</t>
        </is>
      </c>
      <c r="J1477" t="inlineStr"/>
      <c r="K1477" t="inlineStr"/>
      <c r="L1477" t="inlineStr"/>
      <c r="M1477" t="inlineStr"/>
      <c r="N1477" t="inlineStr"/>
      <c r="O1477">
        <f>(1-Summary!$B$11)*T1477+Summary!$B$11*V1477</f>
        <v/>
      </c>
      <c r="P1477">
        <f>IF(B1515=0,0,O1477/B1515)</f>
        <v/>
      </c>
      <c r="Q1477" t="n">
        <v>0</v>
      </c>
      <c r="R1477" t="n">
        <v>0</v>
      </c>
      <c r="S1477">
        <f>IFERROR(O1477/N1477,0)</f>
        <v/>
      </c>
      <c r="T1477" t="n">
        <v>0</v>
      </c>
      <c r="V1477" t="n">
        <v>0</v>
      </c>
    </row>
    <row r="1478">
      <c r="A1478">
        <f>Skills!A8</f>
        <v/>
      </c>
      <c r="B1478">
        <f>Skills!B8</f>
        <v/>
      </c>
      <c r="C1478">
        <f>Inputs!$B$3&gt;=72</f>
        <v/>
      </c>
      <c r="D1478">
        <f>IF(Skills!C8=1,60+Inputs!$B$25+Inputs!$B$29,IF(Skills!C8=2,90+Inputs!$B$26+Inputs!$B$29,IF(Skills!C8=3,120+Inputs!$B$27+Inputs!$B$29,MAX(0,(Inputs!$B$3-100)*3)+Inputs!$B$28+Inputs!$B$29)))</f>
        <v/>
      </c>
      <c r="E1478">
        <f>INDEX(FactorTable!$B$2:$Y$301, MATCH(ROUND(MIN(300,MAX(1,D1478)),0), FactorTable!$A$2:$A$301,0), Skills!M8+1)</f>
        <v/>
      </c>
      <c r="F1478">
        <f>IF(Skills!N8=TRUE,(Skills!L8/10)*(E1478/1000),Skills!L8/10)+Skills!O8</f>
        <v/>
      </c>
      <c r="G1478">
        <f>Skills!G8*IF(Skills!H8&gt;0,Skills!I8/Skills!H8,1)</f>
        <v/>
      </c>
      <c r="H1478">
        <f>1-(1-Skills!J8/100)^Skills!K8</f>
        <v/>
      </c>
      <c r="I1478" t="inlineStr">
        <is>
          <t>1</t>
        </is>
      </c>
      <c r="J1478">
        <f>((Inputs!$B$6*(1+Inputs!$B$7/100))+(((Inputs!$B$12*(1+Inputs!$B$13/100))-(Inputs!$B$12*(1+Inputs!$B$13/100)))+0.25*(Inputs!$B$14-Inputs!$B$14))*(1+Inputs!$B$7/100))*(F1478/100)</f>
        <v/>
      </c>
      <c r="K1478">
        <f>J1478*(1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1488=TRUE,F1488,0)/100)*(1+(IF(Skills!A8="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1478)</f>
        <v/>
      </c>
      <c r="L1478">
        <f>K1478*(MIN(Inputs!$B$22+((C1494=TRUE)*(F1494-Calc!F24)),(Inputs!$B$23+((C1499=TRUE)*(F1499-Calc!F29))+IF(ArtifactsInput!$M$15,CHOOSE(ArtifactsInput!$N$15+1,25,30,35,40,45,50)/100*(Inputs!$B$11-Inputs!$B$11),0)))/100+(Inputs!$B$23+((C1499=TRUE)*(F1499-Calc!F29))+IF(ArtifactsInput!$M$15,CHOOSE(ArtifactsInput!$N$15+1,25,30,35,40,45,50)/100*(Inputs!$B$11-Inputs!$B$11),0))/100)/2</f>
        <v/>
      </c>
      <c r="M1478">
        <f>L1478*(1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8">
        <f>L1478*(1-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1478*(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8">
        <f>(1-Summary!$B$11)*T1478+Summary!$B$11*V1478</f>
        <v/>
      </c>
      <c r="P1478">
        <f>IF(B1515=0,0,O1478/B1515)</f>
        <v/>
      </c>
      <c r="Q1478">
        <f>IFERROR(1/IF(Inputs!$B$39="pvp",15,MAX(0.1,Skills!D8-IF(Skills!E8=TRUE,Inputs!$B$32,0))),0)</f>
        <v/>
      </c>
      <c r="R1478">
        <f>IF(AND(Inputs!$B$39&lt;&gt;"pvp",Inputs!$B$44&gt;0),IF(MAX(0,Inputs!$B$44-B1514)&lt;=0,0,(INT(MAX(0,Inputs!$B$44-B1514)/IF(Inputs!$B$39="pvp",15,MAX(0.1,Skills!D8-IF(Skills!E8=TRUE,Inputs!$B$32,0))))+1)),0)</f>
        <v/>
      </c>
      <c r="S1478">
        <f>IFERROR(O1478/N1478,0)</f>
        <v/>
      </c>
      <c r="T1478">
        <f>IF(C1478,(H1478*N1478*IF(AND(Inputs!$B$39&lt;&gt;"pvp",Inputs!$B$44&gt;0),((Skills!G8*((R1478-1)*IF(Skills!H8&gt;0,Skills!I8/Skills!H8,1)+IF(Skills!H8&gt;0,MIN(Skills!I8,MAX(0,MAX(0,Inputs!$B$44-B1514)-((R1478-1)*IF(Inputs!$B$39="pvp",15,MAX(0.1,Skills!D8-IF(Skills!E8=TRUE,Inputs!$B$32,0))))))/Skills!H8,1)))/Inputs!$B$44),G1478*Q1478))*IF(Inputs!$B$39="pvp",1,1+(Inputs!$B$20+0+Skills!P8+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1478*(1-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1478*(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1478*(1-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1478*(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8">
        <f>IF(C1478,(H1478*N1478*IF(AND(Inputs!$B$39&lt;&gt;"pvp",Inputs!$B$44&gt;0),((Skills!G8*((R1478-1)*IF(Skills!H8&gt;0,Skills!I8/Skills!H8,1)+IF(Skills!H8&gt;0,MIN(Skills!I8,MAX(0,MAX(0,Inputs!$B$44-B1514)-((R1478-1)*IF(Inputs!$B$39="pvp",15,MAX(0.1,Skills!D8-IF(Skills!E8=TRUE,Inputs!$B$32,0))))))/Skills!H8,1)))/Inputs!$B$44),G1478*Q1478))*IF(Inputs!$B$39="pvp",1,(1+(Inputs!$B$21+Skills!Q8+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9">
      <c r="A1479">
        <f>Skills!A9</f>
        <v/>
      </c>
      <c r="B1479">
        <f>Skills!B9</f>
        <v/>
      </c>
      <c r="C1479">
        <f>Inputs!$B$3&gt;=117</f>
        <v/>
      </c>
      <c r="D1479">
        <f>IF(Skills!C9=1,60+Inputs!$B$25+Inputs!$B$29,IF(Skills!C9=2,90+Inputs!$B$26+Inputs!$B$29,IF(Skills!C9=3,120+Inputs!$B$27+Inputs!$B$29,MAX(0,(Inputs!$B$3-100)*3)+Inputs!$B$28+Inputs!$B$29)))</f>
        <v/>
      </c>
      <c r="E1479">
        <f>INDEX(FactorTable!$B$2:$Y$301, MATCH(ROUND(MIN(300,MAX(1,D1479)),0), FactorTable!$A$2:$A$301,0), Skills!M9+1)</f>
        <v/>
      </c>
      <c r="F1479">
        <f>IF(Skills!N9=TRUE,(Skills!L9/10)*(E1479/1000),Skills!L9/10)+Skills!O9</f>
        <v/>
      </c>
      <c r="G1479">
        <f>Skills!G9*IF(Skills!H9&gt;0,Skills!I9/Skills!H9,1)</f>
        <v/>
      </c>
      <c r="H1479">
        <f>1-(1-Skills!J9/100)^Skills!K9</f>
        <v/>
      </c>
      <c r="I1479" t="inlineStr">
        <is>
          <t>1</t>
        </is>
      </c>
      <c r="J1479">
        <f>((Inputs!$B$6*(1+Inputs!$B$7/100))+(((Inputs!$B$12*(1+Inputs!$B$13/100))-(Inputs!$B$12*(1+Inputs!$B$13/100)))+0.25*(Inputs!$B$14-Inputs!$B$14))*(1+Inputs!$B$7/100))*(F1479/100)</f>
        <v/>
      </c>
      <c r="K1479">
        <f>J1479*(1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1479)</f>
        <v/>
      </c>
      <c r="L1479">
        <f>K1479*(MIN(Inputs!$B$22+((C1494=TRUE)*(F1494-Calc!F24)),(Inputs!$B$23+((C1499=TRUE)*(F1499-Calc!F29))+IF(ArtifactsInput!$M$15,CHOOSE(ArtifactsInput!$N$15+1,25,30,35,40,45,50)/100*(Inputs!$B$11-Inputs!$B$11),0)))/100+(Inputs!$B$23+((C1499=TRUE)*(F1499-Calc!F29))+IF(ArtifactsInput!$M$15,CHOOSE(ArtifactsInput!$N$15+1,25,30,35,40,45,50)/100*(Inputs!$B$11-Inputs!$B$11),0))/100)/2</f>
        <v/>
      </c>
      <c r="M1479">
        <f>L1479*(1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9">
        <f>L1479*(1-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1479*(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9">
        <f>(1-Summary!$B$11)*T1479+Summary!$B$11*V1479</f>
        <v/>
      </c>
      <c r="P1479">
        <f>IF(B1515=0,0,O1479/B1515)</f>
        <v/>
      </c>
      <c r="Q1479" t="n">
        <v>0</v>
      </c>
      <c r="R1479" t="n">
        <v>0</v>
      </c>
      <c r="S1479" t="n">
        <v>0</v>
      </c>
      <c r="T1479">
        <f>IF(C1479,(0.2*SUMPRODUCT((Skills!Z2:Z30=TRUE)*(C1472:C1500=TRUE)*S1472:S1500)*N1479)*IF(Inputs!$B$39="pvp",1,1+(Inputs!$B$20+0+Skills!P9+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1479*(1-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1479*(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1479*(1-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1479*(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9">
        <f>IF(C1479,(0.2*SUMPRODUCT((Skills!Z2:Z30=TRUE)*(C1472:C1500=TRUE)*S1472:S1500)*N1479)*IF(Inputs!$B$39="pvp",1,(1+(Inputs!$B$21+Skills!Q9+B1504+(IF(ArtifactsInput!$M$33,CHOOSE(ArtifactsInput!$N$33+1,30,36,42,48,54,60),0))+(IF(AND(ArtifactsInput!$M$35,Inputs!$B$4&lt;&gt;"Chapter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0">
      <c r="A1480">
        <f>Skills!A10</f>
        <v/>
      </c>
      <c r="B1480">
        <f>Skills!B10</f>
        <v/>
      </c>
      <c r="C1480">
        <f>Inputs!$B$3&gt;=74</f>
        <v/>
      </c>
      <c r="D1480">
        <f>IF(Skills!C10=1,60+Inputs!$B$25+Inputs!$B$29,IF(Skills!C10=2,90+Inputs!$B$26+Inputs!$B$29,IF(Skills!C10=3,120+Inputs!$B$27+Inputs!$B$29,MAX(0,(Inputs!$B$3-100)*3)+Inputs!$B$28+Inputs!$B$29)))</f>
        <v/>
      </c>
      <c r="E1480">
        <f>INDEX(FactorTable!$B$2:$Y$301, MATCH(ROUND(MIN(300,MAX(1,D1480)),0), FactorTable!$A$2:$A$301,0), Skills!M10+1)</f>
        <v/>
      </c>
      <c r="F1480">
        <f>IF(Skills!N10=TRUE,(Skills!L10/10)*(E1480/1000),Skills!L10/10)+Skills!O10</f>
        <v/>
      </c>
      <c r="G1480">
        <f>Skills!G10*IF(Skills!H10&gt;0,Skills!I10/Skills!H10,1)</f>
        <v/>
      </c>
      <c r="H1480">
        <f>1-(1-Skills!J10/100)^Skills!K10</f>
        <v/>
      </c>
      <c r="I1480" t="inlineStr">
        <is>
          <t>1</t>
        </is>
      </c>
      <c r="J1480" t="inlineStr"/>
      <c r="K1480" t="inlineStr"/>
      <c r="L1480" t="inlineStr"/>
      <c r="M1480" t="inlineStr"/>
      <c r="N1480" t="inlineStr"/>
      <c r="O1480">
        <f>(1-Summary!$B$11)*T1480+Summary!$B$11*V1480</f>
        <v/>
      </c>
      <c r="P1480">
        <f>IF(B1515=0,0,O1480/B1515)</f>
        <v/>
      </c>
      <c r="Q1480">
        <f>IFERROR(1/IF(Inputs!$B$39="pvp",15,MAX(0.1,Skills!D10-IF(Skills!E10=TRUE,Inputs!$B$32,0))),0)</f>
        <v/>
      </c>
      <c r="R1480">
        <f>IF(AND(Inputs!$B$39&lt;&gt;"pvp",Inputs!$B$44&gt;0),IF(Inputs!$B$44&lt;=0,0,(INT(Inputs!$B$44/IF(Inputs!$B$39="pvp",15,MAX(0.1,Skills!D10-IF(Skills!E10=TRUE,Inputs!$B$32,0))))+1)),0)</f>
        <v/>
      </c>
      <c r="S1480">
        <f>IFERROR(O1480/N1480,0)</f>
        <v/>
      </c>
      <c r="T1480" t="n">
        <v>0</v>
      </c>
      <c r="V1480" t="n">
        <v>0</v>
      </c>
    </row>
    <row r="1481">
      <c r="A1481">
        <f>Skills!A11</f>
        <v/>
      </c>
      <c r="B1481">
        <f>Skills!B11</f>
        <v/>
      </c>
      <c r="C1481">
        <f>Inputs!$B$3&gt;=103</f>
        <v/>
      </c>
      <c r="D1481">
        <f>IF(Skills!C11=1,60+Inputs!$B$25+Inputs!$B$29,IF(Skills!C11=2,90+Inputs!$B$26+Inputs!$B$29,IF(Skills!C11=3,120+Inputs!$B$27+Inputs!$B$29,MAX(0,(Inputs!$B$3-100)*3)+Inputs!$B$28+Inputs!$B$29)))</f>
        <v/>
      </c>
      <c r="E1481">
        <f>INDEX(FactorTable!$B$2:$Y$301, MATCH(ROUND(MIN(300,MAX(1,D1481)),0), FactorTable!$A$2:$A$301,0), Skills!M11+1)</f>
        <v/>
      </c>
      <c r="F1481">
        <f>(Skills!L11/10)*(E1481/1000)+IF(Inputs!$B$3&gt;=134,50,0)+0.5*(30000/10)*(INDEX(FactorTable!$B$2:$Y$301, MATCH(ROUND(MIN(300,MAX(1,D1481)),0), FactorTable!$A$2:$A$301,0), 13)/1000)*B1513</f>
        <v/>
      </c>
      <c r="G1481">
        <f>Skills!G11*IF(Skills!H11&gt;0,Skills!I11/Skills!H11,1)</f>
        <v/>
      </c>
      <c r="H1481">
        <f>1-(1-Skills!J11/100)^Skills!K11</f>
        <v/>
      </c>
      <c r="I1481" t="inlineStr">
        <is>
          <t>1</t>
        </is>
      </c>
      <c r="J1481">
        <f>((Inputs!$B$6*(1+Inputs!$B$7/100))+(((Inputs!$B$12*(1+Inputs!$B$13/100))-(Inputs!$B$12*(1+Inputs!$B$13/100)))+0.25*(Inputs!$B$14-Inputs!$B$14))*(1+Inputs!$B$7/100))*(F1481/100)</f>
        <v/>
      </c>
      <c r="K1481">
        <f>J1481*(1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1481)</f>
        <v/>
      </c>
      <c r="L1481">
        <f>K1481*(MIN(Inputs!$B$22+((C1494=TRUE)*(F1494-Calc!F24)),(Inputs!$B$23+((C1499=TRUE)*(F1499-Calc!F29))+IF(ArtifactsInput!$M$15,CHOOSE(ArtifactsInput!$N$15+1,25,30,35,40,45,50)/100*(Inputs!$B$11-Inputs!$B$11),0)))/100+(Inputs!$B$23+((C1499=TRUE)*(F1499-Calc!F29))+IF(ArtifactsInput!$M$15,CHOOSE(ArtifactsInput!$N$15+1,25,30,35,40,45,50)/100*(Inputs!$B$11-Inputs!$B$11),0))/100)/2</f>
        <v/>
      </c>
      <c r="M1481">
        <f>L1481*(1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1">
        <f>L1481*(1-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1">
        <f>(1-Summary!$B$11)*T1481+Summary!$B$11*V1481</f>
        <v/>
      </c>
      <c r="P1481">
        <f>IF(B1515=0,0,O1481/B1515)</f>
        <v/>
      </c>
      <c r="Q1481">
        <f>IFERROR(1/IF(Inputs!$B$39="pvp",15,MAX(0.1,Skills!D11-IF(Skills!E11=TRUE,Inputs!$B$32,0))),0)</f>
        <v/>
      </c>
      <c r="R1481">
        <f>IF(AND(Inputs!$B$39&lt;&gt;"pvp",Inputs!$B$44&gt;0),IF(MAX(0,Inputs!$B$44-B1514)&lt;=0,0,(INT(MAX(0,Inputs!$B$44-B1514)/IF(Inputs!$B$39="pvp",15,MAX(0.1,Skills!D11-IF(Skills!E11=TRUE,Inputs!$B$32,0))))+1)),0)</f>
        <v/>
      </c>
      <c r="S1481">
        <f>IFERROR(O1481/N1481,0)</f>
        <v/>
      </c>
      <c r="T1481">
        <f>IF(C1481,(H1481*N1481*IF(AND(Inputs!$B$39&lt;&gt;"pvp",Inputs!$B$44&gt;0),((Skills!G11*((R1481-1)*IF(Skills!H11&gt;0,Skills!I11/Skills!H11,1)+IF(Skills!H11&gt;0,MIN(Skills!I11,MAX(0,MAX(0,Inputs!$B$44-B1514)-((R1481-1)*IF(Inputs!$B$39="pvp",15,MAX(0.1,Skills!D11-IF(Skills!E11=TRUE,Inputs!$B$32,0))))))/Skills!H11,1)))/Inputs!$B$44),G1481*Q1481))*IF(Inputs!$B$39="pvp",1,1+(Inputs!$B$20+0+Skills!P11+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1481*(1-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1481*(1-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1">
        <f>IF(C1481,(H1481*N1481*IF(AND(Inputs!$B$39&lt;&gt;"pvp",Inputs!$B$44&gt;0),((Skills!G11*((R1481-1)*IF(Skills!H11&gt;0,Skills!I11/Skills!H11,1)+IF(Skills!H11&gt;0,MIN(Skills!I11,MAX(0,MAX(0,Inputs!$B$44-B1514)-((R1481-1)*IF(Inputs!$B$39="pvp",15,MAX(0.1,Skills!D11-IF(Skills!E11=TRUE,Inputs!$B$32,0))))))/Skills!H11,1)))/Inputs!$B$44),G1481*Q1481))*IF(Inputs!$B$39="pvp",1,(1+(Inputs!$B$21+Skills!Q11+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2">
      <c r="A1482">
        <f>Skills!A12</f>
        <v/>
      </c>
      <c r="B1482">
        <f>Skills!B12</f>
        <v/>
      </c>
      <c r="C1482">
        <f>Inputs!$B$3&gt;=105</f>
        <v/>
      </c>
      <c r="D1482">
        <f>IF(Skills!C12=1,60+Inputs!$B$25+Inputs!$B$29,IF(Skills!C12=2,90+Inputs!$B$26+Inputs!$B$29,IF(Skills!C12=3,120+Inputs!$B$27+Inputs!$B$29,MAX(0,(Inputs!$B$3-100)*3)+Inputs!$B$28+Inputs!$B$29)))</f>
        <v/>
      </c>
      <c r="E1482">
        <f>INDEX(FactorTable!$B$2:$Y$301, MATCH(ROUND(MIN(300,MAX(1,D1482)),0), FactorTable!$A$2:$A$301,0), Skills!M12+1)</f>
        <v/>
      </c>
      <c r="F1482">
        <f>IF(Skills!N12=TRUE,(Skills!L12/10)*(E1482/1000),Skills!L12/10)+Skills!O12</f>
        <v/>
      </c>
      <c r="G1482">
        <f>Skills!G12*IF(Skills!H12&gt;0,Skills!I12/Skills!H12,1)</f>
        <v/>
      </c>
      <c r="H1482">
        <f>1-(1-Skills!J12/100)^Skills!K12</f>
        <v/>
      </c>
      <c r="I1482" t="inlineStr">
        <is>
          <t>1</t>
        </is>
      </c>
      <c r="J1482">
        <f>((Inputs!$B$6*(1+Inputs!$B$7/100))+(((Inputs!$B$12*(1+Inputs!$B$13/100))-(Inputs!$B$12*(1+Inputs!$B$13/100)))+0.25*(Inputs!$B$14-Inputs!$B$14))*(1+Inputs!$B$7/100))*(F1482/100)</f>
        <v/>
      </c>
      <c r="K1482">
        <f>J1482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1482)</f>
        <v/>
      </c>
      <c r="L1482">
        <f>K1482*(MIN(Inputs!$B$22+((C1494=TRUE)*(F1494-Calc!F24)),(Inputs!$B$23+((C1499=TRUE)*(F1499-Calc!F29))+IF(ArtifactsInput!$M$15,CHOOSE(ArtifactsInput!$N$15+1,25,30,35,40,45,50)/100*(Inputs!$B$11-Inputs!$B$11),0)))/100+(Inputs!$B$23+((C1499=TRUE)*(F1499-Calc!F29))+IF(ArtifactsInput!$M$15,CHOOSE(ArtifactsInput!$N$15+1,25,30,35,40,45,50)/100*(Inputs!$B$11-Inputs!$B$11),0))/100)/2</f>
        <v/>
      </c>
      <c r="M1482">
        <f>L1482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2">
        <f>L1482*(1-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1482*(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2">
        <f>(1-Summary!$B$11)*T1482+Summary!$B$11*V1482</f>
        <v/>
      </c>
      <c r="P1482">
        <f>IF(B1515=0,0,O1482/B1515)</f>
        <v/>
      </c>
      <c r="Q1482">
        <f>IFERROR(1/IF(Inputs!$B$39="pvp",15,MAX(0.1,Skills!D12-IF(Skills!E12=TRUE,Inputs!$B$32,0))),0)</f>
        <v/>
      </c>
      <c r="R1482">
        <f>IF(AND(Inputs!$B$39&lt;&gt;"pvp",Inputs!$B$44&gt;0),IF(MAX(0,Inputs!$B$44-B1514)&lt;=0,0,(INT(MAX(0,Inputs!$B$44-B1514)/IF(Inputs!$B$39="pvp",15,MAX(0.1,Skills!D12-IF(Skills!E12=TRUE,Inputs!$B$32,0))))+1)),0)</f>
        <v/>
      </c>
      <c r="S1482">
        <f>IFERROR(O1482/N1482,0)</f>
        <v/>
      </c>
      <c r="T1482">
        <f>IF(C1482,(H1482*N1482*IF(AND(Inputs!$B$39&lt;&gt;"pvp",Inputs!$B$44&gt;0),((Skills!G12*((R1482-1)*IF(Skills!H12&gt;0,Skills!I12/Skills!H12,1)+IF(Skills!H12&gt;0,MIN(Skills!I12,MAX(0,MAX(0,Inputs!$B$44-B1514)-((R1482-1)*IF(Inputs!$B$39="pvp",15,MAX(0.1,Skills!D12-IF(Skills!E12=TRUE,Inputs!$B$32,0))))))/Skills!H12,1)))/Inputs!$B$44),G1482*Q1482))*IF(Inputs!$B$39="pvp",1,1+(Inputs!$B$20+0+Skills!P12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1482*(1-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1482*(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1482*(1-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1482*(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2">
        <f>IF(C1482,(H1482*N1482*IF(AND(Inputs!$B$39&lt;&gt;"pvp",Inputs!$B$44&gt;0),((Skills!G12*((R1482-1)*IF(Skills!H12&gt;0,Skills!I12/Skills!H12,1)+IF(Skills!H12&gt;0,MIN(Skills!I12,MAX(0,MAX(0,Inputs!$B$44-B1514)-((R1482-1)*IF(Inputs!$B$39="pvp",15,MAX(0.1,Skills!D12-IF(Skills!E12=TRUE,Inputs!$B$32,0))))))/Skills!H12,1)))/Inputs!$B$44),G1482*Q1482))*IF(Inputs!$B$39="pvp",1,(1+(Inputs!$B$21+Skills!Q12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Skills!A13</f>
        <v/>
      </c>
      <c r="B1483">
        <f>Skills!B13</f>
        <v/>
      </c>
      <c r="C1483">
        <f>Inputs!$B$3&gt;=105</f>
        <v/>
      </c>
      <c r="D1483">
        <f>IF(Skills!C13=1,60+Inputs!$B$25+Inputs!$B$29,IF(Skills!C13=2,90+Inputs!$B$26+Inputs!$B$29,IF(Skills!C13=3,120+Inputs!$B$27+Inputs!$B$29,MAX(0,(Inputs!$B$3-100)*3)+Inputs!$B$28+Inputs!$B$29)))</f>
        <v/>
      </c>
      <c r="E1483">
        <f>INDEX(FactorTable!$B$2:$Y$301, MATCH(ROUND(MIN(300,MAX(1,D1483)),0), FactorTable!$A$2:$A$301,0), Skills!M13+1)</f>
        <v/>
      </c>
      <c r="F1483">
        <f>IF(Skills!N13=TRUE,(Skills!L13/10)*(E1483/1000),Skills!L13/10)+Skills!O13</f>
        <v/>
      </c>
      <c r="G1483">
        <f>Skills!G13*IF(Skills!H13&gt;0,Skills!I13/Skills!H13,1)</f>
        <v/>
      </c>
      <c r="H1483">
        <f>1-(1-Skills!J13/100)^Skills!K13</f>
        <v/>
      </c>
      <c r="I1483" t="inlineStr">
        <is>
          <t>1</t>
        </is>
      </c>
      <c r="J1483">
        <f>((Inputs!$B$6*(1+Inputs!$B$7/100))+(((Inputs!$B$12*(1+Inputs!$B$13/100))-(Inputs!$B$12*(1+Inputs!$B$13/100)))+0.25*(Inputs!$B$14-Inputs!$B$14))*(1+Inputs!$B$7/100))*(F1483/100)</f>
        <v/>
      </c>
      <c r="K1483">
        <f>J1483*(1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1483)</f>
        <v/>
      </c>
      <c r="L1483">
        <f>K1483*(MIN(Inputs!$B$22+((C1494=TRUE)*(F1494-Calc!F24)),(Inputs!$B$23+((C1499=TRUE)*(F1499-Calc!F29))+IF(ArtifactsInput!$M$15,CHOOSE(ArtifactsInput!$N$15+1,25,30,35,40,45,50)/100*(Inputs!$B$11-Inputs!$B$11),0)))/100+(Inputs!$B$23+((C1499=TRUE)*(F1499-Calc!F29))+IF(ArtifactsInput!$M$15,CHOOSE(ArtifactsInput!$N$15+1,25,30,35,40,45,50)/100*(Inputs!$B$11-Inputs!$B$11),0))/100)/2</f>
        <v/>
      </c>
      <c r="M1483">
        <f>L1483*(1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3">
        <f>L1483*(1-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1483*(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3">
        <f>(1-Summary!$B$11)*T1483+Summary!$B$11*V1483</f>
        <v/>
      </c>
      <c r="P1483">
        <f>IF(B1515=0,0,O1483/B1515)</f>
        <v/>
      </c>
      <c r="Q1483">
        <f>IFERROR(1/IF(Inputs!$B$39="pvp",15,MAX(0.1,Skills!D13-IF(Skills!E13=TRUE,Inputs!$B$32,0))),0)</f>
        <v/>
      </c>
      <c r="R1483">
        <f>IF(AND(Inputs!$B$39&lt;&gt;"pvp",Inputs!$B$44&gt;0),IF(MAX(0,Inputs!$B$44-B1514)&lt;=0,0,(INT(MAX(0,Inputs!$B$44-B1514)/IF(Inputs!$B$39="pvp",15,MAX(0.1,Skills!D13-IF(Skills!E13=TRUE,Inputs!$B$32,0))))+1)),0)</f>
        <v/>
      </c>
      <c r="S1483">
        <f>IFERROR(O1483/N1483,0)</f>
        <v/>
      </c>
      <c r="T1483">
        <f>IF(C1483,(H1483*N1483*IF(AND(Inputs!$B$39&lt;&gt;"pvp",Inputs!$B$44&gt;0),((Skills!G13*((R1483-1)*IF(Skills!H13&gt;0,Skills!I13/Skills!H13,1)+IF(Skills!H13&gt;0,MIN(Skills!I13,MAX(0,MAX(0,Inputs!$B$44-B1514)-((R1483-1)*IF(Inputs!$B$39="pvp",15,MAX(0.1,Skills!D13-IF(Skills!E13=TRUE,Inputs!$B$32,0))))))/Skills!H13,1)))/Inputs!$B$44),G1483*Q1483))*IF(Inputs!$B$39="pvp",1,1+(Inputs!$B$20+0+Skills!P13+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1483*(1-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1483*(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1483*(1-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1483*(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3">
        <f>IF(C1483,(H1483*N1483*IF(AND(Inputs!$B$39&lt;&gt;"pvp",Inputs!$B$44&gt;0),((Skills!G13*((R1483-1)*IF(Skills!H13&gt;0,Skills!I13/Skills!H13,1)+IF(Skills!H13&gt;0,MIN(Skills!I13,MAX(0,MAX(0,Inputs!$B$44-B1514)-((R1483-1)*IF(Inputs!$B$39="pvp",15,MAX(0.1,Skills!D13-IF(Skills!E13=TRUE,Inputs!$B$32,0))))))/Skills!H13,1)))/Inputs!$B$44),G1483*Q1483))*IF(Inputs!$B$39="pvp",1,(1+(Inputs!$B$21+Skills!Q13+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4">
      <c r="A1484">
        <f>Skills!A14</f>
        <v/>
      </c>
      <c r="B1484">
        <f>Skills!B14</f>
        <v/>
      </c>
      <c r="C1484">
        <f>Inputs!$B$3&gt;=107</f>
        <v/>
      </c>
      <c r="D1484">
        <f>IF(Skills!C14=1,60+Inputs!$B$25+Inputs!$B$29,IF(Skills!C14=2,90+Inputs!$B$26+Inputs!$B$29,IF(Skills!C14=3,120+Inputs!$B$27+Inputs!$B$29,MAX(0,(Inputs!$B$3-100)*3)+Inputs!$B$28+Inputs!$B$29)))</f>
        <v/>
      </c>
      <c r="E1484">
        <f>INDEX(FactorTable!$B$2:$Y$301, MATCH(ROUND(MIN(300,MAX(1,D1484)),0), FactorTable!$A$2:$A$301,0), Skills!M14+1)</f>
        <v/>
      </c>
      <c r="F1484">
        <f>IF(Skills!N14=TRUE,(Skills!L14/10)*(E1484/1000),Skills!L14/10)+Skills!O14</f>
        <v/>
      </c>
      <c r="G1484">
        <f>Skills!G14*IF(Skills!H14&gt;0,Skills!I14/Skills!H14,1)</f>
        <v/>
      </c>
      <c r="H1484">
        <f>1-(1-Skills!J14/100)^Skills!K14</f>
        <v/>
      </c>
      <c r="I1484" t="inlineStr">
        <is>
          <t>1</t>
        </is>
      </c>
      <c r="J1484">
        <f>((Inputs!$B$6*(1+Inputs!$B$7/100))+(((Inputs!$B$12*(1+Inputs!$B$13/100))-(Inputs!$B$12*(1+Inputs!$B$13/100)))+0.25*(Inputs!$B$14-Inputs!$B$14))*(1+Inputs!$B$7/100))*(F1484/100)</f>
        <v/>
      </c>
      <c r="K1484">
        <f>J1484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1484)</f>
        <v/>
      </c>
      <c r="L1484">
        <f>K1484*(MIN(Inputs!$B$22+((C1494=TRUE)*(F1494-Calc!F24)),(Inputs!$B$23+((C1499=TRUE)*(F1499-Calc!F29))+IF(ArtifactsInput!$M$15,CHOOSE(ArtifactsInput!$N$15+1,25,30,35,40,45,50)/100*(Inputs!$B$11-Inputs!$B$11),0)))/100+(Inputs!$B$23+((C1499=TRUE)*(F1499-Calc!F29))+IF(ArtifactsInput!$M$15,CHOOSE(ArtifactsInput!$N$15+1,25,30,35,40,45,50)/100*(Inputs!$B$11-Inputs!$B$11),0))/100)/2</f>
        <v/>
      </c>
      <c r="M1484">
        <f>L1484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4">
        <f>L1484*(1-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1484*(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4">
        <f>(1-Summary!$B$11)*T1484+Summary!$B$11*V1484</f>
        <v/>
      </c>
      <c r="P1484">
        <f>IF(B1515=0,0,O1484/B1515)</f>
        <v/>
      </c>
      <c r="Q1484">
        <f>IFERROR(1/IF(Inputs!$B$39="pvp",15,MAX(0.1,Skills!D14-IF(Skills!E14=TRUE,Inputs!$B$32,0))),0)</f>
        <v/>
      </c>
      <c r="R1484">
        <f>IF(AND(Inputs!$B$39&lt;&gt;"pvp",Inputs!$B$44&gt;0),IF(MAX(0,Inputs!$B$44-B1514)&lt;=0,0,(INT(MAX(0,Inputs!$B$44-B1514)/IF(Inputs!$B$39="pvp",15,MAX(0.1,Skills!D14-IF(Skills!E14=TRUE,Inputs!$B$32,0))))+1)),0)</f>
        <v/>
      </c>
      <c r="S1484">
        <f>IFERROR(O1484/N1484,0)</f>
        <v/>
      </c>
      <c r="T1484">
        <f>IF(C1484,(H1484*N1484*IF(AND(Inputs!$B$39&lt;&gt;"pvp",Inputs!$B$44&gt;0),((Skills!G14*((R1484-1)*IF(Skills!H14&gt;0,Skills!I14/Skills!H14,1)+IF(Skills!H14&gt;0,MIN(Skills!I14,MAX(0,MAX(0,Inputs!$B$44-B1514)-((R1484-1)*IF(Inputs!$B$39="pvp",15,MAX(0.1,Skills!D14-IF(Skills!E14=TRUE,Inputs!$B$32,0))))))/Skills!H14,1)))/Inputs!$B$44),G1484*Q1484))*IF(Inputs!$B$39="pvp",1,1+(Inputs!$B$20+0+Skills!P14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1484*(1-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1484*(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1484*(1-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1484*(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4">
        <f>IF(C1484,(H1484*N1484*IF(AND(Inputs!$B$39&lt;&gt;"pvp",Inputs!$B$44&gt;0),((Skills!G14*((R1484-1)*IF(Skills!H14&gt;0,Skills!I14/Skills!H14,1)+IF(Skills!H14&gt;0,MIN(Skills!I14,MAX(0,MAX(0,Inputs!$B$44-B1514)-((R1484-1)*IF(Inputs!$B$39="pvp",15,MAX(0.1,Skills!D14-IF(Skills!E14=TRUE,Inputs!$B$32,0))))))/Skills!H14,1)))/Inputs!$B$44),G1484*Q1484))*IF(Inputs!$B$39="pvp",1,(1+(Inputs!$B$21+Skills!Q14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(5,0.25*B1507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5">
      <c r="A1485">
        <f>Skills!A15</f>
        <v/>
      </c>
      <c r="B1485">
        <f>Skills!B15</f>
        <v/>
      </c>
      <c r="C1485">
        <f>Inputs!$B$3&gt;=110</f>
        <v/>
      </c>
      <c r="D1485">
        <f>IF(Skills!C15=1,60+Inputs!$B$25+Inputs!$B$29,IF(Skills!C15=2,90+Inputs!$B$26+Inputs!$B$29,IF(Skills!C15=3,120+Inputs!$B$27+Inputs!$B$29,MAX(0,(Inputs!$B$3-100)*3)+Inputs!$B$28+Inputs!$B$29)))</f>
        <v/>
      </c>
      <c r="E1485">
        <f>INDEX(FactorTable!$B$2:$Y$301, MATCH(ROUND(MIN(300,MAX(1,D1485)),0), FactorTable!$A$2:$A$301,0), Skills!M15+1)</f>
        <v/>
      </c>
      <c r="F1485">
        <f>IF(Skills!N15=TRUE,(Skills!L15/10)*(E1485/1000),Skills!L15/10)+Skills!O15</f>
        <v/>
      </c>
      <c r="G1485">
        <f>Skills!G15*IF(Skills!H15&gt;0,Skills!I15/Skills!H15,1)</f>
        <v/>
      </c>
      <c r="H1485">
        <f>1-(1-Skills!J15/100)^Skills!K15</f>
        <v/>
      </c>
      <c r="I1485" t="inlineStr">
        <is>
          <t>1</t>
        </is>
      </c>
      <c r="J1485" t="inlineStr"/>
      <c r="K1485" t="inlineStr"/>
      <c r="L1485" t="inlineStr"/>
      <c r="M1485" t="inlineStr"/>
      <c r="N1485" t="inlineStr"/>
      <c r="O1485">
        <f>(1-Summary!$B$11)*T1485+Summary!$B$11*V1485</f>
        <v/>
      </c>
      <c r="P1485">
        <f>IF(B1515=0,0,O1485/B1515)</f>
        <v/>
      </c>
      <c r="Q1485">
        <f>IFERROR(1/IF(Inputs!$B$39="pvp",15,MAX(0.1,Skills!D15-IF(Skills!E15=TRUE,Inputs!$B$32,0))),0)</f>
        <v/>
      </c>
      <c r="R1485">
        <f>IF(AND(Inputs!$B$39&lt;&gt;"pvp",Inputs!$B$44&gt;0),IF(Inputs!$B$44&lt;=0,0,(INT(Inputs!$B$44/IF(Inputs!$B$39="pvp",15,MAX(0.1,Skills!D15-IF(Skills!E15=TRUE,Inputs!$B$32,0))))+1)),0)</f>
        <v/>
      </c>
      <c r="S1485">
        <f>IFERROR(O1485/N1485,0)</f>
        <v/>
      </c>
      <c r="T1485" t="n">
        <v>0</v>
      </c>
      <c r="V1485" t="n">
        <v>0</v>
      </c>
    </row>
    <row r="1486">
      <c r="A1486">
        <f>Skills!A16</f>
        <v/>
      </c>
      <c r="B1486">
        <f>Skills!B16</f>
        <v/>
      </c>
      <c r="C1486">
        <f>Inputs!$B$3&gt;=115</f>
        <v/>
      </c>
      <c r="D1486">
        <f>IF(Skills!C16=1,60+Inputs!$B$25+Inputs!$B$29,IF(Skills!C16=2,90+Inputs!$B$26+Inputs!$B$29,IF(Skills!C16=3,120+Inputs!$B$27+Inputs!$B$29,MAX(0,(Inputs!$B$3-100)*3)+Inputs!$B$28+Inputs!$B$29)))</f>
        <v/>
      </c>
      <c r="E1486">
        <f>INDEX(FactorTable!$B$2:$Y$301, MATCH(ROUND(MIN(300,MAX(1,D1486)),0), FactorTable!$A$2:$A$301,0), Skills!M16+1)</f>
        <v/>
      </c>
      <c r="F1486">
        <f>IF(Skills!N16=TRUE,(Skills!L16/10)*(E1486/1000),Skills!L16/10)+Skills!O16</f>
        <v/>
      </c>
      <c r="G1486">
        <f>Skills!G16*IF(Skills!H16&gt;0,Skills!I16/Skills!H16,1)</f>
        <v/>
      </c>
      <c r="H1486">
        <f>1-(1-Skills!J16/100)^Skills!K16</f>
        <v/>
      </c>
      <c r="I1486" t="inlineStr">
        <is>
          <t>1</t>
        </is>
      </c>
      <c r="J1486">
        <f>((Inputs!$B$6*(1+Inputs!$B$7/100))+(((Inputs!$B$12*(1+Inputs!$B$13/100))-(Inputs!$B$12*(1+Inputs!$B$13/100)))+0.25*(Inputs!$B$14-Inputs!$B$14))*(1+Inputs!$B$7/100))*(F1486/100)</f>
        <v/>
      </c>
      <c r="K1486">
        <f>J1486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1497=TRUE)*(F1497-Calc!F27))+((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1486)</f>
        <v/>
      </c>
      <c r="L1486">
        <f>K1486*(MIN(Inputs!$B$22+((C1494=TRUE)*(F1494-Calc!F24)),(Inputs!$B$23+((C1499=TRUE)*(F1499-Calc!F29))+IF(ArtifactsInput!$M$15,CHOOSE(ArtifactsInput!$N$15+1,25,30,35,40,45,50)/100*(Inputs!$B$11-Inputs!$B$11),0)))/100+(Inputs!$B$23+((C1499=TRUE)*(F1499-Calc!F29))+IF(ArtifactsInput!$M$15,CHOOSE(ArtifactsInput!$N$15+1,25,30,35,40,45,50)/100*(Inputs!$B$11-Inputs!$B$11),0))/100)/2</f>
        <v/>
      </c>
      <c r="M1486">
        <f>L1486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6">
        <f>L1486*(1-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1486*(MIN((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6">
        <f>(1-Summary!$B$11)*T1486+Summary!$B$11*V1486</f>
        <v/>
      </c>
      <c r="P1486">
        <f>IF(B1515=0,0,O1486/B1515)</f>
        <v/>
      </c>
      <c r="Q1486" t="n">
        <v>0</v>
      </c>
      <c r="R1486" t="n">
        <v>0</v>
      </c>
      <c r="S1486">
        <f>IFERROR(O1486/N1486,0)</f>
        <v/>
      </c>
      <c r="T1486">
        <f>IF(C1486,(Inputs!$B$38*0.2*N1486)*IF(Inputs!$B$39="pvp",1,1+(Inputs!$B$20+0+Skills!P16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1486*(1-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1486*(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1486*(1-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1486*(MIN(100,(Inputs!$B$9+((C1495=TRUE)*(F1495-Calc!F25))+B1503+(ArtifactsInput!$M$24-ArtifactsInput!$M$24)*CHOOSE(ArtifactsInput!$N$24+1,10,12,14,16,18,20)+(IF(AND(Inputs!$B$39&lt;&gt;"pvp",Inputs!$B$44=0),1,IF(IF(Inputs!$B$39="pvp",15,Inputs!$B$44)-(B1514)&lt;=0,1,MAX(0,IF(Inputs!$B$39="pvp",15,Inputs!$B$44)-MAX(5,B1514))/(IF(Inputs!$B$39="pvp",15,Inputs!$B$44)-(B1514))))*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6">
        <f>IF(C1486,(Inputs!$B$38*0.2*N1486)*IF(Inputs!$B$39="pvp",1,(1+(Inputs!$B$21+Skills!Q16+B1504+(IF(ArtifactsInput!$M$33,CHOOSE(ArtifactsInput!$N$33+1,30,36,42,48,54,60),0))+(IF(AND(ArtifactsInput!$M$35,Inputs!$B$4&lt;&gt;"Chapter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7">
      <c r="A1487">
        <f>Skills!A17</f>
        <v/>
      </c>
      <c r="B1487">
        <f>Skills!B17</f>
        <v/>
      </c>
      <c r="C1487">
        <f>Inputs!$B$3&gt;=115</f>
        <v/>
      </c>
      <c r="D1487">
        <f>IF(Skills!C17=1,60+Inputs!$B$25+Inputs!$B$29,IF(Skills!C17=2,90+Inputs!$B$26+Inputs!$B$29,IF(Skills!C17=3,120+Inputs!$B$27+Inputs!$B$29,MAX(0,(Inputs!$B$3-100)*3)+Inputs!$B$28+Inputs!$B$29)))</f>
        <v/>
      </c>
      <c r="E1487">
        <f>INDEX(FactorTable!$B$2:$Y$301, MATCH(ROUND(MIN(300,MAX(1,D1487)),0), FactorTable!$A$2:$A$301,0), Skills!M17+1)</f>
        <v/>
      </c>
      <c r="F1487">
        <f>IF(Skills!N17=TRUE,(Skills!L17/10)*(E1487/1000),Skills!L17/10)+Skills!O17</f>
        <v/>
      </c>
      <c r="G1487">
        <f>Skills!G17*IF(Skills!H17&gt;0,Skills!I17/Skills!H17,1)</f>
        <v/>
      </c>
      <c r="H1487">
        <f>1-(1-Skills!J17/100)^Skills!K17</f>
        <v/>
      </c>
      <c r="I1487" t="inlineStr">
        <is>
          <t>1</t>
        </is>
      </c>
      <c r="J1487" t="inlineStr"/>
      <c r="K1487" t="inlineStr"/>
      <c r="L1487" t="inlineStr"/>
      <c r="M1487" t="inlineStr"/>
      <c r="N1487" t="inlineStr"/>
      <c r="O1487">
        <f>(1-Summary!$B$11)*T1487+Summary!$B$11*V1487</f>
        <v/>
      </c>
      <c r="P1487">
        <f>IF(B1515=0,0,O1487/B1515)</f>
        <v/>
      </c>
      <c r="Q1487" t="n">
        <v>0</v>
      </c>
      <c r="R1487" t="n">
        <v>0</v>
      </c>
      <c r="S1487">
        <f>IFERROR(O1487/N1487,0)</f>
        <v/>
      </c>
      <c r="T1487" t="n">
        <v>0</v>
      </c>
      <c r="V1487" t="n">
        <v>0</v>
      </c>
    </row>
    <row r="1488">
      <c r="A1488">
        <f>Skills!A18</f>
        <v/>
      </c>
      <c r="B1488">
        <f>Skills!B18</f>
        <v/>
      </c>
      <c r="C1488">
        <f>Inputs!$B$3&gt;=100</f>
        <v/>
      </c>
      <c r="D1488">
        <f>IF(Skills!C18=1,60+Inputs!$B$25+Inputs!$B$29,IF(Skills!C18=2,90+Inputs!$B$26+Inputs!$B$29,IF(Skills!C18=3,120+Inputs!$B$27+Inputs!$B$29,MAX(0,(Inputs!$B$3-100)*3)+Inputs!$B$28+Inputs!$B$29)))</f>
        <v/>
      </c>
      <c r="E1488">
        <f>INDEX(FactorTable!$B$2:$Y$301, MATCH(ROUND(MIN(300,MAX(1,D1488)),0), FactorTable!$A$2:$A$301,0), Skills!M18+1)</f>
        <v/>
      </c>
      <c r="F1488">
        <f>IF(Skills!N18=TRUE,(Skills!L18/10)*(E1488/1000),Skills!L18/10)+Skills!O18</f>
        <v/>
      </c>
      <c r="G1488">
        <f>Skills!G18*IF(Skills!H18&gt;0,Skills!I18/Skills!H18,1)</f>
        <v/>
      </c>
      <c r="H1488">
        <f>1-(1-Skills!J18/100)^Skills!K18</f>
        <v/>
      </c>
      <c r="I1488" t="inlineStr">
        <is>
          <t>1</t>
        </is>
      </c>
      <c r="J1488" t="inlineStr"/>
      <c r="K1488" t="inlineStr"/>
      <c r="L1488" t="inlineStr"/>
      <c r="M1488" t="inlineStr"/>
      <c r="N1488" t="inlineStr"/>
      <c r="O1488">
        <f>(1-Summary!$B$11)*T1488+Summary!$B$11*V1488</f>
        <v/>
      </c>
      <c r="P1488">
        <f>IF(B1515=0,0,O1488/B1515)</f>
        <v/>
      </c>
      <c r="Q1488" t="n">
        <v>0</v>
      </c>
      <c r="R1488" t="n">
        <v>0</v>
      </c>
      <c r="S1488">
        <f>IFERROR(O1488/N1488,0)</f>
        <v/>
      </c>
      <c r="T1488" t="n">
        <v>0</v>
      </c>
      <c r="V1488" t="n">
        <v>0</v>
      </c>
    </row>
    <row r="1489">
      <c r="A1489">
        <f>Skills!A19</f>
        <v/>
      </c>
      <c r="B1489">
        <f>Skills!B19</f>
        <v/>
      </c>
      <c r="C1489">
        <f>TRUE</f>
        <v/>
      </c>
      <c r="D1489">
        <f>IF(Skills!C19=1,60+Inputs!$B$25+Inputs!$B$29,IF(Skills!C19=2,90+Inputs!$B$26+Inputs!$B$29,IF(Skills!C19=3,120+Inputs!$B$27+Inputs!$B$29,MAX(0,(Inputs!$B$3-100)*3)+Inputs!$B$28+Inputs!$B$29)))</f>
        <v/>
      </c>
      <c r="E1489">
        <f>INDEX(FactorTable!$B$2:$Y$301, MATCH(ROUND(MIN(300,MAX(1,D1489)),0), FactorTable!$A$2:$A$301,0), Skills!M19+1)</f>
        <v/>
      </c>
      <c r="F1489">
        <f>IF(Skills!N19=TRUE,(Skills!L19/10)*(E1489/1000),Skills!L19/10)+Skills!O19</f>
        <v/>
      </c>
      <c r="G1489">
        <f>Skills!G19*IF(Skills!H19&gt;0,Skills!I19/Skills!H19,1)</f>
        <v/>
      </c>
      <c r="H1489">
        <f>1-(1-Skills!J19/100)^Skills!K19</f>
        <v/>
      </c>
      <c r="I1489" t="inlineStr">
        <is>
          <t>1</t>
        </is>
      </c>
      <c r="J1489" t="inlineStr"/>
      <c r="K1489" t="inlineStr"/>
      <c r="L1489" t="inlineStr"/>
      <c r="M1489" t="inlineStr"/>
      <c r="N1489" t="inlineStr"/>
      <c r="O1489">
        <f>(1-Summary!$B$11)*T1489+Summary!$B$11*V1489</f>
        <v/>
      </c>
      <c r="P1489">
        <f>IF(B1515=0,0,O1489/B1515)</f>
        <v/>
      </c>
      <c r="Q1489">
        <f>IFERROR(1/IF(Inputs!$B$39="pvp",15,MAX(0.1,Skills!D19-IF(Skills!E19=TRUE,Inputs!$B$32,0))),0)</f>
        <v/>
      </c>
      <c r="R1489">
        <f>IF(AND(Inputs!$B$39&lt;&gt;"pvp",Inputs!$B$44&gt;0),IF(Inputs!$B$44&lt;=0,0,(INT(Inputs!$B$44/IF(Inputs!$B$39="pvp",15,MAX(0.1,Skills!D19-IF(Skills!E19=TRUE,Inputs!$B$32,0))))+1)),0)</f>
        <v/>
      </c>
      <c r="S1489">
        <f>IFERROR(O1489/N1489,0)</f>
        <v/>
      </c>
      <c r="T1489" t="n">
        <v>0</v>
      </c>
      <c r="V1489" t="n">
        <v>0</v>
      </c>
    </row>
    <row r="1490">
      <c r="A1490">
        <f>Skills!A20</f>
        <v/>
      </c>
      <c r="B1490">
        <f>Skills!B20</f>
        <v/>
      </c>
      <c r="C1490">
        <f>Inputs!$B$3&gt;=15</f>
        <v/>
      </c>
      <c r="D1490">
        <f>IF(Skills!C20=1,60+Inputs!$B$25+Inputs!$B$29,IF(Skills!C20=2,90+Inputs!$B$26+Inputs!$B$29,IF(Skills!C20=3,120+Inputs!$B$27+Inputs!$B$29,MAX(0,(Inputs!$B$3-100)*3)+Inputs!$B$28+Inputs!$B$29)))</f>
        <v/>
      </c>
      <c r="E1490">
        <f>INDEX(FactorTable!$B$2:$Y$301, MATCH(ROUND(MIN(300,MAX(1,D1490)),0), FactorTable!$A$2:$A$301,0), Skills!M20+1)</f>
        <v/>
      </c>
      <c r="F1490">
        <f>IF(Skills!N20=TRUE,(Skills!L20/10)*(E1490/1000),Skills!L20/10)+Skills!O20</f>
        <v/>
      </c>
      <c r="G1490">
        <f>Skills!G20*IF(Skills!H20&gt;0,Skills!I20/Skills!H20,1)</f>
        <v/>
      </c>
      <c r="H1490">
        <f>1-(1-Skills!J20/100)^Skills!K20</f>
        <v/>
      </c>
      <c r="I1490" t="inlineStr">
        <is>
          <t>1</t>
        </is>
      </c>
      <c r="J1490" t="inlineStr"/>
      <c r="K1490" t="inlineStr"/>
      <c r="L1490" t="inlineStr"/>
      <c r="M1490" t="inlineStr"/>
      <c r="N1490" t="inlineStr"/>
      <c r="O1490">
        <f>(1-Summary!$B$11)*T1490+Summary!$B$11*V1490</f>
        <v/>
      </c>
      <c r="P1490">
        <f>IF(B1515=0,0,O1490/B1515)</f>
        <v/>
      </c>
      <c r="Q1490">
        <f>IFERROR(1/IF(Inputs!$B$39="pvp",15,MAX(0.1,Skills!D20-IF(Skills!E20=TRUE,Inputs!$B$32,0))),0)</f>
        <v/>
      </c>
      <c r="R1490">
        <f>IF(AND(Inputs!$B$39&lt;&gt;"pvp",Inputs!$B$44&gt;0),IF(Inputs!$B$44&lt;=0,0,(INT(Inputs!$B$44/IF(Inputs!$B$39="pvp",15,MAX(0.1,Skills!D20-IF(Skills!E20=TRUE,Inputs!$B$32,0))))+1)),0)</f>
        <v/>
      </c>
      <c r="S1490">
        <f>IFERROR(O1490/N1490,0)</f>
        <v/>
      </c>
      <c r="T1490" t="n">
        <v>0</v>
      </c>
      <c r="V1490" t="n">
        <v>0</v>
      </c>
    </row>
    <row r="1491">
      <c r="A1491">
        <f>Skills!A21</f>
        <v/>
      </c>
      <c r="B1491">
        <f>Skills!B21</f>
        <v/>
      </c>
      <c r="C1491">
        <f>Inputs!$B$3&gt;=15</f>
        <v/>
      </c>
      <c r="D1491">
        <f>IF(Skills!C21=1,60+Inputs!$B$25+Inputs!$B$29,IF(Skills!C21=2,90+Inputs!$B$26+Inputs!$B$29,IF(Skills!C21=3,120+Inputs!$B$27+Inputs!$B$29,MAX(0,(Inputs!$B$3-100)*3)+Inputs!$B$28+Inputs!$B$29)))</f>
        <v/>
      </c>
      <c r="E1491">
        <f>INDEX(FactorTable!$B$2:$Y$301, MATCH(ROUND(MIN(300,MAX(1,D1491)),0), FactorTable!$A$2:$A$301,0), Skills!M21+1)</f>
        <v/>
      </c>
      <c r="F1491">
        <f>IF(Skills!N21=TRUE,(Skills!L21/10)*(E1491/1000),Skills!L21/10)+Skills!O21</f>
        <v/>
      </c>
      <c r="G1491">
        <f>Skills!G21*IF(Skills!H21&gt;0,Skills!I21/Skills!H21,1)</f>
        <v/>
      </c>
      <c r="H1491">
        <f>1-(1-Skills!J21/100)^Skills!K21</f>
        <v/>
      </c>
      <c r="I1491" t="inlineStr">
        <is>
          <t>1</t>
        </is>
      </c>
      <c r="J1491" t="inlineStr"/>
      <c r="K1491" t="inlineStr"/>
      <c r="L1491" t="inlineStr"/>
      <c r="M1491" t="inlineStr"/>
      <c r="N1491" t="inlineStr"/>
      <c r="O1491">
        <f>(1-Summary!$B$11)*T1491+Summary!$B$11*V1491</f>
        <v/>
      </c>
      <c r="P1491">
        <f>IF(B1515=0,0,O1491/B1515)</f>
        <v/>
      </c>
      <c r="Q1491">
        <f>IFERROR(1/IF(Inputs!$B$39="pvp",15,MAX(0.1,Skills!D21-IF(Skills!E21=TRUE,Inputs!$B$32,0))),0)</f>
        <v/>
      </c>
      <c r="R1491">
        <f>IF(AND(Inputs!$B$39&lt;&gt;"pvp",Inputs!$B$44&gt;0),IF(Inputs!$B$44&lt;=0,0,(INT(Inputs!$B$44/IF(Inputs!$B$39="pvp",15,MAX(0.1,Skills!D21-IF(Skills!E21=TRUE,Inputs!$B$32,0))))+1)),0)</f>
        <v/>
      </c>
      <c r="S1491">
        <f>IFERROR(O1491/N1491,0)</f>
        <v/>
      </c>
      <c r="T1491" t="n">
        <v>0</v>
      </c>
      <c r="V1491" t="n">
        <v>0</v>
      </c>
    </row>
    <row r="1492">
      <c r="A1492">
        <f>Skills!A22</f>
        <v/>
      </c>
      <c r="B1492">
        <f>Skills!B22</f>
        <v/>
      </c>
      <c r="C1492">
        <f>Inputs!$B$3&gt;=33</f>
        <v/>
      </c>
      <c r="D1492">
        <f>IF(Skills!C22=1,60+Inputs!$B$25+Inputs!$B$29,IF(Skills!C22=2,90+Inputs!$B$26+Inputs!$B$29,IF(Skills!C22=3,120+Inputs!$B$27+Inputs!$B$29,MAX(0,(Inputs!$B$3-100)*3)+Inputs!$B$28+Inputs!$B$29)))</f>
        <v/>
      </c>
      <c r="E1492">
        <f>INDEX(FactorTable!$B$2:$Y$301, MATCH(ROUND(MIN(300,MAX(1,D1492)),0), FactorTable!$A$2:$A$301,0), Skills!M22+1)</f>
        <v/>
      </c>
      <c r="F1492">
        <f>IF(Skills!N22=TRUE,(Skills!L22/10)*(E1492/1000),Skills!L22/10)+Skills!O22</f>
        <v/>
      </c>
      <c r="G1492">
        <f>Skills!G22*IF(Skills!H22&gt;0,Skills!I22/Skills!H22,1)</f>
        <v/>
      </c>
      <c r="H1492">
        <f>1-(1-Skills!J22/100)^Skills!K22</f>
        <v/>
      </c>
      <c r="I1492" t="inlineStr">
        <is>
          <t>1</t>
        </is>
      </c>
      <c r="J1492" t="inlineStr"/>
      <c r="K1492" t="inlineStr"/>
      <c r="L1492" t="inlineStr"/>
      <c r="M1492" t="inlineStr"/>
      <c r="N1492" t="inlineStr"/>
      <c r="O1492">
        <f>(1-Summary!$B$11)*T1492+Summary!$B$11*V1492</f>
        <v/>
      </c>
      <c r="P1492">
        <f>IF(B1515=0,0,O1492/B1515)</f>
        <v/>
      </c>
      <c r="Q1492" t="n">
        <v>0</v>
      </c>
      <c r="R1492" t="n">
        <v>0</v>
      </c>
      <c r="S1492">
        <f>IFERROR(O1492/N1492,0)</f>
        <v/>
      </c>
      <c r="T1492" t="n">
        <v>0</v>
      </c>
      <c r="V1492" t="n">
        <v>0</v>
      </c>
    </row>
    <row r="1493">
      <c r="A1493">
        <f>Skills!A23</f>
        <v/>
      </c>
      <c r="B1493">
        <f>Skills!B23</f>
        <v/>
      </c>
      <c r="C1493">
        <f>Inputs!$B$3&gt;=40</f>
        <v/>
      </c>
      <c r="D1493">
        <f>IF(Skills!C23=1,60+Inputs!$B$25+Inputs!$B$29,IF(Skills!C23=2,90+Inputs!$B$26+Inputs!$B$29,IF(Skills!C23=3,120+Inputs!$B$27+Inputs!$B$29,MAX(0,(Inputs!$B$3-100)*3)+Inputs!$B$28+Inputs!$B$29)))</f>
        <v/>
      </c>
      <c r="E1493">
        <f>INDEX(FactorTable!$B$2:$Y$301, MATCH(ROUND(MIN(300,MAX(1,D1493)),0), FactorTable!$A$2:$A$301,0), Skills!M23+1)</f>
        <v/>
      </c>
      <c r="F1493">
        <f>IF(Skills!N23=TRUE,(Skills!L23/10)*(E1493/1000),Skills!L23/10)+Skills!O23</f>
        <v/>
      </c>
      <c r="G1493">
        <f>Skills!G23*IF(Skills!H23&gt;0,Skills!I23/Skills!H23,1)</f>
        <v/>
      </c>
      <c r="H1493">
        <f>1-(1-Skills!J23/100)^Skills!K23</f>
        <v/>
      </c>
      <c r="I1493" t="inlineStr">
        <is>
          <t>1</t>
        </is>
      </c>
      <c r="J1493" t="inlineStr"/>
      <c r="K1493" t="inlineStr"/>
      <c r="L1493" t="inlineStr"/>
      <c r="M1493" t="inlineStr"/>
      <c r="N1493" t="inlineStr"/>
      <c r="O1493">
        <f>(1-Summary!$B$11)*T1493+Summary!$B$11*V1493</f>
        <v/>
      </c>
      <c r="P1493">
        <f>IF(B1515=0,0,O1493/B1515)</f>
        <v/>
      </c>
      <c r="Q1493" t="n">
        <v>0</v>
      </c>
      <c r="R1493" t="n">
        <v>0</v>
      </c>
      <c r="S1493">
        <f>IFERROR(O1493/N1493,0)</f>
        <v/>
      </c>
      <c r="T1493" t="n">
        <v>0</v>
      </c>
      <c r="V1493" t="n">
        <v>0</v>
      </c>
    </row>
    <row r="1494">
      <c r="A1494">
        <f>Skills!A24</f>
        <v/>
      </c>
      <c r="B1494">
        <f>Skills!B24</f>
        <v/>
      </c>
      <c r="C1494">
        <f>Inputs!$B$3&gt;=43</f>
        <v/>
      </c>
      <c r="D1494">
        <f>IF(Skills!C24=1,60+Inputs!$B$25+Inputs!$B$29,IF(Skills!C24=2,90+Inputs!$B$26+Inputs!$B$29,IF(Skills!C24=3,120+Inputs!$B$27+Inputs!$B$29,MAX(0,(Inputs!$B$3-100)*3)+Inputs!$B$28+Inputs!$B$29)))</f>
        <v/>
      </c>
      <c r="E1494">
        <f>INDEX(FactorTable!$B$2:$Y$301, MATCH(ROUND(MIN(300,MAX(1,D1494)),0), FactorTable!$A$2:$A$301,0), Skills!M24+1)</f>
        <v/>
      </c>
      <c r="F1494">
        <f>IF(Skills!N24=TRUE,(Skills!L24/10)*(E1494/1000),Skills!L24/10)+Skills!O24</f>
        <v/>
      </c>
      <c r="G1494">
        <f>Skills!G24*IF(Skills!H24&gt;0,Skills!I24/Skills!H24,1)</f>
        <v/>
      </c>
      <c r="H1494">
        <f>1-(1-Skills!J24/100)^Skills!K24</f>
        <v/>
      </c>
      <c r="I1494" t="inlineStr">
        <is>
          <t>1</t>
        </is>
      </c>
      <c r="J1494" t="inlineStr"/>
      <c r="K1494" t="inlineStr"/>
      <c r="L1494" t="inlineStr"/>
      <c r="M1494" t="inlineStr"/>
      <c r="N1494" t="inlineStr"/>
      <c r="O1494">
        <f>(1-Summary!$B$11)*T1494+Summary!$B$11*V1494</f>
        <v/>
      </c>
      <c r="P1494">
        <f>IF(B1515=0,0,O1494/B1515)</f>
        <v/>
      </c>
      <c r="Q1494" t="n">
        <v>0</v>
      </c>
      <c r="R1494" t="n">
        <v>0</v>
      </c>
      <c r="S1494">
        <f>IFERROR(O1494/N1494,0)</f>
        <v/>
      </c>
      <c r="T1494" t="n">
        <v>0</v>
      </c>
      <c r="V1494" t="n">
        <v>0</v>
      </c>
    </row>
    <row r="1495">
      <c r="A1495">
        <f>Skills!A25</f>
        <v/>
      </c>
      <c r="B1495">
        <f>Skills!B25</f>
        <v/>
      </c>
      <c r="C1495">
        <f>Inputs!$B$3&gt;=50</f>
        <v/>
      </c>
      <c r="D1495">
        <f>IF(Skills!C25=1,60+Inputs!$B$25+Inputs!$B$29,IF(Skills!C25=2,90+Inputs!$B$26+Inputs!$B$29,IF(Skills!C25=3,120+Inputs!$B$27+Inputs!$B$29,MAX(0,(Inputs!$B$3-100)*3)+Inputs!$B$28+Inputs!$B$29)))</f>
        <v/>
      </c>
      <c r="E1495">
        <f>INDEX(FactorTable!$B$2:$Y$301, MATCH(ROUND(MIN(300,MAX(1,D1495)),0), FactorTable!$A$2:$A$301,0), Skills!M25+1)</f>
        <v/>
      </c>
      <c r="F1495">
        <f>IF(Skills!N25=TRUE,(Skills!L25/10)*(E1495/1000),Skills!L25/10)+Skills!O25</f>
        <v/>
      </c>
      <c r="G1495">
        <f>Skills!G25*IF(Skills!H25&gt;0,Skills!I25/Skills!H25,1)</f>
        <v/>
      </c>
      <c r="H1495">
        <f>1-(1-Skills!J25/100)^Skills!K25</f>
        <v/>
      </c>
      <c r="I1495" t="inlineStr">
        <is>
          <t>1</t>
        </is>
      </c>
      <c r="J1495" t="inlineStr"/>
      <c r="K1495" t="inlineStr"/>
      <c r="L1495" t="inlineStr"/>
      <c r="M1495" t="inlineStr"/>
      <c r="N1495" t="inlineStr"/>
      <c r="O1495">
        <f>(1-Summary!$B$11)*T1495+Summary!$B$11*V1495</f>
        <v/>
      </c>
      <c r="P1495">
        <f>IF(B1515=0,0,O1495/B1515)</f>
        <v/>
      </c>
      <c r="Q1495" t="n">
        <v>0</v>
      </c>
      <c r="R1495" t="n">
        <v>0</v>
      </c>
      <c r="S1495">
        <f>IFERROR(O1495/N1495,0)</f>
        <v/>
      </c>
      <c r="T1495" t="n">
        <v>0</v>
      </c>
      <c r="V1495" t="n">
        <v>0</v>
      </c>
    </row>
    <row r="1496">
      <c r="A1496">
        <f>Skills!A26</f>
        <v/>
      </c>
      <c r="B1496">
        <f>Skills!B26</f>
        <v/>
      </c>
      <c r="C1496">
        <f>Inputs!$B$3&gt;=50</f>
        <v/>
      </c>
      <c r="D1496">
        <f>IF(Skills!C26=1,60+Inputs!$B$25+Inputs!$B$29,IF(Skills!C26=2,90+Inputs!$B$26+Inputs!$B$29,IF(Skills!C26=3,120+Inputs!$B$27+Inputs!$B$29,MAX(0,(Inputs!$B$3-100)*3)+Inputs!$B$28+Inputs!$B$29)))</f>
        <v/>
      </c>
      <c r="E1496">
        <f>INDEX(FactorTable!$B$2:$Y$301, MATCH(ROUND(MIN(300,MAX(1,D1496)),0), FactorTable!$A$2:$A$301,0), Skills!M26+1)</f>
        <v/>
      </c>
      <c r="F1496">
        <f>IF(Skills!N26=TRUE,(Skills!L26/10)*(E1496/1000),Skills!L26/10)+Skills!O26</f>
        <v/>
      </c>
      <c r="G1496">
        <f>Skills!G26*IF(Skills!H26&gt;0,Skills!I26/Skills!H26,1)</f>
        <v/>
      </c>
      <c r="H1496">
        <f>1-(1-Skills!J26/100)^Skills!K26</f>
        <v/>
      </c>
      <c r="I1496" t="inlineStr">
        <is>
          <t>1</t>
        </is>
      </c>
      <c r="J1496" t="inlineStr"/>
      <c r="K1496" t="inlineStr"/>
      <c r="L1496" t="inlineStr"/>
      <c r="M1496" t="inlineStr"/>
      <c r="N1496" t="inlineStr"/>
      <c r="O1496">
        <f>(1-Summary!$B$11)*T1496+Summary!$B$11*V1496</f>
        <v/>
      </c>
      <c r="P1496">
        <f>IF(B1515=0,0,O1496/B1515)</f>
        <v/>
      </c>
      <c r="Q1496" t="n">
        <v>0</v>
      </c>
      <c r="R1496" t="n">
        <v>0</v>
      </c>
      <c r="S1496">
        <f>IFERROR(O1496/N1496,0)</f>
        <v/>
      </c>
      <c r="T1496" t="n">
        <v>0</v>
      </c>
      <c r="V1496" t="n">
        <v>0</v>
      </c>
    </row>
    <row r="1497">
      <c r="A1497">
        <f>Skills!A27</f>
        <v/>
      </c>
      <c r="B1497">
        <f>Skills!B27</f>
        <v/>
      </c>
      <c r="C1497">
        <f>Inputs!$B$3&gt;=38</f>
        <v/>
      </c>
      <c r="D1497">
        <f>IF(Skills!C27=1,60+Inputs!$B$25+Inputs!$B$29,IF(Skills!C27=2,90+Inputs!$B$26+Inputs!$B$29,IF(Skills!C27=3,120+Inputs!$B$27+Inputs!$B$29,MAX(0,(Inputs!$B$3-100)*3)+Inputs!$B$28+Inputs!$B$29)))</f>
        <v/>
      </c>
      <c r="E1497">
        <f>INDEX(FactorTable!$B$2:$Y$301, MATCH(ROUND(MIN(300,MAX(1,D1497)),0), FactorTable!$A$2:$A$301,0), Skills!M27+1)</f>
        <v/>
      </c>
      <c r="F1497">
        <f>IF(Skills!N27=TRUE,(Skills!L27/10)*(E1497/1000),Skills!L27/10)+Skills!O27</f>
        <v/>
      </c>
      <c r="G1497">
        <f>Skills!G27*IF(Skills!H27&gt;0,Skills!I27/Skills!H27,1)</f>
        <v/>
      </c>
      <c r="H1497">
        <f>1-(1-Skills!J27/100)^Skills!K27</f>
        <v/>
      </c>
      <c r="I1497" t="inlineStr">
        <is>
          <t>1</t>
        </is>
      </c>
      <c r="J1497" t="inlineStr"/>
      <c r="K1497" t="inlineStr"/>
      <c r="L1497" t="inlineStr"/>
      <c r="M1497" t="inlineStr"/>
      <c r="N1497" t="inlineStr"/>
      <c r="O1497">
        <f>(1-Summary!$B$11)*T1497+Summary!$B$11*V1497</f>
        <v/>
      </c>
      <c r="P1497">
        <f>IF(B1515=0,0,O1497/B1515)</f>
        <v/>
      </c>
      <c r="Q1497" t="n">
        <v>0</v>
      </c>
      <c r="R1497" t="n">
        <v>0</v>
      </c>
      <c r="S1497">
        <f>IFERROR(O1497/N1497,0)</f>
        <v/>
      </c>
      <c r="T1497" t="n">
        <v>0</v>
      </c>
      <c r="V1497" t="n">
        <v>0</v>
      </c>
    </row>
    <row r="1498">
      <c r="A1498">
        <f>Skills!A28</f>
        <v/>
      </c>
      <c r="B1498">
        <f>Skills!B28</f>
        <v/>
      </c>
      <c r="C1498">
        <f>Inputs!$B$3&gt;=120</f>
        <v/>
      </c>
      <c r="D1498">
        <f>IF(Skills!C28=1,60+Inputs!$B$25+Inputs!$B$29,IF(Skills!C28=2,90+Inputs!$B$26+Inputs!$B$29,IF(Skills!C28=3,120+Inputs!$B$27+Inputs!$B$29,MAX(0,(Inputs!$B$3-100)*3)+Inputs!$B$28+Inputs!$B$29)))</f>
        <v/>
      </c>
      <c r="E1498">
        <f>INDEX(FactorTable!$B$2:$Y$301, MATCH(ROUND(MIN(300,MAX(1,D1498)),0), FactorTable!$A$2:$A$301,0), Skills!M28+1)</f>
        <v/>
      </c>
      <c r="F1498">
        <f>IF(Skills!N28=TRUE,(Skills!L28/10)*(E1498/1000),Skills!L28/10)+Skills!O28</f>
        <v/>
      </c>
      <c r="G1498">
        <f>Skills!G28*IF(Skills!H28&gt;0,Skills!I28/Skills!H28,1)</f>
        <v/>
      </c>
      <c r="H1498">
        <f>1-(1-Skills!J28/100)^Skills!K28</f>
        <v/>
      </c>
      <c r="I1498" t="inlineStr">
        <is>
          <t>1</t>
        </is>
      </c>
      <c r="J1498" t="inlineStr"/>
      <c r="K1498" t="inlineStr"/>
      <c r="L1498" t="inlineStr"/>
      <c r="M1498" t="inlineStr"/>
      <c r="N1498" t="inlineStr"/>
      <c r="O1498">
        <f>(1-Summary!$B$11)*T1498+Summary!$B$11*V1498</f>
        <v/>
      </c>
      <c r="P1498">
        <f>IF(B1515=0,0,O1498/B1515)</f>
        <v/>
      </c>
      <c r="Q1498" t="n">
        <v>0</v>
      </c>
      <c r="R1498" t="n">
        <v>0</v>
      </c>
      <c r="S1498">
        <f>IFERROR(O1498/N1498,0)</f>
        <v/>
      </c>
      <c r="T1498" t="n">
        <v>0</v>
      </c>
      <c r="V1498" t="n">
        <v>0</v>
      </c>
    </row>
    <row r="1499">
      <c r="A1499">
        <f>Skills!A29</f>
        <v/>
      </c>
      <c r="B1499">
        <f>Skills!B29</f>
        <v/>
      </c>
      <c r="C1499">
        <f>Inputs!$B$3&gt;=120</f>
        <v/>
      </c>
      <c r="D1499">
        <f>IF(Skills!C29=1,60+Inputs!$B$25+Inputs!$B$29,IF(Skills!C29=2,90+Inputs!$B$26+Inputs!$B$29,IF(Skills!C29=3,120+Inputs!$B$27+Inputs!$B$29,MAX(0,(Inputs!$B$3-100)*3)+Inputs!$B$28+Inputs!$B$29)))</f>
        <v/>
      </c>
      <c r="E1499">
        <f>INDEX(FactorTable!$B$2:$Y$301, MATCH(ROUND(MIN(300,MAX(1,D1499)),0), FactorTable!$A$2:$A$301,0), Skills!M29+1)</f>
        <v/>
      </c>
      <c r="F1499">
        <f>IF(Skills!N29=TRUE,(Skills!L29/10)*(E1499/1000),Skills!L29/10)+Skills!O29</f>
        <v/>
      </c>
      <c r="G1499">
        <f>Skills!G29*IF(Skills!H29&gt;0,Skills!I29/Skills!H29,1)</f>
        <v/>
      </c>
      <c r="H1499">
        <f>1-(1-Skills!J29/100)^Skills!K29</f>
        <v/>
      </c>
      <c r="I1499" t="inlineStr">
        <is>
          <t>1</t>
        </is>
      </c>
      <c r="J1499" t="inlineStr"/>
      <c r="K1499" t="inlineStr"/>
      <c r="L1499" t="inlineStr"/>
      <c r="M1499" t="inlineStr"/>
      <c r="N1499" t="inlineStr"/>
      <c r="O1499">
        <f>(1-Summary!$B$11)*T1499+Summary!$B$11*V1499</f>
        <v/>
      </c>
      <c r="P1499">
        <f>IF(B1515=0,0,O1499/B1515)</f>
        <v/>
      </c>
      <c r="Q1499" t="n">
        <v>0</v>
      </c>
      <c r="R1499" t="n">
        <v>0</v>
      </c>
      <c r="S1499">
        <f>IFERROR(O1499/N1499,0)</f>
        <v/>
      </c>
      <c r="T1499" t="n">
        <v>0</v>
      </c>
      <c r="V1499" t="n">
        <v>0</v>
      </c>
    </row>
    <row r="1500">
      <c r="A1500">
        <f>Skills!A30</f>
        <v/>
      </c>
      <c r="B1500">
        <f>Skills!B30</f>
        <v/>
      </c>
      <c r="C1500">
        <f>Inputs!$B$3&gt;=125</f>
        <v/>
      </c>
      <c r="D1500">
        <f>IF(Skills!C30=1,60+Inputs!$B$25+Inputs!$B$29,IF(Skills!C30=2,90+Inputs!$B$26+Inputs!$B$29,IF(Skills!C30=3,120+Inputs!$B$27+Inputs!$B$29,MAX(0,(Inputs!$B$3-100)*3)+Inputs!$B$28+Inputs!$B$29)))</f>
        <v/>
      </c>
      <c r="E1500">
        <f>INDEX(FactorTable!$B$2:$Y$301, MATCH(ROUND(MIN(300,MAX(1,D1500)),0), FactorTable!$A$2:$A$301,0), Skills!M30+1)</f>
        <v/>
      </c>
      <c r="F1500">
        <f>IF(Skills!N30=TRUE,(Skills!L30/10)*(E1500/1000),Skills!L30/10)+Skills!O30</f>
        <v/>
      </c>
      <c r="G1500">
        <f>Skills!G30*IF(Skills!H30&gt;0,Skills!I30/Skills!H30,1)</f>
        <v/>
      </c>
      <c r="H1500">
        <f>1-(1-Skills!J30/100)^Skills!K30</f>
        <v/>
      </c>
      <c r="I1500" t="inlineStr">
        <is>
          <t>1</t>
        </is>
      </c>
      <c r="J1500" t="inlineStr"/>
      <c r="K1500" t="inlineStr"/>
      <c r="L1500" t="inlineStr"/>
      <c r="M1500" t="inlineStr"/>
      <c r="N1500" t="inlineStr"/>
      <c r="O1500">
        <f>(1-Summary!$B$11)*T1500+Summary!$B$11*V1500</f>
        <v/>
      </c>
      <c r="P1500">
        <f>IF(B1515=0,0,O1500/B1515)</f>
        <v/>
      </c>
      <c r="Q1500" t="n">
        <v>0</v>
      </c>
      <c r="R1500" t="n">
        <v>0</v>
      </c>
      <c r="S1500">
        <f>IFERROR(O1500/N1500,0)</f>
        <v/>
      </c>
      <c r="T1500" t="n">
        <v>0</v>
      </c>
      <c r="V1500" t="n">
        <v>0</v>
      </c>
    </row>
    <row r="1502">
      <c r="A1502" t="inlineStr">
        <is>
          <t>Average Buff Multiplier</t>
        </is>
      </c>
      <c r="B1502">
        <f>(1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f>
        <v/>
      </c>
    </row>
    <row r="1503">
      <c r="A1503" t="inlineStr">
        <is>
          <t>Global Crit Rate Bonus %</t>
        </is>
      </c>
      <c r="B1503">
        <f>((C1490=TRUE)*F1490*IF(AND(Inputs!$B$39&lt;&gt;"pvp",Inputs!$B$44&gt;0),(((R1490-1)*(Skills!Y20*(1+Inputs!$B$34/100))+MIN((Skills!Y20*(1+Inputs!$B$34/100)),MAX(0,Inputs!$B$44-((R1490-1)*Skills!D20))))/Inputs!$B$44),IF(Inputs!$B$39="pvp",MIN((Skills!Y20*(1+Inputs!$B$34/100)),15)/15,(Skills!Y20*(1+Inputs!$B$34/100))/Skills!D20)))</f>
        <v/>
      </c>
    </row>
    <row r="1504">
      <c r="A1504" t="inlineStr">
        <is>
          <t>Global Monster Damage-Taken Bonus %</t>
        </is>
      </c>
      <c r="B1504">
        <f>IF(Inputs!$B$3&gt;=82,15,0)</f>
        <v/>
      </c>
    </row>
    <row r="1505">
      <c r="A1505" t="inlineStr">
        <is>
          <t>Shadow Partner Average Multiplier</t>
        </is>
      </c>
      <c r="B1505">
        <f>1+((C1477=TRUE)*F1477*(1+3.3333333333333335*IF(C1488=TRUE,F1488,0)/100)*I1477*Skills!J7/100)/100</f>
        <v/>
      </c>
    </row>
    <row r="1506">
      <c r="A1506" t="inlineStr">
        <is>
          <t>Attack Speed Buff Bonus %</t>
        </is>
      </c>
      <c r="B1506">
        <f>((C1489=TRUE)*F1489*IF(AND(Inputs!$B$39&lt;&gt;"pvp",Inputs!$B$44&gt;0),(((R1489-1)*(Skills!Y19*(1+Inputs!$B$34/100))+MIN((Skills!Y19*(1+Inputs!$B$34/100)),MAX(0,Inputs!$B$44-((R1489-1)*Skills!D19))))/Inputs!$B$44),IF(Inputs!$B$39="pvp",MIN((Skills!Y19*(1+Inputs!$B$34/100)),15)/15,(Skills!Y19*(1+Inputs!$B$34/100))/Skills!D19)))+((C1473=TRUE)*F1473*3)</f>
        <v/>
      </c>
    </row>
    <row r="1507">
      <c r="A1507" t="inlineStr">
        <is>
          <t>Actions Per Second</t>
        </is>
      </c>
      <c r="B1507">
        <f>1+MIN(150,150*(1-(1-(Inputs!$B$11+((C1492=TRUE)*(F1492-Calc!F22)))/150)*(1-B1506/150)))/100</f>
        <v/>
      </c>
    </row>
    <row r="1508">
      <c r="A1508" t="inlineStr">
        <is>
          <t>Skill + Buff Cast Rate</t>
        </is>
      </c>
      <c r="B1508">
        <f>IF(AND(Inputs!$B$39&lt;&gt;"pvp",Inputs!$B$44&gt;0),SUMPRODUCT((Skills!E2:E30=TRUE)*(C1472:C1500=TRUE)*R1472:R1500*Skills!F2:F30)/Inputs!$B$44,SUMPRODUCT((Skills!E2:E30=TRUE)*(C1472:C1500=TRUE)*Q1472:Q1500*Skills!F2:F30))</f>
        <v/>
      </c>
    </row>
    <row r="1509">
      <c r="A1509" t="inlineStr">
        <is>
          <t>Cruel Stab Casts Per Second</t>
        </is>
      </c>
      <c r="B1509">
        <f>MAX(0,B1507-B1508)</f>
        <v/>
      </c>
    </row>
    <row r="1510">
      <c r="A1510" t="inlineStr">
        <is>
          <t>Global Critical Damage Bonus % (Smokescreen Mastery Lv.113)</t>
        </is>
      </c>
      <c r="B1510">
        <f>IF(Inputs!$B$3&gt;=113,30,0)*IF(AND(Inputs!$B$39&lt;&gt;"pvp",Inputs!$B$44&gt;0),(((R1485-1)*(Skills!Y15*(1+Inputs!$B$34/100))+MIN((Skills!Y15*(1+Inputs!$B$34/100)),MAX(0,Inputs!$B$44-((R1485-1)*Skills!D15))))/Inputs!$B$44),IF(Inputs!$B$39="pvp",MIN((Skills!Y15*(1+Inputs!$B$34/100)),15)/15,(Skills!Y15*(1+Inputs!$B$34/100))/Skills!D15))</f>
        <v/>
      </c>
    </row>
    <row r="1511">
      <c r="A1511" t="inlineStr">
        <is>
          <t>Meso Explosion average stack count</t>
        </is>
      </c>
      <c r="B1511">
        <f>MIN(10,0.5*B1507*Skills!D4)</f>
        <v/>
      </c>
    </row>
    <row r="1512">
      <c r="A1512" t="inlineStr">
        <is>
          <t>Blood Money average stack count</t>
        </is>
      </c>
      <c r="B1512">
        <f>MIN(5,0.25*B1507*Skills!D4)</f>
        <v/>
      </c>
    </row>
    <row r="1513">
      <c r="A1513" t="inlineStr">
        <is>
          <t>Assassinate Murderous Intent Multiplier</t>
        </is>
      </c>
      <c r="B1513">
        <f>1+IFERROR(MIN(1,Q1484*2/Q1481),0)</f>
        <v/>
      </c>
    </row>
    <row r="1514">
      <c r="A1514" t="inlineStr">
        <is>
          <t>Buff-Casting Startup Delay (s, fixed-duration only)</t>
        </is>
      </c>
      <c r="B1514">
        <f>IF(AND(Inputs!$B$39&lt;&gt;"pvp",Inputs!$B$44&gt;0),SUMPRODUCT((Skills!Y2:Y30&gt;0)*(Skills!E2:E30=TRUE)*(C1472:C1500=TRUE))/B1507,0)</f>
        <v/>
      </c>
    </row>
    <row r="1515">
      <c r="A1515" s="6" t="inlineStr">
        <is>
          <t>TOTAL DPS</t>
        </is>
      </c>
      <c r="B1515" s="6">
        <f>SUM(O1472:O1500)</f>
        <v/>
      </c>
    </row>
    <row r="1516">
      <c r="A1516" t="inlineStr">
        <is>
          <t>Boss-Only Total DPS (this block's swept value)</t>
        </is>
      </c>
      <c r="B1516">
        <f>SUM(T1472:T1500)</f>
        <v/>
      </c>
    </row>
    <row r="1517">
      <c r="A1517" t="inlineStr">
        <is>
          <t>Normal-Only Total DPS (this block's swept value)</t>
        </is>
      </c>
      <c r="B1517">
        <f>SUM(V1472:V1500)</f>
        <v/>
      </c>
    </row>
    <row r="1520">
      <c r="A1520" s="6" t="inlineStr">
        <is>
          <t>Stat: Shamaness Marble (Equip)</t>
        </is>
      </c>
    </row>
    <row r="1521">
      <c r="A1521" s="5" t="inlineStr">
        <is>
          <t>Key</t>
        </is>
      </c>
      <c r="B1521" s="5" t="inlineStr">
        <is>
          <t>Name</t>
        </is>
      </c>
      <c r="C1521" s="5" t="inlineStr">
        <is>
          <t>Unlocked</t>
        </is>
      </c>
      <c r="D1521" s="5" t="inlineStr">
        <is>
          <t>InputLevel</t>
        </is>
      </c>
      <c r="E1521" s="5" t="inlineStr">
        <is>
          <t>Factor</t>
        </is>
      </c>
      <c r="F1521" s="5" t="inlineStr">
        <is>
          <t>CoefficientPercent</t>
        </is>
      </c>
      <c r="G1521" s="5" t="inlineStr">
        <is>
          <t>EffectiveHits</t>
        </is>
      </c>
      <c r="H1521" s="5" t="inlineStr">
        <is>
          <t>ProcProbability</t>
        </is>
      </c>
      <c r="I1521" s="5" t="inlineStr">
        <is>
          <t>MapleHeroMultiplier</t>
        </is>
      </c>
      <c r="J1521" s="5" t="inlineStr">
        <is>
          <t>BaseDamage</t>
        </is>
      </c>
      <c r="K1521" s="5" t="inlineStr">
        <is>
          <t>BaseHitDamage</t>
        </is>
      </c>
      <c r="L1521" s="5" t="inlineStr">
        <is>
          <t>NonCritAvg</t>
        </is>
      </c>
      <c r="M1521" s="5" t="inlineStr">
        <is>
          <t>CritAvg</t>
        </is>
      </c>
      <c r="N1521" s="5" t="inlineStr">
        <is>
          <t>ExpectedDamage(perHit)</t>
        </is>
      </c>
      <c r="O1521" s="5" t="inlineStr">
        <is>
          <t>DPS</t>
        </is>
      </c>
      <c r="P1521" s="5" t="inlineStr">
        <is>
          <t>% of Total</t>
        </is>
      </c>
      <c r="Q1521" s="5" t="inlineStr">
        <is>
          <t>InvCooldown</t>
        </is>
      </c>
      <c r="R1521" s="5" t="inlineStr">
        <is>
          <t>CastsInFight</t>
        </is>
      </c>
      <c r="S1521" s="5" t="inlineStr">
        <is>
          <t>HitRate(perSec)</t>
        </is>
      </c>
      <c r="U1521" t="inlineStr">
        <is>
          <t>helpers</t>
        </is>
      </c>
    </row>
    <row r="1522">
      <c r="A1522">
        <f>Skills!A2</f>
        <v/>
      </c>
      <c r="B1522">
        <f>Skills!B2</f>
        <v/>
      </c>
      <c r="C1522">
        <f>Inputs!$B$3&gt;=100</f>
        <v/>
      </c>
      <c r="D1522" t="inlineStr"/>
      <c r="E1522" t="inlineStr"/>
      <c r="F1522">
        <f>U1524+Skills!O2</f>
        <v/>
      </c>
      <c r="G1522">
        <f>Skills!G2*IF(Skills!H2&gt;0,Skills!I2/Skills!H2,1)</f>
        <v/>
      </c>
      <c r="H1522">
        <f>1-(1-Skills!J2/100)^Skills!K2</f>
        <v/>
      </c>
      <c r="I1522" t="inlineStr">
        <is>
          <t>1</t>
        </is>
      </c>
      <c r="J1522">
        <f>((Inputs!$B$6*(1+Inputs!$B$7/100))+(((Inputs!$B$12*(1+Inputs!$B$13/100))-(Inputs!$B$12*(1+Inputs!$B$13/100)))+0.25*(Inputs!$B$14-Inputs!$B$14))*(1+Inputs!$B$7/100))*(F1522/100)</f>
        <v/>
      </c>
      <c r="K1522">
        <f>J1522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1522)</f>
        <v/>
      </c>
      <c r="L1522">
        <f>K1522*(MIN(Inputs!$B$22+((C1544=TRUE)*(F1544-Calc!F24)),(Inputs!$B$23+((C1549=TRUE)*(F1549-Calc!F29))+IF(ArtifactsInput!$M$15,CHOOSE(ArtifactsInput!$N$15+1,25,30,35,40,45,50)/100*(Inputs!$B$11-Inputs!$B$11),0)))/100+(Inputs!$B$23+((C1549=TRUE)*(F1549-Calc!F29))+IF(ArtifactsInput!$M$15,CHOOSE(ArtifactsInput!$N$15+1,25,30,35,40,45,50)/100*(Inputs!$B$11-Inputs!$B$11),0))/100)/2</f>
        <v/>
      </c>
      <c r="M1522">
        <f>L1522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2">
        <f>L1522*(1-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1522*(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2">
        <f>(1-Summary!$B$11)*T1522+Summary!$B$11*V1522</f>
        <v/>
      </c>
      <c r="P1522">
        <f>IF(B1565=0,0,O1522/B1565)</f>
        <v/>
      </c>
      <c r="Q1522" t="n">
        <v>0</v>
      </c>
      <c r="R1522" t="n">
        <v>0</v>
      </c>
      <c r="S1522">
        <f>IFERROR(O1522/N1522,0)</f>
        <v/>
      </c>
      <c r="T1522">
        <f>IF(C1522,(Skills!G2*N1522*B1559)*IF(Inputs!$B$39="pvp",1,1+(Inputs!$B$20+0+Skills!P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1522*(1-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1522*(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1522*(1-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1522*(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2">
        <f>MAX(0,(Inputs!$B$3-100)*3)+Inputs!$B$28+Inputs!$B$29</f>
        <v/>
      </c>
      <c r="V1522">
        <f>IF(C1522,(Skills!G2*N1522*B1559)*IF(Inputs!$B$39="pvp",1,(1+(Inputs!$B$21+Skills!Q2+B1554+(IF(ArtifactsInput!$M$33,CHOOSE(ArtifactsInput!$N$33+1,30,36,42,48,54,60),0))+(IF(AND(ArtifactsInput!$M$35,Inputs!$B$4&lt;&gt;"Chapter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3">
      <c r="A1523">
        <f>Skills!A3</f>
        <v/>
      </c>
      <c r="B1523">
        <f>Skills!B3</f>
        <v/>
      </c>
      <c r="C1523">
        <f>Inputs!$B$3&gt;=35</f>
        <v/>
      </c>
      <c r="D1523">
        <f>IF(Skills!C3=1,60+Inputs!$B$25+Inputs!$B$29,IF(Skills!C3=2,90+Inputs!$B$26+Inputs!$B$29,IF(Skills!C3=3,120+Inputs!$B$27+Inputs!$B$29,MAX(0,(Inputs!$B$3-100)*3)+Inputs!$B$28+Inputs!$B$29)))</f>
        <v/>
      </c>
      <c r="E1523">
        <f>INDEX(FactorTable!$B$2:$Y$301, MATCH(ROUND(MIN(300,MAX(1,D1523)),0), FactorTable!$A$2:$A$301,0), Skills!M3+1)</f>
        <v/>
      </c>
      <c r="F1523">
        <f>IF(Skills!N3=TRUE,(Skills!L3/10)*(E1523/1000),Skills!L3/10)+Skills!O3</f>
        <v/>
      </c>
      <c r="G1523">
        <f>Skills!G3*IF(Skills!H3&gt;0,Skills!I3/Skills!H3,1)</f>
        <v/>
      </c>
      <c r="H1523">
        <f>1-(1-Skills!J3/100)^Skills!K3</f>
        <v/>
      </c>
      <c r="I1523" t="inlineStr">
        <is>
          <t>1</t>
        </is>
      </c>
      <c r="J1523" t="inlineStr"/>
      <c r="K1523" t="inlineStr"/>
      <c r="L1523" t="inlineStr"/>
      <c r="M1523" t="inlineStr"/>
      <c r="N1523" t="inlineStr"/>
      <c r="O1523">
        <f>(1-Summary!$B$11)*T1523+Summary!$B$11*V1523</f>
        <v/>
      </c>
      <c r="P1523">
        <f>IF(B1565=0,0,O1523/B1565)</f>
        <v/>
      </c>
      <c r="Q1523" t="n">
        <v>0</v>
      </c>
      <c r="R1523" t="n">
        <v>0</v>
      </c>
      <c r="S1523">
        <f>IFERROR(O1523/N1523,0)</f>
        <v/>
      </c>
      <c r="T1523" t="n">
        <v>0</v>
      </c>
      <c r="U1523">
        <f>INDEX(FactorTable!$B$2:$Y$301, MATCH(ROUND(MIN(300,MAX(1,U1522)),0), FactorTable!$A$2:$A$301,0), 22)</f>
        <v/>
      </c>
      <c r="V1523" t="n">
        <v>0</v>
      </c>
    </row>
    <row r="1524">
      <c r="A1524">
        <f>Skills!A4</f>
        <v/>
      </c>
      <c r="B1524">
        <f>Skills!B4</f>
        <v/>
      </c>
      <c r="C1524">
        <f>Inputs!$B$3&gt;=66</f>
        <v/>
      </c>
      <c r="D1524">
        <f>IF(Skills!C4=1,60+Inputs!$B$25+Inputs!$B$29,IF(Skills!C4=2,90+Inputs!$B$26+Inputs!$B$29,IF(Skills!C4=3,120+Inputs!$B$27+Inputs!$B$29,MAX(0,(Inputs!$B$3-100)*3)+Inputs!$B$28+Inputs!$B$29)))</f>
        <v/>
      </c>
      <c r="E1524">
        <f>INDEX(FactorTable!$B$2:$Y$301, MATCH(ROUND(MIN(300,MAX(1,D1524)),0), FactorTable!$A$2:$A$301,0), Skills!M4+1)</f>
        <v/>
      </c>
      <c r="F1524">
        <f>IF(Skills!N4=TRUE,(Skills!L4/10)*(E1524/1000),Skills!L4/10)+Skills!O4</f>
        <v/>
      </c>
      <c r="G1524">
        <f>Skills!G4*IF(Skills!H4&gt;0,Skills!I4/Skills!H4,1)</f>
        <v/>
      </c>
      <c r="H1524">
        <f>1-(1-Skills!J4/100)^Skills!K4</f>
        <v/>
      </c>
      <c r="I1524" t="inlineStr">
        <is>
          <t>1</t>
        </is>
      </c>
      <c r="J1524">
        <f>((Inputs!$B$6*(1+Inputs!$B$7/100))+(((Inputs!$B$12*(1+Inputs!$B$13/100))-(Inputs!$B$12*(1+Inputs!$B$13/100)))+0.25*(Inputs!$B$14-Inputs!$B$14))*(1+Inputs!$B$7/100))*(F1524/100)</f>
        <v/>
      </c>
      <c r="K1524">
        <f>J1524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1524)</f>
        <v/>
      </c>
      <c r="L1524">
        <f>K1524*(MIN(Inputs!$B$22+((C1544=TRUE)*(F1544-Calc!F24)),(Inputs!$B$23+((C1549=TRUE)*(F1549-Calc!F29))+IF(ArtifactsInput!$M$15,CHOOSE(ArtifactsInput!$N$15+1,25,30,35,40,45,50)/100*(Inputs!$B$11-Inputs!$B$11),0)))/100+(Inputs!$B$23+((C1549=TRUE)*(F1549-Calc!F29))+IF(ArtifactsInput!$M$15,CHOOSE(ArtifactsInput!$N$15+1,25,30,35,40,45,50)/100*(Inputs!$B$11-Inputs!$B$11),0))/100)/2</f>
        <v/>
      </c>
      <c r="M1524">
        <f>L1524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4">
        <f>L1524*(1-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1524*(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4">
        <f>(1-Summary!$B$11)*T1524+Summary!$B$11*V1524</f>
        <v/>
      </c>
      <c r="P1524">
        <f>IF(B1565=0,0,O1524/B1565)</f>
        <v/>
      </c>
      <c r="Q1524">
        <f>IFERROR(1/IF(Inputs!$B$39="pvp",15,MAX(0.1,Skills!D4-IF(Skills!E4=TRUE,Inputs!$B$32,0))),0)</f>
        <v/>
      </c>
      <c r="R1524">
        <f>IF(AND(Inputs!$B$39&lt;&gt;"pvp",Inputs!$B$44&gt;0),IF(MAX(0,Inputs!$B$44-B1564)&lt;=0,0,(INT(MAX(0,Inputs!$B$44-B1564)/IF(Inputs!$B$39="pvp",15,MAX(0.1,Skills!D4-IF(Skills!E4=TRUE,Inputs!$B$32,0))))+1)),0)</f>
        <v/>
      </c>
      <c r="S1524">
        <f>IFERROR(O1524/N1524,0)</f>
        <v/>
      </c>
      <c r="T1524">
        <f>IF(C1524,(H1524*N1524*IF(AND(Inputs!$B$39&lt;&gt;"pvp",Inputs!$B$44&gt;0),((Skills!G4*((R1524-1)*IF(Skills!H4&gt;0,Skills!I4/Skills!H4,1)+IF(Skills!H4&gt;0,MIN(Skills!I4,MAX(0,MAX(0,Inputs!$B$44-B1564)-((R1524-1)*IF(Inputs!$B$39="pvp",15,MAX(0.1,Skills!D4-IF(Skills!E4=TRUE,Inputs!$B$32,0))))))/Skills!H4,1)))/Inputs!$B$44),G1524*Q1524))*IF(Inputs!$B$39="pvp",1,1+(Inputs!$B$20+0+Skills!P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1524*(1-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1524*(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1524*(1-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1524*(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4">
        <f>290*U1523/1000</f>
        <v/>
      </c>
      <c r="V1524">
        <f>IF(C1524,(H1524*N1524*IF(AND(Inputs!$B$39&lt;&gt;"pvp",Inputs!$B$44&gt;0),((Skills!G4*((R1524-1)*IF(Skills!H4&gt;0,Skills!I4/Skills!H4,1)+IF(Skills!H4&gt;0,MIN(Skills!I4,MAX(0,MAX(0,Inputs!$B$44-B1564)-((R1524-1)*IF(Inputs!$B$39="pvp",15,MAX(0.1,Skills!D4-IF(Skills!E4=TRUE,Inputs!$B$32,0))))))/Skills!H4,1)))/Inputs!$B$44),G1524*Q1524))*IF(Inputs!$B$39="pvp",1,(1+(Inputs!$B$21+Skills!Q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(10,0.5*B1557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5">
      <c r="A1525">
        <f>Skills!A5</f>
        <v/>
      </c>
      <c r="B1525">
        <f>Skills!B5</f>
        <v/>
      </c>
      <c r="C1525">
        <f>Inputs!$B$3&gt;=63</f>
        <v/>
      </c>
      <c r="D1525">
        <f>IF(Skills!C5=1,60+Inputs!$B$25+Inputs!$B$29,IF(Skills!C5=2,90+Inputs!$B$26+Inputs!$B$29,IF(Skills!C5=3,120+Inputs!$B$27+Inputs!$B$29,MAX(0,(Inputs!$B$3-100)*3)+Inputs!$B$28+Inputs!$B$29)))</f>
        <v/>
      </c>
      <c r="E1525">
        <f>INDEX(FactorTable!$B$2:$Y$301, MATCH(ROUND(MIN(300,MAX(1,D1525)),0), FactorTable!$A$2:$A$301,0), Skills!M5+1)</f>
        <v/>
      </c>
      <c r="F1525">
        <f>IF(Skills!N5=TRUE,(Skills!L5/10)*(E1525/1000),Skills!L5/10)+Skills!O5</f>
        <v/>
      </c>
      <c r="G1525">
        <f>Skills!G5*IF(Skills!H5&gt;0,Skills!I5/Skills!H5,1)</f>
        <v/>
      </c>
      <c r="H1525">
        <f>1-(1-Skills!J5/100)^Skills!K5</f>
        <v/>
      </c>
      <c r="I1525" t="inlineStr">
        <is>
          <t>1</t>
        </is>
      </c>
      <c r="J1525">
        <f>((Inputs!$B$6*(1+Inputs!$B$7/100))+(((Inputs!$B$12*(1+Inputs!$B$13/100))-(Inputs!$B$12*(1+Inputs!$B$13/100)))+0.25*(Inputs!$B$14-Inputs!$B$14))*(1+Inputs!$B$7/100))*(F1525/100)</f>
        <v/>
      </c>
      <c r="K1525">
        <f>J1525*(1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1538=TRUE,F1538,0)/100)*(1+(IF(Skills!A5="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1525)</f>
        <v/>
      </c>
      <c r="L1525">
        <f>K1525*(MIN(Inputs!$B$22+((C1544=TRUE)*(F1544-Calc!F24)),(Inputs!$B$23+((C1549=TRUE)*(F1549-Calc!F29))+IF(ArtifactsInput!$M$15,CHOOSE(ArtifactsInput!$N$15+1,25,30,35,40,45,50)/100*(Inputs!$B$11-Inputs!$B$11),0)))/100+(Inputs!$B$23+((C1549=TRUE)*(F1549-Calc!F29))+IF(ArtifactsInput!$M$15,CHOOSE(ArtifactsInput!$N$15+1,25,30,35,40,45,50)/100*(Inputs!$B$11-Inputs!$B$11),0))/100)/2</f>
        <v/>
      </c>
      <c r="M1525">
        <f>L1525*(1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5">
        <f>L1525*(1-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1525*(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5">
        <f>(1-Summary!$B$11)*T1525+Summary!$B$11*V1525</f>
        <v/>
      </c>
      <c r="P1525">
        <f>IF(B1565=0,0,O1525/B1565)</f>
        <v/>
      </c>
      <c r="Q1525">
        <f>IFERROR(1/IF(Inputs!$B$39="pvp",15,MAX(0.1,Skills!D5-IF(Skills!E5=TRUE,Inputs!$B$32,0))),0)</f>
        <v/>
      </c>
      <c r="R1525">
        <f>IF(AND(Inputs!$B$39&lt;&gt;"pvp",Inputs!$B$44&gt;0),IF(MAX(0,Inputs!$B$44-B1564)&lt;=0,0,(INT(MAX(0,Inputs!$B$44-B1564)/IF(Inputs!$B$39="pvp",15,MAX(0.1,Skills!D5-IF(Skills!E5=TRUE,Inputs!$B$32,0))))+1)),0)</f>
        <v/>
      </c>
      <c r="S1525">
        <f>IFERROR(O1525/N1525,0)</f>
        <v/>
      </c>
      <c r="T1525">
        <f>IF(C1525,(H1525*N1525*IF(AND(Inputs!$B$39&lt;&gt;"pvp",Inputs!$B$44&gt;0),((Skills!G5*((R1525-1)*IF(Skills!H5&gt;0,Skills!I5/Skills!H5,1)+IF(Skills!H5&gt;0,MIN(Skills!I5,MAX(0,MAX(0,Inputs!$B$44-B1564)-((R1525-1)*IF(Inputs!$B$39="pvp",15,MAX(0.1,Skills!D5-IF(Skills!E5=TRUE,Inputs!$B$32,0))))))/Skills!H5,1)))/Inputs!$B$44),G1525*Q1525))*IF(Inputs!$B$39="pvp",1,1+(Inputs!$B$20+0+Skills!P5+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1525*(1-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1525*(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1525*(1-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1525*(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5">
        <f>IF(C1525,(H1525*N1525*IF(AND(Inputs!$B$39&lt;&gt;"pvp",Inputs!$B$44&gt;0),((Skills!G5*((R1525-1)*IF(Skills!H5&gt;0,Skills!I5/Skills!H5,1)+IF(Skills!H5&gt;0,MIN(Skills!I5,MAX(0,MAX(0,Inputs!$B$44-B1564)-((R1525-1)*IF(Inputs!$B$39="pvp",15,MAX(0.1,Skills!D5-IF(Skills!E5=TRUE,Inputs!$B$32,0))))))/Skills!H5,1)))/Inputs!$B$44),G1525*Q1525))*IF(Inputs!$B$39="pvp",1,(1+(Inputs!$B$21+Skills!Q5+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6">
      <c r="A1526">
        <f>Skills!A6</f>
        <v/>
      </c>
      <c r="B1526">
        <f>Skills!B6</f>
        <v/>
      </c>
      <c r="C1526">
        <f>Inputs!$B$3&gt;=69</f>
        <v/>
      </c>
      <c r="D1526">
        <f>IF(Skills!C6=1,60+Inputs!$B$25+Inputs!$B$29,IF(Skills!C6=2,90+Inputs!$B$26+Inputs!$B$29,IF(Skills!C6=3,120+Inputs!$B$27+Inputs!$B$29,MAX(0,(Inputs!$B$3-100)*3)+Inputs!$B$28+Inputs!$B$29)))</f>
        <v/>
      </c>
      <c r="E1526">
        <f>INDEX(FactorTable!$B$2:$Y$301, MATCH(ROUND(MIN(300,MAX(1,D1526)),0), FactorTable!$A$2:$A$301,0), Skills!M6+1)</f>
        <v/>
      </c>
      <c r="F1526">
        <f>IF(Skills!N6=TRUE,(Skills!L6/10)*(E1526/1000),Skills!L6/10)+Skills!O6</f>
        <v/>
      </c>
      <c r="G1526">
        <f>Skills!G6*IF(Skills!H6&gt;0,Skills!I6/Skills!H6,1)</f>
        <v/>
      </c>
      <c r="H1526">
        <f>1-(1-Skills!J6/100)^Skills!K6</f>
        <v/>
      </c>
      <c r="I1526" t="inlineStr">
        <is>
          <t>1</t>
        </is>
      </c>
      <c r="J1526">
        <f>((Inputs!$B$6*(1+Inputs!$B$7/100))+(((Inputs!$B$12*(1+Inputs!$B$13/100))-(Inputs!$B$12*(1+Inputs!$B$13/100)))+0.25*(Inputs!$B$14-Inputs!$B$14))*(1+Inputs!$B$7/100))*(F1526/100)</f>
        <v/>
      </c>
      <c r="K1526">
        <f>J1526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6="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1526)</f>
        <v/>
      </c>
      <c r="L1526">
        <f>K1526*(MIN(Inputs!$B$22+((C1544=TRUE)*(F1544-Calc!F24)),(Inputs!$B$23+((C1549=TRUE)*(F1549-Calc!F29))+IF(ArtifactsInput!$M$15,CHOOSE(ArtifactsInput!$N$15+1,25,30,35,40,45,50)/100*(Inputs!$B$11-Inputs!$B$11),0)))/100+(Inputs!$B$23+((C1549=TRUE)*(F1549-Calc!F29))+IF(ArtifactsInput!$M$15,CHOOSE(ArtifactsInput!$N$15+1,25,30,35,40,45,50)/100*(Inputs!$B$11-Inputs!$B$11),0))/100)/2</f>
        <v/>
      </c>
      <c r="M1526">
        <f>L1526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6">
        <f>L1526*(1-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1526*(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6">
        <f>(1-Summary!$B$11)*T1526+Summary!$B$11*V1526</f>
        <v/>
      </c>
      <c r="P1526">
        <f>IF(B1565=0,0,O1526/B1565)</f>
        <v/>
      </c>
      <c r="Q1526">
        <f>IFERROR(1/IF(Inputs!$B$39="pvp",15,MAX(0.1,Skills!D6-IF(Skills!E6=TRUE,Inputs!$B$32,0))),0)</f>
        <v/>
      </c>
      <c r="R1526">
        <f>IF(AND(Inputs!$B$39&lt;&gt;"pvp",Inputs!$B$44&gt;0),IF(MAX(0,Inputs!$B$44-B1564)&lt;=0,0,(INT(MAX(0,Inputs!$B$44-B1564)/IF(Inputs!$B$39="pvp",15,MAX(0.1,Skills!D6-IF(Skills!E6=TRUE,Inputs!$B$32,0))))+1)),0)</f>
        <v/>
      </c>
      <c r="S1526">
        <f>IFERROR(O1526/N1526,0)</f>
        <v/>
      </c>
      <c r="T1526">
        <f>IF(C1526,(H1526*N1526*IF(AND(Inputs!$B$39&lt;&gt;"pvp",Inputs!$B$44&gt;0),((Skills!G6*((R1526-1)*IF(Skills!H6&gt;0,Skills!I6/Skills!H6,1)+IF(Skills!H6&gt;0,MIN(Skills!I6,MAX(0,MAX(0,Inputs!$B$44-B1564)-((R1526-1)*IF(Inputs!$B$39="pvp",15,MAX(0.1,Skills!D6-IF(Skills!E6=TRUE,Inputs!$B$32,0))))))/Skills!H6,1)))/Inputs!$B$44),G1526*Q1526))*IF(Inputs!$B$39="pvp",1,1+(Inputs!$B$20+0+Skills!P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1526*(1-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1526*(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1526*(1-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1526*(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6">
        <f>IF(C1526,(H1526*N1526*IF(AND(Inputs!$B$39&lt;&gt;"pvp",Inputs!$B$44&gt;0),((Skills!G6*((R1526-1)*IF(Skills!H6&gt;0,Skills!I6/Skills!H6,1)+IF(Skills!H6&gt;0,MIN(Skills!I6,MAX(0,MAX(0,Inputs!$B$44-B1564)-((R1526-1)*IF(Inputs!$B$39="pvp",15,MAX(0.1,Skills!D6-IF(Skills!E6=TRUE,Inputs!$B$32,0))))))/Skills!H6,1)))/Inputs!$B$44),G1526*Q1526))*IF(Inputs!$B$39="pvp",1,(1+(Inputs!$B$21+Skills!Q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7">
      <c r="A1527">
        <f>Skills!A7</f>
        <v/>
      </c>
      <c r="B1527">
        <f>Skills!B7</f>
        <v/>
      </c>
      <c r="C1527">
        <f>Inputs!$B$3&gt;=60</f>
        <v/>
      </c>
      <c r="D1527">
        <f>IF(Skills!C7=1,60+Inputs!$B$25+Inputs!$B$29,IF(Skills!C7=2,90+Inputs!$B$26+Inputs!$B$29,IF(Skills!C7=3,120+Inputs!$B$27+Inputs!$B$29,MAX(0,(Inputs!$B$3-100)*3)+Inputs!$B$28+Inputs!$B$29)))</f>
        <v/>
      </c>
      <c r="E1527">
        <f>INDEX(FactorTable!$B$2:$Y$301, MATCH(ROUND(MIN(300,MAX(1,D1527)),0), FactorTable!$A$2:$A$301,0), Skills!M7+1)</f>
        <v/>
      </c>
      <c r="F1527">
        <f>IF(Skills!N7=TRUE,(Skills!L7/10)*(E1527/1000),Skills!L7/10)+Skills!O7</f>
        <v/>
      </c>
      <c r="G1527">
        <f>Skills!G7*IF(Skills!H7&gt;0,Skills!I7/Skills!H7,1)</f>
        <v/>
      </c>
      <c r="H1527">
        <f>1-(1-Skills!J7/100)^Skills!K7</f>
        <v/>
      </c>
      <c r="I1527" t="inlineStr">
        <is>
          <t>1</t>
        </is>
      </c>
      <c r="J1527" t="inlineStr"/>
      <c r="K1527" t="inlineStr"/>
      <c r="L1527" t="inlineStr"/>
      <c r="M1527" t="inlineStr"/>
      <c r="N1527" t="inlineStr"/>
      <c r="O1527">
        <f>(1-Summary!$B$11)*T1527+Summary!$B$11*V1527</f>
        <v/>
      </c>
      <c r="P1527">
        <f>IF(B1565=0,0,O1527/B1565)</f>
        <v/>
      </c>
      <c r="Q1527" t="n">
        <v>0</v>
      </c>
      <c r="R1527" t="n">
        <v>0</v>
      </c>
      <c r="S1527">
        <f>IFERROR(O1527/N1527,0)</f>
        <v/>
      </c>
      <c r="T1527" t="n">
        <v>0</v>
      </c>
      <c r="V1527" t="n">
        <v>0</v>
      </c>
    </row>
    <row r="1528">
      <c r="A1528">
        <f>Skills!A8</f>
        <v/>
      </c>
      <c r="B1528">
        <f>Skills!B8</f>
        <v/>
      </c>
      <c r="C1528">
        <f>Inputs!$B$3&gt;=72</f>
        <v/>
      </c>
      <c r="D1528">
        <f>IF(Skills!C8=1,60+Inputs!$B$25+Inputs!$B$29,IF(Skills!C8=2,90+Inputs!$B$26+Inputs!$B$29,IF(Skills!C8=3,120+Inputs!$B$27+Inputs!$B$29,MAX(0,(Inputs!$B$3-100)*3)+Inputs!$B$28+Inputs!$B$29)))</f>
        <v/>
      </c>
      <c r="E1528">
        <f>INDEX(FactorTable!$B$2:$Y$301, MATCH(ROUND(MIN(300,MAX(1,D1528)),0), FactorTable!$A$2:$A$301,0), Skills!M8+1)</f>
        <v/>
      </c>
      <c r="F1528">
        <f>IF(Skills!N8=TRUE,(Skills!L8/10)*(E1528/1000),Skills!L8/10)+Skills!O8</f>
        <v/>
      </c>
      <c r="G1528">
        <f>Skills!G8*IF(Skills!H8&gt;0,Skills!I8/Skills!H8,1)</f>
        <v/>
      </c>
      <c r="H1528">
        <f>1-(1-Skills!J8/100)^Skills!K8</f>
        <v/>
      </c>
      <c r="I1528" t="inlineStr">
        <is>
          <t>1</t>
        </is>
      </c>
      <c r="J1528">
        <f>((Inputs!$B$6*(1+Inputs!$B$7/100))+(((Inputs!$B$12*(1+Inputs!$B$13/100))-(Inputs!$B$12*(1+Inputs!$B$13/100)))+0.25*(Inputs!$B$14-Inputs!$B$14))*(1+Inputs!$B$7/100))*(F1528/100)</f>
        <v/>
      </c>
      <c r="K1528">
        <f>J1528*(1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1538=TRUE,F1538,0)/100)*(1+(IF(Skills!A8="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1528)</f>
        <v/>
      </c>
      <c r="L1528">
        <f>K1528*(MIN(Inputs!$B$22+((C1544=TRUE)*(F1544-Calc!F24)),(Inputs!$B$23+((C1549=TRUE)*(F1549-Calc!F29))+IF(ArtifactsInput!$M$15,CHOOSE(ArtifactsInput!$N$15+1,25,30,35,40,45,50)/100*(Inputs!$B$11-Inputs!$B$11),0)))/100+(Inputs!$B$23+((C1549=TRUE)*(F1549-Calc!F29))+IF(ArtifactsInput!$M$15,CHOOSE(ArtifactsInput!$N$15+1,25,30,35,40,45,50)/100*(Inputs!$B$11-Inputs!$B$11),0))/100)/2</f>
        <v/>
      </c>
      <c r="M1528">
        <f>L1528*(1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8">
        <f>L1528*(1-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1528*(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8">
        <f>(1-Summary!$B$11)*T1528+Summary!$B$11*V1528</f>
        <v/>
      </c>
      <c r="P1528">
        <f>IF(B1565=0,0,O1528/B1565)</f>
        <v/>
      </c>
      <c r="Q1528">
        <f>IFERROR(1/IF(Inputs!$B$39="pvp",15,MAX(0.1,Skills!D8-IF(Skills!E8=TRUE,Inputs!$B$32,0))),0)</f>
        <v/>
      </c>
      <c r="R1528">
        <f>IF(AND(Inputs!$B$39&lt;&gt;"pvp",Inputs!$B$44&gt;0),IF(MAX(0,Inputs!$B$44-B1564)&lt;=0,0,(INT(MAX(0,Inputs!$B$44-B1564)/IF(Inputs!$B$39="pvp",15,MAX(0.1,Skills!D8-IF(Skills!E8=TRUE,Inputs!$B$32,0))))+1)),0)</f>
        <v/>
      </c>
      <c r="S1528">
        <f>IFERROR(O1528/N1528,0)</f>
        <v/>
      </c>
      <c r="T1528">
        <f>IF(C1528,(H1528*N1528*IF(AND(Inputs!$B$39&lt;&gt;"pvp",Inputs!$B$44&gt;0),((Skills!G8*((R1528-1)*IF(Skills!H8&gt;0,Skills!I8/Skills!H8,1)+IF(Skills!H8&gt;0,MIN(Skills!I8,MAX(0,MAX(0,Inputs!$B$44-B1564)-((R1528-1)*IF(Inputs!$B$39="pvp",15,MAX(0.1,Skills!D8-IF(Skills!E8=TRUE,Inputs!$B$32,0))))))/Skills!H8,1)))/Inputs!$B$44),G1528*Q1528))*IF(Inputs!$B$39="pvp",1,1+(Inputs!$B$20+0+Skills!P8+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1528*(1-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1528*(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1528*(1-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1528*(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8">
        <f>IF(C1528,(H1528*N1528*IF(AND(Inputs!$B$39&lt;&gt;"pvp",Inputs!$B$44&gt;0),((Skills!G8*((R1528-1)*IF(Skills!H8&gt;0,Skills!I8/Skills!H8,1)+IF(Skills!H8&gt;0,MIN(Skills!I8,MAX(0,MAX(0,Inputs!$B$44-B1564)-((R1528-1)*IF(Inputs!$B$39="pvp",15,MAX(0.1,Skills!D8-IF(Skills!E8=TRUE,Inputs!$B$32,0))))))/Skills!H8,1)))/Inputs!$B$44),G1528*Q1528))*IF(Inputs!$B$39="pvp",1,(1+(Inputs!$B$21+Skills!Q8+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9">
      <c r="A1529">
        <f>Skills!A9</f>
        <v/>
      </c>
      <c r="B1529">
        <f>Skills!B9</f>
        <v/>
      </c>
      <c r="C1529">
        <f>Inputs!$B$3&gt;=117</f>
        <v/>
      </c>
      <c r="D1529">
        <f>IF(Skills!C9=1,60+Inputs!$B$25+Inputs!$B$29,IF(Skills!C9=2,90+Inputs!$B$26+Inputs!$B$29,IF(Skills!C9=3,120+Inputs!$B$27+Inputs!$B$29,MAX(0,(Inputs!$B$3-100)*3)+Inputs!$B$28+Inputs!$B$29)))</f>
        <v/>
      </c>
      <c r="E1529">
        <f>INDEX(FactorTable!$B$2:$Y$301, MATCH(ROUND(MIN(300,MAX(1,D1529)),0), FactorTable!$A$2:$A$301,0), Skills!M9+1)</f>
        <v/>
      </c>
      <c r="F1529">
        <f>IF(Skills!N9=TRUE,(Skills!L9/10)*(E1529/1000),Skills!L9/10)+Skills!O9</f>
        <v/>
      </c>
      <c r="G1529">
        <f>Skills!G9*IF(Skills!H9&gt;0,Skills!I9/Skills!H9,1)</f>
        <v/>
      </c>
      <c r="H1529">
        <f>1-(1-Skills!J9/100)^Skills!K9</f>
        <v/>
      </c>
      <c r="I1529" t="inlineStr">
        <is>
          <t>1</t>
        </is>
      </c>
      <c r="J1529">
        <f>((Inputs!$B$6*(1+Inputs!$B$7/100))+(((Inputs!$B$12*(1+Inputs!$B$13/100))-(Inputs!$B$12*(1+Inputs!$B$13/100)))+0.25*(Inputs!$B$14-Inputs!$B$14))*(1+Inputs!$B$7/100))*(F1529/100)</f>
        <v/>
      </c>
      <c r="K1529">
        <f>J1529*(1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1529)</f>
        <v/>
      </c>
      <c r="L1529">
        <f>K1529*(MIN(Inputs!$B$22+((C1544=TRUE)*(F1544-Calc!F24)),(Inputs!$B$23+((C1549=TRUE)*(F1549-Calc!F29))+IF(ArtifactsInput!$M$15,CHOOSE(ArtifactsInput!$N$15+1,25,30,35,40,45,50)/100*(Inputs!$B$11-Inputs!$B$11),0)))/100+(Inputs!$B$23+((C1549=TRUE)*(F1549-Calc!F29))+IF(ArtifactsInput!$M$15,CHOOSE(ArtifactsInput!$N$15+1,25,30,35,40,45,50)/100*(Inputs!$B$11-Inputs!$B$11),0))/100)/2</f>
        <v/>
      </c>
      <c r="M1529">
        <f>L1529*(1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9">
        <f>L1529*(1-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1529*(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9">
        <f>(1-Summary!$B$11)*T1529+Summary!$B$11*V1529</f>
        <v/>
      </c>
      <c r="P1529">
        <f>IF(B1565=0,0,O1529/B1565)</f>
        <v/>
      </c>
      <c r="Q1529" t="n">
        <v>0</v>
      </c>
      <c r="R1529" t="n">
        <v>0</v>
      </c>
      <c r="S1529" t="n">
        <v>0</v>
      </c>
      <c r="T1529">
        <f>IF(C1529,(0.2*SUMPRODUCT((Skills!Z2:Z30=TRUE)*(C1522:C1550=TRUE)*S1522:S1550)*N1529)*IF(Inputs!$B$39="pvp",1,1+(Inputs!$B$20+0+Skills!P9+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1529*(1-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1529*(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1529*(1-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1529*(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9">
        <f>IF(C1529,(0.2*SUMPRODUCT((Skills!Z2:Z30=TRUE)*(C1522:C1550=TRUE)*S1522:S1550)*N1529)*IF(Inputs!$B$39="pvp",1,(1+(Inputs!$B$21+Skills!Q9+B1554+(IF(ArtifactsInput!$M$33,CHOOSE(ArtifactsInput!$N$33+1,30,36,42,48,54,60),0))+(IF(AND(ArtifactsInput!$M$35,Inputs!$B$4&lt;&gt;"Chapter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0">
      <c r="A1530">
        <f>Skills!A10</f>
        <v/>
      </c>
      <c r="B1530">
        <f>Skills!B10</f>
        <v/>
      </c>
      <c r="C1530">
        <f>Inputs!$B$3&gt;=74</f>
        <v/>
      </c>
      <c r="D1530">
        <f>IF(Skills!C10=1,60+Inputs!$B$25+Inputs!$B$29,IF(Skills!C10=2,90+Inputs!$B$26+Inputs!$B$29,IF(Skills!C10=3,120+Inputs!$B$27+Inputs!$B$29,MAX(0,(Inputs!$B$3-100)*3)+Inputs!$B$28+Inputs!$B$29)))</f>
        <v/>
      </c>
      <c r="E1530">
        <f>INDEX(FactorTable!$B$2:$Y$301, MATCH(ROUND(MIN(300,MAX(1,D1530)),0), FactorTable!$A$2:$A$301,0), Skills!M10+1)</f>
        <v/>
      </c>
      <c r="F1530">
        <f>IF(Skills!N10=TRUE,(Skills!L10/10)*(E1530/1000),Skills!L10/10)+Skills!O10</f>
        <v/>
      </c>
      <c r="G1530">
        <f>Skills!G10*IF(Skills!H10&gt;0,Skills!I10/Skills!H10,1)</f>
        <v/>
      </c>
      <c r="H1530">
        <f>1-(1-Skills!J10/100)^Skills!K10</f>
        <v/>
      </c>
      <c r="I1530" t="inlineStr">
        <is>
          <t>1</t>
        </is>
      </c>
      <c r="J1530" t="inlineStr"/>
      <c r="K1530" t="inlineStr"/>
      <c r="L1530" t="inlineStr"/>
      <c r="M1530" t="inlineStr"/>
      <c r="N1530" t="inlineStr"/>
      <c r="O1530">
        <f>(1-Summary!$B$11)*T1530+Summary!$B$11*V1530</f>
        <v/>
      </c>
      <c r="P1530">
        <f>IF(B1565=0,0,O1530/B1565)</f>
        <v/>
      </c>
      <c r="Q1530">
        <f>IFERROR(1/IF(Inputs!$B$39="pvp",15,MAX(0.1,Skills!D10-IF(Skills!E10=TRUE,Inputs!$B$32,0))),0)</f>
        <v/>
      </c>
      <c r="R1530">
        <f>IF(AND(Inputs!$B$39&lt;&gt;"pvp",Inputs!$B$44&gt;0),IF(Inputs!$B$44&lt;=0,0,(INT(Inputs!$B$44/IF(Inputs!$B$39="pvp",15,MAX(0.1,Skills!D10-IF(Skills!E10=TRUE,Inputs!$B$32,0))))+1)),0)</f>
        <v/>
      </c>
      <c r="S1530">
        <f>IFERROR(O1530/N1530,0)</f>
        <v/>
      </c>
      <c r="T1530" t="n">
        <v>0</v>
      </c>
      <c r="V1530" t="n">
        <v>0</v>
      </c>
    </row>
    <row r="1531">
      <c r="A1531">
        <f>Skills!A11</f>
        <v/>
      </c>
      <c r="B1531">
        <f>Skills!B11</f>
        <v/>
      </c>
      <c r="C1531">
        <f>Inputs!$B$3&gt;=103</f>
        <v/>
      </c>
      <c r="D1531">
        <f>IF(Skills!C11=1,60+Inputs!$B$25+Inputs!$B$29,IF(Skills!C11=2,90+Inputs!$B$26+Inputs!$B$29,IF(Skills!C11=3,120+Inputs!$B$27+Inputs!$B$29,MAX(0,(Inputs!$B$3-100)*3)+Inputs!$B$28+Inputs!$B$29)))</f>
        <v/>
      </c>
      <c r="E1531">
        <f>INDEX(FactorTable!$B$2:$Y$301, MATCH(ROUND(MIN(300,MAX(1,D1531)),0), FactorTable!$A$2:$A$301,0), Skills!M11+1)</f>
        <v/>
      </c>
      <c r="F1531">
        <f>(Skills!L11/10)*(E1531/1000)+IF(Inputs!$B$3&gt;=134,50,0)+0.5*(30000/10)*(INDEX(FactorTable!$B$2:$Y$301, MATCH(ROUND(MIN(300,MAX(1,D1531)),0), FactorTable!$A$2:$A$301,0), 13)/1000)*B1563</f>
        <v/>
      </c>
      <c r="G1531">
        <f>Skills!G11*IF(Skills!H11&gt;0,Skills!I11/Skills!H11,1)</f>
        <v/>
      </c>
      <c r="H1531">
        <f>1-(1-Skills!J11/100)^Skills!K11</f>
        <v/>
      </c>
      <c r="I1531" t="inlineStr">
        <is>
          <t>1</t>
        </is>
      </c>
      <c r="J1531">
        <f>((Inputs!$B$6*(1+Inputs!$B$7/100))+(((Inputs!$B$12*(1+Inputs!$B$13/100))-(Inputs!$B$12*(1+Inputs!$B$13/100)))+0.25*(Inputs!$B$14-Inputs!$B$14))*(1+Inputs!$B$7/100))*(F1531/100)</f>
        <v/>
      </c>
      <c r="K1531">
        <f>J1531*(1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1531)</f>
        <v/>
      </c>
      <c r="L1531">
        <f>K1531*(MIN(Inputs!$B$22+((C1544=TRUE)*(F1544-Calc!F24)),(Inputs!$B$23+((C1549=TRUE)*(F1549-Calc!F29))+IF(ArtifactsInput!$M$15,CHOOSE(ArtifactsInput!$N$15+1,25,30,35,40,45,50)/100*(Inputs!$B$11-Inputs!$B$11),0)))/100+(Inputs!$B$23+((C1549=TRUE)*(F1549-Calc!F29))+IF(ArtifactsInput!$M$15,CHOOSE(ArtifactsInput!$N$15+1,25,30,35,40,45,50)/100*(Inputs!$B$11-Inputs!$B$11),0))/100)/2</f>
        <v/>
      </c>
      <c r="M1531">
        <f>L1531*(1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1">
        <f>L1531*(1-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1">
        <f>(1-Summary!$B$11)*T1531+Summary!$B$11*V1531</f>
        <v/>
      </c>
      <c r="P1531">
        <f>IF(B1565=0,0,O1531/B1565)</f>
        <v/>
      </c>
      <c r="Q1531">
        <f>IFERROR(1/IF(Inputs!$B$39="pvp",15,MAX(0.1,Skills!D11-IF(Skills!E11=TRUE,Inputs!$B$32,0))),0)</f>
        <v/>
      </c>
      <c r="R1531">
        <f>IF(AND(Inputs!$B$39&lt;&gt;"pvp",Inputs!$B$44&gt;0),IF(MAX(0,Inputs!$B$44-B1564)&lt;=0,0,(INT(MAX(0,Inputs!$B$44-B1564)/IF(Inputs!$B$39="pvp",15,MAX(0.1,Skills!D11-IF(Skills!E11=TRUE,Inputs!$B$32,0))))+1)),0)</f>
        <v/>
      </c>
      <c r="S1531">
        <f>IFERROR(O1531/N1531,0)</f>
        <v/>
      </c>
      <c r="T1531">
        <f>IF(C1531,(H1531*N1531*IF(AND(Inputs!$B$39&lt;&gt;"pvp",Inputs!$B$44&gt;0),((Skills!G11*((R1531-1)*IF(Skills!H11&gt;0,Skills!I11/Skills!H11,1)+IF(Skills!H11&gt;0,MIN(Skills!I11,MAX(0,MAX(0,Inputs!$B$44-B1564)-((R1531-1)*IF(Inputs!$B$39="pvp",15,MAX(0.1,Skills!D11-IF(Skills!E11=TRUE,Inputs!$B$32,0))))))/Skills!H11,1)))/Inputs!$B$44),G1531*Q1531))*IF(Inputs!$B$39="pvp",1,1+(Inputs!$B$20+0+Skills!P11+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1531*(1-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1531*(1-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1">
        <f>IF(C1531,(H1531*N1531*IF(AND(Inputs!$B$39&lt;&gt;"pvp",Inputs!$B$44&gt;0),((Skills!G11*((R1531-1)*IF(Skills!H11&gt;0,Skills!I11/Skills!H11,1)+IF(Skills!H11&gt;0,MIN(Skills!I11,MAX(0,MAX(0,Inputs!$B$44-B1564)-((R1531-1)*IF(Inputs!$B$39="pvp",15,MAX(0.1,Skills!D11-IF(Skills!E11=TRUE,Inputs!$B$32,0))))))/Skills!H11,1)))/Inputs!$B$44),G1531*Q1531))*IF(Inputs!$B$39="pvp",1,(1+(Inputs!$B$21+Skills!Q11+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2">
      <c r="A1532">
        <f>Skills!A12</f>
        <v/>
      </c>
      <c r="B1532">
        <f>Skills!B12</f>
        <v/>
      </c>
      <c r="C1532">
        <f>Inputs!$B$3&gt;=105</f>
        <v/>
      </c>
      <c r="D1532">
        <f>IF(Skills!C12=1,60+Inputs!$B$25+Inputs!$B$29,IF(Skills!C12=2,90+Inputs!$B$26+Inputs!$B$29,IF(Skills!C12=3,120+Inputs!$B$27+Inputs!$B$29,MAX(0,(Inputs!$B$3-100)*3)+Inputs!$B$28+Inputs!$B$29)))</f>
        <v/>
      </c>
      <c r="E1532">
        <f>INDEX(FactorTable!$B$2:$Y$301, MATCH(ROUND(MIN(300,MAX(1,D1532)),0), FactorTable!$A$2:$A$301,0), Skills!M12+1)</f>
        <v/>
      </c>
      <c r="F1532">
        <f>IF(Skills!N12=TRUE,(Skills!L12/10)*(E1532/1000),Skills!L12/10)+Skills!O12</f>
        <v/>
      </c>
      <c r="G1532">
        <f>Skills!G12*IF(Skills!H12&gt;0,Skills!I12/Skills!H12,1)</f>
        <v/>
      </c>
      <c r="H1532">
        <f>1-(1-Skills!J12/100)^Skills!K12</f>
        <v/>
      </c>
      <c r="I1532" t="inlineStr">
        <is>
          <t>1</t>
        </is>
      </c>
      <c r="J1532">
        <f>((Inputs!$B$6*(1+Inputs!$B$7/100))+(((Inputs!$B$12*(1+Inputs!$B$13/100))-(Inputs!$B$12*(1+Inputs!$B$13/100)))+0.25*(Inputs!$B$14-Inputs!$B$14))*(1+Inputs!$B$7/100))*(F1532/100)</f>
        <v/>
      </c>
      <c r="K1532">
        <f>J1532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1532)</f>
        <v/>
      </c>
      <c r="L1532">
        <f>K1532*(MIN(Inputs!$B$22+((C1544=TRUE)*(F1544-Calc!F24)),(Inputs!$B$23+((C1549=TRUE)*(F1549-Calc!F29))+IF(ArtifactsInput!$M$15,CHOOSE(ArtifactsInput!$N$15+1,25,30,35,40,45,50)/100*(Inputs!$B$11-Inputs!$B$11),0)))/100+(Inputs!$B$23+((C1549=TRUE)*(F1549-Calc!F29))+IF(ArtifactsInput!$M$15,CHOOSE(ArtifactsInput!$N$15+1,25,30,35,40,45,50)/100*(Inputs!$B$11-Inputs!$B$11),0))/100)/2</f>
        <v/>
      </c>
      <c r="M1532">
        <f>L1532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2">
        <f>L1532*(1-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1532*(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2">
        <f>(1-Summary!$B$11)*T1532+Summary!$B$11*V1532</f>
        <v/>
      </c>
      <c r="P1532">
        <f>IF(B1565=0,0,O1532/B1565)</f>
        <v/>
      </c>
      <c r="Q1532">
        <f>IFERROR(1/IF(Inputs!$B$39="pvp",15,MAX(0.1,Skills!D12-IF(Skills!E12=TRUE,Inputs!$B$32,0))),0)</f>
        <v/>
      </c>
      <c r="R1532">
        <f>IF(AND(Inputs!$B$39&lt;&gt;"pvp",Inputs!$B$44&gt;0),IF(MAX(0,Inputs!$B$44-B1564)&lt;=0,0,(INT(MAX(0,Inputs!$B$44-B1564)/IF(Inputs!$B$39="pvp",15,MAX(0.1,Skills!D12-IF(Skills!E12=TRUE,Inputs!$B$32,0))))+1)),0)</f>
        <v/>
      </c>
      <c r="S1532">
        <f>IFERROR(O1532/N1532,0)</f>
        <v/>
      </c>
      <c r="T1532">
        <f>IF(C1532,(H1532*N1532*IF(AND(Inputs!$B$39&lt;&gt;"pvp",Inputs!$B$44&gt;0),((Skills!G12*((R1532-1)*IF(Skills!H12&gt;0,Skills!I12/Skills!H12,1)+IF(Skills!H12&gt;0,MIN(Skills!I12,MAX(0,MAX(0,Inputs!$B$44-B1564)-((R1532-1)*IF(Inputs!$B$39="pvp",15,MAX(0.1,Skills!D12-IF(Skills!E12=TRUE,Inputs!$B$32,0))))))/Skills!H12,1)))/Inputs!$B$44),G1532*Q1532))*IF(Inputs!$B$39="pvp",1,1+(Inputs!$B$20+0+Skills!P12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1532*(1-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1532*(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1532*(1-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1532*(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2">
        <f>IF(C1532,(H1532*N1532*IF(AND(Inputs!$B$39&lt;&gt;"pvp",Inputs!$B$44&gt;0),((Skills!G12*((R1532-1)*IF(Skills!H12&gt;0,Skills!I12/Skills!H12,1)+IF(Skills!H12&gt;0,MIN(Skills!I12,MAX(0,MAX(0,Inputs!$B$44-B1564)-((R1532-1)*IF(Inputs!$B$39="pvp",15,MAX(0.1,Skills!D12-IF(Skills!E12=TRUE,Inputs!$B$32,0))))))/Skills!H12,1)))/Inputs!$B$44),G1532*Q1532))*IF(Inputs!$B$39="pvp",1,(1+(Inputs!$B$21+Skills!Q12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3">
      <c r="A1533">
        <f>Skills!A13</f>
        <v/>
      </c>
      <c r="B1533">
        <f>Skills!B13</f>
        <v/>
      </c>
      <c r="C1533">
        <f>Inputs!$B$3&gt;=105</f>
        <v/>
      </c>
      <c r="D1533">
        <f>IF(Skills!C13=1,60+Inputs!$B$25+Inputs!$B$29,IF(Skills!C13=2,90+Inputs!$B$26+Inputs!$B$29,IF(Skills!C13=3,120+Inputs!$B$27+Inputs!$B$29,MAX(0,(Inputs!$B$3-100)*3)+Inputs!$B$28+Inputs!$B$29)))</f>
        <v/>
      </c>
      <c r="E1533">
        <f>INDEX(FactorTable!$B$2:$Y$301, MATCH(ROUND(MIN(300,MAX(1,D1533)),0), FactorTable!$A$2:$A$301,0), Skills!M13+1)</f>
        <v/>
      </c>
      <c r="F1533">
        <f>IF(Skills!N13=TRUE,(Skills!L13/10)*(E1533/1000),Skills!L13/10)+Skills!O13</f>
        <v/>
      </c>
      <c r="G1533">
        <f>Skills!G13*IF(Skills!H13&gt;0,Skills!I13/Skills!H13,1)</f>
        <v/>
      </c>
      <c r="H1533">
        <f>1-(1-Skills!J13/100)^Skills!K13</f>
        <v/>
      </c>
      <c r="I1533" t="inlineStr">
        <is>
          <t>1</t>
        </is>
      </c>
      <c r="J1533">
        <f>((Inputs!$B$6*(1+Inputs!$B$7/100))+(((Inputs!$B$12*(1+Inputs!$B$13/100))-(Inputs!$B$12*(1+Inputs!$B$13/100)))+0.25*(Inputs!$B$14-Inputs!$B$14))*(1+Inputs!$B$7/100))*(F1533/100)</f>
        <v/>
      </c>
      <c r="K1533">
        <f>J1533*(1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1533)</f>
        <v/>
      </c>
      <c r="L1533">
        <f>K1533*(MIN(Inputs!$B$22+((C1544=TRUE)*(F1544-Calc!F24)),(Inputs!$B$23+((C1549=TRUE)*(F1549-Calc!F29))+IF(ArtifactsInput!$M$15,CHOOSE(ArtifactsInput!$N$15+1,25,30,35,40,45,50)/100*(Inputs!$B$11-Inputs!$B$11),0)))/100+(Inputs!$B$23+((C1549=TRUE)*(F1549-Calc!F29))+IF(ArtifactsInput!$M$15,CHOOSE(ArtifactsInput!$N$15+1,25,30,35,40,45,50)/100*(Inputs!$B$11-Inputs!$B$11),0))/100)/2</f>
        <v/>
      </c>
      <c r="M1533">
        <f>L1533*(1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3">
        <f>L1533*(1-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1533*(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3">
        <f>(1-Summary!$B$11)*T1533+Summary!$B$11*V1533</f>
        <v/>
      </c>
      <c r="P1533">
        <f>IF(B1565=0,0,O1533/B1565)</f>
        <v/>
      </c>
      <c r="Q1533">
        <f>IFERROR(1/IF(Inputs!$B$39="pvp",15,MAX(0.1,Skills!D13-IF(Skills!E13=TRUE,Inputs!$B$32,0))),0)</f>
        <v/>
      </c>
      <c r="R1533">
        <f>IF(AND(Inputs!$B$39&lt;&gt;"pvp",Inputs!$B$44&gt;0),IF(MAX(0,Inputs!$B$44-B1564)&lt;=0,0,(INT(MAX(0,Inputs!$B$44-B1564)/IF(Inputs!$B$39="pvp",15,MAX(0.1,Skills!D13-IF(Skills!E13=TRUE,Inputs!$B$32,0))))+1)),0)</f>
        <v/>
      </c>
      <c r="S1533">
        <f>IFERROR(O1533/N1533,0)</f>
        <v/>
      </c>
      <c r="T1533">
        <f>IF(C1533,(H1533*N1533*IF(AND(Inputs!$B$39&lt;&gt;"pvp",Inputs!$B$44&gt;0),((Skills!G13*((R1533-1)*IF(Skills!H13&gt;0,Skills!I13/Skills!H13,1)+IF(Skills!H13&gt;0,MIN(Skills!I13,MAX(0,MAX(0,Inputs!$B$44-B1564)-((R1533-1)*IF(Inputs!$B$39="pvp",15,MAX(0.1,Skills!D13-IF(Skills!E13=TRUE,Inputs!$B$32,0))))))/Skills!H13,1)))/Inputs!$B$44),G1533*Q1533))*IF(Inputs!$B$39="pvp",1,1+(Inputs!$B$20+0+Skills!P13+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1533*(1-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1533*(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1533*(1-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1533*(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3">
        <f>IF(C1533,(H1533*N1533*IF(AND(Inputs!$B$39&lt;&gt;"pvp",Inputs!$B$44&gt;0),((Skills!G13*((R1533-1)*IF(Skills!H13&gt;0,Skills!I13/Skills!H13,1)+IF(Skills!H13&gt;0,MIN(Skills!I13,MAX(0,MAX(0,Inputs!$B$44-B1564)-((R1533-1)*IF(Inputs!$B$39="pvp",15,MAX(0.1,Skills!D13-IF(Skills!E13=TRUE,Inputs!$B$32,0))))))/Skills!H13,1)))/Inputs!$B$44),G1533*Q1533))*IF(Inputs!$B$39="pvp",1,(1+(Inputs!$B$21+Skills!Q13+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4">
      <c r="A1534">
        <f>Skills!A14</f>
        <v/>
      </c>
      <c r="B1534">
        <f>Skills!B14</f>
        <v/>
      </c>
      <c r="C1534">
        <f>Inputs!$B$3&gt;=107</f>
        <v/>
      </c>
      <c r="D1534">
        <f>IF(Skills!C14=1,60+Inputs!$B$25+Inputs!$B$29,IF(Skills!C14=2,90+Inputs!$B$26+Inputs!$B$29,IF(Skills!C14=3,120+Inputs!$B$27+Inputs!$B$29,MAX(0,(Inputs!$B$3-100)*3)+Inputs!$B$28+Inputs!$B$29)))</f>
        <v/>
      </c>
      <c r="E1534">
        <f>INDEX(FactorTable!$B$2:$Y$301, MATCH(ROUND(MIN(300,MAX(1,D1534)),0), FactorTable!$A$2:$A$301,0), Skills!M14+1)</f>
        <v/>
      </c>
      <c r="F1534">
        <f>IF(Skills!N14=TRUE,(Skills!L14/10)*(E1534/1000),Skills!L14/10)+Skills!O14</f>
        <v/>
      </c>
      <c r="G1534">
        <f>Skills!G14*IF(Skills!H14&gt;0,Skills!I14/Skills!H14,1)</f>
        <v/>
      </c>
      <c r="H1534">
        <f>1-(1-Skills!J14/100)^Skills!K14</f>
        <v/>
      </c>
      <c r="I1534" t="inlineStr">
        <is>
          <t>1</t>
        </is>
      </c>
      <c r="J1534">
        <f>((Inputs!$B$6*(1+Inputs!$B$7/100))+(((Inputs!$B$12*(1+Inputs!$B$13/100))-(Inputs!$B$12*(1+Inputs!$B$13/100)))+0.25*(Inputs!$B$14-Inputs!$B$14))*(1+Inputs!$B$7/100))*(F1534/100)</f>
        <v/>
      </c>
      <c r="K1534">
        <f>J1534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1534)</f>
        <v/>
      </c>
      <c r="L1534">
        <f>K1534*(MIN(Inputs!$B$22+((C1544=TRUE)*(F1544-Calc!F24)),(Inputs!$B$23+((C1549=TRUE)*(F1549-Calc!F29))+IF(ArtifactsInput!$M$15,CHOOSE(ArtifactsInput!$N$15+1,25,30,35,40,45,50)/100*(Inputs!$B$11-Inputs!$B$11),0)))/100+(Inputs!$B$23+((C1549=TRUE)*(F1549-Calc!F29))+IF(ArtifactsInput!$M$15,CHOOSE(ArtifactsInput!$N$15+1,25,30,35,40,45,50)/100*(Inputs!$B$11-Inputs!$B$11),0))/100)/2</f>
        <v/>
      </c>
      <c r="M1534">
        <f>L1534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4">
        <f>L1534*(1-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1534*(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4">
        <f>(1-Summary!$B$11)*T1534+Summary!$B$11*V1534</f>
        <v/>
      </c>
      <c r="P1534">
        <f>IF(B1565=0,0,O1534/B1565)</f>
        <v/>
      </c>
      <c r="Q1534">
        <f>IFERROR(1/IF(Inputs!$B$39="pvp",15,MAX(0.1,Skills!D14-IF(Skills!E14=TRUE,Inputs!$B$32,0))),0)</f>
        <v/>
      </c>
      <c r="R1534">
        <f>IF(AND(Inputs!$B$39&lt;&gt;"pvp",Inputs!$B$44&gt;0),IF(MAX(0,Inputs!$B$44-B1564)&lt;=0,0,(INT(MAX(0,Inputs!$B$44-B1564)/IF(Inputs!$B$39="pvp",15,MAX(0.1,Skills!D14-IF(Skills!E14=TRUE,Inputs!$B$32,0))))+1)),0)</f>
        <v/>
      </c>
      <c r="S1534">
        <f>IFERROR(O1534/N1534,0)</f>
        <v/>
      </c>
      <c r="T1534">
        <f>IF(C1534,(H1534*N1534*IF(AND(Inputs!$B$39&lt;&gt;"pvp",Inputs!$B$44&gt;0),((Skills!G14*((R1534-1)*IF(Skills!H14&gt;0,Skills!I14/Skills!H14,1)+IF(Skills!H14&gt;0,MIN(Skills!I14,MAX(0,MAX(0,Inputs!$B$44-B1564)-((R1534-1)*IF(Inputs!$B$39="pvp",15,MAX(0.1,Skills!D14-IF(Skills!E14=TRUE,Inputs!$B$32,0))))))/Skills!H14,1)))/Inputs!$B$44),G1534*Q1534))*IF(Inputs!$B$39="pvp",1,1+(Inputs!$B$20+0+Skills!P14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1534*(1-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1534*(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1534*(1-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1534*(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4">
        <f>IF(C1534,(H1534*N1534*IF(AND(Inputs!$B$39&lt;&gt;"pvp",Inputs!$B$44&gt;0),((Skills!G14*((R1534-1)*IF(Skills!H14&gt;0,Skills!I14/Skills!H14,1)+IF(Skills!H14&gt;0,MIN(Skills!I14,MAX(0,MAX(0,Inputs!$B$44-B1564)-((R1534-1)*IF(Inputs!$B$39="pvp",15,MAX(0.1,Skills!D14-IF(Skills!E14=TRUE,Inputs!$B$32,0))))))/Skills!H14,1)))/Inputs!$B$44),G1534*Q1534))*IF(Inputs!$B$39="pvp",1,(1+(Inputs!$B$21+Skills!Q14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(5,0.25*B1557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5">
      <c r="A1535">
        <f>Skills!A15</f>
        <v/>
      </c>
      <c r="B1535">
        <f>Skills!B15</f>
        <v/>
      </c>
      <c r="C1535">
        <f>Inputs!$B$3&gt;=110</f>
        <v/>
      </c>
      <c r="D1535">
        <f>IF(Skills!C15=1,60+Inputs!$B$25+Inputs!$B$29,IF(Skills!C15=2,90+Inputs!$B$26+Inputs!$B$29,IF(Skills!C15=3,120+Inputs!$B$27+Inputs!$B$29,MAX(0,(Inputs!$B$3-100)*3)+Inputs!$B$28+Inputs!$B$29)))</f>
        <v/>
      </c>
      <c r="E1535">
        <f>INDEX(FactorTable!$B$2:$Y$301, MATCH(ROUND(MIN(300,MAX(1,D1535)),0), FactorTable!$A$2:$A$301,0), Skills!M15+1)</f>
        <v/>
      </c>
      <c r="F1535">
        <f>IF(Skills!N15=TRUE,(Skills!L15/10)*(E1535/1000),Skills!L15/10)+Skills!O15</f>
        <v/>
      </c>
      <c r="G1535">
        <f>Skills!G15*IF(Skills!H15&gt;0,Skills!I15/Skills!H15,1)</f>
        <v/>
      </c>
      <c r="H1535">
        <f>1-(1-Skills!J15/100)^Skills!K15</f>
        <v/>
      </c>
      <c r="I1535" t="inlineStr">
        <is>
          <t>1</t>
        </is>
      </c>
      <c r="J1535" t="inlineStr"/>
      <c r="K1535" t="inlineStr"/>
      <c r="L1535" t="inlineStr"/>
      <c r="M1535" t="inlineStr"/>
      <c r="N1535" t="inlineStr"/>
      <c r="O1535">
        <f>(1-Summary!$B$11)*T1535+Summary!$B$11*V1535</f>
        <v/>
      </c>
      <c r="P1535">
        <f>IF(B1565=0,0,O1535/B1565)</f>
        <v/>
      </c>
      <c r="Q1535">
        <f>IFERROR(1/IF(Inputs!$B$39="pvp",15,MAX(0.1,Skills!D15-IF(Skills!E15=TRUE,Inputs!$B$32,0))),0)</f>
        <v/>
      </c>
      <c r="R1535">
        <f>IF(AND(Inputs!$B$39&lt;&gt;"pvp",Inputs!$B$44&gt;0),IF(Inputs!$B$44&lt;=0,0,(INT(Inputs!$B$44/IF(Inputs!$B$39="pvp",15,MAX(0.1,Skills!D15-IF(Skills!E15=TRUE,Inputs!$B$32,0))))+1)),0)</f>
        <v/>
      </c>
      <c r="S1535">
        <f>IFERROR(O1535/N1535,0)</f>
        <v/>
      </c>
      <c r="T1535" t="n">
        <v>0</v>
      </c>
      <c r="V1535" t="n">
        <v>0</v>
      </c>
    </row>
    <row r="1536">
      <c r="A1536">
        <f>Skills!A16</f>
        <v/>
      </c>
      <c r="B1536">
        <f>Skills!B16</f>
        <v/>
      </c>
      <c r="C1536">
        <f>Inputs!$B$3&gt;=115</f>
        <v/>
      </c>
      <c r="D1536">
        <f>IF(Skills!C16=1,60+Inputs!$B$25+Inputs!$B$29,IF(Skills!C16=2,90+Inputs!$B$26+Inputs!$B$29,IF(Skills!C16=3,120+Inputs!$B$27+Inputs!$B$29,MAX(0,(Inputs!$B$3-100)*3)+Inputs!$B$28+Inputs!$B$29)))</f>
        <v/>
      </c>
      <c r="E1536">
        <f>INDEX(FactorTable!$B$2:$Y$301, MATCH(ROUND(MIN(300,MAX(1,D1536)),0), FactorTable!$A$2:$A$301,0), Skills!M16+1)</f>
        <v/>
      </c>
      <c r="F1536">
        <f>IF(Skills!N16=TRUE,(Skills!L16/10)*(E1536/1000),Skills!L16/10)+Skills!O16</f>
        <v/>
      </c>
      <c r="G1536">
        <f>Skills!G16*IF(Skills!H16&gt;0,Skills!I16/Skills!H16,1)</f>
        <v/>
      </c>
      <c r="H1536">
        <f>1-(1-Skills!J16/100)^Skills!K16</f>
        <v/>
      </c>
      <c r="I1536" t="inlineStr">
        <is>
          <t>1</t>
        </is>
      </c>
      <c r="J1536">
        <f>((Inputs!$B$6*(1+Inputs!$B$7/100))+(((Inputs!$B$12*(1+Inputs!$B$13/100))-(Inputs!$B$12*(1+Inputs!$B$13/100)))+0.25*(Inputs!$B$14-Inputs!$B$14))*(1+Inputs!$B$7/100))*(F1536/100)</f>
        <v/>
      </c>
      <c r="K1536">
        <f>J1536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1547=TRUE)*(F1547-Calc!F27))+((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1536)</f>
        <v/>
      </c>
      <c r="L1536">
        <f>K1536*(MIN(Inputs!$B$22+((C1544=TRUE)*(F1544-Calc!F24)),(Inputs!$B$23+((C1549=TRUE)*(F1549-Calc!F29))+IF(ArtifactsInput!$M$15,CHOOSE(ArtifactsInput!$N$15+1,25,30,35,40,45,50)/100*(Inputs!$B$11-Inputs!$B$11),0)))/100+(Inputs!$B$23+((C1549=TRUE)*(F1549-Calc!F29))+IF(ArtifactsInput!$M$15,CHOOSE(ArtifactsInput!$N$15+1,25,30,35,40,45,50)/100*(Inputs!$B$11-Inputs!$B$11),0))/100)/2</f>
        <v/>
      </c>
      <c r="M1536">
        <f>L1536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6">
        <f>L1536*(1-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1536*(MIN((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6">
        <f>(1-Summary!$B$11)*T1536+Summary!$B$11*V1536</f>
        <v/>
      </c>
      <c r="P1536">
        <f>IF(B1565=0,0,O1536/B1565)</f>
        <v/>
      </c>
      <c r="Q1536" t="n">
        <v>0</v>
      </c>
      <c r="R1536" t="n">
        <v>0</v>
      </c>
      <c r="S1536">
        <f>IFERROR(O1536/N1536,0)</f>
        <v/>
      </c>
      <c r="T1536">
        <f>IF(C1536,(Inputs!$B$38*0.2*N1536)*IF(Inputs!$B$39="pvp",1,1+(Inputs!$B$20+0+Skills!P16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1536*(1-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1536*(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1536*(1-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1536*(MIN(100,(Inputs!$B$9+((C1545=TRUE)*(F1545-Calc!F25))+B1553+(ArtifactsInput!$M$24-ArtifactsInput!$M$24)*CHOOSE(ArtifactsInput!$N$24+1,10,12,14,16,18,20)+(IF(AND(Inputs!$B$39&lt;&gt;"pvp",Inputs!$B$44=0),1,IF(IF(Inputs!$B$39="pvp",15,Inputs!$B$44)-(B1564)&lt;=0,1,MAX(0,IF(Inputs!$B$39="pvp",15,Inputs!$B$44)-MAX(5,B1564))/(IF(Inputs!$B$39="pvp",15,Inputs!$B$44)-(B1564))))*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6">
        <f>IF(C1536,(Inputs!$B$38*0.2*N1536)*IF(Inputs!$B$39="pvp",1,(1+(Inputs!$B$21+Skills!Q16+B1554+(IF(ArtifactsInput!$M$33,CHOOSE(ArtifactsInput!$N$33+1,30,36,42,48,54,60),0))+(IF(AND(ArtifactsInput!$M$35,Inputs!$B$4&lt;&gt;"Chapter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7">
      <c r="A1537">
        <f>Skills!A17</f>
        <v/>
      </c>
      <c r="B1537">
        <f>Skills!B17</f>
        <v/>
      </c>
      <c r="C1537">
        <f>Inputs!$B$3&gt;=115</f>
        <v/>
      </c>
      <c r="D1537">
        <f>IF(Skills!C17=1,60+Inputs!$B$25+Inputs!$B$29,IF(Skills!C17=2,90+Inputs!$B$26+Inputs!$B$29,IF(Skills!C17=3,120+Inputs!$B$27+Inputs!$B$29,MAX(0,(Inputs!$B$3-100)*3)+Inputs!$B$28+Inputs!$B$29)))</f>
        <v/>
      </c>
      <c r="E1537">
        <f>INDEX(FactorTable!$B$2:$Y$301, MATCH(ROUND(MIN(300,MAX(1,D1537)),0), FactorTable!$A$2:$A$301,0), Skills!M17+1)</f>
        <v/>
      </c>
      <c r="F1537">
        <f>IF(Skills!N17=TRUE,(Skills!L17/10)*(E1537/1000),Skills!L17/10)+Skills!O17</f>
        <v/>
      </c>
      <c r="G1537">
        <f>Skills!G17*IF(Skills!H17&gt;0,Skills!I17/Skills!H17,1)</f>
        <v/>
      </c>
      <c r="H1537">
        <f>1-(1-Skills!J17/100)^Skills!K17</f>
        <v/>
      </c>
      <c r="I1537" t="inlineStr">
        <is>
          <t>1</t>
        </is>
      </c>
      <c r="J1537" t="inlineStr"/>
      <c r="K1537" t="inlineStr"/>
      <c r="L1537" t="inlineStr"/>
      <c r="M1537" t="inlineStr"/>
      <c r="N1537" t="inlineStr"/>
      <c r="O1537">
        <f>(1-Summary!$B$11)*T1537+Summary!$B$11*V1537</f>
        <v/>
      </c>
      <c r="P1537">
        <f>IF(B1565=0,0,O1537/B1565)</f>
        <v/>
      </c>
      <c r="Q1537" t="n">
        <v>0</v>
      </c>
      <c r="R1537" t="n">
        <v>0</v>
      </c>
      <c r="S1537">
        <f>IFERROR(O1537/N1537,0)</f>
        <v/>
      </c>
      <c r="T1537" t="n">
        <v>0</v>
      </c>
      <c r="V1537" t="n">
        <v>0</v>
      </c>
    </row>
    <row r="1538">
      <c r="A1538">
        <f>Skills!A18</f>
        <v/>
      </c>
      <c r="B1538">
        <f>Skills!B18</f>
        <v/>
      </c>
      <c r="C1538">
        <f>Inputs!$B$3&gt;=100</f>
        <v/>
      </c>
      <c r="D1538">
        <f>IF(Skills!C18=1,60+Inputs!$B$25+Inputs!$B$29,IF(Skills!C18=2,90+Inputs!$B$26+Inputs!$B$29,IF(Skills!C18=3,120+Inputs!$B$27+Inputs!$B$29,MAX(0,(Inputs!$B$3-100)*3)+Inputs!$B$28+Inputs!$B$29)))</f>
        <v/>
      </c>
      <c r="E1538">
        <f>INDEX(FactorTable!$B$2:$Y$301, MATCH(ROUND(MIN(300,MAX(1,D1538)),0), FactorTable!$A$2:$A$301,0), Skills!M18+1)</f>
        <v/>
      </c>
      <c r="F1538">
        <f>IF(Skills!N18=TRUE,(Skills!L18/10)*(E1538/1000),Skills!L18/10)+Skills!O18</f>
        <v/>
      </c>
      <c r="G1538">
        <f>Skills!G18*IF(Skills!H18&gt;0,Skills!I18/Skills!H18,1)</f>
        <v/>
      </c>
      <c r="H1538">
        <f>1-(1-Skills!J18/100)^Skills!K18</f>
        <v/>
      </c>
      <c r="I1538" t="inlineStr">
        <is>
          <t>1</t>
        </is>
      </c>
      <c r="J1538" t="inlineStr"/>
      <c r="K1538" t="inlineStr"/>
      <c r="L1538" t="inlineStr"/>
      <c r="M1538" t="inlineStr"/>
      <c r="N1538" t="inlineStr"/>
      <c r="O1538">
        <f>(1-Summary!$B$11)*T1538+Summary!$B$11*V1538</f>
        <v/>
      </c>
      <c r="P1538">
        <f>IF(B1565=0,0,O1538/B1565)</f>
        <v/>
      </c>
      <c r="Q1538" t="n">
        <v>0</v>
      </c>
      <c r="R1538" t="n">
        <v>0</v>
      </c>
      <c r="S1538">
        <f>IFERROR(O1538/N1538,0)</f>
        <v/>
      </c>
      <c r="T1538" t="n">
        <v>0</v>
      </c>
      <c r="V1538" t="n">
        <v>0</v>
      </c>
    </row>
    <row r="1539">
      <c r="A1539">
        <f>Skills!A19</f>
        <v/>
      </c>
      <c r="B1539">
        <f>Skills!B19</f>
        <v/>
      </c>
      <c r="C1539">
        <f>TRUE</f>
        <v/>
      </c>
      <c r="D1539">
        <f>IF(Skills!C19=1,60+Inputs!$B$25+Inputs!$B$29,IF(Skills!C19=2,90+Inputs!$B$26+Inputs!$B$29,IF(Skills!C19=3,120+Inputs!$B$27+Inputs!$B$29,MAX(0,(Inputs!$B$3-100)*3)+Inputs!$B$28+Inputs!$B$29)))</f>
        <v/>
      </c>
      <c r="E1539">
        <f>INDEX(FactorTable!$B$2:$Y$301, MATCH(ROUND(MIN(300,MAX(1,D1539)),0), FactorTable!$A$2:$A$301,0), Skills!M19+1)</f>
        <v/>
      </c>
      <c r="F1539">
        <f>IF(Skills!N19=TRUE,(Skills!L19/10)*(E1539/1000),Skills!L19/10)+Skills!O19</f>
        <v/>
      </c>
      <c r="G1539">
        <f>Skills!G19*IF(Skills!H19&gt;0,Skills!I19/Skills!H19,1)</f>
        <v/>
      </c>
      <c r="H1539">
        <f>1-(1-Skills!J19/100)^Skills!K19</f>
        <v/>
      </c>
      <c r="I1539" t="inlineStr">
        <is>
          <t>1</t>
        </is>
      </c>
      <c r="J1539" t="inlineStr"/>
      <c r="K1539" t="inlineStr"/>
      <c r="L1539" t="inlineStr"/>
      <c r="M1539" t="inlineStr"/>
      <c r="N1539" t="inlineStr"/>
      <c r="O1539">
        <f>(1-Summary!$B$11)*T1539+Summary!$B$11*V1539</f>
        <v/>
      </c>
      <c r="P1539">
        <f>IF(B1565=0,0,O1539/B1565)</f>
        <v/>
      </c>
      <c r="Q1539">
        <f>IFERROR(1/IF(Inputs!$B$39="pvp",15,MAX(0.1,Skills!D19-IF(Skills!E19=TRUE,Inputs!$B$32,0))),0)</f>
        <v/>
      </c>
      <c r="R1539">
        <f>IF(AND(Inputs!$B$39&lt;&gt;"pvp",Inputs!$B$44&gt;0),IF(Inputs!$B$44&lt;=0,0,(INT(Inputs!$B$44/IF(Inputs!$B$39="pvp",15,MAX(0.1,Skills!D19-IF(Skills!E19=TRUE,Inputs!$B$32,0))))+1)),0)</f>
        <v/>
      </c>
      <c r="S1539">
        <f>IFERROR(O1539/N1539,0)</f>
        <v/>
      </c>
      <c r="T1539" t="n">
        <v>0</v>
      </c>
      <c r="V1539" t="n">
        <v>0</v>
      </c>
    </row>
    <row r="1540">
      <c r="A1540">
        <f>Skills!A20</f>
        <v/>
      </c>
      <c r="B1540">
        <f>Skills!B20</f>
        <v/>
      </c>
      <c r="C1540">
        <f>Inputs!$B$3&gt;=15</f>
        <v/>
      </c>
      <c r="D1540">
        <f>IF(Skills!C20=1,60+Inputs!$B$25+Inputs!$B$29,IF(Skills!C20=2,90+Inputs!$B$26+Inputs!$B$29,IF(Skills!C20=3,120+Inputs!$B$27+Inputs!$B$29,MAX(0,(Inputs!$B$3-100)*3)+Inputs!$B$28+Inputs!$B$29)))</f>
        <v/>
      </c>
      <c r="E1540">
        <f>INDEX(FactorTable!$B$2:$Y$301, MATCH(ROUND(MIN(300,MAX(1,D1540)),0), FactorTable!$A$2:$A$301,0), Skills!M20+1)</f>
        <v/>
      </c>
      <c r="F1540">
        <f>IF(Skills!N20=TRUE,(Skills!L20/10)*(E1540/1000),Skills!L20/10)+Skills!O20</f>
        <v/>
      </c>
      <c r="G1540">
        <f>Skills!G20*IF(Skills!H20&gt;0,Skills!I20/Skills!H20,1)</f>
        <v/>
      </c>
      <c r="H1540">
        <f>1-(1-Skills!J20/100)^Skills!K20</f>
        <v/>
      </c>
      <c r="I1540" t="inlineStr">
        <is>
          <t>1</t>
        </is>
      </c>
      <c r="J1540" t="inlineStr"/>
      <c r="K1540" t="inlineStr"/>
      <c r="L1540" t="inlineStr"/>
      <c r="M1540" t="inlineStr"/>
      <c r="N1540" t="inlineStr"/>
      <c r="O1540">
        <f>(1-Summary!$B$11)*T1540+Summary!$B$11*V1540</f>
        <v/>
      </c>
      <c r="P1540">
        <f>IF(B1565=0,0,O1540/B1565)</f>
        <v/>
      </c>
      <c r="Q1540">
        <f>IFERROR(1/IF(Inputs!$B$39="pvp",15,MAX(0.1,Skills!D20-IF(Skills!E20=TRUE,Inputs!$B$32,0))),0)</f>
        <v/>
      </c>
      <c r="R1540">
        <f>IF(AND(Inputs!$B$39&lt;&gt;"pvp",Inputs!$B$44&gt;0),IF(Inputs!$B$44&lt;=0,0,(INT(Inputs!$B$44/IF(Inputs!$B$39="pvp",15,MAX(0.1,Skills!D20-IF(Skills!E20=TRUE,Inputs!$B$32,0))))+1)),0)</f>
        <v/>
      </c>
      <c r="S1540">
        <f>IFERROR(O1540/N1540,0)</f>
        <v/>
      </c>
      <c r="T1540" t="n">
        <v>0</v>
      </c>
      <c r="V1540" t="n">
        <v>0</v>
      </c>
    </row>
    <row r="1541">
      <c r="A1541">
        <f>Skills!A21</f>
        <v/>
      </c>
      <c r="B1541">
        <f>Skills!B21</f>
        <v/>
      </c>
      <c r="C1541">
        <f>Inputs!$B$3&gt;=15</f>
        <v/>
      </c>
      <c r="D1541">
        <f>IF(Skills!C21=1,60+Inputs!$B$25+Inputs!$B$29,IF(Skills!C21=2,90+Inputs!$B$26+Inputs!$B$29,IF(Skills!C21=3,120+Inputs!$B$27+Inputs!$B$29,MAX(0,(Inputs!$B$3-100)*3)+Inputs!$B$28+Inputs!$B$29)))</f>
        <v/>
      </c>
      <c r="E1541">
        <f>INDEX(FactorTable!$B$2:$Y$301, MATCH(ROUND(MIN(300,MAX(1,D1541)),0), FactorTable!$A$2:$A$301,0), Skills!M21+1)</f>
        <v/>
      </c>
      <c r="F1541">
        <f>IF(Skills!N21=TRUE,(Skills!L21/10)*(E1541/1000),Skills!L21/10)+Skills!O21</f>
        <v/>
      </c>
      <c r="G1541">
        <f>Skills!G21*IF(Skills!H21&gt;0,Skills!I21/Skills!H21,1)</f>
        <v/>
      </c>
      <c r="H1541">
        <f>1-(1-Skills!J21/100)^Skills!K21</f>
        <v/>
      </c>
      <c r="I1541" t="inlineStr">
        <is>
          <t>1</t>
        </is>
      </c>
      <c r="J1541" t="inlineStr"/>
      <c r="K1541" t="inlineStr"/>
      <c r="L1541" t="inlineStr"/>
      <c r="M1541" t="inlineStr"/>
      <c r="N1541" t="inlineStr"/>
      <c r="O1541">
        <f>(1-Summary!$B$11)*T1541+Summary!$B$11*V1541</f>
        <v/>
      </c>
      <c r="P1541">
        <f>IF(B1565=0,0,O1541/B1565)</f>
        <v/>
      </c>
      <c r="Q1541">
        <f>IFERROR(1/IF(Inputs!$B$39="pvp",15,MAX(0.1,Skills!D21-IF(Skills!E21=TRUE,Inputs!$B$32,0))),0)</f>
        <v/>
      </c>
      <c r="R1541">
        <f>IF(AND(Inputs!$B$39&lt;&gt;"pvp",Inputs!$B$44&gt;0),IF(Inputs!$B$44&lt;=0,0,(INT(Inputs!$B$44/IF(Inputs!$B$39="pvp",15,MAX(0.1,Skills!D21-IF(Skills!E21=TRUE,Inputs!$B$32,0))))+1)),0)</f>
        <v/>
      </c>
      <c r="S1541">
        <f>IFERROR(O1541/N1541,0)</f>
        <v/>
      </c>
      <c r="T1541" t="n">
        <v>0</v>
      </c>
      <c r="V1541" t="n">
        <v>0</v>
      </c>
    </row>
    <row r="1542">
      <c r="A1542">
        <f>Skills!A22</f>
        <v/>
      </c>
      <c r="B1542">
        <f>Skills!B22</f>
        <v/>
      </c>
      <c r="C1542">
        <f>Inputs!$B$3&gt;=33</f>
        <v/>
      </c>
      <c r="D1542">
        <f>IF(Skills!C22=1,60+Inputs!$B$25+Inputs!$B$29,IF(Skills!C22=2,90+Inputs!$B$26+Inputs!$B$29,IF(Skills!C22=3,120+Inputs!$B$27+Inputs!$B$29,MAX(0,(Inputs!$B$3-100)*3)+Inputs!$B$28+Inputs!$B$29)))</f>
        <v/>
      </c>
      <c r="E1542">
        <f>INDEX(FactorTable!$B$2:$Y$301, MATCH(ROUND(MIN(300,MAX(1,D1542)),0), FactorTable!$A$2:$A$301,0), Skills!M22+1)</f>
        <v/>
      </c>
      <c r="F1542">
        <f>IF(Skills!N22=TRUE,(Skills!L22/10)*(E1542/1000),Skills!L22/10)+Skills!O22</f>
        <v/>
      </c>
      <c r="G1542">
        <f>Skills!G22*IF(Skills!H22&gt;0,Skills!I22/Skills!H22,1)</f>
        <v/>
      </c>
      <c r="H1542">
        <f>1-(1-Skills!J22/100)^Skills!K22</f>
        <v/>
      </c>
      <c r="I1542" t="inlineStr">
        <is>
          <t>1</t>
        </is>
      </c>
      <c r="J1542" t="inlineStr"/>
      <c r="K1542" t="inlineStr"/>
      <c r="L1542" t="inlineStr"/>
      <c r="M1542" t="inlineStr"/>
      <c r="N1542" t="inlineStr"/>
      <c r="O1542">
        <f>(1-Summary!$B$11)*T1542+Summary!$B$11*V1542</f>
        <v/>
      </c>
      <c r="P1542">
        <f>IF(B1565=0,0,O1542/B1565)</f>
        <v/>
      </c>
      <c r="Q1542" t="n">
        <v>0</v>
      </c>
      <c r="R1542" t="n">
        <v>0</v>
      </c>
      <c r="S1542">
        <f>IFERROR(O1542/N1542,0)</f>
        <v/>
      </c>
      <c r="T1542" t="n">
        <v>0</v>
      </c>
      <c r="V1542" t="n">
        <v>0</v>
      </c>
    </row>
    <row r="1543">
      <c r="A1543">
        <f>Skills!A23</f>
        <v/>
      </c>
      <c r="B1543">
        <f>Skills!B23</f>
        <v/>
      </c>
      <c r="C1543">
        <f>Inputs!$B$3&gt;=40</f>
        <v/>
      </c>
      <c r="D1543">
        <f>IF(Skills!C23=1,60+Inputs!$B$25+Inputs!$B$29,IF(Skills!C23=2,90+Inputs!$B$26+Inputs!$B$29,IF(Skills!C23=3,120+Inputs!$B$27+Inputs!$B$29,MAX(0,(Inputs!$B$3-100)*3)+Inputs!$B$28+Inputs!$B$29)))</f>
        <v/>
      </c>
      <c r="E1543">
        <f>INDEX(FactorTable!$B$2:$Y$301, MATCH(ROUND(MIN(300,MAX(1,D1543)),0), FactorTable!$A$2:$A$301,0), Skills!M23+1)</f>
        <v/>
      </c>
      <c r="F1543">
        <f>IF(Skills!N23=TRUE,(Skills!L23/10)*(E1543/1000),Skills!L23/10)+Skills!O23</f>
        <v/>
      </c>
      <c r="G1543">
        <f>Skills!G23*IF(Skills!H23&gt;0,Skills!I23/Skills!H23,1)</f>
        <v/>
      </c>
      <c r="H1543">
        <f>1-(1-Skills!J23/100)^Skills!K23</f>
        <v/>
      </c>
      <c r="I1543" t="inlineStr">
        <is>
          <t>1</t>
        </is>
      </c>
      <c r="J1543" t="inlineStr"/>
      <c r="K1543" t="inlineStr"/>
      <c r="L1543" t="inlineStr"/>
      <c r="M1543" t="inlineStr"/>
      <c r="N1543" t="inlineStr"/>
      <c r="O1543">
        <f>(1-Summary!$B$11)*T1543+Summary!$B$11*V1543</f>
        <v/>
      </c>
      <c r="P1543">
        <f>IF(B1565=0,0,O1543/B1565)</f>
        <v/>
      </c>
      <c r="Q1543" t="n">
        <v>0</v>
      </c>
      <c r="R1543" t="n">
        <v>0</v>
      </c>
      <c r="S1543">
        <f>IFERROR(O1543/N1543,0)</f>
        <v/>
      </c>
      <c r="T1543" t="n">
        <v>0</v>
      </c>
      <c r="V1543" t="n">
        <v>0</v>
      </c>
    </row>
    <row r="1544">
      <c r="A1544">
        <f>Skills!A24</f>
        <v/>
      </c>
      <c r="B1544">
        <f>Skills!B24</f>
        <v/>
      </c>
      <c r="C1544">
        <f>Inputs!$B$3&gt;=43</f>
        <v/>
      </c>
      <c r="D1544">
        <f>IF(Skills!C24=1,60+Inputs!$B$25+Inputs!$B$29,IF(Skills!C24=2,90+Inputs!$B$26+Inputs!$B$29,IF(Skills!C24=3,120+Inputs!$B$27+Inputs!$B$29,MAX(0,(Inputs!$B$3-100)*3)+Inputs!$B$28+Inputs!$B$29)))</f>
        <v/>
      </c>
      <c r="E1544">
        <f>INDEX(FactorTable!$B$2:$Y$301, MATCH(ROUND(MIN(300,MAX(1,D1544)),0), FactorTable!$A$2:$A$301,0), Skills!M24+1)</f>
        <v/>
      </c>
      <c r="F1544">
        <f>IF(Skills!N24=TRUE,(Skills!L24/10)*(E1544/1000),Skills!L24/10)+Skills!O24</f>
        <v/>
      </c>
      <c r="G1544">
        <f>Skills!G24*IF(Skills!H24&gt;0,Skills!I24/Skills!H24,1)</f>
        <v/>
      </c>
      <c r="H1544">
        <f>1-(1-Skills!J24/100)^Skills!K24</f>
        <v/>
      </c>
      <c r="I1544" t="inlineStr">
        <is>
          <t>1</t>
        </is>
      </c>
      <c r="J1544" t="inlineStr"/>
      <c r="K1544" t="inlineStr"/>
      <c r="L1544" t="inlineStr"/>
      <c r="M1544" t="inlineStr"/>
      <c r="N1544" t="inlineStr"/>
      <c r="O1544">
        <f>(1-Summary!$B$11)*T1544+Summary!$B$11*V1544</f>
        <v/>
      </c>
      <c r="P1544">
        <f>IF(B1565=0,0,O1544/B1565)</f>
        <v/>
      </c>
      <c r="Q1544" t="n">
        <v>0</v>
      </c>
      <c r="R1544" t="n">
        <v>0</v>
      </c>
      <c r="S1544">
        <f>IFERROR(O1544/N1544,0)</f>
        <v/>
      </c>
      <c r="T1544" t="n">
        <v>0</v>
      </c>
      <c r="V1544" t="n">
        <v>0</v>
      </c>
    </row>
    <row r="1545">
      <c r="A1545">
        <f>Skills!A25</f>
        <v/>
      </c>
      <c r="B1545">
        <f>Skills!B25</f>
        <v/>
      </c>
      <c r="C1545">
        <f>Inputs!$B$3&gt;=50</f>
        <v/>
      </c>
      <c r="D1545">
        <f>IF(Skills!C25=1,60+Inputs!$B$25+Inputs!$B$29,IF(Skills!C25=2,90+Inputs!$B$26+Inputs!$B$29,IF(Skills!C25=3,120+Inputs!$B$27+Inputs!$B$29,MAX(0,(Inputs!$B$3-100)*3)+Inputs!$B$28+Inputs!$B$29)))</f>
        <v/>
      </c>
      <c r="E1545">
        <f>INDEX(FactorTable!$B$2:$Y$301, MATCH(ROUND(MIN(300,MAX(1,D1545)),0), FactorTable!$A$2:$A$301,0), Skills!M25+1)</f>
        <v/>
      </c>
      <c r="F1545">
        <f>IF(Skills!N25=TRUE,(Skills!L25/10)*(E1545/1000),Skills!L25/10)+Skills!O25</f>
        <v/>
      </c>
      <c r="G1545">
        <f>Skills!G25*IF(Skills!H25&gt;0,Skills!I25/Skills!H25,1)</f>
        <v/>
      </c>
      <c r="H1545">
        <f>1-(1-Skills!J25/100)^Skills!K25</f>
        <v/>
      </c>
      <c r="I1545" t="inlineStr">
        <is>
          <t>1</t>
        </is>
      </c>
      <c r="J1545" t="inlineStr"/>
      <c r="K1545" t="inlineStr"/>
      <c r="L1545" t="inlineStr"/>
      <c r="M1545" t="inlineStr"/>
      <c r="N1545" t="inlineStr"/>
      <c r="O1545">
        <f>(1-Summary!$B$11)*T1545+Summary!$B$11*V1545</f>
        <v/>
      </c>
      <c r="P1545">
        <f>IF(B1565=0,0,O1545/B1565)</f>
        <v/>
      </c>
      <c r="Q1545" t="n">
        <v>0</v>
      </c>
      <c r="R1545" t="n">
        <v>0</v>
      </c>
      <c r="S1545">
        <f>IFERROR(O1545/N1545,0)</f>
        <v/>
      </c>
      <c r="T1545" t="n">
        <v>0</v>
      </c>
      <c r="V1545" t="n">
        <v>0</v>
      </c>
    </row>
    <row r="1546">
      <c r="A1546">
        <f>Skills!A26</f>
        <v/>
      </c>
      <c r="B1546">
        <f>Skills!B26</f>
        <v/>
      </c>
      <c r="C1546">
        <f>Inputs!$B$3&gt;=50</f>
        <v/>
      </c>
      <c r="D1546">
        <f>IF(Skills!C26=1,60+Inputs!$B$25+Inputs!$B$29,IF(Skills!C26=2,90+Inputs!$B$26+Inputs!$B$29,IF(Skills!C26=3,120+Inputs!$B$27+Inputs!$B$29,MAX(0,(Inputs!$B$3-100)*3)+Inputs!$B$28+Inputs!$B$29)))</f>
        <v/>
      </c>
      <c r="E1546">
        <f>INDEX(FactorTable!$B$2:$Y$301, MATCH(ROUND(MIN(300,MAX(1,D1546)),0), FactorTable!$A$2:$A$301,0), Skills!M26+1)</f>
        <v/>
      </c>
      <c r="F1546">
        <f>IF(Skills!N26=TRUE,(Skills!L26/10)*(E1546/1000),Skills!L26/10)+Skills!O26</f>
        <v/>
      </c>
      <c r="G1546">
        <f>Skills!G26*IF(Skills!H26&gt;0,Skills!I26/Skills!H26,1)</f>
        <v/>
      </c>
      <c r="H1546">
        <f>1-(1-Skills!J26/100)^Skills!K26</f>
        <v/>
      </c>
      <c r="I1546" t="inlineStr">
        <is>
          <t>1</t>
        </is>
      </c>
      <c r="J1546" t="inlineStr"/>
      <c r="K1546" t="inlineStr"/>
      <c r="L1546" t="inlineStr"/>
      <c r="M1546" t="inlineStr"/>
      <c r="N1546" t="inlineStr"/>
      <c r="O1546">
        <f>(1-Summary!$B$11)*T1546+Summary!$B$11*V1546</f>
        <v/>
      </c>
      <c r="P1546">
        <f>IF(B1565=0,0,O1546/B1565)</f>
        <v/>
      </c>
      <c r="Q1546" t="n">
        <v>0</v>
      </c>
      <c r="R1546" t="n">
        <v>0</v>
      </c>
      <c r="S1546">
        <f>IFERROR(O1546/N1546,0)</f>
        <v/>
      </c>
      <c r="T1546" t="n">
        <v>0</v>
      </c>
      <c r="V1546" t="n">
        <v>0</v>
      </c>
    </row>
    <row r="1547">
      <c r="A1547">
        <f>Skills!A27</f>
        <v/>
      </c>
      <c r="B1547">
        <f>Skills!B27</f>
        <v/>
      </c>
      <c r="C1547">
        <f>Inputs!$B$3&gt;=38</f>
        <v/>
      </c>
      <c r="D1547">
        <f>IF(Skills!C27=1,60+Inputs!$B$25+Inputs!$B$29,IF(Skills!C27=2,90+Inputs!$B$26+Inputs!$B$29,IF(Skills!C27=3,120+Inputs!$B$27+Inputs!$B$29,MAX(0,(Inputs!$B$3-100)*3)+Inputs!$B$28+Inputs!$B$29)))</f>
        <v/>
      </c>
      <c r="E1547">
        <f>INDEX(FactorTable!$B$2:$Y$301, MATCH(ROUND(MIN(300,MAX(1,D1547)),0), FactorTable!$A$2:$A$301,0), Skills!M27+1)</f>
        <v/>
      </c>
      <c r="F1547">
        <f>IF(Skills!N27=TRUE,(Skills!L27/10)*(E1547/1000),Skills!L27/10)+Skills!O27</f>
        <v/>
      </c>
      <c r="G1547">
        <f>Skills!G27*IF(Skills!H27&gt;0,Skills!I27/Skills!H27,1)</f>
        <v/>
      </c>
      <c r="H1547">
        <f>1-(1-Skills!J27/100)^Skills!K27</f>
        <v/>
      </c>
      <c r="I1547" t="inlineStr">
        <is>
          <t>1</t>
        </is>
      </c>
      <c r="J1547" t="inlineStr"/>
      <c r="K1547" t="inlineStr"/>
      <c r="L1547" t="inlineStr"/>
      <c r="M1547" t="inlineStr"/>
      <c r="N1547" t="inlineStr"/>
      <c r="O1547">
        <f>(1-Summary!$B$11)*T1547+Summary!$B$11*V1547</f>
        <v/>
      </c>
      <c r="P1547">
        <f>IF(B1565=0,0,O1547/B1565)</f>
        <v/>
      </c>
      <c r="Q1547" t="n">
        <v>0</v>
      </c>
      <c r="R1547" t="n">
        <v>0</v>
      </c>
      <c r="S1547">
        <f>IFERROR(O1547/N1547,0)</f>
        <v/>
      </c>
      <c r="T1547" t="n">
        <v>0</v>
      </c>
      <c r="V1547" t="n">
        <v>0</v>
      </c>
    </row>
    <row r="1548">
      <c r="A1548">
        <f>Skills!A28</f>
        <v/>
      </c>
      <c r="B1548">
        <f>Skills!B28</f>
        <v/>
      </c>
      <c r="C1548">
        <f>Inputs!$B$3&gt;=120</f>
        <v/>
      </c>
      <c r="D1548">
        <f>IF(Skills!C28=1,60+Inputs!$B$25+Inputs!$B$29,IF(Skills!C28=2,90+Inputs!$B$26+Inputs!$B$29,IF(Skills!C28=3,120+Inputs!$B$27+Inputs!$B$29,MAX(0,(Inputs!$B$3-100)*3)+Inputs!$B$28+Inputs!$B$29)))</f>
        <v/>
      </c>
      <c r="E1548">
        <f>INDEX(FactorTable!$B$2:$Y$301, MATCH(ROUND(MIN(300,MAX(1,D1548)),0), FactorTable!$A$2:$A$301,0), Skills!M28+1)</f>
        <v/>
      </c>
      <c r="F1548">
        <f>IF(Skills!N28=TRUE,(Skills!L28/10)*(E1548/1000),Skills!L28/10)+Skills!O28</f>
        <v/>
      </c>
      <c r="G1548">
        <f>Skills!G28*IF(Skills!H28&gt;0,Skills!I28/Skills!H28,1)</f>
        <v/>
      </c>
      <c r="H1548">
        <f>1-(1-Skills!J28/100)^Skills!K28</f>
        <v/>
      </c>
      <c r="I1548" t="inlineStr">
        <is>
          <t>1</t>
        </is>
      </c>
      <c r="J1548" t="inlineStr"/>
      <c r="K1548" t="inlineStr"/>
      <c r="L1548" t="inlineStr"/>
      <c r="M1548" t="inlineStr"/>
      <c r="N1548" t="inlineStr"/>
      <c r="O1548">
        <f>(1-Summary!$B$11)*T1548+Summary!$B$11*V1548</f>
        <v/>
      </c>
      <c r="P1548">
        <f>IF(B1565=0,0,O1548/B1565)</f>
        <v/>
      </c>
      <c r="Q1548" t="n">
        <v>0</v>
      </c>
      <c r="R1548" t="n">
        <v>0</v>
      </c>
      <c r="S1548">
        <f>IFERROR(O1548/N1548,0)</f>
        <v/>
      </c>
      <c r="T1548" t="n">
        <v>0</v>
      </c>
      <c r="V1548" t="n">
        <v>0</v>
      </c>
    </row>
    <row r="1549">
      <c r="A1549">
        <f>Skills!A29</f>
        <v/>
      </c>
      <c r="B1549">
        <f>Skills!B29</f>
        <v/>
      </c>
      <c r="C1549">
        <f>Inputs!$B$3&gt;=120</f>
        <v/>
      </c>
      <c r="D1549">
        <f>IF(Skills!C29=1,60+Inputs!$B$25+Inputs!$B$29,IF(Skills!C29=2,90+Inputs!$B$26+Inputs!$B$29,IF(Skills!C29=3,120+Inputs!$B$27+Inputs!$B$29,MAX(0,(Inputs!$B$3-100)*3)+Inputs!$B$28+Inputs!$B$29)))</f>
        <v/>
      </c>
      <c r="E1549">
        <f>INDEX(FactorTable!$B$2:$Y$301, MATCH(ROUND(MIN(300,MAX(1,D1549)),0), FactorTable!$A$2:$A$301,0), Skills!M29+1)</f>
        <v/>
      </c>
      <c r="F1549">
        <f>IF(Skills!N29=TRUE,(Skills!L29/10)*(E1549/1000),Skills!L29/10)+Skills!O29</f>
        <v/>
      </c>
      <c r="G1549">
        <f>Skills!G29*IF(Skills!H29&gt;0,Skills!I29/Skills!H29,1)</f>
        <v/>
      </c>
      <c r="H1549">
        <f>1-(1-Skills!J29/100)^Skills!K29</f>
        <v/>
      </c>
      <c r="I1549" t="inlineStr">
        <is>
          <t>1</t>
        </is>
      </c>
      <c r="J1549" t="inlineStr"/>
      <c r="K1549" t="inlineStr"/>
      <c r="L1549" t="inlineStr"/>
      <c r="M1549" t="inlineStr"/>
      <c r="N1549" t="inlineStr"/>
      <c r="O1549">
        <f>(1-Summary!$B$11)*T1549+Summary!$B$11*V1549</f>
        <v/>
      </c>
      <c r="P1549">
        <f>IF(B1565=0,0,O1549/B1565)</f>
        <v/>
      </c>
      <c r="Q1549" t="n">
        <v>0</v>
      </c>
      <c r="R1549" t="n">
        <v>0</v>
      </c>
      <c r="S1549">
        <f>IFERROR(O1549/N1549,0)</f>
        <v/>
      </c>
      <c r="T1549" t="n">
        <v>0</v>
      </c>
      <c r="V1549" t="n">
        <v>0</v>
      </c>
    </row>
    <row r="1550">
      <c r="A1550">
        <f>Skills!A30</f>
        <v/>
      </c>
      <c r="B1550">
        <f>Skills!B30</f>
        <v/>
      </c>
      <c r="C1550">
        <f>Inputs!$B$3&gt;=125</f>
        <v/>
      </c>
      <c r="D1550">
        <f>IF(Skills!C30=1,60+Inputs!$B$25+Inputs!$B$29,IF(Skills!C30=2,90+Inputs!$B$26+Inputs!$B$29,IF(Skills!C30=3,120+Inputs!$B$27+Inputs!$B$29,MAX(0,(Inputs!$B$3-100)*3)+Inputs!$B$28+Inputs!$B$29)))</f>
        <v/>
      </c>
      <c r="E1550">
        <f>INDEX(FactorTable!$B$2:$Y$301, MATCH(ROUND(MIN(300,MAX(1,D1550)),0), FactorTable!$A$2:$A$301,0), Skills!M30+1)</f>
        <v/>
      </c>
      <c r="F1550">
        <f>IF(Skills!N30=TRUE,(Skills!L30/10)*(E1550/1000),Skills!L30/10)+Skills!O30</f>
        <v/>
      </c>
      <c r="G1550">
        <f>Skills!G30*IF(Skills!H30&gt;0,Skills!I30/Skills!H30,1)</f>
        <v/>
      </c>
      <c r="H1550">
        <f>1-(1-Skills!J30/100)^Skills!K30</f>
        <v/>
      </c>
      <c r="I1550" t="inlineStr">
        <is>
          <t>1</t>
        </is>
      </c>
      <c r="J1550" t="inlineStr"/>
      <c r="K1550" t="inlineStr"/>
      <c r="L1550" t="inlineStr"/>
      <c r="M1550" t="inlineStr"/>
      <c r="N1550" t="inlineStr"/>
      <c r="O1550">
        <f>(1-Summary!$B$11)*T1550+Summary!$B$11*V1550</f>
        <v/>
      </c>
      <c r="P1550">
        <f>IF(B1565=0,0,O1550/B1565)</f>
        <v/>
      </c>
      <c r="Q1550" t="n">
        <v>0</v>
      </c>
      <c r="R1550" t="n">
        <v>0</v>
      </c>
      <c r="S1550">
        <f>IFERROR(O1550/N1550,0)</f>
        <v/>
      </c>
      <c r="T1550" t="n">
        <v>0</v>
      </c>
      <c r="V1550" t="n">
        <v>0</v>
      </c>
    </row>
    <row r="1552">
      <c r="A1552" t="inlineStr">
        <is>
          <t>Average Buff Multiplier</t>
        </is>
      </c>
      <c r="B1552">
        <f>(1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f>
        <v/>
      </c>
    </row>
    <row r="1553">
      <c r="A1553" t="inlineStr">
        <is>
          <t>Global Crit Rate Bonus %</t>
        </is>
      </c>
      <c r="B1553">
        <f>((C1540=TRUE)*F1540*IF(AND(Inputs!$B$39&lt;&gt;"pvp",Inputs!$B$44&gt;0),(((R1540-1)*(Skills!Y20*(1+Inputs!$B$34/100))+MIN((Skills!Y20*(1+Inputs!$B$34/100)),MAX(0,Inputs!$B$44-((R1540-1)*Skills!D20))))/Inputs!$B$44),IF(Inputs!$B$39="pvp",MIN((Skills!Y20*(1+Inputs!$B$34/100)),15)/15,(Skills!Y20*(1+Inputs!$B$34/100))/Skills!D20)))</f>
        <v/>
      </c>
    </row>
    <row r="1554">
      <c r="A1554" t="inlineStr">
        <is>
          <t>Global Monster Damage-Taken Bonus %</t>
        </is>
      </c>
      <c r="B1554">
        <f>IF(Inputs!$B$3&gt;=82,15,0)</f>
        <v/>
      </c>
    </row>
    <row r="1555">
      <c r="A1555" t="inlineStr">
        <is>
          <t>Shadow Partner Average Multiplier</t>
        </is>
      </c>
      <c r="B1555">
        <f>1+((C1527=TRUE)*F1527*(1+3.3333333333333335*IF(C1538=TRUE,F1538,0)/100)*I1527*Skills!J7/100)/100</f>
        <v/>
      </c>
    </row>
    <row r="1556">
      <c r="A1556" t="inlineStr">
        <is>
          <t>Attack Speed Buff Bonus %</t>
        </is>
      </c>
      <c r="B1556">
        <f>((C1539=TRUE)*F1539*IF(AND(Inputs!$B$39&lt;&gt;"pvp",Inputs!$B$44&gt;0),(((R1539-1)*(Skills!Y19*(1+Inputs!$B$34/100))+MIN((Skills!Y19*(1+Inputs!$B$34/100)),MAX(0,Inputs!$B$44-((R1539-1)*Skills!D19))))/Inputs!$B$44),IF(Inputs!$B$39="pvp",MIN((Skills!Y19*(1+Inputs!$B$34/100)),15)/15,(Skills!Y19*(1+Inputs!$B$34/100))/Skills!D19)))+((C1523=TRUE)*F1523*3)</f>
        <v/>
      </c>
    </row>
    <row r="1557">
      <c r="A1557" t="inlineStr">
        <is>
          <t>Actions Per Second</t>
        </is>
      </c>
      <c r="B1557">
        <f>1+MIN(150,150*(1-(1-(Inputs!$B$11+((C1542=TRUE)*(F1542-Calc!F22)))/150)*(1-B1556/150)))/100</f>
        <v/>
      </c>
    </row>
    <row r="1558">
      <c r="A1558" t="inlineStr">
        <is>
          <t>Skill + Buff Cast Rate</t>
        </is>
      </c>
      <c r="B1558">
        <f>IF(AND(Inputs!$B$39&lt;&gt;"pvp",Inputs!$B$44&gt;0),SUMPRODUCT((Skills!E2:E30=TRUE)*(C1522:C1550=TRUE)*R1522:R1550*Skills!F2:F30)/Inputs!$B$44,SUMPRODUCT((Skills!E2:E30=TRUE)*(C1522:C1550=TRUE)*Q1522:Q1550*Skills!F2:F30))</f>
        <v/>
      </c>
    </row>
    <row r="1559">
      <c r="A1559" t="inlineStr">
        <is>
          <t>Cruel Stab Casts Per Second</t>
        </is>
      </c>
      <c r="B1559">
        <f>MAX(0,B1557-B1558)</f>
        <v/>
      </c>
    </row>
    <row r="1560">
      <c r="A1560" t="inlineStr">
        <is>
          <t>Global Critical Damage Bonus % (Smokescreen Mastery Lv.113)</t>
        </is>
      </c>
      <c r="B1560">
        <f>IF(Inputs!$B$3&gt;=113,30,0)*IF(AND(Inputs!$B$39&lt;&gt;"pvp",Inputs!$B$44&gt;0),(((R1535-1)*(Skills!Y15*(1+Inputs!$B$34/100))+MIN((Skills!Y15*(1+Inputs!$B$34/100)),MAX(0,Inputs!$B$44-((R1535-1)*Skills!D15))))/Inputs!$B$44),IF(Inputs!$B$39="pvp",MIN((Skills!Y15*(1+Inputs!$B$34/100)),15)/15,(Skills!Y15*(1+Inputs!$B$34/100))/Skills!D15))</f>
        <v/>
      </c>
    </row>
    <row r="1561">
      <c r="A1561" t="inlineStr">
        <is>
          <t>Meso Explosion average stack count</t>
        </is>
      </c>
      <c r="B1561">
        <f>MIN(10,0.5*B1557*Skills!D4)</f>
        <v/>
      </c>
    </row>
    <row r="1562">
      <c r="A1562" t="inlineStr">
        <is>
          <t>Blood Money average stack count</t>
        </is>
      </c>
      <c r="B1562">
        <f>MIN(5,0.25*B1557*Skills!D4)</f>
        <v/>
      </c>
    </row>
    <row r="1563">
      <c r="A1563" t="inlineStr">
        <is>
          <t>Assassinate Murderous Intent Multiplier</t>
        </is>
      </c>
      <c r="B1563">
        <f>1+IFERROR(MIN(1,Q1534*2/Q1531),0)</f>
        <v/>
      </c>
    </row>
    <row r="1564">
      <c r="A1564" t="inlineStr">
        <is>
          <t>Buff-Casting Startup Delay (s, fixed-duration only)</t>
        </is>
      </c>
      <c r="B1564">
        <f>IF(AND(Inputs!$B$39&lt;&gt;"pvp",Inputs!$B$44&gt;0),SUMPRODUCT((Skills!Y2:Y30&gt;0)*(Skills!E2:E30=TRUE)*(C1522:C1550=TRUE))/B1557,0)</f>
        <v/>
      </c>
    </row>
    <row r="1565">
      <c r="A1565" s="6" t="inlineStr">
        <is>
          <t>TOTAL DPS</t>
        </is>
      </c>
      <c r="B1565" s="6">
        <f>SUM(O1522:O1550)</f>
        <v/>
      </c>
    </row>
    <row r="1566">
      <c r="A1566" t="inlineStr">
        <is>
          <t>Boss-Only Total DPS (this block's swept value)</t>
        </is>
      </c>
      <c r="B1566">
        <f>SUM(T1522:T1550)</f>
        <v/>
      </c>
    </row>
    <row r="1567">
      <c r="A1567" t="inlineStr">
        <is>
          <t>Normal-Only Total DPS (this block's swept value)</t>
        </is>
      </c>
      <c r="B1567">
        <f>SUM(V1522:V1550)</f>
        <v/>
      </c>
    </row>
    <row r="1570">
      <c r="A1570" s="6" t="inlineStr">
        <is>
          <t>Stat: The Contract of Darkness (Equip)</t>
        </is>
      </c>
    </row>
    <row r="1571">
      <c r="A1571" s="5" t="inlineStr">
        <is>
          <t>Key</t>
        </is>
      </c>
      <c r="B1571" s="5" t="inlineStr">
        <is>
          <t>Name</t>
        </is>
      </c>
      <c r="C1571" s="5" t="inlineStr">
        <is>
          <t>Unlocked</t>
        </is>
      </c>
      <c r="D1571" s="5" t="inlineStr">
        <is>
          <t>InputLevel</t>
        </is>
      </c>
      <c r="E1571" s="5" t="inlineStr">
        <is>
          <t>Factor</t>
        </is>
      </c>
      <c r="F1571" s="5" t="inlineStr">
        <is>
          <t>CoefficientPercent</t>
        </is>
      </c>
      <c r="G1571" s="5" t="inlineStr">
        <is>
          <t>EffectiveHits</t>
        </is>
      </c>
      <c r="H1571" s="5" t="inlineStr">
        <is>
          <t>ProcProbability</t>
        </is>
      </c>
      <c r="I1571" s="5" t="inlineStr">
        <is>
          <t>MapleHeroMultiplier</t>
        </is>
      </c>
      <c r="J1571" s="5" t="inlineStr">
        <is>
          <t>BaseDamage</t>
        </is>
      </c>
      <c r="K1571" s="5" t="inlineStr">
        <is>
          <t>BaseHitDamage</t>
        </is>
      </c>
      <c r="L1571" s="5" t="inlineStr">
        <is>
          <t>NonCritAvg</t>
        </is>
      </c>
      <c r="M1571" s="5" t="inlineStr">
        <is>
          <t>CritAvg</t>
        </is>
      </c>
      <c r="N1571" s="5" t="inlineStr">
        <is>
          <t>ExpectedDamage(perHit)</t>
        </is>
      </c>
      <c r="O1571" s="5" t="inlineStr">
        <is>
          <t>DPS</t>
        </is>
      </c>
      <c r="P1571" s="5" t="inlineStr">
        <is>
          <t>% of Total</t>
        </is>
      </c>
      <c r="Q1571" s="5" t="inlineStr">
        <is>
          <t>InvCooldown</t>
        </is>
      </c>
      <c r="R1571" s="5" t="inlineStr">
        <is>
          <t>CastsInFight</t>
        </is>
      </c>
      <c r="S1571" s="5" t="inlineStr">
        <is>
          <t>HitRate(perSec)</t>
        </is>
      </c>
      <c r="U1571" t="inlineStr">
        <is>
          <t>helpers</t>
        </is>
      </c>
    </row>
    <row r="1572">
      <c r="A1572">
        <f>Skills!A2</f>
        <v/>
      </c>
      <c r="B1572">
        <f>Skills!B2</f>
        <v/>
      </c>
      <c r="C1572">
        <f>Inputs!$B$3&gt;=100</f>
        <v/>
      </c>
      <c r="D1572" t="inlineStr"/>
      <c r="E1572" t="inlineStr"/>
      <c r="F1572">
        <f>U1574+Skills!O2</f>
        <v/>
      </c>
      <c r="G1572">
        <f>Skills!G2*IF(Skills!H2&gt;0,Skills!I2/Skills!H2,1)</f>
        <v/>
      </c>
      <c r="H1572">
        <f>1-(1-Skills!J2/100)^Skills!K2</f>
        <v/>
      </c>
      <c r="I1572" t="inlineStr">
        <is>
          <t>1</t>
        </is>
      </c>
      <c r="J1572">
        <f>((Inputs!$B$6*(1+Inputs!$B$7/100))+(((Inputs!$B$12*(1+Inputs!$B$13/100))-(Inputs!$B$12*(1+Inputs!$B$13/100)))+0.25*(Inputs!$B$14-Inputs!$B$14))*(1+Inputs!$B$7/100))*(F1572/100)</f>
        <v/>
      </c>
      <c r="K1572">
        <f>J1572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1572)</f>
        <v/>
      </c>
      <c r="L1572">
        <f>K1572*(MIN(Inputs!$B$22+((C1594=TRUE)*(F1594-Calc!F24)),(Inputs!$B$23+((C1599=TRUE)*(F1599-Calc!F29))+IF(ArtifactsInput!$M$15,CHOOSE(ArtifactsInput!$N$15+1,25,30,35,40,45,50)/100*(Inputs!$B$11-Inputs!$B$11),0)))/100+(Inputs!$B$23+((C1599=TRUE)*(F1599-Calc!F29))+IF(ArtifactsInput!$M$15,CHOOSE(ArtifactsInput!$N$15+1,25,30,35,40,45,50)/100*(Inputs!$B$11-Inputs!$B$11),0))/100)/2</f>
        <v/>
      </c>
      <c r="M1572">
        <f>L1572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2">
        <f>L1572*(1-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(1-Summary!$B$11)*T1572+Summary!$B$11*V1572</f>
        <v/>
      </c>
      <c r="P1572">
        <f>IF(B1615=0,0,O1572/B1615)</f>
        <v/>
      </c>
      <c r="Q1572" t="n">
        <v>0</v>
      </c>
      <c r="R1572" t="n">
        <v>0</v>
      </c>
      <c r="S1572">
        <f>IFERROR(O1572/N1572,0)</f>
        <v/>
      </c>
      <c r="T1572">
        <f>IF(C1572,(Skills!G2*N1572*B1609)*IF(Inputs!$B$39="pvp",1,1+(Inputs!$B$20+0+Skills!P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1572*(1-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1572*(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1572*(1-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MAX(0,(Inputs!$B$3-100)*3)+Inputs!$B$28+Inputs!$B$29</f>
        <v/>
      </c>
      <c r="V1572">
        <f>IF(C1572,(Skills!G2*N1572*B1609)*IF(Inputs!$B$39="pvp",1,(1+(Inputs!$B$21+Skills!Q2+B1604+(IF(ArtifactsInput!$M$33,CHOOSE(ArtifactsInput!$N$33+1,30,36,42,48,54,60),0))+(IF(AND(ArtifactsInput!$M$35,Inputs!$B$4&lt;&gt;"Chapter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Skills!A3</f>
        <v/>
      </c>
      <c r="B1573">
        <f>Skills!B3</f>
        <v/>
      </c>
      <c r="C1573">
        <f>Inputs!$B$3&gt;=35</f>
        <v/>
      </c>
      <c r="D1573">
        <f>IF(Skills!C3=1,60+Inputs!$B$25+Inputs!$B$29,IF(Skills!C3=2,90+Inputs!$B$26+Inputs!$B$29,IF(Skills!C3=3,120+Inputs!$B$27+Inputs!$B$29,MAX(0,(Inputs!$B$3-100)*3)+Inputs!$B$28+Inputs!$B$29)))</f>
        <v/>
      </c>
      <c r="E1573">
        <f>INDEX(FactorTable!$B$2:$Y$301, MATCH(ROUND(MIN(300,MAX(1,D1573)),0), FactorTable!$A$2:$A$301,0), Skills!M3+1)</f>
        <v/>
      </c>
      <c r="F1573">
        <f>IF(Skills!N3=TRUE,(Skills!L3/10)*(E1573/1000),Skills!L3/10)+Skills!O3</f>
        <v/>
      </c>
      <c r="G1573">
        <f>Skills!G3*IF(Skills!H3&gt;0,Skills!I3/Skills!H3,1)</f>
        <v/>
      </c>
      <c r="H1573">
        <f>1-(1-Skills!J3/100)^Skills!K3</f>
        <v/>
      </c>
      <c r="I1573" t="inlineStr">
        <is>
          <t>1</t>
        </is>
      </c>
      <c r="J1573" t="inlineStr"/>
      <c r="K1573" t="inlineStr"/>
      <c r="L1573" t="inlineStr"/>
      <c r="M1573" t="inlineStr"/>
      <c r="N1573" t="inlineStr"/>
      <c r="O1573">
        <f>(1-Summary!$B$11)*T1573+Summary!$B$11*V1573</f>
        <v/>
      </c>
      <c r="P1573">
        <f>IF(B1615=0,0,O1573/B1615)</f>
        <v/>
      </c>
      <c r="Q1573" t="n">
        <v>0</v>
      </c>
      <c r="R1573" t="n">
        <v>0</v>
      </c>
      <c r="S1573">
        <f>IFERROR(O1573/N1573,0)</f>
        <v/>
      </c>
      <c r="T1573" t="n">
        <v>0</v>
      </c>
      <c r="U1573">
        <f>INDEX(FactorTable!$B$2:$Y$301, MATCH(ROUND(MIN(300,MAX(1,U1572)),0), FactorTable!$A$2:$A$301,0), 22)</f>
        <v/>
      </c>
      <c r="V1573" t="n">
        <v>0</v>
      </c>
    </row>
    <row r="1574">
      <c r="A1574">
        <f>Skills!A4</f>
        <v/>
      </c>
      <c r="B1574">
        <f>Skills!B4</f>
        <v/>
      </c>
      <c r="C1574">
        <f>Inputs!$B$3&gt;=66</f>
        <v/>
      </c>
      <c r="D1574">
        <f>IF(Skills!C4=1,60+Inputs!$B$25+Inputs!$B$29,IF(Skills!C4=2,90+Inputs!$B$26+Inputs!$B$29,IF(Skills!C4=3,120+Inputs!$B$27+Inputs!$B$29,MAX(0,(Inputs!$B$3-100)*3)+Inputs!$B$28+Inputs!$B$29)))</f>
        <v/>
      </c>
      <c r="E1574">
        <f>INDEX(FactorTable!$B$2:$Y$301, MATCH(ROUND(MIN(300,MAX(1,D1574)),0), FactorTable!$A$2:$A$301,0), Skills!M4+1)</f>
        <v/>
      </c>
      <c r="F1574">
        <f>IF(Skills!N4=TRUE,(Skills!L4/10)*(E1574/1000),Skills!L4/10)+Skills!O4</f>
        <v/>
      </c>
      <c r="G1574">
        <f>Skills!G4*IF(Skills!H4&gt;0,Skills!I4/Skills!H4,1)</f>
        <v/>
      </c>
      <c r="H1574">
        <f>1-(1-Skills!J4/100)^Skills!K4</f>
        <v/>
      </c>
      <c r="I1574" t="inlineStr">
        <is>
          <t>1</t>
        </is>
      </c>
      <c r="J1574">
        <f>((Inputs!$B$6*(1+Inputs!$B$7/100))+(((Inputs!$B$12*(1+Inputs!$B$13/100))-(Inputs!$B$12*(1+Inputs!$B$13/100)))+0.25*(Inputs!$B$14-Inputs!$B$14))*(1+Inputs!$B$7/100))*(F1574/100)</f>
        <v/>
      </c>
      <c r="K1574">
        <f>J1574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1574)</f>
        <v/>
      </c>
      <c r="L1574">
        <f>K1574*(MIN(Inputs!$B$22+((C1594=TRUE)*(F1594-Calc!F24)),(Inputs!$B$23+((C1599=TRUE)*(F1599-Calc!F29))+IF(ArtifactsInput!$M$15,CHOOSE(ArtifactsInput!$N$15+1,25,30,35,40,45,50)/100*(Inputs!$B$11-Inputs!$B$11),0)))/100+(Inputs!$B$23+((C1599=TRUE)*(F1599-Calc!F29))+IF(ArtifactsInput!$M$15,CHOOSE(ArtifactsInput!$N$15+1,25,30,35,40,45,50)/100*(Inputs!$B$11-Inputs!$B$11),0))/100)/2</f>
        <v/>
      </c>
      <c r="M1574">
        <f>L1574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4">
        <f>L1574*(1-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1574*(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4">
        <f>(1-Summary!$B$11)*T1574+Summary!$B$11*V1574</f>
        <v/>
      </c>
      <c r="P1574">
        <f>IF(B1615=0,0,O1574/B1615)</f>
        <v/>
      </c>
      <c r="Q1574">
        <f>IFERROR(1/IF(Inputs!$B$39="pvp",15,MAX(0.1,Skills!D4-IF(Skills!E4=TRUE,Inputs!$B$32,0))),0)</f>
        <v/>
      </c>
      <c r="R1574">
        <f>IF(AND(Inputs!$B$39&lt;&gt;"pvp",Inputs!$B$44&gt;0),IF(MAX(0,Inputs!$B$44-B1614)&lt;=0,0,(INT(MAX(0,Inputs!$B$44-B1614)/IF(Inputs!$B$39="pvp",15,MAX(0.1,Skills!D4-IF(Skills!E4=TRUE,Inputs!$B$32,0))))+1)),0)</f>
        <v/>
      </c>
      <c r="S1574">
        <f>IFERROR(O1574/N1574,0)</f>
        <v/>
      </c>
      <c r="T1574">
        <f>IF(C1574,(H1574*N1574*IF(AND(Inputs!$B$39&lt;&gt;"pvp",Inputs!$B$44&gt;0),((Skills!G4*((R1574-1)*IF(Skills!H4&gt;0,Skills!I4/Skills!H4,1)+IF(Skills!H4&gt;0,MIN(Skills!I4,MAX(0,MAX(0,Inputs!$B$44-B1614)-((R1574-1)*IF(Inputs!$B$39="pvp",15,MAX(0.1,Skills!D4-IF(Skills!E4=TRUE,Inputs!$B$32,0))))))/Skills!H4,1)))/Inputs!$B$44),G1574*Q1574))*IF(Inputs!$B$39="pvp",1,1+(Inputs!$B$20+0+Skills!P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1574*(1-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1574*(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1574*(1-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1574*(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4">
        <f>290*U1573/1000</f>
        <v/>
      </c>
      <c r="V1574">
        <f>IF(C1574,(H1574*N1574*IF(AND(Inputs!$B$39&lt;&gt;"pvp",Inputs!$B$44&gt;0),((Skills!G4*((R1574-1)*IF(Skills!H4&gt;0,Skills!I4/Skills!H4,1)+IF(Skills!H4&gt;0,MIN(Skills!I4,MAX(0,MAX(0,Inputs!$B$44-B1614)-((R1574-1)*IF(Inputs!$B$39="pvp",15,MAX(0.1,Skills!D4-IF(Skills!E4=TRUE,Inputs!$B$32,0))))))/Skills!H4,1)))/Inputs!$B$44),G1574*Q1574))*IF(Inputs!$B$39="pvp",1,(1+(Inputs!$B$21+Skills!Q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(10,0.5*B1607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5">
      <c r="A1575">
        <f>Skills!A5</f>
        <v/>
      </c>
      <c r="B1575">
        <f>Skills!B5</f>
        <v/>
      </c>
      <c r="C1575">
        <f>Inputs!$B$3&gt;=63</f>
        <v/>
      </c>
      <c r="D1575">
        <f>IF(Skills!C5=1,60+Inputs!$B$25+Inputs!$B$29,IF(Skills!C5=2,90+Inputs!$B$26+Inputs!$B$29,IF(Skills!C5=3,120+Inputs!$B$27+Inputs!$B$29,MAX(0,(Inputs!$B$3-100)*3)+Inputs!$B$28+Inputs!$B$29)))</f>
        <v/>
      </c>
      <c r="E1575">
        <f>INDEX(FactorTable!$B$2:$Y$301, MATCH(ROUND(MIN(300,MAX(1,D1575)),0), FactorTable!$A$2:$A$301,0), Skills!M5+1)</f>
        <v/>
      </c>
      <c r="F1575">
        <f>IF(Skills!N5=TRUE,(Skills!L5/10)*(E1575/1000),Skills!L5/10)+Skills!O5</f>
        <v/>
      </c>
      <c r="G1575">
        <f>Skills!G5*IF(Skills!H5&gt;0,Skills!I5/Skills!H5,1)</f>
        <v/>
      </c>
      <c r="H1575">
        <f>1-(1-Skills!J5/100)^Skills!K5</f>
        <v/>
      </c>
      <c r="I1575" t="inlineStr">
        <is>
          <t>1</t>
        </is>
      </c>
      <c r="J1575">
        <f>((Inputs!$B$6*(1+Inputs!$B$7/100))+(((Inputs!$B$12*(1+Inputs!$B$13/100))-(Inputs!$B$12*(1+Inputs!$B$13/100)))+0.25*(Inputs!$B$14-Inputs!$B$14))*(1+Inputs!$B$7/100))*(F1575/100)</f>
        <v/>
      </c>
      <c r="K1575">
        <f>J1575*(1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1588=TRUE,F1588,0)/100)*(1+(IF(Skills!A5="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1575)</f>
        <v/>
      </c>
      <c r="L1575">
        <f>K1575*(MIN(Inputs!$B$22+((C1594=TRUE)*(F1594-Calc!F24)),(Inputs!$B$23+((C1599=TRUE)*(F1599-Calc!F29))+IF(ArtifactsInput!$M$15,CHOOSE(ArtifactsInput!$N$15+1,25,30,35,40,45,50)/100*(Inputs!$B$11-Inputs!$B$11),0)))/100+(Inputs!$B$23+((C1599=TRUE)*(F1599-Calc!F29))+IF(ArtifactsInput!$M$15,CHOOSE(ArtifactsInput!$N$15+1,25,30,35,40,45,50)/100*(Inputs!$B$11-Inputs!$B$11),0))/100)/2</f>
        <v/>
      </c>
      <c r="M1575">
        <f>L1575*(1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5">
        <f>L1575*(1-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1575*(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5">
        <f>(1-Summary!$B$11)*T1575+Summary!$B$11*V1575</f>
        <v/>
      </c>
      <c r="P1575">
        <f>IF(B1615=0,0,O1575/B1615)</f>
        <v/>
      </c>
      <c r="Q1575">
        <f>IFERROR(1/IF(Inputs!$B$39="pvp",15,MAX(0.1,Skills!D5-IF(Skills!E5=TRUE,Inputs!$B$32,0))),0)</f>
        <v/>
      </c>
      <c r="R1575">
        <f>IF(AND(Inputs!$B$39&lt;&gt;"pvp",Inputs!$B$44&gt;0),IF(MAX(0,Inputs!$B$44-B1614)&lt;=0,0,(INT(MAX(0,Inputs!$B$44-B1614)/IF(Inputs!$B$39="pvp",15,MAX(0.1,Skills!D5-IF(Skills!E5=TRUE,Inputs!$B$32,0))))+1)),0)</f>
        <v/>
      </c>
      <c r="S1575">
        <f>IFERROR(O1575/N1575,0)</f>
        <v/>
      </c>
      <c r="T1575">
        <f>IF(C1575,(H1575*N1575*IF(AND(Inputs!$B$39&lt;&gt;"pvp",Inputs!$B$44&gt;0),((Skills!G5*((R1575-1)*IF(Skills!H5&gt;0,Skills!I5/Skills!H5,1)+IF(Skills!H5&gt;0,MIN(Skills!I5,MAX(0,MAX(0,Inputs!$B$44-B1614)-((R1575-1)*IF(Inputs!$B$39="pvp",15,MAX(0.1,Skills!D5-IF(Skills!E5=TRUE,Inputs!$B$32,0))))))/Skills!H5,1)))/Inputs!$B$44),G1575*Q1575))*IF(Inputs!$B$39="pvp",1,1+(Inputs!$B$20+0+Skills!P5+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1575*(1-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1575*(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1575*(1-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1575*(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5">
        <f>IF(C1575,(H1575*N1575*IF(AND(Inputs!$B$39&lt;&gt;"pvp",Inputs!$B$44&gt;0),((Skills!G5*((R1575-1)*IF(Skills!H5&gt;0,Skills!I5/Skills!H5,1)+IF(Skills!H5&gt;0,MIN(Skills!I5,MAX(0,MAX(0,Inputs!$B$44-B1614)-((R1575-1)*IF(Inputs!$B$39="pvp",15,MAX(0.1,Skills!D5-IF(Skills!E5=TRUE,Inputs!$B$32,0))))))/Skills!H5,1)))/Inputs!$B$44),G1575*Q1575))*IF(Inputs!$B$39="pvp",1,(1+(Inputs!$B$21+Skills!Q5+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6">
      <c r="A1576">
        <f>Skills!A6</f>
        <v/>
      </c>
      <c r="B1576">
        <f>Skills!B6</f>
        <v/>
      </c>
      <c r="C1576">
        <f>Inputs!$B$3&gt;=69</f>
        <v/>
      </c>
      <c r="D1576">
        <f>IF(Skills!C6=1,60+Inputs!$B$25+Inputs!$B$29,IF(Skills!C6=2,90+Inputs!$B$26+Inputs!$B$29,IF(Skills!C6=3,120+Inputs!$B$27+Inputs!$B$29,MAX(0,(Inputs!$B$3-100)*3)+Inputs!$B$28+Inputs!$B$29)))</f>
        <v/>
      </c>
      <c r="E1576">
        <f>INDEX(FactorTable!$B$2:$Y$301, MATCH(ROUND(MIN(300,MAX(1,D1576)),0), FactorTable!$A$2:$A$301,0), Skills!M6+1)</f>
        <v/>
      </c>
      <c r="F1576">
        <f>IF(Skills!N6=TRUE,(Skills!L6/10)*(E1576/1000),Skills!L6/10)+Skills!O6</f>
        <v/>
      </c>
      <c r="G1576">
        <f>Skills!G6*IF(Skills!H6&gt;0,Skills!I6/Skills!H6,1)</f>
        <v/>
      </c>
      <c r="H1576">
        <f>1-(1-Skills!J6/100)^Skills!K6</f>
        <v/>
      </c>
      <c r="I1576" t="inlineStr">
        <is>
          <t>1</t>
        </is>
      </c>
      <c r="J1576">
        <f>((Inputs!$B$6*(1+Inputs!$B$7/100))+(((Inputs!$B$12*(1+Inputs!$B$13/100))-(Inputs!$B$12*(1+Inputs!$B$13/100)))+0.25*(Inputs!$B$14-Inputs!$B$14))*(1+Inputs!$B$7/100))*(F1576/100)</f>
        <v/>
      </c>
      <c r="K1576">
        <f>J1576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1588=TRUE,F1588,0)/100)*(1+(IF(Skills!A6="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1576)</f>
        <v/>
      </c>
      <c r="L1576">
        <f>K1576*(MIN(Inputs!$B$22+((C1594=TRUE)*(F1594-Calc!F24)),(Inputs!$B$23+((C1599=TRUE)*(F1599-Calc!F29))+IF(ArtifactsInput!$M$15,CHOOSE(ArtifactsInput!$N$15+1,25,30,35,40,45,50)/100*(Inputs!$B$11-Inputs!$B$11),0)))/100+(Inputs!$B$23+((C1599=TRUE)*(F1599-Calc!F29))+IF(ArtifactsInput!$M$15,CHOOSE(ArtifactsInput!$N$15+1,25,30,35,40,45,50)/100*(Inputs!$B$11-Inputs!$B$11),0))/100)/2</f>
        <v/>
      </c>
      <c r="M1576">
        <f>L1576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6">
        <f>L1576*(1-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1576*(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6">
        <f>(1-Summary!$B$11)*T1576+Summary!$B$11*V1576</f>
        <v/>
      </c>
      <c r="P1576">
        <f>IF(B1615=0,0,O1576/B1615)</f>
        <v/>
      </c>
      <c r="Q1576">
        <f>IFERROR(1/IF(Inputs!$B$39="pvp",15,MAX(0.1,Skills!D6-IF(Skills!E6=TRUE,Inputs!$B$32,0))),0)</f>
        <v/>
      </c>
      <c r="R1576">
        <f>IF(AND(Inputs!$B$39&lt;&gt;"pvp",Inputs!$B$44&gt;0),IF(MAX(0,Inputs!$B$44-B1614)&lt;=0,0,(INT(MAX(0,Inputs!$B$44-B1614)/IF(Inputs!$B$39="pvp",15,MAX(0.1,Skills!D6-IF(Skills!E6=TRUE,Inputs!$B$32,0))))+1)),0)</f>
        <v/>
      </c>
      <c r="S1576">
        <f>IFERROR(O1576/N1576,0)</f>
        <v/>
      </c>
      <c r="T1576">
        <f>IF(C1576,(H1576*N1576*IF(AND(Inputs!$B$39&lt;&gt;"pvp",Inputs!$B$44&gt;0),((Skills!G6*((R1576-1)*IF(Skills!H6&gt;0,Skills!I6/Skills!H6,1)+IF(Skills!H6&gt;0,MIN(Skills!I6,MAX(0,MAX(0,Inputs!$B$44-B1614)-((R1576-1)*IF(Inputs!$B$39="pvp",15,MAX(0.1,Skills!D6-IF(Skills!E6=TRUE,Inputs!$B$32,0))))))/Skills!H6,1)))/Inputs!$B$44),G1576*Q1576))*IF(Inputs!$B$39="pvp",1,1+(Inputs!$B$20+0+Skills!P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1576*(1-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1576*(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1576*(1-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1576*(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6">
        <f>IF(C1576,(H1576*N1576*IF(AND(Inputs!$B$39&lt;&gt;"pvp",Inputs!$B$44&gt;0),((Skills!G6*((R1576-1)*IF(Skills!H6&gt;0,Skills!I6/Skills!H6,1)+IF(Skills!H6&gt;0,MIN(Skills!I6,MAX(0,MAX(0,Inputs!$B$44-B1614)-((R1576-1)*IF(Inputs!$B$39="pvp",15,MAX(0.1,Skills!D6-IF(Skills!E6=TRUE,Inputs!$B$32,0))))))/Skills!H6,1)))/Inputs!$B$44),G1576*Q1576))*IF(Inputs!$B$39="pvp",1,(1+(Inputs!$B$21+Skills!Q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7">
      <c r="A1577">
        <f>Skills!A7</f>
        <v/>
      </c>
      <c r="B1577">
        <f>Skills!B7</f>
        <v/>
      </c>
      <c r="C1577">
        <f>Inputs!$B$3&gt;=60</f>
        <v/>
      </c>
      <c r="D1577">
        <f>IF(Skills!C7=1,60+Inputs!$B$25+Inputs!$B$29,IF(Skills!C7=2,90+Inputs!$B$26+Inputs!$B$29,IF(Skills!C7=3,120+Inputs!$B$27+Inputs!$B$29,MAX(0,(Inputs!$B$3-100)*3)+Inputs!$B$28+Inputs!$B$29)))</f>
        <v/>
      </c>
      <c r="E1577">
        <f>INDEX(FactorTable!$B$2:$Y$301, MATCH(ROUND(MIN(300,MAX(1,D1577)),0), FactorTable!$A$2:$A$301,0), Skills!M7+1)</f>
        <v/>
      </c>
      <c r="F1577">
        <f>IF(Skills!N7=TRUE,(Skills!L7/10)*(E1577/1000),Skills!L7/10)+Skills!O7</f>
        <v/>
      </c>
      <c r="G1577">
        <f>Skills!G7*IF(Skills!H7&gt;0,Skills!I7/Skills!H7,1)</f>
        <v/>
      </c>
      <c r="H1577">
        <f>1-(1-Skills!J7/100)^Skills!K7</f>
        <v/>
      </c>
      <c r="I1577" t="inlineStr">
        <is>
          <t>1</t>
        </is>
      </c>
      <c r="J1577" t="inlineStr"/>
      <c r="K1577" t="inlineStr"/>
      <c r="L1577" t="inlineStr"/>
      <c r="M1577" t="inlineStr"/>
      <c r="N1577" t="inlineStr"/>
      <c r="O1577">
        <f>(1-Summary!$B$11)*T1577+Summary!$B$11*V1577</f>
        <v/>
      </c>
      <c r="P1577">
        <f>IF(B1615=0,0,O1577/B1615)</f>
        <v/>
      </c>
      <c r="Q1577" t="n">
        <v>0</v>
      </c>
      <c r="R1577" t="n">
        <v>0</v>
      </c>
      <c r="S1577">
        <f>IFERROR(O1577/N1577,0)</f>
        <v/>
      </c>
      <c r="T1577" t="n">
        <v>0</v>
      </c>
      <c r="V1577" t="n">
        <v>0</v>
      </c>
    </row>
    <row r="1578">
      <c r="A1578">
        <f>Skills!A8</f>
        <v/>
      </c>
      <c r="B1578">
        <f>Skills!B8</f>
        <v/>
      </c>
      <c r="C1578">
        <f>Inputs!$B$3&gt;=72</f>
        <v/>
      </c>
      <c r="D1578">
        <f>IF(Skills!C8=1,60+Inputs!$B$25+Inputs!$B$29,IF(Skills!C8=2,90+Inputs!$B$26+Inputs!$B$29,IF(Skills!C8=3,120+Inputs!$B$27+Inputs!$B$29,MAX(0,(Inputs!$B$3-100)*3)+Inputs!$B$28+Inputs!$B$29)))</f>
        <v/>
      </c>
      <c r="E1578">
        <f>INDEX(FactorTable!$B$2:$Y$301, MATCH(ROUND(MIN(300,MAX(1,D1578)),0), FactorTable!$A$2:$A$301,0), Skills!M8+1)</f>
        <v/>
      </c>
      <c r="F1578">
        <f>IF(Skills!N8=TRUE,(Skills!L8/10)*(E1578/1000),Skills!L8/10)+Skills!O8</f>
        <v/>
      </c>
      <c r="G1578">
        <f>Skills!G8*IF(Skills!H8&gt;0,Skills!I8/Skills!H8,1)</f>
        <v/>
      </c>
      <c r="H1578">
        <f>1-(1-Skills!J8/100)^Skills!K8</f>
        <v/>
      </c>
      <c r="I1578" t="inlineStr">
        <is>
          <t>1</t>
        </is>
      </c>
      <c r="J1578">
        <f>((Inputs!$B$6*(1+Inputs!$B$7/100))+(((Inputs!$B$12*(1+Inputs!$B$13/100))-(Inputs!$B$12*(1+Inputs!$B$13/100)))+0.25*(Inputs!$B$14-Inputs!$B$14))*(1+Inputs!$B$7/100))*(F1578/100)</f>
        <v/>
      </c>
      <c r="K1578">
        <f>J1578*(1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1588=TRUE,F1588,0)/100)*(1+(IF(Skills!A8="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1578)</f>
        <v/>
      </c>
      <c r="L1578">
        <f>K1578*(MIN(Inputs!$B$22+((C1594=TRUE)*(F1594-Calc!F24)),(Inputs!$B$23+((C1599=TRUE)*(F1599-Calc!F29))+IF(ArtifactsInput!$M$15,CHOOSE(ArtifactsInput!$N$15+1,25,30,35,40,45,50)/100*(Inputs!$B$11-Inputs!$B$11),0)))/100+(Inputs!$B$23+((C1599=TRUE)*(F1599-Calc!F29))+IF(ArtifactsInput!$M$15,CHOOSE(ArtifactsInput!$N$15+1,25,30,35,40,45,50)/100*(Inputs!$B$11-Inputs!$B$11),0))/100)/2</f>
        <v/>
      </c>
      <c r="M1578">
        <f>L1578*(1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8">
        <f>L1578*(1-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1578*(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8">
        <f>(1-Summary!$B$11)*T1578+Summary!$B$11*V1578</f>
        <v/>
      </c>
      <c r="P1578">
        <f>IF(B1615=0,0,O1578/B1615)</f>
        <v/>
      </c>
      <c r="Q1578">
        <f>IFERROR(1/IF(Inputs!$B$39="pvp",15,MAX(0.1,Skills!D8-IF(Skills!E8=TRUE,Inputs!$B$32,0))),0)</f>
        <v/>
      </c>
      <c r="R1578">
        <f>IF(AND(Inputs!$B$39&lt;&gt;"pvp",Inputs!$B$44&gt;0),IF(MAX(0,Inputs!$B$44-B1614)&lt;=0,0,(INT(MAX(0,Inputs!$B$44-B1614)/IF(Inputs!$B$39="pvp",15,MAX(0.1,Skills!D8-IF(Skills!E8=TRUE,Inputs!$B$32,0))))+1)),0)</f>
        <v/>
      </c>
      <c r="S1578">
        <f>IFERROR(O1578/N1578,0)</f>
        <v/>
      </c>
      <c r="T1578">
        <f>IF(C1578,(H1578*N1578*IF(AND(Inputs!$B$39&lt;&gt;"pvp",Inputs!$B$44&gt;0),((Skills!G8*((R1578-1)*IF(Skills!H8&gt;0,Skills!I8/Skills!H8,1)+IF(Skills!H8&gt;0,MIN(Skills!I8,MAX(0,MAX(0,Inputs!$B$44-B1614)-((R1578-1)*IF(Inputs!$B$39="pvp",15,MAX(0.1,Skills!D8-IF(Skills!E8=TRUE,Inputs!$B$32,0))))))/Skills!H8,1)))/Inputs!$B$44),G1578*Q1578))*IF(Inputs!$B$39="pvp",1,1+(Inputs!$B$20+0+Skills!P8+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1578*(1-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1578*(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1578*(1-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1578*(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8">
        <f>IF(C1578,(H1578*N1578*IF(AND(Inputs!$B$39&lt;&gt;"pvp",Inputs!$B$44&gt;0),((Skills!G8*((R1578-1)*IF(Skills!H8&gt;0,Skills!I8/Skills!H8,1)+IF(Skills!H8&gt;0,MIN(Skills!I8,MAX(0,MAX(0,Inputs!$B$44-B1614)-((R1578-1)*IF(Inputs!$B$39="pvp",15,MAX(0.1,Skills!D8-IF(Skills!E8=TRUE,Inputs!$B$32,0))))))/Skills!H8,1)))/Inputs!$B$44),G1578*Q1578))*IF(Inputs!$B$39="pvp",1,(1+(Inputs!$B$21+Skills!Q8+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9">
      <c r="A1579">
        <f>Skills!A9</f>
        <v/>
      </c>
      <c r="B1579">
        <f>Skills!B9</f>
        <v/>
      </c>
      <c r="C1579">
        <f>Inputs!$B$3&gt;=117</f>
        <v/>
      </c>
      <c r="D1579">
        <f>IF(Skills!C9=1,60+Inputs!$B$25+Inputs!$B$29,IF(Skills!C9=2,90+Inputs!$B$26+Inputs!$B$29,IF(Skills!C9=3,120+Inputs!$B$27+Inputs!$B$29,MAX(0,(Inputs!$B$3-100)*3)+Inputs!$B$28+Inputs!$B$29)))</f>
        <v/>
      </c>
      <c r="E1579">
        <f>INDEX(FactorTable!$B$2:$Y$301, MATCH(ROUND(MIN(300,MAX(1,D1579)),0), FactorTable!$A$2:$A$301,0), Skills!M9+1)</f>
        <v/>
      </c>
      <c r="F1579">
        <f>IF(Skills!N9=TRUE,(Skills!L9/10)*(E1579/1000),Skills!L9/10)+Skills!O9</f>
        <v/>
      </c>
      <c r="G1579">
        <f>Skills!G9*IF(Skills!H9&gt;0,Skills!I9/Skills!H9,1)</f>
        <v/>
      </c>
      <c r="H1579">
        <f>1-(1-Skills!J9/100)^Skills!K9</f>
        <v/>
      </c>
      <c r="I1579" t="inlineStr">
        <is>
          <t>1</t>
        </is>
      </c>
      <c r="J1579">
        <f>((Inputs!$B$6*(1+Inputs!$B$7/100))+(((Inputs!$B$12*(1+Inputs!$B$13/100))-(Inputs!$B$12*(1+Inputs!$B$13/100)))+0.25*(Inputs!$B$14-Inputs!$B$14))*(1+Inputs!$B$7/100))*(F1579/100)</f>
        <v/>
      </c>
      <c r="K1579">
        <f>J1579*(1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1579)</f>
        <v/>
      </c>
      <c r="L1579">
        <f>K1579*(MIN(Inputs!$B$22+((C1594=TRUE)*(F1594-Calc!F24)),(Inputs!$B$23+((C1599=TRUE)*(F1599-Calc!F29))+IF(ArtifactsInput!$M$15,CHOOSE(ArtifactsInput!$N$15+1,25,30,35,40,45,50)/100*(Inputs!$B$11-Inputs!$B$11),0)))/100+(Inputs!$B$23+((C1599=TRUE)*(F1599-Calc!F29))+IF(ArtifactsInput!$M$15,CHOOSE(ArtifactsInput!$N$15+1,25,30,35,40,45,50)/100*(Inputs!$B$11-Inputs!$B$11),0))/100)/2</f>
        <v/>
      </c>
      <c r="M1579">
        <f>L1579*(1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9">
        <f>L1579*(1-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1579*(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9">
        <f>(1-Summary!$B$11)*T1579+Summary!$B$11*V1579</f>
        <v/>
      </c>
      <c r="P1579">
        <f>IF(B1615=0,0,O1579/B1615)</f>
        <v/>
      </c>
      <c r="Q1579" t="n">
        <v>0</v>
      </c>
      <c r="R1579" t="n">
        <v>0</v>
      </c>
      <c r="S1579" t="n">
        <v>0</v>
      </c>
      <c r="T1579">
        <f>IF(C1579,(0.2*SUMPRODUCT((Skills!Z2:Z30=TRUE)*(C1572:C1600=TRUE)*S1572:S1600)*N1579)*IF(Inputs!$B$39="pvp",1,1+(Inputs!$B$20+0+Skills!P9+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1579*(1-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1579*(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1579*(1-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1579*(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9">
        <f>IF(C1579,(0.2*SUMPRODUCT((Skills!Z2:Z30=TRUE)*(C1572:C1600=TRUE)*S1572:S1600)*N1579)*IF(Inputs!$B$39="pvp",1,(1+(Inputs!$B$21+Skills!Q9+B1604+(IF(ArtifactsInput!$M$33,CHOOSE(ArtifactsInput!$N$33+1,30,36,42,48,54,60),0))+(IF(AND(ArtifactsInput!$M$35,Inputs!$B$4&lt;&gt;"Chapter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0">
      <c r="A1580">
        <f>Skills!A10</f>
        <v/>
      </c>
      <c r="B1580">
        <f>Skills!B10</f>
        <v/>
      </c>
      <c r="C1580">
        <f>Inputs!$B$3&gt;=74</f>
        <v/>
      </c>
      <c r="D1580">
        <f>IF(Skills!C10=1,60+Inputs!$B$25+Inputs!$B$29,IF(Skills!C10=2,90+Inputs!$B$26+Inputs!$B$29,IF(Skills!C10=3,120+Inputs!$B$27+Inputs!$B$29,MAX(0,(Inputs!$B$3-100)*3)+Inputs!$B$28+Inputs!$B$29)))</f>
        <v/>
      </c>
      <c r="E1580">
        <f>INDEX(FactorTable!$B$2:$Y$301, MATCH(ROUND(MIN(300,MAX(1,D1580)),0), FactorTable!$A$2:$A$301,0), Skills!M10+1)</f>
        <v/>
      </c>
      <c r="F1580">
        <f>IF(Skills!N10=TRUE,(Skills!L10/10)*(E1580/1000),Skills!L10/10)+Skills!O10</f>
        <v/>
      </c>
      <c r="G1580">
        <f>Skills!G10*IF(Skills!H10&gt;0,Skills!I10/Skills!H10,1)</f>
        <v/>
      </c>
      <c r="H1580">
        <f>1-(1-Skills!J10/100)^Skills!K10</f>
        <v/>
      </c>
      <c r="I1580" t="inlineStr">
        <is>
          <t>1</t>
        </is>
      </c>
      <c r="J1580" t="inlineStr"/>
      <c r="K1580" t="inlineStr"/>
      <c r="L1580" t="inlineStr"/>
      <c r="M1580" t="inlineStr"/>
      <c r="N1580" t="inlineStr"/>
      <c r="O1580">
        <f>(1-Summary!$B$11)*T1580+Summary!$B$11*V1580</f>
        <v/>
      </c>
      <c r="P1580">
        <f>IF(B1615=0,0,O1580/B1615)</f>
        <v/>
      </c>
      <c r="Q1580">
        <f>IFERROR(1/IF(Inputs!$B$39="pvp",15,MAX(0.1,Skills!D10-IF(Skills!E10=TRUE,Inputs!$B$32,0))),0)</f>
        <v/>
      </c>
      <c r="R1580">
        <f>IF(AND(Inputs!$B$39&lt;&gt;"pvp",Inputs!$B$44&gt;0),IF(Inputs!$B$44&lt;=0,0,(INT(Inputs!$B$44/IF(Inputs!$B$39="pvp",15,MAX(0.1,Skills!D10-IF(Skills!E10=TRUE,Inputs!$B$32,0))))+1)),0)</f>
        <v/>
      </c>
      <c r="S1580">
        <f>IFERROR(O1580/N1580,0)</f>
        <v/>
      </c>
      <c r="T1580" t="n">
        <v>0</v>
      </c>
      <c r="V1580" t="n">
        <v>0</v>
      </c>
    </row>
    <row r="1581">
      <c r="A1581">
        <f>Skills!A11</f>
        <v/>
      </c>
      <c r="B1581">
        <f>Skills!B11</f>
        <v/>
      </c>
      <c r="C1581">
        <f>Inputs!$B$3&gt;=103</f>
        <v/>
      </c>
      <c r="D1581">
        <f>IF(Skills!C11=1,60+Inputs!$B$25+Inputs!$B$29,IF(Skills!C11=2,90+Inputs!$B$26+Inputs!$B$29,IF(Skills!C11=3,120+Inputs!$B$27+Inputs!$B$29,MAX(0,(Inputs!$B$3-100)*3)+Inputs!$B$28+Inputs!$B$29)))</f>
        <v/>
      </c>
      <c r="E1581">
        <f>INDEX(FactorTable!$B$2:$Y$301, MATCH(ROUND(MIN(300,MAX(1,D1581)),0), FactorTable!$A$2:$A$301,0), Skills!M11+1)</f>
        <v/>
      </c>
      <c r="F1581">
        <f>(Skills!L11/10)*(E1581/1000)+IF(Inputs!$B$3&gt;=134,50,0)+0.5*(30000/10)*(INDEX(FactorTable!$B$2:$Y$301, MATCH(ROUND(MIN(300,MAX(1,D1581)),0), FactorTable!$A$2:$A$301,0), 13)/1000)*B1613</f>
        <v/>
      </c>
      <c r="G1581">
        <f>Skills!G11*IF(Skills!H11&gt;0,Skills!I11/Skills!H11,1)</f>
        <v/>
      </c>
      <c r="H1581">
        <f>1-(1-Skills!J11/100)^Skills!K11</f>
        <v/>
      </c>
      <c r="I1581" t="inlineStr">
        <is>
          <t>1</t>
        </is>
      </c>
      <c r="J1581">
        <f>((Inputs!$B$6*(1+Inputs!$B$7/100))+(((Inputs!$B$12*(1+Inputs!$B$13/100))-(Inputs!$B$12*(1+Inputs!$B$13/100)))+0.25*(Inputs!$B$14-Inputs!$B$14))*(1+Inputs!$B$7/100))*(F1581/100)</f>
        <v/>
      </c>
      <c r="K1581">
        <f>J1581*(1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1581)</f>
        <v/>
      </c>
      <c r="L1581">
        <f>K1581*(MIN(Inputs!$B$22+((C1594=TRUE)*(F1594-Calc!F24)),(Inputs!$B$23+((C1599=TRUE)*(F1599-Calc!F29))+IF(ArtifactsInput!$M$15,CHOOSE(ArtifactsInput!$N$15+1,25,30,35,40,45,50)/100*(Inputs!$B$11-Inputs!$B$11),0)))/100+(Inputs!$B$23+((C1599=TRUE)*(F1599-Calc!F29))+IF(ArtifactsInput!$M$15,CHOOSE(ArtifactsInput!$N$15+1,25,30,35,40,45,50)/100*(Inputs!$B$11-Inputs!$B$11),0))/100)/2</f>
        <v/>
      </c>
      <c r="M1581">
        <f>L1581*(1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1">
        <f>L1581*(1-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1">
        <f>(1-Summary!$B$11)*T1581+Summary!$B$11*V1581</f>
        <v/>
      </c>
      <c r="P1581">
        <f>IF(B1615=0,0,O1581/B1615)</f>
        <v/>
      </c>
      <c r="Q1581">
        <f>IFERROR(1/IF(Inputs!$B$39="pvp",15,MAX(0.1,Skills!D11-IF(Skills!E11=TRUE,Inputs!$B$32,0))),0)</f>
        <v/>
      </c>
      <c r="R1581">
        <f>IF(AND(Inputs!$B$39&lt;&gt;"pvp",Inputs!$B$44&gt;0),IF(MAX(0,Inputs!$B$44-B1614)&lt;=0,0,(INT(MAX(0,Inputs!$B$44-B1614)/IF(Inputs!$B$39="pvp",15,MAX(0.1,Skills!D11-IF(Skills!E11=TRUE,Inputs!$B$32,0))))+1)),0)</f>
        <v/>
      </c>
      <c r="S1581">
        <f>IFERROR(O1581/N1581,0)</f>
        <v/>
      </c>
      <c r="T1581">
        <f>IF(C1581,(H1581*N1581*IF(AND(Inputs!$B$39&lt;&gt;"pvp",Inputs!$B$44&gt;0),((Skills!G11*((R1581-1)*IF(Skills!H11&gt;0,Skills!I11/Skills!H11,1)+IF(Skills!H11&gt;0,MIN(Skills!I11,MAX(0,MAX(0,Inputs!$B$44-B1614)-((R1581-1)*IF(Inputs!$B$39="pvp",15,MAX(0.1,Skills!D11-IF(Skills!E11=TRUE,Inputs!$B$32,0))))))/Skills!H11,1)))/Inputs!$B$44),G1581*Q1581))*IF(Inputs!$B$39="pvp",1,1+(Inputs!$B$20+0+Skills!P11+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1581*(1-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1581*(1-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1">
        <f>IF(C1581,(H1581*N1581*IF(AND(Inputs!$B$39&lt;&gt;"pvp",Inputs!$B$44&gt;0),((Skills!G11*((R1581-1)*IF(Skills!H11&gt;0,Skills!I11/Skills!H11,1)+IF(Skills!H11&gt;0,MIN(Skills!I11,MAX(0,MAX(0,Inputs!$B$44-B1614)-((R1581-1)*IF(Inputs!$B$39="pvp",15,MAX(0.1,Skills!D11-IF(Skills!E11=TRUE,Inputs!$B$32,0))))))/Skills!H11,1)))/Inputs!$B$44),G1581*Q1581))*IF(Inputs!$B$39="pvp",1,(1+(Inputs!$B$21+Skills!Q11+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2">
      <c r="A1582">
        <f>Skills!A12</f>
        <v/>
      </c>
      <c r="B1582">
        <f>Skills!B12</f>
        <v/>
      </c>
      <c r="C1582">
        <f>Inputs!$B$3&gt;=105</f>
        <v/>
      </c>
      <c r="D1582">
        <f>IF(Skills!C12=1,60+Inputs!$B$25+Inputs!$B$29,IF(Skills!C12=2,90+Inputs!$B$26+Inputs!$B$29,IF(Skills!C12=3,120+Inputs!$B$27+Inputs!$B$29,MAX(0,(Inputs!$B$3-100)*3)+Inputs!$B$28+Inputs!$B$29)))</f>
        <v/>
      </c>
      <c r="E1582">
        <f>INDEX(FactorTable!$B$2:$Y$301, MATCH(ROUND(MIN(300,MAX(1,D1582)),0), FactorTable!$A$2:$A$301,0), Skills!M12+1)</f>
        <v/>
      </c>
      <c r="F1582">
        <f>IF(Skills!N12=TRUE,(Skills!L12/10)*(E1582/1000),Skills!L12/10)+Skills!O12</f>
        <v/>
      </c>
      <c r="G1582">
        <f>Skills!G12*IF(Skills!H12&gt;0,Skills!I12/Skills!H12,1)</f>
        <v/>
      </c>
      <c r="H1582">
        <f>1-(1-Skills!J12/100)^Skills!K12</f>
        <v/>
      </c>
      <c r="I1582" t="inlineStr">
        <is>
          <t>1</t>
        </is>
      </c>
      <c r="J1582">
        <f>((Inputs!$B$6*(1+Inputs!$B$7/100))+(((Inputs!$B$12*(1+Inputs!$B$13/100))-(Inputs!$B$12*(1+Inputs!$B$13/100)))+0.25*(Inputs!$B$14-Inputs!$B$14))*(1+Inputs!$B$7/100))*(F1582/100)</f>
        <v/>
      </c>
      <c r="K1582">
        <f>J1582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1582)</f>
        <v/>
      </c>
      <c r="L1582">
        <f>K1582*(MIN(Inputs!$B$22+((C1594=TRUE)*(F1594-Calc!F24)),(Inputs!$B$23+((C1599=TRUE)*(F1599-Calc!F29))+IF(ArtifactsInput!$M$15,CHOOSE(ArtifactsInput!$N$15+1,25,30,35,40,45,50)/100*(Inputs!$B$11-Inputs!$B$11),0)))/100+(Inputs!$B$23+((C1599=TRUE)*(F1599-Calc!F29))+IF(ArtifactsInput!$M$15,CHOOSE(ArtifactsInput!$N$15+1,25,30,35,40,45,50)/100*(Inputs!$B$11-Inputs!$B$11),0))/100)/2</f>
        <v/>
      </c>
      <c r="M1582">
        <f>L1582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2">
        <f>L1582*(1-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1582*(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2">
        <f>(1-Summary!$B$11)*T1582+Summary!$B$11*V1582</f>
        <v/>
      </c>
      <c r="P1582">
        <f>IF(B1615=0,0,O1582/B1615)</f>
        <v/>
      </c>
      <c r="Q1582">
        <f>IFERROR(1/IF(Inputs!$B$39="pvp",15,MAX(0.1,Skills!D12-IF(Skills!E12=TRUE,Inputs!$B$32,0))),0)</f>
        <v/>
      </c>
      <c r="R1582">
        <f>IF(AND(Inputs!$B$39&lt;&gt;"pvp",Inputs!$B$44&gt;0),IF(MAX(0,Inputs!$B$44-B1614)&lt;=0,0,(INT(MAX(0,Inputs!$B$44-B1614)/IF(Inputs!$B$39="pvp",15,MAX(0.1,Skills!D12-IF(Skills!E12=TRUE,Inputs!$B$32,0))))+1)),0)</f>
        <v/>
      </c>
      <c r="S1582">
        <f>IFERROR(O1582/N1582,0)</f>
        <v/>
      </c>
      <c r="T1582">
        <f>IF(C1582,(H1582*N1582*IF(AND(Inputs!$B$39&lt;&gt;"pvp",Inputs!$B$44&gt;0),((Skills!G12*((R1582-1)*IF(Skills!H12&gt;0,Skills!I12/Skills!H12,1)+IF(Skills!H12&gt;0,MIN(Skills!I12,MAX(0,MAX(0,Inputs!$B$44-B1614)-((R1582-1)*IF(Inputs!$B$39="pvp",15,MAX(0.1,Skills!D12-IF(Skills!E12=TRUE,Inputs!$B$32,0))))))/Skills!H12,1)))/Inputs!$B$44),G1582*Q1582))*IF(Inputs!$B$39="pvp",1,1+(Inputs!$B$20+0+Skills!P12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1582*(1-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1582*(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1582*(1-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1582*(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2">
        <f>IF(C1582,(H1582*N1582*IF(AND(Inputs!$B$39&lt;&gt;"pvp",Inputs!$B$44&gt;0),((Skills!G12*((R1582-1)*IF(Skills!H12&gt;0,Skills!I12/Skills!H12,1)+IF(Skills!H12&gt;0,MIN(Skills!I12,MAX(0,MAX(0,Inputs!$B$44-B1614)-((R1582-1)*IF(Inputs!$B$39="pvp",15,MAX(0.1,Skills!D12-IF(Skills!E12=TRUE,Inputs!$B$32,0))))))/Skills!H12,1)))/Inputs!$B$44),G1582*Q1582))*IF(Inputs!$B$39="pvp",1,(1+(Inputs!$B$21+Skills!Q12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3">
      <c r="A1583">
        <f>Skills!A13</f>
        <v/>
      </c>
      <c r="B1583">
        <f>Skills!B13</f>
        <v/>
      </c>
      <c r="C1583">
        <f>Inputs!$B$3&gt;=105</f>
        <v/>
      </c>
      <c r="D1583">
        <f>IF(Skills!C13=1,60+Inputs!$B$25+Inputs!$B$29,IF(Skills!C13=2,90+Inputs!$B$26+Inputs!$B$29,IF(Skills!C13=3,120+Inputs!$B$27+Inputs!$B$29,MAX(0,(Inputs!$B$3-100)*3)+Inputs!$B$28+Inputs!$B$29)))</f>
        <v/>
      </c>
      <c r="E1583">
        <f>INDEX(FactorTable!$B$2:$Y$301, MATCH(ROUND(MIN(300,MAX(1,D1583)),0), FactorTable!$A$2:$A$301,0), Skills!M13+1)</f>
        <v/>
      </c>
      <c r="F1583">
        <f>IF(Skills!N13=TRUE,(Skills!L13/10)*(E1583/1000),Skills!L13/10)+Skills!O13</f>
        <v/>
      </c>
      <c r="G1583">
        <f>Skills!G13*IF(Skills!H13&gt;0,Skills!I13/Skills!H13,1)</f>
        <v/>
      </c>
      <c r="H1583">
        <f>1-(1-Skills!J13/100)^Skills!K13</f>
        <v/>
      </c>
      <c r="I1583" t="inlineStr">
        <is>
          <t>1</t>
        </is>
      </c>
      <c r="J1583">
        <f>((Inputs!$B$6*(1+Inputs!$B$7/100))+(((Inputs!$B$12*(1+Inputs!$B$13/100))-(Inputs!$B$12*(1+Inputs!$B$13/100)))+0.25*(Inputs!$B$14-Inputs!$B$14))*(1+Inputs!$B$7/100))*(F1583/100)</f>
        <v/>
      </c>
      <c r="K1583">
        <f>J1583*(1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1583)</f>
        <v/>
      </c>
      <c r="L1583">
        <f>K1583*(MIN(Inputs!$B$22+((C1594=TRUE)*(F1594-Calc!F24)),(Inputs!$B$23+((C1599=TRUE)*(F1599-Calc!F29))+IF(ArtifactsInput!$M$15,CHOOSE(ArtifactsInput!$N$15+1,25,30,35,40,45,50)/100*(Inputs!$B$11-Inputs!$B$11),0)))/100+(Inputs!$B$23+((C1599=TRUE)*(F1599-Calc!F29))+IF(ArtifactsInput!$M$15,CHOOSE(ArtifactsInput!$N$15+1,25,30,35,40,45,50)/100*(Inputs!$B$11-Inputs!$B$11),0))/100)/2</f>
        <v/>
      </c>
      <c r="M1583">
        <f>L1583*(1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3">
        <f>L1583*(1-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1583*(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3">
        <f>(1-Summary!$B$11)*T1583+Summary!$B$11*V1583</f>
        <v/>
      </c>
      <c r="P1583">
        <f>IF(B1615=0,0,O1583/B1615)</f>
        <v/>
      </c>
      <c r="Q1583">
        <f>IFERROR(1/IF(Inputs!$B$39="pvp",15,MAX(0.1,Skills!D13-IF(Skills!E13=TRUE,Inputs!$B$32,0))),0)</f>
        <v/>
      </c>
      <c r="R1583">
        <f>IF(AND(Inputs!$B$39&lt;&gt;"pvp",Inputs!$B$44&gt;0),IF(MAX(0,Inputs!$B$44-B1614)&lt;=0,0,(INT(MAX(0,Inputs!$B$44-B1614)/IF(Inputs!$B$39="pvp",15,MAX(0.1,Skills!D13-IF(Skills!E13=TRUE,Inputs!$B$32,0))))+1)),0)</f>
        <v/>
      </c>
      <c r="S1583">
        <f>IFERROR(O1583/N1583,0)</f>
        <v/>
      </c>
      <c r="T1583">
        <f>IF(C1583,(H1583*N1583*IF(AND(Inputs!$B$39&lt;&gt;"pvp",Inputs!$B$44&gt;0),((Skills!G13*((R1583-1)*IF(Skills!H13&gt;0,Skills!I13/Skills!H13,1)+IF(Skills!H13&gt;0,MIN(Skills!I13,MAX(0,MAX(0,Inputs!$B$44-B1614)-((R1583-1)*IF(Inputs!$B$39="pvp",15,MAX(0.1,Skills!D13-IF(Skills!E13=TRUE,Inputs!$B$32,0))))))/Skills!H13,1)))/Inputs!$B$44),G1583*Q1583))*IF(Inputs!$B$39="pvp",1,1+(Inputs!$B$20+0+Skills!P13+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1583*(1-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1583*(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1583*(1-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1583*(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3">
        <f>IF(C1583,(H1583*N1583*IF(AND(Inputs!$B$39&lt;&gt;"pvp",Inputs!$B$44&gt;0),((Skills!G13*((R1583-1)*IF(Skills!H13&gt;0,Skills!I13/Skills!H13,1)+IF(Skills!H13&gt;0,MIN(Skills!I13,MAX(0,MAX(0,Inputs!$B$44-B1614)-((R1583-1)*IF(Inputs!$B$39="pvp",15,MAX(0.1,Skills!D13-IF(Skills!E13=TRUE,Inputs!$B$32,0))))))/Skills!H13,1)))/Inputs!$B$44),G1583*Q1583))*IF(Inputs!$B$39="pvp",1,(1+(Inputs!$B$21+Skills!Q13+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4">
      <c r="A1584">
        <f>Skills!A14</f>
        <v/>
      </c>
      <c r="B1584">
        <f>Skills!B14</f>
        <v/>
      </c>
      <c r="C1584">
        <f>Inputs!$B$3&gt;=107</f>
        <v/>
      </c>
      <c r="D1584">
        <f>IF(Skills!C14=1,60+Inputs!$B$25+Inputs!$B$29,IF(Skills!C14=2,90+Inputs!$B$26+Inputs!$B$29,IF(Skills!C14=3,120+Inputs!$B$27+Inputs!$B$29,MAX(0,(Inputs!$B$3-100)*3)+Inputs!$B$28+Inputs!$B$29)))</f>
        <v/>
      </c>
      <c r="E1584">
        <f>INDEX(FactorTable!$B$2:$Y$301, MATCH(ROUND(MIN(300,MAX(1,D1584)),0), FactorTable!$A$2:$A$301,0), Skills!M14+1)</f>
        <v/>
      </c>
      <c r="F1584">
        <f>IF(Skills!N14=TRUE,(Skills!L14/10)*(E1584/1000),Skills!L14/10)+Skills!O14</f>
        <v/>
      </c>
      <c r="G1584">
        <f>Skills!G14*IF(Skills!H14&gt;0,Skills!I14/Skills!H14,1)</f>
        <v/>
      </c>
      <c r="H1584">
        <f>1-(1-Skills!J14/100)^Skills!K14</f>
        <v/>
      </c>
      <c r="I1584" t="inlineStr">
        <is>
          <t>1</t>
        </is>
      </c>
      <c r="J1584">
        <f>((Inputs!$B$6*(1+Inputs!$B$7/100))+(((Inputs!$B$12*(1+Inputs!$B$13/100))-(Inputs!$B$12*(1+Inputs!$B$13/100)))+0.25*(Inputs!$B$14-Inputs!$B$14))*(1+Inputs!$B$7/100))*(F1584/100)</f>
        <v/>
      </c>
      <c r="K1584">
        <f>J1584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1584)</f>
        <v/>
      </c>
      <c r="L1584">
        <f>K1584*(MIN(Inputs!$B$22+((C1594=TRUE)*(F1594-Calc!F24)),(Inputs!$B$23+((C1599=TRUE)*(F1599-Calc!F29))+IF(ArtifactsInput!$M$15,CHOOSE(ArtifactsInput!$N$15+1,25,30,35,40,45,50)/100*(Inputs!$B$11-Inputs!$B$11),0)))/100+(Inputs!$B$23+((C1599=TRUE)*(F1599-Calc!F29))+IF(ArtifactsInput!$M$15,CHOOSE(ArtifactsInput!$N$15+1,25,30,35,40,45,50)/100*(Inputs!$B$11-Inputs!$B$11),0))/100)/2</f>
        <v/>
      </c>
      <c r="M1584">
        <f>L1584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4">
        <f>L1584*(1-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1584*(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4">
        <f>(1-Summary!$B$11)*T1584+Summary!$B$11*V1584</f>
        <v/>
      </c>
      <c r="P1584">
        <f>IF(B1615=0,0,O1584/B1615)</f>
        <v/>
      </c>
      <c r="Q1584">
        <f>IFERROR(1/IF(Inputs!$B$39="pvp",15,MAX(0.1,Skills!D14-IF(Skills!E14=TRUE,Inputs!$B$32,0))),0)</f>
        <v/>
      </c>
      <c r="R1584">
        <f>IF(AND(Inputs!$B$39&lt;&gt;"pvp",Inputs!$B$44&gt;0),IF(MAX(0,Inputs!$B$44-B1614)&lt;=0,0,(INT(MAX(0,Inputs!$B$44-B1614)/IF(Inputs!$B$39="pvp",15,MAX(0.1,Skills!D14-IF(Skills!E14=TRUE,Inputs!$B$32,0))))+1)),0)</f>
        <v/>
      </c>
      <c r="S1584">
        <f>IFERROR(O1584/N1584,0)</f>
        <v/>
      </c>
      <c r="T1584">
        <f>IF(C1584,(H1584*N1584*IF(AND(Inputs!$B$39&lt;&gt;"pvp",Inputs!$B$44&gt;0),((Skills!G14*((R1584-1)*IF(Skills!H14&gt;0,Skills!I14/Skills!H14,1)+IF(Skills!H14&gt;0,MIN(Skills!I14,MAX(0,MAX(0,Inputs!$B$44-B1614)-((R1584-1)*IF(Inputs!$B$39="pvp",15,MAX(0.1,Skills!D14-IF(Skills!E14=TRUE,Inputs!$B$32,0))))))/Skills!H14,1)))/Inputs!$B$44),G1584*Q1584))*IF(Inputs!$B$39="pvp",1,1+(Inputs!$B$20+0+Skills!P14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1584*(1-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1584*(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1584*(1-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1584*(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4">
        <f>IF(C1584,(H1584*N1584*IF(AND(Inputs!$B$39&lt;&gt;"pvp",Inputs!$B$44&gt;0),((Skills!G14*((R1584-1)*IF(Skills!H14&gt;0,Skills!I14/Skills!H14,1)+IF(Skills!H14&gt;0,MIN(Skills!I14,MAX(0,MAX(0,Inputs!$B$44-B1614)-((R1584-1)*IF(Inputs!$B$39="pvp",15,MAX(0.1,Skills!D14-IF(Skills!E14=TRUE,Inputs!$B$32,0))))))/Skills!H14,1)))/Inputs!$B$44),G1584*Q1584))*IF(Inputs!$B$39="pvp",1,(1+(Inputs!$B$21+Skills!Q14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(5,0.25*B1607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5">
      <c r="A1585">
        <f>Skills!A15</f>
        <v/>
      </c>
      <c r="B1585">
        <f>Skills!B15</f>
        <v/>
      </c>
      <c r="C1585">
        <f>Inputs!$B$3&gt;=110</f>
        <v/>
      </c>
      <c r="D1585">
        <f>IF(Skills!C15=1,60+Inputs!$B$25+Inputs!$B$29,IF(Skills!C15=2,90+Inputs!$B$26+Inputs!$B$29,IF(Skills!C15=3,120+Inputs!$B$27+Inputs!$B$29,MAX(0,(Inputs!$B$3-100)*3)+Inputs!$B$28+Inputs!$B$29)))</f>
        <v/>
      </c>
      <c r="E1585">
        <f>INDEX(FactorTable!$B$2:$Y$301, MATCH(ROUND(MIN(300,MAX(1,D1585)),0), FactorTable!$A$2:$A$301,0), Skills!M15+1)</f>
        <v/>
      </c>
      <c r="F1585">
        <f>IF(Skills!N15=TRUE,(Skills!L15/10)*(E1585/1000),Skills!L15/10)+Skills!O15</f>
        <v/>
      </c>
      <c r="G1585">
        <f>Skills!G15*IF(Skills!H15&gt;0,Skills!I15/Skills!H15,1)</f>
        <v/>
      </c>
      <c r="H1585">
        <f>1-(1-Skills!J15/100)^Skills!K15</f>
        <v/>
      </c>
      <c r="I1585" t="inlineStr">
        <is>
          <t>1</t>
        </is>
      </c>
      <c r="J1585" t="inlineStr"/>
      <c r="K1585" t="inlineStr"/>
      <c r="L1585" t="inlineStr"/>
      <c r="M1585" t="inlineStr"/>
      <c r="N1585" t="inlineStr"/>
      <c r="O1585">
        <f>(1-Summary!$B$11)*T1585+Summary!$B$11*V1585</f>
        <v/>
      </c>
      <c r="P1585">
        <f>IF(B1615=0,0,O1585/B1615)</f>
        <v/>
      </c>
      <c r="Q1585">
        <f>IFERROR(1/IF(Inputs!$B$39="pvp",15,MAX(0.1,Skills!D15-IF(Skills!E15=TRUE,Inputs!$B$32,0))),0)</f>
        <v/>
      </c>
      <c r="R1585">
        <f>IF(AND(Inputs!$B$39&lt;&gt;"pvp",Inputs!$B$44&gt;0),IF(Inputs!$B$44&lt;=0,0,(INT(Inputs!$B$44/IF(Inputs!$B$39="pvp",15,MAX(0.1,Skills!D15-IF(Skills!E15=TRUE,Inputs!$B$32,0))))+1)),0)</f>
        <v/>
      </c>
      <c r="S1585">
        <f>IFERROR(O1585/N1585,0)</f>
        <v/>
      </c>
      <c r="T1585" t="n">
        <v>0</v>
      </c>
      <c r="V1585" t="n">
        <v>0</v>
      </c>
    </row>
    <row r="1586">
      <c r="A1586">
        <f>Skills!A16</f>
        <v/>
      </c>
      <c r="B1586">
        <f>Skills!B16</f>
        <v/>
      </c>
      <c r="C1586">
        <f>Inputs!$B$3&gt;=115</f>
        <v/>
      </c>
      <c r="D1586">
        <f>IF(Skills!C16=1,60+Inputs!$B$25+Inputs!$B$29,IF(Skills!C16=2,90+Inputs!$B$26+Inputs!$B$29,IF(Skills!C16=3,120+Inputs!$B$27+Inputs!$B$29,MAX(0,(Inputs!$B$3-100)*3)+Inputs!$B$28+Inputs!$B$29)))</f>
        <v/>
      </c>
      <c r="E1586">
        <f>INDEX(FactorTable!$B$2:$Y$301, MATCH(ROUND(MIN(300,MAX(1,D1586)),0), FactorTable!$A$2:$A$301,0), Skills!M16+1)</f>
        <v/>
      </c>
      <c r="F1586">
        <f>IF(Skills!N16=TRUE,(Skills!L16/10)*(E1586/1000),Skills!L16/10)+Skills!O16</f>
        <v/>
      </c>
      <c r="G1586">
        <f>Skills!G16*IF(Skills!H16&gt;0,Skills!I16/Skills!H16,1)</f>
        <v/>
      </c>
      <c r="H1586">
        <f>1-(1-Skills!J16/100)^Skills!K16</f>
        <v/>
      </c>
      <c r="I1586" t="inlineStr">
        <is>
          <t>1</t>
        </is>
      </c>
      <c r="J1586">
        <f>((Inputs!$B$6*(1+Inputs!$B$7/100))+(((Inputs!$B$12*(1+Inputs!$B$13/100))-(Inputs!$B$12*(1+Inputs!$B$13/100)))+0.25*(Inputs!$B$14-Inputs!$B$14))*(1+Inputs!$B$7/100))*(F1586/100)</f>
        <v/>
      </c>
      <c r="K1586">
        <f>J1586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1597=TRUE)*(F1597-Calc!F27))+((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1586)</f>
        <v/>
      </c>
      <c r="L1586">
        <f>K1586*(MIN(Inputs!$B$22+((C1594=TRUE)*(F1594-Calc!F24)),(Inputs!$B$23+((C1599=TRUE)*(F1599-Calc!F29))+IF(ArtifactsInput!$M$15,CHOOSE(ArtifactsInput!$N$15+1,25,30,35,40,45,50)/100*(Inputs!$B$11-Inputs!$B$11),0)))/100+(Inputs!$B$23+((C1599=TRUE)*(F1599-Calc!F29))+IF(ArtifactsInput!$M$15,CHOOSE(ArtifactsInput!$N$15+1,25,30,35,40,45,50)/100*(Inputs!$B$11-Inputs!$B$11),0))/100)/2</f>
        <v/>
      </c>
      <c r="M1586">
        <f>L1586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6">
        <f>L1586*(1-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1586*(MIN((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6">
        <f>(1-Summary!$B$11)*T1586+Summary!$B$11*V1586</f>
        <v/>
      </c>
      <c r="P1586">
        <f>IF(B1615=0,0,O1586/B1615)</f>
        <v/>
      </c>
      <c r="Q1586" t="n">
        <v>0</v>
      </c>
      <c r="R1586" t="n">
        <v>0</v>
      </c>
      <c r="S1586">
        <f>IFERROR(O1586/N1586,0)</f>
        <v/>
      </c>
      <c r="T1586">
        <f>IF(C1586,(Inputs!$B$38*0.2*N1586)*IF(Inputs!$B$39="pvp",1,1+(Inputs!$B$20+0+Skills!P16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1586*(1-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1586*(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1586*(1-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1586*(MIN(100,(Inputs!$B$9+((C1595=TRUE)*(F1595-Calc!F25))+B1603+(ArtifactsInput!$M$24-ArtifactsInput!$M$24)*CHOOSE(ArtifactsInput!$N$24+1,10,12,14,16,18,20)+(IF(AND(Inputs!$B$39&lt;&gt;"pvp",Inputs!$B$44=0),1,IF(IF(Inputs!$B$39="pvp",15,Inputs!$B$44)-(B1614)&lt;=0,1,MAX(0,IF(Inputs!$B$39="pvp",15,Inputs!$B$44)-MAX(5,B1614))/(IF(Inputs!$B$39="pvp",15,Inputs!$B$44)-(B1614))))*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6">
        <f>IF(C1586,(Inputs!$B$38*0.2*N1586)*IF(Inputs!$B$39="pvp",1,(1+(Inputs!$B$21+Skills!Q16+B1604+(IF(ArtifactsInput!$M$33,CHOOSE(ArtifactsInput!$N$33+1,30,36,42,48,54,60),0))+(IF(AND(ArtifactsInput!$M$35,Inputs!$B$4&lt;&gt;"Chapter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7">
      <c r="A1587">
        <f>Skills!A17</f>
        <v/>
      </c>
      <c r="B1587">
        <f>Skills!B17</f>
        <v/>
      </c>
      <c r="C1587">
        <f>Inputs!$B$3&gt;=115</f>
        <v/>
      </c>
      <c r="D1587">
        <f>IF(Skills!C17=1,60+Inputs!$B$25+Inputs!$B$29,IF(Skills!C17=2,90+Inputs!$B$26+Inputs!$B$29,IF(Skills!C17=3,120+Inputs!$B$27+Inputs!$B$29,MAX(0,(Inputs!$B$3-100)*3)+Inputs!$B$28+Inputs!$B$29)))</f>
        <v/>
      </c>
      <c r="E1587">
        <f>INDEX(FactorTable!$B$2:$Y$301, MATCH(ROUND(MIN(300,MAX(1,D1587)),0), FactorTable!$A$2:$A$301,0), Skills!M17+1)</f>
        <v/>
      </c>
      <c r="F1587">
        <f>IF(Skills!N17=TRUE,(Skills!L17/10)*(E1587/1000),Skills!L17/10)+Skills!O17</f>
        <v/>
      </c>
      <c r="G1587">
        <f>Skills!G17*IF(Skills!H17&gt;0,Skills!I17/Skills!H17,1)</f>
        <v/>
      </c>
      <c r="H1587">
        <f>1-(1-Skills!J17/100)^Skills!K17</f>
        <v/>
      </c>
      <c r="I1587" t="inlineStr">
        <is>
          <t>1</t>
        </is>
      </c>
      <c r="J1587" t="inlineStr"/>
      <c r="K1587" t="inlineStr"/>
      <c r="L1587" t="inlineStr"/>
      <c r="M1587" t="inlineStr"/>
      <c r="N1587" t="inlineStr"/>
      <c r="O1587">
        <f>(1-Summary!$B$11)*T1587+Summary!$B$11*V1587</f>
        <v/>
      </c>
      <c r="P1587">
        <f>IF(B1615=0,0,O1587/B1615)</f>
        <v/>
      </c>
      <c r="Q1587" t="n">
        <v>0</v>
      </c>
      <c r="R1587" t="n">
        <v>0</v>
      </c>
      <c r="S1587">
        <f>IFERROR(O1587/N1587,0)</f>
        <v/>
      </c>
      <c r="T1587" t="n">
        <v>0</v>
      </c>
      <c r="V1587" t="n">
        <v>0</v>
      </c>
    </row>
    <row r="1588">
      <c r="A1588">
        <f>Skills!A18</f>
        <v/>
      </c>
      <c r="B1588">
        <f>Skills!B18</f>
        <v/>
      </c>
      <c r="C1588">
        <f>Inputs!$B$3&gt;=100</f>
        <v/>
      </c>
      <c r="D1588">
        <f>IF(Skills!C18=1,60+Inputs!$B$25+Inputs!$B$29,IF(Skills!C18=2,90+Inputs!$B$26+Inputs!$B$29,IF(Skills!C18=3,120+Inputs!$B$27+Inputs!$B$29,MAX(0,(Inputs!$B$3-100)*3)+Inputs!$B$28+Inputs!$B$29)))</f>
        <v/>
      </c>
      <c r="E1588">
        <f>INDEX(FactorTable!$B$2:$Y$301, MATCH(ROUND(MIN(300,MAX(1,D1588)),0), FactorTable!$A$2:$A$301,0), Skills!M18+1)</f>
        <v/>
      </c>
      <c r="F1588">
        <f>IF(Skills!N18=TRUE,(Skills!L18/10)*(E1588/1000),Skills!L18/10)+Skills!O18</f>
        <v/>
      </c>
      <c r="G1588">
        <f>Skills!G18*IF(Skills!H18&gt;0,Skills!I18/Skills!H18,1)</f>
        <v/>
      </c>
      <c r="H1588">
        <f>1-(1-Skills!J18/100)^Skills!K18</f>
        <v/>
      </c>
      <c r="I1588" t="inlineStr">
        <is>
          <t>1</t>
        </is>
      </c>
      <c r="J1588" t="inlineStr"/>
      <c r="K1588" t="inlineStr"/>
      <c r="L1588" t="inlineStr"/>
      <c r="M1588" t="inlineStr"/>
      <c r="N1588" t="inlineStr"/>
      <c r="O1588">
        <f>(1-Summary!$B$11)*T1588+Summary!$B$11*V1588</f>
        <v/>
      </c>
      <c r="P1588">
        <f>IF(B1615=0,0,O1588/B1615)</f>
        <v/>
      </c>
      <c r="Q1588" t="n">
        <v>0</v>
      </c>
      <c r="R1588" t="n">
        <v>0</v>
      </c>
      <c r="S1588">
        <f>IFERROR(O1588/N1588,0)</f>
        <v/>
      </c>
      <c r="T1588" t="n">
        <v>0</v>
      </c>
      <c r="V1588" t="n">
        <v>0</v>
      </c>
    </row>
    <row r="1589">
      <c r="A1589">
        <f>Skills!A19</f>
        <v/>
      </c>
      <c r="B1589">
        <f>Skills!B19</f>
        <v/>
      </c>
      <c r="C1589">
        <f>TRUE</f>
        <v/>
      </c>
      <c r="D1589">
        <f>IF(Skills!C19=1,60+Inputs!$B$25+Inputs!$B$29,IF(Skills!C19=2,90+Inputs!$B$26+Inputs!$B$29,IF(Skills!C19=3,120+Inputs!$B$27+Inputs!$B$29,MAX(0,(Inputs!$B$3-100)*3)+Inputs!$B$28+Inputs!$B$29)))</f>
        <v/>
      </c>
      <c r="E1589">
        <f>INDEX(FactorTable!$B$2:$Y$301, MATCH(ROUND(MIN(300,MAX(1,D1589)),0), FactorTable!$A$2:$A$301,0), Skills!M19+1)</f>
        <v/>
      </c>
      <c r="F1589">
        <f>IF(Skills!N19=TRUE,(Skills!L19/10)*(E1589/1000),Skills!L19/10)+Skills!O19</f>
        <v/>
      </c>
      <c r="G1589">
        <f>Skills!G19*IF(Skills!H19&gt;0,Skills!I19/Skills!H19,1)</f>
        <v/>
      </c>
      <c r="H1589">
        <f>1-(1-Skills!J19/100)^Skills!K19</f>
        <v/>
      </c>
      <c r="I1589" t="inlineStr">
        <is>
          <t>1</t>
        </is>
      </c>
      <c r="J1589" t="inlineStr"/>
      <c r="K1589" t="inlineStr"/>
      <c r="L1589" t="inlineStr"/>
      <c r="M1589" t="inlineStr"/>
      <c r="N1589" t="inlineStr"/>
      <c r="O1589">
        <f>(1-Summary!$B$11)*T1589+Summary!$B$11*V1589</f>
        <v/>
      </c>
      <c r="P1589">
        <f>IF(B1615=0,0,O1589/B1615)</f>
        <v/>
      </c>
      <c r="Q1589">
        <f>IFERROR(1/IF(Inputs!$B$39="pvp",15,MAX(0.1,Skills!D19-IF(Skills!E19=TRUE,Inputs!$B$32,0))),0)</f>
        <v/>
      </c>
      <c r="R1589">
        <f>IF(AND(Inputs!$B$39&lt;&gt;"pvp",Inputs!$B$44&gt;0),IF(Inputs!$B$44&lt;=0,0,(INT(Inputs!$B$44/IF(Inputs!$B$39="pvp",15,MAX(0.1,Skills!D19-IF(Skills!E19=TRUE,Inputs!$B$32,0))))+1)),0)</f>
        <v/>
      </c>
      <c r="S1589">
        <f>IFERROR(O1589/N1589,0)</f>
        <v/>
      </c>
      <c r="T1589" t="n">
        <v>0</v>
      </c>
      <c r="V1589" t="n">
        <v>0</v>
      </c>
    </row>
    <row r="1590">
      <c r="A1590">
        <f>Skills!A20</f>
        <v/>
      </c>
      <c r="B1590">
        <f>Skills!B20</f>
        <v/>
      </c>
      <c r="C1590">
        <f>Inputs!$B$3&gt;=15</f>
        <v/>
      </c>
      <c r="D1590">
        <f>IF(Skills!C20=1,60+Inputs!$B$25+Inputs!$B$29,IF(Skills!C20=2,90+Inputs!$B$26+Inputs!$B$29,IF(Skills!C20=3,120+Inputs!$B$27+Inputs!$B$29,MAX(0,(Inputs!$B$3-100)*3)+Inputs!$B$28+Inputs!$B$29)))</f>
        <v/>
      </c>
      <c r="E1590">
        <f>INDEX(FactorTable!$B$2:$Y$301, MATCH(ROUND(MIN(300,MAX(1,D1590)),0), FactorTable!$A$2:$A$301,0), Skills!M20+1)</f>
        <v/>
      </c>
      <c r="F1590">
        <f>IF(Skills!N20=TRUE,(Skills!L20/10)*(E1590/1000),Skills!L20/10)+Skills!O20</f>
        <v/>
      </c>
      <c r="G1590">
        <f>Skills!G20*IF(Skills!H20&gt;0,Skills!I20/Skills!H20,1)</f>
        <v/>
      </c>
      <c r="H1590">
        <f>1-(1-Skills!J20/100)^Skills!K20</f>
        <v/>
      </c>
      <c r="I1590" t="inlineStr">
        <is>
          <t>1</t>
        </is>
      </c>
      <c r="J1590" t="inlineStr"/>
      <c r="K1590" t="inlineStr"/>
      <c r="L1590" t="inlineStr"/>
      <c r="M1590" t="inlineStr"/>
      <c r="N1590" t="inlineStr"/>
      <c r="O1590">
        <f>(1-Summary!$B$11)*T1590+Summary!$B$11*V1590</f>
        <v/>
      </c>
      <c r="P1590">
        <f>IF(B1615=0,0,O1590/B1615)</f>
        <v/>
      </c>
      <c r="Q1590">
        <f>IFERROR(1/IF(Inputs!$B$39="pvp",15,MAX(0.1,Skills!D20-IF(Skills!E20=TRUE,Inputs!$B$32,0))),0)</f>
        <v/>
      </c>
      <c r="R1590">
        <f>IF(AND(Inputs!$B$39&lt;&gt;"pvp",Inputs!$B$44&gt;0),IF(Inputs!$B$44&lt;=0,0,(INT(Inputs!$B$44/IF(Inputs!$B$39="pvp",15,MAX(0.1,Skills!D20-IF(Skills!E20=TRUE,Inputs!$B$32,0))))+1)),0)</f>
        <v/>
      </c>
      <c r="S1590">
        <f>IFERROR(O1590/N1590,0)</f>
        <v/>
      </c>
      <c r="T1590" t="n">
        <v>0</v>
      </c>
      <c r="V1590" t="n">
        <v>0</v>
      </c>
    </row>
    <row r="1591">
      <c r="A1591">
        <f>Skills!A21</f>
        <v/>
      </c>
      <c r="B1591">
        <f>Skills!B21</f>
        <v/>
      </c>
      <c r="C1591">
        <f>Inputs!$B$3&gt;=15</f>
        <v/>
      </c>
      <c r="D1591">
        <f>IF(Skills!C21=1,60+Inputs!$B$25+Inputs!$B$29,IF(Skills!C21=2,90+Inputs!$B$26+Inputs!$B$29,IF(Skills!C21=3,120+Inputs!$B$27+Inputs!$B$29,MAX(0,(Inputs!$B$3-100)*3)+Inputs!$B$28+Inputs!$B$29)))</f>
        <v/>
      </c>
      <c r="E1591">
        <f>INDEX(FactorTable!$B$2:$Y$301, MATCH(ROUND(MIN(300,MAX(1,D1591)),0), FactorTable!$A$2:$A$301,0), Skills!M21+1)</f>
        <v/>
      </c>
      <c r="F1591">
        <f>IF(Skills!N21=TRUE,(Skills!L21/10)*(E1591/1000),Skills!L21/10)+Skills!O21</f>
        <v/>
      </c>
      <c r="G1591">
        <f>Skills!G21*IF(Skills!H21&gt;0,Skills!I21/Skills!H21,1)</f>
        <v/>
      </c>
      <c r="H1591">
        <f>1-(1-Skills!J21/100)^Skills!K21</f>
        <v/>
      </c>
      <c r="I1591" t="inlineStr">
        <is>
          <t>1</t>
        </is>
      </c>
      <c r="J1591" t="inlineStr"/>
      <c r="K1591" t="inlineStr"/>
      <c r="L1591" t="inlineStr"/>
      <c r="M1591" t="inlineStr"/>
      <c r="N1591" t="inlineStr"/>
      <c r="O1591">
        <f>(1-Summary!$B$11)*T1591+Summary!$B$11*V1591</f>
        <v/>
      </c>
      <c r="P1591">
        <f>IF(B1615=0,0,O1591/B1615)</f>
        <v/>
      </c>
      <c r="Q1591">
        <f>IFERROR(1/IF(Inputs!$B$39="pvp",15,MAX(0.1,Skills!D21-IF(Skills!E21=TRUE,Inputs!$B$32,0))),0)</f>
        <v/>
      </c>
      <c r="R1591">
        <f>IF(AND(Inputs!$B$39&lt;&gt;"pvp",Inputs!$B$44&gt;0),IF(Inputs!$B$44&lt;=0,0,(INT(Inputs!$B$44/IF(Inputs!$B$39="pvp",15,MAX(0.1,Skills!D21-IF(Skills!E21=TRUE,Inputs!$B$32,0))))+1)),0)</f>
        <v/>
      </c>
      <c r="S1591">
        <f>IFERROR(O1591/N1591,0)</f>
        <v/>
      </c>
      <c r="T1591" t="n">
        <v>0</v>
      </c>
      <c r="V1591" t="n">
        <v>0</v>
      </c>
    </row>
    <row r="1592">
      <c r="A1592">
        <f>Skills!A22</f>
        <v/>
      </c>
      <c r="B1592">
        <f>Skills!B22</f>
        <v/>
      </c>
      <c r="C1592">
        <f>Inputs!$B$3&gt;=33</f>
        <v/>
      </c>
      <c r="D1592">
        <f>IF(Skills!C22=1,60+Inputs!$B$25+Inputs!$B$29,IF(Skills!C22=2,90+Inputs!$B$26+Inputs!$B$29,IF(Skills!C22=3,120+Inputs!$B$27+Inputs!$B$29,MAX(0,(Inputs!$B$3-100)*3)+Inputs!$B$28+Inputs!$B$29)))</f>
        <v/>
      </c>
      <c r="E1592">
        <f>INDEX(FactorTable!$B$2:$Y$301, MATCH(ROUND(MIN(300,MAX(1,D1592)),0), FactorTable!$A$2:$A$301,0), Skills!M22+1)</f>
        <v/>
      </c>
      <c r="F1592">
        <f>IF(Skills!N22=TRUE,(Skills!L22/10)*(E1592/1000),Skills!L22/10)+Skills!O22</f>
        <v/>
      </c>
      <c r="G1592">
        <f>Skills!G22*IF(Skills!H22&gt;0,Skills!I22/Skills!H22,1)</f>
        <v/>
      </c>
      <c r="H1592">
        <f>1-(1-Skills!J22/100)^Skills!K22</f>
        <v/>
      </c>
      <c r="I1592" t="inlineStr">
        <is>
          <t>1</t>
        </is>
      </c>
      <c r="J1592" t="inlineStr"/>
      <c r="K1592" t="inlineStr"/>
      <c r="L1592" t="inlineStr"/>
      <c r="M1592" t="inlineStr"/>
      <c r="N1592" t="inlineStr"/>
      <c r="O1592">
        <f>(1-Summary!$B$11)*T1592+Summary!$B$11*V1592</f>
        <v/>
      </c>
      <c r="P1592">
        <f>IF(B1615=0,0,O1592/B1615)</f>
        <v/>
      </c>
      <c r="Q1592" t="n">
        <v>0</v>
      </c>
      <c r="R1592" t="n">
        <v>0</v>
      </c>
      <c r="S1592">
        <f>IFERROR(O1592/N1592,0)</f>
        <v/>
      </c>
      <c r="T1592" t="n">
        <v>0</v>
      </c>
      <c r="V1592" t="n">
        <v>0</v>
      </c>
    </row>
    <row r="1593">
      <c r="A1593">
        <f>Skills!A23</f>
        <v/>
      </c>
      <c r="B1593">
        <f>Skills!B23</f>
        <v/>
      </c>
      <c r="C1593">
        <f>Inputs!$B$3&gt;=40</f>
        <v/>
      </c>
      <c r="D1593">
        <f>IF(Skills!C23=1,60+Inputs!$B$25+Inputs!$B$29,IF(Skills!C23=2,90+Inputs!$B$26+Inputs!$B$29,IF(Skills!C23=3,120+Inputs!$B$27+Inputs!$B$29,MAX(0,(Inputs!$B$3-100)*3)+Inputs!$B$28+Inputs!$B$29)))</f>
        <v/>
      </c>
      <c r="E1593">
        <f>INDEX(FactorTable!$B$2:$Y$301, MATCH(ROUND(MIN(300,MAX(1,D1593)),0), FactorTable!$A$2:$A$301,0), Skills!M23+1)</f>
        <v/>
      </c>
      <c r="F1593">
        <f>IF(Skills!N23=TRUE,(Skills!L23/10)*(E1593/1000),Skills!L23/10)+Skills!O23</f>
        <v/>
      </c>
      <c r="G1593">
        <f>Skills!G23*IF(Skills!H23&gt;0,Skills!I23/Skills!H23,1)</f>
        <v/>
      </c>
      <c r="H1593">
        <f>1-(1-Skills!J23/100)^Skills!K23</f>
        <v/>
      </c>
      <c r="I1593" t="inlineStr">
        <is>
          <t>1</t>
        </is>
      </c>
      <c r="J1593" t="inlineStr"/>
      <c r="K1593" t="inlineStr"/>
      <c r="L1593" t="inlineStr"/>
      <c r="M1593" t="inlineStr"/>
      <c r="N1593" t="inlineStr"/>
      <c r="O1593">
        <f>(1-Summary!$B$11)*T1593+Summary!$B$11*V1593</f>
        <v/>
      </c>
      <c r="P1593">
        <f>IF(B1615=0,0,O1593/B1615)</f>
        <v/>
      </c>
      <c r="Q1593" t="n">
        <v>0</v>
      </c>
      <c r="R1593" t="n">
        <v>0</v>
      </c>
      <c r="S1593">
        <f>IFERROR(O1593/N1593,0)</f>
        <v/>
      </c>
      <c r="T1593" t="n">
        <v>0</v>
      </c>
      <c r="V1593" t="n">
        <v>0</v>
      </c>
    </row>
    <row r="1594">
      <c r="A1594">
        <f>Skills!A24</f>
        <v/>
      </c>
      <c r="B1594">
        <f>Skills!B24</f>
        <v/>
      </c>
      <c r="C1594">
        <f>Inputs!$B$3&gt;=43</f>
        <v/>
      </c>
      <c r="D1594">
        <f>IF(Skills!C24=1,60+Inputs!$B$25+Inputs!$B$29,IF(Skills!C24=2,90+Inputs!$B$26+Inputs!$B$29,IF(Skills!C24=3,120+Inputs!$B$27+Inputs!$B$29,MAX(0,(Inputs!$B$3-100)*3)+Inputs!$B$28+Inputs!$B$29)))</f>
        <v/>
      </c>
      <c r="E1594">
        <f>INDEX(FactorTable!$B$2:$Y$301, MATCH(ROUND(MIN(300,MAX(1,D1594)),0), FactorTable!$A$2:$A$301,0), Skills!M24+1)</f>
        <v/>
      </c>
      <c r="F1594">
        <f>IF(Skills!N24=TRUE,(Skills!L24/10)*(E1594/1000),Skills!L24/10)+Skills!O24</f>
        <v/>
      </c>
      <c r="G1594">
        <f>Skills!G24*IF(Skills!H24&gt;0,Skills!I24/Skills!H24,1)</f>
        <v/>
      </c>
      <c r="H1594">
        <f>1-(1-Skills!J24/100)^Skills!K24</f>
        <v/>
      </c>
      <c r="I1594" t="inlineStr">
        <is>
          <t>1</t>
        </is>
      </c>
      <c r="J1594" t="inlineStr"/>
      <c r="K1594" t="inlineStr"/>
      <c r="L1594" t="inlineStr"/>
      <c r="M1594" t="inlineStr"/>
      <c r="N1594" t="inlineStr"/>
      <c r="O1594">
        <f>(1-Summary!$B$11)*T1594+Summary!$B$11*V1594</f>
        <v/>
      </c>
      <c r="P1594">
        <f>IF(B1615=0,0,O1594/B1615)</f>
        <v/>
      </c>
      <c r="Q1594" t="n">
        <v>0</v>
      </c>
      <c r="R1594" t="n">
        <v>0</v>
      </c>
      <c r="S1594">
        <f>IFERROR(O1594/N1594,0)</f>
        <v/>
      </c>
      <c r="T1594" t="n">
        <v>0</v>
      </c>
      <c r="V1594" t="n">
        <v>0</v>
      </c>
    </row>
    <row r="1595">
      <c r="A1595">
        <f>Skills!A25</f>
        <v/>
      </c>
      <c r="B1595">
        <f>Skills!B25</f>
        <v/>
      </c>
      <c r="C1595">
        <f>Inputs!$B$3&gt;=50</f>
        <v/>
      </c>
      <c r="D1595">
        <f>IF(Skills!C25=1,60+Inputs!$B$25+Inputs!$B$29,IF(Skills!C25=2,90+Inputs!$B$26+Inputs!$B$29,IF(Skills!C25=3,120+Inputs!$B$27+Inputs!$B$29,MAX(0,(Inputs!$B$3-100)*3)+Inputs!$B$28+Inputs!$B$29)))</f>
        <v/>
      </c>
      <c r="E1595">
        <f>INDEX(FactorTable!$B$2:$Y$301, MATCH(ROUND(MIN(300,MAX(1,D1595)),0), FactorTable!$A$2:$A$301,0), Skills!M25+1)</f>
        <v/>
      </c>
      <c r="F1595">
        <f>IF(Skills!N25=TRUE,(Skills!L25/10)*(E1595/1000),Skills!L25/10)+Skills!O25</f>
        <v/>
      </c>
      <c r="G1595">
        <f>Skills!G25*IF(Skills!H25&gt;0,Skills!I25/Skills!H25,1)</f>
        <v/>
      </c>
      <c r="H1595">
        <f>1-(1-Skills!J25/100)^Skills!K25</f>
        <v/>
      </c>
      <c r="I1595" t="inlineStr">
        <is>
          <t>1</t>
        </is>
      </c>
      <c r="J1595" t="inlineStr"/>
      <c r="K1595" t="inlineStr"/>
      <c r="L1595" t="inlineStr"/>
      <c r="M1595" t="inlineStr"/>
      <c r="N1595" t="inlineStr"/>
      <c r="O1595">
        <f>(1-Summary!$B$11)*T1595+Summary!$B$11*V1595</f>
        <v/>
      </c>
      <c r="P1595">
        <f>IF(B1615=0,0,O1595/B1615)</f>
        <v/>
      </c>
      <c r="Q1595" t="n">
        <v>0</v>
      </c>
      <c r="R1595" t="n">
        <v>0</v>
      </c>
      <c r="S1595">
        <f>IFERROR(O1595/N1595,0)</f>
        <v/>
      </c>
      <c r="T1595" t="n">
        <v>0</v>
      </c>
      <c r="V1595" t="n">
        <v>0</v>
      </c>
    </row>
    <row r="1596">
      <c r="A1596">
        <f>Skills!A26</f>
        <v/>
      </c>
      <c r="B1596">
        <f>Skills!B26</f>
        <v/>
      </c>
      <c r="C1596">
        <f>Inputs!$B$3&gt;=50</f>
        <v/>
      </c>
      <c r="D1596">
        <f>IF(Skills!C26=1,60+Inputs!$B$25+Inputs!$B$29,IF(Skills!C26=2,90+Inputs!$B$26+Inputs!$B$29,IF(Skills!C26=3,120+Inputs!$B$27+Inputs!$B$29,MAX(0,(Inputs!$B$3-100)*3)+Inputs!$B$28+Inputs!$B$29)))</f>
        <v/>
      </c>
      <c r="E1596">
        <f>INDEX(FactorTable!$B$2:$Y$301, MATCH(ROUND(MIN(300,MAX(1,D1596)),0), FactorTable!$A$2:$A$301,0), Skills!M26+1)</f>
        <v/>
      </c>
      <c r="F1596">
        <f>IF(Skills!N26=TRUE,(Skills!L26/10)*(E1596/1000),Skills!L26/10)+Skills!O26</f>
        <v/>
      </c>
      <c r="G1596">
        <f>Skills!G26*IF(Skills!H26&gt;0,Skills!I26/Skills!H26,1)</f>
        <v/>
      </c>
      <c r="H1596">
        <f>1-(1-Skills!J26/100)^Skills!K26</f>
        <v/>
      </c>
      <c r="I1596" t="inlineStr">
        <is>
          <t>1</t>
        </is>
      </c>
      <c r="J1596" t="inlineStr"/>
      <c r="K1596" t="inlineStr"/>
      <c r="L1596" t="inlineStr"/>
      <c r="M1596" t="inlineStr"/>
      <c r="N1596" t="inlineStr"/>
      <c r="O1596">
        <f>(1-Summary!$B$11)*T1596+Summary!$B$11*V1596</f>
        <v/>
      </c>
      <c r="P1596">
        <f>IF(B1615=0,0,O1596/B1615)</f>
        <v/>
      </c>
      <c r="Q1596" t="n">
        <v>0</v>
      </c>
      <c r="R1596" t="n">
        <v>0</v>
      </c>
      <c r="S1596">
        <f>IFERROR(O1596/N1596,0)</f>
        <v/>
      </c>
      <c r="T1596" t="n">
        <v>0</v>
      </c>
      <c r="V1596" t="n">
        <v>0</v>
      </c>
    </row>
    <row r="1597">
      <c r="A1597">
        <f>Skills!A27</f>
        <v/>
      </c>
      <c r="B1597">
        <f>Skills!B27</f>
        <v/>
      </c>
      <c r="C1597">
        <f>Inputs!$B$3&gt;=38</f>
        <v/>
      </c>
      <c r="D1597">
        <f>IF(Skills!C27=1,60+Inputs!$B$25+Inputs!$B$29,IF(Skills!C27=2,90+Inputs!$B$26+Inputs!$B$29,IF(Skills!C27=3,120+Inputs!$B$27+Inputs!$B$29,MAX(0,(Inputs!$B$3-100)*3)+Inputs!$B$28+Inputs!$B$29)))</f>
        <v/>
      </c>
      <c r="E1597">
        <f>INDEX(FactorTable!$B$2:$Y$301, MATCH(ROUND(MIN(300,MAX(1,D1597)),0), FactorTable!$A$2:$A$301,0), Skills!M27+1)</f>
        <v/>
      </c>
      <c r="F1597">
        <f>IF(Skills!N27=TRUE,(Skills!L27/10)*(E1597/1000),Skills!L27/10)+Skills!O27</f>
        <v/>
      </c>
      <c r="G1597">
        <f>Skills!G27*IF(Skills!H27&gt;0,Skills!I27/Skills!H27,1)</f>
        <v/>
      </c>
      <c r="H1597">
        <f>1-(1-Skills!J27/100)^Skills!K27</f>
        <v/>
      </c>
      <c r="I1597" t="inlineStr">
        <is>
          <t>1</t>
        </is>
      </c>
      <c r="J1597" t="inlineStr"/>
      <c r="K1597" t="inlineStr"/>
      <c r="L1597" t="inlineStr"/>
      <c r="M1597" t="inlineStr"/>
      <c r="N1597" t="inlineStr"/>
      <c r="O1597">
        <f>(1-Summary!$B$11)*T1597+Summary!$B$11*V1597</f>
        <v/>
      </c>
      <c r="P1597">
        <f>IF(B1615=0,0,O1597/B1615)</f>
        <v/>
      </c>
      <c r="Q1597" t="n">
        <v>0</v>
      </c>
      <c r="R1597" t="n">
        <v>0</v>
      </c>
      <c r="S1597">
        <f>IFERROR(O1597/N1597,0)</f>
        <v/>
      </c>
      <c r="T1597" t="n">
        <v>0</v>
      </c>
      <c r="V1597" t="n">
        <v>0</v>
      </c>
    </row>
    <row r="1598">
      <c r="A1598">
        <f>Skills!A28</f>
        <v/>
      </c>
      <c r="B1598">
        <f>Skills!B28</f>
        <v/>
      </c>
      <c r="C1598">
        <f>Inputs!$B$3&gt;=120</f>
        <v/>
      </c>
      <c r="D1598">
        <f>IF(Skills!C28=1,60+Inputs!$B$25+Inputs!$B$29,IF(Skills!C28=2,90+Inputs!$B$26+Inputs!$B$29,IF(Skills!C28=3,120+Inputs!$B$27+Inputs!$B$29,MAX(0,(Inputs!$B$3-100)*3)+Inputs!$B$28+Inputs!$B$29)))</f>
        <v/>
      </c>
      <c r="E1598">
        <f>INDEX(FactorTable!$B$2:$Y$301, MATCH(ROUND(MIN(300,MAX(1,D1598)),0), FactorTable!$A$2:$A$301,0), Skills!M28+1)</f>
        <v/>
      </c>
      <c r="F1598">
        <f>IF(Skills!N28=TRUE,(Skills!L28/10)*(E1598/1000),Skills!L28/10)+Skills!O28</f>
        <v/>
      </c>
      <c r="G1598">
        <f>Skills!G28*IF(Skills!H28&gt;0,Skills!I28/Skills!H28,1)</f>
        <v/>
      </c>
      <c r="H1598">
        <f>1-(1-Skills!J28/100)^Skills!K28</f>
        <v/>
      </c>
      <c r="I1598" t="inlineStr">
        <is>
          <t>1</t>
        </is>
      </c>
      <c r="J1598" t="inlineStr"/>
      <c r="K1598" t="inlineStr"/>
      <c r="L1598" t="inlineStr"/>
      <c r="M1598" t="inlineStr"/>
      <c r="N1598" t="inlineStr"/>
      <c r="O1598">
        <f>(1-Summary!$B$11)*T1598+Summary!$B$11*V1598</f>
        <v/>
      </c>
      <c r="P1598">
        <f>IF(B1615=0,0,O1598/B1615)</f>
        <v/>
      </c>
      <c r="Q1598" t="n">
        <v>0</v>
      </c>
      <c r="R1598" t="n">
        <v>0</v>
      </c>
      <c r="S1598">
        <f>IFERROR(O1598/N1598,0)</f>
        <v/>
      </c>
      <c r="T1598" t="n">
        <v>0</v>
      </c>
      <c r="V1598" t="n">
        <v>0</v>
      </c>
    </row>
    <row r="1599">
      <c r="A1599">
        <f>Skills!A29</f>
        <v/>
      </c>
      <c r="B1599">
        <f>Skills!B29</f>
        <v/>
      </c>
      <c r="C1599">
        <f>Inputs!$B$3&gt;=120</f>
        <v/>
      </c>
      <c r="D1599">
        <f>IF(Skills!C29=1,60+Inputs!$B$25+Inputs!$B$29,IF(Skills!C29=2,90+Inputs!$B$26+Inputs!$B$29,IF(Skills!C29=3,120+Inputs!$B$27+Inputs!$B$29,MAX(0,(Inputs!$B$3-100)*3)+Inputs!$B$28+Inputs!$B$29)))</f>
        <v/>
      </c>
      <c r="E1599">
        <f>INDEX(FactorTable!$B$2:$Y$301, MATCH(ROUND(MIN(300,MAX(1,D1599)),0), FactorTable!$A$2:$A$301,0), Skills!M29+1)</f>
        <v/>
      </c>
      <c r="F1599">
        <f>IF(Skills!N29=TRUE,(Skills!L29/10)*(E1599/1000),Skills!L29/10)+Skills!O29</f>
        <v/>
      </c>
      <c r="G1599">
        <f>Skills!G29*IF(Skills!H29&gt;0,Skills!I29/Skills!H29,1)</f>
        <v/>
      </c>
      <c r="H1599">
        <f>1-(1-Skills!J29/100)^Skills!K29</f>
        <v/>
      </c>
      <c r="I1599" t="inlineStr">
        <is>
          <t>1</t>
        </is>
      </c>
      <c r="J1599" t="inlineStr"/>
      <c r="K1599" t="inlineStr"/>
      <c r="L1599" t="inlineStr"/>
      <c r="M1599" t="inlineStr"/>
      <c r="N1599" t="inlineStr"/>
      <c r="O1599">
        <f>(1-Summary!$B$11)*T1599+Summary!$B$11*V1599</f>
        <v/>
      </c>
      <c r="P1599">
        <f>IF(B1615=0,0,O1599/B1615)</f>
        <v/>
      </c>
      <c r="Q1599" t="n">
        <v>0</v>
      </c>
      <c r="R1599" t="n">
        <v>0</v>
      </c>
      <c r="S1599">
        <f>IFERROR(O1599/N1599,0)</f>
        <v/>
      </c>
      <c r="T1599" t="n">
        <v>0</v>
      </c>
      <c r="V1599" t="n">
        <v>0</v>
      </c>
    </row>
    <row r="1600">
      <c r="A1600">
        <f>Skills!A30</f>
        <v/>
      </c>
      <c r="B1600">
        <f>Skills!B30</f>
        <v/>
      </c>
      <c r="C1600">
        <f>Inputs!$B$3&gt;=125</f>
        <v/>
      </c>
      <c r="D1600">
        <f>IF(Skills!C30=1,60+Inputs!$B$25+Inputs!$B$29,IF(Skills!C30=2,90+Inputs!$B$26+Inputs!$B$29,IF(Skills!C30=3,120+Inputs!$B$27+Inputs!$B$29,MAX(0,(Inputs!$B$3-100)*3)+Inputs!$B$28+Inputs!$B$29)))</f>
        <v/>
      </c>
      <c r="E1600">
        <f>INDEX(FactorTable!$B$2:$Y$301, MATCH(ROUND(MIN(300,MAX(1,D1600)),0), FactorTable!$A$2:$A$301,0), Skills!M30+1)</f>
        <v/>
      </c>
      <c r="F1600">
        <f>IF(Skills!N30=TRUE,(Skills!L30/10)*(E1600/1000),Skills!L30/10)+Skills!O30</f>
        <v/>
      </c>
      <c r="G1600">
        <f>Skills!G30*IF(Skills!H30&gt;0,Skills!I30/Skills!H30,1)</f>
        <v/>
      </c>
      <c r="H1600">
        <f>1-(1-Skills!J30/100)^Skills!K30</f>
        <v/>
      </c>
      <c r="I1600" t="inlineStr">
        <is>
          <t>1</t>
        </is>
      </c>
      <c r="J1600" t="inlineStr"/>
      <c r="K1600" t="inlineStr"/>
      <c r="L1600" t="inlineStr"/>
      <c r="M1600" t="inlineStr"/>
      <c r="N1600" t="inlineStr"/>
      <c r="O1600">
        <f>(1-Summary!$B$11)*T1600+Summary!$B$11*V1600</f>
        <v/>
      </c>
      <c r="P1600">
        <f>IF(B1615=0,0,O1600/B1615)</f>
        <v/>
      </c>
      <c r="Q1600" t="n">
        <v>0</v>
      </c>
      <c r="R1600" t="n">
        <v>0</v>
      </c>
      <c r="S1600">
        <f>IFERROR(O1600/N1600,0)</f>
        <v/>
      </c>
      <c r="T1600" t="n">
        <v>0</v>
      </c>
      <c r="V1600" t="n">
        <v>0</v>
      </c>
    </row>
    <row r="1602">
      <c r="A1602" t="inlineStr">
        <is>
          <t>Average Buff Multiplier</t>
        </is>
      </c>
      <c r="B1602">
        <f>(1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f>
        <v/>
      </c>
    </row>
    <row r="1603">
      <c r="A1603" t="inlineStr">
        <is>
          <t>Global Crit Rate Bonus %</t>
        </is>
      </c>
      <c r="B1603">
        <f>((C1590=TRUE)*F1590*IF(AND(Inputs!$B$39&lt;&gt;"pvp",Inputs!$B$44&gt;0),(((R1590-1)*(Skills!Y20*(1+Inputs!$B$34/100))+MIN((Skills!Y20*(1+Inputs!$B$34/100)),MAX(0,Inputs!$B$44-((R1590-1)*Skills!D20))))/Inputs!$B$44),IF(Inputs!$B$39="pvp",MIN((Skills!Y20*(1+Inputs!$B$34/100)),15)/15,(Skills!Y20*(1+Inputs!$B$34/100))/Skills!D20)))</f>
        <v/>
      </c>
    </row>
    <row r="1604">
      <c r="A1604" t="inlineStr">
        <is>
          <t>Global Monster Damage-Taken Bonus %</t>
        </is>
      </c>
      <c r="B1604">
        <f>IF(Inputs!$B$3&gt;=82,15,0)</f>
        <v/>
      </c>
    </row>
    <row r="1605">
      <c r="A1605" t="inlineStr">
        <is>
          <t>Shadow Partner Average Multiplier</t>
        </is>
      </c>
      <c r="B1605">
        <f>1+((C1577=TRUE)*F1577*(1+3.3333333333333335*IF(C1588=TRUE,F1588,0)/100)*I1577*Skills!J7/100)/100</f>
        <v/>
      </c>
    </row>
    <row r="1606">
      <c r="A1606" t="inlineStr">
        <is>
          <t>Attack Speed Buff Bonus %</t>
        </is>
      </c>
      <c r="B1606">
        <f>((C1589=TRUE)*F1589*IF(AND(Inputs!$B$39&lt;&gt;"pvp",Inputs!$B$44&gt;0),(((R1589-1)*(Skills!Y19*(1+Inputs!$B$34/100))+MIN((Skills!Y19*(1+Inputs!$B$34/100)),MAX(0,Inputs!$B$44-((R1589-1)*Skills!D19))))/Inputs!$B$44),IF(Inputs!$B$39="pvp",MIN((Skills!Y19*(1+Inputs!$B$34/100)),15)/15,(Skills!Y19*(1+Inputs!$B$34/100))/Skills!D19)))+((C1573=TRUE)*F1573*3)</f>
        <v/>
      </c>
    </row>
    <row r="1607">
      <c r="A1607" t="inlineStr">
        <is>
          <t>Actions Per Second</t>
        </is>
      </c>
      <c r="B1607">
        <f>1+MIN(150,150*(1-(1-(Inputs!$B$11+((C1592=TRUE)*(F1592-Calc!F22)))/150)*(1-B1606/150)))/100</f>
        <v/>
      </c>
    </row>
    <row r="1608">
      <c r="A1608" t="inlineStr">
        <is>
          <t>Skill + Buff Cast Rate</t>
        </is>
      </c>
      <c r="B1608">
        <f>IF(AND(Inputs!$B$39&lt;&gt;"pvp",Inputs!$B$44&gt;0),SUMPRODUCT((Skills!E2:E30=TRUE)*(C1572:C1600=TRUE)*R1572:R1600*Skills!F2:F30)/Inputs!$B$44,SUMPRODUCT((Skills!E2:E30=TRUE)*(C1572:C1600=TRUE)*Q1572:Q1600*Skills!F2:F30))</f>
        <v/>
      </c>
    </row>
    <row r="1609">
      <c r="A1609" t="inlineStr">
        <is>
          <t>Cruel Stab Casts Per Second</t>
        </is>
      </c>
      <c r="B1609">
        <f>MAX(0,B1607-B1608)</f>
        <v/>
      </c>
    </row>
    <row r="1610">
      <c r="A1610" t="inlineStr">
        <is>
          <t>Global Critical Damage Bonus % (Smokescreen Mastery Lv.113)</t>
        </is>
      </c>
      <c r="B1610">
        <f>IF(Inputs!$B$3&gt;=113,30,0)*IF(AND(Inputs!$B$39&lt;&gt;"pvp",Inputs!$B$44&gt;0),(((R1585-1)*(Skills!Y15*(1+Inputs!$B$34/100))+MIN((Skills!Y15*(1+Inputs!$B$34/100)),MAX(0,Inputs!$B$44-((R1585-1)*Skills!D15))))/Inputs!$B$44),IF(Inputs!$B$39="pvp",MIN((Skills!Y15*(1+Inputs!$B$34/100)),15)/15,(Skills!Y15*(1+Inputs!$B$34/100))/Skills!D15))</f>
        <v/>
      </c>
    </row>
    <row r="1611">
      <c r="A1611" t="inlineStr">
        <is>
          <t>Meso Explosion average stack count</t>
        </is>
      </c>
      <c r="B1611">
        <f>MIN(10,0.5*B1607*Skills!D4)</f>
        <v/>
      </c>
    </row>
    <row r="1612">
      <c r="A1612" t="inlineStr">
        <is>
          <t>Blood Money average stack count</t>
        </is>
      </c>
      <c r="B1612">
        <f>MIN(5,0.25*B1607*Skills!D4)</f>
        <v/>
      </c>
    </row>
    <row r="1613">
      <c r="A1613" t="inlineStr">
        <is>
          <t>Assassinate Murderous Intent Multiplier</t>
        </is>
      </c>
      <c r="B1613">
        <f>1+IFERROR(MIN(1,Q1584*2/Q1581),0)</f>
        <v/>
      </c>
    </row>
    <row r="1614">
      <c r="A1614" t="inlineStr">
        <is>
          <t>Buff-Casting Startup Delay (s, fixed-duration only)</t>
        </is>
      </c>
      <c r="B1614">
        <f>IF(AND(Inputs!$B$39&lt;&gt;"pvp",Inputs!$B$44&gt;0),SUMPRODUCT((Skills!Y2:Y30&gt;0)*(Skills!E2:E30=TRUE)*(C1572:C1600=TRUE))/B1607,0)</f>
        <v/>
      </c>
    </row>
    <row r="1615">
      <c r="A1615" s="6" t="inlineStr">
        <is>
          <t>TOTAL DPS</t>
        </is>
      </c>
      <c r="B1615" s="6">
        <f>SUM(O1572:O1600)</f>
        <v/>
      </c>
    </row>
    <row r="1616">
      <c r="A1616" t="inlineStr">
        <is>
          <t>Boss-Only Total DPS (this block's swept value)</t>
        </is>
      </c>
      <c r="B1616">
        <f>SUM(T1572:T1600)</f>
        <v/>
      </c>
    </row>
    <row r="1617">
      <c r="A1617" t="inlineStr">
        <is>
          <t>Normal-Only Total DPS (this block's swept value)</t>
        </is>
      </c>
      <c r="B1617">
        <f>SUM(V1572:V1600)</f>
        <v/>
      </c>
    </row>
    <row r="1620">
      <c r="A1620" s="6" t="inlineStr">
        <is>
          <t>Stat: Rainbow-colored Snail Shell (Equip)</t>
        </is>
      </c>
    </row>
    <row r="1621">
      <c r="A1621" s="5" t="inlineStr">
        <is>
          <t>Key</t>
        </is>
      </c>
      <c r="B1621" s="5" t="inlineStr">
        <is>
          <t>Name</t>
        </is>
      </c>
      <c r="C1621" s="5" t="inlineStr">
        <is>
          <t>Unlocked</t>
        </is>
      </c>
      <c r="D1621" s="5" t="inlineStr">
        <is>
          <t>InputLevel</t>
        </is>
      </c>
      <c r="E1621" s="5" t="inlineStr">
        <is>
          <t>Factor</t>
        </is>
      </c>
      <c r="F1621" s="5" t="inlineStr">
        <is>
          <t>CoefficientPercent</t>
        </is>
      </c>
      <c r="G1621" s="5" t="inlineStr">
        <is>
          <t>EffectiveHits</t>
        </is>
      </c>
      <c r="H1621" s="5" t="inlineStr">
        <is>
          <t>ProcProbability</t>
        </is>
      </c>
      <c r="I1621" s="5" t="inlineStr">
        <is>
          <t>MapleHeroMultiplier</t>
        </is>
      </c>
      <c r="J1621" s="5" t="inlineStr">
        <is>
          <t>BaseDamage</t>
        </is>
      </c>
      <c r="K1621" s="5" t="inlineStr">
        <is>
          <t>BaseHitDamage</t>
        </is>
      </c>
      <c r="L1621" s="5" t="inlineStr">
        <is>
          <t>NonCritAvg</t>
        </is>
      </c>
      <c r="M1621" s="5" t="inlineStr">
        <is>
          <t>CritAvg</t>
        </is>
      </c>
      <c r="N1621" s="5" t="inlineStr">
        <is>
          <t>ExpectedDamage(perHit)</t>
        </is>
      </c>
      <c r="O1621" s="5" t="inlineStr">
        <is>
          <t>DPS</t>
        </is>
      </c>
      <c r="P1621" s="5" t="inlineStr">
        <is>
          <t>% of Total</t>
        </is>
      </c>
      <c r="Q1621" s="5" t="inlineStr">
        <is>
          <t>InvCooldown</t>
        </is>
      </c>
      <c r="R1621" s="5" t="inlineStr">
        <is>
          <t>CastsInFight</t>
        </is>
      </c>
      <c r="S1621" s="5" t="inlineStr">
        <is>
          <t>HitRate(perSec)</t>
        </is>
      </c>
      <c r="U1621" t="inlineStr">
        <is>
          <t>helpers</t>
        </is>
      </c>
    </row>
    <row r="1622">
      <c r="A1622">
        <f>Skills!A2</f>
        <v/>
      </c>
      <c r="B1622">
        <f>Skills!B2</f>
        <v/>
      </c>
      <c r="C1622">
        <f>Inputs!$B$3&gt;=100</f>
        <v/>
      </c>
      <c r="D1622" t="inlineStr"/>
      <c r="E1622" t="inlineStr"/>
      <c r="F1622">
        <f>U1624+Skills!O2</f>
        <v/>
      </c>
      <c r="G1622">
        <f>Skills!G2*IF(Skills!H2&gt;0,Skills!I2/Skills!H2,1)</f>
        <v/>
      </c>
      <c r="H1622">
        <f>1-(1-Skills!J2/100)^Skills!K2</f>
        <v/>
      </c>
      <c r="I1622" t="inlineStr">
        <is>
          <t>1</t>
        </is>
      </c>
      <c r="J1622">
        <f>((Inputs!$B$6*(1+Inputs!$B$7/100))+(((Inputs!$B$12*(1+Inputs!$B$13/100))-(Inputs!$B$12*(1+Inputs!$B$13/100)))+0.25*(Inputs!$B$14-Inputs!$B$14))*(1+Inputs!$B$7/100))*(F1622/100)</f>
        <v/>
      </c>
      <c r="K1622">
        <f>J1622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1622)</f>
        <v/>
      </c>
      <c r="L1622">
        <f>K1622*(MIN(Inputs!$B$22+((C1644=TRUE)*(F1644-Calc!F24)),(Inputs!$B$23+((C1649=TRUE)*(F1649-Calc!F29))+IF(ArtifactsInput!$M$15,CHOOSE(ArtifactsInput!$N$15+1,25,30,35,40,45,50)/100*(Inputs!$B$11-Inputs!$B$11),0)))/100+(Inputs!$B$23+((C1649=TRUE)*(F1649-Calc!F29))+IF(ArtifactsInput!$M$15,CHOOSE(ArtifactsInput!$N$15+1,25,30,35,40,45,50)/100*(Inputs!$B$11-Inputs!$B$11),0))/100)/2</f>
        <v/>
      </c>
      <c r="M1622">
        <f>L1622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2">
        <f>L1622*(1-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1622*(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2">
        <f>(1-Summary!$B$11)*T1622+Summary!$B$11*V1622</f>
        <v/>
      </c>
      <c r="P1622">
        <f>IF(B1665=0,0,O1622/B1665)</f>
        <v/>
      </c>
      <c r="Q1622" t="n">
        <v>0</v>
      </c>
      <c r="R1622" t="n">
        <v>0</v>
      </c>
      <c r="S1622">
        <f>IFERROR(O1622/N1622,0)</f>
        <v/>
      </c>
      <c r="T1622">
        <f>IF(C1622,(Skills!G2*N1622*B1659)*IF(Inputs!$B$39="pvp",1,1+(Inputs!$B$20+0+Skills!P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1622*(1-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1622*(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1622*(1-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1622*(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2">
        <f>MAX(0,(Inputs!$B$3-100)*3)+Inputs!$B$28+Inputs!$B$29</f>
        <v/>
      </c>
      <c r="V1622">
        <f>IF(C1622,(Skills!G2*N1622*B1659)*IF(Inputs!$B$39="pvp",1,(1+(Inputs!$B$21+Skills!Q2+B1654+(IF(ArtifactsInput!$M$33,CHOOSE(ArtifactsInput!$N$33+1,30,36,42,48,54,60),0))+(IF(AND(ArtifactsInput!$M$35,Inputs!$B$4&lt;&gt;"Chapter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3">
      <c r="A1623">
        <f>Skills!A3</f>
        <v/>
      </c>
      <c r="B1623">
        <f>Skills!B3</f>
        <v/>
      </c>
      <c r="C1623">
        <f>Inputs!$B$3&gt;=35</f>
        <v/>
      </c>
      <c r="D1623">
        <f>IF(Skills!C3=1,60+Inputs!$B$25+Inputs!$B$29,IF(Skills!C3=2,90+Inputs!$B$26+Inputs!$B$29,IF(Skills!C3=3,120+Inputs!$B$27+Inputs!$B$29,MAX(0,(Inputs!$B$3-100)*3)+Inputs!$B$28+Inputs!$B$29)))</f>
        <v/>
      </c>
      <c r="E1623">
        <f>INDEX(FactorTable!$B$2:$Y$301, MATCH(ROUND(MIN(300,MAX(1,D1623)),0), FactorTable!$A$2:$A$301,0), Skills!M3+1)</f>
        <v/>
      </c>
      <c r="F1623">
        <f>IF(Skills!N3=TRUE,(Skills!L3/10)*(E1623/1000),Skills!L3/10)+Skills!O3</f>
        <v/>
      </c>
      <c r="G1623">
        <f>Skills!G3*IF(Skills!H3&gt;0,Skills!I3/Skills!H3,1)</f>
        <v/>
      </c>
      <c r="H1623">
        <f>1-(1-Skills!J3/100)^Skills!K3</f>
        <v/>
      </c>
      <c r="I1623" t="inlineStr">
        <is>
          <t>1</t>
        </is>
      </c>
      <c r="J1623" t="inlineStr"/>
      <c r="K1623" t="inlineStr"/>
      <c r="L1623" t="inlineStr"/>
      <c r="M1623" t="inlineStr"/>
      <c r="N1623" t="inlineStr"/>
      <c r="O1623">
        <f>(1-Summary!$B$11)*T1623+Summary!$B$11*V1623</f>
        <v/>
      </c>
      <c r="P1623">
        <f>IF(B1665=0,0,O1623/B1665)</f>
        <v/>
      </c>
      <c r="Q1623" t="n">
        <v>0</v>
      </c>
      <c r="R1623" t="n">
        <v>0</v>
      </c>
      <c r="S1623">
        <f>IFERROR(O1623/N1623,0)</f>
        <v/>
      </c>
      <c r="T1623" t="n">
        <v>0</v>
      </c>
      <c r="U1623">
        <f>INDEX(FactorTable!$B$2:$Y$301, MATCH(ROUND(MIN(300,MAX(1,U1622)),0), FactorTable!$A$2:$A$301,0), 22)</f>
        <v/>
      </c>
      <c r="V1623" t="n">
        <v>0</v>
      </c>
    </row>
    <row r="1624">
      <c r="A1624">
        <f>Skills!A4</f>
        <v/>
      </c>
      <c r="B1624">
        <f>Skills!B4</f>
        <v/>
      </c>
      <c r="C1624">
        <f>Inputs!$B$3&gt;=66</f>
        <v/>
      </c>
      <c r="D1624">
        <f>IF(Skills!C4=1,60+Inputs!$B$25+Inputs!$B$29,IF(Skills!C4=2,90+Inputs!$B$26+Inputs!$B$29,IF(Skills!C4=3,120+Inputs!$B$27+Inputs!$B$29,MAX(0,(Inputs!$B$3-100)*3)+Inputs!$B$28+Inputs!$B$29)))</f>
        <v/>
      </c>
      <c r="E1624">
        <f>INDEX(FactorTable!$B$2:$Y$301, MATCH(ROUND(MIN(300,MAX(1,D1624)),0), FactorTable!$A$2:$A$301,0), Skills!M4+1)</f>
        <v/>
      </c>
      <c r="F1624">
        <f>IF(Skills!N4=TRUE,(Skills!L4/10)*(E1624/1000),Skills!L4/10)+Skills!O4</f>
        <v/>
      </c>
      <c r="G1624">
        <f>Skills!G4*IF(Skills!H4&gt;0,Skills!I4/Skills!H4,1)</f>
        <v/>
      </c>
      <c r="H1624">
        <f>1-(1-Skills!J4/100)^Skills!K4</f>
        <v/>
      </c>
      <c r="I1624" t="inlineStr">
        <is>
          <t>1</t>
        </is>
      </c>
      <c r="J1624">
        <f>((Inputs!$B$6*(1+Inputs!$B$7/100))+(((Inputs!$B$12*(1+Inputs!$B$13/100))-(Inputs!$B$12*(1+Inputs!$B$13/100)))+0.25*(Inputs!$B$14-Inputs!$B$14))*(1+Inputs!$B$7/100))*(F1624/100)</f>
        <v/>
      </c>
      <c r="K1624">
        <f>J1624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1624)</f>
        <v/>
      </c>
      <c r="L1624">
        <f>K1624*(MIN(Inputs!$B$22+((C1644=TRUE)*(F1644-Calc!F24)),(Inputs!$B$23+((C1649=TRUE)*(F1649-Calc!F29))+IF(ArtifactsInput!$M$15,CHOOSE(ArtifactsInput!$N$15+1,25,30,35,40,45,50)/100*(Inputs!$B$11-Inputs!$B$11),0)))/100+(Inputs!$B$23+((C1649=TRUE)*(F1649-Calc!F29))+IF(ArtifactsInput!$M$15,CHOOSE(ArtifactsInput!$N$15+1,25,30,35,40,45,50)/100*(Inputs!$B$11-Inputs!$B$11),0))/100)/2</f>
        <v/>
      </c>
      <c r="M1624">
        <f>L1624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4">
        <f>L1624*(1-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1624*(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4">
        <f>(1-Summary!$B$11)*T1624+Summary!$B$11*V1624</f>
        <v/>
      </c>
      <c r="P1624">
        <f>IF(B1665=0,0,O1624/B1665)</f>
        <v/>
      </c>
      <c r="Q1624">
        <f>IFERROR(1/IF(Inputs!$B$39="pvp",15,MAX(0.1,Skills!D4-IF(Skills!E4=TRUE,Inputs!$B$32,0))),0)</f>
        <v/>
      </c>
      <c r="R1624">
        <f>IF(AND(Inputs!$B$39&lt;&gt;"pvp",Inputs!$B$44&gt;0),IF(MAX(0,Inputs!$B$44-B1664)&lt;=0,0,(INT(MAX(0,Inputs!$B$44-B1664)/IF(Inputs!$B$39="pvp",15,MAX(0.1,Skills!D4-IF(Skills!E4=TRUE,Inputs!$B$32,0))))+1)),0)</f>
        <v/>
      </c>
      <c r="S1624">
        <f>IFERROR(O1624/N1624,0)</f>
        <v/>
      </c>
      <c r="T1624">
        <f>IF(C1624,(H1624*N1624*IF(AND(Inputs!$B$39&lt;&gt;"pvp",Inputs!$B$44&gt;0),((Skills!G4*((R1624-1)*IF(Skills!H4&gt;0,Skills!I4/Skills!H4,1)+IF(Skills!H4&gt;0,MIN(Skills!I4,MAX(0,MAX(0,Inputs!$B$44-B1664)-((R1624-1)*IF(Inputs!$B$39="pvp",15,MAX(0.1,Skills!D4-IF(Skills!E4=TRUE,Inputs!$B$32,0))))))/Skills!H4,1)))/Inputs!$B$44),G1624*Q1624))*IF(Inputs!$B$39="pvp",1,1+(Inputs!$B$20+0+Skills!P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1624*(1-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1624*(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1624*(1-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1624*(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4">
        <f>290*U1623/1000</f>
        <v/>
      </c>
      <c r="V1624">
        <f>IF(C1624,(H1624*N1624*IF(AND(Inputs!$B$39&lt;&gt;"pvp",Inputs!$B$44&gt;0),((Skills!G4*((R1624-1)*IF(Skills!H4&gt;0,Skills!I4/Skills!H4,1)+IF(Skills!H4&gt;0,MIN(Skills!I4,MAX(0,MAX(0,Inputs!$B$44-B1664)-((R1624-1)*IF(Inputs!$B$39="pvp",15,MAX(0.1,Skills!D4-IF(Skills!E4=TRUE,Inputs!$B$32,0))))))/Skills!H4,1)))/Inputs!$B$44),G1624*Q1624))*IF(Inputs!$B$39="pvp",1,(1+(Inputs!$B$21+Skills!Q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(10,0.5*B1657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5">
      <c r="A1625">
        <f>Skills!A5</f>
        <v/>
      </c>
      <c r="B1625">
        <f>Skills!B5</f>
        <v/>
      </c>
      <c r="C1625">
        <f>Inputs!$B$3&gt;=63</f>
        <v/>
      </c>
      <c r="D1625">
        <f>IF(Skills!C5=1,60+Inputs!$B$25+Inputs!$B$29,IF(Skills!C5=2,90+Inputs!$B$26+Inputs!$B$29,IF(Skills!C5=3,120+Inputs!$B$27+Inputs!$B$29,MAX(0,(Inputs!$B$3-100)*3)+Inputs!$B$28+Inputs!$B$29)))</f>
        <v/>
      </c>
      <c r="E1625">
        <f>INDEX(FactorTable!$B$2:$Y$301, MATCH(ROUND(MIN(300,MAX(1,D1625)),0), FactorTable!$A$2:$A$301,0), Skills!M5+1)</f>
        <v/>
      </c>
      <c r="F1625">
        <f>IF(Skills!N5=TRUE,(Skills!L5/10)*(E1625/1000),Skills!L5/10)+Skills!O5</f>
        <v/>
      </c>
      <c r="G1625">
        <f>Skills!G5*IF(Skills!H5&gt;0,Skills!I5/Skills!H5,1)</f>
        <v/>
      </c>
      <c r="H1625">
        <f>1-(1-Skills!J5/100)^Skills!K5</f>
        <v/>
      </c>
      <c r="I1625" t="inlineStr">
        <is>
          <t>1</t>
        </is>
      </c>
      <c r="J1625">
        <f>((Inputs!$B$6*(1+Inputs!$B$7/100))+(((Inputs!$B$12*(1+Inputs!$B$13/100))-(Inputs!$B$12*(1+Inputs!$B$13/100)))+0.25*(Inputs!$B$14-Inputs!$B$14))*(1+Inputs!$B$7/100))*(F1625/100)</f>
        <v/>
      </c>
      <c r="K1625">
        <f>J1625*(1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1638=TRUE,F1638,0)/100)*(1+(IF(Skills!A5="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1625)</f>
        <v/>
      </c>
      <c r="L1625">
        <f>K1625*(MIN(Inputs!$B$22+((C1644=TRUE)*(F1644-Calc!F24)),(Inputs!$B$23+((C1649=TRUE)*(F1649-Calc!F29))+IF(ArtifactsInput!$M$15,CHOOSE(ArtifactsInput!$N$15+1,25,30,35,40,45,50)/100*(Inputs!$B$11-Inputs!$B$11),0)))/100+(Inputs!$B$23+((C1649=TRUE)*(F1649-Calc!F29))+IF(ArtifactsInput!$M$15,CHOOSE(ArtifactsInput!$N$15+1,25,30,35,40,45,50)/100*(Inputs!$B$11-Inputs!$B$11),0))/100)/2</f>
        <v/>
      </c>
      <c r="M1625">
        <f>L1625*(1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5">
        <f>L1625*(1-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1625*(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5">
        <f>(1-Summary!$B$11)*T1625+Summary!$B$11*V1625</f>
        <v/>
      </c>
      <c r="P1625">
        <f>IF(B1665=0,0,O1625/B1665)</f>
        <v/>
      </c>
      <c r="Q1625">
        <f>IFERROR(1/IF(Inputs!$B$39="pvp",15,MAX(0.1,Skills!D5-IF(Skills!E5=TRUE,Inputs!$B$32,0))),0)</f>
        <v/>
      </c>
      <c r="R1625">
        <f>IF(AND(Inputs!$B$39&lt;&gt;"pvp",Inputs!$B$44&gt;0),IF(MAX(0,Inputs!$B$44-B1664)&lt;=0,0,(INT(MAX(0,Inputs!$B$44-B1664)/IF(Inputs!$B$39="pvp",15,MAX(0.1,Skills!D5-IF(Skills!E5=TRUE,Inputs!$B$32,0))))+1)),0)</f>
        <v/>
      </c>
      <c r="S1625">
        <f>IFERROR(O1625/N1625,0)</f>
        <v/>
      </c>
      <c r="T1625">
        <f>IF(C1625,(H1625*N1625*IF(AND(Inputs!$B$39&lt;&gt;"pvp",Inputs!$B$44&gt;0),((Skills!G5*((R1625-1)*IF(Skills!H5&gt;0,Skills!I5/Skills!H5,1)+IF(Skills!H5&gt;0,MIN(Skills!I5,MAX(0,MAX(0,Inputs!$B$44-B1664)-((R1625-1)*IF(Inputs!$B$39="pvp",15,MAX(0.1,Skills!D5-IF(Skills!E5=TRUE,Inputs!$B$32,0))))))/Skills!H5,1)))/Inputs!$B$44),G1625*Q1625))*IF(Inputs!$B$39="pvp",1,1+(Inputs!$B$20+0+Skills!P5+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1625*(1-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1625*(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1625*(1-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1625*(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5">
        <f>IF(C1625,(H1625*N1625*IF(AND(Inputs!$B$39&lt;&gt;"pvp",Inputs!$B$44&gt;0),((Skills!G5*((R1625-1)*IF(Skills!H5&gt;0,Skills!I5/Skills!H5,1)+IF(Skills!H5&gt;0,MIN(Skills!I5,MAX(0,MAX(0,Inputs!$B$44-B1664)-((R1625-1)*IF(Inputs!$B$39="pvp",15,MAX(0.1,Skills!D5-IF(Skills!E5=TRUE,Inputs!$B$32,0))))))/Skills!H5,1)))/Inputs!$B$44),G1625*Q1625))*IF(Inputs!$B$39="pvp",1,(1+(Inputs!$B$21+Skills!Q5+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6">
      <c r="A1626">
        <f>Skills!A6</f>
        <v/>
      </c>
      <c r="B1626">
        <f>Skills!B6</f>
        <v/>
      </c>
      <c r="C1626">
        <f>Inputs!$B$3&gt;=69</f>
        <v/>
      </c>
      <c r="D1626">
        <f>IF(Skills!C6=1,60+Inputs!$B$25+Inputs!$B$29,IF(Skills!C6=2,90+Inputs!$B$26+Inputs!$B$29,IF(Skills!C6=3,120+Inputs!$B$27+Inputs!$B$29,MAX(0,(Inputs!$B$3-100)*3)+Inputs!$B$28+Inputs!$B$29)))</f>
        <v/>
      </c>
      <c r="E1626">
        <f>INDEX(FactorTable!$B$2:$Y$301, MATCH(ROUND(MIN(300,MAX(1,D1626)),0), FactorTable!$A$2:$A$301,0), Skills!M6+1)</f>
        <v/>
      </c>
      <c r="F1626">
        <f>IF(Skills!N6=TRUE,(Skills!L6/10)*(E1626/1000),Skills!L6/10)+Skills!O6</f>
        <v/>
      </c>
      <c r="G1626">
        <f>Skills!G6*IF(Skills!H6&gt;0,Skills!I6/Skills!H6,1)</f>
        <v/>
      </c>
      <c r="H1626">
        <f>1-(1-Skills!J6/100)^Skills!K6</f>
        <v/>
      </c>
      <c r="I1626" t="inlineStr">
        <is>
          <t>1</t>
        </is>
      </c>
      <c r="J1626">
        <f>((Inputs!$B$6*(1+Inputs!$B$7/100))+(((Inputs!$B$12*(1+Inputs!$B$13/100))-(Inputs!$B$12*(1+Inputs!$B$13/100)))+0.25*(Inputs!$B$14-Inputs!$B$14))*(1+Inputs!$B$7/100))*(F1626/100)</f>
        <v/>
      </c>
      <c r="K1626">
        <f>J1626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1638=TRUE,F1638,0)/100)*(1+(IF(Skills!A6="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1626)</f>
        <v/>
      </c>
      <c r="L1626">
        <f>K1626*(MIN(Inputs!$B$22+((C1644=TRUE)*(F1644-Calc!F24)),(Inputs!$B$23+((C1649=TRUE)*(F1649-Calc!F29))+IF(ArtifactsInput!$M$15,CHOOSE(ArtifactsInput!$N$15+1,25,30,35,40,45,50)/100*(Inputs!$B$11-Inputs!$B$11),0)))/100+(Inputs!$B$23+((C1649=TRUE)*(F1649-Calc!F29))+IF(ArtifactsInput!$M$15,CHOOSE(ArtifactsInput!$N$15+1,25,30,35,40,45,50)/100*(Inputs!$B$11-Inputs!$B$11),0))/100)/2</f>
        <v/>
      </c>
      <c r="M1626">
        <f>L1626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6">
        <f>L1626*(1-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1626*(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6">
        <f>(1-Summary!$B$11)*T1626+Summary!$B$11*V1626</f>
        <v/>
      </c>
      <c r="P1626">
        <f>IF(B1665=0,0,O1626/B1665)</f>
        <v/>
      </c>
      <c r="Q1626">
        <f>IFERROR(1/IF(Inputs!$B$39="pvp",15,MAX(0.1,Skills!D6-IF(Skills!E6=TRUE,Inputs!$B$32,0))),0)</f>
        <v/>
      </c>
      <c r="R1626">
        <f>IF(AND(Inputs!$B$39&lt;&gt;"pvp",Inputs!$B$44&gt;0),IF(MAX(0,Inputs!$B$44-B1664)&lt;=0,0,(INT(MAX(0,Inputs!$B$44-B1664)/IF(Inputs!$B$39="pvp",15,MAX(0.1,Skills!D6-IF(Skills!E6=TRUE,Inputs!$B$32,0))))+1)),0)</f>
        <v/>
      </c>
      <c r="S1626">
        <f>IFERROR(O1626/N1626,0)</f>
        <v/>
      </c>
      <c r="T1626">
        <f>IF(C1626,(H1626*N1626*IF(AND(Inputs!$B$39&lt;&gt;"pvp",Inputs!$B$44&gt;0),((Skills!G6*((R1626-1)*IF(Skills!H6&gt;0,Skills!I6/Skills!H6,1)+IF(Skills!H6&gt;0,MIN(Skills!I6,MAX(0,MAX(0,Inputs!$B$44-B1664)-((R1626-1)*IF(Inputs!$B$39="pvp",15,MAX(0.1,Skills!D6-IF(Skills!E6=TRUE,Inputs!$B$32,0))))))/Skills!H6,1)))/Inputs!$B$44),G1626*Q1626))*IF(Inputs!$B$39="pvp",1,1+(Inputs!$B$20+0+Skills!P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1626*(1-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1626*(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1626*(1-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1626*(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6">
        <f>IF(C1626,(H1626*N1626*IF(AND(Inputs!$B$39&lt;&gt;"pvp",Inputs!$B$44&gt;0),((Skills!G6*((R1626-1)*IF(Skills!H6&gt;0,Skills!I6/Skills!H6,1)+IF(Skills!H6&gt;0,MIN(Skills!I6,MAX(0,MAX(0,Inputs!$B$44-B1664)-((R1626-1)*IF(Inputs!$B$39="pvp",15,MAX(0.1,Skills!D6-IF(Skills!E6=TRUE,Inputs!$B$32,0))))))/Skills!H6,1)))/Inputs!$B$44),G1626*Q1626))*IF(Inputs!$B$39="pvp",1,(1+(Inputs!$B$21+Skills!Q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7">
      <c r="A1627">
        <f>Skills!A7</f>
        <v/>
      </c>
      <c r="B1627">
        <f>Skills!B7</f>
        <v/>
      </c>
      <c r="C1627">
        <f>Inputs!$B$3&gt;=60</f>
        <v/>
      </c>
      <c r="D1627">
        <f>IF(Skills!C7=1,60+Inputs!$B$25+Inputs!$B$29,IF(Skills!C7=2,90+Inputs!$B$26+Inputs!$B$29,IF(Skills!C7=3,120+Inputs!$B$27+Inputs!$B$29,MAX(0,(Inputs!$B$3-100)*3)+Inputs!$B$28+Inputs!$B$29)))</f>
        <v/>
      </c>
      <c r="E1627">
        <f>INDEX(FactorTable!$B$2:$Y$301, MATCH(ROUND(MIN(300,MAX(1,D1627)),0), FactorTable!$A$2:$A$301,0), Skills!M7+1)</f>
        <v/>
      </c>
      <c r="F1627">
        <f>IF(Skills!N7=TRUE,(Skills!L7/10)*(E1627/1000),Skills!L7/10)+Skills!O7</f>
        <v/>
      </c>
      <c r="G1627">
        <f>Skills!G7*IF(Skills!H7&gt;0,Skills!I7/Skills!H7,1)</f>
        <v/>
      </c>
      <c r="H1627">
        <f>1-(1-Skills!J7/100)^Skills!K7</f>
        <v/>
      </c>
      <c r="I1627" t="inlineStr">
        <is>
          <t>1</t>
        </is>
      </c>
      <c r="J1627" t="inlineStr"/>
      <c r="K1627" t="inlineStr"/>
      <c r="L1627" t="inlineStr"/>
      <c r="M1627" t="inlineStr"/>
      <c r="N1627" t="inlineStr"/>
      <c r="O1627">
        <f>(1-Summary!$B$11)*T1627+Summary!$B$11*V1627</f>
        <v/>
      </c>
      <c r="P1627">
        <f>IF(B1665=0,0,O1627/B1665)</f>
        <v/>
      </c>
      <c r="Q1627" t="n">
        <v>0</v>
      </c>
      <c r="R1627" t="n">
        <v>0</v>
      </c>
      <c r="S1627">
        <f>IFERROR(O1627/N1627,0)</f>
        <v/>
      </c>
      <c r="T1627" t="n">
        <v>0</v>
      </c>
      <c r="V1627" t="n">
        <v>0</v>
      </c>
    </row>
    <row r="1628">
      <c r="A1628">
        <f>Skills!A8</f>
        <v/>
      </c>
      <c r="B1628">
        <f>Skills!B8</f>
        <v/>
      </c>
      <c r="C1628">
        <f>Inputs!$B$3&gt;=72</f>
        <v/>
      </c>
      <c r="D1628">
        <f>IF(Skills!C8=1,60+Inputs!$B$25+Inputs!$B$29,IF(Skills!C8=2,90+Inputs!$B$26+Inputs!$B$29,IF(Skills!C8=3,120+Inputs!$B$27+Inputs!$B$29,MAX(0,(Inputs!$B$3-100)*3)+Inputs!$B$28+Inputs!$B$29)))</f>
        <v/>
      </c>
      <c r="E1628">
        <f>INDEX(FactorTable!$B$2:$Y$301, MATCH(ROUND(MIN(300,MAX(1,D1628)),0), FactorTable!$A$2:$A$301,0), Skills!M8+1)</f>
        <v/>
      </c>
      <c r="F1628">
        <f>IF(Skills!N8=TRUE,(Skills!L8/10)*(E1628/1000),Skills!L8/10)+Skills!O8</f>
        <v/>
      </c>
      <c r="G1628">
        <f>Skills!G8*IF(Skills!H8&gt;0,Skills!I8/Skills!H8,1)</f>
        <v/>
      </c>
      <c r="H1628">
        <f>1-(1-Skills!J8/100)^Skills!K8</f>
        <v/>
      </c>
      <c r="I1628" t="inlineStr">
        <is>
          <t>1</t>
        </is>
      </c>
      <c r="J1628">
        <f>((Inputs!$B$6*(1+Inputs!$B$7/100))+(((Inputs!$B$12*(1+Inputs!$B$13/100))-(Inputs!$B$12*(1+Inputs!$B$13/100)))+0.25*(Inputs!$B$14-Inputs!$B$14))*(1+Inputs!$B$7/100))*(F1628/100)</f>
        <v/>
      </c>
      <c r="K1628">
        <f>J1628*(1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1638=TRUE,F1638,0)/100)*(1+(IF(Skills!A8="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1628)</f>
        <v/>
      </c>
      <c r="L1628">
        <f>K1628*(MIN(Inputs!$B$22+((C1644=TRUE)*(F1644-Calc!F24)),(Inputs!$B$23+((C1649=TRUE)*(F1649-Calc!F29))+IF(ArtifactsInput!$M$15,CHOOSE(ArtifactsInput!$N$15+1,25,30,35,40,45,50)/100*(Inputs!$B$11-Inputs!$B$11),0)))/100+(Inputs!$B$23+((C1649=TRUE)*(F1649-Calc!F29))+IF(ArtifactsInput!$M$15,CHOOSE(ArtifactsInput!$N$15+1,25,30,35,40,45,50)/100*(Inputs!$B$11-Inputs!$B$11),0))/100)/2</f>
        <v/>
      </c>
      <c r="M1628">
        <f>L1628*(1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8">
        <f>L1628*(1-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1628*(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8">
        <f>(1-Summary!$B$11)*T1628+Summary!$B$11*V1628</f>
        <v/>
      </c>
      <c r="P1628">
        <f>IF(B1665=0,0,O1628/B1665)</f>
        <v/>
      </c>
      <c r="Q1628">
        <f>IFERROR(1/IF(Inputs!$B$39="pvp",15,MAX(0.1,Skills!D8-IF(Skills!E8=TRUE,Inputs!$B$32,0))),0)</f>
        <v/>
      </c>
      <c r="R1628">
        <f>IF(AND(Inputs!$B$39&lt;&gt;"pvp",Inputs!$B$44&gt;0),IF(MAX(0,Inputs!$B$44-B1664)&lt;=0,0,(INT(MAX(0,Inputs!$B$44-B1664)/IF(Inputs!$B$39="pvp",15,MAX(0.1,Skills!D8-IF(Skills!E8=TRUE,Inputs!$B$32,0))))+1)),0)</f>
        <v/>
      </c>
      <c r="S1628">
        <f>IFERROR(O1628/N1628,0)</f>
        <v/>
      </c>
      <c r="T1628">
        <f>IF(C1628,(H1628*N1628*IF(AND(Inputs!$B$39&lt;&gt;"pvp",Inputs!$B$44&gt;0),((Skills!G8*((R1628-1)*IF(Skills!H8&gt;0,Skills!I8/Skills!H8,1)+IF(Skills!H8&gt;0,MIN(Skills!I8,MAX(0,MAX(0,Inputs!$B$44-B1664)-((R1628-1)*IF(Inputs!$B$39="pvp",15,MAX(0.1,Skills!D8-IF(Skills!E8=TRUE,Inputs!$B$32,0))))))/Skills!H8,1)))/Inputs!$B$44),G1628*Q1628))*IF(Inputs!$B$39="pvp",1,1+(Inputs!$B$20+0+Skills!P8+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1628*(1-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1628*(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1628*(1-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1628*(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8">
        <f>IF(C1628,(H1628*N1628*IF(AND(Inputs!$B$39&lt;&gt;"pvp",Inputs!$B$44&gt;0),((Skills!G8*((R1628-1)*IF(Skills!H8&gt;0,Skills!I8/Skills!H8,1)+IF(Skills!H8&gt;0,MIN(Skills!I8,MAX(0,MAX(0,Inputs!$B$44-B1664)-((R1628-1)*IF(Inputs!$B$39="pvp",15,MAX(0.1,Skills!D8-IF(Skills!E8=TRUE,Inputs!$B$32,0))))))/Skills!H8,1)))/Inputs!$B$44),G1628*Q1628))*IF(Inputs!$B$39="pvp",1,(1+(Inputs!$B$21+Skills!Q8+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9">
      <c r="A1629">
        <f>Skills!A9</f>
        <v/>
      </c>
      <c r="B1629">
        <f>Skills!B9</f>
        <v/>
      </c>
      <c r="C1629">
        <f>Inputs!$B$3&gt;=117</f>
        <v/>
      </c>
      <c r="D1629">
        <f>IF(Skills!C9=1,60+Inputs!$B$25+Inputs!$B$29,IF(Skills!C9=2,90+Inputs!$B$26+Inputs!$B$29,IF(Skills!C9=3,120+Inputs!$B$27+Inputs!$B$29,MAX(0,(Inputs!$B$3-100)*3)+Inputs!$B$28+Inputs!$B$29)))</f>
        <v/>
      </c>
      <c r="E1629">
        <f>INDEX(FactorTable!$B$2:$Y$301, MATCH(ROUND(MIN(300,MAX(1,D1629)),0), FactorTable!$A$2:$A$301,0), Skills!M9+1)</f>
        <v/>
      </c>
      <c r="F1629">
        <f>IF(Skills!N9=TRUE,(Skills!L9/10)*(E1629/1000),Skills!L9/10)+Skills!O9</f>
        <v/>
      </c>
      <c r="G1629">
        <f>Skills!G9*IF(Skills!H9&gt;0,Skills!I9/Skills!H9,1)</f>
        <v/>
      </c>
      <c r="H1629">
        <f>1-(1-Skills!J9/100)^Skills!K9</f>
        <v/>
      </c>
      <c r="I1629" t="inlineStr">
        <is>
          <t>1</t>
        </is>
      </c>
      <c r="J1629">
        <f>((Inputs!$B$6*(1+Inputs!$B$7/100))+(((Inputs!$B$12*(1+Inputs!$B$13/100))-(Inputs!$B$12*(1+Inputs!$B$13/100)))+0.25*(Inputs!$B$14-Inputs!$B$14))*(1+Inputs!$B$7/100))*(F1629/100)</f>
        <v/>
      </c>
      <c r="K1629">
        <f>J1629*(1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1629)</f>
        <v/>
      </c>
      <c r="L1629">
        <f>K1629*(MIN(Inputs!$B$22+((C1644=TRUE)*(F1644-Calc!F24)),(Inputs!$B$23+((C1649=TRUE)*(F1649-Calc!F29))+IF(ArtifactsInput!$M$15,CHOOSE(ArtifactsInput!$N$15+1,25,30,35,40,45,50)/100*(Inputs!$B$11-Inputs!$B$11),0)))/100+(Inputs!$B$23+((C1649=TRUE)*(F1649-Calc!F29))+IF(ArtifactsInput!$M$15,CHOOSE(ArtifactsInput!$N$15+1,25,30,35,40,45,50)/100*(Inputs!$B$11-Inputs!$B$11),0))/100)/2</f>
        <v/>
      </c>
      <c r="M1629">
        <f>L1629*(1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9">
        <f>L1629*(1-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1629*(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9">
        <f>(1-Summary!$B$11)*T1629+Summary!$B$11*V1629</f>
        <v/>
      </c>
      <c r="P1629">
        <f>IF(B1665=0,0,O1629/B1665)</f>
        <v/>
      </c>
      <c r="Q1629" t="n">
        <v>0</v>
      </c>
      <c r="R1629" t="n">
        <v>0</v>
      </c>
      <c r="S1629" t="n">
        <v>0</v>
      </c>
      <c r="T1629">
        <f>IF(C1629,(0.2*SUMPRODUCT((Skills!Z2:Z30=TRUE)*(C1622:C1650=TRUE)*S1622:S1650)*N1629)*IF(Inputs!$B$39="pvp",1,1+(Inputs!$B$20+0+Skills!P9+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1629*(1-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1629*(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1629*(1-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1629*(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9">
        <f>IF(C1629,(0.2*SUMPRODUCT((Skills!Z2:Z30=TRUE)*(C1622:C1650=TRUE)*S1622:S1650)*N1629)*IF(Inputs!$B$39="pvp",1,(1+(Inputs!$B$21+Skills!Q9+B1654+(IF(ArtifactsInput!$M$33,CHOOSE(ArtifactsInput!$N$33+1,30,36,42,48,54,60),0))+(IF(AND(ArtifactsInput!$M$35,Inputs!$B$4&lt;&gt;"Chapter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Skills!A10</f>
        <v/>
      </c>
      <c r="B1630">
        <f>Skills!B10</f>
        <v/>
      </c>
      <c r="C1630">
        <f>Inputs!$B$3&gt;=74</f>
        <v/>
      </c>
      <c r="D1630">
        <f>IF(Skills!C10=1,60+Inputs!$B$25+Inputs!$B$29,IF(Skills!C10=2,90+Inputs!$B$26+Inputs!$B$29,IF(Skills!C10=3,120+Inputs!$B$27+Inputs!$B$29,MAX(0,(Inputs!$B$3-100)*3)+Inputs!$B$28+Inputs!$B$29)))</f>
        <v/>
      </c>
      <c r="E1630">
        <f>INDEX(FactorTable!$B$2:$Y$301, MATCH(ROUND(MIN(300,MAX(1,D1630)),0), FactorTable!$A$2:$A$301,0), Skills!M10+1)</f>
        <v/>
      </c>
      <c r="F1630">
        <f>IF(Skills!N10=TRUE,(Skills!L10/10)*(E1630/1000),Skills!L10/10)+Skills!O10</f>
        <v/>
      </c>
      <c r="G1630">
        <f>Skills!G10*IF(Skills!H10&gt;0,Skills!I10/Skills!H10,1)</f>
        <v/>
      </c>
      <c r="H1630">
        <f>1-(1-Skills!J10/100)^Skills!K10</f>
        <v/>
      </c>
      <c r="I1630" t="inlineStr">
        <is>
          <t>1</t>
        </is>
      </c>
      <c r="J1630" t="inlineStr"/>
      <c r="K1630" t="inlineStr"/>
      <c r="L1630" t="inlineStr"/>
      <c r="M1630" t="inlineStr"/>
      <c r="N1630" t="inlineStr"/>
      <c r="O1630">
        <f>(1-Summary!$B$11)*T1630+Summary!$B$11*V1630</f>
        <v/>
      </c>
      <c r="P1630">
        <f>IF(B1665=0,0,O1630/B1665)</f>
        <v/>
      </c>
      <c r="Q1630">
        <f>IFERROR(1/IF(Inputs!$B$39="pvp",15,MAX(0.1,Skills!D10-IF(Skills!E10=TRUE,Inputs!$B$32,0))),0)</f>
        <v/>
      </c>
      <c r="R1630">
        <f>IF(AND(Inputs!$B$39&lt;&gt;"pvp",Inputs!$B$44&gt;0),IF(Inputs!$B$44&lt;=0,0,(INT(Inputs!$B$44/IF(Inputs!$B$39="pvp",15,MAX(0.1,Skills!D10-IF(Skills!E10=TRUE,Inputs!$B$32,0))))+1)),0)</f>
        <v/>
      </c>
      <c r="S1630">
        <f>IFERROR(O1630/N1630,0)</f>
        <v/>
      </c>
      <c r="T1630" t="n">
        <v>0</v>
      </c>
      <c r="V1630" t="n">
        <v>0</v>
      </c>
    </row>
    <row r="1631">
      <c r="A1631">
        <f>Skills!A11</f>
        <v/>
      </c>
      <c r="B1631">
        <f>Skills!B11</f>
        <v/>
      </c>
      <c r="C1631">
        <f>Inputs!$B$3&gt;=103</f>
        <v/>
      </c>
      <c r="D1631">
        <f>IF(Skills!C11=1,60+Inputs!$B$25+Inputs!$B$29,IF(Skills!C11=2,90+Inputs!$B$26+Inputs!$B$29,IF(Skills!C11=3,120+Inputs!$B$27+Inputs!$B$29,MAX(0,(Inputs!$B$3-100)*3)+Inputs!$B$28+Inputs!$B$29)))</f>
        <v/>
      </c>
      <c r="E1631">
        <f>INDEX(FactorTable!$B$2:$Y$301, MATCH(ROUND(MIN(300,MAX(1,D1631)),0), FactorTable!$A$2:$A$301,0), Skills!M11+1)</f>
        <v/>
      </c>
      <c r="F1631">
        <f>(Skills!L11/10)*(E1631/1000)+IF(Inputs!$B$3&gt;=134,50,0)+0.5*(30000/10)*(INDEX(FactorTable!$B$2:$Y$301, MATCH(ROUND(MIN(300,MAX(1,D1631)),0), FactorTable!$A$2:$A$301,0), 13)/1000)*B1663</f>
        <v/>
      </c>
      <c r="G1631">
        <f>Skills!G11*IF(Skills!H11&gt;0,Skills!I11/Skills!H11,1)</f>
        <v/>
      </c>
      <c r="H1631">
        <f>1-(1-Skills!J11/100)^Skills!K11</f>
        <v/>
      </c>
      <c r="I1631" t="inlineStr">
        <is>
          <t>1</t>
        </is>
      </c>
      <c r="J1631">
        <f>((Inputs!$B$6*(1+Inputs!$B$7/100))+(((Inputs!$B$12*(1+Inputs!$B$13/100))-(Inputs!$B$12*(1+Inputs!$B$13/100)))+0.25*(Inputs!$B$14-Inputs!$B$14))*(1+Inputs!$B$7/100))*(F1631/100)</f>
        <v/>
      </c>
      <c r="K1631">
        <f>J1631*(1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1631)</f>
        <v/>
      </c>
      <c r="L1631">
        <f>K1631*(MIN(Inputs!$B$22+((C1644=TRUE)*(F1644-Calc!F24)),(Inputs!$B$23+((C1649=TRUE)*(F1649-Calc!F29))+IF(ArtifactsInput!$M$15,CHOOSE(ArtifactsInput!$N$15+1,25,30,35,40,45,50)/100*(Inputs!$B$11-Inputs!$B$11),0)))/100+(Inputs!$B$23+((C1649=TRUE)*(F1649-Calc!F29))+IF(ArtifactsInput!$M$15,CHOOSE(ArtifactsInput!$N$15+1,25,30,35,40,45,50)/100*(Inputs!$B$11-Inputs!$B$11),0))/100)/2</f>
        <v/>
      </c>
      <c r="M1631">
        <f>L1631*(1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1">
        <f>L1631*(1-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1">
        <f>(1-Summary!$B$11)*T1631+Summary!$B$11*V1631</f>
        <v/>
      </c>
      <c r="P1631">
        <f>IF(B1665=0,0,O1631/B1665)</f>
        <v/>
      </c>
      <c r="Q1631">
        <f>IFERROR(1/IF(Inputs!$B$39="pvp",15,MAX(0.1,Skills!D11-IF(Skills!E11=TRUE,Inputs!$B$32,0))),0)</f>
        <v/>
      </c>
      <c r="R1631">
        <f>IF(AND(Inputs!$B$39&lt;&gt;"pvp",Inputs!$B$44&gt;0),IF(MAX(0,Inputs!$B$44-B1664)&lt;=0,0,(INT(MAX(0,Inputs!$B$44-B1664)/IF(Inputs!$B$39="pvp",15,MAX(0.1,Skills!D11-IF(Skills!E11=TRUE,Inputs!$B$32,0))))+1)),0)</f>
        <v/>
      </c>
      <c r="S1631">
        <f>IFERROR(O1631/N1631,0)</f>
        <v/>
      </c>
      <c r="T1631">
        <f>IF(C1631,(H1631*N1631*IF(AND(Inputs!$B$39&lt;&gt;"pvp",Inputs!$B$44&gt;0),((Skills!G11*((R1631-1)*IF(Skills!H11&gt;0,Skills!I11/Skills!H11,1)+IF(Skills!H11&gt;0,MIN(Skills!I11,MAX(0,MAX(0,Inputs!$B$44-B1664)-((R1631-1)*IF(Inputs!$B$39="pvp",15,MAX(0.1,Skills!D11-IF(Skills!E11=TRUE,Inputs!$B$32,0))))))/Skills!H11,1)))/Inputs!$B$44),G1631*Q1631))*IF(Inputs!$B$39="pvp",1,1+(Inputs!$B$20+0+Skills!P11+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1631*(1-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1631*(1-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1">
        <f>IF(C1631,(H1631*N1631*IF(AND(Inputs!$B$39&lt;&gt;"pvp",Inputs!$B$44&gt;0),((Skills!G11*((R1631-1)*IF(Skills!H11&gt;0,Skills!I11/Skills!H11,1)+IF(Skills!H11&gt;0,MIN(Skills!I11,MAX(0,MAX(0,Inputs!$B$44-B1664)-((R1631-1)*IF(Inputs!$B$39="pvp",15,MAX(0.1,Skills!D11-IF(Skills!E11=TRUE,Inputs!$B$32,0))))))/Skills!H11,1)))/Inputs!$B$44),G1631*Q1631))*IF(Inputs!$B$39="pvp",1,(1+(Inputs!$B$21+Skills!Q11+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2">
      <c r="A1632">
        <f>Skills!A12</f>
        <v/>
      </c>
      <c r="B1632">
        <f>Skills!B12</f>
        <v/>
      </c>
      <c r="C1632">
        <f>Inputs!$B$3&gt;=105</f>
        <v/>
      </c>
      <c r="D1632">
        <f>IF(Skills!C12=1,60+Inputs!$B$25+Inputs!$B$29,IF(Skills!C12=2,90+Inputs!$B$26+Inputs!$B$29,IF(Skills!C12=3,120+Inputs!$B$27+Inputs!$B$29,MAX(0,(Inputs!$B$3-100)*3)+Inputs!$B$28+Inputs!$B$29)))</f>
        <v/>
      </c>
      <c r="E1632">
        <f>INDEX(FactorTable!$B$2:$Y$301, MATCH(ROUND(MIN(300,MAX(1,D1632)),0), FactorTable!$A$2:$A$301,0), Skills!M12+1)</f>
        <v/>
      </c>
      <c r="F1632">
        <f>IF(Skills!N12=TRUE,(Skills!L12/10)*(E1632/1000),Skills!L12/10)+Skills!O12</f>
        <v/>
      </c>
      <c r="G1632">
        <f>Skills!G12*IF(Skills!H12&gt;0,Skills!I12/Skills!H12,1)</f>
        <v/>
      </c>
      <c r="H1632">
        <f>1-(1-Skills!J12/100)^Skills!K12</f>
        <v/>
      </c>
      <c r="I1632" t="inlineStr">
        <is>
          <t>1</t>
        </is>
      </c>
      <c r="J1632">
        <f>((Inputs!$B$6*(1+Inputs!$B$7/100))+(((Inputs!$B$12*(1+Inputs!$B$13/100))-(Inputs!$B$12*(1+Inputs!$B$13/100)))+0.25*(Inputs!$B$14-Inputs!$B$14))*(1+Inputs!$B$7/100))*(F1632/100)</f>
        <v/>
      </c>
      <c r="K1632">
        <f>J1632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1632)</f>
        <v/>
      </c>
      <c r="L1632">
        <f>K1632*(MIN(Inputs!$B$22+((C1644=TRUE)*(F1644-Calc!F24)),(Inputs!$B$23+((C1649=TRUE)*(F1649-Calc!F29))+IF(ArtifactsInput!$M$15,CHOOSE(ArtifactsInput!$N$15+1,25,30,35,40,45,50)/100*(Inputs!$B$11-Inputs!$B$11),0)))/100+(Inputs!$B$23+((C1649=TRUE)*(F1649-Calc!F29))+IF(ArtifactsInput!$M$15,CHOOSE(ArtifactsInput!$N$15+1,25,30,35,40,45,50)/100*(Inputs!$B$11-Inputs!$B$11),0))/100)/2</f>
        <v/>
      </c>
      <c r="M1632">
        <f>L1632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2">
        <f>L1632*(1-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1632*(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2">
        <f>(1-Summary!$B$11)*T1632+Summary!$B$11*V1632</f>
        <v/>
      </c>
      <c r="P1632">
        <f>IF(B1665=0,0,O1632/B1665)</f>
        <v/>
      </c>
      <c r="Q1632">
        <f>IFERROR(1/IF(Inputs!$B$39="pvp",15,MAX(0.1,Skills!D12-IF(Skills!E12=TRUE,Inputs!$B$32,0))),0)</f>
        <v/>
      </c>
      <c r="R1632">
        <f>IF(AND(Inputs!$B$39&lt;&gt;"pvp",Inputs!$B$44&gt;0),IF(MAX(0,Inputs!$B$44-B1664)&lt;=0,0,(INT(MAX(0,Inputs!$B$44-B1664)/IF(Inputs!$B$39="pvp",15,MAX(0.1,Skills!D12-IF(Skills!E12=TRUE,Inputs!$B$32,0))))+1)),0)</f>
        <v/>
      </c>
      <c r="S1632">
        <f>IFERROR(O1632/N1632,0)</f>
        <v/>
      </c>
      <c r="T1632">
        <f>IF(C1632,(H1632*N1632*IF(AND(Inputs!$B$39&lt;&gt;"pvp",Inputs!$B$44&gt;0),((Skills!G12*((R1632-1)*IF(Skills!H12&gt;0,Skills!I12/Skills!H12,1)+IF(Skills!H12&gt;0,MIN(Skills!I12,MAX(0,MAX(0,Inputs!$B$44-B1664)-((R1632-1)*IF(Inputs!$B$39="pvp",15,MAX(0.1,Skills!D12-IF(Skills!E12=TRUE,Inputs!$B$32,0))))))/Skills!H12,1)))/Inputs!$B$44),G1632*Q1632))*IF(Inputs!$B$39="pvp",1,1+(Inputs!$B$20+0+Skills!P12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1632*(1-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1632*(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1632*(1-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1632*(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12*((R1632-1)*IF(Skills!H12&gt;0,Skills!I12/Skills!H12,1)+IF(Skills!H12&gt;0,MIN(Skills!I12,MAX(0,MAX(0,Inputs!$B$44-B1664)-((R1632-1)*IF(Inputs!$B$39="pvp",15,MAX(0.1,Skills!D12-IF(Skills!E12=TRUE,Inputs!$B$32,0))))))/Skills!H12,1)))/Inputs!$B$44),G1632*Q1632))*IF(Inputs!$B$39="pvp",1,(1+(Inputs!$B$21+Skills!Q12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Skills!A13</f>
        <v/>
      </c>
      <c r="B1633">
        <f>Skills!B13</f>
        <v/>
      </c>
      <c r="C1633">
        <f>Inputs!$B$3&gt;=105</f>
        <v/>
      </c>
      <c r="D1633">
        <f>IF(Skills!C13=1,60+Inputs!$B$25+Inputs!$B$29,IF(Skills!C13=2,90+Inputs!$B$26+Inputs!$B$29,IF(Skills!C13=3,120+Inputs!$B$27+Inputs!$B$29,MAX(0,(Inputs!$B$3-100)*3)+Inputs!$B$28+Inputs!$B$29)))</f>
        <v/>
      </c>
      <c r="E1633">
        <f>INDEX(FactorTable!$B$2:$Y$301, MATCH(ROUND(MIN(300,MAX(1,D1633)),0), FactorTable!$A$2:$A$301,0), Skills!M13+1)</f>
        <v/>
      </c>
      <c r="F1633">
        <f>IF(Skills!N13=TRUE,(Skills!L13/10)*(E1633/1000),Skills!L13/10)+Skills!O13</f>
        <v/>
      </c>
      <c r="G1633">
        <f>Skills!G13*IF(Skills!H13&gt;0,Skills!I13/Skills!H13,1)</f>
        <v/>
      </c>
      <c r="H1633">
        <f>1-(1-Skills!J13/100)^Skills!K13</f>
        <v/>
      </c>
      <c r="I1633" t="inlineStr">
        <is>
          <t>1</t>
        </is>
      </c>
      <c r="J1633">
        <f>((Inputs!$B$6*(1+Inputs!$B$7/100))+(((Inputs!$B$12*(1+Inputs!$B$13/100))-(Inputs!$B$12*(1+Inputs!$B$13/100)))+0.25*(Inputs!$B$14-Inputs!$B$14))*(1+Inputs!$B$7/100))*(F1633/100)</f>
        <v/>
      </c>
      <c r="K1633">
        <f>J1633*(1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1633)</f>
        <v/>
      </c>
      <c r="L1633">
        <f>K1633*(MIN(Inputs!$B$22+((C1644=TRUE)*(F1644-Calc!F24)),(Inputs!$B$23+((C1649=TRUE)*(F1649-Calc!F29))+IF(ArtifactsInput!$M$15,CHOOSE(ArtifactsInput!$N$15+1,25,30,35,40,45,50)/100*(Inputs!$B$11-Inputs!$B$11),0)))/100+(Inputs!$B$23+((C1649=TRUE)*(F1649-Calc!F29))+IF(ArtifactsInput!$M$15,CHOOSE(ArtifactsInput!$N$15+1,25,30,35,40,45,50)/100*(Inputs!$B$11-Inputs!$B$11),0))/100)/2</f>
        <v/>
      </c>
      <c r="M1633">
        <f>L1633*(1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3">
        <f>L1633*(1-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1633*(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3">
        <f>(1-Summary!$B$11)*T1633+Summary!$B$11*V1633</f>
        <v/>
      </c>
      <c r="P1633">
        <f>IF(B1665=0,0,O1633/B1665)</f>
        <v/>
      </c>
      <c r="Q1633">
        <f>IFERROR(1/IF(Inputs!$B$39="pvp",15,MAX(0.1,Skills!D13-IF(Skills!E13=TRUE,Inputs!$B$32,0))),0)</f>
        <v/>
      </c>
      <c r="R1633">
        <f>IF(AND(Inputs!$B$39&lt;&gt;"pvp",Inputs!$B$44&gt;0),IF(MAX(0,Inputs!$B$44-B1664)&lt;=0,0,(INT(MAX(0,Inputs!$B$44-B1664)/IF(Inputs!$B$39="pvp",15,MAX(0.1,Skills!D13-IF(Skills!E13=TRUE,Inputs!$B$32,0))))+1)),0)</f>
        <v/>
      </c>
      <c r="S1633">
        <f>IFERROR(O1633/N1633,0)</f>
        <v/>
      </c>
      <c r="T1633">
        <f>IF(C1633,(H1633*N1633*IF(AND(Inputs!$B$39&lt;&gt;"pvp",Inputs!$B$44&gt;0),((Skills!G13*((R1633-1)*IF(Skills!H13&gt;0,Skills!I13/Skills!H13,1)+IF(Skills!H13&gt;0,MIN(Skills!I13,MAX(0,MAX(0,Inputs!$B$44-B1664)-((R1633-1)*IF(Inputs!$B$39="pvp",15,MAX(0.1,Skills!D13-IF(Skills!E13=TRUE,Inputs!$B$32,0))))))/Skills!H13,1)))/Inputs!$B$44),G1633*Q1633))*IF(Inputs!$B$39="pvp",1,1+(Inputs!$B$20+0+Skills!P13+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1633*(1-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1633*(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1633*(1-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1633*(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13*((R1633-1)*IF(Skills!H13&gt;0,Skills!I13/Skills!H13,1)+IF(Skills!H13&gt;0,MIN(Skills!I13,MAX(0,MAX(0,Inputs!$B$44-B1664)-((R1633-1)*IF(Inputs!$B$39="pvp",15,MAX(0.1,Skills!D13-IF(Skills!E13=TRUE,Inputs!$B$32,0))))))/Skills!H13,1)))/Inputs!$B$44),G1633*Q1633))*IF(Inputs!$B$39="pvp",1,(1+(Inputs!$B$21+Skills!Q13+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Skills!A14</f>
        <v/>
      </c>
      <c r="B1634">
        <f>Skills!B14</f>
        <v/>
      </c>
      <c r="C1634">
        <f>Inputs!$B$3&gt;=107</f>
        <v/>
      </c>
      <c r="D1634">
        <f>IF(Skills!C14=1,60+Inputs!$B$25+Inputs!$B$29,IF(Skills!C14=2,90+Inputs!$B$26+Inputs!$B$29,IF(Skills!C14=3,120+Inputs!$B$27+Inputs!$B$29,MAX(0,(Inputs!$B$3-100)*3)+Inputs!$B$28+Inputs!$B$29)))</f>
        <v/>
      </c>
      <c r="E1634">
        <f>INDEX(FactorTable!$B$2:$Y$301, MATCH(ROUND(MIN(300,MAX(1,D1634)),0), FactorTable!$A$2:$A$301,0), Skills!M14+1)</f>
        <v/>
      </c>
      <c r="F1634">
        <f>IF(Skills!N14=TRUE,(Skills!L14/10)*(E1634/1000),Skills!L14/10)+Skills!O14</f>
        <v/>
      </c>
      <c r="G1634">
        <f>Skills!G14*IF(Skills!H14&gt;0,Skills!I14/Skills!H14,1)</f>
        <v/>
      </c>
      <c r="H1634">
        <f>1-(1-Skills!J14/100)^Skills!K14</f>
        <v/>
      </c>
      <c r="I1634" t="inlineStr">
        <is>
          <t>1</t>
        </is>
      </c>
      <c r="J1634">
        <f>((Inputs!$B$6*(1+Inputs!$B$7/100))+(((Inputs!$B$12*(1+Inputs!$B$13/100))-(Inputs!$B$12*(1+Inputs!$B$13/100)))+0.25*(Inputs!$B$14-Inputs!$B$14))*(1+Inputs!$B$7/100))*(F1634/100)</f>
        <v/>
      </c>
      <c r="K1634">
        <f>J1634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1634)</f>
        <v/>
      </c>
      <c r="L1634">
        <f>K1634*(MIN(Inputs!$B$22+((C1644=TRUE)*(F1644-Calc!F24)),(Inputs!$B$23+((C1649=TRUE)*(F1649-Calc!F29))+IF(ArtifactsInput!$M$15,CHOOSE(ArtifactsInput!$N$15+1,25,30,35,40,45,50)/100*(Inputs!$B$11-Inputs!$B$11),0)))/100+(Inputs!$B$23+((C1649=TRUE)*(F1649-Calc!F29))+IF(ArtifactsInput!$M$15,CHOOSE(ArtifactsInput!$N$15+1,25,30,35,40,45,50)/100*(Inputs!$B$11-Inputs!$B$11),0))/100)/2</f>
        <v/>
      </c>
      <c r="M1634">
        <f>L1634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4">
        <f>L1634*(1-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1634*(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4">
        <f>(1-Summary!$B$11)*T1634+Summary!$B$11*V1634</f>
        <v/>
      </c>
      <c r="P1634">
        <f>IF(B1665=0,0,O1634/B1665)</f>
        <v/>
      </c>
      <c r="Q1634">
        <f>IFERROR(1/IF(Inputs!$B$39="pvp",15,MAX(0.1,Skills!D14-IF(Skills!E14=TRUE,Inputs!$B$32,0))),0)</f>
        <v/>
      </c>
      <c r="R1634">
        <f>IF(AND(Inputs!$B$39&lt;&gt;"pvp",Inputs!$B$44&gt;0),IF(MAX(0,Inputs!$B$44-B1664)&lt;=0,0,(INT(MAX(0,Inputs!$B$44-B1664)/IF(Inputs!$B$39="pvp",15,MAX(0.1,Skills!D14-IF(Skills!E14=TRUE,Inputs!$B$32,0))))+1)),0)</f>
        <v/>
      </c>
      <c r="S1634">
        <f>IFERROR(O1634/N1634,0)</f>
        <v/>
      </c>
      <c r="T1634">
        <f>IF(C1634,(H1634*N1634*IF(AND(Inputs!$B$39&lt;&gt;"pvp",Inputs!$B$44&gt;0),((Skills!G14*((R1634-1)*IF(Skills!H14&gt;0,Skills!I14/Skills!H14,1)+IF(Skills!H14&gt;0,MIN(Skills!I14,MAX(0,MAX(0,Inputs!$B$44-B1664)-((R1634-1)*IF(Inputs!$B$39="pvp",15,MAX(0.1,Skills!D14-IF(Skills!E14=TRUE,Inputs!$B$32,0))))))/Skills!H14,1)))/Inputs!$B$44),G1634*Q1634))*IF(Inputs!$B$39="pvp",1,1+(Inputs!$B$20+0+Skills!P14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1634*(1-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1634*(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1634*(1-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1634*(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14*((R1634-1)*IF(Skills!H14&gt;0,Skills!I14/Skills!H14,1)+IF(Skills!H14&gt;0,MIN(Skills!I14,MAX(0,MAX(0,Inputs!$B$44-B1664)-((R1634-1)*IF(Inputs!$B$39="pvp",15,MAX(0.1,Skills!D14-IF(Skills!E14=TRUE,Inputs!$B$32,0))))))/Skills!H14,1)))/Inputs!$B$44),G1634*Q1634))*IF(Inputs!$B$39="pvp",1,(1+(Inputs!$B$21+Skills!Q14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(5,0.25*B1657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Skills!A15</f>
        <v/>
      </c>
      <c r="B1635">
        <f>Skills!B15</f>
        <v/>
      </c>
      <c r="C1635">
        <f>Inputs!$B$3&gt;=110</f>
        <v/>
      </c>
      <c r="D1635">
        <f>IF(Skills!C15=1,60+Inputs!$B$25+Inputs!$B$29,IF(Skills!C15=2,90+Inputs!$B$26+Inputs!$B$29,IF(Skills!C15=3,120+Inputs!$B$27+Inputs!$B$29,MAX(0,(Inputs!$B$3-100)*3)+Inputs!$B$28+Inputs!$B$29)))</f>
        <v/>
      </c>
      <c r="E1635">
        <f>INDEX(FactorTable!$B$2:$Y$301, MATCH(ROUND(MIN(300,MAX(1,D1635)),0), FactorTable!$A$2:$A$301,0), Skills!M15+1)</f>
        <v/>
      </c>
      <c r="F1635">
        <f>IF(Skills!N15=TRUE,(Skills!L15/10)*(E1635/1000),Skills!L15/10)+Skills!O15</f>
        <v/>
      </c>
      <c r="G1635">
        <f>Skills!G15*IF(Skills!H15&gt;0,Skills!I15/Skills!H15,1)</f>
        <v/>
      </c>
      <c r="H1635">
        <f>1-(1-Skills!J15/100)^Skills!K15</f>
        <v/>
      </c>
      <c r="I1635" t="inlineStr">
        <is>
          <t>1</t>
        </is>
      </c>
      <c r="J1635" t="inlineStr"/>
      <c r="K1635" t="inlineStr"/>
      <c r="L1635" t="inlineStr"/>
      <c r="M1635" t="inlineStr"/>
      <c r="N1635" t="inlineStr"/>
      <c r="O1635">
        <f>(1-Summary!$B$11)*T1635+Summary!$B$11*V1635</f>
        <v/>
      </c>
      <c r="P1635">
        <f>IF(B1665=0,0,O1635/B1665)</f>
        <v/>
      </c>
      <c r="Q1635">
        <f>IFERROR(1/IF(Inputs!$B$39="pvp",15,MAX(0.1,Skills!D15-IF(Skills!E15=TRUE,Inputs!$B$32,0))),0)</f>
        <v/>
      </c>
      <c r="R1635">
        <f>IF(AND(Inputs!$B$39&lt;&gt;"pvp",Inputs!$B$44&gt;0),IF(Inputs!$B$44&lt;=0,0,(INT(Inputs!$B$44/IF(Inputs!$B$39="pvp",15,MAX(0.1,Skills!D15-IF(Skills!E15=TRUE,Inputs!$B$32,0))))+1)),0)</f>
        <v/>
      </c>
      <c r="S1635">
        <f>IFERROR(O1635/N1635,0)</f>
        <v/>
      </c>
      <c r="T1635" t="n">
        <v>0</v>
      </c>
      <c r="V1635" t="n">
        <v>0</v>
      </c>
    </row>
    <row r="1636">
      <c r="A1636">
        <f>Skills!A16</f>
        <v/>
      </c>
      <c r="B1636">
        <f>Skills!B16</f>
        <v/>
      </c>
      <c r="C1636">
        <f>Inputs!$B$3&gt;=115</f>
        <v/>
      </c>
      <c r="D1636">
        <f>IF(Skills!C16=1,60+Inputs!$B$25+Inputs!$B$29,IF(Skills!C16=2,90+Inputs!$B$26+Inputs!$B$29,IF(Skills!C16=3,120+Inputs!$B$27+Inputs!$B$29,MAX(0,(Inputs!$B$3-100)*3)+Inputs!$B$28+Inputs!$B$29)))</f>
        <v/>
      </c>
      <c r="E1636">
        <f>INDEX(FactorTable!$B$2:$Y$301, MATCH(ROUND(MIN(300,MAX(1,D1636)),0), FactorTable!$A$2:$A$301,0), Skills!M16+1)</f>
        <v/>
      </c>
      <c r="F1636">
        <f>IF(Skills!N16=TRUE,(Skills!L16/10)*(E1636/1000),Skills!L16/10)+Skills!O16</f>
        <v/>
      </c>
      <c r="G1636">
        <f>Skills!G16*IF(Skills!H16&gt;0,Skills!I16/Skills!H16,1)</f>
        <v/>
      </c>
      <c r="H1636">
        <f>1-(1-Skills!J16/100)^Skills!K16</f>
        <v/>
      </c>
      <c r="I1636" t="inlineStr">
        <is>
          <t>1</t>
        </is>
      </c>
      <c r="J1636">
        <f>((Inputs!$B$6*(1+Inputs!$B$7/100))+(((Inputs!$B$12*(1+Inputs!$B$13/100))-(Inputs!$B$12*(1+Inputs!$B$13/100)))+0.25*(Inputs!$B$14-Inputs!$B$14))*(1+Inputs!$B$7/100))*(F1636/100)</f>
        <v/>
      </c>
      <c r="K1636">
        <f>J1636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1647=TRUE)*(F1647-Calc!F27))+((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1636)</f>
        <v/>
      </c>
      <c r="L1636">
        <f>K1636*(MIN(Inputs!$B$22+((C1644=TRUE)*(F1644-Calc!F24)),(Inputs!$B$23+((C1649=TRUE)*(F1649-Calc!F29))+IF(ArtifactsInput!$M$15,CHOOSE(ArtifactsInput!$N$15+1,25,30,35,40,45,50)/100*(Inputs!$B$11-Inputs!$B$11),0)))/100+(Inputs!$B$23+((C1649=TRUE)*(F1649-Calc!F29))+IF(ArtifactsInput!$M$15,CHOOSE(ArtifactsInput!$N$15+1,25,30,35,40,45,50)/100*(Inputs!$B$11-Inputs!$B$11),0))/100)/2</f>
        <v/>
      </c>
      <c r="M1636">
        <f>L1636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6">
        <f>L1636*(1-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1636*(MIN((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6">
        <f>(1-Summary!$B$11)*T1636+Summary!$B$11*V1636</f>
        <v/>
      </c>
      <c r="P1636">
        <f>IF(B1665=0,0,O1636/B1665)</f>
        <v/>
      </c>
      <c r="Q1636" t="n">
        <v>0</v>
      </c>
      <c r="R1636" t="n">
        <v>0</v>
      </c>
      <c r="S1636">
        <f>IFERROR(O1636/N1636,0)</f>
        <v/>
      </c>
      <c r="T1636">
        <f>IF(C1636,(Inputs!$B$38*0.2*N1636)*IF(Inputs!$B$39="pvp",1,1+(Inputs!$B$20+0+Skills!P16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1636*(1-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1636*(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1636*(1-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1636*(MIN(100,(Inputs!$B$9+((C1645=TRUE)*(F1645-Calc!F25))+B1653+(ArtifactsInput!$M$24-ArtifactsInput!$M$24)*CHOOSE(ArtifactsInput!$N$24+1,10,12,14,16,18,20)+(IF(AND(Inputs!$B$39&lt;&gt;"pvp",Inputs!$B$44=0),1,IF(IF(Inputs!$B$39="pvp",15,Inputs!$B$44)-(B1664)&lt;=0,1,MAX(0,IF(Inputs!$B$39="pvp",15,Inputs!$B$44)-MAX(5,B1664))/(IF(Inputs!$B$39="pvp",15,Inputs!$B$44)-(B1664))))*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IF(C1636,(Inputs!$B$38*0.2*N1636)*IF(Inputs!$B$39="pvp",1,(1+(Inputs!$B$21+Skills!Q16+B1654+(IF(ArtifactsInput!$M$33,CHOOSE(ArtifactsInput!$N$33+1,30,36,42,48,54,60),0))+(IF(AND(ArtifactsInput!$M$35,Inputs!$B$4&lt;&gt;"Chapter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Skills!A17</f>
        <v/>
      </c>
      <c r="B1637">
        <f>Skills!B17</f>
        <v/>
      </c>
      <c r="C1637">
        <f>Inputs!$B$3&gt;=115</f>
        <v/>
      </c>
      <c r="D1637">
        <f>IF(Skills!C17=1,60+Inputs!$B$25+Inputs!$B$29,IF(Skills!C17=2,90+Inputs!$B$26+Inputs!$B$29,IF(Skills!C17=3,120+Inputs!$B$27+Inputs!$B$29,MAX(0,(Inputs!$B$3-100)*3)+Inputs!$B$28+Inputs!$B$29)))</f>
        <v/>
      </c>
      <c r="E1637">
        <f>INDEX(FactorTable!$B$2:$Y$301, MATCH(ROUND(MIN(300,MAX(1,D1637)),0), FactorTable!$A$2:$A$301,0), Skills!M17+1)</f>
        <v/>
      </c>
      <c r="F1637">
        <f>IF(Skills!N17=TRUE,(Skills!L17/10)*(E1637/1000),Skills!L17/10)+Skills!O17</f>
        <v/>
      </c>
      <c r="G1637">
        <f>Skills!G17*IF(Skills!H17&gt;0,Skills!I17/Skills!H17,1)</f>
        <v/>
      </c>
      <c r="H1637">
        <f>1-(1-Skills!J17/100)^Skills!K17</f>
        <v/>
      </c>
      <c r="I1637" t="inlineStr">
        <is>
          <t>1</t>
        </is>
      </c>
      <c r="J1637" t="inlineStr"/>
      <c r="K1637" t="inlineStr"/>
      <c r="L1637" t="inlineStr"/>
      <c r="M1637" t="inlineStr"/>
      <c r="N1637" t="inlineStr"/>
      <c r="O1637">
        <f>(1-Summary!$B$11)*T1637+Summary!$B$11*V1637</f>
        <v/>
      </c>
      <c r="P1637">
        <f>IF(B1665=0,0,O1637/B1665)</f>
        <v/>
      </c>
      <c r="Q1637" t="n">
        <v>0</v>
      </c>
      <c r="R1637" t="n">
        <v>0</v>
      </c>
      <c r="S1637">
        <f>IFERROR(O1637/N1637,0)</f>
        <v/>
      </c>
      <c r="T1637" t="n">
        <v>0</v>
      </c>
      <c r="V1637" t="n">
        <v>0</v>
      </c>
    </row>
    <row r="1638">
      <c r="A1638">
        <f>Skills!A18</f>
        <v/>
      </c>
      <c r="B1638">
        <f>Skills!B18</f>
        <v/>
      </c>
      <c r="C1638">
        <f>Inputs!$B$3&gt;=100</f>
        <v/>
      </c>
      <c r="D1638">
        <f>IF(Skills!C18=1,60+Inputs!$B$25+Inputs!$B$29,IF(Skills!C18=2,90+Inputs!$B$26+Inputs!$B$29,IF(Skills!C18=3,120+Inputs!$B$27+Inputs!$B$29,MAX(0,(Inputs!$B$3-100)*3)+Inputs!$B$28+Inputs!$B$29)))</f>
        <v/>
      </c>
      <c r="E1638">
        <f>INDEX(FactorTable!$B$2:$Y$301, MATCH(ROUND(MIN(300,MAX(1,D1638)),0), FactorTable!$A$2:$A$301,0), Skills!M18+1)</f>
        <v/>
      </c>
      <c r="F1638">
        <f>IF(Skills!N18=TRUE,(Skills!L18/10)*(E1638/1000),Skills!L18/10)+Skills!O18</f>
        <v/>
      </c>
      <c r="G1638">
        <f>Skills!G18*IF(Skills!H18&gt;0,Skills!I18/Skills!H18,1)</f>
        <v/>
      </c>
      <c r="H1638">
        <f>1-(1-Skills!J18/100)^Skills!K18</f>
        <v/>
      </c>
      <c r="I1638" t="inlineStr">
        <is>
          <t>1</t>
        </is>
      </c>
      <c r="J1638" t="inlineStr"/>
      <c r="K1638" t="inlineStr"/>
      <c r="L1638" t="inlineStr"/>
      <c r="M1638" t="inlineStr"/>
      <c r="N1638" t="inlineStr"/>
      <c r="O1638">
        <f>(1-Summary!$B$11)*T1638+Summary!$B$11*V1638</f>
        <v/>
      </c>
      <c r="P1638">
        <f>IF(B1665=0,0,O1638/B1665)</f>
        <v/>
      </c>
      <c r="Q1638" t="n">
        <v>0</v>
      </c>
      <c r="R1638" t="n">
        <v>0</v>
      </c>
      <c r="S1638">
        <f>IFERROR(O1638/N1638,0)</f>
        <v/>
      </c>
      <c r="T1638" t="n">
        <v>0</v>
      </c>
      <c r="V1638" t="n">
        <v>0</v>
      </c>
    </row>
    <row r="1639">
      <c r="A1639">
        <f>Skills!A19</f>
        <v/>
      </c>
      <c r="B1639">
        <f>Skills!B19</f>
        <v/>
      </c>
      <c r="C1639">
        <f>TRUE</f>
        <v/>
      </c>
      <c r="D1639">
        <f>IF(Skills!C19=1,60+Inputs!$B$25+Inputs!$B$29,IF(Skills!C19=2,90+Inputs!$B$26+Inputs!$B$29,IF(Skills!C19=3,120+Inputs!$B$27+Inputs!$B$29,MAX(0,(Inputs!$B$3-100)*3)+Inputs!$B$28+Inputs!$B$29)))</f>
        <v/>
      </c>
      <c r="E1639">
        <f>INDEX(FactorTable!$B$2:$Y$301, MATCH(ROUND(MIN(300,MAX(1,D1639)),0), FactorTable!$A$2:$A$301,0), Skills!M19+1)</f>
        <v/>
      </c>
      <c r="F1639">
        <f>IF(Skills!N19=TRUE,(Skills!L19/10)*(E1639/1000),Skills!L19/10)+Skills!O19</f>
        <v/>
      </c>
      <c r="G1639">
        <f>Skills!G19*IF(Skills!H19&gt;0,Skills!I19/Skills!H19,1)</f>
        <v/>
      </c>
      <c r="H1639">
        <f>1-(1-Skills!J19/100)^Skills!K19</f>
        <v/>
      </c>
      <c r="I1639" t="inlineStr">
        <is>
          <t>1</t>
        </is>
      </c>
      <c r="J1639" t="inlineStr"/>
      <c r="K1639" t="inlineStr"/>
      <c r="L1639" t="inlineStr"/>
      <c r="M1639" t="inlineStr"/>
      <c r="N1639" t="inlineStr"/>
      <c r="O1639">
        <f>(1-Summary!$B$11)*T1639+Summary!$B$11*V1639</f>
        <v/>
      </c>
      <c r="P1639">
        <f>IF(B1665=0,0,O1639/B1665)</f>
        <v/>
      </c>
      <c r="Q1639">
        <f>IFERROR(1/IF(Inputs!$B$39="pvp",15,MAX(0.1,Skills!D19-IF(Skills!E19=TRUE,Inputs!$B$32,0))),0)</f>
        <v/>
      </c>
      <c r="R1639">
        <f>IF(AND(Inputs!$B$39&lt;&gt;"pvp",Inputs!$B$44&gt;0),IF(Inputs!$B$44&lt;=0,0,(INT(Inputs!$B$44/IF(Inputs!$B$39="pvp",15,MAX(0.1,Skills!D19-IF(Skills!E19=TRUE,Inputs!$B$32,0))))+1)),0)</f>
        <v/>
      </c>
      <c r="S1639">
        <f>IFERROR(O1639/N1639,0)</f>
        <v/>
      </c>
      <c r="T1639" t="n">
        <v>0</v>
      </c>
      <c r="V1639" t="n">
        <v>0</v>
      </c>
    </row>
    <row r="1640">
      <c r="A1640">
        <f>Skills!A20</f>
        <v/>
      </c>
      <c r="B1640">
        <f>Skills!B20</f>
        <v/>
      </c>
      <c r="C1640">
        <f>Inputs!$B$3&gt;=15</f>
        <v/>
      </c>
      <c r="D1640">
        <f>IF(Skills!C20=1,60+Inputs!$B$25+Inputs!$B$29,IF(Skills!C20=2,90+Inputs!$B$26+Inputs!$B$29,IF(Skills!C20=3,120+Inputs!$B$27+Inputs!$B$29,MAX(0,(Inputs!$B$3-100)*3)+Inputs!$B$28+Inputs!$B$29)))</f>
        <v/>
      </c>
      <c r="E1640">
        <f>INDEX(FactorTable!$B$2:$Y$301, MATCH(ROUND(MIN(300,MAX(1,D1640)),0), FactorTable!$A$2:$A$301,0), Skills!M20+1)</f>
        <v/>
      </c>
      <c r="F1640">
        <f>IF(Skills!N20=TRUE,(Skills!L20/10)*(E1640/1000),Skills!L20/10)+Skills!O20</f>
        <v/>
      </c>
      <c r="G1640">
        <f>Skills!G20*IF(Skills!H20&gt;0,Skills!I20/Skills!H20,1)</f>
        <v/>
      </c>
      <c r="H1640">
        <f>1-(1-Skills!J20/100)^Skills!K20</f>
        <v/>
      </c>
      <c r="I1640" t="inlineStr">
        <is>
          <t>1</t>
        </is>
      </c>
      <c r="J1640" t="inlineStr"/>
      <c r="K1640" t="inlineStr"/>
      <c r="L1640" t="inlineStr"/>
      <c r="M1640" t="inlineStr"/>
      <c r="N1640" t="inlineStr"/>
      <c r="O1640">
        <f>(1-Summary!$B$11)*T1640+Summary!$B$11*V1640</f>
        <v/>
      </c>
      <c r="P1640">
        <f>IF(B1665=0,0,O1640/B1665)</f>
        <v/>
      </c>
      <c r="Q1640">
        <f>IFERROR(1/IF(Inputs!$B$39="pvp",15,MAX(0.1,Skills!D20-IF(Skills!E20=TRUE,Inputs!$B$32,0))),0)</f>
        <v/>
      </c>
      <c r="R1640">
        <f>IF(AND(Inputs!$B$39&lt;&gt;"pvp",Inputs!$B$44&gt;0),IF(Inputs!$B$44&lt;=0,0,(INT(Inputs!$B$44/IF(Inputs!$B$39="pvp",15,MAX(0.1,Skills!D20-IF(Skills!E20=TRUE,Inputs!$B$32,0))))+1)),0)</f>
        <v/>
      </c>
      <c r="S1640">
        <f>IFERROR(O1640/N1640,0)</f>
        <v/>
      </c>
      <c r="T1640" t="n">
        <v>0</v>
      </c>
      <c r="V1640" t="n">
        <v>0</v>
      </c>
    </row>
    <row r="1641">
      <c r="A1641">
        <f>Skills!A21</f>
        <v/>
      </c>
      <c r="B1641">
        <f>Skills!B21</f>
        <v/>
      </c>
      <c r="C1641">
        <f>Inputs!$B$3&gt;=15</f>
        <v/>
      </c>
      <c r="D1641">
        <f>IF(Skills!C21=1,60+Inputs!$B$25+Inputs!$B$29,IF(Skills!C21=2,90+Inputs!$B$26+Inputs!$B$29,IF(Skills!C21=3,120+Inputs!$B$27+Inputs!$B$29,MAX(0,(Inputs!$B$3-100)*3)+Inputs!$B$28+Inputs!$B$29)))</f>
        <v/>
      </c>
      <c r="E1641">
        <f>INDEX(FactorTable!$B$2:$Y$301, MATCH(ROUND(MIN(300,MAX(1,D1641)),0), FactorTable!$A$2:$A$301,0), Skills!M21+1)</f>
        <v/>
      </c>
      <c r="F1641">
        <f>IF(Skills!N21=TRUE,(Skills!L21/10)*(E1641/1000),Skills!L21/10)+Skills!O21</f>
        <v/>
      </c>
      <c r="G1641">
        <f>Skills!G21*IF(Skills!H21&gt;0,Skills!I21/Skills!H21,1)</f>
        <v/>
      </c>
      <c r="H1641">
        <f>1-(1-Skills!J21/100)^Skills!K21</f>
        <v/>
      </c>
      <c r="I1641" t="inlineStr">
        <is>
          <t>1</t>
        </is>
      </c>
      <c r="J1641" t="inlineStr"/>
      <c r="K1641" t="inlineStr"/>
      <c r="L1641" t="inlineStr"/>
      <c r="M1641" t="inlineStr"/>
      <c r="N1641" t="inlineStr"/>
      <c r="O1641">
        <f>(1-Summary!$B$11)*T1641+Summary!$B$11*V1641</f>
        <v/>
      </c>
      <c r="P1641">
        <f>IF(B1665=0,0,O1641/B1665)</f>
        <v/>
      </c>
      <c r="Q1641">
        <f>IFERROR(1/IF(Inputs!$B$39="pvp",15,MAX(0.1,Skills!D21-IF(Skills!E21=TRUE,Inputs!$B$32,0))),0)</f>
        <v/>
      </c>
      <c r="R1641">
        <f>IF(AND(Inputs!$B$39&lt;&gt;"pvp",Inputs!$B$44&gt;0),IF(Inputs!$B$44&lt;=0,0,(INT(Inputs!$B$44/IF(Inputs!$B$39="pvp",15,MAX(0.1,Skills!D21-IF(Skills!E21=TRUE,Inputs!$B$32,0))))+1)),0)</f>
        <v/>
      </c>
      <c r="S1641">
        <f>IFERROR(O1641/N1641,0)</f>
        <v/>
      </c>
      <c r="T1641" t="n">
        <v>0</v>
      </c>
      <c r="V1641" t="n">
        <v>0</v>
      </c>
    </row>
    <row r="1642">
      <c r="A1642">
        <f>Skills!A22</f>
        <v/>
      </c>
      <c r="B1642">
        <f>Skills!B22</f>
        <v/>
      </c>
      <c r="C1642">
        <f>Inputs!$B$3&gt;=33</f>
        <v/>
      </c>
      <c r="D1642">
        <f>IF(Skills!C22=1,60+Inputs!$B$25+Inputs!$B$29,IF(Skills!C22=2,90+Inputs!$B$26+Inputs!$B$29,IF(Skills!C22=3,120+Inputs!$B$27+Inputs!$B$29,MAX(0,(Inputs!$B$3-100)*3)+Inputs!$B$28+Inputs!$B$29)))</f>
        <v/>
      </c>
      <c r="E1642">
        <f>INDEX(FactorTable!$B$2:$Y$301, MATCH(ROUND(MIN(300,MAX(1,D1642)),0), FactorTable!$A$2:$A$301,0), Skills!M22+1)</f>
        <v/>
      </c>
      <c r="F1642">
        <f>IF(Skills!N22=TRUE,(Skills!L22/10)*(E1642/1000),Skills!L22/10)+Skills!O22</f>
        <v/>
      </c>
      <c r="G1642">
        <f>Skills!G22*IF(Skills!H22&gt;0,Skills!I22/Skills!H22,1)</f>
        <v/>
      </c>
      <c r="H1642">
        <f>1-(1-Skills!J22/100)^Skills!K22</f>
        <v/>
      </c>
      <c r="I1642" t="inlineStr">
        <is>
          <t>1</t>
        </is>
      </c>
      <c r="J1642" t="inlineStr"/>
      <c r="K1642" t="inlineStr"/>
      <c r="L1642" t="inlineStr"/>
      <c r="M1642" t="inlineStr"/>
      <c r="N1642" t="inlineStr"/>
      <c r="O1642">
        <f>(1-Summary!$B$11)*T1642+Summary!$B$11*V1642</f>
        <v/>
      </c>
      <c r="P1642">
        <f>IF(B1665=0,0,O1642/B1665)</f>
        <v/>
      </c>
      <c r="Q1642" t="n">
        <v>0</v>
      </c>
      <c r="R1642" t="n">
        <v>0</v>
      </c>
      <c r="S1642">
        <f>IFERROR(O1642/N1642,0)</f>
        <v/>
      </c>
      <c r="T1642" t="n">
        <v>0</v>
      </c>
      <c r="V1642" t="n">
        <v>0</v>
      </c>
    </row>
    <row r="1643">
      <c r="A1643">
        <f>Skills!A23</f>
        <v/>
      </c>
      <c r="B1643">
        <f>Skills!B23</f>
        <v/>
      </c>
      <c r="C1643">
        <f>Inputs!$B$3&gt;=40</f>
        <v/>
      </c>
      <c r="D1643">
        <f>IF(Skills!C23=1,60+Inputs!$B$25+Inputs!$B$29,IF(Skills!C23=2,90+Inputs!$B$26+Inputs!$B$29,IF(Skills!C23=3,120+Inputs!$B$27+Inputs!$B$29,MAX(0,(Inputs!$B$3-100)*3)+Inputs!$B$28+Inputs!$B$29)))</f>
        <v/>
      </c>
      <c r="E1643">
        <f>INDEX(FactorTable!$B$2:$Y$301, MATCH(ROUND(MIN(300,MAX(1,D1643)),0), FactorTable!$A$2:$A$301,0), Skills!M23+1)</f>
        <v/>
      </c>
      <c r="F1643">
        <f>IF(Skills!N23=TRUE,(Skills!L23/10)*(E1643/1000),Skills!L23/10)+Skills!O23</f>
        <v/>
      </c>
      <c r="G1643">
        <f>Skills!G23*IF(Skills!H23&gt;0,Skills!I23/Skills!H23,1)</f>
        <v/>
      </c>
      <c r="H1643">
        <f>1-(1-Skills!J23/100)^Skills!K23</f>
        <v/>
      </c>
      <c r="I1643" t="inlineStr">
        <is>
          <t>1</t>
        </is>
      </c>
      <c r="J1643" t="inlineStr"/>
      <c r="K1643" t="inlineStr"/>
      <c r="L1643" t="inlineStr"/>
      <c r="M1643" t="inlineStr"/>
      <c r="N1643" t="inlineStr"/>
      <c r="O1643">
        <f>(1-Summary!$B$11)*T1643+Summary!$B$11*V1643</f>
        <v/>
      </c>
      <c r="P1643">
        <f>IF(B1665=0,0,O1643/B1665)</f>
        <v/>
      </c>
      <c r="Q1643" t="n">
        <v>0</v>
      </c>
      <c r="R1643" t="n">
        <v>0</v>
      </c>
      <c r="S1643">
        <f>IFERROR(O1643/N1643,0)</f>
        <v/>
      </c>
      <c r="T1643" t="n">
        <v>0</v>
      </c>
      <c r="V1643" t="n">
        <v>0</v>
      </c>
    </row>
    <row r="1644">
      <c r="A1644">
        <f>Skills!A24</f>
        <v/>
      </c>
      <c r="B1644">
        <f>Skills!B24</f>
        <v/>
      </c>
      <c r="C1644">
        <f>Inputs!$B$3&gt;=43</f>
        <v/>
      </c>
      <c r="D1644">
        <f>IF(Skills!C24=1,60+Inputs!$B$25+Inputs!$B$29,IF(Skills!C24=2,90+Inputs!$B$26+Inputs!$B$29,IF(Skills!C24=3,120+Inputs!$B$27+Inputs!$B$29,MAX(0,(Inputs!$B$3-100)*3)+Inputs!$B$28+Inputs!$B$29)))</f>
        <v/>
      </c>
      <c r="E1644">
        <f>INDEX(FactorTable!$B$2:$Y$301, MATCH(ROUND(MIN(300,MAX(1,D1644)),0), FactorTable!$A$2:$A$301,0), Skills!M24+1)</f>
        <v/>
      </c>
      <c r="F1644">
        <f>IF(Skills!N24=TRUE,(Skills!L24/10)*(E1644/1000),Skills!L24/10)+Skills!O24</f>
        <v/>
      </c>
      <c r="G1644">
        <f>Skills!G24*IF(Skills!H24&gt;0,Skills!I24/Skills!H24,1)</f>
        <v/>
      </c>
      <c r="H1644">
        <f>1-(1-Skills!J24/100)^Skills!K24</f>
        <v/>
      </c>
      <c r="I1644" t="inlineStr">
        <is>
          <t>1</t>
        </is>
      </c>
      <c r="J1644" t="inlineStr"/>
      <c r="K1644" t="inlineStr"/>
      <c r="L1644" t="inlineStr"/>
      <c r="M1644" t="inlineStr"/>
      <c r="N1644" t="inlineStr"/>
      <c r="O1644">
        <f>(1-Summary!$B$11)*T1644+Summary!$B$11*V1644</f>
        <v/>
      </c>
      <c r="P1644">
        <f>IF(B1665=0,0,O1644/B1665)</f>
        <v/>
      </c>
      <c r="Q1644" t="n">
        <v>0</v>
      </c>
      <c r="R1644" t="n">
        <v>0</v>
      </c>
      <c r="S1644">
        <f>IFERROR(O1644/N1644,0)</f>
        <v/>
      </c>
      <c r="T1644" t="n">
        <v>0</v>
      </c>
      <c r="V1644" t="n">
        <v>0</v>
      </c>
    </row>
    <row r="1645">
      <c r="A1645">
        <f>Skills!A25</f>
        <v/>
      </c>
      <c r="B1645">
        <f>Skills!B25</f>
        <v/>
      </c>
      <c r="C1645">
        <f>Inputs!$B$3&gt;=50</f>
        <v/>
      </c>
      <c r="D1645">
        <f>IF(Skills!C25=1,60+Inputs!$B$25+Inputs!$B$29,IF(Skills!C25=2,90+Inputs!$B$26+Inputs!$B$29,IF(Skills!C25=3,120+Inputs!$B$27+Inputs!$B$29,MAX(0,(Inputs!$B$3-100)*3)+Inputs!$B$28+Inputs!$B$29)))</f>
        <v/>
      </c>
      <c r="E1645">
        <f>INDEX(FactorTable!$B$2:$Y$301, MATCH(ROUND(MIN(300,MAX(1,D1645)),0), FactorTable!$A$2:$A$301,0), Skills!M25+1)</f>
        <v/>
      </c>
      <c r="F1645">
        <f>IF(Skills!N25=TRUE,(Skills!L25/10)*(E1645/1000),Skills!L25/10)+Skills!O25</f>
        <v/>
      </c>
      <c r="G1645">
        <f>Skills!G25*IF(Skills!H25&gt;0,Skills!I25/Skills!H25,1)</f>
        <v/>
      </c>
      <c r="H1645">
        <f>1-(1-Skills!J25/100)^Skills!K25</f>
        <v/>
      </c>
      <c r="I1645" t="inlineStr">
        <is>
          <t>1</t>
        </is>
      </c>
      <c r="J1645" t="inlineStr"/>
      <c r="K1645" t="inlineStr"/>
      <c r="L1645" t="inlineStr"/>
      <c r="M1645" t="inlineStr"/>
      <c r="N1645" t="inlineStr"/>
      <c r="O1645">
        <f>(1-Summary!$B$11)*T1645+Summary!$B$11*V1645</f>
        <v/>
      </c>
      <c r="P1645">
        <f>IF(B1665=0,0,O1645/B1665)</f>
        <v/>
      </c>
      <c r="Q1645" t="n">
        <v>0</v>
      </c>
      <c r="R1645" t="n">
        <v>0</v>
      </c>
      <c r="S1645">
        <f>IFERROR(O1645/N1645,0)</f>
        <v/>
      </c>
      <c r="T1645" t="n">
        <v>0</v>
      </c>
      <c r="V1645" t="n">
        <v>0</v>
      </c>
    </row>
    <row r="1646">
      <c r="A1646">
        <f>Skills!A26</f>
        <v/>
      </c>
      <c r="B1646">
        <f>Skills!B26</f>
        <v/>
      </c>
      <c r="C1646">
        <f>Inputs!$B$3&gt;=50</f>
        <v/>
      </c>
      <c r="D1646">
        <f>IF(Skills!C26=1,60+Inputs!$B$25+Inputs!$B$29,IF(Skills!C26=2,90+Inputs!$B$26+Inputs!$B$29,IF(Skills!C26=3,120+Inputs!$B$27+Inputs!$B$29,MAX(0,(Inputs!$B$3-100)*3)+Inputs!$B$28+Inputs!$B$29)))</f>
        <v/>
      </c>
      <c r="E1646">
        <f>INDEX(FactorTable!$B$2:$Y$301, MATCH(ROUND(MIN(300,MAX(1,D1646)),0), FactorTable!$A$2:$A$301,0), Skills!M26+1)</f>
        <v/>
      </c>
      <c r="F1646">
        <f>IF(Skills!N26=TRUE,(Skills!L26/10)*(E1646/1000),Skills!L26/10)+Skills!O26</f>
        <v/>
      </c>
      <c r="G1646">
        <f>Skills!G26*IF(Skills!H26&gt;0,Skills!I26/Skills!H26,1)</f>
        <v/>
      </c>
      <c r="H1646">
        <f>1-(1-Skills!J26/100)^Skills!K26</f>
        <v/>
      </c>
      <c r="I1646" t="inlineStr">
        <is>
          <t>1</t>
        </is>
      </c>
      <c r="J1646" t="inlineStr"/>
      <c r="K1646" t="inlineStr"/>
      <c r="L1646" t="inlineStr"/>
      <c r="M1646" t="inlineStr"/>
      <c r="N1646" t="inlineStr"/>
      <c r="O1646">
        <f>(1-Summary!$B$11)*T1646+Summary!$B$11*V1646</f>
        <v/>
      </c>
      <c r="P1646">
        <f>IF(B1665=0,0,O1646/B1665)</f>
        <v/>
      </c>
      <c r="Q1646" t="n">
        <v>0</v>
      </c>
      <c r="R1646" t="n">
        <v>0</v>
      </c>
      <c r="S1646">
        <f>IFERROR(O1646/N1646,0)</f>
        <v/>
      </c>
      <c r="T1646" t="n">
        <v>0</v>
      </c>
      <c r="V1646" t="n">
        <v>0</v>
      </c>
    </row>
    <row r="1647">
      <c r="A1647">
        <f>Skills!A27</f>
        <v/>
      </c>
      <c r="B1647">
        <f>Skills!B27</f>
        <v/>
      </c>
      <c r="C1647">
        <f>Inputs!$B$3&gt;=38</f>
        <v/>
      </c>
      <c r="D1647">
        <f>IF(Skills!C27=1,60+Inputs!$B$25+Inputs!$B$29,IF(Skills!C27=2,90+Inputs!$B$26+Inputs!$B$29,IF(Skills!C27=3,120+Inputs!$B$27+Inputs!$B$29,MAX(0,(Inputs!$B$3-100)*3)+Inputs!$B$28+Inputs!$B$29)))</f>
        <v/>
      </c>
      <c r="E1647">
        <f>INDEX(FactorTable!$B$2:$Y$301, MATCH(ROUND(MIN(300,MAX(1,D1647)),0), FactorTable!$A$2:$A$301,0), Skills!M27+1)</f>
        <v/>
      </c>
      <c r="F1647">
        <f>IF(Skills!N27=TRUE,(Skills!L27/10)*(E1647/1000),Skills!L27/10)+Skills!O27</f>
        <v/>
      </c>
      <c r="G1647">
        <f>Skills!G27*IF(Skills!H27&gt;0,Skills!I27/Skills!H27,1)</f>
        <v/>
      </c>
      <c r="H1647">
        <f>1-(1-Skills!J27/100)^Skills!K27</f>
        <v/>
      </c>
      <c r="I1647" t="inlineStr">
        <is>
          <t>1</t>
        </is>
      </c>
      <c r="J1647" t="inlineStr"/>
      <c r="K1647" t="inlineStr"/>
      <c r="L1647" t="inlineStr"/>
      <c r="M1647" t="inlineStr"/>
      <c r="N1647" t="inlineStr"/>
      <c r="O1647">
        <f>(1-Summary!$B$11)*T1647+Summary!$B$11*V1647</f>
        <v/>
      </c>
      <c r="P1647">
        <f>IF(B1665=0,0,O1647/B1665)</f>
        <v/>
      </c>
      <c r="Q1647" t="n">
        <v>0</v>
      </c>
      <c r="R1647" t="n">
        <v>0</v>
      </c>
      <c r="S1647">
        <f>IFERROR(O1647/N1647,0)</f>
        <v/>
      </c>
      <c r="T1647" t="n">
        <v>0</v>
      </c>
      <c r="V1647" t="n">
        <v>0</v>
      </c>
    </row>
    <row r="1648">
      <c r="A1648">
        <f>Skills!A28</f>
        <v/>
      </c>
      <c r="B1648">
        <f>Skills!B28</f>
        <v/>
      </c>
      <c r="C1648">
        <f>Inputs!$B$3&gt;=120</f>
        <v/>
      </c>
      <c r="D1648">
        <f>IF(Skills!C28=1,60+Inputs!$B$25+Inputs!$B$29,IF(Skills!C28=2,90+Inputs!$B$26+Inputs!$B$29,IF(Skills!C28=3,120+Inputs!$B$27+Inputs!$B$29,MAX(0,(Inputs!$B$3-100)*3)+Inputs!$B$28+Inputs!$B$29)))</f>
        <v/>
      </c>
      <c r="E1648">
        <f>INDEX(FactorTable!$B$2:$Y$301, MATCH(ROUND(MIN(300,MAX(1,D1648)),0), FactorTable!$A$2:$A$301,0), Skills!M28+1)</f>
        <v/>
      </c>
      <c r="F1648">
        <f>IF(Skills!N28=TRUE,(Skills!L28/10)*(E1648/1000),Skills!L28/10)+Skills!O28</f>
        <v/>
      </c>
      <c r="G1648">
        <f>Skills!G28*IF(Skills!H28&gt;0,Skills!I28/Skills!H28,1)</f>
        <v/>
      </c>
      <c r="H1648">
        <f>1-(1-Skills!J28/100)^Skills!K28</f>
        <v/>
      </c>
      <c r="I1648" t="inlineStr">
        <is>
          <t>1</t>
        </is>
      </c>
      <c r="J1648" t="inlineStr"/>
      <c r="K1648" t="inlineStr"/>
      <c r="L1648" t="inlineStr"/>
      <c r="M1648" t="inlineStr"/>
      <c r="N1648" t="inlineStr"/>
      <c r="O1648">
        <f>(1-Summary!$B$11)*T1648+Summary!$B$11*V1648</f>
        <v/>
      </c>
      <c r="P1648">
        <f>IF(B1665=0,0,O1648/B1665)</f>
        <v/>
      </c>
      <c r="Q1648" t="n">
        <v>0</v>
      </c>
      <c r="R1648" t="n">
        <v>0</v>
      </c>
      <c r="S1648">
        <f>IFERROR(O1648/N1648,0)</f>
        <v/>
      </c>
      <c r="T1648" t="n">
        <v>0</v>
      </c>
      <c r="V1648" t="n">
        <v>0</v>
      </c>
    </row>
    <row r="1649">
      <c r="A1649">
        <f>Skills!A29</f>
        <v/>
      </c>
      <c r="B1649">
        <f>Skills!B29</f>
        <v/>
      </c>
      <c r="C1649">
        <f>Inputs!$B$3&gt;=120</f>
        <v/>
      </c>
      <c r="D1649">
        <f>IF(Skills!C29=1,60+Inputs!$B$25+Inputs!$B$29,IF(Skills!C29=2,90+Inputs!$B$26+Inputs!$B$29,IF(Skills!C29=3,120+Inputs!$B$27+Inputs!$B$29,MAX(0,(Inputs!$B$3-100)*3)+Inputs!$B$28+Inputs!$B$29)))</f>
        <v/>
      </c>
      <c r="E1649">
        <f>INDEX(FactorTable!$B$2:$Y$301, MATCH(ROUND(MIN(300,MAX(1,D1649)),0), FactorTable!$A$2:$A$301,0), Skills!M29+1)</f>
        <v/>
      </c>
      <c r="F1649">
        <f>IF(Skills!N29=TRUE,(Skills!L29/10)*(E1649/1000),Skills!L29/10)+Skills!O29</f>
        <v/>
      </c>
      <c r="G1649">
        <f>Skills!G29*IF(Skills!H29&gt;0,Skills!I29/Skills!H29,1)</f>
        <v/>
      </c>
      <c r="H1649">
        <f>1-(1-Skills!J29/100)^Skills!K29</f>
        <v/>
      </c>
      <c r="I1649" t="inlineStr">
        <is>
          <t>1</t>
        </is>
      </c>
      <c r="J1649" t="inlineStr"/>
      <c r="K1649" t="inlineStr"/>
      <c r="L1649" t="inlineStr"/>
      <c r="M1649" t="inlineStr"/>
      <c r="N1649" t="inlineStr"/>
      <c r="O1649">
        <f>(1-Summary!$B$11)*T1649+Summary!$B$11*V1649</f>
        <v/>
      </c>
      <c r="P1649">
        <f>IF(B1665=0,0,O1649/B1665)</f>
        <v/>
      </c>
      <c r="Q1649" t="n">
        <v>0</v>
      </c>
      <c r="R1649" t="n">
        <v>0</v>
      </c>
      <c r="S1649">
        <f>IFERROR(O1649/N1649,0)</f>
        <v/>
      </c>
      <c r="T1649" t="n">
        <v>0</v>
      </c>
      <c r="V1649" t="n">
        <v>0</v>
      </c>
    </row>
    <row r="1650">
      <c r="A1650">
        <f>Skills!A30</f>
        <v/>
      </c>
      <c r="B1650">
        <f>Skills!B30</f>
        <v/>
      </c>
      <c r="C1650">
        <f>Inputs!$B$3&gt;=125</f>
        <v/>
      </c>
      <c r="D1650">
        <f>IF(Skills!C30=1,60+Inputs!$B$25+Inputs!$B$29,IF(Skills!C30=2,90+Inputs!$B$26+Inputs!$B$29,IF(Skills!C30=3,120+Inputs!$B$27+Inputs!$B$29,MAX(0,(Inputs!$B$3-100)*3)+Inputs!$B$28+Inputs!$B$29)))</f>
        <v/>
      </c>
      <c r="E1650">
        <f>INDEX(FactorTable!$B$2:$Y$301, MATCH(ROUND(MIN(300,MAX(1,D1650)),0), FactorTable!$A$2:$A$301,0), Skills!M30+1)</f>
        <v/>
      </c>
      <c r="F1650">
        <f>IF(Skills!N30=TRUE,(Skills!L30/10)*(E1650/1000),Skills!L30/10)+Skills!O30</f>
        <v/>
      </c>
      <c r="G1650">
        <f>Skills!G30*IF(Skills!H30&gt;0,Skills!I30/Skills!H30,1)</f>
        <v/>
      </c>
      <c r="H1650">
        <f>1-(1-Skills!J30/100)^Skills!K30</f>
        <v/>
      </c>
      <c r="I1650" t="inlineStr">
        <is>
          <t>1</t>
        </is>
      </c>
      <c r="J1650" t="inlineStr"/>
      <c r="K1650" t="inlineStr"/>
      <c r="L1650" t="inlineStr"/>
      <c r="M1650" t="inlineStr"/>
      <c r="N1650" t="inlineStr"/>
      <c r="O1650">
        <f>(1-Summary!$B$11)*T1650+Summary!$B$11*V1650</f>
        <v/>
      </c>
      <c r="P1650">
        <f>IF(B1665=0,0,O1650/B1665)</f>
        <v/>
      </c>
      <c r="Q1650" t="n">
        <v>0</v>
      </c>
      <c r="R1650" t="n">
        <v>0</v>
      </c>
      <c r="S1650">
        <f>IFERROR(O1650/N1650,0)</f>
        <v/>
      </c>
      <c r="T1650" t="n">
        <v>0</v>
      </c>
      <c r="V1650" t="n">
        <v>0</v>
      </c>
    </row>
    <row r="1652">
      <c r="A1652" t="inlineStr">
        <is>
          <t>Average Buff Multiplier</t>
        </is>
      </c>
      <c r="B1652">
        <f>(1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f>
        <v/>
      </c>
    </row>
    <row r="1653">
      <c r="A1653" t="inlineStr">
        <is>
          <t>Global Crit Rate Bonus %</t>
        </is>
      </c>
      <c r="B1653">
        <f>((C1640=TRUE)*F1640*IF(AND(Inputs!$B$39&lt;&gt;"pvp",Inputs!$B$44&gt;0),(((R1640-1)*(Skills!Y20*(1+Inputs!$B$34/100))+MIN((Skills!Y20*(1+Inputs!$B$34/100)),MAX(0,Inputs!$B$44-((R1640-1)*Skills!D20))))/Inputs!$B$44),IF(Inputs!$B$39="pvp",MIN((Skills!Y20*(1+Inputs!$B$34/100)),15)/15,(Skills!Y20*(1+Inputs!$B$34/100))/Skills!D20)))</f>
        <v/>
      </c>
    </row>
    <row r="1654">
      <c r="A1654" t="inlineStr">
        <is>
          <t>Global Monster Damage-Taken Bonus %</t>
        </is>
      </c>
      <c r="B1654">
        <f>IF(Inputs!$B$3&gt;=82,15,0)</f>
        <v/>
      </c>
    </row>
    <row r="1655">
      <c r="A1655" t="inlineStr">
        <is>
          <t>Shadow Partner Average Multiplier</t>
        </is>
      </c>
      <c r="B1655">
        <f>1+((C1627=TRUE)*F1627*(1+3.3333333333333335*IF(C1638=TRUE,F1638,0)/100)*I1627*Skills!J7/100)/100</f>
        <v/>
      </c>
    </row>
    <row r="1656">
      <c r="A1656" t="inlineStr">
        <is>
          <t>Attack Speed Buff Bonus %</t>
        </is>
      </c>
      <c r="B1656">
        <f>((C1639=TRUE)*F1639*IF(AND(Inputs!$B$39&lt;&gt;"pvp",Inputs!$B$44&gt;0),(((R1639-1)*(Skills!Y19*(1+Inputs!$B$34/100))+MIN((Skills!Y19*(1+Inputs!$B$34/100)),MAX(0,Inputs!$B$44-((R1639-1)*Skills!D19))))/Inputs!$B$44),IF(Inputs!$B$39="pvp",MIN((Skills!Y19*(1+Inputs!$B$34/100)),15)/15,(Skills!Y19*(1+Inputs!$B$34/100))/Skills!D19)))+((C1623=TRUE)*F1623*3)</f>
        <v/>
      </c>
    </row>
    <row r="1657">
      <c r="A1657" t="inlineStr">
        <is>
          <t>Actions Per Second</t>
        </is>
      </c>
      <c r="B1657">
        <f>1+MIN(150,150*(1-(1-(Inputs!$B$11+((C1642=TRUE)*(F1642-Calc!F22)))/150)*(1-B1656/150)))/100</f>
        <v/>
      </c>
    </row>
    <row r="1658">
      <c r="A1658" t="inlineStr">
        <is>
          <t>Skill + Buff Cast Rate</t>
        </is>
      </c>
      <c r="B1658">
        <f>IF(AND(Inputs!$B$39&lt;&gt;"pvp",Inputs!$B$44&gt;0),SUMPRODUCT((Skills!E2:E30=TRUE)*(C1622:C1650=TRUE)*R1622:R1650*Skills!F2:F30)/Inputs!$B$44,SUMPRODUCT((Skills!E2:E30=TRUE)*(C1622:C1650=TRUE)*Q1622:Q1650*Skills!F2:F30))</f>
        <v/>
      </c>
    </row>
    <row r="1659">
      <c r="A1659" t="inlineStr">
        <is>
          <t>Cruel Stab Casts Per Second</t>
        </is>
      </c>
      <c r="B1659">
        <f>MAX(0,B1657-B1658)</f>
        <v/>
      </c>
    </row>
    <row r="1660">
      <c r="A1660" t="inlineStr">
        <is>
          <t>Global Critical Damage Bonus % (Smokescreen Mastery Lv.113)</t>
        </is>
      </c>
      <c r="B1660">
        <f>IF(Inputs!$B$3&gt;=113,30,0)*IF(AND(Inputs!$B$39&lt;&gt;"pvp",Inputs!$B$44&gt;0),(((R1635-1)*(Skills!Y15*(1+Inputs!$B$34/100))+MIN((Skills!Y15*(1+Inputs!$B$34/100)),MAX(0,Inputs!$B$44-((R1635-1)*Skills!D15))))/Inputs!$B$44),IF(Inputs!$B$39="pvp",MIN((Skills!Y15*(1+Inputs!$B$34/100)),15)/15,(Skills!Y15*(1+Inputs!$B$34/100))/Skills!D15))</f>
        <v/>
      </c>
    </row>
    <row r="1661">
      <c r="A1661" t="inlineStr">
        <is>
          <t>Meso Explosion average stack count</t>
        </is>
      </c>
      <c r="B1661">
        <f>MIN(10,0.5*B1657*Skills!D4)</f>
        <v/>
      </c>
    </row>
    <row r="1662">
      <c r="A1662" t="inlineStr">
        <is>
          <t>Blood Money average stack count</t>
        </is>
      </c>
      <c r="B1662">
        <f>MIN(5,0.25*B1657*Skills!D4)</f>
        <v/>
      </c>
    </row>
    <row r="1663">
      <c r="A1663" t="inlineStr">
        <is>
          <t>Assassinate Murderous Intent Multiplier</t>
        </is>
      </c>
      <c r="B1663">
        <f>1+IFERROR(MIN(1,Q1634*2/Q1631),0)</f>
        <v/>
      </c>
    </row>
    <row r="1664">
      <c r="A1664" t="inlineStr">
        <is>
          <t>Buff-Casting Startup Delay (s, fixed-duration only)</t>
        </is>
      </c>
      <c r="B1664">
        <f>IF(AND(Inputs!$B$39&lt;&gt;"pvp",Inputs!$B$44&gt;0),SUMPRODUCT((Skills!Y2:Y30&gt;0)*(Skills!E2:E30=TRUE)*(C1622:C1650=TRUE))/B1657,0)</f>
        <v/>
      </c>
    </row>
    <row r="1665">
      <c r="A1665" s="6" t="inlineStr">
        <is>
          <t>TOTAL DPS</t>
        </is>
      </c>
      <c r="B1665" s="6">
        <f>SUM(O1622:O1650)</f>
        <v/>
      </c>
    </row>
    <row r="1666">
      <c r="A1666" t="inlineStr">
        <is>
          <t>Boss-Only Total DPS (this block's swept value)</t>
        </is>
      </c>
      <c r="B1666">
        <f>SUM(T1622:T1650)</f>
        <v/>
      </c>
    </row>
    <row r="1667">
      <c r="A1667" t="inlineStr">
        <is>
          <t>Normal-Only Total DPS (this block's swept value)</t>
        </is>
      </c>
      <c r="B1667">
        <f>SUM(V1622:V1650)</f>
        <v/>
      </c>
    </row>
    <row r="1670">
      <c r="A1670" s="6" t="inlineStr">
        <is>
          <t>Stat: Hexagon Necklace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1672)</f>
        <v/>
      </c>
      <c r="L1672">
        <f>K1672*(MIN(Inputs!$B$22+((C1694=TRUE)*(F1694-Calc!F24)),(Inputs!$B$23+((C1699=TRUE)*(F1699-Calc!F29))+IF(ArtifactsInput!$M$15,CHOOSE(ArtifactsInput!$N$15+1,25,30,35,40,45,50)/100*(Inputs!$B$11-Inputs!$B$11),0)))/100+(Inputs!$B$23+((C1699=TRUE)*(F1699-Calc!F29))+IF(ArtifactsInput!$M$15,CHOOSE(ArtifactsInput!$N$15+1,25,30,35,40,45,50)/100*(Inputs!$B$11-Inputs!$B$11),0))/100)/2</f>
        <v/>
      </c>
      <c r="M1672">
        <f>L1672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2">
        <f>L1672*(1-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1672*(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2">
        <f>(1-Summary!$B$11)*T1672+Summary!$B$11*V1672</f>
        <v/>
      </c>
      <c r="P1672">
        <f>IF(B1715=0,0,O1672/B1715)</f>
        <v/>
      </c>
      <c r="Q1672" t="n">
        <v>0</v>
      </c>
      <c r="R1672" t="n">
        <v>0</v>
      </c>
      <c r="S1672">
        <f>IFERROR(O1672/N1672,0)</f>
        <v/>
      </c>
      <c r="T1672">
        <f>IF(C1672,(Skills!G2*N1672*B1709)*IF(Inputs!$B$39="pvp",1,1+(Inputs!$B$20+0+Skills!P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1672*(1-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1672*(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1672*(1-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1672*(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2">
        <f>MAX(0,(Inputs!$B$3-100)*3)+Inputs!$B$28+Inputs!$B$29</f>
        <v/>
      </c>
      <c r="V1672">
        <f>IF(C1672,(Skills!G2*N1672*B1709)*IF(Inputs!$B$39="pvp",1,(1+(Inputs!$B$21+Skills!Q2+B1704+(IF(ArtifactsInput!$M$33,CHOOSE(ArtifactsInput!$N$33+1,30,36,42,48,54,60),0))+(IF(AND(ArtifactsInput!$M$35,Inputs!$B$4&lt;&gt;"Chapter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t="inlineStr"/>
      <c r="K1673" t="inlineStr"/>
      <c r="L1673" t="inlineStr"/>
      <c r="M1673" t="inlineStr"/>
      <c r="N1673" t="inlineStr"/>
      <c r="O1673">
        <f>(1-Summary!$B$11)*T1673+Summary!$B$11*V1673</f>
        <v/>
      </c>
      <c r="P1673">
        <f>IF(B1715=0,0,O1673/B1715)</f>
        <v/>
      </c>
      <c r="Q1673" t="n">
        <v>0</v>
      </c>
      <c r="R1673" t="n">
        <v>0</v>
      </c>
      <c r="S1673">
        <f>IFERROR(O1673/N1673,0)</f>
        <v/>
      </c>
      <c r="T1673" t="n">
        <v>0</v>
      </c>
      <c r="U1673">
        <f>INDEX(FactorTable!$B$2:$Y$301, MATCH(ROUND(MIN(300,MAX(1,U1672)),0), FactorTable!$A$2:$A$301,0), 22)</f>
        <v/>
      </c>
      <c r="V1673" t="n">
        <v>0</v>
      </c>
    </row>
    <row r="1674">
      <c r="A1674">
        <f>Skills!A4</f>
        <v/>
      </c>
      <c r="B1674">
        <f>Skills!B4</f>
        <v/>
      </c>
      <c r="C1674">
        <f>Inputs!$B$3&gt;=66</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1674)</f>
        <v/>
      </c>
      <c r="L1674">
        <f>K1674*(MIN(Inputs!$B$22+((C1694=TRUE)*(F1694-Calc!F24)),(Inputs!$B$23+((C1699=TRUE)*(F1699-Calc!F29))+IF(ArtifactsInput!$M$15,CHOOSE(ArtifactsInput!$N$15+1,25,30,35,40,45,50)/100*(Inputs!$B$11-Inputs!$B$11),0)))/100+(Inputs!$B$23+((C1699=TRUE)*(F1699-Calc!F29))+IF(ArtifactsInput!$M$15,CHOOSE(ArtifactsInput!$N$15+1,25,30,35,40,45,50)/100*(Inputs!$B$11-Inputs!$B$11),0))/100)/2</f>
        <v/>
      </c>
      <c r="M1674">
        <f>L1674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4">
        <f>L1674*(1-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IF(B1715=0,0,O1674/B1715)</f>
        <v/>
      </c>
      <c r="Q1674">
        <f>IFERROR(1/IF(Inputs!$B$39="pvp",15,MAX(0.1,Skills!D4-IF(Skills!E4=TRUE,Inputs!$B$32,0))),0)</f>
        <v/>
      </c>
      <c r="R1674">
        <f>IF(AND(Inputs!$B$39&lt;&gt;"pvp",Inputs!$B$44&gt;0),IF(MAX(0,Inputs!$B$44-B1714)&lt;=0,0,(INT(MAX(0,Inputs!$B$44-B1714)/IF(Inputs!$B$39="pvp",15,MAX(0.1,Skills!D4-IF(Skills!E4=TRUE,Inputs!$B$32,0))))+1)),0)</f>
        <v/>
      </c>
      <c r="S1674">
        <f>IFERROR(O1674/N1674,0)</f>
        <v/>
      </c>
      <c r="T1674">
        <f>IF(C1674,(H1674*N1674*IF(AND(Inputs!$B$39&lt;&gt;"pvp",Inputs!$B$44&gt;0),((Skills!G4*((R1674-1)*IF(Skills!H4&gt;0,Skills!I4/Skills!H4,1)+IF(Skills!H4&gt;0,MIN(Skills!I4,MAX(0,MAX(0,Inputs!$B$44-B1714)-((R1674-1)*IF(Inputs!$B$39="pvp",15,MAX(0.1,Skills!D4-IF(Skills!E4=TRUE,Inputs!$B$32,0))))))/Skills!H4,1)))/Inputs!$B$44),G1674*Q1674))*IF(Inputs!$B$39="pvp",1,1+(Inputs!$B$20+0+Skills!P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1674*(1-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4">
        <f>290*U1673/1000</f>
        <v/>
      </c>
      <c r="V1674">
        <f>IF(C1674,(H1674*N1674*IF(AND(Inputs!$B$39&lt;&gt;"pvp",Inputs!$B$44&gt;0),((Skills!G4*((R1674-1)*IF(Skills!H4&gt;0,Skills!I4/Skills!H4,1)+IF(Skills!H4&gt;0,MIN(Skills!I4,MAX(0,MAX(0,Inputs!$B$44-B1714)-((R1674-1)*IF(Inputs!$B$39="pvp",15,MAX(0.1,Skills!D4-IF(Skills!E4=TRUE,Inputs!$B$32,0))))))/Skills!H4,1)))/Inputs!$B$44),G1674*Q1674))*IF(Inputs!$B$39="pvp",1,(1+(Inputs!$B$21+Skills!Q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(10,0.5*B1707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Skills!A5</f>
        <v/>
      </c>
      <c r="B1675">
        <f>Skills!B5</f>
        <v/>
      </c>
      <c r="C1675">
        <f>Inputs!$B$3&gt;=63</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f>((Inputs!$B$6*(1+Inputs!$B$7/100))+(((Inputs!$B$12*(1+Inputs!$B$13/100))-(Inputs!$B$12*(1+Inputs!$B$13/100)))+0.25*(Inputs!$B$14-Inputs!$B$14))*(1+Inputs!$B$7/100))*(F1675/100)</f>
        <v/>
      </c>
      <c r="K1675">
        <f>J1675*(1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1688=TRUE,F1688,0)/100)*(1+(IF(Skills!A5="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1675)</f>
        <v/>
      </c>
      <c r="L1675">
        <f>K1675*(MIN(Inputs!$B$22+((C1694=TRUE)*(F1694-Calc!F24)),(Inputs!$B$23+((C1699=TRUE)*(F1699-Calc!F29))+IF(ArtifactsInput!$M$15,CHOOSE(ArtifactsInput!$N$15+1,25,30,35,40,45,50)/100*(Inputs!$B$11-Inputs!$B$11),0)))/100+(Inputs!$B$23+((C1699=TRUE)*(F1699-Calc!F29))+IF(ArtifactsInput!$M$15,CHOOSE(ArtifactsInput!$N$15+1,25,30,35,40,45,50)/100*(Inputs!$B$11-Inputs!$B$11),0))/100)/2</f>
        <v/>
      </c>
      <c r="M1675">
        <f>L1675*(1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5">
        <f>L1675*(1-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IF(B1715=0,0,O1675/B1715)</f>
        <v/>
      </c>
      <c r="Q1675">
        <f>IFERROR(1/IF(Inputs!$B$39="pvp",15,MAX(0.1,Skills!D5-IF(Skills!E5=TRUE,Inputs!$B$32,0))),0)</f>
        <v/>
      </c>
      <c r="R1675">
        <f>IF(AND(Inputs!$B$39&lt;&gt;"pvp",Inputs!$B$44&gt;0),IF(MAX(0,Inputs!$B$44-B1714)&lt;=0,0,(INT(MAX(0,Inputs!$B$44-B1714)/IF(Inputs!$B$39="pvp",15,MAX(0.1,Skills!D5-IF(Skills!E5=TRUE,Inputs!$B$32,0))))+1)),0)</f>
        <v/>
      </c>
      <c r="S1675">
        <f>IFERROR(O1675/N1675,0)</f>
        <v/>
      </c>
      <c r="T1675">
        <f>IF(C1675,(H1675*N1675*IF(AND(Inputs!$B$39&lt;&gt;"pvp",Inputs!$B$44&gt;0),((Skills!G5*((R1675-1)*IF(Skills!H5&gt;0,Skills!I5/Skills!H5,1)+IF(Skills!H5&gt;0,MIN(Skills!I5,MAX(0,MAX(0,Inputs!$B$44-B1714)-((R1675-1)*IF(Inputs!$B$39="pvp",15,MAX(0.1,Skills!D5-IF(Skills!E5=TRUE,Inputs!$B$32,0))))))/Skills!H5,1)))/Inputs!$B$44),G1675*Q1675))*IF(Inputs!$B$39="pvp",1,1+(Inputs!$B$20+0+Skills!P5+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1675*(1-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5*((R1675-1)*IF(Skills!H5&gt;0,Skills!I5/Skills!H5,1)+IF(Skills!H5&gt;0,MIN(Skills!I5,MAX(0,MAX(0,Inputs!$B$44-B1714)-((R1675-1)*IF(Inputs!$B$39="pvp",15,MAX(0.1,Skills!D5-IF(Skills!E5=TRUE,Inputs!$B$32,0))))))/Skills!H5,1)))/Inputs!$B$44),G1675*Q1675))*IF(Inputs!$B$39="pvp",1,(1+(Inputs!$B$21+Skills!Q5+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Skills!A6</f>
        <v/>
      </c>
      <c r="B1676">
        <f>Skills!B6</f>
        <v/>
      </c>
      <c r="C1676">
        <f>Inputs!$B$3&gt;=69</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1688=TRUE,F1688,0)/100)*(1+(IF(Skills!A6="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1676)</f>
        <v/>
      </c>
      <c r="L1676">
        <f>K1676*(MIN(Inputs!$B$22+((C1694=TRUE)*(F1694-Calc!F24)),(Inputs!$B$23+((C1699=TRUE)*(F1699-Calc!F29))+IF(ArtifactsInput!$M$15,CHOOSE(ArtifactsInput!$N$15+1,25,30,35,40,45,50)/100*(Inputs!$B$11-Inputs!$B$11),0)))/100+(Inputs!$B$23+((C1699=TRUE)*(F1699-Calc!F29))+IF(ArtifactsInput!$M$15,CHOOSE(ArtifactsInput!$N$15+1,25,30,35,40,45,50)/100*(Inputs!$B$11-Inputs!$B$11),0))/100)/2</f>
        <v/>
      </c>
      <c r="M1676">
        <f>L1676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6">
        <f>L1676*(1-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IF(B1715=0,0,O1676/B1715)</f>
        <v/>
      </c>
      <c r="Q1676">
        <f>IFERROR(1/IF(Inputs!$B$39="pvp",15,MAX(0.1,Skills!D6-IF(Skills!E6=TRUE,Inputs!$B$32,0))),0)</f>
        <v/>
      </c>
      <c r="R1676">
        <f>IF(AND(Inputs!$B$39&lt;&gt;"pvp",Inputs!$B$44&gt;0),IF(MAX(0,Inputs!$B$44-B1714)&lt;=0,0,(INT(MAX(0,Inputs!$B$44-B1714)/IF(Inputs!$B$39="pvp",15,MAX(0.1,Skills!D6-IF(Skills!E6=TRUE,Inputs!$B$32,0))))+1)),0)</f>
        <v/>
      </c>
      <c r="S1676">
        <f>IFERROR(O1676/N1676,0)</f>
        <v/>
      </c>
      <c r="T1676">
        <f>IF(C1676,(H1676*N1676*IF(AND(Inputs!$B$39&lt;&gt;"pvp",Inputs!$B$44&gt;0),((Skills!G6*((R1676-1)*IF(Skills!H6&gt;0,Skills!I6/Skills!H6,1)+IF(Skills!H6&gt;0,MIN(Skills!I6,MAX(0,MAX(0,Inputs!$B$44-B1714)-((R1676-1)*IF(Inputs!$B$39="pvp",15,MAX(0.1,Skills!D6-IF(Skills!E6=TRUE,Inputs!$B$32,0))))))/Skills!H6,1)))/Inputs!$B$44),G1676*Q1676))*IF(Inputs!$B$39="pvp",1,1+(Inputs!$B$20+0+Skills!P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1676*(1-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6*((R1676-1)*IF(Skills!H6&gt;0,Skills!I6/Skills!H6,1)+IF(Skills!H6&gt;0,MIN(Skills!I6,MAX(0,MAX(0,Inputs!$B$44-B1714)-((R1676-1)*IF(Inputs!$B$39="pvp",15,MAX(0.1,Skills!D6-IF(Skills!E6=TRUE,Inputs!$B$32,0))))))/Skills!H6,1)))/Inputs!$B$44),G1676*Q1676))*IF(Inputs!$B$39="pvp",1,(1+(Inputs!$B$21+Skills!Q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Skills!A7</f>
        <v/>
      </c>
      <c r="B1677">
        <f>Skills!B7</f>
        <v/>
      </c>
      <c r="C1677">
        <f>Inputs!$B$3&gt;=60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t="inlineStr"/>
      <c r="K1677" t="inlineStr"/>
      <c r="L1677" t="inlineStr"/>
      <c r="M1677" t="inlineStr"/>
      <c r="N1677" t="inlineStr"/>
      <c r="O1677">
        <f>(1-Summary!$B$11)*T1677+Summary!$B$11*V1677</f>
        <v/>
      </c>
      <c r="P1677">
        <f>IF(B1715=0,0,O1677/B1715)</f>
        <v/>
      </c>
      <c r="Q1677" t="n">
        <v>0</v>
      </c>
      <c r="R1677" t="n">
        <v>0</v>
      </c>
      <c r="S1677">
        <f>IFERROR(O1677/N1677,0)</f>
        <v/>
      </c>
      <c r="T1677" t="n">
        <v>0</v>
      </c>
      <c r="V1677" t="n">
        <v>0</v>
      </c>
    </row>
    <row r="1678">
      <c r="A1678">
        <f>Skills!A8</f>
        <v/>
      </c>
      <c r="B1678">
        <f>Skills!B8</f>
        <v/>
      </c>
      <c r="C1678">
        <f>Inputs!$B$3&gt;=72</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1688=TRUE,F1688,0)/100)*(1+(IF(Skills!A8="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1678)</f>
        <v/>
      </c>
      <c r="L1678">
        <f>K1678*(MIN(Inputs!$B$22+((C1694=TRUE)*(F1694-Calc!F24)),(Inputs!$B$23+((C1699=TRUE)*(F1699-Calc!F29))+IF(ArtifactsInput!$M$15,CHOOSE(ArtifactsInput!$N$15+1,25,30,35,40,45,50)/100*(Inputs!$B$11-Inputs!$B$11),0)))/100+(Inputs!$B$23+((C1699=TRUE)*(F1699-Calc!F29))+IF(ArtifactsInput!$M$15,CHOOSE(ArtifactsInput!$N$15+1,25,30,35,40,45,50)/100*(Inputs!$B$11-Inputs!$B$11),0))/100)/2</f>
        <v/>
      </c>
      <c r="M1678">
        <f>L1678*(1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8">
        <f>L1678*(1-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IF(B1715=0,0,O1678/B1715)</f>
        <v/>
      </c>
      <c r="Q1678">
        <f>IFERROR(1/IF(Inputs!$B$39="pvp",15,MAX(0.1,Skills!D8-IF(Skills!E8=TRUE,Inputs!$B$32,0))),0)</f>
        <v/>
      </c>
      <c r="R1678">
        <f>IF(AND(Inputs!$B$39&lt;&gt;"pvp",Inputs!$B$44&gt;0),IF(MAX(0,Inputs!$B$44-B1714)&lt;=0,0,(INT(MAX(0,Inputs!$B$44-B1714)/IF(Inputs!$B$39="pvp",15,MAX(0.1,Skills!D8-IF(Skills!E8=TRUE,Inputs!$B$32,0))))+1)),0)</f>
        <v/>
      </c>
      <c r="S1678">
        <f>IFERROR(O1678/N1678,0)</f>
        <v/>
      </c>
      <c r="T1678">
        <f>IF(C1678,(H1678*N1678*IF(AND(Inputs!$B$39&lt;&gt;"pvp",Inputs!$B$44&gt;0),((Skills!G8*((R1678-1)*IF(Skills!H8&gt;0,Skills!I8/Skills!H8,1)+IF(Skills!H8&gt;0,MIN(Skills!I8,MAX(0,MAX(0,Inputs!$B$44-B1714)-((R1678-1)*IF(Inputs!$B$39="pvp",15,MAX(0.1,Skills!D8-IF(Skills!E8=TRUE,Inputs!$B$32,0))))))/Skills!H8,1)))/Inputs!$B$44),G1678*Q1678))*IF(Inputs!$B$39="pvp",1,1+(Inputs!$B$20+0+Skills!P8+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1678*(1-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8*((R1678-1)*IF(Skills!H8&gt;0,Skills!I8/Skills!H8,1)+IF(Skills!H8&gt;0,MIN(Skills!I8,MAX(0,MAX(0,Inputs!$B$44-B1714)-((R1678-1)*IF(Inputs!$B$39="pvp",15,MAX(0.1,Skills!D8-IF(Skills!E8=TRUE,Inputs!$B$32,0))))))/Skills!H8,1)))/Inputs!$B$44),G1678*Q1678))*IF(Inputs!$B$39="pvp",1,(1+(Inputs!$B$21+Skills!Q8+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Skills!A9</f>
        <v/>
      </c>
      <c r="B1679">
        <f>Skills!B9</f>
        <v/>
      </c>
      <c r="C1679">
        <f>Inputs!$B$3&gt;=117</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1679)</f>
        <v/>
      </c>
      <c r="L1679">
        <f>K1679*(MIN(Inputs!$B$22+((C1694=TRUE)*(F1694-Calc!F24)),(Inputs!$B$23+((C1699=TRUE)*(F1699-Calc!F29))+IF(ArtifactsInput!$M$15,CHOOSE(ArtifactsInput!$N$15+1,25,30,35,40,45,50)/100*(Inputs!$B$11-Inputs!$B$11),0)))/100+(Inputs!$B$23+((C1699=TRUE)*(F1699-Calc!F29))+IF(ArtifactsInput!$M$15,CHOOSE(ArtifactsInput!$N$15+1,25,30,35,40,45,50)/100*(Inputs!$B$11-Inputs!$B$11),0))/100)/2</f>
        <v/>
      </c>
      <c r="M1679">
        <f>L1679*(1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9">
        <f>L1679*(1-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IF(B1715=0,0,O1679/B1715)</f>
        <v/>
      </c>
      <c r="Q1679" t="n">
        <v>0</v>
      </c>
      <c r="R1679" t="n">
        <v>0</v>
      </c>
      <c r="S1679" t="n">
        <v>0</v>
      </c>
      <c r="T1679">
        <f>IF(C1679,(0.2*SUMPRODUCT((Skills!Z2:Z30=TRUE)*(C1672:C1700=TRUE)*S1672:S1700)*N1679)*IF(Inputs!$B$39="pvp",1,1+(Inputs!$B$20+0+Skills!P9+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1679*(1-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IF(C1679,(0.2*SUMPRODUCT((Skills!Z2:Z30=TRUE)*(C1672:C1700=TRUE)*S1672:S1700)*N1679)*IF(Inputs!$B$39="pvp",1,(1+(Inputs!$B$21+Skills!Q9+B1704+(IF(ArtifactsInput!$M$33,CHOOSE(ArtifactsInput!$N$33+1,30,36,42,48,54,60),0))+(IF(AND(ArtifactsInput!$M$35,Inputs!$B$4&lt;&gt;"Chapter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Skills!A10</f>
        <v/>
      </c>
      <c r="B1680">
        <f>Skills!B10</f>
        <v/>
      </c>
      <c r="C1680">
        <f>Inputs!$B$3&gt;=74</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t="inlineStr"/>
      <c r="K1680" t="inlineStr"/>
      <c r="L1680" t="inlineStr"/>
      <c r="M1680" t="inlineStr"/>
      <c r="N1680" t="inlineStr"/>
      <c r="O1680">
        <f>(1-Summary!$B$11)*T1680+Summary!$B$11*V1680</f>
        <v/>
      </c>
      <c r="P1680">
        <f>IF(B1715=0,0,O1680/B1715)</f>
        <v/>
      </c>
      <c r="Q1680">
        <f>IFERROR(1/IF(Inputs!$B$39="pvp",15,MAX(0.1,Skills!D10-IF(Skills!E10=TRUE,Inputs!$B$32,0))),0)</f>
        <v/>
      </c>
      <c r="R1680">
        <f>IF(AND(Inputs!$B$39&lt;&gt;"pvp",Inputs!$B$44&gt;0),IF(Inputs!$B$44&lt;=0,0,(INT(Inputs!$B$44/IF(Inputs!$B$39="pvp",15,MAX(0.1,Skills!D10-IF(Skills!E10=TRUE,Inputs!$B$32,0))))+1)),0)</f>
        <v/>
      </c>
      <c r="S1680">
        <f>IFERROR(O1680/N1680,0)</f>
        <v/>
      </c>
      <c r="T1680" t="n">
        <v>0</v>
      </c>
      <c r="V1680" t="n">
        <v>0</v>
      </c>
    </row>
    <row r="1681">
      <c r="A1681">
        <f>Skills!A11</f>
        <v/>
      </c>
      <c r="B1681">
        <f>Skills!B11</f>
        <v/>
      </c>
      <c r="C1681">
        <f>Inputs!$B$3&gt;=103</f>
        <v/>
      </c>
      <c r="D1681">
        <f>IF(Skills!C11=1,60+Inputs!$B$25+Inputs!$B$29,IF(Skills!C11=2,90+Inputs!$B$26+Inputs!$B$29,IF(Skills!C11=3,120+Inputs!$B$27+Inputs!$B$29,MAX(0,(Inputs!$B$3-100)*3)+Inputs!$B$28+Inputs!$B$29)))</f>
        <v/>
      </c>
      <c r="E1681">
        <f>INDEX(FactorTable!$B$2:$Y$301, MATCH(ROUND(MIN(300,MAX(1,D1681)),0), FactorTable!$A$2:$A$301,0), Skills!M11+1)</f>
        <v/>
      </c>
      <c r="F1681">
        <f>(Skills!L11/10)*(E1681/1000)+IF(Inputs!$B$3&gt;=134,50,0)+0.5*(30000/10)*(INDEX(FactorTable!$B$2:$Y$301, MATCH(ROUND(MIN(300,MAX(1,D1681)),0), FactorTable!$A$2:$A$301,0), 13)/1000)*B1713</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1681)</f>
        <v/>
      </c>
      <c r="L1681">
        <f>K1681*(MIN(Inputs!$B$22+((C1694=TRUE)*(F1694-Calc!F24)),(Inputs!$B$23+((C1699=TRUE)*(F1699-Calc!F29))+IF(ArtifactsInput!$M$15,CHOOSE(ArtifactsInput!$N$15+1,25,30,35,40,45,50)/100*(Inputs!$B$11-Inputs!$B$11),0)))/100+(Inputs!$B$23+((C1699=TRUE)*(F1699-Calc!F29))+IF(ArtifactsInput!$M$15,CHOOSE(ArtifactsInput!$N$15+1,25,30,35,40,45,50)/100*(Inputs!$B$11-Inputs!$B$11),0))/100)/2</f>
        <v/>
      </c>
      <c r="M1681">
        <f>L1681*(1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1">
        <f>L1681*(1-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IF(B1715=0,0,O1681/B1715)</f>
        <v/>
      </c>
      <c r="Q1681">
        <f>IFERROR(1/IF(Inputs!$B$39="pvp",15,MAX(0.1,Skills!D11-IF(Skills!E11=TRUE,Inputs!$B$32,0))),0)</f>
        <v/>
      </c>
      <c r="R1681">
        <f>IF(AND(Inputs!$B$39&lt;&gt;"pvp",Inputs!$B$44&gt;0),IF(MAX(0,Inputs!$B$44-B1714)&lt;=0,0,(INT(MAX(0,Inputs!$B$44-B1714)/IF(Inputs!$B$39="pvp",15,MAX(0.1,Skills!D11-IF(Skills!E11=TRUE,Inputs!$B$32,0))))+1)),0)</f>
        <v/>
      </c>
      <c r="S1681">
        <f>IFERROR(O1681/N1681,0)</f>
        <v/>
      </c>
      <c r="T1681">
        <f>IF(C1681,(H1681*N1681*IF(AND(Inputs!$B$39&lt;&gt;"pvp",Inputs!$B$44&gt;0),((Skills!G11*((R1681-1)*IF(Skills!H11&gt;0,Skills!I11/Skills!H11,1)+IF(Skills!H11&gt;0,MIN(Skills!I11,MAX(0,MAX(0,Inputs!$B$44-B1714)-((R1681-1)*IF(Inputs!$B$39="pvp",15,MAX(0.1,Skills!D11-IF(Skills!E11=TRUE,Inputs!$B$32,0))))))/Skills!H11,1)))/Inputs!$B$44),G1681*Q1681))*IF(Inputs!$B$39="pvp",1,1+(Inputs!$B$20+0+Skills!P11+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1681*(1-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11*((R1681-1)*IF(Skills!H11&gt;0,Skills!I11/Skills!H11,1)+IF(Skills!H11&gt;0,MIN(Skills!I11,MAX(0,MAX(0,Inputs!$B$44-B1714)-((R1681-1)*IF(Inputs!$B$39="pvp",15,MAX(0.1,Skills!D11-IF(Skills!E11=TRUE,Inputs!$B$32,0))))))/Skills!H11,1)))/Inputs!$B$44),G1681*Q1681))*IF(Inputs!$B$39="pvp",1,(1+(Inputs!$B$21+Skills!Q11+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Skills!A12</f>
        <v/>
      </c>
      <c r="B1682">
        <f>Skills!B12</f>
        <v/>
      </c>
      <c r="C1682">
        <f>Inputs!$B$3&gt;=105</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f>Skills!G12*IF(Skills!H12&gt;0,Skills!I12/Skills!H12,1)</f>
        <v/>
      </c>
      <c r="H1682">
        <f>1-(1-Skills!J12/100)^Skills!K12</f>
        <v/>
      </c>
      <c r="I1682" t="inlineStr">
        <is>
          <t>1</t>
        </is>
      </c>
      <c r="J1682">
        <f>((Inputs!$B$6*(1+Inputs!$B$7/100))+(((Inputs!$B$12*(1+Inputs!$B$13/100))-(Inputs!$B$12*(1+Inputs!$B$13/100)))+0.25*(Inputs!$B$14-Inputs!$B$14))*(1+Inputs!$B$7/100))*(F1682/100)</f>
        <v/>
      </c>
      <c r="K1682">
        <f>J1682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1682)</f>
        <v/>
      </c>
      <c r="L1682">
        <f>K1682*(MIN(Inputs!$B$22+((C1694=TRUE)*(F1694-Calc!F24)),(Inputs!$B$23+((C1699=TRUE)*(F1699-Calc!F29))+IF(ArtifactsInput!$M$15,CHOOSE(ArtifactsInput!$N$15+1,25,30,35,40,45,50)/100*(Inputs!$B$11-Inputs!$B$11),0)))/100+(Inputs!$B$23+((C1699=TRUE)*(F1699-Calc!F29))+IF(ArtifactsInput!$M$15,CHOOSE(ArtifactsInput!$N$15+1,25,30,35,40,45,50)/100*(Inputs!$B$11-Inputs!$B$11),0))/100)/2</f>
        <v/>
      </c>
      <c r="M1682">
        <f>L1682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2">
        <f>L1682*(1-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1682*(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2">
        <f>(1-Summary!$B$11)*T1682+Summary!$B$11*V1682</f>
        <v/>
      </c>
      <c r="P1682">
        <f>IF(B1715=0,0,O1682/B1715)</f>
        <v/>
      </c>
      <c r="Q1682">
        <f>IFERROR(1/IF(Inputs!$B$39="pvp",15,MAX(0.1,Skills!D12-IF(Skills!E12=TRUE,Inputs!$B$32,0))),0)</f>
        <v/>
      </c>
      <c r="R1682">
        <f>IF(AND(Inputs!$B$39&lt;&gt;"pvp",Inputs!$B$44&gt;0),IF(MAX(0,Inputs!$B$44-B1714)&lt;=0,0,(INT(MAX(0,Inputs!$B$44-B1714)/IF(Inputs!$B$39="pvp",15,MAX(0.1,Skills!D12-IF(Skills!E12=TRUE,Inputs!$B$32,0))))+1)),0)</f>
        <v/>
      </c>
      <c r="S1682">
        <f>IFERROR(O1682/N1682,0)</f>
        <v/>
      </c>
      <c r="T1682">
        <f>IF(C1682,(H1682*N1682*IF(AND(Inputs!$B$39&lt;&gt;"pvp",Inputs!$B$44&gt;0),((Skills!G12*((R1682-1)*IF(Skills!H12&gt;0,Skills!I12/Skills!H12,1)+IF(Skills!H12&gt;0,MIN(Skills!I12,MAX(0,MAX(0,Inputs!$B$44-B1714)-((R1682-1)*IF(Inputs!$B$39="pvp",15,MAX(0.1,Skills!D12-IF(Skills!E12=TRUE,Inputs!$B$32,0))))))/Skills!H12,1)))/Inputs!$B$44),G1682*Q1682))*IF(Inputs!$B$39="pvp",1,1+(Inputs!$B$20+0+Skills!P12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1682*(1-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1682*(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1682*(1-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1682*(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2">
        <f>IF(C1682,(H1682*N1682*IF(AND(Inputs!$B$39&lt;&gt;"pvp",Inputs!$B$44&gt;0),((Skills!G12*((R1682-1)*IF(Skills!H12&gt;0,Skills!I12/Skills!H12,1)+IF(Skills!H12&gt;0,MIN(Skills!I12,MAX(0,MAX(0,Inputs!$B$44-B1714)-((R1682-1)*IF(Inputs!$B$39="pvp",15,MAX(0.1,Skills!D12-IF(Skills!E12=TRUE,Inputs!$B$32,0))))))/Skills!H12,1)))/Inputs!$B$44),G1682*Q1682))*IF(Inputs!$B$39="pvp",1,(1+(Inputs!$B$21+Skills!Q12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3">
      <c r="A1683">
        <f>Skills!A13</f>
        <v/>
      </c>
      <c r="B1683">
        <f>Skills!B13</f>
        <v/>
      </c>
      <c r="C1683">
        <f>Inputs!$B$3&gt;=105</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f>((Inputs!$B$6*(1+Inputs!$B$7/100))+(((Inputs!$B$12*(1+Inputs!$B$13/100))-(Inputs!$B$12*(1+Inputs!$B$13/100)))+0.25*(Inputs!$B$14-Inputs!$B$14))*(1+Inputs!$B$7/100))*(F1683/100)</f>
        <v/>
      </c>
      <c r="K1683">
        <f>J1683*(1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1683)</f>
        <v/>
      </c>
      <c r="L1683">
        <f>K1683*(MIN(Inputs!$B$22+((C1694=TRUE)*(F1694-Calc!F24)),(Inputs!$B$23+((C1699=TRUE)*(F1699-Calc!F29))+IF(ArtifactsInput!$M$15,CHOOSE(ArtifactsInput!$N$15+1,25,30,35,40,45,50)/100*(Inputs!$B$11-Inputs!$B$11),0)))/100+(Inputs!$B$23+((C1699=TRUE)*(F1699-Calc!F29))+IF(ArtifactsInput!$M$15,CHOOSE(ArtifactsInput!$N$15+1,25,30,35,40,45,50)/100*(Inputs!$B$11-Inputs!$B$11),0))/100)/2</f>
        <v/>
      </c>
      <c r="M1683">
        <f>L1683*(1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3">
        <f>L1683*(1-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1683*(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3">
        <f>(1-Summary!$B$11)*T1683+Summary!$B$11*V1683</f>
        <v/>
      </c>
      <c r="P1683">
        <f>IF(B1715=0,0,O1683/B1715)</f>
        <v/>
      </c>
      <c r="Q1683">
        <f>IFERROR(1/IF(Inputs!$B$39="pvp",15,MAX(0.1,Skills!D13-IF(Skills!E13=TRUE,Inputs!$B$32,0))),0)</f>
        <v/>
      </c>
      <c r="R1683">
        <f>IF(AND(Inputs!$B$39&lt;&gt;"pvp",Inputs!$B$44&gt;0),IF(MAX(0,Inputs!$B$44-B1714)&lt;=0,0,(INT(MAX(0,Inputs!$B$44-B1714)/IF(Inputs!$B$39="pvp",15,MAX(0.1,Skills!D13-IF(Skills!E13=TRUE,Inputs!$B$32,0))))+1)),0)</f>
        <v/>
      </c>
      <c r="S1683">
        <f>IFERROR(O1683/N1683,0)</f>
        <v/>
      </c>
      <c r="T1683">
        <f>IF(C1683,(H1683*N1683*IF(AND(Inputs!$B$39&lt;&gt;"pvp",Inputs!$B$44&gt;0),((Skills!G13*((R1683-1)*IF(Skills!H13&gt;0,Skills!I13/Skills!H13,1)+IF(Skills!H13&gt;0,MIN(Skills!I13,MAX(0,MAX(0,Inputs!$B$44-B1714)-((R1683-1)*IF(Inputs!$B$39="pvp",15,MAX(0.1,Skills!D13-IF(Skills!E13=TRUE,Inputs!$B$32,0))))))/Skills!H13,1)))/Inputs!$B$44),G1683*Q1683))*IF(Inputs!$B$39="pvp",1,1+(Inputs!$B$20+0+Skills!P13+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1683*(1-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1683*(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1683*(1-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1683*(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3">
        <f>IF(C1683,(H1683*N1683*IF(AND(Inputs!$B$39&lt;&gt;"pvp",Inputs!$B$44&gt;0),((Skills!G13*((R1683-1)*IF(Skills!H13&gt;0,Skills!I13/Skills!H13,1)+IF(Skills!H13&gt;0,MIN(Skills!I13,MAX(0,MAX(0,Inputs!$B$44-B1714)-((R1683-1)*IF(Inputs!$B$39="pvp",15,MAX(0.1,Skills!D13-IF(Skills!E13=TRUE,Inputs!$B$32,0))))))/Skills!H13,1)))/Inputs!$B$44),G1683*Q1683))*IF(Inputs!$B$39="pvp",1,(1+(Inputs!$B$21+Skills!Q13+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f>((Inputs!$B$6*(1+Inputs!$B$7/100))+(((Inputs!$B$12*(1+Inputs!$B$13/100))-(Inputs!$B$12*(1+Inputs!$B$13/100)))+0.25*(Inputs!$B$14-Inputs!$B$14))*(1+Inputs!$B$7/100))*(F1684/100)</f>
        <v/>
      </c>
      <c r="K1684">
        <f>J1684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1684)</f>
        <v/>
      </c>
      <c r="L1684">
        <f>K1684*(MIN(Inputs!$B$22+((C1694=TRUE)*(F1694-Calc!F24)),(Inputs!$B$23+((C1699=TRUE)*(F1699-Calc!F29))+IF(ArtifactsInput!$M$15,CHOOSE(ArtifactsInput!$N$15+1,25,30,35,40,45,50)/100*(Inputs!$B$11-Inputs!$B$11),0)))/100+(Inputs!$B$23+((C1699=TRUE)*(F1699-Calc!F29))+IF(ArtifactsInput!$M$15,CHOOSE(ArtifactsInput!$N$15+1,25,30,35,40,45,50)/100*(Inputs!$B$11-Inputs!$B$11),0))/100)/2</f>
        <v/>
      </c>
      <c r="M1684">
        <f>L1684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4">
        <f>L1684*(1-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1684*(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4">
        <f>(1-Summary!$B$11)*T1684+Summary!$B$11*V1684</f>
        <v/>
      </c>
      <c r="P1684">
        <f>IF(B1715=0,0,O1684/B1715)</f>
        <v/>
      </c>
      <c r="Q1684">
        <f>IFERROR(1/IF(Inputs!$B$39="pvp",15,MAX(0.1,Skills!D14-IF(Skills!E14=TRUE,Inputs!$B$32,0))),0)</f>
        <v/>
      </c>
      <c r="R1684">
        <f>IF(AND(Inputs!$B$39&lt;&gt;"pvp",Inputs!$B$44&gt;0),IF(MAX(0,Inputs!$B$44-B1714)&lt;=0,0,(INT(MAX(0,Inputs!$B$44-B1714)/IF(Inputs!$B$39="pvp",15,MAX(0.1,Skills!D14-IF(Skills!E14=TRUE,Inputs!$B$32,0))))+1)),0)</f>
        <v/>
      </c>
      <c r="S1684">
        <f>IFERROR(O1684/N1684,0)</f>
        <v/>
      </c>
      <c r="T1684">
        <f>IF(C1684,(H1684*N1684*IF(AND(Inputs!$B$39&lt;&gt;"pvp",Inputs!$B$44&gt;0),((Skills!G14*((R1684-1)*IF(Skills!H14&gt;0,Skills!I14/Skills!H14,1)+IF(Skills!H14&gt;0,MIN(Skills!I14,MAX(0,MAX(0,Inputs!$B$44-B1714)-((R1684-1)*IF(Inputs!$B$39="pvp",15,MAX(0.1,Skills!D14-IF(Skills!E14=TRUE,Inputs!$B$32,0))))))/Skills!H14,1)))/Inputs!$B$44),G1684*Q1684))*IF(Inputs!$B$39="pvp",1,1+(Inputs!$B$20+0+Skills!P14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1684*(1-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1684*(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1684*(1-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1684*(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4">
        <f>IF(C1684,(H1684*N1684*IF(AND(Inputs!$B$39&lt;&gt;"pvp",Inputs!$B$44&gt;0),((Skills!G14*((R1684-1)*IF(Skills!H14&gt;0,Skills!I14/Skills!H14,1)+IF(Skills!H14&gt;0,MIN(Skills!I14,MAX(0,MAX(0,Inputs!$B$44-B1714)-((R1684-1)*IF(Inputs!$B$39="pvp",15,MAX(0.1,Skills!D14-IF(Skills!E14=TRUE,Inputs!$B$32,0))))))/Skills!H14,1)))/Inputs!$B$44),G1684*Q1684))*IF(Inputs!$B$39="pvp",1,(1+(Inputs!$B$21+Skills!Q14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(5,0.25*B1707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5">
      <c r="A1685">
        <f>Skills!A15</f>
        <v/>
      </c>
      <c r="B1685">
        <f>Skills!B15</f>
        <v/>
      </c>
      <c r="C1685">
        <f>Inputs!$B$3&gt;=110</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IF(B1715=0,0,O1685/B1715)</f>
        <v/>
      </c>
      <c r="Q1685">
        <f>IFERROR(1/IF(Inputs!$B$39="pvp",15,MAX(0.1,Skills!D15-IF(Skills!E15=TRUE,Inputs!$B$32,0))),0)</f>
        <v/>
      </c>
      <c r="R1685">
        <f>IF(AND(Inputs!$B$39&lt;&gt;"pvp",Inputs!$B$44&gt;0),IF(Inputs!$B$44&lt;=0,0,(INT(Inputs!$B$44/IF(Inputs!$B$39="pvp",15,MAX(0.1,Skills!D15-IF(Skills!E15=TRUE,Inputs!$B$32,0))))+1)),0)</f>
        <v/>
      </c>
      <c r="S1685">
        <f>IFERROR(O1685/N1685,0)</f>
        <v/>
      </c>
      <c r="T1685" t="n">
        <v>0</v>
      </c>
      <c r="V1685" t="n">
        <v>0</v>
      </c>
    </row>
    <row r="1686">
      <c r="A1686">
        <f>Skills!A16</f>
        <v/>
      </c>
      <c r="B1686">
        <f>Skills!B16</f>
        <v/>
      </c>
      <c r="C1686">
        <f>Inputs!$B$3&gt;=115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f>((Inputs!$B$6*(1+Inputs!$B$7/100))+(((Inputs!$B$12*(1+Inputs!$B$13/100))-(Inputs!$B$12*(1+Inputs!$B$13/100)))+0.25*(Inputs!$B$14-Inputs!$B$14))*(1+Inputs!$B$7/100))*(F1686/100)</f>
        <v/>
      </c>
      <c r="K1686">
        <f>J1686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1697=TRUE)*(F1697-Calc!F27))+((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1686)</f>
        <v/>
      </c>
      <c r="L1686">
        <f>K1686*(MIN(Inputs!$B$22+((C1694=TRUE)*(F1694-Calc!F24)),(Inputs!$B$23+((C1699=TRUE)*(F1699-Calc!F29))+IF(ArtifactsInput!$M$15,CHOOSE(ArtifactsInput!$N$15+1,25,30,35,40,45,50)/100*(Inputs!$B$11-Inputs!$B$11),0)))/100+(Inputs!$B$23+((C1699=TRUE)*(F1699-Calc!F29))+IF(ArtifactsInput!$M$15,CHOOSE(ArtifactsInput!$N$15+1,25,30,35,40,45,50)/100*(Inputs!$B$11-Inputs!$B$11),0))/100)/2</f>
        <v/>
      </c>
      <c r="M1686">
        <f>L1686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6">
        <f>L1686*(1-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1686*(MIN((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6">
        <f>(1-Summary!$B$11)*T1686+Summary!$B$11*V1686</f>
        <v/>
      </c>
      <c r="P1686">
        <f>IF(B1715=0,0,O1686/B1715)</f>
        <v/>
      </c>
      <c r="Q1686" t="n">
        <v>0</v>
      </c>
      <c r="R1686" t="n">
        <v>0</v>
      </c>
      <c r="S1686">
        <f>IFERROR(O1686/N1686,0)</f>
        <v/>
      </c>
      <c r="T1686">
        <f>IF(C1686,(Inputs!$B$38*0.2*N1686)*IF(Inputs!$B$39="pvp",1,1+(Inputs!$B$20+0+Skills!P16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1686*(1-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1686*(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1686*(1-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1686*(MIN(100,(Inputs!$B$9+((C1695=TRUE)*(F1695-Calc!F25))+B1703+(ArtifactsInput!$M$24-ArtifactsInput!$M$24)*CHOOSE(ArtifactsInput!$N$24+1,10,12,14,16,18,20)+(IF(AND(Inputs!$B$39&lt;&gt;"pvp",Inputs!$B$44=0),1,IF(IF(Inputs!$B$39="pvp",15,Inputs!$B$44)-(B1714)&lt;=0,1,MAX(0,IF(Inputs!$B$39="pvp",15,Inputs!$B$44)-MAX(5,B1714))/(IF(Inputs!$B$39="pvp",15,Inputs!$B$44)-(B1714))))*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6">
        <f>IF(C1686,(Inputs!$B$38*0.2*N1686)*IF(Inputs!$B$39="pvp",1,(1+(Inputs!$B$21+Skills!Q16+B1704+(IF(ArtifactsInput!$M$33,CHOOSE(ArtifactsInput!$N$33+1,30,36,42,48,54,60),0))+(IF(AND(ArtifactsInput!$M$35,Inputs!$B$4&lt;&gt;"Chapter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7">
      <c r="A1687">
        <f>Skills!A17</f>
        <v/>
      </c>
      <c r="B1687">
        <f>Skills!B17</f>
        <v/>
      </c>
      <c r="C1687">
        <f>Inputs!$B$3&gt;=115</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IF(B1715=0,0,O1687/B1715)</f>
        <v/>
      </c>
      <c r="Q1687" t="n">
        <v>0</v>
      </c>
      <c r="R1687" t="n">
        <v>0</v>
      </c>
      <c r="S1687">
        <f>IFERROR(O1687/N1687,0)</f>
        <v/>
      </c>
      <c r="T1687" t="n">
        <v>0</v>
      </c>
      <c r="V1687" t="n">
        <v>0</v>
      </c>
    </row>
    <row r="1688">
      <c r="A1688">
        <f>Skills!A18</f>
        <v/>
      </c>
      <c r="B1688">
        <f>Skills!B18</f>
        <v/>
      </c>
      <c r="C1688">
        <f>Inputs!$B$3&gt;=100</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IF(B1715=0,0,O1688/B1715)</f>
        <v/>
      </c>
      <c r="Q1688" t="n">
        <v>0</v>
      </c>
      <c r="R1688" t="n">
        <v>0</v>
      </c>
      <c r="S1688">
        <f>IFERROR(O1688/N1688,0)</f>
        <v/>
      </c>
      <c r="T1688" t="n">
        <v>0</v>
      </c>
      <c r="V1688" t="n">
        <v>0</v>
      </c>
    </row>
    <row r="1689">
      <c r="A1689">
        <f>Skills!A19</f>
        <v/>
      </c>
      <c r="B1689">
        <f>Skills!B19</f>
        <v/>
      </c>
      <c r="C1689">
        <f>TRUE</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IF(B1715=0,0,O1689/B1715)</f>
        <v/>
      </c>
      <c r="Q1689">
        <f>IFERROR(1/IF(Inputs!$B$39="pvp",15,MAX(0.1,Skills!D19-IF(Skills!E19=TRUE,Inputs!$B$32,0))),0)</f>
        <v/>
      </c>
      <c r="R1689">
        <f>IF(AND(Inputs!$B$39&lt;&gt;"pvp",Inputs!$B$44&gt;0),IF(Inputs!$B$44&lt;=0,0,(INT(Inputs!$B$44/IF(Inputs!$B$39="pvp",15,MAX(0.1,Skills!D19-IF(Skills!E19=TRUE,Inputs!$B$32,0))))+1)),0)</f>
        <v/>
      </c>
      <c r="S1689">
        <f>IFERROR(O1689/N1689,0)</f>
        <v/>
      </c>
      <c r="T1689" t="n">
        <v>0</v>
      </c>
      <c r="V1689" t="n">
        <v>0</v>
      </c>
    </row>
    <row r="1690">
      <c r="A1690">
        <f>Skills!A20</f>
        <v/>
      </c>
      <c r="B1690">
        <f>Skills!B20</f>
        <v/>
      </c>
      <c r="C1690">
        <f>Inputs!$B$3&gt;=15</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IF(B1715=0,0,O1690/B1715)</f>
        <v/>
      </c>
      <c r="Q1690">
        <f>IFERROR(1/IF(Inputs!$B$39="pvp",15,MAX(0.1,Skills!D20-IF(Skills!E20=TRUE,Inputs!$B$32,0))),0)</f>
        <v/>
      </c>
      <c r="R1690">
        <f>IF(AND(Inputs!$B$39&lt;&gt;"pvp",Inputs!$B$44&gt;0),IF(Inputs!$B$44&lt;=0,0,(INT(Inputs!$B$44/IF(Inputs!$B$39="pvp",15,MAX(0.1,Skills!D20-IF(Skills!E20=TRUE,Inputs!$B$32,0))))+1)),0)</f>
        <v/>
      </c>
      <c r="S1690">
        <f>IFERROR(O1690/N1690,0)</f>
        <v/>
      </c>
      <c r="T1690" t="n">
        <v>0</v>
      </c>
      <c r="V1690" t="n">
        <v>0</v>
      </c>
    </row>
    <row r="1691">
      <c r="A1691">
        <f>Skills!A21</f>
        <v/>
      </c>
      <c r="B1691">
        <f>Skills!B21</f>
        <v/>
      </c>
      <c r="C1691">
        <f>Inputs!$B$3&gt;=15</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IF(B1715=0,0,O1691/B1715)</f>
        <v/>
      </c>
      <c r="Q1691">
        <f>IFERROR(1/IF(Inputs!$B$39="pvp",15,MAX(0.1,Skills!D21-IF(Skills!E21=TRUE,Inputs!$B$32,0))),0)</f>
        <v/>
      </c>
      <c r="R1691">
        <f>IF(AND(Inputs!$B$39&lt;&gt;"pvp",Inputs!$B$44&gt;0),IF(Inputs!$B$44&lt;=0,0,(INT(Inputs!$B$44/IF(Inputs!$B$39="pvp",15,MAX(0.1,Skills!D21-IF(Skills!E21=TRUE,Inputs!$B$32,0))))+1)),0)</f>
        <v/>
      </c>
      <c r="S1691">
        <f>IFERROR(O1691/N1691,0)</f>
        <v/>
      </c>
      <c r="T1691" t="n">
        <v>0</v>
      </c>
      <c r="V1691" t="n">
        <v>0</v>
      </c>
    </row>
    <row r="1692">
      <c r="A1692">
        <f>Skills!A22</f>
        <v/>
      </c>
      <c r="B1692">
        <f>Skills!B22</f>
        <v/>
      </c>
      <c r="C1692">
        <f>Inputs!$B$3&gt;=33</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IF(B1715=0,0,O1692/B1715)</f>
        <v/>
      </c>
      <c r="Q1692" t="n">
        <v>0</v>
      </c>
      <c r="R1692" t="n">
        <v>0</v>
      </c>
      <c r="S1692">
        <f>IFERROR(O1692/N1692,0)</f>
        <v/>
      </c>
      <c r="T1692" t="n">
        <v>0</v>
      </c>
      <c r="V1692" t="n">
        <v>0</v>
      </c>
    </row>
    <row r="1693">
      <c r="A1693">
        <f>Skills!A23</f>
        <v/>
      </c>
      <c r="B1693">
        <f>Skills!B23</f>
        <v/>
      </c>
      <c r="C1693">
        <f>Inputs!$B$3&gt;=40</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IF(B1715=0,0,O1693/B1715)</f>
        <v/>
      </c>
      <c r="Q1693" t="n">
        <v>0</v>
      </c>
      <c r="R1693" t="n">
        <v>0</v>
      </c>
      <c r="S1693">
        <f>IFERROR(O1693/N1693,0)</f>
        <v/>
      </c>
      <c r="T1693" t="n">
        <v>0</v>
      </c>
      <c r="V1693" t="n">
        <v>0</v>
      </c>
    </row>
    <row r="1694">
      <c r="A1694">
        <f>Skills!A24</f>
        <v/>
      </c>
      <c r="B1694">
        <f>Skills!B24</f>
        <v/>
      </c>
      <c r="C1694">
        <f>Inputs!$B$3&gt;=43</f>
        <v/>
      </c>
      <c r="D1694">
        <f>IF(Skills!C24=1,60+Inputs!$B$25+Inputs!$B$29,IF(Skills!C24=2,90+Inputs!$B$26+Inputs!$B$29,IF(Skills!C24=3,120+Inputs!$B$27+Inputs!$B$29,MAX(0,(Inputs!$B$3-100)*3)+Inputs!$B$28+Inputs!$B$29)))</f>
        <v/>
      </c>
      <c r="E1694">
        <f>INDEX(FactorTable!$B$2:$Y$301, MATCH(ROUND(MIN(300,MAX(1,D1694)),0), FactorTable!$A$2:$A$301,0), Skills!M24+1)</f>
        <v/>
      </c>
      <c r="F1694">
        <f>IF(Skills!N24=TRUE,(Skills!L24/10)*(E1694/1000),Skills!L24/10)+Skills!O24</f>
        <v/>
      </c>
      <c r="G1694">
        <f>Skills!G24*IF(Skills!H24&gt;0,Skills!I24/Skills!H24,1)</f>
        <v/>
      </c>
      <c r="H1694">
        <f>1-(1-Skills!J24/100)^Skills!K24</f>
        <v/>
      </c>
      <c r="I1694" t="inlineStr">
        <is>
          <t>1</t>
        </is>
      </c>
      <c r="J1694" t="inlineStr"/>
      <c r="K1694" t="inlineStr"/>
      <c r="L1694" t="inlineStr"/>
      <c r="M1694" t="inlineStr"/>
      <c r="N1694" t="inlineStr"/>
      <c r="O1694">
        <f>(1-Summary!$B$11)*T1694+Summary!$B$11*V1694</f>
        <v/>
      </c>
      <c r="P1694">
        <f>IF(B1715=0,0,O1694/B1715)</f>
        <v/>
      </c>
      <c r="Q1694" t="n">
        <v>0</v>
      </c>
      <c r="R1694" t="n">
        <v>0</v>
      </c>
      <c r="S1694">
        <f>IFERROR(O1694/N1694,0)</f>
        <v/>
      </c>
      <c r="T1694" t="n">
        <v>0</v>
      </c>
      <c r="V1694" t="n">
        <v>0</v>
      </c>
    </row>
    <row r="1695">
      <c r="A1695">
        <f>Skills!A25</f>
        <v/>
      </c>
      <c r="B1695">
        <f>Skills!B25</f>
        <v/>
      </c>
      <c r="C1695">
        <f>Inputs!$B$3&gt;=50</f>
        <v/>
      </c>
      <c r="D1695">
        <f>IF(Skills!C25=1,60+Inputs!$B$25+Inputs!$B$29,IF(Skills!C25=2,90+Inputs!$B$26+Inputs!$B$29,IF(Skills!C25=3,120+Inputs!$B$27+Inputs!$B$29,MAX(0,(Inputs!$B$3-100)*3)+Inputs!$B$28+Inputs!$B$29)))</f>
        <v/>
      </c>
      <c r="E1695">
        <f>INDEX(FactorTable!$B$2:$Y$301, MATCH(ROUND(MIN(300,MAX(1,D1695)),0), FactorTable!$A$2:$A$301,0), Skills!M25+1)</f>
        <v/>
      </c>
      <c r="F1695">
        <f>IF(Skills!N25=TRUE,(Skills!L25/10)*(E1695/1000),Skills!L25/10)+Skills!O25</f>
        <v/>
      </c>
      <c r="G1695">
        <f>Skills!G25*IF(Skills!H25&gt;0,Skills!I25/Skills!H25,1)</f>
        <v/>
      </c>
      <c r="H1695">
        <f>1-(1-Skills!J25/100)^Skills!K25</f>
        <v/>
      </c>
      <c r="I1695" t="inlineStr">
        <is>
          <t>1</t>
        </is>
      </c>
      <c r="J1695" t="inlineStr"/>
      <c r="K1695" t="inlineStr"/>
      <c r="L1695" t="inlineStr"/>
      <c r="M1695" t="inlineStr"/>
      <c r="N1695" t="inlineStr"/>
      <c r="O1695">
        <f>(1-Summary!$B$11)*T1695+Summary!$B$11*V1695</f>
        <v/>
      </c>
      <c r="P1695">
        <f>IF(B1715=0,0,O1695/B1715)</f>
        <v/>
      </c>
      <c r="Q1695" t="n">
        <v>0</v>
      </c>
      <c r="R1695" t="n">
        <v>0</v>
      </c>
      <c r="S1695">
        <f>IFERROR(O1695/N1695,0)</f>
        <v/>
      </c>
      <c r="T1695" t="n">
        <v>0</v>
      </c>
      <c r="V1695" t="n">
        <v>0</v>
      </c>
    </row>
    <row r="1696">
      <c r="A1696">
        <f>Skills!A26</f>
        <v/>
      </c>
      <c r="B1696">
        <f>Skills!B26</f>
        <v/>
      </c>
      <c r="C1696">
        <f>Inputs!$B$3&gt;=50</f>
        <v/>
      </c>
      <c r="D1696">
        <f>IF(Skills!C26=1,60+Inputs!$B$25+Inputs!$B$29,IF(Skills!C26=2,90+Inputs!$B$26+Inputs!$B$29,IF(Skills!C26=3,120+Inputs!$B$27+Inputs!$B$29,MAX(0,(Inputs!$B$3-100)*3)+Inputs!$B$28+Inputs!$B$29)))</f>
        <v/>
      </c>
      <c r="E1696">
        <f>INDEX(FactorTable!$B$2:$Y$301, MATCH(ROUND(MIN(300,MAX(1,D1696)),0), FactorTable!$A$2:$A$301,0), Skills!M26+1)</f>
        <v/>
      </c>
      <c r="F1696">
        <f>IF(Skills!N26=TRUE,(Skills!L26/10)*(E1696/1000),Skills!L26/10)+Skills!O26</f>
        <v/>
      </c>
      <c r="G1696">
        <f>Skills!G26*IF(Skills!H26&gt;0,Skills!I26/Skills!H26,1)</f>
        <v/>
      </c>
      <c r="H1696">
        <f>1-(1-Skills!J26/100)^Skills!K26</f>
        <v/>
      </c>
      <c r="I1696" t="inlineStr">
        <is>
          <t>1</t>
        </is>
      </c>
      <c r="J1696" t="inlineStr"/>
      <c r="K1696" t="inlineStr"/>
      <c r="L1696" t="inlineStr"/>
      <c r="M1696" t="inlineStr"/>
      <c r="N1696" t="inlineStr"/>
      <c r="O1696">
        <f>(1-Summary!$B$11)*T1696+Summary!$B$11*V1696</f>
        <v/>
      </c>
      <c r="P1696">
        <f>IF(B1715=0,0,O1696/B1715)</f>
        <v/>
      </c>
      <c r="Q1696" t="n">
        <v>0</v>
      </c>
      <c r="R1696" t="n">
        <v>0</v>
      </c>
      <c r="S1696">
        <f>IFERROR(O1696/N1696,0)</f>
        <v/>
      </c>
      <c r="T1696" t="n">
        <v>0</v>
      </c>
      <c r="V1696" t="n">
        <v>0</v>
      </c>
    </row>
    <row r="1697">
      <c r="A1697">
        <f>Skills!A27</f>
        <v/>
      </c>
      <c r="B1697">
        <f>Skills!B27</f>
        <v/>
      </c>
      <c r="C1697">
        <f>Inputs!$B$3&gt;=38</f>
        <v/>
      </c>
      <c r="D1697">
        <f>IF(Skills!C27=1,60+Inputs!$B$25+Inputs!$B$29,IF(Skills!C27=2,90+Inputs!$B$26+Inputs!$B$29,IF(Skills!C27=3,120+Inputs!$B$27+Inputs!$B$29,MAX(0,(Inputs!$B$3-100)*3)+Inputs!$B$28+Inputs!$B$29)))</f>
        <v/>
      </c>
      <c r="E1697">
        <f>INDEX(FactorTable!$B$2:$Y$301, MATCH(ROUND(MIN(300,MAX(1,D1697)),0), FactorTable!$A$2:$A$301,0), Skills!M27+1)</f>
        <v/>
      </c>
      <c r="F1697">
        <f>IF(Skills!N27=TRUE,(Skills!L27/10)*(E1697/1000),Skills!L27/10)+Skills!O27</f>
        <v/>
      </c>
      <c r="G1697">
        <f>Skills!G27*IF(Skills!H27&gt;0,Skills!I27/Skills!H27,1)</f>
        <v/>
      </c>
      <c r="H1697">
        <f>1-(1-Skills!J27/100)^Skills!K27</f>
        <v/>
      </c>
      <c r="I1697" t="inlineStr">
        <is>
          <t>1</t>
        </is>
      </c>
      <c r="J1697" t="inlineStr"/>
      <c r="K1697" t="inlineStr"/>
      <c r="L1697" t="inlineStr"/>
      <c r="M1697" t="inlineStr"/>
      <c r="N1697" t="inlineStr"/>
      <c r="O1697">
        <f>(1-Summary!$B$11)*T1697+Summary!$B$11*V1697</f>
        <v/>
      </c>
      <c r="P1697">
        <f>IF(B1715=0,0,O1697/B1715)</f>
        <v/>
      </c>
      <c r="Q1697" t="n">
        <v>0</v>
      </c>
      <c r="R1697" t="n">
        <v>0</v>
      </c>
      <c r="S1697">
        <f>IFERROR(O1697/N1697,0)</f>
        <v/>
      </c>
      <c r="T1697" t="n">
        <v>0</v>
      </c>
      <c r="V1697" t="n">
        <v>0</v>
      </c>
    </row>
    <row r="1698">
      <c r="A1698">
        <f>Skills!A28</f>
        <v/>
      </c>
      <c r="B1698">
        <f>Skills!B28</f>
        <v/>
      </c>
      <c r="C1698">
        <f>Inputs!$B$3&gt;=120</f>
        <v/>
      </c>
      <c r="D1698">
        <f>IF(Skills!C28=1,60+Inputs!$B$25+Inputs!$B$29,IF(Skills!C28=2,90+Inputs!$B$26+Inputs!$B$29,IF(Skills!C28=3,120+Inputs!$B$27+Inputs!$B$29,MAX(0,(Inputs!$B$3-100)*3)+Inputs!$B$28+Inputs!$B$29)))</f>
        <v/>
      </c>
      <c r="E1698">
        <f>INDEX(FactorTable!$B$2:$Y$301, MATCH(ROUND(MIN(300,MAX(1,D1698)),0), FactorTable!$A$2:$A$301,0), Skills!M28+1)</f>
        <v/>
      </c>
      <c r="F1698">
        <f>IF(Skills!N28=TRUE,(Skills!L28/10)*(E1698/1000),Skills!L28/10)+Skills!O28</f>
        <v/>
      </c>
      <c r="G1698">
        <f>Skills!G28*IF(Skills!H28&gt;0,Skills!I28/Skills!H28,1)</f>
        <v/>
      </c>
      <c r="H1698">
        <f>1-(1-Skills!J28/100)^Skills!K28</f>
        <v/>
      </c>
      <c r="I1698" t="inlineStr">
        <is>
          <t>1</t>
        </is>
      </c>
      <c r="J1698" t="inlineStr"/>
      <c r="K1698" t="inlineStr"/>
      <c r="L1698" t="inlineStr"/>
      <c r="M1698" t="inlineStr"/>
      <c r="N1698" t="inlineStr"/>
      <c r="O1698">
        <f>(1-Summary!$B$11)*T1698+Summary!$B$11*V1698</f>
        <v/>
      </c>
      <c r="P1698">
        <f>IF(B1715=0,0,O1698/B1715)</f>
        <v/>
      </c>
      <c r="Q1698" t="n">
        <v>0</v>
      </c>
      <c r="R1698" t="n">
        <v>0</v>
      </c>
      <c r="S1698">
        <f>IFERROR(O1698/N1698,0)</f>
        <v/>
      </c>
      <c r="T1698" t="n">
        <v>0</v>
      </c>
      <c r="V1698" t="n">
        <v>0</v>
      </c>
    </row>
    <row r="1699">
      <c r="A1699">
        <f>Skills!A29</f>
        <v/>
      </c>
      <c r="B1699">
        <f>Skills!B29</f>
        <v/>
      </c>
      <c r="C1699">
        <f>Inputs!$B$3&gt;=120</f>
        <v/>
      </c>
      <c r="D1699">
        <f>IF(Skills!C29=1,60+Inputs!$B$25+Inputs!$B$29,IF(Skills!C29=2,90+Inputs!$B$26+Inputs!$B$29,IF(Skills!C29=3,120+Inputs!$B$27+Inputs!$B$29,MAX(0,(Inputs!$B$3-100)*3)+Inputs!$B$28+Inputs!$B$29)))</f>
        <v/>
      </c>
      <c r="E1699">
        <f>INDEX(FactorTable!$B$2:$Y$301, MATCH(ROUND(MIN(300,MAX(1,D1699)),0), FactorTable!$A$2:$A$301,0), Skills!M29+1)</f>
        <v/>
      </c>
      <c r="F1699">
        <f>IF(Skills!N29=TRUE,(Skills!L29/10)*(E1699/1000),Skills!L29/10)+Skills!O29</f>
        <v/>
      </c>
      <c r="G1699">
        <f>Skills!G29*IF(Skills!H29&gt;0,Skills!I29/Skills!H29,1)</f>
        <v/>
      </c>
      <c r="H1699">
        <f>1-(1-Skills!J29/100)^Skills!K29</f>
        <v/>
      </c>
      <c r="I1699" t="inlineStr">
        <is>
          <t>1</t>
        </is>
      </c>
      <c r="J1699" t="inlineStr"/>
      <c r="K1699" t="inlineStr"/>
      <c r="L1699" t="inlineStr"/>
      <c r="M1699" t="inlineStr"/>
      <c r="N1699" t="inlineStr"/>
      <c r="O1699">
        <f>(1-Summary!$B$11)*T1699+Summary!$B$11*V1699</f>
        <v/>
      </c>
      <c r="P1699">
        <f>IF(B1715=0,0,O1699/B1715)</f>
        <v/>
      </c>
      <c r="Q1699" t="n">
        <v>0</v>
      </c>
      <c r="R1699" t="n">
        <v>0</v>
      </c>
      <c r="S1699">
        <f>IFERROR(O1699/N1699,0)</f>
        <v/>
      </c>
      <c r="T1699" t="n">
        <v>0</v>
      </c>
      <c r="V1699" t="n">
        <v>0</v>
      </c>
    </row>
    <row r="1700">
      <c r="A1700">
        <f>Skills!A30</f>
        <v/>
      </c>
      <c r="B1700">
        <f>Skills!B30</f>
        <v/>
      </c>
      <c r="C1700">
        <f>Inputs!$B$3&gt;=125</f>
        <v/>
      </c>
      <c r="D1700">
        <f>IF(Skills!C30=1,60+Inputs!$B$25+Inputs!$B$29,IF(Skills!C30=2,90+Inputs!$B$26+Inputs!$B$29,IF(Skills!C30=3,120+Inputs!$B$27+Inputs!$B$29,MAX(0,(Inputs!$B$3-100)*3)+Inputs!$B$28+Inputs!$B$29)))</f>
        <v/>
      </c>
      <c r="E1700">
        <f>INDEX(FactorTable!$B$2:$Y$301, MATCH(ROUND(MIN(300,MAX(1,D1700)),0), FactorTable!$A$2:$A$301,0), Skills!M30+1)</f>
        <v/>
      </c>
      <c r="F1700">
        <f>IF(Skills!N30=TRUE,(Skills!L30/10)*(E1700/1000),Skills!L30/10)+Skills!O30</f>
        <v/>
      </c>
      <c r="G1700">
        <f>Skills!G30*IF(Skills!H30&gt;0,Skills!I30/Skills!H30,1)</f>
        <v/>
      </c>
      <c r="H1700">
        <f>1-(1-Skills!J30/100)^Skills!K30</f>
        <v/>
      </c>
      <c r="I1700" t="inlineStr">
        <is>
          <t>1</t>
        </is>
      </c>
      <c r="J1700" t="inlineStr"/>
      <c r="K1700" t="inlineStr"/>
      <c r="L1700" t="inlineStr"/>
      <c r="M1700" t="inlineStr"/>
      <c r="N1700" t="inlineStr"/>
      <c r="O1700">
        <f>(1-Summary!$B$11)*T1700+Summary!$B$11*V1700</f>
        <v/>
      </c>
      <c r="P1700">
        <f>IF(B1715=0,0,O1700/B1715)</f>
        <v/>
      </c>
      <c r="Q1700" t="n">
        <v>0</v>
      </c>
      <c r="R1700" t="n">
        <v>0</v>
      </c>
      <c r="S1700">
        <f>IFERROR(O1700/N1700,0)</f>
        <v/>
      </c>
      <c r="T1700" t="n">
        <v>0</v>
      </c>
      <c r="V1700" t="n">
        <v>0</v>
      </c>
    </row>
    <row r="1702">
      <c r="A1702" t="inlineStr">
        <is>
          <t>Average Buff Multiplier</t>
        </is>
      </c>
      <c r="B1702">
        <f>(1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f>
        <v/>
      </c>
    </row>
    <row r="1703">
      <c r="A1703" t="inlineStr">
        <is>
          <t>Global Crit Rate Bonus %</t>
        </is>
      </c>
      <c r="B1703">
        <f>((C1690=TRUE)*F1690*IF(AND(Inputs!$B$39&lt;&gt;"pvp",Inputs!$B$44&gt;0),(((R1690-1)*(Skills!Y20*(1+Inputs!$B$34/100))+MIN((Skills!Y20*(1+Inputs!$B$34/100)),MAX(0,Inputs!$B$44-((R1690-1)*Skills!D20))))/Inputs!$B$44),IF(Inputs!$B$39="pvp",MIN((Skills!Y20*(1+Inputs!$B$34/100)),15)/15,(Skills!Y20*(1+Inputs!$B$34/100))/Skills!D20)))</f>
        <v/>
      </c>
    </row>
    <row r="1704">
      <c r="A1704" t="inlineStr">
        <is>
          <t>Global Monster Damage-Taken Bonus %</t>
        </is>
      </c>
      <c r="B1704">
        <f>IF(Inputs!$B$3&gt;=82,15,0)</f>
        <v/>
      </c>
    </row>
    <row r="1705">
      <c r="A1705" t="inlineStr">
        <is>
          <t>Shadow Partner Average Multiplier</t>
        </is>
      </c>
      <c r="B1705">
        <f>1+((C1677=TRUE)*F1677*(1+3.3333333333333335*IF(C1688=TRUE,F1688,0)/100)*I1677*Skills!J7/100)/100</f>
        <v/>
      </c>
    </row>
    <row r="1706">
      <c r="A1706" t="inlineStr">
        <is>
          <t>Attack Speed Buff Bonus %</t>
        </is>
      </c>
      <c r="B1706">
        <f>((C1689=TRUE)*F1689*IF(AND(Inputs!$B$39&lt;&gt;"pvp",Inputs!$B$44&gt;0),(((R1689-1)*(Skills!Y19*(1+Inputs!$B$34/100))+MIN((Skills!Y19*(1+Inputs!$B$34/100)),MAX(0,Inputs!$B$44-((R1689-1)*Skills!D19))))/Inputs!$B$44),IF(Inputs!$B$39="pvp",MIN((Skills!Y19*(1+Inputs!$B$34/100)),15)/15,(Skills!Y19*(1+Inputs!$B$34/100))/Skills!D19)))+((C1673=TRUE)*F1673*3)</f>
        <v/>
      </c>
    </row>
    <row r="1707">
      <c r="A1707" t="inlineStr">
        <is>
          <t>Actions Per Second</t>
        </is>
      </c>
      <c r="B1707">
        <f>1+MIN(150,150*(1-(1-(Inputs!$B$11+((C1692=TRUE)*(F1692-Calc!F22)))/150)*(1-B1706/150)))/100</f>
        <v/>
      </c>
    </row>
    <row r="1708">
      <c r="A1708" t="inlineStr">
        <is>
          <t>Skill + Buff Cast Rate</t>
        </is>
      </c>
      <c r="B1708">
        <f>IF(AND(Inputs!$B$39&lt;&gt;"pvp",Inputs!$B$44&gt;0),SUMPRODUCT((Skills!E2:E30=TRUE)*(C1672:C1700=TRUE)*R1672:R1700*Skills!F2:F30)/Inputs!$B$44,SUMPRODUCT((Skills!E2:E30=TRUE)*(C1672:C1700=TRUE)*Q1672:Q1700*Skills!F2:F30))</f>
        <v/>
      </c>
    </row>
    <row r="1709">
      <c r="A1709" t="inlineStr">
        <is>
          <t>Cruel Stab Casts Per Second</t>
        </is>
      </c>
      <c r="B1709">
        <f>MAX(0,B1707-B1708)</f>
        <v/>
      </c>
    </row>
    <row r="1710">
      <c r="A1710" t="inlineStr">
        <is>
          <t>Global Critical Damage Bonus % (Smokescreen Mastery Lv.113)</t>
        </is>
      </c>
      <c r="B1710">
        <f>IF(Inputs!$B$3&gt;=113,30,0)*IF(AND(Inputs!$B$39&lt;&gt;"pvp",Inputs!$B$44&gt;0),(((R1685-1)*(Skills!Y15*(1+Inputs!$B$34/100))+MIN((Skills!Y15*(1+Inputs!$B$34/100)),MAX(0,Inputs!$B$44-((R1685-1)*Skills!D15))))/Inputs!$B$44),IF(Inputs!$B$39="pvp",MIN((Skills!Y15*(1+Inputs!$B$34/100)),15)/15,(Skills!Y15*(1+Inputs!$B$34/100))/Skills!D15))</f>
        <v/>
      </c>
    </row>
    <row r="1711">
      <c r="A1711" t="inlineStr">
        <is>
          <t>Meso Explosion average stack count</t>
        </is>
      </c>
      <c r="B1711">
        <f>MIN(10,0.5*B1707*Skills!D4)</f>
        <v/>
      </c>
    </row>
    <row r="1712">
      <c r="A1712" t="inlineStr">
        <is>
          <t>Blood Money average stack count</t>
        </is>
      </c>
      <c r="B1712">
        <f>MIN(5,0.25*B1707*Skills!D4)</f>
        <v/>
      </c>
    </row>
    <row r="1713">
      <c r="A1713" t="inlineStr">
        <is>
          <t>Assassinate Murderous Intent Multiplier</t>
        </is>
      </c>
      <c r="B1713">
        <f>1+IFERROR(MIN(1,Q1684*2/Q1681),0)</f>
        <v/>
      </c>
    </row>
    <row r="1714">
      <c r="A1714" t="inlineStr">
        <is>
          <t>Buff-Casting Startup Delay (s, fixed-duration only)</t>
        </is>
      </c>
      <c r="B1714">
        <f>IF(AND(Inputs!$B$39&lt;&gt;"pvp",Inputs!$B$44&gt;0),SUMPRODUCT((Skills!Y2:Y30&gt;0)*(Skills!E2:E30=TRUE)*(C1672:C1700=TRUE))/B1707,0)</f>
        <v/>
      </c>
    </row>
    <row r="1715">
      <c r="A1715" s="6" t="inlineStr">
        <is>
          <t>TOTAL DPS</t>
        </is>
      </c>
      <c r="B1715" s="6">
        <f>SUM(O1672:O1700)</f>
        <v/>
      </c>
    </row>
    <row r="1716">
      <c r="A1716" t="inlineStr">
        <is>
          <t>Boss-Only Total DPS (this block's swept value)</t>
        </is>
      </c>
      <c r="B1716">
        <f>SUM(T1672:T1700)</f>
        <v/>
      </c>
    </row>
    <row r="1717">
      <c r="A1717" t="inlineStr">
        <is>
          <t>Normal-Only Total DPS (this block's swept value)</t>
        </is>
      </c>
      <c r="B1717">
        <f>SUM(V1672:V1700)</f>
        <v/>
      </c>
    </row>
    <row r="1720">
      <c r="A1720" s="6" t="inlineStr">
        <is>
          <t>Stat: Arwen's Glass Shoes (Equip)</t>
        </is>
      </c>
    </row>
    <row r="1721">
      <c r="A1721" s="5" t="inlineStr">
        <is>
          <t>Key</t>
        </is>
      </c>
      <c r="B1721" s="5" t="inlineStr">
        <is>
          <t>Name</t>
        </is>
      </c>
      <c r="C1721" s="5" t="inlineStr">
        <is>
          <t>Unlocked</t>
        </is>
      </c>
      <c r="D1721" s="5" t="inlineStr">
        <is>
          <t>InputLevel</t>
        </is>
      </c>
      <c r="E1721" s="5" t="inlineStr">
        <is>
          <t>Factor</t>
        </is>
      </c>
      <c r="F1721" s="5" t="inlineStr">
        <is>
          <t>CoefficientPercent</t>
        </is>
      </c>
      <c r="G1721" s="5" t="inlineStr">
        <is>
          <t>EffectiveHits</t>
        </is>
      </c>
      <c r="H1721" s="5" t="inlineStr">
        <is>
          <t>ProcProbability</t>
        </is>
      </c>
      <c r="I1721" s="5" t="inlineStr">
        <is>
          <t>MapleHeroMultiplier</t>
        </is>
      </c>
      <c r="J1721" s="5" t="inlineStr">
        <is>
          <t>BaseDamage</t>
        </is>
      </c>
      <c r="K1721" s="5" t="inlineStr">
        <is>
          <t>BaseHitDamage</t>
        </is>
      </c>
      <c r="L1721" s="5" t="inlineStr">
        <is>
          <t>NonCritAvg</t>
        </is>
      </c>
      <c r="M1721" s="5" t="inlineStr">
        <is>
          <t>CritAvg</t>
        </is>
      </c>
      <c r="N1721" s="5" t="inlineStr">
        <is>
          <t>ExpectedDamage(perHit)</t>
        </is>
      </c>
      <c r="O1721" s="5" t="inlineStr">
        <is>
          <t>DPS</t>
        </is>
      </c>
      <c r="P1721" s="5" t="inlineStr">
        <is>
          <t>% of Total</t>
        </is>
      </c>
      <c r="Q1721" s="5" t="inlineStr">
        <is>
          <t>InvCooldown</t>
        </is>
      </c>
      <c r="R1721" s="5" t="inlineStr">
        <is>
          <t>CastsInFight</t>
        </is>
      </c>
      <c r="S1721" s="5" t="inlineStr">
        <is>
          <t>HitRate(perSec)</t>
        </is>
      </c>
      <c r="U1721" t="inlineStr">
        <is>
          <t>helpers</t>
        </is>
      </c>
    </row>
    <row r="1722">
      <c r="A1722">
        <f>Skills!A2</f>
        <v/>
      </c>
      <c r="B1722">
        <f>Skills!B2</f>
        <v/>
      </c>
      <c r="C1722">
        <f>Inputs!$B$3&gt;=100</f>
        <v/>
      </c>
      <c r="D1722" t="inlineStr"/>
      <c r="E1722" t="inlineStr"/>
      <c r="F1722">
        <f>U1724+Skills!O2</f>
        <v/>
      </c>
      <c r="G1722">
        <f>Skills!G2*IF(Skills!H2&gt;0,Skills!I2/Skills!H2,1)</f>
        <v/>
      </c>
      <c r="H1722">
        <f>1-(1-Skills!J2/100)^Skills!K2</f>
        <v/>
      </c>
      <c r="I1722" t="inlineStr">
        <is>
          <t>1</t>
        </is>
      </c>
      <c r="J1722">
        <f>((Inputs!$B$6*(1+Inputs!$B$7/100))+(((Inputs!$B$12*(1+Inputs!$B$13/100))-(Inputs!$B$12*(1+Inputs!$B$13/100)))+0.25*(Inputs!$B$14-Inputs!$B$14))*(1+Inputs!$B$7/100))*(F1722/100)</f>
        <v/>
      </c>
      <c r="K1722">
        <f>J1722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1722)</f>
        <v/>
      </c>
      <c r="L1722">
        <f>K1722*(MIN(Inputs!$B$22+((C1744=TRUE)*(F1744-Calc!F24)),(Inputs!$B$23+((C1749=TRUE)*(F1749-Calc!F29))+IF(ArtifactsInput!$M$15,CHOOSE(ArtifactsInput!$N$15+1,25,30,35,40,45,50)/100*(Inputs!$B$11-Inputs!$B$11),0)))/100+(Inputs!$B$23+((C1749=TRUE)*(F1749-Calc!F29))+IF(ArtifactsInput!$M$15,CHOOSE(ArtifactsInput!$N$15+1,25,30,35,40,45,50)/100*(Inputs!$B$11-Inputs!$B$11),0))/100)/2</f>
        <v/>
      </c>
      <c r="M1722">
        <f>L1722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2">
        <f>L1722*(1-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1722*(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2">
        <f>(1-Summary!$B$11)*T1722+Summary!$B$11*V1722</f>
        <v/>
      </c>
      <c r="P1722">
        <f>IF(B1765=0,0,O1722/B1765)</f>
        <v/>
      </c>
      <c r="Q1722" t="n">
        <v>0</v>
      </c>
      <c r="R1722" t="n">
        <v>0</v>
      </c>
      <c r="S1722">
        <f>IFERROR(O1722/N1722,0)</f>
        <v/>
      </c>
      <c r="T1722">
        <f>IF(C1722,(Skills!G2*N1722*B1759)*IF(Inputs!$B$39="pvp",1,1+(Inputs!$B$20+0+Skills!P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1722*(1-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1722*(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1722*(1-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1722*(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2">
        <f>MAX(0,(Inputs!$B$3-100)*3)+Inputs!$B$28+Inputs!$B$29</f>
        <v/>
      </c>
      <c r="V1722">
        <f>IF(C1722,(Skills!G2*N1722*B1759)*IF(Inputs!$B$39="pvp",1,(1+(Inputs!$B$21+Skills!Q2+B1754+(IF(ArtifactsInput!$M$33,CHOOSE(ArtifactsInput!$N$33+1,30,36,42,48,54,60),0))+(IF(AND(ArtifactsInput!$M$35,Inputs!$B$4&lt;&gt;"Chapter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3">
      <c r="A1723">
        <f>Skills!A3</f>
        <v/>
      </c>
      <c r="B1723">
        <f>Skills!B3</f>
        <v/>
      </c>
      <c r="C1723">
        <f>Inputs!$B$3&gt;=35</f>
        <v/>
      </c>
      <c r="D1723">
        <f>IF(Skills!C3=1,60+Inputs!$B$25+Inputs!$B$29,IF(Skills!C3=2,90+Inputs!$B$26+Inputs!$B$29,IF(Skills!C3=3,120+Inputs!$B$27+Inputs!$B$29,MAX(0,(Inputs!$B$3-100)*3)+Inputs!$B$28+Inputs!$B$29)))</f>
        <v/>
      </c>
      <c r="E1723">
        <f>INDEX(FactorTable!$B$2:$Y$301, MATCH(ROUND(MIN(300,MAX(1,D1723)),0), FactorTable!$A$2:$A$301,0), Skills!M3+1)</f>
        <v/>
      </c>
      <c r="F1723">
        <f>IF(Skills!N3=TRUE,(Skills!L3/10)*(E1723/1000),Skills!L3/10)+Skills!O3</f>
        <v/>
      </c>
      <c r="G1723">
        <f>Skills!G3*IF(Skills!H3&gt;0,Skills!I3/Skills!H3,1)</f>
        <v/>
      </c>
      <c r="H1723">
        <f>1-(1-Skills!J3/100)^Skills!K3</f>
        <v/>
      </c>
      <c r="I1723" t="inlineStr">
        <is>
          <t>1</t>
        </is>
      </c>
      <c r="J1723" t="inlineStr"/>
      <c r="K1723" t="inlineStr"/>
      <c r="L1723" t="inlineStr"/>
      <c r="M1723" t="inlineStr"/>
      <c r="N1723" t="inlineStr"/>
      <c r="O1723">
        <f>(1-Summary!$B$11)*T1723+Summary!$B$11*V1723</f>
        <v/>
      </c>
      <c r="P1723">
        <f>IF(B1765=0,0,O1723/B1765)</f>
        <v/>
      </c>
      <c r="Q1723" t="n">
        <v>0</v>
      </c>
      <c r="R1723" t="n">
        <v>0</v>
      </c>
      <c r="S1723">
        <f>IFERROR(O1723/N1723,0)</f>
        <v/>
      </c>
      <c r="T1723" t="n">
        <v>0</v>
      </c>
      <c r="U1723">
        <f>INDEX(FactorTable!$B$2:$Y$301, MATCH(ROUND(MIN(300,MAX(1,U1722)),0), FactorTable!$A$2:$A$301,0), 22)</f>
        <v/>
      </c>
      <c r="V1723" t="n">
        <v>0</v>
      </c>
    </row>
    <row r="1724">
      <c r="A1724">
        <f>Skills!A4</f>
        <v/>
      </c>
      <c r="B1724">
        <f>Skills!B4</f>
        <v/>
      </c>
      <c r="C1724">
        <f>Inputs!$B$3&gt;=66</f>
        <v/>
      </c>
      <c r="D1724">
        <f>IF(Skills!C4=1,60+Inputs!$B$25+Inputs!$B$29,IF(Skills!C4=2,90+Inputs!$B$26+Inputs!$B$29,IF(Skills!C4=3,120+Inputs!$B$27+Inputs!$B$29,MAX(0,(Inputs!$B$3-100)*3)+Inputs!$B$28+Inputs!$B$29)))</f>
        <v/>
      </c>
      <c r="E1724">
        <f>INDEX(FactorTable!$B$2:$Y$301, MATCH(ROUND(MIN(300,MAX(1,D1724)),0), FactorTable!$A$2:$A$301,0), Skills!M4+1)</f>
        <v/>
      </c>
      <c r="F1724">
        <f>IF(Skills!N4=TRUE,(Skills!L4/10)*(E1724/1000),Skills!L4/10)+Skills!O4</f>
        <v/>
      </c>
      <c r="G1724">
        <f>Skills!G4*IF(Skills!H4&gt;0,Skills!I4/Skills!H4,1)</f>
        <v/>
      </c>
      <c r="H1724">
        <f>1-(1-Skills!J4/100)^Skills!K4</f>
        <v/>
      </c>
      <c r="I1724" t="inlineStr">
        <is>
          <t>1</t>
        </is>
      </c>
      <c r="J1724">
        <f>((Inputs!$B$6*(1+Inputs!$B$7/100))+(((Inputs!$B$12*(1+Inputs!$B$13/100))-(Inputs!$B$12*(1+Inputs!$B$13/100)))+0.25*(Inputs!$B$14-Inputs!$B$14))*(1+Inputs!$B$7/100))*(F1724/100)</f>
        <v/>
      </c>
      <c r="K1724">
        <f>J1724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1724)</f>
        <v/>
      </c>
      <c r="L1724">
        <f>K1724*(MIN(Inputs!$B$22+((C1744=TRUE)*(F1744-Calc!F24)),(Inputs!$B$23+((C1749=TRUE)*(F1749-Calc!F29))+IF(ArtifactsInput!$M$15,CHOOSE(ArtifactsInput!$N$15+1,25,30,35,40,45,50)/100*(Inputs!$B$11-Inputs!$B$11),0)))/100+(Inputs!$B$23+((C1749=TRUE)*(F1749-Calc!F29))+IF(ArtifactsInput!$M$15,CHOOSE(ArtifactsInput!$N$15+1,25,30,35,40,45,50)/100*(Inputs!$B$11-Inputs!$B$11),0))/100)/2</f>
        <v/>
      </c>
      <c r="M1724">
        <f>L1724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4">
        <f>L1724*(1-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1724*(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4">
        <f>(1-Summary!$B$11)*T1724+Summary!$B$11*V1724</f>
        <v/>
      </c>
      <c r="P1724">
        <f>IF(B1765=0,0,O1724/B1765)</f>
        <v/>
      </c>
      <c r="Q1724">
        <f>IFERROR(1/IF(Inputs!$B$39="pvp",15,MAX(0.1,Skills!D4-IF(Skills!E4=TRUE,Inputs!$B$32,0))),0)</f>
        <v/>
      </c>
      <c r="R1724">
        <f>IF(AND(Inputs!$B$39&lt;&gt;"pvp",Inputs!$B$44&gt;0),IF(MAX(0,Inputs!$B$44-B1764)&lt;=0,0,(INT(MAX(0,Inputs!$B$44-B1764)/IF(Inputs!$B$39="pvp",15,MAX(0.1,Skills!D4-IF(Skills!E4=TRUE,Inputs!$B$32,0))))+1)),0)</f>
        <v/>
      </c>
      <c r="S1724">
        <f>IFERROR(O1724/N1724,0)</f>
        <v/>
      </c>
      <c r="T1724">
        <f>IF(C1724,(H1724*N1724*IF(AND(Inputs!$B$39&lt;&gt;"pvp",Inputs!$B$44&gt;0),((Skills!G4*((R1724-1)*IF(Skills!H4&gt;0,Skills!I4/Skills!H4,1)+IF(Skills!H4&gt;0,MIN(Skills!I4,MAX(0,MAX(0,Inputs!$B$44-B1764)-((R1724-1)*IF(Inputs!$B$39="pvp",15,MAX(0.1,Skills!D4-IF(Skills!E4=TRUE,Inputs!$B$32,0))))))/Skills!H4,1)))/Inputs!$B$44),G1724*Q1724))*IF(Inputs!$B$39="pvp",1,1+(Inputs!$B$20+0+Skills!P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1724*(1-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1724*(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1724*(1-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1724*(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4">
        <f>290*U1723/1000</f>
        <v/>
      </c>
      <c r="V1724">
        <f>IF(C1724,(H1724*N1724*IF(AND(Inputs!$B$39&lt;&gt;"pvp",Inputs!$B$44&gt;0),((Skills!G4*((R1724-1)*IF(Skills!H4&gt;0,Skills!I4/Skills!H4,1)+IF(Skills!H4&gt;0,MIN(Skills!I4,MAX(0,MAX(0,Inputs!$B$44-B1764)-((R1724-1)*IF(Inputs!$B$39="pvp",15,MAX(0.1,Skills!D4-IF(Skills!E4=TRUE,Inputs!$B$32,0))))))/Skills!H4,1)))/Inputs!$B$44),G1724*Q1724))*IF(Inputs!$B$39="pvp",1,(1+(Inputs!$B$21+Skills!Q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(10,0.5*B1757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5">
      <c r="A1725">
        <f>Skills!A5</f>
        <v/>
      </c>
      <c r="B1725">
        <f>Skills!B5</f>
        <v/>
      </c>
      <c r="C1725">
        <f>Inputs!$B$3&gt;=63</f>
        <v/>
      </c>
      <c r="D1725">
        <f>IF(Skills!C5=1,60+Inputs!$B$25+Inputs!$B$29,IF(Skills!C5=2,90+Inputs!$B$26+Inputs!$B$29,IF(Skills!C5=3,120+Inputs!$B$27+Inputs!$B$29,MAX(0,(Inputs!$B$3-100)*3)+Inputs!$B$28+Inputs!$B$29)))</f>
        <v/>
      </c>
      <c r="E1725">
        <f>INDEX(FactorTable!$B$2:$Y$301, MATCH(ROUND(MIN(300,MAX(1,D1725)),0), FactorTable!$A$2:$A$301,0), Skills!M5+1)</f>
        <v/>
      </c>
      <c r="F1725">
        <f>IF(Skills!N5=TRUE,(Skills!L5/10)*(E1725/1000),Skills!L5/10)+Skills!O5</f>
        <v/>
      </c>
      <c r="G1725">
        <f>Skills!G5*IF(Skills!H5&gt;0,Skills!I5/Skills!H5,1)</f>
        <v/>
      </c>
      <c r="H1725">
        <f>1-(1-Skills!J5/100)^Skills!K5</f>
        <v/>
      </c>
      <c r="I1725" t="inlineStr">
        <is>
          <t>1</t>
        </is>
      </c>
      <c r="J1725">
        <f>((Inputs!$B$6*(1+Inputs!$B$7/100))+(((Inputs!$B$12*(1+Inputs!$B$13/100))-(Inputs!$B$12*(1+Inputs!$B$13/100)))+0.25*(Inputs!$B$14-Inputs!$B$14))*(1+Inputs!$B$7/100))*(F1725/100)</f>
        <v/>
      </c>
      <c r="K1725">
        <f>J1725*(1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1738=TRUE,F1738,0)/100)*(1+(IF(Skills!A5="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1725)</f>
        <v/>
      </c>
      <c r="L1725">
        <f>K1725*(MIN(Inputs!$B$22+((C1744=TRUE)*(F1744-Calc!F24)),(Inputs!$B$23+((C1749=TRUE)*(F1749-Calc!F29))+IF(ArtifactsInput!$M$15,CHOOSE(ArtifactsInput!$N$15+1,25,30,35,40,45,50)/100*(Inputs!$B$11-Inputs!$B$11),0)))/100+(Inputs!$B$23+((C1749=TRUE)*(F1749-Calc!F29))+IF(ArtifactsInput!$M$15,CHOOSE(ArtifactsInput!$N$15+1,25,30,35,40,45,50)/100*(Inputs!$B$11-Inputs!$B$11),0))/100)/2</f>
        <v/>
      </c>
      <c r="M1725">
        <f>L1725*(1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5">
        <f>L1725*(1-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1725*(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5">
        <f>(1-Summary!$B$11)*T1725+Summary!$B$11*V1725</f>
        <v/>
      </c>
      <c r="P1725">
        <f>IF(B1765=0,0,O1725/B1765)</f>
        <v/>
      </c>
      <c r="Q1725">
        <f>IFERROR(1/IF(Inputs!$B$39="pvp",15,MAX(0.1,Skills!D5-IF(Skills!E5=TRUE,Inputs!$B$32,0))),0)</f>
        <v/>
      </c>
      <c r="R1725">
        <f>IF(AND(Inputs!$B$39&lt;&gt;"pvp",Inputs!$B$44&gt;0),IF(MAX(0,Inputs!$B$44-B1764)&lt;=0,0,(INT(MAX(0,Inputs!$B$44-B1764)/IF(Inputs!$B$39="pvp",15,MAX(0.1,Skills!D5-IF(Skills!E5=TRUE,Inputs!$B$32,0))))+1)),0)</f>
        <v/>
      </c>
      <c r="S1725">
        <f>IFERROR(O1725/N1725,0)</f>
        <v/>
      </c>
      <c r="T1725">
        <f>IF(C1725,(H1725*N1725*IF(AND(Inputs!$B$39&lt;&gt;"pvp",Inputs!$B$44&gt;0),((Skills!G5*((R1725-1)*IF(Skills!H5&gt;0,Skills!I5/Skills!H5,1)+IF(Skills!H5&gt;0,MIN(Skills!I5,MAX(0,MAX(0,Inputs!$B$44-B1764)-((R1725-1)*IF(Inputs!$B$39="pvp",15,MAX(0.1,Skills!D5-IF(Skills!E5=TRUE,Inputs!$B$32,0))))))/Skills!H5,1)))/Inputs!$B$44),G1725*Q1725))*IF(Inputs!$B$39="pvp",1,1+(Inputs!$B$20+0+Skills!P5+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1725*(1-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1725*(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1725*(1-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1725*(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5">
        <f>IF(C1725,(H1725*N1725*IF(AND(Inputs!$B$39&lt;&gt;"pvp",Inputs!$B$44&gt;0),((Skills!G5*((R1725-1)*IF(Skills!H5&gt;0,Skills!I5/Skills!H5,1)+IF(Skills!H5&gt;0,MIN(Skills!I5,MAX(0,MAX(0,Inputs!$B$44-B1764)-((R1725-1)*IF(Inputs!$B$39="pvp",15,MAX(0.1,Skills!D5-IF(Skills!E5=TRUE,Inputs!$B$32,0))))))/Skills!H5,1)))/Inputs!$B$44),G1725*Q1725))*IF(Inputs!$B$39="pvp",1,(1+(Inputs!$B$21+Skills!Q5+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6">
      <c r="A1726">
        <f>Skills!A6</f>
        <v/>
      </c>
      <c r="B1726">
        <f>Skills!B6</f>
        <v/>
      </c>
      <c r="C1726">
        <f>Inputs!$B$3&gt;=69</f>
        <v/>
      </c>
      <c r="D1726">
        <f>IF(Skills!C6=1,60+Inputs!$B$25+Inputs!$B$29,IF(Skills!C6=2,90+Inputs!$B$26+Inputs!$B$29,IF(Skills!C6=3,120+Inputs!$B$27+Inputs!$B$29,MAX(0,(Inputs!$B$3-100)*3)+Inputs!$B$28+Inputs!$B$29)))</f>
        <v/>
      </c>
      <c r="E1726">
        <f>INDEX(FactorTable!$B$2:$Y$301, MATCH(ROUND(MIN(300,MAX(1,D1726)),0), FactorTable!$A$2:$A$301,0), Skills!M6+1)</f>
        <v/>
      </c>
      <c r="F1726">
        <f>IF(Skills!N6=TRUE,(Skills!L6/10)*(E1726/1000),Skills!L6/10)+Skills!O6</f>
        <v/>
      </c>
      <c r="G1726">
        <f>Skills!G6*IF(Skills!H6&gt;0,Skills!I6/Skills!H6,1)</f>
        <v/>
      </c>
      <c r="H1726">
        <f>1-(1-Skills!J6/100)^Skills!K6</f>
        <v/>
      </c>
      <c r="I1726" t="inlineStr">
        <is>
          <t>1</t>
        </is>
      </c>
      <c r="J1726">
        <f>((Inputs!$B$6*(1+Inputs!$B$7/100))+(((Inputs!$B$12*(1+Inputs!$B$13/100))-(Inputs!$B$12*(1+Inputs!$B$13/100)))+0.25*(Inputs!$B$14-Inputs!$B$14))*(1+Inputs!$B$7/100))*(F1726/100)</f>
        <v/>
      </c>
      <c r="K1726">
        <f>J1726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1738=TRUE,F1738,0)/100)*(1+(IF(Skills!A6="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1726)</f>
        <v/>
      </c>
      <c r="L1726">
        <f>K1726*(MIN(Inputs!$B$22+((C1744=TRUE)*(F1744-Calc!F24)),(Inputs!$B$23+((C1749=TRUE)*(F1749-Calc!F29))+IF(ArtifactsInput!$M$15,CHOOSE(ArtifactsInput!$N$15+1,25,30,35,40,45,50)/100*(Inputs!$B$11-Inputs!$B$11),0)))/100+(Inputs!$B$23+((C1749=TRUE)*(F1749-Calc!F29))+IF(ArtifactsInput!$M$15,CHOOSE(ArtifactsInput!$N$15+1,25,30,35,40,45,50)/100*(Inputs!$B$11-Inputs!$B$11),0))/100)/2</f>
        <v/>
      </c>
      <c r="M1726">
        <f>L1726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6">
        <f>L1726*(1-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1726*(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6">
        <f>(1-Summary!$B$11)*T1726+Summary!$B$11*V1726</f>
        <v/>
      </c>
      <c r="P1726">
        <f>IF(B1765=0,0,O1726/B1765)</f>
        <v/>
      </c>
      <c r="Q1726">
        <f>IFERROR(1/IF(Inputs!$B$39="pvp",15,MAX(0.1,Skills!D6-IF(Skills!E6=TRUE,Inputs!$B$32,0))),0)</f>
        <v/>
      </c>
      <c r="R1726">
        <f>IF(AND(Inputs!$B$39&lt;&gt;"pvp",Inputs!$B$44&gt;0),IF(MAX(0,Inputs!$B$44-B1764)&lt;=0,0,(INT(MAX(0,Inputs!$B$44-B1764)/IF(Inputs!$B$39="pvp",15,MAX(0.1,Skills!D6-IF(Skills!E6=TRUE,Inputs!$B$32,0))))+1)),0)</f>
        <v/>
      </c>
      <c r="S1726">
        <f>IFERROR(O1726/N1726,0)</f>
        <v/>
      </c>
      <c r="T1726">
        <f>IF(C1726,(H1726*N1726*IF(AND(Inputs!$B$39&lt;&gt;"pvp",Inputs!$B$44&gt;0),((Skills!G6*((R1726-1)*IF(Skills!H6&gt;0,Skills!I6/Skills!H6,1)+IF(Skills!H6&gt;0,MIN(Skills!I6,MAX(0,MAX(0,Inputs!$B$44-B1764)-((R1726-1)*IF(Inputs!$B$39="pvp",15,MAX(0.1,Skills!D6-IF(Skills!E6=TRUE,Inputs!$B$32,0))))))/Skills!H6,1)))/Inputs!$B$44),G1726*Q1726))*IF(Inputs!$B$39="pvp",1,1+(Inputs!$B$20+0+Skills!P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1726*(1-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1726*(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1726*(1-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1726*(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6">
        <f>IF(C1726,(H1726*N1726*IF(AND(Inputs!$B$39&lt;&gt;"pvp",Inputs!$B$44&gt;0),((Skills!G6*((R1726-1)*IF(Skills!H6&gt;0,Skills!I6/Skills!H6,1)+IF(Skills!H6&gt;0,MIN(Skills!I6,MAX(0,MAX(0,Inputs!$B$44-B1764)-((R1726-1)*IF(Inputs!$B$39="pvp",15,MAX(0.1,Skills!D6-IF(Skills!E6=TRUE,Inputs!$B$32,0))))))/Skills!H6,1)))/Inputs!$B$44),G1726*Q1726))*IF(Inputs!$B$39="pvp",1,(1+(Inputs!$B$21+Skills!Q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7">
      <c r="A1727">
        <f>Skills!A7</f>
        <v/>
      </c>
      <c r="B1727">
        <f>Skills!B7</f>
        <v/>
      </c>
      <c r="C1727">
        <f>Inputs!$B$3&gt;=60</f>
        <v/>
      </c>
      <c r="D1727">
        <f>IF(Skills!C7=1,60+Inputs!$B$25+Inputs!$B$29,IF(Skills!C7=2,90+Inputs!$B$26+Inputs!$B$29,IF(Skills!C7=3,120+Inputs!$B$27+Inputs!$B$29,MAX(0,(Inputs!$B$3-100)*3)+Inputs!$B$28+Inputs!$B$29)))</f>
        <v/>
      </c>
      <c r="E1727">
        <f>INDEX(FactorTable!$B$2:$Y$301, MATCH(ROUND(MIN(300,MAX(1,D1727)),0), FactorTable!$A$2:$A$301,0), Skills!M7+1)</f>
        <v/>
      </c>
      <c r="F1727">
        <f>IF(Skills!N7=TRUE,(Skills!L7/10)*(E1727/1000),Skills!L7/10)+Skills!O7</f>
        <v/>
      </c>
      <c r="G1727">
        <f>Skills!G7*IF(Skills!H7&gt;0,Skills!I7/Skills!H7,1)</f>
        <v/>
      </c>
      <c r="H1727">
        <f>1-(1-Skills!J7/100)^Skills!K7</f>
        <v/>
      </c>
      <c r="I1727" t="inlineStr">
        <is>
          <t>1</t>
        </is>
      </c>
      <c r="J1727" t="inlineStr"/>
      <c r="K1727" t="inlineStr"/>
      <c r="L1727" t="inlineStr"/>
      <c r="M1727" t="inlineStr"/>
      <c r="N1727" t="inlineStr"/>
      <c r="O1727">
        <f>(1-Summary!$B$11)*T1727+Summary!$B$11*V1727</f>
        <v/>
      </c>
      <c r="P1727">
        <f>IF(B1765=0,0,O1727/B1765)</f>
        <v/>
      </c>
      <c r="Q1727" t="n">
        <v>0</v>
      </c>
      <c r="R1727" t="n">
        <v>0</v>
      </c>
      <c r="S1727">
        <f>IFERROR(O1727/N1727,0)</f>
        <v/>
      </c>
      <c r="T1727" t="n">
        <v>0</v>
      </c>
      <c r="V1727" t="n">
        <v>0</v>
      </c>
    </row>
    <row r="1728">
      <c r="A1728">
        <f>Skills!A8</f>
        <v/>
      </c>
      <c r="B1728">
        <f>Skills!B8</f>
        <v/>
      </c>
      <c r="C1728">
        <f>Inputs!$B$3&gt;=72</f>
        <v/>
      </c>
      <c r="D1728">
        <f>IF(Skills!C8=1,60+Inputs!$B$25+Inputs!$B$29,IF(Skills!C8=2,90+Inputs!$B$26+Inputs!$B$29,IF(Skills!C8=3,120+Inputs!$B$27+Inputs!$B$29,MAX(0,(Inputs!$B$3-100)*3)+Inputs!$B$28+Inputs!$B$29)))</f>
        <v/>
      </c>
      <c r="E1728">
        <f>INDEX(FactorTable!$B$2:$Y$301, MATCH(ROUND(MIN(300,MAX(1,D1728)),0), FactorTable!$A$2:$A$301,0), Skills!M8+1)</f>
        <v/>
      </c>
      <c r="F1728">
        <f>IF(Skills!N8=TRUE,(Skills!L8/10)*(E1728/1000),Skills!L8/10)+Skills!O8</f>
        <v/>
      </c>
      <c r="G1728">
        <f>Skills!G8*IF(Skills!H8&gt;0,Skills!I8/Skills!H8,1)</f>
        <v/>
      </c>
      <c r="H1728">
        <f>1-(1-Skills!J8/100)^Skills!K8</f>
        <v/>
      </c>
      <c r="I1728" t="inlineStr">
        <is>
          <t>1</t>
        </is>
      </c>
      <c r="J1728">
        <f>((Inputs!$B$6*(1+Inputs!$B$7/100))+(((Inputs!$B$12*(1+Inputs!$B$13/100))-(Inputs!$B$12*(1+Inputs!$B$13/100)))+0.25*(Inputs!$B$14-Inputs!$B$14))*(1+Inputs!$B$7/100))*(F1728/100)</f>
        <v/>
      </c>
      <c r="K1728">
        <f>J1728*(1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1738=TRUE,F1738,0)/100)*(1+(IF(Skills!A8="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1728)</f>
        <v/>
      </c>
      <c r="L1728">
        <f>K1728*(MIN(Inputs!$B$22+((C1744=TRUE)*(F1744-Calc!F24)),(Inputs!$B$23+((C1749=TRUE)*(F1749-Calc!F29))+IF(ArtifactsInput!$M$15,CHOOSE(ArtifactsInput!$N$15+1,25,30,35,40,45,50)/100*(Inputs!$B$11-Inputs!$B$11),0)))/100+(Inputs!$B$23+((C1749=TRUE)*(F1749-Calc!F29))+IF(ArtifactsInput!$M$15,CHOOSE(ArtifactsInput!$N$15+1,25,30,35,40,45,50)/100*(Inputs!$B$11-Inputs!$B$11),0))/100)/2</f>
        <v/>
      </c>
      <c r="M1728">
        <f>L1728*(1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8">
        <f>L1728*(1-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1728*(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8">
        <f>(1-Summary!$B$11)*T1728+Summary!$B$11*V1728</f>
        <v/>
      </c>
      <c r="P1728">
        <f>IF(B1765=0,0,O1728/B1765)</f>
        <v/>
      </c>
      <c r="Q1728">
        <f>IFERROR(1/IF(Inputs!$B$39="pvp",15,MAX(0.1,Skills!D8-IF(Skills!E8=TRUE,Inputs!$B$32,0))),0)</f>
        <v/>
      </c>
      <c r="R1728">
        <f>IF(AND(Inputs!$B$39&lt;&gt;"pvp",Inputs!$B$44&gt;0),IF(MAX(0,Inputs!$B$44-B1764)&lt;=0,0,(INT(MAX(0,Inputs!$B$44-B1764)/IF(Inputs!$B$39="pvp",15,MAX(0.1,Skills!D8-IF(Skills!E8=TRUE,Inputs!$B$32,0))))+1)),0)</f>
        <v/>
      </c>
      <c r="S1728">
        <f>IFERROR(O1728/N1728,0)</f>
        <v/>
      </c>
      <c r="T1728">
        <f>IF(C1728,(H1728*N1728*IF(AND(Inputs!$B$39&lt;&gt;"pvp",Inputs!$B$44&gt;0),((Skills!G8*((R1728-1)*IF(Skills!H8&gt;0,Skills!I8/Skills!H8,1)+IF(Skills!H8&gt;0,MIN(Skills!I8,MAX(0,MAX(0,Inputs!$B$44-B1764)-((R1728-1)*IF(Inputs!$B$39="pvp",15,MAX(0.1,Skills!D8-IF(Skills!E8=TRUE,Inputs!$B$32,0))))))/Skills!H8,1)))/Inputs!$B$44),G1728*Q1728))*IF(Inputs!$B$39="pvp",1,1+(Inputs!$B$20+0+Skills!P8+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1728*(1-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1728*(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1728*(1-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1728*(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8">
        <f>IF(C1728,(H1728*N1728*IF(AND(Inputs!$B$39&lt;&gt;"pvp",Inputs!$B$44&gt;0),((Skills!G8*((R1728-1)*IF(Skills!H8&gt;0,Skills!I8/Skills!H8,1)+IF(Skills!H8&gt;0,MIN(Skills!I8,MAX(0,MAX(0,Inputs!$B$44-B1764)-((R1728-1)*IF(Inputs!$B$39="pvp",15,MAX(0.1,Skills!D8-IF(Skills!E8=TRUE,Inputs!$B$32,0))))))/Skills!H8,1)))/Inputs!$B$44),G1728*Q1728))*IF(Inputs!$B$39="pvp",1,(1+(Inputs!$B$21+Skills!Q8+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9">
      <c r="A1729">
        <f>Skills!A9</f>
        <v/>
      </c>
      <c r="B1729">
        <f>Skills!B9</f>
        <v/>
      </c>
      <c r="C1729">
        <f>Inputs!$B$3&gt;=117</f>
        <v/>
      </c>
      <c r="D1729">
        <f>IF(Skills!C9=1,60+Inputs!$B$25+Inputs!$B$29,IF(Skills!C9=2,90+Inputs!$B$26+Inputs!$B$29,IF(Skills!C9=3,120+Inputs!$B$27+Inputs!$B$29,MAX(0,(Inputs!$B$3-100)*3)+Inputs!$B$28+Inputs!$B$29)))</f>
        <v/>
      </c>
      <c r="E1729">
        <f>INDEX(FactorTable!$B$2:$Y$301, MATCH(ROUND(MIN(300,MAX(1,D1729)),0), FactorTable!$A$2:$A$301,0), Skills!M9+1)</f>
        <v/>
      </c>
      <c r="F1729">
        <f>IF(Skills!N9=TRUE,(Skills!L9/10)*(E1729/1000),Skills!L9/10)+Skills!O9</f>
        <v/>
      </c>
      <c r="G1729">
        <f>Skills!G9*IF(Skills!H9&gt;0,Skills!I9/Skills!H9,1)</f>
        <v/>
      </c>
      <c r="H1729">
        <f>1-(1-Skills!J9/100)^Skills!K9</f>
        <v/>
      </c>
      <c r="I1729" t="inlineStr">
        <is>
          <t>1</t>
        </is>
      </c>
      <c r="J1729">
        <f>((Inputs!$B$6*(1+Inputs!$B$7/100))+(((Inputs!$B$12*(1+Inputs!$B$13/100))-(Inputs!$B$12*(1+Inputs!$B$13/100)))+0.25*(Inputs!$B$14-Inputs!$B$14))*(1+Inputs!$B$7/100))*(F1729/100)</f>
        <v/>
      </c>
      <c r="K1729">
        <f>J1729*(1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1729)</f>
        <v/>
      </c>
      <c r="L1729">
        <f>K1729*(MIN(Inputs!$B$22+((C1744=TRUE)*(F1744-Calc!F24)),(Inputs!$B$23+((C1749=TRUE)*(F1749-Calc!F29))+IF(ArtifactsInput!$M$15,CHOOSE(ArtifactsInput!$N$15+1,25,30,35,40,45,50)/100*(Inputs!$B$11-Inputs!$B$11),0)))/100+(Inputs!$B$23+((C1749=TRUE)*(F1749-Calc!F29))+IF(ArtifactsInput!$M$15,CHOOSE(ArtifactsInput!$N$15+1,25,30,35,40,45,50)/100*(Inputs!$B$11-Inputs!$B$11),0))/100)/2</f>
        <v/>
      </c>
      <c r="M1729">
        <f>L1729*(1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9">
        <f>L1729*(1-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1729*(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9">
        <f>(1-Summary!$B$11)*T1729+Summary!$B$11*V1729</f>
        <v/>
      </c>
      <c r="P1729">
        <f>IF(B1765=0,0,O1729/B1765)</f>
        <v/>
      </c>
      <c r="Q1729" t="n">
        <v>0</v>
      </c>
      <c r="R1729" t="n">
        <v>0</v>
      </c>
      <c r="S1729" t="n">
        <v>0</v>
      </c>
      <c r="T1729">
        <f>IF(C1729,(0.2*SUMPRODUCT((Skills!Z2:Z30=TRUE)*(C1722:C1750=TRUE)*S1722:S1750)*N1729)*IF(Inputs!$B$39="pvp",1,1+(Inputs!$B$20+0+Skills!P9+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1729*(1-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1729*(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1729*(1-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1729*(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9">
        <f>IF(C1729,(0.2*SUMPRODUCT((Skills!Z2:Z30=TRUE)*(C1722:C1750=TRUE)*S1722:S1750)*N1729)*IF(Inputs!$B$39="pvp",1,(1+(Inputs!$B$21+Skills!Q9+B1754+(IF(ArtifactsInput!$M$33,CHOOSE(ArtifactsInput!$N$33+1,30,36,42,48,54,60),0))+(IF(AND(ArtifactsInput!$M$35,Inputs!$B$4&lt;&gt;"Chapter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0">
      <c r="A1730">
        <f>Skills!A10</f>
        <v/>
      </c>
      <c r="B1730">
        <f>Skills!B10</f>
        <v/>
      </c>
      <c r="C1730">
        <f>Inputs!$B$3&gt;=74</f>
        <v/>
      </c>
      <c r="D1730">
        <f>IF(Skills!C10=1,60+Inputs!$B$25+Inputs!$B$29,IF(Skills!C10=2,90+Inputs!$B$26+Inputs!$B$29,IF(Skills!C10=3,120+Inputs!$B$27+Inputs!$B$29,MAX(0,(Inputs!$B$3-100)*3)+Inputs!$B$28+Inputs!$B$29)))</f>
        <v/>
      </c>
      <c r="E1730">
        <f>INDEX(FactorTable!$B$2:$Y$301, MATCH(ROUND(MIN(300,MAX(1,D1730)),0), FactorTable!$A$2:$A$301,0), Skills!M10+1)</f>
        <v/>
      </c>
      <c r="F1730">
        <f>IF(Skills!N10=TRUE,(Skills!L10/10)*(E1730/1000),Skills!L10/10)+Skills!O10</f>
        <v/>
      </c>
      <c r="G1730">
        <f>Skills!G10*IF(Skills!H10&gt;0,Skills!I10/Skills!H10,1)</f>
        <v/>
      </c>
      <c r="H1730">
        <f>1-(1-Skills!J10/100)^Skills!K10</f>
        <v/>
      </c>
      <c r="I1730" t="inlineStr">
        <is>
          <t>1</t>
        </is>
      </c>
      <c r="J1730" t="inlineStr"/>
      <c r="K1730" t="inlineStr"/>
      <c r="L1730" t="inlineStr"/>
      <c r="M1730" t="inlineStr"/>
      <c r="N1730" t="inlineStr"/>
      <c r="O1730">
        <f>(1-Summary!$B$11)*T1730+Summary!$B$11*V1730</f>
        <v/>
      </c>
      <c r="P1730">
        <f>IF(B1765=0,0,O1730/B1765)</f>
        <v/>
      </c>
      <c r="Q1730">
        <f>IFERROR(1/IF(Inputs!$B$39="pvp",15,MAX(0.1,Skills!D10-IF(Skills!E10=TRUE,Inputs!$B$32,0))),0)</f>
        <v/>
      </c>
      <c r="R1730">
        <f>IF(AND(Inputs!$B$39&lt;&gt;"pvp",Inputs!$B$44&gt;0),IF(Inputs!$B$44&lt;=0,0,(INT(Inputs!$B$44/IF(Inputs!$B$39="pvp",15,MAX(0.1,Skills!D10-IF(Skills!E10=TRUE,Inputs!$B$32,0))))+1)),0)</f>
        <v/>
      </c>
      <c r="S1730">
        <f>IFERROR(O1730/N1730,0)</f>
        <v/>
      </c>
      <c r="T1730" t="n">
        <v>0</v>
      </c>
      <c r="V1730" t="n">
        <v>0</v>
      </c>
    </row>
    <row r="1731">
      <c r="A1731">
        <f>Skills!A11</f>
        <v/>
      </c>
      <c r="B1731">
        <f>Skills!B11</f>
        <v/>
      </c>
      <c r="C1731">
        <f>Inputs!$B$3&gt;=103</f>
        <v/>
      </c>
      <c r="D1731">
        <f>IF(Skills!C11=1,60+Inputs!$B$25+Inputs!$B$29,IF(Skills!C11=2,90+Inputs!$B$26+Inputs!$B$29,IF(Skills!C11=3,120+Inputs!$B$27+Inputs!$B$29,MAX(0,(Inputs!$B$3-100)*3)+Inputs!$B$28+Inputs!$B$29)))</f>
        <v/>
      </c>
      <c r="E1731">
        <f>INDEX(FactorTable!$B$2:$Y$301, MATCH(ROUND(MIN(300,MAX(1,D1731)),0), FactorTable!$A$2:$A$301,0), Skills!M11+1)</f>
        <v/>
      </c>
      <c r="F1731">
        <f>(Skills!L11/10)*(E1731/1000)+IF(Inputs!$B$3&gt;=134,50,0)+0.5*(30000/10)*(INDEX(FactorTable!$B$2:$Y$301, MATCH(ROUND(MIN(300,MAX(1,D1731)),0), FactorTable!$A$2:$A$301,0), 13)/1000)*B1763</f>
        <v/>
      </c>
      <c r="G1731">
        <f>Skills!G11*IF(Skills!H11&gt;0,Skills!I11/Skills!H11,1)</f>
        <v/>
      </c>
      <c r="H1731">
        <f>1-(1-Skills!J11/100)^Skills!K11</f>
        <v/>
      </c>
      <c r="I1731" t="inlineStr">
        <is>
          <t>1</t>
        </is>
      </c>
      <c r="J1731">
        <f>((Inputs!$B$6*(1+Inputs!$B$7/100))+(((Inputs!$B$12*(1+Inputs!$B$13/100))-(Inputs!$B$12*(1+Inputs!$B$13/100)))+0.25*(Inputs!$B$14-Inputs!$B$14))*(1+Inputs!$B$7/100))*(F1731/100)</f>
        <v/>
      </c>
      <c r="K1731">
        <f>J1731*(1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1731)</f>
        <v/>
      </c>
      <c r="L1731">
        <f>K1731*(MIN(Inputs!$B$22+((C1744=TRUE)*(F1744-Calc!F24)),(Inputs!$B$23+((C1749=TRUE)*(F1749-Calc!F29))+IF(ArtifactsInput!$M$15,CHOOSE(ArtifactsInput!$N$15+1,25,30,35,40,45,50)/100*(Inputs!$B$11-Inputs!$B$11),0)))/100+(Inputs!$B$23+((C1749=TRUE)*(F1749-Calc!F29))+IF(ArtifactsInput!$M$15,CHOOSE(ArtifactsInput!$N$15+1,25,30,35,40,45,50)/100*(Inputs!$B$11-Inputs!$B$11),0))/100)/2</f>
        <v/>
      </c>
      <c r="M1731">
        <f>L1731*(1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1">
        <f>L1731*(1-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1">
        <f>(1-Summary!$B$11)*T1731+Summary!$B$11*V1731</f>
        <v/>
      </c>
      <c r="P1731">
        <f>IF(B1765=0,0,O1731/B1765)</f>
        <v/>
      </c>
      <c r="Q1731">
        <f>IFERROR(1/IF(Inputs!$B$39="pvp",15,MAX(0.1,Skills!D11-IF(Skills!E11=TRUE,Inputs!$B$32,0))),0)</f>
        <v/>
      </c>
      <c r="R1731">
        <f>IF(AND(Inputs!$B$39&lt;&gt;"pvp",Inputs!$B$44&gt;0),IF(MAX(0,Inputs!$B$44-B1764)&lt;=0,0,(INT(MAX(0,Inputs!$B$44-B1764)/IF(Inputs!$B$39="pvp",15,MAX(0.1,Skills!D11-IF(Skills!E11=TRUE,Inputs!$B$32,0))))+1)),0)</f>
        <v/>
      </c>
      <c r="S1731">
        <f>IFERROR(O1731/N1731,0)</f>
        <v/>
      </c>
      <c r="T1731">
        <f>IF(C1731,(H1731*N1731*IF(AND(Inputs!$B$39&lt;&gt;"pvp",Inputs!$B$44&gt;0),((Skills!G11*((R1731-1)*IF(Skills!H11&gt;0,Skills!I11/Skills!H11,1)+IF(Skills!H11&gt;0,MIN(Skills!I11,MAX(0,MAX(0,Inputs!$B$44-B1764)-((R1731-1)*IF(Inputs!$B$39="pvp",15,MAX(0.1,Skills!D11-IF(Skills!E11=TRUE,Inputs!$B$32,0))))))/Skills!H11,1)))/Inputs!$B$44),G1731*Q1731))*IF(Inputs!$B$39="pvp",1,1+(Inputs!$B$20+0+Skills!P11+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1731*(1-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1">
        <f>IF(C1731,(H1731*N1731*IF(AND(Inputs!$B$39&lt;&gt;"pvp",Inputs!$B$44&gt;0),((Skills!G11*((R1731-1)*IF(Skills!H11&gt;0,Skills!I11/Skills!H11,1)+IF(Skills!H11&gt;0,MIN(Skills!I11,MAX(0,MAX(0,Inputs!$B$44-B1764)-((R1731-1)*IF(Inputs!$B$39="pvp",15,MAX(0.1,Skills!D11-IF(Skills!E11=TRUE,Inputs!$B$32,0))))))/Skills!H11,1)))/Inputs!$B$44),G1731*Q1731))*IF(Inputs!$B$39="pvp",1,(1+(Inputs!$B$21+Skills!Q11+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2">
      <c r="A1732">
        <f>Skills!A12</f>
        <v/>
      </c>
      <c r="B1732">
        <f>Skills!B12</f>
        <v/>
      </c>
      <c r="C1732">
        <f>Inputs!$B$3&gt;=105</f>
        <v/>
      </c>
      <c r="D1732">
        <f>IF(Skills!C12=1,60+Inputs!$B$25+Inputs!$B$29,IF(Skills!C12=2,90+Inputs!$B$26+Inputs!$B$29,IF(Skills!C12=3,120+Inputs!$B$27+Inputs!$B$29,MAX(0,(Inputs!$B$3-100)*3)+Inputs!$B$28+Inputs!$B$29)))</f>
        <v/>
      </c>
      <c r="E1732">
        <f>INDEX(FactorTable!$B$2:$Y$301, MATCH(ROUND(MIN(300,MAX(1,D1732)),0), FactorTable!$A$2:$A$301,0), Skills!M12+1)</f>
        <v/>
      </c>
      <c r="F1732">
        <f>IF(Skills!N12=TRUE,(Skills!L12/10)*(E1732/1000),Skills!L12/10)+Skills!O12</f>
        <v/>
      </c>
      <c r="G1732">
        <f>Skills!G12*IF(Skills!H12&gt;0,Skills!I12/Skills!H12,1)</f>
        <v/>
      </c>
      <c r="H1732">
        <f>1-(1-Skills!J12/100)^Skills!K12</f>
        <v/>
      </c>
      <c r="I1732" t="inlineStr">
        <is>
          <t>1</t>
        </is>
      </c>
      <c r="J1732">
        <f>((Inputs!$B$6*(1+Inputs!$B$7/100))+(((Inputs!$B$12*(1+Inputs!$B$13/100))-(Inputs!$B$12*(1+Inputs!$B$13/100)))+0.25*(Inputs!$B$14-Inputs!$B$14))*(1+Inputs!$B$7/100))*(F1732/100)</f>
        <v/>
      </c>
      <c r="K1732">
        <f>J1732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1732)</f>
        <v/>
      </c>
      <c r="L1732">
        <f>K1732*(MIN(Inputs!$B$22+((C1744=TRUE)*(F1744-Calc!F24)),(Inputs!$B$23+((C1749=TRUE)*(F1749-Calc!F29))+IF(ArtifactsInput!$M$15,CHOOSE(ArtifactsInput!$N$15+1,25,30,35,40,45,50)/100*(Inputs!$B$11-Inputs!$B$11),0)))/100+(Inputs!$B$23+((C1749=TRUE)*(F1749-Calc!F29))+IF(ArtifactsInput!$M$15,CHOOSE(ArtifactsInput!$N$15+1,25,30,35,40,45,50)/100*(Inputs!$B$11-Inputs!$B$11),0))/100)/2</f>
        <v/>
      </c>
      <c r="M1732">
        <f>L1732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2">
        <f>L1732*(1-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1732*(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2">
        <f>(1-Summary!$B$11)*T1732+Summary!$B$11*V1732</f>
        <v/>
      </c>
      <c r="P1732">
        <f>IF(B1765=0,0,O1732/B1765)</f>
        <v/>
      </c>
      <c r="Q1732">
        <f>IFERROR(1/IF(Inputs!$B$39="pvp",15,MAX(0.1,Skills!D12-IF(Skills!E12=TRUE,Inputs!$B$32,0))),0)</f>
        <v/>
      </c>
      <c r="R1732">
        <f>IF(AND(Inputs!$B$39&lt;&gt;"pvp",Inputs!$B$44&gt;0),IF(MAX(0,Inputs!$B$44-B1764)&lt;=0,0,(INT(MAX(0,Inputs!$B$44-B1764)/IF(Inputs!$B$39="pvp",15,MAX(0.1,Skills!D12-IF(Skills!E12=TRUE,Inputs!$B$32,0))))+1)),0)</f>
        <v/>
      </c>
      <c r="S1732">
        <f>IFERROR(O1732/N1732,0)</f>
        <v/>
      </c>
      <c r="T1732">
        <f>IF(C1732,(H1732*N1732*IF(AND(Inputs!$B$39&lt;&gt;"pvp",Inputs!$B$44&gt;0),((Skills!G12*((R1732-1)*IF(Skills!H12&gt;0,Skills!I12/Skills!H12,1)+IF(Skills!H12&gt;0,MIN(Skills!I12,MAX(0,MAX(0,Inputs!$B$44-B1764)-((R1732-1)*IF(Inputs!$B$39="pvp",15,MAX(0.1,Skills!D12-IF(Skills!E12=TRUE,Inputs!$B$32,0))))))/Skills!H12,1)))/Inputs!$B$44),G1732*Q1732))*IF(Inputs!$B$39="pvp",1,1+(Inputs!$B$20+0+Skills!P12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1732*(1-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1732*(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1732*(1-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1732*(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2">
        <f>IF(C1732,(H1732*N1732*IF(AND(Inputs!$B$39&lt;&gt;"pvp",Inputs!$B$44&gt;0),((Skills!G12*((R1732-1)*IF(Skills!H12&gt;0,Skills!I12/Skills!H12,1)+IF(Skills!H12&gt;0,MIN(Skills!I12,MAX(0,MAX(0,Inputs!$B$44-B1764)-((R1732-1)*IF(Inputs!$B$39="pvp",15,MAX(0.1,Skills!D12-IF(Skills!E12=TRUE,Inputs!$B$32,0))))))/Skills!H12,1)))/Inputs!$B$44),G1732*Q1732))*IF(Inputs!$B$39="pvp",1,(1+(Inputs!$B$21+Skills!Q12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3">
      <c r="A1733">
        <f>Skills!A13</f>
        <v/>
      </c>
      <c r="B1733">
        <f>Skills!B13</f>
        <v/>
      </c>
      <c r="C1733">
        <f>Inputs!$B$3&gt;=105</f>
        <v/>
      </c>
      <c r="D1733">
        <f>IF(Skills!C13=1,60+Inputs!$B$25+Inputs!$B$29,IF(Skills!C13=2,90+Inputs!$B$26+Inputs!$B$29,IF(Skills!C13=3,120+Inputs!$B$27+Inputs!$B$29,MAX(0,(Inputs!$B$3-100)*3)+Inputs!$B$28+Inputs!$B$29)))</f>
        <v/>
      </c>
      <c r="E1733">
        <f>INDEX(FactorTable!$B$2:$Y$301, MATCH(ROUND(MIN(300,MAX(1,D1733)),0), FactorTable!$A$2:$A$301,0), Skills!M13+1)</f>
        <v/>
      </c>
      <c r="F1733">
        <f>IF(Skills!N13=TRUE,(Skills!L13/10)*(E1733/1000),Skills!L13/10)+Skills!O13</f>
        <v/>
      </c>
      <c r="G1733">
        <f>Skills!G13*IF(Skills!H13&gt;0,Skills!I13/Skills!H13,1)</f>
        <v/>
      </c>
      <c r="H1733">
        <f>1-(1-Skills!J13/100)^Skills!K13</f>
        <v/>
      </c>
      <c r="I1733" t="inlineStr">
        <is>
          <t>1</t>
        </is>
      </c>
      <c r="J1733">
        <f>((Inputs!$B$6*(1+Inputs!$B$7/100))+(((Inputs!$B$12*(1+Inputs!$B$13/100))-(Inputs!$B$12*(1+Inputs!$B$13/100)))+0.25*(Inputs!$B$14-Inputs!$B$14))*(1+Inputs!$B$7/100))*(F1733/100)</f>
        <v/>
      </c>
      <c r="K1733">
        <f>J1733*(1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1733)</f>
        <v/>
      </c>
      <c r="L1733">
        <f>K1733*(MIN(Inputs!$B$22+((C1744=TRUE)*(F1744-Calc!F24)),(Inputs!$B$23+((C1749=TRUE)*(F1749-Calc!F29))+IF(ArtifactsInput!$M$15,CHOOSE(ArtifactsInput!$N$15+1,25,30,35,40,45,50)/100*(Inputs!$B$11-Inputs!$B$11),0)))/100+(Inputs!$B$23+((C1749=TRUE)*(F1749-Calc!F29))+IF(ArtifactsInput!$M$15,CHOOSE(ArtifactsInput!$N$15+1,25,30,35,40,45,50)/100*(Inputs!$B$11-Inputs!$B$11),0))/100)/2</f>
        <v/>
      </c>
      <c r="M1733">
        <f>L1733*(1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3">
        <f>L1733*(1-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1733*(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3">
        <f>(1-Summary!$B$11)*T1733+Summary!$B$11*V1733</f>
        <v/>
      </c>
      <c r="P1733">
        <f>IF(B1765=0,0,O1733/B1765)</f>
        <v/>
      </c>
      <c r="Q1733">
        <f>IFERROR(1/IF(Inputs!$B$39="pvp",15,MAX(0.1,Skills!D13-IF(Skills!E13=TRUE,Inputs!$B$32,0))),0)</f>
        <v/>
      </c>
      <c r="R1733">
        <f>IF(AND(Inputs!$B$39&lt;&gt;"pvp",Inputs!$B$44&gt;0),IF(MAX(0,Inputs!$B$44-B1764)&lt;=0,0,(INT(MAX(0,Inputs!$B$44-B1764)/IF(Inputs!$B$39="pvp",15,MAX(0.1,Skills!D13-IF(Skills!E13=TRUE,Inputs!$B$32,0))))+1)),0)</f>
        <v/>
      </c>
      <c r="S1733">
        <f>IFERROR(O1733/N1733,0)</f>
        <v/>
      </c>
      <c r="T1733">
        <f>IF(C1733,(H1733*N1733*IF(AND(Inputs!$B$39&lt;&gt;"pvp",Inputs!$B$44&gt;0),((Skills!G13*((R1733-1)*IF(Skills!H13&gt;0,Skills!I13/Skills!H13,1)+IF(Skills!H13&gt;0,MIN(Skills!I13,MAX(0,MAX(0,Inputs!$B$44-B1764)-((R1733-1)*IF(Inputs!$B$39="pvp",15,MAX(0.1,Skills!D13-IF(Skills!E13=TRUE,Inputs!$B$32,0))))))/Skills!H13,1)))/Inputs!$B$44),G1733*Q1733))*IF(Inputs!$B$39="pvp",1,1+(Inputs!$B$20+0+Skills!P13+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1733*(1-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1733*(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1733*(1-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1733*(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3">
        <f>IF(C1733,(H1733*N1733*IF(AND(Inputs!$B$39&lt;&gt;"pvp",Inputs!$B$44&gt;0),((Skills!G13*((R1733-1)*IF(Skills!H13&gt;0,Skills!I13/Skills!H13,1)+IF(Skills!H13&gt;0,MIN(Skills!I13,MAX(0,MAX(0,Inputs!$B$44-B1764)-((R1733-1)*IF(Inputs!$B$39="pvp",15,MAX(0.1,Skills!D13-IF(Skills!E13=TRUE,Inputs!$B$32,0))))))/Skills!H13,1)))/Inputs!$B$44),G1733*Q1733))*IF(Inputs!$B$39="pvp",1,(1+(Inputs!$B$21+Skills!Q13+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4">
      <c r="A1734">
        <f>Skills!A14</f>
        <v/>
      </c>
      <c r="B1734">
        <f>Skills!B14</f>
        <v/>
      </c>
      <c r="C1734">
        <f>Inputs!$B$3&gt;=107</f>
        <v/>
      </c>
      <c r="D1734">
        <f>IF(Skills!C14=1,60+Inputs!$B$25+Inputs!$B$29,IF(Skills!C14=2,90+Inputs!$B$26+Inputs!$B$29,IF(Skills!C14=3,120+Inputs!$B$27+Inputs!$B$29,MAX(0,(Inputs!$B$3-100)*3)+Inputs!$B$28+Inputs!$B$29)))</f>
        <v/>
      </c>
      <c r="E1734">
        <f>INDEX(FactorTable!$B$2:$Y$301, MATCH(ROUND(MIN(300,MAX(1,D1734)),0), FactorTable!$A$2:$A$301,0), Skills!M14+1)</f>
        <v/>
      </c>
      <c r="F1734">
        <f>IF(Skills!N14=TRUE,(Skills!L14/10)*(E1734/1000),Skills!L14/10)+Skills!O14</f>
        <v/>
      </c>
      <c r="G1734">
        <f>Skills!G14*IF(Skills!H14&gt;0,Skills!I14/Skills!H14,1)</f>
        <v/>
      </c>
      <c r="H1734">
        <f>1-(1-Skills!J14/100)^Skills!K14</f>
        <v/>
      </c>
      <c r="I1734" t="inlineStr">
        <is>
          <t>1</t>
        </is>
      </c>
      <c r="J1734">
        <f>((Inputs!$B$6*(1+Inputs!$B$7/100))+(((Inputs!$B$12*(1+Inputs!$B$13/100))-(Inputs!$B$12*(1+Inputs!$B$13/100)))+0.25*(Inputs!$B$14-Inputs!$B$14))*(1+Inputs!$B$7/100))*(F1734/100)</f>
        <v/>
      </c>
      <c r="K1734">
        <f>J1734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1734)</f>
        <v/>
      </c>
      <c r="L1734">
        <f>K1734*(MIN(Inputs!$B$22+((C1744=TRUE)*(F1744-Calc!F24)),(Inputs!$B$23+((C1749=TRUE)*(F1749-Calc!F29))+IF(ArtifactsInput!$M$15,CHOOSE(ArtifactsInput!$N$15+1,25,30,35,40,45,50)/100*(Inputs!$B$11-Inputs!$B$11),0)))/100+(Inputs!$B$23+((C1749=TRUE)*(F1749-Calc!F29))+IF(ArtifactsInput!$M$15,CHOOSE(ArtifactsInput!$N$15+1,25,30,35,40,45,50)/100*(Inputs!$B$11-Inputs!$B$11),0))/100)/2</f>
        <v/>
      </c>
      <c r="M1734">
        <f>L1734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4">
        <f>L1734*(1-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1734*(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4">
        <f>(1-Summary!$B$11)*T1734+Summary!$B$11*V1734</f>
        <v/>
      </c>
      <c r="P1734">
        <f>IF(B1765=0,0,O1734/B1765)</f>
        <v/>
      </c>
      <c r="Q1734">
        <f>IFERROR(1/IF(Inputs!$B$39="pvp",15,MAX(0.1,Skills!D14-IF(Skills!E14=TRUE,Inputs!$B$32,0))),0)</f>
        <v/>
      </c>
      <c r="R1734">
        <f>IF(AND(Inputs!$B$39&lt;&gt;"pvp",Inputs!$B$44&gt;0),IF(MAX(0,Inputs!$B$44-B1764)&lt;=0,0,(INT(MAX(0,Inputs!$B$44-B1764)/IF(Inputs!$B$39="pvp",15,MAX(0.1,Skills!D14-IF(Skills!E14=TRUE,Inputs!$B$32,0))))+1)),0)</f>
        <v/>
      </c>
      <c r="S1734">
        <f>IFERROR(O1734/N1734,0)</f>
        <v/>
      </c>
      <c r="T1734">
        <f>IF(C1734,(H1734*N1734*IF(AND(Inputs!$B$39&lt;&gt;"pvp",Inputs!$B$44&gt;0),((Skills!G14*((R1734-1)*IF(Skills!H14&gt;0,Skills!I14/Skills!H14,1)+IF(Skills!H14&gt;0,MIN(Skills!I14,MAX(0,MAX(0,Inputs!$B$44-B1764)-((R1734-1)*IF(Inputs!$B$39="pvp",15,MAX(0.1,Skills!D14-IF(Skills!E14=TRUE,Inputs!$B$32,0))))))/Skills!H14,1)))/Inputs!$B$44),G1734*Q1734))*IF(Inputs!$B$39="pvp",1,1+(Inputs!$B$20+0+Skills!P14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1734*(1-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1734*(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1734*(1-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1734*(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4">
        <f>IF(C1734,(H1734*N1734*IF(AND(Inputs!$B$39&lt;&gt;"pvp",Inputs!$B$44&gt;0),((Skills!G14*((R1734-1)*IF(Skills!H14&gt;0,Skills!I14/Skills!H14,1)+IF(Skills!H14&gt;0,MIN(Skills!I14,MAX(0,MAX(0,Inputs!$B$44-B1764)-((R1734-1)*IF(Inputs!$B$39="pvp",15,MAX(0.1,Skills!D14-IF(Skills!E14=TRUE,Inputs!$B$32,0))))))/Skills!H14,1)))/Inputs!$B$44),G1734*Q1734))*IF(Inputs!$B$39="pvp",1,(1+(Inputs!$B$21+Skills!Q14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(5,0.25*B1757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5">
      <c r="A1735">
        <f>Skills!A15</f>
        <v/>
      </c>
      <c r="B1735">
        <f>Skills!B15</f>
        <v/>
      </c>
      <c r="C1735">
        <f>Inputs!$B$3&gt;=110</f>
        <v/>
      </c>
      <c r="D1735">
        <f>IF(Skills!C15=1,60+Inputs!$B$25+Inputs!$B$29,IF(Skills!C15=2,90+Inputs!$B$26+Inputs!$B$29,IF(Skills!C15=3,120+Inputs!$B$27+Inputs!$B$29,MAX(0,(Inputs!$B$3-100)*3)+Inputs!$B$28+Inputs!$B$29)))</f>
        <v/>
      </c>
      <c r="E1735">
        <f>INDEX(FactorTable!$B$2:$Y$301, MATCH(ROUND(MIN(300,MAX(1,D1735)),0), FactorTable!$A$2:$A$301,0), Skills!M15+1)</f>
        <v/>
      </c>
      <c r="F1735">
        <f>IF(Skills!N15=TRUE,(Skills!L15/10)*(E1735/1000),Skills!L15/10)+Skills!O15</f>
        <v/>
      </c>
      <c r="G1735">
        <f>Skills!G15*IF(Skills!H15&gt;0,Skills!I15/Skills!H15,1)</f>
        <v/>
      </c>
      <c r="H1735">
        <f>1-(1-Skills!J15/100)^Skills!K15</f>
        <v/>
      </c>
      <c r="I1735" t="inlineStr">
        <is>
          <t>1</t>
        </is>
      </c>
      <c r="J1735" t="inlineStr"/>
      <c r="K1735" t="inlineStr"/>
      <c r="L1735" t="inlineStr"/>
      <c r="M1735" t="inlineStr"/>
      <c r="N1735" t="inlineStr"/>
      <c r="O1735">
        <f>(1-Summary!$B$11)*T1735+Summary!$B$11*V1735</f>
        <v/>
      </c>
      <c r="P1735">
        <f>IF(B1765=0,0,O1735/B1765)</f>
        <v/>
      </c>
      <c r="Q1735">
        <f>IFERROR(1/IF(Inputs!$B$39="pvp",15,MAX(0.1,Skills!D15-IF(Skills!E15=TRUE,Inputs!$B$32,0))),0)</f>
        <v/>
      </c>
      <c r="R1735">
        <f>IF(AND(Inputs!$B$39&lt;&gt;"pvp",Inputs!$B$44&gt;0),IF(Inputs!$B$44&lt;=0,0,(INT(Inputs!$B$44/IF(Inputs!$B$39="pvp",15,MAX(0.1,Skills!D15-IF(Skills!E15=TRUE,Inputs!$B$32,0))))+1)),0)</f>
        <v/>
      </c>
      <c r="S1735">
        <f>IFERROR(O1735/N1735,0)</f>
        <v/>
      </c>
      <c r="T1735" t="n">
        <v>0</v>
      </c>
      <c r="V1735" t="n">
        <v>0</v>
      </c>
    </row>
    <row r="1736">
      <c r="A1736">
        <f>Skills!A16</f>
        <v/>
      </c>
      <c r="B1736">
        <f>Skills!B16</f>
        <v/>
      </c>
      <c r="C1736">
        <f>Inputs!$B$3&gt;=115</f>
        <v/>
      </c>
      <c r="D1736">
        <f>IF(Skills!C16=1,60+Inputs!$B$25+Inputs!$B$29,IF(Skills!C16=2,90+Inputs!$B$26+Inputs!$B$29,IF(Skills!C16=3,120+Inputs!$B$27+Inputs!$B$29,MAX(0,(Inputs!$B$3-100)*3)+Inputs!$B$28+Inputs!$B$29)))</f>
        <v/>
      </c>
      <c r="E1736">
        <f>INDEX(FactorTable!$B$2:$Y$301, MATCH(ROUND(MIN(300,MAX(1,D1736)),0), FactorTable!$A$2:$A$301,0), Skills!M16+1)</f>
        <v/>
      </c>
      <c r="F1736">
        <f>IF(Skills!N16=TRUE,(Skills!L16/10)*(E1736/1000),Skills!L16/10)+Skills!O16</f>
        <v/>
      </c>
      <c r="G1736">
        <f>Skills!G16*IF(Skills!H16&gt;0,Skills!I16/Skills!H16,1)</f>
        <v/>
      </c>
      <c r="H1736">
        <f>1-(1-Skills!J16/100)^Skills!K16</f>
        <v/>
      </c>
      <c r="I1736" t="inlineStr">
        <is>
          <t>1</t>
        </is>
      </c>
      <c r="J1736">
        <f>((Inputs!$B$6*(1+Inputs!$B$7/100))+(((Inputs!$B$12*(1+Inputs!$B$13/100))-(Inputs!$B$12*(1+Inputs!$B$13/100)))+0.25*(Inputs!$B$14-Inputs!$B$14))*(1+Inputs!$B$7/100))*(F1736/100)</f>
        <v/>
      </c>
      <c r="K1736">
        <f>J1736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1747=TRUE)*(F1747-Calc!F27))+((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1736)</f>
        <v/>
      </c>
      <c r="L1736">
        <f>K1736*(MIN(Inputs!$B$22+((C1744=TRUE)*(F1744-Calc!F24)),(Inputs!$B$23+((C1749=TRUE)*(F1749-Calc!F29))+IF(ArtifactsInput!$M$15,CHOOSE(ArtifactsInput!$N$15+1,25,30,35,40,45,50)/100*(Inputs!$B$11-Inputs!$B$11),0)))/100+(Inputs!$B$23+((C1749=TRUE)*(F1749-Calc!F29))+IF(ArtifactsInput!$M$15,CHOOSE(ArtifactsInput!$N$15+1,25,30,35,40,45,50)/100*(Inputs!$B$11-Inputs!$B$11),0))/100)/2</f>
        <v/>
      </c>
      <c r="M1736">
        <f>L1736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6">
        <f>L1736*(1-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1736*(MIN((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6">
        <f>(1-Summary!$B$11)*T1736+Summary!$B$11*V1736</f>
        <v/>
      </c>
      <c r="P1736">
        <f>IF(B1765=0,0,O1736/B1765)</f>
        <v/>
      </c>
      <c r="Q1736" t="n">
        <v>0</v>
      </c>
      <c r="R1736" t="n">
        <v>0</v>
      </c>
      <c r="S1736">
        <f>IFERROR(O1736/N1736,0)</f>
        <v/>
      </c>
      <c r="T1736">
        <f>IF(C1736,(Inputs!$B$38*0.2*N1736)*IF(Inputs!$B$39="pvp",1,1+(Inputs!$B$20+0+Skills!P16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1736*(1-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1736*(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1736*(1-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1736*(MIN(100,(Inputs!$B$9+((C1745=TRUE)*(F1745-Calc!F25))+B1753+(ArtifactsInput!$M$24-ArtifactsInput!$M$24)*CHOOSE(ArtifactsInput!$N$24+1,10,12,14,16,18,20)+(IF(AND(Inputs!$B$39&lt;&gt;"pvp",Inputs!$B$44=0),1,IF(IF(Inputs!$B$39="pvp",15,Inputs!$B$44)-(B1764)&lt;=0,1,MAX(0,IF(Inputs!$B$39="pvp",15,Inputs!$B$44)-MAX(5,B1764))/(IF(Inputs!$B$39="pvp",15,Inputs!$B$44)-(B1764))))*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6">
        <f>IF(C1736,(Inputs!$B$38*0.2*N1736)*IF(Inputs!$B$39="pvp",1,(1+(Inputs!$B$21+Skills!Q16+B1754+(IF(ArtifactsInput!$M$33,CHOOSE(ArtifactsInput!$N$33+1,30,36,42,48,54,60),0))+(IF(AND(ArtifactsInput!$M$35,Inputs!$B$4&lt;&gt;"Chapter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7">
      <c r="A1737">
        <f>Skills!A17</f>
        <v/>
      </c>
      <c r="B1737">
        <f>Skills!B17</f>
        <v/>
      </c>
      <c r="C1737">
        <f>Inputs!$B$3&gt;=115</f>
        <v/>
      </c>
      <c r="D1737">
        <f>IF(Skills!C17=1,60+Inputs!$B$25+Inputs!$B$29,IF(Skills!C17=2,90+Inputs!$B$26+Inputs!$B$29,IF(Skills!C17=3,120+Inputs!$B$27+Inputs!$B$29,MAX(0,(Inputs!$B$3-100)*3)+Inputs!$B$28+Inputs!$B$29)))</f>
        <v/>
      </c>
      <c r="E1737">
        <f>INDEX(FactorTable!$B$2:$Y$301, MATCH(ROUND(MIN(300,MAX(1,D1737)),0), FactorTable!$A$2:$A$301,0), Skills!M17+1)</f>
        <v/>
      </c>
      <c r="F1737">
        <f>IF(Skills!N17=TRUE,(Skills!L17/10)*(E1737/1000),Skills!L17/10)+Skills!O17</f>
        <v/>
      </c>
      <c r="G1737">
        <f>Skills!G17*IF(Skills!H17&gt;0,Skills!I17/Skills!H17,1)</f>
        <v/>
      </c>
      <c r="H1737">
        <f>1-(1-Skills!J17/100)^Skills!K17</f>
        <v/>
      </c>
      <c r="I1737" t="inlineStr">
        <is>
          <t>1</t>
        </is>
      </c>
      <c r="J1737" t="inlineStr"/>
      <c r="K1737" t="inlineStr"/>
      <c r="L1737" t="inlineStr"/>
      <c r="M1737" t="inlineStr"/>
      <c r="N1737" t="inlineStr"/>
      <c r="O1737">
        <f>(1-Summary!$B$11)*T1737+Summary!$B$11*V1737</f>
        <v/>
      </c>
      <c r="P1737">
        <f>IF(B1765=0,0,O1737/B1765)</f>
        <v/>
      </c>
      <c r="Q1737" t="n">
        <v>0</v>
      </c>
      <c r="R1737" t="n">
        <v>0</v>
      </c>
      <c r="S1737">
        <f>IFERROR(O1737/N1737,0)</f>
        <v/>
      </c>
      <c r="T1737" t="n">
        <v>0</v>
      </c>
      <c r="V1737" t="n">
        <v>0</v>
      </c>
    </row>
    <row r="1738">
      <c r="A1738">
        <f>Skills!A18</f>
        <v/>
      </c>
      <c r="B1738">
        <f>Skills!B18</f>
        <v/>
      </c>
      <c r="C1738">
        <f>Inputs!$B$3&gt;=100</f>
        <v/>
      </c>
      <c r="D1738">
        <f>IF(Skills!C18=1,60+Inputs!$B$25+Inputs!$B$29,IF(Skills!C18=2,90+Inputs!$B$26+Inputs!$B$29,IF(Skills!C18=3,120+Inputs!$B$27+Inputs!$B$29,MAX(0,(Inputs!$B$3-100)*3)+Inputs!$B$28+Inputs!$B$29)))</f>
        <v/>
      </c>
      <c r="E1738">
        <f>INDEX(FactorTable!$B$2:$Y$301, MATCH(ROUND(MIN(300,MAX(1,D1738)),0), FactorTable!$A$2:$A$301,0), Skills!M18+1)</f>
        <v/>
      </c>
      <c r="F1738">
        <f>IF(Skills!N18=TRUE,(Skills!L18/10)*(E1738/1000),Skills!L18/10)+Skills!O18</f>
        <v/>
      </c>
      <c r="G1738">
        <f>Skills!G18*IF(Skills!H18&gt;0,Skills!I18/Skills!H18,1)</f>
        <v/>
      </c>
      <c r="H1738">
        <f>1-(1-Skills!J18/100)^Skills!K18</f>
        <v/>
      </c>
      <c r="I1738" t="inlineStr">
        <is>
          <t>1</t>
        </is>
      </c>
      <c r="J1738" t="inlineStr"/>
      <c r="K1738" t="inlineStr"/>
      <c r="L1738" t="inlineStr"/>
      <c r="M1738" t="inlineStr"/>
      <c r="N1738" t="inlineStr"/>
      <c r="O1738">
        <f>(1-Summary!$B$11)*T1738+Summary!$B$11*V1738</f>
        <v/>
      </c>
      <c r="P1738">
        <f>IF(B1765=0,0,O1738/B1765)</f>
        <v/>
      </c>
      <c r="Q1738" t="n">
        <v>0</v>
      </c>
      <c r="R1738" t="n">
        <v>0</v>
      </c>
      <c r="S1738">
        <f>IFERROR(O1738/N1738,0)</f>
        <v/>
      </c>
      <c r="T1738" t="n">
        <v>0</v>
      </c>
      <c r="V1738" t="n">
        <v>0</v>
      </c>
    </row>
    <row r="1739">
      <c r="A1739">
        <f>Skills!A19</f>
        <v/>
      </c>
      <c r="B1739">
        <f>Skills!B19</f>
        <v/>
      </c>
      <c r="C1739">
        <f>TRUE</f>
        <v/>
      </c>
      <c r="D1739">
        <f>IF(Skills!C19=1,60+Inputs!$B$25+Inputs!$B$29,IF(Skills!C19=2,90+Inputs!$B$26+Inputs!$B$29,IF(Skills!C19=3,120+Inputs!$B$27+Inputs!$B$29,MAX(0,(Inputs!$B$3-100)*3)+Inputs!$B$28+Inputs!$B$29)))</f>
        <v/>
      </c>
      <c r="E1739">
        <f>INDEX(FactorTable!$B$2:$Y$301, MATCH(ROUND(MIN(300,MAX(1,D1739)),0), FactorTable!$A$2:$A$301,0), Skills!M19+1)</f>
        <v/>
      </c>
      <c r="F1739">
        <f>IF(Skills!N19=TRUE,(Skills!L19/10)*(E1739/1000),Skills!L19/10)+Skills!O19</f>
        <v/>
      </c>
      <c r="G1739">
        <f>Skills!G19*IF(Skills!H19&gt;0,Skills!I19/Skills!H19,1)</f>
        <v/>
      </c>
      <c r="H1739">
        <f>1-(1-Skills!J19/100)^Skills!K19</f>
        <v/>
      </c>
      <c r="I1739" t="inlineStr">
        <is>
          <t>1</t>
        </is>
      </c>
      <c r="J1739" t="inlineStr"/>
      <c r="K1739" t="inlineStr"/>
      <c r="L1739" t="inlineStr"/>
      <c r="M1739" t="inlineStr"/>
      <c r="N1739" t="inlineStr"/>
      <c r="O1739">
        <f>(1-Summary!$B$11)*T1739+Summary!$B$11*V1739</f>
        <v/>
      </c>
      <c r="P1739">
        <f>IF(B1765=0,0,O1739/B1765)</f>
        <v/>
      </c>
      <c r="Q1739">
        <f>IFERROR(1/IF(Inputs!$B$39="pvp",15,MAX(0.1,Skills!D19-IF(Skills!E19=TRUE,Inputs!$B$32,0))),0)</f>
        <v/>
      </c>
      <c r="R1739">
        <f>IF(AND(Inputs!$B$39&lt;&gt;"pvp",Inputs!$B$44&gt;0),IF(Inputs!$B$44&lt;=0,0,(INT(Inputs!$B$44/IF(Inputs!$B$39="pvp",15,MAX(0.1,Skills!D19-IF(Skills!E19=TRUE,Inputs!$B$32,0))))+1)),0)</f>
        <v/>
      </c>
      <c r="S1739">
        <f>IFERROR(O1739/N1739,0)</f>
        <v/>
      </c>
      <c r="T1739" t="n">
        <v>0</v>
      </c>
      <c r="V1739" t="n">
        <v>0</v>
      </c>
    </row>
    <row r="1740">
      <c r="A1740">
        <f>Skills!A20</f>
        <v/>
      </c>
      <c r="B1740">
        <f>Skills!B20</f>
        <v/>
      </c>
      <c r="C1740">
        <f>Inputs!$B$3&gt;=15</f>
        <v/>
      </c>
      <c r="D1740">
        <f>IF(Skills!C20=1,60+Inputs!$B$25+Inputs!$B$29,IF(Skills!C20=2,90+Inputs!$B$26+Inputs!$B$29,IF(Skills!C20=3,120+Inputs!$B$27+Inputs!$B$29,MAX(0,(Inputs!$B$3-100)*3)+Inputs!$B$28+Inputs!$B$29)))</f>
        <v/>
      </c>
      <c r="E1740">
        <f>INDEX(FactorTable!$B$2:$Y$301, MATCH(ROUND(MIN(300,MAX(1,D1740)),0), FactorTable!$A$2:$A$301,0), Skills!M20+1)</f>
        <v/>
      </c>
      <c r="F1740">
        <f>IF(Skills!N20=TRUE,(Skills!L20/10)*(E1740/1000),Skills!L20/10)+Skills!O20</f>
        <v/>
      </c>
      <c r="G1740">
        <f>Skills!G20*IF(Skills!H20&gt;0,Skills!I20/Skills!H20,1)</f>
        <v/>
      </c>
      <c r="H1740">
        <f>1-(1-Skills!J20/100)^Skills!K20</f>
        <v/>
      </c>
      <c r="I1740" t="inlineStr">
        <is>
          <t>1</t>
        </is>
      </c>
      <c r="J1740" t="inlineStr"/>
      <c r="K1740" t="inlineStr"/>
      <c r="L1740" t="inlineStr"/>
      <c r="M1740" t="inlineStr"/>
      <c r="N1740" t="inlineStr"/>
      <c r="O1740">
        <f>(1-Summary!$B$11)*T1740+Summary!$B$11*V1740</f>
        <v/>
      </c>
      <c r="P1740">
        <f>IF(B1765=0,0,O1740/B1765)</f>
        <v/>
      </c>
      <c r="Q1740">
        <f>IFERROR(1/IF(Inputs!$B$39="pvp",15,MAX(0.1,Skills!D20-IF(Skills!E20=TRUE,Inputs!$B$32,0))),0)</f>
        <v/>
      </c>
      <c r="R1740">
        <f>IF(AND(Inputs!$B$39&lt;&gt;"pvp",Inputs!$B$44&gt;0),IF(Inputs!$B$44&lt;=0,0,(INT(Inputs!$B$44/IF(Inputs!$B$39="pvp",15,MAX(0.1,Skills!D20-IF(Skills!E20=TRUE,Inputs!$B$32,0))))+1)),0)</f>
        <v/>
      </c>
      <c r="S1740">
        <f>IFERROR(O1740/N1740,0)</f>
        <v/>
      </c>
      <c r="T1740" t="n">
        <v>0</v>
      </c>
      <c r="V1740" t="n">
        <v>0</v>
      </c>
    </row>
    <row r="1741">
      <c r="A1741">
        <f>Skills!A21</f>
        <v/>
      </c>
      <c r="B1741">
        <f>Skills!B21</f>
        <v/>
      </c>
      <c r="C1741">
        <f>Inputs!$B$3&gt;=15</f>
        <v/>
      </c>
      <c r="D1741">
        <f>IF(Skills!C21=1,60+Inputs!$B$25+Inputs!$B$29,IF(Skills!C21=2,90+Inputs!$B$26+Inputs!$B$29,IF(Skills!C21=3,120+Inputs!$B$27+Inputs!$B$29,MAX(0,(Inputs!$B$3-100)*3)+Inputs!$B$28+Inputs!$B$29)))</f>
        <v/>
      </c>
      <c r="E1741">
        <f>INDEX(FactorTable!$B$2:$Y$301, MATCH(ROUND(MIN(300,MAX(1,D1741)),0), FactorTable!$A$2:$A$301,0), Skills!M21+1)</f>
        <v/>
      </c>
      <c r="F1741">
        <f>IF(Skills!N21=TRUE,(Skills!L21/10)*(E1741/1000),Skills!L21/10)+Skills!O21</f>
        <v/>
      </c>
      <c r="G1741">
        <f>Skills!G21*IF(Skills!H21&gt;0,Skills!I21/Skills!H21,1)</f>
        <v/>
      </c>
      <c r="H1741">
        <f>1-(1-Skills!J21/100)^Skills!K21</f>
        <v/>
      </c>
      <c r="I1741" t="inlineStr">
        <is>
          <t>1</t>
        </is>
      </c>
      <c r="J1741" t="inlineStr"/>
      <c r="K1741" t="inlineStr"/>
      <c r="L1741" t="inlineStr"/>
      <c r="M1741" t="inlineStr"/>
      <c r="N1741" t="inlineStr"/>
      <c r="O1741">
        <f>(1-Summary!$B$11)*T1741+Summary!$B$11*V1741</f>
        <v/>
      </c>
      <c r="P1741">
        <f>IF(B1765=0,0,O1741/B1765)</f>
        <v/>
      </c>
      <c r="Q1741">
        <f>IFERROR(1/IF(Inputs!$B$39="pvp",15,MAX(0.1,Skills!D21-IF(Skills!E21=TRUE,Inputs!$B$32,0))),0)</f>
        <v/>
      </c>
      <c r="R1741">
        <f>IF(AND(Inputs!$B$39&lt;&gt;"pvp",Inputs!$B$44&gt;0),IF(Inputs!$B$44&lt;=0,0,(INT(Inputs!$B$44/IF(Inputs!$B$39="pvp",15,MAX(0.1,Skills!D21-IF(Skills!E21=TRUE,Inputs!$B$32,0))))+1)),0)</f>
        <v/>
      </c>
      <c r="S1741">
        <f>IFERROR(O1741/N1741,0)</f>
        <v/>
      </c>
      <c r="T1741" t="n">
        <v>0</v>
      </c>
      <c r="V1741" t="n">
        <v>0</v>
      </c>
    </row>
    <row r="1742">
      <c r="A1742">
        <f>Skills!A22</f>
        <v/>
      </c>
      <c r="B1742">
        <f>Skills!B22</f>
        <v/>
      </c>
      <c r="C1742">
        <f>Inputs!$B$3&gt;=33</f>
        <v/>
      </c>
      <c r="D1742">
        <f>IF(Skills!C22=1,60+Inputs!$B$25+Inputs!$B$29,IF(Skills!C22=2,90+Inputs!$B$26+Inputs!$B$29,IF(Skills!C22=3,120+Inputs!$B$27+Inputs!$B$29,MAX(0,(Inputs!$B$3-100)*3)+Inputs!$B$28+Inputs!$B$29)))</f>
        <v/>
      </c>
      <c r="E1742">
        <f>INDEX(FactorTable!$B$2:$Y$301, MATCH(ROUND(MIN(300,MAX(1,D1742)),0), FactorTable!$A$2:$A$301,0), Skills!M22+1)</f>
        <v/>
      </c>
      <c r="F1742">
        <f>IF(Skills!N22=TRUE,(Skills!L22/10)*(E1742/1000),Skills!L22/10)+Skills!O22</f>
        <v/>
      </c>
      <c r="G1742">
        <f>Skills!G22*IF(Skills!H22&gt;0,Skills!I22/Skills!H22,1)</f>
        <v/>
      </c>
      <c r="H1742">
        <f>1-(1-Skills!J22/100)^Skills!K22</f>
        <v/>
      </c>
      <c r="I1742" t="inlineStr">
        <is>
          <t>1</t>
        </is>
      </c>
      <c r="J1742" t="inlineStr"/>
      <c r="K1742" t="inlineStr"/>
      <c r="L1742" t="inlineStr"/>
      <c r="M1742" t="inlineStr"/>
      <c r="N1742" t="inlineStr"/>
      <c r="O1742">
        <f>(1-Summary!$B$11)*T1742+Summary!$B$11*V1742</f>
        <v/>
      </c>
      <c r="P1742">
        <f>IF(B1765=0,0,O1742/B1765)</f>
        <v/>
      </c>
      <c r="Q1742" t="n">
        <v>0</v>
      </c>
      <c r="R1742" t="n">
        <v>0</v>
      </c>
      <c r="S1742">
        <f>IFERROR(O1742/N1742,0)</f>
        <v/>
      </c>
      <c r="T1742" t="n">
        <v>0</v>
      </c>
      <c r="V1742" t="n">
        <v>0</v>
      </c>
    </row>
    <row r="1743">
      <c r="A1743">
        <f>Skills!A23</f>
        <v/>
      </c>
      <c r="B1743">
        <f>Skills!B23</f>
        <v/>
      </c>
      <c r="C1743">
        <f>Inputs!$B$3&gt;=40</f>
        <v/>
      </c>
      <c r="D1743">
        <f>IF(Skills!C23=1,60+Inputs!$B$25+Inputs!$B$29,IF(Skills!C23=2,90+Inputs!$B$26+Inputs!$B$29,IF(Skills!C23=3,120+Inputs!$B$27+Inputs!$B$29,MAX(0,(Inputs!$B$3-100)*3)+Inputs!$B$28+Inputs!$B$29)))</f>
        <v/>
      </c>
      <c r="E1743">
        <f>INDEX(FactorTable!$B$2:$Y$301, MATCH(ROUND(MIN(300,MAX(1,D1743)),0), FactorTable!$A$2:$A$301,0), Skills!M23+1)</f>
        <v/>
      </c>
      <c r="F1743">
        <f>IF(Skills!N23=TRUE,(Skills!L23/10)*(E1743/1000),Skills!L23/10)+Skills!O23</f>
        <v/>
      </c>
      <c r="G1743">
        <f>Skills!G23*IF(Skills!H23&gt;0,Skills!I23/Skills!H23,1)</f>
        <v/>
      </c>
      <c r="H1743">
        <f>1-(1-Skills!J23/100)^Skills!K23</f>
        <v/>
      </c>
      <c r="I1743" t="inlineStr">
        <is>
          <t>1</t>
        </is>
      </c>
      <c r="J1743" t="inlineStr"/>
      <c r="K1743" t="inlineStr"/>
      <c r="L1743" t="inlineStr"/>
      <c r="M1743" t="inlineStr"/>
      <c r="N1743" t="inlineStr"/>
      <c r="O1743">
        <f>(1-Summary!$B$11)*T1743+Summary!$B$11*V1743</f>
        <v/>
      </c>
      <c r="P1743">
        <f>IF(B1765=0,0,O1743/B1765)</f>
        <v/>
      </c>
      <c r="Q1743" t="n">
        <v>0</v>
      </c>
      <c r="R1743" t="n">
        <v>0</v>
      </c>
      <c r="S1743">
        <f>IFERROR(O1743/N1743,0)</f>
        <v/>
      </c>
      <c r="T1743" t="n">
        <v>0</v>
      </c>
      <c r="V1743" t="n">
        <v>0</v>
      </c>
    </row>
    <row r="1744">
      <c r="A1744">
        <f>Skills!A24</f>
        <v/>
      </c>
      <c r="B1744">
        <f>Skills!B24</f>
        <v/>
      </c>
      <c r="C1744">
        <f>Inputs!$B$3&gt;=43</f>
        <v/>
      </c>
      <c r="D1744">
        <f>IF(Skills!C24=1,60+Inputs!$B$25+Inputs!$B$29,IF(Skills!C24=2,90+Inputs!$B$26+Inputs!$B$29,IF(Skills!C24=3,120+Inputs!$B$27+Inputs!$B$29,MAX(0,(Inputs!$B$3-100)*3)+Inputs!$B$28+Inputs!$B$29)))</f>
        <v/>
      </c>
      <c r="E1744">
        <f>INDEX(FactorTable!$B$2:$Y$301, MATCH(ROUND(MIN(300,MAX(1,D1744)),0), FactorTable!$A$2:$A$301,0), Skills!M24+1)</f>
        <v/>
      </c>
      <c r="F1744">
        <f>IF(Skills!N24=TRUE,(Skills!L24/10)*(E1744/1000),Skills!L24/10)+Skills!O24</f>
        <v/>
      </c>
      <c r="G1744">
        <f>Skills!G24*IF(Skills!H24&gt;0,Skills!I24/Skills!H24,1)</f>
        <v/>
      </c>
      <c r="H1744">
        <f>1-(1-Skills!J24/100)^Skills!K24</f>
        <v/>
      </c>
      <c r="I1744" t="inlineStr">
        <is>
          <t>1</t>
        </is>
      </c>
      <c r="J1744" t="inlineStr"/>
      <c r="K1744" t="inlineStr"/>
      <c r="L1744" t="inlineStr"/>
      <c r="M1744" t="inlineStr"/>
      <c r="N1744" t="inlineStr"/>
      <c r="O1744">
        <f>(1-Summary!$B$11)*T1744+Summary!$B$11*V1744</f>
        <v/>
      </c>
      <c r="P1744">
        <f>IF(B1765=0,0,O1744/B1765)</f>
        <v/>
      </c>
      <c r="Q1744" t="n">
        <v>0</v>
      </c>
      <c r="R1744" t="n">
        <v>0</v>
      </c>
      <c r="S1744">
        <f>IFERROR(O1744/N1744,0)</f>
        <v/>
      </c>
      <c r="T1744" t="n">
        <v>0</v>
      </c>
      <c r="V1744" t="n">
        <v>0</v>
      </c>
    </row>
    <row r="1745">
      <c r="A1745">
        <f>Skills!A25</f>
        <v/>
      </c>
      <c r="B1745">
        <f>Skills!B25</f>
        <v/>
      </c>
      <c r="C1745">
        <f>Inputs!$B$3&gt;=50</f>
        <v/>
      </c>
      <c r="D1745">
        <f>IF(Skills!C25=1,60+Inputs!$B$25+Inputs!$B$29,IF(Skills!C25=2,90+Inputs!$B$26+Inputs!$B$29,IF(Skills!C25=3,120+Inputs!$B$27+Inputs!$B$29,MAX(0,(Inputs!$B$3-100)*3)+Inputs!$B$28+Inputs!$B$29)))</f>
        <v/>
      </c>
      <c r="E1745">
        <f>INDEX(FactorTable!$B$2:$Y$301, MATCH(ROUND(MIN(300,MAX(1,D1745)),0), FactorTable!$A$2:$A$301,0), Skills!M25+1)</f>
        <v/>
      </c>
      <c r="F1745">
        <f>IF(Skills!N25=TRUE,(Skills!L25/10)*(E1745/1000),Skills!L25/10)+Skills!O25</f>
        <v/>
      </c>
      <c r="G1745">
        <f>Skills!G25*IF(Skills!H25&gt;0,Skills!I25/Skills!H25,1)</f>
        <v/>
      </c>
      <c r="H1745">
        <f>1-(1-Skills!J25/100)^Skills!K25</f>
        <v/>
      </c>
      <c r="I1745" t="inlineStr">
        <is>
          <t>1</t>
        </is>
      </c>
      <c r="J1745" t="inlineStr"/>
      <c r="K1745" t="inlineStr"/>
      <c r="L1745" t="inlineStr"/>
      <c r="M1745" t="inlineStr"/>
      <c r="N1745" t="inlineStr"/>
      <c r="O1745">
        <f>(1-Summary!$B$11)*T1745+Summary!$B$11*V1745</f>
        <v/>
      </c>
      <c r="P1745">
        <f>IF(B1765=0,0,O1745/B1765)</f>
        <v/>
      </c>
      <c r="Q1745" t="n">
        <v>0</v>
      </c>
      <c r="R1745" t="n">
        <v>0</v>
      </c>
      <c r="S1745">
        <f>IFERROR(O1745/N1745,0)</f>
        <v/>
      </c>
      <c r="T1745" t="n">
        <v>0</v>
      </c>
      <c r="V1745" t="n">
        <v>0</v>
      </c>
    </row>
    <row r="1746">
      <c r="A1746">
        <f>Skills!A26</f>
        <v/>
      </c>
      <c r="B1746">
        <f>Skills!B26</f>
        <v/>
      </c>
      <c r="C1746">
        <f>Inputs!$B$3&gt;=50</f>
        <v/>
      </c>
      <c r="D1746">
        <f>IF(Skills!C26=1,60+Inputs!$B$25+Inputs!$B$29,IF(Skills!C26=2,90+Inputs!$B$26+Inputs!$B$29,IF(Skills!C26=3,120+Inputs!$B$27+Inputs!$B$29,MAX(0,(Inputs!$B$3-100)*3)+Inputs!$B$28+Inputs!$B$29)))</f>
        <v/>
      </c>
      <c r="E1746">
        <f>INDEX(FactorTable!$B$2:$Y$301, MATCH(ROUND(MIN(300,MAX(1,D1746)),0), FactorTable!$A$2:$A$301,0), Skills!M26+1)</f>
        <v/>
      </c>
      <c r="F1746">
        <f>IF(Skills!N26=TRUE,(Skills!L26/10)*(E1746/1000),Skills!L26/10)+Skills!O26</f>
        <v/>
      </c>
      <c r="G1746">
        <f>Skills!G26*IF(Skills!H26&gt;0,Skills!I26/Skills!H26,1)</f>
        <v/>
      </c>
      <c r="H1746">
        <f>1-(1-Skills!J26/100)^Skills!K26</f>
        <v/>
      </c>
      <c r="I1746" t="inlineStr">
        <is>
          <t>1</t>
        </is>
      </c>
      <c r="J1746" t="inlineStr"/>
      <c r="K1746" t="inlineStr"/>
      <c r="L1746" t="inlineStr"/>
      <c r="M1746" t="inlineStr"/>
      <c r="N1746" t="inlineStr"/>
      <c r="O1746">
        <f>(1-Summary!$B$11)*T1746+Summary!$B$11*V1746</f>
        <v/>
      </c>
      <c r="P1746">
        <f>IF(B1765=0,0,O1746/B1765)</f>
        <v/>
      </c>
      <c r="Q1746" t="n">
        <v>0</v>
      </c>
      <c r="R1746" t="n">
        <v>0</v>
      </c>
      <c r="S1746">
        <f>IFERROR(O1746/N1746,0)</f>
        <v/>
      </c>
      <c r="T1746" t="n">
        <v>0</v>
      </c>
      <c r="V1746" t="n">
        <v>0</v>
      </c>
    </row>
    <row r="1747">
      <c r="A1747">
        <f>Skills!A27</f>
        <v/>
      </c>
      <c r="B1747">
        <f>Skills!B27</f>
        <v/>
      </c>
      <c r="C1747">
        <f>Inputs!$B$3&gt;=38</f>
        <v/>
      </c>
      <c r="D1747">
        <f>IF(Skills!C27=1,60+Inputs!$B$25+Inputs!$B$29,IF(Skills!C27=2,90+Inputs!$B$26+Inputs!$B$29,IF(Skills!C27=3,120+Inputs!$B$27+Inputs!$B$29,MAX(0,(Inputs!$B$3-100)*3)+Inputs!$B$28+Inputs!$B$29)))</f>
        <v/>
      </c>
      <c r="E1747">
        <f>INDEX(FactorTable!$B$2:$Y$301, MATCH(ROUND(MIN(300,MAX(1,D1747)),0), FactorTable!$A$2:$A$301,0), Skills!M27+1)</f>
        <v/>
      </c>
      <c r="F1747">
        <f>IF(Skills!N27=TRUE,(Skills!L27/10)*(E1747/1000),Skills!L27/10)+Skills!O27</f>
        <v/>
      </c>
      <c r="G1747">
        <f>Skills!G27*IF(Skills!H27&gt;0,Skills!I27/Skills!H27,1)</f>
        <v/>
      </c>
      <c r="H1747">
        <f>1-(1-Skills!J27/100)^Skills!K27</f>
        <v/>
      </c>
      <c r="I1747" t="inlineStr">
        <is>
          <t>1</t>
        </is>
      </c>
      <c r="J1747" t="inlineStr"/>
      <c r="K1747" t="inlineStr"/>
      <c r="L1747" t="inlineStr"/>
      <c r="M1747" t="inlineStr"/>
      <c r="N1747" t="inlineStr"/>
      <c r="O1747">
        <f>(1-Summary!$B$11)*T1747+Summary!$B$11*V1747</f>
        <v/>
      </c>
      <c r="P1747">
        <f>IF(B1765=0,0,O1747/B1765)</f>
        <v/>
      </c>
      <c r="Q1747" t="n">
        <v>0</v>
      </c>
      <c r="R1747" t="n">
        <v>0</v>
      </c>
      <c r="S1747">
        <f>IFERROR(O1747/N1747,0)</f>
        <v/>
      </c>
      <c r="T1747" t="n">
        <v>0</v>
      </c>
      <c r="V1747" t="n">
        <v>0</v>
      </c>
    </row>
    <row r="1748">
      <c r="A1748">
        <f>Skills!A28</f>
        <v/>
      </c>
      <c r="B1748">
        <f>Skills!B28</f>
        <v/>
      </c>
      <c r="C1748">
        <f>Inputs!$B$3&gt;=120</f>
        <v/>
      </c>
      <c r="D1748">
        <f>IF(Skills!C28=1,60+Inputs!$B$25+Inputs!$B$29,IF(Skills!C28=2,90+Inputs!$B$26+Inputs!$B$29,IF(Skills!C28=3,120+Inputs!$B$27+Inputs!$B$29,MAX(0,(Inputs!$B$3-100)*3)+Inputs!$B$28+Inputs!$B$29)))</f>
        <v/>
      </c>
      <c r="E1748">
        <f>INDEX(FactorTable!$B$2:$Y$301, MATCH(ROUND(MIN(300,MAX(1,D1748)),0), FactorTable!$A$2:$A$301,0), Skills!M28+1)</f>
        <v/>
      </c>
      <c r="F1748">
        <f>IF(Skills!N28=TRUE,(Skills!L28/10)*(E1748/1000),Skills!L28/10)+Skills!O28</f>
        <v/>
      </c>
      <c r="G1748">
        <f>Skills!G28*IF(Skills!H28&gt;0,Skills!I28/Skills!H28,1)</f>
        <v/>
      </c>
      <c r="H1748">
        <f>1-(1-Skills!J28/100)^Skills!K28</f>
        <v/>
      </c>
      <c r="I1748" t="inlineStr">
        <is>
          <t>1</t>
        </is>
      </c>
      <c r="J1748" t="inlineStr"/>
      <c r="K1748" t="inlineStr"/>
      <c r="L1748" t="inlineStr"/>
      <c r="M1748" t="inlineStr"/>
      <c r="N1748" t="inlineStr"/>
      <c r="O1748">
        <f>(1-Summary!$B$11)*T1748+Summary!$B$11*V1748</f>
        <v/>
      </c>
      <c r="P1748">
        <f>IF(B1765=0,0,O1748/B1765)</f>
        <v/>
      </c>
      <c r="Q1748" t="n">
        <v>0</v>
      </c>
      <c r="R1748" t="n">
        <v>0</v>
      </c>
      <c r="S1748">
        <f>IFERROR(O1748/N1748,0)</f>
        <v/>
      </c>
      <c r="T1748" t="n">
        <v>0</v>
      </c>
      <c r="V1748" t="n">
        <v>0</v>
      </c>
    </row>
    <row r="1749">
      <c r="A1749">
        <f>Skills!A29</f>
        <v/>
      </c>
      <c r="B1749">
        <f>Skills!B29</f>
        <v/>
      </c>
      <c r="C1749">
        <f>Inputs!$B$3&gt;=120</f>
        <v/>
      </c>
      <c r="D1749">
        <f>IF(Skills!C29=1,60+Inputs!$B$25+Inputs!$B$29,IF(Skills!C29=2,90+Inputs!$B$26+Inputs!$B$29,IF(Skills!C29=3,120+Inputs!$B$27+Inputs!$B$29,MAX(0,(Inputs!$B$3-100)*3)+Inputs!$B$28+Inputs!$B$29)))</f>
        <v/>
      </c>
      <c r="E1749">
        <f>INDEX(FactorTable!$B$2:$Y$301, MATCH(ROUND(MIN(300,MAX(1,D1749)),0), FactorTable!$A$2:$A$301,0), Skills!M29+1)</f>
        <v/>
      </c>
      <c r="F1749">
        <f>IF(Skills!N29=TRUE,(Skills!L29/10)*(E1749/1000),Skills!L29/10)+Skills!O29</f>
        <v/>
      </c>
      <c r="G1749">
        <f>Skills!G29*IF(Skills!H29&gt;0,Skills!I29/Skills!H29,1)</f>
        <v/>
      </c>
      <c r="H1749">
        <f>1-(1-Skills!J29/100)^Skills!K29</f>
        <v/>
      </c>
      <c r="I1749" t="inlineStr">
        <is>
          <t>1</t>
        </is>
      </c>
      <c r="J1749" t="inlineStr"/>
      <c r="K1749" t="inlineStr"/>
      <c r="L1749" t="inlineStr"/>
      <c r="M1749" t="inlineStr"/>
      <c r="N1749" t="inlineStr"/>
      <c r="O1749">
        <f>(1-Summary!$B$11)*T1749+Summary!$B$11*V1749</f>
        <v/>
      </c>
      <c r="P1749">
        <f>IF(B1765=0,0,O1749/B1765)</f>
        <v/>
      </c>
      <c r="Q1749" t="n">
        <v>0</v>
      </c>
      <c r="R1749" t="n">
        <v>0</v>
      </c>
      <c r="S1749">
        <f>IFERROR(O1749/N1749,0)</f>
        <v/>
      </c>
      <c r="T1749" t="n">
        <v>0</v>
      </c>
      <c r="V1749" t="n">
        <v>0</v>
      </c>
    </row>
    <row r="1750">
      <c r="A1750">
        <f>Skills!A30</f>
        <v/>
      </c>
      <c r="B1750">
        <f>Skills!B30</f>
        <v/>
      </c>
      <c r="C1750">
        <f>Inputs!$B$3&gt;=125</f>
        <v/>
      </c>
      <c r="D1750">
        <f>IF(Skills!C30=1,60+Inputs!$B$25+Inputs!$B$29,IF(Skills!C30=2,90+Inputs!$B$26+Inputs!$B$29,IF(Skills!C30=3,120+Inputs!$B$27+Inputs!$B$29,MAX(0,(Inputs!$B$3-100)*3)+Inputs!$B$28+Inputs!$B$29)))</f>
        <v/>
      </c>
      <c r="E1750">
        <f>INDEX(FactorTable!$B$2:$Y$301, MATCH(ROUND(MIN(300,MAX(1,D1750)),0), FactorTable!$A$2:$A$301,0), Skills!M30+1)</f>
        <v/>
      </c>
      <c r="F1750">
        <f>IF(Skills!N30=TRUE,(Skills!L30/10)*(E1750/1000),Skills!L30/10)+Skills!O30</f>
        <v/>
      </c>
      <c r="G1750">
        <f>Skills!G30*IF(Skills!H30&gt;0,Skills!I30/Skills!H30,1)</f>
        <v/>
      </c>
      <c r="H1750">
        <f>1-(1-Skills!J30/100)^Skills!K30</f>
        <v/>
      </c>
      <c r="I1750" t="inlineStr">
        <is>
          <t>1</t>
        </is>
      </c>
      <c r="J1750" t="inlineStr"/>
      <c r="K1750" t="inlineStr"/>
      <c r="L1750" t="inlineStr"/>
      <c r="M1750" t="inlineStr"/>
      <c r="N1750" t="inlineStr"/>
      <c r="O1750">
        <f>(1-Summary!$B$11)*T1750+Summary!$B$11*V1750</f>
        <v/>
      </c>
      <c r="P1750">
        <f>IF(B1765=0,0,O1750/B1765)</f>
        <v/>
      </c>
      <c r="Q1750" t="n">
        <v>0</v>
      </c>
      <c r="R1750" t="n">
        <v>0</v>
      </c>
      <c r="S1750">
        <f>IFERROR(O1750/N1750,0)</f>
        <v/>
      </c>
      <c r="T1750" t="n">
        <v>0</v>
      </c>
      <c r="V1750" t="n">
        <v>0</v>
      </c>
    </row>
    <row r="1752">
      <c r="A1752" t="inlineStr">
        <is>
          <t>Average Buff Multiplier</t>
        </is>
      </c>
      <c r="B1752">
        <f>(1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f>
        <v/>
      </c>
    </row>
    <row r="1753">
      <c r="A1753" t="inlineStr">
        <is>
          <t>Global Crit Rate Bonus %</t>
        </is>
      </c>
      <c r="B1753">
        <f>((C1740=TRUE)*F1740*IF(AND(Inputs!$B$39&lt;&gt;"pvp",Inputs!$B$44&gt;0),(((R1740-1)*(Skills!Y20*(1+Inputs!$B$34/100))+MIN((Skills!Y20*(1+Inputs!$B$34/100)),MAX(0,Inputs!$B$44-((R1740-1)*Skills!D20))))/Inputs!$B$44),IF(Inputs!$B$39="pvp",MIN((Skills!Y20*(1+Inputs!$B$34/100)),15)/15,(Skills!Y20*(1+Inputs!$B$34/100))/Skills!D20)))</f>
        <v/>
      </c>
    </row>
    <row r="1754">
      <c r="A1754" t="inlineStr">
        <is>
          <t>Global Monster Damage-Taken Bonus %</t>
        </is>
      </c>
      <c r="B1754">
        <f>IF(Inputs!$B$3&gt;=82,15,0)</f>
        <v/>
      </c>
    </row>
    <row r="1755">
      <c r="A1755" t="inlineStr">
        <is>
          <t>Shadow Partner Average Multiplier</t>
        </is>
      </c>
      <c r="B1755">
        <f>1+((C1727=TRUE)*F1727*(1+3.3333333333333335*IF(C1738=TRUE,F1738,0)/100)*I1727*Skills!J7/100)/100</f>
        <v/>
      </c>
    </row>
    <row r="1756">
      <c r="A1756" t="inlineStr">
        <is>
          <t>Attack Speed Buff Bonus %</t>
        </is>
      </c>
      <c r="B1756">
        <f>((C1739=TRUE)*F1739*IF(AND(Inputs!$B$39&lt;&gt;"pvp",Inputs!$B$44&gt;0),(((R1739-1)*(Skills!Y19*(1+Inputs!$B$34/100))+MIN((Skills!Y19*(1+Inputs!$B$34/100)),MAX(0,Inputs!$B$44-((R1739-1)*Skills!D19))))/Inputs!$B$44),IF(Inputs!$B$39="pvp",MIN((Skills!Y19*(1+Inputs!$B$34/100)),15)/15,(Skills!Y19*(1+Inputs!$B$34/100))/Skills!D19)))+((C1723=TRUE)*F1723*3)</f>
        <v/>
      </c>
    </row>
    <row r="1757">
      <c r="A1757" t="inlineStr">
        <is>
          <t>Actions Per Second</t>
        </is>
      </c>
      <c r="B1757">
        <f>1+MIN(150,150*(1-(1-(Inputs!$B$11+((C1742=TRUE)*(F1742-Calc!F22)))/150)*(1-B1756/150)))/100</f>
        <v/>
      </c>
    </row>
    <row r="1758">
      <c r="A1758" t="inlineStr">
        <is>
          <t>Skill + Buff Cast Rate</t>
        </is>
      </c>
      <c r="B1758">
        <f>IF(AND(Inputs!$B$39&lt;&gt;"pvp",Inputs!$B$44&gt;0),SUMPRODUCT((Skills!E2:E30=TRUE)*(C1722:C1750=TRUE)*R1722:R1750*Skills!F2:F30)/Inputs!$B$44,SUMPRODUCT((Skills!E2:E30=TRUE)*(C1722:C1750=TRUE)*Q1722:Q1750*Skills!F2:F30))</f>
        <v/>
      </c>
    </row>
    <row r="1759">
      <c r="A1759" t="inlineStr">
        <is>
          <t>Cruel Stab Casts Per Second</t>
        </is>
      </c>
      <c r="B1759">
        <f>MAX(0,B1757-B1758)</f>
        <v/>
      </c>
    </row>
    <row r="1760">
      <c r="A1760" t="inlineStr">
        <is>
          <t>Global Critical Damage Bonus % (Smokescreen Mastery Lv.113)</t>
        </is>
      </c>
      <c r="B1760">
        <f>IF(Inputs!$B$3&gt;=113,30,0)*IF(AND(Inputs!$B$39&lt;&gt;"pvp",Inputs!$B$44&gt;0),(((R1735-1)*(Skills!Y15*(1+Inputs!$B$34/100))+MIN((Skills!Y15*(1+Inputs!$B$34/100)),MAX(0,Inputs!$B$44-((R1735-1)*Skills!D15))))/Inputs!$B$44),IF(Inputs!$B$39="pvp",MIN((Skills!Y15*(1+Inputs!$B$34/100)),15)/15,(Skills!Y15*(1+Inputs!$B$34/100))/Skills!D15))</f>
        <v/>
      </c>
    </row>
    <row r="1761">
      <c r="A1761" t="inlineStr">
        <is>
          <t>Meso Explosion average stack count</t>
        </is>
      </c>
      <c r="B1761">
        <f>MIN(10,0.5*B1757*Skills!D4)</f>
        <v/>
      </c>
    </row>
    <row r="1762">
      <c r="A1762" t="inlineStr">
        <is>
          <t>Blood Money average stack count</t>
        </is>
      </c>
      <c r="B1762">
        <f>MIN(5,0.25*B1757*Skills!D4)</f>
        <v/>
      </c>
    </row>
    <row r="1763">
      <c r="A1763" t="inlineStr">
        <is>
          <t>Assassinate Murderous Intent Multiplier</t>
        </is>
      </c>
      <c r="B1763">
        <f>1+IFERROR(MIN(1,Q1734*2/Q1731),0)</f>
        <v/>
      </c>
    </row>
    <row r="1764">
      <c r="A1764" t="inlineStr">
        <is>
          <t>Buff-Casting Startup Delay (s, fixed-duration only)</t>
        </is>
      </c>
      <c r="B1764">
        <f>IF(AND(Inputs!$B$39&lt;&gt;"pvp",Inputs!$B$44&gt;0),SUMPRODUCT((Skills!Y2:Y30&gt;0)*(Skills!E2:E30=TRUE)*(C1722:C1750=TRUE))/B1757,0)</f>
        <v/>
      </c>
    </row>
    <row r="1765">
      <c r="A1765" s="6" t="inlineStr">
        <is>
          <t>TOTAL DPS</t>
        </is>
      </c>
      <c r="B1765" s="6">
        <f>SUM(O1722:O1750)</f>
        <v/>
      </c>
    </row>
    <row r="1766">
      <c r="A1766" t="inlineStr">
        <is>
          <t>Boss-Only Total DPS (this block's swept value)</t>
        </is>
      </c>
      <c r="B1766">
        <f>SUM(T1722:T1750)</f>
        <v/>
      </c>
    </row>
    <row r="1767">
      <c r="A1767" t="inlineStr">
        <is>
          <t>Normal-Only Total DPS (this block's swept value)</t>
        </is>
      </c>
      <c r="B1767">
        <f>SUM(V1722:V1750)</f>
        <v/>
      </c>
    </row>
    <row r="1770">
      <c r="A1770" s="6" t="inlineStr">
        <is>
          <t>Stat: Mushmom's Cap (Equip)</t>
        </is>
      </c>
    </row>
    <row r="1771">
      <c r="A1771" s="5" t="inlineStr">
        <is>
          <t>Key</t>
        </is>
      </c>
      <c r="B1771" s="5" t="inlineStr">
        <is>
          <t>Name</t>
        </is>
      </c>
      <c r="C1771" s="5" t="inlineStr">
        <is>
          <t>Unlocked</t>
        </is>
      </c>
      <c r="D1771" s="5" t="inlineStr">
        <is>
          <t>InputLevel</t>
        </is>
      </c>
      <c r="E1771" s="5" t="inlineStr">
        <is>
          <t>Factor</t>
        </is>
      </c>
      <c r="F1771" s="5" t="inlineStr">
        <is>
          <t>CoefficientPercent</t>
        </is>
      </c>
      <c r="G1771" s="5" t="inlineStr">
        <is>
          <t>EffectiveHits</t>
        </is>
      </c>
      <c r="H1771" s="5" t="inlineStr">
        <is>
          <t>ProcProbability</t>
        </is>
      </c>
      <c r="I1771" s="5" t="inlineStr">
        <is>
          <t>MapleHeroMultiplier</t>
        </is>
      </c>
      <c r="J1771" s="5" t="inlineStr">
        <is>
          <t>BaseDamage</t>
        </is>
      </c>
      <c r="K1771" s="5" t="inlineStr">
        <is>
          <t>BaseHitDamage</t>
        </is>
      </c>
      <c r="L1771" s="5" t="inlineStr">
        <is>
          <t>NonCritAvg</t>
        </is>
      </c>
      <c r="M1771" s="5" t="inlineStr">
        <is>
          <t>CritAvg</t>
        </is>
      </c>
      <c r="N1771" s="5" t="inlineStr">
        <is>
          <t>ExpectedDamage(perHit)</t>
        </is>
      </c>
      <c r="O1771" s="5" t="inlineStr">
        <is>
          <t>DPS</t>
        </is>
      </c>
      <c r="P1771" s="5" t="inlineStr">
        <is>
          <t>% of Total</t>
        </is>
      </c>
      <c r="Q1771" s="5" t="inlineStr">
        <is>
          <t>InvCooldown</t>
        </is>
      </c>
      <c r="R1771" s="5" t="inlineStr">
        <is>
          <t>CastsInFight</t>
        </is>
      </c>
      <c r="S1771" s="5" t="inlineStr">
        <is>
          <t>HitRate(perSec)</t>
        </is>
      </c>
      <c r="U1771" t="inlineStr">
        <is>
          <t>helpers</t>
        </is>
      </c>
    </row>
    <row r="1772">
      <c r="A1772">
        <f>Skills!A2</f>
        <v/>
      </c>
      <c r="B1772">
        <f>Skills!B2</f>
        <v/>
      </c>
      <c r="C1772">
        <f>Inputs!$B$3&gt;=100</f>
        <v/>
      </c>
      <c r="D1772" t="inlineStr"/>
      <c r="E1772" t="inlineStr"/>
      <c r="F1772">
        <f>U1774+Skills!O2</f>
        <v/>
      </c>
      <c r="G1772">
        <f>Skills!G2*IF(Skills!H2&gt;0,Skills!I2/Skills!H2,1)</f>
        <v/>
      </c>
      <c r="H1772">
        <f>1-(1-Skills!J2/100)^Skills!K2</f>
        <v/>
      </c>
      <c r="I1772" t="inlineStr">
        <is>
          <t>1</t>
        </is>
      </c>
      <c r="J1772">
        <f>((Inputs!$B$6*(1+Inputs!$B$7/100))+(((Inputs!$B$12*(1+Inputs!$B$13/100))-(Inputs!$B$12*(1+Inputs!$B$13/100)))+0.25*(Inputs!$B$14-Inputs!$B$14))*(1+Inputs!$B$7/100))*(F1772/100)</f>
        <v/>
      </c>
      <c r="K1772">
        <f>J1772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1772)</f>
        <v/>
      </c>
      <c r="L1772">
        <f>K1772*(MIN(Inputs!$B$22+((C1794=TRUE)*(F1794-Calc!F24)),(Inputs!$B$23+((C1799=TRUE)*(F1799-Calc!F29))+IF(ArtifactsInput!$M$15,CHOOSE(ArtifactsInput!$N$15+1,25,30,35,40,45,50)/100*(Inputs!$B$11-Inputs!$B$11),0)))/100+(Inputs!$B$23+((C1799=TRUE)*(F1799-Calc!F29))+IF(ArtifactsInput!$M$15,CHOOSE(ArtifactsInput!$N$15+1,25,30,35,40,45,50)/100*(Inputs!$B$11-Inputs!$B$11),0))/100)/2</f>
        <v/>
      </c>
      <c r="M1772">
        <f>L1772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2">
        <f>L1772*(1-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1772*(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2">
        <f>(1-Summary!$B$11)*T1772+Summary!$B$11*V1772</f>
        <v/>
      </c>
      <c r="P1772">
        <f>IF(B1815=0,0,O1772/B1815)</f>
        <v/>
      </c>
      <c r="Q1772" t="n">
        <v>0</v>
      </c>
      <c r="R1772" t="n">
        <v>0</v>
      </c>
      <c r="S1772">
        <f>IFERROR(O1772/N1772,0)</f>
        <v/>
      </c>
      <c r="T1772">
        <f>IF(C1772,(Skills!G2*N1772*B1809)*IF(Inputs!$B$39="pvp",1,1+(Inputs!$B$20+0+Skills!P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1772*(1-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1772*(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1772*(1-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1772*(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2">
        <f>MAX(0,(Inputs!$B$3-100)*3)+Inputs!$B$28+Inputs!$B$29</f>
        <v/>
      </c>
      <c r="V1772">
        <f>IF(C1772,(Skills!G2*N1772*B1809)*IF(Inputs!$B$39="pvp",1,(1+(Inputs!$B$21+Skills!Q2+B1804+(IF(ArtifactsInput!$M$33,CHOOSE(ArtifactsInput!$N$33+1,30,36,42,48,54,60),0))+(IF(AND(ArtifactsInput!$M$35,Inputs!$B$4&lt;&gt;"Chapter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3">
      <c r="A1773">
        <f>Skills!A3</f>
        <v/>
      </c>
      <c r="B1773">
        <f>Skills!B3</f>
        <v/>
      </c>
      <c r="C1773">
        <f>Inputs!$B$3&gt;=35</f>
        <v/>
      </c>
      <c r="D1773">
        <f>IF(Skills!C3=1,60+Inputs!$B$25+Inputs!$B$29,IF(Skills!C3=2,90+Inputs!$B$26+Inputs!$B$29,IF(Skills!C3=3,120+Inputs!$B$27+Inputs!$B$29,MAX(0,(Inputs!$B$3-100)*3)+Inputs!$B$28+Inputs!$B$29)))</f>
        <v/>
      </c>
      <c r="E1773">
        <f>INDEX(FactorTable!$B$2:$Y$301, MATCH(ROUND(MIN(300,MAX(1,D1773)),0), FactorTable!$A$2:$A$301,0), Skills!M3+1)</f>
        <v/>
      </c>
      <c r="F1773">
        <f>IF(Skills!N3=TRUE,(Skills!L3/10)*(E1773/1000),Skills!L3/10)+Skills!O3</f>
        <v/>
      </c>
      <c r="G1773">
        <f>Skills!G3*IF(Skills!H3&gt;0,Skills!I3/Skills!H3,1)</f>
        <v/>
      </c>
      <c r="H1773">
        <f>1-(1-Skills!J3/100)^Skills!K3</f>
        <v/>
      </c>
      <c r="I1773" t="inlineStr">
        <is>
          <t>1</t>
        </is>
      </c>
      <c r="J1773" t="inlineStr"/>
      <c r="K1773" t="inlineStr"/>
      <c r="L1773" t="inlineStr"/>
      <c r="M1773" t="inlineStr"/>
      <c r="N1773" t="inlineStr"/>
      <c r="O1773">
        <f>(1-Summary!$B$11)*T1773+Summary!$B$11*V1773</f>
        <v/>
      </c>
      <c r="P1773">
        <f>IF(B1815=0,0,O1773/B1815)</f>
        <v/>
      </c>
      <c r="Q1773" t="n">
        <v>0</v>
      </c>
      <c r="R1773" t="n">
        <v>0</v>
      </c>
      <c r="S1773">
        <f>IFERROR(O1773/N1773,0)</f>
        <v/>
      </c>
      <c r="T1773" t="n">
        <v>0</v>
      </c>
      <c r="U1773">
        <f>INDEX(FactorTable!$B$2:$Y$301, MATCH(ROUND(MIN(300,MAX(1,U1772)),0), FactorTable!$A$2:$A$301,0), 22)</f>
        <v/>
      </c>
      <c r="V1773" t="n">
        <v>0</v>
      </c>
    </row>
    <row r="1774">
      <c r="A1774">
        <f>Skills!A4</f>
        <v/>
      </c>
      <c r="B1774">
        <f>Skills!B4</f>
        <v/>
      </c>
      <c r="C1774">
        <f>Inputs!$B$3&gt;=66</f>
        <v/>
      </c>
      <c r="D1774">
        <f>IF(Skills!C4=1,60+Inputs!$B$25+Inputs!$B$29,IF(Skills!C4=2,90+Inputs!$B$26+Inputs!$B$29,IF(Skills!C4=3,120+Inputs!$B$27+Inputs!$B$29,MAX(0,(Inputs!$B$3-100)*3)+Inputs!$B$28+Inputs!$B$29)))</f>
        <v/>
      </c>
      <c r="E1774">
        <f>INDEX(FactorTable!$B$2:$Y$301, MATCH(ROUND(MIN(300,MAX(1,D1774)),0), FactorTable!$A$2:$A$301,0), Skills!M4+1)</f>
        <v/>
      </c>
      <c r="F1774">
        <f>IF(Skills!N4=TRUE,(Skills!L4/10)*(E1774/1000),Skills!L4/10)+Skills!O4</f>
        <v/>
      </c>
      <c r="G1774">
        <f>Skills!G4*IF(Skills!H4&gt;0,Skills!I4/Skills!H4,1)</f>
        <v/>
      </c>
      <c r="H1774">
        <f>1-(1-Skills!J4/100)^Skills!K4</f>
        <v/>
      </c>
      <c r="I1774" t="inlineStr">
        <is>
          <t>1</t>
        </is>
      </c>
      <c r="J1774">
        <f>((Inputs!$B$6*(1+Inputs!$B$7/100))+(((Inputs!$B$12*(1+Inputs!$B$13/100))-(Inputs!$B$12*(1+Inputs!$B$13/100)))+0.25*(Inputs!$B$14-Inputs!$B$14))*(1+Inputs!$B$7/100))*(F1774/100)</f>
        <v/>
      </c>
      <c r="K1774">
        <f>J1774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1774)</f>
        <v/>
      </c>
      <c r="L1774">
        <f>K1774*(MIN(Inputs!$B$22+((C1794=TRUE)*(F1794-Calc!F24)),(Inputs!$B$23+((C1799=TRUE)*(F1799-Calc!F29))+IF(ArtifactsInput!$M$15,CHOOSE(ArtifactsInput!$N$15+1,25,30,35,40,45,50)/100*(Inputs!$B$11-Inputs!$B$11),0)))/100+(Inputs!$B$23+((C1799=TRUE)*(F1799-Calc!F29))+IF(ArtifactsInput!$M$15,CHOOSE(ArtifactsInput!$N$15+1,25,30,35,40,45,50)/100*(Inputs!$B$11-Inputs!$B$11),0))/100)/2</f>
        <v/>
      </c>
      <c r="M1774">
        <f>L1774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4">
        <f>L1774*(1-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1774*(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4">
        <f>(1-Summary!$B$11)*T1774+Summary!$B$11*V1774</f>
        <v/>
      </c>
      <c r="P1774">
        <f>IF(B1815=0,0,O1774/B1815)</f>
        <v/>
      </c>
      <c r="Q1774">
        <f>IFERROR(1/IF(Inputs!$B$39="pvp",15,MAX(0.1,Skills!D4-IF(Skills!E4=TRUE,Inputs!$B$32,0))),0)</f>
        <v/>
      </c>
      <c r="R1774">
        <f>IF(AND(Inputs!$B$39&lt;&gt;"pvp",Inputs!$B$44&gt;0),IF(MAX(0,Inputs!$B$44-B1814)&lt;=0,0,(INT(MAX(0,Inputs!$B$44-B1814)/IF(Inputs!$B$39="pvp",15,MAX(0.1,Skills!D4-IF(Skills!E4=TRUE,Inputs!$B$32,0))))+1)),0)</f>
        <v/>
      </c>
      <c r="S1774">
        <f>IFERROR(O1774/N1774,0)</f>
        <v/>
      </c>
      <c r="T1774">
        <f>IF(C1774,(H1774*N1774*IF(AND(Inputs!$B$39&lt;&gt;"pvp",Inputs!$B$44&gt;0),((Skills!G4*((R1774-1)*IF(Skills!H4&gt;0,Skills!I4/Skills!H4,1)+IF(Skills!H4&gt;0,MIN(Skills!I4,MAX(0,MAX(0,Inputs!$B$44-B1814)-((R1774-1)*IF(Inputs!$B$39="pvp",15,MAX(0.1,Skills!D4-IF(Skills!E4=TRUE,Inputs!$B$32,0))))))/Skills!H4,1)))/Inputs!$B$44),G1774*Q1774))*IF(Inputs!$B$39="pvp",1,1+(Inputs!$B$20+0+Skills!P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1774*(1-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1774*(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1774*(1-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1774*(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4">
        <f>290*U1773/1000</f>
        <v/>
      </c>
      <c r="V1774">
        <f>IF(C1774,(H1774*N1774*IF(AND(Inputs!$B$39&lt;&gt;"pvp",Inputs!$B$44&gt;0),((Skills!G4*((R1774-1)*IF(Skills!H4&gt;0,Skills!I4/Skills!H4,1)+IF(Skills!H4&gt;0,MIN(Skills!I4,MAX(0,MAX(0,Inputs!$B$44-B1814)-((R1774-1)*IF(Inputs!$B$39="pvp",15,MAX(0.1,Skills!D4-IF(Skills!E4=TRUE,Inputs!$B$32,0))))))/Skills!H4,1)))/Inputs!$B$44),G1774*Q1774))*IF(Inputs!$B$39="pvp",1,(1+(Inputs!$B$21+Skills!Q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(10,0.5*B1807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5">
      <c r="A1775">
        <f>Skills!A5</f>
        <v/>
      </c>
      <c r="B1775">
        <f>Skills!B5</f>
        <v/>
      </c>
      <c r="C1775">
        <f>Inputs!$B$3&gt;=63</f>
        <v/>
      </c>
      <c r="D1775">
        <f>IF(Skills!C5=1,60+Inputs!$B$25+Inputs!$B$29,IF(Skills!C5=2,90+Inputs!$B$26+Inputs!$B$29,IF(Skills!C5=3,120+Inputs!$B$27+Inputs!$B$29,MAX(0,(Inputs!$B$3-100)*3)+Inputs!$B$28+Inputs!$B$29)))</f>
        <v/>
      </c>
      <c r="E1775">
        <f>INDEX(FactorTable!$B$2:$Y$301, MATCH(ROUND(MIN(300,MAX(1,D1775)),0), FactorTable!$A$2:$A$301,0), Skills!M5+1)</f>
        <v/>
      </c>
      <c r="F1775">
        <f>IF(Skills!N5=TRUE,(Skills!L5/10)*(E1775/1000),Skills!L5/10)+Skills!O5</f>
        <v/>
      </c>
      <c r="G1775">
        <f>Skills!G5*IF(Skills!H5&gt;0,Skills!I5/Skills!H5,1)</f>
        <v/>
      </c>
      <c r="H1775">
        <f>1-(1-Skills!J5/100)^Skills!K5</f>
        <v/>
      </c>
      <c r="I1775" t="inlineStr">
        <is>
          <t>1</t>
        </is>
      </c>
      <c r="J1775">
        <f>((Inputs!$B$6*(1+Inputs!$B$7/100))+(((Inputs!$B$12*(1+Inputs!$B$13/100))-(Inputs!$B$12*(1+Inputs!$B$13/100)))+0.25*(Inputs!$B$14-Inputs!$B$14))*(1+Inputs!$B$7/100))*(F1775/100)</f>
        <v/>
      </c>
      <c r="K1775">
        <f>J1775*(1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1788=TRUE,F1788,0)/100)*(1+(IF(Skills!A5="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1775)</f>
        <v/>
      </c>
      <c r="L1775">
        <f>K1775*(MIN(Inputs!$B$22+((C1794=TRUE)*(F1794-Calc!F24)),(Inputs!$B$23+((C1799=TRUE)*(F1799-Calc!F29))+IF(ArtifactsInput!$M$15,CHOOSE(ArtifactsInput!$N$15+1,25,30,35,40,45,50)/100*(Inputs!$B$11-Inputs!$B$11),0)))/100+(Inputs!$B$23+((C1799=TRUE)*(F1799-Calc!F29))+IF(ArtifactsInput!$M$15,CHOOSE(ArtifactsInput!$N$15+1,25,30,35,40,45,50)/100*(Inputs!$B$11-Inputs!$B$11),0))/100)/2</f>
        <v/>
      </c>
      <c r="M1775">
        <f>L1775*(1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5">
        <f>L1775*(1-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1775*(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5">
        <f>(1-Summary!$B$11)*T1775+Summary!$B$11*V1775</f>
        <v/>
      </c>
      <c r="P1775">
        <f>IF(B1815=0,0,O1775/B1815)</f>
        <v/>
      </c>
      <c r="Q1775">
        <f>IFERROR(1/IF(Inputs!$B$39="pvp",15,MAX(0.1,Skills!D5-IF(Skills!E5=TRUE,Inputs!$B$32,0))),0)</f>
        <v/>
      </c>
      <c r="R1775">
        <f>IF(AND(Inputs!$B$39&lt;&gt;"pvp",Inputs!$B$44&gt;0),IF(MAX(0,Inputs!$B$44-B1814)&lt;=0,0,(INT(MAX(0,Inputs!$B$44-B1814)/IF(Inputs!$B$39="pvp",15,MAX(0.1,Skills!D5-IF(Skills!E5=TRUE,Inputs!$B$32,0))))+1)),0)</f>
        <v/>
      </c>
      <c r="S1775">
        <f>IFERROR(O1775/N1775,0)</f>
        <v/>
      </c>
      <c r="T1775">
        <f>IF(C1775,(H1775*N1775*IF(AND(Inputs!$B$39&lt;&gt;"pvp",Inputs!$B$44&gt;0),((Skills!G5*((R1775-1)*IF(Skills!H5&gt;0,Skills!I5/Skills!H5,1)+IF(Skills!H5&gt;0,MIN(Skills!I5,MAX(0,MAX(0,Inputs!$B$44-B1814)-((R1775-1)*IF(Inputs!$B$39="pvp",15,MAX(0.1,Skills!D5-IF(Skills!E5=TRUE,Inputs!$B$32,0))))))/Skills!H5,1)))/Inputs!$B$44),G1775*Q1775))*IF(Inputs!$B$39="pvp",1,1+(Inputs!$B$20+0+Skills!P5+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1775*(1-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1775*(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1775*(1-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1775*(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5">
        <f>IF(C1775,(H1775*N1775*IF(AND(Inputs!$B$39&lt;&gt;"pvp",Inputs!$B$44&gt;0),((Skills!G5*((R1775-1)*IF(Skills!H5&gt;0,Skills!I5/Skills!H5,1)+IF(Skills!H5&gt;0,MIN(Skills!I5,MAX(0,MAX(0,Inputs!$B$44-B1814)-((R1775-1)*IF(Inputs!$B$39="pvp",15,MAX(0.1,Skills!D5-IF(Skills!E5=TRUE,Inputs!$B$32,0))))))/Skills!H5,1)))/Inputs!$B$44),G1775*Q1775))*IF(Inputs!$B$39="pvp",1,(1+(Inputs!$B$21+Skills!Q5+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6">
      <c r="A1776">
        <f>Skills!A6</f>
        <v/>
      </c>
      <c r="B1776">
        <f>Skills!B6</f>
        <v/>
      </c>
      <c r="C1776">
        <f>Inputs!$B$3&gt;=69</f>
        <v/>
      </c>
      <c r="D1776">
        <f>IF(Skills!C6=1,60+Inputs!$B$25+Inputs!$B$29,IF(Skills!C6=2,90+Inputs!$B$26+Inputs!$B$29,IF(Skills!C6=3,120+Inputs!$B$27+Inputs!$B$29,MAX(0,(Inputs!$B$3-100)*3)+Inputs!$B$28+Inputs!$B$29)))</f>
        <v/>
      </c>
      <c r="E1776">
        <f>INDEX(FactorTable!$B$2:$Y$301, MATCH(ROUND(MIN(300,MAX(1,D1776)),0), FactorTable!$A$2:$A$301,0), Skills!M6+1)</f>
        <v/>
      </c>
      <c r="F1776">
        <f>IF(Skills!N6=TRUE,(Skills!L6/10)*(E1776/1000),Skills!L6/10)+Skills!O6</f>
        <v/>
      </c>
      <c r="G1776">
        <f>Skills!G6*IF(Skills!H6&gt;0,Skills!I6/Skills!H6,1)</f>
        <v/>
      </c>
      <c r="H1776">
        <f>1-(1-Skills!J6/100)^Skills!K6</f>
        <v/>
      </c>
      <c r="I1776" t="inlineStr">
        <is>
          <t>1</t>
        </is>
      </c>
      <c r="J1776">
        <f>((Inputs!$B$6*(1+Inputs!$B$7/100))+(((Inputs!$B$12*(1+Inputs!$B$13/100))-(Inputs!$B$12*(1+Inputs!$B$13/100)))+0.25*(Inputs!$B$14-Inputs!$B$14))*(1+Inputs!$B$7/100))*(F1776/100)</f>
        <v/>
      </c>
      <c r="K1776">
        <f>J1776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1788=TRUE,F1788,0)/100)*(1+(IF(Skills!A6="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1776)</f>
        <v/>
      </c>
      <c r="L1776">
        <f>K1776*(MIN(Inputs!$B$22+((C1794=TRUE)*(F1794-Calc!F24)),(Inputs!$B$23+((C1799=TRUE)*(F1799-Calc!F29))+IF(ArtifactsInput!$M$15,CHOOSE(ArtifactsInput!$N$15+1,25,30,35,40,45,50)/100*(Inputs!$B$11-Inputs!$B$11),0)))/100+(Inputs!$B$23+((C1799=TRUE)*(F1799-Calc!F29))+IF(ArtifactsInput!$M$15,CHOOSE(ArtifactsInput!$N$15+1,25,30,35,40,45,50)/100*(Inputs!$B$11-Inputs!$B$11),0))/100)/2</f>
        <v/>
      </c>
      <c r="M1776">
        <f>L1776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6">
        <f>L1776*(1-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1776*(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6">
        <f>(1-Summary!$B$11)*T1776+Summary!$B$11*V1776</f>
        <v/>
      </c>
      <c r="P1776">
        <f>IF(B1815=0,0,O1776/B1815)</f>
        <v/>
      </c>
      <c r="Q1776">
        <f>IFERROR(1/IF(Inputs!$B$39="pvp",15,MAX(0.1,Skills!D6-IF(Skills!E6=TRUE,Inputs!$B$32,0))),0)</f>
        <v/>
      </c>
      <c r="R1776">
        <f>IF(AND(Inputs!$B$39&lt;&gt;"pvp",Inputs!$B$44&gt;0),IF(MAX(0,Inputs!$B$44-B1814)&lt;=0,0,(INT(MAX(0,Inputs!$B$44-B1814)/IF(Inputs!$B$39="pvp",15,MAX(0.1,Skills!D6-IF(Skills!E6=TRUE,Inputs!$B$32,0))))+1)),0)</f>
        <v/>
      </c>
      <c r="S1776">
        <f>IFERROR(O1776/N1776,0)</f>
        <v/>
      </c>
      <c r="T1776">
        <f>IF(C1776,(H1776*N1776*IF(AND(Inputs!$B$39&lt;&gt;"pvp",Inputs!$B$44&gt;0),((Skills!G6*((R1776-1)*IF(Skills!H6&gt;0,Skills!I6/Skills!H6,1)+IF(Skills!H6&gt;0,MIN(Skills!I6,MAX(0,MAX(0,Inputs!$B$44-B1814)-((R1776-1)*IF(Inputs!$B$39="pvp",15,MAX(0.1,Skills!D6-IF(Skills!E6=TRUE,Inputs!$B$32,0))))))/Skills!H6,1)))/Inputs!$B$44),G1776*Q1776))*IF(Inputs!$B$39="pvp",1,1+(Inputs!$B$20+0+Skills!P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1776*(1-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1776*(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1776*(1-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1776*(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6">
        <f>IF(C1776,(H1776*N1776*IF(AND(Inputs!$B$39&lt;&gt;"pvp",Inputs!$B$44&gt;0),((Skills!G6*((R1776-1)*IF(Skills!H6&gt;0,Skills!I6/Skills!H6,1)+IF(Skills!H6&gt;0,MIN(Skills!I6,MAX(0,MAX(0,Inputs!$B$44-B1814)-((R1776-1)*IF(Inputs!$B$39="pvp",15,MAX(0.1,Skills!D6-IF(Skills!E6=TRUE,Inputs!$B$32,0))))))/Skills!H6,1)))/Inputs!$B$44),G1776*Q1776))*IF(Inputs!$B$39="pvp",1,(1+(Inputs!$B$21+Skills!Q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7">
      <c r="A1777">
        <f>Skills!A7</f>
        <v/>
      </c>
      <c r="B1777">
        <f>Skills!B7</f>
        <v/>
      </c>
      <c r="C1777">
        <f>Inputs!$B$3&gt;=60</f>
        <v/>
      </c>
      <c r="D1777">
        <f>IF(Skills!C7=1,60+Inputs!$B$25+Inputs!$B$29,IF(Skills!C7=2,90+Inputs!$B$26+Inputs!$B$29,IF(Skills!C7=3,120+Inputs!$B$27+Inputs!$B$29,MAX(0,(Inputs!$B$3-100)*3)+Inputs!$B$28+Inputs!$B$29)))</f>
        <v/>
      </c>
      <c r="E1777">
        <f>INDEX(FactorTable!$B$2:$Y$301, MATCH(ROUND(MIN(300,MAX(1,D1777)),0), FactorTable!$A$2:$A$301,0), Skills!M7+1)</f>
        <v/>
      </c>
      <c r="F1777">
        <f>IF(Skills!N7=TRUE,(Skills!L7/10)*(E1777/1000),Skills!L7/10)+Skills!O7</f>
        <v/>
      </c>
      <c r="G1777">
        <f>Skills!G7*IF(Skills!H7&gt;0,Skills!I7/Skills!H7,1)</f>
        <v/>
      </c>
      <c r="H1777">
        <f>1-(1-Skills!J7/100)^Skills!K7</f>
        <v/>
      </c>
      <c r="I1777" t="inlineStr">
        <is>
          <t>1</t>
        </is>
      </c>
      <c r="J1777" t="inlineStr"/>
      <c r="K1777" t="inlineStr"/>
      <c r="L1777" t="inlineStr"/>
      <c r="M1777" t="inlineStr"/>
      <c r="N1777" t="inlineStr"/>
      <c r="O1777">
        <f>(1-Summary!$B$11)*T1777+Summary!$B$11*V1777</f>
        <v/>
      </c>
      <c r="P1777">
        <f>IF(B1815=0,0,O1777/B1815)</f>
        <v/>
      </c>
      <c r="Q1777" t="n">
        <v>0</v>
      </c>
      <c r="R1777" t="n">
        <v>0</v>
      </c>
      <c r="S1777">
        <f>IFERROR(O1777/N1777,0)</f>
        <v/>
      </c>
      <c r="T1777" t="n">
        <v>0</v>
      </c>
      <c r="V1777" t="n">
        <v>0</v>
      </c>
    </row>
    <row r="1778">
      <c r="A1778">
        <f>Skills!A8</f>
        <v/>
      </c>
      <c r="B1778">
        <f>Skills!B8</f>
        <v/>
      </c>
      <c r="C1778">
        <f>Inputs!$B$3&gt;=72</f>
        <v/>
      </c>
      <c r="D1778">
        <f>IF(Skills!C8=1,60+Inputs!$B$25+Inputs!$B$29,IF(Skills!C8=2,90+Inputs!$B$26+Inputs!$B$29,IF(Skills!C8=3,120+Inputs!$B$27+Inputs!$B$29,MAX(0,(Inputs!$B$3-100)*3)+Inputs!$B$28+Inputs!$B$29)))</f>
        <v/>
      </c>
      <c r="E1778">
        <f>INDEX(FactorTable!$B$2:$Y$301, MATCH(ROUND(MIN(300,MAX(1,D1778)),0), FactorTable!$A$2:$A$301,0), Skills!M8+1)</f>
        <v/>
      </c>
      <c r="F1778">
        <f>IF(Skills!N8=TRUE,(Skills!L8/10)*(E1778/1000),Skills!L8/10)+Skills!O8</f>
        <v/>
      </c>
      <c r="G1778">
        <f>Skills!G8*IF(Skills!H8&gt;0,Skills!I8/Skills!H8,1)</f>
        <v/>
      </c>
      <c r="H1778">
        <f>1-(1-Skills!J8/100)^Skills!K8</f>
        <v/>
      </c>
      <c r="I1778" t="inlineStr">
        <is>
          <t>1</t>
        </is>
      </c>
      <c r="J1778">
        <f>((Inputs!$B$6*(1+Inputs!$B$7/100))+(((Inputs!$B$12*(1+Inputs!$B$13/100))-(Inputs!$B$12*(1+Inputs!$B$13/100)))+0.25*(Inputs!$B$14-Inputs!$B$14))*(1+Inputs!$B$7/100))*(F1778/100)</f>
        <v/>
      </c>
      <c r="K1778">
        <f>J1778*(1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1788=TRUE,F1788,0)/100)*(1+(IF(Skills!A8="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1778)</f>
        <v/>
      </c>
      <c r="L1778">
        <f>K1778*(MIN(Inputs!$B$22+((C1794=TRUE)*(F1794-Calc!F24)),(Inputs!$B$23+((C1799=TRUE)*(F1799-Calc!F29))+IF(ArtifactsInput!$M$15,CHOOSE(ArtifactsInput!$N$15+1,25,30,35,40,45,50)/100*(Inputs!$B$11-Inputs!$B$11),0)))/100+(Inputs!$B$23+((C1799=TRUE)*(F1799-Calc!F29))+IF(ArtifactsInput!$M$15,CHOOSE(ArtifactsInput!$N$15+1,25,30,35,40,45,50)/100*(Inputs!$B$11-Inputs!$B$11),0))/100)/2</f>
        <v/>
      </c>
      <c r="M1778">
        <f>L1778*(1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8">
        <f>L1778*(1-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1778*(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8">
        <f>(1-Summary!$B$11)*T1778+Summary!$B$11*V1778</f>
        <v/>
      </c>
      <c r="P1778">
        <f>IF(B1815=0,0,O1778/B1815)</f>
        <v/>
      </c>
      <c r="Q1778">
        <f>IFERROR(1/IF(Inputs!$B$39="pvp",15,MAX(0.1,Skills!D8-IF(Skills!E8=TRUE,Inputs!$B$32,0))),0)</f>
        <v/>
      </c>
      <c r="R1778">
        <f>IF(AND(Inputs!$B$39&lt;&gt;"pvp",Inputs!$B$44&gt;0),IF(MAX(0,Inputs!$B$44-B1814)&lt;=0,0,(INT(MAX(0,Inputs!$B$44-B1814)/IF(Inputs!$B$39="pvp",15,MAX(0.1,Skills!D8-IF(Skills!E8=TRUE,Inputs!$B$32,0))))+1)),0)</f>
        <v/>
      </c>
      <c r="S1778">
        <f>IFERROR(O1778/N1778,0)</f>
        <v/>
      </c>
      <c r="T1778">
        <f>IF(C1778,(H1778*N1778*IF(AND(Inputs!$B$39&lt;&gt;"pvp",Inputs!$B$44&gt;0),((Skills!G8*((R1778-1)*IF(Skills!H8&gt;0,Skills!I8/Skills!H8,1)+IF(Skills!H8&gt;0,MIN(Skills!I8,MAX(0,MAX(0,Inputs!$B$44-B1814)-((R1778-1)*IF(Inputs!$B$39="pvp",15,MAX(0.1,Skills!D8-IF(Skills!E8=TRUE,Inputs!$B$32,0))))))/Skills!H8,1)))/Inputs!$B$44),G1778*Q1778))*IF(Inputs!$B$39="pvp",1,1+(Inputs!$B$20+0+Skills!P8+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1778*(1-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1778*(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1778*(1-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1778*(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8">
        <f>IF(C1778,(H1778*N1778*IF(AND(Inputs!$B$39&lt;&gt;"pvp",Inputs!$B$44&gt;0),((Skills!G8*((R1778-1)*IF(Skills!H8&gt;0,Skills!I8/Skills!H8,1)+IF(Skills!H8&gt;0,MIN(Skills!I8,MAX(0,MAX(0,Inputs!$B$44-B1814)-((R1778-1)*IF(Inputs!$B$39="pvp",15,MAX(0.1,Skills!D8-IF(Skills!E8=TRUE,Inputs!$B$32,0))))))/Skills!H8,1)))/Inputs!$B$44),G1778*Q1778))*IF(Inputs!$B$39="pvp",1,(1+(Inputs!$B$21+Skills!Q8+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9">
      <c r="A1779">
        <f>Skills!A9</f>
        <v/>
      </c>
      <c r="B1779">
        <f>Skills!B9</f>
        <v/>
      </c>
      <c r="C1779">
        <f>Inputs!$B$3&gt;=117</f>
        <v/>
      </c>
      <c r="D1779">
        <f>IF(Skills!C9=1,60+Inputs!$B$25+Inputs!$B$29,IF(Skills!C9=2,90+Inputs!$B$26+Inputs!$B$29,IF(Skills!C9=3,120+Inputs!$B$27+Inputs!$B$29,MAX(0,(Inputs!$B$3-100)*3)+Inputs!$B$28+Inputs!$B$29)))</f>
        <v/>
      </c>
      <c r="E1779">
        <f>INDEX(FactorTable!$B$2:$Y$301, MATCH(ROUND(MIN(300,MAX(1,D1779)),0), FactorTable!$A$2:$A$301,0), Skills!M9+1)</f>
        <v/>
      </c>
      <c r="F1779">
        <f>IF(Skills!N9=TRUE,(Skills!L9/10)*(E1779/1000),Skills!L9/10)+Skills!O9</f>
        <v/>
      </c>
      <c r="G1779">
        <f>Skills!G9*IF(Skills!H9&gt;0,Skills!I9/Skills!H9,1)</f>
        <v/>
      </c>
      <c r="H1779">
        <f>1-(1-Skills!J9/100)^Skills!K9</f>
        <v/>
      </c>
      <c r="I1779" t="inlineStr">
        <is>
          <t>1</t>
        </is>
      </c>
      <c r="J1779">
        <f>((Inputs!$B$6*(1+Inputs!$B$7/100))+(((Inputs!$B$12*(1+Inputs!$B$13/100))-(Inputs!$B$12*(1+Inputs!$B$13/100)))+0.25*(Inputs!$B$14-Inputs!$B$14))*(1+Inputs!$B$7/100))*(F1779/100)</f>
        <v/>
      </c>
      <c r="K1779">
        <f>J1779*(1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1779)</f>
        <v/>
      </c>
      <c r="L1779">
        <f>K1779*(MIN(Inputs!$B$22+((C1794=TRUE)*(F1794-Calc!F24)),(Inputs!$B$23+((C1799=TRUE)*(F1799-Calc!F29))+IF(ArtifactsInput!$M$15,CHOOSE(ArtifactsInput!$N$15+1,25,30,35,40,45,50)/100*(Inputs!$B$11-Inputs!$B$11),0)))/100+(Inputs!$B$23+((C1799=TRUE)*(F1799-Calc!F29))+IF(ArtifactsInput!$M$15,CHOOSE(ArtifactsInput!$N$15+1,25,30,35,40,45,50)/100*(Inputs!$B$11-Inputs!$B$11),0))/100)/2</f>
        <v/>
      </c>
      <c r="M1779">
        <f>L1779*(1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9">
        <f>L1779*(1-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1779*(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9">
        <f>(1-Summary!$B$11)*T1779+Summary!$B$11*V1779</f>
        <v/>
      </c>
      <c r="P1779">
        <f>IF(B1815=0,0,O1779/B1815)</f>
        <v/>
      </c>
      <c r="Q1779" t="n">
        <v>0</v>
      </c>
      <c r="R1779" t="n">
        <v>0</v>
      </c>
      <c r="S1779" t="n">
        <v>0</v>
      </c>
      <c r="T1779">
        <f>IF(C1779,(0.2*SUMPRODUCT((Skills!Z2:Z30=TRUE)*(C1772:C1800=TRUE)*S1772:S1800)*N1779)*IF(Inputs!$B$39="pvp",1,1+(Inputs!$B$20+0+Skills!P9+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1779*(1-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1779*(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1779*(1-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1779*(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9">
        <f>IF(C1779,(0.2*SUMPRODUCT((Skills!Z2:Z30=TRUE)*(C1772:C1800=TRUE)*S1772:S1800)*N1779)*IF(Inputs!$B$39="pvp",1,(1+(Inputs!$B$21+Skills!Q9+B1804+(IF(ArtifactsInput!$M$33,CHOOSE(ArtifactsInput!$N$33+1,30,36,42,48,54,60),0))+(IF(AND(ArtifactsInput!$M$35,Inputs!$B$4&lt;&gt;"Chapter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0">
      <c r="A1780">
        <f>Skills!A10</f>
        <v/>
      </c>
      <c r="B1780">
        <f>Skills!B10</f>
        <v/>
      </c>
      <c r="C1780">
        <f>Inputs!$B$3&gt;=74</f>
        <v/>
      </c>
      <c r="D1780">
        <f>IF(Skills!C10=1,60+Inputs!$B$25+Inputs!$B$29,IF(Skills!C10=2,90+Inputs!$B$26+Inputs!$B$29,IF(Skills!C10=3,120+Inputs!$B$27+Inputs!$B$29,MAX(0,(Inputs!$B$3-100)*3)+Inputs!$B$28+Inputs!$B$29)))</f>
        <v/>
      </c>
      <c r="E1780">
        <f>INDEX(FactorTable!$B$2:$Y$301, MATCH(ROUND(MIN(300,MAX(1,D1780)),0), FactorTable!$A$2:$A$301,0), Skills!M10+1)</f>
        <v/>
      </c>
      <c r="F1780">
        <f>IF(Skills!N10=TRUE,(Skills!L10/10)*(E1780/1000),Skills!L10/10)+Skills!O10</f>
        <v/>
      </c>
      <c r="G1780">
        <f>Skills!G10*IF(Skills!H10&gt;0,Skills!I10/Skills!H10,1)</f>
        <v/>
      </c>
      <c r="H1780">
        <f>1-(1-Skills!J10/100)^Skills!K10</f>
        <v/>
      </c>
      <c r="I1780" t="inlineStr">
        <is>
          <t>1</t>
        </is>
      </c>
      <c r="J1780" t="inlineStr"/>
      <c r="K1780" t="inlineStr"/>
      <c r="L1780" t="inlineStr"/>
      <c r="M1780" t="inlineStr"/>
      <c r="N1780" t="inlineStr"/>
      <c r="O1780">
        <f>(1-Summary!$B$11)*T1780+Summary!$B$11*V1780</f>
        <v/>
      </c>
      <c r="P1780">
        <f>IF(B1815=0,0,O1780/B1815)</f>
        <v/>
      </c>
      <c r="Q1780">
        <f>IFERROR(1/IF(Inputs!$B$39="pvp",15,MAX(0.1,Skills!D10-IF(Skills!E10=TRUE,Inputs!$B$32,0))),0)</f>
        <v/>
      </c>
      <c r="R1780">
        <f>IF(AND(Inputs!$B$39&lt;&gt;"pvp",Inputs!$B$44&gt;0),IF(Inputs!$B$44&lt;=0,0,(INT(Inputs!$B$44/IF(Inputs!$B$39="pvp",15,MAX(0.1,Skills!D10-IF(Skills!E10=TRUE,Inputs!$B$32,0))))+1)),0)</f>
        <v/>
      </c>
      <c r="S1780">
        <f>IFERROR(O1780/N1780,0)</f>
        <v/>
      </c>
      <c r="T1780" t="n">
        <v>0</v>
      </c>
      <c r="V1780" t="n">
        <v>0</v>
      </c>
    </row>
    <row r="1781">
      <c r="A1781">
        <f>Skills!A11</f>
        <v/>
      </c>
      <c r="B1781">
        <f>Skills!B11</f>
        <v/>
      </c>
      <c r="C1781">
        <f>Inputs!$B$3&gt;=103</f>
        <v/>
      </c>
      <c r="D1781">
        <f>IF(Skills!C11=1,60+Inputs!$B$25+Inputs!$B$29,IF(Skills!C11=2,90+Inputs!$B$26+Inputs!$B$29,IF(Skills!C11=3,120+Inputs!$B$27+Inputs!$B$29,MAX(0,(Inputs!$B$3-100)*3)+Inputs!$B$28+Inputs!$B$29)))</f>
        <v/>
      </c>
      <c r="E1781">
        <f>INDEX(FactorTable!$B$2:$Y$301, MATCH(ROUND(MIN(300,MAX(1,D1781)),0), FactorTable!$A$2:$A$301,0), Skills!M11+1)</f>
        <v/>
      </c>
      <c r="F1781">
        <f>(Skills!L11/10)*(E1781/1000)+IF(Inputs!$B$3&gt;=134,50,0)+0.5*(30000/10)*(INDEX(FactorTable!$B$2:$Y$301, MATCH(ROUND(MIN(300,MAX(1,D1781)),0), FactorTable!$A$2:$A$301,0), 13)/1000)*B1813</f>
        <v/>
      </c>
      <c r="G1781">
        <f>Skills!G11*IF(Skills!H11&gt;0,Skills!I11/Skills!H11,1)</f>
        <v/>
      </c>
      <c r="H1781">
        <f>1-(1-Skills!J11/100)^Skills!K11</f>
        <v/>
      </c>
      <c r="I1781" t="inlineStr">
        <is>
          <t>1</t>
        </is>
      </c>
      <c r="J1781">
        <f>((Inputs!$B$6*(1+Inputs!$B$7/100))+(((Inputs!$B$12*(1+Inputs!$B$13/100))-(Inputs!$B$12*(1+Inputs!$B$13/100)))+0.25*(Inputs!$B$14-Inputs!$B$14))*(1+Inputs!$B$7/100))*(F1781/100)</f>
        <v/>
      </c>
      <c r="K1781">
        <f>J1781*(1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1781)</f>
        <v/>
      </c>
      <c r="L1781">
        <f>K1781*(MIN(Inputs!$B$22+((C1794=TRUE)*(F1794-Calc!F24)),(Inputs!$B$23+((C1799=TRUE)*(F1799-Calc!F29))+IF(ArtifactsInput!$M$15,CHOOSE(ArtifactsInput!$N$15+1,25,30,35,40,45,50)/100*(Inputs!$B$11-Inputs!$B$11),0)))/100+(Inputs!$B$23+((C1799=TRUE)*(F1799-Calc!F29))+IF(ArtifactsInput!$M$15,CHOOSE(ArtifactsInput!$N$15+1,25,30,35,40,45,50)/100*(Inputs!$B$11-Inputs!$B$11),0))/100)/2</f>
        <v/>
      </c>
      <c r="M1781">
        <f>L1781*(1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1">
        <f>L1781*(1-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1">
        <f>(1-Summary!$B$11)*T1781+Summary!$B$11*V1781</f>
        <v/>
      </c>
      <c r="P1781">
        <f>IF(B1815=0,0,O1781/B1815)</f>
        <v/>
      </c>
      <c r="Q1781">
        <f>IFERROR(1/IF(Inputs!$B$39="pvp",15,MAX(0.1,Skills!D11-IF(Skills!E11=TRUE,Inputs!$B$32,0))),0)</f>
        <v/>
      </c>
      <c r="R1781">
        <f>IF(AND(Inputs!$B$39&lt;&gt;"pvp",Inputs!$B$44&gt;0),IF(MAX(0,Inputs!$B$44-B1814)&lt;=0,0,(INT(MAX(0,Inputs!$B$44-B1814)/IF(Inputs!$B$39="pvp",15,MAX(0.1,Skills!D11-IF(Skills!E11=TRUE,Inputs!$B$32,0))))+1)),0)</f>
        <v/>
      </c>
      <c r="S1781">
        <f>IFERROR(O1781/N1781,0)</f>
        <v/>
      </c>
      <c r="T1781">
        <f>IF(C1781,(H1781*N1781*IF(AND(Inputs!$B$39&lt;&gt;"pvp",Inputs!$B$44&gt;0),((Skills!G11*((R1781-1)*IF(Skills!H11&gt;0,Skills!I11/Skills!H11,1)+IF(Skills!H11&gt;0,MIN(Skills!I11,MAX(0,MAX(0,Inputs!$B$44-B1814)-((R1781-1)*IF(Inputs!$B$39="pvp",15,MAX(0.1,Skills!D11-IF(Skills!E11=TRUE,Inputs!$B$32,0))))))/Skills!H11,1)))/Inputs!$B$44),G1781*Q1781))*IF(Inputs!$B$39="pvp",1,1+(Inputs!$B$20+0+Skills!P11+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1">
        <f>IF(C1781,(H1781*N1781*IF(AND(Inputs!$B$39&lt;&gt;"pvp",Inputs!$B$44&gt;0),((Skills!G11*((R1781-1)*IF(Skills!H11&gt;0,Skills!I11/Skills!H11,1)+IF(Skills!H11&gt;0,MIN(Skills!I11,MAX(0,MAX(0,Inputs!$B$44-B1814)-((R1781-1)*IF(Inputs!$B$39="pvp",15,MAX(0.1,Skills!D11-IF(Skills!E11=TRUE,Inputs!$B$32,0))))))/Skills!H11,1)))/Inputs!$B$44),G1781*Q1781))*IF(Inputs!$B$39="pvp",1,(1+(Inputs!$B$21+Skills!Q11+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2">
      <c r="A1782">
        <f>Skills!A12</f>
        <v/>
      </c>
      <c r="B1782">
        <f>Skills!B12</f>
        <v/>
      </c>
      <c r="C1782">
        <f>Inputs!$B$3&gt;=105</f>
        <v/>
      </c>
      <c r="D1782">
        <f>IF(Skills!C12=1,60+Inputs!$B$25+Inputs!$B$29,IF(Skills!C12=2,90+Inputs!$B$26+Inputs!$B$29,IF(Skills!C12=3,120+Inputs!$B$27+Inputs!$B$29,MAX(0,(Inputs!$B$3-100)*3)+Inputs!$B$28+Inputs!$B$29)))</f>
        <v/>
      </c>
      <c r="E1782">
        <f>INDEX(FactorTable!$B$2:$Y$301, MATCH(ROUND(MIN(300,MAX(1,D1782)),0), FactorTable!$A$2:$A$301,0), Skills!M12+1)</f>
        <v/>
      </c>
      <c r="F1782">
        <f>IF(Skills!N12=TRUE,(Skills!L12/10)*(E1782/1000),Skills!L12/10)+Skills!O12</f>
        <v/>
      </c>
      <c r="G1782">
        <f>Skills!G12*IF(Skills!H12&gt;0,Skills!I12/Skills!H12,1)</f>
        <v/>
      </c>
      <c r="H1782">
        <f>1-(1-Skills!J12/100)^Skills!K12</f>
        <v/>
      </c>
      <c r="I1782" t="inlineStr">
        <is>
          <t>1</t>
        </is>
      </c>
      <c r="J1782">
        <f>((Inputs!$B$6*(1+Inputs!$B$7/100))+(((Inputs!$B$12*(1+Inputs!$B$13/100))-(Inputs!$B$12*(1+Inputs!$B$13/100)))+0.25*(Inputs!$B$14-Inputs!$B$14))*(1+Inputs!$B$7/100))*(F1782/100)</f>
        <v/>
      </c>
      <c r="K1782">
        <f>J1782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1782)</f>
        <v/>
      </c>
      <c r="L1782">
        <f>K1782*(MIN(Inputs!$B$22+((C1794=TRUE)*(F1794-Calc!F24)),(Inputs!$B$23+((C1799=TRUE)*(F1799-Calc!F29))+IF(ArtifactsInput!$M$15,CHOOSE(ArtifactsInput!$N$15+1,25,30,35,40,45,50)/100*(Inputs!$B$11-Inputs!$B$11),0)))/100+(Inputs!$B$23+((C1799=TRUE)*(F1799-Calc!F29))+IF(ArtifactsInput!$M$15,CHOOSE(ArtifactsInput!$N$15+1,25,30,35,40,45,50)/100*(Inputs!$B$11-Inputs!$B$11),0))/100)/2</f>
        <v/>
      </c>
      <c r="M1782">
        <f>L1782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2">
        <f>L1782*(1-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1782*(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2">
        <f>(1-Summary!$B$11)*T1782+Summary!$B$11*V1782</f>
        <v/>
      </c>
      <c r="P1782">
        <f>IF(B1815=0,0,O1782/B1815)</f>
        <v/>
      </c>
      <c r="Q1782">
        <f>IFERROR(1/IF(Inputs!$B$39="pvp",15,MAX(0.1,Skills!D12-IF(Skills!E12=TRUE,Inputs!$B$32,0))),0)</f>
        <v/>
      </c>
      <c r="R1782">
        <f>IF(AND(Inputs!$B$39&lt;&gt;"pvp",Inputs!$B$44&gt;0),IF(MAX(0,Inputs!$B$44-B1814)&lt;=0,0,(INT(MAX(0,Inputs!$B$44-B1814)/IF(Inputs!$B$39="pvp",15,MAX(0.1,Skills!D12-IF(Skills!E12=TRUE,Inputs!$B$32,0))))+1)),0)</f>
        <v/>
      </c>
      <c r="S1782">
        <f>IFERROR(O1782/N1782,0)</f>
        <v/>
      </c>
      <c r="T1782">
        <f>IF(C1782,(H1782*N1782*IF(AND(Inputs!$B$39&lt;&gt;"pvp",Inputs!$B$44&gt;0),((Skills!G12*((R1782-1)*IF(Skills!H12&gt;0,Skills!I12/Skills!H12,1)+IF(Skills!H12&gt;0,MIN(Skills!I12,MAX(0,MAX(0,Inputs!$B$44-B1814)-((R1782-1)*IF(Inputs!$B$39="pvp",15,MAX(0.1,Skills!D12-IF(Skills!E12=TRUE,Inputs!$B$32,0))))))/Skills!H12,1)))/Inputs!$B$44),G1782*Q1782))*IF(Inputs!$B$39="pvp",1,1+(Inputs!$B$20+0+Skills!P12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1782*(1-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1782*(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1782*(1-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1782*(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2">
        <f>IF(C1782,(H1782*N1782*IF(AND(Inputs!$B$39&lt;&gt;"pvp",Inputs!$B$44&gt;0),((Skills!G12*((R1782-1)*IF(Skills!H12&gt;0,Skills!I12/Skills!H12,1)+IF(Skills!H12&gt;0,MIN(Skills!I12,MAX(0,MAX(0,Inputs!$B$44-B1814)-((R1782-1)*IF(Inputs!$B$39="pvp",15,MAX(0.1,Skills!D12-IF(Skills!E12=TRUE,Inputs!$B$32,0))))))/Skills!H12,1)))/Inputs!$B$44),G1782*Q1782))*IF(Inputs!$B$39="pvp",1,(1+(Inputs!$B$21+Skills!Q12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3">
      <c r="A1783">
        <f>Skills!A13</f>
        <v/>
      </c>
      <c r="B1783">
        <f>Skills!B13</f>
        <v/>
      </c>
      <c r="C1783">
        <f>Inputs!$B$3&gt;=105</f>
        <v/>
      </c>
      <c r="D1783">
        <f>IF(Skills!C13=1,60+Inputs!$B$25+Inputs!$B$29,IF(Skills!C13=2,90+Inputs!$B$26+Inputs!$B$29,IF(Skills!C13=3,120+Inputs!$B$27+Inputs!$B$29,MAX(0,(Inputs!$B$3-100)*3)+Inputs!$B$28+Inputs!$B$29)))</f>
        <v/>
      </c>
      <c r="E1783">
        <f>INDEX(FactorTable!$B$2:$Y$301, MATCH(ROUND(MIN(300,MAX(1,D1783)),0), FactorTable!$A$2:$A$301,0), Skills!M13+1)</f>
        <v/>
      </c>
      <c r="F1783">
        <f>IF(Skills!N13=TRUE,(Skills!L13/10)*(E1783/1000),Skills!L13/10)+Skills!O13</f>
        <v/>
      </c>
      <c r="G1783">
        <f>Skills!G13*IF(Skills!H13&gt;0,Skills!I13/Skills!H13,1)</f>
        <v/>
      </c>
      <c r="H1783">
        <f>1-(1-Skills!J13/100)^Skills!K13</f>
        <v/>
      </c>
      <c r="I1783" t="inlineStr">
        <is>
          <t>1</t>
        </is>
      </c>
      <c r="J1783">
        <f>((Inputs!$B$6*(1+Inputs!$B$7/100))+(((Inputs!$B$12*(1+Inputs!$B$13/100))-(Inputs!$B$12*(1+Inputs!$B$13/100)))+0.25*(Inputs!$B$14-Inputs!$B$14))*(1+Inputs!$B$7/100))*(F1783/100)</f>
        <v/>
      </c>
      <c r="K1783">
        <f>J1783*(1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1783)</f>
        <v/>
      </c>
      <c r="L1783">
        <f>K1783*(MIN(Inputs!$B$22+((C1794=TRUE)*(F1794-Calc!F24)),(Inputs!$B$23+((C1799=TRUE)*(F1799-Calc!F29))+IF(ArtifactsInput!$M$15,CHOOSE(ArtifactsInput!$N$15+1,25,30,35,40,45,50)/100*(Inputs!$B$11-Inputs!$B$11),0)))/100+(Inputs!$B$23+((C1799=TRUE)*(F1799-Calc!F29))+IF(ArtifactsInput!$M$15,CHOOSE(ArtifactsInput!$N$15+1,25,30,35,40,45,50)/100*(Inputs!$B$11-Inputs!$B$11),0))/100)/2</f>
        <v/>
      </c>
      <c r="M1783">
        <f>L1783*(1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3">
        <f>L1783*(1-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1783*(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3">
        <f>(1-Summary!$B$11)*T1783+Summary!$B$11*V1783</f>
        <v/>
      </c>
      <c r="P1783">
        <f>IF(B1815=0,0,O1783/B1815)</f>
        <v/>
      </c>
      <c r="Q1783">
        <f>IFERROR(1/IF(Inputs!$B$39="pvp",15,MAX(0.1,Skills!D13-IF(Skills!E13=TRUE,Inputs!$B$32,0))),0)</f>
        <v/>
      </c>
      <c r="R1783">
        <f>IF(AND(Inputs!$B$39&lt;&gt;"pvp",Inputs!$B$44&gt;0),IF(MAX(0,Inputs!$B$44-B1814)&lt;=0,0,(INT(MAX(0,Inputs!$B$44-B1814)/IF(Inputs!$B$39="pvp",15,MAX(0.1,Skills!D13-IF(Skills!E13=TRUE,Inputs!$B$32,0))))+1)),0)</f>
        <v/>
      </c>
      <c r="S1783">
        <f>IFERROR(O1783/N1783,0)</f>
        <v/>
      </c>
      <c r="T1783">
        <f>IF(C1783,(H1783*N1783*IF(AND(Inputs!$B$39&lt;&gt;"pvp",Inputs!$B$44&gt;0),((Skills!G13*((R1783-1)*IF(Skills!H13&gt;0,Skills!I13/Skills!H13,1)+IF(Skills!H13&gt;0,MIN(Skills!I13,MAX(0,MAX(0,Inputs!$B$44-B1814)-((R1783-1)*IF(Inputs!$B$39="pvp",15,MAX(0.1,Skills!D13-IF(Skills!E13=TRUE,Inputs!$B$32,0))))))/Skills!H13,1)))/Inputs!$B$44),G1783*Q1783))*IF(Inputs!$B$39="pvp",1,1+(Inputs!$B$20+0+Skills!P13+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1783*(1-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1783*(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1783*(1-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1783*(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3">
        <f>IF(C1783,(H1783*N1783*IF(AND(Inputs!$B$39&lt;&gt;"pvp",Inputs!$B$44&gt;0),((Skills!G13*((R1783-1)*IF(Skills!H13&gt;0,Skills!I13/Skills!H13,1)+IF(Skills!H13&gt;0,MIN(Skills!I13,MAX(0,MAX(0,Inputs!$B$44-B1814)-((R1783-1)*IF(Inputs!$B$39="pvp",15,MAX(0.1,Skills!D13-IF(Skills!E13=TRUE,Inputs!$B$32,0))))))/Skills!H13,1)))/Inputs!$B$44),G1783*Q1783))*IF(Inputs!$B$39="pvp",1,(1+(Inputs!$B$21+Skills!Q13+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4">
      <c r="A1784">
        <f>Skills!A14</f>
        <v/>
      </c>
      <c r="B1784">
        <f>Skills!B14</f>
        <v/>
      </c>
      <c r="C1784">
        <f>Inputs!$B$3&gt;=107</f>
        <v/>
      </c>
      <c r="D1784">
        <f>IF(Skills!C14=1,60+Inputs!$B$25+Inputs!$B$29,IF(Skills!C14=2,90+Inputs!$B$26+Inputs!$B$29,IF(Skills!C14=3,120+Inputs!$B$27+Inputs!$B$29,MAX(0,(Inputs!$B$3-100)*3)+Inputs!$B$28+Inputs!$B$29)))</f>
        <v/>
      </c>
      <c r="E1784">
        <f>INDEX(FactorTable!$B$2:$Y$301, MATCH(ROUND(MIN(300,MAX(1,D1784)),0), FactorTable!$A$2:$A$301,0), Skills!M14+1)</f>
        <v/>
      </c>
      <c r="F1784">
        <f>IF(Skills!N14=TRUE,(Skills!L14/10)*(E1784/1000),Skills!L14/10)+Skills!O14</f>
        <v/>
      </c>
      <c r="G1784">
        <f>Skills!G14*IF(Skills!H14&gt;0,Skills!I14/Skills!H14,1)</f>
        <v/>
      </c>
      <c r="H1784">
        <f>1-(1-Skills!J14/100)^Skills!K14</f>
        <v/>
      </c>
      <c r="I1784" t="inlineStr">
        <is>
          <t>1</t>
        </is>
      </c>
      <c r="J1784">
        <f>((Inputs!$B$6*(1+Inputs!$B$7/100))+(((Inputs!$B$12*(1+Inputs!$B$13/100))-(Inputs!$B$12*(1+Inputs!$B$13/100)))+0.25*(Inputs!$B$14-Inputs!$B$14))*(1+Inputs!$B$7/100))*(F1784/100)</f>
        <v/>
      </c>
      <c r="K1784">
        <f>J1784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1784)</f>
        <v/>
      </c>
      <c r="L1784">
        <f>K1784*(MIN(Inputs!$B$22+((C1794=TRUE)*(F1794-Calc!F24)),(Inputs!$B$23+((C1799=TRUE)*(F1799-Calc!F29))+IF(ArtifactsInput!$M$15,CHOOSE(ArtifactsInput!$N$15+1,25,30,35,40,45,50)/100*(Inputs!$B$11-Inputs!$B$11),0)))/100+(Inputs!$B$23+((C1799=TRUE)*(F1799-Calc!F29))+IF(ArtifactsInput!$M$15,CHOOSE(ArtifactsInput!$N$15+1,25,30,35,40,45,50)/100*(Inputs!$B$11-Inputs!$B$11),0))/100)/2</f>
        <v/>
      </c>
      <c r="M1784">
        <f>L1784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4">
        <f>L1784*(1-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(1-Summary!$B$11)*T1784+Summary!$B$11*V1784</f>
        <v/>
      </c>
      <c r="P1784">
        <f>IF(B1815=0,0,O1784/B1815)</f>
        <v/>
      </c>
      <c r="Q1784">
        <f>IFERROR(1/IF(Inputs!$B$39="pvp",15,MAX(0.1,Skills!D14-IF(Skills!E14=TRUE,Inputs!$B$32,0))),0)</f>
        <v/>
      </c>
      <c r="R1784">
        <f>IF(AND(Inputs!$B$39&lt;&gt;"pvp",Inputs!$B$44&gt;0),IF(MAX(0,Inputs!$B$44-B1814)&lt;=0,0,(INT(MAX(0,Inputs!$B$44-B1814)/IF(Inputs!$B$39="pvp",15,MAX(0.1,Skills!D14-IF(Skills!E14=TRUE,Inputs!$B$32,0))))+1)),0)</f>
        <v/>
      </c>
      <c r="S1784">
        <f>IFERROR(O1784/N1784,0)</f>
        <v/>
      </c>
      <c r="T1784">
        <f>IF(C1784,(H1784*N1784*IF(AND(Inputs!$B$39&lt;&gt;"pvp",Inputs!$B$44&gt;0),((Skills!G14*((R1784-1)*IF(Skills!H14&gt;0,Skills!I14/Skills!H14,1)+IF(Skills!H14&gt;0,MIN(Skills!I14,MAX(0,MAX(0,Inputs!$B$44-B1814)-((R1784-1)*IF(Inputs!$B$39="pvp",15,MAX(0.1,Skills!D14-IF(Skills!E14=TRUE,Inputs!$B$32,0))))))/Skills!H14,1)))/Inputs!$B$44),G1784*Q1784))*IF(Inputs!$B$39="pvp",1,1+(Inputs!$B$20+0+Skills!P14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1784*(1-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4">
        <f>IF(C1784,(H1784*N1784*IF(AND(Inputs!$B$39&lt;&gt;"pvp",Inputs!$B$44&gt;0),((Skills!G14*((R1784-1)*IF(Skills!H14&gt;0,Skills!I14/Skills!H14,1)+IF(Skills!H14&gt;0,MIN(Skills!I14,MAX(0,MAX(0,Inputs!$B$44-B1814)-((R1784-1)*IF(Inputs!$B$39="pvp",15,MAX(0.1,Skills!D14-IF(Skills!E14=TRUE,Inputs!$B$32,0))))))/Skills!H14,1)))/Inputs!$B$44),G1784*Q1784))*IF(Inputs!$B$39="pvp",1,(1+(Inputs!$B$21+Skills!Q14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(5,0.25*B1807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Skills!A15</f>
        <v/>
      </c>
      <c r="B1785">
        <f>Skills!B15</f>
        <v/>
      </c>
      <c r="C1785">
        <f>Inputs!$B$3&gt;=110</f>
        <v/>
      </c>
      <c r="D1785">
        <f>IF(Skills!C15=1,60+Inputs!$B$25+Inputs!$B$29,IF(Skills!C15=2,90+Inputs!$B$26+Inputs!$B$29,IF(Skills!C15=3,120+Inputs!$B$27+Inputs!$B$29,MAX(0,(Inputs!$B$3-100)*3)+Inputs!$B$28+Inputs!$B$29)))</f>
        <v/>
      </c>
      <c r="E1785">
        <f>INDEX(FactorTable!$B$2:$Y$301, MATCH(ROUND(MIN(300,MAX(1,D1785)),0), FactorTable!$A$2:$A$301,0), Skills!M15+1)</f>
        <v/>
      </c>
      <c r="F1785">
        <f>IF(Skills!N15=TRUE,(Skills!L15/10)*(E1785/1000),Skills!L15/10)+Skills!O15</f>
        <v/>
      </c>
      <c r="G1785">
        <f>Skills!G15*IF(Skills!H15&gt;0,Skills!I15/Skills!H15,1)</f>
        <v/>
      </c>
      <c r="H1785">
        <f>1-(1-Skills!J15/100)^Skills!K15</f>
        <v/>
      </c>
      <c r="I1785" t="inlineStr">
        <is>
          <t>1</t>
        </is>
      </c>
      <c r="J1785" t="inlineStr"/>
      <c r="K1785" t="inlineStr"/>
      <c r="L1785" t="inlineStr"/>
      <c r="M1785" t="inlineStr"/>
      <c r="N1785" t="inlineStr"/>
      <c r="O1785">
        <f>(1-Summary!$B$11)*T1785+Summary!$B$11*V1785</f>
        <v/>
      </c>
      <c r="P1785">
        <f>IF(B1815=0,0,O1785/B1815)</f>
        <v/>
      </c>
      <c r="Q1785">
        <f>IFERROR(1/IF(Inputs!$B$39="pvp",15,MAX(0.1,Skills!D15-IF(Skills!E15=TRUE,Inputs!$B$32,0))),0)</f>
        <v/>
      </c>
      <c r="R1785">
        <f>IF(AND(Inputs!$B$39&lt;&gt;"pvp",Inputs!$B$44&gt;0),IF(Inputs!$B$44&lt;=0,0,(INT(Inputs!$B$44/IF(Inputs!$B$39="pvp",15,MAX(0.1,Skills!D15-IF(Skills!E15=TRUE,Inputs!$B$32,0))))+1)),0)</f>
        <v/>
      </c>
      <c r="S1785">
        <f>IFERROR(O1785/N1785,0)</f>
        <v/>
      </c>
      <c r="T1785" t="n">
        <v>0</v>
      </c>
      <c r="V1785" t="n">
        <v>0</v>
      </c>
    </row>
    <row r="1786">
      <c r="A1786">
        <f>Skills!A16</f>
        <v/>
      </c>
      <c r="B1786">
        <f>Skills!B16</f>
        <v/>
      </c>
      <c r="C1786">
        <f>Inputs!$B$3&gt;=115</f>
        <v/>
      </c>
      <c r="D1786">
        <f>IF(Skills!C16=1,60+Inputs!$B$25+Inputs!$B$29,IF(Skills!C16=2,90+Inputs!$B$26+Inputs!$B$29,IF(Skills!C16=3,120+Inputs!$B$27+Inputs!$B$29,MAX(0,(Inputs!$B$3-100)*3)+Inputs!$B$28+Inputs!$B$29)))</f>
        <v/>
      </c>
      <c r="E1786">
        <f>INDEX(FactorTable!$B$2:$Y$301, MATCH(ROUND(MIN(300,MAX(1,D1786)),0), FactorTable!$A$2:$A$301,0), Skills!M16+1)</f>
        <v/>
      </c>
      <c r="F1786">
        <f>IF(Skills!N16=TRUE,(Skills!L16/10)*(E1786/1000),Skills!L16/10)+Skills!O16</f>
        <v/>
      </c>
      <c r="G1786">
        <f>Skills!G16*IF(Skills!H16&gt;0,Skills!I16/Skills!H16,1)</f>
        <v/>
      </c>
      <c r="H1786">
        <f>1-(1-Skills!J16/100)^Skills!K16</f>
        <v/>
      </c>
      <c r="I1786" t="inlineStr">
        <is>
          <t>1</t>
        </is>
      </c>
      <c r="J1786">
        <f>((Inputs!$B$6*(1+Inputs!$B$7/100))+(((Inputs!$B$12*(1+Inputs!$B$13/100))-(Inputs!$B$12*(1+Inputs!$B$13/100)))+0.25*(Inputs!$B$14-Inputs!$B$14))*(1+Inputs!$B$7/100))*(F1786/100)</f>
        <v/>
      </c>
      <c r="K1786">
        <f>J1786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1797=TRUE)*(F1797-Calc!F27))+((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1786)</f>
        <v/>
      </c>
      <c r="L1786">
        <f>K1786*(MIN(Inputs!$B$22+((C1794=TRUE)*(F1794-Calc!F24)),(Inputs!$B$23+((C1799=TRUE)*(F1799-Calc!F29))+IF(ArtifactsInput!$M$15,CHOOSE(ArtifactsInput!$N$15+1,25,30,35,40,45,50)/100*(Inputs!$B$11-Inputs!$B$11),0)))/100+(Inputs!$B$23+((C1799=TRUE)*(F1799-Calc!F29))+IF(ArtifactsInput!$M$15,CHOOSE(ArtifactsInput!$N$15+1,25,30,35,40,45,50)/100*(Inputs!$B$11-Inputs!$B$11),0))/100)/2</f>
        <v/>
      </c>
      <c r="M1786">
        <f>L1786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6">
        <f>L1786*(1-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1786*(MIN((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6">
        <f>(1-Summary!$B$11)*T1786+Summary!$B$11*V1786</f>
        <v/>
      </c>
      <c r="P1786">
        <f>IF(B1815=0,0,O1786/B1815)</f>
        <v/>
      </c>
      <c r="Q1786" t="n">
        <v>0</v>
      </c>
      <c r="R1786" t="n">
        <v>0</v>
      </c>
      <c r="S1786">
        <f>IFERROR(O1786/N1786,0)</f>
        <v/>
      </c>
      <c r="T1786">
        <f>IF(C1786,(Inputs!$B$38*0.2*N1786)*IF(Inputs!$B$39="pvp",1,1+(Inputs!$B$20+0+Skills!P16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1786*(1-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1786*(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1786*(1-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1786*(MIN(100,(Inputs!$B$9+((C1795=TRUE)*(F1795-Calc!F25))+B1803+(ArtifactsInput!$M$24-ArtifactsInput!$M$24)*CHOOSE(ArtifactsInput!$N$24+1,10,12,14,16,18,20)+(IF(AND(Inputs!$B$39&lt;&gt;"pvp",Inputs!$B$44=0),1,IF(IF(Inputs!$B$39="pvp",15,Inputs!$B$44)-(B1814)&lt;=0,1,MAX(0,IF(Inputs!$B$39="pvp",15,Inputs!$B$44)-MAX(5,B1814))/(IF(Inputs!$B$39="pvp",15,Inputs!$B$44)-(B1814))))*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6">
        <f>IF(C1786,(Inputs!$B$38*0.2*N1786)*IF(Inputs!$B$39="pvp",1,(1+(Inputs!$B$21+Skills!Q16+B1804+(IF(ArtifactsInput!$M$33,CHOOSE(ArtifactsInput!$N$33+1,30,36,42,48,54,60),0))+(IF(AND(ArtifactsInput!$M$35,Inputs!$B$4&lt;&gt;"Chapter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7">
      <c r="A1787">
        <f>Skills!A17</f>
        <v/>
      </c>
      <c r="B1787">
        <f>Skills!B17</f>
        <v/>
      </c>
      <c r="C1787">
        <f>Inputs!$B$3&gt;=115</f>
        <v/>
      </c>
      <c r="D1787">
        <f>IF(Skills!C17=1,60+Inputs!$B$25+Inputs!$B$29,IF(Skills!C17=2,90+Inputs!$B$26+Inputs!$B$29,IF(Skills!C17=3,120+Inputs!$B$27+Inputs!$B$29,MAX(0,(Inputs!$B$3-100)*3)+Inputs!$B$28+Inputs!$B$29)))</f>
        <v/>
      </c>
      <c r="E1787">
        <f>INDEX(FactorTable!$B$2:$Y$301, MATCH(ROUND(MIN(300,MAX(1,D1787)),0), FactorTable!$A$2:$A$301,0), Skills!M17+1)</f>
        <v/>
      </c>
      <c r="F1787">
        <f>IF(Skills!N17=TRUE,(Skills!L17/10)*(E1787/1000),Skills!L17/10)+Skills!O17</f>
        <v/>
      </c>
      <c r="G1787">
        <f>Skills!G17*IF(Skills!H17&gt;0,Skills!I17/Skills!H17,1)</f>
        <v/>
      </c>
      <c r="H1787">
        <f>1-(1-Skills!J17/100)^Skills!K17</f>
        <v/>
      </c>
      <c r="I1787" t="inlineStr">
        <is>
          <t>1</t>
        </is>
      </c>
      <c r="J1787" t="inlineStr"/>
      <c r="K1787" t="inlineStr"/>
      <c r="L1787" t="inlineStr"/>
      <c r="M1787" t="inlineStr"/>
      <c r="N1787" t="inlineStr"/>
      <c r="O1787">
        <f>(1-Summary!$B$11)*T1787+Summary!$B$11*V1787</f>
        <v/>
      </c>
      <c r="P1787">
        <f>IF(B1815=0,0,O1787/B1815)</f>
        <v/>
      </c>
      <c r="Q1787" t="n">
        <v>0</v>
      </c>
      <c r="R1787" t="n">
        <v>0</v>
      </c>
      <c r="S1787">
        <f>IFERROR(O1787/N1787,0)</f>
        <v/>
      </c>
      <c r="T1787" t="n">
        <v>0</v>
      </c>
      <c r="V1787" t="n">
        <v>0</v>
      </c>
    </row>
    <row r="1788">
      <c r="A1788">
        <f>Skills!A18</f>
        <v/>
      </c>
      <c r="B1788">
        <f>Skills!B18</f>
        <v/>
      </c>
      <c r="C1788">
        <f>Inputs!$B$3&gt;=100</f>
        <v/>
      </c>
      <c r="D1788">
        <f>IF(Skills!C18=1,60+Inputs!$B$25+Inputs!$B$29,IF(Skills!C18=2,90+Inputs!$B$26+Inputs!$B$29,IF(Skills!C18=3,120+Inputs!$B$27+Inputs!$B$29,MAX(0,(Inputs!$B$3-100)*3)+Inputs!$B$28+Inputs!$B$29)))</f>
        <v/>
      </c>
      <c r="E1788">
        <f>INDEX(FactorTable!$B$2:$Y$301, MATCH(ROUND(MIN(300,MAX(1,D1788)),0), FactorTable!$A$2:$A$301,0), Skills!M18+1)</f>
        <v/>
      </c>
      <c r="F1788">
        <f>IF(Skills!N18=TRUE,(Skills!L18/10)*(E1788/1000),Skills!L18/10)+Skills!O18</f>
        <v/>
      </c>
      <c r="G1788">
        <f>Skills!G18*IF(Skills!H18&gt;0,Skills!I18/Skills!H18,1)</f>
        <v/>
      </c>
      <c r="H1788">
        <f>1-(1-Skills!J18/100)^Skills!K18</f>
        <v/>
      </c>
      <c r="I1788" t="inlineStr">
        <is>
          <t>1</t>
        </is>
      </c>
      <c r="J1788" t="inlineStr"/>
      <c r="K1788" t="inlineStr"/>
      <c r="L1788" t="inlineStr"/>
      <c r="M1788" t="inlineStr"/>
      <c r="N1788" t="inlineStr"/>
      <c r="O1788">
        <f>(1-Summary!$B$11)*T1788+Summary!$B$11*V1788</f>
        <v/>
      </c>
      <c r="P1788">
        <f>IF(B1815=0,0,O1788/B1815)</f>
        <v/>
      </c>
      <c r="Q1788" t="n">
        <v>0</v>
      </c>
      <c r="R1788" t="n">
        <v>0</v>
      </c>
      <c r="S1788">
        <f>IFERROR(O1788/N1788,0)</f>
        <v/>
      </c>
      <c r="T1788" t="n">
        <v>0</v>
      </c>
      <c r="V1788" t="n">
        <v>0</v>
      </c>
    </row>
    <row r="1789">
      <c r="A1789">
        <f>Skills!A19</f>
        <v/>
      </c>
      <c r="B1789">
        <f>Skills!B19</f>
        <v/>
      </c>
      <c r="C1789">
        <f>TRUE</f>
        <v/>
      </c>
      <c r="D1789">
        <f>IF(Skills!C19=1,60+Inputs!$B$25+Inputs!$B$29,IF(Skills!C19=2,90+Inputs!$B$26+Inputs!$B$29,IF(Skills!C19=3,120+Inputs!$B$27+Inputs!$B$29,MAX(0,(Inputs!$B$3-100)*3)+Inputs!$B$28+Inputs!$B$29)))</f>
        <v/>
      </c>
      <c r="E1789">
        <f>INDEX(FactorTable!$B$2:$Y$301, MATCH(ROUND(MIN(300,MAX(1,D1789)),0), FactorTable!$A$2:$A$301,0), Skills!M19+1)</f>
        <v/>
      </c>
      <c r="F1789">
        <f>IF(Skills!N19=TRUE,(Skills!L19/10)*(E1789/1000),Skills!L19/10)+Skills!O19</f>
        <v/>
      </c>
      <c r="G1789">
        <f>Skills!G19*IF(Skills!H19&gt;0,Skills!I19/Skills!H19,1)</f>
        <v/>
      </c>
      <c r="H1789">
        <f>1-(1-Skills!J19/100)^Skills!K19</f>
        <v/>
      </c>
      <c r="I1789" t="inlineStr">
        <is>
          <t>1</t>
        </is>
      </c>
      <c r="J1789" t="inlineStr"/>
      <c r="K1789" t="inlineStr"/>
      <c r="L1789" t="inlineStr"/>
      <c r="M1789" t="inlineStr"/>
      <c r="N1789" t="inlineStr"/>
      <c r="O1789">
        <f>(1-Summary!$B$11)*T1789+Summary!$B$11*V1789</f>
        <v/>
      </c>
      <c r="P1789">
        <f>IF(B1815=0,0,O1789/B1815)</f>
        <v/>
      </c>
      <c r="Q1789">
        <f>IFERROR(1/IF(Inputs!$B$39="pvp",15,MAX(0.1,Skills!D19-IF(Skills!E19=TRUE,Inputs!$B$32,0))),0)</f>
        <v/>
      </c>
      <c r="R1789">
        <f>IF(AND(Inputs!$B$39&lt;&gt;"pvp",Inputs!$B$44&gt;0),IF(Inputs!$B$44&lt;=0,0,(INT(Inputs!$B$44/IF(Inputs!$B$39="pvp",15,MAX(0.1,Skills!D19-IF(Skills!E19=TRUE,Inputs!$B$32,0))))+1)),0)</f>
        <v/>
      </c>
      <c r="S1789">
        <f>IFERROR(O1789/N1789,0)</f>
        <v/>
      </c>
      <c r="T1789" t="n">
        <v>0</v>
      </c>
      <c r="V1789" t="n">
        <v>0</v>
      </c>
    </row>
    <row r="1790">
      <c r="A1790">
        <f>Skills!A20</f>
        <v/>
      </c>
      <c r="B1790">
        <f>Skills!B20</f>
        <v/>
      </c>
      <c r="C1790">
        <f>Inputs!$B$3&gt;=15</f>
        <v/>
      </c>
      <c r="D1790">
        <f>IF(Skills!C20=1,60+Inputs!$B$25+Inputs!$B$29,IF(Skills!C20=2,90+Inputs!$B$26+Inputs!$B$29,IF(Skills!C20=3,120+Inputs!$B$27+Inputs!$B$29,MAX(0,(Inputs!$B$3-100)*3)+Inputs!$B$28+Inputs!$B$29)))</f>
        <v/>
      </c>
      <c r="E1790">
        <f>INDEX(FactorTable!$B$2:$Y$301, MATCH(ROUND(MIN(300,MAX(1,D1790)),0), FactorTable!$A$2:$A$301,0), Skills!M20+1)</f>
        <v/>
      </c>
      <c r="F1790">
        <f>IF(Skills!N20=TRUE,(Skills!L20/10)*(E1790/1000),Skills!L20/10)+Skills!O20</f>
        <v/>
      </c>
      <c r="G1790">
        <f>Skills!G20*IF(Skills!H20&gt;0,Skills!I20/Skills!H20,1)</f>
        <v/>
      </c>
      <c r="H1790">
        <f>1-(1-Skills!J20/100)^Skills!K20</f>
        <v/>
      </c>
      <c r="I1790" t="inlineStr">
        <is>
          <t>1</t>
        </is>
      </c>
      <c r="J1790" t="inlineStr"/>
      <c r="K1790" t="inlineStr"/>
      <c r="L1790" t="inlineStr"/>
      <c r="M1790" t="inlineStr"/>
      <c r="N1790" t="inlineStr"/>
      <c r="O1790">
        <f>(1-Summary!$B$11)*T1790+Summary!$B$11*V1790</f>
        <v/>
      </c>
      <c r="P1790">
        <f>IF(B1815=0,0,O1790/B1815)</f>
        <v/>
      </c>
      <c r="Q1790">
        <f>IFERROR(1/IF(Inputs!$B$39="pvp",15,MAX(0.1,Skills!D20-IF(Skills!E20=TRUE,Inputs!$B$32,0))),0)</f>
        <v/>
      </c>
      <c r="R1790">
        <f>IF(AND(Inputs!$B$39&lt;&gt;"pvp",Inputs!$B$44&gt;0),IF(Inputs!$B$44&lt;=0,0,(INT(Inputs!$B$44/IF(Inputs!$B$39="pvp",15,MAX(0.1,Skills!D20-IF(Skills!E20=TRUE,Inputs!$B$32,0))))+1)),0)</f>
        <v/>
      </c>
      <c r="S1790">
        <f>IFERROR(O1790/N1790,0)</f>
        <v/>
      </c>
      <c r="T1790" t="n">
        <v>0</v>
      </c>
      <c r="V1790" t="n">
        <v>0</v>
      </c>
    </row>
    <row r="1791">
      <c r="A1791">
        <f>Skills!A21</f>
        <v/>
      </c>
      <c r="B1791">
        <f>Skills!B21</f>
        <v/>
      </c>
      <c r="C1791">
        <f>Inputs!$B$3&gt;=15</f>
        <v/>
      </c>
      <c r="D1791">
        <f>IF(Skills!C21=1,60+Inputs!$B$25+Inputs!$B$29,IF(Skills!C21=2,90+Inputs!$B$26+Inputs!$B$29,IF(Skills!C21=3,120+Inputs!$B$27+Inputs!$B$29,MAX(0,(Inputs!$B$3-100)*3)+Inputs!$B$28+Inputs!$B$29)))</f>
        <v/>
      </c>
      <c r="E1791">
        <f>INDEX(FactorTable!$B$2:$Y$301, MATCH(ROUND(MIN(300,MAX(1,D1791)),0), FactorTable!$A$2:$A$301,0), Skills!M21+1)</f>
        <v/>
      </c>
      <c r="F1791">
        <f>IF(Skills!N21=TRUE,(Skills!L21/10)*(E1791/1000),Skills!L21/10)+Skills!O21</f>
        <v/>
      </c>
      <c r="G1791">
        <f>Skills!G21*IF(Skills!H21&gt;0,Skills!I21/Skills!H21,1)</f>
        <v/>
      </c>
      <c r="H1791">
        <f>1-(1-Skills!J21/100)^Skills!K21</f>
        <v/>
      </c>
      <c r="I1791" t="inlineStr">
        <is>
          <t>1</t>
        </is>
      </c>
      <c r="J1791" t="inlineStr"/>
      <c r="K1791" t="inlineStr"/>
      <c r="L1791" t="inlineStr"/>
      <c r="M1791" t="inlineStr"/>
      <c r="N1791" t="inlineStr"/>
      <c r="O1791">
        <f>(1-Summary!$B$11)*T1791+Summary!$B$11*V1791</f>
        <v/>
      </c>
      <c r="P1791">
        <f>IF(B1815=0,0,O1791/B1815)</f>
        <v/>
      </c>
      <c r="Q1791">
        <f>IFERROR(1/IF(Inputs!$B$39="pvp",15,MAX(0.1,Skills!D21-IF(Skills!E21=TRUE,Inputs!$B$32,0))),0)</f>
        <v/>
      </c>
      <c r="R1791">
        <f>IF(AND(Inputs!$B$39&lt;&gt;"pvp",Inputs!$B$44&gt;0),IF(Inputs!$B$44&lt;=0,0,(INT(Inputs!$B$44/IF(Inputs!$B$39="pvp",15,MAX(0.1,Skills!D21-IF(Skills!E21=TRUE,Inputs!$B$32,0))))+1)),0)</f>
        <v/>
      </c>
      <c r="S1791">
        <f>IFERROR(O1791/N1791,0)</f>
        <v/>
      </c>
      <c r="T1791" t="n">
        <v>0</v>
      </c>
      <c r="V1791" t="n">
        <v>0</v>
      </c>
    </row>
    <row r="1792">
      <c r="A1792">
        <f>Skills!A22</f>
        <v/>
      </c>
      <c r="B1792">
        <f>Skills!B22</f>
        <v/>
      </c>
      <c r="C1792">
        <f>Inputs!$B$3&gt;=33</f>
        <v/>
      </c>
      <c r="D1792">
        <f>IF(Skills!C22=1,60+Inputs!$B$25+Inputs!$B$29,IF(Skills!C22=2,90+Inputs!$B$26+Inputs!$B$29,IF(Skills!C22=3,120+Inputs!$B$27+Inputs!$B$29,MAX(0,(Inputs!$B$3-100)*3)+Inputs!$B$28+Inputs!$B$29)))</f>
        <v/>
      </c>
      <c r="E1792">
        <f>INDEX(FactorTable!$B$2:$Y$301, MATCH(ROUND(MIN(300,MAX(1,D1792)),0), FactorTable!$A$2:$A$301,0), Skills!M22+1)</f>
        <v/>
      </c>
      <c r="F1792">
        <f>IF(Skills!N22=TRUE,(Skills!L22/10)*(E1792/1000),Skills!L22/10)+Skills!O22</f>
        <v/>
      </c>
      <c r="G1792">
        <f>Skills!G22*IF(Skills!H22&gt;0,Skills!I22/Skills!H22,1)</f>
        <v/>
      </c>
      <c r="H1792">
        <f>1-(1-Skills!J22/100)^Skills!K22</f>
        <v/>
      </c>
      <c r="I1792" t="inlineStr">
        <is>
          <t>1</t>
        </is>
      </c>
      <c r="J1792" t="inlineStr"/>
      <c r="K1792" t="inlineStr"/>
      <c r="L1792" t="inlineStr"/>
      <c r="M1792" t="inlineStr"/>
      <c r="N1792" t="inlineStr"/>
      <c r="O1792">
        <f>(1-Summary!$B$11)*T1792+Summary!$B$11*V1792</f>
        <v/>
      </c>
      <c r="P1792">
        <f>IF(B1815=0,0,O1792/B1815)</f>
        <v/>
      </c>
      <c r="Q1792" t="n">
        <v>0</v>
      </c>
      <c r="R1792" t="n">
        <v>0</v>
      </c>
      <c r="S1792">
        <f>IFERROR(O1792/N1792,0)</f>
        <v/>
      </c>
      <c r="T1792" t="n">
        <v>0</v>
      </c>
      <c r="V1792" t="n">
        <v>0</v>
      </c>
    </row>
    <row r="1793">
      <c r="A1793">
        <f>Skills!A23</f>
        <v/>
      </c>
      <c r="B1793">
        <f>Skills!B23</f>
        <v/>
      </c>
      <c r="C1793">
        <f>Inputs!$B$3&gt;=40</f>
        <v/>
      </c>
      <c r="D1793">
        <f>IF(Skills!C23=1,60+Inputs!$B$25+Inputs!$B$29,IF(Skills!C23=2,90+Inputs!$B$26+Inputs!$B$29,IF(Skills!C23=3,120+Inputs!$B$27+Inputs!$B$29,MAX(0,(Inputs!$B$3-100)*3)+Inputs!$B$28+Inputs!$B$29)))</f>
        <v/>
      </c>
      <c r="E1793">
        <f>INDEX(FactorTable!$B$2:$Y$301, MATCH(ROUND(MIN(300,MAX(1,D1793)),0), FactorTable!$A$2:$A$301,0), Skills!M23+1)</f>
        <v/>
      </c>
      <c r="F1793">
        <f>IF(Skills!N23=TRUE,(Skills!L23/10)*(E1793/1000),Skills!L23/10)+Skills!O23</f>
        <v/>
      </c>
      <c r="G1793">
        <f>Skills!G23*IF(Skills!H23&gt;0,Skills!I23/Skills!H23,1)</f>
        <v/>
      </c>
      <c r="H1793">
        <f>1-(1-Skills!J23/100)^Skills!K23</f>
        <v/>
      </c>
      <c r="I1793" t="inlineStr">
        <is>
          <t>1</t>
        </is>
      </c>
      <c r="J1793" t="inlineStr"/>
      <c r="K1793" t="inlineStr"/>
      <c r="L1793" t="inlineStr"/>
      <c r="M1793" t="inlineStr"/>
      <c r="N1793" t="inlineStr"/>
      <c r="O1793">
        <f>(1-Summary!$B$11)*T1793+Summary!$B$11*V1793</f>
        <v/>
      </c>
      <c r="P1793">
        <f>IF(B1815=0,0,O1793/B1815)</f>
        <v/>
      </c>
      <c r="Q1793" t="n">
        <v>0</v>
      </c>
      <c r="R1793" t="n">
        <v>0</v>
      </c>
      <c r="S1793">
        <f>IFERROR(O1793/N1793,0)</f>
        <v/>
      </c>
      <c r="T1793" t="n">
        <v>0</v>
      </c>
      <c r="V1793" t="n">
        <v>0</v>
      </c>
    </row>
    <row r="1794">
      <c r="A1794">
        <f>Skills!A24</f>
        <v/>
      </c>
      <c r="B1794">
        <f>Skills!B24</f>
        <v/>
      </c>
      <c r="C1794">
        <f>Inputs!$B$3&gt;=43</f>
        <v/>
      </c>
      <c r="D1794">
        <f>IF(Skills!C24=1,60+Inputs!$B$25+Inputs!$B$29,IF(Skills!C24=2,90+Inputs!$B$26+Inputs!$B$29,IF(Skills!C24=3,120+Inputs!$B$27+Inputs!$B$29,MAX(0,(Inputs!$B$3-100)*3)+Inputs!$B$28+Inputs!$B$29)))</f>
        <v/>
      </c>
      <c r="E1794">
        <f>INDEX(FactorTable!$B$2:$Y$301, MATCH(ROUND(MIN(300,MAX(1,D1794)),0), FactorTable!$A$2:$A$301,0), Skills!M24+1)</f>
        <v/>
      </c>
      <c r="F1794">
        <f>IF(Skills!N24=TRUE,(Skills!L24/10)*(E1794/1000),Skills!L24/10)+Skills!O24</f>
        <v/>
      </c>
      <c r="G1794">
        <f>Skills!G24*IF(Skills!H24&gt;0,Skills!I24/Skills!H24,1)</f>
        <v/>
      </c>
      <c r="H1794">
        <f>1-(1-Skills!J24/100)^Skills!K24</f>
        <v/>
      </c>
      <c r="I1794" t="inlineStr">
        <is>
          <t>1</t>
        </is>
      </c>
      <c r="J1794" t="inlineStr"/>
      <c r="K1794" t="inlineStr"/>
      <c r="L1794" t="inlineStr"/>
      <c r="M1794" t="inlineStr"/>
      <c r="N1794" t="inlineStr"/>
      <c r="O1794">
        <f>(1-Summary!$B$11)*T1794+Summary!$B$11*V1794</f>
        <v/>
      </c>
      <c r="P1794">
        <f>IF(B1815=0,0,O1794/B1815)</f>
        <v/>
      </c>
      <c r="Q1794" t="n">
        <v>0</v>
      </c>
      <c r="R1794" t="n">
        <v>0</v>
      </c>
      <c r="S1794">
        <f>IFERROR(O1794/N1794,0)</f>
        <v/>
      </c>
      <c r="T1794" t="n">
        <v>0</v>
      </c>
      <c r="V1794" t="n">
        <v>0</v>
      </c>
    </row>
    <row r="1795">
      <c r="A1795">
        <f>Skills!A25</f>
        <v/>
      </c>
      <c r="B1795">
        <f>Skills!B25</f>
        <v/>
      </c>
      <c r="C1795">
        <f>Inputs!$B$3&gt;=50</f>
        <v/>
      </c>
      <c r="D1795">
        <f>IF(Skills!C25=1,60+Inputs!$B$25+Inputs!$B$29,IF(Skills!C25=2,90+Inputs!$B$26+Inputs!$B$29,IF(Skills!C25=3,120+Inputs!$B$27+Inputs!$B$29,MAX(0,(Inputs!$B$3-100)*3)+Inputs!$B$28+Inputs!$B$29)))</f>
        <v/>
      </c>
      <c r="E1795">
        <f>INDEX(FactorTable!$B$2:$Y$301, MATCH(ROUND(MIN(300,MAX(1,D1795)),0), FactorTable!$A$2:$A$301,0), Skills!M25+1)</f>
        <v/>
      </c>
      <c r="F1795">
        <f>IF(Skills!N25=TRUE,(Skills!L25/10)*(E1795/1000),Skills!L25/10)+Skills!O25</f>
        <v/>
      </c>
      <c r="G1795">
        <f>Skills!G25*IF(Skills!H25&gt;0,Skills!I25/Skills!H25,1)</f>
        <v/>
      </c>
      <c r="H1795">
        <f>1-(1-Skills!J25/100)^Skills!K25</f>
        <v/>
      </c>
      <c r="I1795" t="inlineStr">
        <is>
          <t>1</t>
        </is>
      </c>
      <c r="J1795" t="inlineStr"/>
      <c r="K1795" t="inlineStr"/>
      <c r="L1795" t="inlineStr"/>
      <c r="M1795" t="inlineStr"/>
      <c r="N1795" t="inlineStr"/>
      <c r="O1795">
        <f>(1-Summary!$B$11)*T1795+Summary!$B$11*V1795</f>
        <v/>
      </c>
      <c r="P1795">
        <f>IF(B1815=0,0,O1795/B1815)</f>
        <v/>
      </c>
      <c r="Q1795" t="n">
        <v>0</v>
      </c>
      <c r="R1795" t="n">
        <v>0</v>
      </c>
      <c r="S1795">
        <f>IFERROR(O1795/N1795,0)</f>
        <v/>
      </c>
      <c r="T1795" t="n">
        <v>0</v>
      </c>
      <c r="V1795" t="n">
        <v>0</v>
      </c>
    </row>
    <row r="1796">
      <c r="A1796">
        <f>Skills!A26</f>
        <v/>
      </c>
      <c r="B1796">
        <f>Skills!B26</f>
        <v/>
      </c>
      <c r="C1796">
        <f>Inputs!$B$3&gt;=50</f>
        <v/>
      </c>
      <c r="D1796">
        <f>IF(Skills!C26=1,60+Inputs!$B$25+Inputs!$B$29,IF(Skills!C26=2,90+Inputs!$B$26+Inputs!$B$29,IF(Skills!C26=3,120+Inputs!$B$27+Inputs!$B$29,MAX(0,(Inputs!$B$3-100)*3)+Inputs!$B$28+Inputs!$B$29)))</f>
        <v/>
      </c>
      <c r="E1796">
        <f>INDEX(FactorTable!$B$2:$Y$301, MATCH(ROUND(MIN(300,MAX(1,D1796)),0), FactorTable!$A$2:$A$301,0), Skills!M26+1)</f>
        <v/>
      </c>
      <c r="F1796">
        <f>IF(Skills!N26=TRUE,(Skills!L26/10)*(E1796/1000),Skills!L26/10)+Skills!O26</f>
        <v/>
      </c>
      <c r="G1796">
        <f>Skills!G26*IF(Skills!H26&gt;0,Skills!I26/Skills!H26,1)</f>
        <v/>
      </c>
      <c r="H1796">
        <f>1-(1-Skills!J26/100)^Skills!K26</f>
        <v/>
      </c>
      <c r="I1796" t="inlineStr">
        <is>
          <t>1</t>
        </is>
      </c>
      <c r="J1796" t="inlineStr"/>
      <c r="K1796" t="inlineStr"/>
      <c r="L1796" t="inlineStr"/>
      <c r="M1796" t="inlineStr"/>
      <c r="N1796" t="inlineStr"/>
      <c r="O1796">
        <f>(1-Summary!$B$11)*T1796+Summary!$B$11*V1796</f>
        <v/>
      </c>
      <c r="P1796">
        <f>IF(B1815=0,0,O1796/B1815)</f>
        <v/>
      </c>
      <c r="Q1796" t="n">
        <v>0</v>
      </c>
      <c r="R1796" t="n">
        <v>0</v>
      </c>
      <c r="S1796">
        <f>IFERROR(O1796/N1796,0)</f>
        <v/>
      </c>
      <c r="T1796" t="n">
        <v>0</v>
      </c>
      <c r="V1796" t="n">
        <v>0</v>
      </c>
    </row>
    <row r="1797">
      <c r="A1797">
        <f>Skills!A27</f>
        <v/>
      </c>
      <c r="B1797">
        <f>Skills!B27</f>
        <v/>
      </c>
      <c r="C1797">
        <f>Inputs!$B$3&gt;=38</f>
        <v/>
      </c>
      <c r="D1797">
        <f>IF(Skills!C27=1,60+Inputs!$B$25+Inputs!$B$29,IF(Skills!C27=2,90+Inputs!$B$26+Inputs!$B$29,IF(Skills!C27=3,120+Inputs!$B$27+Inputs!$B$29,MAX(0,(Inputs!$B$3-100)*3)+Inputs!$B$28+Inputs!$B$29)))</f>
        <v/>
      </c>
      <c r="E1797">
        <f>INDEX(FactorTable!$B$2:$Y$301, MATCH(ROUND(MIN(300,MAX(1,D1797)),0), FactorTable!$A$2:$A$301,0), Skills!M27+1)</f>
        <v/>
      </c>
      <c r="F1797">
        <f>IF(Skills!N27=TRUE,(Skills!L27/10)*(E1797/1000),Skills!L27/10)+Skills!O27</f>
        <v/>
      </c>
      <c r="G1797">
        <f>Skills!G27*IF(Skills!H27&gt;0,Skills!I27/Skills!H27,1)</f>
        <v/>
      </c>
      <c r="H1797">
        <f>1-(1-Skills!J27/100)^Skills!K27</f>
        <v/>
      </c>
      <c r="I1797" t="inlineStr">
        <is>
          <t>1</t>
        </is>
      </c>
      <c r="J1797" t="inlineStr"/>
      <c r="K1797" t="inlineStr"/>
      <c r="L1797" t="inlineStr"/>
      <c r="M1797" t="inlineStr"/>
      <c r="N1797" t="inlineStr"/>
      <c r="O1797">
        <f>(1-Summary!$B$11)*T1797+Summary!$B$11*V1797</f>
        <v/>
      </c>
      <c r="P1797">
        <f>IF(B1815=0,0,O1797/B1815)</f>
        <v/>
      </c>
      <c r="Q1797" t="n">
        <v>0</v>
      </c>
      <c r="R1797" t="n">
        <v>0</v>
      </c>
      <c r="S1797">
        <f>IFERROR(O1797/N1797,0)</f>
        <v/>
      </c>
      <c r="T1797" t="n">
        <v>0</v>
      </c>
      <c r="V1797" t="n">
        <v>0</v>
      </c>
    </row>
    <row r="1798">
      <c r="A1798">
        <f>Skills!A28</f>
        <v/>
      </c>
      <c r="B1798">
        <f>Skills!B28</f>
        <v/>
      </c>
      <c r="C1798">
        <f>Inputs!$B$3&gt;=120</f>
        <v/>
      </c>
      <c r="D1798">
        <f>IF(Skills!C28=1,60+Inputs!$B$25+Inputs!$B$29,IF(Skills!C28=2,90+Inputs!$B$26+Inputs!$B$29,IF(Skills!C28=3,120+Inputs!$B$27+Inputs!$B$29,MAX(0,(Inputs!$B$3-100)*3)+Inputs!$B$28+Inputs!$B$29)))</f>
        <v/>
      </c>
      <c r="E1798">
        <f>INDEX(FactorTable!$B$2:$Y$301, MATCH(ROUND(MIN(300,MAX(1,D1798)),0), FactorTable!$A$2:$A$301,0), Skills!M28+1)</f>
        <v/>
      </c>
      <c r="F1798">
        <f>IF(Skills!N28=TRUE,(Skills!L28/10)*(E1798/1000),Skills!L28/10)+Skills!O28</f>
        <v/>
      </c>
      <c r="G1798">
        <f>Skills!G28*IF(Skills!H28&gt;0,Skills!I28/Skills!H28,1)</f>
        <v/>
      </c>
      <c r="H1798">
        <f>1-(1-Skills!J28/100)^Skills!K28</f>
        <v/>
      </c>
      <c r="I1798" t="inlineStr">
        <is>
          <t>1</t>
        </is>
      </c>
      <c r="J1798" t="inlineStr"/>
      <c r="K1798" t="inlineStr"/>
      <c r="L1798" t="inlineStr"/>
      <c r="M1798" t="inlineStr"/>
      <c r="N1798" t="inlineStr"/>
      <c r="O1798">
        <f>(1-Summary!$B$11)*T1798+Summary!$B$11*V1798</f>
        <v/>
      </c>
      <c r="P1798">
        <f>IF(B1815=0,0,O1798/B1815)</f>
        <v/>
      </c>
      <c r="Q1798" t="n">
        <v>0</v>
      </c>
      <c r="R1798" t="n">
        <v>0</v>
      </c>
      <c r="S1798">
        <f>IFERROR(O1798/N1798,0)</f>
        <v/>
      </c>
      <c r="T1798" t="n">
        <v>0</v>
      </c>
      <c r="V1798" t="n">
        <v>0</v>
      </c>
    </row>
    <row r="1799">
      <c r="A1799">
        <f>Skills!A29</f>
        <v/>
      </c>
      <c r="B1799">
        <f>Skills!B29</f>
        <v/>
      </c>
      <c r="C1799">
        <f>Inputs!$B$3&gt;=120</f>
        <v/>
      </c>
      <c r="D1799">
        <f>IF(Skills!C29=1,60+Inputs!$B$25+Inputs!$B$29,IF(Skills!C29=2,90+Inputs!$B$26+Inputs!$B$29,IF(Skills!C29=3,120+Inputs!$B$27+Inputs!$B$29,MAX(0,(Inputs!$B$3-100)*3)+Inputs!$B$28+Inputs!$B$29)))</f>
        <v/>
      </c>
      <c r="E1799">
        <f>INDEX(FactorTable!$B$2:$Y$301, MATCH(ROUND(MIN(300,MAX(1,D1799)),0), FactorTable!$A$2:$A$301,0), Skills!M29+1)</f>
        <v/>
      </c>
      <c r="F1799">
        <f>IF(Skills!N29=TRUE,(Skills!L29/10)*(E1799/1000),Skills!L29/10)+Skills!O29</f>
        <v/>
      </c>
      <c r="G1799">
        <f>Skills!G29*IF(Skills!H29&gt;0,Skills!I29/Skills!H29,1)</f>
        <v/>
      </c>
      <c r="H1799">
        <f>1-(1-Skills!J29/100)^Skills!K29</f>
        <v/>
      </c>
      <c r="I1799" t="inlineStr">
        <is>
          <t>1</t>
        </is>
      </c>
      <c r="J1799" t="inlineStr"/>
      <c r="K1799" t="inlineStr"/>
      <c r="L1799" t="inlineStr"/>
      <c r="M1799" t="inlineStr"/>
      <c r="N1799" t="inlineStr"/>
      <c r="O1799">
        <f>(1-Summary!$B$11)*T1799+Summary!$B$11*V1799</f>
        <v/>
      </c>
      <c r="P1799">
        <f>IF(B1815=0,0,O1799/B1815)</f>
        <v/>
      </c>
      <c r="Q1799" t="n">
        <v>0</v>
      </c>
      <c r="R1799" t="n">
        <v>0</v>
      </c>
      <c r="S1799">
        <f>IFERROR(O1799/N1799,0)</f>
        <v/>
      </c>
      <c r="T1799" t="n">
        <v>0</v>
      </c>
      <c r="V1799" t="n">
        <v>0</v>
      </c>
    </row>
    <row r="1800">
      <c r="A1800">
        <f>Skills!A30</f>
        <v/>
      </c>
      <c r="B1800">
        <f>Skills!B30</f>
        <v/>
      </c>
      <c r="C1800">
        <f>Inputs!$B$3&gt;=125</f>
        <v/>
      </c>
      <c r="D1800">
        <f>IF(Skills!C30=1,60+Inputs!$B$25+Inputs!$B$29,IF(Skills!C30=2,90+Inputs!$B$26+Inputs!$B$29,IF(Skills!C30=3,120+Inputs!$B$27+Inputs!$B$29,MAX(0,(Inputs!$B$3-100)*3)+Inputs!$B$28+Inputs!$B$29)))</f>
        <v/>
      </c>
      <c r="E1800">
        <f>INDEX(FactorTable!$B$2:$Y$301, MATCH(ROUND(MIN(300,MAX(1,D1800)),0), FactorTable!$A$2:$A$301,0), Skills!M30+1)</f>
        <v/>
      </c>
      <c r="F1800">
        <f>IF(Skills!N30=TRUE,(Skills!L30/10)*(E1800/1000),Skills!L30/10)+Skills!O30</f>
        <v/>
      </c>
      <c r="G1800">
        <f>Skills!G30*IF(Skills!H30&gt;0,Skills!I30/Skills!H30,1)</f>
        <v/>
      </c>
      <c r="H1800">
        <f>1-(1-Skills!J30/100)^Skills!K30</f>
        <v/>
      </c>
      <c r="I1800" t="inlineStr">
        <is>
          <t>1</t>
        </is>
      </c>
      <c r="J1800" t="inlineStr"/>
      <c r="K1800" t="inlineStr"/>
      <c r="L1800" t="inlineStr"/>
      <c r="M1800" t="inlineStr"/>
      <c r="N1800" t="inlineStr"/>
      <c r="O1800">
        <f>(1-Summary!$B$11)*T1800+Summary!$B$11*V1800</f>
        <v/>
      </c>
      <c r="P1800">
        <f>IF(B1815=0,0,O1800/B1815)</f>
        <v/>
      </c>
      <c r="Q1800" t="n">
        <v>0</v>
      </c>
      <c r="R1800" t="n">
        <v>0</v>
      </c>
      <c r="S1800">
        <f>IFERROR(O1800/N1800,0)</f>
        <v/>
      </c>
      <c r="T1800" t="n">
        <v>0</v>
      </c>
      <c r="V1800" t="n">
        <v>0</v>
      </c>
    </row>
    <row r="1802">
      <c r="A1802" t="inlineStr">
        <is>
          <t>Average Buff Multiplier</t>
        </is>
      </c>
      <c r="B1802">
        <f>(1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f>
        <v/>
      </c>
    </row>
    <row r="1803">
      <c r="A1803" t="inlineStr">
        <is>
          <t>Global Crit Rate Bonus %</t>
        </is>
      </c>
      <c r="B1803">
        <f>((C1790=TRUE)*F1790*IF(AND(Inputs!$B$39&lt;&gt;"pvp",Inputs!$B$44&gt;0),(((R1790-1)*(Skills!Y20*(1+Inputs!$B$34/100))+MIN((Skills!Y20*(1+Inputs!$B$34/100)),MAX(0,Inputs!$B$44-((R1790-1)*Skills!D20))))/Inputs!$B$44),IF(Inputs!$B$39="pvp",MIN((Skills!Y20*(1+Inputs!$B$34/100)),15)/15,(Skills!Y20*(1+Inputs!$B$34/100))/Skills!D20)))</f>
        <v/>
      </c>
    </row>
    <row r="1804">
      <c r="A1804" t="inlineStr">
        <is>
          <t>Global Monster Damage-Taken Bonus %</t>
        </is>
      </c>
      <c r="B1804">
        <f>IF(Inputs!$B$3&gt;=82,15,0)</f>
        <v/>
      </c>
    </row>
    <row r="1805">
      <c r="A1805" t="inlineStr">
        <is>
          <t>Shadow Partner Average Multiplier</t>
        </is>
      </c>
      <c r="B1805">
        <f>1+((C1777=TRUE)*F1777*(1+3.3333333333333335*IF(C1788=TRUE,F1788,0)/100)*I1777*Skills!J7/100)/100</f>
        <v/>
      </c>
    </row>
    <row r="1806">
      <c r="A1806" t="inlineStr">
        <is>
          <t>Attack Speed Buff Bonus %</t>
        </is>
      </c>
      <c r="B1806">
        <f>((C1789=TRUE)*F1789*IF(AND(Inputs!$B$39&lt;&gt;"pvp",Inputs!$B$44&gt;0),(((R1789-1)*(Skills!Y19*(1+Inputs!$B$34/100))+MIN((Skills!Y19*(1+Inputs!$B$34/100)),MAX(0,Inputs!$B$44-((R1789-1)*Skills!D19))))/Inputs!$B$44),IF(Inputs!$B$39="pvp",MIN((Skills!Y19*(1+Inputs!$B$34/100)),15)/15,(Skills!Y19*(1+Inputs!$B$34/100))/Skills!D19)))+((C1773=TRUE)*F1773*3)</f>
        <v/>
      </c>
    </row>
    <row r="1807">
      <c r="A1807" t="inlineStr">
        <is>
          <t>Actions Per Second</t>
        </is>
      </c>
      <c r="B1807">
        <f>1+MIN(150,150*(1-(1-(Inputs!$B$11+((C1792=TRUE)*(F1792-Calc!F22)))/150)*(1-B1806/150)))/100</f>
        <v/>
      </c>
    </row>
    <row r="1808">
      <c r="A1808" t="inlineStr">
        <is>
          <t>Skill + Buff Cast Rate</t>
        </is>
      </c>
      <c r="B1808">
        <f>IF(AND(Inputs!$B$39&lt;&gt;"pvp",Inputs!$B$44&gt;0),SUMPRODUCT((Skills!E2:E30=TRUE)*(C1772:C1800=TRUE)*R1772:R1800*Skills!F2:F30)/Inputs!$B$44,SUMPRODUCT((Skills!E2:E30=TRUE)*(C1772:C1800=TRUE)*Q1772:Q1800*Skills!F2:F30))</f>
        <v/>
      </c>
    </row>
    <row r="1809">
      <c r="A1809" t="inlineStr">
        <is>
          <t>Cruel Stab Casts Per Second</t>
        </is>
      </c>
      <c r="B1809">
        <f>MAX(0,B1807-B1808)</f>
        <v/>
      </c>
    </row>
    <row r="1810">
      <c r="A1810" t="inlineStr">
        <is>
          <t>Global Critical Damage Bonus % (Smokescreen Mastery Lv.113)</t>
        </is>
      </c>
      <c r="B1810">
        <f>IF(Inputs!$B$3&gt;=113,30,0)*IF(AND(Inputs!$B$39&lt;&gt;"pvp",Inputs!$B$44&gt;0),(((R1785-1)*(Skills!Y15*(1+Inputs!$B$34/100))+MIN((Skills!Y15*(1+Inputs!$B$34/100)),MAX(0,Inputs!$B$44-((R1785-1)*Skills!D15))))/Inputs!$B$44),IF(Inputs!$B$39="pvp",MIN((Skills!Y15*(1+Inputs!$B$34/100)),15)/15,(Skills!Y15*(1+Inputs!$B$34/100))/Skills!D15))</f>
        <v/>
      </c>
    </row>
    <row r="1811">
      <c r="A1811" t="inlineStr">
        <is>
          <t>Meso Explosion average stack count</t>
        </is>
      </c>
      <c r="B1811">
        <f>MIN(10,0.5*B1807*Skills!D4)</f>
        <v/>
      </c>
    </row>
    <row r="1812">
      <c r="A1812" t="inlineStr">
        <is>
          <t>Blood Money average stack count</t>
        </is>
      </c>
      <c r="B1812">
        <f>MIN(5,0.25*B1807*Skills!D4)</f>
        <v/>
      </c>
    </row>
    <row r="1813">
      <c r="A1813" t="inlineStr">
        <is>
          <t>Assassinate Murderous Intent Multiplier</t>
        </is>
      </c>
      <c r="B1813">
        <f>1+IFERROR(MIN(1,Q1784*2/Q1781),0)</f>
        <v/>
      </c>
    </row>
    <row r="1814">
      <c r="A1814" t="inlineStr">
        <is>
          <t>Buff-Casting Startup Delay (s, fixed-duration only)</t>
        </is>
      </c>
      <c r="B1814">
        <f>IF(AND(Inputs!$B$39&lt;&gt;"pvp",Inputs!$B$44&gt;0),SUMPRODUCT((Skills!Y2:Y30&gt;0)*(Skills!E2:E30=TRUE)*(C1772:C1800=TRUE))/B1807,0)</f>
        <v/>
      </c>
    </row>
    <row r="1815">
      <c r="A1815" s="6" t="inlineStr">
        <is>
          <t>TOTAL DPS</t>
        </is>
      </c>
      <c r="B1815" s="6">
        <f>SUM(O1772:O1800)</f>
        <v/>
      </c>
    </row>
    <row r="1816">
      <c r="A1816" t="inlineStr">
        <is>
          <t>Boss-Only Total DPS (this block's swept value)</t>
        </is>
      </c>
      <c r="B1816">
        <f>SUM(T1772:T1800)</f>
        <v/>
      </c>
    </row>
    <row r="1817">
      <c r="A1817" t="inlineStr">
        <is>
          <t>Normal-Only Total DPS (this block's swept value)</t>
        </is>
      </c>
      <c r="B1817">
        <f>SUM(V1772:V1800)</f>
        <v/>
      </c>
    </row>
    <row r="1820">
      <c r="A1820" s="6" t="inlineStr">
        <is>
          <t>Stat: Clear Spring Water (Equip)</t>
        </is>
      </c>
    </row>
    <row r="1821">
      <c r="A1821" s="5" t="inlineStr">
        <is>
          <t>Key</t>
        </is>
      </c>
      <c r="B1821" s="5" t="inlineStr">
        <is>
          <t>Name</t>
        </is>
      </c>
      <c r="C1821" s="5" t="inlineStr">
        <is>
          <t>Unlocked</t>
        </is>
      </c>
      <c r="D1821" s="5" t="inlineStr">
        <is>
          <t>InputLevel</t>
        </is>
      </c>
      <c r="E1821" s="5" t="inlineStr">
        <is>
          <t>Factor</t>
        </is>
      </c>
      <c r="F1821" s="5" t="inlineStr">
        <is>
          <t>CoefficientPercent</t>
        </is>
      </c>
      <c r="G1821" s="5" t="inlineStr">
        <is>
          <t>EffectiveHits</t>
        </is>
      </c>
      <c r="H1821" s="5" t="inlineStr">
        <is>
          <t>ProcProbability</t>
        </is>
      </c>
      <c r="I1821" s="5" t="inlineStr">
        <is>
          <t>MapleHeroMultiplier</t>
        </is>
      </c>
      <c r="J1821" s="5" t="inlineStr">
        <is>
          <t>BaseDamage</t>
        </is>
      </c>
      <c r="K1821" s="5" t="inlineStr">
        <is>
          <t>BaseHitDamage</t>
        </is>
      </c>
      <c r="L1821" s="5" t="inlineStr">
        <is>
          <t>NonCritAvg</t>
        </is>
      </c>
      <c r="M1821" s="5" t="inlineStr">
        <is>
          <t>CritAvg</t>
        </is>
      </c>
      <c r="N1821" s="5" t="inlineStr">
        <is>
          <t>ExpectedDamage(perHit)</t>
        </is>
      </c>
      <c r="O1821" s="5" t="inlineStr">
        <is>
          <t>DPS</t>
        </is>
      </c>
      <c r="P1821" s="5" t="inlineStr">
        <is>
          <t>% of Total</t>
        </is>
      </c>
      <c r="Q1821" s="5" t="inlineStr">
        <is>
          <t>InvCooldown</t>
        </is>
      </c>
      <c r="R1821" s="5" t="inlineStr">
        <is>
          <t>CastsInFight</t>
        </is>
      </c>
      <c r="S1821" s="5" t="inlineStr">
        <is>
          <t>HitRate(perSec)</t>
        </is>
      </c>
      <c r="U1821" t="inlineStr">
        <is>
          <t>helpers</t>
        </is>
      </c>
    </row>
    <row r="1822">
      <c r="A1822">
        <f>Skills!A2</f>
        <v/>
      </c>
      <c r="B1822">
        <f>Skills!B2</f>
        <v/>
      </c>
      <c r="C1822">
        <f>Inputs!$B$3&gt;=100</f>
        <v/>
      </c>
      <c r="D1822" t="inlineStr"/>
      <c r="E1822" t="inlineStr"/>
      <c r="F1822">
        <f>U1824+Skills!O2</f>
        <v/>
      </c>
      <c r="G1822">
        <f>Skills!G2*IF(Skills!H2&gt;0,Skills!I2/Skills!H2,1)</f>
        <v/>
      </c>
      <c r="H1822">
        <f>1-(1-Skills!J2/100)^Skills!K2</f>
        <v/>
      </c>
      <c r="I1822" t="inlineStr">
        <is>
          <t>1</t>
        </is>
      </c>
      <c r="J1822">
        <f>((Inputs!$B$6*(1+Inputs!$B$7/100))+(((Inputs!$B$12*(1+Inputs!$B$13/100))-(Inputs!$B$12*(1+Inputs!$B$13/100)))+0.25*(Inputs!$B$14-Inputs!$B$14))*(1+Inputs!$B$7/100))*(F1822/100)</f>
        <v/>
      </c>
      <c r="K1822">
        <f>J1822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1822)</f>
        <v/>
      </c>
      <c r="L1822">
        <f>K1822*(MIN(Inputs!$B$22+((C1844=TRUE)*(F1844-Calc!F24)),(Inputs!$B$23+((C1849=TRUE)*(F1849-Calc!F29))+IF(ArtifactsInput!$M$15,CHOOSE(ArtifactsInput!$N$15+1,25,30,35,40,45,50)/100*(Inputs!$B$11-Inputs!$B$11),0)))/100+(Inputs!$B$23+((C1849=TRUE)*(F1849-Calc!F29))+IF(ArtifactsInput!$M$15,CHOOSE(ArtifactsInput!$N$15+1,25,30,35,40,45,50)/100*(Inputs!$B$11-Inputs!$B$11),0))/100)/2</f>
        <v/>
      </c>
      <c r="M1822">
        <f>L1822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2">
        <f>L1822*(1-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1822*(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2">
        <f>(1-Summary!$B$11)*T1822+Summary!$B$11*V1822</f>
        <v/>
      </c>
      <c r="P1822">
        <f>IF(B1865=0,0,O1822/B1865)</f>
        <v/>
      </c>
      <c r="Q1822" t="n">
        <v>0</v>
      </c>
      <c r="R1822" t="n">
        <v>0</v>
      </c>
      <c r="S1822">
        <f>IFERROR(O1822/N1822,0)</f>
        <v/>
      </c>
      <c r="T1822">
        <f>IF(C1822,(Skills!G2*N1822*B1859)*IF(Inputs!$B$39="pvp",1,1+(Inputs!$B$20+0+Skills!P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1822*(1-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1822*(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1822*(1-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1822*(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2">
        <f>MAX(0,(Inputs!$B$3-100)*3)+Inputs!$B$28+Inputs!$B$29</f>
        <v/>
      </c>
      <c r="V1822">
        <f>IF(C1822,(Skills!G2*N1822*B1859)*IF(Inputs!$B$39="pvp",1,(1+(Inputs!$B$21+Skills!Q2+B1854+(IF(ArtifactsInput!$M$33,CHOOSE(ArtifactsInput!$N$33+1,30,36,42,48,54,60),0))+(IF(AND(ArtifactsInput!$M$35,Inputs!$B$4&lt;&gt;"Chapter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3">
      <c r="A1823">
        <f>Skills!A3</f>
        <v/>
      </c>
      <c r="B1823">
        <f>Skills!B3</f>
        <v/>
      </c>
      <c r="C1823">
        <f>Inputs!$B$3&gt;=35</f>
        <v/>
      </c>
      <c r="D1823">
        <f>IF(Skills!C3=1,60+Inputs!$B$25+Inputs!$B$29,IF(Skills!C3=2,90+Inputs!$B$26+Inputs!$B$29,IF(Skills!C3=3,120+Inputs!$B$27+Inputs!$B$29,MAX(0,(Inputs!$B$3-100)*3)+Inputs!$B$28+Inputs!$B$29)))</f>
        <v/>
      </c>
      <c r="E1823">
        <f>INDEX(FactorTable!$B$2:$Y$301, MATCH(ROUND(MIN(300,MAX(1,D1823)),0), FactorTable!$A$2:$A$301,0), Skills!M3+1)</f>
        <v/>
      </c>
      <c r="F1823">
        <f>IF(Skills!N3=TRUE,(Skills!L3/10)*(E1823/1000),Skills!L3/10)+Skills!O3</f>
        <v/>
      </c>
      <c r="G1823">
        <f>Skills!G3*IF(Skills!H3&gt;0,Skills!I3/Skills!H3,1)</f>
        <v/>
      </c>
      <c r="H1823">
        <f>1-(1-Skills!J3/100)^Skills!K3</f>
        <v/>
      </c>
      <c r="I1823" t="inlineStr">
        <is>
          <t>1</t>
        </is>
      </c>
      <c r="J1823" t="inlineStr"/>
      <c r="K1823" t="inlineStr"/>
      <c r="L1823" t="inlineStr"/>
      <c r="M1823" t="inlineStr"/>
      <c r="N1823" t="inlineStr"/>
      <c r="O1823">
        <f>(1-Summary!$B$11)*T1823+Summary!$B$11*V1823</f>
        <v/>
      </c>
      <c r="P1823">
        <f>IF(B1865=0,0,O1823/B1865)</f>
        <v/>
      </c>
      <c r="Q1823" t="n">
        <v>0</v>
      </c>
      <c r="R1823" t="n">
        <v>0</v>
      </c>
      <c r="S1823">
        <f>IFERROR(O1823/N1823,0)</f>
        <v/>
      </c>
      <c r="T1823" t="n">
        <v>0</v>
      </c>
      <c r="U1823">
        <f>INDEX(FactorTable!$B$2:$Y$301, MATCH(ROUND(MIN(300,MAX(1,U1822)),0), FactorTable!$A$2:$A$301,0), 22)</f>
        <v/>
      </c>
      <c r="V1823" t="n">
        <v>0</v>
      </c>
    </row>
    <row r="1824">
      <c r="A1824">
        <f>Skills!A4</f>
        <v/>
      </c>
      <c r="B1824">
        <f>Skills!B4</f>
        <v/>
      </c>
      <c r="C1824">
        <f>Inputs!$B$3&gt;=66</f>
        <v/>
      </c>
      <c r="D1824">
        <f>IF(Skills!C4=1,60+Inputs!$B$25+Inputs!$B$29,IF(Skills!C4=2,90+Inputs!$B$26+Inputs!$B$29,IF(Skills!C4=3,120+Inputs!$B$27+Inputs!$B$29,MAX(0,(Inputs!$B$3-100)*3)+Inputs!$B$28+Inputs!$B$29)))</f>
        <v/>
      </c>
      <c r="E1824">
        <f>INDEX(FactorTable!$B$2:$Y$301, MATCH(ROUND(MIN(300,MAX(1,D1824)),0), FactorTable!$A$2:$A$301,0), Skills!M4+1)</f>
        <v/>
      </c>
      <c r="F1824">
        <f>IF(Skills!N4=TRUE,(Skills!L4/10)*(E1824/1000),Skills!L4/10)+Skills!O4</f>
        <v/>
      </c>
      <c r="G1824">
        <f>Skills!G4*IF(Skills!H4&gt;0,Skills!I4/Skills!H4,1)</f>
        <v/>
      </c>
      <c r="H1824">
        <f>1-(1-Skills!J4/100)^Skills!K4</f>
        <v/>
      </c>
      <c r="I1824" t="inlineStr">
        <is>
          <t>1</t>
        </is>
      </c>
      <c r="J1824">
        <f>((Inputs!$B$6*(1+Inputs!$B$7/100))+(((Inputs!$B$12*(1+Inputs!$B$13/100))-(Inputs!$B$12*(1+Inputs!$B$13/100)))+0.25*(Inputs!$B$14-Inputs!$B$14))*(1+Inputs!$B$7/100))*(F1824/100)</f>
        <v/>
      </c>
      <c r="K1824">
        <f>J1824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1824)</f>
        <v/>
      </c>
      <c r="L1824">
        <f>K1824*(MIN(Inputs!$B$22+((C1844=TRUE)*(F1844-Calc!F24)),(Inputs!$B$23+((C1849=TRUE)*(F1849-Calc!F29))+IF(ArtifactsInput!$M$15,CHOOSE(ArtifactsInput!$N$15+1,25,30,35,40,45,50)/100*(Inputs!$B$11-Inputs!$B$11),0)))/100+(Inputs!$B$23+((C1849=TRUE)*(F1849-Calc!F29))+IF(ArtifactsInput!$M$15,CHOOSE(ArtifactsInput!$N$15+1,25,30,35,40,45,50)/100*(Inputs!$B$11-Inputs!$B$11),0))/100)/2</f>
        <v/>
      </c>
      <c r="M1824">
        <f>L1824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4">
        <f>L1824*(1-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1824*(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4">
        <f>(1-Summary!$B$11)*T1824+Summary!$B$11*V1824</f>
        <v/>
      </c>
      <c r="P1824">
        <f>IF(B1865=0,0,O1824/B1865)</f>
        <v/>
      </c>
      <c r="Q1824">
        <f>IFERROR(1/IF(Inputs!$B$39="pvp",15,MAX(0.1,Skills!D4-IF(Skills!E4=TRUE,Inputs!$B$32,0))),0)</f>
        <v/>
      </c>
      <c r="R1824">
        <f>IF(AND(Inputs!$B$39&lt;&gt;"pvp",Inputs!$B$44&gt;0),IF(MAX(0,Inputs!$B$44-B1864)&lt;=0,0,(INT(MAX(0,Inputs!$B$44-B1864)/IF(Inputs!$B$39="pvp",15,MAX(0.1,Skills!D4-IF(Skills!E4=TRUE,Inputs!$B$32,0))))+1)),0)</f>
        <v/>
      </c>
      <c r="S1824">
        <f>IFERROR(O1824/N1824,0)</f>
        <v/>
      </c>
      <c r="T1824">
        <f>IF(C1824,(H1824*N1824*IF(AND(Inputs!$B$39&lt;&gt;"pvp",Inputs!$B$44&gt;0),((Skills!G4*((R1824-1)*IF(Skills!H4&gt;0,Skills!I4/Skills!H4,1)+IF(Skills!H4&gt;0,MIN(Skills!I4,MAX(0,MAX(0,Inputs!$B$44-B1864)-((R1824-1)*IF(Inputs!$B$39="pvp",15,MAX(0.1,Skills!D4-IF(Skills!E4=TRUE,Inputs!$B$32,0))))))/Skills!H4,1)))/Inputs!$B$44),G1824*Q1824))*IF(Inputs!$B$39="pvp",1,1+(Inputs!$B$20+0+Skills!P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1824*(1-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1824*(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1824*(1-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1824*(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4">
        <f>290*U1823/1000</f>
        <v/>
      </c>
      <c r="V1824">
        <f>IF(C1824,(H1824*N1824*IF(AND(Inputs!$B$39&lt;&gt;"pvp",Inputs!$B$44&gt;0),((Skills!G4*((R1824-1)*IF(Skills!H4&gt;0,Skills!I4/Skills!H4,1)+IF(Skills!H4&gt;0,MIN(Skills!I4,MAX(0,MAX(0,Inputs!$B$44-B1864)-((R1824-1)*IF(Inputs!$B$39="pvp",15,MAX(0.1,Skills!D4-IF(Skills!E4=TRUE,Inputs!$B$32,0))))))/Skills!H4,1)))/Inputs!$B$44),G1824*Q1824))*IF(Inputs!$B$39="pvp",1,(1+(Inputs!$B$21+Skills!Q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(10,0.5*B1857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5">
      <c r="A1825">
        <f>Skills!A5</f>
        <v/>
      </c>
      <c r="B1825">
        <f>Skills!B5</f>
        <v/>
      </c>
      <c r="C1825">
        <f>Inputs!$B$3&gt;=63</f>
        <v/>
      </c>
      <c r="D1825">
        <f>IF(Skills!C5=1,60+Inputs!$B$25+Inputs!$B$29,IF(Skills!C5=2,90+Inputs!$B$26+Inputs!$B$29,IF(Skills!C5=3,120+Inputs!$B$27+Inputs!$B$29,MAX(0,(Inputs!$B$3-100)*3)+Inputs!$B$28+Inputs!$B$29)))</f>
        <v/>
      </c>
      <c r="E1825">
        <f>INDEX(FactorTable!$B$2:$Y$301, MATCH(ROUND(MIN(300,MAX(1,D1825)),0), FactorTable!$A$2:$A$301,0), Skills!M5+1)</f>
        <v/>
      </c>
      <c r="F1825">
        <f>IF(Skills!N5=TRUE,(Skills!L5/10)*(E1825/1000),Skills!L5/10)+Skills!O5</f>
        <v/>
      </c>
      <c r="G1825">
        <f>Skills!G5*IF(Skills!H5&gt;0,Skills!I5/Skills!H5,1)</f>
        <v/>
      </c>
      <c r="H1825">
        <f>1-(1-Skills!J5/100)^Skills!K5</f>
        <v/>
      </c>
      <c r="I1825" t="inlineStr">
        <is>
          <t>1</t>
        </is>
      </c>
      <c r="J1825">
        <f>((Inputs!$B$6*(1+Inputs!$B$7/100))+(((Inputs!$B$12*(1+Inputs!$B$13/100))-(Inputs!$B$12*(1+Inputs!$B$13/100)))+0.25*(Inputs!$B$14-Inputs!$B$14))*(1+Inputs!$B$7/100))*(F1825/100)</f>
        <v/>
      </c>
      <c r="K1825">
        <f>J1825*(1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1838=TRUE,F1838,0)/100)*(1+(IF(Skills!A5="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1825)</f>
        <v/>
      </c>
      <c r="L1825">
        <f>K1825*(MIN(Inputs!$B$22+((C1844=TRUE)*(F1844-Calc!F24)),(Inputs!$B$23+((C1849=TRUE)*(F1849-Calc!F29))+IF(ArtifactsInput!$M$15,CHOOSE(ArtifactsInput!$N$15+1,25,30,35,40,45,50)/100*(Inputs!$B$11-Inputs!$B$11),0)))/100+(Inputs!$B$23+((C1849=TRUE)*(F1849-Calc!F29))+IF(ArtifactsInput!$M$15,CHOOSE(ArtifactsInput!$N$15+1,25,30,35,40,45,50)/100*(Inputs!$B$11-Inputs!$B$11),0))/100)/2</f>
        <v/>
      </c>
      <c r="M1825">
        <f>L1825*(1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5">
        <f>L1825*(1-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1825*(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5">
        <f>(1-Summary!$B$11)*T1825+Summary!$B$11*V1825</f>
        <v/>
      </c>
      <c r="P1825">
        <f>IF(B1865=0,0,O1825/B1865)</f>
        <v/>
      </c>
      <c r="Q1825">
        <f>IFERROR(1/IF(Inputs!$B$39="pvp",15,MAX(0.1,Skills!D5-IF(Skills!E5=TRUE,Inputs!$B$32,0))),0)</f>
        <v/>
      </c>
      <c r="R1825">
        <f>IF(AND(Inputs!$B$39&lt;&gt;"pvp",Inputs!$B$44&gt;0),IF(MAX(0,Inputs!$B$44-B1864)&lt;=0,0,(INT(MAX(0,Inputs!$B$44-B1864)/IF(Inputs!$B$39="pvp",15,MAX(0.1,Skills!D5-IF(Skills!E5=TRUE,Inputs!$B$32,0))))+1)),0)</f>
        <v/>
      </c>
      <c r="S1825">
        <f>IFERROR(O1825/N1825,0)</f>
        <v/>
      </c>
      <c r="T1825">
        <f>IF(C1825,(H1825*N1825*IF(AND(Inputs!$B$39&lt;&gt;"pvp",Inputs!$B$44&gt;0),((Skills!G5*((R1825-1)*IF(Skills!H5&gt;0,Skills!I5/Skills!H5,1)+IF(Skills!H5&gt;0,MIN(Skills!I5,MAX(0,MAX(0,Inputs!$B$44-B1864)-((R1825-1)*IF(Inputs!$B$39="pvp",15,MAX(0.1,Skills!D5-IF(Skills!E5=TRUE,Inputs!$B$32,0))))))/Skills!H5,1)))/Inputs!$B$44),G1825*Q1825))*IF(Inputs!$B$39="pvp",1,1+(Inputs!$B$20+0+Skills!P5+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1825*(1-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1825*(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1825*(1-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1825*(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5">
        <f>IF(C1825,(H1825*N1825*IF(AND(Inputs!$B$39&lt;&gt;"pvp",Inputs!$B$44&gt;0),((Skills!G5*((R1825-1)*IF(Skills!H5&gt;0,Skills!I5/Skills!H5,1)+IF(Skills!H5&gt;0,MIN(Skills!I5,MAX(0,MAX(0,Inputs!$B$44-B1864)-((R1825-1)*IF(Inputs!$B$39="pvp",15,MAX(0.1,Skills!D5-IF(Skills!E5=TRUE,Inputs!$B$32,0))))))/Skills!H5,1)))/Inputs!$B$44),G1825*Q1825))*IF(Inputs!$B$39="pvp",1,(1+(Inputs!$B$21+Skills!Q5+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6">
      <c r="A1826">
        <f>Skills!A6</f>
        <v/>
      </c>
      <c r="B1826">
        <f>Skills!B6</f>
        <v/>
      </c>
      <c r="C1826">
        <f>Inputs!$B$3&gt;=69</f>
        <v/>
      </c>
      <c r="D1826">
        <f>IF(Skills!C6=1,60+Inputs!$B$25+Inputs!$B$29,IF(Skills!C6=2,90+Inputs!$B$26+Inputs!$B$29,IF(Skills!C6=3,120+Inputs!$B$27+Inputs!$B$29,MAX(0,(Inputs!$B$3-100)*3)+Inputs!$B$28+Inputs!$B$29)))</f>
        <v/>
      </c>
      <c r="E1826">
        <f>INDEX(FactorTable!$B$2:$Y$301, MATCH(ROUND(MIN(300,MAX(1,D1826)),0), FactorTable!$A$2:$A$301,0), Skills!M6+1)</f>
        <v/>
      </c>
      <c r="F1826">
        <f>IF(Skills!N6=TRUE,(Skills!L6/10)*(E1826/1000),Skills!L6/10)+Skills!O6</f>
        <v/>
      </c>
      <c r="G1826">
        <f>Skills!G6*IF(Skills!H6&gt;0,Skills!I6/Skills!H6,1)</f>
        <v/>
      </c>
      <c r="H1826">
        <f>1-(1-Skills!J6/100)^Skills!K6</f>
        <v/>
      </c>
      <c r="I1826" t="inlineStr">
        <is>
          <t>1</t>
        </is>
      </c>
      <c r="J1826">
        <f>((Inputs!$B$6*(1+Inputs!$B$7/100))+(((Inputs!$B$12*(1+Inputs!$B$13/100))-(Inputs!$B$12*(1+Inputs!$B$13/100)))+0.25*(Inputs!$B$14-Inputs!$B$14))*(1+Inputs!$B$7/100))*(F1826/100)</f>
        <v/>
      </c>
      <c r="K1826">
        <f>J1826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6="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1826)</f>
        <v/>
      </c>
      <c r="L1826">
        <f>K1826*(MIN(Inputs!$B$22+((C1844=TRUE)*(F1844-Calc!F24)),(Inputs!$B$23+((C1849=TRUE)*(F1849-Calc!F29))+IF(ArtifactsInput!$M$15,CHOOSE(ArtifactsInput!$N$15+1,25,30,35,40,45,50)/100*(Inputs!$B$11-Inputs!$B$11),0)))/100+(Inputs!$B$23+((C1849=TRUE)*(F1849-Calc!F29))+IF(ArtifactsInput!$M$15,CHOOSE(ArtifactsInput!$N$15+1,25,30,35,40,45,50)/100*(Inputs!$B$11-Inputs!$B$11),0))/100)/2</f>
        <v/>
      </c>
      <c r="M1826">
        <f>L1826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6">
        <f>L1826*(1-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1826*(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6">
        <f>(1-Summary!$B$11)*T1826+Summary!$B$11*V1826</f>
        <v/>
      </c>
      <c r="P1826">
        <f>IF(B1865=0,0,O1826/B1865)</f>
        <v/>
      </c>
      <c r="Q1826">
        <f>IFERROR(1/IF(Inputs!$B$39="pvp",15,MAX(0.1,Skills!D6-IF(Skills!E6=TRUE,Inputs!$B$32,0))),0)</f>
        <v/>
      </c>
      <c r="R1826">
        <f>IF(AND(Inputs!$B$39&lt;&gt;"pvp",Inputs!$B$44&gt;0),IF(MAX(0,Inputs!$B$44-B1864)&lt;=0,0,(INT(MAX(0,Inputs!$B$44-B1864)/IF(Inputs!$B$39="pvp",15,MAX(0.1,Skills!D6-IF(Skills!E6=TRUE,Inputs!$B$32,0))))+1)),0)</f>
        <v/>
      </c>
      <c r="S1826">
        <f>IFERROR(O1826/N1826,0)</f>
        <v/>
      </c>
      <c r="T1826">
        <f>IF(C1826,(H1826*N1826*IF(AND(Inputs!$B$39&lt;&gt;"pvp",Inputs!$B$44&gt;0),((Skills!G6*((R1826-1)*IF(Skills!H6&gt;0,Skills!I6/Skills!H6,1)+IF(Skills!H6&gt;0,MIN(Skills!I6,MAX(0,MAX(0,Inputs!$B$44-B1864)-((R1826-1)*IF(Inputs!$B$39="pvp",15,MAX(0.1,Skills!D6-IF(Skills!E6=TRUE,Inputs!$B$32,0))))))/Skills!H6,1)))/Inputs!$B$44),G1826*Q1826))*IF(Inputs!$B$39="pvp",1,1+(Inputs!$B$20+0+Skills!P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1826*(1-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1826*(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1826*(1-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1826*(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6">
        <f>IF(C1826,(H1826*N1826*IF(AND(Inputs!$B$39&lt;&gt;"pvp",Inputs!$B$44&gt;0),((Skills!G6*((R1826-1)*IF(Skills!H6&gt;0,Skills!I6/Skills!H6,1)+IF(Skills!H6&gt;0,MIN(Skills!I6,MAX(0,MAX(0,Inputs!$B$44-B1864)-((R1826-1)*IF(Inputs!$B$39="pvp",15,MAX(0.1,Skills!D6-IF(Skills!E6=TRUE,Inputs!$B$32,0))))))/Skills!H6,1)))/Inputs!$B$44),G1826*Q1826))*IF(Inputs!$B$39="pvp",1,(1+(Inputs!$B$21+Skills!Q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7">
      <c r="A1827">
        <f>Skills!A7</f>
        <v/>
      </c>
      <c r="B1827">
        <f>Skills!B7</f>
        <v/>
      </c>
      <c r="C1827">
        <f>Inputs!$B$3&gt;=60</f>
        <v/>
      </c>
      <c r="D1827">
        <f>IF(Skills!C7=1,60+Inputs!$B$25+Inputs!$B$29,IF(Skills!C7=2,90+Inputs!$B$26+Inputs!$B$29,IF(Skills!C7=3,120+Inputs!$B$27+Inputs!$B$29,MAX(0,(Inputs!$B$3-100)*3)+Inputs!$B$28+Inputs!$B$29)))</f>
        <v/>
      </c>
      <c r="E1827">
        <f>INDEX(FactorTable!$B$2:$Y$301, MATCH(ROUND(MIN(300,MAX(1,D1827)),0), FactorTable!$A$2:$A$301,0), Skills!M7+1)</f>
        <v/>
      </c>
      <c r="F1827">
        <f>IF(Skills!N7=TRUE,(Skills!L7/10)*(E1827/1000),Skills!L7/10)+Skills!O7</f>
        <v/>
      </c>
      <c r="G1827">
        <f>Skills!G7*IF(Skills!H7&gt;0,Skills!I7/Skills!H7,1)</f>
        <v/>
      </c>
      <c r="H1827">
        <f>1-(1-Skills!J7/100)^Skills!K7</f>
        <v/>
      </c>
      <c r="I1827" t="inlineStr">
        <is>
          <t>1</t>
        </is>
      </c>
      <c r="J1827" t="inlineStr"/>
      <c r="K1827" t="inlineStr"/>
      <c r="L1827" t="inlineStr"/>
      <c r="M1827" t="inlineStr"/>
      <c r="N1827" t="inlineStr"/>
      <c r="O1827">
        <f>(1-Summary!$B$11)*T1827+Summary!$B$11*V1827</f>
        <v/>
      </c>
      <c r="P1827">
        <f>IF(B1865=0,0,O1827/B1865)</f>
        <v/>
      </c>
      <c r="Q1827" t="n">
        <v>0</v>
      </c>
      <c r="R1827" t="n">
        <v>0</v>
      </c>
      <c r="S1827">
        <f>IFERROR(O1827/N1827,0)</f>
        <v/>
      </c>
      <c r="T1827" t="n">
        <v>0</v>
      </c>
      <c r="V1827" t="n">
        <v>0</v>
      </c>
    </row>
    <row r="1828">
      <c r="A1828">
        <f>Skills!A8</f>
        <v/>
      </c>
      <c r="B1828">
        <f>Skills!B8</f>
        <v/>
      </c>
      <c r="C1828">
        <f>Inputs!$B$3&gt;=72</f>
        <v/>
      </c>
      <c r="D1828">
        <f>IF(Skills!C8=1,60+Inputs!$B$25+Inputs!$B$29,IF(Skills!C8=2,90+Inputs!$B$26+Inputs!$B$29,IF(Skills!C8=3,120+Inputs!$B$27+Inputs!$B$29,MAX(0,(Inputs!$B$3-100)*3)+Inputs!$B$28+Inputs!$B$29)))</f>
        <v/>
      </c>
      <c r="E1828">
        <f>INDEX(FactorTable!$B$2:$Y$301, MATCH(ROUND(MIN(300,MAX(1,D1828)),0), FactorTable!$A$2:$A$301,0), Skills!M8+1)</f>
        <v/>
      </c>
      <c r="F1828">
        <f>IF(Skills!N8=TRUE,(Skills!L8/10)*(E1828/1000),Skills!L8/10)+Skills!O8</f>
        <v/>
      </c>
      <c r="G1828">
        <f>Skills!G8*IF(Skills!H8&gt;0,Skills!I8/Skills!H8,1)</f>
        <v/>
      </c>
      <c r="H1828">
        <f>1-(1-Skills!J8/100)^Skills!K8</f>
        <v/>
      </c>
      <c r="I1828" t="inlineStr">
        <is>
          <t>1</t>
        </is>
      </c>
      <c r="J1828">
        <f>((Inputs!$B$6*(1+Inputs!$B$7/100))+(((Inputs!$B$12*(1+Inputs!$B$13/100))-(Inputs!$B$12*(1+Inputs!$B$13/100)))+0.25*(Inputs!$B$14-Inputs!$B$14))*(1+Inputs!$B$7/100))*(F1828/100)</f>
        <v/>
      </c>
      <c r="K1828">
        <f>J1828*(1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1838=TRUE,F1838,0)/100)*(1+(IF(Skills!A8="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1828)</f>
        <v/>
      </c>
      <c r="L1828">
        <f>K1828*(MIN(Inputs!$B$22+((C1844=TRUE)*(F1844-Calc!F24)),(Inputs!$B$23+((C1849=TRUE)*(F1849-Calc!F29))+IF(ArtifactsInput!$M$15,CHOOSE(ArtifactsInput!$N$15+1,25,30,35,40,45,50)/100*(Inputs!$B$11-Inputs!$B$11),0)))/100+(Inputs!$B$23+((C1849=TRUE)*(F1849-Calc!F29))+IF(ArtifactsInput!$M$15,CHOOSE(ArtifactsInput!$N$15+1,25,30,35,40,45,50)/100*(Inputs!$B$11-Inputs!$B$11),0))/100)/2</f>
        <v/>
      </c>
      <c r="M1828">
        <f>L1828*(1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8">
        <f>L1828*(1-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1828*(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8">
        <f>(1-Summary!$B$11)*T1828+Summary!$B$11*V1828</f>
        <v/>
      </c>
      <c r="P1828">
        <f>IF(B1865=0,0,O1828/B1865)</f>
        <v/>
      </c>
      <c r="Q1828">
        <f>IFERROR(1/IF(Inputs!$B$39="pvp",15,MAX(0.1,Skills!D8-IF(Skills!E8=TRUE,Inputs!$B$32,0))),0)</f>
        <v/>
      </c>
      <c r="R1828">
        <f>IF(AND(Inputs!$B$39&lt;&gt;"pvp",Inputs!$B$44&gt;0),IF(MAX(0,Inputs!$B$44-B1864)&lt;=0,0,(INT(MAX(0,Inputs!$B$44-B1864)/IF(Inputs!$B$39="pvp",15,MAX(0.1,Skills!D8-IF(Skills!E8=TRUE,Inputs!$B$32,0))))+1)),0)</f>
        <v/>
      </c>
      <c r="S1828">
        <f>IFERROR(O1828/N1828,0)</f>
        <v/>
      </c>
      <c r="T1828">
        <f>IF(C1828,(H1828*N1828*IF(AND(Inputs!$B$39&lt;&gt;"pvp",Inputs!$B$44&gt;0),((Skills!G8*((R1828-1)*IF(Skills!H8&gt;0,Skills!I8/Skills!H8,1)+IF(Skills!H8&gt;0,MIN(Skills!I8,MAX(0,MAX(0,Inputs!$B$44-B1864)-((R1828-1)*IF(Inputs!$B$39="pvp",15,MAX(0.1,Skills!D8-IF(Skills!E8=TRUE,Inputs!$B$32,0))))))/Skills!H8,1)))/Inputs!$B$44),G1828*Q1828))*IF(Inputs!$B$39="pvp",1,1+(Inputs!$B$20+0+Skills!P8+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1828*(1-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1828*(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1828*(1-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1828*(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8">
        <f>IF(C1828,(H1828*N1828*IF(AND(Inputs!$B$39&lt;&gt;"pvp",Inputs!$B$44&gt;0),((Skills!G8*((R1828-1)*IF(Skills!H8&gt;0,Skills!I8/Skills!H8,1)+IF(Skills!H8&gt;0,MIN(Skills!I8,MAX(0,MAX(0,Inputs!$B$44-B1864)-((R1828-1)*IF(Inputs!$B$39="pvp",15,MAX(0.1,Skills!D8-IF(Skills!E8=TRUE,Inputs!$B$32,0))))))/Skills!H8,1)))/Inputs!$B$44),G1828*Q1828))*IF(Inputs!$B$39="pvp",1,(1+(Inputs!$B$21+Skills!Q8+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9">
      <c r="A1829">
        <f>Skills!A9</f>
        <v/>
      </c>
      <c r="B1829">
        <f>Skills!B9</f>
        <v/>
      </c>
      <c r="C1829">
        <f>Inputs!$B$3&gt;=117</f>
        <v/>
      </c>
      <c r="D1829">
        <f>IF(Skills!C9=1,60+Inputs!$B$25+Inputs!$B$29,IF(Skills!C9=2,90+Inputs!$B$26+Inputs!$B$29,IF(Skills!C9=3,120+Inputs!$B$27+Inputs!$B$29,MAX(0,(Inputs!$B$3-100)*3)+Inputs!$B$28+Inputs!$B$29)))</f>
        <v/>
      </c>
      <c r="E1829">
        <f>INDEX(FactorTable!$B$2:$Y$301, MATCH(ROUND(MIN(300,MAX(1,D1829)),0), FactorTable!$A$2:$A$301,0), Skills!M9+1)</f>
        <v/>
      </c>
      <c r="F1829">
        <f>IF(Skills!N9=TRUE,(Skills!L9/10)*(E1829/1000),Skills!L9/10)+Skills!O9</f>
        <v/>
      </c>
      <c r="G1829">
        <f>Skills!G9*IF(Skills!H9&gt;0,Skills!I9/Skills!H9,1)</f>
        <v/>
      </c>
      <c r="H1829">
        <f>1-(1-Skills!J9/100)^Skills!K9</f>
        <v/>
      </c>
      <c r="I1829" t="inlineStr">
        <is>
          <t>1</t>
        </is>
      </c>
      <c r="J1829">
        <f>((Inputs!$B$6*(1+Inputs!$B$7/100))+(((Inputs!$B$12*(1+Inputs!$B$13/100))-(Inputs!$B$12*(1+Inputs!$B$13/100)))+0.25*(Inputs!$B$14-Inputs!$B$14))*(1+Inputs!$B$7/100))*(F1829/100)</f>
        <v/>
      </c>
      <c r="K1829">
        <f>J1829*(1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1829)</f>
        <v/>
      </c>
      <c r="L1829">
        <f>K1829*(MIN(Inputs!$B$22+((C1844=TRUE)*(F1844-Calc!F24)),(Inputs!$B$23+((C1849=TRUE)*(F1849-Calc!F29))+IF(ArtifactsInput!$M$15,CHOOSE(ArtifactsInput!$N$15+1,25,30,35,40,45,50)/100*(Inputs!$B$11-Inputs!$B$11),0)))/100+(Inputs!$B$23+((C1849=TRUE)*(F1849-Calc!F29))+IF(ArtifactsInput!$M$15,CHOOSE(ArtifactsInput!$N$15+1,25,30,35,40,45,50)/100*(Inputs!$B$11-Inputs!$B$11),0))/100)/2</f>
        <v/>
      </c>
      <c r="M1829">
        <f>L1829*(1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9">
        <f>L1829*(1-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(1-Summary!$B$11)*T1829+Summary!$B$11*V1829</f>
        <v/>
      </c>
      <c r="P1829">
        <f>IF(B1865=0,0,O1829/B1865)</f>
        <v/>
      </c>
      <c r="Q1829" t="n">
        <v>0</v>
      </c>
      <c r="R1829" t="n">
        <v>0</v>
      </c>
      <c r="S1829" t="n">
        <v>0</v>
      </c>
      <c r="T1829">
        <f>IF(C1829,(0.2*SUMPRODUCT((Skills!Z2:Z30=TRUE)*(C1822:C1850=TRUE)*S1822:S1850)*N1829)*IF(Inputs!$B$39="pvp",1,1+(Inputs!$B$20+0+Skills!P9+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1829*(1-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9">
        <f>IF(C1829,(0.2*SUMPRODUCT((Skills!Z2:Z30=TRUE)*(C1822:C1850=TRUE)*S1822:S1850)*N1829)*IF(Inputs!$B$39="pvp",1,(1+(Inputs!$B$21+Skills!Q9+B1854+(IF(ArtifactsInput!$M$33,CHOOSE(ArtifactsInput!$N$33+1,30,36,42,48,54,60),0))+(IF(AND(ArtifactsInput!$M$35,Inputs!$B$4&lt;&gt;"Chapter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Skills!A10</f>
        <v/>
      </c>
      <c r="B1830">
        <f>Skills!B10</f>
        <v/>
      </c>
      <c r="C1830">
        <f>Inputs!$B$3&gt;=74</f>
        <v/>
      </c>
      <c r="D1830">
        <f>IF(Skills!C10=1,60+Inputs!$B$25+Inputs!$B$29,IF(Skills!C10=2,90+Inputs!$B$26+Inputs!$B$29,IF(Skills!C10=3,120+Inputs!$B$27+Inputs!$B$29,MAX(0,(Inputs!$B$3-100)*3)+Inputs!$B$28+Inputs!$B$29)))</f>
        <v/>
      </c>
      <c r="E1830">
        <f>INDEX(FactorTable!$B$2:$Y$301, MATCH(ROUND(MIN(300,MAX(1,D1830)),0), FactorTable!$A$2:$A$301,0), Skills!M10+1)</f>
        <v/>
      </c>
      <c r="F1830">
        <f>IF(Skills!N10=TRUE,(Skills!L10/10)*(E1830/1000),Skills!L10/10)+Skills!O10</f>
        <v/>
      </c>
      <c r="G1830">
        <f>Skills!G10*IF(Skills!H10&gt;0,Skills!I10/Skills!H10,1)</f>
        <v/>
      </c>
      <c r="H1830">
        <f>1-(1-Skills!J10/100)^Skills!K10</f>
        <v/>
      </c>
      <c r="I1830" t="inlineStr">
        <is>
          <t>1</t>
        </is>
      </c>
      <c r="J1830" t="inlineStr"/>
      <c r="K1830" t="inlineStr"/>
      <c r="L1830" t="inlineStr"/>
      <c r="M1830" t="inlineStr"/>
      <c r="N1830" t="inlineStr"/>
      <c r="O1830">
        <f>(1-Summary!$B$11)*T1830+Summary!$B$11*V1830</f>
        <v/>
      </c>
      <c r="P1830">
        <f>IF(B1865=0,0,O1830/B1865)</f>
        <v/>
      </c>
      <c r="Q1830">
        <f>IFERROR(1/IF(Inputs!$B$39="pvp",15,MAX(0.1,Skills!D10-IF(Skills!E10=TRUE,Inputs!$B$32,0))),0)</f>
        <v/>
      </c>
      <c r="R1830">
        <f>IF(AND(Inputs!$B$39&lt;&gt;"pvp",Inputs!$B$44&gt;0),IF(Inputs!$B$44&lt;=0,0,(INT(Inputs!$B$44/IF(Inputs!$B$39="pvp",15,MAX(0.1,Skills!D10-IF(Skills!E10=TRUE,Inputs!$B$32,0))))+1)),0)</f>
        <v/>
      </c>
      <c r="S1830">
        <f>IFERROR(O1830/N1830,0)</f>
        <v/>
      </c>
      <c r="T1830" t="n">
        <v>0</v>
      </c>
      <c r="V1830" t="n">
        <v>0</v>
      </c>
    </row>
    <row r="1831">
      <c r="A1831">
        <f>Skills!A11</f>
        <v/>
      </c>
      <c r="B1831">
        <f>Skills!B11</f>
        <v/>
      </c>
      <c r="C1831">
        <f>Inputs!$B$3&gt;=103</f>
        <v/>
      </c>
      <c r="D1831">
        <f>IF(Skills!C11=1,60+Inputs!$B$25+Inputs!$B$29,IF(Skills!C11=2,90+Inputs!$B$26+Inputs!$B$29,IF(Skills!C11=3,120+Inputs!$B$27+Inputs!$B$29,MAX(0,(Inputs!$B$3-100)*3)+Inputs!$B$28+Inputs!$B$29)))</f>
        <v/>
      </c>
      <c r="E1831">
        <f>INDEX(FactorTable!$B$2:$Y$301, MATCH(ROUND(MIN(300,MAX(1,D1831)),0), FactorTable!$A$2:$A$301,0), Skills!M11+1)</f>
        <v/>
      </c>
      <c r="F1831">
        <f>(Skills!L11/10)*(E1831/1000)+IF(Inputs!$B$3&gt;=134,50,0)+0.5*(30000/10)*(INDEX(FactorTable!$B$2:$Y$301, MATCH(ROUND(MIN(300,MAX(1,D1831)),0), FactorTable!$A$2:$A$301,0), 13)/1000)*B1863</f>
        <v/>
      </c>
      <c r="G1831">
        <f>Skills!G11*IF(Skills!H11&gt;0,Skills!I11/Skills!H11,1)</f>
        <v/>
      </c>
      <c r="H1831">
        <f>1-(1-Skills!J11/100)^Skills!K11</f>
        <v/>
      </c>
      <c r="I1831" t="inlineStr">
        <is>
          <t>1</t>
        </is>
      </c>
      <c r="J1831">
        <f>((Inputs!$B$6*(1+Inputs!$B$7/100))+(((Inputs!$B$12*(1+Inputs!$B$13/100))-(Inputs!$B$12*(1+Inputs!$B$13/100)))+0.25*(Inputs!$B$14-Inputs!$B$14))*(1+Inputs!$B$7/100))*(F1831/100)</f>
        <v/>
      </c>
      <c r="K1831">
        <f>J1831*(1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1831)</f>
        <v/>
      </c>
      <c r="L1831">
        <f>K1831*(MIN(Inputs!$B$22+((C1844=TRUE)*(F1844-Calc!F24)),(Inputs!$B$23+((C1849=TRUE)*(F1849-Calc!F29))+IF(ArtifactsInput!$M$15,CHOOSE(ArtifactsInput!$N$15+1,25,30,35,40,45,50)/100*(Inputs!$B$11-Inputs!$B$11),0)))/100+(Inputs!$B$23+((C1849=TRUE)*(F1849-Calc!F29))+IF(ArtifactsInput!$M$15,CHOOSE(ArtifactsInput!$N$15+1,25,30,35,40,45,50)/100*(Inputs!$B$11-Inputs!$B$11),0))/100)/2</f>
        <v/>
      </c>
      <c r="M1831">
        <f>L1831*(1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1">
        <f>L1831*(1-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1">
        <f>(1-Summary!$B$11)*T1831+Summary!$B$11*V1831</f>
        <v/>
      </c>
      <c r="P1831">
        <f>IF(B1865=0,0,O1831/B1865)</f>
        <v/>
      </c>
      <c r="Q1831">
        <f>IFERROR(1/IF(Inputs!$B$39="pvp",15,MAX(0.1,Skills!D11-IF(Skills!E11=TRUE,Inputs!$B$32,0))),0)</f>
        <v/>
      </c>
      <c r="R1831">
        <f>IF(AND(Inputs!$B$39&lt;&gt;"pvp",Inputs!$B$44&gt;0),IF(MAX(0,Inputs!$B$44-B1864)&lt;=0,0,(INT(MAX(0,Inputs!$B$44-B1864)/IF(Inputs!$B$39="pvp",15,MAX(0.1,Skills!D11-IF(Skills!E11=TRUE,Inputs!$B$32,0))))+1)),0)</f>
        <v/>
      </c>
      <c r="S1831">
        <f>IFERROR(O1831/N1831,0)</f>
        <v/>
      </c>
      <c r="T1831">
        <f>IF(C1831,(H1831*N1831*IF(AND(Inputs!$B$39&lt;&gt;"pvp",Inputs!$B$44&gt;0),((Skills!G11*((R1831-1)*IF(Skills!H11&gt;0,Skills!I11/Skills!H11,1)+IF(Skills!H11&gt;0,MIN(Skills!I11,MAX(0,MAX(0,Inputs!$B$44-B1864)-((R1831-1)*IF(Inputs!$B$39="pvp",15,MAX(0.1,Skills!D11-IF(Skills!E11=TRUE,Inputs!$B$32,0))))))/Skills!H11,1)))/Inputs!$B$44),G1831*Q1831))*IF(Inputs!$B$39="pvp",1,1+(Inputs!$B$20+0+Skills!P11+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1">
        <f>IF(C1831,(H1831*N1831*IF(AND(Inputs!$B$39&lt;&gt;"pvp",Inputs!$B$44&gt;0),((Skills!G11*((R1831-1)*IF(Skills!H11&gt;0,Skills!I11/Skills!H11,1)+IF(Skills!H11&gt;0,MIN(Skills!I11,MAX(0,MAX(0,Inputs!$B$44-B1864)-((R1831-1)*IF(Inputs!$B$39="pvp",15,MAX(0.1,Skills!D11-IF(Skills!E11=TRUE,Inputs!$B$32,0))))))/Skills!H11,1)))/Inputs!$B$44),G1831*Q1831))*IF(Inputs!$B$39="pvp",1,(1+(Inputs!$B$21+Skills!Q11+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2">
      <c r="A1832">
        <f>Skills!A12</f>
        <v/>
      </c>
      <c r="B1832">
        <f>Skills!B12</f>
        <v/>
      </c>
      <c r="C1832">
        <f>Inputs!$B$3&gt;=105</f>
        <v/>
      </c>
      <c r="D1832">
        <f>IF(Skills!C12=1,60+Inputs!$B$25+Inputs!$B$29,IF(Skills!C12=2,90+Inputs!$B$26+Inputs!$B$29,IF(Skills!C12=3,120+Inputs!$B$27+Inputs!$B$29,MAX(0,(Inputs!$B$3-100)*3)+Inputs!$B$28+Inputs!$B$29)))</f>
        <v/>
      </c>
      <c r="E1832">
        <f>INDEX(FactorTable!$B$2:$Y$301, MATCH(ROUND(MIN(300,MAX(1,D1832)),0), FactorTable!$A$2:$A$301,0), Skills!M12+1)</f>
        <v/>
      </c>
      <c r="F1832">
        <f>IF(Skills!N12=TRUE,(Skills!L12/10)*(E1832/1000),Skills!L12/10)+Skills!O12</f>
        <v/>
      </c>
      <c r="G1832">
        <f>Skills!G12*IF(Skills!H12&gt;0,Skills!I12/Skills!H12,1)</f>
        <v/>
      </c>
      <c r="H1832">
        <f>1-(1-Skills!J12/100)^Skills!K12</f>
        <v/>
      </c>
      <c r="I1832" t="inlineStr">
        <is>
          <t>1</t>
        </is>
      </c>
      <c r="J1832">
        <f>((Inputs!$B$6*(1+Inputs!$B$7/100))+(((Inputs!$B$12*(1+Inputs!$B$13/100))-(Inputs!$B$12*(1+Inputs!$B$13/100)))+0.25*(Inputs!$B$14-Inputs!$B$14))*(1+Inputs!$B$7/100))*(F1832/100)</f>
        <v/>
      </c>
      <c r="K1832">
        <f>J1832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1832)</f>
        <v/>
      </c>
      <c r="L1832">
        <f>K1832*(MIN(Inputs!$B$22+((C1844=TRUE)*(F1844-Calc!F24)),(Inputs!$B$23+((C1849=TRUE)*(F1849-Calc!F29))+IF(ArtifactsInput!$M$15,CHOOSE(ArtifactsInput!$N$15+1,25,30,35,40,45,50)/100*(Inputs!$B$11-Inputs!$B$11),0)))/100+(Inputs!$B$23+((C1849=TRUE)*(F1849-Calc!F29))+IF(ArtifactsInput!$M$15,CHOOSE(ArtifactsInput!$N$15+1,25,30,35,40,45,50)/100*(Inputs!$B$11-Inputs!$B$11),0))/100)/2</f>
        <v/>
      </c>
      <c r="M1832">
        <f>L1832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2">
        <f>L1832*(1-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1832*(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2">
        <f>(1-Summary!$B$11)*T1832+Summary!$B$11*V1832</f>
        <v/>
      </c>
      <c r="P1832">
        <f>IF(B1865=0,0,O1832/B1865)</f>
        <v/>
      </c>
      <c r="Q1832">
        <f>IFERROR(1/IF(Inputs!$B$39="pvp",15,MAX(0.1,Skills!D12-IF(Skills!E12=TRUE,Inputs!$B$32,0))),0)</f>
        <v/>
      </c>
      <c r="R1832">
        <f>IF(AND(Inputs!$B$39&lt;&gt;"pvp",Inputs!$B$44&gt;0),IF(MAX(0,Inputs!$B$44-B1864)&lt;=0,0,(INT(MAX(0,Inputs!$B$44-B1864)/IF(Inputs!$B$39="pvp",15,MAX(0.1,Skills!D12-IF(Skills!E12=TRUE,Inputs!$B$32,0))))+1)),0)</f>
        <v/>
      </c>
      <c r="S1832">
        <f>IFERROR(O1832/N1832,0)</f>
        <v/>
      </c>
      <c r="T1832">
        <f>IF(C1832,(H1832*N1832*IF(AND(Inputs!$B$39&lt;&gt;"pvp",Inputs!$B$44&gt;0),((Skills!G12*((R1832-1)*IF(Skills!H12&gt;0,Skills!I12/Skills!H12,1)+IF(Skills!H12&gt;0,MIN(Skills!I12,MAX(0,MAX(0,Inputs!$B$44-B1864)-((R1832-1)*IF(Inputs!$B$39="pvp",15,MAX(0.1,Skills!D12-IF(Skills!E12=TRUE,Inputs!$B$32,0))))))/Skills!H12,1)))/Inputs!$B$44),G1832*Q1832))*IF(Inputs!$B$39="pvp",1,1+(Inputs!$B$20+0+Skills!P12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1832*(1-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1832*(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1832*(1-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1832*(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2">
        <f>IF(C1832,(H1832*N1832*IF(AND(Inputs!$B$39&lt;&gt;"pvp",Inputs!$B$44&gt;0),((Skills!G12*((R1832-1)*IF(Skills!H12&gt;0,Skills!I12/Skills!H12,1)+IF(Skills!H12&gt;0,MIN(Skills!I12,MAX(0,MAX(0,Inputs!$B$44-B1864)-((R1832-1)*IF(Inputs!$B$39="pvp",15,MAX(0.1,Skills!D12-IF(Skills!E12=TRUE,Inputs!$B$32,0))))))/Skills!H12,1)))/Inputs!$B$44),G1832*Q1832))*IF(Inputs!$B$39="pvp",1,(1+(Inputs!$B$21+Skills!Q12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3">
      <c r="A1833">
        <f>Skills!A13</f>
        <v/>
      </c>
      <c r="B1833">
        <f>Skills!B13</f>
        <v/>
      </c>
      <c r="C1833">
        <f>Inputs!$B$3&gt;=105</f>
        <v/>
      </c>
      <c r="D1833">
        <f>IF(Skills!C13=1,60+Inputs!$B$25+Inputs!$B$29,IF(Skills!C13=2,90+Inputs!$B$26+Inputs!$B$29,IF(Skills!C13=3,120+Inputs!$B$27+Inputs!$B$29,MAX(0,(Inputs!$B$3-100)*3)+Inputs!$B$28+Inputs!$B$29)))</f>
        <v/>
      </c>
      <c r="E1833">
        <f>INDEX(FactorTable!$B$2:$Y$301, MATCH(ROUND(MIN(300,MAX(1,D1833)),0), FactorTable!$A$2:$A$301,0), Skills!M13+1)</f>
        <v/>
      </c>
      <c r="F1833">
        <f>IF(Skills!N13=TRUE,(Skills!L13/10)*(E1833/1000),Skills!L13/10)+Skills!O13</f>
        <v/>
      </c>
      <c r="G1833">
        <f>Skills!G13*IF(Skills!H13&gt;0,Skills!I13/Skills!H13,1)</f>
        <v/>
      </c>
      <c r="H1833">
        <f>1-(1-Skills!J13/100)^Skills!K13</f>
        <v/>
      </c>
      <c r="I1833" t="inlineStr">
        <is>
          <t>1</t>
        </is>
      </c>
      <c r="J1833">
        <f>((Inputs!$B$6*(1+Inputs!$B$7/100))+(((Inputs!$B$12*(1+Inputs!$B$13/100))-(Inputs!$B$12*(1+Inputs!$B$13/100)))+0.25*(Inputs!$B$14-Inputs!$B$14))*(1+Inputs!$B$7/100))*(F1833/100)</f>
        <v/>
      </c>
      <c r="K1833">
        <f>J1833*(1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1833)</f>
        <v/>
      </c>
      <c r="L1833">
        <f>K1833*(MIN(Inputs!$B$22+((C1844=TRUE)*(F1844-Calc!F24)),(Inputs!$B$23+((C1849=TRUE)*(F1849-Calc!F29))+IF(ArtifactsInput!$M$15,CHOOSE(ArtifactsInput!$N$15+1,25,30,35,40,45,50)/100*(Inputs!$B$11-Inputs!$B$11),0)))/100+(Inputs!$B$23+((C1849=TRUE)*(F1849-Calc!F29))+IF(ArtifactsInput!$M$15,CHOOSE(ArtifactsInput!$N$15+1,25,30,35,40,45,50)/100*(Inputs!$B$11-Inputs!$B$11),0))/100)/2</f>
        <v/>
      </c>
      <c r="M1833">
        <f>L1833*(1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3">
        <f>L1833*(1-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(1-Summary!$B$11)*T1833+Summary!$B$11*V1833</f>
        <v/>
      </c>
      <c r="P1833">
        <f>IF(B1865=0,0,O1833/B1865)</f>
        <v/>
      </c>
      <c r="Q1833">
        <f>IFERROR(1/IF(Inputs!$B$39="pvp",15,MAX(0.1,Skills!D13-IF(Skills!E13=TRUE,Inputs!$B$32,0))),0)</f>
        <v/>
      </c>
      <c r="R1833">
        <f>IF(AND(Inputs!$B$39&lt;&gt;"pvp",Inputs!$B$44&gt;0),IF(MAX(0,Inputs!$B$44-B1864)&lt;=0,0,(INT(MAX(0,Inputs!$B$44-B1864)/IF(Inputs!$B$39="pvp",15,MAX(0.1,Skills!D13-IF(Skills!E13=TRUE,Inputs!$B$32,0))))+1)),0)</f>
        <v/>
      </c>
      <c r="S1833">
        <f>IFERROR(O1833/N1833,0)</f>
        <v/>
      </c>
      <c r="T1833">
        <f>IF(C1833,(H1833*N1833*IF(AND(Inputs!$B$39&lt;&gt;"pvp",Inputs!$B$44&gt;0),((Skills!G13*((R1833-1)*IF(Skills!H13&gt;0,Skills!I13/Skills!H13,1)+IF(Skills!H13&gt;0,MIN(Skills!I13,MAX(0,MAX(0,Inputs!$B$44-B1864)-((R1833-1)*IF(Inputs!$B$39="pvp",15,MAX(0.1,Skills!D13-IF(Skills!E13=TRUE,Inputs!$B$32,0))))))/Skills!H13,1)))/Inputs!$B$44),G1833*Q1833))*IF(Inputs!$B$39="pvp",1,1+(Inputs!$B$20+0+Skills!P13+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1833*(1-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3">
        <f>IF(C1833,(H1833*N1833*IF(AND(Inputs!$B$39&lt;&gt;"pvp",Inputs!$B$44&gt;0),((Skills!G13*((R1833-1)*IF(Skills!H13&gt;0,Skills!I13/Skills!H13,1)+IF(Skills!H13&gt;0,MIN(Skills!I13,MAX(0,MAX(0,Inputs!$B$44-B1864)-((R1833-1)*IF(Inputs!$B$39="pvp",15,MAX(0.1,Skills!D13-IF(Skills!E13=TRUE,Inputs!$B$32,0))))))/Skills!H13,1)))/Inputs!$B$44),G1833*Q1833))*IF(Inputs!$B$39="pvp",1,(1+(Inputs!$B$21+Skills!Q13+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Skills!A14</f>
        <v/>
      </c>
      <c r="B1834">
        <f>Skills!B14</f>
        <v/>
      </c>
      <c r="C1834">
        <f>Inputs!$B$3&gt;=107</f>
        <v/>
      </c>
      <c r="D1834">
        <f>IF(Skills!C14=1,60+Inputs!$B$25+Inputs!$B$29,IF(Skills!C14=2,90+Inputs!$B$26+Inputs!$B$29,IF(Skills!C14=3,120+Inputs!$B$27+Inputs!$B$29,MAX(0,(Inputs!$B$3-100)*3)+Inputs!$B$28+Inputs!$B$29)))</f>
        <v/>
      </c>
      <c r="E1834">
        <f>INDEX(FactorTable!$B$2:$Y$301, MATCH(ROUND(MIN(300,MAX(1,D1834)),0), FactorTable!$A$2:$A$301,0), Skills!M14+1)</f>
        <v/>
      </c>
      <c r="F1834">
        <f>IF(Skills!N14=TRUE,(Skills!L14/10)*(E1834/1000),Skills!L14/10)+Skills!O14</f>
        <v/>
      </c>
      <c r="G1834">
        <f>Skills!G14*IF(Skills!H14&gt;0,Skills!I14/Skills!H14,1)</f>
        <v/>
      </c>
      <c r="H1834">
        <f>1-(1-Skills!J14/100)^Skills!K14</f>
        <v/>
      </c>
      <c r="I1834" t="inlineStr">
        <is>
          <t>1</t>
        </is>
      </c>
      <c r="J1834">
        <f>((Inputs!$B$6*(1+Inputs!$B$7/100))+(((Inputs!$B$12*(1+Inputs!$B$13/100))-(Inputs!$B$12*(1+Inputs!$B$13/100)))+0.25*(Inputs!$B$14-Inputs!$B$14))*(1+Inputs!$B$7/100))*(F1834/100)</f>
        <v/>
      </c>
      <c r="K1834">
        <f>J1834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1834)</f>
        <v/>
      </c>
      <c r="L1834">
        <f>K1834*(MIN(Inputs!$B$22+((C1844=TRUE)*(F1844-Calc!F24)),(Inputs!$B$23+((C1849=TRUE)*(F1849-Calc!F29))+IF(ArtifactsInput!$M$15,CHOOSE(ArtifactsInput!$N$15+1,25,30,35,40,45,50)/100*(Inputs!$B$11-Inputs!$B$11),0)))/100+(Inputs!$B$23+((C1849=TRUE)*(F1849-Calc!F29))+IF(ArtifactsInput!$M$15,CHOOSE(ArtifactsInput!$N$15+1,25,30,35,40,45,50)/100*(Inputs!$B$11-Inputs!$B$11),0))/100)/2</f>
        <v/>
      </c>
      <c r="M1834">
        <f>L1834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4">
        <f>L1834*(1-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(1-Summary!$B$11)*T1834+Summary!$B$11*V1834</f>
        <v/>
      </c>
      <c r="P1834">
        <f>IF(B1865=0,0,O1834/B1865)</f>
        <v/>
      </c>
      <c r="Q1834">
        <f>IFERROR(1/IF(Inputs!$B$39="pvp",15,MAX(0.1,Skills!D14-IF(Skills!E14=TRUE,Inputs!$B$32,0))),0)</f>
        <v/>
      </c>
      <c r="R1834">
        <f>IF(AND(Inputs!$B$39&lt;&gt;"pvp",Inputs!$B$44&gt;0),IF(MAX(0,Inputs!$B$44-B1864)&lt;=0,0,(INT(MAX(0,Inputs!$B$44-B1864)/IF(Inputs!$B$39="pvp",15,MAX(0.1,Skills!D14-IF(Skills!E14=TRUE,Inputs!$B$32,0))))+1)),0)</f>
        <v/>
      </c>
      <c r="S1834">
        <f>IFERROR(O1834/N1834,0)</f>
        <v/>
      </c>
      <c r="T1834">
        <f>IF(C1834,(H1834*N1834*IF(AND(Inputs!$B$39&lt;&gt;"pvp",Inputs!$B$44&gt;0),((Skills!G14*((R1834-1)*IF(Skills!H14&gt;0,Skills!I14/Skills!H14,1)+IF(Skills!H14&gt;0,MIN(Skills!I14,MAX(0,MAX(0,Inputs!$B$44-B1864)-((R1834-1)*IF(Inputs!$B$39="pvp",15,MAX(0.1,Skills!D14-IF(Skills!E14=TRUE,Inputs!$B$32,0))))))/Skills!H14,1)))/Inputs!$B$44),G1834*Q1834))*IF(Inputs!$B$39="pvp",1,1+(Inputs!$B$20+0+Skills!P14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1834*(1-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4">
        <f>IF(C1834,(H1834*N1834*IF(AND(Inputs!$B$39&lt;&gt;"pvp",Inputs!$B$44&gt;0),((Skills!G14*((R1834-1)*IF(Skills!H14&gt;0,Skills!I14/Skills!H14,1)+IF(Skills!H14&gt;0,MIN(Skills!I14,MAX(0,MAX(0,Inputs!$B$44-B1864)-((R1834-1)*IF(Inputs!$B$39="pvp",15,MAX(0.1,Skills!D14-IF(Skills!E14=TRUE,Inputs!$B$32,0))))))/Skills!H14,1)))/Inputs!$B$44),G1834*Q1834))*IF(Inputs!$B$39="pvp",1,(1+(Inputs!$B$21+Skills!Q14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(5,0.25*B1857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5">
      <c r="A1835">
        <f>Skills!A15</f>
        <v/>
      </c>
      <c r="B1835">
        <f>Skills!B15</f>
        <v/>
      </c>
      <c r="C1835">
        <f>Inputs!$B$3&gt;=110</f>
        <v/>
      </c>
      <c r="D1835">
        <f>IF(Skills!C15=1,60+Inputs!$B$25+Inputs!$B$29,IF(Skills!C15=2,90+Inputs!$B$26+Inputs!$B$29,IF(Skills!C15=3,120+Inputs!$B$27+Inputs!$B$29,MAX(0,(Inputs!$B$3-100)*3)+Inputs!$B$28+Inputs!$B$29)))</f>
        <v/>
      </c>
      <c r="E1835">
        <f>INDEX(FactorTable!$B$2:$Y$301, MATCH(ROUND(MIN(300,MAX(1,D1835)),0), FactorTable!$A$2:$A$301,0), Skills!M15+1)</f>
        <v/>
      </c>
      <c r="F1835">
        <f>IF(Skills!N15=TRUE,(Skills!L15/10)*(E1835/1000),Skills!L15/10)+Skills!O15</f>
        <v/>
      </c>
      <c r="G1835">
        <f>Skills!G15*IF(Skills!H15&gt;0,Skills!I15/Skills!H15,1)</f>
        <v/>
      </c>
      <c r="H1835">
        <f>1-(1-Skills!J15/100)^Skills!K15</f>
        <v/>
      </c>
      <c r="I1835" t="inlineStr">
        <is>
          <t>1</t>
        </is>
      </c>
      <c r="J1835" t="inlineStr"/>
      <c r="K1835" t="inlineStr"/>
      <c r="L1835" t="inlineStr"/>
      <c r="M1835" t="inlineStr"/>
      <c r="N1835" t="inlineStr"/>
      <c r="O1835">
        <f>(1-Summary!$B$11)*T1835+Summary!$B$11*V1835</f>
        <v/>
      </c>
      <c r="P1835">
        <f>IF(B1865=0,0,O1835/B1865)</f>
        <v/>
      </c>
      <c r="Q1835">
        <f>IFERROR(1/IF(Inputs!$B$39="pvp",15,MAX(0.1,Skills!D15-IF(Skills!E15=TRUE,Inputs!$B$32,0))),0)</f>
        <v/>
      </c>
      <c r="R1835">
        <f>IF(AND(Inputs!$B$39&lt;&gt;"pvp",Inputs!$B$44&gt;0),IF(Inputs!$B$44&lt;=0,0,(INT(Inputs!$B$44/IF(Inputs!$B$39="pvp",15,MAX(0.1,Skills!D15-IF(Skills!E15=TRUE,Inputs!$B$32,0))))+1)),0)</f>
        <v/>
      </c>
      <c r="S1835">
        <f>IFERROR(O1835/N1835,0)</f>
        <v/>
      </c>
      <c r="T1835" t="n">
        <v>0</v>
      </c>
      <c r="V1835" t="n">
        <v>0</v>
      </c>
    </row>
    <row r="1836">
      <c r="A1836">
        <f>Skills!A16</f>
        <v/>
      </c>
      <c r="B1836">
        <f>Skills!B16</f>
        <v/>
      </c>
      <c r="C1836">
        <f>Inputs!$B$3&gt;=115</f>
        <v/>
      </c>
      <c r="D1836">
        <f>IF(Skills!C16=1,60+Inputs!$B$25+Inputs!$B$29,IF(Skills!C16=2,90+Inputs!$B$26+Inputs!$B$29,IF(Skills!C16=3,120+Inputs!$B$27+Inputs!$B$29,MAX(0,(Inputs!$B$3-100)*3)+Inputs!$B$28+Inputs!$B$29)))</f>
        <v/>
      </c>
      <c r="E1836">
        <f>INDEX(FactorTable!$B$2:$Y$301, MATCH(ROUND(MIN(300,MAX(1,D1836)),0), FactorTable!$A$2:$A$301,0), Skills!M16+1)</f>
        <v/>
      </c>
      <c r="F1836">
        <f>IF(Skills!N16=TRUE,(Skills!L16/10)*(E1836/1000),Skills!L16/10)+Skills!O16</f>
        <v/>
      </c>
      <c r="G1836">
        <f>Skills!G16*IF(Skills!H16&gt;0,Skills!I16/Skills!H16,1)</f>
        <v/>
      </c>
      <c r="H1836">
        <f>1-(1-Skills!J16/100)^Skills!K16</f>
        <v/>
      </c>
      <c r="I1836" t="inlineStr">
        <is>
          <t>1</t>
        </is>
      </c>
      <c r="J1836">
        <f>((Inputs!$B$6*(1+Inputs!$B$7/100))+(((Inputs!$B$12*(1+Inputs!$B$13/100))-(Inputs!$B$12*(1+Inputs!$B$13/100)))+0.25*(Inputs!$B$14-Inputs!$B$14))*(1+Inputs!$B$7/100))*(F1836/100)</f>
        <v/>
      </c>
      <c r="K1836">
        <f>J1836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1847=TRUE)*(F1847-Calc!F27))+((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1836)</f>
        <v/>
      </c>
      <c r="L1836">
        <f>K1836*(MIN(Inputs!$B$22+((C1844=TRUE)*(F1844-Calc!F24)),(Inputs!$B$23+((C1849=TRUE)*(F1849-Calc!F29))+IF(ArtifactsInput!$M$15,CHOOSE(ArtifactsInput!$N$15+1,25,30,35,40,45,50)/100*(Inputs!$B$11-Inputs!$B$11),0)))/100+(Inputs!$B$23+((C1849=TRUE)*(F1849-Calc!F29))+IF(ArtifactsInput!$M$15,CHOOSE(ArtifactsInput!$N$15+1,25,30,35,40,45,50)/100*(Inputs!$B$11-Inputs!$B$11),0))/100)/2</f>
        <v/>
      </c>
      <c r="M1836">
        <f>L1836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6">
        <f>L1836*(1-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(1-Summary!$B$11)*T1836+Summary!$B$11*V1836</f>
        <v/>
      </c>
      <c r="P1836">
        <f>IF(B1865=0,0,O1836/B1865)</f>
        <v/>
      </c>
      <c r="Q1836" t="n">
        <v>0</v>
      </c>
      <c r="R1836" t="n">
        <v>0</v>
      </c>
      <c r="S1836">
        <f>IFERROR(O1836/N1836,0)</f>
        <v/>
      </c>
      <c r="T1836">
        <f>IF(C1836,(Inputs!$B$38*0.2*N1836)*IF(Inputs!$B$39="pvp",1,1+(Inputs!$B$20+0+Skills!P16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1836*(1-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$9+((C1845=TRUE)*(F1845-Calc!F25))+B1853+(ArtifactsInput!$M$24-ArtifactsInput!$M$24)*CHOOSE(ArtifactsInput!$N$24+1,10,12,14,16,18,20)+(IF(AND(Inputs!$B$39&lt;&gt;"pvp",Inputs!$B$44=0),1,IF(IF(Inputs!$B$39="pvp",15,Inputs!$B$44)-(B1864)&lt;=0,1,MAX(0,IF(Inputs!$B$39="pvp",15,Inputs!$B$44)-MAX(5,B1864))/(IF(Inputs!$B$39="pvp",15,Inputs!$B$44)-(B1864))))*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6">
        <f>IF(C1836,(Inputs!$B$38*0.2*N1836)*IF(Inputs!$B$39="pvp",1,(1+(Inputs!$B$21+Skills!Q16+B1854+(IF(ArtifactsInput!$M$33,CHOOSE(ArtifactsInput!$N$33+1,30,36,42,48,54,60),0))+(IF(AND(ArtifactsInput!$M$35,Inputs!$B$4&lt;&gt;"Chapter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Skills!A17</f>
        <v/>
      </c>
      <c r="B1837">
        <f>Skills!B17</f>
        <v/>
      </c>
      <c r="C1837">
        <f>Inputs!$B$3&gt;=115</f>
        <v/>
      </c>
      <c r="D1837">
        <f>IF(Skills!C17=1,60+Inputs!$B$25+Inputs!$B$29,IF(Skills!C17=2,90+Inputs!$B$26+Inputs!$B$29,IF(Skills!C17=3,120+Inputs!$B$27+Inputs!$B$29,MAX(0,(Inputs!$B$3-100)*3)+Inputs!$B$28+Inputs!$B$29)))</f>
        <v/>
      </c>
      <c r="E1837">
        <f>INDEX(FactorTable!$B$2:$Y$301, MATCH(ROUND(MIN(300,MAX(1,D1837)),0), FactorTable!$A$2:$A$301,0), Skills!M17+1)</f>
        <v/>
      </c>
      <c r="F1837">
        <f>IF(Skills!N17=TRUE,(Skills!L17/10)*(E1837/1000),Skills!L17/10)+Skills!O17</f>
        <v/>
      </c>
      <c r="G1837">
        <f>Skills!G17*IF(Skills!H17&gt;0,Skills!I17/Skills!H17,1)</f>
        <v/>
      </c>
      <c r="H1837">
        <f>1-(1-Skills!J17/100)^Skills!K17</f>
        <v/>
      </c>
      <c r="I1837" t="inlineStr">
        <is>
          <t>1</t>
        </is>
      </c>
      <c r="J1837" t="inlineStr"/>
      <c r="K1837" t="inlineStr"/>
      <c r="L1837" t="inlineStr"/>
      <c r="M1837" t="inlineStr"/>
      <c r="N1837" t="inlineStr"/>
      <c r="O1837">
        <f>(1-Summary!$B$11)*T1837+Summary!$B$11*V1837</f>
        <v/>
      </c>
      <c r="P1837">
        <f>IF(B1865=0,0,O1837/B1865)</f>
        <v/>
      </c>
      <c r="Q1837" t="n">
        <v>0</v>
      </c>
      <c r="R1837" t="n">
        <v>0</v>
      </c>
      <c r="S1837">
        <f>IFERROR(O1837/N1837,0)</f>
        <v/>
      </c>
      <c r="T1837" t="n">
        <v>0</v>
      </c>
      <c r="V1837" t="n">
        <v>0</v>
      </c>
    </row>
    <row r="1838">
      <c r="A1838">
        <f>Skills!A18</f>
        <v/>
      </c>
      <c r="B1838">
        <f>Skills!B18</f>
        <v/>
      </c>
      <c r="C1838">
        <f>Inputs!$B$3&gt;=100</f>
        <v/>
      </c>
      <c r="D1838">
        <f>IF(Skills!C18=1,60+Inputs!$B$25+Inputs!$B$29,IF(Skills!C18=2,90+Inputs!$B$26+Inputs!$B$29,IF(Skills!C18=3,120+Inputs!$B$27+Inputs!$B$29,MAX(0,(Inputs!$B$3-100)*3)+Inputs!$B$28+Inputs!$B$29)))</f>
        <v/>
      </c>
      <c r="E1838">
        <f>INDEX(FactorTable!$B$2:$Y$301, MATCH(ROUND(MIN(300,MAX(1,D1838)),0), FactorTable!$A$2:$A$301,0), Skills!M18+1)</f>
        <v/>
      </c>
      <c r="F1838">
        <f>IF(Skills!N18=TRUE,(Skills!L18/10)*(E1838/1000),Skills!L18/10)+Skills!O18</f>
        <v/>
      </c>
      <c r="G1838">
        <f>Skills!G18*IF(Skills!H18&gt;0,Skills!I18/Skills!H18,1)</f>
        <v/>
      </c>
      <c r="H1838">
        <f>1-(1-Skills!J18/100)^Skills!K18</f>
        <v/>
      </c>
      <c r="I1838" t="inlineStr">
        <is>
          <t>1</t>
        </is>
      </c>
      <c r="J1838" t="inlineStr"/>
      <c r="K1838" t="inlineStr"/>
      <c r="L1838" t="inlineStr"/>
      <c r="M1838" t="inlineStr"/>
      <c r="N1838" t="inlineStr"/>
      <c r="O1838">
        <f>(1-Summary!$B$11)*T1838+Summary!$B$11*V1838</f>
        <v/>
      </c>
      <c r="P1838">
        <f>IF(B1865=0,0,O1838/B1865)</f>
        <v/>
      </c>
      <c r="Q1838" t="n">
        <v>0</v>
      </c>
      <c r="R1838" t="n">
        <v>0</v>
      </c>
      <c r="S1838">
        <f>IFERROR(O1838/N1838,0)</f>
        <v/>
      </c>
      <c r="T1838" t="n">
        <v>0</v>
      </c>
      <c r="V1838" t="n">
        <v>0</v>
      </c>
    </row>
    <row r="1839">
      <c r="A1839">
        <f>Skills!A19</f>
        <v/>
      </c>
      <c r="B1839">
        <f>Skills!B19</f>
        <v/>
      </c>
      <c r="C1839">
        <f>TRUE</f>
        <v/>
      </c>
      <c r="D1839">
        <f>IF(Skills!C19=1,60+Inputs!$B$25+Inputs!$B$29,IF(Skills!C19=2,90+Inputs!$B$26+Inputs!$B$29,IF(Skills!C19=3,120+Inputs!$B$27+Inputs!$B$29,MAX(0,(Inputs!$B$3-100)*3)+Inputs!$B$28+Inputs!$B$29)))</f>
        <v/>
      </c>
      <c r="E1839">
        <f>INDEX(FactorTable!$B$2:$Y$301, MATCH(ROUND(MIN(300,MAX(1,D1839)),0), FactorTable!$A$2:$A$301,0), Skills!M19+1)</f>
        <v/>
      </c>
      <c r="F1839">
        <f>IF(Skills!N19=TRUE,(Skills!L19/10)*(E1839/1000),Skills!L19/10)+Skills!O19</f>
        <v/>
      </c>
      <c r="G1839">
        <f>Skills!G19*IF(Skills!H19&gt;0,Skills!I19/Skills!H19,1)</f>
        <v/>
      </c>
      <c r="H1839">
        <f>1-(1-Skills!J19/100)^Skills!K19</f>
        <v/>
      </c>
      <c r="I1839" t="inlineStr">
        <is>
          <t>1</t>
        </is>
      </c>
      <c r="J1839" t="inlineStr"/>
      <c r="K1839" t="inlineStr"/>
      <c r="L1839" t="inlineStr"/>
      <c r="M1839" t="inlineStr"/>
      <c r="N1839" t="inlineStr"/>
      <c r="O1839">
        <f>(1-Summary!$B$11)*T1839+Summary!$B$11*V1839</f>
        <v/>
      </c>
      <c r="P1839">
        <f>IF(B1865=0,0,O1839/B1865)</f>
        <v/>
      </c>
      <c r="Q1839">
        <f>IFERROR(1/IF(Inputs!$B$39="pvp",15,MAX(0.1,Skills!D19-IF(Skills!E19=TRUE,Inputs!$B$32,0))),0)</f>
        <v/>
      </c>
      <c r="R1839">
        <f>IF(AND(Inputs!$B$39&lt;&gt;"pvp",Inputs!$B$44&gt;0),IF(Inputs!$B$44&lt;=0,0,(INT(Inputs!$B$44/IF(Inputs!$B$39="pvp",15,MAX(0.1,Skills!D19-IF(Skills!E19=TRUE,Inputs!$B$32,0))))+1)),0)</f>
        <v/>
      </c>
      <c r="S1839">
        <f>IFERROR(O1839/N1839,0)</f>
        <v/>
      </c>
      <c r="T1839" t="n">
        <v>0</v>
      </c>
      <c r="V1839" t="n">
        <v>0</v>
      </c>
    </row>
    <row r="1840">
      <c r="A1840">
        <f>Skills!A20</f>
        <v/>
      </c>
      <c r="B1840">
        <f>Skills!B20</f>
        <v/>
      </c>
      <c r="C1840">
        <f>Inputs!$B$3&gt;=15</f>
        <v/>
      </c>
      <c r="D1840">
        <f>IF(Skills!C20=1,60+Inputs!$B$25+Inputs!$B$29,IF(Skills!C20=2,90+Inputs!$B$26+Inputs!$B$29,IF(Skills!C20=3,120+Inputs!$B$27+Inputs!$B$29,MAX(0,(Inputs!$B$3-100)*3)+Inputs!$B$28+Inputs!$B$29)))</f>
        <v/>
      </c>
      <c r="E1840">
        <f>INDEX(FactorTable!$B$2:$Y$301, MATCH(ROUND(MIN(300,MAX(1,D1840)),0), FactorTable!$A$2:$A$301,0), Skills!M20+1)</f>
        <v/>
      </c>
      <c r="F1840">
        <f>IF(Skills!N20=TRUE,(Skills!L20/10)*(E1840/1000),Skills!L20/10)+Skills!O20</f>
        <v/>
      </c>
      <c r="G1840">
        <f>Skills!G20*IF(Skills!H20&gt;0,Skills!I20/Skills!H20,1)</f>
        <v/>
      </c>
      <c r="H1840">
        <f>1-(1-Skills!J20/100)^Skills!K20</f>
        <v/>
      </c>
      <c r="I1840" t="inlineStr">
        <is>
          <t>1</t>
        </is>
      </c>
      <c r="J1840" t="inlineStr"/>
      <c r="K1840" t="inlineStr"/>
      <c r="L1840" t="inlineStr"/>
      <c r="M1840" t="inlineStr"/>
      <c r="N1840" t="inlineStr"/>
      <c r="O1840">
        <f>(1-Summary!$B$11)*T1840+Summary!$B$11*V1840</f>
        <v/>
      </c>
      <c r="P1840">
        <f>IF(B1865=0,0,O1840/B1865)</f>
        <v/>
      </c>
      <c r="Q1840">
        <f>IFERROR(1/IF(Inputs!$B$39="pvp",15,MAX(0.1,Skills!D20-IF(Skills!E20=TRUE,Inputs!$B$32,0))),0)</f>
        <v/>
      </c>
      <c r="R1840">
        <f>IF(AND(Inputs!$B$39&lt;&gt;"pvp",Inputs!$B$44&gt;0),IF(Inputs!$B$44&lt;=0,0,(INT(Inputs!$B$44/IF(Inputs!$B$39="pvp",15,MAX(0.1,Skills!D20-IF(Skills!E20=TRUE,Inputs!$B$32,0))))+1)),0)</f>
        <v/>
      </c>
      <c r="S1840">
        <f>IFERROR(O1840/N1840,0)</f>
        <v/>
      </c>
      <c r="T1840" t="n">
        <v>0</v>
      </c>
      <c r="V1840" t="n">
        <v>0</v>
      </c>
    </row>
    <row r="1841">
      <c r="A1841">
        <f>Skills!A21</f>
        <v/>
      </c>
      <c r="B1841">
        <f>Skills!B21</f>
        <v/>
      </c>
      <c r="C1841">
        <f>Inputs!$B$3&gt;=15</f>
        <v/>
      </c>
      <c r="D1841">
        <f>IF(Skills!C21=1,60+Inputs!$B$25+Inputs!$B$29,IF(Skills!C21=2,90+Inputs!$B$26+Inputs!$B$29,IF(Skills!C21=3,120+Inputs!$B$27+Inputs!$B$29,MAX(0,(Inputs!$B$3-100)*3)+Inputs!$B$28+Inputs!$B$29)))</f>
        <v/>
      </c>
      <c r="E1841">
        <f>INDEX(FactorTable!$B$2:$Y$301, MATCH(ROUND(MIN(300,MAX(1,D1841)),0), FactorTable!$A$2:$A$301,0), Skills!M21+1)</f>
        <v/>
      </c>
      <c r="F1841">
        <f>IF(Skills!N21=TRUE,(Skills!L21/10)*(E1841/1000),Skills!L21/10)+Skills!O21</f>
        <v/>
      </c>
      <c r="G1841">
        <f>Skills!G21*IF(Skills!H21&gt;0,Skills!I21/Skills!H21,1)</f>
        <v/>
      </c>
      <c r="H1841">
        <f>1-(1-Skills!J21/100)^Skills!K21</f>
        <v/>
      </c>
      <c r="I1841" t="inlineStr">
        <is>
          <t>1</t>
        </is>
      </c>
      <c r="J1841" t="inlineStr"/>
      <c r="K1841" t="inlineStr"/>
      <c r="L1841" t="inlineStr"/>
      <c r="M1841" t="inlineStr"/>
      <c r="N1841" t="inlineStr"/>
      <c r="O1841">
        <f>(1-Summary!$B$11)*T1841+Summary!$B$11*V1841</f>
        <v/>
      </c>
      <c r="P1841">
        <f>IF(B1865=0,0,O1841/B1865)</f>
        <v/>
      </c>
      <c r="Q1841">
        <f>IFERROR(1/IF(Inputs!$B$39="pvp",15,MAX(0.1,Skills!D21-IF(Skills!E21=TRUE,Inputs!$B$32,0))),0)</f>
        <v/>
      </c>
      <c r="R1841">
        <f>IF(AND(Inputs!$B$39&lt;&gt;"pvp",Inputs!$B$44&gt;0),IF(Inputs!$B$44&lt;=0,0,(INT(Inputs!$B$44/IF(Inputs!$B$39="pvp",15,MAX(0.1,Skills!D21-IF(Skills!E21=TRUE,Inputs!$B$32,0))))+1)),0)</f>
        <v/>
      </c>
      <c r="S1841">
        <f>IFERROR(O1841/N1841,0)</f>
        <v/>
      </c>
      <c r="T1841" t="n">
        <v>0</v>
      </c>
      <c r="V1841" t="n">
        <v>0</v>
      </c>
    </row>
    <row r="1842">
      <c r="A1842">
        <f>Skills!A22</f>
        <v/>
      </c>
      <c r="B1842">
        <f>Skills!B22</f>
        <v/>
      </c>
      <c r="C1842">
        <f>Inputs!$B$3&gt;=33</f>
        <v/>
      </c>
      <c r="D1842">
        <f>IF(Skills!C22=1,60+Inputs!$B$25+Inputs!$B$29,IF(Skills!C22=2,90+Inputs!$B$26+Inputs!$B$29,IF(Skills!C22=3,120+Inputs!$B$27+Inputs!$B$29,MAX(0,(Inputs!$B$3-100)*3)+Inputs!$B$28+Inputs!$B$29)))</f>
        <v/>
      </c>
      <c r="E1842">
        <f>INDEX(FactorTable!$B$2:$Y$301, MATCH(ROUND(MIN(300,MAX(1,D1842)),0), FactorTable!$A$2:$A$301,0), Skills!M22+1)</f>
        <v/>
      </c>
      <c r="F1842">
        <f>IF(Skills!N22=TRUE,(Skills!L22/10)*(E1842/1000),Skills!L22/10)+Skills!O22</f>
        <v/>
      </c>
      <c r="G1842">
        <f>Skills!G22*IF(Skills!H22&gt;0,Skills!I22/Skills!H22,1)</f>
        <v/>
      </c>
      <c r="H1842">
        <f>1-(1-Skills!J22/100)^Skills!K22</f>
        <v/>
      </c>
      <c r="I1842" t="inlineStr">
        <is>
          <t>1</t>
        </is>
      </c>
      <c r="J1842" t="inlineStr"/>
      <c r="K1842" t="inlineStr"/>
      <c r="L1842" t="inlineStr"/>
      <c r="M1842" t="inlineStr"/>
      <c r="N1842" t="inlineStr"/>
      <c r="O1842">
        <f>(1-Summary!$B$11)*T1842+Summary!$B$11*V1842</f>
        <v/>
      </c>
      <c r="P1842">
        <f>IF(B1865=0,0,O1842/B1865)</f>
        <v/>
      </c>
      <c r="Q1842" t="n">
        <v>0</v>
      </c>
      <c r="R1842" t="n">
        <v>0</v>
      </c>
      <c r="S1842">
        <f>IFERROR(O1842/N1842,0)</f>
        <v/>
      </c>
      <c r="T1842" t="n">
        <v>0</v>
      </c>
      <c r="V1842" t="n">
        <v>0</v>
      </c>
    </row>
    <row r="1843">
      <c r="A1843">
        <f>Skills!A23</f>
        <v/>
      </c>
      <c r="B1843">
        <f>Skills!B23</f>
        <v/>
      </c>
      <c r="C1843">
        <f>Inputs!$B$3&gt;=40</f>
        <v/>
      </c>
      <c r="D1843">
        <f>IF(Skills!C23=1,60+Inputs!$B$25+Inputs!$B$29,IF(Skills!C23=2,90+Inputs!$B$26+Inputs!$B$29,IF(Skills!C23=3,120+Inputs!$B$27+Inputs!$B$29,MAX(0,(Inputs!$B$3-100)*3)+Inputs!$B$28+Inputs!$B$29)))</f>
        <v/>
      </c>
      <c r="E1843">
        <f>INDEX(FactorTable!$B$2:$Y$301, MATCH(ROUND(MIN(300,MAX(1,D1843)),0), FactorTable!$A$2:$A$301,0), Skills!M23+1)</f>
        <v/>
      </c>
      <c r="F1843">
        <f>IF(Skills!N23=TRUE,(Skills!L23/10)*(E1843/1000),Skills!L23/10)+Skills!O23</f>
        <v/>
      </c>
      <c r="G1843">
        <f>Skills!G23*IF(Skills!H23&gt;0,Skills!I23/Skills!H23,1)</f>
        <v/>
      </c>
      <c r="H1843">
        <f>1-(1-Skills!J23/100)^Skills!K23</f>
        <v/>
      </c>
      <c r="I1843" t="inlineStr">
        <is>
          <t>1</t>
        </is>
      </c>
      <c r="J1843" t="inlineStr"/>
      <c r="K1843" t="inlineStr"/>
      <c r="L1843" t="inlineStr"/>
      <c r="M1843" t="inlineStr"/>
      <c r="N1843" t="inlineStr"/>
      <c r="O1843">
        <f>(1-Summary!$B$11)*T1843+Summary!$B$11*V1843</f>
        <v/>
      </c>
      <c r="P1843">
        <f>IF(B1865=0,0,O1843/B1865)</f>
        <v/>
      </c>
      <c r="Q1843" t="n">
        <v>0</v>
      </c>
      <c r="R1843" t="n">
        <v>0</v>
      </c>
      <c r="S1843">
        <f>IFERROR(O1843/N1843,0)</f>
        <v/>
      </c>
      <c r="T1843" t="n">
        <v>0</v>
      </c>
      <c r="V1843" t="n">
        <v>0</v>
      </c>
    </row>
    <row r="1844">
      <c r="A1844">
        <f>Skills!A24</f>
        <v/>
      </c>
      <c r="B1844">
        <f>Skills!B24</f>
        <v/>
      </c>
      <c r="C1844">
        <f>Inputs!$B$3&gt;=43</f>
        <v/>
      </c>
      <c r="D1844">
        <f>IF(Skills!C24=1,60+Inputs!$B$25+Inputs!$B$29,IF(Skills!C24=2,90+Inputs!$B$26+Inputs!$B$29,IF(Skills!C24=3,120+Inputs!$B$27+Inputs!$B$29,MAX(0,(Inputs!$B$3-100)*3)+Inputs!$B$28+Inputs!$B$29)))</f>
        <v/>
      </c>
      <c r="E1844">
        <f>INDEX(FactorTable!$B$2:$Y$301, MATCH(ROUND(MIN(300,MAX(1,D1844)),0), FactorTable!$A$2:$A$301,0), Skills!M24+1)</f>
        <v/>
      </c>
      <c r="F1844">
        <f>IF(Skills!N24=TRUE,(Skills!L24/10)*(E1844/1000),Skills!L24/10)+Skills!O24</f>
        <v/>
      </c>
      <c r="G1844">
        <f>Skills!G24*IF(Skills!H24&gt;0,Skills!I24/Skills!H24,1)</f>
        <v/>
      </c>
      <c r="H1844">
        <f>1-(1-Skills!J24/100)^Skills!K24</f>
        <v/>
      </c>
      <c r="I1844" t="inlineStr">
        <is>
          <t>1</t>
        </is>
      </c>
      <c r="J1844" t="inlineStr"/>
      <c r="K1844" t="inlineStr"/>
      <c r="L1844" t="inlineStr"/>
      <c r="M1844" t="inlineStr"/>
      <c r="N1844" t="inlineStr"/>
      <c r="O1844">
        <f>(1-Summary!$B$11)*T1844+Summary!$B$11*V1844</f>
        <v/>
      </c>
      <c r="P1844">
        <f>IF(B1865=0,0,O1844/B1865)</f>
        <v/>
      </c>
      <c r="Q1844" t="n">
        <v>0</v>
      </c>
      <c r="R1844" t="n">
        <v>0</v>
      </c>
      <c r="S1844">
        <f>IFERROR(O1844/N1844,0)</f>
        <v/>
      </c>
      <c r="T1844" t="n">
        <v>0</v>
      </c>
      <c r="V1844" t="n">
        <v>0</v>
      </c>
    </row>
    <row r="1845">
      <c r="A1845">
        <f>Skills!A25</f>
        <v/>
      </c>
      <c r="B1845">
        <f>Skills!B25</f>
        <v/>
      </c>
      <c r="C1845">
        <f>Inputs!$B$3&gt;=50</f>
        <v/>
      </c>
      <c r="D1845">
        <f>IF(Skills!C25=1,60+Inputs!$B$25+Inputs!$B$29,IF(Skills!C25=2,90+Inputs!$B$26+Inputs!$B$29,IF(Skills!C25=3,120+Inputs!$B$27+Inputs!$B$29,MAX(0,(Inputs!$B$3-100)*3)+Inputs!$B$28+Inputs!$B$29)))</f>
        <v/>
      </c>
      <c r="E1845">
        <f>INDEX(FactorTable!$B$2:$Y$301, MATCH(ROUND(MIN(300,MAX(1,D1845)),0), FactorTable!$A$2:$A$301,0), Skills!M25+1)</f>
        <v/>
      </c>
      <c r="F1845">
        <f>IF(Skills!N25=TRUE,(Skills!L25/10)*(E1845/1000),Skills!L25/10)+Skills!O25</f>
        <v/>
      </c>
      <c r="G1845">
        <f>Skills!G25*IF(Skills!H25&gt;0,Skills!I25/Skills!H25,1)</f>
        <v/>
      </c>
      <c r="H1845">
        <f>1-(1-Skills!J25/100)^Skills!K25</f>
        <v/>
      </c>
      <c r="I1845" t="inlineStr">
        <is>
          <t>1</t>
        </is>
      </c>
      <c r="J1845" t="inlineStr"/>
      <c r="K1845" t="inlineStr"/>
      <c r="L1845" t="inlineStr"/>
      <c r="M1845" t="inlineStr"/>
      <c r="N1845" t="inlineStr"/>
      <c r="O1845">
        <f>(1-Summary!$B$11)*T1845+Summary!$B$11*V1845</f>
        <v/>
      </c>
      <c r="P1845">
        <f>IF(B1865=0,0,O1845/B1865)</f>
        <v/>
      </c>
      <c r="Q1845" t="n">
        <v>0</v>
      </c>
      <c r="R1845" t="n">
        <v>0</v>
      </c>
      <c r="S1845">
        <f>IFERROR(O1845/N1845,0)</f>
        <v/>
      </c>
      <c r="T1845" t="n">
        <v>0</v>
      </c>
      <c r="V1845" t="n">
        <v>0</v>
      </c>
    </row>
    <row r="1846">
      <c r="A1846">
        <f>Skills!A26</f>
        <v/>
      </c>
      <c r="B1846">
        <f>Skills!B26</f>
        <v/>
      </c>
      <c r="C1846">
        <f>Inputs!$B$3&gt;=50</f>
        <v/>
      </c>
      <c r="D1846">
        <f>IF(Skills!C26=1,60+Inputs!$B$25+Inputs!$B$29,IF(Skills!C26=2,90+Inputs!$B$26+Inputs!$B$29,IF(Skills!C26=3,120+Inputs!$B$27+Inputs!$B$29,MAX(0,(Inputs!$B$3-100)*3)+Inputs!$B$28+Inputs!$B$29)))</f>
        <v/>
      </c>
      <c r="E1846">
        <f>INDEX(FactorTable!$B$2:$Y$301, MATCH(ROUND(MIN(300,MAX(1,D1846)),0), FactorTable!$A$2:$A$301,0), Skills!M26+1)</f>
        <v/>
      </c>
      <c r="F1846">
        <f>IF(Skills!N26=TRUE,(Skills!L26/10)*(E1846/1000),Skills!L26/10)+Skills!O26</f>
        <v/>
      </c>
      <c r="G1846">
        <f>Skills!G26*IF(Skills!H26&gt;0,Skills!I26/Skills!H26,1)</f>
        <v/>
      </c>
      <c r="H1846">
        <f>1-(1-Skills!J26/100)^Skills!K26</f>
        <v/>
      </c>
      <c r="I1846" t="inlineStr">
        <is>
          <t>1</t>
        </is>
      </c>
      <c r="J1846" t="inlineStr"/>
      <c r="K1846" t="inlineStr"/>
      <c r="L1846" t="inlineStr"/>
      <c r="M1846" t="inlineStr"/>
      <c r="N1846" t="inlineStr"/>
      <c r="O1846">
        <f>(1-Summary!$B$11)*T1846+Summary!$B$11*V1846</f>
        <v/>
      </c>
      <c r="P1846">
        <f>IF(B1865=0,0,O1846/B1865)</f>
        <v/>
      </c>
      <c r="Q1846" t="n">
        <v>0</v>
      </c>
      <c r="R1846" t="n">
        <v>0</v>
      </c>
      <c r="S1846">
        <f>IFERROR(O1846/N1846,0)</f>
        <v/>
      </c>
      <c r="T1846" t="n">
        <v>0</v>
      </c>
      <c r="V1846" t="n">
        <v>0</v>
      </c>
    </row>
    <row r="1847">
      <c r="A1847">
        <f>Skills!A27</f>
        <v/>
      </c>
      <c r="B1847">
        <f>Skills!B27</f>
        <v/>
      </c>
      <c r="C1847">
        <f>Inputs!$B$3&gt;=38</f>
        <v/>
      </c>
      <c r="D1847">
        <f>IF(Skills!C27=1,60+Inputs!$B$25+Inputs!$B$29,IF(Skills!C27=2,90+Inputs!$B$26+Inputs!$B$29,IF(Skills!C27=3,120+Inputs!$B$27+Inputs!$B$29,MAX(0,(Inputs!$B$3-100)*3)+Inputs!$B$28+Inputs!$B$29)))</f>
        <v/>
      </c>
      <c r="E1847">
        <f>INDEX(FactorTable!$B$2:$Y$301, MATCH(ROUND(MIN(300,MAX(1,D1847)),0), FactorTable!$A$2:$A$301,0), Skills!M27+1)</f>
        <v/>
      </c>
      <c r="F1847">
        <f>IF(Skills!N27=TRUE,(Skills!L27/10)*(E1847/1000),Skills!L27/10)+Skills!O27</f>
        <v/>
      </c>
      <c r="G1847">
        <f>Skills!G27*IF(Skills!H27&gt;0,Skills!I27/Skills!H27,1)</f>
        <v/>
      </c>
      <c r="H1847">
        <f>1-(1-Skills!J27/100)^Skills!K27</f>
        <v/>
      </c>
      <c r="I1847" t="inlineStr">
        <is>
          <t>1</t>
        </is>
      </c>
      <c r="J1847" t="inlineStr"/>
      <c r="K1847" t="inlineStr"/>
      <c r="L1847" t="inlineStr"/>
      <c r="M1847" t="inlineStr"/>
      <c r="N1847" t="inlineStr"/>
      <c r="O1847">
        <f>(1-Summary!$B$11)*T1847+Summary!$B$11*V1847</f>
        <v/>
      </c>
      <c r="P1847">
        <f>IF(B1865=0,0,O1847/B1865)</f>
        <v/>
      </c>
      <c r="Q1847" t="n">
        <v>0</v>
      </c>
      <c r="R1847" t="n">
        <v>0</v>
      </c>
      <c r="S1847">
        <f>IFERROR(O1847/N1847,0)</f>
        <v/>
      </c>
      <c r="T1847" t="n">
        <v>0</v>
      </c>
      <c r="V1847" t="n">
        <v>0</v>
      </c>
    </row>
    <row r="1848">
      <c r="A1848">
        <f>Skills!A28</f>
        <v/>
      </c>
      <c r="B1848">
        <f>Skills!B28</f>
        <v/>
      </c>
      <c r="C1848">
        <f>Inputs!$B$3&gt;=120</f>
        <v/>
      </c>
      <c r="D1848">
        <f>IF(Skills!C28=1,60+Inputs!$B$25+Inputs!$B$29,IF(Skills!C28=2,90+Inputs!$B$26+Inputs!$B$29,IF(Skills!C28=3,120+Inputs!$B$27+Inputs!$B$29,MAX(0,(Inputs!$B$3-100)*3)+Inputs!$B$28+Inputs!$B$29)))</f>
        <v/>
      </c>
      <c r="E1848">
        <f>INDEX(FactorTable!$B$2:$Y$301, MATCH(ROUND(MIN(300,MAX(1,D1848)),0), FactorTable!$A$2:$A$301,0), Skills!M28+1)</f>
        <v/>
      </c>
      <c r="F1848">
        <f>IF(Skills!N28=TRUE,(Skills!L28/10)*(E1848/1000),Skills!L28/10)+Skills!O28</f>
        <v/>
      </c>
      <c r="G1848">
        <f>Skills!G28*IF(Skills!H28&gt;0,Skills!I28/Skills!H28,1)</f>
        <v/>
      </c>
      <c r="H1848">
        <f>1-(1-Skills!J28/100)^Skills!K28</f>
        <v/>
      </c>
      <c r="I1848" t="inlineStr">
        <is>
          <t>1</t>
        </is>
      </c>
      <c r="J1848" t="inlineStr"/>
      <c r="K1848" t="inlineStr"/>
      <c r="L1848" t="inlineStr"/>
      <c r="M1848" t="inlineStr"/>
      <c r="N1848" t="inlineStr"/>
      <c r="O1848">
        <f>(1-Summary!$B$11)*T1848+Summary!$B$11*V1848</f>
        <v/>
      </c>
      <c r="P1848">
        <f>IF(B1865=0,0,O1848/B1865)</f>
        <v/>
      </c>
      <c r="Q1848" t="n">
        <v>0</v>
      </c>
      <c r="R1848" t="n">
        <v>0</v>
      </c>
      <c r="S1848">
        <f>IFERROR(O1848/N1848,0)</f>
        <v/>
      </c>
      <c r="T1848" t="n">
        <v>0</v>
      </c>
      <c r="V1848" t="n">
        <v>0</v>
      </c>
    </row>
    <row r="1849">
      <c r="A1849">
        <f>Skills!A29</f>
        <v/>
      </c>
      <c r="B1849">
        <f>Skills!B29</f>
        <v/>
      </c>
      <c r="C1849">
        <f>Inputs!$B$3&gt;=120</f>
        <v/>
      </c>
      <c r="D1849">
        <f>IF(Skills!C29=1,60+Inputs!$B$25+Inputs!$B$29,IF(Skills!C29=2,90+Inputs!$B$26+Inputs!$B$29,IF(Skills!C29=3,120+Inputs!$B$27+Inputs!$B$29,MAX(0,(Inputs!$B$3-100)*3)+Inputs!$B$28+Inputs!$B$29)))</f>
        <v/>
      </c>
      <c r="E1849">
        <f>INDEX(FactorTable!$B$2:$Y$301, MATCH(ROUND(MIN(300,MAX(1,D1849)),0), FactorTable!$A$2:$A$301,0), Skills!M29+1)</f>
        <v/>
      </c>
      <c r="F1849">
        <f>IF(Skills!N29=TRUE,(Skills!L29/10)*(E1849/1000),Skills!L29/10)+Skills!O29</f>
        <v/>
      </c>
      <c r="G1849">
        <f>Skills!G29*IF(Skills!H29&gt;0,Skills!I29/Skills!H29,1)</f>
        <v/>
      </c>
      <c r="H1849">
        <f>1-(1-Skills!J29/100)^Skills!K29</f>
        <v/>
      </c>
      <c r="I1849" t="inlineStr">
        <is>
          <t>1</t>
        </is>
      </c>
      <c r="J1849" t="inlineStr"/>
      <c r="K1849" t="inlineStr"/>
      <c r="L1849" t="inlineStr"/>
      <c r="M1849" t="inlineStr"/>
      <c r="N1849" t="inlineStr"/>
      <c r="O1849">
        <f>(1-Summary!$B$11)*T1849+Summary!$B$11*V1849</f>
        <v/>
      </c>
      <c r="P1849">
        <f>IF(B1865=0,0,O1849/B1865)</f>
        <v/>
      </c>
      <c r="Q1849" t="n">
        <v>0</v>
      </c>
      <c r="R1849" t="n">
        <v>0</v>
      </c>
      <c r="S1849">
        <f>IFERROR(O1849/N1849,0)</f>
        <v/>
      </c>
      <c r="T1849" t="n">
        <v>0</v>
      </c>
      <c r="V1849" t="n">
        <v>0</v>
      </c>
    </row>
    <row r="1850">
      <c r="A1850">
        <f>Skills!A30</f>
        <v/>
      </c>
      <c r="B1850">
        <f>Skills!B30</f>
        <v/>
      </c>
      <c r="C1850">
        <f>Inputs!$B$3&gt;=125</f>
        <v/>
      </c>
      <c r="D1850">
        <f>IF(Skills!C30=1,60+Inputs!$B$25+Inputs!$B$29,IF(Skills!C30=2,90+Inputs!$B$26+Inputs!$B$29,IF(Skills!C30=3,120+Inputs!$B$27+Inputs!$B$29,MAX(0,(Inputs!$B$3-100)*3)+Inputs!$B$28+Inputs!$B$29)))</f>
        <v/>
      </c>
      <c r="E1850">
        <f>INDEX(FactorTable!$B$2:$Y$301, MATCH(ROUND(MIN(300,MAX(1,D1850)),0), FactorTable!$A$2:$A$301,0), Skills!M30+1)</f>
        <v/>
      </c>
      <c r="F1850">
        <f>IF(Skills!N30=TRUE,(Skills!L30/10)*(E1850/1000),Skills!L30/10)+Skills!O30</f>
        <v/>
      </c>
      <c r="G1850">
        <f>Skills!G30*IF(Skills!H30&gt;0,Skills!I30/Skills!H30,1)</f>
        <v/>
      </c>
      <c r="H1850">
        <f>1-(1-Skills!J30/100)^Skills!K30</f>
        <v/>
      </c>
      <c r="I1850" t="inlineStr">
        <is>
          <t>1</t>
        </is>
      </c>
      <c r="J1850" t="inlineStr"/>
      <c r="K1850" t="inlineStr"/>
      <c r="L1850" t="inlineStr"/>
      <c r="M1850" t="inlineStr"/>
      <c r="N1850" t="inlineStr"/>
      <c r="O1850">
        <f>(1-Summary!$B$11)*T1850+Summary!$B$11*V1850</f>
        <v/>
      </c>
      <c r="P1850">
        <f>IF(B1865=0,0,O1850/B1865)</f>
        <v/>
      </c>
      <c r="Q1850" t="n">
        <v>0</v>
      </c>
      <c r="R1850" t="n">
        <v>0</v>
      </c>
      <c r="S1850">
        <f>IFERROR(O1850/N1850,0)</f>
        <v/>
      </c>
      <c r="T1850" t="n">
        <v>0</v>
      </c>
      <c r="V1850" t="n">
        <v>0</v>
      </c>
    </row>
    <row r="1852">
      <c r="A1852" t="inlineStr">
        <is>
          <t>Average Buff Multiplier</t>
        </is>
      </c>
      <c r="B1852">
        <f>(1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f>
        <v/>
      </c>
    </row>
    <row r="1853">
      <c r="A1853" t="inlineStr">
        <is>
          <t>Global Crit Rate Bonus %</t>
        </is>
      </c>
      <c r="B1853">
        <f>((C1840=TRUE)*F1840*IF(AND(Inputs!$B$39&lt;&gt;"pvp",Inputs!$B$44&gt;0),(((R1840-1)*(Skills!Y20*(1+Inputs!$B$34/100))+MIN((Skills!Y20*(1+Inputs!$B$34/100)),MAX(0,Inputs!$B$44-((R1840-1)*Skills!D20))))/Inputs!$B$44),IF(Inputs!$B$39="pvp",MIN((Skills!Y20*(1+Inputs!$B$34/100)),15)/15,(Skills!Y20*(1+Inputs!$B$34/100))/Skills!D20)))</f>
        <v/>
      </c>
    </row>
    <row r="1854">
      <c r="A1854" t="inlineStr">
        <is>
          <t>Global Monster Damage-Taken Bonus %</t>
        </is>
      </c>
      <c r="B1854">
        <f>IF(Inputs!$B$3&gt;=82,15,0)</f>
        <v/>
      </c>
    </row>
    <row r="1855">
      <c r="A1855" t="inlineStr">
        <is>
          <t>Shadow Partner Average Multiplier</t>
        </is>
      </c>
      <c r="B1855">
        <f>1+((C1827=TRUE)*F1827*(1+3.3333333333333335*IF(C1838=TRUE,F1838,0)/100)*I1827*Skills!J7/100)/100</f>
        <v/>
      </c>
    </row>
    <row r="1856">
      <c r="A1856" t="inlineStr">
        <is>
          <t>Attack Speed Buff Bonus %</t>
        </is>
      </c>
      <c r="B1856">
        <f>((C1839=TRUE)*F1839*IF(AND(Inputs!$B$39&lt;&gt;"pvp",Inputs!$B$44&gt;0),(((R1839-1)*(Skills!Y19*(1+Inputs!$B$34/100))+MIN((Skills!Y19*(1+Inputs!$B$34/100)),MAX(0,Inputs!$B$44-((R1839-1)*Skills!D19))))/Inputs!$B$44),IF(Inputs!$B$39="pvp",MIN((Skills!Y19*(1+Inputs!$B$34/100)),15)/15,(Skills!Y19*(1+Inputs!$B$34/100))/Skills!D19)))+((C1823=TRUE)*F1823*3)</f>
        <v/>
      </c>
    </row>
    <row r="1857">
      <c r="A1857" t="inlineStr">
        <is>
          <t>Actions Per Second</t>
        </is>
      </c>
      <c r="B1857">
        <f>1+MIN(150,150*(1-(1-(Inputs!$B$11+((C1842=TRUE)*(F1842-Calc!F22)))/150)*(1-B1856/150)))/100</f>
        <v/>
      </c>
    </row>
    <row r="1858">
      <c r="A1858" t="inlineStr">
        <is>
          <t>Skill + Buff Cast Rate</t>
        </is>
      </c>
      <c r="B1858">
        <f>IF(AND(Inputs!$B$39&lt;&gt;"pvp",Inputs!$B$44&gt;0),SUMPRODUCT((Skills!E2:E30=TRUE)*(C1822:C1850=TRUE)*R1822:R1850*Skills!F2:F30)/Inputs!$B$44,SUMPRODUCT((Skills!E2:E30=TRUE)*(C1822:C1850=TRUE)*Q1822:Q1850*Skills!F2:F30))</f>
        <v/>
      </c>
    </row>
    <row r="1859">
      <c r="A1859" t="inlineStr">
        <is>
          <t>Cruel Stab Casts Per Second</t>
        </is>
      </c>
      <c r="B1859">
        <f>MAX(0,B1857-B1858)</f>
        <v/>
      </c>
    </row>
    <row r="1860">
      <c r="A1860" t="inlineStr">
        <is>
          <t>Global Critical Damage Bonus % (Smokescreen Mastery Lv.113)</t>
        </is>
      </c>
      <c r="B1860">
        <f>IF(Inputs!$B$3&gt;=113,30,0)*IF(AND(Inputs!$B$39&lt;&gt;"pvp",Inputs!$B$44&gt;0),(((R1835-1)*(Skills!Y15*(1+Inputs!$B$34/100))+MIN((Skills!Y15*(1+Inputs!$B$34/100)),MAX(0,Inputs!$B$44-((R1835-1)*Skills!D15))))/Inputs!$B$44),IF(Inputs!$B$39="pvp",MIN((Skills!Y15*(1+Inputs!$B$34/100)),15)/15,(Skills!Y15*(1+Inputs!$B$34/100))/Skills!D15))</f>
        <v/>
      </c>
    </row>
    <row r="1861">
      <c r="A1861" t="inlineStr">
        <is>
          <t>Meso Explosion average stack count</t>
        </is>
      </c>
      <c r="B1861">
        <f>MIN(10,0.5*B1857*Skills!D4)</f>
        <v/>
      </c>
    </row>
    <row r="1862">
      <c r="A1862" t="inlineStr">
        <is>
          <t>Blood Money average stack count</t>
        </is>
      </c>
      <c r="B1862">
        <f>MIN(5,0.25*B1857*Skills!D4)</f>
        <v/>
      </c>
    </row>
    <row r="1863">
      <c r="A1863" t="inlineStr">
        <is>
          <t>Assassinate Murderous Intent Multiplier</t>
        </is>
      </c>
      <c r="B1863">
        <f>1+IFERROR(MIN(1,Q1834*2/Q1831),0)</f>
        <v/>
      </c>
    </row>
    <row r="1864">
      <c r="A1864" t="inlineStr">
        <is>
          <t>Buff-Casting Startup Delay (s, fixed-duration only)</t>
        </is>
      </c>
      <c r="B1864">
        <f>IF(AND(Inputs!$B$39&lt;&gt;"pvp",Inputs!$B$44&gt;0),SUMPRODUCT((Skills!Y2:Y30&gt;0)*(Skills!E2:E30=TRUE)*(C1822:C1850=TRUE))/B1857,0)</f>
        <v/>
      </c>
    </row>
    <row r="1865">
      <c r="A1865" s="6" t="inlineStr">
        <is>
          <t>TOTAL DPS</t>
        </is>
      </c>
      <c r="B1865" s="6">
        <f>SUM(O1822:O1850)</f>
        <v/>
      </c>
    </row>
    <row r="1866">
      <c r="A1866" t="inlineStr">
        <is>
          <t>Boss-Only Total DPS (this block's swept value)</t>
        </is>
      </c>
      <c r="B1866">
        <f>SUM(T1822:T1850)</f>
        <v/>
      </c>
    </row>
    <row r="1867">
      <c r="A1867" t="inlineStr">
        <is>
          <t>Normal-Only Total DPS (this block's swept value)</t>
        </is>
      </c>
      <c r="B1867">
        <f>SUM(V1822:V1850)</f>
        <v/>
      </c>
    </row>
    <row r="1870">
      <c r="A1870" s="6" t="inlineStr">
        <is>
          <t>Stat: Athena Pierce's Old Gloves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Q1871" s="5" t="inlineStr">
        <is>
          <t>InvCooldown</t>
        </is>
      </c>
      <c r="R1871" s="5" t="inlineStr">
        <is>
          <t>CastsInFight</t>
        </is>
      </c>
      <c r="S1871" s="5" t="inlineStr">
        <is>
          <t>HitRate(perSec)</t>
        </is>
      </c>
      <c r="U1871" t="inlineStr">
        <is>
          <t>helpers</t>
        </is>
      </c>
    </row>
    <row r="1872">
      <c r="A1872">
        <f>Skills!A2</f>
        <v/>
      </c>
      <c r="B1872">
        <f>Skills!B2</f>
        <v/>
      </c>
      <c r="C1872">
        <f>Inputs!$B$3&gt;=100</f>
        <v/>
      </c>
      <c r="D1872" t="inlineStr"/>
      <c r="E1872" t="inlineStr"/>
      <c r="F1872">
        <f>U1874+Skills!O2</f>
        <v/>
      </c>
      <c r="G1872">
        <f>Skills!G2*IF(Skills!H2&gt;0,Skills!I2/Skills!H2,1)</f>
        <v/>
      </c>
      <c r="H1872">
        <f>1-(1-Skills!J2/100)^Skills!K2</f>
        <v/>
      </c>
      <c r="I1872" t="inlineStr">
        <is>
          <t>1</t>
        </is>
      </c>
      <c r="J1872">
        <f>((Inputs!$B$6*(1+Inputs!$B$7/100))+(((Inputs!$B$12*(1+Inputs!$B$13/100))-(Inputs!$B$12*(1+Inputs!$B$13/100)))+0.25*(Inputs!$B$14-Inputs!$B$14))*(1+Inputs!$B$7/100))*(F1872/100)</f>
        <v/>
      </c>
      <c r="K1872">
        <f>J1872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1872)</f>
        <v/>
      </c>
      <c r="L1872">
        <f>K1872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2">
        <f>L1872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2">
        <f>L1872*(1-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1872*(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2">
        <f>(1-Summary!$B$11)*T1872+Summary!$B$11*V1872</f>
        <v/>
      </c>
      <c r="P1872">
        <f>IF(B1915=0,0,O1872/B1915)</f>
        <v/>
      </c>
      <c r="Q1872" t="n">
        <v>0</v>
      </c>
      <c r="R1872" t="n">
        <v>0</v>
      </c>
      <c r="S1872">
        <f>IFERROR(O1872/N1872,0)</f>
        <v/>
      </c>
      <c r="T1872">
        <f>IF(C1872,(Skills!G2*N1872*B1909)*IF(Inputs!$B$39="pvp",1,1+(Inputs!$B$20+0+Skills!P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1872*(1-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1872*(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1872*(1-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1872*(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2">
        <f>MAX(0,(Inputs!$B$3-100)*3)+Inputs!$B$28+Inputs!$B$29</f>
        <v/>
      </c>
      <c r="V1872">
        <f>IF(C1872,(Skills!G2*N1872*B1909)*IF(Inputs!$B$39="pvp",1,(1+(Inputs!$B$21+Skills!Q2+B1904+(IF(ArtifactsInput!$M$33,CHOOSE(ArtifactsInput!$N$33+1,30,36,42,48,54,60),0))+(IF(AND(ArtifactsInput!$M$35,Inputs!$B$4&lt;&gt;"Chapter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3">
      <c r="A1873">
        <f>Skills!A3</f>
        <v/>
      </c>
      <c r="B1873">
        <f>Skills!B3</f>
        <v/>
      </c>
      <c r="C1873">
        <f>Inputs!$B$3&gt;=35</f>
        <v/>
      </c>
      <c r="D1873">
        <f>IF(Skills!C3=1,60+Inputs!$B$25+Inputs!$B$29,IF(Skills!C3=2,90+Inputs!$B$26+Inputs!$B$29,IF(Skills!C3=3,120+Inputs!$B$27+Inputs!$B$29,MAX(0,(Inputs!$B$3-100)*3)+Inputs!$B$28+Inputs!$B$29)))</f>
        <v/>
      </c>
      <c r="E1873">
        <f>INDEX(FactorTable!$B$2:$Y$301, MATCH(ROUND(MIN(300,MAX(1,D1873)),0), FactorTable!$A$2:$A$301,0), Skills!M3+1)</f>
        <v/>
      </c>
      <c r="F1873">
        <f>IF(Skills!N3=TRUE,(Skills!L3/10)*(E1873/1000),Skills!L3/10)+Skills!O3</f>
        <v/>
      </c>
      <c r="G1873">
        <f>Skills!G3*IF(Skills!H3&gt;0,Skills!I3/Skills!H3,1)</f>
        <v/>
      </c>
      <c r="H1873">
        <f>1-(1-Skills!J3/100)^Skills!K3</f>
        <v/>
      </c>
      <c r="I1873" t="inlineStr">
        <is>
          <t>1</t>
        </is>
      </c>
      <c r="J1873" t="inlineStr"/>
      <c r="K1873" t="inlineStr"/>
      <c r="L1873" t="inlineStr"/>
      <c r="M1873" t="inlineStr"/>
      <c r="N1873" t="inlineStr"/>
      <c r="O1873">
        <f>(1-Summary!$B$11)*T1873+Summary!$B$11*V1873</f>
        <v/>
      </c>
      <c r="P1873">
        <f>IF(B1915=0,0,O1873/B1915)</f>
        <v/>
      </c>
      <c r="Q1873" t="n">
        <v>0</v>
      </c>
      <c r="R1873" t="n">
        <v>0</v>
      </c>
      <c r="S1873">
        <f>IFERROR(O1873/N1873,0)</f>
        <v/>
      </c>
      <c r="T1873" t="n">
        <v>0</v>
      </c>
      <c r="U1873">
        <f>INDEX(FactorTable!$B$2:$Y$301, MATCH(ROUND(MIN(300,MAX(1,U1872)),0), FactorTable!$A$2:$A$301,0), 22)</f>
        <v/>
      </c>
      <c r="V1873" t="n">
        <v>0</v>
      </c>
    </row>
    <row r="1874">
      <c r="A1874">
        <f>Skills!A4</f>
        <v/>
      </c>
      <c r="B1874">
        <f>Skills!B4</f>
        <v/>
      </c>
      <c r="C1874">
        <f>Inputs!$B$3&gt;=66</f>
        <v/>
      </c>
      <c r="D1874">
        <f>IF(Skills!C4=1,60+Inputs!$B$25+Inputs!$B$29,IF(Skills!C4=2,90+Inputs!$B$26+Inputs!$B$29,IF(Skills!C4=3,120+Inputs!$B$27+Inputs!$B$29,MAX(0,(Inputs!$B$3-100)*3)+Inputs!$B$28+Inputs!$B$29)))</f>
        <v/>
      </c>
      <c r="E1874">
        <f>INDEX(FactorTable!$B$2:$Y$301, MATCH(ROUND(MIN(300,MAX(1,D1874)),0), FactorTable!$A$2:$A$301,0), Skills!M4+1)</f>
        <v/>
      </c>
      <c r="F1874">
        <f>IF(Skills!N4=TRUE,(Skills!L4/10)*(E1874/1000),Skills!L4/10)+Skills!O4</f>
        <v/>
      </c>
      <c r="G1874">
        <f>Skills!G4*IF(Skills!H4&gt;0,Skills!I4/Skills!H4,1)</f>
        <v/>
      </c>
      <c r="H1874">
        <f>1-(1-Skills!J4/100)^Skills!K4</f>
        <v/>
      </c>
      <c r="I1874" t="inlineStr">
        <is>
          <t>1</t>
        </is>
      </c>
      <c r="J1874">
        <f>((Inputs!$B$6*(1+Inputs!$B$7/100))+(((Inputs!$B$12*(1+Inputs!$B$13/100))-(Inputs!$B$12*(1+Inputs!$B$13/100)))+0.25*(Inputs!$B$14-Inputs!$B$14))*(1+Inputs!$B$7/100))*(F1874/100)</f>
        <v/>
      </c>
      <c r="K1874">
        <f>J1874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1874)</f>
        <v/>
      </c>
      <c r="L1874">
        <f>K1874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4">
        <f>L1874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4">
        <f>L1874*(1-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(1-Summary!$B$11)*T1874+Summary!$B$11*V1874</f>
        <v/>
      </c>
      <c r="P1874">
        <f>IF(B1915=0,0,O1874/B1915)</f>
        <v/>
      </c>
      <c r="Q1874">
        <f>IFERROR(1/IF(Inputs!$B$39="pvp",15,MAX(0.1,Skills!D4-IF(Skills!E4=TRUE,Inputs!$B$32,0))),0)</f>
        <v/>
      </c>
      <c r="R1874">
        <f>IF(AND(Inputs!$B$39&lt;&gt;"pvp",Inputs!$B$44&gt;0),IF(MAX(0,Inputs!$B$44-B1914)&lt;=0,0,(INT(MAX(0,Inputs!$B$44-B1914)/IF(Inputs!$B$39="pvp",15,MAX(0.1,Skills!D4-IF(Skills!E4=TRUE,Inputs!$B$32,0))))+1)),0)</f>
        <v/>
      </c>
      <c r="S1874">
        <f>IFERROR(O1874/N1874,0)</f>
        <v/>
      </c>
      <c r="T1874">
        <f>IF(C1874,(H1874*N1874*IF(AND(Inputs!$B$39&lt;&gt;"pvp",Inputs!$B$44&gt;0),((Skills!G4*((R1874-1)*IF(Skills!H4&gt;0,Skills!I4/Skills!H4,1)+IF(Skills!H4&gt;0,MIN(Skills!I4,MAX(0,MAX(0,Inputs!$B$44-B1914)-((R1874-1)*IF(Inputs!$B$39="pvp",15,MAX(0.1,Skills!D4-IF(Skills!E4=TRUE,Inputs!$B$32,0))))))/Skills!H4,1)))/Inputs!$B$44),G1874*Q1874))*IF(Inputs!$B$39="pvp",1,1+(Inputs!$B$20+0+Skills!P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1874*(1-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4">
        <f>290*U1873/1000</f>
        <v/>
      </c>
      <c r="V1874">
        <f>IF(C1874,(H1874*N1874*IF(AND(Inputs!$B$39&lt;&gt;"pvp",Inputs!$B$44&gt;0),((Skills!G4*((R1874-1)*IF(Skills!H4&gt;0,Skills!I4/Skills!H4,1)+IF(Skills!H4&gt;0,MIN(Skills!I4,MAX(0,MAX(0,Inputs!$B$44-B1914)-((R1874-1)*IF(Inputs!$B$39="pvp",15,MAX(0.1,Skills!D4-IF(Skills!E4=TRUE,Inputs!$B$32,0))))))/Skills!H4,1)))/Inputs!$B$44),G1874*Q1874))*IF(Inputs!$B$39="pvp",1,(1+(Inputs!$B$21+Skills!Q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(10,0.5*B1907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Skills!A5</f>
        <v/>
      </c>
      <c r="B1875">
        <f>Skills!B5</f>
        <v/>
      </c>
      <c r="C1875">
        <f>Inputs!$B$3&gt;=63</f>
        <v/>
      </c>
      <c r="D1875">
        <f>IF(Skills!C5=1,60+Inputs!$B$25+Inputs!$B$29,IF(Skills!C5=2,90+Inputs!$B$26+Inputs!$B$29,IF(Skills!C5=3,120+Inputs!$B$27+Inputs!$B$29,MAX(0,(Inputs!$B$3-100)*3)+Inputs!$B$28+Inputs!$B$29)))</f>
        <v/>
      </c>
      <c r="E1875">
        <f>INDEX(FactorTable!$B$2:$Y$301, MATCH(ROUND(MIN(300,MAX(1,D1875)),0), FactorTable!$A$2:$A$301,0), Skills!M5+1)</f>
        <v/>
      </c>
      <c r="F1875">
        <f>IF(Skills!N5=TRUE,(Skills!L5/10)*(E1875/1000),Skills!L5/10)+Skills!O5</f>
        <v/>
      </c>
      <c r="G1875">
        <f>Skills!G5*IF(Skills!H5&gt;0,Skills!I5/Skills!H5,1)</f>
        <v/>
      </c>
      <c r="H1875">
        <f>1-(1-Skills!J5/100)^Skills!K5</f>
        <v/>
      </c>
      <c r="I1875" t="inlineStr">
        <is>
          <t>1</t>
        </is>
      </c>
      <c r="J1875">
        <f>((Inputs!$B$6*(1+Inputs!$B$7/100))+(((Inputs!$B$12*(1+Inputs!$B$13/100))-(Inputs!$B$12*(1+Inputs!$B$13/100)))+0.25*(Inputs!$B$14-Inputs!$B$14))*(1+Inputs!$B$7/100))*(F1875/100)</f>
        <v/>
      </c>
      <c r="K1875">
        <f>J1875*(1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1888=TRUE,F1888,0)/100)*(1+(IF(Skills!A5="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1875)</f>
        <v/>
      </c>
      <c r="L1875">
        <f>K1875*(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5">
        <f>L1875*(1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5">
        <f>L1875*(1-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1875*(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5">
        <f>(1-Summary!$B$11)*T1875+Summary!$B$11*V1875</f>
        <v/>
      </c>
      <c r="P1875">
        <f>IF(B1915=0,0,O1875/B1915)</f>
        <v/>
      </c>
      <c r="Q1875">
        <f>IFERROR(1/IF(Inputs!$B$39="pvp",15,MAX(0.1,Skills!D5-IF(Skills!E5=TRUE,Inputs!$B$32,0))),0)</f>
        <v/>
      </c>
      <c r="R1875">
        <f>IF(AND(Inputs!$B$39&lt;&gt;"pvp",Inputs!$B$44&gt;0),IF(MAX(0,Inputs!$B$44-B1914)&lt;=0,0,(INT(MAX(0,Inputs!$B$44-B1914)/IF(Inputs!$B$39="pvp",15,MAX(0.1,Skills!D5-IF(Skills!E5=TRUE,Inputs!$B$32,0))))+1)),0)</f>
        <v/>
      </c>
      <c r="S1875">
        <f>IFERROR(O1875/N1875,0)</f>
        <v/>
      </c>
      <c r="T1875">
        <f>IF(C1875,(H1875*N1875*IF(AND(Inputs!$B$39&lt;&gt;"pvp",Inputs!$B$44&gt;0),((Skills!G5*((R1875-1)*IF(Skills!H5&gt;0,Skills!I5/Skills!H5,1)+IF(Skills!H5&gt;0,MIN(Skills!I5,MAX(0,MAX(0,Inputs!$B$44-B1914)-((R1875-1)*IF(Inputs!$B$39="pvp",15,MAX(0.1,Skills!D5-IF(Skills!E5=TRUE,Inputs!$B$32,0))))))/Skills!H5,1)))/Inputs!$B$44),G1875*Q1875))*IF(Inputs!$B$39="pvp",1,1+(Inputs!$B$20+0+Skills!P5+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1875*(1-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1875*(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1875*(1-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1875*(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5">
        <f>IF(C1875,(H1875*N1875*IF(AND(Inputs!$B$39&lt;&gt;"pvp",Inputs!$B$44&gt;0),((Skills!G5*((R1875-1)*IF(Skills!H5&gt;0,Skills!I5/Skills!H5,1)+IF(Skills!H5&gt;0,MIN(Skills!I5,MAX(0,MAX(0,Inputs!$B$44-B1914)-((R1875-1)*IF(Inputs!$B$39="pvp",15,MAX(0.1,Skills!D5-IF(Skills!E5=TRUE,Inputs!$B$32,0))))))/Skills!H5,1)))/Inputs!$B$44),G1875*Q1875))*IF(Inputs!$B$39="pvp",1,(1+(Inputs!$B$21+Skills!Q5+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6">
      <c r="A1876">
        <f>Skills!A6</f>
        <v/>
      </c>
      <c r="B1876">
        <f>Skills!B6</f>
        <v/>
      </c>
      <c r="C1876">
        <f>Inputs!$B$3&gt;=69</f>
        <v/>
      </c>
      <c r="D1876">
        <f>IF(Skills!C6=1,60+Inputs!$B$25+Inputs!$B$29,IF(Skills!C6=2,90+Inputs!$B$26+Inputs!$B$29,IF(Skills!C6=3,120+Inputs!$B$27+Inputs!$B$29,MAX(0,(Inputs!$B$3-100)*3)+Inputs!$B$28+Inputs!$B$29)))</f>
        <v/>
      </c>
      <c r="E1876">
        <f>INDEX(FactorTable!$B$2:$Y$301, MATCH(ROUND(MIN(300,MAX(1,D1876)),0), FactorTable!$A$2:$A$301,0), Skills!M6+1)</f>
        <v/>
      </c>
      <c r="F1876">
        <f>IF(Skills!N6=TRUE,(Skills!L6/10)*(E1876/1000),Skills!L6/10)+Skills!O6</f>
        <v/>
      </c>
      <c r="G1876">
        <f>Skills!G6*IF(Skills!H6&gt;0,Skills!I6/Skills!H6,1)</f>
        <v/>
      </c>
      <c r="H1876">
        <f>1-(1-Skills!J6/100)^Skills!K6</f>
        <v/>
      </c>
      <c r="I1876" t="inlineStr">
        <is>
          <t>1</t>
        </is>
      </c>
      <c r="J1876">
        <f>((Inputs!$B$6*(1+Inputs!$B$7/100))+(((Inputs!$B$12*(1+Inputs!$B$13/100))-(Inputs!$B$12*(1+Inputs!$B$13/100)))+0.25*(Inputs!$B$14-Inputs!$B$14))*(1+Inputs!$B$7/100))*(F1876/100)</f>
        <v/>
      </c>
      <c r="K1876">
        <f>J1876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1888=TRUE,F1888,0)/100)*(1+(IF(Skills!A6="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1876)</f>
        <v/>
      </c>
      <c r="L1876">
        <f>K1876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6">
        <f>L1876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6">
        <f>L1876*(1-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1876*(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6">
        <f>(1-Summary!$B$11)*T1876+Summary!$B$11*V1876</f>
        <v/>
      </c>
      <c r="P1876">
        <f>IF(B1915=0,0,O1876/B1915)</f>
        <v/>
      </c>
      <c r="Q1876">
        <f>IFERROR(1/IF(Inputs!$B$39="pvp",15,MAX(0.1,Skills!D6-IF(Skills!E6=TRUE,Inputs!$B$32,0))),0)</f>
        <v/>
      </c>
      <c r="R1876">
        <f>IF(AND(Inputs!$B$39&lt;&gt;"pvp",Inputs!$B$44&gt;0),IF(MAX(0,Inputs!$B$44-B1914)&lt;=0,0,(INT(MAX(0,Inputs!$B$44-B1914)/IF(Inputs!$B$39="pvp",15,MAX(0.1,Skills!D6-IF(Skills!E6=TRUE,Inputs!$B$32,0))))+1)),0)</f>
        <v/>
      </c>
      <c r="S1876">
        <f>IFERROR(O1876/N1876,0)</f>
        <v/>
      </c>
      <c r="T1876">
        <f>IF(C1876,(H1876*N1876*IF(AND(Inputs!$B$39&lt;&gt;"pvp",Inputs!$B$44&gt;0),((Skills!G6*((R1876-1)*IF(Skills!H6&gt;0,Skills!I6/Skills!H6,1)+IF(Skills!H6&gt;0,MIN(Skills!I6,MAX(0,MAX(0,Inputs!$B$44-B1914)-((R1876-1)*IF(Inputs!$B$39="pvp",15,MAX(0.1,Skills!D6-IF(Skills!E6=TRUE,Inputs!$B$32,0))))))/Skills!H6,1)))/Inputs!$B$44),G1876*Q1876))*IF(Inputs!$B$39="pvp",1,1+(Inputs!$B$20+0+Skills!P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1876*(1-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1876*(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1876*(1-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1876*(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6">
        <f>IF(C1876,(H1876*N1876*IF(AND(Inputs!$B$39&lt;&gt;"pvp",Inputs!$B$44&gt;0),((Skills!G6*((R1876-1)*IF(Skills!H6&gt;0,Skills!I6/Skills!H6,1)+IF(Skills!H6&gt;0,MIN(Skills!I6,MAX(0,MAX(0,Inputs!$B$44-B1914)-((R1876-1)*IF(Inputs!$B$39="pvp",15,MAX(0.1,Skills!D6-IF(Skills!E6=TRUE,Inputs!$B$32,0))))))/Skills!H6,1)))/Inputs!$B$44),G1876*Q1876))*IF(Inputs!$B$39="pvp",1,(1+(Inputs!$B$21+Skills!Q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7">
      <c r="A1877">
        <f>Skills!A7</f>
        <v/>
      </c>
      <c r="B1877">
        <f>Skills!B7</f>
        <v/>
      </c>
      <c r="C1877">
        <f>Inputs!$B$3&gt;=60</f>
        <v/>
      </c>
      <c r="D1877">
        <f>IF(Skills!C7=1,60+Inputs!$B$25+Inputs!$B$29,IF(Skills!C7=2,90+Inputs!$B$26+Inputs!$B$29,IF(Skills!C7=3,120+Inputs!$B$27+Inputs!$B$29,MAX(0,(Inputs!$B$3-100)*3)+Inputs!$B$28+Inputs!$B$29)))</f>
        <v/>
      </c>
      <c r="E1877">
        <f>INDEX(FactorTable!$B$2:$Y$301, MATCH(ROUND(MIN(300,MAX(1,D1877)),0), FactorTable!$A$2:$A$301,0), Skills!M7+1)</f>
        <v/>
      </c>
      <c r="F1877">
        <f>IF(Skills!N7=TRUE,(Skills!L7/10)*(E1877/1000),Skills!L7/10)+Skills!O7</f>
        <v/>
      </c>
      <c r="G1877">
        <f>Skills!G7*IF(Skills!H7&gt;0,Skills!I7/Skills!H7,1)</f>
        <v/>
      </c>
      <c r="H1877">
        <f>1-(1-Skills!J7/100)^Skills!K7</f>
        <v/>
      </c>
      <c r="I1877" t="inlineStr">
        <is>
          <t>1</t>
        </is>
      </c>
      <c r="J1877" t="inlineStr"/>
      <c r="K1877" t="inlineStr"/>
      <c r="L1877" t="inlineStr"/>
      <c r="M1877" t="inlineStr"/>
      <c r="N1877" t="inlineStr"/>
      <c r="O1877">
        <f>(1-Summary!$B$11)*T1877+Summary!$B$11*V1877</f>
        <v/>
      </c>
      <c r="P1877">
        <f>IF(B1915=0,0,O1877/B1915)</f>
        <v/>
      </c>
      <c r="Q1877" t="n">
        <v>0</v>
      </c>
      <c r="R1877" t="n">
        <v>0</v>
      </c>
      <c r="S1877">
        <f>IFERROR(O1877/N1877,0)</f>
        <v/>
      </c>
      <c r="T1877" t="n">
        <v>0</v>
      </c>
      <c r="V1877" t="n">
        <v>0</v>
      </c>
    </row>
    <row r="1878">
      <c r="A1878">
        <f>Skills!A8</f>
        <v/>
      </c>
      <c r="B1878">
        <f>Skills!B8</f>
        <v/>
      </c>
      <c r="C1878">
        <f>Inputs!$B$3&gt;=72</f>
        <v/>
      </c>
      <c r="D1878">
        <f>IF(Skills!C8=1,60+Inputs!$B$25+Inputs!$B$29,IF(Skills!C8=2,90+Inputs!$B$26+Inputs!$B$29,IF(Skills!C8=3,120+Inputs!$B$27+Inputs!$B$29,MAX(0,(Inputs!$B$3-100)*3)+Inputs!$B$28+Inputs!$B$29)))</f>
        <v/>
      </c>
      <c r="E1878">
        <f>INDEX(FactorTable!$B$2:$Y$301, MATCH(ROUND(MIN(300,MAX(1,D1878)),0), FactorTable!$A$2:$A$301,0), Skills!M8+1)</f>
        <v/>
      </c>
      <c r="F1878">
        <f>IF(Skills!N8=TRUE,(Skills!L8/10)*(E1878/1000),Skills!L8/10)+Skills!O8</f>
        <v/>
      </c>
      <c r="G1878">
        <f>Skills!G8*IF(Skills!H8&gt;0,Skills!I8/Skills!H8,1)</f>
        <v/>
      </c>
      <c r="H1878">
        <f>1-(1-Skills!J8/100)^Skills!K8</f>
        <v/>
      </c>
      <c r="I1878" t="inlineStr">
        <is>
          <t>1</t>
        </is>
      </c>
      <c r="J1878">
        <f>((Inputs!$B$6*(1+Inputs!$B$7/100))+(((Inputs!$B$12*(1+Inputs!$B$13/100))-(Inputs!$B$12*(1+Inputs!$B$13/100)))+0.25*(Inputs!$B$14-Inputs!$B$14))*(1+Inputs!$B$7/100))*(F1878/100)</f>
        <v/>
      </c>
      <c r="K1878">
        <f>J1878*(1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1888=TRUE,F1888,0)/100)*(1+(IF(Skills!A8="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1878)</f>
        <v/>
      </c>
      <c r="L1878">
        <f>K1878*(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8">
        <f>L1878*(1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8">
        <f>L1878*(1-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(1-Summary!$B$11)*T1878+Summary!$B$11*V1878</f>
        <v/>
      </c>
      <c r="P1878">
        <f>IF(B1915=0,0,O1878/B1915)</f>
        <v/>
      </c>
      <c r="Q1878">
        <f>IFERROR(1/IF(Inputs!$B$39="pvp",15,MAX(0.1,Skills!D8-IF(Skills!E8=TRUE,Inputs!$B$32,0))),0)</f>
        <v/>
      </c>
      <c r="R1878">
        <f>IF(AND(Inputs!$B$39&lt;&gt;"pvp",Inputs!$B$44&gt;0),IF(MAX(0,Inputs!$B$44-B1914)&lt;=0,0,(INT(MAX(0,Inputs!$B$44-B1914)/IF(Inputs!$B$39="pvp",15,MAX(0.1,Skills!D8-IF(Skills!E8=TRUE,Inputs!$B$32,0))))+1)),0)</f>
        <v/>
      </c>
      <c r="S1878">
        <f>IFERROR(O1878/N1878,0)</f>
        <v/>
      </c>
      <c r="T1878">
        <f>IF(C1878,(H1878*N1878*IF(AND(Inputs!$B$39&lt;&gt;"pvp",Inputs!$B$44&gt;0),((Skills!G8*((R1878-1)*IF(Skills!H8&gt;0,Skills!I8/Skills!H8,1)+IF(Skills!H8&gt;0,MIN(Skills!I8,MAX(0,MAX(0,Inputs!$B$44-B1914)-((R1878-1)*IF(Inputs!$B$39="pvp",15,MAX(0.1,Skills!D8-IF(Skills!E8=TRUE,Inputs!$B$32,0))))))/Skills!H8,1)))/Inputs!$B$44),G1878*Q1878))*IF(Inputs!$B$39="pvp",1,1+(Inputs!$B$20+0+Skills!P8+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1878*(1-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8">
        <f>IF(C1878,(H1878*N1878*IF(AND(Inputs!$B$39&lt;&gt;"pvp",Inputs!$B$44&gt;0),((Skills!G8*((R1878-1)*IF(Skills!H8&gt;0,Skills!I8/Skills!H8,1)+IF(Skills!H8&gt;0,MIN(Skills!I8,MAX(0,MAX(0,Inputs!$B$44-B1914)-((R1878-1)*IF(Inputs!$B$39="pvp",15,MAX(0.1,Skills!D8-IF(Skills!E8=TRUE,Inputs!$B$32,0))))))/Skills!H8,1)))/Inputs!$B$44),G1878*Q1878))*IF(Inputs!$B$39="pvp",1,(1+(Inputs!$B$21+Skills!Q8+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Skills!A9</f>
        <v/>
      </c>
      <c r="B1879">
        <f>Skills!B9</f>
        <v/>
      </c>
      <c r="C1879">
        <f>Inputs!$B$3&gt;=117</f>
        <v/>
      </c>
      <c r="D1879">
        <f>IF(Skills!C9=1,60+Inputs!$B$25+Inputs!$B$29,IF(Skills!C9=2,90+Inputs!$B$26+Inputs!$B$29,IF(Skills!C9=3,120+Inputs!$B$27+Inputs!$B$29,MAX(0,(Inputs!$B$3-100)*3)+Inputs!$B$28+Inputs!$B$29)))</f>
        <v/>
      </c>
      <c r="E1879">
        <f>INDEX(FactorTable!$B$2:$Y$301, MATCH(ROUND(MIN(300,MAX(1,D1879)),0), FactorTable!$A$2:$A$301,0), Skills!M9+1)</f>
        <v/>
      </c>
      <c r="F1879">
        <f>IF(Skills!N9=TRUE,(Skills!L9/10)*(E1879/1000),Skills!L9/10)+Skills!O9</f>
        <v/>
      </c>
      <c r="G1879">
        <f>Skills!G9*IF(Skills!H9&gt;0,Skills!I9/Skills!H9,1)</f>
        <v/>
      </c>
      <c r="H1879">
        <f>1-(1-Skills!J9/100)^Skills!K9</f>
        <v/>
      </c>
      <c r="I1879" t="inlineStr">
        <is>
          <t>1</t>
        </is>
      </c>
      <c r="J1879">
        <f>((Inputs!$B$6*(1+Inputs!$B$7/100))+(((Inputs!$B$12*(1+Inputs!$B$13/100))-(Inputs!$B$12*(1+Inputs!$B$13/100)))+0.25*(Inputs!$B$14-Inputs!$B$14))*(1+Inputs!$B$7/100))*(F1879/100)</f>
        <v/>
      </c>
      <c r="K1879">
        <f>J1879*(1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1879)</f>
        <v/>
      </c>
      <c r="L1879">
        <f>K1879*(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9">
        <f>L1879*(1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9">
        <f>L1879*(1-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(1-Summary!$B$11)*T1879+Summary!$B$11*V1879</f>
        <v/>
      </c>
      <c r="P1879">
        <f>IF(B1915=0,0,O1879/B1915)</f>
        <v/>
      </c>
      <c r="Q1879" t="n">
        <v>0</v>
      </c>
      <c r="R1879" t="n">
        <v>0</v>
      </c>
      <c r="S1879" t="n">
        <v>0</v>
      </c>
      <c r="T1879">
        <f>IF(C1879,(0.2*SUMPRODUCT((Skills!Z2:Z30=TRUE)*(C1872:C1900=TRUE)*S1872:S1900)*N1879)*IF(Inputs!$B$39="pvp",1,1+(Inputs!$B$20+0+Skills!P9+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1879*(1-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9">
        <f>IF(C1879,(0.2*SUMPRODUCT((Skills!Z2:Z30=TRUE)*(C1872:C1900=TRUE)*S1872:S1900)*N1879)*IF(Inputs!$B$39="pvp",1,(1+(Inputs!$B$21+Skills!Q9+B1904+(IF(ArtifactsInput!$M$33,CHOOSE(ArtifactsInput!$N$33+1,30,36,42,48,54,60),0))+(IF(AND(ArtifactsInput!$M$35,Inputs!$B$4&lt;&gt;"Chapter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0">
      <c r="A1880">
        <f>Skills!A10</f>
        <v/>
      </c>
      <c r="B1880">
        <f>Skills!B10</f>
        <v/>
      </c>
      <c r="C1880">
        <f>Inputs!$B$3&gt;=74</f>
        <v/>
      </c>
      <c r="D1880">
        <f>IF(Skills!C10=1,60+Inputs!$B$25+Inputs!$B$29,IF(Skills!C10=2,90+Inputs!$B$26+Inputs!$B$29,IF(Skills!C10=3,120+Inputs!$B$27+Inputs!$B$29,MAX(0,(Inputs!$B$3-100)*3)+Inputs!$B$28+Inputs!$B$29)))</f>
        <v/>
      </c>
      <c r="E1880">
        <f>INDEX(FactorTable!$B$2:$Y$301, MATCH(ROUND(MIN(300,MAX(1,D1880)),0), FactorTable!$A$2:$A$301,0), Skills!M10+1)</f>
        <v/>
      </c>
      <c r="F1880">
        <f>IF(Skills!N10=TRUE,(Skills!L10/10)*(E1880/1000),Skills!L10/10)+Skills!O10</f>
        <v/>
      </c>
      <c r="G1880">
        <f>Skills!G10*IF(Skills!H10&gt;0,Skills!I10/Skills!H10,1)</f>
        <v/>
      </c>
      <c r="H1880">
        <f>1-(1-Skills!J10/100)^Skills!K10</f>
        <v/>
      </c>
      <c r="I1880" t="inlineStr">
        <is>
          <t>1</t>
        </is>
      </c>
      <c r="J1880" t="inlineStr"/>
      <c r="K1880" t="inlineStr"/>
      <c r="L1880" t="inlineStr"/>
      <c r="M1880" t="inlineStr"/>
      <c r="N1880" t="inlineStr"/>
      <c r="O1880">
        <f>(1-Summary!$B$11)*T1880+Summary!$B$11*V1880</f>
        <v/>
      </c>
      <c r="P1880">
        <f>IF(B1915=0,0,O1880/B1915)</f>
        <v/>
      </c>
      <c r="Q1880">
        <f>IFERROR(1/IF(Inputs!$B$39="pvp",15,MAX(0.1,Skills!D10-IF(Skills!E10=TRUE,Inputs!$B$32,0))),0)</f>
        <v/>
      </c>
      <c r="R1880">
        <f>IF(AND(Inputs!$B$39&lt;&gt;"pvp",Inputs!$B$44&gt;0),IF(Inputs!$B$44&lt;=0,0,(INT(Inputs!$B$44/IF(Inputs!$B$39="pvp",15,MAX(0.1,Skills!D10-IF(Skills!E10=TRUE,Inputs!$B$32,0))))+1)),0)</f>
        <v/>
      </c>
      <c r="S1880">
        <f>IFERROR(O1880/N1880,0)</f>
        <v/>
      </c>
      <c r="T1880" t="n">
        <v>0</v>
      </c>
      <c r="V1880" t="n">
        <v>0</v>
      </c>
    </row>
    <row r="1881">
      <c r="A1881">
        <f>Skills!A11</f>
        <v/>
      </c>
      <c r="B1881">
        <f>Skills!B11</f>
        <v/>
      </c>
      <c r="C1881">
        <f>Inputs!$B$3&gt;=103</f>
        <v/>
      </c>
      <c r="D1881">
        <f>IF(Skills!C11=1,60+Inputs!$B$25+Inputs!$B$29,IF(Skills!C11=2,90+Inputs!$B$26+Inputs!$B$29,IF(Skills!C11=3,120+Inputs!$B$27+Inputs!$B$29,MAX(0,(Inputs!$B$3-100)*3)+Inputs!$B$28+Inputs!$B$29)))</f>
        <v/>
      </c>
      <c r="E1881">
        <f>INDEX(FactorTable!$B$2:$Y$301, MATCH(ROUND(MIN(300,MAX(1,D1881)),0), FactorTable!$A$2:$A$301,0), Skills!M11+1)</f>
        <v/>
      </c>
      <c r="F1881">
        <f>(Skills!L11/10)*(E1881/1000)+IF(Inputs!$B$3&gt;=134,50,0)+0.5*(30000/10)*(INDEX(FactorTable!$B$2:$Y$301, MATCH(ROUND(MIN(300,MAX(1,D1881)),0), FactorTable!$A$2:$A$301,0), 13)/1000)*B1913</f>
        <v/>
      </c>
      <c r="G1881">
        <f>Skills!G11*IF(Skills!H11&gt;0,Skills!I11/Skills!H11,1)</f>
        <v/>
      </c>
      <c r="H1881">
        <f>1-(1-Skills!J11/100)^Skills!K11</f>
        <v/>
      </c>
      <c r="I1881" t="inlineStr">
        <is>
          <t>1</t>
        </is>
      </c>
      <c r="J1881">
        <f>((Inputs!$B$6*(1+Inputs!$B$7/100))+(((Inputs!$B$12*(1+Inputs!$B$13/100))-(Inputs!$B$12*(1+Inputs!$B$13/100)))+0.25*(Inputs!$B$14-Inputs!$B$14))*(1+Inputs!$B$7/100))*(F1881/100)</f>
        <v/>
      </c>
      <c r="K1881">
        <f>J1881*(1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1881)</f>
        <v/>
      </c>
      <c r="L1881">
        <f>K1881*(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1">
        <f>L1881*(1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1">
        <f>L1881*(1-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IF(B1915=0,0,O1881/B1915)</f>
        <v/>
      </c>
      <c r="Q1881">
        <f>IFERROR(1/IF(Inputs!$B$39="pvp",15,MAX(0.1,Skills!D11-IF(Skills!E11=TRUE,Inputs!$B$32,0))),0)</f>
        <v/>
      </c>
      <c r="R1881">
        <f>IF(AND(Inputs!$B$39&lt;&gt;"pvp",Inputs!$B$44&gt;0),IF(MAX(0,Inputs!$B$44-B1914)&lt;=0,0,(INT(MAX(0,Inputs!$B$44-B1914)/IF(Inputs!$B$39="pvp",15,MAX(0.1,Skills!D11-IF(Skills!E11=TRUE,Inputs!$B$32,0))))+1)),0)</f>
        <v/>
      </c>
      <c r="S1881">
        <f>IFERROR(O1881/N1881,0)</f>
        <v/>
      </c>
      <c r="T1881">
        <f>IF(C1881,(H1881*N1881*IF(AND(Inputs!$B$39&lt;&gt;"pvp",Inputs!$B$44&gt;0),((Skills!G11*((R1881-1)*IF(Skills!H11&gt;0,Skills!I11/Skills!H11,1)+IF(Skills!H11&gt;0,MIN(Skills!I11,MAX(0,MAX(0,Inputs!$B$44-B1914)-((R1881-1)*IF(Inputs!$B$39="pvp",15,MAX(0.1,Skills!D11-IF(Skills!E11=TRUE,Inputs!$B$32,0))))))/Skills!H11,1)))/Inputs!$B$44),G1881*Q1881))*IF(Inputs!$B$39="pvp",1,1+(Inputs!$B$20+0+Skills!P11+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1881*(1-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1">
        <f>IF(C1881,(H1881*N1881*IF(AND(Inputs!$B$39&lt;&gt;"pvp",Inputs!$B$44&gt;0),((Skills!G11*((R1881-1)*IF(Skills!H11&gt;0,Skills!I11/Skills!H11,1)+IF(Skills!H11&gt;0,MIN(Skills!I11,MAX(0,MAX(0,Inputs!$B$44-B1914)-((R1881-1)*IF(Inputs!$B$39="pvp",15,MAX(0.1,Skills!D11-IF(Skills!E11=TRUE,Inputs!$B$32,0))))))/Skills!H11,1)))/Inputs!$B$44),G1881*Q1881))*IF(Inputs!$B$39="pvp",1,(1+(Inputs!$B$21+Skills!Q11+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Skills!A12</f>
        <v/>
      </c>
      <c r="B1882">
        <f>Skills!B12</f>
        <v/>
      </c>
      <c r="C1882">
        <f>Inputs!$B$3&gt;=105</f>
        <v/>
      </c>
      <c r="D1882">
        <f>IF(Skills!C12=1,60+Inputs!$B$25+Inputs!$B$29,IF(Skills!C12=2,90+Inputs!$B$26+Inputs!$B$29,IF(Skills!C12=3,120+Inputs!$B$27+Inputs!$B$29,MAX(0,(Inputs!$B$3-100)*3)+Inputs!$B$28+Inputs!$B$29)))</f>
        <v/>
      </c>
      <c r="E1882">
        <f>INDEX(FactorTable!$B$2:$Y$301, MATCH(ROUND(MIN(300,MAX(1,D1882)),0), FactorTable!$A$2:$A$301,0), Skills!M12+1)</f>
        <v/>
      </c>
      <c r="F1882">
        <f>IF(Skills!N12=TRUE,(Skills!L12/10)*(E1882/1000),Skills!L12/10)+Skills!O12</f>
        <v/>
      </c>
      <c r="G1882">
        <f>Skills!G12*IF(Skills!H12&gt;0,Skills!I12/Skills!H12,1)</f>
        <v/>
      </c>
      <c r="H1882">
        <f>1-(1-Skills!J12/100)^Skills!K12</f>
        <v/>
      </c>
      <c r="I1882" t="inlineStr">
        <is>
          <t>1</t>
        </is>
      </c>
      <c r="J1882">
        <f>((Inputs!$B$6*(1+Inputs!$B$7/100))+(((Inputs!$B$12*(1+Inputs!$B$13/100))-(Inputs!$B$12*(1+Inputs!$B$13/100)))+0.25*(Inputs!$B$14-Inputs!$B$14))*(1+Inputs!$B$7/100))*(F1882/100)</f>
        <v/>
      </c>
      <c r="K1882">
        <f>J1882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1882)</f>
        <v/>
      </c>
      <c r="L1882">
        <f>K1882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2">
        <f>L1882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2">
        <f>L1882*(1-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1882*(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2">
        <f>(1-Summary!$B$11)*T1882+Summary!$B$11*V1882</f>
        <v/>
      </c>
      <c r="P1882">
        <f>IF(B1915=0,0,O1882/B1915)</f>
        <v/>
      </c>
      <c r="Q1882">
        <f>IFERROR(1/IF(Inputs!$B$39="pvp",15,MAX(0.1,Skills!D12-IF(Skills!E12=TRUE,Inputs!$B$32,0))),0)</f>
        <v/>
      </c>
      <c r="R1882">
        <f>IF(AND(Inputs!$B$39&lt;&gt;"pvp",Inputs!$B$44&gt;0),IF(MAX(0,Inputs!$B$44-B1914)&lt;=0,0,(INT(MAX(0,Inputs!$B$44-B1914)/IF(Inputs!$B$39="pvp",15,MAX(0.1,Skills!D12-IF(Skills!E12=TRUE,Inputs!$B$32,0))))+1)),0)</f>
        <v/>
      </c>
      <c r="S1882">
        <f>IFERROR(O1882/N1882,0)</f>
        <v/>
      </c>
      <c r="T1882">
        <f>IF(C1882,(H1882*N1882*IF(AND(Inputs!$B$39&lt;&gt;"pvp",Inputs!$B$44&gt;0),((Skills!G12*((R1882-1)*IF(Skills!H12&gt;0,Skills!I12/Skills!H12,1)+IF(Skills!H12&gt;0,MIN(Skills!I12,MAX(0,MAX(0,Inputs!$B$44-B1914)-((R1882-1)*IF(Inputs!$B$39="pvp",15,MAX(0.1,Skills!D12-IF(Skills!E12=TRUE,Inputs!$B$32,0))))))/Skills!H12,1)))/Inputs!$B$44),G1882*Q1882))*IF(Inputs!$B$39="pvp",1,1+(Inputs!$B$20+0+Skills!P12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1882*(1-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1882*(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1882*(1-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1882*(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2">
        <f>IF(C1882,(H1882*N1882*IF(AND(Inputs!$B$39&lt;&gt;"pvp",Inputs!$B$44&gt;0),((Skills!G12*((R1882-1)*IF(Skills!H12&gt;0,Skills!I12/Skills!H12,1)+IF(Skills!H12&gt;0,MIN(Skills!I12,MAX(0,MAX(0,Inputs!$B$44-B1914)-((R1882-1)*IF(Inputs!$B$39="pvp",15,MAX(0.1,Skills!D12-IF(Skills!E12=TRUE,Inputs!$B$32,0))))))/Skills!H12,1)))/Inputs!$B$44),G1882*Q1882))*IF(Inputs!$B$39="pvp",1,(1+(Inputs!$B$21+Skills!Q12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3">
      <c r="A1883">
        <f>Skills!A13</f>
        <v/>
      </c>
      <c r="B1883">
        <f>Skills!B13</f>
        <v/>
      </c>
      <c r="C1883">
        <f>Inputs!$B$3&gt;=105</f>
        <v/>
      </c>
      <c r="D1883">
        <f>IF(Skills!C13=1,60+Inputs!$B$25+Inputs!$B$29,IF(Skills!C13=2,90+Inputs!$B$26+Inputs!$B$29,IF(Skills!C13=3,120+Inputs!$B$27+Inputs!$B$29,MAX(0,(Inputs!$B$3-100)*3)+Inputs!$B$28+Inputs!$B$29)))</f>
        <v/>
      </c>
      <c r="E1883">
        <f>INDEX(FactorTable!$B$2:$Y$301, MATCH(ROUND(MIN(300,MAX(1,D1883)),0), FactorTable!$A$2:$A$301,0), Skills!M13+1)</f>
        <v/>
      </c>
      <c r="F1883">
        <f>IF(Skills!N13=TRUE,(Skills!L13/10)*(E1883/1000),Skills!L13/10)+Skills!O13</f>
        <v/>
      </c>
      <c r="G1883">
        <f>Skills!G13*IF(Skills!H13&gt;0,Skills!I13/Skills!H13,1)</f>
        <v/>
      </c>
      <c r="H1883">
        <f>1-(1-Skills!J13/100)^Skills!K13</f>
        <v/>
      </c>
      <c r="I1883" t="inlineStr">
        <is>
          <t>1</t>
        </is>
      </c>
      <c r="J1883">
        <f>((Inputs!$B$6*(1+Inputs!$B$7/100))+(((Inputs!$B$12*(1+Inputs!$B$13/100))-(Inputs!$B$12*(1+Inputs!$B$13/100)))+0.25*(Inputs!$B$14-Inputs!$B$14))*(1+Inputs!$B$7/100))*(F1883/100)</f>
        <v/>
      </c>
      <c r="K1883">
        <f>J1883*(1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1883)</f>
        <v/>
      </c>
      <c r="L1883">
        <f>K1883*(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3">
        <f>L1883*(1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3">
        <f>L1883*(1-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1883*(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3">
        <f>(1-Summary!$B$11)*T1883+Summary!$B$11*V1883</f>
        <v/>
      </c>
      <c r="P1883">
        <f>IF(B1915=0,0,O1883/B1915)</f>
        <v/>
      </c>
      <c r="Q1883">
        <f>IFERROR(1/IF(Inputs!$B$39="pvp",15,MAX(0.1,Skills!D13-IF(Skills!E13=TRUE,Inputs!$B$32,0))),0)</f>
        <v/>
      </c>
      <c r="R1883">
        <f>IF(AND(Inputs!$B$39&lt;&gt;"pvp",Inputs!$B$44&gt;0),IF(MAX(0,Inputs!$B$44-B1914)&lt;=0,0,(INT(MAX(0,Inputs!$B$44-B1914)/IF(Inputs!$B$39="pvp",15,MAX(0.1,Skills!D13-IF(Skills!E13=TRUE,Inputs!$B$32,0))))+1)),0)</f>
        <v/>
      </c>
      <c r="S1883">
        <f>IFERROR(O1883/N1883,0)</f>
        <v/>
      </c>
      <c r="T1883">
        <f>IF(C1883,(H1883*N1883*IF(AND(Inputs!$B$39&lt;&gt;"pvp",Inputs!$B$44&gt;0),((Skills!G13*((R1883-1)*IF(Skills!H13&gt;0,Skills!I13/Skills!H13,1)+IF(Skills!H13&gt;0,MIN(Skills!I13,MAX(0,MAX(0,Inputs!$B$44-B1914)-((R1883-1)*IF(Inputs!$B$39="pvp",15,MAX(0.1,Skills!D13-IF(Skills!E13=TRUE,Inputs!$B$32,0))))))/Skills!H13,1)))/Inputs!$B$44),G1883*Q1883))*IF(Inputs!$B$39="pvp",1,1+(Inputs!$B$20+0+Skills!P13+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1883*(1-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1883*(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1883*(1-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1883*(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3">
        <f>IF(C1883,(H1883*N1883*IF(AND(Inputs!$B$39&lt;&gt;"pvp",Inputs!$B$44&gt;0),((Skills!G13*((R1883-1)*IF(Skills!H13&gt;0,Skills!I13/Skills!H13,1)+IF(Skills!H13&gt;0,MIN(Skills!I13,MAX(0,MAX(0,Inputs!$B$44-B1914)-((R1883-1)*IF(Inputs!$B$39="pvp",15,MAX(0.1,Skills!D13-IF(Skills!E13=TRUE,Inputs!$B$32,0))))))/Skills!H13,1)))/Inputs!$B$44),G1883*Q1883))*IF(Inputs!$B$39="pvp",1,(1+(Inputs!$B$21+Skills!Q13+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4">
      <c r="A1884">
        <f>Skills!A14</f>
        <v/>
      </c>
      <c r="B1884">
        <f>Skills!B14</f>
        <v/>
      </c>
      <c r="C1884">
        <f>Inputs!$B$3&gt;=107</f>
        <v/>
      </c>
      <c r="D1884">
        <f>IF(Skills!C14=1,60+Inputs!$B$25+Inputs!$B$29,IF(Skills!C14=2,90+Inputs!$B$26+Inputs!$B$29,IF(Skills!C14=3,120+Inputs!$B$27+Inputs!$B$29,MAX(0,(Inputs!$B$3-100)*3)+Inputs!$B$28+Inputs!$B$29)))</f>
        <v/>
      </c>
      <c r="E1884">
        <f>INDEX(FactorTable!$B$2:$Y$301, MATCH(ROUND(MIN(300,MAX(1,D1884)),0), FactorTable!$A$2:$A$301,0), Skills!M14+1)</f>
        <v/>
      </c>
      <c r="F1884">
        <f>IF(Skills!N14=TRUE,(Skills!L14/10)*(E1884/1000),Skills!L14/10)+Skills!O14</f>
        <v/>
      </c>
      <c r="G1884">
        <f>Skills!G14*IF(Skills!H14&gt;0,Skills!I14/Skills!H14,1)</f>
        <v/>
      </c>
      <c r="H1884">
        <f>1-(1-Skills!J14/100)^Skills!K14</f>
        <v/>
      </c>
      <c r="I1884" t="inlineStr">
        <is>
          <t>1</t>
        </is>
      </c>
      <c r="J1884">
        <f>((Inputs!$B$6*(1+Inputs!$B$7/100))+(((Inputs!$B$12*(1+Inputs!$B$13/100))-(Inputs!$B$12*(1+Inputs!$B$13/100)))+0.25*(Inputs!$B$14-Inputs!$B$14))*(1+Inputs!$B$7/100))*(F1884/100)</f>
        <v/>
      </c>
      <c r="K1884">
        <f>J1884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1884)</f>
        <v/>
      </c>
      <c r="L1884">
        <f>K1884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4">
        <f>L1884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4">
        <f>L1884*(1-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IF(B1915=0,0,O1884/B1915)</f>
        <v/>
      </c>
      <c r="Q1884">
        <f>IFERROR(1/IF(Inputs!$B$39="pvp",15,MAX(0.1,Skills!D14-IF(Skills!E14=TRUE,Inputs!$B$32,0))),0)</f>
        <v/>
      </c>
      <c r="R1884">
        <f>IF(AND(Inputs!$B$39&lt;&gt;"pvp",Inputs!$B$44&gt;0),IF(MAX(0,Inputs!$B$44-B1914)&lt;=0,0,(INT(MAX(0,Inputs!$B$44-B1914)/IF(Inputs!$B$39="pvp",15,MAX(0.1,Skills!D14-IF(Skills!E14=TRUE,Inputs!$B$32,0))))+1)),0)</f>
        <v/>
      </c>
      <c r="S1884">
        <f>IFERROR(O1884/N1884,0)</f>
        <v/>
      </c>
      <c r="T1884">
        <f>IF(C1884,(H1884*N1884*IF(AND(Inputs!$B$39&lt;&gt;"pvp",Inputs!$B$44&gt;0),((Skills!G14*((R1884-1)*IF(Skills!H14&gt;0,Skills!I14/Skills!H14,1)+IF(Skills!H14&gt;0,MIN(Skills!I14,MAX(0,MAX(0,Inputs!$B$44-B1914)-((R1884-1)*IF(Inputs!$B$39="pvp",15,MAX(0.1,Skills!D14-IF(Skills!E14=TRUE,Inputs!$B$32,0))))))/Skills!H14,1)))/Inputs!$B$44),G1884*Q1884))*IF(Inputs!$B$39="pvp",1,1+(Inputs!$B$20+0+Skills!P14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1884*(1-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14*((R1884-1)*IF(Skills!H14&gt;0,Skills!I14/Skills!H14,1)+IF(Skills!H14&gt;0,MIN(Skills!I14,MAX(0,MAX(0,Inputs!$B$44-B1914)-((R1884-1)*IF(Inputs!$B$39="pvp",15,MAX(0.1,Skills!D14-IF(Skills!E14=TRUE,Inputs!$B$32,0))))))/Skills!H14,1)))/Inputs!$B$44),G1884*Q1884))*IF(Inputs!$B$39="pvp",1,(1+(Inputs!$B$21+Skills!Q14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(5,0.25*B1907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Skills!A15</f>
        <v/>
      </c>
      <c r="B1885">
        <f>Skills!B15</f>
        <v/>
      </c>
      <c r="C1885">
        <f>Inputs!$B$3&gt;=110</f>
        <v/>
      </c>
      <c r="D1885">
        <f>IF(Skills!C15=1,60+Inputs!$B$25+Inputs!$B$29,IF(Skills!C15=2,90+Inputs!$B$26+Inputs!$B$29,IF(Skills!C15=3,120+Inputs!$B$27+Inputs!$B$29,MAX(0,(Inputs!$B$3-100)*3)+Inputs!$B$28+Inputs!$B$29)))</f>
        <v/>
      </c>
      <c r="E1885">
        <f>INDEX(FactorTable!$B$2:$Y$301, MATCH(ROUND(MIN(300,MAX(1,D1885)),0), FactorTable!$A$2:$A$301,0), Skills!M15+1)</f>
        <v/>
      </c>
      <c r="F1885">
        <f>IF(Skills!N15=TRUE,(Skills!L15/10)*(E1885/1000),Skills!L15/10)+Skills!O15</f>
        <v/>
      </c>
      <c r="G1885">
        <f>Skills!G15*IF(Skills!H15&gt;0,Skills!I15/Skills!H15,1)</f>
        <v/>
      </c>
      <c r="H1885">
        <f>1-(1-Skills!J15/100)^Skills!K15</f>
        <v/>
      </c>
      <c r="I1885" t="inlineStr">
        <is>
          <t>1</t>
        </is>
      </c>
      <c r="J1885" t="inlineStr"/>
      <c r="K1885" t="inlineStr"/>
      <c r="L1885" t="inlineStr"/>
      <c r="M1885" t="inlineStr"/>
      <c r="N1885" t="inlineStr"/>
      <c r="O1885">
        <f>(1-Summary!$B$11)*T1885+Summary!$B$11*V1885</f>
        <v/>
      </c>
      <c r="P1885">
        <f>IF(B1915=0,0,O1885/B1915)</f>
        <v/>
      </c>
      <c r="Q1885">
        <f>IFERROR(1/IF(Inputs!$B$39="pvp",15,MAX(0.1,Skills!D15-IF(Skills!E15=TRUE,Inputs!$B$32,0))),0)</f>
        <v/>
      </c>
      <c r="R1885">
        <f>IF(AND(Inputs!$B$39&lt;&gt;"pvp",Inputs!$B$44&gt;0),IF(Inputs!$B$44&lt;=0,0,(INT(Inputs!$B$44/IF(Inputs!$B$39="pvp",15,MAX(0.1,Skills!D15-IF(Skills!E15=TRUE,Inputs!$B$32,0))))+1)),0)</f>
        <v/>
      </c>
      <c r="S1885">
        <f>IFERROR(O1885/N1885,0)</f>
        <v/>
      </c>
      <c r="T1885" t="n">
        <v>0</v>
      </c>
      <c r="V1885" t="n">
        <v>0</v>
      </c>
    </row>
    <row r="1886">
      <c r="A1886">
        <f>Skills!A16</f>
        <v/>
      </c>
      <c r="B1886">
        <f>Skills!B16</f>
        <v/>
      </c>
      <c r="C1886">
        <f>Inputs!$B$3&gt;=115</f>
        <v/>
      </c>
      <c r="D1886">
        <f>IF(Skills!C16=1,60+Inputs!$B$25+Inputs!$B$29,IF(Skills!C16=2,90+Inputs!$B$26+Inputs!$B$29,IF(Skills!C16=3,120+Inputs!$B$27+Inputs!$B$29,MAX(0,(Inputs!$B$3-100)*3)+Inputs!$B$28+Inputs!$B$29)))</f>
        <v/>
      </c>
      <c r="E1886">
        <f>INDEX(FactorTable!$B$2:$Y$301, MATCH(ROUND(MIN(300,MAX(1,D1886)),0), FactorTable!$A$2:$A$301,0), Skills!M16+1)</f>
        <v/>
      </c>
      <c r="F1886">
        <f>IF(Skills!N16=TRUE,(Skills!L16/10)*(E1886/1000),Skills!L16/10)+Skills!O16</f>
        <v/>
      </c>
      <c r="G1886">
        <f>Skills!G16*IF(Skills!H16&gt;0,Skills!I16/Skills!H16,1)</f>
        <v/>
      </c>
      <c r="H1886">
        <f>1-(1-Skills!J16/100)^Skills!K16</f>
        <v/>
      </c>
      <c r="I1886" t="inlineStr">
        <is>
          <t>1</t>
        </is>
      </c>
      <c r="J1886">
        <f>((Inputs!$B$6*(1+Inputs!$B$7/100))+(((Inputs!$B$12*(1+Inputs!$B$13/100))-(Inputs!$B$12*(1+Inputs!$B$13/100)))+0.25*(Inputs!$B$14-Inputs!$B$14))*(1+Inputs!$B$7/100))*(F1886/100)</f>
        <v/>
      </c>
      <c r="K1886">
        <f>J1886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1897=TRUE)*(F1897-Calc!F27))+((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1886)</f>
        <v/>
      </c>
      <c r="L1886">
        <f>K1886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6">
        <f>L1886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6">
        <f>L1886*(1-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IF(B1915=0,0,O1886/B1915)</f>
        <v/>
      </c>
      <c r="Q1886" t="n">
        <v>0</v>
      </c>
      <c r="R1886" t="n">
        <v>0</v>
      </c>
      <c r="S1886">
        <f>IFERROR(O1886/N1886,0)</f>
        <v/>
      </c>
      <c r="T1886">
        <f>IF(C1886,(Inputs!$B$38*0.2*N1886)*IF(Inputs!$B$39="pvp",1,1+(Inputs!$B$20+0+Skills!P16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1886*(1-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$9+((C1895=TRUE)*(F1895-Calc!F25))+B1903+(ArtifactsInput!$M$24-ArtifactsInput!$M$24)*CHOOSE(ArtifactsInput!$N$24+1,10,12,14,16,18,20)+(IF(AND(Inputs!$B$39&lt;&gt;"pvp",Inputs!$B$44=0),1,IF(IF(Inputs!$B$39="pvp",15,Inputs!$B$44)-(B1914)&lt;=0,1,MAX(0,IF(Inputs!$B$39="pvp",15,Inputs!$B$44)-MAX(5,B1914))/(IF(Inputs!$B$39="pvp",15,Inputs!$B$44)-(B1914))))*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IF(C1886,(Inputs!$B$38*0.2*N1886)*IF(Inputs!$B$39="pvp",1,(1+(Inputs!$B$21+Skills!Q16+B1904+(IF(ArtifactsInput!$M$33,CHOOSE(ArtifactsInput!$N$33+1,30,36,42,48,54,60),0))+(IF(AND(ArtifactsInput!$M$35,Inputs!$B$4&lt;&gt;"Chapter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Skills!A17</f>
        <v/>
      </c>
      <c r="B1887">
        <f>Skills!B17</f>
        <v/>
      </c>
      <c r="C1887">
        <f>Inputs!$B$3&gt;=115</f>
        <v/>
      </c>
      <c r="D1887">
        <f>IF(Skills!C17=1,60+Inputs!$B$25+Inputs!$B$29,IF(Skills!C17=2,90+Inputs!$B$26+Inputs!$B$29,IF(Skills!C17=3,120+Inputs!$B$27+Inputs!$B$29,MAX(0,(Inputs!$B$3-100)*3)+Inputs!$B$28+Inputs!$B$29)))</f>
        <v/>
      </c>
      <c r="E1887">
        <f>INDEX(FactorTable!$B$2:$Y$301, MATCH(ROUND(MIN(300,MAX(1,D1887)),0), FactorTable!$A$2:$A$301,0), Skills!M17+1)</f>
        <v/>
      </c>
      <c r="F1887">
        <f>IF(Skills!N17=TRUE,(Skills!L17/10)*(E1887/1000),Skills!L17/10)+Skills!O17</f>
        <v/>
      </c>
      <c r="G1887">
        <f>Skills!G17*IF(Skills!H17&gt;0,Skills!I17/Skills!H17,1)</f>
        <v/>
      </c>
      <c r="H1887">
        <f>1-(1-Skills!J17/100)^Skills!K17</f>
        <v/>
      </c>
      <c r="I1887" t="inlineStr">
        <is>
          <t>1</t>
        </is>
      </c>
      <c r="J1887" t="inlineStr"/>
      <c r="K1887" t="inlineStr"/>
      <c r="L1887" t="inlineStr"/>
      <c r="M1887" t="inlineStr"/>
      <c r="N1887" t="inlineStr"/>
      <c r="O1887">
        <f>(1-Summary!$B$11)*T1887+Summary!$B$11*V1887</f>
        <v/>
      </c>
      <c r="P1887">
        <f>IF(B1915=0,0,O1887/B1915)</f>
        <v/>
      </c>
      <c r="Q1887" t="n">
        <v>0</v>
      </c>
      <c r="R1887" t="n">
        <v>0</v>
      </c>
      <c r="S1887">
        <f>IFERROR(O1887/N1887,0)</f>
        <v/>
      </c>
      <c r="T1887" t="n">
        <v>0</v>
      </c>
      <c r="V1887" t="n">
        <v>0</v>
      </c>
    </row>
    <row r="1888">
      <c r="A1888">
        <f>Skills!A18</f>
        <v/>
      </c>
      <c r="B1888">
        <f>Skills!B18</f>
        <v/>
      </c>
      <c r="C1888">
        <f>Inputs!$B$3&gt;=100</f>
        <v/>
      </c>
      <c r="D1888">
        <f>IF(Skills!C18=1,60+Inputs!$B$25+Inputs!$B$29,IF(Skills!C18=2,90+Inputs!$B$26+Inputs!$B$29,IF(Skills!C18=3,120+Inputs!$B$27+Inputs!$B$29,MAX(0,(Inputs!$B$3-100)*3)+Inputs!$B$28+Inputs!$B$29)))</f>
        <v/>
      </c>
      <c r="E1888">
        <f>INDEX(FactorTable!$B$2:$Y$301, MATCH(ROUND(MIN(300,MAX(1,D1888)),0), FactorTable!$A$2:$A$301,0), Skills!M18+1)</f>
        <v/>
      </c>
      <c r="F1888">
        <f>IF(Skills!N18=TRUE,(Skills!L18/10)*(E1888/1000),Skills!L18/10)+Skills!O18</f>
        <v/>
      </c>
      <c r="G1888">
        <f>Skills!G18*IF(Skills!H18&gt;0,Skills!I18/Skills!H18,1)</f>
        <v/>
      </c>
      <c r="H1888">
        <f>1-(1-Skills!J18/100)^Skills!K18</f>
        <v/>
      </c>
      <c r="I1888" t="inlineStr">
        <is>
          <t>1</t>
        </is>
      </c>
      <c r="J1888" t="inlineStr"/>
      <c r="K1888" t="inlineStr"/>
      <c r="L1888" t="inlineStr"/>
      <c r="M1888" t="inlineStr"/>
      <c r="N1888" t="inlineStr"/>
      <c r="O1888">
        <f>(1-Summary!$B$11)*T1888+Summary!$B$11*V1888</f>
        <v/>
      </c>
      <c r="P1888">
        <f>IF(B1915=0,0,O1888/B1915)</f>
        <v/>
      </c>
      <c r="Q1888" t="n">
        <v>0</v>
      </c>
      <c r="R1888" t="n">
        <v>0</v>
      </c>
      <c r="S1888">
        <f>IFERROR(O1888/N1888,0)</f>
        <v/>
      </c>
      <c r="T1888" t="n">
        <v>0</v>
      </c>
      <c r="V1888" t="n">
        <v>0</v>
      </c>
    </row>
    <row r="1889">
      <c r="A1889">
        <f>Skills!A19</f>
        <v/>
      </c>
      <c r="B1889">
        <f>Skills!B19</f>
        <v/>
      </c>
      <c r="C1889">
        <f>TRUE</f>
        <v/>
      </c>
      <c r="D1889">
        <f>IF(Skills!C19=1,60+Inputs!$B$25+Inputs!$B$29,IF(Skills!C19=2,90+Inputs!$B$26+Inputs!$B$29,IF(Skills!C19=3,120+Inputs!$B$27+Inputs!$B$29,MAX(0,(Inputs!$B$3-100)*3)+Inputs!$B$28+Inputs!$B$29)))</f>
        <v/>
      </c>
      <c r="E1889">
        <f>INDEX(FactorTable!$B$2:$Y$301, MATCH(ROUND(MIN(300,MAX(1,D1889)),0), FactorTable!$A$2:$A$301,0), Skills!M19+1)</f>
        <v/>
      </c>
      <c r="F1889">
        <f>IF(Skills!N19=TRUE,(Skills!L19/10)*(E1889/1000),Skills!L19/10)+Skills!O19</f>
        <v/>
      </c>
      <c r="G1889">
        <f>Skills!G19*IF(Skills!H19&gt;0,Skills!I19/Skills!H19,1)</f>
        <v/>
      </c>
      <c r="H1889">
        <f>1-(1-Skills!J19/100)^Skills!K19</f>
        <v/>
      </c>
      <c r="I1889" t="inlineStr">
        <is>
          <t>1</t>
        </is>
      </c>
      <c r="J1889" t="inlineStr"/>
      <c r="K1889" t="inlineStr"/>
      <c r="L1889" t="inlineStr"/>
      <c r="M1889" t="inlineStr"/>
      <c r="N1889" t="inlineStr"/>
      <c r="O1889">
        <f>(1-Summary!$B$11)*T1889+Summary!$B$11*V1889</f>
        <v/>
      </c>
      <c r="P1889">
        <f>IF(B1915=0,0,O1889/B1915)</f>
        <v/>
      </c>
      <c r="Q1889">
        <f>IFERROR(1/IF(Inputs!$B$39="pvp",15,MAX(0.1,Skills!D19-IF(Skills!E19=TRUE,Inputs!$B$32,0))),0)</f>
        <v/>
      </c>
      <c r="R1889">
        <f>IF(AND(Inputs!$B$39&lt;&gt;"pvp",Inputs!$B$44&gt;0),IF(Inputs!$B$44&lt;=0,0,(INT(Inputs!$B$44/IF(Inputs!$B$39="pvp",15,MAX(0.1,Skills!D19-IF(Skills!E19=TRUE,Inputs!$B$32,0))))+1)),0)</f>
        <v/>
      </c>
      <c r="S1889">
        <f>IFERROR(O1889/N1889,0)</f>
        <v/>
      </c>
      <c r="T1889" t="n">
        <v>0</v>
      </c>
      <c r="V1889" t="n">
        <v>0</v>
      </c>
    </row>
    <row r="1890">
      <c r="A1890">
        <f>Skills!A20</f>
        <v/>
      </c>
      <c r="B1890">
        <f>Skills!B20</f>
        <v/>
      </c>
      <c r="C1890">
        <f>Inputs!$B$3&gt;=15</f>
        <v/>
      </c>
      <c r="D1890">
        <f>IF(Skills!C20=1,60+Inputs!$B$25+Inputs!$B$29,IF(Skills!C20=2,90+Inputs!$B$26+Inputs!$B$29,IF(Skills!C20=3,120+Inputs!$B$27+Inputs!$B$29,MAX(0,(Inputs!$B$3-100)*3)+Inputs!$B$28+Inputs!$B$29)))</f>
        <v/>
      </c>
      <c r="E1890">
        <f>INDEX(FactorTable!$B$2:$Y$301, MATCH(ROUND(MIN(300,MAX(1,D1890)),0), FactorTable!$A$2:$A$301,0), Skills!M20+1)</f>
        <v/>
      </c>
      <c r="F1890">
        <f>IF(Skills!N20=TRUE,(Skills!L20/10)*(E1890/1000),Skills!L20/10)+Skills!O20</f>
        <v/>
      </c>
      <c r="G1890">
        <f>Skills!G20*IF(Skills!H20&gt;0,Skills!I20/Skills!H20,1)</f>
        <v/>
      </c>
      <c r="H1890">
        <f>1-(1-Skills!J20/100)^Skills!K20</f>
        <v/>
      </c>
      <c r="I1890" t="inlineStr">
        <is>
          <t>1</t>
        </is>
      </c>
      <c r="J1890" t="inlineStr"/>
      <c r="K1890" t="inlineStr"/>
      <c r="L1890" t="inlineStr"/>
      <c r="M1890" t="inlineStr"/>
      <c r="N1890" t="inlineStr"/>
      <c r="O1890">
        <f>(1-Summary!$B$11)*T1890+Summary!$B$11*V1890</f>
        <v/>
      </c>
      <c r="P1890">
        <f>IF(B1915=0,0,O1890/B1915)</f>
        <v/>
      </c>
      <c r="Q1890">
        <f>IFERROR(1/IF(Inputs!$B$39="pvp",15,MAX(0.1,Skills!D20-IF(Skills!E20=TRUE,Inputs!$B$32,0))),0)</f>
        <v/>
      </c>
      <c r="R1890">
        <f>IF(AND(Inputs!$B$39&lt;&gt;"pvp",Inputs!$B$44&gt;0),IF(Inputs!$B$44&lt;=0,0,(INT(Inputs!$B$44/IF(Inputs!$B$39="pvp",15,MAX(0.1,Skills!D20-IF(Skills!E20=TRUE,Inputs!$B$32,0))))+1)),0)</f>
        <v/>
      </c>
      <c r="S1890">
        <f>IFERROR(O1890/N1890,0)</f>
        <v/>
      </c>
      <c r="T1890" t="n">
        <v>0</v>
      </c>
      <c r="V1890" t="n">
        <v>0</v>
      </c>
    </row>
    <row r="1891">
      <c r="A1891">
        <f>Skills!A21</f>
        <v/>
      </c>
      <c r="B1891">
        <f>Skills!B21</f>
        <v/>
      </c>
      <c r="C1891">
        <f>Inputs!$B$3&gt;=15</f>
        <v/>
      </c>
      <c r="D1891">
        <f>IF(Skills!C21=1,60+Inputs!$B$25+Inputs!$B$29,IF(Skills!C21=2,90+Inputs!$B$26+Inputs!$B$29,IF(Skills!C21=3,120+Inputs!$B$27+Inputs!$B$29,MAX(0,(Inputs!$B$3-100)*3)+Inputs!$B$28+Inputs!$B$29)))</f>
        <v/>
      </c>
      <c r="E1891">
        <f>INDEX(FactorTable!$B$2:$Y$301, MATCH(ROUND(MIN(300,MAX(1,D1891)),0), FactorTable!$A$2:$A$301,0), Skills!M21+1)</f>
        <v/>
      </c>
      <c r="F1891">
        <f>IF(Skills!N21=TRUE,(Skills!L21/10)*(E1891/1000),Skills!L21/10)+Skills!O21</f>
        <v/>
      </c>
      <c r="G1891">
        <f>Skills!G21*IF(Skills!H21&gt;0,Skills!I21/Skills!H21,1)</f>
        <v/>
      </c>
      <c r="H1891">
        <f>1-(1-Skills!J21/100)^Skills!K21</f>
        <v/>
      </c>
      <c r="I1891" t="inlineStr">
        <is>
          <t>1</t>
        </is>
      </c>
      <c r="J1891" t="inlineStr"/>
      <c r="K1891" t="inlineStr"/>
      <c r="L1891" t="inlineStr"/>
      <c r="M1891" t="inlineStr"/>
      <c r="N1891" t="inlineStr"/>
      <c r="O1891">
        <f>(1-Summary!$B$11)*T1891+Summary!$B$11*V1891</f>
        <v/>
      </c>
      <c r="P1891">
        <f>IF(B1915=0,0,O1891/B1915)</f>
        <v/>
      </c>
      <c r="Q1891">
        <f>IFERROR(1/IF(Inputs!$B$39="pvp",15,MAX(0.1,Skills!D21-IF(Skills!E21=TRUE,Inputs!$B$32,0))),0)</f>
        <v/>
      </c>
      <c r="R1891">
        <f>IF(AND(Inputs!$B$39&lt;&gt;"pvp",Inputs!$B$44&gt;0),IF(Inputs!$B$44&lt;=0,0,(INT(Inputs!$B$44/IF(Inputs!$B$39="pvp",15,MAX(0.1,Skills!D21-IF(Skills!E21=TRUE,Inputs!$B$32,0))))+1)),0)</f>
        <v/>
      </c>
      <c r="S1891">
        <f>IFERROR(O1891/N1891,0)</f>
        <v/>
      </c>
      <c r="T1891" t="n">
        <v>0</v>
      </c>
      <c r="V1891" t="n">
        <v>0</v>
      </c>
    </row>
    <row r="1892">
      <c r="A1892">
        <f>Skills!A22</f>
        <v/>
      </c>
      <c r="B1892">
        <f>Skills!B22</f>
        <v/>
      </c>
      <c r="C1892">
        <f>Inputs!$B$3&gt;=33</f>
        <v/>
      </c>
      <c r="D1892">
        <f>IF(Skills!C22=1,60+Inputs!$B$25+Inputs!$B$29,IF(Skills!C22=2,90+Inputs!$B$26+Inputs!$B$29,IF(Skills!C22=3,120+Inputs!$B$27+Inputs!$B$29,MAX(0,(Inputs!$B$3-100)*3)+Inputs!$B$28+Inputs!$B$29)))</f>
        <v/>
      </c>
      <c r="E1892">
        <f>INDEX(FactorTable!$B$2:$Y$301, MATCH(ROUND(MIN(300,MAX(1,D1892)),0), FactorTable!$A$2:$A$301,0), Skills!M22+1)</f>
        <v/>
      </c>
      <c r="F1892">
        <f>IF(Skills!N22=TRUE,(Skills!L22/10)*(E1892/1000),Skills!L22/10)+Skills!O22</f>
        <v/>
      </c>
      <c r="G1892">
        <f>Skills!G22*IF(Skills!H22&gt;0,Skills!I22/Skills!H22,1)</f>
        <v/>
      </c>
      <c r="H1892">
        <f>1-(1-Skills!J22/100)^Skills!K22</f>
        <v/>
      </c>
      <c r="I1892" t="inlineStr">
        <is>
          <t>1</t>
        </is>
      </c>
      <c r="J1892" t="inlineStr"/>
      <c r="K1892" t="inlineStr"/>
      <c r="L1892" t="inlineStr"/>
      <c r="M1892" t="inlineStr"/>
      <c r="N1892" t="inlineStr"/>
      <c r="O1892">
        <f>(1-Summary!$B$11)*T1892+Summary!$B$11*V1892</f>
        <v/>
      </c>
      <c r="P1892">
        <f>IF(B1915=0,0,O1892/B1915)</f>
        <v/>
      </c>
      <c r="Q1892" t="n">
        <v>0</v>
      </c>
      <c r="R1892" t="n">
        <v>0</v>
      </c>
      <c r="S1892">
        <f>IFERROR(O1892/N1892,0)</f>
        <v/>
      </c>
      <c r="T1892" t="n">
        <v>0</v>
      </c>
      <c r="V1892" t="n">
        <v>0</v>
      </c>
    </row>
    <row r="1893">
      <c r="A1893">
        <f>Skills!A23</f>
        <v/>
      </c>
      <c r="B1893">
        <f>Skills!B23</f>
        <v/>
      </c>
      <c r="C1893">
        <f>Inputs!$B$3&gt;=40</f>
        <v/>
      </c>
      <c r="D1893">
        <f>IF(Skills!C23=1,60+Inputs!$B$25+Inputs!$B$29,IF(Skills!C23=2,90+Inputs!$B$26+Inputs!$B$29,IF(Skills!C23=3,120+Inputs!$B$27+Inputs!$B$29,MAX(0,(Inputs!$B$3-100)*3)+Inputs!$B$28+Inputs!$B$29)))</f>
        <v/>
      </c>
      <c r="E1893">
        <f>INDEX(FactorTable!$B$2:$Y$301, MATCH(ROUND(MIN(300,MAX(1,D1893)),0), FactorTable!$A$2:$A$301,0), Skills!M23+1)</f>
        <v/>
      </c>
      <c r="F1893">
        <f>IF(Skills!N23=TRUE,(Skills!L23/10)*(E1893/1000),Skills!L23/10)+Skills!O23</f>
        <v/>
      </c>
      <c r="G1893">
        <f>Skills!G23*IF(Skills!H23&gt;0,Skills!I23/Skills!H23,1)</f>
        <v/>
      </c>
      <c r="H1893">
        <f>1-(1-Skills!J23/100)^Skills!K23</f>
        <v/>
      </c>
      <c r="I1893" t="inlineStr">
        <is>
          <t>1</t>
        </is>
      </c>
      <c r="J1893" t="inlineStr"/>
      <c r="K1893" t="inlineStr"/>
      <c r="L1893" t="inlineStr"/>
      <c r="M1893" t="inlineStr"/>
      <c r="N1893" t="inlineStr"/>
      <c r="O1893">
        <f>(1-Summary!$B$11)*T1893+Summary!$B$11*V1893</f>
        <v/>
      </c>
      <c r="P1893">
        <f>IF(B1915=0,0,O1893/B1915)</f>
        <v/>
      </c>
      <c r="Q1893" t="n">
        <v>0</v>
      </c>
      <c r="R1893" t="n">
        <v>0</v>
      </c>
      <c r="S1893">
        <f>IFERROR(O1893/N1893,0)</f>
        <v/>
      </c>
      <c r="T1893" t="n">
        <v>0</v>
      </c>
      <c r="V1893" t="n">
        <v>0</v>
      </c>
    </row>
    <row r="1894">
      <c r="A1894">
        <f>Skills!A24</f>
        <v/>
      </c>
      <c r="B1894">
        <f>Skills!B24</f>
        <v/>
      </c>
      <c r="C1894">
        <f>Inputs!$B$3&gt;=43</f>
        <v/>
      </c>
      <c r="D1894">
        <f>IF(Skills!C24=1,60+Inputs!$B$25+Inputs!$B$29,IF(Skills!C24=2,90+Inputs!$B$26+Inputs!$B$29,IF(Skills!C24=3,120+Inputs!$B$27+Inputs!$B$29,MAX(0,(Inputs!$B$3-100)*3)+Inputs!$B$28+Inputs!$B$29)))</f>
        <v/>
      </c>
      <c r="E1894">
        <f>INDEX(FactorTable!$B$2:$Y$301, MATCH(ROUND(MIN(300,MAX(1,D1894)),0), FactorTable!$A$2:$A$301,0), Skills!M24+1)</f>
        <v/>
      </c>
      <c r="F1894">
        <f>IF(Skills!N24=TRUE,(Skills!L24/10)*(E1894/1000),Skills!L24/10)+Skills!O24</f>
        <v/>
      </c>
      <c r="G1894">
        <f>Skills!G24*IF(Skills!H24&gt;0,Skills!I24/Skills!H24,1)</f>
        <v/>
      </c>
      <c r="H1894">
        <f>1-(1-Skills!J24/100)^Skills!K24</f>
        <v/>
      </c>
      <c r="I1894" t="inlineStr">
        <is>
          <t>1</t>
        </is>
      </c>
      <c r="J1894" t="inlineStr"/>
      <c r="K1894" t="inlineStr"/>
      <c r="L1894" t="inlineStr"/>
      <c r="M1894" t="inlineStr"/>
      <c r="N1894" t="inlineStr"/>
      <c r="O1894">
        <f>(1-Summary!$B$11)*T1894+Summary!$B$11*V1894</f>
        <v/>
      </c>
      <c r="P1894">
        <f>IF(B1915=0,0,O1894/B1915)</f>
        <v/>
      </c>
      <c r="Q1894" t="n">
        <v>0</v>
      </c>
      <c r="R1894" t="n">
        <v>0</v>
      </c>
      <c r="S1894">
        <f>IFERROR(O1894/N1894,0)</f>
        <v/>
      </c>
      <c r="T1894" t="n">
        <v>0</v>
      </c>
      <c r="V1894" t="n">
        <v>0</v>
      </c>
    </row>
    <row r="1895">
      <c r="A1895">
        <f>Skills!A25</f>
        <v/>
      </c>
      <c r="B1895">
        <f>Skills!B25</f>
        <v/>
      </c>
      <c r="C1895">
        <f>Inputs!$B$3&gt;=50</f>
        <v/>
      </c>
      <c r="D1895">
        <f>IF(Skills!C25=1,60+Inputs!$B$25+Inputs!$B$29,IF(Skills!C25=2,90+Inputs!$B$26+Inputs!$B$29,IF(Skills!C25=3,120+Inputs!$B$27+Inputs!$B$29,MAX(0,(Inputs!$B$3-100)*3)+Inputs!$B$28+Inputs!$B$29)))</f>
        <v/>
      </c>
      <c r="E1895">
        <f>INDEX(FactorTable!$B$2:$Y$301, MATCH(ROUND(MIN(300,MAX(1,D1895)),0), FactorTable!$A$2:$A$301,0), Skills!M25+1)</f>
        <v/>
      </c>
      <c r="F1895">
        <f>IF(Skills!N25=TRUE,(Skills!L25/10)*(E1895/1000),Skills!L25/10)+Skills!O25</f>
        <v/>
      </c>
      <c r="G1895">
        <f>Skills!G25*IF(Skills!H25&gt;0,Skills!I25/Skills!H25,1)</f>
        <v/>
      </c>
      <c r="H1895">
        <f>1-(1-Skills!J25/100)^Skills!K25</f>
        <v/>
      </c>
      <c r="I1895" t="inlineStr">
        <is>
          <t>1</t>
        </is>
      </c>
      <c r="J1895" t="inlineStr"/>
      <c r="K1895" t="inlineStr"/>
      <c r="L1895" t="inlineStr"/>
      <c r="M1895" t="inlineStr"/>
      <c r="N1895" t="inlineStr"/>
      <c r="O1895">
        <f>(1-Summary!$B$11)*T1895+Summary!$B$11*V1895</f>
        <v/>
      </c>
      <c r="P1895">
        <f>IF(B1915=0,0,O1895/B1915)</f>
        <v/>
      </c>
      <c r="Q1895" t="n">
        <v>0</v>
      </c>
      <c r="R1895" t="n">
        <v>0</v>
      </c>
      <c r="S1895">
        <f>IFERROR(O1895/N1895,0)</f>
        <v/>
      </c>
      <c r="T1895" t="n">
        <v>0</v>
      </c>
      <c r="V1895" t="n">
        <v>0</v>
      </c>
    </row>
    <row r="1896">
      <c r="A1896">
        <f>Skills!A26</f>
        <v/>
      </c>
      <c r="B1896">
        <f>Skills!B26</f>
        <v/>
      </c>
      <c r="C1896">
        <f>Inputs!$B$3&gt;=50</f>
        <v/>
      </c>
      <c r="D1896">
        <f>IF(Skills!C26=1,60+Inputs!$B$25+Inputs!$B$29,IF(Skills!C26=2,90+Inputs!$B$26+Inputs!$B$29,IF(Skills!C26=3,120+Inputs!$B$27+Inputs!$B$29,MAX(0,(Inputs!$B$3-100)*3)+Inputs!$B$28+Inputs!$B$29)))</f>
        <v/>
      </c>
      <c r="E1896">
        <f>INDEX(FactorTable!$B$2:$Y$301, MATCH(ROUND(MIN(300,MAX(1,D1896)),0), FactorTable!$A$2:$A$301,0), Skills!M26+1)</f>
        <v/>
      </c>
      <c r="F1896">
        <f>IF(Skills!N26=TRUE,(Skills!L26/10)*(E1896/1000),Skills!L26/10)+Skills!O26</f>
        <v/>
      </c>
      <c r="G1896">
        <f>Skills!G26*IF(Skills!H26&gt;0,Skills!I26/Skills!H26,1)</f>
        <v/>
      </c>
      <c r="H1896">
        <f>1-(1-Skills!J26/100)^Skills!K26</f>
        <v/>
      </c>
      <c r="I1896" t="inlineStr">
        <is>
          <t>1</t>
        </is>
      </c>
      <c r="J1896" t="inlineStr"/>
      <c r="K1896" t="inlineStr"/>
      <c r="L1896" t="inlineStr"/>
      <c r="M1896" t="inlineStr"/>
      <c r="N1896" t="inlineStr"/>
      <c r="O1896">
        <f>(1-Summary!$B$11)*T1896+Summary!$B$11*V1896</f>
        <v/>
      </c>
      <c r="P1896">
        <f>IF(B1915=0,0,O1896/B1915)</f>
        <v/>
      </c>
      <c r="Q1896" t="n">
        <v>0</v>
      </c>
      <c r="R1896" t="n">
        <v>0</v>
      </c>
      <c r="S1896">
        <f>IFERROR(O1896/N1896,0)</f>
        <v/>
      </c>
      <c r="T1896" t="n">
        <v>0</v>
      </c>
      <c r="V1896" t="n">
        <v>0</v>
      </c>
    </row>
    <row r="1897">
      <c r="A1897">
        <f>Skills!A27</f>
        <v/>
      </c>
      <c r="B1897">
        <f>Skills!B27</f>
        <v/>
      </c>
      <c r="C1897">
        <f>Inputs!$B$3&gt;=38</f>
        <v/>
      </c>
      <c r="D1897">
        <f>IF(Skills!C27=1,60+Inputs!$B$25+Inputs!$B$29,IF(Skills!C27=2,90+Inputs!$B$26+Inputs!$B$29,IF(Skills!C27=3,120+Inputs!$B$27+Inputs!$B$29,MAX(0,(Inputs!$B$3-100)*3)+Inputs!$B$28+Inputs!$B$29)))</f>
        <v/>
      </c>
      <c r="E1897">
        <f>INDEX(FactorTable!$B$2:$Y$301, MATCH(ROUND(MIN(300,MAX(1,D1897)),0), FactorTable!$A$2:$A$301,0), Skills!M27+1)</f>
        <v/>
      </c>
      <c r="F1897">
        <f>IF(Skills!N27=TRUE,(Skills!L27/10)*(E1897/1000),Skills!L27/10)+Skills!O27</f>
        <v/>
      </c>
      <c r="G1897">
        <f>Skills!G27*IF(Skills!H27&gt;0,Skills!I27/Skills!H27,1)</f>
        <v/>
      </c>
      <c r="H1897">
        <f>1-(1-Skills!J27/100)^Skills!K27</f>
        <v/>
      </c>
      <c r="I1897" t="inlineStr">
        <is>
          <t>1</t>
        </is>
      </c>
      <c r="J1897" t="inlineStr"/>
      <c r="K1897" t="inlineStr"/>
      <c r="L1897" t="inlineStr"/>
      <c r="M1897" t="inlineStr"/>
      <c r="N1897" t="inlineStr"/>
      <c r="O1897">
        <f>(1-Summary!$B$11)*T1897+Summary!$B$11*V1897</f>
        <v/>
      </c>
      <c r="P1897">
        <f>IF(B1915=0,0,O1897/B1915)</f>
        <v/>
      </c>
      <c r="Q1897" t="n">
        <v>0</v>
      </c>
      <c r="R1897" t="n">
        <v>0</v>
      </c>
      <c r="S1897">
        <f>IFERROR(O1897/N1897,0)</f>
        <v/>
      </c>
      <c r="T1897" t="n">
        <v>0</v>
      </c>
      <c r="V1897" t="n">
        <v>0</v>
      </c>
    </row>
    <row r="1898">
      <c r="A1898">
        <f>Skills!A28</f>
        <v/>
      </c>
      <c r="B1898">
        <f>Skills!B28</f>
        <v/>
      </c>
      <c r="C1898">
        <f>Inputs!$B$3&gt;=120</f>
        <v/>
      </c>
      <c r="D1898">
        <f>IF(Skills!C28=1,60+Inputs!$B$25+Inputs!$B$29,IF(Skills!C28=2,90+Inputs!$B$26+Inputs!$B$29,IF(Skills!C28=3,120+Inputs!$B$27+Inputs!$B$29,MAX(0,(Inputs!$B$3-100)*3)+Inputs!$B$28+Inputs!$B$29)))</f>
        <v/>
      </c>
      <c r="E1898">
        <f>INDEX(FactorTable!$B$2:$Y$301, MATCH(ROUND(MIN(300,MAX(1,D1898)),0), FactorTable!$A$2:$A$301,0), Skills!M28+1)</f>
        <v/>
      </c>
      <c r="F1898">
        <f>IF(Skills!N28=TRUE,(Skills!L28/10)*(E1898/1000),Skills!L28/10)+Skills!O28</f>
        <v/>
      </c>
      <c r="G1898">
        <f>Skills!G28*IF(Skills!H28&gt;0,Skills!I28/Skills!H28,1)</f>
        <v/>
      </c>
      <c r="H1898">
        <f>1-(1-Skills!J28/100)^Skills!K28</f>
        <v/>
      </c>
      <c r="I1898" t="inlineStr">
        <is>
          <t>1</t>
        </is>
      </c>
      <c r="J1898" t="inlineStr"/>
      <c r="K1898" t="inlineStr"/>
      <c r="L1898" t="inlineStr"/>
      <c r="M1898" t="inlineStr"/>
      <c r="N1898" t="inlineStr"/>
      <c r="O1898">
        <f>(1-Summary!$B$11)*T1898+Summary!$B$11*V1898</f>
        <v/>
      </c>
      <c r="P1898">
        <f>IF(B1915=0,0,O1898/B1915)</f>
        <v/>
      </c>
      <c r="Q1898" t="n">
        <v>0</v>
      </c>
      <c r="R1898" t="n">
        <v>0</v>
      </c>
      <c r="S1898">
        <f>IFERROR(O1898/N1898,0)</f>
        <v/>
      </c>
      <c r="T1898" t="n">
        <v>0</v>
      </c>
      <c r="V1898" t="n">
        <v>0</v>
      </c>
    </row>
    <row r="1899">
      <c r="A1899">
        <f>Skills!A29</f>
        <v/>
      </c>
      <c r="B1899">
        <f>Skills!B29</f>
        <v/>
      </c>
      <c r="C1899">
        <f>Inputs!$B$3&gt;=120</f>
        <v/>
      </c>
      <c r="D1899">
        <f>IF(Skills!C29=1,60+Inputs!$B$25+Inputs!$B$29,IF(Skills!C29=2,90+Inputs!$B$26+Inputs!$B$29,IF(Skills!C29=3,120+Inputs!$B$27+Inputs!$B$29,MAX(0,(Inputs!$B$3-100)*3)+Inputs!$B$28+Inputs!$B$29)))</f>
        <v/>
      </c>
      <c r="E1899">
        <f>INDEX(FactorTable!$B$2:$Y$301, MATCH(ROUND(MIN(300,MAX(1,D1899)),0), FactorTable!$A$2:$A$301,0), Skills!M29+1)</f>
        <v/>
      </c>
      <c r="F1899">
        <f>IF(Skills!N29=TRUE,(Skills!L29/10)*(E1899/1000),Skills!L29/10)+Skills!O29</f>
        <v/>
      </c>
      <c r="G1899">
        <f>Skills!G29*IF(Skills!H29&gt;0,Skills!I29/Skills!H29,1)</f>
        <v/>
      </c>
      <c r="H1899">
        <f>1-(1-Skills!J29/100)^Skills!K29</f>
        <v/>
      </c>
      <c r="I1899" t="inlineStr">
        <is>
          <t>1</t>
        </is>
      </c>
      <c r="J1899" t="inlineStr"/>
      <c r="K1899" t="inlineStr"/>
      <c r="L1899" t="inlineStr"/>
      <c r="M1899" t="inlineStr"/>
      <c r="N1899" t="inlineStr"/>
      <c r="O1899">
        <f>(1-Summary!$B$11)*T1899+Summary!$B$11*V1899</f>
        <v/>
      </c>
      <c r="P1899">
        <f>IF(B1915=0,0,O1899/B1915)</f>
        <v/>
      </c>
      <c r="Q1899" t="n">
        <v>0</v>
      </c>
      <c r="R1899" t="n">
        <v>0</v>
      </c>
      <c r="S1899">
        <f>IFERROR(O1899/N1899,0)</f>
        <v/>
      </c>
      <c r="T1899" t="n">
        <v>0</v>
      </c>
      <c r="V1899" t="n">
        <v>0</v>
      </c>
    </row>
    <row r="1900">
      <c r="A1900">
        <f>Skills!A30</f>
        <v/>
      </c>
      <c r="B1900">
        <f>Skills!B30</f>
        <v/>
      </c>
      <c r="C1900">
        <f>Inputs!$B$3&gt;=125</f>
        <v/>
      </c>
      <c r="D1900">
        <f>IF(Skills!C30=1,60+Inputs!$B$25+Inputs!$B$29,IF(Skills!C30=2,90+Inputs!$B$26+Inputs!$B$29,IF(Skills!C30=3,120+Inputs!$B$27+Inputs!$B$29,MAX(0,(Inputs!$B$3-100)*3)+Inputs!$B$28+Inputs!$B$29)))</f>
        <v/>
      </c>
      <c r="E1900">
        <f>INDEX(FactorTable!$B$2:$Y$301, MATCH(ROUND(MIN(300,MAX(1,D1900)),0), FactorTable!$A$2:$A$301,0), Skills!M30+1)</f>
        <v/>
      </c>
      <c r="F1900">
        <f>IF(Skills!N30=TRUE,(Skills!L30/10)*(E1900/1000),Skills!L30/10)+Skills!O30</f>
        <v/>
      </c>
      <c r="G1900">
        <f>Skills!G30*IF(Skills!H30&gt;0,Skills!I30/Skills!H30,1)</f>
        <v/>
      </c>
      <c r="H1900">
        <f>1-(1-Skills!J30/100)^Skills!K30</f>
        <v/>
      </c>
      <c r="I1900" t="inlineStr">
        <is>
          <t>1</t>
        </is>
      </c>
      <c r="J1900" t="inlineStr"/>
      <c r="K1900" t="inlineStr"/>
      <c r="L1900" t="inlineStr"/>
      <c r="M1900" t="inlineStr"/>
      <c r="N1900" t="inlineStr"/>
      <c r="O1900">
        <f>(1-Summary!$B$11)*T1900+Summary!$B$11*V1900</f>
        <v/>
      </c>
      <c r="P1900">
        <f>IF(B1915=0,0,O1900/B1915)</f>
        <v/>
      </c>
      <c r="Q1900" t="n">
        <v>0</v>
      </c>
      <c r="R1900" t="n">
        <v>0</v>
      </c>
      <c r="S1900">
        <f>IFERROR(O1900/N1900,0)</f>
        <v/>
      </c>
      <c r="T1900" t="n">
        <v>0</v>
      </c>
      <c r="V1900" t="n">
        <v>0</v>
      </c>
    </row>
    <row r="1902">
      <c r="A1902" t="inlineStr">
        <is>
          <t>Average Buff Multiplier</t>
        </is>
      </c>
      <c r="B1902">
        <f>(1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f>
        <v/>
      </c>
    </row>
    <row r="1903">
      <c r="A1903" t="inlineStr">
        <is>
          <t>Global Crit Rate Bonus %</t>
        </is>
      </c>
      <c r="B1903">
        <f>((C1890=TRUE)*F1890*IF(AND(Inputs!$B$39&lt;&gt;"pvp",Inputs!$B$44&gt;0),(((R1890-1)*(Skills!Y20*(1+Inputs!$B$34/100))+MIN((Skills!Y20*(1+Inputs!$B$34/100)),MAX(0,Inputs!$B$44-((R1890-1)*Skills!D20))))/Inputs!$B$44),IF(Inputs!$B$39="pvp",MIN((Skills!Y20*(1+Inputs!$B$34/100)),15)/15,(Skills!Y20*(1+Inputs!$B$34/100))/Skills!D20)))</f>
        <v/>
      </c>
    </row>
    <row r="1904">
      <c r="A1904" t="inlineStr">
        <is>
          <t>Global Monster Damage-Taken Bonus %</t>
        </is>
      </c>
      <c r="B1904">
        <f>IF(Inputs!$B$3&gt;=82,15,0)</f>
        <v/>
      </c>
    </row>
    <row r="1905">
      <c r="A1905" t="inlineStr">
        <is>
          <t>Shadow Partner Average Multiplier</t>
        </is>
      </c>
      <c r="B1905">
        <f>1+((C1877=TRUE)*F1877*(1+3.3333333333333335*IF(C1888=TRUE,F1888,0)/100)*I1877*Skills!J7/100)/100</f>
        <v/>
      </c>
    </row>
    <row r="1906">
      <c r="A1906" t="inlineStr">
        <is>
          <t>Attack Speed Buff Bonus %</t>
        </is>
      </c>
      <c r="B1906">
        <f>((C1889=TRUE)*F1889*IF(AND(Inputs!$B$39&lt;&gt;"pvp",Inputs!$B$44&gt;0),(((R1889-1)*(Skills!Y19*(1+Inputs!$B$34/100))+MIN((Skills!Y19*(1+Inputs!$B$34/100)),MAX(0,Inputs!$B$44-((R1889-1)*Skills!D19))))/Inputs!$B$44),IF(Inputs!$B$39="pvp",MIN((Skills!Y19*(1+Inputs!$B$34/100)),15)/15,(Skills!Y19*(1+Inputs!$B$34/100))/Skills!D19)))+((C1873=TRUE)*F1873*3)</f>
        <v/>
      </c>
    </row>
    <row r="1907">
      <c r="A1907" t="inlineStr">
        <is>
          <t>Actions Per Second</t>
        </is>
      </c>
      <c r="B1907">
        <f>1+MIN(150,150*(1-(1-(Inputs!$B$11+((C1892=TRUE)*(F1892-Calc!F22)))/150)*(1-B1906/150)))/100</f>
        <v/>
      </c>
    </row>
    <row r="1908">
      <c r="A1908" t="inlineStr">
        <is>
          <t>Skill + Buff Cast Rate</t>
        </is>
      </c>
      <c r="B1908">
        <f>IF(AND(Inputs!$B$39&lt;&gt;"pvp",Inputs!$B$44&gt;0),SUMPRODUCT((Skills!E2:E30=TRUE)*(C1872:C1900=TRUE)*R1872:R1900*Skills!F2:F30)/Inputs!$B$44,SUMPRODUCT((Skills!E2:E30=TRUE)*(C1872:C1900=TRUE)*Q1872:Q1900*Skills!F2:F30))</f>
        <v/>
      </c>
    </row>
    <row r="1909">
      <c r="A1909" t="inlineStr">
        <is>
          <t>Cruel Stab Casts Per Second</t>
        </is>
      </c>
      <c r="B1909">
        <f>MAX(0,B1907-B1908)</f>
        <v/>
      </c>
    </row>
    <row r="1910">
      <c r="A1910" t="inlineStr">
        <is>
          <t>Global Critical Damage Bonus % (Smokescreen Mastery Lv.113)</t>
        </is>
      </c>
      <c r="B1910">
        <f>IF(Inputs!$B$3&gt;=113,30,0)*IF(AND(Inputs!$B$39&lt;&gt;"pvp",Inputs!$B$44&gt;0),(((R1885-1)*(Skills!Y15*(1+Inputs!$B$34/100))+MIN((Skills!Y15*(1+Inputs!$B$34/100)),MAX(0,Inputs!$B$44-((R1885-1)*Skills!D15))))/Inputs!$B$44),IF(Inputs!$B$39="pvp",MIN((Skills!Y15*(1+Inputs!$B$34/100)),15)/15,(Skills!Y15*(1+Inputs!$B$34/100))/Skills!D15))</f>
        <v/>
      </c>
    </row>
    <row r="1911">
      <c r="A1911" t="inlineStr">
        <is>
          <t>Meso Explosion average stack count</t>
        </is>
      </c>
      <c r="B1911">
        <f>MIN(10,0.5*B1907*Skills!D4)</f>
        <v/>
      </c>
    </row>
    <row r="1912">
      <c r="A1912" t="inlineStr">
        <is>
          <t>Blood Money average stack count</t>
        </is>
      </c>
      <c r="B1912">
        <f>MIN(5,0.25*B1907*Skills!D4)</f>
        <v/>
      </c>
    </row>
    <row r="1913">
      <c r="A1913" t="inlineStr">
        <is>
          <t>Assassinate Murderous Intent Multiplier</t>
        </is>
      </c>
      <c r="B1913">
        <f>1+IFERROR(MIN(1,Q1884*2/Q1881),0)</f>
        <v/>
      </c>
    </row>
    <row r="1914">
      <c r="A1914" t="inlineStr">
        <is>
          <t>Buff-Casting Startup Delay (s, fixed-duration only)</t>
        </is>
      </c>
      <c r="B1914">
        <f>IF(AND(Inputs!$B$39&lt;&gt;"pvp",Inputs!$B$44&gt;0),SUMPRODUCT((Skills!Y2:Y30&gt;0)*(Skills!E2:E30=TRUE)*(C1872:C1900=TRUE))/B1907,0)</f>
        <v/>
      </c>
    </row>
    <row r="1915">
      <c r="A1915" s="6" t="inlineStr">
        <is>
          <t>TOTAL DPS</t>
        </is>
      </c>
      <c r="B1915" s="6">
        <f>SUM(O1872:O1900)</f>
        <v/>
      </c>
    </row>
    <row r="1916">
      <c r="A1916" t="inlineStr">
        <is>
          <t>Boss-Only Total DPS (this block's swept value)</t>
        </is>
      </c>
      <c r="B1916">
        <f>SUM(T1872:T1900)</f>
        <v/>
      </c>
    </row>
    <row r="1917">
      <c r="A1917" t="inlineStr">
        <is>
          <t>Normal-Only Total DPS (this block's swept value)</t>
        </is>
      </c>
      <c r="B1917">
        <f>SUM(V1872:V1900)</f>
        <v/>
      </c>
    </row>
    <row r="1920">
      <c r="A1920" s="6" t="inlineStr">
        <is>
          <t>Stat: Zakum's Stone Piece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1922)</f>
        <v/>
      </c>
      <c r="L1922">
        <f>K1922*(MIN(Inputs!$B$22+((C1944=TRUE)*(F1944-Calc!F24)),(Inputs!$B$23+((C1949=TRUE)*(F1949-Calc!F29))+IF(ArtifactsInput!$M$15,CHOOSE(ArtifactsInput!$N$15+1,25,30,35,40,45,50)/100*(Inputs!$B$11-Inputs!$B$11),0)))/100+(Inputs!$B$23+((C1949=TRUE)*(F1949-Calc!F29))+IF(ArtifactsInput!$M$15,CHOOSE(ArtifactsInput!$N$15+1,25,30,35,40,45,50)/100*(Inputs!$B$11-Inputs!$B$11),0))/100)/2</f>
        <v/>
      </c>
      <c r="M1922">
        <f>L1922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2">
        <f>L1922*(1-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1922*(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2">
        <f>(1-Summary!$B$11)*T1922+Summary!$B$11*V1922</f>
        <v/>
      </c>
      <c r="P1922">
        <f>IF(B1965=0,0,O1922/B1965)</f>
        <v/>
      </c>
      <c r="Q1922" t="n">
        <v>0</v>
      </c>
      <c r="R1922" t="n">
        <v>0</v>
      </c>
      <c r="S1922">
        <f>IFERROR(O1922/N1922,0)</f>
        <v/>
      </c>
      <c r="T1922">
        <f>IF(C1922,(Skills!G2*N1922*B1959)*IF(Inputs!$B$39="pvp",1,1+(Inputs!$B$20+0+Skills!P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1922*(1-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1922*(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1922*(1-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1922*(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2">
        <f>MAX(0,(Inputs!$B$3-100)*3)+Inputs!$B$28+Inputs!$B$29</f>
        <v/>
      </c>
      <c r="V1922">
        <f>IF(C1922,(Skills!G2*N1922*B1959)*IF(Inputs!$B$39="pvp",1,(1+(Inputs!$B$21+Skills!Q2+B1954+(IF(ArtifactsInput!$M$33,CHOOSE(ArtifactsInput!$N$33+1,30,36,42,48,54,60),0))+(IF(AND(ArtifactsInput!$M$35,Inputs!$B$4&lt;&gt;"Chapter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t="inlineStr"/>
      <c r="K1923" t="inlineStr"/>
      <c r="L1923" t="inlineStr"/>
      <c r="M1923" t="inlineStr"/>
      <c r="N1923" t="inlineStr"/>
      <c r="O1923">
        <f>(1-Summary!$B$11)*T1923+Summary!$B$11*V1923</f>
        <v/>
      </c>
      <c r="P1923">
        <f>IF(B1965=0,0,O1923/B1965)</f>
        <v/>
      </c>
      <c r="Q1923" t="n">
        <v>0</v>
      </c>
      <c r="R1923" t="n">
        <v>0</v>
      </c>
      <c r="S1923">
        <f>IFERROR(O1923/N1923,0)</f>
        <v/>
      </c>
      <c r="T1923" t="n">
        <v>0</v>
      </c>
      <c r="U1923">
        <f>INDEX(FactorTable!$B$2:$Y$301, MATCH(ROUND(MIN(300,MAX(1,U1922)),0), FactorTable!$A$2:$A$301,0), 22)</f>
        <v/>
      </c>
      <c r="V1923" t="n">
        <v>0</v>
      </c>
    </row>
    <row r="1924">
      <c r="A1924">
        <f>Skills!A4</f>
        <v/>
      </c>
      <c r="B1924">
        <f>Skills!B4</f>
        <v/>
      </c>
      <c r="C1924">
        <f>Inputs!$B$3&gt;=66</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1924)</f>
        <v/>
      </c>
      <c r="L1924">
        <f>K1924*(MIN(Inputs!$B$22+((C1944=TRUE)*(F1944-Calc!F24)),(Inputs!$B$23+((C1949=TRUE)*(F1949-Calc!F29))+IF(ArtifactsInput!$M$15,CHOOSE(ArtifactsInput!$N$15+1,25,30,35,40,45,50)/100*(Inputs!$B$11-Inputs!$B$11),0)))/100+(Inputs!$B$23+((C1949=TRUE)*(F1949-Calc!F29))+IF(ArtifactsInput!$M$15,CHOOSE(ArtifactsInput!$N$15+1,25,30,35,40,45,50)/100*(Inputs!$B$11-Inputs!$B$11),0))/100)/2</f>
        <v/>
      </c>
      <c r="M1924">
        <f>L1924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4">
        <f>L1924*(1-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(1-Summary!$B$11)*T1924+Summary!$B$11*V1924</f>
        <v/>
      </c>
      <c r="P1924">
        <f>IF(B1965=0,0,O1924/B1965)</f>
        <v/>
      </c>
      <c r="Q1924">
        <f>IFERROR(1/IF(Inputs!$B$39="pvp",15,MAX(0.1,Skills!D4-IF(Skills!E4=TRUE,Inputs!$B$32,0))),0)</f>
        <v/>
      </c>
      <c r="R1924">
        <f>IF(AND(Inputs!$B$39&lt;&gt;"pvp",Inputs!$B$44&gt;0),IF(MAX(0,Inputs!$B$44-B1964)&lt;=0,0,(INT(MAX(0,Inputs!$B$44-B1964)/IF(Inputs!$B$39="pvp",15,MAX(0.1,Skills!D4-IF(Skills!E4=TRUE,Inputs!$B$32,0))))+1)),0)</f>
        <v/>
      </c>
      <c r="S1924">
        <f>IFERROR(O1924/N1924,0)</f>
        <v/>
      </c>
      <c r="T1924">
        <f>IF(C1924,(H1924*N1924*IF(AND(Inputs!$B$39&lt;&gt;"pvp",Inputs!$B$44&gt;0),((Skills!G4*((R1924-1)*IF(Skills!H4&gt;0,Skills!I4/Skills!H4,1)+IF(Skills!H4&gt;0,MIN(Skills!I4,MAX(0,MAX(0,Inputs!$B$44-B1964)-((R1924-1)*IF(Inputs!$B$39="pvp",15,MAX(0.1,Skills!D4-IF(Skills!E4=TRUE,Inputs!$B$32,0))))))/Skills!H4,1)))/Inputs!$B$44),G1924*Q1924))*IF(Inputs!$B$39="pvp",1,1+(Inputs!$B$20+0+Skills!P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1924*(1-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f>290*U1923/1000</f>
        <v/>
      </c>
      <c r="V1924">
        <f>IF(C1924,(H1924*N1924*IF(AND(Inputs!$B$39&lt;&gt;"pvp",Inputs!$B$44&gt;0),((Skills!G4*((R1924-1)*IF(Skills!H4&gt;0,Skills!I4/Skills!H4,1)+IF(Skills!H4&gt;0,MIN(Skills!I4,MAX(0,MAX(0,Inputs!$B$44-B1964)-((R1924-1)*IF(Inputs!$B$39="pvp",15,MAX(0.1,Skills!D4-IF(Skills!E4=TRUE,Inputs!$B$32,0))))))/Skills!H4,1)))/Inputs!$B$44),G1924*Q1924))*IF(Inputs!$B$39="pvp",1,(1+(Inputs!$B$21+Skills!Q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(10,0.5*B1957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5">
      <c r="A1925">
        <f>Skills!A5</f>
        <v/>
      </c>
      <c r="B1925">
        <f>Skills!B5</f>
        <v/>
      </c>
      <c r="C1925">
        <f>Inputs!$B$3&gt;=63</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1938=TRUE,F1938,0)/100)*(1+(IF(Skills!A5="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1925)</f>
        <v/>
      </c>
      <c r="L1925">
        <f>K1925*(MIN(Inputs!$B$22+((C1944=TRUE)*(F1944-Calc!F24)),(Inputs!$B$23+((C1949=TRUE)*(F1949-Calc!F29))+IF(ArtifactsInput!$M$15,CHOOSE(ArtifactsInput!$N$15+1,25,30,35,40,45,50)/100*(Inputs!$B$11-Inputs!$B$11),0)))/100+(Inputs!$B$23+((C1949=TRUE)*(F1949-Calc!F29))+IF(ArtifactsInput!$M$15,CHOOSE(ArtifactsInput!$N$15+1,25,30,35,40,45,50)/100*(Inputs!$B$11-Inputs!$B$11),0))/100)/2</f>
        <v/>
      </c>
      <c r="M1925">
        <f>L1925*(1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5">
        <f>L1925*(1-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(1-Summary!$B$11)*T1925+Summary!$B$11*V1925</f>
        <v/>
      </c>
      <c r="P1925">
        <f>IF(B1965=0,0,O1925/B1965)</f>
        <v/>
      </c>
      <c r="Q1925">
        <f>IFERROR(1/IF(Inputs!$B$39="pvp",15,MAX(0.1,Skills!D5-IF(Skills!E5=TRUE,Inputs!$B$32,0))),0)</f>
        <v/>
      </c>
      <c r="R1925">
        <f>IF(AND(Inputs!$B$39&lt;&gt;"pvp",Inputs!$B$44&gt;0),IF(MAX(0,Inputs!$B$44-B1964)&lt;=0,0,(INT(MAX(0,Inputs!$B$44-B1964)/IF(Inputs!$B$39="pvp",15,MAX(0.1,Skills!D5-IF(Skills!E5=TRUE,Inputs!$B$32,0))))+1)),0)</f>
        <v/>
      </c>
      <c r="S1925">
        <f>IFERROR(O1925/N1925,0)</f>
        <v/>
      </c>
      <c r="T1925">
        <f>IF(C1925,(H1925*N1925*IF(AND(Inputs!$B$39&lt;&gt;"pvp",Inputs!$B$44&gt;0),((Skills!G5*((R1925-1)*IF(Skills!H5&gt;0,Skills!I5/Skills!H5,1)+IF(Skills!H5&gt;0,MIN(Skills!I5,MAX(0,MAX(0,Inputs!$B$44-B1964)-((R1925-1)*IF(Inputs!$B$39="pvp",15,MAX(0.1,Skills!D5-IF(Skills!E5=TRUE,Inputs!$B$32,0))))))/Skills!H5,1)))/Inputs!$B$44),G1925*Q1925))*IF(Inputs!$B$39="pvp",1,1+(Inputs!$B$20+0+Skills!P5+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1925*(1-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5">
        <f>IF(C1925,(H1925*N1925*IF(AND(Inputs!$B$39&lt;&gt;"pvp",Inputs!$B$44&gt;0),((Skills!G5*((R1925-1)*IF(Skills!H5&gt;0,Skills!I5/Skills!H5,1)+IF(Skills!H5&gt;0,MIN(Skills!I5,MAX(0,MAX(0,Inputs!$B$44-B1964)-((R1925-1)*IF(Inputs!$B$39="pvp",15,MAX(0.1,Skills!D5-IF(Skills!E5=TRUE,Inputs!$B$32,0))))))/Skills!H5,1)))/Inputs!$B$44),G1925*Q1925))*IF(Inputs!$B$39="pvp",1,(1+(Inputs!$B$21+Skills!Q5+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Skills!A6</f>
        <v/>
      </c>
      <c r="B1926">
        <f>Skills!B6</f>
        <v/>
      </c>
      <c r="C1926">
        <f>Inputs!$B$3&gt;=69</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1938=TRUE,F1938,0)/100)*(1+(IF(Skills!A6="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1926)</f>
        <v/>
      </c>
      <c r="L1926">
        <f>K1926*(MIN(Inputs!$B$22+((C1944=TRUE)*(F1944-Calc!F24)),(Inputs!$B$23+((C1949=TRUE)*(F1949-Calc!F29))+IF(ArtifactsInput!$M$15,CHOOSE(ArtifactsInput!$N$15+1,25,30,35,40,45,50)/100*(Inputs!$B$11-Inputs!$B$11),0)))/100+(Inputs!$B$23+((C1949=TRUE)*(F1949-Calc!F29))+IF(ArtifactsInput!$M$15,CHOOSE(ArtifactsInput!$N$15+1,25,30,35,40,45,50)/100*(Inputs!$B$11-Inputs!$B$11),0))/100)/2</f>
        <v/>
      </c>
      <c r="M1926">
        <f>L1926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6">
        <f>L1926*(1-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IF(B1965=0,0,O1926/B1965)</f>
        <v/>
      </c>
      <c r="Q1926">
        <f>IFERROR(1/IF(Inputs!$B$39="pvp",15,MAX(0.1,Skills!D6-IF(Skills!E6=TRUE,Inputs!$B$32,0))),0)</f>
        <v/>
      </c>
      <c r="R1926">
        <f>IF(AND(Inputs!$B$39&lt;&gt;"pvp",Inputs!$B$44&gt;0),IF(MAX(0,Inputs!$B$44-B1964)&lt;=0,0,(INT(MAX(0,Inputs!$B$44-B1964)/IF(Inputs!$B$39="pvp",15,MAX(0.1,Skills!D6-IF(Skills!E6=TRUE,Inputs!$B$32,0))))+1)),0)</f>
        <v/>
      </c>
      <c r="S1926">
        <f>IFERROR(O1926/N1926,0)</f>
        <v/>
      </c>
      <c r="T1926">
        <f>IF(C1926,(H1926*N1926*IF(AND(Inputs!$B$39&lt;&gt;"pvp",Inputs!$B$44&gt;0),((Skills!G6*((R1926-1)*IF(Skills!H6&gt;0,Skills!I6/Skills!H6,1)+IF(Skills!H6&gt;0,MIN(Skills!I6,MAX(0,MAX(0,Inputs!$B$44-B1964)-((R1926-1)*IF(Inputs!$B$39="pvp",15,MAX(0.1,Skills!D6-IF(Skills!E6=TRUE,Inputs!$B$32,0))))))/Skills!H6,1)))/Inputs!$B$44),G1926*Q1926))*IF(Inputs!$B$39="pvp",1,1+(Inputs!$B$20+0+Skills!P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1926*(1-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6*((R1926-1)*IF(Skills!H6&gt;0,Skills!I6/Skills!H6,1)+IF(Skills!H6&gt;0,MIN(Skills!I6,MAX(0,MAX(0,Inputs!$B$44-B1964)-((R1926-1)*IF(Inputs!$B$39="pvp",15,MAX(0.1,Skills!D6-IF(Skills!E6=TRUE,Inputs!$B$32,0))))))/Skills!H6,1)))/Inputs!$B$44),G1926*Q1926))*IF(Inputs!$B$39="pvp",1,(1+(Inputs!$B$21+Skills!Q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Skills!A7</f>
        <v/>
      </c>
      <c r="B1927">
        <f>Skills!B7</f>
        <v/>
      </c>
      <c r="C1927">
        <f>Inputs!$B$3&gt;=60</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t="inlineStr"/>
      <c r="K1927" t="inlineStr"/>
      <c r="L1927" t="inlineStr"/>
      <c r="M1927" t="inlineStr"/>
      <c r="N1927" t="inlineStr"/>
      <c r="O1927">
        <f>(1-Summary!$B$11)*T1927+Summary!$B$11*V1927</f>
        <v/>
      </c>
      <c r="P1927">
        <f>IF(B1965=0,0,O1927/B1965)</f>
        <v/>
      </c>
      <c r="Q1927" t="n">
        <v>0</v>
      </c>
      <c r="R1927" t="n">
        <v>0</v>
      </c>
      <c r="S1927">
        <f>IFERROR(O1927/N1927,0)</f>
        <v/>
      </c>
      <c r="T1927" t="n">
        <v>0</v>
      </c>
      <c r="V1927" t="n">
        <v>0</v>
      </c>
    </row>
    <row r="1928">
      <c r="A1928">
        <f>Skills!A8</f>
        <v/>
      </c>
      <c r="B1928">
        <f>Skills!B8</f>
        <v/>
      </c>
      <c r="C1928">
        <f>Inputs!$B$3&gt;=72</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1938=TRUE,F1938,0)/100)*(1+(IF(Skills!A8="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1928)</f>
        <v/>
      </c>
      <c r="L1928">
        <f>K1928*(MIN(Inputs!$B$22+((C1944=TRUE)*(F1944-Calc!F24)),(Inputs!$B$23+((C1949=TRUE)*(F1949-Calc!F29))+IF(ArtifactsInput!$M$15,CHOOSE(ArtifactsInput!$N$15+1,25,30,35,40,45,50)/100*(Inputs!$B$11-Inputs!$B$11),0)))/100+(Inputs!$B$23+((C1949=TRUE)*(F1949-Calc!F29))+IF(ArtifactsInput!$M$15,CHOOSE(ArtifactsInput!$N$15+1,25,30,35,40,45,50)/100*(Inputs!$B$11-Inputs!$B$11),0))/100)/2</f>
        <v/>
      </c>
      <c r="M1928">
        <f>L1928*(1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8">
        <f>L1928*(1-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IF(B1965=0,0,O1928/B1965)</f>
        <v/>
      </c>
      <c r="Q1928">
        <f>IFERROR(1/IF(Inputs!$B$39="pvp",15,MAX(0.1,Skills!D8-IF(Skills!E8=TRUE,Inputs!$B$32,0))),0)</f>
        <v/>
      </c>
      <c r="R1928">
        <f>IF(AND(Inputs!$B$39&lt;&gt;"pvp",Inputs!$B$44&gt;0),IF(MAX(0,Inputs!$B$44-B1964)&lt;=0,0,(INT(MAX(0,Inputs!$B$44-B1964)/IF(Inputs!$B$39="pvp",15,MAX(0.1,Skills!D8-IF(Skills!E8=TRUE,Inputs!$B$32,0))))+1)),0)</f>
        <v/>
      </c>
      <c r="S1928">
        <f>IFERROR(O1928/N1928,0)</f>
        <v/>
      </c>
      <c r="T1928">
        <f>IF(C1928,(H1928*N1928*IF(AND(Inputs!$B$39&lt;&gt;"pvp",Inputs!$B$44&gt;0),((Skills!G8*((R1928-1)*IF(Skills!H8&gt;0,Skills!I8/Skills!H8,1)+IF(Skills!H8&gt;0,MIN(Skills!I8,MAX(0,MAX(0,Inputs!$B$44-B1964)-((R1928-1)*IF(Inputs!$B$39="pvp",15,MAX(0.1,Skills!D8-IF(Skills!E8=TRUE,Inputs!$B$32,0))))))/Skills!H8,1)))/Inputs!$B$44),G1928*Q1928))*IF(Inputs!$B$39="pvp",1,1+(Inputs!$B$20+0+Skills!P8+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1928*(1-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8*((R1928-1)*IF(Skills!H8&gt;0,Skills!I8/Skills!H8,1)+IF(Skills!H8&gt;0,MIN(Skills!I8,MAX(0,MAX(0,Inputs!$B$44-B1964)-((R1928-1)*IF(Inputs!$B$39="pvp",15,MAX(0.1,Skills!D8-IF(Skills!E8=TRUE,Inputs!$B$32,0))))))/Skills!H8,1)))/Inputs!$B$44),G1928*Q1928))*IF(Inputs!$B$39="pvp",1,(1+(Inputs!$B$21+Skills!Q8+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Skills!A9</f>
        <v/>
      </c>
      <c r="B1929">
        <f>Skills!B9</f>
        <v/>
      </c>
      <c r="C1929">
        <f>Inputs!$B$3&gt;=117</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1929)</f>
        <v/>
      </c>
      <c r="L1929">
        <f>K1929*(MIN(Inputs!$B$22+((C1944=TRUE)*(F1944-Calc!F24)),(Inputs!$B$23+((C1949=TRUE)*(F1949-Calc!F29))+IF(ArtifactsInput!$M$15,CHOOSE(ArtifactsInput!$N$15+1,25,30,35,40,45,50)/100*(Inputs!$B$11-Inputs!$B$11),0)))/100+(Inputs!$B$23+((C1949=TRUE)*(F1949-Calc!F29))+IF(ArtifactsInput!$M$15,CHOOSE(ArtifactsInput!$N$15+1,25,30,35,40,45,50)/100*(Inputs!$B$11-Inputs!$B$11),0))/100)/2</f>
        <v/>
      </c>
      <c r="M1929">
        <f>L1929*(1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9">
        <f>L1929*(1-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1929*(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9">
        <f>(1-Summary!$B$11)*T1929+Summary!$B$11*V1929</f>
        <v/>
      </c>
      <c r="P1929">
        <f>IF(B1965=0,0,O1929/B1965)</f>
        <v/>
      </c>
      <c r="Q1929" t="n">
        <v>0</v>
      </c>
      <c r="R1929" t="n">
        <v>0</v>
      </c>
      <c r="S1929" t="n">
        <v>0</v>
      </c>
      <c r="T1929">
        <f>IF(C1929,(0.2*SUMPRODUCT((Skills!Z2:Z30=TRUE)*(C1922:C1950=TRUE)*S1922:S1950)*N1929)*IF(Inputs!$B$39="pvp",1,1+(Inputs!$B$20+0+Skills!P9+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1929*(1-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1929*(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1929*(1-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1929*(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9">
        <f>IF(C1929,(0.2*SUMPRODUCT((Skills!Z2:Z30=TRUE)*(C1922:C1950=TRUE)*S1922:S1950)*N1929)*IF(Inputs!$B$39="pvp",1,(1+(Inputs!$B$21+Skills!Q9+B1954+(IF(ArtifactsInput!$M$33,CHOOSE(ArtifactsInput!$N$33+1,30,36,42,48,54,60),0))+(IF(AND(ArtifactsInput!$M$35,Inputs!$B$4&lt;&gt;"Chapter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0">
      <c r="A1930">
        <f>Skills!A10</f>
        <v/>
      </c>
      <c r="B1930">
        <f>Skills!B10</f>
        <v/>
      </c>
      <c r="C1930">
        <f>Inputs!$B$3&gt;=74</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t="inlineStr"/>
      <c r="K1930" t="inlineStr"/>
      <c r="L1930" t="inlineStr"/>
      <c r="M1930" t="inlineStr"/>
      <c r="N1930" t="inlineStr"/>
      <c r="O1930">
        <f>(1-Summary!$B$11)*T1930+Summary!$B$11*V1930</f>
        <v/>
      </c>
      <c r="P1930">
        <f>IF(B1965=0,0,O1930/B1965)</f>
        <v/>
      </c>
      <c r="Q1930">
        <f>IFERROR(1/IF(Inputs!$B$39="pvp",15,MAX(0.1,Skills!D10-IF(Skills!E10=TRUE,Inputs!$B$32,0))),0)</f>
        <v/>
      </c>
      <c r="R1930">
        <f>IF(AND(Inputs!$B$39&lt;&gt;"pvp",Inputs!$B$44&gt;0),IF(Inputs!$B$44&lt;=0,0,(INT(Inputs!$B$44/IF(Inputs!$B$39="pvp",15,MAX(0.1,Skills!D10-IF(Skills!E10=TRUE,Inputs!$B$32,0))))+1)),0)</f>
        <v/>
      </c>
      <c r="S1930">
        <f>IFERROR(O1930/N1930,0)</f>
        <v/>
      </c>
      <c r="T1930" t="n">
        <v>0</v>
      </c>
      <c r="V1930" t="n">
        <v>0</v>
      </c>
    </row>
    <row r="1931">
      <c r="A1931">
        <f>Skills!A11</f>
        <v/>
      </c>
      <c r="B1931">
        <f>Skills!B11</f>
        <v/>
      </c>
      <c r="C1931">
        <f>Inputs!$B$3&gt;=103</f>
        <v/>
      </c>
      <c r="D1931">
        <f>IF(Skills!C11=1,60+Inputs!$B$25+Inputs!$B$29,IF(Skills!C11=2,90+Inputs!$B$26+Inputs!$B$29,IF(Skills!C11=3,120+Inputs!$B$27+Inputs!$B$29,MAX(0,(Inputs!$B$3-100)*3)+Inputs!$B$28+Inputs!$B$29)))</f>
        <v/>
      </c>
      <c r="E1931">
        <f>INDEX(FactorTable!$B$2:$Y$301, MATCH(ROUND(MIN(300,MAX(1,D1931)),0), FactorTable!$A$2:$A$301,0), Skills!M11+1)</f>
        <v/>
      </c>
      <c r="F1931">
        <f>(Skills!L11/10)*(E1931/1000)+IF(Inputs!$B$3&gt;=134,50,0)+0.5*(30000/10)*(INDEX(FactorTable!$B$2:$Y$301, MATCH(ROUND(MIN(300,MAX(1,D1931)),0), FactorTable!$A$2:$A$301,0), 13)/1000)*B1963</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1931)</f>
        <v/>
      </c>
      <c r="L1931">
        <f>K1931*(MIN(Inputs!$B$22+((C1944=TRUE)*(F1944-Calc!F24)),(Inputs!$B$23+((C1949=TRUE)*(F1949-Calc!F29))+IF(ArtifactsInput!$M$15,CHOOSE(ArtifactsInput!$N$15+1,25,30,35,40,45,50)/100*(Inputs!$B$11-Inputs!$B$11),0)))/100+(Inputs!$B$23+((C1949=TRUE)*(F1949-Calc!F29))+IF(ArtifactsInput!$M$15,CHOOSE(ArtifactsInput!$N$15+1,25,30,35,40,45,50)/100*(Inputs!$B$11-Inputs!$B$11),0))/100)/2</f>
        <v/>
      </c>
      <c r="M1931">
        <f>L1931*(1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1">
        <f>L1931*(1-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IF(B1965=0,0,O1931/B1965)</f>
        <v/>
      </c>
      <c r="Q1931">
        <f>IFERROR(1/IF(Inputs!$B$39="pvp",15,MAX(0.1,Skills!D11-IF(Skills!E11=TRUE,Inputs!$B$32,0))),0)</f>
        <v/>
      </c>
      <c r="R1931">
        <f>IF(AND(Inputs!$B$39&lt;&gt;"pvp",Inputs!$B$44&gt;0),IF(MAX(0,Inputs!$B$44-B1964)&lt;=0,0,(INT(MAX(0,Inputs!$B$44-B1964)/IF(Inputs!$B$39="pvp",15,MAX(0.1,Skills!D11-IF(Skills!E11=TRUE,Inputs!$B$32,0))))+1)),0)</f>
        <v/>
      </c>
      <c r="S1931">
        <f>IFERROR(O1931/N1931,0)</f>
        <v/>
      </c>
      <c r="T1931">
        <f>IF(C1931,(H1931*N1931*IF(AND(Inputs!$B$39&lt;&gt;"pvp",Inputs!$B$44&gt;0),((Skills!G11*((R1931-1)*IF(Skills!H11&gt;0,Skills!I11/Skills!H11,1)+IF(Skills!H11&gt;0,MIN(Skills!I11,MAX(0,MAX(0,Inputs!$B$44-B1964)-((R1931-1)*IF(Inputs!$B$39="pvp",15,MAX(0.1,Skills!D11-IF(Skills!E11=TRUE,Inputs!$B$32,0))))))/Skills!H11,1)))/Inputs!$B$44),G1931*Q1931))*IF(Inputs!$B$39="pvp",1,1+(Inputs!$B$20+0+Skills!P11+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1931*(1-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11*((R1931-1)*IF(Skills!H11&gt;0,Skills!I11/Skills!H11,1)+IF(Skills!H11&gt;0,MIN(Skills!I11,MAX(0,MAX(0,Inputs!$B$44-B1964)-((R1931-1)*IF(Inputs!$B$39="pvp",15,MAX(0.1,Skills!D11-IF(Skills!E11=TRUE,Inputs!$B$32,0))))))/Skills!H11,1)))/Inputs!$B$44),G1931*Q1931))*IF(Inputs!$B$39="pvp",1,(1+(Inputs!$B$21+Skills!Q11+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Skills!A12</f>
        <v/>
      </c>
      <c r="B1932">
        <f>Skills!B12</f>
        <v/>
      </c>
      <c r="C1932">
        <f>Inputs!$B$3&gt;=105</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1932)</f>
        <v/>
      </c>
      <c r="L1932">
        <f>K1932*(MIN(Inputs!$B$22+((C1944=TRUE)*(F1944-Calc!F24)),(Inputs!$B$23+((C1949=TRUE)*(F1949-Calc!F29))+IF(ArtifactsInput!$M$15,CHOOSE(ArtifactsInput!$N$15+1,25,30,35,40,45,50)/100*(Inputs!$B$11-Inputs!$B$11),0)))/100+(Inputs!$B$23+((C1949=TRUE)*(F1949-Calc!F29))+IF(ArtifactsInput!$M$15,CHOOSE(ArtifactsInput!$N$15+1,25,30,35,40,45,50)/100*(Inputs!$B$11-Inputs!$B$11),0))/100)/2</f>
        <v/>
      </c>
      <c r="M1932">
        <f>L1932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2">
        <f>L1932*(1-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(1-Summary!$B$11)*T1932+Summary!$B$11*V1932</f>
        <v/>
      </c>
      <c r="P1932">
        <f>IF(B1965=0,0,O1932/B1965)</f>
        <v/>
      </c>
      <c r="Q1932">
        <f>IFERROR(1/IF(Inputs!$B$39="pvp",15,MAX(0.1,Skills!D12-IF(Skills!E12=TRUE,Inputs!$B$32,0))),0)</f>
        <v/>
      </c>
      <c r="R1932">
        <f>IF(AND(Inputs!$B$39&lt;&gt;"pvp",Inputs!$B$44&gt;0),IF(MAX(0,Inputs!$B$44-B1964)&lt;=0,0,(INT(MAX(0,Inputs!$B$44-B1964)/IF(Inputs!$B$39="pvp",15,MAX(0.1,Skills!D12-IF(Skills!E12=TRUE,Inputs!$B$32,0))))+1)),0)</f>
        <v/>
      </c>
      <c r="S1932">
        <f>IFERROR(O1932/N1932,0)</f>
        <v/>
      </c>
      <c r="T1932">
        <f>IF(C1932,(H1932*N1932*IF(AND(Inputs!$B$39&lt;&gt;"pvp",Inputs!$B$44&gt;0),((Skills!G12*((R1932-1)*IF(Skills!H12&gt;0,Skills!I12/Skills!H12,1)+IF(Skills!H12&gt;0,MIN(Skills!I12,MAX(0,MAX(0,Inputs!$B$44-B1964)-((R1932-1)*IF(Inputs!$B$39="pvp",15,MAX(0.1,Skills!D12-IF(Skills!E12=TRUE,Inputs!$B$32,0))))))/Skills!H12,1)))/Inputs!$B$44),G1932*Q1932))*IF(Inputs!$B$39="pvp",1,1+(Inputs!$B$20+0+Skills!P12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1932*(1-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2">
        <f>IF(C1932,(H1932*N1932*IF(AND(Inputs!$B$39&lt;&gt;"pvp",Inputs!$B$44&gt;0),((Skills!G12*((R1932-1)*IF(Skills!H12&gt;0,Skills!I12/Skills!H12,1)+IF(Skills!H12&gt;0,MIN(Skills!I12,MAX(0,MAX(0,Inputs!$B$44-B1964)-((R1932-1)*IF(Inputs!$B$39="pvp",15,MAX(0.1,Skills!D12-IF(Skills!E12=TRUE,Inputs!$B$32,0))))))/Skills!H12,1)))/Inputs!$B$44),G1932*Q1932))*IF(Inputs!$B$39="pvp",1,(1+(Inputs!$B$21+Skills!Q12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Skills!A13</f>
        <v/>
      </c>
      <c r="B1933">
        <f>Skills!B13</f>
        <v/>
      </c>
      <c r="C1933">
        <f>Inputs!$B$3&gt;=105</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1933)</f>
        <v/>
      </c>
      <c r="L1933">
        <f>K1933*(MIN(Inputs!$B$22+((C1944=TRUE)*(F1944-Calc!F24)),(Inputs!$B$23+((C1949=TRUE)*(F1949-Calc!F29))+IF(ArtifactsInput!$M$15,CHOOSE(ArtifactsInput!$N$15+1,25,30,35,40,45,50)/100*(Inputs!$B$11-Inputs!$B$11),0)))/100+(Inputs!$B$23+((C1949=TRUE)*(F1949-Calc!F29))+IF(ArtifactsInput!$M$15,CHOOSE(ArtifactsInput!$N$15+1,25,30,35,40,45,50)/100*(Inputs!$B$11-Inputs!$B$11),0))/100)/2</f>
        <v/>
      </c>
      <c r="M1933">
        <f>L1933*(1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3">
        <f>L1933*(1-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IF(B1965=0,0,O1933/B1965)</f>
        <v/>
      </c>
      <c r="Q1933">
        <f>IFERROR(1/IF(Inputs!$B$39="pvp",15,MAX(0.1,Skills!D13-IF(Skills!E13=TRUE,Inputs!$B$32,0))),0)</f>
        <v/>
      </c>
      <c r="R1933">
        <f>IF(AND(Inputs!$B$39&lt;&gt;"pvp",Inputs!$B$44&gt;0),IF(MAX(0,Inputs!$B$44-B1964)&lt;=0,0,(INT(MAX(0,Inputs!$B$44-B1964)/IF(Inputs!$B$39="pvp",15,MAX(0.1,Skills!D13-IF(Skills!E13=TRUE,Inputs!$B$32,0))))+1)),0)</f>
        <v/>
      </c>
      <c r="S1933">
        <f>IFERROR(O1933/N1933,0)</f>
        <v/>
      </c>
      <c r="T1933">
        <f>IF(C1933,(H1933*N1933*IF(AND(Inputs!$B$39&lt;&gt;"pvp",Inputs!$B$44&gt;0),((Skills!G13*((R1933-1)*IF(Skills!H13&gt;0,Skills!I13/Skills!H13,1)+IF(Skills!H13&gt;0,MIN(Skills!I13,MAX(0,MAX(0,Inputs!$B$44-B1964)-((R1933-1)*IF(Inputs!$B$39="pvp",15,MAX(0.1,Skills!D13-IF(Skills!E13=TRUE,Inputs!$B$32,0))))))/Skills!H13,1)))/Inputs!$B$44),G1933*Q1933))*IF(Inputs!$B$39="pvp",1,1+(Inputs!$B$20+0+Skills!P13+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1933*(1-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13*((R1933-1)*IF(Skills!H13&gt;0,Skills!I13/Skills!H13,1)+IF(Skills!H13&gt;0,MIN(Skills!I13,MAX(0,MAX(0,Inputs!$B$44-B1964)-((R1933-1)*IF(Inputs!$B$39="pvp",15,MAX(0.1,Skills!D13-IF(Skills!E13=TRUE,Inputs!$B$32,0))))))/Skills!H13,1)))/Inputs!$B$44),G1933*Q1933))*IF(Inputs!$B$39="pvp",1,(1+(Inputs!$B$21+Skills!Q13+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Skills!A14</f>
        <v/>
      </c>
      <c r="B1934">
        <f>Skills!B14</f>
        <v/>
      </c>
      <c r="C1934">
        <f>Inputs!$B$3&gt;=107</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1934)</f>
        <v/>
      </c>
      <c r="L1934">
        <f>K1934*(MIN(Inputs!$B$22+((C1944=TRUE)*(F1944-Calc!F24)),(Inputs!$B$23+((C1949=TRUE)*(F1949-Calc!F29))+IF(ArtifactsInput!$M$15,CHOOSE(ArtifactsInput!$N$15+1,25,30,35,40,45,50)/100*(Inputs!$B$11-Inputs!$B$11),0)))/100+(Inputs!$B$23+((C1949=TRUE)*(F1949-Calc!F29))+IF(ArtifactsInput!$M$15,CHOOSE(ArtifactsInput!$N$15+1,25,30,35,40,45,50)/100*(Inputs!$B$11-Inputs!$B$11),0))/100)/2</f>
        <v/>
      </c>
      <c r="M1934">
        <f>L1934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4">
        <f>L1934*(1-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1934*(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4">
        <f>(1-Summary!$B$11)*T1934+Summary!$B$11*V1934</f>
        <v/>
      </c>
      <c r="P1934">
        <f>IF(B1965=0,0,O1934/B1965)</f>
        <v/>
      </c>
      <c r="Q1934">
        <f>IFERROR(1/IF(Inputs!$B$39="pvp",15,MAX(0.1,Skills!D14-IF(Skills!E14=TRUE,Inputs!$B$32,0))),0)</f>
        <v/>
      </c>
      <c r="R1934">
        <f>IF(AND(Inputs!$B$39&lt;&gt;"pvp",Inputs!$B$44&gt;0),IF(MAX(0,Inputs!$B$44-B1964)&lt;=0,0,(INT(MAX(0,Inputs!$B$44-B1964)/IF(Inputs!$B$39="pvp",15,MAX(0.1,Skills!D14-IF(Skills!E14=TRUE,Inputs!$B$32,0))))+1)),0)</f>
        <v/>
      </c>
      <c r="S1934">
        <f>IFERROR(O1934/N1934,0)</f>
        <v/>
      </c>
      <c r="T1934">
        <f>IF(C1934,(H1934*N1934*IF(AND(Inputs!$B$39&lt;&gt;"pvp",Inputs!$B$44&gt;0),((Skills!G14*((R1934-1)*IF(Skills!H14&gt;0,Skills!I14/Skills!H14,1)+IF(Skills!H14&gt;0,MIN(Skills!I14,MAX(0,MAX(0,Inputs!$B$44-B1964)-((R1934-1)*IF(Inputs!$B$39="pvp",15,MAX(0.1,Skills!D14-IF(Skills!E14=TRUE,Inputs!$B$32,0))))))/Skills!H14,1)))/Inputs!$B$44),G1934*Q1934))*IF(Inputs!$B$39="pvp",1,1+(Inputs!$B$20+0+Skills!P14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1934*(1-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1934*(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1934*(1-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1934*(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4">
        <f>IF(C1934,(H1934*N1934*IF(AND(Inputs!$B$39&lt;&gt;"pvp",Inputs!$B$44&gt;0),((Skills!G14*((R1934-1)*IF(Skills!H14&gt;0,Skills!I14/Skills!H14,1)+IF(Skills!H14&gt;0,MIN(Skills!I14,MAX(0,MAX(0,Inputs!$B$44-B1964)-((R1934-1)*IF(Inputs!$B$39="pvp",15,MAX(0.1,Skills!D14-IF(Skills!E14=TRUE,Inputs!$B$32,0))))))/Skills!H14,1)))/Inputs!$B$44),G1934*Q1934))*IF(Inputs!$B$39="pvp",1,(1+(Inputs!$B$21+Skills!Q14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(5,0.25*B1957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5">
      <c r="A1935">
        <f>Skills!A15</f>
        <v/>
      </c>
      <c r="B1935">
        <f>Skills!B15</f>
        <v/>
      </c>
      <c r="C1935">
        <f>Inputs!$B$3&gt;=110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f>Skills!G15*IF(Skills!H15&gt;0,Skills!I15/Skills!H15,1)</f>
        <v/>
      </c>
      <c r="H1935">
        <f>1-(1-Skills!J15/100)^Skills!K15</f>
        <v/>
      </c>
      <c r="I1935" t="inlineStr">
        <is>
          <t>1</t>
        </is>
      </c>
      <c r="J1935" t="inlineStr"/>
      <c r="K1935" t="inlineStr"/>
      <c r="L1935" t="inlineStr"/>
      <c r="M1935" t="inlineStr"/>
      <c r="N1935" t="inlineStr"/>
      <c r="O1935">
        <f>(1-Summary!$B$11)*T1935+Summary!$B$11*V1935</f>
        <v/>
      </c>
      <c r="P1935">
        <f>IF(B1965=0,0,O1935/B1965)</f>
        <v/>
      </c>
      <c r="Q1935">
        <f>IFERROR(1/IF(Inputs!$B$39="pvp",15,MAX(0.1,Skills!D15-IF(Skills!E15=TRUE,Inputs!$B$32,0))),0)</f>
        <v/>
      </c>
      <c r="R1935">
        <f>IF(AND(Inputs!$B$39&lt;&gt;"pvp",Inputs!$B$44&gt;0),IF(Inputs!$B$44&lt;=0,0,(INT(Inputs!$B$44/IF(Inputs!$B$39="pvp",15,MAX(0.1,Skills!D15-IF(Skills!E15=TRUE,Inputs!$B$32,0))))+1)),0)</f>
        <v/>
      </c>
      <c r="S1935">
        <f>IFERROR(O1935/N1935,0)</f>
        <v/>
      </c>
      <c r="T1935" t="n">
        <v>0</v>
      </c>
      <c r="V1935" t="n">
        <v>0</v>
      </c>
    </row>
    <row r="1936">
      <c r="A1936">
        <f>Skills!A16</f>
        <v/>
      </c>
      <c r="B1936">
        <f>Skills!B16</f>
        <v/>
      </c>
      <c r="C1936">
        <f>Inputs!$B$3&gt;=115</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f>Skills!G16*IF(Skills!H16&gt;0,Skills!I16/Skills!H16,1)</f>
        <v/>
      </c>
      <c r="H1936">
        <f>1-(1-Skills!J16/100)^Skills!K16</f>
        <v/>
      </c>
      <c r="I1936" t="inlineStr">
        <is>
          <t>1</t>
        </is>
      </c>
      <c r="J1936">
        <f>((Inputs!$B$6*(1+Inputs!$B$7/100))+(((Inputs!$B$12*(1+Inputs!$B$13/100))-(Inputs!$B$12*(1+Inputs!$B$13/100)))+0.25*(Inputs!$B$14-Inputs!$B$14))*(1+Inputs!$B$7/100))*(F1936/100)</f>
        <v/>
      </c>
      <c r="K1936">
        <f>J1936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1947=TRUE)*(F1947-Calc!F27))+((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1936)</f>
        <v/>
      </c>
      <c r="L1936">
        <f>K1936*(MIN(Inputs!$B$22+((C1944=TRUE)*(F1944-Calc!F24)),(Inputs!$B$23+((C1949=TRUE)*(F1949-Calc!F29))+IF(ArtifactsInput!$M$15,CHOOSE(ArtifactsInput!$N$15+1,25,30,35,40,45,50)/100*(Inputs!$B$11-Inputs!$B$11),0)))/100+(Inputs!$B$23+((C1949=TRUE)*(F1949-Calc!F29))+IF(ArtifactsInput!$M$15,CHOOSE(ArtifactsInput!$N$15+1,25,30,35,40,45,50)/100*(Inputs!$B$11-Inputs!$B$11),0))/100)/2</f>
        <v/>
      </c>
      <c r="M1936">
        <f>L1936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IF(B1965=0,0,O1936/B1965)</f>
        <v/>
      </c>
      <c r="Q1936" t="n">
        <v>0</v>
      </c>
      <c r="R1936" t="n">
        <v>0</v>
      </c>
      <c r="S1936">
        <f>IFERROR(O1936/N1936,0)</f>
        <v/>
      </c>
      <c r="T1936">
        <f>IF(C1936,(Inputs!$B$38*0.2*N1936)*IF(Inputs!$B$39="pvp",1,1+(Inputs!$B$20+0+Skills!P16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1936*(1-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1945=TRUE)*(F1945-Calc!F25))+B1953+(ArtifactsInput!$M$24-ArtifactsInput!$M$24)*CHOOSE(ArtifactsInput!$N$24+1,10,12,14,16,18,20)+(IF(AND(Inputs!$B$39&lt;&gt;"pvp",Inputs!$B$44=0),1,IF(IF(Inputs!$B$39="pvp",15,Inputs!$B$44)-(B1964)&lt;=0,1,MAX(0,IF(Inputs!$B$39="pvp",15,Inputs!$B$44)-MAX(5,B1964))/(IF(Inputs!$B$39="pvp",15,Inputs!$B$44)-(B1964))))*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6">
        <f>IF(C1936,(Inputs!$B$38*0.2*N1936)*IF(Inputs!$B$39="pvp",1,(1+(Inputs!$B$21+Skills!Q16+B1954+(IF(ArtifactsInput!$M$33,CHOOSE(ArtifactsInput!$N$33+1,30,36,42,48,54,60),0))+(IF(AND(ArtifactsInput!$M$35,Inputs!$B$4&lt;&gt;"Chapter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Skills!A17</f>
        <v/>
      </c>
      <c r="B1937">
        <f>Skills!B17</f>
        <v/>
      </c>
      <c r="C1937">
        <f>Inputs!$B$3&gt;=115</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IF(B1965=0,0,O1937/B1965)</f>
        <v/>
      </c>
      <c r="Q1937" t="n">
        <v>0</v>
      </c>
      <c r="R1937" t="n">
        <v>0</v>
      </c>
      <c r="S1937">
        <f>IFERROR(O1937/N1937,0)</f>
        <v/>
      </c>
      <c r="T1937" t="n">
        <v>0</v>
      </c>
      <c r="V1937" t="n">
        <v>0</v>
      </c>
    </row>
    <row r="1938">
      <c r="A1938">
        <f>Skills!A18</f>
        <v/>
      </c>
      <c r="B1938">
        <f>Skills!B18</f>
        <v/>
      </c>
      <c r="C1938">
        <f>Inputs!$B$3&gt;=100</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IF(B1965=0,0,O1938/B1965)</f>
        <v/>
      </c>
      <c r="Q1938" t="n">
        <v>0</v>
      </c>
      <c r="R1938" t="n">
        <v>0</v>
      </c>
      <c r="S1938">
        <f>IFERROR(O1938/N1938,0)</f>
        <v/>
      </c>
      <c r="T1938" t="n">
        <v>0</v>
      </c>
      <c r="V1938" t="n">
        <v>0</v>
      </c>
    </row>
    <row r="1939">
      <c r="A1939">
        <f>Skills!A19</f>
        <v/>
      </c>
      <c r="B1939">
        <f>Skills!B19</f>
        <v/>
      </c>
      <c r="C1939">
        <f>TRUE</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IF(B1965=0,0,O1939/B1965)</f>
        <v/>
      </c>
      <c r="Q1939">
        <f>IFERROR(1/IF(Inputs!$B$39="pvp",15,MAX(0.1,Skills!D19-IF(Skills!E19=TRUE,Inputs!$B$32,0))),0)</f>
        <v/>
      </c>
      <c r="R1939">
        <f>IF(AND(Inputs!$B$39&lt;&gt;"pvp",Inputs!$B$44&gt;0),IF(Inputs!$B$44&lt;=0,0,(INT(Inputs!$B$44/IF(Inputs!$B$39="pvp",15,MAX(0.1,Skills!D19-IF(Skills!E19=TRUE,Inputs!$B$32,0))))+1)),0)</f>
        <v/>
      </c>
      <c r="S1939">
        <f>IFERROR(O1939/N1939,0)</f>
        <v/>
      </c>
      <c r="T1939" t="n">
        <v>0</v>
      </c>
      <c r="V1939" t="n">
        <v>0</v>
      </c>
    </row>
    <row r="1940">
      <c r="A1940">
        <f>Skills!A20</f>
        <v/>
      </c>
      <c r="B1940">
        <f>Skills!B20</f>
        <v/>
      </c>
      <c r="C1940">
        <f>Inputs!$B$3&gt;=15</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IF(B1965=0,0,O1940/B1965)</f>
        <v/>
      </c>
      <c r="Q1940">
        <f>IFERROR(1/IF(Inputs!$B$39="pvp",15,MAX(0.1,Skills!D20-IF(Skills!E20=TRUE,Inputs!$B$32,0))),0)</f>
        <v/>
      </c>
      <c r="R1940">
        <f>IF(AND(Inputs!$B$39&lt;&gt;"pvp",Inputs!$B$44&gt;0),IF(Inputs!$B$44&lt;=0,0,(INT(Inputs!$B$44/IF(Inputs!$B$39="pvp",15,MAX(0.1,Skills!D20-IF(Skills!E20=TRUE,Inputs!$B$32,0))))+1)),0)</f>
        <v/>
      </c>
      <c r="S1940">
        <f>IFERROR(O1940/N1940,0)</f>
        <v/>
      </c>
      <c r="T1940" t="n">
        <v>0</v>
      </c>
      <c r="V1940" t="n">
        <v>0</v>
      </c>
    </row>
    <row r="1941">
      <c r="A1941">
        <f>Skills!A21</f>
        <v/>
      </c>
      <c r="B1941">
        <f>Skills!B21</f>
        <v/>
      </c>
      <c r="C1941">
        <f>Inputs!$B$3&gt;=15</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IF(B1965=0,0,O1941/B1965)</f>
        <v/>
      </c>
      <c r="Q1941">
        <f>IFERROR(1/IF(Inputs!$B$39="pvp",15,MAX(0.1,Skills!D21-IF(Skills!E21=TRUE,Inputs!$B$32,0))),0)</f>
        <v/>
      </c>
      <c r="R1941">
        <f>IF(AND(Inputs!$B$39&lt;&gt;"pvp",Inputs!$B$44&gt;0),IF(Inputs!$B$44&lt;=0,0,(INT(Inputs!$B$44/IF(Inputs!$B$39="pvp",15,MAX(0.1,Skills!D21-IF(Skills!E21=TRUE,Inputs!$B$32,0))))+1)),0)</f>
        <v/>
      </c>
      <c r="S1941">
        <f>IFERROR(O1941/N1941,0)</f>
        <v/>
      </c>
      <c r="T1941" t="n">
        <v>0</v>
      </c>
      <c r="V1941" t="n">
        <v>0</v>
      </c>
    </row>
    <row r="1942">
      <c r="A1942">
        <f>Skills!A22</f>
        <v/>
      </c>
      <c r="B1942">
        <f>Skills!B22</f>
        <v/>
      </c>
      <c r="C1942">
        <f>Inputs!$B$3&gt;=33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IF(B1965=0,0,O1942/B1965)</f>
        <v/>
      </c>
      <c r="Q1942" t="n">
        <v>0</v>
      </c>
      <c r="R1942" t="n">
        <v>0</v>
      </c>
      <c r="S1942">
        <f>IFERROR(O1942/N1942,0)</f>
        <v/>
      </c>
      <c r="T1942" t="n">
        <v>0</v>
      </c>
      <c r="V1942" t="n">
        <v>0</v>
      </c>
    </row>
    <row r="1943">
      <c r="A1943">
        <f>Skills!A23</f>
        <v/>
      </c>
      <c r="B1943">
        <f>Skills!B23</f>
        <v/>
      </c>
      <c r="C1943">
        <f>Inputs!$B$3&gt;=40</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IF(B1965=0,0,O1943/B1965)</f>
        <v/>
      </c>
      <c r="Q1943" t="n">
        <v>0</v>
      </c>
      <c r="R1943" t="n">
        <v>0</v>
      </c>
      <c r="S1943">
        <f>IFERROR(O1943/N1943,0)</f>
        <v/>
      </c>
      <c r="T1943" t="n">
        <v>0</v>
      </c>
      <c r="V1943" t="n">
        <v>0</v>
      </c>
    </row>
    <row r="1944">
      <c r="A1944">
        <f>Skills!A24</f>
        <v/>
      </c>
      <c r="B1944">
        <f>Skills!B24</f>
        <v/>
      </c>
      <c r="C1944">
        <f>Inputs!$B$3&gt;=43</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IF(B1965=0,0,O1944/B1965)</f>
        <v/>
      </c>
      <c r="Q1944" t="n">
        <v>0</v>
      </c>
      <c r="R1944" t="n">
        <v>0</v>
      </c>
      <c r="S1944">
        <f>IFERROR(O1944/N1944,0)</f>
        <v/>
      </c>
      <c r="T1944" t="n">
        <v>0</v>
      </c>
      <c r="V1944" t="n">
        <v>0</v>
      </c>
    </row>
    <row r="1945">
      <c r="A1945">
        <f>Skills!A25</f>
        <v/>
      </c>
      <c r="B1945">
        <f>Skills!B25</f>
        <v/>
      </c>
      <c r="C1945">
        <f>Inputs!$B$3&gt;=50</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IF(B1965=0,0,O1945/B1965)</f>
        <v/>
      </c>
      <c r="Q1945" t="n">
        <v>0</v>
      </c>
      <c r="R1945" t="n">
        <v>0</v>
      </c>
      <c r="S1945">
        <f>IFERROR(O1945/N1945,0)</f>
        <v/>
      </c>
      <c r="T1945" t="n">
        <v>0</v>
      </c>
      <c r="V1945" t="n">
        <v>0</v>
      </c>
    </row>
    <row r="1946">
      <c r="A1946">
        <f>Skills!A26</f>
        <v/>
      </c>
      <c r="B1946">
        <f>Skills!B26</f>
        <v/>
      </c>
      <c r="C1946">
        <f>Inputs!$B$3&gt;=50</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IF(B1965=0,0,O1946/B1965)</f>
        <v/>
      </c>
      <c r="Q1946" t="n">
        <v>0</v>
      </c>
      <c r="R1946" t="n">
        <v>0</v>
      </c>
      <c r="S1946">
        <f>IFERROR(O1946/N1946,0)</f>
        <v/>
      </c>
      <c r="T1946" t="n">
        <v>0</v>
      </c>
      <c r="V1946" t="n">
        <v>0</v>
      </c>
    </row>
    <row r="1947">
      <c r="A1947">
        <f>Skills!A27</f>
        <v/>
      </c>
      <c r="B1947">
        <f>Skills!B27</f>
        <v/>
      </c>
      <c r="C1947">
        <f>Inputs!$B$3&gt;=38</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IF(B1965=0,0,O1947/B1965)</f>
        <v/>
      </c>
      <c r="Q1947" t="n">
        <v>0</v>
      </c>
      <c r="R1947" t="n">
        <v>0</v>
      </c>
      <c r="S1947">
        <f>IFERROR(O1947/N1947,0)</f>
        <v/>
      </c>
      <c r="T1947" t="n">
        <v>0</v>
      </c>
      <c r="V1947" t="n">
        <v>0</v>
      </c>
    </row>
    <row r="1948">
      <c r="A1948">
        <f>Skills!A28</f>
        <v/>
      </c>
      <c r="B1948">
        <f>Skills!B28</f>
        <v/>
      </c>
      <c r="C1948">
        <f>Inputs!$B$3&gt;=120</f>
        <v/>
      </c>
      <c r="D1948">
        <f>IF(Skills!C28=1,60+Inputs!$B$25+Inputs!$B$29,IF(Skills!C28=2,90+Inputs!$B$26+Inputs!$B$29,IF(Skills!C28=3,120+Inputs!$B$27+Inputs!$B$29,MAX(0,(Inputs!$B$3-100)*3)+Inputs!$B$28+Inputs!$B$29)))</f>
        <v/>
      </c>
      <c r="E1948">
        <f>INDEX(FactorTable!$B$2:$Y$301, MATCH(ROUND(MIN(300,MAX(1,D1948)),0), FactorTable!$A$2:$A$301,0), Skills!M28+1)</f>
        <v/>
      </c>
      <c r="F1948">
        <f>IF(Skills!N28=TRUE,(Skills!L28/10)*(E1948/1000),Skills!L28/10)+Skills!O28</f>
        <v/>
      </c>
      <c r="G1948">
        <f>Skills!G28*IF(Skills!H28&gt;0,Skills!I28/Skills!H28,1)</f>
        <v/>
      </c>
      <c r="H1948">
        <f>1-(1-Skills!J28/100)^Skills!K28</f>
        <v/>
      </c>
      <c r="I1948" t="inlineStr">
        <is>
          <t>1</t>
        </is>
      </c>
      <c r="J1948" t="inlineStr"/>
      <c r="K1948" t="inlineStr"/>
      <c r="L1948" t="inlineStr"/>
      <c r="M1948" t="inlineStr"/>
      <c r="N1948" t="inlineStr"/>
      <c r="O1948">
        <f>(1-Summary!$B$11)*T1948+Summary!$B$11*V1948</f>
        <v/>
      </c>
      <c r="P1948">
        <f>IF(B1965=0,0,O1948/B1965)</f>
        <v/>
      </c>
      <c r="Q1948" t="n">
        <v>0</v>
      </c>
      <c r="R1948" t="n">
        <v>0</v>
      </c>
      <c r="S1948">
        <f>IFERROR(O1948/N1948,0)</f>
        <v/>
      </c>
      <c r="T1948" t="n">
        <v>0</v>
      </c>
      <c r="V1948" t="n">
        <v>0</v>
      </c>
    </row>
    <row r="1949">
      <c r="A1949">
        <f>Skills!A29</f>
        <v/>
      </c>
      <c r="B1949">
        <f>Skills!B29</f>
        <v/>
      </c>
      <c r="C1949">
        <f>Inputs!$B$3&gt;=120</f>
        <v/>
      </c>
      <c r="D1949">
        <f>IF(Skills!C29=1,60+Inputs!$B$25+Inputs!$B$29,IF(Skills!C29=2,90+Inputs!$B$26+Inputs!$B$29,IF(Skills!C29=3,120+Inputs!$B$27+Inputs!$B$29,MAX(0,(Inputs!$B$3-100)*3)+Inputs!$B$28+Inputs!$B$29)))</f>
        <v/>
      </c>
      <c r="E1949">
        <f>INDEX(FactorTable!$B$2:$Y$301, MATCH(ROUND(MIN(300,MAX(1,D1949)),0), FactorTable!$A$2:$A$301,0), Skills!M29+1)</f>
        <v/>
      </c>
      <c r="F1949">
        <f>IF(Skills!N29=TRUE,(Skills!L29/10)*(E1949/1000),Skills!L29/10)+Skills!O29</f>
        <v/>
      </c>
      <c r="G1949">
        <f>Skills!G29*IF(Skills!H29&gt;0,Skills!I29/Skills!H29,1)</f>
        <v/>
      </c>
      <c r="H1949">
        <f>1-(1-Skills!J29/100)^Skills!K29</f>
        <v/>
      </c>
      <c r="I1949" t="inlineStr">
        <is>
          <t>1</t>
        </is>
      </c>
      <c r="J1949" t="inlineStr"/>
      <c r="K1949" t="inlineStr"/>
      <c r="L1949" t="inlineStr"/>
      <c r="M1949" t="inlineStr"/>
      <c r="N1949" t="inlineStr"/>
      <c r="O1949">
        <f>(1-Summary!$B$11)*T1949+Summary!$B$11*V1949</f>
        <v/>
      </c>
      <c r="P1949">
        <f>IF(B1965=0,0,O1949/B1965)</f>
        <v/>
      </c>
      <c r="Q1949" t="n">
        <v>0</v>
      </c>
      <c r="R1949" t="n">
        <v>0</v>
      </c>
      <c r="S1949">
        <f>IFERROR(O1949/N1949,0)</f>
        <v/>
      </c>
      <c r="T1949" t="n">
        <v>0</v>
      </c>
      <c r="V1949" t="n">
        <v>0</v>
      </c>
    </row>
    <row r="1950">
      <c r="A1950">
        <f>Skills!A30</f>
        <v/>
      </c>
      <c r="B1950">
        <f>Skills!B30</f>
        <v/>
      </c>
      <c r="C1950">
        <f>Inputs!$B$3&gt;=125</f>
        <v/>
      </c>
      <c r="D1950">
        <f>IF(Skills!C30=1,60+Inputs!$B$25+Inputs!$B$29,IF(Skills!C30=2,90+Inputs!$B$26+Inputs!$B$29,IF(Skills!C30=3,120+Inputs!$B$27+Inputs!$B$29,MAX(0,(Inputs!$B$3-100)*3)+Inputs!$B$28+Inputs!$B$29)))</f>
        <v/>
      </c>
      <c r="E1950">
        <f>INDEX(FactorTable!$B$2:$Y$301, MATCH(ROUND(MIN(300,MAX(1,D1950)),0), FactorTable!$A$2:$A$301,0), Skills!M30+1)</f>
        <v/>
      </c>
      <c r="F1950">
        <f>IF(Skills!N30=TRUE,(Skills!L30/10)*(E1950/1000),Skills!L30/10)+Skills!O30</f>
        <v/>
      </c>
      <c r="G1950">
        <f>Skills!G30*IF(Skills!H30&gt;0,Skills!I30/Skills!H30,1)</f>
        <v/>
      </c>
      <c r="H1950">
        <f>1-(1-Skills!J30/100)^Skills!K30</f>
        <v/>
      </c>
      <c r="I1950" t="inlineStr">
        <is>
          <t>1</t>
        </is>
      </c>
      <c r="J1950" t="inlineStr"/>
      <c r="K1950" t="inlineStr"/>
      <c r="L1950" t="inlineStr"/>
      <c r="M1950" t="inlineStr"/>
      <c r="N1950" t="inlineStr"/>
      <c r="O1950">
        <f>(1-Summary!$B$11)*T1950+Summary!$B$11*V1950</f>
        <v/>
      </c>
      <c r="P1950">
        <f>IF(B1965=0,0,O1950/B1965)</f>
        <v/>
      </c>
      <c r="Q1950" t="n">
        <v>0</v>
      </c>
      <c r="R1950" t="n">
        <v>0</v>
      </c>
      <c r="S1950">
        <f>IFERROR(O1950/N1950,0)</f>
        <v/>
      </c>
      <c r="T1950" t="n">
        <v>0</v>
      </c>
      <c r="V1950" t="n">
        <v>0</v>
      </c>
    </row>
    <row r="1952">
      <c r="A1952" t="inlineStr">
        <is>
          <t>Average Buff Multiplier</t>
        </is>
      </c>
      <c r="B1952">
        <f>(1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f>
        <v/>
      </c>
    </row>
    <row r="1953">
      <c r="A1953" t="inlineStr">
        <is>
          <t>Global Crit Rate Bonus %</t>
        </is>
      </c>
      <c r="B1953">
        <f>((C1940=TRUE)*F1940*IF(AND(Inputs!$B$39&lt;&gt;"pvp",Inputs!$B$44&gt;0),(((R1940-1)*(Skills!Y20*(1+Inputs!$B$34/100))+MIN((Skills!Y20*(1+Inputs!$B$34/100)),MAX(0,Inputs!$B$44-((R1940-1)*Skills!D20))))/Inputs!$B$44),IF(Inputs!$B$39="pvp",MIN((Skills!Y20*(1+Inputs!$B$34/100)),15)/15,(Skills!Y20*(1+Inputs!$B$34/100))/Skills!D20)))</f>
        <v/>
      </c>
    </row>
    <row r="1954">
      <c r="A1954" t="inlineStr">
        <is>
          <t>Global Monster Damage-Taken Bonus %</t>
        </is>
      </c>
      <c r="B1954">
        <f>IF(Inputs!$B$3&gt;=82,15,0)</f>
        <v/>
      </c>
    </row>
    <row r="1955">
      <c r="A1955" t="inlineStr">
        <is>
          <t>Shadow Partner Average Multiplier</t>
        </is>
      </c>
      <c r="B1955">
        <f>1+((C1927=TRUE)*F1927*(1+3.3333333333333335*IF(C1938=TRUE,F1938,0)/100)*I1927*Skills!J7/100)/100</f>
        <v/>
      </c>
    </row>
    <row r="1956">
      <c r="A1956" t="inlineStr">
        <is>
          <t>Attack Speed Buff Bonus %</t>
        </is>
      </c>
      <c r="B1956">
        <f>((C1939=TRUE)*F1939*IF(AND(Inputs!$B$39&lt;&gt;"pvp",Inputs!$B$44&gt;0),(((R1939-1)*(Skills!Y19*(1+Inputs!$B$34/100))+MIN((Skills!Y19*(1+Inputs!$B$34/100)),MAX(0,Inputs!$B$44-((R1939-1)*Skills!D19))))/Inputs!$B$44),IF(Inputs!$B$39="pvp",MIN((Skills!Y19*(1+Inputs!$B$34/100)),15)/15,(Skills!Y19*(1+Inputs!$B$34/100))/Skills!D19)))+((C1923=TRUE)*F1923*3)</f>
        <v/>
      </c>
    </row>
    <row r="1957">
      <c r="A1957" t="inlineStr">
        <is>
          <t>Actions Per Second</t>
        </is>
      </c>
      <c r="B1957">
        <f>1+MIN(150,150*(1-(1-(Inputs!$B$11+((C1942=TRUE)*(F1942-Calc!F22)))/150)*(1-B1956/150)))/100</f>
        <v/>
      </c>
    </row>
    <row r="1958">
      <c r="A1958" t="inlineStr">
        <is>
          <t>Skill + Buff Cast Rate</t>
        </is>
      </c>
      <c r="B1958">
        <f>IF(AND(Inputs!$B$39&lt;&gt;"pvp",Inputs!$B$44&gt;0),SUMPRODUCT((Skills!E2:E30=TRUE)*(C1922:C1950=TRUE)*R1922:R1950*Skills!F2:F30)/Inputs!$B$44,SUMPRODUCT((Skills!E2:E30=TRUE)*(C1922:C1950=TRUE)*Q1922:Q1950*Skills!F2:F30))</f>
        <v/>
      </c>
    </row>
    <row r="1959">
      <c r="A1959" t="inlineStr">
        <is>
          <t>Cruel Stab Casts Per Second</t>
        </is>
      </c>
      <c r="B1959">
        <f>MAX(0,B1957-B1958)</f>
        <v/>
      </c>
    </row>
    <row r="1960">
      <c r="A1960" t="inlineStr">
        <is>
          <t>Global Critical Damage Bonus % (Smokescreen Mastery Lv.113)</t>
        </is>
      </c>
      <c r="B1960">
        <f>IF(Inputs!$B$3&gt;=113,30,0)*IF(AND(Inputs!$B$39&lt;&gt;"pvp",Inputs!$B$44&gt;0),(((R1935-1)*(Skills!Y15*(1+Inputs!$B$34/100))+MIN((Skills!Y15*(1+Inputs!$B$34/100)),MAX(0,Inputs!$B$44-((R1935-1)*Skills!D15))))/Inputs!$B$44),IF(Inputs!$B$39="pvp",MIN((Skills!Y15*(1+Inputs!$B$34/100)),15)/15,(Skills!Y15*(1+Inputs!$B$34/100))/Skills!D15))</f>
        <v/>
      </c>
    </row>
    <row r="1961">
      <c r="A1961" t="inlineStr">
        <is>
          <t>Meso Explosion average stack count</t>
        </is>
      </c>
      <c r="B1961">
        <f>MIN(10,0.5*B1957*Skills!D4)</f>
        <v/>
      </c>
    </row>
    <row r="1962">
      <c r="A1962" t="inlineStr">
        <is>
          <t>Blood Money average stack count</t>
        </is>
      </c>
      <c r="B1962">
        <f>MIN(5,0.25*B1957*Skills!D4)</f>
        <v/>
      </c>
    </row>
    <row r="1963">
      <c r="A1963" t="inlineStr">
        <is>
          <t>Assassinate Murderous Intent Multiplier</t>
        </is>
      </c>
      <c r="B1963">
        <f>1+IFERROR(MIN(1,Q1934*2/Q1931),0)</f>
        <v/>
      </c>
    </row>
    <row r="1964">
      <c r="A1964" t="inlineStr">
        <is>
          <t>Buff-Casting Startup Delay (s, fixed-duration only)</t>
        </is>
      </c>
      <c r="B1964">
        <f>IF(AND(Inputs!$B$39&lt;&gt;"pvp",Inputs!$B$44&gt;0),SUMPRODUCT((Skills!Y2:Y30&gt;0)*(Skills!E2:E30=TRUE)*(C1922:C1950=TRUE))/B1957,0)</f>
        <v/>
      </c>
    </row>
    <row r="1965">
      <c r="A1965" s="6" t="inlineStr">
        <is>
          <t>TOTAL DPS</t>
        </is>
      </c>
      <c r="B1965" s="6">
        <f>SUM(O1922:O1950)</f>
        <v/>
      </c>
    </row>
    <row r="1966">
      <c r="A1966" t="inlineStr">
        <is>
          <t>Boss-Only Total DPS (this block's swept value)</t>
        </is>
      </c>
      <c r="B1966">
        <f>SUM(T1922:T1950)</f>
        <v/>
      </c>
    </row>
    <row r="1967">
      <c r="A1967" t="inlineStr">
        <is>
          <t>Normal-Only Total DPS (this block's swept value)</t>
        </is>
      </c>
      <c r="B1967">
        <f>SUM(V1922:V1950)</f>
        <v/>
      </c>
    </row>
    <row r="1970">
      <c r="A1970" s="6" t="inlineStr">
        <is>
          <t>Stat: Horntail's Scale (Equip)</t>
        </is>
      </c>
    </row>
    <row r="1971">
      <c r="A1971" s="5" t="inlineStr">
        <is>
          <t>Key</t>
        </is>
      </c>
      <c r="B1971" s="5" t="inlineStr">
        <is>
          <t>Name</t>
        </is>
      </c>
      <c r="C1971" s="5" t="inlineStr">
        <is>
          <t>Unlocked</t>
        </is>
      </c>
      <c r="D1971" s="5" t="inlineStr">
        <is>
          <t>InputLevel</t>
        </is>
      </c>
      <c r="E1971" s="5" t="inlineStr">
        <is>
          <t>Factor</t>
        </is>
      </c>
      <c r="F1971" s="5" t="inlineStr">
        <is>
          <t>CoefficientPercent</t>
        </is>
      </c>
      <c r="G1971" s="5" t="inlineStr">
        <is>
          <t>EffectiveHits</t>
        </is>
      </c>
      <c r="H1971" s="5" t="inlineStr">
        <is>
          <t>ProcProbability</t>
        </is>
      </c>
      <c r="I1971" s="5" t="inlineStr">
        <is>
          <t>MapleHeroMultiplier</t>
        </is>
      </c>
      <c r="J1971" s="5" t="inlineStr">
        <is>
          <t>BaseDamage</t>
        </is>
      </c>
      <c r="K1971" s="5" t="inlineStr">
        <is>
          <t>BaseHitDamage</t>
        </is>
      </c>
      <c r="L1971" s="5" t="inlineStr">
        <is>
          <t>NonCritAvg</t>
        </is>
      </c>
      <c r="M1971" s="5" t="inlineStr">
        <is>
          <t>CritAvg</t>
        </is>
      </c>
      <c r="N1971" s="5" t="inlineStr">
        <is>
          <t>ExpectedDamage(perHit)</t>
        </is>
      </c>
      <c r="O1971" s="5" t="inlineStr">
        <is>
          <t>DPS</t>
        </is>
      </c>
      <c r="P1971" s="5" t="inlineStr">
        <is>
          <t>% of Total</t>
        </is>
      </c>
      <c r="Q1971" s="5" t="inlineStr">
        <is>
          <t>InvCooldown</t>
        </is>
      </c>
      <c r="R1971" s="5" t="inlineStr">
        <is>
          <t>CastsInFight</t>
        </is>
      </c>
      <c r="S1971" s="5" t="inlineStr">
        <is>
          <t>HitRate(perSec)</t>
        </is>
      </c>
      <c r="U1971" t="inlineStr">
        <is>
          <t>helpers</t>
        </is>
      </c>
    </row>
    <row r="1972">
      <c r="A1972">
        <f>Skills!A2</f>
        <v/>
      </c>
      <c r="B1972">
        <f>Skills!B2</f>
        <v/>
      </c>
      <c r="C1972">
        <f>Inputs!$B$3&gt;=100</f>
        <v/>
      </c>
      <c r="D1972" t="inlineStr"/>
      <c r="E1972" t="inlineStr"/>
      <c r="F1972">
        <f>U1974+Skills!O2</f>
        <v/>
      </c>
      <c r="G1972">
        <f>Skills!G2*IF(Skills!H2&gt;0,Skills!I2/Skills!H2,1)</f>
        <v/>
      </c>
      <c r="H1972">
        <f>1-(1-Skills!J2/100)^Skills!K2</f>
        <v/>
      </c>
      <c r="I1972" t="inlineStr">
        <is>
          <t>1</t>
        </is>
      </c>
      <c r="J1972">
        <f>((Inputs!$B$6*(1+Inputs!$B$7/100))+(((Inputs!$B$12*(1+Inputs!$B$13/100))-(Inputs!$B$12*(1+Inputs!$B$13/100)))+0.25*(Inputs!$B$14-Inputs!$B$14))*(1+Inputs!$B$7/100))*(F1972/100)</f>
        <v/>
      </c>
      <c r="K1972">
        <f>J1972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1972)</f>
        <v/>
      </c>
      <c r="L1972">
        <f>K1972*(MIN(Inputs!$B$22+((C1994=TRUE)*(F1994-Calc!F24)),(Inputs!$B$23+((C1999=TRUE)*(F1999-Calc!F29))+IF(ArtifactsInput!$M$15,CHOOSE(ArtifactsInput!$N$15+1,25,30,35,40,45,50)/100*(Inputs!$B$11-Inputs!$B$11),0)))/100+(Inputs!$B$23+((C1999=TRUE)*(F1999-Calc!F29))+IF(ArtifactsInput!$M$15,CHOOSE(ArtifactsInput!$N$15+1,25,30,35,40,45,50)/100*(Inputs!$B$11-Inputs!$B$11),0))/100)/2</f>
        <v/>
      </c>
      <c r="M1972">
        <f>L1972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2">
        <f>L1972*(1-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IF(B2015=0,0,O1972/B2015)</f>
        <v/>
      </c>
      <c r="Q1972" t="n">
        <v>0</v>
      </c>
      <c r="R1972" t="n">
        <v>0</v>
      </c>
      <c r="S1972">
        <f>IFERROR(O1972/N1972,0)</f>
        <v/>
      </c>
      <c r="T1972">
        <f>IF(C1972,(Skills!G2*N1972*B2009)*IF(Inputs!$B$39="pvp",1,1+(Inputs!$B$20+0+Skills!P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1972*(1-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2">
        <f>MAX(0,(Inputs!$B$3-100)*3)+Inputs!$B$28+Inputs!$B$29</f>
        <v/>
      </c>
      <c r="V1972">
        <f>IF(C1972,(Skills!G2*N1972*B2009)*IF(Inputs!$B$39="pvp",1,(1+(Inputs!$B$21+Skills!Q2+B2004+(IF(ArtifactsInput!$M$33,CHOOSE(ArtifactsInput!$N$33+1,30,36,42,48,54,60),0))+(IF(AND(ArtifactsInput!$M$35,Inputs!$B$4&lt;&gt;"Chapter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Skills!A3</f>
        <v/>
      </c>
      <c r="B1973">
        <f>Skills!B3</f>
        <v/>
      </c>
      <c r="C1973">
        <f>Inputs!$B$3&gt;=35</f>
        <v/>
      </c>
      <c r="D1973">
        <f>IF(Skills!C3=1,60+Inputs!$B$25+Inputs!$B$29,IF(Skills!C3=2,90+Inputs!$B$26+Inputs!$B$29,IF(Skills!C3=3,120+Inputs!$B$27+Inputs!$B$29,MAX(0,(Inputs!$B$3-100)*3)+Inputs!$B$28+Inputs!$B$29)))</f>
        <v/>
      </c>
      <c r="E1973">
        <f>INDEX(FactorTable!$B$2:$Y$301, MATCH(ROUND(MIN(300,MAX(1,D1973)),0), FactorTable!$A$2:$A$301,0), Skills!M3+1)</f>
        <v/>
      </c>
      <c r="F1973">
        <f>IF(Skills!N3=TRUE,(Skills!L3/10)*(E1973/1000),Skills!L3/10)+Skills!O3</f>
        <v/>
      </c>
      <c r="G1973">
        <f>Skills!G3*IF(Skills!H3&gt;0,Skills!I3/Skills!H3,1)</f>
        <v/>
      </c>
      <c r="H1973">
        <f>1-(1-Skills!J3/100)^Skills!K3</f>
        <v/>
      </c>
      <c r="I1973" t="inlineStr">
        <is>
          <t>1</t>
        </is>
      </c>
      <c r="J1973" t="inlineStr"/>
      <c r="K1973" t="inlineStr"/>
      <c r="L1973" t="inlineStr"/>
      <c r="M1973" t="inlineStr"/>
      <c r="N1973" t="inlineStr"/>
      <c r="O1973">
        <f>(1-Summary!$B$11)*T1973+Summary!$B$11*V1973</f>
        <v/>
      </c>
      <c r="P1973">
        <f>IF(B2015=0,0,O1973/B2015)</f>
        <v/>
      </c>
      <c r="Q1973" t="n">
        <v>0</v>
      </c>
      <c r="R1973" t="n">
        <v>0</v>
      </c>
      <c r="S1973">
        <f>IFERROR(O1973/N1973,0)</f>
        <v/>
      </c>
      <c r="T1973" t="n">
        <v>0</v>
      </c>
      <c r="U1973">
        <f>INDEX(FactorTable!$B$2:$Y$301, MATCH(ROUND(MIN(300,MAX(1,U1972)),0), FactorTable!$A$2:$A$301,0), 22)</f>
        <v/>
      </c>
      <c r="V1973" t="n">
        <v>0</v>
      </c>
    </row>
    <row r="1974">
      <c r="A1974">
        <f>Skills!A4</f>
        <v/>
      </c>
      <c r="B1974">
        <f>Skills!B4</f>
        <v/>
      </c>
      <c r="C1974">
        <f>Inputs!$B$3&gt;=66</f>
        <v/>
      </c>
      <c r="D1974">
        <f>IF(Skills!C4=1,60+Inputs!$B$25+Inputs!$B$29,IF(Skills!C4=2,90+Inputs!$B$26+Inputs!$B$29,IF(Skills!C4=3,120+Inputs!$B$27+Inputs!$B$29,MAX(0,(Inputs!$B$3-100)*3)+Inputs!$B$28+Inputs!$B$29)))</f>
        <v/>
      </c>
      <c r="E1974">
        <f>INDEX(FactorTable!$B$2:$Y$301, MATCH(ROUND(MIN(300,MAX(1,D1974)),0), FactorTable!$A$2:$A$301,0), Skills!M4+1)</f>
        <v/>
      </c>
      <c r="F1974">
        <f>IF(Skills!N4=TRUE,(Skills!L4/10)*(E1974/1000),Skills!L4/10)+Skills!O4</f>
        <v/>
      </c>
      <c r="G1974">
        <f>Skills!G4*IF(Skills!H4&gt;0,Skills!I4/Skills!H4,1)</f>
        <v/>
      </c>
      <c r="H1974">
        <f>1-(1-Skills!J4/100)^Skills!K4</f>
        <v/>
      </c>
      <c r="I1974" t="inlineStr">
        <is>
          <t>1</t>
        </is>
      </c>
      <c r="J1974">
        <f>((Inputs!$B$6*(1+Inputs!$B$7/100))+(((Inputs!$B$12*(1+Inputs!$B$13/100))-(Inputs!$B$12*(1+Inputs!$B$13/100)))+0.25*(Inputs!$B$14-Inputs!$B$14))*(1+Inputs!$B$7/100))*(F1974/100)</f>
        <v/>
      </c>
      <c r="K1974">
        <f>J1974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1974)</f>
        <v/>
      </c>
      <c r="L1974">
        <f>K1974*(MIN(Inputs!$B$22+((C1994=TRUE)*(F1994-Calc!F24)),(Inputs!$B$23+((C1999=TRUE)*(F1999-Calc!F29))+IF(ArtifactsInput!$M$15,CHOOSE(ArtifactsInput!$N$15+1,25,30,35,40,45,50)/100*(Inputs!$B$11-Inputs!$B$11),0)))/100+(Inputs!$B$23+((C1999=TRUE)*(F1999-Calc!F29))+IF(ArtifactsInput!$M$15,CHOOSE(ArtifactsInput!$N$15+1,25,30,35,40,45,50)/100*(Inputs!$B$11-Inputs!$B$11),0))/100)/2</f>
        <v/>
      </c>
      <c r="M1974">
        <f>L1974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4">
        <f>L1974*(1-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1974*(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4">
        <f>(1-Summary!$B$11)*T1974+Summary!$B$11*V1974</f>
        <v/>
      </c>
      <c r="P1974">
        <f>IF(B2015=0,0,O1974/B2015)</f>
        <v/>
      </c>
      <c r="Q1974">
        <f>IFERROR(1/IF(Inputs!$B$39="pvp",15,MAX(0.1,Skills!D4-IF(Skills!E4=TRUE,Inputs!$B$32,0))),0)</f>
        <v/>
      </c>
      <c r="R1974">
        <f>IF(AND(Inputs!$B$39&lt;&gt;"pvp",Inputs!$B$44&gt;0),IF(MAX(0,Inputs!$B$44-B2014)&lt;=0,0,(INT(MAX(0,Inputs!$B$44-B2014)/IF(Inputs!$B$39="pvp",15,MAX(0.1,Skills!D4-IF(Skills!E4=TRUE,Inputs!$B$32,0))))+1)),0)</f>
        <v/>
      </c>
      <c r="S1974">
        <f>IFERROR(O1974/N1974,0)</f>
        <v/>
      </c>
      <c r="T1974">
        <f>IF(C1974,(H1974*N1974*IF(AND(Inputs!$B$39&lt;&gt;"pvp",Inputs!$B$44&gt;0),((Skills!G4*((R1974-1)*IF(Skills!H4&gt;0,Skills!I4/Skills!H4,1)+IF(Skills!H4&gt;0,MIN(Skills!I4,MAX(0,MAX(0,Inputs!$B$44-B2014)-((R1974-1)*IF(Inputs!$B$39="pvp",15,MAX(0.1,Skills!D4-IF(Skills!E4=TRUE,Inputs!$B$32,0))))))/Skills!H4,1)))/Inputs!$B$44),G1974*Q1974))*IF(Inputs!$B$39="pvp",1,1+(Inputs!$B$20+0+Skills!P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1974*(1-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1974*(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1974*(1-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1974*(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4">
        <f>290*U1973/1000</f>
        <v/>
      </c>
      <c r="V1974">
        <f>IF(C1974,(H1974*N1974*IF(AND(Inputs!$B$39&lt;&gt;"pvp",Inputs!$B$44&gt;0),((Skills!G4*((R1974-1)*IF(Skills!H4&gt;0,Skills!I4/Skills!H4,1)+IF(Skills!H4&gt;0,MIN(Skills!I4,MAX(0,MAX(0,Inputs!$B$44-B2014)-((R1974-1)*IF(Inputs!$B$39="pvp",15,MAX(0.1,Skills!D4-IF(Skills!E4=TRUE,Inputs!$B$32,0))))))/Skills!H4,1)))/Inputs!$B$44),G1974*Q1974))*IF(Inputs!$B$39="pvp",1,(1+(Inputs!$B$21+Skills!Q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(10,0.5*B2007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5">
      <c r="A1975">
        <f>Skills!A5</f>
        <v/>
      </c>
      <c r="B1975">
        <f>Skills!B5</f>
        <v/>
      </c>
      <c r="C1975">
        <f>Inputs!$B$3&gt;=63</f>
        <v/>
      </c>
      <c r="D1975">
        <f>IF(Skills!C5=1,60+Inputs!$B$25+Inputs!$B$29,IF(Skills!C5=2,90+Inputs!$B$26+Inputs!$B$29,IF(Skills!C5=3,120+Inputs!$B$27+Inputs!$B$29,MAX(0,(Inputs!$B$3-100)*3)+Inputs!$B$28+Inputs!$B$29)))</f>
        <v/>
      </c>
      <c r="E1975">
        <f>INDEX(FactorTable!$B$2:$Y$301, MATCH(ROUND(MIN(300,MAX(1,D1975)),0), FactorTable!$A$2:$A$301,0), Skills!M5+1)</f>
        <v/>
      </c>
      <c r="F1975">
        <f>IF(Skills!N5=TRUE,(Skills!L5/10)*(E1975/1000),Skills!L5/10)+Skills!O5</f>
        <v/>
      </c>
      <c r="G1975">
        <f>Skills!G5*IF(Skills!H5&gt;0,Skills!I5/Skills!H5,1)</f>
        <v/>
      </c>
      <c r="H1975">
        <f>1-(1-Skills!J5/100)^Skills!K5</f>
        <v/>
      </c>
      <c r="I1975" t="inlineStr">
        <is>
          <t>1</t>
        </is>
      </c>
      <c r="J1975">
        <f>((Inputs!$B$6*(1+Inputs!$B$7/100))+(((Inputs!$B$12*(1+Inputs!$B$13/100))-(Inputs!$B$12*(1+Inputs!$B$13/100)))+0.25*(Inputs!$B$14-Inputs!$B$14))*(1+Inputs!$B$7/100))*(F1975/100)</f>
        <v/>
      </c>
      <c r="K1975">
        <f>J1975*(1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1988=TRUE,F1988,0)/100)*(1+(IF(Skills!A5="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1975)</f>
        <v/>
      </c>
      <c r="L1975">
        <f>K1975*(MIN(Inputs!$B$22+((C1994=TRUE)*(F1994-Calc!F24)),(Inputs!$B$23+((C1999=TRUE)*(F1999-Calc!F29))+IF(ArtifactsInput!$M$15,CHOOSE(ArtifactsInput!$N$15+1,25,30,35,40,45,50)/100*(Inputs!$B$11-Inputs!$B$11),0)))/100+(Inputs!$B$23+((C1999=TRUE)*(F1999-Calc!F29))+IF(ArtifactsInput!$M$15,CHOOSE(ArtifactsInput!$N$15+1,25,30,35,40,45,50)/100*(Inputs!$B$11-Inputs!$B$11),0))/100)/2</f>
        <v/>
      </c>
      <c r="M1975">
        <f>L1975*(1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5">
        <f>L1975*(1-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IF(B2015=0,0,O1975/B2015)</f>
        <v/>
      </c>
      <c r="Q1975">
        <f>IFERROR(1/IF(Inputs!$B$39="pvp",15,MAX(0.1,Skills!D5-IF(Skills!E5=TRUE,Inputs!$B$32,0))),0)</f>
        <v/>
      </c>
      <c r="R1975">
        <f>IF(AND(Inputs!$B$39&lt;&gt;"pvp",Inputs!$B$44&gt;0),IF(MAX(0,Inputs!$B$44-B2014)&lt;=0,0,(INT(MAX(0,Inputs!$B$44-B2014)/IF(Inputs!$B$39="pvp",15,MAX(0.1,Skills!D5-IF(Skills!E5=TRUE,Inputs!$B$32,0))))+1)),0)</f>
        <v/>
      </c>
      <c r="S1975">
        <f>IFERROR(O1975/N1975,0)</f>
        <v/>
      </c>
      <c r="T1975">
        <f>IF(C1975,(H1975*N1975*IF(AND(Inputs!$B$39&lt;&gt;"pvp",Inputs!$B$44&gt;0),((Skills!G5*((R1975-1)*IF(Skills!H5&gt;0,Skills!I5/Skills!H5,1)+IF(Skills!H5&gt;0,MIN(Skills!I5,MAX(0,MAX(0,Inputs!$B$44-B2014)-((R1975-1)*IF(Inputs!$B$39="pvp",15,MAX(0.1,Skills!D5-IF(Skills!E5=TRUE,Inputs!$B$32,0))))))/Skills!H5,1)))/Inputs!$B$44),G1975*Q1975))*IF(Inputs!$B$39="pvp",1,1+(Inputs!$B$20+0+Skills!P5+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1975*(1-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5*((R1975-1)*IF(Skills!H5&gt;0,Skills!I5/Skills!H5,1)+IF(Skills!H5&gt;0,MIN(Skills!I5,MAX(0,MAX(0,Inputs!$B$44-B2014)-((R1975-1)*IF(Inputs!$B$39="pvp",15,MAX(0.1,Skills!D5-IF(Skills!E5=TRUE,Inputs!$B$32,0))))))/Skills!H5,1)))/Inputs!$B$44),G1975*Q1975))*IF(Inputs!$B$39="pvp",1,(1+(Inputs!$B$21+Skills!Q5+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Skills!A6</f>
        <v/>
      </c>
      <c r="B1976">
        <f>Skills!B6</f>
        <v/>
      </c>
      <c r="C1976">
        <f>Inputs!$B$3&gt;=69</f>
        <v/>
      </c>
      <c r="D1976">
        <f>IF(Skills!C6=1,60+Inputs!$B$25+Inputs!$B$29,IF(Skills!C6=2,90+Inputs!$B$26+Inputs!$B$29,IF(Skills!C6=3,120+Inputs!$B$27+Inputs!$B$29,MAX(0,(Inputs!$B$3-100)*3)+Inputs!$B$28+Inputs!$B$29)))</f>
        <v/>
      </c>
      <c r="E1976">
        <f>INDEX(FactorTable!$B$2:$Y$301, MATCH(ROUND(MIN(300,MAX(1,D1976)),0), FactorTable!$A$2:$A$301,0), Skills!M6+1)</f>
        <v/>
      </c>
      <c r="F1976">
        <f>IF(Skills!N6=TRUE,(Skills!L6/10)*(E1976/1000),Skills!L6/10)+Skills!O6</f>
        <v/>
      </c>
      <c r="G1976">
        <f>Skills!G6*IF(Skills!H6&gt;0,Skills!I6/Skills!H6,1)</f>
        <v/>
      </c>
      <c r="H1976">
        <f>1-(1-Skills!J6/100)^Skills!K6</f>
        <v/>
      </c>
      <c r="I1976" t="inlineStr">
        <is>
          <t>1</t>
        </is>
      </c>
      <c r="J1976">
        <f>((Inputs!$B$6*(1+Inputs!$B$7/100))+(((Inputs!$B$12*(1+Inputs!$B$13/100))-(Inputs!$B$12*(1+Inputs!$B$13/100)))+0.25*(Inputs!$B$14-Inputs!$B$14))*(1+Inputs!$B$7/100))*(F1976/100)</f>
        <v/>
      </c>
      <c r="K1976">
        <f>J1976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1988=TRUE,F1988,0)/100)*(1+(IF(Skills!A6="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1976)</f>
        <v/>
      </c>
      <c r="L1976">
        <f>K1976*(MIN(Inputs!$B$22+((C1994=TRUE)*(F1994-Calc!F24)),(Inputs!$B$23+((C1999=TRUE)*(F1999-Calc!F29))+IF(ArtifactsInput!$M$15,CHOOSE(ArtifactsInput!$N$15+1,25,30,35,40,45,50)/100*(Inputs!$B$11-Inputs!$B$11),0)))/100+(Inputs!$B$23+((C1999=TRUE)*(F1999-Calc!F29))+IF(ArtifactsInput!$M$15,CHOOSE(ArtifactsInput!$N$15+1,25,30,35,40,45,50)/100*(Inputs!$B$11-Inputs!$B$11),0))/100)/2</f>
        <v/>
      </c>
      <c r="M1976">
        <f>L1976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6">
        <f>L1976*(1-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1976*(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6">
        <f>(1-Summary!$B$11)*T1976+Summary!$B$11*V1976</f>
        <v/>
      </c>
      <c r="P1976">
        <f>IF(B2015=0,0,O1976/B2015)</f>
        <v/>
      </c>
      <c r="Q1976">
        <f>IFERROR(1/IF(Inputs!$B$39="pvp",15,MAX(0.1,Skills!D6-IF(Skills!E6=TRUE,Inputs!$B$32,0))),0)</f>
        <v/>
      </c>
      <c r="R1976">
        <f>IF(AND(Inputs!$B$39&lt;&gt;"pvp",Inputs!$B$44&gt;0),IF(MAX(0,Inputs!$B$44-B2014)&lt;=0,0,(INT(MAX(0,Inputs!$B$44-B2014)/IF(Inputs!$B$39="pvp",15,MAX(0.1,Skills!D6-IF(Skills!E6=TRUE,Inputs!$B$32,0))))+1)),0)</f>
        <v/>
      </c>
      <c r="S1976">
        <f>IFERROR(O1976/N1976,0)</f>
        <v/>
      </c>
      <c r="T1976">
        <f>IF(C1976,(H1976*N1976*IF(AND(Inputs!$B$39&lt;&gt;"pvp",Inputs!$B$44&gt;0),((Skills!G6*((R1976-1)*IF(Skills!H6&gt;0,Skills!I6/Skills!H6,1)+IF(Skills!H6&gt;0,MIN(Skills!I6,MAX(0,MAX(0,Inputs!$B$44-B2014)-((R1976-1)*IF(Inputs!$B$39="pvp",15,MAX(0.1,Skills!D6-IF(Skills!E6=TRUE,Inputs!$B$32,0))))))/Skills!H6,1)))/Inputs!$B$44),G1976*Q1976))*IF(Inputs!$B$39="pvp",1,1+(Inputs!$B$20+0+Skills!P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1976*(1-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1976*(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1976*(1-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1976*(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6">
        <f>IF(C1976,(H1976*N1976*IF(AND(Inputs!$B$39&lt;&gt;"pvp",Inputs!$B$44&gt;0),((Skills!G6*((R1976-1)*IF(Skills!H6&gt;0,Skills!I6/Skills!H6,1)+IF(Skills!H6&gt;0,MIN(Skills!I6,MAX(0,MAX(0,Inputs!$B$44-B2014)-((R1976-1)*IF(Inputs!$B$39="pvp",15,MAX(0.1,Skills!D6-IF(Skills!E6=TRUE,Inputs!$B$32,0))))))/Skills!H6,1)))/Inputs!$B$44),G1976*Q1976))*IF(Inputs!$B$39="pvp",1,(1+(Inputs!$B$21+Skills!Q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7">
      <c r="A1977">
        <f>Skills!A7</f>
        <v/>
      </c>
      <c r="B1977">
        <f>Skills!B7</f>
        <v/>
      </c>
      <c r="C1977">
        <f>Inputs!$B$3&gt;=60</f>
        <v/>
      </c>
      <c r="D1977">
        <f>IF(Skills!C7=1,60+Inputs!$B$25+Inputs!$B$29,IF(Skills!C7=2,90+Inputs!$B$26+Inputs!$B$29,IF(Skills!C7=3,120+Inputs!$B$27+Inputs!$B$29,MAX(0,(Inputs!$B$3-100)*3)+Inputs!$B$28+Inputs!$B$29)))</f>
        <v/>
      </c>
      <c r="E1977">
        <f>INDEX(FactorTable!$B$2:$Y$301, MATCH(ROUND(MIN(300,MAX(1,D1977)),0), FactorTable!$A$2:$A$301,0), Skills!M7+1)</f>
        <v/>
      </c>
      <c r="F1977">
        <f>IF(Skills!N7=TRUE,(Skills!L7/10)*(E1977/1000),Skills!L7/10)+Skills!O7</f>
        <v/>
      </c>
      <c r="G1977">
        <f>Skills!G7*IF(Skills!H7&gt;0,Skills!I7/Skills!H7,1)</f>
        <v/>
      </c>
      <c r="H1977">
        <f>1-(1-Skills!J7/100)^Skills!K7</f>
        <v/>
      </c>
      <c r="I1977" t="inlineStr">
        <is>
          <t>1</t>
        </is>
      </c>
      <c r="J1977" t="inlineStr"/>
      <c r="K1977" t="inlineStr"/>
      <c r="L1977" t="inlineStr"/>
      <c r="M1977" t="inlineStr"/>
      <c r="N1977" t="inlineStr"/>
      <c r="O1977">
        <f>(1-Summary!$B$11)*T1977+Summary!$B$11*V1977</f>
        <v/>
      </c>
      <c r="P1977">
        <f>IF(B2015=0,0,O1977/B2015)</f>
        <v/>
      </c>
      <c r="Q1977" t="n">
        <v>0</v>
      </c>
      <c r="R1977" t="n">
        <v>0</v>
      </c>
      <c r="S1977">
        <f>IFERROR(O1977/N1977,0)</f>
        <v/>
      </c>
      <c r="T1977" t="n">
        <v>0</v>
      </c>
      <c r="V1977" t="n">
        <v>0</v>
      </c>
    </row>
    <row r="1978">
      <c r="A1978">
        <f>Skills!A8</f>
        <v/>
      </c>
      <c r="B1978">
        <f>Skills!B8</f>
        <v/>
      </c>
      <c r="C1978">
        <f>Inputs!$B$3&gt;=72</f>
        <v/>
      </c>
      <c r="D1978">
        <f>IF(Skills!C8=1,60+Inputs!$B$25+Inputs!$B$29,IF(Skills!C8=2,90+Inputs!$B$26+Inputs!$B$29,IF(Skills!C8=3,120+Inputs!$B$27+Inputs!$B$29,MAX(0,(Inputs!$B$3-100)*3)+Inputs!$B$28+Inputs!$B$29)))</f>
        <v/>
      </c>
      <c r="E1978">
        <f>INDEX(FactorTable!$B$2:$Y$301, MATCH(ROUND(MIN(300,MAX(1,D1978)),0), FactorTable!$A$2:$A$301,0), Skills!M8+1)</f>
        <v/>
      </c>
      <c r="F1978">
        <f>IF(Skills!N8=TRUE,(Skills!L8/10)*(E1978/1000),Skills!L8/10)+Skills!O8</f>
        <v/>
      </c>
      <c r="G1978">
        <f>Skills!G8*IF(Skills!H8&gt;0,Skills!I8/Skills!H8,1)</f>
        <v/>
      </c>
      <c r="H1978">
        <f>1-(1-Skills!J8/100)^Skills!K8</f>
        <v/>
      </c>
      <c r="I1978" t="inlineStr">
        <is>
          <t>1</t>
        </is>
      </c>
      <c r="J1978">
        <f>((Inputs!$B$6*(1+Inputs!$B$7/100))+(((Inputs!$B$12*(1+Inputs!$B$13/100))-(Inputs!$B$12*(1+Inputs!$B$13/100)))+0.25*(Inputs!$B$14-Inputs!$B$14))*(1+Inputs!$B$7/100))*(F1978/100)</f>
        <v/>
      </c>
      <c r="K1978">
        <f>J1978*(1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1988=TRUE,F1988,0)/100)*(1+(IF(Skills!A8="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1978)</f>
        <v/>
      </c>
      <c r="L1978">
        <f>K1978*(MIN(Inputs!$B$22+((C1994=TRUE)*(F1994-Calc!F24)),(Inputs!$B$23+((C1999=TRUE)*(F1999-Calc!F29))+IF(ArtifactsInput!$M$15,CHOOSE(ArtifactsInput!$N$15+1,25,30,35,40,45,50)/100*(Inputs!$B$11-Inputs!$B$11),0)))/100+(Inputs!$B$23+((C1999=TRUE)*(F1999-Calc!F29))+IF(ArtifactsInput!$M$15,CHOOSE(ArtifactsInput!$N$15+1,25,30,35,40,45,50)/100*(Inputs!$B$11-Inputs!$B$11),0))/100)/2</f>
        <v/>
      </c>
      <c r="M1978">
        <f>L1978*(1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8">
        <f>L1978*(1-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1978*(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8">
        <f>(1-Summary!$B$11)*T1978+Summary!$B$11*V1978</f>
        <v/>
      </c>
      <c r="P1978">
        <f>IF(B2015=0,0,O1978/B2015)</f>
        <v/>
      </c>
      <c r="Q1978">
        <f>IFERROR(1/IF(Inputs!$B$39="pvp",15,MAX(0.1,Skills!D8-IF(Skills!E8=TRUE,Inputs!$B$32,0))),0)</f>
        <v/>
      </c>
      <c r="R1978">
        <f>IF(AND(Inputs!$B$39&lt;&gt;"pvp",Inputs!$B$44&gt;0),IF(MAX(0,Inputs!$B$44-B2014)&lt;=0,0,(INT(MAX(0,Inputs!$B$44-B2014)/IF(Inputs!$B$39="pvp",15,MAX(0.1,Skills!D8-IF(Skills!E8=TRUE,Inputs!$B$32,0))))+1)),0)</f>
        <v/>
      </c>
      <c r="S1978">
        <f>IFERROR(O1978/N1978,0)</f>
        <v/>
      </c>
      <c r="T1978">
        <f>IF(C1978,(H1978*N1978*IF(AND(Inputs!$B$39&lt;&gt;"pvp",Inputs!$B$44&gt;0),((Skills!G8*((R1978-1)*IF(Skills!H8&gt;0,Skills!I8/Skills!H8,1)+IF(Skills!H8&gt;0,MIN(Skills!I8,MAX(0,MAX(0,Inputs!$B$44-B2014)-((R1978-1)*IF(Inputs!$B$39="pvp",15,MAX(0.1,Skills!D8-IF(Skills!E8=TRUE,Inputs!$B$32,0))))))/Skills!H8,1)))/Inputs!$B$44),G1978*Q1978))*IF(Inputs!$B$39="pvp",1,1+(Inputs!$B$20+0+Skills!P8+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1978*(1-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1978*(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1978*(1-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1978*(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8">
        <f>IF(C1978,(H1978*N1978*IF(AND(Inputs!$B$39&lt;&gt;"pvp",Inputs!$B$44&gt;0),((Skills!G8*((R1978-1)*IF(Skills!H8&gt;0,Skills!I8/Skills!H8,1)+IF(Skills!H8&gt;0,MIN(Skills!I8,MAX(0,MAX(0,Inputs!$B$44-B2014)-((R1978-1)*IF(Inputs!$B$39="pvp",15,MAX(0.1,Skills!D8-IF(Skills!E8=TRUE,Inputs!$B$32,0))))))/Skills!H8,1)))/Inputs!$B$44),G1978*Q1978))*IF(Inputs!$B$39="pvp",1,(1+(Inputs!$B$21+Skills!Q8+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9">
      <c r="A1979">
        <f>Skills!A9</f>
        <v/>
      </c>
      <c r="B1979">
        <f>Skills!B9</f>
        <v/>
      </c>
      <c r="C1979">
        <f>Inputs!$B$3&gt;=117</f>
        <v/>
      </c>
      <c r="D1979">
        <f>IF(Skills!C9=1,60+Inputs!$B$25+Inputs!$B$29,IF(Skills!C9=2,90+Inputs!$B$26+Inputs!$B$29,IF(Skills!C9=3,120+Inputs!$B$27+Inputs!$B$29,MAX(0,(Inputs!$B$3-100)*3)+Inputs!$B$28+Inputs!$B$29)))</f>
        <v/>
      </c>
      <c r="E1979">
        <f>INDEX(FactorTable!$B$2:$Y$301, MATCH(ROUND(MIN(300,MAX(1,D1979)),0), FactorTable!$A$2:$A$301,0), Skills!M9+1)</f>
        <v/>
      </c>
      <c r="F1979">
        <f>IF(Skills!N9=TRUE,(Skills!L9/10)*(E1979/1000),Skills!L9/10)+Skills!O9</f>
        <v/>
      </c>
      <c r="G1979">
        <f>Skills!G9*IF(Skills!H9&gt;0,Skills!I9/Skills!H9,1)</f>
        <v/>
      </c>
      <c r="H1979">
        <f>1-(1-Skills!J9/100)^Skills!K9</f>
        <v/>
      </c>
      <c r="I1979" t="inlineStr">
        <is>
          <t>1</t>
        </is>
      </c>
      <c r="J1979">
        <f>((Inputs!$B$6*(1+Inputs!$B$7/100))+(((Inputs!$B$12*(1+Inputs!$B$13/100))-(Inputs!$B$12*(1+Inputs!$B$13/100)))+0.25*(Inputs!$B$14-Inputs!$B$14))*(1+Inputs!$B$7/100))*(F1979/100)</f>
        <v/>
      </c>
      <c r="K1979">
        <f>J1979*(1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1979)</f>
        <v/>
      </c>
      <c r="L1979">
        <f>K1979*(MIN(Inputs!$B$22+((C1994=TRUE)*(F1994-Calc!F24)),(Inputs!$B$23+((C1999=TRUE)*(F1999-Calc!F29))+IF(ArtifactsInput!$M$15,CHOOSE(ArtifactsInput!$N$15+1,25,30,35,40,45,50)/100*(Inputs!$B$11-Inputs!$B$11),0)))/100+(Inputs!$B$23+((C1999=TRUE)*(F1999-Calc!F29))+IF(ArtifactsInput!$M$15,CHOOSE(ArtifactsInput!$N$15+1,25,30,35,40,45,50)/100*(Inputs!$B$11-Inputs!$B$11),0))/100)/2</f>
        <v/>
      </c>
      <c r="M1979">
        <f>L1979*(1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9">
        <f>L1979*(1-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1979*(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9">
        <f>(1-Summary!$B$11)*T1979+Summary!$B$11*V1979</f>
        <v/>
      </c>
      <c r="P1979">
        <f>IF(B2015=0,0,O1979/B2015)</f>
        <v/>
      </c>
      <c r="Q1979" t="n">
        <v>0</v>
      </c>
      <c r="R1979" t="n">
        <v>0</v>
      </c>
      <c r="S1979" t="n">
        <v>0</v>
      </c>
      <c r="T1979">
        <f>IF(C1979,(0.2*SUMPRODUCT((Skills!Z2:Z30=TRUE)*(C1972:C2000=TRUE)*S1972:S2000)*N1979)*IF(Inputs!$B$39="pvp",1,1+(Inputs!$B$20+0+Skills!P9+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1979*(1-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1979*(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1979*(1-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1979*(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9">
        <f>IF(C1979,(0.2*SUMPRODUCT((Skills!Z2:Z30=TRUE)*(C1972:C2000=TRUE)*S1972:S2000)*N1979)*IF(Inputs!$B$39="pvp",1,(1+(Inputs!$B$21+Skills!Q9+B2004+(IF(ArtifactsInput!$M$33,CHOOSE(ArtifactsInput!$N$33+1,30,36,42,48,54,60),0))+(IF(AND(ArtifactsInput!$M$35,Inputs!$B$4&lt;&gt;"Chapter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0">
      <c r="A1980">
        <f>Skills!A10</f>
        <v/>
      </c>
      <c r="B1980">
        <f>Skills!B10</f>
        <v/>
      </c>
      <c r="C1980">
        <f>Inputs!$B$3&gt;=74</f>
        <v/>
      </c>
      <c r="D1980">
        <f>IF(Skills!C10=1,60+Inputs!$B$25+Inputs!$B$29,IF(Skills!C10=2,90+Inputs!$B$26+Inputs!$B$29,IF(Skills!C10=3,120+Inputs!$B$27+Inputs!$B$29,MAX(0,(Inputs!$B$3-100)*3)+Inputs!$B$28+Inputs!$B$29)))</f>
        <v/>
      </c>
      <c r="E1980">
        <f>INDEX(FactorTable!$B$2:$Y$301, MATCH(ROUND(MIN(300,MAX(1,D1980)),0), FactorTable!$A$2:$A$301,0), Skills!M10+1)</f>
        <v/>
      </c>
      <c r="F1980">
        <f>IF(Skills!N10=TRUE,(Skills!L10/10)*(E1980/1000),Skills!L10/10)+Skills!O10</f>
        <v/>
      </c>
      <c r="G1980">
        <f>Skills!G10*IF(Skills!H10&gt;0,Skills!I10/Skills!H10,1)</f>
        <v/>
      </c>
      <c r="H1980">
        <f>1-(1-Skills!J10/100)^Skills!K10</f>
        <v/>
      </c>
      <c r="I1980" t="inlineStr">
        <is>
          <t>1</t>
        </is>
      </c>
      <c r="J1980" t="inlineStr"/>
      <c r="K1980" t="inlineStr"/>
      <c r="L1980" t="inlineStr"/>
      <c r="M1980" t="inlineStr"/>
      <c r="N1980" t="inlineStr"/>
      <c r="O1980">
        <f>(1-Summary!$B$11)*T1980+Summary!$B$11*V1980</f>
        <v/>
      </c>
      <c r="P1980">
        <f>IF(B2015=0,0,O1980/B2015)</f>
        <v/>
      </c>
      <c r="Q1980">
        <f>IFERROR(1/IF(Inputs!$B$39="pvp",15,MAX(0.1,Skills!D10-IF(Skills!E10=TRUE,Inputs!$B$32,0))),0)</f>
        <v/>
      </c>
      <c r="R1980">
        <f>IF(AND(Inputs!$B$39&lt;&gt;"pvp",Inputs!$B$44&gt;0),IF(Inputs!$B$44&lt;=0,0,(INT(Inputs!$B$44/IF(Inputs!$B$39="pvp",15,MAX(0.1,Skills!D10-IF(Skills!E10=TRUE,Inputs!$B$32,0))))+1)),0)</f>
        <v/>
      </c>
      <c r="S1980">
        <f>IFERROR(O1980/N1980,0)</f>
        <v/>
      </c>
      <c r="T1980" t="n">
        <v>0</v>
      </c>
      <c r="V1980" t="n">
        <v>0</v>
      </c>
    </row>
    <row r="1981">
      <c r="A1981">
        <f>Skills!A11</f>
        <v/>
      </c>
      <c r="B1981">
        <f>Skills!B11</f>
        <v/>
      </c>
      <c r="C1981">
        <f>Inputs!$B$3&gt;=103</f>
        <v/>
      </c>
      <c r="D1981">
        <f>IF(Skills!C11=1,60+Inputs!$B$25+Inputs!$B$29,IF(Skills!C11=2,90+Inputs!$B$26+Inputs!$B$29,IF(Skills!C11=3,120+Inputs!$B$27+Inputs!$B$29,MAX(0,(Inputs!$B$3-100)*3)+Inputs!$B$28+Inputs!$B$29)))</f>
        <v/>
      </c>
      <c r="E1981">
        <f>INDEX(FactorTable!$B$2:$Y$301, MATCH(ROUND(MIN(300,MAX(1,D1981)),0), FactorTable!$A$2:$A$301,0), Skills!M11+1)</f>
        <v/>
      </c>
      <c r="F1981">
        <f>(Skills!L11/10)*(E1981/1000)+IF(Inputs!$B$3&gt;=134,50,0)+0.5*(30000/10)*(INDEX(FactorTable!$B$2:$Y$301, MATCH(ROUND(MIN(300,MAX(1,D1981)),0), FactorTable!$A$2:$A$301,0), 13)/1000)*B2013</f>
        <v/>
      </c>
      <c r="G1981">
        <f>Skills!G11*IF(Skills!H11&gt;0,Skills!I11/Skills!H11,1)</f>
        <v/>
      </c>
      <c r="H1981">
        <f>1-(1-Skills!J11/100)^Skills!K11</f>
        <v/>
      </c>
      <c r="I1981" t="inlineStr">
        <is>
          <t>1</t>
        </is>
      </c>
      <c r="J1981">
        <f>((Inputs!$B$6*(1+Inputs!$B$7/100))+(((Inputs!$B$12*(1+Inputs!$B$13/100))-(Inputs!$B$12*(1+Inputs!$B$13/100)))+0.25*(Inputs!$B$14-Inputs!$B$14))*(1+Inputs!$B$7/100))*(F1981/100)</f>
        <v/>
      </c>
      <c r="K1981">
        <f>J1981*(1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1981)</f>
        <v/>
      </c>
      <c r="L1981">
        <f>K1981*(MIN(Inputs!$B$22+((C1994=TRUE)*(F1994-Calc!F24)),(Inputs!$B$23+((C1999=TRUE)*(F1999-Calc!F29))+IF(ArtifactsInput!$M$15,CHOOSE(ArtifactsInput!$N$15+1,25,30,35,40,45,50)/100*(Inputs!$B$11-Inputs!$B$11),0)))/100+(Inputs!$B$23+((C1999=TRUE)*(F1999-Calc!F29))+IF(ArtifactsInput!$M$15,CHOOSE(ArtifactsInput!$N$15+1,25,30,35,40,45,50)/100*(Inputs!$B$11-Inputs!$B$11),0))/100)/2</f>
        <v/>
      </c>
      <c r="M1981">
        <f>L1981*(1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1">
        <f>L1981*(1-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1">
        <f>(1-Summary!$B$11)*T1981+Summary!$B$11*V1981</f>
        <v/>
      </c>
      <c r="P1981">
        <f>IF(B2015=0,0,O1981/B2015)</f>
        <v/>
      </c>
      <c r="Q1981">
        <f>IFERROR(1/IF(Inputs!$B$39="pvp",15,MAX(0.1,Skills!D11-IF(Skills!E11=TRUE,Inputs!$B$32,0))),0)</f>
        <v/>
      </c>
      <c r="R1981">
        <f>IF(AND(Inputs!$B$39&lt;&gt;"pvp",Inputs!$B$44&gt;0),IF(MAX(0,Inputs!$B$44-B2014)&lt;=0,0,(INT(MAX(0,Inputs!$B$44-B2014)/IF(Inputs!$B$39="pvp",15,MAX(0.1,Skills!D11-IF(Skills!E11=TRUE,Inputs!$B$32,0))))+1)),0)</f>
        <v/>
      </c>
      <c r="S1981">
        <f>IFERROR(O1981/N1981,0)</f>
        <v/>
      </c>
      <c r="T1981">
        <f>IF(C1981,(H1981*N1981*IF(AND(Inputs!$B$39&lt;&gt;"pvp",Inputs!$B$44&gt;0),((Skills!G11*((R1981-1)*IF(Skills!H11&gt;0,Skills!I11/Skills!H11,1)+IF(Skills!H11&gt;0,MIN(Skills!I11,MAX(0,MAX(0,Inputs!$B$44-B2014)-((R1981-1)*IF(Inputs!$B$39="pvp",15,MAX(0.1,Skills!D11-IF(Skills!E11=TRUE,Inputs!$B$32,0))))))/Skills!H11,1)))/Inputs!$B$44),G1981*Q1981))*IF(Inputs!$B$39="pvp",1,1+(Inputs!$B$20+0+Skills!P11+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1981*(1-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1981*(1-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1">
        <f>IF(C1981,(H1981*N1981*IF(AND(Inputs!$B$39&lt;&gt;"pvp",Inputs!$B$44&gt;0),((Skills!G11*((R1981-1)*IF(Skills!H11&gt;0,Skills!I11/Skills!H11,1)+IF(Skills!H11&gt;0,MIN(Skills!I11,MAX(0,MAX(0,Inputs!$B$44-B2014)-((R1981-1)*IF(Inputs!$B$39="pvp",15,MAX(0.1,Skills!D11-IF(Skills!E11=TRUE,Inputs!$B$32,0))))))/Skills!H11,1)))/Inputs!$B$44),G1981*Q1981))*IF(Inputs!$B$39="pvp",1,(1+(Inputs!$B$21+Skills!Q11+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2">
      <c r="A1982">
        <f>Skills!A12</f>
        <v/>
      </c>
      <c r="B1982">
        <f>Skills!B12</f>
        <v/>
      </c>
      <c r="C1982">
        <f>Inputs!$B$3&gt;=105</f>
        <v/>
      </c>
      <c r="D1982">
        <f>IF(Skills!C12=1,60+Inputs!$B$25+Inputs!$B$29,IF(Skills!C12=2,90+Inputs!$B$26+Inputs!$B$29,IF(Skills!C12=3,120+Inputs!$B$27+Inputs!$B$29,MAX(0,(Inputs!$B$3-100)*3)+Inputs!$B$28+Inputs!$B$29)))</f>
        <v/>
      </c>
      <c r="E1982">
        <f>INDEX(FactorTable!$B$2:$Y$301, MATCH(ROUND(MIN(300,MAX(1,D1982)),0), FactorTable!$A$2:$A$301,0), Skills!M12+1)</f>
        <v/>
      </c>
      <c r="F1982">
        <f>IF(Skills!N12=TRUE,(Skills!L12/10)*(E1982/1000),Skills!L12/10)+Skills!O12</f>
        <v/>
      </c>
      <c r="G1982">
        <f>Skills!G12*IF(Skills!H12&gt;0,Skills!I12/Skills!H12,1)</f>
        <v/>
      </c>
      <c r="H1982">
        <f>1-(1-Skills!J12/100)^Skills!K12</f>
        <v/>
      </c>
      <c r="I1982" t="inlineStr">
        <is>
          <t>1</t>
        </is>
      </c>
      <c r="J1982">
        <f>((Inputs!$B$6*(1+Inputs!$B$7/100))+(((Inputs!$B$12*(1+Inputs!$B$13/100))-(Inputs!$B$12*(1+Inputs!$B$13/100)))+0.25*(Inputs!$B$14-Inputs!$B$14))*(1+Inputs!$B$7/100))*(F1982/100)</f>
        <v/>
      </c>
      <c r="K1982">
        <f>J1982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1982)</f>
        <v/>
      </c>
      <c r="L1982">
        <f>K1982*(MIN(Inputs!$B$22+((C1994=TRUE)*(F1994-Calc!F24)),(Inputs!$B$23+((C1999=TRUE)*(F1999-Calc!F29))+IF(ArtifactsInput!$M$15,CHOOSE(ArtifactsInput!$N$15+1,25,30,35,40,45,50)/100*(Inputs!$B$11-Inputs!$B$11),0)))/100+(Inputs!$B$23+((C1999=TRUE)*(F1999-Calc!F29))+IF(ArtifactsInput!$M$15,CHOOSE(ArtifactsInput!$N$15+1,25,30,35,40,45,50)/100*(Inputs!$B$11-Inputs!$B$11),0))/100)/2</f>
        <v/>
      </c>
      <c r="M1982">
        <f>L1982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2">
        <f>L1982*(1-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1982*(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2">
        <f>(1-Summary!$B$11)*T1982+Summary!$B$11*V1982</f>
        <v/>
      </c>
      <c r="P1982">
        <f>IF(B2015=0,0,O1982/B2015)</f>
        <v/>
      </c>
      <c r="Q1982">
        <f>IFERROR(1/IF(Inputs!$B$39="pvp",15,MAX(0.1,Skills!D12-IF(Skills!E12=TRUE,Inputs!$B$32,0))),0)</f>
        <v/>
      </c>
      <c r="R1982">
        <f>IF(AND(Inputs!$B$39&lt;&gt;"pvp",Inputs!$B$44&gt;0),IF(MAX(0,Inputs!$B$44-B2014)&lt;=0,0,(INT(MAX(0,Inputs!$B$44-B2014)/IF(Inputs!$B$39="pvp",15,MAX(0.1,Skills!D12-IF(Skills!E12=TRUE,Inputs!$B$32,0))))+1)),0)</f>
        <v/>
      </c>
      <c r="S1982">
        <f>IFERROR(O1982/N1982,0)</f>
        <v/>
      </c>
      <c r="T1982">
        <f>IF(C1982,(H1982*N1982*IF(AND(Inputs!$B$39&lt;&gt;"pvp",Inputs!$B$44&gt;0),((Skills!G12*((R1982-1)*IF(Skills!H12&gt;0,Skills!I12/Skills!H12,1)+IF(Skills!H12&gt;0,MIN(Skills!I12,MAX(0,MAX(0,Inputs!$B$44-B2014)-((R1982-1)*IF(Inputs!$B$39="pvp",15,MAX(0.1,Skills!D12-IF(Skills!E12=TRUE,Inputs!$B$32,0))))))/Skills!H12,1)))/Inputs!$B$44),G1982*Q1982))*IF(Inputs!$B$39="pvp",1,1+(Inputs!$B$20+0+Skills!P12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1982*(1-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1982*(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1982*(1-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1982*(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2">
        <f>IF(C1982,(H1982*N1982*IF(AND(Inputs!$B$39&lt;&gt;"pvp",Inputs!$B$44&gt;0),((Skills!G12*((R1982-1)*IF(Skills!H12&gt;0,Skills!I12/Skills!H12,1)+IF(Skills!H12&gt;0,MIN(Skills!I12,MAX(0,MAX(0,Inputs!$B$44-B2014)-((R1982-1)*IF(Inputs!$B$39="pvp",15,MAX(0.1,Skills!D12-IF(Skills!E12=TRUE,Inputs!$B$32,0))))))/Skills!H12,1)))/Inputs!$B$44),G1982*Q1982))*IF(Inputs!$B$39="pvp",1,(1+(Inputs!$B$21+Skills!Q12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3">
      <c r="A1983">
        <f>Skills!A13</f>
        <v/>
      </c>
      <c r="B1983">
        <f>Skills!B13</f>
        <v/>
      </c>
      <c r="C1983">
        <f>Inputs!$B$3&gt;=105</f>
        <v/>
      </c>
      <c r="D1983">
        <f>IF(Skills!C13=1,60+Inputs!$B$25+Inputs!$B$29,IF(Skills!C13=2,90+Inputs!$B$26+Inputs!$B$29,IF(Skills!C13=3,120+Inputs!$B$27+Inputs!$B$29,MAX(0,(Inputs!$B$3-100)*3)+Inputs!$B$28+Inputs!$B$29)))</f>
        <v/>
      </c>
      <c r="E1983">
        <f>INDEX(FactorTable!$B$2:$Y$301, MATCH(ROUND(MIN(300,MAX(1,D1983)),0), FactorTable!$A$2:$A$301,0), Skills!M13+1)</f>
        <v/>
      </c>
      <c r="F1983">
        <f>IF(Skills!N13=TRUE,(Skills!L13/10)*(E1983/1000),Skills!L13/10)+Skills!O13</f>
        <v/>
      </c>
      <c r="G1983">
        <f>Skills!G13*IF(Skills!H13&gt;0,Skills!I13/Skills!H13,1)</f>
        <v/>
      </c>
      <c r="H1983">
        <f>1-(1-Skills!J13/100)^Skills!K13</f>
        <v/>
      </c>
      <c r="I1983" t="inlineStr">
        <is>
          <t>1</t>
        </is>
      </c>
      <c r="J1983">
        <f>((Inputs!$B$6*(1+Inputs!$B$7/100))+(((Inputs!$B$12*(1+Inputs!$B$13/100))-(Inputs!$B$12*(1+Inputs!$B$13/100)))+0.25*(Inputs!$B$14-Inputs!$B$14))*(1+Inputs!$B$7/100))*(F1983/100)</f>
        <v/>
      </c>
      <c r="K1983">
        <f>J1983*(1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1983)</f>
        <v/>
      </c>
      <c r="L1983">
        <f>K1983*(MIN(Inputs!$B$22+((C1994=TRUE)*(F1994-Calc!F24)),(Inputs!$B$23+((C1999=TRUE)*(F1999-Calc!F29))+IF(ArtifactsInput!$M$15,CHOOSE(ArtifactsInput!$N$15+1,25,30,35,40,45,50)/100*(Inputs!$B$11-Inputs!$B$11),0)))/100+(Inputs!$B$23+((C1999=TRUE)*(F1999-Calc!F29))+IF(ArtifactsInput!$M$15,CHOOSE(ArtifactsInput!$N$15+1,25,30,35,40,45,50)/100*(Inputs!$B$11-Inputs!$B$11),0))/100)/2</f>
        <v/>
      </c>
      <c r="M1983">
        <f>L1983*(1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3">
        <f>L1983*(1-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1983*(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3">
        <f>(1-Summary!$B$11)*T1983+Summary!$B$11*V1983</f>
        <v/>
      </c>
      <c r="P1983">
        <f>IF(B2015=0,0,O1983/B2015)</f>
        <v/>
      </c>
      <c r="Q1983">
        <f>IFERROR(1/IF(Inputs!$B$39="pvp",15,MAX(0.1,Skills!D13-IF(Skills!E13=TRUE,Inputs!$B$32,0))),0)</f>
        <v/>
      </c>
      <c r="R1983">
        <f>IF(AND(Inputs!$B$39&lt;&gt;"pvp",Inputs!$B$44&gt;0),IF(MAX(0,Inputs!$B$44-B2014)&lt;=0,0,(INT(MAX(0,Inputs!$B$44-B2014)/IF(Inputs!$B$39="pvp",15,MAX(0.1,Skills!D13-IF(Skills!E13=TRUE,Inputs!$B$32,0))))+1)),0)</f>
        <v/>
      </c>
      <c r="S1983">
        <f>IFERROR(O1983/N1983,0)</f>
        <v/>
      </c>
      <c r="T1983">
        <f>IF(C1983,(H1983*N1983*IF(AND(Inputs!$B$39&lt;&gt;"pvp",Inputs!$B$44&gt;0),((Skills!G13*((R1983-1)*IF(Skills!H13&gt;0,Skills!I13/Skills!H13,1)+IF(Skills!H13&gt;0,MIN(Skills!I13,MAX(0,MAX(0,Inputs!$B$44-B2014)-((R1983-1)*IF(Inputs!$B$39="pvp",15,MAX(0.1,Skills!D13-IF(Skills!E13=TRUE,Inputs!$B$32,0))))))/Skills!H13,1)))/Inputs!$B$44),G1983*Q1983))*IF(Inputs!$B$39="pvp",1,1+(Inputs!$B$20+0+Skills!P13+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1983*(1-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1983*(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1983*(1-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1983*(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3">
        <f>IF(C1983,(H1983*N1983*IF(AND(Inputs!$B$39&lt;&gt;"pvp",Inputs!$B$44&gt;0),((Skills!G13*((R1983-1)*IF(Skills!H13&gt;0,Skills!I13/Skills!H13,1)+IF(Skills!H13&gt;0,MIN(Skills!I13,MAX(0,MAX(0,Inputs!$B$44-B2014)-((R1983-1)*IF(Inputs!$B$39="pvp",15,MAX(0.1,Skills!D13-IF(Skills!E13=TRUE,Inputs!$B$32,0))))))/Skills!H13,1)))/Inputs!$B$44),G1983*Q1983))*IF(Inputs!$B$39="pvp",1,(1+(Inputs!$B$21+Skills!Q13+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4">
      <c r="A1984">
        <f>Skills!A14</f>
        <v/>
      </c>
      <c r="B1984">
        <f>Skills!B14</f>
        <v/>
      </c>
      <c r="C1984">
        <f>Inputs!$B$3&gt;=107</f>
        <v/>
      </c>
      <c r="D1984">
        <f>IF(Skills!C14=1,60+Inputs!$B$25+Inputs!$B$29,IF(Skills!C14=2,90+Inputs!$B$26+Inputs!$B$29,IF(Skills!C14=3,120+Inputs!$B$27+Inputs!$B$29,MAX(0,(Inputs!$B$3-100)*3)+Inputs!$B$28+Inputs!$B$29)))</f>
        <v/>
      </c>
      <c r="E1984">
        <f>INDEX(FactorTable!$B$2:$Y$301, MATCH(ROUND(MIN(300,MAX(1,D1984)),0), FactorTable!$A$2:$A$301,0), Skills!M14+1)</f>
        <v/>
      </c>
      <c r="F1984">
        <f>IF(Skills!N14=TRUE,(Skills!L14/10)*(E1984/1000),Skills!L14/10)+Skills!O14</f>
        <v/>
      </c>
      <c r="G1984">
        <f>Skills!G14*IF(Skills!H14&gt;0,Skills!I14/Skills!H14,1)</f>
        <v/>
      </c>
      <c r="H1984">
        <f>1-(1-Skills!J14/100)^Skills!K14</f>
        <v/>
      </c>
      <c r="I1984" t="inlineStr">
        <is>
          <t>1</t>
        </is>
      </c>
      <c r="J1984">
        <f>((Inputs!$B$6*(1+Inputs!$B$7/100))+(((Inputs!$B$12*(1+Inputs!$B$13/100))-(Inputs!$B$12*(1+Inputs!$B$13/100)))+0.25*(Inputs!$B$14-Inputs!$B$14))*(1+Inputs!$B$7/100))*(F1984/100)</f>
        <v/>
      </c>
      <c r="K1984">
        <f>J1984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1984)</f>
        <v/>
      </c>
      <c r="L1984">
        <f>K1984*(MIN(Inputs!$B$22+((C1994=TRUE)*(F1994-Calc!F24)),(Inputs!$B$23+((C1999=TRUE)*(F1999-Calc!F29))+IF(ArtifactsInput!$M$15,CHOOSE(ArtifactsInput!$N$15+1,25,30,35,40,45,50)/100*(Inputs!$B$11-Inputs!$B$11),0)))/100+(Inputs!$B$23+((C1999=TRUE)*(F1999-Calc!F29))+IF(ArtifactsInput!$M$15,CHOOSE(ArtifactsInput!$N$15+1,25,30,35,40,45,50)/100*(Inputs!$B$11-Inputs!$B$11),0))/100)/2</f>
        <v/>
      </c>
      <c r="M1984">
        <f>L1984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4">
        <f>L1984*(1-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1984*(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4">
        <f>(1-Summary!$B$11)*T1984+Summary!$B$11*V1984</f>
        <v/>
      </c>
      <c r="P1984">
        <f>IF(B2015=0,0,O1984/B2015)</f>
        <v/>
      </c>
      <c r="Q1984">
        <f>IFERROR(1/IF(Inputs!$B$39="pvp",15,MAX(0.1,Skills!D14-IF(Skills!E14=TRUE,Inputs!$B$32,0))),0)</f>
        <v/>
      </c>
      <c r="R1984">
        <f>IF(AND(Inputs!$B$39&lt;&gt;"pvp",Inputs!$B$44&gt;0),IF(MAX(0,Inputs!$B$44-B2014)&lt;=0,0,(INT(MAX(0,Inputs!$B$44-B2014)/IF(Inputs!$B$39="pvp",15,MAX(0.1,Skills!D14-IF(Skills!E14=TRUE,Inputs!$B$32,0))))+1)),0)</f>
        <v/>
      </c>
      <c r="S1984">
        <f>IFERROR(O1984/N1984,0)</f>
        <v/>
      </c>
      <c r="T1984">
        <f>IF(C1984,(H1984*N1984*IF(AND(Inputs!$B$39&lt;&gt;"pvp",Inputs!$B$44&gt;0),((Skills!G14*((R1984-1)*IF(Skills!H14&gt;0,Skills!I14/Skills!H14,1)+IF(Skills!H14&gt;0,MIN(Skills!I14,MAX(0,MAX(0,Inputs!$B$44-B2014)-((R1984-1)*IF(Inputs!$B$39="pvp",15,MAX(0.1,Skills!D14-IF(Skills!E14=TRUE,Inputs!$B$32,0))))))/Skills!H14,1)))/Inputs!$B$44),G1984*Q1984))*IF(Inputs!$B$39="pvp",1,1+(Inputs!$B$20+0+Skills!P14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1984*(1-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1984*(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1984*(1-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1984*(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4">
        <f>IF(C1984,(H1984*N1984*IF(AND(Inputs!$B$39&lt;&gt;"pvp",Inputs!$B$44&gt;0),((Skills!G14*((R1984-1)*IF(Skills!H14&gt;0,Skills!I14/Skills!H14,1)+IF(Skills!H14&gt;0,MIN(Skills!I14,MAX(0,MAX(0,Inputs!$B$44-B2014)-((R1984-1)*IF(Inputs!$B$39="pvp",15,MAX(0.1,Skills!D14-IF(Skills!E14=TRUE,Inputs!$B$32,0))))))/Skills!H14,1)))/Inputs!$B$44),G1984*Q1984))*IF(Inputs!$B$39="pvp",1,(1+(Inputs!$B$21+Skills!Q14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(5,0.25*B2007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5">
      <c r="A1985">
        <f>Skills!A15</f>
        <v/>
      </c>
      <c r="B1985">
        <f>Skills!B15</f>
        <v/>
      </c>
      <c r="C1985">
        <f>Inputs!$B$3&gt;=110</f>
        <v/>
      </c>
      <c r="D1985">
        <f>IF(Skills!C15=1,60+Inputs!$B$25+Inputs!$B$29,IF(Skills!C15=2,90+Inputs!$B$26+Inputs!$B$29,IF(Skills!C15=3,120+Inputs!$B$27+Inputs!$B$29,MAX(0,(Inputs!$B$3-100)*3)+Inputs!$B$28+Inputs!$B$29)))</f>
        <v/>
      </c>
      <c r="E1985">
        <f>INDEX(FactorTable!$B$2:$Y$301, MATCH(ROUND(MIN(300,MAX(1,D1985)),0), FactorTable!$A$2:$A$301,0), Skills!M15+1)</f>
        <v/>
      </c>
      <c r="F1985">
        <f>IF(Skills!N15=TRUE,(Skills!L15/10)*(E1985/1000),Skills!L15/10)+Skills!O15</f>
        <v/>
      </c>
      <c r="G1985">
        <f>Skills!G15*IF(Skills!H15&gt;0,Skills!I15/Skills!H15,1)</f>
        <v/>
      </c>
      <c r="H1985">
        <f>1-(1-Skills!J15/100)^Skills!K15</f>
        <v/>
      </c>
      <c r="I1985" t="inlineStr">
        <is>
          <t>1</t>
        </is>
      </c>
      <c r="J1985" t="inlineStr"/>
      <c r="K1985" t="inlineStr"/>
      <c r="L1985" t="inlineStr"/>
      <c r="M1985" t="inlineStr"/>
      <c r="N1985" t="inlineStr"/>
      <c r="O1985">
        <f>(1-Summary!$B$11)*T1985+Summary!$B$11*V1985</f>
        <v/>
      </c>
      <c r="P1985">
        <f>IF(B2015=0,0,O1985/B2015)</f>
        <v/>
      </c>
      <c r="Q1985">
        <f>IFERROR(1/IF(Inputs!$B$39="pvp",15,MAX(0.1,Skills!D15-IF(Skills!E15=TRUE,Inputs!$B$32,0))),0)</f>
        <v/>
      </c>
      <c r="R1985">
        <f>IF(AND(Inputs!$B$39&lt;&gt;"pvp",Inputs!$B$44&gt;0),IF(Inputs!$B$44&lt;=0,0,(INT(Inputs!$B$44/IF(Inputs!$B$39="pvp",15,MAX(0.1,Skills!D15-IF(Skills!E15=TRUE,Inputs!$B$32,0))))+1)),0)</f>
        <v/>
      </c>
      <c r="S1985">
        <f>IFERROR(O1985/N1985,0)</f>
        <v/>
      </c>
      <c r="T1985" t="n">
        <v>0</v>
      </c>
      <c r="V1985" t="n">
        <v>0</v>
      </c>
    </row>
    <row r="1986">
      <c r="A1986">
        <f>Skills!A16</f>
        <v/>
      </c>
      <c r="B1986">
        <f>Skills!B16</f>
        <v/>
      </c>
      <c r="C1986">
        <f>Inputs!$B$3&gt;=115</f>
        <v/>
      </c>
      <c r="D1986">
        <f>IF(Skills!C16=1,60+Inputs!$B$25+Inputs!$B$29,IF(Skills!C16=2,90+Inputs!$B$26+Inputs!$B$29,IF(Skills!C16=3,120+Inputs!$B$27+Inputs!$B$29,MAX(0,(Inputs!$B$3-100)*3)+Inputs!$B$28+Inputs!$B$29)))</f>
        <v/>
      </c>
      <c r="E1986">
        <f>INDEX(FactorTable!$B$2:$Y$301, MATCH(ROUND(MIN(300,MAX(1,D1986)),0), FactorTable!$A$2:$A$301,0), Skills!M16+1)</f>
        <v/>
      </c>
      <c r="F1986">
        <f>IF(Skills!N16=TRUE,(Skills!L16/10)*(E1986/1000),Skills!L16/10)+Skills!O16</f>
        <v/>
      </c>
      <c r="G1986">
        <f>Skills!G16*IF(Skills!H16&gt;0,Skills!I16/Skills!H16,1)</f>
        <v/>
      </c>
      <c r="H1986">
        <f>1-(1-Skills!J16/100)^Skills!K16</f>
        <v/>
      </c>
      <c r="I1986" t="inlineStr">
        <is>
          <t>1</t>
        </is>
      </c>
      <c r="J1986">
        <f>((Inputs!$B$6*(1+Inputs!$B$7/100))+(((Inputs!$B$12*(1+Inputs!$B$13/100))-(Inputs!$B$12*(1+Inputs!$B$13/100)))+0.25*(Inputs!$B$14-Inputs!$B$14))*(1+Inputs!$B$7/100))*(F1986/100)</f>
        <v/>
      </c>
      <c r="K1986">
        <f>J1986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1997=TRUE)*(F1997-Calc!F27))+((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1986)</f>
        <v/>
      </c>
      <c r="L1986">
        <f>K1986*(MIN(Inputs!$B$22+((C1994=TRUE)*(F1994-Calc!F24)),(Inputs!$B$23+((C1999=TRUE)*(F1999-Calc!F29))+IF(ArtifactsInput!$M$15,CHOOSE(ArtifactsInput!$N$15+1,25,30,35,40,45,50)/100*(Inputs!$B$11-Inputs!$B$11),0)))/100+(Inputs!$B$23+((C1999=TRUE)*(F1999-Calc!F29))+IF(ArtifactsInput!$M$15,CHOOSE(ArtifactsInput!$N$15+1,25,30,35,40,45,50)/100*(Inputs!$B$11-Inputs!$B$11),0))/100)/2</f>
        <v/>
      </c>
      <c r="M1986">
        <f>L1986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IF(B2015=0,0,O1986/B2015)</f>
        <v/>
      </c>
      <c r="Q1986" t="n">
        <v>0</v>
      </c>
      <c r="R1986" t="n">
        <v>0</v>
      </c>
      <c r="S1986">
        <f>IFERROR(O1986/N1986,0)</f>
        <v/>
      </c>
      <c r="T1986">
        <f>IF(C1986,(Inputs!$B$38*0.2*N1986)*IF(Inputs!$B$39="pvp",1,1+(Inputs!$B$20+0+Skills!P16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1986*(1-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1995=TRUE)*(F1995-Calc!F25))+B2003+(ArtifactsInput!$M$24-ArtifactsInput!$M$24)*CHOOSE(ArtifactsInput!$N$24+1,10,12,14,16,18,20)+(IF(AND(Inputs!$B$39&lt;&gt;"pvp",Inputs!$B$44=0),1,IF(IF(Inputs!$B$39="pvp",15,Inputs!$B$44)-(B2014)&lt;=0,1,MAX(0,IF(Inputs!$B$39="pvp",15,Inputs!$B$44)-MAX(5,B2014))/(IF(Inputs!$B$39="pvp",15,Inputs!$B$44)-(B2014))))*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6">
        <f>IF(C1986,(Inputs!$B$38*0.2*N1986)*IF(Inputs!$B$39="pvp",1,(1+(Inputs!$B$21+Skills!Q16+B2004+(IF(ArtifactsInput!$M$33,CHOOSE(ArtifactsInput!$N$33+1,30,36,42,48,54,60),0))+(IF(AND(ArtifactsInput!$M$35,Inputs!$B$4&lt;&gt;"Chapter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Skills!A17</f>
        <v/>
      </c>
      <c r="B1987">
        <f>Skills!B17</f>
        <v/>
      </c>
      <c r="C1987">
        <f>Inputs!$B$3&gt;=115</f>
        <v/>
      </c>
      <c r="D1987">
        <f>IF(Skills!C17=1,60+Inputs!$B$25+Inputs!$B$29,IF(Skills!C17=2,90+Inputs!$B$26+Inputs!$B$29,IF(Skills!C17=3,120+Inputs!$B$27+Inputs!$B$29,MAX(0,(Inputs!$B$3-100)*3)+Inputs!$B$28+Inputs!$B$29)))</f>
        <v/>
      </c>
      <c r="E1987">
        <f>INDEX(FactorTable!$B$2:$Y$301, MATCH(ROUND(MIN(300,MAX(1,D1987)),0), FactorTable!$A$2:$A$301,0), Skills!M17+1)</f>
        <v/>
      </c>
      <c r="F1987">
        <f>IF(Skills!N17=TRUE,(Skills!L17/10)*(E1987/1000),Skills!L17/10)+Skills!O17</f>
        <v/>
      </c>
      <c r="G1987">
        <f>Skills!G17*IF(Skills!H17&gt;0,Skills!I17/Skills!H17,1)</f>
        <v/>
      </c>
      <c r="H1987">
        <f>1-(1-Skills!J17/100)^Skills!K17</f>
        <v/>
      </c>
      <c r="I1987" t="inlineStr">
        <is>
          <t>1</t>
        </is>
      </c>
      <c r="J1987" t="inlineStr"/>
      <c r="K1987" t="inlineStr"/>
      <c r="L1987" t="inlineStr"/>
      <c r="M1987" t="inlineStr"/>
      <c r="N1987" t="inlineStr"/>
      <c r="O1987">
        <f>(1-Summary!$B$11)*T1987+Summary!$B$11*V1987</f>
        <v/>
      </c>
      <c r="P1987">
        <f>IF(B2015=0,0,O1987/B2015)</f>
        <v/>
      </c>
      <c r="Q1987" t="n">
        <v>0</v>
      </c>
      <c r="R1987" t="n">
        <v>0</v>
      </c>
      <c r="S1987">
        <f>IFERROR(O1987/N1987,0)</f>
        <v/>
      </c>
      <c r="T1987" t="n">
        <v>0</v>
      </c>
      <c r="V1987" t="n">
        <v>0</v>
      </c>
    </row>
    <row r="1988">
      <c r="A1988">
        <f>Skills!A18</f>
        <v/>
      </c>
      <c r="B1988">
        <f>Skills!B18</f>
        <v/>
      </c>
      <c r="C1988">
        <f>Inputs!$B$3&gt;=100</f>
        <v/>
      </c>
      <c r="D1988">
        <f>IF(Skills!C18=1,60+Inputs!$B$25+Inputs!$B$29,IF(Skills!C18=2,90+Inputs!$B$26+Inputs!$B$29,IF(Skills!C18=3,120+Inputs!$B$27+Inputs!$B$29,MAX(0,(Inputs!$B$3-100)*3)+Inputs!$B$28+Inputs!$B$29)))</f>
        <v/>
      </c>
      <c r="E1988">
        <f>INDEX(FactorTable!$B$2:$Y$301, MATCH(ROUND(MIN(300,MAX(1,D1988)),0), FactorTable!$A$2:$A$301,0), Skills!M18+1)</f>
        <v/>
      </c>
      <c r="F1988">
        <f>IF(Skills!N18=TRUE,(Skills!L18/10)*(E1988/1000),Skills!L18/10)+Skills!O18</f>
        <v/>
      </c>
      <c r="G1988">
        <f>Skills!G18*IF(Skills!H18&gt;0,Skills!I18/Skills!H18,1)</f>
        <v/>
      </c>
      <c r="H1988">
        <f>1-(1-Skills!J18/100)^Skills!K18</f>
        <v/>
      </c>
      <c r="I1988" t="inlineStr">
        <is>
          <t>1</t>
        </is>
      </c>
      <c r="J1988" t="inlineStr"/>
      <c r="K1988" t="inlineStr"/>
      <c r="L1988" t="inlineStr"/>
      <c r="M1988" t="inlineStr"/>
      <c r="N1988" t="inlineStr"/>
      <c r="O1988">
        <f>(1-Summary!$B$11)*T1988+Summary!$B$11*V1988</f>
        <v/>
      </c>
      <c r="P1988">
        <f>IF(B2015=0,0,O1988/B2015)</f>
        <v/>
      </c>
      <c r="Q1988" t="n">
        <v>0</v>
      </c>
      <c r="R1988" t="n">
        <v>0</v>
      </c>
      <c r="S1988">
        <f>IFERROR(O1988/N1988,0)</f>
        <v/>
      </c>
      <c r="T1988" t="n">
        <v>0</v>
      </c>
      <c r="V1988" t="n">
        <v>0</v>
      </c>
    </row>
    <row r="1989">
      <c r="A1989">
        <f>Skills!A19</f>
        <v/>
      </c>
      <c r="B1989">
        <f>Skills!B19</f>
        <v/>
      </c>
      <c r="C1989">
        <f>TRUE</f>
        <v/>
      </c>
      <c r="D1989">
        <f>IF(Skills!C19=1,60+Inputs!$B$25+Inputs!$B$29,IF(Skills!C19=2,90+Inputs!$B$26+Inputs!$B$29,IF(Skills!C19=3,120+Inputs!$B$27+Inputs!$B$29,MAX(0,(Inputs!$B$3-100)*3)+Inputs!$B$28+Inputs!$B$29)))</f>
        <v/>
      </c>
      <c r="E1989">
        <f>INDEX(FactorTable!$B$2:$Y$301, MATCH(ROUND(MIN(300,MAX(1,D1989)),0), FactorTable!$A$2:$A$301,0), Skills!M19+1)</f>
        <v/>
      </c>
      <c r="F1989">
        <f>IF(Skills!N19=TRUE,(Skills!L19/10)*(E1989/1000),Skills!L19/10)+Skills!O19</f>
        <v/>
      </c>
      <c r="G1989">
        <f>Skills!G19*IF(Skills!H19&gt;0,Skills!I19/Skills!H19,1)</f>
        <v/>
      </c>
      <c r="H1989">
        <f>1-(1-Skills!J19/100)^Skills!K19</f>
        <v/>
      </c>
      <c r="I1989" t="inlineStr">
        <is>
          <t>1</t>
        </is>
      </c>
      <c r="J1989" t="inlineStr"/>
      <c r="K1989" t="inlineStr"/>
      <c r="L1989" t="inlineStr"/>
      <c r="M1989" t="inlineStr"/>
      <c r="N1989" t="inlineStr"/>
      <c r="O1989">
        <f>(1-Summary!$B$11)*T1989+Summary!$B$11*V1989</f>
        <v/>
      </c>
      <c r="P1989">
        <f>IF(B2015=0,0,O1989/B2015)</f>
        <v/>
      </c>
      <c r="Q1989">
        <f>IFERROR(1/IF(Inputs!$B$39="pvp",15,MAX(0.1,Skills!D19-IF(Skills!E19=TRUE,Inputs!$B$32,0))),0)</f>
        <v/>
      </c>
      <c r="R1989">
        <f>IF(AND(Inputs!$B$39&lt;&gt;"pvp",Inputs!$B$44&gt;0),IF(Inputs!$B$44&lt;=0,0,(INT(Inputs!$B$44/IF(Inputs!$B$39="pvp",15,MAX(0.1,Skills!D19-IF(Skills!E19=TRUE,Inputs!$B$32,0))))+1)),0)</f>
        <v/>
      </c>
      <c r="S1989">
        <f>IFERROR(O1989/N1989,0)</f>
        <v/>
      </c>
      <c r="T1989" t="n">
        <v>0</v>
      </c>
      <c r="V1989" t="n">
        <v>0</v>
      </c>
    </row>
    <row r="1990">
      <c r="A1990">
        <f>Skills!A20</f>
        <v/>
      </c>
      <c r="B1990">
        <f>Skills!B20</f>
        <v/>
      </c>
      <c r="C1990">
        <f>Inputs!$B$3&gt;=15</f>
        <v/>
      </c>
      <c r="D1990">
        <f>IF(Skills!C20=1,60+Inputs!$B$25+Inputs!$B$29,IF(Skills!C20=2,90+Inputs!$B$26+Inputs!$B$29,IF(Skills!C20=3,120+Inputs!$B$27+Inputs!$B$29,MAX(0,(Inputs!$B$3-100)*3)+Inputs!$B$28+Inputs!$B$29)))</f>
        <v/>
      </c>
      <c r="E1990">
        <f>INDEX(FactorTable!$B$2:$Y$301, MATCH(ROUND(MIN(300,MAX(1,D1990)),0), FactorTable!$A$2:$A$301,0), Skills!M20+1)</f>
        <v/>
      </c>
      <c r="F1990">
        <f>IF(Skills!N20=TRUE,(Skills!L20/10)*(E1990/1000),Skills!L20/10)+Skills!O20</f>
        <v/>
      </c>
      <c r="G1990">
        <f>Skills!G20*IF(Skills!H20&gt;0,Skills!I20/Skills!H20,1)</f>
        <v/>
      </c>
      <c r="H1990">
        <f>1-(1-Skills!J20/100)^Skills!K20</f>
        <v/>
      </c>
      <c r="I1990" t="inlineStr">
        <is>
          <t>1</t>
        </is>
      </c>
      <c r="J1990" t="inlineStr"/>
      <c r="K1990" t="inlineStr"/>
      <c r="L1990" t="inlineStr"/>
      <c r="M1990" t="inlineStr"/>
      <c r="N1990" t="inlineStr"/>
      <c r="O1990">
        <f>(1-Summary!$B$11)*T1990+Summary!$B$11*V1990</f>
        <v/>
      </c>
      <c r="P1990">
        <f>IF(B2015=0,0,O1990/B2015)</f>
        <v/>
      </c>
      <c r="Q1990">
        <f>IFERROR(1/IF(Inputs!$B$39="pvp",15,MAX(0.1,Skills!D20-IF(Skills!E20=TRUE,Inputs!$B$32,0))),0)</f>
        <v/>
      </c>
      <c r="R1990">
        <f>IF(AND(Inputs!$B$39&lt;&gt;"pvp",Inputs!$B$44&gt;0),IF(Inputs!$B$44&lt;=0,0,(INT(Inputs!$B$44/IF(Inputs!$B$39="pvp",15,MAX(0.1,Skills!D20-IF(Skills!E20=TRUE,Inputs!$B$32,0))))+1)),0)</f>
        <v/>
      </c>
      <c r="S1990">
        <f>IFERROR(O1990/N1990,0)</f>
        <v/>
      </c>
      <c r="T1990" t="n">
        <v>0</v>
      </c>
      <c r="V1990" t="n">
        <v>0</v>
      </c>
    </row>
    <row r="1991">
      <c r="A1991">
        <f>Skills!A21</f>
        <v/>
      </c>
      <c r="B1991">
        <f>Skills!B21</f>
        <v/>
      </c>
      <c r="C1991">
        <f>Inputs!$B$3&gt;=15</f>
        <v/>
      </c>
      <c r="D1991">
        <f>IF(Skills!C21=1,60+Inputs!$B$25+Inputs!$B$29,IF(Skills!C21=2,90+Inputs!$B$26+Inputs!$B$29,IF(Skills!C21=3,120+Inputs!$B$27+Inputs!$B$29,MAX(0,(Inputs!$B$3-100)*3)+Inputs!$B$28+Inputs!$B$29)))</f>
        <v/>
      </c>
      <c r="E1991">
        <f>INDEX(FactorTable!$B$2:$Y$301, MATCH(ROUND(MIN(300,MAX(1,D1991)),0), FactorTable!$A$2:$A$301,0), Skills!M21+1)</f>
        <v/>
      </c>
      <c r="F1991">
        <f>IF(Skills!N21=TRUE,(Skills!L21/10)*(E1991/1000),Skills!L21/10)+Skills!O21</f>
        <v/>
      </c>
      <c r="G1991">
        <f>Skills!G21*IF(Skills!H21&gt;0,Skills!I21/Skills!H21,1)</f>
        <v/>
      </c>
      <c r="H1991">
        <f>1-(1-Skills!J21/100)^Skills!K21</f>
        <v/>
      </c>
      <c r="I1991" t="inlineStr">
        <is>
          <t>1</t>
        </is>
      </c>
      <c r="J1991" t="inlineStr"/>
      <c r="K1991" t="inlineStr"/>
      <c r="L1991" t="inlineStr"/>
      <c r="M1991" t="inlineStr"/>
      <c r="N1991" t="inlineStr"/>
      <c r="O1991">
        <f>(1-Summary!$B$11)*T1991+Summary!$B$11*V1991</f>
        <v/>
      </c>
      <c r="P1991">
        <f>IF(B2015=0,0,O1991/B2015)</f>
        <v/>
      </c>
      <c r="Q1991">
        <f>IFERROR(1/IF(Inputs!$B$39="pvp",15,MAX(0.1,Skills!D21-IF(Skills!E21=TRUE,Inputs!$B$32,0))),0)</f>
        <v/>
      </c>
      <c r="R1991">
        <f>IF(AND(Inputs!$B$39&lt;&gt;"pvp",Inputs!$B$44&gt;0),IF(Inputs!$B$44&lt;=0,0,(INT(Inputs!$B$44/IF(Inputs!$B$39="pvp",15,MAX(0.1,Skills!D21-IF(Skills!E21=TRUE,Inputs!$B$32,0))))+1)),0)</f>
        <v/>
      </c>
      <c r="S1991">
        <f>IFERROR(O1991/N1991,0)</f>
        <v/>
      </c>
      <c r="T1991" t="n">
        <v>0</v>
      </c>
      <c r="V1991" t="n">
        <v>0</v>
      </c>
    </row>
    <row r="1992">
      <c r="A1992">
        <f>Skills!A22</f>
        <v/>
      </c>
      <c r="B1992">
        <f>Skills!B22</f>
        <v/>
      </c>
      <c r="C1992">
        <f>Inputs!$B$3&gt;=33</f>
        <v/>
      </c>
      <c r="D1992">
        <f>IF(Skills!C22=1,60+Inputs!$B$25+Inputs!$B$29,IF(Skills!C22=2,90+Inputs!$B$26+Inputs!$B$29,IF(Skills!C22=3,120+Inputs!$B$27+Inputs!$B$29,MAX(0,(Inputs!$B$3-100)*3)+Inputs!$B$28+Inputs!$B$29)))</f>
        <v/>
      </c>
      <c r="E1992">
        <f>INDEX(FactorTable!$B$2:$Y$301, MATCH(ROUND(MIN(300,MAX(1,D1992)),0), FactorTable!$A$2:$A$301,0), Skills!M22+1)</f>
        <v/>
      </c>
      <c r="F1992">
        <f>IF(Skills!N22=TRUE,(Skills!L22/10)*(E1992/1000),Skills!L22/10)+Skills!O22</f>
        <v/>
      </c>
      <c r="G1992">
        <f>Skills!G22*IF(Skills!H22&gt;0,Skills!I22/Skills!H22,1)</f>
        <v/>
      </c>
      <c r="H1992">
        <f>1-(1-Skills!J22/100)^Skills!K22</f>
        <v/>
      </c>
      <c r="I1992" t="inlineStr">
        <is>
          <t>1</t>
        </is>
      </c>
      <c r="J1992" t="inlineStr"/>
      <c r="K1992" t="inlineStr"/>
      <c r="L1992" t="inlineStr"/>
      <c r="M1992" t="inlineStr"/>
      <c r="N1992" t="inlineStr"/>
      <c r="O1992">
        <f>(1-Summary!$B$11)*T1992+Summary!$B$11*V1992</f>
        <v/>
      </c>
      <c r="P1992">
        <f>IF(B2015=0,0,O1992/B2015)</f>
        <v/>
      </c>
      <c r="Q1992" t="n">
        <v>0</v>
      </c>
      <c r="R1992" t="n">
        <v>0</v>
      </c>
      <c r="S1992">
        <f>IFERROR(O1992/N1992,0)</f>
        <v/>
      </c>
      <c r="T1992" t="n">
        <v>0</v>
      </c>
      <c r="V1992" t="n">
        <v>0</v>
      </c>
    </row>
    <row r="1993">
      <c r="A1993">
        <f>Skills!A23</f>
        <v/>
      </c>
      <c r="B1993">
        <f>Skills!B23</f>
        <v/>
      </c>
      <c r="C1993">
        <f>Inputs!$B$3&gt;=40</f>
        <v/>
      </c>
      <c r="D1993">
        <f>IF(Skills!C23=1,60+Inputs!$B$25+Inputs!$B$29,IF(Skills!C23=2,90+Inputs!$B$26+Inputs!$B$29,IF(Skills!C23=3,120+Inputs!$B$27+Inputs!$B$29,MAX(0,(Inputs!$B$3-100)*3)+Inputs!$B$28+Inputs!$B$29)))</f>
        <v/>
      </c>
      <c r="E1993">
        <f>INDEX(FactorTable!$B$2:$Y$301, MATCH(ROUND(MIN(300,MAX(1,D1993)),0), FactorTable!$A$2:$A$301,0), Skills!M23+1)</f>
        <v/>
      </c>
      <c r="F1993">
        <f>IF(Skills!N23=TRUE,(Skills!L23/10)*(E1993/1000),Skills!L23/10)+Skills!O23</f>
        <v/>
      </c>
      <c r="G1993">
        <f>Skills!G23*IF(Skills!H23&gt;0,Skills!I23/Skills!H23,1)</f>
        <v/>
      </c>
      <c r="H1993">
        <f>1-(1-Skills!J23/100)^Skills!K23</f>
        <v/>
      </c>
      <c r="I1993" t="inlineStr">
        <is>
          <t>1</t>
        </is>
      </c>
      <c r="J1993" t="inlineStr"/>
      <c r="K1993" t="inlineStr"/>
      <c r="L1993" t="inlineStr"/>
      <c r="M1993" t="inlineStr"/>
      <c r="N1993" t="inlineStr"/>
      <c r="O1993">
        <f>(1-Summary!$B$11)*T1993+Summary!$B$11*V1993</f>
        <v/>
      </c>
      <c r="P1993">
        <f>IF(B2015=0,0,O1993/B2015)</f>
        <v/>
      </c>
      <c r="Q1993" t="n">
        <v>0</v>
      </c>
      <c r="R1993" t="n">
        <v>0</v>
      </c>
      <c r="S1993">
        <f>IFERROR(O1993/N1993,0)</f>
        <v/>
      </c>
      <c r="T1993" t="n">
        <v>0</v>
      </c>
      <c r="V1993" t="n">
        <v>0</v>
      </c>
    </row>
    <row r="1994">
      <c r="A1994">
        <f>Skills!A24</f>
        <v/>
      </c>
      <c r="B1994">
        <f>Skills!B24</f>
        <v/>
      </c>
      <c r="C1994">
        <f>Inputs!$B$3&gt;=43</f>
        <v/>
      </c>
      <c r="D1994">
        <f>IF(Skills!C24=1,60+Inputs!$B$25+Inputs!$B$29,IF(Skills!C24=2,90+Inputs!$B$26+Inputs!$B$29,IF(Skills!C24=3,120+Inputs!$B$27+Inputs!$B$29,MAX(0,(Inputs!$B$3-100)*3)+Inputs!$B$28+Inputs!$B$29)))</f>
        <v/>
      </c>
      <c r="E1994">
        <f>INDEX(FactorTable!$B$2:$Y$301, MATCH(ROUND(MIN(300,MAX(1,D1994)),0), FactorTable!$A$2:$A$301,0), Skills!M24+1)</f>
        <v/>
      </c>
      <c r="F1994">
        <f>IF(Skills!N24=TRUE,(Skills!L24/10)*(E1994/1000),Skills!L24/10)+Skills!O24</f>
        <v/>
      </c>
      <c r="G1994">
        <f>Skills!G24*IF(Skills!H24&gt;0,Skills!I24/Skills!H24,1)</f>
        <v/>
      </c>
      <c r="H1994">
        <f>1-(1-Skills!J24/100)^Skills!K24</f>
        <v/>
      </c>
      <c r="I1994" t="inlineStr">
        <is>
          <t>1</t>
        </is>
      </c>
      <c r="J1994" t="inlineStr"/>
      <c r="K1994" t="inlineStr"/>
      <c r="L1994" t="inlineStr"/>
      <c r="M1994" t="inlineStr"/>
      <c r="N1994" t="inlineStr"/>
      <c r="O1994">
        <f>(1-Summary!$B$11)*T1994+Summary!$B$11*V1994</f>
        <v/>
      </c>
      <c r="P1994">
        <f>IF(B2015=0,0,O1994/B2015)</f>
        <v/>
      </c>
      <c r="Q1994" t="n">
        <v>0</v>
      </c>
      <c r="R1994" t="n">
        <v>0</v>
      </c>
      <c r="S1994">
        <f>IFERROR(O1994/N1994,0)</f>
        <v/>
      </c>
      <c r="T1994" t="n">
        <v>0</v>
      </c>
      <c r="V1994" t="n">
        <v>0</v>
      </c>
    </row>
    <row r="1995">
      <c r="A1995">
        <f>Skills!A25</f>
        <v/>
      </c>
      <c r="B1995">
        <f>Skills!B25</f>
        <v/>
      </c>
      <c r="C1995">
        <f>Inputs!$B$3&gt;=50</f>
        <v/>
      </c>
      <c r="D1995">
        <f>IF(Skills!C25=1,60+Inputs!$B$25+Inputs!$B$29,IF(Skills!C25=2,90+Inputs!$B$26+Inputs!$B$29,IF(Skills!C25=3,120+Inputs!$B$27+Inputs!$B$29,MAX(0,(Inputs!$B$3-100)*3)+Inputs!$B$28+Inputs!$B$29)))</f>
        <v/>
      </c>
      <c r="E1995">
        <f>INDEX(FactorTable!$B$2:$Y$301, MATCH(ROUND(MIN(300,MAX(1,D1995)),0), FactorTable!$A$2:$A$301,0), Skills!M25+1)</f>
        <v/>
      </c>
      <c r="F1995">
        <f>IF(Skills!N25=TRUE,(Skills!L25/10)*(E1995/1000),Skills!L25/10)+Skills!O25</f>
        <v/>
      </c>
      <c r="G1995">
        <f>Skills!G25*IF(Skills!H25&gt;0,Skills!I25/Skills!H25,1)</f>
        <v/>
      </c>
      <c r="H1995">
        <f>1-(1-Skills!J25/100)^Skills!K25</f>
        <v/>
      </c>
      <c r="I1995" t="inlineStr">
        <is>
          <t>1</t>
        </is>
      </c>
      <c r="J1995" t="inlineStr"/>
      <c r="K1995" t="inlineStr"/>
      <c r="L1995" t="inlineStr"/>
      <c r="M1995" t="inlineStr"/>
      <c r="N1995" t="inlineStr"/>
      <c r="O1995">
        <f>(1-Summary!$B$11)*T1995+Summary!$B$11*V1995</f>
        <v/>
      </c>
      <c r="P1995">
        <f>IF(B2015=0,0,O1995/B2015)</f>
        <v/>
      </c>
      <c r="Q1995" t="n">
        <v>0</v>
      </c>
      <c r="R1995" t="n">
        <v>0</v>
      </c>
      <c r="S1995">
        <f>IFERROR(O1995/N1995,0)</f>
        <v/>
      </c>
      <c r="T1995" t="n">
        <v>0</v>
      </c>
      <c r="V1995" t="n">
        <v>0</v>
      </c>
    </row>
    <row r="1996">
      <c r="A1996">
        <f>Skills!A26</f>
        <v/>
      </c>
      <c r="B1996">
        <f>Skills!B26</f>
        <v/>
      </c>
      <c r="C1996">
        <f>Inputs!$B$3&gt;=50</f>
        <v/>
      </c>
      <c r="D1996">
        <f>IF(Skills!C26=1,60+Inputs!$B$25+Inputs!$B$29,IF(Skills!C26=2,90+Inputs!$B$26+Inputs!$B$29,IF(Skills!C26=3,120+Inputs!$B$27+Inputs!$B$29,MAX(0,(Inputs!$B$3-100)*3)+Inputs!$B$28+Inputs!$B$29)))</f>
        <v/>
      </c>
      <c r="E1996">
        <f>INDEX(FactorTable!$B$2:$Y$301, MATCH(ROUND(MIN(300,MAX(1,D1996)),0), FactorTable!$A$2:$A$301,0), Skills!M26+1)</f>
        <v/>
      </c>
      <c r="F1996">
        <f>IF(Skills!N26=TRUE,(Skills!L26/10)*(E1996/1000),Skills!L26/10)+Skills!O26</f>
        <v/>
      </c>
      <c r="G1996">
        <f>Skills!G26*IF(Skills!H26&gt;0,Skills!I26/Skills!H26,1)</f>
        <v/>
      </c>
      <c r="H1996">
        <f>1-(1-Skills!J26/100)^Skills!K26</f>
        <v/>
      </c>
      <c r="I1996" t="inlineStr">
        <is>
          <t>1</t>
        </is>
      </c>
      <c r="J1996" t="inlineStr"/>
      <c r="K1996" t="inlineStr"/>
      <c r="L1996" t="inlineStr"/>
      <c r="M1996" t="inlineStr"/>
      <c r="N1996" t="inlineStr"/>
      <c r="O1996">
        <f>(1-Summary!$B$11)*T1996+Summary!$B$11*V1996</f>
        <v/>
      </c>
      <c r="P1996">
        <f>IF(B2015=0,0,O1996/B2015)</f>
        <v/>
      </c>
      <c r="Q1996" t="n">
        <v>0</v>
      </c>
      <c r="R1996" t="n">
        <v>0</v>
      </c>
      <c r="S1996">
        <f>IFERROR(O1996/N1996,0)</f>
        <v/>
      </c>
      <c r="T1996" t="n">
        <v>0</v>
      </c>
      <c r="V1996" t="n">
        <v>0</v>
      </c>
    </row>
    <row r="1997">
      <c r="A1997">
        <f>Skills!A27</f>
        <v/>
      </c>
      <c r="B1997">
        <f>Skills!B27</f>
        <v/>
      </c>
      <c r="C1997">
        <f>Inputs!$B$3&gt;=38</f>
        <v/>
      </c>
      <c r="D1997">
        <f>IF(Skills!C27=1,60+Inputs!$B$25+Inputs!$B$29,IF(Skills!C27=2,90+Inputs!$B$26+Inputs!$B$29,IF(Skills!C27=3,120+Inputs!$B$27+Inputs!$B$29,MAX(0,(Inputs!$B$3-100)*3)+Inputs!$B$28+Inputs!$B$29)))</f>
        <v/>
      </c>
      <c r="E1997">
        <f>INDEX(FactorTable!$B$2:$Y$301, MATCH(ROUND(MIN(300,MAX(1,D1997)),0), FactorTable!$A$2:$A$301,0), Skills!M27+1)</f>
        <v/>
      </c>
      <c r="F1997">
        <f>IF(Skills!N27=TRUE,(Skills!L27/10)*(E1997/1000),Skills!L27/10)+Skills!O27</f>
        <v/>
      </c>
      <c r="G1997">
        <f>Skills!G27*IF(Skills!H27&gt;0,Skills!I27/Skills!H27,1)</f>
        <v/>
      </c>
      <c r="H1997">
        <f>1-(1-Skills!J27/100)^Skills!K27</f>
        <v/>
      </c>
      <c r="I1997" t="inlineStr">
        <is>
          <t>1</t>
        </is>
      </c>
      <c r="J1997" t="inlineStr"/>
      <c r="K1997" t="inlineStr"/>
      <c r="L1997" t="inlineStr"/>
      <c r="M1997" t="inlineStr"/>
      <c r="N1997" t="inlineStr"/>
      <c r="O1997">
        <f>(1-Summary!$B$11)*T1997+Summary!$B$11*V1997</f>
        <v/>
      </c>
      <c r="P1997">
        <f>IF(B2015=0,0,O1997/B2015)</f>
        <v/>
      </c>
      <c r="Q1997" t="n">
        <v>0</v>
      </c>
      <c r="R1997" t="n">
        <v>0</v>
      </c>
      <c r="S1997">
        <f>IFERROR(O1997/N1997,0)</f>
        <v/>
      </c>
      <c r="T1997" t="n">
        <v>0</v>
      </c>
      <c r="V1997" t="n">
        <v>0</v>
      </c>
    </row>
    <row r="1998">
      <c r="A1998">
        <f>Skills!A28</f>
        <v/>
      </c>
      <c r="B1998">
        <f>Skills!B28</f>
        <v/>
      </c>
      <c r="C1998">
        <f>Inputs!$B$3&gt;=120</f>
        <v/>
      </c>
      <c r="D1998">
        <f>IF(Skills!C28=1,60+Inputs!$B$25+Inputs!$B$29,IF(Skills!C28=2,90+Inputs!$B$26+Inputs!$B$29,IF(Skills!C28=3,120+Inputs!$B$27+Inputs!$B$29,MAX(0,(Inputs!$B$3-100)*3)+Inputs!$B$28+Inputs!$B$29)))</f>
        <v/>
      </c>
      <c r="E1998">
        <f>INDEX(FactorTable!$B$2:$Y$301, MATCH(ROUND(MIN(300,MAX(1,D1998)),0), FactorTable!$A$2:$A$301,0), Skills!M28+1)</f>
        <v/>
      </c>
      <c r="F1998">
        <f>IF(Skills!N28=TRUE,(Skills!L28/10)*(E1998/1000),Skills!L28/10)+Skills!O28</f>
        <v/>
      </c>
      <c r="G1998">
        <f>Skills!G28*IF(Skills!H28&gt;0,Skills!I28/Skills!H28,1)</f>
        <v/>
      </c>
      <c r="H1998">
        <f>1-(1-Skills!J28/100)^Skills!K28</f>
        <v/>
      </c>
      <c r="I1998" t="inlineStr">
        <is>
          <t>1</t>
        </is>
      </c>
      <c r="J1998" t="inlineStr"/>
      <c r="K1998" t="inlineStr"/>
      <c r="L1998" t="inlineStr"/>
      <c r="M1998" t="inlineStr"/>
      <c r="N1998" t="inlineStr"/>
      <c r="O1998">
        <f>(1-Summary!$B$11)*T1998+Summary!$B$11*V1998</f>
        <v/>
      </c>
      <c r="P1998">
        <f>IF(B2015=0,0,O1998/B2015)</f>
        <v/>
      </c>
      <c r="Q1998" t="n">
        <v>0</v>
      </c>
      <c r="R1998" t="n">
        <v>0</v>
      </c>
      <c r="S1998">
        <f>IFERROR(O1998/N1998,0)</f>
        <v/>
      </c>
      <c r="T1998" t="n">
        <v>0</v>
      </c>
      <c r="V1998" t="n">
        <v>0</v>
      </c>
    </row>
    <row r="1999">
      <c r="A1999">
        <f>Skills!A29</f>
        <v/>
      </c>
      <c r="B1999">
        <f>Skills!B29</f>
        <v/>
      </c>
      <c r="C1999">
        <f>Inputs!$B$3&gt;=120</f>
        <v/>
      </c>
      <c r="D1999">
        <f>IF(Skills!C29=1,60+Inputs!$B$25+Inputs!$B$29,IF(Skills!C29=2,90+Inputs!$B$26+Inputs!$B$29,IF(Skills!C29=3,120+Inputs!$B$27+Inputs!$B$29,MAX(0,(Inputs!$B$3-100)*3)+Inputs!$B$28+Inputs!$B$29)))</f>
        <v/>
      </c>
      <c r="E1999">
        <f>INDEX(FactorTable!$B$2:$Y$301, MATCH(ROUND(MIN(300,MAX(1,D1999)),0), FactorTable!$A$2:$A$301,0), Skills!M29+1)</f>
        <v/>
      </c>
      <c r="F1999">
        <f>IF(Skills!N29=TRUE,(Skills!L29/10)*(E1999/1000),Skills!L29/10)+Skills!O29</f>
        <v/>
      </c>
      <c r="G1999">
        <f>Skills!G29*IF(Skills!H29&gt;0,Skills!I29/Skills!H29,1)</f>
        <v/>
      </c>
      <c r="H1999">
        <f>1-(1-Skills!J29/100)^Skills!K29</f>
        <v/>
      </c>
      <c r="I1999" t="inlineStr">
        <is>
          <t>1</t>
        </is>
      </c>
      <c r="J1999" t="inlineStr"/>
      <c r="K1999" t="inlineStr"/>
      <c r="L1999" t="inlineStr"/>
      <c r="M1999" t="inlineStr"/>
      <c r="N1999" t="inlineStr"/>
      <c r="O1999">
        <f>(1-Summary!$B$11)*T1999+Summary!$B$11*V1999</f>
        <v/>
      </c>
      <c r="P1999">
        <f>IF(B2015=0,0,O1999/B2015)</f>
        <v/>
      </c>
      <c r="Q1999" t="n">
        <v>0</v>
      </c>
      <c r="R1999" t="n">
        <v>0</v>
      </c>
      <c r="S1999">
        <f>IFERROR(O1999/N1999,0)</f>
        <v/>
      </c>
      <c r="T1999" t="n">
        <v>0</v>
      </c>
      <c r="V1999" t="n">
        <v>0</v>
      </c>
    </row>
    <row r="2000">
      <c r="A2000">
        <f>Skills!A30</f>
        <v/>
      </c>
      <c r="B2000">
        <f>Skills!B30</f>
        <v/>
      </c>
      <c r="C2000">
        <f>Inputs!$B$3&gt;=125</f>
        <v/>
      </c>
      <c r="D2000">
        <f>IF(Skills!C30=1,60+Inputs!$B$25+Inputs!$B$29,IF(Skills!C30=2,90+Inputs!$B$26+Inputs!$B$29,IF(Skills!C30=3,120+Inputs!$B$27+Inputs!$B$29,MAX(0,(Inputs!$B$3-100)*3)+Inputs!$B$28+Inputs!$B$29)))</f>
        <v/>
      </c>
      <c r="E2000">
        <f>INDEX(FactorTable!$B$2:$Y$301, MATCH(ROUND(MIN(300,MAX(1,D2000)),0), FactorTable!$A$2:$A$301,0), Skills!M30+1)</f>
        <v/>
      </c>
      <c r="F2000">
        <f>IF(Skills!N30=TRUE,(Skills!L30/10)*(E2000/1000),Skills!L30/10)+Skills!O30</f>
        <v/>
      </c>
      <c r="G2000">
        <f>Skills!G30*IF(Skills!H30&gt;0,Skills!I30/Skills!H30,1)</f>
        <v/>
      </c>
      <c r="H2000">
        <f>1-(1-Skills!J30/100)^Skills!K30</f>
        <v/>
      </c>
      <c r="I2000" t="inlineStr">
        <is>
          <t>1</t>
        </is>
      </c>
      <c r="J2000" t="inlineStr"/>
      <c r="K2000" t="inlineStr"/>
      <c r="L2000" t="inlineStr"/>
      <c r="M2000" t="inlineStr"/>
      <c r="N2000" t="inlineStr"/>
      <c r="O2000">
        <f>(1-Summary!$B$11)*T2000+Summary!$B$11*V2000</f>
        <v/>
      </c>
      <c r="P2000">
        <f>IF(B2015=0,0,O2000/B2015)</f>
        <v/>
      </c>
      <c r="Q2000" t="n">
        <v>0</v>
      </c>
      <c r="R2000" t="n">
        <v>0</v>
      </c>
      <c r="S2000">
        <f>IFERROR(O2000/N2000,0)</f>
        <v/>
      </c>
      <c r="T2000" t="n">
        <v>0</v>
      </c>
      <c r="V2000" t="n">
        <v>0</v>
      </c>
    </row>
    <row r="2002">
      <c r="A2002" t="inlineStr">
        <is>
          <t>Average Buff Multiplier</t>
        </is>
      </c>
      <c r="B2002">
        <f>(1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f>
        <v/>
      </c>
    </row>
    <row r="2003">
      <c r="A2003" t="inlineStr">
        <is>
          <t>Global Crit Rate Bonus %</t>
        </is>
      </c>
      <c r="B2003">
        <f>((C1990=TRUE)*F1990*IF(AND(Inputs!$B$39&lt;&gt;"pvp",Inputs!$B$44&gt;0),(((R1990-1)*(Skills!Y20*(1+Inputs!$B$34/100))+MIN((Skills!Y20*(1+Inputs!$B$34/100)),MAX(0,Inputs!$B$44-((R1990-1)*Skills!D20))))/Inputs!$B$44),IF(Inputs!$B$39="pvp",MIN((Skills!Y20*(1+Inputs!$B$34/100)),15)/15,(Skills!Y20*(1+Inputs!$B$34/100))/Skills!D20)))</f>
        <v/>
      </c>
    </row>
    <row r="2004">
      <c r="A2004" t="inlineStr">
        <is>
          <t>Global Monster Damage-Taken Bonus %</t>
        </is>
      </c>
      <c r="B2004">
        <f>IF(Inputs!$B$3&gt;=82,15,0)</f>
        <v/>
      </c>
    </row>
    <row r="2005">
      <c r="A2005" t="inlineStr">
        <is>
          <t>Shadow Partner Average Multiplier</t>
        </is>
      </c>
      <c r="B2005">
        <f>1+((C1977=TRUE)*F1977*(1+3.3333333333333335*IF(C1988=TRUE,F1988,0)/100)*I1977*Skills!J7/100)/100</f>
        <v/>
      </c>
    </row>
    <row r="2006">
      <c r="A2006" t="inlineStr">
        <is>
          <t>Attack Speed Buff Bonus %</t>
        </is>
      </c>
      <c r="B2006">
        <f>((C1989=TRUE)*F1989*IF(AND(Inputs!$B$39&lt;&gt;"pvp",Inputs!$B$44&gt;0),(((R1989-1)*(Skills!Y19*(1+Inputs!$B$34/100))+MIN((Skills!Y19*(1+Inputs!$B$34/100)),MAX(0,Inputs!$B$44-((R1989-1)*Skills!D19))))/Inputs!$B$44),IF(Inputs!$B$39="pvp",MIN((Skills!Y19*(1+Inputs!$B$34/100)),15)/15,(Skills!Y19*(1+Inputs!$B$34/100))/Skills!D19)))+((C1973=TRUE)*F1973*3)</f>
        <v/>
      </c>
    </row>
    <row r="2007">
      <c r="A2007" t="inlineStr">
        <is>
          <t>Actions Per Second</t>
        </is>
      </c>
      <c r="B2007">
        <f>1+MIN(150,150*(1-(1-(Inputs!$B$11+((C1992=TRUE)*(F1992-Calc!F22)))/150)*(1-B2006/150)))/100</f>
        <v/>
      </c>
    </row>
    <row r="2008">
      <c r="A2008" t="inlineStr">
        <is>
          <t>Skill + Buff Cast Rate</t>
        </is>
      </c>
      <c r="B2008">
        <f>IF(AND(Inputs!$B$39&lt;&gt;"pvp",Inputs!$B$44&gt;0),SUMPRODUCT((Skills!E2:E30=TRUE)*(C1972:C2000=TRUE)*R1972:R2000*Skills!F2:F30)/Inputs!$B$44,SUMPRODUCT((Skills!E2:E30=TRUE)*(C1972:C2000=TRUE)*Q1972:Q2000*Skills!F2:F30))</f>
        <v/>
      </c>
    </row>
    <row r="2009">
      <c r="A2009" t="inlineStr">
        <is>
          <t>Cruel Stab Casts Per Second</t>
        </is>
      </c>
      <c r="B2009">
        <f>MAX(0,B2007-B2008)</f>
        <v/>
      </c>
    </row>
    <row r="2010">
      <c r="A2010" t="inlineStr">
        <is>
          <t>Global Critical Damage Bonus % (Smokescreen Mastery Lv.113)</t>
        </is>
      </c>
      <c r="B2010">
        <f>IF(Inputs!$B$3&gt;=113,30,0)*IF(AND(Inputs!$B$39&lt;&gt;"pvp",Inputs!$B$44&gt;0),(((R1985-1)*(Skills!Y15*(1+Inputs!$B$34/100))+MIN((Skills!Y15*(1+Inputs!$B$34/100)),MAX(0,Inputs!$B$44-((R1985-1)*Skills!D15))))/Inputs!$B$44),IF(Inputs!$B$39="pvp",MIN((Skills!Y15*(1+Inputs!$B$34/100)),15)/15,(Skills!Y15*(1+Inputs!$B$34/100))/Skills!D15))</f>
        <v/>
      </c>
    </row>
    <row r="2011">
      <c r="A2011" t="inlineStr">
        <is>
          <t>Meso Explosion average stack count</t>
        </is>
      </c>
      <c r="B2011">
        <f>MIN(10,0.5*B2007*Skills!D4)</f>
        <v/>
      </c>
    </row>
    <row r="2012">
      <c r="A2012" t="inlineStr">
        <is>
          <t>Blood Money average stack count</t>
        </is>
      </c>
      <c r="B2012">
        <f>MIN(5,0.25*B2007*Skills!D4)</f>
        <v/>
      </c>
    </row>
    <row r="2013">
      <c r="A2013" t="inlineStr">
        <is>
          <t>Assassinate Murderous Intent Multiplier</t>
        </is>
      </c>
      <c r="B2013">
        <f>1+IFERROR(MIN(1,Q1984*2/Q1981),0)</f>
        <v/>
      </c>
    </row>
    <row r="2014">
      <c r="A2014" t="inlineStr">
        <is>
          <t>Buff-Casting Startup Delay (s, fixed-duration only)</t>
        </is>
      </c>
      <c r="B2014">
        <f>IF(AND(Inputs!$B$39&lt;&gt;"pvp",Inputs!$B$44&gt;0),SUMPRODUCT((Skills!Y2:Y30&gt;0)*(Skills!E2:E30=TRUE)*(C1972:C2000=TRUE))/B2007,0)</f>
        <v/>
      </c>
    </row>
    <row r="2015">
      <c r="A2015" s="6" t="inlineStr">
        <is>
          <t>TOTAL DPS</t>
        </is>
      </c>
      <c r="B2015" s="6">
        <f>SUM(O1972:O2000)</f>
        <v/>
      </c>
    </row>
    <row r="2016">
      <c r="A2016" t="inlineStr">
        <is>
          <t>Boss-Only Total DPS (this block's swept value)</t>
        </is>
      </c>
      <c r="B2016">
        <f>SUM(T1972:T2000)</f>
        <v/>
      </c>
    </row>
    <row r="2017">
      <c r="A2017" t="inlineStr">
        <is>
          <t>Normal-Only Total DPS (this block's swept value)</t>
        </is>
      </c>
      <c r="B2017">
        <f>SUM(V1972:V2000)</f>
        <v/>
      </c>
    </row>
    <row r="2020">
      <c r="A2020" s="6" t="inlineStr">
        <is>
          <t>Stat: Pink Bean's Giant Rib (Equip)</t>
        </is>
      </c>
    </row>
    <row r="2021">
      <c r="A2021" s="5" t="inlineStr">
        <is>
          <t>Key</t>
        </is>
      </c>
      <c r="B2021" s="5" t="inlineStr">
        <is>
          <t>Name</t>
        </is>
      </c>
      <c r="C2021" s="5" t="inlineStr">
        <is>
          <t>Unlocked</t>
        </is>
      </c>
      <c r="D2021" s="5" t="inlineStr">
        <is>
          <t>InputLevel</t>
        </is>
      </c>
      <c r="E2021" s="5" t="inlineStr">
        <is>
          <t>Factor</t>
        </is>
      </c>
      <c r="F2021" s="5" t="inlineStr">
        <is>
          <t>CoefficientPercent</t>
        </is>
      </c>
      <c r="G2021" s="5" t="inlineStr">
        <is>
          <t>EffectiveHits</t>
        </is>
      </c>
      <c r="H2021" s="5" t="inlineStr">
        <is>
          <t>ProcProbability</t>
        </is>
      </c>
      <c r="I2021" s="5" t="inlineStr">
        <is>
          <t>MapleHeroMultiplier</t>
        </is>
      </c>
      <c r="J2021" s="5" t="inlineStr">
        <is>
          <t>BaseDamage</t>
        </is>
      </c>
      <c r="K2021" s="5" t="inlineStr">
        <is>
          <t>BaseHitDamage</t>
        </is>
      </c>
      <c r="L2021" s="5" t="inlineStr">
        <is>
          <t>NonCritAvg</t>
        </is>
      </c>
      <c r="M2021" s="5" t="inlineStr">
        <is>
          <t>CritAvg</t>
        </is>
      </c>
      <c r="N2021" s="5" t="inlineStr">
        <is>
          <t>ExpectedDamage(perHit)</t>
        </is>
      </c>
      <c r="O2021" s="5" t="inlineStr">
        <is>
          <t>DPS</t>
        </is>
      </c>
      <c r="P2021" s="5" t="inlineStr">
        <is>
          <t>% of Total</t>
        </is>
      </c>
      <c r="Q2021" s="5" t="inlineStr">
        <is>
          <t>InvCooldown</t>
        </is>
      </c>
      <c r="R2021" s="5" t="inlineStr">
        <is>
          <t>CastsInFight</t>
        </is>
      </c>
      <c r="S2021" s="5" t="inlineStr">
        <is>
          <t>HitRate(perSec)</t>
        </is>
      </c>
      <c r="U2021" t="inlineStr">
        <is>
          <t>helpers</t>
        </is>
      </c>
    </row>
    <row r="2022">
      <c r="A2022">
        <f>Skills!A2</f>
        <v/>
      </c>
      <c r="B2022">
        <f>Skills!B2</f>
        <v/>
      </c>
      <c r="C2022">
        <f>Inputs!$B$3&gt;=100</f>
        <v/>
      </c>
      <c r="D2022" t="inlineStr"/>
      <c r="E2022" t="inlineStr"/>
      <c r="F2022">
        <f>U2024+Skills!O2</f>
        <v/>
      </c>
      <c r="G2022">
        <f>Skills!G2*IF(Skills!H2&gt;0,Skills!I2/Skills!H2,1)</f>
        <v/>
      </c>
      <c r="H2022">
        <f>1-(1-Skills!J2/100)^Skills!K2</f>
        <v/>
      </c>
      <c r="I2022" t="inlineStr">
        <is>
          <t>1</t>
        </is>
      </c>
      <c r="J2022">
        <f>((Inputs!$B$6*(1+Inputs!$B$7/100))+(((Inputs!$B$12*(1+Inputs!$B$13/100))-(Inputs!$B$12*(1+Inputs!$B$13/100)))+0.25*(Inputs!$B$14-Inputs!$B$14))*(1+Inputs!$B$7/100))*(F2022/100)</f>
        <v/>
      </c>
      <c r="K2022">
        <f>J2022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2022)</f>
        <v/>
      </c>
      <c r="L2022">
        <f>K2022*(MIN(Inputs!$B$22+((C2044=TRUE)*(F2044-Calc!F24)),(Inputs!$B$23+((C2049=TRUE)*(F2049-Calc!F29))+IF(ArtifactsInput!$M$15,CHOOSE(ArtifactsInput!$N$15+1,25,30,35,40,45,50)/100*(Inputs!$B$11-Inputs!$B$11),0)))/100+(Inputs!$B$23+((C2049=TRUE)*(F2049-Calc!F29))+IF(ArtifactsInput!$M$15,CHOOSE(ArtifactsInput!$N$15+1,25,30,35,40,45,50)/100*(Inputs!$B$11-Inputs!$B$11),0))/100)/2</f>
        <v/>
      </c>
      <c r="M2022">
        <f>L2022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2">
        <f>L2022*(1-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(1-Summary!$B$11)*T2022+Summary!$B$11*V2022</f>
        <v/>
      </c>
      <c r="P2022">
        <f>IF(B2065=0,0,O2022/B2065)</f>
        <v/>
      </c>
      <c r="Q2022" t="n">
        <v>0</v>
      </c>
      <c r="R2022" t="n">
        <v>0</v>
      </c>
      <c r="S2022">
        <f>IFERROR(O2022/N2022,0)</f>
        <v/>
      </c>
      <c r="T2022">
        <f>IF(C2022,(Skills!G2*N2022*B2059)*IF(Inputs!$B$39="pvp",1,1+(Inputs!$B$20+0+Skills!P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2022*(1-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MAX(0,(Inputs!$B$3-100)*3)+Inputs!$B$28+Inputs!$B$29</f>
        <v/>
      </c>
      <c r="V2022">
        <f>IF(C2022,(Skills!G2*N2022*B2059)*IF(Inputs!$B$39="pvp",1,(1+(Inputs!$B$21+Skills!Q2+B2054+(IF(ArtifactsInput!$M$33,CHOOSE(ArtifactsInput!$N$33+1,30,36,42,48,54,60),0))+(IF(AND(ArtifactsInput!$M$35,Inputs!$B$4&lt;&gt;"Chapter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Skills!A3</f>
        <v/>
      </c>
      <c r="B2023">
        <f>Skills!B3</f>
        <v/>
      </c>
      <c r="C2023">
        <f>Inputs!$B$3&gt;=35</f>
        <v/>
      </c>
      <c r="D2023">
        <f>IF(Skills!C3=1,60+Inputs!$B$25+Inputs!$B$29,IF(Skills!C3=2,90+Inputs!$B$26+Inputs!$B$29,IF(Skills!C3=3,120+Inputs!$B$27+Inputs!$B$29,MAX(0,(Inputs!$B$3-100)*3)+Inputs!$B$28+Inputs!$B$29)))</f>
        <v/>
      </c>
      <c r="E2023">
        <f>INDEX(FactorTable!$B$2:$Y$301, MATCH(ROUND(MIN(300,MAX(1,D2023)),0), FactorTable!$A$2:$A$301,0), Skills!M3+1)</f>
        <v/>
      </c>
      <c r="F2023">
        <f>IF(Skills!N3=TRUE,(Skills!L3/10)*(E2023/1000),Skills!L3/10)+Skills!O3</f>
        <v/>
      </c>
      <c r="G2023">
        <f>Skills!G3*IF(Skills!H3&gt;0,Skills!I3/Skills!H3,1)</f>
        <v/>
      </c>
      <c r="H2023">
        <f>1-(1-Skills!J3/100)^Skills!K3</f>
        <v/>
      </c>
      <c r="I2023" t="inlineStr">
        <is>
          <t>1</t>
        </is>
      </c>
      <c r="J2023" t="inlineStr"/>
      <c r="K2023" t="inlineStr"/>
      <c r="L2023" t="inlineStr"/>
      <c r="M2023" t="inlineStr"/>
      <c r="N2023" t="inlineStr"/>
      <c r="O2023">
        <f>(1-Summary!$B$11)*T2023+Summary!$B$11*V2023</f>
        <v/>
      </c>
      <c r="P2023">
        <f>IF(B2065=0,0,O2023/B2065)</f>
        <v/>
      </c>
      <c r="Q2023" t="n">
        <v>0</v>
      </c>
      <c r="R2023" t="n">
        <v>0</v>
      </c>
      <c r="S2023">
        <f>IFERROR(O2023/N2023,0)</f>
        <v/>
      </c>
      <c r="T2023" t="n">
        <v>0</v>
      </c>
      <c r="U2023">
        <f>INDEX(FactorTable!$B$2:$Y$301, MATCH(ROUND(MIN(300,MAX(1,U2022)),0), FactorTable!$A$2:$A$301,0), 22)</f>
        <v/>
      </c>
      <c r="V2023" t="n">
        <v>0</v>
      </c>
    </row>
    <row r="2024">
      <c r="A2024">
        <f>Skills!A4</f>
        <v/>
      </c>
      <c r="B2024">
        <f>Skills!B4</f>
        <v/>
      </c>
      <c r="C2024">
        <f>Inputs!$B$3&gt;=66</f>
        <v/>
      </c>
      <c r="D2024">
        <f>IF(Skills!C4=1,60+Inputs!$B$25+Inputs!$B$29,IF(Skills!C4=2,90+Inputs!$B$26+Inputs!$B$29,IF(Skills!C4=3,120+Inputs!$B$27+Inputs!$B$29,MAX(0,(Inputs!$B$3-100)*3)+Inputs!$B$28+Inputs!$B$29)))</f>
        <v/>
      </c>
      <c r="E2024">
        <f>INDEX(FactorTable!$B$2:$Y$301, MATCH(ROUND(MIN(300,MAX(1,D2024)),0), FactorTable!$A$2:$A$301,0), Skills!M4+1)</f>
        <v/>
      </c>
      <c r="F2024">
        <f>IF(Skills!N4=TRUE,(Skills!L4/10)*(E2024/1000),Skills!L4/10)+Skills!O4</f>
        <v/>
      </c>
      <c r="G2024">
        <f>Skills!G4*IF(Skills!H4&gt;0,Skills!I4/Skills!H4,1)</f>
        <v/>
      </c>
      <c r="H2024">
        <f>1-(1-Skills!J4/100)^Skills!K4</f>
        <v/>
      </c>
      <c r="I2024" t="inlineStr">
        <is>
          <t>1</t>
        </is>
      </c>
      <c r="J2024">
        <f>((Inputs!$B$6*(1+Inputs!$B$7/100))+(((Inputs!$B$12*(1+Inputs!$B$13/100))-(Inputs!$B$12*(1+Inputs!$B$13/100)))+0.25*(Inputs!$B$14-Inputs!$B$14))*(1+Inputs!$B$7/100))*(F2024/100)</f>
        <v/>
      </c>
      <c r="K2024">
        <f>J2024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2024)</f>
        <v/>
      </c>
      <c r="L2024">
        <f>K2024*(MIN(Inputs!$B$22+((C2044=TRUE)*(F2044-Calc!F24)),(Inputs!$B$23+((C2049=TRUE)*(F2049-Calc!F29))+IF(ArtifactsInput!$M$15,CHOOSE(ArtifactsInput!$N$15+1,25,30,35,40,45,50)/100*(Inputs!$B$11-Inputs!$B$11),0)))/100+(Inputs!$B$23+((C2049=TRUE)*(F2049-Calc!F29))+IF(ArtifactsInput!$M$15,CHOOSE(ArtifactsInput!$N$15+1,25,30,35,40,45,50)/100*(Inputs!$B$11-Inputs!$B$11),0))/100)/2</f>
        <v/>
      </c>
      <c r="M2024">
        <f>L2024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4">
        <f>L2024*(1-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2024*(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4">
        <f>(1-Summary!$B$11)*T2024+Summary!$B$11*V2024</f>
        <v/>
      </c>
      <c r="P2024">
        <f>IF(B2065=0,0,O2024/B2065)</f>
        <v/>
      </c>
      <c r="Q2024">
        <f>IFERROR(1/IF(Inputs!$B$39="pvp",15,MAX(0.1,Skills!D4-IF(Skills!E4=TRUE,Inputs!$B$32,0))),0)</f>
        <v/>
      </c>
      <c r="R2024">
        <f>IF(AND(Inputs!$B$39&lt;&gt;"pvp",Inputs!$B$44&gt;0),IF(MAX(0,Inputs!$B$44-B2064)&lt;=0,0,(INT(MAX(0,Inputs!$B$44-B2064)/IF(Inputs!$B$39="pvp",15,MAX(0.1,Skills!D4-IF(Skills!E4=TRUE,Inputs!$B$32,0))))+1)),0)</f>
        <v/>
      </c>
      <c r="S2024">
        <f>IFERROR(O2024/N2024,0)</f>
        <v/>
      </c>
      <c r="T2024">
        <f>IF(C2024,(H2024*N2024*IF(AND(Inputs!$B$39&lt;&gt;"pvp",Inputs!$B$44&gt;0),((Skills!G4*((R2024-1)*IF(Skills!H4&gt;0,Skills!I4/Skills!H4,1)+IF(Skills!H4&gt;0,MIN(Skills!I4,MAX(0,MAX(0,Inputs!$B$44-B2064)-((R2024-1)*IF(Inputs!$B$39="pvp",15,MAX(0.1,Skills!D4-IF(Skills!E4=TRUE,Inputs!$B$32,0))))))/Skills!H4,1)))/Inputs!$B$44),G2024*Q2024))*IF(Inputs!$B$39="pvp",1,1+(Inputs!$B$20+0+Skills!P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2024*(1-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2024*(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2024*(1-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2024*(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4">
        <f>290*U2023/1000</f>
        <v/>
      </c>
      <c r="V2024">
        <f>IF(C2024,(H2024*N2024*IF(AND(Inputs!$B$39&lt;&gt;"pvp",Inputs!$B$44&gt;0),((Skills!G4*((R2024-1)*IF(Skills!H4&gt;0,Skills!I4/Skills!H4,1)+IF(Skills!H4&gt;0,MIN(Skills!I4,MAX(0,MAX(0,Inputs!$B$44-B2064)-((R2024-1)*IF(Inputs!$B$39="pvp",15,MAX(0.1,Skills!D4-IF(Skills!E4=TRUE,Inputs!$B$32,0))))))/Skills!H4,1)))/Inputs!$B$44),G2024*Q2024))*IF(Inputs!$B$39="pvp",1,(1+(Inputs!$B$21+Skills!Q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(10,0.5*B2057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5">
      <c r="A2025">
        <f>Skills!A5</f>
        <v/>
      </c>
      <c r="B2025">
        <f>Skills!B5</f>
        <v/>
      </c>
      <c r="C2025">
        <f>Inputs!$B$3&gt;=63</f>
        <v/>
      </c>
      <c r="D2025">
        <f>IF(Skills!C5=1,60+Inputs!$B$25+Inputs!$B$29,IF(Skills!C5=2,90+Inputs!$B$26+Inputs!$B$29,IF(Skills!C5=3,120+Inputs!$B$27+Inputs!$B$29,MAX(0,(Inputs!$B$3-100)*3)+Inputs!$B$28+Inputs!$B$29)))</f>
        <v/>
      </c>
      <c r="E2025">
        <f>INDEX(FactorTable!$B$2:$Y$301, MATCH(ROUND(MIN(300,MAX(1,D2025)),0), FactorTable!$A$2:$A$301,0), Skills!M5+1)</f>
        <v/>
      </c>
      <c r="F2025">
        <f>IF(Skills!N5=TRUE,(Skills!L5/10)*(E2025/1000),Skills!L5/10)+Skills!O5</f>
        <v/>
      </c>
      <c r="G2025">
        <f>Skills!G5*IF(Skills!H5&gt;0,Skills!I5/Skills!H5,1)</f>
        <v/>
      </c>
      <c r="H2025">
        <f>1-(1-Skills!J5/100)^Skills!K5</f>
        <v/>
      </c>
      <c r="I2025" t="inlineStr">
        <is>
          <t>1</t>
        </is>
      </c>
      <c r="J2025">
        <f>((Inputs!$B$6*(1+Inputs!$B$7/100))+(((Inputs!$B$12*(1+Inputs!$B$13/100))-(Inputs!$B$12*(1+Inputs!$B$13/100)))+0.25*(Inputs!$B$14-Inputs!$B$14))*(1+Inputs!$B$7/100))*(F2025/100)</f>
        <v/>
      </c>
      <c r="K2025">
        <f>J2025*(1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2038=TRUE,F2038,0)/100)*(1+(IF(Skills!A5="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2025)</f>
        <v/>
      </c>
      <c r="L2025">
        <f>K2025*(MIN(Inputs!$B$22+((C2044=TRUE)*(F2044-Calc!F24)),(Inputs!$B$23+((C2049=TRUE)*(F2049-Calc!F29))+IF(ArtifactsInput!$M$15,CHOOSE(ArtifactsInput!$N$15+1,25,30,35,40,45,50)/100*(Inputs!$B$11-Inputs!$B$11),0)))/100+(Inputs!$B$23+((C2049=TRUE)*(F2049-Calc!F29))+IF(ArtifactsInput!$M$15,CHOOSE(ArtifactsInput!$N$15+1,25,30,35,40,45,50)/100*(Inputs!$B$11-Inputs!$B$11),0))/100)/2</f>
        <v/>
      </c>
      <c r="M2025">
        <f>L2025*(1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5">
        <f>L2025*(1-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2025*(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5">
        <f>(1-Summary!$B$11)*T2025+Summary!$B$11*V2025</f>
        <v/>
      </c>
      <c r="P2025">
        <f>IF(B2065=0,0,O2025/B2065)</f>
        <v/>
      </c>
      <c r="Q2025">
        <f>IFERROR(1/IF(Inputs!$B$39="pvp",15,MAX(0.1,Skills!D5-IF(Skills!E5=TRUE,Inputs!$B$32,0))),0)</f>
        <v/>
      </c>
      <c r="R2025">
        <f>IF(AND(Inputs!$B$39&lt;&gt;"pvp",Inputs!$B$44&gt;0),IF(MAX(0,Inputs!$B$44-B2064)&lt;=0,0,(INT(MAX(0,Inputs!$B$44-B2064)/IF(Inputs!$B$39="pvp",15,MAX(0.1,Skills!D5-IF(Skills!E5=TRUE,Inputs!$B$32,0))))+1)),0)</f>
        <v/>
      </c>
      <c r="S2025">
        <f>IFERROR(O2025/N2025,0)</f>
        <v/>
      </c>
      <c r="T2025">
        <f>IF(C2025,(H2025*N2025*IF(AND(Inputs!$B$39&lt;&gt;"pvp",Inputs!$B$44&gt;0),((Skills!G5*((R2025-1)*IF(Skills!H5&gt;0,Skills!I5/Skills!H5,1)+IF(Skills!H5&gt;0,MIN(Skills!I5,MAX(0,MAX(0,Inputs!$B$44-B2064)-((R2025-1)*IF(Inputs!$B$39="pvp",15,MAX(0.1,Skills!D5-IF(Skills!E5=TRUE,Inputs!$B$32,0))))))/Skills!H5,1)))/Inputs!$B$44),G2025*Q2025))*IF(Inputs!$B$39="pvp",1,1+(Inputs!$B$20+0+Skills!P5+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2025*(1-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2025*(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2025*(1-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2025*(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5">
        <f>IF(C2025,(H2025*N2025*IF(AND(Inputs!$B$39&lt;&gt;"pvp",Inputs!$B$44&gt;0),((Skills!G5*((R2025-1)*IF(Skills!H5&gt;0,Skills!I5/Skills!H5,1)+IF(Skills!H5&gt;0,MIN(Skills!I5,MAX(0,MAX(0,Inputs!$B$44-B2064)-((R2025-1)*IF(Inputs!$B$39="pvp",15,MAX(0.1,Skills!D5-IF(Skills!E5=TRUE,Inputs!$B$32,0))))))/Skills!H5,1)))/Inputs!$B$44),G2025*Q2025))*IF(Inputs!$B$39="pvp",1,(1+(Inputs!$B$21+Skills!Q5+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6">
      <c r="A2026">
        <f>Skills!A6</f>
        <v/>
      </c>
      <c r="B2026">
        <f>Skills!B6</f>
        <v/>
      </c>
      <c r="C2026">
        <f>Inputs!$B$3&gt;=69</f>
        <v/>
      </c>
      <c r="D2026">
        <f>IF(Skills!C6=1,60+Inputs!$B$25+Inputs!$B$29,IF(Skills!C6=2,90+Inputs!$B$26+Inputs!$B$29,IF(Skills!C6=3,120+Inputs!$B$27+Inputs!$B$29,MAX(0,(Inputs!$B$3-100)*3)+Inputs!$B$28+Inputs!$B$29)))</f>
        <v/>
      </c>
      <c r="E2026">
        <f>INDEX(FactorTable!$B$2:$Y$301, MATCH(ROUND(MIN(300,MAX(1,D2026)),0), FactorTable!$A$2:$A$301,0), Skills!M6+1)</f>
        <v/>
      </c>
      <c r="F2026">
        <f>IF(Skills!N6=TRUE,(Skills!L6/10)*(E2026/1000),Skills!L6/10)+Skills!O6</f>
        <v/>
      </c>
      <c r="G2026">
        <f>Skills!G6*IF(Skills!H6&gt;0,Skills!I6/Skills!H6,1)</f>
        <v/>
      </c>
      <c r="H2026">
        <f>1-(1-Skills!J6/100)^Skills!K6</f>
        <v/>
      </c>
      <c r="I2026" t="inlineStr">
        <is>
          <t>1</t>
        </is>
      </c>
      <c r="J2026">
        <f>((Inputs!$B$6*(1+Inputs!$B$7/100))+(((Inputs!$B$12*(1+Inputs!$B$13/100))-(Inputs!$B$12*(1+Inputs!$B$13/100)))+0.25*(Inputs!$B$14-Inputs!$B$14))*(1+Inputs!$B$7/100))*(F2026/100)</f>
        <v/>
      </c>
      <c r="K2026">
        <f>J2026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2038=TRUE,F2038,0)/100)*(1+(IF(Skills!A6="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2026)</f>
        <v/>
      </c>
      <c r="L2026">
        <f>K2026*(MIN(Inputs!$B$22+((C2044=TRUE)*(F2044-Calc!F24)),(Inputs!$B$23+((C2049=TRUE)*(F2049-Calc!F29))+IF(ArtifactsInput!$M$15,CHOOSE(ArtifactsInput!$N$15+1,25,30,35,40,45,50)/100*(Inputs!$B$11-Inputs!$B$11),0)))/100+(Inputs!$B$23+((C2049=TRUE)*(F2049-Calc!F29))+IF(ArtifactsInput!$M$15,CHOOSE(ArtifactsInput!$N$15+1,25,30,35,40,45,50)/100*(Inputs!$B$11-Inputs!$B$11),0))/100)/2</f>
        <v/>
      </c>
      <c r="M2026">
        <f>L2026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6">
        <f>L2026*(1-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2026*(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6">
        <f>(1-Summary!$B$11)*T2026+Summary!$B$11*V2026</f>
        <v/>
      </c>
      <c r="P2026">
        <f>IF(B2065=0,0,O2026/B2065)</f>
        <v/>
      </c>
      <c r="Q2026">
        <f>IFERROR(1/IF(Inputs!$B$39="pvp",15,MAX(0.1,Skills!D6-IF(Skills!E6=TRUE,Inputs!$B$32,0))),0)</f>
        <v/>
      </c>
      <c r="R2026">
        <f>IF(AND(Inputs!$B$39&lt;&gt;"pvp",Inputs!$B$44&gt;0),IF(MAX(0,Inputs!$B$44-B2064)&lt;=0,0,(INT(MAX(0,Inputs!$B$44-B2064)/IF(Inputs!$B$39="pvp",15,MAX(0.1,Skills!D6-IF(Skills!E6=TRUE,Inputs!$B$32,0))))+1)),0)</f>
        <v/>
      </c>
      <c r="S2026">
        <f>IFERROR(O2026/N2026,0)</f>
        <v/>
      </c>
      <c r="T2026">
        <f>IF(C2026,(H2026*N2026*IF(AND(Inputs!$B$39&lt;&gt;"pvp",Inputs!$B$44&gt;0),((Skills!G6*((R2026-1)*IF(Skills!H6&gt;0,Skills!I6/Skills!H6,1)+IF(Skills!H6&gt;0,MIN(Skills!I6,MAX(0,MAX(0,Inputs!$B$44-B2064)-((R2026-1)*IF(Inputs!$B$39="pvp",15,MAX(0.1,Skills!D6-IF(Skills!E6=TRUE,Inputs!$B$32,0))))))/Skills!H6,1)))/Inputs!$B$44),G2026*Q2026))*IF(Inputs!$B$39="pvp",1,1+(Inputs!$B$20+0+Skills!P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2026*(1-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2026*(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2026*(1-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2026*(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6">
        <f>IF(C2026,(H2026*N2026*IF(AND(Inputs!$B$39&lt;&gt;"pvp",Inputs!$B$44&gt;0),((Skills!G6*((R2026-1)*IF(Skills!H6&gt;0,Skills!I6/Skills!H6,1)+IF(Skills!H6&gt;0,MIN(Skills!I6,MAX(0,MAX(0,Inputs!$B$44-B2064)-((R2026-1)*IF(Inputs!$B$39="pvp",15,MAX(0.1,Skills!D6-IF(Skills!E6=TRUE,Inputs!$B$32,0))))))/Skills!H6,1)))/Inputs!$B$44),G2026*Q2026))*IF(Inputs!$B$39="pvp",1,(1+(Inputs!$B$21+Skills!Q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7">
      <c r="A2027">
        <f>Skills!A7</f>
        <v/>
      </c>
      <c r="B2027">
        <f>Skills!B7</f>
        <v/>
      </c>
      <c r="C2027">
        <f>Inputs!$B$3&gt;=60</f>
        <v/>
      </c>
      <c r="D2027">
        <f>IF(Skills!C7=1,60+Inputs!$B$25+Inputs!$B$29,IF(Skills!C7=2,90+Inputs!$B$26+Inputs!$B$29,IF(Skills!C7=3,120+Inputs!$B$27+Inputs!$B$29,MAX(0,(Inputs!$B$3-100)*3)+Inputs!$B$28+Inputs!$B$29)))</f>
        <v/>
      </c>
      <c r="E2027">
        <f>INDEX(FactorTable!$B$2:$Y$301, MATCH(ROUND(MIN(300,MAX(1,D2027)),0), FactorTable!$A$2:$A$301,0), Skills!M7+1)</f>
        <v/>
      </c>
      <c r="F2027">
        <f>IF(Skills!N7=TRUE,(Skills!L7/10)*(E2027/1000),Skills!L7/10)+Skills!O7</f>
        <v/>
      </c>
      <c r="G2027">
        <f>Skills!G7*IF(Skills!H7&gt;0,Skills!I7/Skills!H7,1)</f>
        <v/>
      </c>
      <c r="H2027">
        <f>1-(1-Skills!J7/100)^Skills!K7</f>
        <v/>
      </c>
      <c r="I2027" t="inlineStr">
        <is>
          <t>1</t>
        </is>
      </c>
      <c r="J2027" t="inlineStr"/>
      <c r="K2027" t="inlineStr"/>
      <c r="L2027" t="inlineStr"/>
      <c r="M2027" t="inlineStr"/>
      <c r="N2027" t="inlineStr"/>
      <c r="O2027">
        <f>(1-Summary!$B$11)*T2027+Summary!$B$11*V2027</f>
        <v/>
      </c>
      <c r="P2027">
        <f>IF(B2065=0,0,O2027/B2065)</f>
        <v/>
      </c>
      <c r="Q2027" t="n">
        <v>0</v>
      </c>
      <c r="R2027" t="n">
        <v>0</v>
      </c>
      <c r="S2027">
        <f>IFERROR(O2027/N2027,0)</f>
        <v/>
      </c>
      <c r="T2027" t="n">
        <v>0</v>
      </c>
      <c r="V2027" t="n">
        <v>0</v>
      </c>
    </row>
    <row r="2028">
      <c r="A2028">
        <f>Skills!A8</f>
        <v/>
      </c>
      <c r="B2028">
        <f>Skills!B8</f>
        <v/>
      </c>
      <c r="C2028">
        <f>Inputs!$B$3&gt;=72</f>
        <v/>
      </c>
      <c r="D2028">
        <f>IF(Skills!C8=1,60+Inputs!$B$25+Inputs!$B$29,IF(Skills!C8=2,90+Inputs!$B$26+Inputs!$B$29,IF(Skills!C8=3,120+Inputs!$B$27+Inputs!$B$29,MAX(0,(Inputs!$B$3-100)*3)+Inputs!$B$28+Inputs!$B$29)))</f>
        <v/>
      </c>
      <c r="E2028">
        <f>INDEX(FactorTable!$B$2:$Y$301, MATCH(ROUND(MIN(300,MAX(1,D2028)),0), FactorTable!$A$2:$A$301,0), Skills!M8+1)</f>
        <v/>
      </c>
      <c r="F2028">
        <f>IF(Skills!N8=TRUE,(Skills!L8/10)*(E2028/1000),Skills!L8/10)+Skills!O8</f>
        <v/>
      </c>
      <c r="G2028">
        <f>Skills!G8*IF(Skills!H8&gt;0,Skills!I8/Skills!H8,1)</f>
        <v/>
      </c>
      <c r="H2028">
        <f>1-(1-Skills!J8/100)^Skills!K8</f>
        <v/>
      </c>
      <c r="I2028" t="inlineStr">
        <is>
          <t>1</t>
        </is>
      </c>
      <c r="J2028">
        <f>((Inputs!$B$6*(1+Inputs!$B$7/100))+(((Inputs!$B$12*(1+Inputs!$B$13/100))-(Inputs!$B$12*(1+Inputs!$B$13/100)))+0.25*(Inputs!$B$14-Inputs!$B$14))*(1+Inputs!$B$7/100))*(F2028/100)</f>
        <v/>
      </c>
      <c r="K2028">
        <f>J2028*(1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2038=TRUE,F2038,0)/100)*(1+(IF(Skills!A8="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2028)</f>
        <v/>
      </c>
      <c r="L2028">
        <f>K2028*(MIN(Inputs!$B$22+((C2044=TRUE)*(F2044-Calc!F24)),(Inputs!$B$23+((C2049=TRUE)*(F2049-Calc!F29))+IF(ArtifactsInput!$M$15,CHOOSE(ArtifactsInput!$N$15+1,25,30,35,40,45,50)/100*(Inputs!$B$11-Inputs!$B$11),0)))/100+(Inputs!$B$23+((C2049=TRUE)*(F2049-Calc!F29))+IF(ArtifactsInput!$M$15,CHOOSE(ArtifactsInput!$N$15+1,25,30,35,40,45,50)/100*(Inputs!$B$11-Inputs!$B$11),0))/100)/2</f>
        <v/>
      </c>
      <c r="M2028">
        <f>L2028*(1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8">
        <f>L2028*(1-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2028*(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8">
        <f>(1-Summary!$B$11)*T2028+Summary!$B$11*V2028</f>
        <v/>
      </c>
      <c r="P2028">
        <f>IF(B2065=0,0,O2028/B2065)</f>
        <v/>
      </c>
      <c r="Q2028">
        <f>IFERROR(1/IF(Inputs!$B$39="pvp",15,MAX(0.1,Skills!D8-IF(Skills!E8=TRUE,Inputs!$B$32,0))),0)</f>
        <v/>
      </c>
      <c r="R2028">
        <f>IF(AND(Inputs!$B$39&lt;&gt;"pvp",Inputs!$B$44&gt;0),IF(MAX(0,Inputs!$B$44-B2064)&lt;=0,0,(INT(MAX(0,Inputs!$B$44-B2064)/IF(Inputs!$B$39="pvp",15,MAX(0.1,Skills!D8-IF(Skills!E8=TRUE,Inputs!$B$32,0))))+1)),0)</f>
        <v/>
      </c>
      <c r="S2028">
        <f>IFERROR(O2028/N2028,0)</f>
        <v/>
      </c>
      <c r="T2028">
        <f>IF(C2028,(H2028*N2028*IF(AND(Inputs!$B$39&lt;&gt;"pvp",Inputs!$B$44&gt;0),((Skills!G8*((R2028-1)*IF(Skills!H8&gt;0,Skills!I8/Skills!H8,1)+IF(Skills!H8&gt;0,MIN(Skills!I8,MAX(0,MAX(0,Inputs!$B$44-B2064)-((R2028-1)*IF(Inputs!$B$39="pvp",15,MAX(0.1,Skills!D8-IF(Skills!E8=TRUE,Inputs!$B$32,0))))))/Skills!H8,1)))/Inputs!$B$44),G2028*Q2028))*IF(Inputs!$B$39="pvp",1,1+(Inputs!$B$20+0+Skills!P8+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2028*(1-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2028*(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2028*(1-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2028*(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8">
        <f>IF(C2028,(H2028*N2028*IF(AND(Inputs!$B$39&lt;&gt;"pvp",Inputs!$B$44&gt;0),((Skills!G8*((R2028-1)*IF(Skills!H8&gt;0,Skills!I8/Skills!H8,1)+IF(Skills!H8&gt;0,MIN(Skills!I8,MAX(0,MAX(0,Inputs!$B$44-B2064)-((R2028-1)*IF(Inputs!$B$39="pvp",15,MAX(0.1,Skills!D8-IF(Skills!E8=TRUE,Inputs!$B$32,0))))))/Skills!H8,1)))/Inputs!$B$44),G2028*Q2028))*IF(Inputs!$B$39="pvp",1,(1+(Inputs!$B$21+Skills!Q8+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9">
      <c r="A2029">
        <f>Skills!A9</f>
        <v/>
      </c>
      <c r="B2029">
        <f>Skills!B9</f>
        <v/>
      </c>
      <c r="C2029">
        <f>Inputs!$B$3&gt;=117</f>
        <v/>
      </c>
      <c r="D2029">
        <f>IF(Skills!C9=1,60+Inputs!$B$25+Inputs!$B$29,IF(Skills!C9=2,90+Inputs!$B$26+Inputs!$B$29,IF(Skills!C9=3,120+Inputs!$B$27+Inputs!$B$29,MAX(0,(Inputs!$B$3-100)*3)+Inputs!$B$28+Inputs!$B$29)))</f>
        <v/>
      </c>
      <c r="E2029">
        <f>INDEX(FactorTable!$B$2:$Y$301, MATCH(ROUND(MIN(300,MAX(1,D2029)),0), FactorTable!$A$2:$A$301,0), Skills!M9+1)</f>
        <v/>
      </c>
      <c r="F2029">
        <f>IF(Skills!N9=TRUE,(Skills!L9/10)*(E2029/1000),Skills!L9/10)+Skills!O9</f>
        <v/>
      </c>
      <c r="G2029">
        <f>Skills!G9*IF(Skills!H9&gt;0,Skills!I9/Skills!H9,1)</f>
        <v/>
      </c>
      <c r="H2029">
        <f>1-(1-Skills!J9/100)^Skills!K9</f>
        <v/>
      </c>
      <c r="I2029" t="inlineStr">
        <is>
          <t>1</t>
        </is>
      </c>
      <c r="J2029">
        <f>((Inputs!$B$6*(1+Inputs!$B$7/100))+(((Inputs!$B$12*(1+Inputs!$B$13/100))-(Inputs!$B$12*(1+Inputs!$B$13/100)))+0.25*(Inputs!$B$14-Inputs!$B$14))*(1+Inputs!$B$7/100))*(F2029/100)</f>
        <v/>
      </c>
      <c r="K2029">
        <f>J2029*(1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2029)</f>
        <v/>
      </c>
      <c r="L2029">
        <f>K2029*(MIN(Inputs!$B$22+((C2044=TRUE)*(F2044-Calc!F24)),(Inputs!$B$23+((C2049=TRUE)*(F2049-Calc!F29))+IF(ArtifactsInput!$M$15,CHOOSE(ArtifactsInput!$N$15+1,25,30,35,40,45,50)/100*(Inputs!$B$11-Inputs!$B$11),0)))/100+(Inputs!$B$23+((C2049=TRUE)*(F2049-Calc!F29))+IF(ArtifactsInput!$M$15,CHOOSE(ArtifactsInput!$N$15+1,25,30,35,40,45,50)/100*(Inputs!$B$11-Inputs!$B$11),0))/100)/2</f>
        <v/>
      </c>
      <c r="M2029">
        <f>L2029*(1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9">
        <f>L2029*(1-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2029*(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9">
        <f>(1-Summary!$B$11)*T2029+Summary!$B$11*V2029</f>
        <v/>
      </c>
      <c r="P2029">
        <f>IF(B2065=0,0,O2029/B2065)</f>
        <v/>
      </c>
      <c r="Q2029" t="n">
        <v>0</v>
      </c>
      <c r="R2029" t="n">
        <v>0</v>
      </c>
      <c r="S2029" t="n">
        <v>0</v>
      </c>
      <c r="T2029">
        <f>IF(C2029,(0.2*SUMPRODUCT((Skills!Z2:Z30=TRUE)*(C2022:C2050=TRUE)*S2022:S2050)*N2029)*IF(Inputs!$B$39="pvp",1,1+(Inputs!$B$20+0+Skills!P9+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2029*(1-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2029*(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2029*(1-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2029*(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9">
        <f>IF(C2029,(0.2*SUMPRODUCT((Skills!Z2:Z30=TRUE)*(C2022:C2050=TRUE)*S2022:S2050)*N2029)*IF(Inputs!$B$39="pvp",1,(1+(Inputs!$B$21+Skills!Q9+B2054+(IF(ArtifactsInput!$M$33,CHOOSE(ArtifactsInput!$N$33+1,30,36,42,48,54,60),0))+(IF(AND(ArtifactsInput!$M$35,Inputs!$B$4&lt;&gt;"Chapter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0">
      <c r="A2030">
        <f>Skills!A10</f>
        <v/>
      </c>
      <c r="B2030">
        <f>Skills!B10</f>
        <v/>
      </c>
      <c r="C2030">
        <f>Inputs!$B$3&gt;=74</f>
        <v/>
      </c>
      <c r="D2030">
        <f>IF(Skills!C10=1,60+Inputs!$B$25+Inputs!$B$29,IF(Skills!C10=2,90+Inputs!$B$26+Inputs!$B$29,IF(Skills!C10=3,120+Inputs!$B$27+Inputs!$B$29,MAX(0,(Inputs!$B$3-100)*3)+Inputs!$B$28+Inputs!$B$29)))</f>
        <v/>
      </c>
      <c r="E2030">
        <f>INDEX(FactorTable!$B$2:$Y$301, MATCH(ROUND(MIN(300,MAX(1,D2030)),0), FactorTable!$A$2:$A$301,0), Skills!M10+1)</f>
        <v/>
      </c>
      <c r="F2030">
        <f>IF(Skills!N10=TRUE,(Skills!L10/10)*(E2030/1000),Skills!L10/10)+Skills!O10</f>
        <v/>
      </c>
      <c r="G2030">
        <f>Skills!G10*IF(Skills!H10&gt;0,Skills!I10/Skills!H10,1)</f>
        <v/>
      </c>
      <c r="H2030">
        <f>1-(1-Skills!J10/100)^Skills!K10</f>
        <v/>
      </c>
      <c r="I2030" t="inlineStr">
        <is>
          <t>1</t>
        </is>
      </c>
      <c r="J2030" t="inlineStr"/>
      <c r="K2030" t="inlineStr"/>
      <c r="L2030" t="inlineStr"/>
      <c r="M2030" t="inlineStr"/>
      <c r="N2030" t="inlineStr"/>
      <c r="O2030">
        <f>(1-Summary!$B$11)*T2030+Summary!$B$11*V2030</f>
        <v/>
      </c>
      <c r="P2030">
        <f>IF(B2065=0,0,O2030/B2065)</f>
        <v/>
      </c>
      <c r="Q2030">
        <f>IFERROR(1/IF(Inputs!$B$39="pvp",15,MAX(0.1,Skills!D10-IF(Skills!E10=TRUE,Inputs!$B$32,0))),0)</f>
        <v/>
      </c>
      <c r="R2030">
        <f>IF(AND(Inputs!$B$39&lt;&gt;"pvp",Inputs!$B$44&gt;0),IF(Inputs!$B$44&lt;=0,0,(INT(Inputs!$B$44/IF(Inputs!$B$39="pvp",15,MAX(0.1,Skills!D10-IF(Skills!E10=TRUE,Inputs!$B$32,0))))+1)),0)</f>
        <v/>
      </c>
      <c r="S2030">
        <f>IFERROR(O2030/N2030,0)</f>
        <v/>
      </c>
      <c r="T2030" t="n">
        <v>0</v>
      </c>
      <c r="V2030" t="n">
        <v>0</v>
      </c>
    </row>
    <row r="2031">
      <c r="A2031">
        <f>Skills!A11</f>
        <v/>
      </c>
      <c r="B2031">
        <f>Skills!B11</f>
        <v/>
      </c>
      <c r="C2031">
        <f>Inputs!$B$3&gt;=103</f>
        <v/>
      </c>
      <c r="D2031">
        <f>IF(Skills!C11=1,60+Inputs!$B$25+Inputs!$B$29,IF(Skills!C11=2,90+Inputs!$B$26+Inputs!$B$29,IF(Skills!C11=3,120+Inputs!$B$27+Inputs!$B$29,MAX(0,(Inputs!$B$3-100)*3)+Inputs!$B$28+Inputs!$B$29)))</f>
        <v/>
      </c>
      <c r="E2031">
        <f>INDEX(FactorTable!$B$2:$Y$301, MATCH(ROUND(MIN(300,MAX(1,D2031)),0), FactorTable!$A$2:$A$301,0), Skills!M11+1)</f>
        <v/>
      </c>
      <c r="F2031">
        <f>(Skills!L11/10)*(E2031/1000)+IF(Inputs!$B$3&gt;=134,50,0)+0.5*(30000/10)*(INDEX(FactorTable!$B$2:$Y$301, MATCH(ROUND(MIN(300,MAX(1,D2031)),0), FactorTable!$A$2:$A$301,0), 13)/1000)*B2063</f>
        <v/>
      </c>
      <c r="G2031">
        <f>Skills!G11*IF(Skills!H11&gt;0,Skills!I11/Skills!H11,1)</f>
        <v/>
      </c>
      <c r="H2031">
        <f>1-(1-Skills!J11/100)^Skills!K11</f>
        <v/>
      </c>
      <c r="I2031" t="inlineStr">
        <is>
          <t>1</t>
        </is>
      </c>
      <c r="J2031">
        <f>((Inputs!$B$6*(1+Inputs!$B$7/100))+(((Inputs!$B$12*(1+Inputs!$B$13/100))-(Inputs!$B$12*(1+Inputs!$B$13/100)))+0.25*(Inputs!$B$14-Inputs!$B$14))*(1+Inputs!$B$7/100))*(F2031/100)</f>
        <v/>
      </c>
      <c r="K2031">
        <f>J2031*(1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2031)</f>
        <v/>
      </c>
      <c r="L2031">
        <f>K2031*(MIN(Inputs!$B$22+((C2044=TRUE)*(F2044-Calc!F24)),(Inputs!$B$23+((C2049=TRUE)*(F2049-Calc!F29))+IF(ArtifactsInput!$M$15,CHOOSE(ArtifactsInput!$N$15+1,25,30,35,40,45,50)/100*(Inputs!$B$11-Inputs!$B$11),0)))/100+(Inputs!$B$23+((C2049=TRUE)*(F2049-Calc!F29))+IF(ArtifactsInput!$M$15,CHOOSE(ArtifactsInput!$N$15+1,25,30,35,40,45,50)/100*(Inputs!$B$11-Inputs!$B$11),0))/100)/2</f>
        <v/>
      </c>
      <c r="M2031">
        <f>L2031*(1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1">
        <f>L2031*(1-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1">
        <f>(1-Summary!$B$11)*T2031+Summary!$B$11*V2031</f>
        <v/>
      </c>
      <c r="P2031">
        <f>IF(B2065=0,0,O2031/B2065)</f>
        <v/>
      </c>
      <c r="Q2031">
        <f>IFERROR(1/IF(Inputs!$B$39="pvp",15,MAX(0.1,Skills!D11-IF(Skills!E11=TRUE,Inputs!$B$32,0))),0)</f>
        <v/>
      </c>
      <c r="R2031">
        <f>IF(AND(Inputs!$B$39&lt;&gt;"pvp",Inputs!$B$44&gt;0),IF(MAX(0,Inputs!$B$44-B2064)&lt;=0,0,(INT(MAX(0,Inputs!$B$44-B2064)/IF(Inputs!$B$39="pvp",15,MAX(0.1,Skills!D11-IF(Skills!E11=TRUE,Inputs!$B$32,0))))+1)),0)</f>
        <v/>
      </c>
      <c r="S2031">
        <f>IFERROR(O2031/N2031,0)</f>
        <v/>
      </c>
      <c r="T2031">
        <f>IF(C2031,(H2031*N2031*IF(AND(Inputs!$B$39&lt;&gt;"pvp",Inputs!$B$44&gt;0),((Skills!G11*((R2031-1)*IF(Skills!H11&gt;0,Skills!I11/Skills!H11,1)+IF(Skills!H11&gt;0,MIN(Skills!I11,MAX(0,MAX(0,Inputs!$B$44-B2064)-((R2031-1)*IF(Inputs!$B$39="pvp",15,MAX(0.1,Skills!D11-IF(Skills!E11=TRUE,Inputs!$B$32,0))))))/Skills!H11,1)))/Inputs!$B$44),G2031*Q2031))*IF(Inputs!$B$39="pvp",1,1+(Inputs!$B$20+0+Skills!P11+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2031*(1-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2031*(1-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1">
        <f>IF(C2031,(H2031*N2031*IF(AND(Inputs!$B$39&lt;&gt;"pvp",Inputs!$B$44&gt;0),((Skills!G11*((R2031-1)*IF(Skills!H11&gt;0,Skills!I11/Skills!H11,1)+IF(Skills!H11&gt;0,MIN(Skills!I11,MAX(0,MAX(0,Inputs!$B$44-B2064)-((R2031-1)*IF(Inputs!$B$39="pvp",15,MAX(0.1,Skills!D11-IF(Skills!E11=TRUE,Inputs!$B$32,0))))))/Skills!H11,1)))/Inputs!$B$44),G2031*Q2031))*IF(Inputs!$B$39="pvp",1,(1+(Inputs!$B$21+Skills!Q11+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2">
      <c r="A2032">
        <f>Skills!A12</f>
        <v/>
      </c>
      <c r="B2032">
        <f>Skills!B12</f>
        <v/>
      </c>
      <c r="C2032">
        <f>Inputs!$B$3&gt;=105</f>
        <v/>
      </c>
      <c r="D2032">
        <f>IF(Skills!C12=1,60+Inputs!$B$25+Inputs!$B$29,IF(Skills!C12=2,90+Inputs!$B$26+Inputs!$B$29,IF(Skills!C12=3,120+Inputs!$B$27+Inputs!$B$29,MAX(0,(Inputs!$B$3-100)*3)+Inputs!$B$28+Inputs!$B$29)))</f>
        <v/>
      </c>
      <c r="E2032">
        <f>INDEX(FactorTable!$B$2:$Y$301, MATCH(ROUND(MIN(300,MAX(1,D2032)),0), FactorTable!$A$2:$A$301,0), Skills!M12+1)</f>
        <v/>
      </c>
      <c r="F2032">
        <f>IF(Skills!N12=TRUE,(Skills!L12/10)*(E2032/1000),Skills!L12/10)+Skills!O12</f>
        <v/>
      </c>
      <c r="G2032">
        <f>Skills!G12*IF(Skills!H12&gt;0,Skills!I12/Skills!H12,1)</f>
        <v/>
      </c>
      <c r="H2032">
        <f>1-(1-Skills!J12/100)^Skills!K12</f>
        <v/>
      </c>
      <c r="I2032" t="inlineStr">
        <is>
          <t>1</t>
        </is>
      </c>
      <c r="J2032">
        <f>((Inputs!$B$6*(1+Inputs!$B$7/100))+(((Inputs!$B$12*(1+Inputs!$B$13/100))-(Inputs!$B$12*(1+Inputs!$B$13/100)))+0.25*(Inputs!$B$14-Inputs!$B$14))*(1+Inputs!$B$7/100))*(F2032/100)</f>
        <v/>
      </c>
      <c r="K2032">
        <f>J2032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2032)</f>
        <v/>
      </c>
      <c r="L2032">
        <f>K2032*(MIN(Inputs!$B$22+((C2044=TRUE)*(F2044-Calc!F24)),(Inputs!$B$23+((C2049=TRUE)*(F2049-Calc!F29))+IF(ArtifactsInput!$M$15,CHOOSE(ArtifactsInput!$N$15+1,25,30,35,40,45,50)/100*(Inputs!$B$11-Inputs!$B$11),0)))/100+(Inputs!$B$23+((C2049=TRUE)*(F2049-Calc!F29))+IF(ArtifactsInput!$M$15,CHOOSE(ArtifactsInput!$N$15+1,25,30,35,40,45,50)/100*(Inputs!$B$11-Inputs!$B$11),0))/100)/2</f>
        <v/>
      </c>
      <c r="M2032">
        <f>L2032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2">
        <f>L2032*(1-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2032*(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2">
        <f>(1-Summary!$B$11)*T2032+Summary!$B$11*V2032</f>
        <v/>
      </c>
      <c r="P2032">
        <f>IF(B2065=0,0,O2032/B2065)</f>
        <v/>
      </c>
      <c r="Q2032">
        <f>IFERROR(1/IF(Inputs!$B$39="pvp",15,MAX(0.1,Skills!D12-IF(Skills!E12=TRUE,Inputs!$B$32,0))),0)</f>
        <v/>
      </c>
      <c r="R2032">
        <f>IF(AND(Inputs!$B$39&lt;&gt;"pvp",Inputs!$B$44&gt;0),IF(MAX(0,Inputs!$B$44-B2064)&lt;=0,0,(INT(MAX(0,Inputs!$B$44-B2064)/IF(Inputs!$B$39="pvp",15,MAX(0.1,Skills!D12-IF(Skills!E12=TRUE,Inputs!$B$32,0))))+1)),0)</f>
        <v/>
      </c>
      <c r="S2032">
        <f>IFERROR(O2032/N2032,0)</f>
        <v/>
      </c>
      <c r="T2032">
        <f>IF(C2032,(H2032*N2032*IF(AND(Inputs!$B$39&lt;&gt;"pvp",Inputs!$B$44&gt;0),((Skills!G12*((R2032-1)*IF(Skills!H12&gt;0,Skills!I12/Skills!H12,1)+IF(Skills!H12&gt;0,MIN(Skills!I12,MAX(0,MAX(0,Inputs!$B$44-B2064)-((R2032-1)*IF(Inputs!$B$39="pvp",15,MAX(0.1,Skills!D12-IF(Skills!E12=TRUE,Inputs!$B$32,0))))))/Skills!H12,1)))/Inputs!$B$44),G2032*Q2032))*IF(Inputs!$B$39="pvp",1,1+(Inputs!$B$20+0+Skills!P12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2032*(1-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2032*(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2032*(1-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2032*(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2">
        <f>IF(C2032,(H2032*N2032*IF(AND(Inputs!$B$39&lt;&gt;"pvp",Inputs!$B$44&gt;0),((Skills!G12*((R2032-1)*IF(Skills!H12&gt;0,Skills!I12/Skills!H12,1)+IF(Skills!H12&gt;0,MIN(Skills!I12,MAX(0,MAX(0,Inputs!$B$44-B2064)-((R2032-1)*IF(Inputs!$B$39="pvp",15,MAX(0.1,Skills!D12-IF(Skills!E12=TRUE,Inputs!$B$32,0))))))/Skills!H12,1)))/Inputs!$B$44),G2032*Q2032))*IF(Inputs!$B$39="pvp",1,(1+(Inputs!$B$21+Skills!Q12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3">
      <c r="A2033">
        <f>Skills!A13</f>
        <v/>
      </c>
      <c r="B2033">
        <f>Skills!B13</f>
        <v/>
      </c>
      <c r="C2033">
        <f>Inputs!$B$3&gt;=105</f>
        <v/>
      </c>
      <c r="D2033">
        <f>IF(Skills!C13=1,60+Inputs!$B$25+Inputs!$B$29,IF(Skills!C13=2,90+Inputs!$B$26+Inputs!$B$29,IF(Skills!C13=3,120+Inputs!$B$27+Inputs!$B$29,MAX(0,(Inputs!$B$3-100)*3)+Inputs!$B$28+Inputs!$B$29)))</f>
        <v/>
      </c>
      <c r="E2033">
        <f>INDEX(FactorTable!$B$2:$Y$301, MATCH(ROUND(MIN(300,MAX(1,D2033)),0), FactorTable!$A$2:$A$301,0), Skills!M13+1)</f>
        <v/>
      </c>
      <c r="F2033">
        <f>IF(Skills!N13=TRUE,(Skills!L13/10)*(E2033/1000),Skills!L13/10)+Skills!O13</f>
        <v/>
      </c>
      <c r="G2033">
        <f>Skills!G13*IF(Skills!H13&gt;0,Skills!I13/Skills!H13,1)</f>
        <v/>
      </c>
      <c r="H2033">
        <f>1-(1-Skills!J13/100)^Skills!K13</f>
        <v/>
      </c>
      <c r="I2033" t="inlineStr">
        <is>
          <t>1</t>
        </is>
      </c>
      <c r="J2033">
        <f>((Inputs!$B$6*(1+Inputs!$B$7/100))+(((Inputs!$B$12*(1+Inputs!$B$13/100))-(Inputs!$B$12*(1+Inputs!$B$13/100)))+0.25*(Inputs!$B$14-Inputs!$B$14))*(1+Inputs!$B$7/100))*(F2033/100)</f>
        <v/>
      </c>
      <c r="K2033">
        <f>J2033*(1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2033)</f>
        <v/>
      </c>
      <c r="L2033">
        <f>K2033*(MIN(Inputs!$B$22+((C2044=TRUE)*(F2044-Calc!F24)),(Inputs!$B$23+((C2049=TRUE)*(F2049-Calc!F29))+IF(ArtifactsInput!$M$15,CHOOSE(ArtifactsInput!$N$15+1,25,30,35,40,45,50)/100*(Inputs!$B$11-Inputs!$B$11),0)))/100+(Inputs!$B$23+((C2049=TRUE)*(F2049-Calc!F29))+IF(ArtifactsInput!$M$15,CHOOSE(ArtifactsInput!$N$15+1,25,30,35,40,45,50)/100*(Inputs!$B$11-Inputs!$B$11),0))/100)/2</f>
        <v/>
      </c>
      <c r="M2033">
        <f>L2033*(1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3">
        <f>L2033*(1-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2033*(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3">
        <f>(1-Summary!$B$11)*T2033+Summary!$B$11*V2033</f>
        <v/>
      </c>
      <c r="P2033">
        <f>IF(B2065=0,0,O2033/B2065)</f>
        <v/>
      </c>
      <c r="Q2033">
        <f>IFERROR(1/IF(Inputs!$B$39="pvp",15,MAX(0.1,Skills!D13-IF(Skills!E13=TRUE,Inputs!$B$32,0))),0)</f>
        <v/>
      </c>
      <c r="R2033">
        <f>IF(AND(Inputs!$B$39&lt;&gt;"pvp",Inputs!$B$44&gt;0),IF(MAX(0,Inputs!$B$44-B2064)&lt;=0,0,(INT(MAX(0,Inputs!$B$44-B2064)/IF(Inputs!$B$39="pvp",15,MAX(0.1,Skills!D13-IF(Skills!E13=TRUE,Inputs!$B$32,0))))+1)),0)</f>
        <v/>
      </c>
      <c r="S2033">
        <f>IFERROR(O2033/N2033,0)</f>
        <v/>
      </c>
      <c r="T2033">
        <f>IF(C2033,(H2033*N2033*IF(AND(Inputs!$B$39&lt;&gt;"pvp",Inputs!$B$44&gt;0),((Skills!G13*((R2033-1)*IF(Skills!H13&gt;0,Skills!I13/Skills!H13,1)+IF(Skills!H13&gt;0,MIN(Skills!I13,MAX(0,MAX(0,Inputs!$B$44-B2064)-((R2033-1)*IF(Inputs!$B$39="pvp",15,MAX(0.1,Skills!D13-IF(Skills!E13=TRUE,Inputs!$B$32,0))))))/Skills!H13,1)))/Inputs!$B$44),G2033*Q2033))*IF(Inputs!$B$39="pvp",1,1+(Inputs!$B$20+0+Skills!P13+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2033*(1-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2033*(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2033*(1-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2033*(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3">
        <f>IF(C2033,(H2033*N2033*IF(AND(Inputs!$B$39&lt;&gt;"pvp",Inputs!$B$44&gt;0),((Skills!G13*((R2033-1)*IF(Skills!H13&gt;0,Skills!I13/Skills!H13,1)+IF(Skills!H13&gt;0,MIN(Skills!I13,MAX(0,MAX(0,Inputs!$B$44-B2064)-((R2033-1)*IF(Inputs!$B$39="pvp",15,MAX(0.1,Skills!D13-IF(Skills!E13=TRUE,Inputs!$B$32,0))))))/Skills!H13,1)))/Inputs!$B$44),G2033*Q2033))*IF(Inputs!$B$39="pvp",1,(1+(Inputs!$B$21+Skills!Q13+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4">
      <c r="A2034">
        <f>Skills!A14</f>
        <v/>
      </c>
      <c r="B2034">
        <f>Skills!B14</f>
        <v/>
      </c>
      <c r="C2034">
        <f>Inputs!$B$3&gt;=107</f>
        <v/>
      </c>
      <c r="D2034">
        <f>IF(Skills!C14=1,60+Inputs!$B$25+Inputs!$B$29,IF(Skills!C14=2,90+Inputs!$B$26+Inputs!$B$29,IF(Skills!C14=3,120+Inputs!$B$27+Inputs!$B$29,MAX(0,(Inputs!$B$3-100)*3)+Inputs!$B$28+Inputs!$B$29)))</f>
        <v/>
      </c>
      <c r="E2034">
        <f>INDEX(FactorTable!$B$2:$Y$301, MATCH(ROUND(MIN(300,MAX(1,D2034)),0), FactorTable!$A$2:$A$301,0), Skills!M14+1)</f>
        <v/>
      </c>
      <c r="F2034">
        <f>IF(Skills!N14=TRUE,(Skills!L14/10)*(E2034/1000),Skills!L14/10)+Skills!O14</f>
        <v/>
      </c>
      <c r="G2034">
        <f>Skills!G14*IF(Skills!H14&gt;0,Skills!I14/Skills!H14,1)</f>
        <v/>
      </c>
      <c r="H2034">
        <f>1-(1-Skills!J14/100)^Skills!K14</f>
        <v/>
      </c>
      <c r="I2034" t="inlineStr">
        <is>
          <t>1</t>
        </is>
      </c>
      <c r="J2034">
        <f>((Inputs!$B$6*(1+Inputs!$B$7/100))+(((Inputs!$B$12*(1+Inputs!$B$13/100))-(Inputs!$B$12*(1+Inputs!$B$13/100)))+0.25*(Inputs!$B$14-Inputs!$B$14))*(1+Inputs!$B$7/100))*(F2034/100)</f>
        <v/>
      </c>
      <c r="K2034">
        <f>J2034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2034)</f>
        <v/>
      </c>
      <c r="L2034">
        <f>K2034*(MIN(Inputs!$B$22+((C2044=TRUE)*(F2044-Calc!F24)),(Inputs!$B$23+((C2049=TRUE)*(F2049-Calc!F29))+IF(ArtifactsInput!$M$15,CHOOSE(ArtifactsInput!$N$15+1,25,30,35,40,45,50)/100*(Inputs!$B$11-Inputs!$B$11),0)))/100+(Inputs!$B$23+((C2049=TRUE)*(F2049-Calc!F29))+IF(ArtifactsInput!$M$15,CHOOSE(ArtifactsInput!$N$15+1,25,30,35,40,45,50)/100*(Inputs!$B$11-Inputs!$B$11),0))/100)/2</f>
        <v/>
      </c>
      <c r="M2034">
        <f>L2034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IF(B2065=0,0,O2034/B2065)</f>
        <v/>
      </c>
      <c r="Q2034">
        <f>IFERROR(1/IF(Inputs!$B$39="pvp",15,MAX(0.1,Skills!D14-IF(Skills!E14=TRUE,Inputs!$B$32,0))),0)</f>
        <v/>
      </c>
      <c r="R2034">
        <f>IF(AND(Inputs!$B$39&lt;&gt;"pvp",Inputs!$B$44&gt;0),IF(MAX(0,Inputs!$B$44-B2064)&lt;=0,0,(INT(MAX(0,Inputs!$B$44-B2064)/IF(Inputs!$B$39="pvp",15,MAX(0.1,Skills!D14-IF(Skills!E14=TRUE,Inputs!$B$32,0))))+1)),0)</f>
        <v/>
      </c>
      <c r="S2034">
        <f>IFERROR(O2034/N2034,0)</f>
        <v/>
      </c>
      <c r="T2034">
        <f>IF(C2034,(H2034*N2034*IF(AND(Inputs!$B$39&lt;&gt;"pvp",Inputs!$B$44&gt;0),((Skills!G14*((R2034-1)*IF(Skills!H14&gt;0,Skills!I14/Skills!H14,1)+IF(Skills!H14&gt;0,MIN(Skills!I14,MAX(0,MAX(0,Inputs!$B$44-B2064)-((R2034-1)*IF(Inputs!$B$39="pvp",15,MAX(0.1,Skills!D14-IF(Skills!E14=TRUE,Inputs!$B$32,0))))))/Skills!H14,1)))/Inputs!$B$44),G2034*Q2034))*IF(Inputs!$B$39="pvp",1,1+(Inputs!$B$20+0+Skills!P14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2034*(1-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4">
        <f>IF(C2034,(H2034*N2034*IF(AND(Inputs!$B$39&lt;&gt;"pvp",Inputs!$B$44&gt;0),((Skills!G14*((R2034-1)*IF(Skills!H14&gt;0,Skills!I14/Skills!H14,1)+IF(Skills!H14&gt;0,MIN(Skills!I14,MAX(0,MAX(0,Inputs!$B$44-B2064)-((R2034-1)*IF(Inputs!$B$39="pvp",15,MAX(0.1,Skills!D14-IF(Skills!E14=TRUE,Inputs!$B$32,0))))))/Skills!H14,1)))/Inputs!$B$44),G2034*Q2034))*IF(Inputs!$B$39="pvp",1,(1+(Inputs!$B$21+Skills!Q14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(5,0.25*B2057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Skills!A15</f>
        <v/>
      </c>
      <c r="B2035">
        <f>Skills!B15</f>
        <v/>
      </c>
      <c r="C2035">
        <f>Inputs!$B$3&gt;=110</f>
        <v/>
      </c>
      <c r="D2035">
        <f>IF(Skills!C15=1,60+Inputs!$B$25+Inputs!$B$29,IF(Skills!C15=2,90+Inputs!$B$26+Inputs!$B$29,IF(Skills!C15=3,120+Inputs!$B$27+Inputs!$B$29,MAX(0,(Inputs!$B$3-100)*3)+Inputs!$B$28+Inputs!$B$29)))</f>
        <v/>
      </c>
      <c r="E2035">
        <f>INDEX(FactorTable!$B$2:$Y$301, MATCH(ROUND(MIN(300,MAX(1,D2035)),0), FactorTable!$A$2:$A$301,0), Skills!M15+1)</f>
        <v/>
      </c>
      <c r="F2035">
        <f>IF(Skills!N15=TRUE,(Skills!L15/10)*(E2035/1000),Skills!L15/10)+Skills!O15</f>
        <v/>
      </c>
      <c r="G2035">
        <f>Skills!G15*IF(Skills!H15&gt;0,Skills!I15/Skills!H15,1)</f>
        <v/>
      </c>
      <c r="H2035">
        <f>1-(1-Skills!J15/100)^Skills!K15</f>
        <v/>
      </c>
      <c r="I2035" t="inlineStr">
        <is>
          <t>1</t>
        </is>
      </c>
      <c r="J2035" t="inlineStr"/>
      <c r="K2035" t="inlineStr"/>
      <c r="L2035" t="inlineStr"/>
      <c r="M2035" t="inlineStr"/>
      <c r="N2035" t="inlineStr"/>
      <c r="O2035">
        <f>(1-Summary!$B$11)*T2035+Summary!$B$11*V2035</f>
        <v/>
      </c>
      <c r="P2035">
        <f>IF(B2065=0,0,O2035/B2065)</f>
        <v/>
      </c>
      <c r="Q2035">
        <f>IFERROR(1/IF(Inputs!$B$39="pvp",15,MAX(0.1,Skills!D15-IF(Skills!E15=TRUE,Inputs!$B$32,0))),0)</f>
        <v/>
      </c>
      <c r="R2035">
        <f>IF(AND(Inputs!$B$39&lt;&gt;"pvp",Inputs!$B$44&gt;0),IF(Inputs!$B$44&lt;=0,0,(INT(Inputs!$B$44/IF(Inputs!$B$39="pvp",15,MAX(0.1,Skills!D15-IF(Skills!E15=TRUE,Inputs!$B$32,0))))+1)),0)</f>
        <v/>
      </c>
      <c r="S2035">
        <f>IFERROR(O2035/N2035,0)</f>
        <v/>
      </c>
      <c r="T2035" t="n">
        <v>0</v>
      </c>
      <c r="V2035" t="n">
        <v>0</v>
      </c>
    </row>
    <row r="2036">
      <c r="A2036">
        <f>Skills!A16</f>
        <v/>
      </c>
      <c r="B2036">
        <f>Skills!B16</f>
        <v/>
      </c>
      <c r="C2036">
        <f>Inputs!$B$3&gt;=115</f>
        <v/>
      </c>
      <c r="D2036">
        <f>IF(Skills!C16=1,60+Inputs!$B$25+Inputs!$B$29,IF(Skills!C16=2,90+Inputs!$B$26+Inputs!$B$29,IF(Skills!C16=3,120+Inputs!$B$27+Inputs!$B$29,MAX(0,(Inputs!$B$3-100)*3)+Inputs!$B$28+Inputs!$B$29)))</f>
        <v/>
      </c>
      <c r="E2036">
        <f>INDEX(FactorTable!$B$2:$Y$301, MATCH(ROUND(MIN(300,MAX(1,D2036)),0), FactorTable!$A$2:$A$301,0), Skills!M16+1)</f>
        <v/>
      </c>
      <c r="F2036">
        <f>IF(Skills!N16=TRUE,(Skills!L16/10)*(E2036/1000),Skills!L16/10)+Skills!O16</f>
        <v/>
      </c>
      <c r="G2036">
        <f>Skills!G16*IF(Skills!H16&gt;0,Skills!I16/Skills!H16,1)</f>
        <v/>
      </c>
      <c r="H2036">
        <f>1-(1-Skills!J16/100)^Skills!K16</f>
        <v/>
      </c>
      <c r="I2036" t="inlineStr">
        <is>
          <t>1</t>
        </is>
      </c>
      <c r="J2036">
        <f>((Inputs!$B$6*(1+Inputs!$B$7/100))+(((Inputs!$B$12*(1+Inputs!$B$13/100))-(Inputs!$B$12*(1+Inputs!$B$13/100)))+0.25*(Inputs!$B$14-Inputs!$B$14))*(1+Inputs!$B$7/100))*(F2036/100)</f>
        <v/>
      </c>
      <c r="K2036">
        <f>J2036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2047=TRUE)*(F2047-Calc!F27))+((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2036)</f>
        <v/>
      </c>
      <c r="L2036">
        <f>K2036*(MIN(Inputs!$B$22+((C2044=TRUE)*(F2044-Calc!F24)),(Inputs!$B$23+((C2049=TRUE)*(F2049-Calc!F29))+IF(ArtifactsInput!$M$15,CHOOSE(ArtifactsInput!$N$15+1,25,30,35,40,45,50)/100*(Inputs!$B$11-Inputs!$B$11),0)))/100+(Inputs!$B$23+((C2049=TRUE)*(F2049-Calc!F29))+IF(ArtifactsInput!$M$15,CHOOSE(ArtifactsInput!$N$15+1,25,30,35,40,45,50)/100*(Inputs!$B$11-Inputs!$B$11),0))/100)/2</f>
        <v/>
      </c>
      <c r="M2036">
        <f>L2036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IF(B2065=0,0,O2036/B2065)</f>
        <v/>
      </c>
      <c r="Q2036" t="n">
        <v>0</v>
      </c>
      <c r="R2036" t="n">
        <v>0</v>
      </c>
      <c r="S2036">
        <f>IFERROR(O2036/N2036,0)</f>
        <v/>
      </c>
      <c r="T2036">
        <f>IF(C2036,(Inputs!$B$38*0.2*N2036)*IF(Inputs!$B$39="pvp",1,1+(Inputs!$B$20+0+Skills!P16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2036*(1-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2045=TRUE)*(F2045-Calc!F25))+B2053+(ArtifactsInput!$M$24-ArtifactsInput!$M$24)*CHOOSE(ArtifactsInput!$N$24+1,10,12,14,16,18,20)+(IF(AND(Inputs!$B$39&lt;&gt;"pvp",Inputs!$B$44=0),1,IF(IF(Inputs!$B$39="pvp",15,Inputs!$B$44)-(B2064)&lt;=0,1,MAX(0,IF(Inputs!$B$39="pvp",15,Inputs!$B$44)-MAX(5,B2064))/(IF(Inputs!$B$39="pvp",15,Inputs!$B$44)-(B2064))))*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6">
        <f>IF(C2036,(Inputs!$B$38*0.2*N2036)*IF(Inputs!$B$39="pvp",1,(1+(Inputs!$B$21+Skills!Q16+B2054+(IF(ArtifactsInput!$M$33,CHOOSE(ArtifactsInput!$N$33+1,30,36,42,48,54,60),0))+(IF(AND(ArtifactsInput!$M$35,Inputs!$B$4&lt;&gt;"Chapter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Skills!A17</f>
        <v/>
      </c>
      <c r="B2037">
        <f>Skills!B17</f>
        <v/>
      </c>
      <c r="C2037">
        <f>Inputs!$B$3&gt;=115</f>
        <v/>
      </c>
      <c r="D2037">
        <f>IF(Skills!C17=1,60+Inputs!$B$25+Inputs!$B$29,IF(Skills!C17=2,90+Inputs!$B$26+Inputs!$B$29,IF(Skills!C17=3,120+Inputs!$B$27+Inputs!$B$29,MAX(0,(Inputs!$B$3-100)*3)+Inputs!$B$28+Inputs!$B$29)))</f>
        <v/>
      </c>
      <c r="E2037">
        <f>INDEX(FactorTable!$B$2:$Y$301, MATCH(ROUND(MIN(300,MAX(1,D2037)),0), FactorTable!$A$2:$A$301,0), Skills!M17+1)</f>
        <v/>
      </c>
      <c r="F2037">
        <f>IF(Skills!N17=TRUE,(Skills!L17/10)*(E2037/1000),Skills!L17/10)+Skills!O17</f>
        <v/>
      </c>
      <c r="G2037">
        <f>Skills!G17*IF(Skills!H17&gt;0,Skills!I17/Skills!H17,1)</f>
        <v/>
      </c>
      <c r="H2037">
        <f>1-(1-Skills!J17/100)^Skills!K17</f>
        <v/>
      </c>
      <c r="I2037" t="inlineStr">
        <is>
          <t>1</t>
        </is>
      </c>
      <c r="J2037" t="inlineStr"/>
      <c r="K2037" t="inlineStr"/>
      <c r="L2037" t="inlineStr"/>
      <c r="M2037" t="inlineStr"/>
      <c r="N2037" t="inlineStr"/>
      <c r="O2037">
        <f>(1-Summary!$B$11)*T2037+Summary!$B$11*V2037</f>
        <v/>
      </c>
      <c r="P2037">
        <f>IF(B2065=0,0,O2037/B2065)</f>
        <v/>
      </c>
      <c r="Q2037" t="n">
        <v>0</v>
      </c>
      <c r="R2037" t="n">
        <v>0</v>
      </c>
      <c r="S2037">
        <f>IFERROR(O2037/N2037,0)</f>
        <v/>
      </c>
      <c r="T2037" t="n">
        <v>0</v>
      </c>
      <c r="V2037" t="n">
        <v>0</v>
      </c>
    </row>
    <row r="2038">
      <c r="A2038">
        <f>Skills!A18</f>
        <v/>
      </c>
      <c r="B2038">
        <f>Skills!B18</f>
        <v/>
      </c>
      <c r="C2038">
        <f>Inputs!$B$3&gt;=100</f>
        <v/>
      </c>
      <c r="D2038">
        <f>IF(Skills!C18=1,60+Inputs!$B$25+Inputs!$B$29,IF(Skills!C18=2,90+Inputs!$B$26+Inputs!$B$29,IF(Skills!C18=3,120+Inputs!$B$27+Inputs!$B$29,MAX(0,(Inputs!$B$3-100)*3)+Inputs!$B$28+Inputs!$B$29)))</f>
        <v/>
      </c>
      <c r="E2038">
        <f>INDEX(FactorTable!$B$2:$Y$301, MATCH(ROUND(MIN(300,MAX(1,D2038)),0), FactorTable!$A$2:$A$301,0), Skills!M18+1)</f>
        <v/>
      </c>
      <c r="F2038">
        <f>IF(Skills!N18=TRUE,(Skills!L18/10)*(E2038/1000),Skills!L18/10)+Skills!O18</f>
        <v/>
      </c>
      <c r="G2038">
        <f>Skills!G18*IF(Skills!H18&gt;0,Skills!I18/Skills!H18,1)</f>
        <v/>
      </c>
      <c r="H2038">
        <f>1-(1-Skills!J18/100)^Skills!K18</f>
        <v/>
      </c>
      <c r="I2038" t="inlineStr">
        <is>
          <t>1</t>
        </is>
      </c>
      <c r="J2038" t="inlineStr"/>
      <c r="K2038" t="inlineStr"/>
      <c r="L2038" t="inlineStr"/>
      <c r="M2038" t="inlineStr"/>
      <c r="N2038" t="inlineStr"/>
      <c r="O2038">
        <f>(1-Summary!$B$11)*T2038+Summary!$B$11*V2038</f>
        <v/>
      </c>
      <c r="P2038">
        <f>IF(B2065=0,0,O2038/B2065)</f>
        <v/>
      </c>
      <c r="Q2038" t="n">
        <v>0</v>
      </c>
      <c r="R2038" t="n">
        <v>0</v>
      </c>
      <c r="S2038">
        <f>IFERROR(O2038/N2038,0)</f>
        <v/>
      </c>
      <c r="T2038" t="n">
        <v>0</v>
      </c>
      <c r="V2038" t="n">
        <v>0</v>
      </c>
    </row>
    <row r="2039">
      <c r="A2039">
        <f>Skills!A19</f>
        <v/>
      </c>
      <c r="B2039">
        <f>Skills!B19</f>
        <v/>
      </c>
      <c r="C2039">
        <f>TRUE</f>
        <v/>
      </c>
      <c r="D2039">
        <f>IF(Skills!C19=1,60+Inputs!$B$25+Inputs!$B$29,IF(Skills!C19=2,90+Inputs!$B$26+Inputs!$B$29,IF(Skills!C19=3,120+Inputs!$B$27+Inputs!$B$29,MAX(0,(Inputs!$B$3-100)*3)+Inputs!$B$28+Inputs!$B$29)))</f>
        <v/>
      </c>
      <c r="E2039">
        <f>INDEX(FactorTable!$B$2:$Y$301, MATCH(ROUND(MIN(300,MAX(1,D2039)),0), FactorTable!$A$2:$A$301,0), Skills!M19+1)</f>
        <v/>
      </c>
      <c r="F2039">
        <f>IF(Skills!N19=TRUE,(Skills!L19/10)*(E2039/1000),Skills!L19/10)+Skills!O19</f>
        <v/>
      </c>
      <c r="G2039">
        <f>Skills!G19*IF(Skills!H19&gt;0,Skills!I19/Skills!H19,1)</f>
        <v/>
      </c>
      <c r="H2039">
        <f>1-(1-Skills!J19/100)^Skills!K19</f>
        <v/>
      </c>
      <c r="I2039" t="inlineStr">
        <is>
          <t>1</t>
        </is>
      </c>
      <c r="J2039" t="inlineStr"/>
      <c r="K2039" t="inlineStr"/>
      <c r="L2039" t="inlineStr"/>
      <c r="M2039" t="inlineStr"/>
      <c r="N2039" t="inlineStr"/>
      <c r="O2039">
        <f>(1-Summary!$B$11)*T2039+Summary!$B$11*V2039</f>
        <v/>
      </c>
      <c r="P2039">
        <f>IF(B2065=0,0,O2039/B2065)</f>
        <v/>
      </c>
      <c r="Q2039">
        <f>IFERROR(1/IF(Inputs!$B$39="pvp",15,MAX(0.1,Skills!D19-IF(Skills!E19=TRUE,Inputs!$B$32,0))),0)</f>
        <v/>
      </c>
      <c r="R2039">
        <f>IF(AND(Inputs!$B$39&lt;&gt;"pvp",Inputs!$B$44&gt;0),IF(Inputs!$B$44&lt;=0,0,(INT(Inputs!$B$44/IF(Inputs!$B$39="pvp",15,MAX(0.1,Skills!D19-IF(Skills!E19=TRUE,Inputs!$B$32,0))))+1)),0)</f>
        <v/>
      </c>
      <c r="S2039">
        <f>IFERROR(O2039/N2039,0)</f>
        <v/>
      </c>
      <c r="T2039" t="n">
        <v>0</v>
      </c>
      <c r="V2039" t="n">
        <v>0</v>
      </c>
    </row>
    <row r="2040">
      <c r="A2040">
        <f>Skills!A20</f>
        <v/>
      </c>
      <c r="B2040">
        <f>Skills!B20</f>
        <v/>
      </c>
      <c r="C2040">
        <f>Inputs!$B$3&gt;=15</f>
        <v/>
      </c>
      <c r="D2040">
        <f>IF(Skills!C20=1,60+Inputs!$B$25+Inputs!$B$29,IF(Skills!C20=2,90+Inputs!$B$26+Inputs!$B$29,IF(Skills!C20=3,120+Inputs!$B$27+Inputs!$B$29,MAX(0,(Inputs!$B$3-100)*3)+Inputs!$B$28+Inputs!$B$29)))</f>
        <v/>
      </c>
      <c r="E2040">
        <f>INDEX(FactorTable!$B$2:$Y$301, MATCH(ROUND(MIN(300,MAX(1,D2040)),0), FactorTable!$A$2:$A$301,0), Skills!M20+1)</f>
        <v/>
      </c>
      <c r="F2040">
        <f>IF(Skills!N20=TRUE,(Skills!L20/10)*(E2040/1000),Skills!L20/10)+Skills!O20</f>
        <v/>
      </c>
      <c r="G2040">
        <f>Skills!G20*IF(Skills!H20&gt;0,Skills!I20/Skills!H20,1)</f>
        <v/>
      </c>
      <c r="H2040">
        <f>1-(1-Skills!J20/100)^Skills!K20</f>
        <v/>
      </c>
      <c r="I2040" t="inlineStr">
        <is>
          <t>1</t>
        </is>
      </c>
      <c r="J2040" t="inlineStr"/>
      <c r="K2040" t="inlineStr"/>
      <c r="L2040" t="inlineStr"/>
      <c r="M2040" t="inlineStr"/>
      <c r="N2040" t="inlineStr"/>
      <c r="O2040">
        <f>(1-Summary!$B$11)*T2040+Summary!$B$11*V2040</f>
        <v/>
      </c>
      <c r="P2040">
        <f>IF(B2065=0,0,O2040/B2065)</f>
        <v/>
      </c>
      <c r="Q2040">
        <f>IFERROR(1/IF(Inputs!$B$39="pvp",15,MAX(0.1,Skills!D20-IF(Skills!E20=TRUE,Inputs!$B$32,0))),0)</f>
        <v/>
      </c>
      <c r="R2040">
        <f>IF(AND(Inputs!$B$39&lt;&gt;"pvp",Inputs!$B$44&gt;0),IF(Inputs!$B$44&lt;=0,0,(INT(Inputs!$B$44/IF(Inputs!$B$39="pvp",15,MAX(0.1,Skills!D20-IF(Skills!E20=TRUE,Inputs!$B$32,0))))+1)),0)</f>
        <v/>
      </c>
      <c r="S2040">
        <f>IFERROR(O2040/N2040,0)</f>
        <v/>
      </c>
      <c r="T2040" t="n">
        <v>0</v>
      </c>
      <c r="V2040" t="n">
        <v>0</v>
      </c>
    </row>
    <row r="2041">
      <c r="A2041">
        <f>Skills!A21</f>
        <v/>
      </c>
      <c r="B2041">
        <f>Skills!B21</f>
        <v/>
      </c>
      <c r="C2041">
        <f>Inputs!$B$3&gt;=15</f>
        <v/>
      </c>
      <c r="D2041">
        <f>IF(Skills!C21=1,60+Inputs!$B$25+Inputs!$B$29,IF(Skills!C21=2,90+Inputs!$B$26+Inputs!$B$29,IF(Skills!C21=3,120+Inputs!$B$27+Inputs!$B$29,MAX(0,(Inputs!$B$3-100)*3)+Inputs!$B$28+Inputs!$B$29)))</f>
        <v/>
      </c>
      <c r="E2041">
        <f>INDEX(FactorTable!$B$2:$Y$301, MATCH(ROUND(MIN(300,MAX(1,D2041)),0), FactorTable!$A$2:$A$301,0), Skills!M21+1)</f>
        <v/>
      </c>
      <c r="F2041">
        <f>IF(Skills!N21=TRUE,(Skills!L21/10)*(E2041/1000),Skills!L21/10)+Skills!O21</f>
        <v/>
      </c>
      <c r="G2041">
        <f>Skills!G21*IF(Skills!H21&gt;0,Skills!I21/Skills!H21,1)</f>
        <v/>
      </c>
      <c r="H2041">
        <f>1-(1-Skills!J21/100)^Skills!K21</f>
        <v/>
      </c>
      <c r="I2041" t="inlineStr">
        <is>
          <t>1</t>
        </is>
      </c>
      <c r="J2041" t="inlineStr"/>
      <c r="K2041" t="inlineStr"/>
      <c r="L2041" t="inlineStr"/>
      <c r="M2041" t="inlineStr"/>
      <c r="N2041" t="inlineStr"/>
      <c r="O2041">
        <f>(1-Summary!$B$11)*T2041+Summary!$B$11*V2041</f>
        <v/>
      </c>
      <c r="P2041">
        <f>IF(B2065=0,0,O2041/B2065)</f>
        <v/>
      </c>
      <c r="Q2041">
        <f>IFERROR(1/IF(Inputs!$B$39="pvp",15,MAX(0.1,Skills!D21-IF(Skills!E21=TRUE,Inputs!$B$32,0))),0)</f>
        <v/>
      </c>
      <c r="R2041">
        <f>IF(AND(Inputs!$B$39&lt;&gt;"pvp",Inputs!$B$44&gt;0),IF(Inputs!$B$44&lt;=0,0,(INT(Inputs!$B$44/IF(Inputs!$B$39="pvp",15,MAX(0.1,Skills!D21-IF(Skills!E21=TRUE,Inputs!$B$32,0))))+1)),0)</f>
        <v/>
      </c>
      <c r="S2041">
        <f>IFERROR(O2041/N2041,0)</f>
        <v/>
      </c>
      <c r="T2041" t="n">
        <v>0</v>
      </c>
      <c r="V2041" t="n">
        <v>0</v>
      </c>
    </row>
    <row r="2042">
      <c r="A2042">
        <f>Skills!A22</f>
        <v/>
      </c>
      <c r="B2042">
        <f>Skills!B22</f>
        <v/>
      </c>
      <c r="C2042">
        <f>Inputs!$B$3&gt;=33</f>
        <v/>
      </c>
      <c r="D2042">
        <f>IF(Skills!C22=1,60+Inputs!$B$25+Inputs!$B$29,IF(Skills!C22=2,90+Inputs!$B$26+Inputs!$B$29,IF(Skills!C22=3,120+Inputs!$B$27+Inputs!$B$29,MAX(0,(Inputs!$B$3-100)*3)+Inputs!$B$28+Inputs!$B$29)))</f>
        <v/>
      </c>
      <c r="E2042">
        <f>INDEX(FactorTable!$B$2:$Y$301, MATCH(ROUND(MIN(300,MAX(1,D2042)),0), FactorTable!$A$2:$A$301,0), Skills!M22+1)</f>
        <v/>
      </c>
      <c r="F2042">
        <f>IF(Skills!N22=TRUE,(Skills!L22/10)*(E2042/1000),Skills!L22/10)+Skills!O22</f>
        <v/>
      </c>
      <c r="G2042">
        <f>Skills!G22*IF(Skills!H22&gt;0,Skills!I22/Skills!H22,1)</f>
        <v/>
      </c>
      <c r="H2042">
        <f>1-(1-Skills!J22/100)^Skills!K22</f>
        <v/>
      </c>
      <c r="I2042" t="inlineStr">
        <is>
          <t>1</t>
        </is>
      </c>
      <c r="J2042" t="inlineStr"/>
      <c r="K2042" t="inlineStr"/>
      <c r="L2042" t="inlineStr"/>
      <c r="M2042" t="inlineStr"/>
      <c r="N2042" t="inlineStr"/>
      <c r="O2042">
        <f>(1-Summary!$B$11)*T2042+Summary!$B$11*V2042</f>
        <v/>
      </c>
      <c r="P2042">
        <f>IF(B2065=0,0,O2042/B2065)</f>
        <v/>
      </c>
      <c r="Q2042" t="n">
        <v>0</v>
      </c>
      <c r="R2042" t="n">
        <v>0</v>
      </c>
      <c r="S2042">
        <f>IFERROR(O2042/N2042,0)</f>
        <v/>
      </c>
      <c r="T2042" t="n">
        <v>0</v>
      </c>
      <c r="V2042" t="n">
        <v>0</v>
      </c>
    </row>
    <row r="2043">
      <c r="A2043">
        <f>Skills!A23</f>
        <v/>
      </c>
      <c r="B2043">
        <f>Skills!B23</f>
        <v/>
      </c>
      <c r="C2043">
        <f>Inputs!$B$3&gt;=40</f>
        <v/>
      </c>
      <c r="D2043">
        <f>IF(Skills!C23=1,60+Inputs!$B$25+Inputs!$B$29,IF(Skills!C23=2,90+Inputs!$B$26+Inputs!$B$29,IF(Skills!C23=3,120+Inputs!$B$27+Inputs!$B$29,MAX(0,(Inputs!$B$3-100)*3)+Inputs!$B$28+Inputs!$B$29)))</f>
        <v/>
      </c>
      <c r="E2043">
        <f>INDEX(FactorTable!$B$2:$Y$301, MATCH(ROUND(MIN(300,MAX(1,D2043)),0), FactorTable!$A$2:$A$301,0), Skills!M23+1)</f>
        <v/>
      </c>
      <c r="F2043">
        <f>IF(Skills!N23=TRUE,(Skills!L23/10)*(E2043/1000),Skills!L23/10)+Skills!O23</f>
        <v/>
      </c>
      <c r="G2043">
        <f>Skills!G23*IF(Skills!H23&gt;0,Skills!I23/Skills!H23,1)</f>
        <v/>
      </c>
      <c r="H2043">
        <f>1-(1-Skills!J23/100)^Skills!K23</f>
        <v/>
      </c>
      <c r="I2043" t="inlineStr">
        <is>
          <t>1</t>
        </is>
      </c>
      <c r="J2043" t="inlineStr"/>
      <c r="K2043" t="inlineStr"/>
      <c r="L2043" t="inlineStr"/>
      <c r="M2043" t="inlineStr"/>
      <c r="N2043" t="inlineStr"/>
      <c r="O2043">
        <f>(1-Summary!$B$11)*T2043+Summary!$B$11*V2043</f>
        <v/>
      </c>
      <c r="P2043">
        <f>IF(B2065=0,0,O2043/B2065)</f>
        <v/>
      </c>
      <c r="Q2043" t="n">
        <v>0</v>
      </c>
      <c r="R2043" t="n">
        <v>0</v>
      </c>
      <c r="S2043">
        <f>IFERROR(O2043/N2043,0)</f>
        <v/>
      </c>
      <c r="T2043" t="n">
        <v>0</v>
      </c>
      <c r="V2043" t="n">
        <v>0</v>
      </c>
    </row>
    <row r="2044">
      <c r="A2044">
        <f>Skills!A24</f>
        <v/>
      </c>
      <c r="B2044">
        <f>Skills!B24</f>
        <v/>
      </c>
      <c r="C2044">
        <f>Inputs!$B$3&gt;=43</f>
        <v/>
      </c>
      <c r="D2044">
        <f>IF(Skills!C24=1,60+Inputs!$B$25+Inputs!$B$29,IF(Skills!C24=2,90+Inputs!$B$26+Inputs!$B$29,IF(Skills!C24=3,120+Inputs!$B$27+Inputs!$B$29,MAX(0,(Inputs!$B$3-100)*3)+Inputs!$B$28+Inputs!$B$29)))</f>
        <v/>
      </c>
      <c r="E2044">
        <f>INDEX(FactorTable!$B$2:$Y$301, MATCH(ROUND(MIN(300,MAX(1,D2044)),0), FactorTable!$A$2:$A$301,0), Skills!M24+1)</f>
        <v/>
      </c>
      <c r="F2044">
        <f>IF(Skills!N24=TRUE,(Skills!L24/10)*(E2044/1000),Skills!L24/10)+Skills!O24</f>
        <v/>
      </c>
      <c r="G2044">
        <f>Skills!G24*IF(Skills!H24&gt;0,Skills!I24/Skills!H24,1)</f>
        <v/>
      </c>
      <c r="H2044">
        <f>1-(1-Skills!J24/100)^Skills!K24</f>
        <v/>
      </c>
      <c r="I2044" t="inlineStr">
        <is>
          <t>1</t>
        </is>
      </c>
      <c r="J2044" t="inlineStr"/>
      <c r="K2044" t="inlineStr"/>
      <c r="L2044" t="inlineStr"/>
      <c r="M2044" t="inlineStr"/>
      <c r="N2044" t="inlineStr"/>
      <c r="O2044">
        <f>(1-Summary!$B$11)*T2044+Summary!$B$11*V2044</f>
        <v/>
      </c>
      <c r="P2044">
        <f>IF(B2065=0,0,O2044/B2065)</f>
        <v/>
      </c>
      <c r="Q2044" t="n">
        <v>0</v>
      </c>
      <c r="R2044" t="n">
        <v>0</v>
      </c>
      <c r="S2044">
        <f>IFERROR(O2044/N2044,0)</f>
        <v/>
      </c>
      <c r="T2044" t="n">
        <v>0</v>
      </c>
      <c r="V2044" t="n">
        <v>0</v>
      </c>
    </row>
    <row r="2045">
      <c r="A2045">
        <f>Skills!A25</f>
        <v/>
      </c>
      <c r="B2045">
        <f>Skills!B25</f>
        <v/>
      </c>
      <c r="C2045">
        <f>Inputs!$B$3&gt;=50</f>
        <v/>
      </c>
      <c r="D2045">
        <f>IF(Skills!C25=1,60+Inputs!$B$25+Inputs!$B$29,IF(Skills!C25=2,90+Inputs!$B$26+Inputs!$B$29,IF(Skills!C25=3,120+Inputs!$B$27+Inputs!$B$29,MAX(0,(Inputs!$B$3-100)*3)+Inputs!$B$28+Inputs!$B$29)))</f>
        <v/>
      </c>
      <c r="E2045">
        <f>INDEX(FactorTable!$B$2:$Y$301, MATCH(ROUND(MIN(300,MAX(1,D2045)),0), FactorTable!$A$2:$A$301,0), Skills!M25+1)</f>
        <v/>
      </c>
      <c r="F2045">
        <f>IF(Skills!N25=TRUE,(Skills!L25/10)*(E2045/1000),Skills!L25/10)+Skills!O25</f>
        <v/>
      </c>
      <c r="G2045">
        <f>Skills!G25*IF(Skills!H25&gt;0,Skills!I25/Skills!H25,1)</f>
        <v/>
      </c>
      <c r="H2045">
        <f>1-(1-Skills!J25/100)^Skills!K25</f>
        <v/>
      </c>
      <c r="I2045" t="inlineStr">
        <is>
          <t>1</t>
        </is>
      </c>
      <c r="J2045" t="inlineStr"/>
      <c r="K2045" t="inlineStr"/>
      <c r="L2045" t="inlineStr"/>
      <c r="M2045" t="inlineStr"/>
      <c r="N2045" t="inlineStr"/>
      <c r="O2045">
        <f>(1-Summary!$B$11)*T2045+Summary!$B$11*V2045</f>
        <v/>
      </c>
      <c r="P2045">
        <f>IF(B2065=0,0,O2045/B2065)</f>
        <v/>
      </c>
      <c r="Q2045" t="n">
        <v>0</v>
      </c>
      <c r="R2045" t="n">
        <v>0</v>
      </c>
      <c r="S2045">
        <f>IFERROR(O2045/N2045,0)</f>
        <v/>
      </c>
      <c r="T2045" t="n">
        <v>0</v>
      </c>
      <c r="V2045" t="n">
        <v>0</v>
      </c>
    </row>
    <row r="2046">
      <c r="A2046">
        <f>Skills!A26</f>
        <v/>
      </c>
      <c r="B2046">
        <f>Skills!B26</f>
        <v/>
      </c>
      <c r="C2046">
        <f>Inputs!$B$3&gt;=50</f>
        <v/>
      </c>
      <c r="D2046">
        <f>IF(Skills!C26=1,60+Inputs!$B$25+Inputs!$B$29,IF(Skills!C26=2,90+Inputs!$B$26+Inputs!$B$29,IF(Skills!C26=3,120+Inputs!$B$27+Inputs!$B$29,MAX(0,(Inputs!$B$3-100)*3)+Inputs!$B$28+Inputs!$B$29)))</f>
        <v/>
      </c>
      <c r="E2046">
        <f>INDEX(FactorTable!$B$2:$Y$301, MATCH(ROUND(MIN(300,MAX(1,D2046)),0), FactorTable!$A$2:$A$301,0), Skills!M26+1)</f>
        <v/>
      </c>
      <c r="F2046">
        <f>IF(Skills!N26=TRUE,(Skills!L26/10)*(E2046/1000),Skills!L26/10)+Skills!O26</f>
        <v/>
      </c>
      <c r="G2046">
        <f>Skills!G26*IF(Skills!H26&gt;0,Skills!I26/Skills!H26,1)</f>
        <v/>
      </c>
      <c r="H2046">
        <f>1-(1-Skills!J26/100)^Skills!K26</f>
        <v/>
      </c>
      <c r="I2046" t="inlineStr">
        <is>
          <t>1</t>
        </is>
      </c>
      <c r="J2046" t="inlineStr"/>
      <c r="K2046" t="inlineStr"/>
      <c r="L2046" t="inlineStr"/>
      <c r="M2046" t="inlineStr"/>
      <c r="N2046" t="inlineStr"/>
      <c r="O2046">
        <f>(1-Summary!$B$11)*T2046+Summary!$B$11*V2046</f>
        <v/>
      </c>
      <c r="P2046">
        <f>IF(B2065=0,0,O2046/B2065)</f>
        <v/>
      </c>
      <c r="Q2046" t="n">
        <v>0</v>
      </c>
      <c r="R2046" t="n">
        <v>0</v>
      </c>
      <c r="S2046">
        <f>IFERROR(O2046/N2046,0)</f>
        <v/>
      </c>
      <c r="T2046" t="n">
        <v>0</v>
      </c>
      <c r="V2046" t="n">
        <v>0</v>
      </c>
    </row>
    <row r="2047">
      <c r="A2047">
        <f>Skills!A27</f>
        <v/>
      </c>
      <c r="B2047">
        <f>Skills!B27</f>
        <v/>
      </c>
      <c r="C2047">
        <f>Inputs!$B$3&gt;=38</f>
        <v/>
      </c>
      <c r="D2047">
        <f>IF(Skills!C27=1,60+Inputs!$B$25+Inputs!$B$29,IF(Skills!C27=2,90+Inputs!$B$26+Inputs!$B$29,IF(Skills!C27=3,120+Inputs!$B$27+Inputs!$B$29,MAX(0,(Inputs!$B$3-100)*3)+Inputs!$B$28+Inputs!$B$29)))</f>
        <v/>
      </c>
      <c r="E2047">
        <f>INDEX(FactorTable!$B$2:$Y$301, MATCH(ROUND(MIN(300,MAX(1,D2047)),0), FactorTable!$A$2:$A$301,0), Skills!M27+1)</f>
        <v/>
      </c>
      <c r="F2047">
        <f>IF(Skills!N27=TRUE,(Skills!L27/10)*(E2047/1000),Skills!L27/10)+Skills!O27</f>
        <v/>
      </c>
      <c r="G2047">
        <f>Skills!G27*IF(Skills!H27&gt;0,Skills!I27/Skills!H27,1)</f>
        <v/>
      </c>
      <c r="H2047">
        <f>1-(1-Skills!J27/100)^Skills!K27</f>
        <v/>
      </c>
      <c r="I2047" t="inlineStr">
        <is>
          <t>1</t>
        </is>
      </c>
      <c r="J2047" t="inlineStr"/>
      <c r="K2047" t="inlineStr"/>
      <c r="L2047" t="inlineStr"/>
      <c r="M2047" t="inlineStr"/>
      <c r="N2047" t="inlineStr"/>
      <c r="O2047">
        <f>(1-Summary!$B$11)*T2047+Summary!$B$11*V2047</f>
        <v/>
      </c>
      <c r="P2047">
        <f>IF(B2065=0,0,O2047/B2065)</f>
        <v/>
      </c>
      <c r="Q2047" t="n">
        <v>0</v>
      </c>
      <c r="R2047" t="n">
        <v>0</v>
      </c>
      <c r="S2047">
        <f>IFERROR(O2047/N2047,0)</f>
        <v/>
      </c>
      <c r="T2047" t="n">
        <v>0</v>
      </c>
      <c r="V2047" t="n">
        <v>0</v>
      </c>
    </row>
    <row r="2048">
      <c r="A2048">
        <f>Skills!A28</f>
        <v/>
      </c>
      <c r="B2048">
        <f>Skills!B28</f>
        <v/>
      </c>
      <c r="C2048">
        <f>Inputs!$B$3&gt;=120</f>
        <v/>
      </c>
      <c r="D2048">
        <f>IF(Skills!C28=1,60+Inputs!$B$25+Inputs!$B$29,IF(Skills!C28=2,90+Inputs!$B$26+Inputs!$B$29,IF(Skills!C28=3,120+Inputs!$B$27+Inputs!$B$29,MAX(0,(Inputs!$B$3-100)*3)+Inputs!$B$28+Inputs!$B$29)))</f>
        <v/>
      </c>
      <c r="E2048">
        <f>INDEX(FactorTable!$B$2:$Y$301, MATCH(ROUND(MIN(300,MAX(1,D2048)),0), FactorTable!$A$2:$A$301,0), Skills!M28+1)</f>
        <v/>
      </c>
      <c r="F2048">
        <f>IF(Skills!N28=TRUE,(Skills!L28/10)*(E2048/1000),Skills!L28/10)+Skills!O28</f>
        <v/>
      </c>
      <c r="G2048">
        <f>Skills!G28*IF(Skills!H28&gt;0,Skills!I28/Skills!H28,1)</f>
        <v/>
      </c>
      <c r="H2048">
        <f>1-(1-Skills!J28/100)^Skills!K28</f>
        <v/>
      </c>
      <c r="I2048" t="inlineStr">
        <is>
          <t>1</t>
        </is>
      </c>
      <c r="J2048" t="inlineStr"/>
      <c r="K2048" t="inlineStr"/>
      <c r="L2048" t="inlineStr"/>
      <c r="M2048" t="inlineStr"/>
      <c r="N2048" t="inlineStr"/>
      <c r="O2048">
        <f>(1-Summary!$B$11)*T2048+Summary!$B$11*V2048</f>
        <v/>
      </c>
      <c r="P2048">
        <f>IF(B2065=0,0,O2048/B2065)</f>
        <v/>
      </c>
      <c r="Q2048" t="n">
        <v>0</v>
      </c>
      <c r="R2048" t="n">
        <v>0</v>
      </c>
      <c r="S2048">
        <f>IFERROR(O2048/N2048,0)</f>
        <v/>
      </c>
      <c r="T2048" t="n">
        <v>0</v>
      </c>
      <c r="V2048" t="n">
        <v>0</v>
      </c>
    </row>
    <row r="2049">
      <c r="A2049">
        <f>Skills!A29</f>
        <v/>
      </c>
      <c r="B2049">
        <f>Skills!B29</f>
        <v/>
      </c>
      <c r="C2049">
        <f>Inputs!$B$3&gt;=120</f>
        <v/>
      </c>
      <c r="D2049">
        <f>IF(Skills!C29=1,60+Inputs!$B$25+Inputs!$B$29,IF(Skills!C29=2,90+Inputs!$B$26+Inputs!$B$29,IF(Skills!C29=3,120+Inputs!$B$27+Inputs!$B$29,MAX(0,(Inputs!$B$3-100)*3)+Inputs!$B$28+Inputs!$B$29)))</f>
        <v/>
      </c>
      <c r="E2049">
        <f>INDEX(FactorTable!$B$2:$Y$301, MATCH(ROUND(MIN(300,MAX(1,D2049)),0), FactorTable!$A$2:$A$301,0), Skills!M29+1)</f>
        <v/>
      </c>
      <c r="F2049">
        <f>IF(Skills!N29=TRUE,(Skills!L29/10)*(E2049/1000),Skills!L29/10)+Skills!O29</f>
        <v/>
      </c>
      <c r="G2049">
        <f>Skills!G29*IF(Skills!H29&gt;0,Skills!I29/Skills!H29,1)</f>
        <v/>
      </c>
      <c r="H2049">
        <f>1-(1-Skills!J29/100)^Skills!K29</f>
        <v/>
      </c>
      <c r="I2049" t="inlineStr">
        <is>
          <t>1</t>
        </is>
      </c>
      <c r="J2049" t="inlineStr"/>
      <c r="K2049" t="inlineStr"/>
      <c r="L2049" t="inlineStr"/>
      <c r="M2049" t="inlineStr"/>
      <c r="N2049" t="inlineStr"/>
      <c r="O2049">
        <f>(1-Summary!$B$11)*T2049+Summary!$B$11*V2049</f>
        <v/>
      </c>
      <c r="P2049">
        <f>IF(B2065=0,0,O2049/B2065)</f>
        <v/>
      </c>
      <c r="Q2049" t="n">
        <v>0</v>
      </c>
      <c r="R2049" t="n">
        <v>0</v>
      </c>
      <c r="S2049">
        <f>IFERROR(O2049/N2049,0)</f>
        <v/>
      </c>
      <c r="T2049" t="n">
        <v>0</v>
      </c>
      <c r="V2049" t="n">
        <v>0</v>
      </c>
    </row>
    <row r="2050">
      <c r="A2050">
        <f>Skills!A30</f>
        <v/>
      </c>
      <c r="B2050">
        <f>Skills!B30</f>
        <v/>
      </c>
      <c r="C2050">
        <f>Inputs!$B$3&gt;=125</f>
        <v/>
      </c>
      <c r="D2050">
        <f>IF(Skills!C30=1,60+Inputs!$B$25+Inputs!$B$29,IF(Skills!C30=2,90+Inputs!$B$26+Inputs!$B$29,IF(Skills!C30=3,120+Inputs!$B$27+Inputs!$B$29,MAX(0,(Inputs!$B$3-100)*3)+Inputs!$B$28+Inputs!$B$29)))</f>
        <v/>
      </c>
      <c r="E2050">
        <f>INDEX(FactorTable!$B$2:$Y$301, MATCH(ROUND(MIN(300,MAX(1,D2050)),0), FactorTable!$A$2:$A$301,0), Skills!M30+1)</f>
        <v/>
      </c>
      <c r="F2050">
        <f>IF(Skills!N30=TRUE,(Skills!L30/10)*(E2050/1000),Skills!L30/10)+Skills!O30</f>
        <v/>
      </c>
      <c r="G2050">
        <f>Skills!G30*IF(Skills!H30&gt;0,Skills!I30/Skills!H30,1)</f>
        <v/>
      </c>
      <c r="H2050">
        <f>1-(1-Skills!J30/100)^Skills!K30</f>
        <v/>
      </c>
      <c r="I2050" t="inlineStr">
        <is>
          <t>1</t>
        </is>
      </c>
      <c r="J2050" t="inlineStr"/>
      <c r="K2050" t="inlineStr"/>
      <c r="L2050" t="inlineStr"/>
      <c r="M2050" t="inlineStr"/>
      <c r="N2050" t="inlineStr"/>
      <c r="O2050">
        <f>(1-Summary!$B$11)*T2050+Summary!$B$11*V2050</f>
        <v/>
      </c>
      <c r="P2050">
        <f>IF(B2065=0,0,O2050/B2065)</f>
        <v/>
      </c>
      <c r="Q2050" t="n">
        <v>0</v>
      </c>
      <c r="R2050" t="n">
        <v>0</v>
      </c>
      <c r="S2050">
        <f>IFERROR(O2050/N2050,0)</f>
        <v/>
      </c>
      <c r="T2050" t="n">
        <v>0</v>
      </c>
      <c r="V2050" t="n">
        <v>0</v>
      </c>
    </row>
    <row r="2052">
      <c r="A2052" t="inlineStr">
        <is>
          <t>Average Buff Multiplier</t>
        </is>
      </c>
      <c r="B2052">
        <f>(1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f>
        <v/>
      </c>
    </row>
    <row r="2053">
      <c r="A2053" t="inlineStr">
        <is>
          <t>Global Crit Rate Bonus %</t>
        </is>
      </c>
      <c r="B2053">
        <f>((C2040=TRUE)*F2040*IF(AND(Inputs!$B$39&lt;&gt;"pvp",Inputs!$B$44&gt;0),(((R2040-1)*(Skills!Y20*(1+Inputs!$B$34/100))+MIN((Skills!Y20*(1+Inputs!$B$34/100)),MAX(0,Inputs!$B$44-((R2040-1)*Skills!D20))))/Inputs!$B$44),IF(Inputs!$B$39="pvp",MIN((Skills!Y20*(1+Inputs!$B$34/100)),15)/15,(Skills!Y20*(1+Inputs!$B$34/100))/Skills!D20)))</f>
        <v/>
      </c>
    </row>
    <row r="2054">
      <c r="A2054" t="inlineStr">
        <is>
          <t>Global Monster Damage-Taken Bonus %</t>
        </is>
      </c>
      <c r="B2054">
        <f>IF(Inputs!$B$3&gt;=82,15,0)</f>
        <v/>
      </c>
    </row>
    <row r="2055">
      <c r="A2055" t="inlineStr">
        <is>
          <t>Shadow Partner Average Multiplier</t>
        </is>
      </c>
      <c r="B2055">
        <f>1+((C2027=TRUE)*F2027*(1+3.3333333333333335*IF(C2038=TRUE,F2038,0)/100)*I2027*Skills!J7/100)/100</f>
        <v/>
      </c>
    </row>
    <row r="2056">
      <c r="A2056" t="inlineStr">
        <is>
          <t>Attack Speed Buff Bonus %</t>
        </is>
      </c>
      <c r="B2056">
        <f>((C2039=TRUE)*F2039*IF(AND(Inputs!$B$39&lt;&gt;"pvp",Inputs!$B$44&gt;0),(((R2039-1)*(Skills!Y19*(1+Inputs!$B$34/100))+MIN((Skills!Y19*(1+Inputs!$B$34/100)),MAX(0,Inputs!$B$44-((R2039-1)*Skills!D19))))/Inputs!$B$44),IF(Inputs!$B$39="pvp",MIN((Skills!Y19*(1+Inputs!$B$34/100)),15)/15,(Skills!Y19*(1+Inputs!$B$34/100))/Skills!D19)))+((C2023=TRUE)*F2023*3)</f>
        <v/>
      </c>
    </row>
    <row r="2057">
      <c r="A2057" t="inlineStr">
        <is>
          <t>Actions Per Second</t>
        </is>
      </c>
      <c r="B2057">
        <f>1+MIN(150,150*(1-(1-(Inputs!$B$11+((C2042=TRUE)*(F2042-Calc!F22)))/150)*(1-B2056/150)))/100</f>
        <v/>
      </c>
    </row>
    <row r="2058">
      <c r="A2058" t="inlineStr">
        <is>
          <t>Skill + Buff Cast Rate</t>
        </is>
      </c>
      <c r="B2058">
        <f>IF(AND(Inputs!$B$39&lt;&gt;"pvp",Inputs!$B$44&gt;0),SUMPRODUCT((Skills!E2:E30=TRUE)*(C2022:C2050=TRUE)*R2022:R2050*Skills!F2:F30)/Inputs!$B$44,SUMPRODUCT((Skills!E2:E30=TRUE)*(C2022:C2050=TRUE)*Q2022:Q2050*Skills!F2:F30))</f>
        <v/>
      </c>
    </row>
    <row r="2059">
      <c r="A2059" t="inlineStr">
        <is>
          <t>Cruel Stab Casts Per Second</t>
        </is>
      </c>
      <c r="B2059">
        <f>MAX(0,B2057-B2058)</f>
        <v/>
      </c>
    </row>
    <row r="2060">
      <c r="A2060" t="inlineStr">
        <is>
          <t>Global Critical Damage Bonus % (Smokescreen Mastery Lv.113)</t>
        </is>
      </c>
      <c r="B2060">
        <f>IF(Inputs!$B$3&gt;=113,30,0)*IF(AND(Inputs!$B$39&lt;&gt;"pvp",Inputs!$B$44&gt;0),(((R2035-1)*(Skills!Y15*(1+Inputs!$B$34/100))+MIN((Skills!Y15*(1+Inputs!$B$34/100)),MAX(0,Inputs!$B$44-((R2035-1)*Skills!D15))))/Inputs!$B$44),IF(Inputs!$B$39="pvp",MIN((Skills!Y15*(1+Inputs!$B$34/100)),15)/15,(Skills!Y15*(1+Inputs!$B$34/100))/Skills!D15))</f>
        <v/>
      </c>
    </row>
    <row r="2061">
      <c r="A2061" t="inlineStr">
        <is>
          <t>Meso Explosion average stack count</t>
        </is>
      </c>
      <c r="B2061">
        <f>MIN(10,0.5*B2057*Skills!D4)</f>
        <v/>
      </c>
    </row>
    <row r="2062">
      <c r="A2062" t="inlineStr">
        <is>
          <t>Blood Money average stack count</t>
        </is>
      </c>
      <c r="B2062">
        <f>MIN(5,0.25*B2057*Skills!D4)</f>
        <v/>
      </c>
    </row>
    <row r="2063">
      <c r="A2063" t="inlineStr">
        <is>
          <t>Assassinate Murderous Intent Multiplier</t>
        </is>
      </c>
      <c r="B2063">
        <f>1+IFERROR(MIN(1,Q2034*2/Q2031),0)</f>
        <v/>
      </c>
    </row>
    <row r="2064">
      <c r="A2064" t="inlineStr">
        <is>
          <t>Buff-Casting Startup Delay (s, fixed-duration only)</t>
        </is>
      </c>
      <c r="B2064">
        <f>IF(AND(Inputs!$B$39&lt;&gt;"pvp",Inputs!$B$44&gt;0),SUMPRODUCT((Skills!Y2:Y30&gt;0)*(Skills!E2:E30=TRUE)*(C2022:C2050=TRUE))/B2057,0)</f>
        <v/>
      </c>
    </row>
    <row r="2065">
      <c r="A2065" s="6" t="inlineStr">
        <is>
          <t>TOTAL DPS</t>
        </is>
      </c>
      <c r="B2065" s="6">
        <f>SUM(O2022:O2050)</f>
        <v/>
      </c>
    </row>
    <row r="2066">
      <c r="A2066" t="inlineStr">
        <is>
          <t>Boss-Only Total DPS (this block's swept value)</t>
        </is>
      </c>
      <c r="B2066">
        <f>SUM(T2022:T2050)</f>
        <v/>
      </c>
    </row>
    <row r="2067">
      <c r="A2067" t="inlineStr">
        <is>
          <t>Normal-Only Total DPS (this block's swept value)</t>
        </is>
      </c>
      <c r="B2067">
        <f>SUM(V2022:V2050)</f>
        <v/>
      </c>
    </row>
    <row r="2070">
      <c r="A2070" s="6" t="inlineStr">
        <is>
          <t>Stat: Chalice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Q2071" s="5" t="inlineStr">
        <is>
          <t>InvCooldown</t>
        </is>
      </c>
      <c r="R2071" s="5" t="inlineStr">
        <is>
          <t>CastsInFight</t>
        </is>
      </c>
      <c r="S2071" s="5" t="inlineStr">
        <is>
          <t>HitRate(perSec)</t>
        </is>
      </c>
      <c r="U2071" t="inlineStr">
        <is>
          <t>helpers</t>
        </is>
      </c>
    </row>
    <row r="2072">
      <c r="A2072">
        <f>Skills!A2</f>
        <v/>
      </c>
      <c r="B2072">
        <f>Skills!B2</f>
        <v/>
      </c>
      <c r="C2072">
        <f>Inputs!$B$3&gt;=100</f>
        <v/>
      </c>
      <c r="D2072" t="inlineStr"/>
      <c r="E2072" t="inlineStr"/>
      <c r="F2072">
        <f>U2074+Skills!O2</f>
        <v/>
      </c>
      <c r="G2072">
        <f>Skills!G2*IF(Skills!H2&gt;0,Skills!I2/Skills!H2,1)</f>
        <v/>
      </c>
      <c r="H2072">
        <f>1-(1-Skills!J2/100)^Skills!K2</f>
        <v/>
      </c>
      <c r="I2072" t="inlineStr">
        <is>
          <t>1</t>
        </is>
      </c>
      <c r="J2072">
        <f>((Inputs!$B$6*(1+Inputs!$B$7/100))+(((Inputs!$B$12*(1+Inputs!$B$13/100))-(Inputs!$B$12*(1+Inputs!$B$13/100)))+0.25*(Inputs!$B$14-Inputs!$B$14))*(1+Inputs!$B$7/100))*(F2072/100)</f>
        <v/>
      </c>
      <c r="K2072">
        <f>J2072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2072)</f>
        <v/>
      </c>
      <c r="L2072">
        <f>K2072*(MIN(Inputs!$B$22+((C2094=TRUE)*(F2094-Calc!F24)),(Inputs!$B$23+((C2099=TRUE)*(F2099-Calc!F29))+IF(ArtifactsInput!$M$15,CHOOSE(ArtifactsInput!$N$15+1,25,30,35,40,45,50)/100*(Inputs!$B$11-Inputs!$B$11),0)))/100+(Inputs!$B$23+((C2099=TRUE)*(F2099-Calc!F29))+IF(ArtifactsInput!$M$15,CHOOSE(ArtifactsInput!$N$15+1,25,30,35,40,45,50)/100*(Inputs!$B$11-Inputs!$B$11),0))/100)/2</f>
        <v/>
      </c>
      <c r="M2072">
        <f>L2072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2">
        <f>L2072*(1-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2072*(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2">
        <f>(1-Summary!$B$11)*T2072+Summary!$B$11*V2072</f>
        <v/>
      </c>
      <c r="P2072">
        <f>IF(B2115=0,0,O2072/B2115)</f>
        <v/>
      </c>
      <c r="Q2072" t="n">
        <v>0</v>
      </c>
      <c r="R2072" t="n">
        <v>0</v>
      </c>
      <c r="S2072">
        <f>IFERROR(O2072/N2072,0)</f>
        <v/>
      </c>
      <c r="T2072">
        <f>IF(C2072,(Skills!G2*N2072*B2109)*IF(Inputs!$B$39="pvp",1,1+(Inputs!$B$20+0+Skills!P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2072*(1-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2072*(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2072*(1-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2072*(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2">
        <f>MAX(0,(Inputs!$B$3-100)*3)+Inputs!$B$28+Inputs!$B$29</f>
        <v/>
      </c>
      <c r="V2072">
        <f>IF(C2072,(Skills!G2*N2072*B2109)*IF(Inputs!$B$39="pvp",1,(1+(Inputs!$B$21+Skills!Q2+B2104+(IF(ArtifactsInput!$M$33,CHOOSE(ArtifactsInput!$N$33+1,30,36,42,48,54,60),0))+(IF(AND(ArtifactsInput!$M$35,Inputs!$B$4&lt;&gt;"Chapter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3">
      <c r="A2073">
        <f>Skills!A3</f>
        <v/>
      </c>
      <c r="B2073">
        <f>Skills!B3</f>
        <v/>
      </c>
      <c r="C2073">
        <f>Inputs!$B$3&gt;=35</f>
        <v/>
      </c>
      <c r="D2073">
        <f>IF(Skills!C3=1,60+Inputs!$B$25+Inputs!$B$29,IF(Skills!C3=2,90+Inputs!$B$26+Inputs!$B$29,IF(Skills!C3=3,120+Inputs!$B$27+Inputs!$B$29,MAX(0,(Inputs!$B$3-100)*3)+Inputs!$B$28+Inputs!$B$29)))</f>
        <v/>
      </c>
      <c r="E2073">
        <f>INDEX(FactorTable!$B$2:$Y$301, MATCH(ROUND(MIN(300,MAX(1,D2073)),0), FactorTable!$A$2:$A$301,0), Skills!M3+1)</f>
        <v/>
      </c>
      <c r="F2073">
        <f>IF(Skills!N3=TRUE,(Skills!L3/10)*(E2073/1000),Skills!L3/10)+Skills!O3</f>
        <v/>
      </c>
      <c r="G2073">
        <f>Skills!G3*IF(Skills!H3&gt;0,Skills!I3/Skills!H3,1)</f>
        <v/>
      </c>
      <c r="H2073">
        <f>1-(1-Skills!J3/100)^Skills!K3</f>
        <v/>
      </c>
      <c r="I2073" t="inlineStr">
        <is>
          <t>1</t>
        </is>
      </c>
      <c r="J2073" t="inlineStr"/>
      <c r="K2073" t="inlineStr"/>
      <c r="L2073" t="inlineStr"/>
      <c r="M2073" t="inlineStr"/>
      <c r="N2073" t="inlineStr"/>
      <c r="O2073">
        <f>(1-Summary!$B$11)*T2073+Summary!$B$11*V2073</f>
        <v/>
      </c>
      <c r="P2073">
        <f>IF(B2115=0,0,O2073/B2115)</f>
        <v/>
      </c>
      <c r="Q2073" t="n">
        <v>0</v>
      </c>
      <c r="R2073" t="n">
        <v>0</v>
      </c>
      <c r="S2073">
        <f>IFERROR(O2073/N2073,0)</f>
        <v/>
      </c>
      <c r="T2073" t="n">
        <v>0</v>
      </c>
      <c r="U2073">
        <f>INDEX(FactorTable!$B$2:$Y$301, MATCH(ROUND(MIN(300,MAX(1,U2072)),0), FactorTable!$A$2:$A$301,0), 22)</f>
        <v/>
      </c>
      <c r="V2073" t="n">
        <v>0</v>
      </c>
    </row>
    <row r="2074">
      <c r="A2074">
        <f>Skills!A4</f>
        <v/>
      </c>
      <c r="B2074">
        <f>Skills!B4</f>
        <v/>
      </c>
      <c r="C2074">
        <f>Inputs!$B$3&gt;=66</f>
        <v/>
      </c>
      <c r="D2074">
        <f>IF(Skills!C4=1,60+Inputs!$B$25+Inputs!$B$29,IF(Skills!C4=2,90+Inputs!$B$26+Inputs!$B$29,IF(Skills!C4=3,120+Inputs!$B$27+Inputs!$B$29,MAX(0,(Inputs!$B$3-100)*3)+Inputs!$B$28+Inputs!$B$29)))</f>
        <v/>
      </c>
      <c r="E2074">
        <f>INDEX(FactorTable!$B$2:$Y$301, MATCH(ROUND(MIN(300,MAX(1,D2074)),0), FactorTable!$A$2:$A$301,0), Skills!M4+1)</f>
        <v/>
      </c>
      <c r="F2074">
        <f>IF(Skills!N4=TRUE,(Skills!L4/10)*(E2074/1000),Skills!L4/10)+Skills!O4</f>
        <v/>
      </c>
      <c r="G2074">
        <f>Skills!G4*IF(Skills!H4&gt;0,Skills!I4/Skills!H4,1)</f>
        <v/>
      </c>
      <c r="H2074">
        <f>1-(1-Skills!J4/100)^Skills!K4</f>
        <v/>
      </c>
      <c r="I2074" t="inlineStr">
        <is>
          <t>1</t>
        </is>
      </c>
      <c r="J2074">
        <f>((Inputs!$B$6*(1+Inputs!$B$7/100))+(((Inputs!$B$12*(1+Inputs!$B$13/100))-(Inputs!$B$12*(1+Inputs!$B$13/100)))+0.25*(Inputs!$B$14-Inputs!$B$14))*(1+Inputs!$B$7/100))*(F2074/100)</f>
        <v/>
      </c>
      <c r="K2074">
        <f>J2074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2074)</f>
        <v/>
      </c>
      <c r="L2074">
        <f>K2074*(MIN(Inputs!$B$22+((C2094=TRUE)*(F2094-Calc!F24)),(Inputs!$B$23+((C2099=TRUE)*(F2099-Calc!F29))+IF(ArtifactsInput!$M$15,CHOOSE(ArtifactsInput!$N$15+1,25,30,35,40,45,50)/100*(Inputs!$B$11-Inputs!$B$11),0)))/100+(Inputs!$B$23+((C2099=TRUE)*(F2099-Calc!F29))+IF(ArtifactsInput!$M$15,CHOOSE(ArtifactsInput!$N$15+1,25,30,35,40,45,50)/100*(Inputs!$B$11-Inputs!$B$11),0))/100)/2</f>
        <v/>
      </c>
      <c r="M2074">
        <f>L2074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4">
        <f>L2074*(1-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2074*(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4">
        <f>(1-Summary!$B$11)*T2074+Summary!$B$11*V2074</f>
        <v/>
      </c>
      <c r="P2074">
        <f>IF(B2115=0,0,O2074/B2115)</f>
        <v/>
      </c>
      <c r="Q2074">
        <f>IFERROR(1/IF(Inputs!$B$39="pvp",15,MAX(0.1,Skills!D4-IF(Skills!E4=TRUE,Inputs!$B$32,0))),0)</f>
        <v/>
      </c>
      <c r="R2074">
        <f>IF(AND(Inputs!$B$39&lt;&gt;"pvp",Inputs!$B$44&gt;0),IF(MAX(0,Inputs!$B$44-B2114)&lt;=0,0,(INT(MAX(0,Inputs!$B$44-B2114)/IF(Inputs!$B$39="pvp",15,MAX(0.1,Skills!D4-IF(Skills!E4=TRUE,Inputs!$B$32,0))))+1)),0)</f>
        <v/>
      </c>
      <c r="S2074">
        <f>IFERROR(O2074/N2074,0)</f>
        <v/>
      </c>
      <c r="T2074">
        <f>IF(C2074,(H2074*N2074*IF(AND(Inputs!$B$39&lt;&gt;"pvp",Inputs!$B$44&gt;0),((Skills!G4*((R2074-1)*IF(Skills!H4&gt;0,Skills!I4/Skills!H4,1)+IF(Skills!H4&gt;0,MIN(Skills!I4,MAX(0,MAX(0,Inputs!$B$44-B2114)-((R2074-1)*IF(Inputs!$B$39="pvp",15,MAX(0.1,Skills!D4-IF(Skills!E4=TRUE,Inputs!$B$32,0))))))/Skills!H4,1)))/Inputs!$B$44),G2074*Q2074))*IF(Inputs!$B$39="pvp",1,1+(Inputs!$B$20+0+Skills!P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2074*(1-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2074*(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2074*(1-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2074*(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4">
        <f>290*U2073/1000</f>
        <v/>
      </c>
      <c r="V2074">
        <f>IF(C2074,(H2074*N2074*IF(AND(Inputs!$B$39&lt;&gt;"pvp",Inputs!$B$44&gt;0),((Skills!G4*((R2074-1)*IF(Skills!H4&gt;0,Skills!I4/Skills!H4,1)+IF(Skills!H4&gt;0,MIN(Skills!I4,MAX(0,MAX(0,Inputs!$B$44-B2114)-((R2074-1)*IF(Inputs!$B$39="pvp",15,MAX(0.1,Skills!D4-IF(Skills!E4=TRUE,Inputs!$B$32,0))))))/Skills!H4,1)))/Inputs!$B$44),G2074*Q2074))*IF(Inputs!$B$39="pvp",1,(1+(Inputs!$B$21+Skills!Q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(10,0.5*B2107*Skills!D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5">
      <c r="A2075">
        <f>Skills!A5</f>
        <v/>
      </c>
      <c r="B2075">
        <f>Skills!B5</f>
        <v/>
      </c>
      <c r="C2075">
        <f>Inputs!$B$3&gt;=63</f>
        <v/>
      </c>
      <c r="D2075">
        <f>IF(Skills!C5=1,60+Inputs!$B$25+Inputs!$B$29,IF(Skills!C5=2,90+Inputs!$B$26+Inputs!$B$29,IF(Skills!C5=3,120+Inputs!$B$27+Inputs!$B$29,MAX(0,(Inputs!$B$3-100)*3)+Inputs!$B$28+Inputs!$B$29)))</f>
        <v/>
      </c>
      <c r="E2075">
        <f>INDEX(FactorTable!$B$2:$Y$301, MATCH(ROUND(MIN(300,MAX(1,D2075)),0), FactorTable!$A$2:$A$301,0), Skills!M5+1)</f>
        <v/>
      </c>
      <c r="F2075">
        <f>IF(Skills!N5=TRUE,(Skills!L5/10)*(E2075/1000),Skills!L5/10)+Skills!O5</f>
        <v/>
      </c>
      <c r="G2075">
        <f>Skills!G5*IF(Skills!H5&gt;0,Skills!I5/Skills!H5,1)</f>
        <v/>
      </c>
      <c r="H2075">
        <f>1-(1-Skills!J5/100)^Skills!K5</f>
        <v/>
      </c>
      <c r="I2075" t="inlineStr">
        <is>
          <t>1</t>
        </is>
      </c>
      <c r="J2075">
        <f>((Inputs!$B$6*(1+Inputs!$B$7/100))+(((Inputs!$B$12*(1+Inputs!$B$13/100))-(Inputs!$B$12*(1+Inputs!$B$13/100)))+0.25*(Inputs!$B$14-Inputs!$B$14))*(1+Inputs!$B$7/100))*(F2075/100)</f>
        <v/>
      </c>
      <c r="K2075">
        <f>J2075*(1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2088=TRUE,F2088,0)/100)*(1+(IF(Skills!A5="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2075)</f>
        <v/>
      </c>
      <c r="L2075">
        <f>K2075*(MIN(Inputs!$B$22+((C2094=TRUE)*(F2094-Calc!F24)),(Inputs!$B$23+((C2099=TRUE)*(F2099-Calc!F29))+IF(ArtifactsInput!$M$15,CHOOSE(ArtifactsInput!$N$15+1,25,30,35,40,45,50)/100*(Inputs!$B$11-Inputs!$B$11),0)))/100+(Inputs!$B$23+((C2099=TRUE)*(F2099-Calc!F29))+IF(ArtifactsInput!$M$15,CHOOSE(ArtifactsInput!$N$15+1,25,30,35,40,45,50)/100*(Inputs!$B$11-Inputs!$B$11),0))/100)/2</f>
        <v/>
      </c>
      <c r="M2075">
        <f>L2075*(1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5">
        <f>L2075*(1-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2075*(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5">
        <f>(1-Summary!$B$11)*T2075+Summary!$B$11*V2075</f>
        <v/>
      </c>
      <c r="P2075">
        <f>IF(B2115=0,0,O2075/B2115)</f>
        <v/>
      </c>
      <c r="Q2075">
        <f>IFERROR(1/IF(Inputs!$B$39="pvp",15,MAX(0.1,Skills!D5-IF(Skills!E5=TRUE,Inputs!$B$32,0))),0)</f>
        <v/>
      </c>
      <c r="R2075">
        <f>IF(AND(Inputs!$B$39&lt;&gt;"pvp",Inputs!$B$44&gt;0),IF(MAX(0,Inputs!$B$44-B2114)&lt;=0,0,(INT(MAX(0,Inputs!$B$44-B2114)/IF(Inputs!$B$39="pvp",15,MAX(0.1,Skills!D5-IF(Skills!E5=TRUE,Inputs!$B$32,0))))+1)),0)</f>
        <v/>
      </c>
      <c r="S2075">
        <f>IFERROR(O2075/N2075,0)</f>
        <v/>
      </c>
      <c r="T2075">
        <f>IF(C2075,(H2075*N2075*IF(AND(Inputs!$B$39&lt;&gt;"pvp",Inputs!$B$44&gt;0),((Skills!G5*((R2075-1)*IF(Skills!H5&gt;0,Skills!I5/Skills!H5,1)+IF(Skills!H5&gt;0,MIN(Skills!I5,MAX(0,MAX(0,Inputs!$B$44-B2114)-((R2075-1)*IF(Inputs!$B$39="pvp",15,MAX(0.1,Skills!D5-IF(Skills!E5=TRUE,Inputs!$B$32,0))))))/Skills!H5,1)))/Inputs!$B$44),G2075*Q2075))*IF(Inputs!$B$39="pvp",1,1+(Inputs!$B$20+0+Skills!P5+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2075*(1-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2075*(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2075*(1-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2075*(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5">
        <f>IF(C2075,(H2075*N2075*IF(AND(Inputs!$B$39&lt;&gt;"pvp",Inputs!$B$44&gt;0),((Skills!G5*((R2075-1)*IF(Skills!H5&gt;0,Skills!I5/Skills!H5,1)+IF(Skills!H5&gt;0,MIN(Skills!I5,MAX(0,MAX(0,Inputs!$B$44-B2114)-((R2075-1)*IF(Inputs!$B$39="pvp",15,MAX(0.1,Skills!D5-IF(Skills!E5=TRUE,Inputs!$B$32,0))))))/Skills!H5,1)))/Inputs!$B$44),G2075*Q2075))*IF(Inputs!$B$39="pvp",1,(1+(Inputs!$B$21+Skills!Q5+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6">
      <c r="A2076">
        <f>Skills!A6</f>
        <v/>
      </c>
      <c r="B2076">
        <f>Skills!B6</f>
        <v/>
      </c>
      <c r="C2076">
        <f>Inputs!$B$3&gt;=69</f>
        <v/>
      </c>
      <c r="D2076">
        <f>IF(Skills!C6=1,60+Inputs!$B$25+Inputs!$B$29,IF(Skills!C6=2,90+Inputs!$B$26+Inputs!$B$29,IF(Skills!C6=3,120+Inputs!$B$27+Inputs!$B$29,MAX(0,(Inputs!$B$3-100)*3)+Inputs!$B$28+Inputs!$B$29)))</f>
        <v/>
      </c>
      <c r="E2076">
        <f>INDEX(FactorTable!$B$2:$Y$301, MATCH(ROUND(MIN(300,MAX(1,D2076)),0), FactorTable!$A$2:$A$301,0), Skills!M6+1)</f>
        <v/>
      </c>
      <c r="F2076">
        <f>IF(Skills!N6=TRUE,(Skills!L6/10)*(E2076/1000),Skills!L6/10)+Skills!O6</f>
        <v/>
      </c>
      <c r="G2076">
        <f>Skills!G6*IF(Skills!H6&gt;0,Skills!I6/Skills!H6,1)</f>
        <v/>
      </c>
      <c r="H2076">
        <f>1-(1-Skills!J6/100)^Skills!K6</f>
        <v/>
      </c>
      <c r="I2076" t="inlineStr">
        <is>
          <t>1</t>
        </is>
      </c>
      <c r="J2076">
        <f>((Inputs!$B$6*(1+Inputs!$B$7/100))+(((Inputs!$B$12*(1+Inputs!$B$13/100))-(Inputs!$B$12*(1+Inputs!$B$13/100)))+0.25*(Inputs!$B$14-Inputs!$B$14))*(1+Inputs!$B$7/100))*(F2076/100)</f>
        <v/>
      </c>
      <c r="K2076">
        <f>J2076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2088=TRUE,F2088,0)/100)*(1+(IF(Skills!A6="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2076)</f>
        <v/>
      </c>
      <c r="L2076">
        <f>K2076*(MIN(Inputs!$B$22+((C2094=TRUE)*(F2094-Calc!F24)),(Inputs!$B$23+((C2099=TRUE)*(F2099-Calc!F29))+IF(ArtifactsInput!$M$15,CHOOSE(ArtifactsInput!$N$15+1,25,30,35,40,45,50)/100*(Inputs!$B$11-Inputs!$B$11),0)))/100+(Inputs!$B$23+((C2099=TRUE)*(F2099-Calc!F29))+IF(ArtifactsInput!$M$15,CHOOSE(ArtifactsInput!$N$15+1,25,30,35,40,45,50)/100*(Inputs!$B$11-Inputs!$B$11),0))/100)/2</f>
        <v/>
      </c>
      <c r="M2076">
        <f>L2076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6">
        <f>L2076*(1-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2076*(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6">
        <f>(1-Summary!$B$11)*T2076+Summary!$B$11*V2076</f>
        <v/>
      </c>
      <c r="P2076">
        <f>IF(B2115=0,0,O2076/B2115)</f>
        <v/>
      </c>
      <c r="Q2076">
        <f>IFERROR(1/IF(Inputs!$B$39="pvp",15,MAX(0.1,Skills!D6-IF(Skills!E6=TRUE,Inputs!$B$32,0))),0)</f>
        <v/>
      </c>
      <c r="R2076">
        <f>IF(AND(Inputs!$B$39&lt;&gt;"pvp",Inputs!$B$44&gt;0),IF(MAX(0,Inputs!$B$44-B2114)&lt;=0,0,(INT(MAX(0,Inputs!$B$44-B2114)/IF(Inputs!$B$39="pvp",15,MAX(0.1,Skills!D6-IF(Skills!E6=TRUE,Inputs!$B$32,0))))+1)),0)</f>
        <v/>
      </c>
      <c r="S2076">
        <f>IFERROR(O2076/N2076,0)</f>
        <v/>
      </c>
      <c r="T2076">
        <f>IF(C2076,(H2076*N2076*IF(AND(Inputs!$B$39&lt;&gt;"pvp",Inputs!$B$44&gt;0),((Skills!G6*((R2076-1)*IF(Skills!H6&gt;0,Skills!I6/Skills!H6,1)+IF(Skills!H6&gt;0,MIN(Skills!I6,MAX(0,MAX(0,Inputs!$B$44-B2114)-((R2076-1)*IF(Inputs!$B$39="pvp",15,MAX(0.1,Skills!D6-IF(Skills!E6=TRUE,Inputs!$B$32,0))))))/Skills!H6,1)))/Inputs!$B$44),G2076*Q2076))*IF(Inputs!$B$39="pvp",1,1+(Inputs!$B$20+0+Skills!P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2076*(1-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2076*(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2076*(1-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2076*(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6">
        <f>IF(C2076,(H2076*N2076*IF(AND(Inputs!$B$39&lt;&gt;"pvp",Inputs!$B$44&gt;0),((Skills!G6*((R2076-1)*IF(Skills!H6&gt;0,Skills!I6/Skills!H6,1)+IF(Skills!H6&gt;0,MIN(Skills!I6,MAX(0,MAX(0,Inputs!$B$44-B2114)-((R2076-1)*IF(Inputs!$B$39="pvp",15,MAX(0.1,Skills!D6-IF(Skills!E6=TRUE,Inputs!$B$32,0))))))/Skills!H6,1)))/Inputs!$B$44),G2076*Q2076))*IF(Inputs!$B$39="pvp",1,(1+(Inputs!$B$21+Skills!Q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7">
      <c r="A2077">
        <f>Skills!A7</f>
        <v/>
      </c>
      <c r="B2077">
        <f>Skills!B7</f>
        <v/>
      </c>
      <c r="C2077">
        <f>Inputs!$B$3&gt;=60</f>
        <v/>
      </c>
      <c r="D2077">
        <f>IF(Skills!C7=1,60+Inputs!$B$25+Inputs!$B$29,IF(Skills!C7=2,90+Inputs!$B$26+Inputs!$B$29,IF(Skills!C7=3,120+Inputs!$B$27+Inputs!$B$29,MAX(0,(Inputs!$B$3-100)*3)+Inputs!$B$28+Inputs!$B$29)))</f>
        <v/>
      </c>
      <c r="E2077">
        <f>INDEX(FactorTable!$B$2:$Y$301, MATCH(ROUND(MIN(300,MAX(1,D2077)),0), FactorTable!$A$2:$A$301,0), Skills!M7+1)</f>
        <v/>
      </c>
      <c r="F2077">
        <f>IF(Skills!N7=TRUE,(Skills!L7/10)*(E2077/1000),Skills!L7/10)+Skills!O7</f>
        <v/>
      </c>
      <c r="G2077">
        <f>Skills!G7*IF(Skills!H7&gt;0,Skills!I7/Skills!H7,1)</f>
        <v/>
      </c>
      <c r="H2077">
        <f>1-(1-Skills!J7/100)^Skills!K7</f>
        <v/>
      </c>
      <c r="I2077" t="inlineStr">
        <is>
          <t>1</t>
        </is>
      </c>
      <c r="J2077" t="inlineStr"/>
      <c r="K2077" t="inlineStr"/>
      <c r="L2077" t="inlineStr"/>
      <c r="M2077" t="inlineStr"/>
      <c r="N2077" t="inlineStr"/>
      <c r="O2077">
        <f>(1-Summary!$B$11)*T2077+Summary!$B$11*V2077</f>
        <v/>
      </c>
      <c r="P2077">
        <f>IF(B2115=0,0,O2077/B2115)</f>
        <v/>
      </c>
      <c r="Q2077" t="n">
        <v>0</v>
      </c>
      <c r="R2077" t="n">
        <v>0</v>
      </c>
      <c r="S2077">
        <f>IFERROR(O2077/N2077,0)</f>
        <v/>
      </c>
      <c r="T2077" t="n">
        <v>0</v>
      </c>
      <c r="V2077" t="n">
        <v>0</v>
      </c>
    </row>
    <row r="2078">
      <c r="A2078">
        <f>Skills!A8</f>
        <v/>
      </c>
      <c r="B2078">
        <f>Skills!B8</f>
        <v/>
      </c>
      <c r="C2078">
        <f>Inputs!$B$3&gt;=72</f>
        <v/>
      </c>
      <c r="D2078">
        <f>IF(Skills!C8=1,60+Inputs!$B$25+Inputs!$B$29,IF(Skills!C8=2,90+Inputs!$B$26+Inputs!$B$29,IF(Skills!C8=3,120+Inputs!$B$27+Inputs!$B$29,MAX(0,(Inputs!$B$3-100)*3)+Inputs!$B$28+Inputs!$B$29)))</f>
        <v/>
      </c>
      <c r="E2078">
        <f>INDEX(FactorTable!$B$2:$Y$301, MATCH(ROUND(MIN(300,MAX(1,D2078)),0), FactorTable!$A$2:$A$301,0), Skills!M8+1)</f>
        <v/>
      </c>
      <c r="F2078">
        <f>IF(Skills!N8=TRUE,(Skills!L8/10)*(E2078/1000),Skills!L8/10)+Skills!O8</f>
        <v/>
      </c>
      <c r="G2078">
        <f>Skills!G8*IF(Skills!H8&gt;0,Skills!I8/Skills!H8,1)</f>
        <v/>
      </c>
      <c r="H2078">
        <f>1-(1-Skills!J8/100)^Skills!K8</f>
        <v/>
      </c>
      <c r="I2078" t="inlineStr">
        <is>
          <t>1</t>
        </is>
      </c>
      <c r="J2078">
        <f>((Inputs!$B$6*(1+Inputs!$B$7/100))+(((Inputs!$B$12*(1+Inputs!$B$13/100))-(Inputs!$B$12*(1+Inputs!$B$13/100)))+0.25*(Inputs!$B$14-Inputs!$B$14))*(1+Inputs!$B$7/100))*(F2078/100)</f>
        <v/>
      </c>
      <c r="K2078">
        <f>J2078*(1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2088=TRUE,F2088,0)/100)*(1+(IF(Skills!A8="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2078)</f>
        <v/>
      </c>
      <c r="L2078">
        <f>K2078*(MIN(Inputs!$B$22+((C2094=TRUE)*(F2094-Calc!F24)),(Inputs!$B$23+((C2099=TRUE)*(F2099-Calc!F29))+IF(ArtifactsInput!$M$15,CHOOSE(ArtifactsInput!$N$15+1,25,30,35,40,45,50)/100*(Inputs!$B$11-Inputs!$B$11),0)))/100+(Inputs!$B$23+((C2099=TRUE)*(F2099-Calc!F29))+IF(ArtifactsInput!$M$15,CHOOSE(ArtifactsInput!$N$15+1,25,30,35,40,45,50)/100*(Inputs!$B$11-Inputs!$B$11),0))/100)/2</f>
        <v/>
      </c>
      <c r="M2078">
        <f>L2078*(1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8">
        <f>L2078*(1-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2078*(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8">
        <f>(1-Summary!$B$11)*T2078+Summary!$B$11*V2078</f>
        <v/>
      </c>
      <c r="P2078">
        <f>IF(B2115=0,0,O2078/B2115)</f>
        <v/>
      </c>
      <c r="Q2078">
        <f>IFERROR(1/IF(Inputs!$B$39="pvp",15,MAX(0.1,Skills!D8-IF(Skills!E8=TRUE,Inputs!$B$32,0))),0)</f>
        <v/>
      </c>
      <c r="R2078">
        <f>IF(AND(Inputs!$B$39&lt;&gt;"pvp",Inputs!$B$44&gt;0),IF(MAX(0,Inputs!$B$44-B2114)&lt;=0,0,(INT(MAX(0,Inputs!$B$44-B2114)/IF(Inputs!$B$39="pvp",15,MAX(0.1,Skills!D8-IF(Skills!E8=TRUE,Inputs!$B$32,0))))+1)),0)</f>
        <v/>
      </c>
      <c r="S2078">
        <f>IFERROR(O2078/N2078,0)</f>
        <v/>
      </c>
      <c r="T2078">
        <f>IF(C2078,(H2078*N2078*IF(AND(Inputs!$B$39&lt;&gt;"pvp",Inputs!$B$44&gt;0),((Skills!G8*((R2078-1)*IF(Skills!H8&gt;0,Skills!I8/Skills!H8,1)+IF(Skills!H8&gt;0,MIN(Skills!I8,MAX(0,MAX(0,Inputs!$B$44-B2114)-((R2078-1)*IF(Inputs!$B$39="pvp",15,MAX(0.1,Skills!D8-IF(Skills!E8=TRUE,Inputs!$B$32,0))))))/Skills!H8,1)))/Inputs!$B$44),G2078*Q2078))*IF(Inputs!$B$39="pvp",1,1+(Inputs!$B$20+0+Skills!P8+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2078*(1-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2078*(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2078*(1-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2078*(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8">
        <f>IF(C2078,(H2078*N2078*IF(AND(Inputs!$B$39&lt;&gt;"pvp",Inputs!$B$44&gt;0),((Skills!G8*((R2078-1)*IF(Skills!H8&gt;0,Skills!I8/Skills!H8,1)+IF(Skills!H8&gt;0,MIN(Skills!I8,MAX(0,MAX(0,Inputs!$B$44-B2114)-((R2078-1)*IF(Inputs!$B$39="pvp",15,MAX(0.1,Skills!D8-IF(Skills!E8=TRUE,Inputs!$B$32,0))))))/Skills!H8,1)))/Inputs!$B$44),G2078*Q2078))*IF(Inputs!$B$39="pvp",1,(1+(Inputs!$B$21+Skills!Q8+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9">
      <c r="A2079">
        <f>Skills!A9</f>
        <v/>
      </c>
      <c r="B2079">
        <f>Skills!B9</f>
        <v/>
      </c>
      <c r="C2079">
        <f>Inputs!$B$3&gt;=117</f>
        <v/>
      </c>
      <c r="D2079">
        <f>IF(Skills!C9=1,60+Inputs!$B$25+Inputs!$B$29,IF(Skills!C9=2,90+Inputs!$B$26+Inputs!$B$29,IF(Skills!C9=3,120+Inputs!$B$27+Inputs!$B$29,MAX(0,(Inputs!$B$3-100)*3)+Inputs!$B$28+Inputs!$B$29)))</f>
        <v/>
      </c>
      <c r="E2079">
        <f>INDEX(FactorTable!$B$2:$Y$301, MATCH(ROUND(MIN(300,MAX(1,D2079)),0), FactorTable!$A$2:$A$301,0), Skills!M9+1)</f>
        <v/>
      </c>
      <c r="F2079">
        <f>IF(Skills!N9=TRUE,(Skills!L9/10)*(E2079/1000),Skills!L9/10)+Skills!O9</f>
        <v/>
      </c>
      <c r="G2079">
        <f>Skills!G9*IF(Skills!H9&gt;0,Skills!I9/Skills!H9,1)</f>
        <v/>
      </c>
      <c r="H2079">
        <f>1-(1-Skills!J9/100)^Skills!K9</f>
        <v/>
      </c>
      <c r="I2079" t="inlineStr">
        <is>
          <t>1</t>
        </is>
      </c>
      <c r="J2079">
        <f>((Inputs!$B$6*(1+Inputs!$B$7/100))+(((Inputs!$B$12*(1+Inputs!$B$13/100))-(Inputs!$B$12*(1+Inputs!$B$13/100)))+0.25*(Inputs!$B$14-Inputs!$B$14))*(1+Inputs!$B$7/100))*(F2079/100)</f>
        <v/>
      </c>
      <c r="K2079">
        <f>J2079*(1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2079)</f>
        <v/>
      </c>
      <c r="L2079">
        <f>K2079*(MIN(Inputs!$B$22+((C2094=TRUE)*(F2094-Calc!F24)),(Inputs!$B$23+((C2099=TRUE)*(F2099-Calc!F29))+IF(ArtifactsInput!$M$15,CHOOSE(ArtifactsInput!$N$15+1,25,30,35,40,45,50)/100*(Inputs!$B$11-Inputs!$B$11),0)))/100+(Inputs!$B$23+((C2099=TRUE)*(F2099-Calc!F29))+IF(ArtifactsInput!$M$15,CHOOSE(ArtifactsInput!$N$15+1,25,30,35,40,45,50)/100*(Inputs!$B$11-Inputs!$B$11),0))/100)/2</f>
        <v/>
      </c>
      <c r="M2079">
        <f>L2079*(1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9">
        <f>L2079*(1-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2079*(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9">
        <f>(1-Summary!$B$11)*T2079+Summary!$B$11*V2079</f>
        <v/>
      </c>
      <c r="P2079">
        <f>IF(B2115=0,0,O2079/B2115)</f>
        <v/>
      </c>
      <c r="Q2079" t="n">
        <v>0</v>
      </c>
      <c r="R2079" t="n">
        <v>0</v>
      </c>
      <c r="S2079" t="n">
        <v>0</v>
      </c>
      <c r="T2079">
        <f>IF(C2079,(0.2*SUMPRODUCT((Skills!Z2:Z30=TRUE)*(C2072:C2100=TRUE)*S2072:S2100)*N2079)*IF(Inputs!$B$39="pvp",1,1+(Inputs!$B$20+0+Skills!P9+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2079*(1-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2079*(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2079*(1-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2079*(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9">
        <f>IF(C2079,(0.2*SUMPRODUCT((Skills!Z2:Z30=TRUE)*(C2072:C2100=TRUE)*S2072:S2100)*N2079)*IF(Inputs!$B$39="pvp",1,(1+(Inputs!$B$21+Skills!Q9+B2104+(IF(ArtifactsInput!$M$33,CHOOSE(ArtifactsInput!$N$33+1,30,36,42,48,54,60),0))+(IF(AND(ArtifactsInput!$M$35,Inputs!$B$4&lt;&gt;"Chapter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0">
      <c r="A2080">
        <f>Skills!A10</f>
        <v/>
      </c>
      <c r="B2080">
        <f>Skills!B10</f>
        <v/>
      </c>
      <c r="C2080">
        <f>Inputs!$B$3&gt;=74</f>
        <v/>
      </c>
      <c r="D2080">
        <f>IF(Skills!C10=1,60+Inputs!$B$25+Inputs!$B$29,IF(Skills!C10=2,90+Inputs!$B$26+Inputs!$B$29,IF(Skills!C10=3,120+Inputs!$B$27+Inputs!$B$29,MAX(0,(Inputs!$B$3-100)*3)+Inputs!$B$28+Inputs!$B$29)))</f>
        <v/>
      </c>
      <c r="E2080">
        <f>INDEX(FactorTable!$B$2:$Y$301, MATCH(ROUND(MIN(300,MAX(1,D2080)),0), FactorTable!$A$2:$A$301,0), Skills!M10+1)</f>
        <v/>
      </c>
      <c r="F2080">
        <f>IF(Skills!N10=TRUE,(Skills!L10/10)*(E2080/1000),Skills!L10/10)+Skills!O10</f>
        <v/>
      </c>
      <c r="G2080">
        <f>Skills!G10*IF(Skills!H10&gt;0,Skills!I10/Skills!H10,1)</f>
        <v/>
      </c>
      <c r="H2080">
        <f>1-(1-Skills!J10/100)^Skills!K10</f>
        <v/>
      </c>
      <c r="I2080" t="inlineStr">
        <is>
          <t>1</t>
        </is>
      </c>
      <c r="J2080" t="inlineStr"/>
      <c r="K2080" t="inlineStr"/>
      <c r="L2080" t="inlineStr"/>
      <c r="M2080" t="inlineStr"/>
      <c r="N2080" t="inlineStr"/>
      <c r="O2080">
        <f>(1-Summary!$B$11)*T2080+Summary!$B$11*V2080</f>
        <v/>
      </c>
      <c r="P2080">
        <f>IF(B2115=0,0,O2080/B2115)</f>
        <v/>
      </c>
      <c r="Q2080">
        <f>IFERROR(1/IF(Inputs!$B$39="pvp",15,MAX(0.1,Skills!D10-IF(Skills!E10=TRUE,Inputs!$B$32,0))),0)</f>
        <v/>
      </c>
      <c r="R2080">
        <f>IF(AND(Inputs!$B$39&lt;&gt;"pvp",Inputs!$B$44&gt;0),IF(Inputs!$B$44&lt;=0,0,(INT(Inputs!$B$44/IF(Inputs!$B$39="pvp",15,MAX(0.1,Skills!D10-IF(Skills!E10=TRUE,Inputs!$B$32,0))))+1)),0)</f>
        <v/>
      </c>
      <c r="S2080">
        <f>IFERROR(O2080/N2080,0)</f>
        <v/>
      </c>
      <c r="T2080" t="n">
        <v>0</v>
      </c>
      <c r="V2080" t="n">
        <v>0</v>
      </c>
    </row>
    <row r="2081">
      <c r="A2081">
        <f>Skills!A11</f>
        <v/>
      </c>
      <c r="B2081">
        <f>Skills!B11</f>
        <v/>
      </c>
      <c r="C2081">
        <f>Inputs!$B$3&gt;=103</f>
        <v/>
      </c>
      <c r="D2081">
        <f>IF(Skills!C11=1,60+Inputs!$B$25+Inputs!$B$29,IF(Skills!C11=2,90+Inputs!$B$26+Inputs!$B$29,IF(Skills!C11=3,120+Inputs!$B$27+Inputs!$B$29,MAX(0,(Inputs!$B$3-100)*3)+Inputs!$B$28+Inputs!$B$29)))</f>
        <v/>
      </c>
      <c r="E2081">
        <f>INDEX(FactorTable!$B$2:$Y$301, MATCH(ROUND(MIN(300,MAX(1,D2081)),0), FactorTable!$A$2:$A$301,0), Skills!M11+1)</f>
        <v/>
      </c>
      <c r="F2081">
        <f>(Skills!L11/10)*(E2081/1000)+IF(Inputs!$B$3&gt;=134,50,0)+0.5*(30000/10)*(INDEX(FactorTable!$B$2:$Y$301, MATCH(ROUND(MIN(300,MAX(1,D2081)),0), FactorTable!$A$2:$A$301,0), 13)/1000)*B2113</f>
        <v/>
      </c>
      <c r="G2081">
        <f>Skills!G11*IF(Skills!H11&gt;0,Skills!I11/Skills!H11,1)</f>
        <v/>
      </c>
      <c r="H2081">
        <f>1-(1-Skills!J11/100)^Skills!K11</f>
        <v/>
      </c>
      <c r="I2081" t="inlineStr">
        <is>
          <t>1</t>
        </is>
      </c>
      <c r="J2081">
        <f>((Inputs!$B$6*(1+Inputs!$B$7/100))+(((Inputs!$B$12*(1+Inputs!$B$13/100))-(Inputs!$B$12*(1+Inputs!$B$13/100)))+0.25*(Inputs!$B$14-Inputs!$B$14))*(1+Inputs!$B$7/100))*(F2081/100)</f>
        <v/>
      </c>
      <c r="K2081">
        <f>J2081*(1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2081)</f>
        <v/>
      </c>
      <c r="L2081">
        <f>K2081*(MIN(Inputs!$B$22+((C2094=TRUE)*(F2094-Calc!F24)),(Inputs!$B$23+((C2099=TRUE)*(F2099-Calc!F29))+IF(ArtifactsInput!$M$15,CHOOSE(ArtifactsInput!$N$15+1,25,30,35,40,45,50)/100*(Inputs!$B$11-Inputs!$B$11),0)))/100+(Inputs!$B$23+((C2099=TRUE)*(F2099-Calc!F29))+IF(ArtifactsInput!$M$15,CHOOSE(ArtifactsInput!$N$15+1,25,30,35,40,45,50)/100*(Inputs!$B$11-Inputs!$B$11),0))/100)/2</f>
        <v/>
      </c>
      <c r="M2081">
        <f>L2081*(1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1">
        <f>L2081*(1-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1">
        <f>(1-Summary!$B$11)*T2081+Summary!$B$11*V2081</f>
        <v/>
      </c>
      <c r="P2081">
        <f>IF(B2115=0,0,O2081/B2115)</f>
        <v/>
      </c>
      <c r="Q2081">
        <f>IFERROR(1/IF(Inputs!$B$39="pvp",15,MAX(0.1,Skills!D11-IF(Skills!E11=TRUE,Inputs!$B$32,0))),0)</f>
        <v/>
      </c>
      <c r="R2081">
        <f>IF(AND(Inputs!$B$39&lt;&gt;"pvp",Inputs!$B$44&gt;0),IF(MAX(0,Inputs!$B$44-B2114)&lt;=0,0,(INT(MAX(0,Inputs!$B$44-B2114)/IF(Inputs!$B$39="pvp",15,MAX(0.1,Skills!D11-IF(Skills!E11=TRUE,Inputs!$B$32,0))))+1)),0)</f>
        <v/>
      </c>
      <c r="S2081">
        <f>IFERROR(O2081/N2081,0)</f>
        <v/>
      </c>
      <c r="T2081">
        <f>IF(C2081,(H2081*N2081*IF(AND(Inputs!$B$39&lt;&gt;"pvp",Inputs!$B$44&gt;0),((Skills!G11*((R2081-1)*IF(Skills!H11&gt;0,Skills!I11/Skills!H11,1)+IF(Skills!H11&gt;0,MIN(Skills!I11,MAX(0,MAX(0,Inputs!$B$44-B2114)-((R2081-1)*IF(Inputs!$B$39="pvp",15,MAX(0.1,Skills!D11-IF(Skills!E11=TRUE,Inputs!$B$32,0))))))/Skills!H11,1)))/Inputs!$B$44),G2081*Q2081))*IF(Inputs!$B$39="pvp",1,1+(Inputs!$B$20+0+Skills!P11+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2081*(1-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1">
        <f>IF(C2081,(H2081*N2081*IF(AND(Inputs!$B$39&lt;&gt;"pvp",Inputs!$B$44&gt;0),((Skills!G11*((R2081-1)*IF(Skills!H11&gt;0,Skills!I11/Skills!H11,1)+IF(Skills!H11&gt;0,MIN(Skills!I11,MAX(0,MAX(0,Inputs!$B$44-B2114)-((R2081-1)*IF(Inputs!$B$39="pvp",15,MAX(0.1,Skills!D11-IF(Skills!E11=TRUE,Inputs!$B$32,0))))))/Skills!H11,1)))/Inputs!$B$44),G2081*Q2081))*IF(Inputs!$B$39="pvp",1,(1+(Inputs!$B$21+Skills!Q11+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2">
      <c r="A2082">
        <f>Skills!A12</f>
        <v/>
      </c>
      <c r="B2082">
        <f>Skills!B12</f>
        <v/>
      </c>
      <c r="C2082">
        <f>Inputs!$B$3&gt;=105</f>
        <v/>
      </c>
      <c r="D2082">
        <f>IF(Skills!C12=1,60+Inputs!$B$25+Inputs!$B$29,IF(Skills!C12=2,90+Inputs!$B$26+Inputs!$B$29,IF(Skills!C12=3,120+Inputs!$B$27+Inputs!$B$29,MAX(0,(Inputs!$B$3-100)*3)+Inputs!$B$28+Inputs!$B$29)))</f>
        <v/>
      </c>
      <c r="E2082">
        <f>INDEX(FactorTable!$B$2:$Y$301, MATCH(ROUND(MIN(300,MAX(1,D2082)),0), FactorTable!$A$2:$A$301,0), Skills!M12+1)</f>
        <v/>
      </c>
      <c r="F2082">
        <f>IF(Skills!N12=TRUE,(Skills!L12/10)*(E2082/1000),Skills!L12/10)+Skills!O12</f>
        <v/>
      </c>
      <c r="G2082">
        <f>Skills!G12*IF(Skills!H12&gt;0,Skills!I12/Skills!H12,1)</f>
        <v/>
      </c>
      <c r="H2082">
        <f>1-(1-Skills!J12/100)^Skills!K12</f>
        <v/>
      </c>
      <c r="I2082" t="inlineStr">
        <is>
          <t>1</t>
        </is>
      </c>
      <c r="J2082">
        <f>((Inputs!$B$6*(1+Inputs!$B$7/100))+(((Inputs!$B$12*(1+Inputs!$B$13/100))-(Inputs!$B$12*(1+Inputs!$B$13/100)))+0.25*(Inputs!$B$14-Inputs!$B$14))*(1+Inputs!$B$7/100))*(F2082/100)</f>
        <v/>
      </c>
      <c r="K2082">
        <f>J2082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2082)</f>
        <v/>
      </c>
      <c r="L2082">
        <f>K2082*(MIN(Inputs!$B$22+((C2094=TRUE)*(F2094-Calc!F24)),(Inputs!$B$23+((C2099=TRUE)*(F2099-Calc!F29))+IF(ArtifactsInput!$M$15,CHOOSE(ArtifactsInput!$N$15+1,25,30,35,40,45,50)/100*(Inputs!$B$11-Inputs!$B$11),0)))/100+(Inputs!$B$23+((C2099=TRUE)*(F2099-Calc!F29))+IF(ArtifactsInput!$M$15,CHOOSE(ArtifactsInput!$N$15+1,25,30,35,40,45,50)/100*(Inputs!$B$11-Inputs!$B$11),0))/100)/2</f>
        <v/>
      </c>
      <c r="M2082">
        <f>L2082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2">
        <f>L2082*(1-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2082*(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2">
        <f>(1-Summary!$B$11)*T2082+Summary!$B$11*V2082</f>
        <v/>
      </c>
      <c r="P2082">
        <f>IF(B2115=0,0,O2082/B2115)</f>
        <v/>
      </c>
      <c r="Q2082">
        <f>IFERROR(1/IF(Inputs!$B$39="pvp",15,MAX(0.1,Skills!D12-IF(Skills!E12=TRUE,Inputs!$B$32,0))),0)</f>
        <v/>
      </c>
      <c r="R2082">
        <f>IF(AND(Inputs!$B$39&lt;&gt;"pvp",Inputs!$B$44&gt;0),IF(MAX(0,Inputs!$B$44-B2114)&lt;=0,0,(INT(MAX(0,Inputs!$B$44-B2114)/IF(Inputs!$B$39="pvp",15,MAX(0.1,Skills!D12-IF(Skills!E12=TRUE,Inputs!$B$32,0))))+1)),0)</f>
        <v/>
      </c>
      <c r="S2082">
        <f>IFERROR(O2082/N2082,0)</f>
        <v/>
      </c>
      <c r="T2082">
        <f>IF(C2082,(H2082*N2082*IF(AND(Inputs!$B$39&lt;&gt;"pvp",Inputs!$B$44&gt;0),((Skills!G12*((R2082-1)*IF(Skills!H12&gt;0,Skills!I12/Skills!H12,1)+IF(Skills!H12&gt;0,MIN(Skills!I12,MAX(0,MAX(0,Inputs!$B$44-B2114)-((R2082-1)*IF(Inputs!$B$39="pvp",15,MAX(0.1,Skills!D12-IF(Skills!E12=TRUE,Inputs!$B$32,0))))))/Skills!H12,1)))/Inputs!$B$44),G2082*Q2082))*IF(Inputs!$B$39="pvp",1,1+(Inputs!$B$20+0+Skills!P12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2082*(1-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2082*(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2082*(1-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2082*(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2">
        <f>IF(C2082,(H2082*N2082*IF(AND(Inputs!$B$39&lt;&gt;"pvp",Inputs!$B$44&gt;0),((Skills!G12*((R2082-1)*IF(Skills!H12&gt;0,Skills!I12/Skills!H12,1)+IF(Skills!H12&gt;0,MIN(Skills!I12,MAX(0,MAX(0,Inputs!$B$44-B2114)-((R2082-1)*IF(Inputs!$B$39="pvp",15,MAX(0.1,Skills!D12-IF(Skills!E12=TRUE,Inputs!$B$32,0))))))/Skills!H12,1)))/Inputs!$B$44),G2082*Q2082))*IF(Inputs!$B$39="pvp",1,(1+(Inputs!$B$21+Skills!Q12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3">
      <c r="A2083">
        <f>Skills!A13</f>
        <v/>
      </c>
      <c r="B2083">
        <f>Skills!B13</f>
        <v/>
      </c>
      <c r="C2083">
        <f>Inputs!$B$3&gt;=105</f>
        <v/>
      </c>
      <c r="D2083">
        <f>IF(Skills!C13=1,60+Inputs!$B$25+Inputs!$B$29,IF(Skills!C13=2,90+Inputs!$B$26+Inputs!$B$29,IF(Skills!C13=3,120+Inputs!$B$27+Inputs!$B$29,MAX(0,(Inputs!$B$3-100)*3)+Inputs!$B$28+Inputs!$B$29)))</f>
        <v/>
      </c>
      <c r="E2083">
        <f>INDEX(FactorTable!$B$2:$Y$301, MATCH(ROUND(MIN(300,MAX(1,D2083)),0), FactorTable!$A$2:$A$301,0), Skills!M13+1)</f>
        <v/>
      </c>
      <c r="F2083">
        <f>IF(Skills!N13=TRUE,(Skills!L13/10)*(E2083/1000),Skills!L13/10)+Skills!O13</f>
        <v/>
      </c>
      <c r="G2083">
        <f>Skills!G13*IF(Skills!H13&gt;0,Skills!I13/Skills!H13,1)</f>
        <v/>
      </c>
      <c r="H2083">
        <f>1-(1-Skills!J13/100)^Skills!K13</f>
        <v/>
      </c>
      <c r="I2083" t="inlineStr">
        <is>
          <t>1</t>
        </is>
      </c>
      <c r="J2083">
        <f>((Inputs!$B$6*(1+Inputs!$B$7/100))+(((Inputs!$B$12*(1+Inputs!$B$13/100))-(Inputs!$B$12*(1+Inputs!$B$13/100)))+0.25*(Inputs!$B$14-Inputs!$B$14))*(1+Inputs!$B$7/100))*(F2083/100)</f>
        <v/>
      </c>
      <c r="K2083">
        <f>J2083*(1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2083)</f>
        <v/>
      </c>
      <c r="L2083">
        <f>K2083*(MIN(Inputs!$B$22+((C2094=TRUE)*(F2094-Calc!F24)),(Inputs!$B$23+((C2099=TRUE)*(F2099-Calc!F29))+IF(ArtifactsInput!$M$15,CHOOSE(ArtifactsInput!$N$15+1,25,30,35,40,45,50)/100*(Inputs!$B$11-Inputs!$B$11),0)))/100+(Inputs!$B$23+((C2099=TRUE)*(F2099-Calc!F29))+IF(ArtifactsInput!$M$15,CHOOSE(ArtifactsInput!$N$15+1,25,30,35,40,45,50)/100*(Inputs!$B$11-Inputs!$B$11),0))/100)/2</f>
        <v/>
      </c>
      <c r="M2083">
        <f>L2083*(1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IF(B2115=0,0,O2083/B2115)</f>
        <v/>
      </c>
      <c r="Q2083">
        <f>IFERROR(1/IF(Inputs!$B$39="pvp",15,MAX(0.1,Skills!D13-IF(Skills!E13=TRUE,Inputs!$B$32,0))),0)</f>
        <v/>
      </c>
      <c r="R2083">
        <f>IF(AND(Inputs!$B$39&lt;&gt;"pvp",Inputs!$B$44&gt;0),IF(MAX(0,Inputs!$B$44-B2114)&lt;=0,0,(INT(MAX(0,Inputs!$B$44-B2114)/IF(Inputs!$B$39="pvp",15,MAX(0.1,Skills!D13-IF(Skills!E13=TRUE,Inputs!$B$32,0))))+1)),0)</f>
        <v/>
      </c>
      <c r="S2083">
        <f>IFERROR(O2083/N2083,0)</f>
        <v/>
      </c>
      <c r="T2083">
        <f>IF(C2083,(H2083*N2083*IF(AND(Inputs!$B$39&lt;&gt;"pvp",Inputs!$B$44&gt;0),((Skills!G13*((R2083-1)*IF(Skills!H13&gt;0,Skills!I13/Skills!H13,1)+IF(Skills!H13&gt;0,MIN(Skills!I13,MAX(0,MAX(0,Inputs!$B$44-B2114)-((R2083-1)*IF(Inputs!$B$39="pvp",15,MAX(0.1,Skills!D13-IF(Skills!E13=TRUE,Inputs!$B$32,0))))))/Skills!H13,1)))/Inputs!$B$44),G2083*Q2083))*IF(Inputs!$B$39="pvp",1,1+(Inputs!$B$20+0+Skills!P13+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2083*(1-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3">
        <f>IF(C2083,(H2083*N2083*IF(AND(Inputs!$B$39&lt;&gt;"pvp",Inputs!$B$44&gt;0),((Skills!G13*((R2083-1)*IF(Skills!H13&gt;0,Skills!I13/Skills!H13,1)+IF(Skills!H13&gt;0,MIN(Skills!I13,MAX(0,MAX(0,Inputs!$B$44-B2114)-((R2083-1)*IF(Inputs!$B$39="pvp",15,MAX(0.1,Skills!D13-IF(Skills!E13=TRUE,Inputs!$B$32,0))))))/Skills!H13,1)))/Inputs!$B$44),G2083*Q2083))*IF(Inputs!$B$39="pvp",1,(1+(Inputs!$B$21+Skills!Q13+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Skills!A14</f>
        <v/>
      </c>
      <c r="B2084">
        <f>Skills!B14</f>
        <v/>
      </c>
      <c r="C2084">
        <f>Inputs!$B$3&gt;=107</f>
        <v/>
      </c>
      <c r="D2084">
        <f>IF(Skills!C14=1,60+Inputs!$B$25+Inputs!$B$29,IF(Skills!C14=2,90+Inputs!$B$26+Inputs!$B$29,IF(Skills!C14=3,120+Inputs!$B$27+Inputs!$B$29,MAX(0,(Inputs!$B$3-100)*3)+Inputs!$B$28+Inputs!$B$29)))</f>
        <v/>
      </c>
      <c r="E2084">
        <f>INDEX(FactorTable!$B$2:$Y$301, MATCH(ROUND(MIN(300,MAX(1,D2084)),0), FactorTable!$A$2:$A$301,0), Skills!M14+1)</f>
        <v/>
      </c>
      <c r="F2084">
        <f>IF(Skills!N14=TRUE,(Skills!L14/10)*(E2084/1000),Skills!L14/10)+Skills!O14</f>
        <v/>
      </c>
      <c r="G2084">
        <f>Skills!G14*IF(Skills!H14&gt;0,Skills!I14/Skills!H14,1)</f>
        <v/>
      </c>
      <c r="H2084">
        <f>1-(1-Skills!J14/100)^Skills!K14</f>
        <v/>
      </c>
      <c r="I2084" t="inlineStr">
        <is>
          <t>1</t>
        </is>
      </c>
      <c r="J2084">
        <f>((Inputs!$B$6*(1+Inputs!$B$7/100))+(((Inputs!$B$12*(1+Inputs!$B$13/100))-(Inputs!$B$12*(1+Inputs!$B$13/100)))+0.25*(Inputs!$B$14-Inputs!$B$14))*(1+Inputs!$B$7/100))*(F2084/100)</f>
        <v/>
      </c>
      <c r="K2084">
        <f>J2084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2084)</f>
        <v/>
      </c>
      <c r="L2084">
        <f>K2084*(MIN(Inputs!$B$22+((C2094=TRUE)*(F2094-Calc!F24)),(Inputs!$B$23+((C2099=TRUE)*(F2099-Calc!F29))+IF(ArtifactsInput!$M$15,CHOOSE(ArtifactsInput!$N$15+1,25,30,35,40,45,50)/100*(Inputs!$B$11-Inputs!$B$11),0)))/100+(Inputs!$B$23+((C2099=TRUE)*(F2099-Calc!F29))+IF(ArtifactsInput!$M$15,CHOOSE(ArtifactsInput!$N$15+1,25,30,35,40,45,50)/100*(Inputs!$B$11-Inputs!$B$11),0))/100)/2</f>
        <v/>
      </c>
      <c r="M2084">
        <f>L2084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IF(B2115=0,0,O2084/B2115)</f>
        <v/>
      </c>
      <c r="Q2084">
        <f>IFERROR(1/IF(Inputs!$B$39="pvp",15,MAX(0.1,Skills!D14-IF(Skills!E14=TRUE,Inputs!$B$32,0))),0)</f>
        <v/>
      </c>
      <c r="R2084">
        <f>IF(AND(Inputs!$B$39&lt;&gt;"pvp",Inputs!$B$44&gt;0),IF(MAX(0,Inputs!$B$44-B2114)&lt;=0,0,(INT(MAX(0,Inputs!$B$44-B2114)/IF(Inputs!$B$39="pvp",15,MAX(0.1,Skills!D14-IF(Skills!E14=TRUE,Inputs!$B$32,0))))+1)),0)</f>
        <v/>
      </c>
      <c r="S2084">
        <f>IFERROR(O2084/N2084,0)</f>
        <v/>
      </c>
      <c r="T2084">
        <f>IF(C2084,(H2084*N2084*IF(AND(Inputs!$B$39&lt;&gt;"pvp",Inputs!$B$44&gt;0),((Skills!G14*((R2084-1)*IF(Skills!H14&gt;0,Skills!I14/Skills!H14,1)+IF(Skills!H14&gt;0,MIN(Skills!I14,MAX(0,MAX(0,Inputs!$B$44-B2114)-((R2084-1)*IF(Inputs!$B$39="pvp",15,MAX(0.1,Skills!D14-IF(Skills!E14=TRUE,Inputs!$B$32,0))))))/Skills!H14,1)))/Inputs!$B$44),G2084*Q2084))*IF(Inputs!$B$39="pvp",1,1+(Inputs!$B$20+0+Skills!P14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2084*(1-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4">
        <f>IF(C2084,(H2084*N2084*IF(AND(Inputs!$B$39&lt;&gt;"pvp",Inputs!$B$44&gt;0),((Skills!G14*((R2084-1)*IF(Skills!H14&gt;0,Skills!I14/Skills!H14,1)+IF(Skills!H14&gt;0,MIN(Skills!I14,MAX(0,MAX(0,Inputs!$B$44-B2114)-((R2084-1)*IF(Inputs!$B$39="pvp",15,MAX(0.1,Skills!D14-IF(Skills!E14=TRUE,Inputs!$B$32,0))))))/Skills!H14,1)))/Inputs!$B$44),G2084*Q2084))*IF(Inputs!$B$39="pvp",1,(1+(Inputs!$B$21+Skills!Q14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(5,0.25*B2107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Skills!A15</f>
        <v/>
      </c>
      <c r="B2085">
        <f>Skills!B15</f>
        <v/>
      </c>
      <c r="C2085">
        <f>Inputs!$B$3&gt;=110</f>
        <v/>
      </c>
      <c r="D2085">
        <f>IF(Skills!C15=1,60+Inputs!$B$25+Inputs!$B$29,IF(Skills!C15=2,90+Inputs!$B$26+Inputs!$B$29,IF(Skills!C15=3,120+Inputs!$B$27+Inputs!$B$29,MAX(0,(Inputs!$B$3-100)*3)+Inputs!$B$28+Inputs!$B$29)))</f>
        <v/>
      </c>
      <c r="E2085">
        <f>INDEX(FactorTable!$B$2:$Y$301, MATCH(ROUND(MIN(300,MAX(1,D2085)),0), FactorTable!$A$2:$A$301,0), Skills!M15+1)</f>
        <v/>
      </c>
      <c r="F2085">
        <f>IF(Skills!N15=TRUE,(Skills!L15/10)*(E2085/1000),Skills!L15/10)+Skills!O15</f>
        <v/>
      </c>
      <c r="G2085">
        <f>Skills!G15*IF(Skills!H15&gt;0,Skills!I15/Skills!H15,1)</f>
        <v/>
      </c>
      <c r="H2085">
        <f>1-(1-Skills!J15/100)^Skills!K15</f>
        <v/>
      </c>
      <c r="I2085" t="inlineStr">
        <is>
          <t>1</t>
        </is>
      </c>
      <c r="J2085" t="inlineStr"/>
      <c r="K2085" t="inlineStr"/>
      <c r="L2085" t="inlineStr"/>
      <c r="M2085" t="inlineStr"/>
      <c r="N2085" t="inlineStr"/>
      <c r="O2085">
        <f>(1-Summary!$B$11)*T2085+Summary!$B$11*V2085</f>
        <v/>
      </c>
      <c r="P2085">
        <f>IF(B2115=0,0,O2085/B2115)</f>
        <v/>
      </c>
      <c r="Q2085">
        <f>IFERROR(1/IF(Inputs!$B$39="pvp",15,MAX(0.1,Skills!D15-IF(Skills!E15=TRUE,Inputs!$B$32,0))),0)</f>
        <v/>
      </c>
      <c r="R2085">
        <f>IF(AND(Inputs!$B$39&lt;&gt;"pvp",Inputs!$B$44&gt;0),IF(Inputs!$B$44&lt;=0,0,(INT(Inputs!$B$44/IF(Inputs!$B$39="pvp",15,MAX(0.1,Skills!D15-IF(Skills!E15=TRUE,Inputs!$B$32,0))))+1)),0)</f>
        <v/>
      </c>
      <c r="S2085">
        <f>IFERROR(O2085/N2085,0)</f>
        <v/>
      </c>
      <c r="T2085" t="n">
        <v>0</v>
      </c>
      <c r="V2085" t="n">
        <v>0</v>
      </c>
    </row>
    <row r="2086">
      <c r="A2086">
        <f>Skills!A16</f>
        <v/>
      </c>
      <c r="B2086">
        <f>Skills!B16</f>
        <v/>
      </c>
      <c r="C2086">
        <f>Inputs!$B$3&gt;=115</f>
        <v/>
      </c>
      <c r="D2086">
        <f>IF(Skills!C16=1,60+Inputs!$B$25+Inputs!$B$29,IF(Skills!C16=2,90+Inputs!$B$26+Inputs!$B$29,IF(Skills!C16=3,120+Inputs!$B$27+Inputs!$B$29,MAX(0,(Inputs!$B$3-100)*3)+Inputs!$B$28+Inputs!$B$29)))</f>
        <v/>
      </c>
      <c r="E2086">
        <f>INDEX(FactorTable!$B$2:$Y$301, MATCH(ROUND(MIN(300,MAX(1,D2086)),0), FactorTable!$A$2:$A$301,0), Skills!M16+1)</f>
        <v/>
      </c>
      <c r="F2086">
        <f>IF(Skills!N16=TRUE,(Skills!L16/10)*(E2086/1000),Skills!L16/10)+Skills!O16</f>
        <v/>
      </c>
      <c r="G2086">
        <f>Skills!G16*IF(Skills!H16&gt;0,Skills!I16/Skills!H16,1)</f>
        <v/>
      </c>
      <c r="H2086">
        <f>1-(1-Skills!J16/100)^Skills!K16</f>
        <v/>
      </c>
      <c r="I2086" t="inlineStr">
        <is>
          <t>1</t>
        </is>
      </c>
      <c r="J2086">
        <f>((Inputs!$B$6*(1+Inputs!$B$7/100))+(((Inputs!$B$12*(1+Inputs!$B$13/100))-(Inputs!$B$12*(1+Inputs!$B$13/100)))+0.25*(Inputs!$B$14-Inputs!$B$14))*(1+Inputs!$B$7/100))*(F2086/100)</f>
        <v/>
      </c>
      <c r="K2086">
        <f>J2086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2097=TRUE)*(F2097-Calc!F27))+((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2086)</f>
        <v/>
      </c>
      <c r="L2086">
        <f>K2086*(MIN(Inputs!$B$22+((C2094=TRUE)*(F2094-Calc!F24)),(Inputs!$B$23+((C2099=TRUE)*(F2099-Calc!F29))+IF(ArtifactsInput!$M$15,CHOOSE(ArtifactsInput!$N$15+1,25,30,35,40,45,50)/100*(Inputs!$B$11-Inputs!$B$11),0)))/100+(Inputs!$B$23+((C2099=TRUE)*(F2099-Calc!F29))+IF(ArtifactsInput!$M$15,CHOOSE(ArtifactsInput!$N$15+1,25,30,35,40,45,50)/100*(Inputs!$B$11-Inputs!$B$11),0))/100)/2</f>
        <v/>
      </c>
      <c r="M2086">
        <f>L2086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IF(B2115=0,0,O2086/B2115)</f>
        <v/>
      </c>
      <c r="Q2086" t="n">
        <v>0</v>
      </c>
      <c r="R2086" t="n">
        <v>0</v>
      </c>
      <c r="S2086">
        <f>IFERROR(O2086/N2086,0)</f>
        <v/>
      </c>
      <c r="T2086">
        <f>IF(C2086,(Inputs!$B$38*0.2*N2086)*IF(Inputs!$B$39="pvp",1,1+(Inputs!$B$20+0+Skills!P16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2086*(1-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2095=TRUE)*(F2095-Calc!F25))+B2103+(ArtifactsInput!$M$24-ArtifactsInput!$M$24)*CHOOSE(ArtifactsInput!$N$24+1,10,12,14,16,18,20)+(IF(AND(Inputs!$B$39&lt;&gt;"pvp",Inputs!$B$44=0),1,IF(IF(Inputs!$B$39="pvp",15,Inputs!$B$44)-(B2114)&lt;=0,1,MAX(0,IF(Inputs!$B$39="pvp",15,Inputs!$B$44)-MAX(5,B2114))/(IF(Inputs!$B$39="pvp",15,Inputs!$B$44)-(B2114))))*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6">
        <f>IF(C2086,(Inputs!$B$38*0.2*N2086)*IF(Inputs!$B$39="pvp",1,(1+(Inputs!$B$21+Skills!Q16+B2104+(IF(ArtifactsInput!$M$33,CHOOSE(ArtifactsInput!$N$33+1,30,36,42,48,54,60),0))+(IF(AND(ArtifactsInput!$M$35,Inputs!$B$4&lt;&gt;"Chapter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Skills!A17</f>
        <v/>
      </c>
      <c r="B2087">
        <f>Skills!B17</f>
        <v/>
      </c>
      <c r="C2087">
        <f>Inputs!$B$3&gt;=115</f>
        <v/>
      </c>
      <c r="D2087">
        <f>IF(Skills!C17=1,60+Inputs!$B$25+Inputs!$B$29,IF(Skills!C17=2,90+Inputs!$B$26+Inputs!$B$29,IF(Skills!C17=3,120+Inputs!$B$27+Inputs!$B$29,MAX(0,(Inputs!$B$3-100)*3)+Inputs!$B$28+Inputs!$B$29)))</f>
        <v/>
      </c>
      <c r="E2087">
        <f>INDEX(FactorTable!$B$2:$Y$301, MATCH(ROUND(MIN(300,MAX(1,D2087)),0), FactorTable!$A$2:$A$301,0), Skills!M17+1)</f>
        <v/>
      </c>
      <c r="F2087">
        <f>IF(Skills!N17=TRUE,(Skills!L17/10)*(E2087/1000),Skills!L17/10)+Skills!O17</f>
        <v/>
      </c>
      <c r="G2087">
        <f>Skills!G17*IF(Skills!H17&gt;0,Skills!I17/Skills!H17,1)</f>
        <v/>
      </c>
      <c r="H2087">
        <f>1-(1-Skills!J17/100)^Skills!K17</f>
        <v/>
      </c>
      <c r="I2087" t="inlineStr">
        <is>
          <t>1</t>
        </is>
      </c>
      <c r="J2087" t="inlineStr"/>
      <c r="K2087" t="inlineStr"/>
      <c r="L2087" t="inlineStr"/>
      <c r="M2087" t="inlineStr"/>
      <c r="N2087" t="inlineStr"/>
      <c r="O2087">
        <f>(1-Summary!$B$11)*T2087+Summary!$B$11*V2087</f>
        <v/>
      </c>
      <c r="P2087">
        <f>IF(B2115=0,0,O2087/B2115)</f>
        <v/>
      </c>
      <c r="Q2087" t="n">
        <v>0</v>
      </c>
      <c r="R2087" t="n">
        <v>0</v>
      </c>
      <c r="S2087">
        <f>IFERROR(O2087/N2087,0)</f>
        <v/>
      </c>
      <c r="T2087" t="n">
        <v>0</v>
      </c>
      <c r="V2087" t="n">
        <v>0</v>
      </c>
    </row>
    <row r="2088">
      <c r="A2088">
        <f>Skills!A18</f>
        <v/>
      </c>
      <c r="B2088">
        <f>Skills!B18</f>
        <v/>
      </c>
      <c r="C2088">
        <f>Inputs!$B$3&gt;=100</f>
        <v/>
      </c>
      <c r="D2088">
        <f>IF(Skills!C18=1,60+Inputs!$B$25+Inputs!$B$29,IF(Skills!C18=2,90+Inputs!$B$26+Inputs!$B$29,IF(Skills!C18=3,120+Inputs!$B$27+Inputs!$B$29,MAX(0,(Inputs!$B$3-100)*3)+Inputs!$B$28+Inputs!$B$29)))</f>
        <v/>
      </c>
      <c r="E2088">
        <f>INDEX(FactorTable!$B$2:$Y$301, MATCH(ROUND(MIN(300,MAX(1,D2088)),0), FactorTable!$A$2:$A$301,0), Skills!M18+1)</f>
        <v/>
      </c>
      <c r="F2088">
        <f>IF(Skills!N18=TRUE,(Skills!L18/10)*(E2088/1000),Skills!L18/10)+Skills!O18</f>
        <v/>
      </c>
      <c r="G2088">
        <f>Skills!G18*IF(Skills!H18&gt;0,Skills!I18/Skills!H18,1)</f>
        <v/>
      </c>
      <c r="H2088">
        <f>1-(1-Skills!J18/100)^Skills!K18</f>
        <v/>
      </c>
      <c r="I2088" t="inlineStr">
        <is>
          <t>1</t>
        </is>
      </c>
      <c r="J2088" t="inlineStr"/>
      <c r="K2088" t="inlineStr"/>
      <c r="L2088" t="inlineStr"/>
      <c r="M2088" t="inlineStr"/>
      <c r="N2088" t="inlineStr"/>
      <c r="O2088">
        <f>(1-Summary!$B$11)*T2088+Summary!$B$11*V2088</f>
        <v/>
      </c>
      <c r="P2088">
        <f>IF(B2115=0,0,O2088/B2115)</f>
        <v/>
      </c>
      <c r="Q2088" t="n">
        <v>0</v>
      </c>
      <c r="R2088" t="n">
        <v>0</v>
      </c>
      <c r="S2088">
        <f>IFERROR(O2088/N2088,0)</f>
        <v/>
      </c>
      <c r="T2088" t="n">
        <v>0</v>
      </c>
      <c r="V2088" t="n">
        <v>0</v>
      </c>
    </row>
    <row r="2089">
      <c r="A2089">
        <f>Skills!A19</f>
        <v/>
      </c>
      <c r="B2089">
        <f>Skills!B19</f>
        <v/>
      </c>
      <c r="C2089">
        <f>TRUE</f>
        <v/>
      </c>
      <c r="D2089">
        <f>IF(Skills!C19=1,60+Inputs!$B$25+Inputs!$B$29,IF(Skills!C19=2,90+Inputs!$B$26+Inputs!$B$29,IF(Skills!C19=3,120+Inputs!$B$27+Inputs!$B$29,MAX(0,(Inputs!$B$3-100)*3)+Inputs!$B$28+Inputs!$B$29)))</f>
        <v/>
      </c>
      <c r="E2089">
        <f>INDEX(FactorTable!$B$2:$Y$301, MATCH(ROUND(MIN(300,MAX(1,D2089)),0), FactorTable!$A$2:$A$301,0), Skills!M19+1)</f>
        <v/>
      </c>
      <c r="F2089">
        <f>IF(Skills!N19=TRUE,(Skills!L19/10)*(E2089/1000),Skills!L19/10)+Skills!O19</f>
        <v/>
      </c>
      <c r="G2089">
        <f>Skills!G19*IF(Skills!H19&gt;0,Skills!I19/Skills!H19,1)</f>
        <v/>
      </c>
      <c r="H2089">
        <f>1-(1-Skills!J19/100)^Skills!K19</f>
        <v/>
      </c>
      <c r="I2089" t="inlineStr">
        <is>
          <t>1</t>
        </is>
      </c>
      <c r="J2089" t="inlineStr"/>
      <c r="K2089" t="inlineStr"/>
      <c r="L2089" t="inlineStr"/>
      <c r="M2089" t="inlineStr"/>
      <c r="N2089" t="inlineStr"/>
      <c r="O2089">
        <f>(1-Summary!$B$11)*T2089+Summary!$B$11*V2089</f>
        <v/>
      </c>
      <c r="P2089">
        <f>IF(B2115=0,0,O2089/B2115)</f>
        <v/>
      </c>
      <c r="Q2089">
        <f>IFERROR(1/IF(Inputs!$B$39="pvp",15,MAX(0.1,Skills!D19-IF(Skills!E19=TRUE,Inputs!$B$32,0))),0)</f>
        <v/>
      </c>
      <c r="R2089">
        <f>IF(AND(Inputs!$B$39&lt;&gt;"pvp",Inputs!$B$44&gt;0),IF(Inputs!$B$44&lt;=0,0,(INT(Inputs!$B$44/IF(Inputs!$B$39="pvp",15,MAX(0.1,Skills!D19-IF(Skills!E19=TRUE,Inputs!$B$32,0))))+1)),0)</f>
        <v/>
      </c>
      <c r="S2089">
        <f>IFERROR(O2089/N2089,0)</f>
        <v/>
      </c>
      <c r="T2089" t="n">
        <v>0</v>
      </c>
      <c r="V2089" t="n">
        <v>0</v>
      </c>
    </row>
    <row r="2090">
      <c r="A2090">
        <f>Skills!A20</f>
        <v/>
      </c>
      <c r="B2090">
        <f>Skills!B20</f>
        <v/>
      </c>
      <c r="C2090">
        <f>Inputs!$B$3&gt;=15</f>
        <v/>
      </c>
      <c r="D2090">
        <f>IF(Skills!C20=1,60+Inputs!$B$25+Inputs!$B$29,IF(Skills!C20=2,90+Inputs!$B$26+Inputs!$B$29,IF(Skills!C20=3,120+Inputs!$B$27+Inputs!$B$29,MAX(0,(Inputs!$B$3-100)*3)+Inputs!$B$28+Inputs!$B$29)))</f>
        <v/>
      </c>
      <c r="E2090">
        <f>INDEX(FactorTable!$B$2:$Y$301, MATCH(ROUND(MIN(300,MAX(1,D2090)),0), FactorTable!$A$2:$A$301,0), Skills!M20+1)</f>
        <v/>
      </c>
      <c r="F2090">
        <f>IF(Skills!N20=TRUE,(Skills!L20/10)*(E2090/1000),Skills!L20/10)+Skills!O20</f>
        <v/>
      </c>
      <c r="G2090">
        <f>Skills!G20*IF(Skills!H20&gt;0,Skills!I20/Skills!H20,1)</f>
        <v/>
      </c>
      <c r="H2090">
        <f>1-(1-Skills!J20/100)^Skills!K20</f>
        <v/>
      </c>
      <c r="I2090" t="inlineStr">
        <is>
          <t>1</t>
        </is>
      </c>
      <c r="J2090" t="inlineStr"/>
      <c r="K2090" t="inlineStr"/>
      <c r="L2090" t="inlineStr"/>
      <c r="M2090" t="inlineStr"/>
      <c r="N2090" t="inlineStr"/>
      <c r="O2090">
        <f>(1-Summary!$B$11)*T2090+Summary!$B$11*V2090</f>
        <v/>
      </c>
      <c r="P2090">
        <f>IF(B2115=0,0,O2090/B2115)</f>
        <v/>
      </c>
      <c r="Q2090">
        <f>IFERROR(1/IF(Inputs!$B$39="pvp",15,MAX(0.1,Skills!D20-IF(Skills!E20=TRUE,Inputs!$B$32,0))),0)</f>
        <v/>
      </c>
      <c r="R2090">
        <f>IF(AND(Inputs!$B$39&lt;&gt;"pvp",Inputs!$B$44&gt;0),IF(Inputs!$B$44&lt;=0,0,(INT(Inputs!$B$44/IF(Inputs!$B$39="pvp",15,MAX(0.1,Skills!D20-IF(Skills!E20=TRUE,Inputs!$B$32,0))))+1)),0)</f>
        <v/>
      </c>
      <c r="S2090">
        <f>IFERROR(O2090/N2090,0)</f>
        <v/>
      </c>
      <c r="T2090" t="n">
        <v>0</v>
      </c>
      <c r="V2090" t="n">
        <v>0</v>
      </c>
    </row>
    <row r="2091">
      <c r="A2091">
        <f>Skills!A21</f>
        <v/>
      </c>
      <c r="B2091">
        <f>Skills!B21</f>
        <v/>
      </c>
      <c r="C2091">
        <f>Inputs!$B$3&gt;=15</f>
        <v/>
      </c>
      <c r="D2091">
        <f>IF(Skills!C21=1,60+Inputs!$B$25+Inputs!$B$29,IF(Skills!C21=2,90+Inputs!$B$26+Inputs!$B$29,IF(Skills!C21=3,120+Inputs!$B$27+Inputs!$B$29,MAX(0,(Inputs!$B$3-100)*3)+Inputs!$B$28+Inputs!$B$29)))</f>
        <v/>
      </c>
      <c r="E2091">
        <f>INDEX(FactorTable!$B$2:$Y$301, MATCH(ROUND(MIN(300,MAX(1,D2091)),0), FactorTable!$A$2:$A$301,0), Skills!M21+1)</f>
        <v/>
      </c>
      <c r="F2091">
        <f>IF(Skills!N21=TRUE,(Skills!L21/10)*(E2091/1000),Skills!L21/10)+Skills!O21</f>
        <v/>
      </c>
      <c r="G2091">
        <f>Skills!G21*IF(Skills!H21&gt;0,Skills!I21/Skills!H21,1)</f>
        <v/>
      </c>
      <c r="H2091">
        <f>1-(1-Skills!J21/100)^Skills!K21</f>
        <v/>
      </c>
      <c r="I2091" t="inlineStr">
        <is>
          <t>1</t>
        </is>
      </c>
      <c r="J2091" t="inlineStr"/>
      <c r="K2091" t="inlineStr"/>
      <c r="L2091" t="inlineStr"/>
      <c r="M2091" t="inlineStr"/>
      <c r="N2091" t="inlineStr"/>
      <c r="O2091">
        <f>(1-Summary!$B$11)*T2091+Summary!$B$11*V2091</f>
        <v/>
      </c>
      <c r="P2091">
        <f>IF(B2115=0,0,O2091/B2115)</f>
        <v/>
      </c>
      <c r="Q2091">
        <f>IFERROR(1/IF(Inputs!$B$39="pvp",15,MAX(0.1,Skills!D21-IF(Skills!E21=TRUE,Inputs!$B$32,0))),0)</f>
        <v/>
      </c>
      <c r="R2091">
        <f>IF(AND(Inputs!$B$39&lt;&gt;"pvp",Inputs!$B$44&gt;0),IF(Inputs!$B$44&lt;=0,0,(INT(Inputs!$B$44/IF(Inputs!$B$39="pvp",15,MAX(0.1,Skills!D21-IF(Skills!E21=TRUE,Inputs!$B$32,0))))+1)),0)</f>
        <v/>
      </c>
      <c r="S2091">
        <f>IFERROR(O2091/N2091,0)</f>
        <v/>
      </c>
      <c r="T2091" t="n">
        <v>0</v>
      </c>
      <c r="V2091" t="n">
        <v>0</v>
      </c>
    </row>
    <row r="2092">
      <c r="A2092">
        <f>Skills!A22</f>
        <v/>
      </c>
      <c r="B2092">
        <f>Skills!B22</f>
        <v/>
      </c>
      <c r="C2092">
        <f>Inputs!$B$3&gt;=33</f>
        <v/>
      </c>
      <c r="D2092">
        <f>IF(Skills!C22=1,60+Inputs!$B$25+Inputs!$B$29,IF(Skills!C22=2,90+Inputs!$B$26+Inputs!$B$29,IF(Skills!C22=3,120+Inputs!$B$27+Inputs!$B$29,MAX(0,(Inputs!$B$3-100)*3)+Inputs!$B$28+Inputs!$B$29)))</f>
        <v/>
      </c>
      <c r="E2092">
        <f>INDEX(FactorTable!$B$2:$Y$301, MATCH(ROUND(MIN(300,MAX(1,D2092)),0), FactorTable!$A$2:$A$301,0), Skills!M22+1)</f>
        <v/>
      </c>
      <c r="F2092">
        <f>IF(Skills!N22=TRUE,(Skills!L22/10)*(E2092/1000),Skills!L22/10)+Skills!O22</f>
        <v/>
      </c>
      <c r="G2092">
        <f>Skills!G22*IF(Skills!H22&gt;0,Skills!I22/Skills!H22,1)</f>
        <v/>
      </c>
      <c r="H2092">
        <f>1-(1-Skills!J22/100)^Skills!K22</f>
        <v/>
      </c>
      <c r="I2092" t="inlineStr">
        <is>
          <t>1</t>
        </is>
      </c>
      <c r="J2092" t="inlineStr"/>
      <c r="K2092" t="inlineStr"/>
      <c r="L2092" t="inlineStr"/>
      <c r="M2092" t="inlineStr"/>
      <c r="N2092" t="inlineStr"/>
      <c r="O2092">
        <f>(1-Summary!$B$11)*T2092+Summary!$B$11*V2092</f>
        <v/>
      </c>
      <c r="P2092">
        <f>IF(B2115=0,0,O2092/B2115)</f>
        <v/>
      </c>
      <c r="Q2092" t="n">
        <v>0</v>
      </c>
      <c r="R2092" t="n">
        <v>0</v>
      </c>
      <c r="S2092">
        <f>IFERROR(O2092/N2092,0)</f>
        <v/>
      </c>
      <c r="T2092" t="n">
        <v>0</v>
      </c>
      <c r="V2092" t="n">
        <v>0</v>
      </c>
    </row>
    <row r="2093">
      <c r="A2093">
        <f>Skills!A23</f>
        <v/>
      </c>
      <c r="B2093">
        <f>Skills!B23</f>
        <v/>
      </c>
      <c r="C2093">
        <f>Inputs!$B$3&gt;=40</f>
        <v/>
      </c>
      <c r="D2093">
        <f>IF(Skills!C23=1,60+Inputs!$B$25+Inputs!$B$29,IF(Skills!C23=2,90+Inputs!$B$26+Inputs!$B$29,IF(Skills!C23=3,120+Inputs!$B$27+Inputs!$B$29,MAX(0,(Inputs!$B$3-100)*3)+Inputs!$B$28+Inputs!$B$29)))</f>
        <v/>
      </c>
      <c r="E2093">
        <f>INDEX(FactorTable!$B$2:$Y$301, MATCH(ROUND(MIN(300,MAX(1,D2093)),0), FactorTable!$A$2:$A$301,0), Skills!M23+1)</f>
        <v/>
      </c>
      <c r="F2093">
        <f>IF(Skills!N23=TRUE,(Skills!L23/10)*(E2093/1000),Skills!L23/10)+Skills!O23</f>
        <v/>
      </c>
      <c r="G2093">
        <f>Skills!G23*IF(Skills!H23&gt;0,Skills!I23/Skills!H23,1)</f>
        <v/>
      </c>
      <c r="H2093">
        <f>1-(1-Skills!J23/100)^Skills!K23</f>
        <v/>
      </c>
      <c r="I2093" t="inlineStr">
        <is>
          <t>1</t>
        </is>
      </c>
      <c r="J2093" t="inlineStr"/>
      <c r="K2093" t="inlineStr"/>
      <c r="L2093" t="inlineStr"/>
      <c r="M2093" t="inlineStr"/>
      <c r="N2093" t="inlineStr"/>
      <c r="O2093">
        <f>(1-Summary!$B$11)*T2093+Summary!$B$11*V2093</f>
        <v/>
      </c>
      <c r="P2093">
        <f>IF(B2115=0,0,O2093/B2115)</f>
        <v/>
      </c>
      <c r="Q2093" t="n">
        <v>0</v>
      </c>
      <c r="R2093" t="n">
        <v>0</v>
      </c>
      <c r="S2093">
        <f>IFERROR(O2093/N2093,0)</f>
        <v/>
      </c>
      <c r="T2093" t="n">
        <v>0</v>
      </c>
      <c r="V2093" t="n">
        <v>0</v>
      </c>
    </row>
    <row r="2094">
      <c r="A2094">
        <f>Skills!A24</f>
        <v/>
      </c>
      <c r="B2094">
        <f>Skills!B24</f>
        <v/>
      </c>
      <c r="C2094">
        <f>Inputs!$B$3&gt;=43</f>
        <v/>
      </c>
      <c r="D2094">
        <f>IF(Skills!C24=1,60+Inputs!$B$25+Inputs!$B$29,IF(Skills!C24=2,90+Inputs!$B$26+Inputs!$B$29,IF(Skills!C24=3,120+Inputs!$B$27+Inputs!$B$29,MAX(0,(Inputs!$B$3-100)*3)+Inputs!$B$28+Inputs!$B$29)))</f>
        <v/>
      </c>
      <c r="E2094">
        <f>INDEX(FactorTable!$B$2:$Y$301, MATCH(ROUND(MIN(300,MAX(1,D2094)),0), FactorTable!$A$2:$A$301,0), Skills!M24+1)</f>
        <v/>
      </c>
      <c r="F2094">
        <f>IF(Skills!N24=TRUE,(Skills!L24/10)*(E2094/1000),Skills!L24/10)+Skills!O24</f>
        <v/>
      </c>
      <c r="G2094">
        <f>Skills!G24*IF(Skills!H24&gt;0,Skills!I24/Skills!H24,1)</f>
        <v/>
      </c>
      <c r="H2094">
        <f>1-(1-Skills!J24/100)^Skills!K24</f>
        <v/>
      </c>
      <c r="I2094" t="inlineStr">
        <is>
          <t>1</t>
        </is>
      </c>
      <c r="J2094" t="inlineStr"/>
      <c r="K2094" t="inlineStr"/>
      <c r="L2094" t="inlineStr"/>
      <c r="M2094" t="inlineStr"/>
      <c r="N2094" t="inlineStr"/>
      <c r="O2094">
        <f>(1-Summary!$B$11)*T2094+Summary!$B$11*V2094</f>
        <v/>
      </c>
      <c r="P2094">
        <f>IF(B2115=0,0,O2094/B2115)</f>
        <v/>
      </c>
      <c r="Q2094" t="n">
        <v>0</v>
      </c>
      <c r="R2094" t="n">
        <v>0</v>
      </c>
      <c r="S2094">
        <f>IFERROR(O2094/N2094,0)</f>
        <v/>
      </c>
      <c r="T2094" t="n">
        <v>0</v>
      </c>
      <c r="V2094" t="n">
        <v>0</v>
      </c>
    </row>
    <row r="2095">
      <c r="A2095">
        <f>Skills!A25</f>
        <v/>
      </c>
      <c r="B2095">
        <f>Skills!B25</f>
        <v/>
      </c>
      <c r="C2095">
        <f>Inputs!$B$3&gt;=50</f>
        <v/>
      </c>
      <c r="D2095">
        <f>IF(Skills!C25=1,60+Inputs!$B$25+Inputs!$B$29,IF(Skills!C25=2,90+Inputs!$B$26+Inputs!$B$29,IF(Skills!C25=3,120+Inputs!$B$27+Inputs!$B$29,MAX(0,(Inputs!$B$3-100)*3)+Inputs!$B$28+Inputs!$B$29)))</f>
        <v/>
      </c>
      <c r="E2095">
        <f>INDEX(FactorTable!$B$2:$Y$301, MATCH(ROUND(MIN(300,MAX(1,D2095)),0), FactorTable!$A$2:$A$301,0), Skills!M25+1)</f>
        <v/>
      </c>
      <c r="F2095">
        <f>IF(Skills!N25=TRUE,(Skills!L25/10)*(E2095/1000),Skills!L25/10)+Skills!O25</f>
        <v/>
      </c>
      <c r="G2095">
        <f>Skills!G25*IF(Skills!H25&gt;0,Skills!I25/Skills!H25,1)</f>
        <v/>
      </c>
      <c r="H2095">
        <f>1-(1-Skills!J25/100)^Skills!K25</f>
        <v/>
      </c>
      <c r="I2095" t="inlineStr">
        <is>
          <t>1</t>
        </is>
      </c>
      <c r="J2095" t="inlineStr"/>
      <c r="K2095" t="inlineStr"/>
      <c r="L2095" t="inlineStr"/>
      <c r="M2095" t="inlineStr"/>
      <c r="N2095" t="inlineStr"/>
      <c r="O2095">
        <f>(1-Summary!$B$11)*T2095+Summary!$B$11*V2095</f>
        <v/>
      </c>
      <c r="P2095">
        <f>IF(B2115=0,0,O2095/B2115)</f>
        <v/>
      </c>
      <c r="Q2095" t="n">
        <v>0</v>
      </c>
      <c r="R2095" t="n">
        <v>0</v>
      </c>
      <c r="S2095">
        <f>IFERROR(O2095/N2095,0)</f>
        <v/>
      </c>
      <c r="T2095" t="n">
        <v>0</v>
      </c>
      <c r="V2095" t="n">
        <v>0</v>
      </c>
    </row>
    <row r="2096">
      <c r="A2096">
        <f>Skills!A26</f>
        <v/>
      </c>
      <c r="B2096">
        <f>Skills!B26</f>
        <v/>
      </c>
      <c r="C2096">
        <f>Inputs!$B$3&gt;=50</f>
        <v/>
      </c>
      <c r="D2096">
        <f>IF(Skills!C26=1,60+Inputs!$B$25+Inputs!$B$29,IF(Skills!C26=2,90+Inputs!$B$26+Inputs!$B$29,IF(Skills!C26=3,120+Inputs!$B$27+Inputs!$B$29,MAX(0,(Inputs!$B$3-100)*3)+Inputs!$B$28+Inputs!$B$29)))</f>
        <v/>
      </c>
      <c r="E2096">
        <f>INDEX(FactorTable!$B$2:$Y$301, MATCH(ROUND(MIN(300,MAX(1,D2096)),0), FactorTable!$A$2:$A$301,0), Skills!M26+1)</f>
        <v/>
      </c>
      <c r="F2096">
        <f>IF(Skills!N26=TRUE,(Skills!L26/10)*(E2096/1000),Skills!L26/10)+Skills!O26</f>
        <v/>
      </c>
      <c r="G2096">
        <f>Skills!G26*IF(Skills!H26&gt;0,Skills!I26/Skills!H26,1)</f>
        <v/>
      </c>
      <c r="H2096">
        <f>1-(1-Skills!J26/100)^Skills!K26</f>
        <v/>
      </c>
      <c r="I2096" t="inlineStr">
        <is>
          <t>1</t>
        </is>
      </c>
      <c r="J2096" t="inlineStr"/>
      <c r="K2096" t="inlineStr"/>
      <c r="L2096" t="inlineStr"/>
      <c r="M2096" t="inlineStr"/>
      <c r="N2096" t="inlineStr"/>
      <c r="O2096">
        <f>(1-Summary!$B$11)*T2096+Summary!$B$11*V2096</f>
        <v/>
      </c>
      <c r="P2096">
        <f>IF(B2115=0,0,O2096/B2115)</f>
        <v/>
      </c>
      <c r="Q2096" t="n">
        <v>0</v>
      </c>
      <c r="R2096" t="n">
        <v>0</v>
      </c>
      <c r="S2096">
        <f>IFERROR(O2096/N2096,0)</f>
        <v/>
      </c>
      <c r="T2096" t="n">
        <v>0</v>
      </c>
      <c r="V2096" t="n">
        <v>0</v>
      </c>
    </row>
    <row r="2097">
      <c r="A2097">
        <f>Skills!A27</f>
        <v/>
      </c>
      <c r="B2097">
        <f>Skills!B27</f>
        <v/>
      </c>
      <c r="C2097">
        <f>Inputs!$B$3&gt;=38</f>
        <v/>
      </c>
      <c r="D2097">
        <f>IF(Skills!C27=1,60+Inputs!$B$25+Inputs!$B$29,IF(Skills!C27=2,90+Inputs!$B$26+Inputs!$B$29,IF(Skills!C27=3,120+Inputs!$B$27+Inputs!$B$29,MAX(0,(Inputs!$B$3-100)*3)+Inputs!$B$28+Inputs!$B$29)))</f>
        <v/>
      </c>
      <c r="E2097">
        <f>INDEX(FactorTable!$B$2:$Y$301, MATCH(ROUND(MIN(300,MAX(1,D2097)),0), FactorTable!$A$2:$A$301,0), Skills!M27+1)</f>
        <v/>
      </c>
      <c r="F2097">
        <f>IF(Skills!N27=TRUE,(Skills!L27/10)*(E2097/1000),Skills!L27/10)+Skills!O27</f>
        <v/>
      </c>
      <c r="G2097">
        <f>Skills!G27*IF(Skills!H27&gt;0,Skills!I27/Skills!H27,1)</f>
        <v/>
      </c>
      <c r="H2097">
        <f>1-(1-Skills!J27/100)^Skills!K27</f>
        <v/>
      </c>
      <c r="I2097" t="inlineStr">
        <is>
          <t>1</t>
        </is>
      </c>
      <c r="J2097" t="inlineStr"/>
      <c r="K2097" t="inlineStr"/>
      <c r="L2097" t="inlineStr"/>
      <c r="M2097" t="inlineStr"/>
      <c r="N2097" t="inlineStr"/>
      <c r="O2097">
        <f>(1-Summary!$B$11)*T2097+Summary!$B$11*V2097</f>
        <v/>
      </c>
      <c r="P2097">
        <f>IF(B2115=0,0,O2097/B2115)</f>
        <v/>
      </c>
      <c r="Q2097" t="n">
        <v>0</v>
      </c>
      <c r="R2097" t="n">
        <v>0</v>
      </c>
      <c r="S2097">
        <f>IFERROR(O2097/N2097,0)</f>
        <v/>
      </c>
      <c r="T2097" t="n">
        <v>0</v>
      </c>
      <c r="V2097" t="n">
        <v>0</v>
      </c>
    </row>
    <row r="2098">
      <c r="A2098">
        <f>Skills!A28</f>
        <v/>
      </c>
      <c r="B2098">
        <f>Skills!B28</f>
        <v/>
      </c>
      <c r="C2098">
        <f>Inputs!$B$3&gt;=120</f>
        <v/>
      </c>
      <c r="D2098">
        <f>IF(Skills!C28=1,60+Inputs!$B$25+Inputs!$B$29,IF(Skills!C28=2,90+Inputs!$B$26+Inputs!$B$29,IF(Skills!C28=3,120+Inputs!$B$27+Inputs!$B$29,MAX(0,(Inputs!$B$3-100)*3)+Inputs!$B$28+Inputs!$B$29)))</f>
        <v/>
      </c>
      <c r="E2098">
        <f>INDEX(FactorTable!$B$2:$Y$301, MATCH(ROUND(MIN(300,MAX(1,D2098)),0), FactorTable!$A$2:$A$301,0), Skills!M28+1)</f>
        <v/>
      </c>
      <c r="F2098">
        <f>IF(Skills!N28=TRUE,(Skills!L28/10)*(E2098/1000),Skills!L28/10)+Skills!O28</f>
        <v/>
      </c>
      <c r="G2098">
        <f>Skills!G28*IF(Skills!H28&gt;0,Skills!I28/Skills!H28,1)</f>
        <v/>
      </c>
      <c r="H2098">
        <f>1-(1-Skills!J28/100)^Skills!K28</f>
        <v/>
      </c>
      <c r="I2098" t="inlineStr">
        <is>
          <t>1</t>
        </is>
      </c>
      <c r="J2098" t="inlineStr"/>
      <c r="K2098" t="inlineStr"/>
      <c r="L2098" t="inlineStr"/>
      <c r="M2098" t="inlineStr"/>
      <c r="N2098" t="inlineStr"/>
      <c r="O2098">
        <f>(1-Summary!$B$11)*T2098+Summary!$B$11*V2098</f>
        <v/>
      </c>
      <c r="P2098">
        <f>IF(B2115=0,0,O2098/B2115)</f>
        <v/>
      </c>
      <c r="Q2098" t="n">
        <v>0</v>
      </c>
      <c r="R2098" t="n">
        <v>0</v>
      </c>
      <c r="S2098">
        <f>IFERROR(O2098/N2098,0)</f>
        <v/>
      </c>
      <c r="T2098" t="n">
        <v>0</v>
      </c>
      <c r="V2098" t="n">
        <v>0</v>
      </c>
    </row>
    <row r="2099">
      <c r="A2099">
        <f>Skills!A29</f>
        <v/>
      </c>
      <c r="B2099">
        <f>Skills!B29</f>
        <v/>
      </c>
      <c r="C2099">
        <f>Inputs!$B$3&gt;=120</f>
        <v/>
      </c>
      <c r="D2099">
        <f>IF(Skills!C29=1,60+Inputs!$B$25+Inputs!$B$29,IF(Skills!C29=2,90+Inputs!$B$26+Inputs!$B$29,IF(Skills!C29=3,120+Inputs!$B$27+Inputs!$B$29,MAX(0,(Inputs!$B$3-100)*3)+Inputs!$B$28+Inputs!$B$29)))</f>
        <v/>
      </c>
      <c r="E2099">
        <f>INDEX(FactorTable!$B$2:$Y$301, MATCH(ROUND(MIN(300,MAX(1,D2099)),0), FactorTable!$A$2:$A$301,0), Skills!M29+1)</f>
        <v/>
      </c>
      <c r="F2099">
        <f>IF(Skills!N29=TRUE,(Skills!L29/10)*(E2099/1000),Skills!L29/10)+Skills!O29</f>
        <v/>
      </c>
      <c r="G2099">
        <f>Skills!G29*IF(Skills!H29&gt;0,Skills!I29/Skills!H29,1)</f>
        <v/>
      </c>
      <c r="H2099">
        <f>1-(1-Skills!J29/100)^Skills!K29</f>
        <v/>
      </c>
      <c r="I2099" t="inlineStr">
        <is>
          <t>1</t>
        </is>
      </c>
      <c r="J2099" t="inlineStr"/>
      <c r="K2099" t="inlineStr"/>
      <c r="L2099" t="inlineStr"/>
      <c r="M2099" t="inlineStr"/>
      <c r="N2099" t="inlineStr"/>
      <c r="O2099">
        <f>(1-Summary!$B$11)*T2099+Summary!$B$11*V2099</f>
        <v/>
      </c>
      <c r="P2099">
        <f>IF(B2115=0,0,O2099/B2115)</f>
        <v/>
      </c>
      <c r="Q2099" t="n">
        <v>0</v>
      </c>
      <c r="R2099" t="n">
        <v>0</v>
      </c>
      <c r="S2099">
        <f>IFERROR(O2099/N2099,0)</f>
        <v/>
      </c>
      <c r="T2099" t="n">
        <v>0</v>
      </c>
      <c r="V2099" t="n">
        <v>0</v>
      </c>
    </row>
    <row r="2100">
      <c r="A2100">
        <f>Skills!A30</f>
        <v/>
      </c>
      <c r="B2100">
        <f>Skills!B30</f>
        <v/>
      </c>
      <c r="C2100">
        <f>Inputs!$B$3&gt;=125</f>
        <v/>
      </c>
      <c r="D2100">
        <f>IF(Skills!C30=1,60+Inputs!$B$25+Inputs!$B$29,IF(Skills!C30=2,90+Inputs!$B$26+Inputs!$B$29,IF(Skills!C30=3,120+Inputs!$B$27+Inputs!$B$29,MAX(0,(Inputs!$B$3-100)*3)+Inputs!$B$28+Inputs!$B$29)))</f>
        <v/>
      </c>
      <c r="E2100">
        <f>INDEX(FactorTable!$B$2:$Y$301, MATCH(ROUND(MIN(300,MAX(1,D2100)),0), FactorTable!$A$2:$A$301,0), Skills!M30+1)</f>
        <v/>
      </c>
      <c r="F2100">
        <f>IF(Skills!N30=TRUE,(Skills!L30/10)*(E2100/1000),Skills!L30/10)+Skills!O30</f>
        <v/>
      </c>
      <c r="G2100">
        <f>Skills!G30*IF(Skills!H30&gt;0,Skills!I30/Skills!H30,1)</f>
        <v/>
      </c>
      <c r="H2100">
        <f>1-(1-Skills!J30/100)^Skills!K30</f>
        <v/>
      </c>
      <c r="I2100" t="inlineStr">
        <is>
          <t>1</t>
        </is>
      </c>
      <c r="J2100" t="inlineStr"/>
      <c r="K2100" t="inlineStr"/>
      <c r="L2100" t="inlineStr"/>
      <c r="M2100" t="inlineStr"/>
      <c r="N2100" t="inlineStr"/>
      <c r="O2100">
        <f>(1-Summary!$B$11)*T2100+Summary!$B$11*V2100</f>
        <v/>
      </c>
      <c r="P2100">
        <f>IF(B2115=0,0,O2100/B2115)</f>
        <v/>
      </c>
      <c r="Q2100" t="n">
        <v>0</v>
      </c>
      <c r="R2100" t="n">
        <v>0</v>
      </c>
      <c r="S2100">
        <f>IFERROR(O2100/N2100,0)</f>
        <v/>
      </c>
      <c r="T2100" t="n">
        <v>0</v>
      </c>
      <c r="V2100" t="n">
        <v>0</v>
      </c>
    </row>
    <row r="2102">
      <c r="A2102" t="inlineStr">
        <is>
          <t>Average Buff Multiplier</t>
        </is>
      </c>
      <c r="B2102">
        <f>(1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f>
        <v/>
      </c>
    </row>
    <row r="2103">
      <c r="A2103" t="inlineStr">
        <is>
          <t>Global Crit Rate Bonus %</t>
        </is>
      </c>
      <c r="B2103">
        <f>((C2090=TRUE)*F2090*IF(AND(Inputs!$B$39&lt;&gt;"pvp",Inputs!$B$44&gt;0),(((R2090-1)*(Skills!Y20*(1+Inputs!$B$34/100))+MIN((Skills!Y20*(1+Inputs!$B$34/100)),MAX(0,Inputs!$B$44-((R2090-1)*Skills!D20))))/Inputs!$B$44),IF(Inputs!$B$39="pvp",MIN((Skills!Y20*(1+Inputs!$B$34/100)),15)/15,(Skills!Y20*(1+Inputs!$B$34/100))/Skills!D20)))</f>
        <v/>
      </c>
    </row>
    <row r="2104">
      <c r="A2104" t="inlineStr">
        <is>
          <t>Global Monster Damage-Taken Bonus %</t>
        </is>
      </c>
      <c r="B2104">
        <f>IF(Inputs!$B$3&gt;=82,15,0)</f>
        <v/>
      </c>
    </row>
    <row r="2105">
      <c r="A2105" t="inlineStr">
        <is>
          <t>Shadow Partner Average Multiplier</t>
        </is>
      </c>
      <c r="B2105">
        <f>1+((C2077=TRUE)*F2077*(1+3.3333333333333335*IF(C2088=TRUE,F2088,0)/100)*I2077*Skills!J7/100)/100</f>
        <v/>
      </c>
    </row>
    <row r="2106">
      <c r="A2106" t="inlineStr">
        <is>
          <t>Attack Speed Buff Bonus %</t>
        </is>
      </c>
      <c r="B2106">
        <f>((C2089=TRUE)*F2089*IF(AND(Inputs!$B$39&lt;&gt;"pvp",Inputs!$B$44&gt;0),(((R2089-1)*(Skills!Y19*(1+Inputs!$B$34/100))+MIN((Skills!Y19*(1+Inputs!$B$34/100)),MAX(0,Inputs!$B$44-((R2089-1)*Skills!D19))))/Inputs!$B$44),IF(Inputs!$B$39="pvp",MIN((Skills!Y19*(1+Inputs!$B$34/100)),15)/15,(Skills!Y19*(1+Inputs!$B$34/100))/Skills!D19)))+((C2073=TRUE)*F2073*3)</f>
        <v/>
      </c>
    </row>
    <row r="2107">
      <c r="A2107" t="inlineStr">
        <is>
          <t>Actions Per Second</t>
        </is>
      </c>
      <c r="B2107">
        <f>1+MIN(150,150*(1-(1-(Inputs!$B$11+((C2092=TRUE)*(F2092-Calc!F22)))/150)*(1-B2106/150)))/100</f>
        <v/>
      </c>
    </row>
    <row r="2108">
      <c r="A2108" t="inlineStr">
        <is>
          <t>Skill + Buff Cast Rate</t>
        </is>
      </c>
      <c r="B2108">
        <f>IF(AND(Inputs!$B$39&lt;&gt;"pvp",Inputs!$B$44&gt;0),SUMPRODUCT((Skills!E2:E30=TRUE)*(C2072:C2100=TRUE)*R2072:R2100*Skills!F2:F30)/Inputs!$B$44,SUMPRODUCT((Skills!E2:E30=TRUE)*(C2072:C2100=TRUE)*Q2072:Q2100*Skills!F2:F30))</f>
        <v/>
      </c>
    </row>
    <row r="2109">
      <c r="A2109" t="inlineStr">
        <is>
          <t>Cruel Stab Casts Per Second</t>
        </is>
      </c>
      <c r="B2109">
        <f>MAX(0,B2107-B2108)</f>
        <v/>
      </c>
    </row>
    <row r="2110">
      <c r="A2110" t="inlineStr">
        <is>
          <t>Global Critical Damage Bonus % (Smokescreen Mastery Lv.113)</t>
        </is>
      </c>
      <c r="B2110">
        <f>IF(Inputs!$B$3&gt;=113,30,0)*IF(AND(Inputs!$B$39&lt;&gt;"pvp",Inputs!$B$44&gt;0),(((R2085-1)*(Skills!Y15*(1+Inputs!$B$34/100))+MIN((Skills!Y15*(1+Inputs!$B$34/100)),MAX(0,Inputs!$B$44-((R2085-1)*Skills!D15))))/Inputs!$B$44),IF(Inputs!$B$39="pvp",MIN((Skills!Y15*(1+Inputs!$B$34/100)),15)/15,(Skills!Y15*(1+Inputs!$B$34/100))/Skills!D15))</f>
        <v/>
      </c>
    </row>
    <row r="2111">
      <c r="A2111" t="inlineStr">
        <is>
          <t>Meso Explosion average stack count</t>
        </is>
      </c>
      <c r="B2111">
        <f>MIN(10,0.5*B2107*Skills!D4)</f>
        <v/>
      </c>
    </row>
    <row r="2112">
      <c r="A2112" t="inlineStr">
        <is>
          <t>Blood Money average stack count</t>
        </is>
      </c>
      <c r="B2112">
        <f>MIN(5,0.25*B2107*Skills!D4)</f>
        <v/>
      </c>
    </row>
    <row r="2113">
      <c r="A2113" t="inlineStr">
        <is>
          <t>Assassinate Murderous Intent Multiplier</t>
        </is>
      </c>
      <c r="B2113">
        <f>1+IFERROR(MIN(1,Q2084*2/Q2081),0)</f>
        <v/>
      </c>
    </row>
    <row r="2114">
      <c r="A2114" t="inlineStr">
        <is>
          <t>Buff-Casting Startup Delay (s, fixed-duration only)</t>
        </is>
      </c>
      <c r="B2114">
        <f>IF(AND(Inputs!$B$39&lt;&gt;"pvp",Inputs!$B$44&gt;0),SUMPRODUCT((Skills!Y2:Y30&gt;0)*(Skills!E2:E30=TRUE)*(C2072:C2100=TRUE))/B2107,0)</f>
        <v/>
      </c>
    </row>
    <row r="2115">
      <c r="A2115" s="6" t="inlineStr">
        <is>
          <t>TOTAL DPS</t>
        </is>
      </c>
      <c r="B2115" s="6">
        <f>SUM(O2072:O2100)</f>
        <v/>
      </c>
    </row>
    <row r="2116">
      <c r="A2116" t="inlineStr">
        <is>
          <t>Boss-Only Total DPS (this block's swept value)</t>
        </is>
      </c>
      <c r="B2116">
        <f>SUM(T2072:T2100)</f>
        <v/>
      </c>
    </row>
    <row r="2117">
      <c r="A2117" t="inlineStr">
        <is>
          <t>Normal-Only Total DPS (this block's swept value)</t>
        </is>
      </c>
      <c r="B2117">
        <f>SUM(V2072:V2100)</f>
        <v/>
      </c>
    </row>
    <row r="2120">
      <c r="A2120" s="6" t="inlineStr">
        <is>
          <t>Stat: Old Music Box (Equip)</t>
        </is>
      </c>
    </row>
    <row r="2121">
      <c r="A2121" s="5" t="inlineStr">
        <is>
          <t>Key</t>
        </is>
      </c>
      <c r="B2121" s="5" t="inlineStr">
        <is>
          <t>Name</t>
        </is>
      </c>
      <c r="C2121" s="5" t="inlineStr">
        <is>
          <t>Unlocked</t>
        </is>
      </c>
      <c r="D2121" s="5" t="inlineStr">
        <is>
          <t>InputLevel</t>
        </is>
      </c>
      <c r="E2121" s="5" t="inlineStr">
        <is>
          <t>Factor</t>
        </is>
      </c>
      <c r="F2121" s="5" t="inlineStr">
        <is>
          <t>CoefficientPercent</t>
        </is>
      </c>
      <c r="G2121" s="5" t="inlineStr">
        <is>
          <t>EffectiveHits</t>
        </is>
      </c>
      <c r="H2121" s="5" t="inlineStr">
        <is>
          <t>ProcProbability</t>
        </is>
      </c>
      <c r="I2121" s="5" t="inlineStr">
        <is>
          <t>MapleHeroMultiplier</t>
        </is>
      </c>
      <c r="J2121" s="5" t="inlineStr">
        <is>
          <t>BaseDamage</t>
        </is>
      </c>
      <c r="K2121" s="5" t="inlineStr">
        <is>
          <t>BaseHitDamage</t>
        </is>
      </c>
      <c r="L2121" s="5" t="inlineStr">
        <is>
          <t>NonCritAvg</t>
        </is>
      </c>
      <c r="M2121" s="5" t="inlineStr">
        <is>
          <t>CritAvg</t>
        </is>
      </c>
      <c r="N2121" s="5" t="inlineStr">
        <is>
          <t>ExpectedDamage(perHit)</t>
        </is>
      </c>
      <c r="O2121" s="5" t="inlineStr">
        <is>
          <t>DPS</t>
        </is>
      </c>
      <c r="P2121" s="5" t="inlineStr">
        <is>
          <t>% of Total</t>
        </is>
      </c>
      <c r="Q2121" s="5" t="inlineStr">
        <is>
          <t>InvCooldown</t>
        </is>
      </c>
      <c r="R2121" s="5" t="inlineStr">
        <is>
          <t>CastsInFight</t>
        </is>
      </c>
      <c r="S2121" s="5" t="inlineStr">
        <is>
          <t>HitRate(perSec)</t>
        </is>
      </c>
      <c r="U2121" t="inlineStr">
        <is>
          <t>helpers</t>
        </is>
      </c>
    </row>
    <row r="2122">
      <c r="A2122">
        <f>Skills!A2</f>
        <v/>
      </c>
      <c r="B2122">
        <f>Skills!B2</f>
        <v/>
      </c>
      <c r="C2122">
        <f>Inputs!$B$3&gt;=100</f>
        <v/>
      </c>
      <c r="D2122" t="inlineStr"/>
      <c r="E2122" t="inlineStr"/>
      <c r="F2122">
        <f>U2124+Skills!O2</f>
        <v/>
      </c>
      <c r="G2122">
        <f>Skills!G2*IF(Skills!H2&gt;0,Skills!I2/Skills!H2,1)</f>
        <v/>
      </c>
      <c r="H2122">
        <f>1-(1-Skills!J2/100)^Skills!K2</f>
        <v/>
      </c>
      <c r="I2122" t="inlineStr">
        <is>
          <t>1</t>
        </is>
      </c>
      <c r="J2122">
        <f>((Inputs!$B$6*(1+Inputs!$B$7/100))+(((Inputs!$B$12*(1+Inputs!$B$13/100))-(Inputs!$B$12*(1+Inputs!$B$13/100)))+0.25*(Inputs!$B$14-Inputs!$B$14))*(1+Inputs!$B$7/100))*(F2122/100)</f>
        <v/>
      </c>
      <c r="K2122">
        <f>J2122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2122)</f>
        <v/>
      </c>
      <c r="L2122">
        <f>K2122*(MIN(Inputs!$B$22+((C2144=TRUE)*(F2144-Calc!F24)),(Inputs!$B$23+((C2149=TRUE)*(F2149-Calc!F29))+IF(ArtifactsInput!$M$15,CHOOSE(ArtifactsInput!$N$15+1,25,30,35,40,45,50)/100*(Inputs!$B$11-Inputs!$B$11),0)))/100+(Inputs!$B$23+((C2149=TRUE)*(F2149-Calc!F29))+IF(ArtifactsInput!$M$15,CHOOSE(ArtifactsInput!$N$15+1,25,30,35,40,45,50)/100*(Inputs!$B$11-Inputs!$B$11),0))/100)/2</f>
        <v/>
      </c>
      <c r="M2122">
        <f>L2122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2">
        <f>L2122*(1-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2122*(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2">
        <f>(1-Summary!$B$11)*T2122+Summary!$B$11*V2122</f>
        <v/>
      </c>
      <c r="P2122">
        <f>IF(B2165=0,0,O2122/B2165)</f>
        <v/>
      </c>
      <c r="Q2122" t="n">
        <v>0</v>
      </c>
      <c r="R2122" t="n">
        <v>0</v>
      </c>
      <c r="S2122">
        <f>IFERROR(O2122/N2122,0)</f>
        <v/>
      </c>
      <c r="T2122">
        <f>IF(C2122,(Skills!G2*N2122*B2159)*IF(Inputs!$B$39="pvp",1,1+(Inputs!$B$20+0+Skills!P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2122*(1-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2122*(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2122*(1-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2122*(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2">
        <f>MAX(0,(Inputs!$B$3-100)*3)+Inputs!$B$28+Inputs!$B$29</f>
        <v/>
      </c>
      <c r="V2122">
        <f>IF(C2122,(Skills!G2*N2122*B2159)*IF(Inputs!$B$39="pvp",1,(1+(Inputs!$B$21+Skills!Q2+B2154+(IF(ArtifactsInput!$M$33,CHOOSE(ArtifactsInput!$N$33+1,30,36,42,48,54,60),0))+(IF(AND(ArtifactsInput!$M$35,Inputs!$B$4&lt;&gt;"Chapter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3">
      <c r="A2123">
        <f>Skills!A3</f>
        <v/>
      </c>
      <c r="B2123">
        <f>Skills!B3</f>
        <v/>
      </c>
      <c r="C2123">
        <f>Inputs!$B$3&gt;=35</f>
        <v/>
      </c>
      <c r="D2123">
        <f>IF(Skills!C3=1,60+Inputs!$B$25+Inputs!$B$29,IF(Skills!C3=2,90+Inputs!$B$26+Inputs!$B$29,IF(Skills!C3=3,120+Inputs!$B$27+Inputs!$B$29,MAX(0,(Inputs!$B$3-100)*3)+Inputs!$B$28+Inputs!$B$29)))</f>
        <v/>
      </c>
      <c r="E2123">
        <f>INDEX(FactorTable!$B$2:$Y$301, MATCH(ROUND(MIN(300,MAX(1,D2123)),0), FactorTable!$A$2:$A$301,0), Skills!M3+1)</f>
        <v/>
      </c>
      <c r="F2123">
        <f>IF(Skills!N3=TRUE,(Skills!L3/10)*(E2123/1000),Skills!L3/10)+Skills!O3</f>
        <v/>
      </c>
      <c r="G2123">
        <f>Skills!G3*IF(Skills!H3&gt;0,Skills!I3/Skills!H3,1)</f>
        <v/>
      </c>
      <c r="H2123">
        <f>1-(1-Skills!J3/100)^Skills!K3</f>
        <v/>
      </c>
      <c r="I2123" t="inlineStr">
        <is>
          <t>1</t>
        </is>
      </c>
      <c r="J2123" t="inlineStr"/>
      <c r="K2123" t="inlineStr"/>
      <c r="L2123" t="inlineStr"/>
      <c r="M2123" t="inlineStr"/>
      <c r="N2123" t="inlineStr"/>
      <c r="O2123">
        <f>(1-Summary!$B$11)*T2123+Summary!$B$11*V2123</f>
        <v/>
      </c>
      <c r="P2123">
        <f>IF(B2165=0,0,O2123/B2165)</f>
        <v/>
      </c>
      <c r="Q2123" t="n">
        <v>0</v>
      </c>
      <c r="R2123" t="n">
        <v>0</v>
      </c>
      <c r="S2123">
        <f>IFERROR(O2123/N2123,0)</f>
        <v/>
      </c>
      <c r="T2123" t="n">
        <v>0</v>
      </c>
      <c r="U2123">
        <f>INDEX(FactorTable!$B$2:$Y$301, MATCH(ROUND(MIN(300,MAX(1,U2122)),0), FactorTable!$A$2:$A$301,0), 22)</f>
        <v/>
      </c>
      <c r="V2123" t="n">
        <v>0</v>
      </c>
    </row>
    <row r="2124">
      <c r="A2124">
        <f>Skills!A4</f>
        <v/>
      </c>
      <c r="B2124">
        <f>Skills!B4</f>
        <v/>
      </c>
      <c r="C2124">
        <f>Inputs!$B$3&gt;=66</f>
        <v/>
      </c>
      <c r="D2124">
        <f>IF(Skills!C4=1,60+Inputs!$B$25+Inputs!$B$29,IF(Skills!C4=2,90+Inputs!$B$26+Inputs!$B$29,IF(Skills!C4=3,120+Inputs!$B$27+Inputs!$B$29,MAX(0,(Inputs!$B$3-100)*3)+Inputs!$B$28+Inputs!$B$29)))</f>
        <v/>
      </c>
      <c r="E2124">
        <f>INDEX(FactorTable!$B$2:$Y$301, MATCH(ROUND(MIN(300,MAX(1,D2124)),0), FactorTable!$A$2:$A$301,0), Skills!M4+1)</f>
        <v/>
      </c>
      <c r="F2124">
        <f>IF(Skills!N4=TRUE,(Skills!L4/10)*(E2124/1000),Skills!L4/10)+Skills!O4</f>
        <v/>
      </c>
      <c r="G2124">
        <f>Skills!G4*IF(Skills!H4&gt;0,Skills!I4/Skills!H4,1)</f>
        <v/>
      </c>
      <c r="H2124">
        <f>1-(1-Skills!J4/100)^Skills!K4</f>
        <v/>
      </c>
      <c r="I2124" t="inlineStr">
        <is>
          <t>1</t>
        </is>
      </c>
      <c r="J2124">
        <f>((Inputs!$B$6*(1+Inputs!$B$7/100))+(((Inputs!$B$12*(1+Inputs!$B$13/100))-(Inputs!$B$12*(1+Inputs!$B$13/100)))+0.25*(Inputs!$B$14-Inputs!$B$14))*(1+Inputs!$B$7/100))*(F2124/100)</f>
        <v/>
      </c>
      <c r="K2124">
        <f>J2124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2124)</f>
        <v/>
      </c>
      <c r="L2124">
        <f>K2124*(MIN(Inputs!$B$22+((C2144=TRUE)*(F2144-Calc!F24)),(Inputs!$B$23+((C2149=TRUE)*(F2149-Calc!F29))+IF(ArtifactsInput!$M$15,CHOOSE(ArtifactsInput!$N$15+1,25,30,35,40,45,50)/100*(Inputs!$B$11-Inputs!$B$11),0)))/100+(Inputs!$B$23+((C2149=TRUE)*(F2149-Calc!F29))+IF(ArtifactsInput!$M$15,CHOOSE(ArtifactsInput!$N$15+1,25,30,35,40,45,50)/100*(Inputs!$B$11-Inputs!$B$11),0))/100)/2</f>
        <v/>
      </c>
      <c r="M2124">
        <f>L2124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4">
        <f>L2124*(1-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2124*(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4">
        <f>(1-Summary!$B$11)*T2124+Summary!$B$11*V2124</f>
        <v/>
      </c>
      <c r="P2124">
        <f>IF(B2165=0,0,O2124/B2165)</f>
        <v/>
      </c>
      <c r="Q2124">
        <f>IFERROR(1/IF(Inputs!$B$39="pvp",15,MAX(0.1,Skills!D4-IF(Skills!E4=TRUE,Inputs!$B$32,0))),0)</f>
        <v/>
      </c>
      <c r="R2124">
        <f>IF(AND(Inputs!$B$39&lt;&gt;"pvp",Inputs!$B$44&gt;0),IF(MAX(0,Inputs!$B$44-B2164)&lt;=0,0,(INT(MAX(0,Inputs!$B$44-B2164)/IF(Inputs!$B$39="pvp",15,MAX(0.1,Skills!D4-IF(Skills!E4=TRUE,Inputs!$B$32,0))))+1)),0)</f>
        <v/>
      </c>
      <c r="S2124">
        <f>IFERROR(O2124/N2124,0)</f>
        <v/>
      </c>
      <c r="T2124">
        <f>IF(C2124,(H2124*N2124*IF(AND(Inputs!$B$39&lt;&gt;"pvp",Inputs!$B$44&gt;0),((Skills!G4*((R2124-1)*IF(Skills!H4&gt;0,Skills!I4/Skills!H4,1)+IF(Skills!H4&gt;0,MIN(Skills!I4,MAX(0,MAX(0,Inputs!$B$44-B2164)-((R2124-1)*IF(Inputs!$B$39="pvp",15,MAX(0.1,Skills!D4-IF(Skills!E4=TRUE,Inputs!$B$32,0))))))/Skills!H4,1)))/Inputs!$B$44),G2124*Q2124))*IF(Inputs!$B$39="pvp",1,1+(Inputs!$B$20+0+Skills!P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2124*(1-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2124*(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2124*(1-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2124*(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4">
        <f>290*U2123/1000</f>
        <v/>
      </c>
      <c r="V2124">
        <f>IF(C2124,(H2124*N2124*IF(AND(Inputs!$B$39&lt;&gt;"pvp",Inputs!$B$44&gt;0),((Skills!G4*((R2124-1)*IF(Skills!H4&gt;0,Skills!I4/Skills!H4,1)+IF(Skills!H4&gt;0,MIN(Skills!I4,MAX(0,MAX(0,Inputs!$B$44-B2164)-((R2124-1)*IF(Inputs!$B$39="pvp",15,MAX(0.1,Skills!D4-IF(Skills!E4=TRUE,Inputs!$B$32,0))))))/Skills!H4,1)))/Inputs!$B$44),G2124*Q2124))*IF(Inputs!$B$39="pvp",1,(1+(Inputs!$B$21+Skills!Q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(10,0.5*B2157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5">
      <c r="A2125">
        <f>Skills!A5</f>
        <v/>
      </c>
      <c r="B2125">
        <f>Skills!B5</f>
        <v/>
      </c>
      <c r="C2125">
        <f>Inputs!$B$3&gt;=63</f>
        <v/>
      </c>
      <c r="D2125">
        <f>IF(Skills!C5=1,60+Inputs!$B$25+Inputs!$B$29,IF(Skills!C5=2,90+Inputs!$B$26+Inputs!$B$29,IF(Skills!C5=3,120+Inputs!$B$27+Inputs!$B$29,MAX(0,(Inputs!$B$3-100)*3)+Inputs!$B$28+Inputs!$B$29)))</f>
        <v/>
      </c>
      <c r="E2125">
        <f>INDEX(FactorTable!$B$2:$Y$301, MATCH(ROUND(MIN(300,MAX(1,D2125)),0), FactorTable!$A$2:$A$301,0), Skills!M5+1)</f>
        <v/>
      </c>
      <c r="F2125">
        <f>IF(Skills!N5=TRUE,(Skills!L5/10)*(E2125/1000),Skills!L5/10)+Skills!O5</f>
        <v/>
      </c>
      <c r="G2125">
        <f>Skills!G5*IF(Skills!H5&gt;0,Skills!I5/Skills!H5,1)</f>
        <v/>
      </c>
      <c r="H2125">
        <f>1-(1-Skills!J5/100)^Skills!K5</f>
        <v/>
      </c>
      <c r="I2125" t="inlineStr">
        <is>
          <t>1</t>
        </is>
      </c>
      <c r="J2125">
        <f>((Inputs!$B$6*(1+Inputs!$B$7/100))+(((Inputs!$B$12*(1+Inputs!$B$13/100))-(Inputs!$B$12*(1+Inputs!$B$13/100)))+0.25*(Inputs!$B$14-Inputs!$B$14))*(1+Inputs!$B$7/100))*(F2125/100)</f>
        <v/>
      </c>
      <c r="K2125">
        <f>J2125*(1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2138=TRUE,F2138,0)/100)*(1+(IF(Skills!A5="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2125)</f>
        <v/>
      </c>
      <c r="L2125">
        <f>K2125*(MIN(Inputs!$B$22+((C2144=TRUE)*(F2144-Calc!F24)),(Inputs!$B$23+((C2149=TRUE)*(F2149-Calc!F29))+IF(ArtifactsInput!$M$15,CHOOSE(ArtifactsInput!$N$15+1,25,30,35,40,45,50)/100*(Inputs!$B$11-Inputs!$B$11),0)))/100+(Inputs!$B$23+((C2149=TRUE)*(F2149-Calc!F29))+IF(ArtifactsInput!$M$15,CHOOSE(ArtifactsInput!$N$15+1,25,30,35,40,45,50)/100*(Inputs!$B$11-Inputs!$B$11),0))/100)/2</f>
        <v/>
      </c>
      <c r="M2125">
        <f>L2125*(1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5">
        <f>L2125*(1-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2125*(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5">
        <f>(1-Summary!$B$11)*T2125+Summary!$B$11*V2125</f>
        <v/>
      </c>
      <c r="P2125">
        <f>IF(B2165=0,0,O2125/B2165)</f>
        <v/>
      </c>
      <c r="Q2125">
        <f>IFERROR(1/IF(Inputs!$B$39="pvp",15,MAX(0.1,Skills!D5-IF(Skills!E5=TRUE,Inputs!$B$32,0))),0)</f>
        <v/>
      </c>
      <c r="R2125">
        <f>IF(AND(Inputs!$B$39&lt;&gt;"pvp",Inputs!$B$44&gt;0),IF(MAX(0,Inputs!$B$44-B2164)&lt;=0,0,(INT(MAX(0,Inputs!$B$44-B2164)/IF(Inputs!$B$39="pvp",15,MAX(0.1,Skills!D5-IF(Skills!E5=TRUE,Inputs!$B$32,0))))+1)),0)</f>
        <v/>
      </c>
      <c r="S2125">
        <f>IFERROR(O2125/N2125,0)</f>
        <v/>
      </c>
      <c r="T2125">
        <f>IF(C2125,(H2125*N2125*IF(AND(Inputs!$B$39&lt;&gt;"pvp",Inputs!$B$44&gt;0),((Skills!G5*((R2125-1)*IF(Skills!H5&gt;0,Skills!I5/Skills!H5,1)+IF(Skills!H5&gt;0,MIN(Skills!I5,MAX(0,MAX(0,Inputs!$B$44-B2164)-((R2125-1)*IF(Inputs!$B$39="pvp",15,MAX(0.1,Skills!D5-IF(Skills!E5=TRUE,Inputs!$B$32,0))))))/Skills!H5,1)))/Inputs!$B$44),G2125*Q2125))*IF(Inputs!$B$39="pvp",1,1+(Inputs!$B$20+0+Skills!P5+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2125*(1-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2125*(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2125*(1-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2125*(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5">
        <f>IF(C2125,(H2125*N2125*IF(AND(Inputs!$B$39&lt;&gt;"pvp",Inputs!$B$44&gt;0),((Skills!G5*((R2125-1)*IF(Skills!H5&gt;0,Skills!I5/Skills!H5,1)+IF(Skills!H5&gt;0,MIN(Skills!I5,MAX(0,MAX(0,Inputs!$B$44-B2164)-((R2125-1)*IF(Inputs!$B$39="pvp",15,MAX(0.1,Skills!D5-IF(Skills!E5=TRUE,Inputs!$B$32,0))))))/Skills!H5,1)))/Inputs!$B$44),G2125*Q2125))*IF(Inputs!$B$39="pvp",1,(1+(Inputs!$B$21+Skills!Q5+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6">
      <c r="A2126">
        <f>Skills!A6</f>
        <v/>
      </c>
      <c r="B2126">
        <f>Skills!B6</f>
        <v/>
      </c>
      <c r="C2126">
        <f>Inputs!$B$3&gt;=69</f>
        <v/>
      </c>
      <c r="D2126">
        <f>IF(Skills!C6=1,60+Inputs!$B$25+Inputs!$B$29,IF(Skills!C6=2,90+Inputs!$B$26+Inputs!$B$29,IF(Skills!C6=3,120+Inputs!$B$27+Inputs!$B$29,MAX(0,(Inputs!$B$3-100)*3)+Inputs!$B$28+Inputs!$B$29)))</f>
        <v/>
      </c>
      <c r="E2126">
        <f>INDEX(FactorTable!$B$2:$Y$301, MATCH(ROUND(MIN(300,MAX(1,D2126)),0), FactorTable!$A$2:$A$301,0), Skills!M6+1)</f>
        <v/>
      </c>
      <c r="F2126">
        <f>IF(Skills!N6=TRUE,(Skills!L6/10)*(E2126/1000),Skills!L6/10)+Skills!O6</f>
        <v/>
      </c>
      <c r="G2126">
        <f>Skills!G6*IF(Skills!H6&gt;0,Skills!I6/Skills!H6,1)</f>
        <v/>
      </c>
      <c r="H2126">
        <f>1-(1-Skills!J6/100)^Skills!K6</f>
        <v/>
      </c>
      <c r="I2126" t="inlineStr">
        <is>
          <t>1</t>
        </is>
      </c>
      <c r="J2126">
        <f>((Inputs!$B$6*(1+Inputs!$B$7/100))+(((Inputs!$B$12*(1+Inputs!$B$13/100))-(Inputs!$B$12*(1+Inputs!$B$13/100)))+0.25*(Inputs!$B$14-Inputs!$B$14))*(1+Inputs!$B$7/100))*(F2126/100)</f>
        <v/>
      </c>
      <c r="K2126">
        <f>J2126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2138=TRUE,F2138,0)/100)*(1+(IF(Skills!A6="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2126)</f>
        <v/>
      </c>
      <c r="L2126">
        <f>K2126*(MIN(Inputs!$B$22+((C2144=TRUE)*(F2144-Calc!F24)),(Inputs!$B$23+((C2149=TRUE)*(F2149-Calc!F29))+IF(ArtifactsInput!$M$15,CHOOSE(ArtifactsInput!$N$15+1,25,30,35,40,45,50)/100*(Inputs!$B$11-Inputs!$B$11),0)))/100+(Inputs!$B$23+((C2149=TRUE)*(F2149-Calc!F29))+IF(ArtifactsInput!$M$15,CHOOSE(ArtifactsInput!$N$15+1,25,30,35,40,45,50)/100*(Inputs!$B$11-Inputs!$B$11),0))/100)/2</f>
        <v/>
      </c>
      <c r="M2126">
        <f>L2126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6">
        <f>L2126*(1-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2126*(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6">
        <f>(1-Summary!$B$11)*T2126+Summary!$B$11*V2126</f>
        <v/>
      </c>
      <c r="P2126">
        <f>IF(B2165=0,0,O2126/B2165)</f>
        <v/>
      </c>
      <c r="Q2126">
        <f>IFERROR(1/IF(Inputs!$B$39="pvp",15,MAX(0.1,Skills!D6-IF(Skills!E6=TRUE,Inputs!$B$32,0))),0)</f>
        <v/>
      </c>
      <c r="R2126">
        <f>IF(AND(Inputs!$B$39&lt;&gt;"pvp",Inputs!$B$44&gt;0),IF(MAX(0,Inputs!$B$44-B2164)&lt;=0,0,(INT(MAX(0,Inputs!$B$44-B2164)/IF(Inputs!$B$39="pvp",15,MAX(0.1,Skills!D6-IF(Skills!E6=TRUE,Inputs!$B$32,0))))+1)),0)</f>
        <v/>
      </c>
      <c r="S2126">
        <f>IFERROR(O2126/N2126,0)</f>
        <v/>
      </c>
      <c r="T2126">
        <f>IF(C2126,(H2126*N2126*IF(AND(Inputs!$B$39&lt;&gt;"pvp",Inputs!$B$44&gt;0),((Skills!G6*((R2126-1)*IF(Skills!H6&gt;0,Skills!I6/Skills!H6,1)+IF(Skills!H6&gt;0,MIN(Skills!I6,MAX(0,MAX(0,Inputs!$B$44-B2164)-((R2126-1)*IF(Inputs!$B$39="pvp",15,MAX(0.1,Skills!D6-IF(Skills!E6=TRUE,Inputs!$B$32,0))))))/Skills!H6,1)))/Inputs!$B$44),G2126*Q2126))*IF(Inputs!$B$39="pvp",1,1+(Inputs!$B$20+0+Skills!P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2126*(1-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2126*(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2126*(1-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2126*(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6">
        <f>IF(C2126,(H2126*N2126*IF(AND(Inputs!$B$39&lt;&gt;"pvp",Inputs!$B$44&gt;0),((Skills!G6*((R2126-1)*IF(Skills!H6&gt;0,Skills!I6/Skills!H6,1)+IF(Skills!H6&gt;0,MIN(Skills!I6,MAX(0,MAX(0,Inputs!$B$44-B2164)-((R2126-1)*IF(Inputs!$B$39="pvp",15,MAX(0.1,Skills!D6-IF(Skills!E6=TRUE,Inputs!$B$32,0))))))/Skills!H6,1)))/Inputs!$B$44),G2126*Q2126))*IF(Inputs!$B$39="pvp",1,(1+(Inputs!$B$21+Skills!Q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7">
      <c r="A2127">
        <f>Skills!A7</f>
        <v/>
      </c>
      <c r="B2127">
        <f>Skills!B7</f>
        <v/>
      </c>
      <c r="C2127">
        <f>Inputs!$B$3&gt;=60</f>
        <v/>
      </c>
      <c r="D2127">
        <f>IF(Skills!C7=1,60+Inputs!$B$25+Inputs!$B$29,IF(Skills!C7=2,90+Inputs!$B$26+Inputs!$B$29,IF(Skills!C7=3,120+Inputs!$B$27+Inputs!$B$29,MAX(0,(Inputs!$B$3-100)*3)+Inputs!$B$28+Inputs!$B$29)))</f>
        <v/>
      </c>
      <c r="E2127">
        <f>INDEX(FactorTable!$B$2:$Y$301, MATCH(ROUND(MIN(300,MAX(1,D2127)),0), FactorTable!$A$2:$A$301,0), Skills!M7+1)</f>
        <v/>
      </c>
      <c r="F2127">
        <f>IF(Skills!N7=TRUE,(Skills!L7/10)*(E2127/1000),Skills!L7/10)+Skills!O7</f>
        <v/>
      </c>
      <c r="G2127">
        <f>Skills!G7*IF(Skills!H7&gt;0,Skills!I7/Skills!H7,1)</f>
        <v/>
      </c>
      <c r="H2127">
        <f>1-(1-Skills!J7/100)^Skills!K7</f>
        <v/>
      </c>
      <c r="I2127" t="inlineStr">
        <is>
          <t>1</t>
        </is>
      </c>
      <c r="J2127" t="inlineStr"/>
      <c r="K2127" t="inlineStr"/>
      <c r="L2127" t="inlineStr"/>
      <c r="M2127" t="inlineStr"/>
      <c r="N2127" t="inlineStr"/>
      <c r="O2127">
        <f>(1-Summary!$B$11)*T2127+Summary!$B$11*V2127</f>
        <v/>
      </c>
      <c r="P2127">
        <f>IF(B2165=0,0,O2127/B2165)</f>
        <v/>
      </c>
      <c r="Q2127" t="n">
        <v>0</v>
      </c>
      <c r="R2127" t="n">
        <v>0</v>
      </c>
      <c r="S2127">
        <f>IFERROR(O2127/N2127,0)</f>
        <v/>
      </c>
      <c r="T2127" t="n">
        <v>0</v>
      </c>
      <c r="V2127" t="n">
        <v>0</v>
      </c>
    </row>
    <row r="2128">
      <c r="A2128">
        <f>Skills!A8</f>
        <v/>
      </c>
      <c r="B2128">
        <f>Skills!B8</f>
        <v/>
      </c>
      <c r="C2128">
        <f>Inputs!$B$3&gt;=72</f>
        <v/>
      </c>
      <c r="D2128">
        <f>IF(Skills!C8=1,60+Inputs!$B$25+Inputs!$B$29,IF(Skills!C8=2,90+Inputs!$B$26+Inputs!$B$29,IF(Skills!C8=3,120+Inputs!$B$27+Inputs!$B$29,MAX(0,(Inputs!$B$3-100)*3)+Inputs!$B$28+Inputs!$B$29)))</f>
        <v/>
      </c>
      <c r="E2128">
        <f>INDEX(FactorTable!$B$2:$Y$301, MATCH(ROUND(MIN(300,MAX(1,D2128)),0), FactorTable!$A$2:$A$301,0), Skills!M8+1)</f>
        <v/>
      </c>
      <c r="F2128">
        <f>IF(Skills!N8=TRUE,(Skills!L8/10)*(E2128/1000),Skills!L8/10)+Skills!O8</f>
        <v/>
      </c>
      <c r="G2128">
        <f>Skills!G8*IF(Skills!H8&gt;0,Skills!I8/Skills!H8,1)</f>
        <v/>
      </c>
      <c r="H2128">
        <f>1-(1-Skills!J8/100)^Skills!K8</f>
        <v/>
      </c>
      <c r="I2128" t="inlineStr">
        <is>
          <t>1</t>
        </is>
      </c>
      <c r="J2128">
        <f>((Inputs!$B$6*(1+Inputs!$B$7/100))+(((Inputs!$B$12*(1+Inputs!$B$13/100))-(Inputs!$B$12*(1+Inputs!$B$13/100)))+0.25*(Inputs!$B$14-Inputs!$B$14))*(1+Inputs!$B$7/100))*(F2128/100)</f>
        <v/>
      </c>
      <c r="K2128">
        <f>J2128*(1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2138=TRUE,F2138,0)/100)*(1+(IF(Skills!A8="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2128)</f>
        <v/>
      </c>
      <c r="L2128">
        <f>K2128*(MIN(Inputs!$B$22+((C2144=TRUE)*(F2144-Calc!F24)),(Inputs!$B$23+((C2149=TRUE)*(F2149-Calc!F29))+IF(ArtifactsInput!$M$15,CHOOSE(ArtifactsInput!$N$15+1,25,30,35,40,45,50)/100*(Inputs!$B$11-Inputs!$B$11),0)))/100+(Inputs!$B$23+((C2149=TRUE)*(F2149-Calc!F29))+IF(ArtifactsInput!$M$15,CHOOSE(ArtifactsInput!$N$15+1,25,30,35,40,45,50)/100*(Inputs!$B$11-Inputs!$B$11),0))/100)/2</f>
        <v/>
      </c>
      <c r="M2128">
        <f>L2128*(1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8">
        <f>L2128*(1-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2128*(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8">
        <f>(1-Summary!$B$11)*T2128+Summary!$B$11*V2128</f>
        <v/>
      </c>
      <c r="P2128">
        <f>IF(B2165=0,0,O2128/B2165)</f>
        <v/>
      </c>
      <c r="Q2128">
        <f>IFERROR(1/IF(Inputs!$B$39="pvp",15,MAX(0.1,Skills!D8-IF(Skills!E8=TRUE,Inputs!$B$32,0))),0)</f>
        <v/>
      </c>
      <c r="R2128">
        <f>IF(AND(Inputs!$B$39&lt;&gt;"pvp",Inputs!$B$44&gt;0),IF(MAX(0,Inputs!$B$44-B2164)&lt;=0,0,(INT(MAX(0,Inputs!$B$44-B2164)/IF(Inputs!$B$39="pvp",15,MAX(0.1,Skills!D8-IF(Skills!E8=TRUE,Inputs!$B$32,0))))+1)),0)</f>
        <v/>
      </c>
      <c r="S2128">
        <f>IFERROR(O2128/N2128,0)</f>
        <v/>
      </c>
      <c r="T2128">
        <f>IF(C2128,(H2128*N2128*IF(AND(Inputs!$B$39&lt;&gt;"pvp",Inputs!$B$44&gt;0),((Skills!G8*((R2128-1)*IF(Skills!H8&gt;0,Skills!I8/Skills!H8,1)+IF(Skills!H8&gt;0,MIN(Skills!I8,MAX(0,MAX(0,Inputs!$B$44-B2164)-((R2128-1)*IF(Inputs!$B$39="pvp",15,MAX(0.1,Skills!D8-IF(Skills!E8=TRUE,Inputs!$B$32,0))))))/Skills!H8,1)))/Inputs!$B$44),G2128*Q2128))*IF(Inputs!$B$39="pvp",1,1+(Inputs!$B$20+0+Skills!P8+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2128*(1-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2128*(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2128*(1-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2128*(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8">
        <f>IF(C2128,(H2128*N2128*IF(AND(Inputs!$B$39&lt;&gt;"pvp",Inputs!$B$44&gt;0),((Skills!G8*((R2128-1)*IF(Skills!H8&gt;0,Skills!I8/Skills!H8,1)+IF(Skills!H8&gt;0,MIN(Skills!I8,MAX(0,MAX(0,Inputs!$B$44-B2164)-((R2128-1)*IF(Inputs!$B$39="pvp",15,MAX(0.1,Skills!D8-IF(Skills!E8=TRUE,Inputs!$B$32,0))))))/Skills!H8,1)))/Inputs!$B$44),G2128*Q2128))*IF(Inputs!$B$39="pvp",1,(1+(Inputs!$B$21+Skills!Q8+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9">
      <c r="A2129">
        <f>Skills!A9</f>
        <v/>
      </c>
      <c r="B2129">
        <f>Skills!B9</f>
        <v/>
      </c>
      <c r="C2129">
        <f>Inputs!$B$3&gt;=117</f>
        <v/>
      </c>
      <c r="D2129">
        <f>IF(Skills!C9=1,60+Inputs!$B$25+Inputs!$B$29,IF(Skills!C9=2,90+Inputs!$B$26+Inputs!$B$29,IF(Skills!C9=3,120+Inputs!$B$27+Inputs!$B$29,MAX(0,(Inputs!$B$3-100)*3)+Inputs!$B$28+Inputs!$B$29)))</f>
        <v/>
      </c>
      <c r="E2129">
        <f>INDEX(FactorTable!$B$2:$Y$301, MATCH(ROUND(MIN(300,MAX(1,D2129)),0), FactorTable!$A$2:$A$301,0), Skills!M9+1)</f>
        <v/>
      </c>
      <c r="F2129">
        <f>IF(Skills!N9=TRUE,(Skills!L9/10)*(E2129/1000),Skills!L9/10)+Skills!O9</f>
        <v/>
      </c>
      <c r="G2129">
        <f>Skills!G9*IF(Skills!H9&gt;0,Skills!I9/Skills!H9,1)</f>
        <v/>
      </c>
      <c r="H2129">
        <f>1-(1-Skills!J9/100)^Skills!K9</f>
        <v/>
      </c>
      <c r="I2129" t="inlineStr">
        <is>
          <t>1</t>
        </is>
      </c>
      <c r="J2129">
        <f>((Inputs!$B$6*(1+Inputs!$B$7/100))+(((Inputs!$B$12*(1+Inputs!$B$13/100))-(Inputs!$B$12*(1+Inputs!$B$13/100)))+0.25*(Inputs!$B$14-Inputs!$B$14))*(1+Inputs!$B$7/100))*(F2129/100)</f>
        <v/>
      </c>
      <c r="K2129">
        <f>J2129*(1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2129)</f>
        <v/>
      </c>
      <c r="L2129">
        <f>K2129*(MIN(Inputs!$B$22+((C2144=TRUE)*(F2144-Calc!F24)),(Inputs!$B$23+((C2149=TRUE)*(F2149-Calc!F29))+IF(ArtifactsInput!$M$15,CHOOSE(ArtifactsInput!$N$15+1,25,30,35,40,45,50)/100*(Inputs!$B$11-Inputs!$B$11),0)))/100+(Inputs!$B$23+((C2149=TRUE)*(F2149-Calc!F29))+IF(ArtifactsInput!$M$15,CHOOSE(ArtifactsInput!$N$15+1,25,30,35,40,45,50)/100*(Inputs!$B$11-Inputs!$B$11),0))/100)/2</f>
        <v/>
      </c>
      <c r="M2129">
        <f>L2129*(1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9">
        <f>L2129*(1-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2129*(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9">
        <f>(1-Summary!$B$11)*T2129+Summary!$B$11*V2129</f>
        <v/>
      </c>
      <c r="P2129">
        <f>IF(B2165=0,0,O2129/B2165)</f>
        <v/>
      </c>
      <c r="Q2129" t="n">
        <v>0</v>
      </c>
      <c r="R2129" t="n">
        <v>0</v>
      </c>
      <c r="S2129" t="n">
        <v>0</v>
      </c>
      <c r="T2129">
        <f>IF(C2129,(0.2*SUMPRODUCT((Skills!Z2:Z30=TRUE)*(C2122:C2150=TRUE)*S2122:S2150)*N2129)*IF(Inputs!$B$39="pvp",1,1+(Inputs!$B$20+0+Skills!P9+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2129*(1-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2129*(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2129*(1-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2129*(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9">
        <f>IF(C2129,(0.2*SUMPRODUCT((Skills!Z2:Z30=TRUE)*(C2122:C2150=TRUE)*S2122:S2150)*N2129)*IF(Inputs!$B$39="pvp",1,(1+(Inputs!$B$21+Skills!Q9+B2154+(IF(ArtifactsInput!$M$33,CHOOSE(ArtifactsInput!$N$33+1,30,36,42,48,54,60),0))+(IF(AND(ArtifactsInput!$M$35,Inputs!$B$4&lt;&gt;"Chapter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0">
      <c r="A2130">
        <f>Skills!A10</f>
        <v/>
      </c>
      <c r="B2130">
        <f>Skills!B10</f>
        <v/>
      </c>
      <c r="C2130">
        <f>Inputs!$B$3&gt;=74</f>
        <v/>
      </c>
      <c r="D2130">
        <f>IF(Skills!C10=1,60+Inputs!$B$25+Inputs!$B$29,IF(Skills!C10=2,90+Inputs!$B$26+Inputs!$B$29,IF(Skills!C10=3,120+Inputs!$B$27+Inputs!$B$29,MAX(0,(Inputs!$B$3-100)*3)+Inputs!$B$28+Inputs!$B$29)))</f>
        <v/>
      </c>
      <c r="E2130">
        <f>INDEX(FactorTable!$B$2:$Y$301, MATCH(ROUND(MIN(300,MAX(1,D2130)),0), FactorTable!$A$2:$A$301,0), Skills!M10+1)</f>
        <v/>
      </c>
      <c r="F2130">
        <f>IF(Skills!N10=TRUE,(Skills!L10/10)*(E2130/1000),Skills!L10/10)+Skills!O10</f>
        <v/>
      </c>
      <c r="G2130">
        <f>Skills!G10*IF(Skills!H10&gt;0,Skills!I10/Skills!H10,1)</f>
        <v/>
      </c>
      <c r="H2130">
        <f>1-(1-Skills!J10/100)^Skills!K10</f>
        <v/>
      </c>
      <c r="I2130" t="inlineStr">
        <is>
          <t>1</t>
        </is>
      </c>
      <c r="J2130" t="inlineStr"/>
      <c r="K2130" t="inlineStr"/>
      <c r="L2130" t="inlineStr"/>
      <c r="M2130" t="inlineStr"/>
      <c r="N2130" t="inlineStr"/>
      <c r="O2130">
        <f>(1-Summary!$B$11)*T2130+Summary!$B$11*V2130</f>
        <v/>
      </c>
      <c r="P2130">
        <f>IF(B2165=0,0,O2130/B2165)</f>
        <v/>
      </c>
      <c r="Q2130">
        <f>IFERROR(1/IF(Inputs!$B$39="pvp",15,MAX(0.1,Skills!D10-IF(Skills!E10=TRUE,Inputs!$B$32,0))),0)</f>
        <v/>
      </c>
      <c r="R2130">
        <f>IF(AND(Inputs!$B$39&lt;&gt;"pvp",Inputs!$B$44&gt;0),IF(Inputs!$B$44&lt;=0,0,(INT(Inputs!$B$44/IF(Inputs!$B$39="pvp",15,MAX(0.1,Skills!D10-IF(Skills!E10=TRUE,Inputs!$B$32,0))))+1)),0)</f>
        <v/>
      </c>
      <c r="S2130">
        <f>IFERROR(O2130/N2130,0)</f>
        <v/>
      </c>
      <c r="T2130" t="n">
        <v>0</v>
      </c>
      <c r="V2130" t="n">
        <v>0</v>
      </c>
    </row>
    <row r="2131">
      <c r="A2131">
        <f>Skills!A11</f>
        <v/>
      </c>
      <c r="B2131">
        <f>Skills!B11</f>
        <v/>
      </c>
      <c r="C2131">
        <f>Inputs!$B$3&gt;=103</f>
        <v/>
      </c>
      <c r="D2131">
        <f>IF(Skills!C11=1,60+Inputs!$B$25+Inputs!$B$29,IF(Skills!C11=2,90+Inputs!$B$26+Inputs!$B$29,IF(Skills!C11=3,120+Inputs!$B$27+Inputs!$B$29,MAX(0,(Inputs!$B$3-100)*3)+Inputs!$B$28+Inputs!$B$29)))</f>
        <v/>
      </c>
      <c r="E2131">
        <f>INDEX(FactorTable!$B$2:$Y$301, MATCH(ROUND(MIN(300,MAX(1,D2131)),0), FactorTable!$A$2:$A$301,0), Skills!M11+1)</f>
        <v/>
      </c>
      <c r="F2131">
        <f>(Skills!L11/10)*(E2131/1000)+IF(Inputs!$B$3&gt;=134,50,0)+0.5*(30000/10)*(INDEX(FactorTable!$B$2:$Y$301, MATCH(ROUND(MIN(300,MAX(1,D2131)),0), FactorTable!$A$2:$A$301,0), 13)/1000)*B2163</f>
        <v/>
      </c>
      <c r="G2131">
        <f>Skills!G11*IF(Skills!H11&gt;0,Skills!I11/Skills!H11,1)</f>
        <v/>
      </c>
      <c r="H2131">
        <f>1-(1-Skills!J11/100)^Skills!K11</f>
        <v/>
      </c>
      <c r="I2131" t="inlineStr">
        <is>
          <t>1</t>
        </is>
      </c>
      <c r="J2131">
        <f>((Inputs!$B$6*(1+Inputs!$B$7/100))+(((Inputs!$B$12*(1+Inputs!$B$13/100))-(Inputs!$B$12*(1+Inputs!$B$13/100)))+0.25*(Inputs!$B$14-Inputs!$B$14))*(1+Inputs!$B$7/100))*(F2131/100)</f>
        <v/>
      </c>
      <c r="K2131">
        <f>J2131*(1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2131)</f>
        <v/>
      </c>
      <c r="L2131">
        <f>K2131*(MIN(Inputs!$B$22+((C2144=TRUE)*(F2144-Calc!F24)),(Inputs!$B$23+((C2149=TRUE)*(F2149-Calc!F29))+IF(ArtifactsInput!$M$15,CHOOSE(ArtifactsInput!$N$15+1,25,30,35,40,45,50)/100*(Inputs!$B$11-Inputs!$B$11),0)))/100+(Inputs!$B$23+((C2149=TRUE)*(F2149-Calc!F29))+IF(ArtifactsInput!$M$15,CHOOSE(ArtifactsInput!$N$15+1,25,30,35,40,45,50)/100*(Inputs!$B$11-Inputs!$B$11),0))/100)/2</f>
        <v/>
      </c>
      <c r="M2131">
        <f>L2131*(1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1">
        <f>L2131*(1-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1">
        <f>(1-Summary!$B$11)*T2131+Summary!$B$11*V2131</f>
        <v/>
      </c>
      <c r="P2131">
        <f>IF(B2165=0,0,O2131/B2165)</f>
        <v/>
      </c>
      <c r="Q2131">
        <f>IFERROR(1/IF(Inputs!$B$39="pvp",15,MAX(0.1,Skills!D11-IF(Skills!E11=TRUE,Inputs!$B$32,0))),0)</f>
        <v/>
      </c>
      <c r="R2131">
        <f>IF(AND(Inputs!$B$39&lt;&gt;"pvp",Inputs!$B$44&gt;0),IF(MAX(0,Inputs!$B$44-B2164)&lt;=0,0,(INT(MAX(0,Inputs!$B$44-B2164)/IF(Inputs!$B$39="pvp",15,MAX(0.1,Skills!D11-IF(Skills!E11=TRUE,Inputs!$B$32,0))))+1)),0)</f>
        <v/>
      </c>
      <c r="S2131">
        <f>IFERROR(O2131/N2131,0)</f>
        <v/>
      </c>
      <c r="T2131">
        <f>IF(C2131,(H2131*N2131*IF(AND(Inputs!$B$39&lt;&gt;"pvp",Inputs!$B$44&gt;0),((Skills!G11*((R2131-1)*IF(Skills!H11&gt;0,Skills!I11/Skills!H11,1)+IF(Skills!H11&gt;0,MIN(Skills!I11,MAX(0,MAX(0,Inputs!$B$44-B2164)-((R2131-1)*IF(Inputs!$B$39="pvp",15,MAX(0.1,Skills!D11-IF(Skills!E11=TRUE,Inputs!$B$32,0))))))/Skills!H11,1)))/Inputs!$B$44),G2131*Q2131))*IF(Inputs!$B$39="pvp",1,1+(Inputs!$B$20+0+Skills!P11+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2131*(1-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1">
        <f>IF(C2131,(H2131*N2131*IF(AND(Inputs!$B$39&lt;&gt;"pvp",Inputs!$B$44&gt;0),((Skills!G11*((R2131-1)*IF(Skills!H11&gt;0,Skills!I11/Skills!H11,1)+IF(Skills!H11&gt;0,MIN(Skills!I11,MAX(0,MAX(0,Inputs!$B$44-B2164)-((R2131-1)*IF(Inputs!$B$39="pvp",15,MAX(0.1,Skills!D11-IF(Skills!E11=TRUE,Inputs!$B$32,0))))))/Skills!H11,1)))/Inputs!$B$44),G2131*Q2131))*IF(Inputs!$B$39="pvp",1,(1+(Inputs!$B$21+Skills!Q11+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2">
      <c r="A2132">
        <f>Skills!A12</f>
        <v/>
      </c>
      <c r="B2132">
        <f>Skills!B12</f>
        <v/>
      </c>
      <c r="C2132">
        <f>Inputs!$B$3&gt;=105</f>
        <v/>
      </c>
      <c r="D2132">
        <f>IF(Skills!C12=1,60+Inputs!$B$25+Inputs!$B$29,IF(Skills!C12=2,90+Inputs!$B$26+Inputs!$B$29,IF(Skills!C12=3,120+Inputs!$B$27+Inputs!$B$29,MAX(0,(Inputs!$B$3-100)*3)+Inputs!$B$28+Inputs!$B$29)))</f>
        <v/>
      </c>
      <c r="E2132">
        <f>INDEX(FactorTable!$B$2:$Y$301, MATCH(ROUND(MIN(300,MAX(1,D2132)),0), FactorTable!$A$2:$A$301,0), Skills!M12+1)</f>
        <v/>
      </c>
      <c r="F2132">
        <f>IF(Skills!N12=TRUE,(Skills!L12/10)*(E2132/1000),Skills!L12/10)+Skills!O12</f>
        <v/>
      </c>
      <c r="G2132">
        <f>Skills!G12*IF(Skills!H12&gt;0,Skills!I12/Skills!H12,1)</f>
        <v/>
      </c>
      <c r="H2132">
        <f>1-(1-Skills!J12/100)^Skills!K12</f>
        <v/>
      </c>
      <c r="I2132" t="inlineStr">
        <is>
          <t>1</t>
        </is>
      </c>
      <c r="J2132">
        <f>((Inputs!$B$6*(1+Inputs!$B$7/100))+(((Inputs!$B$12*(1+Inputs!$B$13/100))-(Inputs!$B$12*(1+Inputs!$B$13/100)))+0.25*(Inputs!$B$14-Inputs!$B$14))*(1+Inputs!$B$7/100))*(F2132/100)</f>
        <v/>
      </c>
      <c r="K2132">
        <f>J2132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2132)</f>
        <v/>
      </c>
      <c r="L2132">
        <f>K2132*(MIN(Inputs!$B$22+((C2144=TRUE)*(F2144-Calc!F24)),(Inputs!$B$23+((C2149=TRUE)*(F2149-Calc!F29))+IF(ArtifactsInput!$M$15,CHOOSE(ArtifactsInput!$N$15+1,25,30,35,40,45,50)/100*(Inputs!$B$11-Inputs!$B$11),0)))/100+(Inputs!$B$23+((C2149=TRUE)*(F2149-Calc!F29))+IF(ArtifactsInput!$M$15,CHOOSE(ArtifactsInput!$N$15+1,25,30,35,40,45,50)/100*(Inputs!$B$11-Inputs!$B$11),0))/100)/2</f>
        <v/>
      </c>
      <c r="M2132">
        <f>L2132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IF(B2165=0,0,O2132/B2165)</f>
        <v/>
      </c>
      <c r="Q2132">
        <f>IFERROR(1/IF(Inputs!$B$39="pvp",15,MAX(0.1,Skills!D12-IF(Skills!E12=TRUE,Inputs!$B$32,0))),0)</f>
        <v/>
      </c>
      <c r="R2132">
        <f>IF(AND(Inputs!$B$39&lt;&gt;"pvp",Inputs!$B$44&gt;0),IF(MAX(0,Inputs!$B$44-B2164)&lt;=0,0,(INT(MAX(0,Inputs!$B$44-B2164)/IF(Inputs!$B$39="pvp",15,MAX(0.1,Skills!D12-IF(Skills!E12=TRUE,Inputs!$B$32,0))))+1)),0)</f>
        <v/>
      </c>
      <c r="S2132">
        <f>IFERROR(O2132/N2132,0)</f>
        <v/>
      </c>
      <c r="T2132">
        <f>IF(C2132,(H2132*N2132*IF(AND(Inputs!$B$39&lt;&gt;"pvp",Inputs!$B$44&gt;0),((Skills!G12*((R2132-1)*IF(Skills!H12&gt;0,Skills!I12/Skills!H12,1)+IF(Skills!H12&gt;0,MIN(Skills!I12,MAX(0,MAX(0,Inputs!$B$44-B2164)-((R2132-1)*IF(Inputs!$B$39="pvp",15,MAX(0.1,Skills!D12-IF(Skills!E12=TRUE,Inputs!$B$32,0))))))/Skills!H12,1)))/Inputs!$B$44),G2132*Q2132))*IF(Inputs!$B$39="pvp",1,1+(Inputs!$B$20+0+Skills!P12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2132*(1-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2">
        <f>IF(C2132,(H2132*N2132*IF(AND(Inputs!$B$39&lt;&gt;"pvp",Inputs!$B$44&gt;0),((Skills!G12*((R2132-1)*IF(Skills!H12&gt;0,Skills!I12/Skills!H12,1)+IF(Skills!H12&gt;0,MIN(Skills!I12,MAX(0,MAX(0,Inputs!$B$44-B2164)-((R2132-1)*IF(Inputs!$B$39="pvp",15,MAX(0.1,Skills!D12-IF(Skills!E12=TRUE,Inputs!$B$32,0))))))/Skills!H12,1)))/Inputs!$B$44),G2132*Q2132))*IF(Inputs!$B$39="pvp",1,(1+(Inputs!$B$21+Skills!Q12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Skills!A13</f>
        <v/>
      </c>
      <c r="B2133">
        <f>Skills!B13</f>
        <v/>
      </c>
      <c r="C2133">
        <f>Inputs!$B$3&gt;=105</f>
        <v/>
      </c>
      <c r="D2133">
        <f>IF(Skills!C13=1,60+Inputs!$B$25+Inputs!$B$29,IF(Skills!C13=2,90+Inputs!$B$26+Inputs!$B$29,IF(Skills!C13=3,120+Inputs!$B$27+Inputs!$B$29,MAX(0,(Inputs!$B$3-100)*3)+Inputs!$B$28+Inputs!$B$29)))</f>
        <v/>
      </c>
      <c r="E2133">
        <f>INDEX(FactorTable!$B$2:$Y$301, MATCH(ROUND(MIN(300,MAX(1,D2133)),0), FactorTable!$A$2:$A$301,0), Skills!M13+1)</f>
        <v/>
      </c>
      <c r="F2133">
        <f>IF(Skills!N13=TRUE,(Skills!L13/10)*(E2133/1000),Skills!L13/10)+Skills!O13</f>
        <v/>
      </c>
      <c r="G2133">
        <f>Skills!G13*IF(Skills!H13&gt;0,Skills!I13/Skills!H13,1)</f>
        <v/>
      </c>
      <c r="H2133">
        <f>1-(1-Skills!J13/100)^Skills!K13</f>
        <v/>
      </c>
      <c r="I2133" t="inlineStr">
        <is>
          <t>1</t>
        </is>
      </c>
      <c r="J2133">
        <f>((Inputs!$B$6*(1+Inputs!$B$7/100))+(((Inputs!$B$12*(1+Inputs!$B$13/100))-(Inputs!$B$12*(1+Inputs!$B$13/100)))+0.25*(Inputs!$B$14-Inputs!$B$14))*(1+Inputs!$B$7/100))*(F2133/100)</f>
        <v/>
      </c>
      <c r="K2133">
        <f>J2133*(1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2133)</f>
        <v/>
      </c>
      <c r="L2133">
        <f>K2133*(MIN(Inputs!$B$22+((C2144=TRUE)*(F2144-Calc!F24)),(Inputs!$B$23+((C2149=TRUE)*(F2149-Calc!F29))+IF(ArtifactsInput!$M$15,CHOOSE(ArtifactsInput!$N$15+1,25,30,35,40,45,50)/100*(Inputs!$B$11-Inputs!$B$11),0)))/100+(Inputs!$B$23+((C2149=TRUE)*(F2149-Calc!F29))+IF(ArtifactsInput!$M$15,CHOOSE(ArtifactsInput!$N$15+1,25,30,35,40,45,50)/100*(Inputs!$B$11-Inputs!$B$11),0))/100)/2</f>
        <v/>
      </c>
      <c r="M2133">
        <f>L2133*(1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IF(B2165=0,0,O2133/B2165)</f>
        <v/>
      </c>
      <c r="Q2133">
        <f>IFERROR(1/IF(Inputs!$B$39="pvp",15,MAX(0.1,Skills!D13-IF(Skills!E13=TRUE,Inputs!$B$32,0))),0)</f>
        <v/>
      </c>
      <c r="R2133">
        <f>IF(AND(Inputs!$B$39&lt;&gt;"pvp",Inputs!$B$44&gt;0),IF(MAX(0,Inputs!$B$44-B2164)&lt;=0,0,(INT(MAX(0,Inputs!$B$44-B2164)/IF(Inputs!$B$39="pvp",15,MAX(0.1,Skills!D13-IF(Skills!E13=TRUE,Inputs!$B$32,0))))+1)),0)</f>
        <v/>
      </c>
      <c r="S2133">
        <f>IFERROR(O2133/N2133,0)</f>
        <v/>
      </c>
      <c r="T2133">
        <f>IF(C2133,(H2133*N2133*IF(AND(Inputs!$B$39&lt;&gt;"pvp",Inputs!$B$44&gt;0),((Skills!G13*((R2133-1)*IF(Skills!H13&gt;0,Skills!I13/Skills!H13,1)+IF(Skills!H13&gt;0,MIN(Skills!I13,MAX(0,MAX(0,Inputs!$B$44-B2164)-((R2133-1)*IF(Inputs!$B$39="pvp",15,MAX(0.1,Skills!D13-IF(Skills!E13=TRUE,Inputs!$B$32,0))))))/Skills!H13,1)))/Inputs!$B$44),G2133*Q2133))*IF(Inputs!$B$39="pvp",1,1+(Inputs!$B$20+0+Skills!P13+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2133*(1-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3">
        <f>IF(C2133,(H2133*N2133*IF(AND(Inputs!$B$39&lt;&gt;"pvp",Inputs!$B$44&gt;0),((Skills!G13*((R2133-1)*IF(Skills!H13&gt;0,Skills!I13/Skills!H13,1)+IF(Skills!H13&gt;0,MIN(Skills!I13,MAX(0,MAX(0,Inputs!$B$44-B2164)-((R2133-1)*IF(Inputs!$B$39="pvp",15,MAX(0.1,Skills!D13-IF(Skills!E13=TRUE,Inputs!$B$32,0))))))/Skills!H13,1)))/Inputs!$B$44),G2133*Q2133))*IF(Inputs!$B$39="pvp",1,(1+(Inputs!$B$21+Skills!Q13+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Skills!A14</f>
        <v/>
      </c>
      <c r="B2134">
        <f>Skills!B14</f>
        <v/>
      </c>
      <c r="C2134">
        <f>Inputs!$B$3&gt;=107</f>
        <v/>
      </c>
      <c r="D2134">
        <f>IF(Skills!C14=1,60+Inputs!$B$25+Inputs!$B$29,IF(Skills!C14=2,90+Inputs!$B$26+Inputs!$B$29,IF(Skills!C14=3,120+Inputs!$B$27+Inputs!$B$29,MAX(0,(Inputs!$B$3-100)*3)+Inputs!$B$28+Inputs!$B$29)))</f>
        <v/>
      </c>
      <c r="E2134">
        <f>INDEX(FactorTable!$B$2:$Y$301, MATCH(ROUND(MIN(300,MAX(1,D2134)),0), FactorTable!$A$2:$A$301,0), Skills!M14+1)</f>
        <v/>
      </c>
      <c r="F2134">
        <f>IF(Skills!N14=TRUE,(Skills!L14/10)*(E2134/1000),Skills!L14/10)+Skills!O14</f>
        <v/>
      </c>
      <c r="G2134">
        <f>Skills!G14*IF(Skills!H14&gt;0,Skills!I14/Skills!H14,1)</f>
        <v/>
      </c>
      <c r="H2134">
        <f>1-(1-Skills!J14/100)^Skills!K14</f>
        <v/>
      </c>
      <c r="I2134" t="inlineStr">
        <is>
          <t>1</t>
        </is>
      </c>
      <c r="J2134">
        <f>((Inputs!$B$6*(1+Inputs!$B$7/100))+(((Inputs!$B$12*(1+Inputs!$B$13/100))-(Inputs!$B$12*(1+Inputs!$B$13/100)))+0.25*(Inputs!$B$14-Inputs!$B$14))*(1+Inputs!$B$7/100))*(F2134/100)</f>
        <v/>
      </c>
      <c r="K2134">
        <f>J2134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2134)</f>
        <v/>
      </c>
      <c r="L2134">
        <f>K2134*(MIN(Inputs!$B$22+((C2144=TRUE)*(F2144-Calc!F24)),(Inputs!$B$23+((C2149=TRUE)*(F2149-Calc!F29))+IF(ArtifactsInput!$M$15,CHOOSE(ArtifactsInput!$N$15+1,25,30,35,40,45,50)/100*(Inputs!$B$11-Inputs!$B$11),0)))/100+(Inputs!$B$23+((C2149=TRUE)*(F2149-Calc!F29))+IF(ArtifactsInput!$M$15,CHOOSE(ArtifactsInput!$N$15+1,25,30,35,40,45,50)/100*(Inputs!$B$11-Inputs!$B$11),0))/100)/2</f>
        <v/>
      </c>
      <c r="M2134">
        <f>L2134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IF(B2165=0,0,O2134/B2165)</f>
        <v/>
      </c>
      <c r="Q2134">
        <f>IFERROR(1/IF(Inputs!$B$39="pvp",15,MAX(0.1,Skills!D14-IF(Skills!E14=TRUE,Inputs!$B$32,0))),0)</f>
        <v/>
      </c>
      <c r="R2134">
        <f>IF(AND(Inputs!$B$39&lt;&gt;"pvp",Inputs!$B$44&gt;0),IF(MAX(0,Inputs!$B$44-B2164)&lt;=0,0,(INT(MAX(0,Inputs!$B$44-B2164)/IF(Inputs!$B$39="pvp",15,MAX(0.1,Skills!D14-IF(Skills!E14=TRUE,Inputs!$B$32,0))))+1)),0)</f>
        <v/>
      </c>
      <c r="S2134">
        <f>IFERROR(O2134/N2134,0)</f>
        <v/>
      </c>
      <c r="T2134">
        <f>IF(C2134,(H2134*N2134*IF(AND(Inputs!$B$39&lt;&gt;"pvp",Inputs!$B$44&gt;0),((Skills!G14*((R2134-1)*IF(Skills!H14&gt;0,Skills!I14/Skills!H14,1)+IF(Skills!H14&gt;0,MIN(Skills!I14,MAX(0,MAX(0,Inputs!$B$44-B2164)-((R2134-1)*IF(Inputs!$B$39="pvp",15,MAX(0.1,Skills!D14-IF(Skills!E14=TRUE,Inputs!$B$32,0))))))/Skills!H14,1)))/Inputs!$B$44),G2134*Q2134))*IF(Inputs!$B$39="pvp",1,1+(Inputs!$B$20+0+Skills!P14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2134*(1-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4">
        <f>IF(C2134,(H2134*N2134*IF(AND(Inputs!$B$39&lt;&gt;"pvp",Inputs!$B$44&gt;0),((Skills!G14*((R2134-1)*IF(Skills!H14&gt;0,Skills!I14/Skills!H14,1)+IF(Skills!H14&gt;0,MIN(Skills!I14,MAX(0,MAX(0,Inputs!$B$44-B2164)-((R2134-1)*IF(Inputs!$B$39="pvp",15,MAX(0.1,Skills!D14-IF(Skills!E14=TRUE,Inputs!$B$32,0))))))/Skills!H14,1)))/Inputs!$B$44),G2134*Q2134))*IF(Inputs!$B$39="pvp",1,(1+(Inputs!$B$21+Skills!Q14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(5,0.25*B2157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Skills!A15</f>
        <v/>
      </c>
      <c r="B2135">
        <f>Skills!B15</f>
        <v/>
      </c>
      <c r="C2135">
        <f>Inputs!$B$3&gt;=110</f>
        <v/>
      </c>
      <c r="D2135">
        <f>IF(Skills!C15=1,60+Inputs!$B$25+Inputs!$B$29,IF(Skills!C15=2,90+Inputs!$B$26+Inputs!$B$29,IF(Skills!C15=3,120+Inputs!$B$27+Inputs!$B$29,MAX(0,(Inputs!$B$3-100)*3)+Inputs!$B$28+Inputs!$B$29)))</f>
        <v/>
      </c>
      <c r="E2135">
        <f>INDEX(FactorTable!$B$2:$Y$301, MATCH(ROUND(MIN(300,MAX(1,D2135)),0), FactorTable!$A$2:$A$301,0), Skills!M15+1)</f>
        <v/>
      </c>
      <c r="F2135">
        <f>IF(Skills!N15=TRUE,(Skills!L15/10)*(E2135/1000),Skills!L15/10)+Skills!O15</f>
        <v/>
      </c>
      <c r="G2135">
        <f>Skills!G15*IF(Skills!H15&gt;0,Skills!I15/Skills!H15,1)</f>
        <v/>
      </c>
      <c r="H2135">
        <f>1-(1-Skills!J15/100)^Skills!K15</f>
        <v/>
      </c>
      <c r="I2135" t="inlineStr">
        <is>
          <t>1</t>
        </is>
      </c>
      <c r="J2135" t="inlineStr"/>
      <c r="K2135" t="inlineStr"/>
      <c r="L2135" t="inlineStr"/>
      <c r="M2135" t="inlineStr"/>
      <c r="N2135" t="inlineStr"/>
      <c r="O2135">
        <f>(1-Summary!$B$11)*T2135+Summary!$B$11*V2135</f>
        <v/>
      </c>
      <c r="P2135">
        <f>IF(B2165=0,0,O2135/B2165)</f>
        <v/>
      </c>
      <c r="Q2135">
        <f>IFERROR(1/IF(Inputs!$B$39="pvp",15,MAX(0.1,Skills!D15-IF(Skills!E15=TRUE,Inputs!$B$32,0))),0)</f>
        <v/>
      </c>
      <c r="R2135">
        <f>IF(AND(Inputs!$B$39&lt;&gt;"pvp",Inputs!$B$44&gt;0),IF(Inputs!$B$44&lt;=0,0,(INT(Inputs!$B$44/IF(Inputs!$B$39="pvp",15,MAX(0.1,Skills!D15-IF(Skills!E15=TRUE,Inputs!$B$32,0))))+1)),0)</f>
        <v/>
      </c>
      <c r="S2135">
        <f>IFERROR(O2135/N2135,0)</f>
        <v/>
      </c>
      <c r="T2135" t="n">
        <v>0</v>
      </c>
      <c r="V2135" t="n">
        <v>0</v>
      </c>
    </row>
    <row r="2136">
      <c r="A2136">
        <f>Skills!A16</f>
        <v/>
      </c>
      <c r="B2136">
        <f>Skills!B16</f>
        <v/>
      </c>
      <c r="C2136">
        <f>Inputs!$B$3&gt;=115</f>
        <v/>
      </c>
      <c r="D2136">
        <f>IF(Skills!C16=1,60+Inputs!$B$25+Inputs!$B$29,IF(Skills!C16=2,90+Inputs!$B$26+Inputs!$B$29,IF(Skills!C16=3,120+Inputs!$B$27+Inputs!$B$29,MAX(0,(Inputs!$B$3-100)*3)+Inputs!$B$28+Inputs!$B$29)))</f>
        <v/>
      </c>
      <c r="E2136">
        <f>INDEX(FactorTable!$B$2:$Y$301, MATCH(ROUND(MIN(300,MAX(1,D2136)),0), FactorTable!$A$2:$A$301,0), Skills!M16+1)</f>
        <v/>
      </c>
      <c r="F2136">
        <f>IF(Skills!N16=TRUE,(Skills!L16/10)*(E2136/1000),Skills!L16/10)+Skills!O16</f>
        <v/>
      </c>
      <c r="G2136">
        <f>Skills!G16*IF(Skills!H16&gt;0,Skills!I16/Skills!H16,1)</f>
        <v/>
      </c>
      <c r="H2136">
        <f>1-(1-Skills!J16/100)^Skills!K16</f>
        <v/>
      </c>
      <c r="I2136" t="inlineStr">
        <is>
          <t>1</t>
        </is>
      </c>
      <c r="J2136">
        <f>((Inputs!$B$6*(1+Inputs!$B$7/100))+(((Inputs!$B$12*(1+Inputs!$B$13/100))-(Inputs!$B$12*(1+Inputs!$B$13/100)))+0.25*(Inputs!$B$14-Inputs!$B$14))*(1+Inputs!$B$7/100))*(F2136/100)</f>
        <v/>
      </c>
      <c r="K2136">
        <f>J2136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2147=TRUE)*(F2147-Calc!F27))+((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2136)</f>
        <v/>
      </c>
      <c r="L2136">
        <f>K2136*(MIN(Inputs!$B$22+((C2144=TRUE)*(F2144-Calc!F24)),(Inputs!$B$23+((C2149=TRUE)*(F2149-Calc!F29))+IF(ArtifactsInput!$M$15,CHOOSE(ArtifactsInput!$N$15+1,25,30,35,40,45,50)/100*(Inputs!$B$11-Inputs!$B$11),0)))/100+(Inputs!$B$23+((C2149=TRUE)*(F2149-Calc!F29))+IF(ArtifactsInput!$M$15,CHOOSE(ArtifactsInput!$N$15+1,25,30,35,40,45,50)/100*(Inputs!$B$11-Inputs!$B$11),0))/100)/2</f>
        <v/>
      </c>
      <c r="M2136">
        <f>L2136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6">
        <f>L2136*(1-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IF(B2165=0,0,O2136/B2165)</f>
        <v/>
      </c>
      <c r="Q2136" t="n">
        <v>0</v>
      </c>
      <c r="R2136" t="n">
        <v>0</v>
      </c>
      <c r="S2136">
        <f>IFERROR(O2136/N2136,0)</f>
        <v/>
      </c>
      <c r="T2136">
        <f>IF(C2136,(Inputs!$B$38*0.2*N2136)*IF(Inputs!$B$39="pvp",1,1+(Inputs!$B$20+0+Skills!P16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2136*(1-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$9+((C2145=TRUE)*(F2145-Calc!F25))+B2153+(ArtifactsInput!$M$24-ArtifactsInput!$M$24)*CHOOSE(ArtifactsInput!$N$24+1,10,12,14,16,18,20)+(IF(AND(Inputs!$B$39&lt;&gt;"pvp",Inputs!$B$44=0),1,IF(IF(Inputs!$B$39="pvp",15,Inputs!$B$44)-(B2164)&lt;=0,1,MAX(0,IF(Inputs!$B$39="pvp",15,Inputs!$B$44)-MAX(5,B2164))/(IF(Inputs!$B$39="pvp",15,Inputs!$B$44)-(B2164))))*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IF(C2136,(Inputs!$B$38*0.2*N2136)*IF(Inputs!$B$39="pvp",1,(1+(Inputs!$B$21+Skills!Q16+B2154+(IF(ArtifactsInput!$M$33,CHOOSE(ArtifactsInput!$N$33+1,30,36,42,48,54,60),0))+(IF(AND(ArtifactsInput!$M$35,Inputs!$B$4&lt;&gt;"Chapter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Skills!A17</f>
        <v/>
      </c>
      <c r="B2137">
        <f>Skills!B17</f>
        <v/>
      </c>
      <c r="C2137">
        <f>Inputs!$B$3&gt;=115</f>
        <v/>
      </c>
      <c r="D2137">
        <f>IF(Skills!C17=1,60+Inputs!$B$25+Inputs!$B$29,IF(Skills!C17=2,90+Inputs!$B$26+Inputs!$B$29,IF(Skills!C17=3,120+Inputs!$B$27+Inputs!$B$29,MAX(0,(Inputs!$B$3-100)*3)+Inputs!$B$28+Inputs!$B$29)))</f>
        <v/>
      </c>
      <c r="E2137">
        <f>INDEX(FactorTable!$B$2:$Y$301, MATCH(ROUND(MIN(300,MAX(1,D2137)),0), FactorTable!$A$2:$A$301,0), Skills!M17+1)</f>
        <v/>
      </c>
      <c r="F2137">
        <f>IF(Skills!N17=TRUE,(Skills!L17/10)*(E2137/1000),Skills!L17/10)+Skills!O17</f>
        <v/>
      </c>
      <c r="G2137">
        <f>Skills!G17*IF(Skills!H17&gt;0,Skills!I17/Skills!H17,1)</f>
        <v/>
      </c>
      <c r="H2137">
        <f>1-(1-Skills!J17/100)^Skills!K17</f>
        <v/>
      </c>
      <c r="I2137" t="inlineStr">
        <is>
          <t>1</t>
        </is>
      </c>
      <c r="J2137" t="inlineStr"/>
      <c r="K2137" t="inlineStr"/>
      <c r="L2137" t="inlineStr"/>
      <c r="M2137" t="inlineStr"/>
      <c r="N2137" t="inlineStr"/>
      <c r="O2137">
        <f>(1-Summary!$B$11)*T2137+Summary!$B$11*V2137</f>
        <v/>
      </c>
      <c r="P2137">
        <f>IF(B2165=0,0,O2137/B2165)</f>
        <v/>
      </c>
      <c r="Q2137" t="n">
        <v>0</v>
      </c>
      <c r="R2137" t="n">
        <v>0</v>
      </c>
      <c r="S2137">
        <f>IFERROR(O2137/N2137,0)</f>
        <v/>
      </c>
      <c r="T2137" t="n">
        <v>0</v>
      </c>
      <c r="V2137" t="n">
        <v>0</v>
      </c>
    </row>
    <row r="2138">
      <c r="A2138">
        <f>Skills!A18</f>
        <v/>
      </c>
      <c r="B2138">
        <f>Skills!B18</f>
        <v/>
      </c>
      <c r="C2138">
        <f>Inputs!$B$3&gt;=100</f>
        <v/>
      </c>
      <c r="D2138">
        <f>IF(Skills!C18=1,60+Inputs!$B$25+Inputs!$B$29,IF(Skills!C18=2,90+Inputs!$B$26+Inputs!$B$29,IF(Skills!C18=3,120+Inputs!$B$27+Inputs!$B$29,MAX(0,(Inputs!$B$3-100)*3)+Inputs!$B$28+Inputs!$B$29)))</f>
        <v/>
      </c>
      <c r="E2138">
        <f>INDEX(FactorTable!$B$2:$Y$301, MATCH(ROUND(MIN(300,MAX(1,D2138)),0), FactorTable!$A$2:$A$301,0), Skills!M18+1)</f>
        <v/>
      </c>
      <c r="F2138">
        <f>IF(Skills!N18=TRUE,(Skills!L18/10)*(E2138/1000),Skills!L18/10)+Skills!O18</f>
        <v/>
      </c>
      <c r="G2138">
        <f>Skills!G18*IF(Skills!H18&gt;0,Skills!I18/Skills!H18,1)</f>
        <v/>
      </c>
      <c r="H2138">
        <f>1-(1-Skills!J18/100)^Skills!K18</f>
        <v/>
      </c>
      <c r="I2138" t="inlineStr">
        <is>
          <t>1</t>
        </is>
      </c>
      <c r="J2138" t="inlineStr"/>
      <c r="K2138" t="inlineStr"/>
      <c r="L2138" t="inlineStr"/>
      <c r="M2138" t="inlineStr"/>
      <c r="N2138" t="inlineStr"/>
      <c r="O2138">
        <f>(1-Summary!$B$11)*T2138+Summary!$B$11*V2138</f>
        <v/>
      </c>
      <c r="P2138">
        <f>IF(B2165=0,0,O2138/B2165)</f>
        <v/>
      </c>
      <c r="Q2138" t="n">
        <v>0</v>
      </c>
      <c r="R2138" t="n">
        <v>0</v>
      </c>
      <c r="S2138">
        <f>IFERROR(O2138/N2138,0)</f>
        <v/>
      </c>
      <c r="T2138" t="n">
        <v>0</v>
      </c>
      <c r="V2138" t="n">
        <v>0</v>
      </c>
    </row>
    <row r="2139">
      <c r="A2139">
        <f>Skills!A19</f>
        <v/>
      </c>
      <c r="B2139">
        <f>Skills!B19</f>
        <v/>
      </c>
      <c r="C2139">
        <f>TRUE</f>
        <v/>
      </c>
      <c r="D2139">
        <f>IF(Skills!C19=1,60+Inputs!$B$25+Inputs!$B$29,IF(Skills!C19=2,90+Inputs!$B$26+Inputs!$B$29,IF(Skills!C19=3,120+Inputs!$B$27+Inputs!$B$29,MAX(0,(Inputs!$B$3-100)*3)+Inputs!$B$28+Inputs!$B$29)))</f>
        <v/>
      </c>
      <c r="E2139">
        <f>INDEX(FactorTable!$B$2:$Y$301, MATCH(ROUND(MIN(300,MAX(1,D2139)),0), FactorTable!$A$2:$A$301,0), Skills!M19+1)</f>
        <v/>
      </c>
      <c r="F2139">
        <f>IF(Skills!N19=TRUE,(Skills!L19/10)*(E2139/1000),Skills!L19/10)+Skills!O19</f>
        <v/>
      </c>
      <c r="G2139">
        <f>Skills!G19*IF(Skills!H19&gt;0,Skills!I19/Skills!H19,1)</f>
        <v/>
      </c>
      <c r="H2139">
        <f>1-(1-Skills!J19/100)^Skills!K19</f>
        <v/>
      </c>
      <c r="I2139" t="inlineStr">
        <is>
          <t>1</t>
        </is>
      </c>
      <c r="J2139" t="inlineStr"/>
      <c r="K2139" t="inlineStr"/>
      <c r="L2139" t="inlineStr"/>
      <c r="M2139" t="inlineStr"/>
      <c r="N2139" t="inlineStr"/>
      <c r="O2139">
        <f>(1-Summary!$B$11)*T2139+Summary!$B$11*V2139</f>
        <v/>
      </c>
      <c r="P2139">
        <f>IF(B2165=0,0,O2139/B2165)</f>
        <v/>
      </c>
      <c r="Q2139">
        <f>IFERROR(1/IF(Inputs!$B$39="pvp",15,MAX(0.1,Skills!D19-IF(Skills!E19=TRUE,Inputs!$B$32,0))),0)</f>
        <v/>
      </c>
      <c r="R2139">
        <f>IF(AND(Inputs!$B$39&lt;&gt;"pvp",Inputs!$B$44&gt;0),IF(Inputs!$B$44&lt;=0,0,(INT(Inputs!$B$44/IF(Inputs!$B$39="pvp",15,MAX(0.1,Skills!D19-IF(Skills!E19=TRUE,Inputs!$B$32,0))))+1)),0)</f>
        <v/>
      </c>
      <c r="S2139">
        <f>IFERROR(O2139/N2139,0)</f>
        <v/>
      </c>
      <c r="T2139" t="n">
        <v>0</v>
      </c>
      <c r="V2139" t="n">
        <v>0</v>
      </c>
    </row>
    <row r="2140">
      <c r="A2140">
        <f>Skills!A20</f>
        <v/>
      </c>
      <c r="B2140">
        <f>Skills!B20</f>
        <v/>
      </c>
      <c r="C2140">
        <f>Inputs!$B$3&gt;=15</f>
        <v/>
      </c>
      <c r="D2140">
        <f>IF(Skills!C20=1,60+Inputs!$B$25+Inputs!$B$29,IF(Skills!C20=2,90+Inputs!$B$26+Inputs!$B$29,IF(Skills!C20=3,120+Inputs!$B$27+Inputs!$B$29,MAX(0,(Inputs!$B$3-100)*3)+Inputs!$B$28+Inputs!$B$29)))</f>
        <v/>
      </c>
      <c r="E2140">
        <f>INDEX(FactorTable!$B$2:$Y$301, MATCH(ROUND(MIN(300,MAX(1,D2140)),0), FactorTable!$A$2:$A$301,0), Skills!M20+1)</f>
        <v/>
      </c>
      <c r="F2140">
        <f>IF(Skills!N20=TRUE,(Skills!L20/10)*(E2140/1000),Skills!L20/10)+Skills!O20</f>
        <v/>
      </c>
      <c r="G2140">
        <f>Skills!G20*IF(Skills!H20&gt;0,Skills!I20/Skills!H20,1)</f>
        <v/>
      </c>
      <c r="H2140">
        <f>1-(1-Skills!J20/100)^Skills!K20</f>
        <v/>
      </c>
      <c r="I2140" t="inlineStr">
        <is>
          <t>1</t>
        </is>
      </c>
      <c r="J2140" t="inlineStr"/>
      <c r="K2140" t="inlineStr"/>
      <c r="L2140" t="inlineStr"/>
      <c r="M2140" t="inlineStr"/>
      <c r="N2140" t="inlineStr"/>
      <c r="O2140">
        <f>(1-Summary!$B$11)*T2140+Summary!$B$11*V2140</f>
        <v/>
      </c>
      <c r="P2140">
        <f>IF(B2165=0,0,O2140/B2165)</f>
        <v/>
      </c>
      <c r="Q2140">
        <f>IFERROR(1/IF(Inputs!$B$39="pvp",15,MAX(0.1,Skills!D20-IF(Skills!E20=TRUE,Inputs!$B$32,0))),0)</f>
        <v/>
      </c>
      <c r="R2140">
        <f>IF(AND(Inputs!$B$39&lt;&gt;"pvp",Inputs!$B$44&gt;0),IF(Inputs!$B$44&lt;=0,0,(INT(Inputs!$B$44/IF(Inputs!$B$39="pvp",15,MAX(0.1,Skills!D20-IF(Skills!E20=TRUE,Inputs!$B$32,0))))+1)),0)</f>
        <v/>
      </c>
      <c r="S2140">
        <f>IFERROR(O2140/N2140,0)</f>
        <v/>
      </c>
      <c r="T2140" t="n">
        <v>0</v>
      </c>
      <c r="V2140" t="n">
        <v>0</v>
      </c>
    </row>
    <row r="2141">
      <c r="A2141">
        <f>Skills!A21</f>
        <v/>
      </c>
      <c r="B2141">
        <f>Skills!B21</f>
        <v/>
      </c>
      <c r="C2141">
        <f>Inputs!$B$3&gt;=15</f>
        <v/>
      </c>
      <c r="D2141">
        <f>IF(Skills!C21=1,60+Inputs!$B$25+Inputs!$B$29,IF(Skills!C21=2,90+Inputs!$B$26+Inputs!$B$29,IF(Skills!C21=3,120+Inputs!$B$27+Inputs!$B$29,MAX(0,(Inputs!$B$3-100)*3)+Inputs!$B$28+Inputs!$B$29)))</f>
        <v/>
      </c>
      <c r="E2141">
        <f>INDEX(FactorTable!$B$2:$Y$301, MATCH(ROUND(MIN(300,MAX(1,D2141)),0), FactorTable!$A$2:$A$301,0), Skills!M21+1)</f>
        <v/>
      </c>
      <c r="F2141">
        <f>IF(Skills!N21=TRUE,(Skills!L21/10)*(E2141/1000),Skills!L21/10)+Skills!O21</f>
        <v/>
      </c>
      <c r="G2141">
        <f>Skills!G21*IF(Skills!H21&gt;0,Skills!I21/Skills!H21,1)</f>
        <v/>
      </c>
      <c r="H2141">
        <f>1-(1-Skills!J21/100)^Skills!K21</f>
        <v/>
      </c>
      <c r="I2141" t="inlineStr">
        <is>
          <t>1</t>
        </is>
      </c>
      <c r="J2141" t="inlineStr"/>
      <c r="K2141" t="inlineStr"/>
      <c r="L2141" t="inlineStr"/>
      <c r="M2141" t="inlineStr"/>
      <c r="N2141" t="inlineStr"/>
      <c r="O2141">
        <f>(1-Summary!$B$11)*T2141+Summary!$B$11*V2141</f>
        <v/>
      </c>
      <c r="P2141">
        <f>IF(B2165=0,0,O2141/B2165)</f>
        <v/>
      </c>
      <c r="Q2141">
        <f>IFERROR(1/IF(Inputs!$B$39="pvp",15,MAX(0.1,Skills!D21-IF(Skills!E21=TRUE,Inputs!$B$32,0))),0)</f>
        <v/>
      </c>
      <c r="R2141">
        <f>IF(AND(Inputs!$B$39&lt;&gt;"pvp",Inputs!$B$44&gt;0),IF(Inputs!$B$44&lt;=0,0,(INT(Inputs!$B$44/IF(Inputs!$B$39="pvp",15,MAX(0.1,Skills!D21-IF(Skills!E21=TRUE,Inputs!$B$32,0))))+1)),0)</f>
        <v/>
      </c>
      <c r="S2141">
        <f>IFERROR(O2141/N2141,0)</f>
        <v/>
      </c>
      <c r="T2141" t="n">
        <v>0</v>
      </c>
      <c r="V2141" t="n">
        <v>0</v>
      </c>
    </row>
    <row r="2142">
      <c r="A2142">
        <f>Skills!A22</f>
        <v/>
      </c>
      <c r="B2142">
        <f>Skills!B22</f>
        <v/>
      </c>
      <c r="C2142">
        <f>Inputs!$B$3&gt;=33</f>
        <v/>
      </c>
      <c r="D2142">
        <f>IF(Skills!C22=1,60+Inputs!$B$25+Inputs!$B$29,IF(Skills!C22=2,90+Inputs!$B$26+Inputs!$B$29,IF(Skills!C22=3,120+Inputs!$B$27+Inputs!$B$29,MAX(0,(Inputs!$B$3-100)*3)+Inputs!$B$28+Inputs!$B$29)))</f>
        <v/>
      </c>
      <c r="E2142">
        <f>INDEX(FactorTable!$B$2:$Y$301, MATCH(ROUND(MIN(300,MAX(1,D2142)),0), FactorTable!$A$2:$A$301,0), Skills!M22+1)</f>
        <v/>
      </c>
      <c r="F2142">
        <f>IF(Skills!N22=TRUE,(Skills!L22/10)*(E2142/1000),Skills!L22/10)+Skills!O22</f>
        <v/>
      </c>
      <c r="G2142">
        <f>Skills!G22*IF(Skills!H22&gt;0,Skills!I22/Skills!H22,1)</f>
        <v/>
      </c>
      <c r="H2142">
        <f>1-(1-Skills!J22/100)^Skills!K22</f>
        <v/>
      </c>
      <c r="I2142" t="inlineStr">
        <is>
          <t>1</t>
        </is>
      </c>
      <c r="J2142" t="inlineStr"/>
      <c r="K2142" t="inlineStr"/>
      <c r="L2142" t="inlineStr"/>
      <c r="M2142" t="inlineStr"/>
      <c r="N2142" t="inlineStr"/>
      <c r="O2142">
        <f>(1-Summary!$B$11)*T2142+Summary!$B$11*V2142</f>
        <v/>
      </c>
      <c r="P2142">
        <f>IF(B2165=0,0,O2142/B2165)</f>
        <v/>
      </c>
      <c r="Q2142" t="n">
        <v>0</v>
      </c>
      <c r="R2142" t="n">
        <v>0</v>
      </c>
      <c r="S2142">
        <f>IFERROR(O2142/N2142,0)</f>
        <v/>
      </c>
      <c r="T2142" t="n">
        <v>0</v>
      </c>
      <c r="V2142" t="n">
        <v>0</v>
      </c>
    </row>
    <row r="2143">
      <c r="A2143">
        <f>Skills!A23</f>
        <v/>
      </c>
      <c r="B2143">
        <f>Skills!B23</f>
        <v/>
      </c>
      <c r="C2143">
        <f>Inputs!$B$3&gt;=40</f>
        <v/>
      </c>
      <c r="D2143">
        <f>IF(Skills!C23=1,60+Inputs!$B$25+Inputs!$B$29,IF(Skills!C23=2,90+Inputs!$B$26+Inputs!$B$29,IF(Skills!C23=3,120+Inputs!$B$27+Inputs!$B$29,MAX(0,(Inputs!$B$3-100)*3)+Inputs!$B$28+Inputs!$B$29)))</f>
        <v/>
      </c>
      <c r="E2143">
        <f>INDEX(FactorTable!$B$2:$Y$301, MATCH(ROUND(MIN(300,MAX(1,D2143)),0), FactorTable!$A$2:$A$301,0), Skills!M23+1)</f>
        <v/>
      </c>
      <c r="F2143">
        <f>IF(Skills!N23=TRUE,(Skills!L23/10)*(E2143/1000),Skills!L23/10)+Skills!O23</f>
        <v/>
      </c>
      <c r="G2143">
        <f>Skills!G23*IF(Skills!H23&gt;0,Skills!I23/Skills!H23,1)</f>
        <v/>
      </c>
      <c r="H2143">
        <f>1-(1-Skills!J23/100)^Skills!K23</f>
        <v/>
      </c>
      <c r="I2143" t="inlineStr">
        <is>
          <t>1</t>
        </is>
      </c>
      <c r="J2143" t="inlineStr"/>
      <c r="K2143" t="inlineStr"/>
      <c r="L2143" t="inlineStr"/>
      <c r="M2143" t="inlineStr"/>
      <c r="N2143" t="inlineStr"/>
      <c r="O2143">
        <f>(1-Summary!$B$11)*T2143+Summary!$B$11*V2143</f>
        <v/>
      </c>
      <c r="P2143">
        <f>IF(B2165=0,0,O2143/B2165)</f>
        <v/>
      </c>
      <c r="Q2143" t="n">
        <v>0</v>
      </c>
      <c r="R2143" t="n">
        <v>0</v>
      </c>
      <c r="S2143">
        <f>IFERROR(O2143/N2143,0)</f>
        <v/>
      </c>
      <c r="T2143" t="n">
        <v>0</v>
      </c>
      <c r="V2143" t="n">
        <v>0</v>
      </c>
    </row>
    <row r="2144">
      <c r="A2144">
        <f>Skills!A24</f>
        <v/>
      </c>
      <c r="B2144">
        <f>Skills!B24</f>
        <v/>
      </c>
      <c r="C2144">
        <f>Inputs!$B$3&gt;=43</f>
        <v/>
      </c>
      <c r="D2144">
        <f>IF(Skills!C24=1,60+Inputs!$B$25+Inputs!$B$29,IF(Skills!C24=2,90+Inputs!$B$26+Inputs!$B$29,IF(Skills!C24=3,120+Inputs!$B$27+Inputs!$B$29,MAX(0,(Inputs!$B$3-100)*3)+Inputs!$B$28+Inputs!$B$29)))</f>
        <v/>
      </c>
      <c r="E2144">
        <f>INDEX(FactorTable!$B$2:$Y$301, MATCH(ROUND(MIN(300,MAX(1,D2144)),0), FactorTable!$A$2:$A$301,0), Skills!M24+1)</f>
        <v/>
      </c>
      <c r="F2144">
        <f>IF(Skills!N24=TRUE,(Skills!L24/10)*(E2144/1000),Skills!L24/10)+Skills!O24</f>
        <v/>
      </c>
      <c r="G2144">
        <f>Skills!G24*IF(Skills!H24&gt;0,Skills!I24/Skills!H24,1)</f>
        <v/>
      </c>
      <c r="H2144">
        <f>1-(1-Skills!J24/100)^Skills!K24</f>
        <v/>
      </c>
      <c r="I2144" t="inlineStr">
        <is>
          <t>1</t>
        </is>
      </c>
      <c r="J2144" t="inlineStr"/>
      <c r="K2144" t="inlineStr"/>
      <c r="L2144" t="inlineStr"/>
      <c r="M2144" t="inlineStr"/>
      <c r="N2144" t="inlineStr"/>
      <c r="O2144">
        <f>(1-Summary!$B$11)*T2144+Summary!$B$11*V2144</f>
        <v/>
      </c>
      <c r="P2144">
        <f>IF(B2165=0,0,O2144/B2165)</f>
        <v/>
      </c>
      <c r="Q2144" t="n">
        <v>0</v>
      </c>
      <c r="R2144" t="n">
        <v>0</v>
      </c>
      <c r="S2144">
        <f>IFERROR(O2144/N2144,0)</f>
        <v/>
      </c>
      <c r="T2144" t="n">
        <v>0</v>
      </c>
      <c r="V2144" t="n">
        <v>0</v>
      </c>
    </row>
    <row r="2145">
      <c r="A2145">
        <f>Skills!A25</f>
        <v/>
      </c>
      <c r="B2145">
        <f>Skills!B25</f>
        <v/>
      </c>
      <c r="C2145">
        <f>Inputs!$B$3&gt;=50</f>
        <v/>
      </c>
      <c r="D2145">
        <f>IF(Skills!C25=1,60+Inputs!$B$25+Inputs!$B$29,IF(Skills!C25=2,90+Inputs!$B$26+Inputs!$B$29,IF(Skills!C25=3,120+Inputs!$B$27+Inputs!$B$29,MAX(0,(Inputs!$B$3-100)*3)+Inputs!$B$28+Inputs!$B$29)))</f>
        <v/>
      </c>
      <c r="E2145">
        <f>INDEX(FactorTable!$B$2:$Y$301, MATCH(ROUND(MIN(300,MAX(1,D2145)),0), FactorTable!$A$2:$A$301,0), Skills!M25+1)</f>
        <v/>
      </c>
      <c r="F2145">
        <f>IF(Skills!N25=TRUE,(Skills!L25/10)*(E2145/1000),Skills!L25/10)+Skills!O25</f>
        <v/>
      </c>
      <c r="G2145">
        <f>Skills!G25*IF(Skills!H25&gt;0,Skills!I25/Skills!H25,1)</f>
        <v/>
      </c>
      <c r="H2145">
        <f>1-(1-Skills!J25/100)^Skills!K25</f>
        <v/>
      </c>
      <c r="I2145" t="inlineStr">
        <is>
          <t>1</t>
        </is>
      </c>
      <c r="J2145" t="inlineStr"/>
      <c r="K2145" t="inlineStr"/>
      <c r="L2145" t="inlineStr"/>
      <c r="M2145" t="inlineStr"/>
      <c r="N2145" t="inlineStr"/>
      <c r="O2145">
        <f>(1-Summary!$B$11)*T2145+Summary!$B$11*V2145</f>
        <v/>
      </c>
      <c r="P2145">
        <f>IF(B2165=0,0,O2145/B2165)</f>
        <v/>
      </c>
      <c r="Q2145" t="n">
        <v>0</v>
      </c>
      <c r="R2145" t="n">
        <v>0</v>
      </c>
      <c r="S2145">
        <f>IFERROR(O2145/N2145,0)</f>
        <v/>
      </c>
      <c r="T2145" t="n">
        <v>0</v>
      </c>
      <c r="V2145" t="n">
        <v>0</v>
      </c>
    </row>
    <row r="2146">
      <c r="A2146">
        <f>Skills!A26</f>
        <v/>
      </c>
      <c r="B2146">
        <f>Skills!B26</f>
        <v/>
      </c>
      <c r="C2146">
        <f>Inputs!$B$3&gt;=50</f>
        <v/>
      </c>
      <c r="D2146">
        <f>IF(Skills!C26=1,60+Inputs!$B$25+Inputs!$B$29,IF(Skills!C26=2,90+Inputs!$B$26+Inputs!$B$29,IF(Skills!C26=3,120+Inputs!$B$27+Inputs!$B$29,MAX(0,(Inputs!$B$3-100)*3)+Inputs!$B$28+Inputs!$B$29)))</f>
        <v/>
      </c>
      <c r="E2146">
        <f>INDEX(FactorTable!$B$2:$Y$301, MATCH(ROUND(MIN(300,MAX(1,D2146)),0), FactorTable!$A$2:$A$301,0), Skills!M26+1)</f>
        <v/>
      </c>
      <c r="F2146">
        <f>IF(Skills!N26=TRUE,(Skills!L26/10)*(E2146/1000),Skills!L26/10)+Skills!O26</f>
        <v/>
      </c>
      <c r="G2146">
        <f>Skills!G26*IF(Skills!H26&gt;0,Skills!I26/Skills!H26,1)</f>
        <v/>
      </c>
      <c r="H2146">
        <f>1-(1-Skills!J26/100)^Skills!K26</f>
        <v/>
      </c>
      <c r="I2146" t="inlineStr">
        <is>
          <t>1</t>
        </is>
      </c>
      <c r="J2146" t="inlineStr"/>
      <c r="K2146" t="inlineStr"/>
      <c r="L2146" t="inlineStr"/>
      <c r="M2146" t="inlineStr"/>
      <c r="N2146" t="inlineStr"/>
      <c r="O2146">
        <f>(1-Summary!$B$11)*T2146+Summary!$B$11*V2146</f>
        <v/>
      </c>
      <c r="P2146">
        <f>IF(B2165=0,0,O2146/B2165)</f>
        <v/>
      </c>
      <c r="Q2146" t="n">
        <v>0</v>
      </c>
      <c r="R2146" t="n">
        <v>0</v>
      </c>
      <c r="S2146">
        <f>IFERROR(O2146/N2146,0)</f>
        <v/>
      </c>
      <c r="T2146" t="n">
        <v>0</v>
      </c>
      <c r="V2146" t="n">
        <v>0</v>
      </c>
    </row>
    <row r="2147">
      <c r="A2147">
        <f>Skills!A27</f>
        <v/>
      </c>
      <c r="B2147">
        <f>Skills!B27</f>
        <v/>
      </c>
      <c r="C2147">
        <f>Inputs!$B$3&gt;=38</f>
        <v/>
      </c>
      <c r="D2147">
        <f>IF(Skills!C27=1,60+Inputs!$B$25+Inputs!$B$29,IF(Skills!C27=2,90+Inputs!$B$26+Inputs!$B$29,IF(Skills!C27=3,120+Inputs!$B$27+Inputs!$B$29,MAX(0,(Inputs!$B$3-100)*3)+Inputs!$B$28+Inputs!$B$29)))</f>
        <v/>
      </c>
      <c r="E2147">
        <f>INDEX(FactorTable!$B$2:$Y$301, MATCH(ROUND(MIN(300,MAX(1,D2147)),0), FactorTable!$A$2:$A$301,0), Skills!M27+1)</f>
        <v/>
      </c>
      <c r="F2147">
        <f>IF(Skills!N27=TRUE,(Skills!L27/10)*(E2147/1000),Skills!L27/10)+Skills!O27</f>
        <v/>
      </c>
      <c r="G2147">
        <f>Skills!G27*IF(Skills!H27&gt;0,Skills!I27/Skills!H27,1)</f>
        <v/>
      </c>
      <c r="H2147">
        <f>1-(1-Skills!J27/100)^Skills!K27</f>
        <v/>
      </c>
      <c r="I2147" t="inlineStr">
        <is>
          <t>1</t>
        </is>
      </c>
      <c r="J2147" t="inlineStr"/>
      <c r="K2147" t="inlineStr"/>
      <c r="L2147" t="inlineStr"/>
      <c r="M2147" t="inlineStr"/>
      <c r="N2147" t="inlineStr"/>
      <c r="O2147">
        <f>(1-Summary!$B$11)*T2147+Summary!$B$11*V2147</f>
        <v/>
      </c>
      <c r="P2147">
        <f>IF(B2165=0,0,O2147/B2165)</f>
        <v/>
      </c>
      <c r="Q2147" t="n">
        <v>0</v>
      </c>
      <c r="R2147" t="n">
        <v>0</v>
      </c>
      <c r="S2147">
        <f>IFERROR(O2147/N2147,0)</f>
        <v/>
      </c>
      <c r="T2147" t="n">
        <v>0</v>
      </c>
      <c r="V2147" t="n">
        <v>0</v>
      </c>
    </row>
    <row r="2148">
      <c r="A2148">
        <f>Skills!A28</f>
        <v/>
      </c>
      <c r="B2148">
        <f>Skills!B28</f>
        <v/>
      </c>
      <c r="C2148">
        <f>Inputs!$B$3&gt;=120</f>
        <v/>
      </c>
      <c r="D2148">
        <f>IF(Skills!C28=1,60+Inputs!$B$25+Inputs!$B$29,IF(Skills!C28=2,90+Inputs!$B$26+Inputs!$B$29,IF(Skills!C28=3,120+Inputs!$B$27+Inputs!$B$29,MAX(0,(Inputs!$B$3-100)*3)+Inputs!$B$28+Inputs!$B$29)))</f>
        <v/>
      </c>
      <c r="E2148">
        <f>INDEX(FactorTable!$B$2:$Y$301, MATCH(ROUND(MIN(300,MAX(1,D2148)),0), FactorTable!$A$2:$A$301,0), Skills!M28+1)</f>
        <v/>
      </c>
      <c r="F2148">
        <f>IF(Skills!N28=TRUE,(Skills!L28/10)*(E2148/1000),Skills!L28/10)+Skills!O28</f>
        <v/>
      </c>
      <c r="G2148">
        <f>Skills!G28*IF(Skills!H28&gt;0,Skills!I28/Skills!H28,1)</f>
        <v/>
      </c>
      <c r="H2148">
        <f>1-(1-Skills!J28/100)^Skills!K28</f>
        <v/>
      </c>
      <c r="I2148" t="inlineStr">
        <is>
          <t>1</t>
        </is>
      </c>
      <c r="J2148" t="inlineStr"/>
      <c r="K2148" t="inlineStr"/>
      <c r="L2148" t="inlineStr"/>
      <c r="M2148" t="inlineStr"/>
      <c r="N2148" t="inlineStr"/>
      <c r="O2148">
        <f>(1-Summary!$B$11)*T2148+Summary!$B$11*V2148</f>
        <v/>
      </c>
      <c r="P2148">
        <f>IF(B2165=0,0,O2148/B2165)</f>
        <v/>
      </c>
      <c r="Q2148" t="n">
        <v>0</v>
      </c>
      <c r="R2148" t="n">
        <v>0</v>
      </c>
      <c r="S2148">
        <f>IFERROR(O2148/N2148,0)</f>
        <v/>
      </c>
      <c r="T2148" t="n">
        <v>0</v>
      </c>
      <c r="V2148" t="n">
        <v>0</v>
      </c>
    </row>
    <row r="2149">
      <c r="A2149">
        <f>Skills!A29</f>
        <v/>
      </c>
      <c r="B2149">
        <f>Skills!B29</f>
        <v/>
      </c>
      <c r="C2149">
        <f>Inputs!$B$3&gt;=120</f>
        <v/>
      </c>
      <c r="D2149">
        <f>IF(Skills!C29=1,60+Inputs!$B$25+Inputs!$B$29,IF(Skills!C29=2,90+Inputs!$B$26+Inputs!$B$29,IF(Skills!C29=3,120+Inputs!$B$27+Inputs!$B$29,MAX(0,(Inputs!$B$3-100)*3)+Inputs!$B$28+Inputs!$B$29)))</f>
        <v/>
      </c>
      <c r="E2149">
        <f>INDEX(FactorTable!$B$2:$Y$301, MATCH(ROUND(MIN(300,MAX(1,D2149)),0), FactorTable!$A$2:$A$301,0), Skills!M29+1)</f>
        <v/>
      </c>
      <c r="F2149">
        <f>IF(Skills!N29=TRUE,(Skills!L29/10)*(E2149/1000),Skills!L29/10)+Skills!O29</f>
        <v/>
      </c>
      <c r="G2149">
        <f>Skills!G29*IF(Skills!H29&gt;0,Skills!I29/Skills!H29,1)</f>
        <v/>
      </c>
      <c r="H2149">
        <f>1-(1-Skills!J29/100)^Skills!K29</f>
        <v/>
      </c>
      <c r="I2149" t="inlineStr">
        <is>
          <t>1</t>
        </is>
      </c>
      <c r="J2149" t="inlineStr"/>
      <c r="K2149" t="inlineStr"/>
      <c r="L2149" t="inlineStr"/>
      <c r="M2149" t="inlineStr"/>
      <c r="N2149" t="inlineStr"/>
      <c r="O2149">
        <f>(1-Summary!$B$11)*T2149+Summary!$B$11*V2149</f>
        <v/>
      </c>
      <c r="P2149">
        <f>IF(B2165=0,0,O2149/B2165)</f>
        <v/>
      </c>
      <c r="Q2149" t="n">
        <v>0</v>
      </c>
      <c r="R2149" t="n">
        <v>0</v>
      </c>
      <c r="S2149">
        <f>IFERROR(O2149/N2149,0)</f>
        <v/>
      </c>
      <c r="T2149" t="n">
        <v>0</v>
      </c>
      <c r="V2149" t="n">
        <v>0</v>
      </c>
    </row>
    <row r="2150">
      <c r="A2150">
        <f>Skills!A30</f>
        <v/>
      </c>
      <c r="B2150">
        <f>Skills!B30</f>
        <v/>
      </c>
      <c r="C2150">
        <f>Inputs!$B$3&gt;=125</f>
        <v/>
      </c>
      <c r="D2150">
        <f>IF(Skills!C30=1,60+Inputs!$B$25+Inputs!$B$29,IF(Skills!C30=2,90+Inputs!$B$26+Inputs!$B$29,IF(Skills!C30=3,120+Inputs!$B$27+Inputs!$B$29,MAX(0,(Inputs!$B$3-100)*3)+Inputs!$B$28+Inputs!$B$29)))</f>
        <v/>
      </c>
      <c r="E2150">
        <f>INDEX(FactorTable!$B$2:$Y$301, MATCH(ROUND(MIN(300,MAX(1,D2150)),0), FactorTable!$A$2:$A$301,0), Skills!M30+1)</f>
        <v/>
      </c>
      <c r="F2150">
        <f>IF(Skills!N30=TRUE,(Skills!L30/10)*(E2150/1000),Skills!L30/10)+Skills!O30</f>
        <v/>
      </c>
      <c r="G2150">
        <f>Skills!G30*IF(Skills!H30&gt;0,Skills!I30/Skills!H30,1)</f>
        <v/>
      </c>
      <c r="H2150">
        <f>1-(1-Skills!J30/100)^Skills!K30</f>
        <v/>
      </c>
      <c r="I2150" t="inlineStr">
        <is>
          <t>1</t>
        </is>
      </c>
      <c r="J2150" t="inlineStr"/>
      <c r="K2150" t="inlineStr"/>
      <c r="L2150" t="inlineStr"/>
      <c r="M2150" t="inlineStr"/>
      <c r="N2150" t="inlineStr"/>
      <c r="O2150">
        <f>(1-Summary!$B$11)*T2150+Summary!$B$11*V2150</f>
        <v/>
      </c>
      <c r="P2150">
        <f>IF(B2165=0,0,O2150/B2165)</f>
        <v/>
      </c>
      <c r="Q2150" t="n">
        <v>0</v>
      </c>
      <c r="R2150" t="n">
        <v>0</v>
      </c>
      <c r="S2150">
        <f>IFERROR(O2150/N2150,0)</f>
        <v/>
      </c>
      <c r="T2150" t="n">
        <v>0</v>
      </c>
      <c r="V2150" t="n">
        <v>0</v>
      </c>
    </row>
    <row r="2152">
      <c r="A2152" t="inlineStr">
        <is>
          <t>Average Buff Multiplier</t>
        </is>
      </c>
      <c r="B2152">
        <f>(1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f>
        <v/>
      </c>
    </row>
    <row r="2153">
      <c r="A2153" t="inlineStr">
        <is>
          <t>Global Crit Rate Bonus %</t>
        </is>
      </c>
      <c r="B2153">
        <f>((C2140=TRUE)*F2140*IF(AND(Inputs!$B$39&lt;&gt;"pvp",Inputs!$B$44&gt;0),(((R2140-1)*(Skills!Y20*(1+Inputs!$B$34/100))+MIN((Skills!Y20*(1+Inputs!$B$34/100)),MAX(0,Inputs!$B$44-((R2140-1)*Skills!D20))))/Inputs!$B$44),IF(Inputs!$B$39="pvp",MIN((Skills!Y20*(1+Inputs!$B$34/100)),15)/15,(Skills!Y20*(1+Inputs!$B$34/100))/Skills!D20)))</f>
        <v/>
      </c>
    </row>
    <row r="2154">
      <c r="A2154" t="inlineStr">
        <is>
          <t>Global Monster Damage-Taken Bonus %</t>
        </is>
      </c>
      <c r="B2154">
        <f>IF(Inputs!$B$3&gt;=82,15,0)</f>
        <v/>
      </c>
    </row>
    <row r="2155">
      <c r="A2155" t="inlineStr">
        <is>
          <t>Shadow Partner Average Multiplier</t>
        </is>
      </c>
      <c r="B2155">
        <f>1+((C2127=TRUE)*F2127*(1+3.3333333333333335*IF(C2138=TRUE,F2138,0)/100)*I2127*Skills!J7/100)/100</f>
        <v/>
      </c>
    </row>
    <row r="2156">
      <c r="A2156" t="inlineStr">
        <is>
          <t>Attack Speed Buff Bonus %</t>
        </is>
      </c>
      <c r="B2156">
        <f>((C2139=TRUE)*F2139*IF(AND(Inputs!$B$39&lt;&gt;"pvp",Inputs!$B$44&gt;0),(((R2139-1)*(Skills!Y19*(1+Inputs!$B$34/100))+MIN((Skills!Y19*(1+Inputs!$B$34/100)),MAX(0,Inputs!$B$44-((R2139-1)*Skills!D19))))/Inputs!$B$44),IF(Inputs!$B$39="pvp",MIN((Skills!Y19*(1+Inputs!$B$34/100)),15)/15,(Skills!Y19*(1+Inputs!$B$34/100))/Skills!D19)))+((C2123=TRUE)*F2123*3)</f>
        <v/>
      </c>
    </row>
    <row r="2157">
      <c r="A2157" t="inlineStr">
        <is>
          <t>Actions Per Second</t>
        </is>
      </c>
      <c r="B2157">
        <f>1+MIN(150,150*(1-(1-(Inputs!$B$11+((C2142=TRUE)*(F2142-Calc!F22)))/150)*(1-B2156/150)))/100</f>
        <v/>
      </c>
    </row>
    <row r="2158">
      <c r="A2158" t="inlineStr">
        <is>
          <t>Skill + Buff Cast Rate</t>
        </is>
      </c>
      <c r="B2158">
        <f>IF(AND(Inputs!$B$39&lt;&gt;"pvp",Inputs!$B$44&gt;0),SUMPRODUCT((Skills!E2:E30=TRUE)*(C2122:C2150=TRUE)*R2122:R2150*Skills!F2:F30)/Inputs!$B$44,SUMPRODUCT((Skills!E2:E30=TRUE)*(C2122:C2150=TRUE)*Q2122:Q2150*Skills!F2:F30))</f>
        <v/>
      </c>
    </row>
    <row r="2159">
      <c r="A2159" t="inlineStr">
        <is>
          <t>Cruel Stab Casts Per Second</t>
        </is>
      </c>
      <c r="B2159">
        <f>MAX(0,B2157-B2158)</f>
        <v/>
      </c>
    </row>
    <row r="2160">
      <c r="A2160" t="inlineStr">
        <is>
          <t>Global Critical Damage Bonus % (Smokescreen Mastery Lv.113)</t>
        </is>
      </c>
      <c r="B2160">
        <f>IF(Inputs!$B$3&gt;=113,30,0)*IF(AND(Inputs!$B$39&lt;&gt;"pvp",Inputs!$B$44&gt;0),(((R2135-1)*(Skills!Y15*(1+Inputs!$B$34/100))+MIN((Skills!Y15*(1+Inputs!$B$34/100)),MAX(0,Inputs!$B$44-((R2135-1)*Skills!D15))))/Inputs!$B$44),IF(Inputs!$B$39="pvp",MIN((Skills!Y15*(1+Inputs!$B$34/100)),15)/15,(Skills!Y15*(1+Inputs!$B$34/100))/Skills!D15))</f>
        <v/>
      </c>
    </row>
    <row r="2161">
      <c r="A2161" t="inlineStr">
        <is>
          <t>Meso Explosion average stack count</t>
        </is>
      </c>
      <c r="B2161">
        <f>MIN(10,0.5*B2157*Skills!D4)</f>
        <v/>
      </c>
    </row>
    <row r="2162">
      <c r="A2162" t="inlineStr">
        <is>
          <t>Blood Money average stack count</t>
        </is>
      </c>
      <c r="B2162">
        <f>MIN(5,0.25*B2157*Skills!D4)</f>
        <v/>
      </c>
    </row>
    <row r="2163">
      <c r="A2163" t="inlineStr">
        <is>
          <t>Assassinate Murderous Intent Multiplier</t>
        </is>
      </c>
      <c r="B2163">
        <f>1+IFERROR(MIN(1,Q2134*2/Q2131),0)</f>
        <v/>
      </c>
    </row>
    <row r="2164">
      <c r="A2164" t="inlineStr">
        <is>
          <t>Buff-Casting Startup Delay (s, fixed-duration only)</t>
        </is>
      </c>
      <c r="B2164">
        <f>IF(AND(Inputs!$B$39&lt;&gt;"pvp",Inputs!$B$44&gt;0),SUMPRODUCT((Skills!Y2:Y30&gt;0)*(Skills!E2:E30=TRUE)*(C2122:C2150=TRUE))/B2157,0)</f>
        <v/>
      </c>
    </row>
    <row r="2165">
      <c r="A2165" s="6" t="inlineStr">
        <is>
          <t>TOTAL DPS</t>
        </is>
      </c>
      <c r="B2165" s="6">
        <f>SUM(O2122:O2150)</f>
        <v/>
      </c>
    </row>
    <row r="2166">
      <c r="A2166" t="inlineStr">
        <is>
          <t>Boss-Only Total DPS (this block's swept value)</t>
        </is>
      </c>
      <c r="B2166">
        <f>SUM(T2122:T2150)</f>
        <v/>
      </c>
    </row>
    <row r="2167">
      <c r="A2167" t="inlineStr">
        <is>
          <t>Normal-Only Total DPS (this block's swept value)</t>
        </is>
      </c>
      <c r="B2167">
        <f>SUM(V2122:V2150)</f>
        <v/>
      </c>
    </row>
    <row r="2170">
      <c r="A2170" s="6" t="inlineStr">
        <is>
          <t>Stat: Silver Pendant (Equip)</t>
        </is>
      </c>
    </row>
    <row r="2171">
      <c r="A2171" s="5" t="inlineStr">
        <is>
          <t>Key</t>
        </is>
      </c>
      <c r="B2171" s="5" t="inlineStr">
        <is>
          <t>Name</t>
        </is>
      </c>
      <c r="C2171" s="5" t="inlineStr">
        <is>
          <t>Unlocked</t>
        </is>
      </c>
      <c r="D2171" s="5" t="inlineStr">
        <is>
          <t>InputLevel</t>
        </is>
      </c>
      <c r="E2171" s="5" t="inlineStr">
        <is>
          <t>Factor</t>
        </is>
      </c>
      <c r="F2171" s="5" t="inlineStr">
        <is>
          <t>CoefficientPercent</t>
        </is>
      </c>
      <c r="G2171" s="5" t="inlineStr">
        <is>
          <t>EffectiveHits</t>
        </is>
      </c>
      <c r="H2171" s="5" t="inlineStr">
        <is>
          <t>ProcProbability</t>
        </is>
      </c>
      <c r="I2171" s="5" t="inlineStr">
        <is>
          <t>MapleHeroMultiplier</t>
        </is>
      </c>
      <c r="J2171" s="5" t="inlineStr">
        <is>
          <t>BaseDamage</t>
        </is>
      </c>
      <c r="K2171" s="5" t="inlineStr">
        <is>
          <t>BaseHitDamage</t>
        </is>
      </c>
      <c r="L2171" s="5" t="inlineStr">
        <is>
          <t>NonCritAvg</t>
        </is>
      </c>
      <c r="M2171" s="5" t="inlineStr">
        <is>
          <t>CritAvg</t>
        </is>
      </c>
      <c r="N2171" s="5" t="inlineStr">
        <is>
          <t>ExpectedDamage(perHit)</t>
        </is>
      </c>
      <c r="O2171" s="5" t="inlineStr">
        <is>
          <t>DPS</t>
        </is>
      </c>
      <c r="P2171" s="5" t="inlineStr">
        <is>
          <t>% of Total</t>
        </is>
      </c>
      <c r="Q2171" s="5" t="inlineStr">
        <is>
          <t>InvCooldown</t>
        </is>
      </c>
      <c r="R2171" s="5" t="inlineStr">
        <is>
          <t>CastsInFight</t>
        </is>
      </c>
      <c r="S2171" s="5" t="inlineStr">
        <is>
          <t>HitRate(perSec)</t>
        </is>
      </c>
      <c r="U2171" t="inlineStr">
        <is>
          <t>helpers</t>
        </is>
      </c>
    </row>
    <row r="2172">
      <c r="A2172">
        <f>Skills!A2</f>
        <v/>
      </c>
      <c r="B2172">
        <f>Skills!B2</f>
        <v/>
      </c>
      <c r="C2172">
        <f>Inputs!$B$3&gt;=100</f>
        <v/>
      </c>
      <c r="D2172" t="inlineStr"/>
      <c r="E2172" t="inlineStr"/>
      <c r="F2172">
        <f>U2174+Skills!O2</f>
        <v/>
      </c>
      <c r="G2172">
        <f>Skills!G2*IF(Skills!H2&gt;0,Skills!I2/Skills!H2,1)</f>
        <v/>
      </c>
      <c r="H2172">
        <f>1-(1-Skills!J2/100)^Skills!K2</f>
        <v/>
      </c>
      <c r="I2172" t="inlineStr">
        <is>
          <t>1</t>
        </is>
      </c>
      <c r="J2172">
        <f>((Inputs!$B$6*(1+Inputs!$B$7/100))+(((Inputs!$B$12*(1+Inputs!$B$13/100))-(Inputs!$B$12*(1+Inputs!$B$13/100)))+0.25*(Inputs!$B$14-Inputs!$B$14))*(1+Inputs!$B$7/100))*(F2172/100)</f>
        <v/>
      </c>
      <c r="K2172">
        <f>J2172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2172)</f>
        <v/>
      </c>
      <c r="L2172">
        <f>K2172*(MIN(Inputs!$B$22+((C2194=TRUE)*(F2194-Calc!F24)),(Inputs!$B$23+((C2199=TRUE)*(F2199-Calc!F29))+IF(ArtifactsInput!$M$15,CHOOSE(ArtifactsInput!$N$15+1,25,30,35,40,45,50)/100*(Inputs!$B$11-Inputs!$B$11),0)))/100+(Inputs!$B$23+((C2199=TRUE)*(F2199-Calc!F29))+IF(ArtifactsInput!$M$15,CHOOSE(ArtifactsInput!$N$15+1,25,30,35,40,45,50)/100*(Inputs!$B$11-Inputs!$B$11),0))/100)/2</f>
        <v/>
      </c>
      <c r="M2172">
        <f>L2172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2">
        <f>L2172*(1-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2172*(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2">
        <f>(1-Summary!$B$11)*T2172+Summary!$B$11*V2172</f>
        <v/>
      </c>
      <c r="P2172">
        <f>IF(B2215=0,0,O2172/B2215)</f>
        <v/>
      </c>
      <c r="Q2172" t="n">
        <v>0</v>
      </c>
      <c r="R2172" t="n">
        <v>0</v>
      </c>
      <c r="S2172">
        <f>IFERROR(O2172/N2172,0)</f>
        <v/>
      </c>
      <c r="T2172">
        <f>IF(C2172,(Skills!G2*N2172*B2209)*IF(Inputs!$B$39="pvp",1,1+(Inputs!$B$20+0+Skills!P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2172*(1-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2172*(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2172*(1-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2172*(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2">
        <f>MAX(0,(Inputs!$B$3-100)*3)+Inputs!$B$28+Inputs!$B$29</f>
        <v/>
      </c>
      <c r="V2172">
        <f>IF(C2172,(Skills!G2*N2172*B2209)*IF(Inputs!$B$39="pvp",1,(1+(Inputs!$B$21+Skills!Q2+B2204+(IF(ArtifactsInput!$M$33,CHOOSE(ArtifactsInput!$N$33+1,30,36,42,48,54,60),0))+(IF(AND(ArtifactsInput!$M$35,Inputs!$B$4&lt;&gt;"Chapter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3">
      <c r="A2173">
        <f>Skills!A3</f>
        <v/>
      </c>
      <c r="B2173">
        <f>Skills!B3</f>
        <v/>
      </c>
      <c r="C2173">
        <f>Inputs!$B$3&gt;=35</f>
        <v/>
      </c>
      <c r="D2173">
        <f>IF(Skills!C3=1,60+Inputs!$B$25+Inputs!$B$29,IF(Skills!C3=2,90+Inputs!$B$26+Inputs!$B$29,IF(Skills!C3=3,120+Inputs!$B$27+Inputs!$B$29,MAX(0,(Inputs!$B$3-100)*3)+Inputs!$B$28+Inputs!$B$29)))</f>
        <v/>
      </c>
      <c r="E2173">
        <f>INDEX(FactorTable!$B$2:$Y$301, MATCH(ROUND(MIN(300,MAX(1,D2173)),0), FactorTable!$A$2:$A$301,0), Skills!M3+1)</f>
        <v/>
      </c>
      <c r="F2173">
        <f>IF(Skills!N3=TRUE,(Skills!L3/10)*(E2173/1000),Skills!L3/10)+Skills!O3</f>
        <v/>
      </c>
      <c r="G2173">
        <f>Skills!G3*IF(Skills!H3&gt;0,Skills!I3/Skills!H3,1)</f>
        <v/>
      </c>
      <c r="H2173">
        <f>1-(1-Skills!J3/100)^Skills!K3</f>
        <v/>
      </c>
      <c r="I2173" t="inlineStr">
        <is>
          <t>1</t>
        </is>
      </c>
      <c r="J2173" t="inlineStr"/>
      <c r="K2173" t="inlineStr"/>
      <c r="L2173" t="inlineStr"/>
      <c r="M2173" t="inlineStr"/>
      <c r="N2173" t="inlineStr"/>
      <c r="O2173">
        <f>(1-Summary!$B$11)*T2173+Summary!$B$11*V2173</f>
        <v/>
      </c>
      <c r="P2173">
        <f>IF(B2215=0,0,O2173/B2215)</f>
        <v/>
      </c>
      <c r="Q2173" t="n">
        <v>0</v>
      </c>
      <c r="R2173" t="n">
        <v>0</v>
      </c>
      <c r="S2173">
        <f>IFERROR(O2173/N2173,0)</f>
        <v/>
      </c>
      <c r="T2173" t="n">
        <v>0</v>
      </c>
      <c r="U2173">
        <f>INDEX(FactorTable!$B$2:$Y$301, MATCH(ROUND(MIN(300,MAX(1,U2172)),0), FactorTable!$A$2:$A$301,0), 22)</f>
        <v/>
      </c>
      <c r="V2173" t="n">
        <v>0</v>
      </c>
    </row>
    <row r="2174">
      <c r="A2174">
        <f>Skills!A4</f>
        <v/>
      </c>
      <c r="B2174">
        <f>Skills!B4</f>
        <v/>
      </c>
      <c r="C2174">
        <f>Inputs!$B$3&gt;=66</f>
        <v/>
      </c>
      <c r="D2174">
        <f>IF(Skills!C4=1,60+Inputs!$B$25+Inputs!$B$29,IF(Skills!C4=2,90+Inputs!$B$26+Inputs!$B$29,IF(Skills!C4=3,120+Inputs!$B$27+Inputs!$B$29,MAX(0,(Inputs!$B$3-100)*3)+Inputs!$B$28+Inputs!$B$29)))</f>
        <v/>
      </c>
      <c r="E2174">
        <f>INDEX(FactorTable!$B$2:$Y$301, MATCH(ROUND(MIN(300,MAX(1,D2174)),0), FactorTable!$A$2:$A$301,0), Skills!M4+1)</f>
        <v/>
      </c>
      <c r="F2174">
        <f>IF(Skills!N4=TRUE,(Skills!L4/10)*(E2174/1000),Skills!L4/10)+Skills!O4</f>
        <v/>
      </c>
      <c r="G2174">
        <f>Skills!G4*IF(Skills!H4&gt;0,Skills!I4/Skills!H4,1)</f>
        <v/>
      </c>
      <c r="H2174">
        <f>1-(1-Skills!J4/100)^Skills!K4</f>
        <v/>
      </c>
      <c r="I2174" t="inlineStr">
        <is>
          <t>1</t>
        </is>
      </c>
      <c r="J2174">
        <f>((Inputs!$B$6*(1+Inputs!$B$7/100))+(((Inputs!$B$12*(1+Inputs!$B$13/100))-(Inputs!$B$12*(1+Inputs!$B$13/100)))+0.25*(Inputs!$B$14-Inputs!$B$14))*(1+Inputs!$B$7/100))*(F2174/100)</f>
        <v/>
      </c>
      <c r="K2174">
        <f>J2174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2174)</f>
        <v/>
      </c>
      <c r="L2174">
        <f>K2174*(MIN(Inputs!$B$22+((C2194=TRUE)*(F2194-Calc!F24)),(Inputs!$B$23+((C2199=TRUE)*(F2199-Calc!F29))+IF(ArtifactsInput!$M$15,CHOOSE(ArtifactsInput!$N$15+1,25,30,35,40,45,50)/100*(Inputs!$B$11-Inputs!$B$11),0)))/100+(Inputs!$B$23+((C2199=TRUE)*(F2199-Calc!F29))+IF(ArtifactsInput!$M$15,CHOOSE(ArtifactsInput!$N$15+1,25,30,35,40,45,50)/100*(Inputs!$B$11-Inputs!$B$11),0))/100)/2</f>
        <v/>
      </c>
      <c r="M2174">
        <f>L2174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4">
        <f>L2174*(1-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2174*(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4">
        <f>(1-Summary!$B$11)*T2174+Summary!$B$11*V2174</f>
        <v/>
      </c>
      <c r="P2174">
        <f>IF(B2215=0,0,O2174/B2215)</f>
        <v/>
      </c>
      <c r="Q2174">
        <f>IFERROR(1/IF(Inputs!$B$39="pvp",15,MAX(0.1,Skills!D4-IF(Skills!E4=TRUE,Inputs!$B$32,0))),0)</f>
        <v/>
      </c>
      <c r="R2174">
        <f>IF(AND(Inputs!$B$39&lt;&gt;"pvp",Inputs!$B$44&gt;0),IF(MAX(0,Inputs!$B$44-B2214)&lt;=0,0,(INT(MAX(0,Inputs!$B$44-B2214)/IF(Inputs!$B$39="pvp",15,MAX(0.1,Skills!D4-IF(Skills!E4=TRUE,Inputs!$B$32,0))))+1)),0)</f>
        <v/>
      </c>
      <c r="S2174">
        <f>IFERROR(O2174/N2174,0)</f>
        <v/>
      </c>
      <c r="T2174">
        <f>IF(C2174,(H2174*N2174*IF(AND(Inputs!$B$39&lt;&gt;"pvp",Inputs!$B$44&gt;0),((Skills!G4*((R2174-1)*IF(Skills!H4&gt;0,Skills!I4/Skills!H4,1)+IF(Skills!H4&gt;0,MIN(Skills!I4,MAX(0,MAX(0,Inputs!$B$44-B2214)-((R2174-1)*IF(Inputs!$B$39="pvp",15,MAX(0.1,Skills!D4-IF(Skills!E4=TRUE,Inputs!$B$32,0))))))/Skills!H4,1)))/Inputs!$B$44),G2174*Q2174))*IF(Inputs!$B$39="pvp",1,1+(Inputs!$B$20+0+Skills!P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2174*(1-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2174*(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2174*(1-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2174*(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4">
        <f>290*U2173/1000</f>
        <v/>
      </c>
      <c r="V2174">
        <f>IF(C2174,(H2174*N2174*IF(AND(Inputs!$B$39&lt;&gt;"pvp",Inputs!$B$44&gt;0),((Skills!G4*((R2174-1)*IF(Skills!H4&gt;0,Skills!I4/Skills!H4,1)+IF(Skills!H4&gt;0,MIN(Skills!I4,MAX(0,MAX(0,Inputs!$B$44-B2214)-((R2174-1)*IF(Inputs!$B$39="pvp",15,MAX(0.1,Skills!D4-IF(Skills!E4=TRUE,Inputs!$B$32,0))))))/Skills!H4,1)))/Inputs!$B$44),G2174*Q2174))*IF(Inputs!$B$39="pvp",1,(1+(Inputs!$B$21+Skills!Q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(10,0.5*B2207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5">
      <c r="A2175">
        <f>Skills!A5</f>
        <v/>
      </c>
      <c r="B2175">
        <f>Skills!B5</f>
        <v/>
      </c>
      <c r="C2175">
        <f>Inputs!$B$3&gt;=63</f>
        <v/>
      </c>
      <c r="D2175">
        <f>IF(Skills!C5=1,60+Inputs!$B$25+Inputs!$B$29,IF(Skills!C5=2,90+Inputs!$B$26+Inputs!$B$29,IF(Skills!C5=3,120+Inputs!$B$27+Inputs!$B$29,MAX(0,(Inputs!$B$3-100)*3)+Inputs!$B$28+Inputs!$B$29)))</f>
        <v/>
      </c>
      <c r="E2175">
        <f>INDEX(FactorTable!$B$2:$Y$301, MATCH(ROUND(MIN(300,MAX(1,D2175)),0), FactorTable!$A$2:$A$301,0), Skills!M5+1)</f>
        <v/>
      </c>
      <c r="F2175">
        <f>IF(Skills!N5=TRUE,(Skills!L5/10)*(E2175/1000),Skills!L5/10)+Skills!O5</f>
        <v/>
      </c>
      <c r="G2175">
        <f>Skills!G5*IF(Skills!H5&gt;0,Skills!I5/Skills!H5,1)</f>
        <v/>
      </c>
      <c r="H2175">
        <f>1-(1-Skills!J5/100)^Skills!K5</f>
        <v/>
      </c>
      <c r="I2175" t="inlineStr">
        <is>
          <t>1</t>
        </is>
      </c>
      <c r="J2175">
        <f>((Inputs!$B$6*(1+Inputs!$B$7/100))+(((Inputs!$B$12*(1+Inputs!$B$13/100))-(Inputs!$B$12*(1+Inputs!$B$13/100)))+0.25*(Inputs!$B$14-Inputs!$B$14))*(1+Inputs!$B$7/100))*(F2175/100)</f>
        <v/>
      </c>
      <c r="K2175">
        <f>J2175*(1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2188=TRUE,F2188,0)/100)*(1+(IF(Skills!A5="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2175)</f>
        <v/>
      </c>
      <c r="L2175">
        <f>K2175*(MIN(Inputs!$B$22+((C2194=TRUE)*(F2194-Calc!F24)),(Inputs!$B$23+((C2199=TRUE)*(F2199-Calc!F29))+IF(ArtifactsInput!$M$15,CHOOSE(ArtifactsInput!$N$15+1,25,30,35,40,45,50)/100*(Inputs!$B$11-Inputs!$B$11),0)))/100+(Inputs!$B$23+((C2199=TRUE)*(F2199-Calc!F29))+IF(ArtifactsInput!$M$15,CHOOSE(ArtifactsInput!$N$15+1,25,30,35,40,45,50)/100*(Inputs!$B$11-Inputs!$B$11),0))/100)/2</f>
        <v/>
      </c>
      <c r="M2175">
        <f>L2175*(1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5">
        <f>L2175*(1-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IF(B2215=0,0,O2175/B2215)</f>
        <v/>
      </c>
      <c r="Q2175">
        <f>IFERROR(1/IF(Inputs!$B$39="pvp",15,MAX(0.1,Skills!D5-IF(Skills!E5=TRUE,Inputs!$B$32,0))),0)</f>
        <v/>
      </c>
      <c r="R2175">
        <f>IF(AND(Inputs!$B$39&lt;&gt;"pvp",Inputs!$B$44&gt;0),IF(MAX(0,Inputs!$B$44-B2214)&lt;=0,0,(INT(MAX(0,Inputs!$B$44-B2214)/IF(Inputs!$B$39="pvp",15,MAX(0.1,Skills!D5-IF(Skills!E5=TRUE,Inputs!$B$32,0))))+1)),0)</f>
        <v/>
      </c>
      <c r="S2175">
        <f>IFERROR(O2175/N2175,0)</f>
        <v/>
      </c>
      <c r="T2175">
        <f>IF(C2175,(H2175*N2175*IF(AND(Inputs!$B$39&lt;&gt;"pvp",Inputs!$B$44&gt;0),((Skills!G5*((R2175-1)*IF(Skills!H5&gt;0,Skills!I5/Skills!H5,1)+IF(Skills!H5&gt;0,MIN(Skills!I5,MAX(0,MAX(0,Inputs!$B$44-B2214)-((R2175-1)*IF(Inputs!$B$39="pvp",15,MAX(0.1,Skills!D5-IF(Skills!E5=TRUE,Inputs!$B$32,0))))))/Skills!H5,1)))/Inputs!$B$44),G2175*Q2175))*IF(Inputs!$B$39="pvp",1,1+(Inputs!$B$20+0+Skills!P5+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2175*(1-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5">
        <f>IF(C2175,(H2175*N2175*IF(AND(Inputs!$B$39&lt;&gt;"pvp",Inputs!$B$44&gt;0),((Skills!G5*((R2175-1)*IF(Skills!H5&gt;0,Skills!I5/Skills!H5,1)+IF(Skills!H5&gt;0,MIN(Skills!I5,MAX(0,MAX(0,Inputs!$B$44-B2214)-((R2175-1)*IF(Inputs!$B$39="pvp",15,MAX(0.1,Skills!D5-IF(Skills!E5=TRUE,Inputs!$B$32,0))))))/Skills!H5,1)))/Inputs!$B$44),G2175*Q2175))*IF(Inputs!$B$39="pvp",1,(1+(Inputs!$B$21+Skills!Q5+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Skills!A6</f>
        <v/>
      </c>
      <c r="B2176">
        <f>Skills!B6</f>
        <v/>
      </c>
      <c r="C2176">
        <f>Inputs!$B$3&gt;=69</f>
        <v/>
      </c>
      <c r="D2176">
        <f>IF(Skills!C6=1,60+Inputs!$B$25+Inputs!$B$29,IF(Skills!C6=2,90+Inputs!$B$26+Inputs!$B$29,IF(Skills!C6=3,120+Inputs!$B$27+Inputs!$B$29,MAX(0,(Inputs!$B$3-100)*3)+Inputs!$B$28+Inputs!$B$29)))</f>
        <v/>
      </c>
      <c r="E2176">
        <f>INDEX(FactorTable!$B$2:$Y$301, MATCH(ROUND(MIN(300,MAX(1,D2176)),0), FactorTable!$A$2:$A$301,0), Skills!M6+1)</f>
        <v/>
      </c>
      <c r="F2176">
        <f>IF(Skills!N6=TRUE,(Skills!L6/10)*(E2176/1000),Skills!L6/10)+Skills!O6</f>
        <v/>
      </c>
      <c r="G2176">
        <f>Skills!G6*IF(Skills!H6&gt;0,Skills!I6/Skills!H6,1)</f>
        <v/>
      </c>
      <c r="H2176">
        <f>1-(1-Skills!J6/100)^Skills!K6</f>
        <v/>
      </c>
      <c r="I2176" t="inlineStr">
        <is>
          <t>1</t>
        </is>
      </c>
      <c r="J2176">
        <f>((Inputs!$B$6*(1+Inputs!$B$7/100))+(((Inputs!$B$12*(1+Inputs!$B$13/100))-(Inputs!$B$12*(1+Inputs!$B$13/100)))+0.25*(Inputs!$B$14-Inputs!$B$14))*(1+Inputs!$B$7/100))*(F2176/100)</f>
        <v/>
      </c>
      <c r="K2176">
        <f>J2176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2188=TRUE,F2188,0)/100)*(1+(IF(Skills!A6="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2176)</f>
        <v/>
      </c>
      <c r="L2176">
        <f>K2176*(MIN(Inputs!$B$22+((C2194=TRUE)*(F2194-Calc!F24)),(Inputs!$B$23+((C2199=TRUE)*(F2199-Calc!F29))+IF(ArtifactsInput!$M$15,CHOOSE(ArtifactsInput!$N$15+1,25,30,35,40,45,50)/100*(Inputs!$B$11-Inputs!$B$11),0)))/100+(Inputs!$B$23+((C2199=TRUE)*(F2199-Calc!F29))+IF(ArtifactsInput!$M$15,CHOOSE(ArtifactsInput!$N$15+1,25,30,35,40,45,50)/100*(Inputs!$B$11-Inputs!$B$11),0))/100)/2</f>
        <v/>
      </c>
      <c r="M2176">
        <f>L2176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6">
        <f>L2176*(1-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2176*(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6">
        <f>(1-Summary!$B$11)*T2176+Summary!$B$11*V2176</f>
        <v/>
      </c>
      <c r="P2176">
        <f>IF(B2215=0,0,O2176/B2215)</f>
        <v/>
      </c>
      <c r="Q2176">
        <f>IFERROR(1/IF(Inputs!$B$39="pvp",15,MAX(0.1,Skills!D6-IF(Skills!E6=TRUE,Inputs!$B$32,0))),0)</f>
        <v/>
      </c>
      <c r="R2176">
        <f>IF(AND(Inputs!$B$39&lt;&gt;"pvp",Inputs!$B$44&gt;0),IF(MAX(0,Inputs!$B$44-B2214)&lt;=0,0,(INT(MAX(0,Inputs!$B$44-B2214)/IF(Inputs!$B$39="pvp",15,MAX(0.1,Skills!D6-IF(Skills!E6=TRUE,Inputs!$B$32,0))))+1)),0)</f>
        <v/>
      </c>
      <c r="S2176">
        <f>IFERROR(O2176/N2176,0)</f>
        <v/>
      </c>
      <c r="T2176">
        <f>IF(C2176,(H2176*N2176*IF(AND(Inputs!$B$39&lt;&gt;"pvp",Inputs!$B$44&gt;0),((Skills!G6*((R2176-1)*IF(Skills!H6&gt;0,Skills!I6/Skills!H6,1)+IF(Skills!H6&gt;0,MIN(Skills!I6,MAX(0,MAX(0,Inputs!$B$44-B2214)-((R2176-1)*IF(Inputs!$B$39="pvp",15,MAX(0.1,Skills!D6-IF(Skills!E6=TRUE,Inputs!$B$32,0))))))/Skills!H6,1)))/Inputs!$B$44),G2176*Q2176))*IF(Inputs!$B$39="pvp",1,1+(Inputs!$B$20+0+Skills!P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2176*(1-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2176*(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2176*(1-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2176*(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6">
        <f>IF(C2176,(H2176*N2176*IF(AND(Inputs!$B$39&lt;&gt;"pvp",Inputs!$B$44&gt;0),((Skills!G6*((R2176-1)*IF(Skills!H6&gt;0,Skills!I6/Skills!H6,1)+IF(Skills!H6&gt;0,MIN(Skills!I6,MAX(0,MAX(0,Inputs!$B$44-B2214)-((R2176-1)*IF(Inputs!$B$39="pvp",15,MAX(0.1,Skills!D6-IF(Skills!E6=TRUE,Inputs!$B$32,0))))))/Skills!H6,1)))/Inputs!$B$44),G2176*Q2176))*IF(Inputs!$B$39="pvp",1,(1+(Inputs!$B$21+Skills!Q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7">
      <c r="A2177">
        <f>Skills!A7</f>
        <v/>
      </c>
      <c r="B2177">
        <f>Skills!B7</f>
        <v/>
      </c>
      <c r="C2177">
        <f>Inputs!$B$3&gt;=60</f>
        <v/>
      </c>
      <c r="D2177">
        <f>IF(Skills!C7=1,60+Inputs!$B$25+Inputs!$B$29,IF(Skills!C7=2,90+Inputs!$B$26+Inputs!$B$29,IF(Skills!C7=3,120+Inputs!$B$27+Inputs!$B$29,MAX(0,(Inputs!$B$3-100)*3)+Inputs!$B$28+Inputs!$B$29)))</f>
        <v/>
      </c>
      <c r="E2177">
        <f>INDEX(FactorTable!$B$2:$Y$301, MATCH(ROUND(MIN(300,MAX(1,D2177)),0), FactorTable!$A$2:$A$301,0), Skills!M7+1)</f>
        <v/>
      </c>
      <c r="F2177">
        <f>IF(Skills!N7=TRUE,(Skills!L7/10)*(E2177/1000),Skills!L7/10)+Skills!O7</f>
        <v/>
      </c>
      <c r="G2177">
        <f>Skills!G7*IF(Skills!H7&gt;0,Skills!I7/Skills!H7,1)</f>
        <v/>
      </c>
      <c r="H2177">
        <f>1-(1-Skills!J7/100)^Skills!K7</f>
        <v/>
      </c>
      <c r="I2177" t="inlineStr">
        <is>
          <t>1</t>
        </is>
      </c>
      <c r="J2177" t="inlineStr"/>
      <c r="K2177" t="inlineStr"/>
      <c r="L2177" t="inlineStr"/>
      <c r="M2177" t="inlineStr"/>
      <c r="N2177" t="inlineStr"/>
      <c r="O2177">
        <f>(1-Summary!$B$11)*T2177+Summary!$B$11*V2177</f>
        <v/>
      </c>
      <c r="P2177">
        <f>IF(B2215=0,0,O2177/B2215)</f>
        <v/>
      </c>
      <c r="Q2177" t="n">
        <v>0</v>
      </c>
      <c r="R2177" t="n">
        <v>0</v>
      </c>
      <c r="S2177">
        <f>IFERROR(O2177/N2177,0)</f>
        <v/>
      </c>
      <c r="T2177" t="n">
        <v>0</v>
      </c>
      <c r="V2177" t="n">
        <v>0</v>
      </c>
    </row>
    <row r="2178">
      <c r="A2178">
        <f>Skills!A8</f>
        <v/>
      </c>
      <c r="B2178">
        <f>Skills!B8</f>
        <v/>
      </c>
      <c r="C2178">
        <f>Inputs!$B$3&gt;=72</f>
        <v/>
      </c>
      <c r="D2178">
        <f>IF(Skills!C8=1,60+Inputs!$B$25+Inputs!$B$29,IF(Skills!C8=2,90+Inputs!$B$26+Inputs!$B$29,IF(Skills!C8=3,120+Inputs!$B$27+Inputs!$B$29,MAX(0,(Inputs!$B$3-100)*3)+Inputs!$B$28+Inputs!$B$29)))</f>
        <v/>
      </c>
      <c r="E2178">
        <f>INDEX(FactorTable!$B$2:$Y$301, MATCH(ROUND(MIN(300,MAX(1,D2178)),0), FactorTable!$A$2:$A$301,0), Skills!M8+1)</f>
        <v/>
      </c>
      <c r="F2178">
        <f>IF(Skills!N8=TRUE,(Skills!L8/10)*(E2178/1000),Skills!L8/10)+Skills!O8</f>
        <v/>
      </c>
      <c r="G2178">
        <f>Skills!G8*IF(Skills!H8&gt;0,Skills!I8/Skills!H8,1)</f>
        <v/>
      </c>
      <c r="H2178">
        <f>1-(1-Skills!J8/100)^Skills!K8</f>
        <v/>
      </c>
      <c r="I2178" t="inlineStr">
        <is>
          <t>1</t>
        </is>
      </c>
      <c r="J2178">
        <f>((Inputs!$B$6*(1+Inputs!$B$7/100))+(((Inputs!$B$12*(1+Inputs!$B$13/100))-(Inputs!$B$12*(1+Inputs!$B$13/100)))+0.25*(Inputs!$B$14-Inputs!$B$14))*(1+Inputs!$B$7/100))*(F2178/100)</f>
        <v/>
      </c>
      <c r="K2178">
        <f>J2178*(1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2188=TRUE,F2188,0)/100)*(1+(IF(Skills!A8="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2178)</f>
        <v/>
      </c>
      <c r="L2178">
        <f>K2178*(MIN(Inputs!$B$22+((C2194=TRUE)*(F2194-Calc!F24)),(Inputs!$B$23+((C2199=TRUE)*(F2199-Calc!F29))+IF(ArtifactsInput!$M$15,CHOOSE(ArtifactsInput!$N$15+1,25,30,35,40,45,50)/100*(Inputs!$B$11-Inputs!$B$11),0)))/100+(Inputs!$B$23+((C2199=TRUE)*(F2199-Calc!F29))+IF(ArtifactsInput!$M$15,CHOOSE(ArtifactsInput!$N$15+1,25,30,35,40,45,50)/100*(Inputs!$B$11-Inputs!$B$11),0))/100)/2</f>
        <v/>
      </c>
      <c r="M2178">
        <f>L2178*(1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8">
        <f>L2178*(1-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IF(B2215=0,0,O2178/B2215)</f>
        <v/>
      </c>
      <c r="Q2178">
        <f>IFERROR(1/IF(Inputs!$B$39="pvp",15,MAX(0.1,Skills!D8-IF(Skills!E8=TRUE,Inputs!$B$32,0))),0)</f>
        <v/>
      </c>
      <c r="R2178">
        <f>IF(AND(Inputs!$B$39&lt;&gt;"pvp",Inputs!$B$44&gt;0),IF(MAX(0,Inputs!$B$44-B2214)&lt;=0,0,(INT(MAX(0,Inputs!$B$44-B2214)/IF(Inputs!$B$39="pvp",15,MAX(0.1,Skills!D8-IF(Skills!E8=TRUE,Inputs!$B$32,0))))+1)),0)</f>
        <v/>
      </c>
      <c r="S2178">
        <f>IFERROR(O2178/N2178,0)</f>
        <v/>
      </c>
      <c r="T2178">
        <f>IF(C2178,(H2178*N2178*IF(AND(Inputs!$B$39&lt;&gt;"pvp",Inputs!$B$44&gt;0),((Skills!G8*((R2178-1)*IF(Skills!H8&gt;0,Skills!I8/Skills!H8,1)+IF(Skills!H8&gt;0,MIN(Skills!I8,MAX(0,MAX(0,Inputs!$B$44-B2214)-((R2178-1)*IF(Inputs!$B$39="pvp",15,MAX(0.1,Skills!D8-IF(Skills!E8=TRUE,Inputs!$B$32,0))))))/Skills!H8,1)))/Inputs!$B$44),G2178*Q2178))*IF(Inputs!$B$39="pvp",1,1+(Inputs!$B$20+0+Skills!P8+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2178*(1-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8*((R2178-1)*IF(Skills!H8&gt;0,Skills!I8/Skills!H8,1)+IF(Skills!H8&gt;0,MIN(Skills!I8,MAX(0,MAX(0,Inputs!$B$44-B2214)-((R2178-1)*IF(Inputs!$B$39="pvp",15,MAX(0.1,Skills!D8-IF(Skills!E8=TRUE,Inputs!$B$32,0))))))/Skills!H8,1)))/Inputs!$B$44),G2178*Q2178))*IF(Inputs!$B$39="pvp",1,(1+(Inputs!$B$21+Skills!Q8+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Skills!A9</f>
        <v/>
      </c>
      <c r="B2179">
        <f>Skills!B9</f>
        <v/>
      </c>
      <c r="C2179">
        <f>Inputs!$B$3&gt;=117</f>
        <v/>
      </c>
      <c r="D2179">
        <f>IF(Skills!C9=1,60+Inputs!$B$25+Inputs!$B$29,IF(Skills!C9=2,90+Inputs!$B$26+Inputs!$B$29,IF(Skills!C9=3,120+Inputs!$B$27+Inputs!$B$29,MAX(0,(Inputs!$B$3-100)*3)+Inputs!$B$28+Inputs!$B$29)))</f>
        <v/>
      </c>
      <c r="E2179">
        <f>INDEX(FactorTable!$B$2:$Y$301, MATCH(ROUND(MIN(300,MAX(1,D2179)),0), FactorTable!$A$2:$A$301,0), Skills!M9+1)</f>
        <v/>
      </c>
      <c r="F2179">
        <f>IF(Skills!N9=TRUE,(Skills!L9/10)*(E2179/1000),Skills!L9/10)+Skills!O9</f>
        <v/>
      </c>
      <c r="G2179">
        <f>Skills!G9*IF(Skills!H9&gt;0,Skills!I9/Skills!H9,1)</f>
        <v/>
      </c>
      <c r="H2179">
        <f>1-(1-Skills!J9/100)^Skills!K9</f>
        <v/>
      </c>
      <c r="I2179" t="inlineStr">
        <is>
          <t>1</t>
        </is>
      </c>
      <c r="J2179">
        <f>((Inputs!$B$6*(1+Inputs!$B$7/100))+(((Inputs!$B$12*(1+Inputs!$B$13/100))-(Inputs!$B$12*(1+Inputs!$B$13/100)))+0.25*(Inputs!$B$14-Inputs!$B$14))*(1+Inputs!$B$7/100))*(F2179/100)</f>
        <v/>
      </c>
      <c r="K2179">
        <f>J2179*(1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2179)</f>
        <v/>
      </c>
      <c r="L2179">
        <f>K2179*(MIN(Inputs!$B$22+((C2194=TRUE)*(F2194-Calc!F24)),(Inputs!$B$23+((C2199=TRUE)*(F2199-Calc!F29))+IF(ArtifactsInput!$M$15,CHOOSE(ArtifactsInput!$N$15+1,25,30,35,40,45,50)/100*(Inputs!$B$11-Inputs!$B$11),0)))/100+(Inputs!$B$23+((C2199=TRUE)*(F2199-Calc!F29))+IF(ArtifactsInput!$M$15,CHOOSE(ArtifactsInput!$N$15+1,25,30,35,40,45,50)/100*(Inputs!$B$11-Inputs!$B$11),0))/100)/2</f>
        <v/>
      </c>
      <c r="M2179">
        <f>L2179*(1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9">
        <f>L2179*(1-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IF(B2215=0,0,O2179/B2215)</f>
        <v/>
      </c>
      <c r="Q2179" t="n">
        <v>0</v>
      </c>
      <c r="R2179" t="n">
        <v>0</v>
      </c>
      <c r="S2179" t="n">
        <v>0</v>
      </c>
      <c r="T2179">
        <f>IF(C2179,(0.2*SUMPRODUCT((Skills!Z2:Z30=TRUE)*(C2172:C2200=TRUE)*S2172:S2200)*N2179)*IF(Inputs!$B$39="pvp",1,1+(Inputs!$B$20+0+Skills!P9+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2179*(1-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IF(C2179,(0.2*SUMPRODUCT((Skills!Z2:Z30=TRUE)*(C2172:C2200=TRUE)*S2172:S2200)*N2179)*IF(Inputs!$B$39="pvp",1,(1+(Inputs!$B$21+Skills!Q9+B2204+(IF(ArtifactsInput!$M$33,CHOOSE(ArtifactsInput!$N$33+1,30,36,42,48,54,60),0))+(IF(AND(ArtifactsInput!$M$35,Inputs!$B$4&lt;&gt;"Chapter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Skills!A10</f>
        <v/>
      </c>
      <c r="B2180">
        <f>Skills!B10</f>
        <v/>
      </c>
      <c r="C2180">
        <f>Inputs!$B$3&gt;=74</f>
        <v/>
      </c>
      <c r="D2180">
        <f>IF(Skills!C10=1,60+Inputs!$B$25+Inputs!$B$29,IF(Skills!C10=2,90+Inputs!$B$26+Inputs!$B$29,IF(Skills!C10=3,120+Inputs!$B$27+Inputs!$B$29,MAX(0,(Inputs!$B$3-100)*3)+Inputs!$B$28+Inputs!$B$29)))</f>
        <v/>
      </c>
      <c r="E2180">
        <f>INDEX(FactorTable!$B$2:$Y$301, MATCH(ROUND(MIN(300,MAX(1,D2180)),0), FactorTable!$A$2:$A$301,0), Skills!M10+1)</f>
        <v/>
      </c>
      <c r="F2180">
        <f>IF(Skills!N10=TRUE,(Skills!L10/10)*(E2180/1000),Skills!L10/10)+Skills!O10</f>
        <v/>
      </c>
      <c r="G2180">
        <f>Skills!G10*IF(Skills!H10&gt;0,Skills!I10/Skills!H10,1)</f>
        <v/>
      </c>
      <c r="H2180">
        <f>1-(1-Skills!J10/100)^Skills!K10</f>
        <v/>
      </c>
      <c r="I2180" t="inlineStr">
        <is>
          <t>1</t>
        </is>
      </c>
      <c r="J2180" t="inlineStr"/>
      <c r="K2180" t="inlineStr"/>
      <c r="L2180" t="inlineStr"/>
      <c r="M2180" t="inlineStr"/>
      <c r="N2180" t="inlineStr"/>
      <c r="O2180">
        <f>(1-Summary!$B$11)*T2180+Summary!$B$11*V2180</f>
        <v/>
      </c>
      <c r="P2180">
        <f>IF(B2215=0,0,O2180/B2215)</f>
        <v/>
      </c>
      <c r="Q2180">
        <f>IFERROR(1/IF(Inputs!$B$39="pvp",15,MAX(0.1,Skills!D10-IF(Skills!E10=TRUE,Inputs!$B$32,0))),0)</f>
        <v/>
      </c>
      <c r="R2180">
        <f>IF(AND(Inputs!$B$39&lt;&gt;"pvp",Inputs!$B$44&gt;0),IF(Inputs!$B$44&lt;=0,0,(INT(Inputs!$B$44/IF(Inputs!$B$39="pvp",15,MAX(0.1,Skills!D10-IF(Skills!E10=TRUE,Inputs!$B$32,0))))+1)),0)</f>
        <v/>
      </c>
      <c r="S2180">
        <f>IFERROR(O2180/N2180,0)</f>
        <v/>
      </c>
      <c r="T2180" t="n">
        <v>0</v>
      </c>
      <c r="V2180" t="n">
        <v>0</v>
      </c>
    </row>
    <row r="2181">
      <c r="A2181">
        <f>Skills!A11</f>
        <v/>
      </c>
      <c r="B2181">
        <f>Skills!B11</f>
        <v/>
      </c>
      <c r="C2181">
        <f>Inputs!$B$3&gt;=103</f>
        <v/>
      </c>
      <c r="D2181">
        <f>IF(Skills!C11=1,60+Inputs!$B$25+Inputs!$B$29,IF(Skills!C11=2,90+Inputs!$B$26+Inputs!$B$29,IF(Skills!C11=3,120+Inputs!$B$27+Inputs!$B$29,MAX(0,(Inputs!$B$3-100)*3)+Inputs!$B$28+Inputs!$B$29)))</f>
        <v/>
      </c>
      <c r="E2181">
        <f>INDEX(FactorTable!$B$2:$Y$301, MATCH(ROUND(MIN(300,MAX(1,D2181)),0), FactorTable!$A$2:$A$301,0), Skills!M11+1)</f>
        <v/>
      </c>
      <c r="F2181">
        <f>(Skills!L11/10)*(E2181/1000)+IF(Inputs!$B$3&gt;=134,50,0)+0.5*(30000/10)*(INDEX(FactorTable!$B$2:$Y$301, MATCH(ROUND(MIN(300,MAX(1,D2181)),0), FactorTable!$A$2:$A$301,0), 13)/1000)*B2213</f>
        <v/>
      </c>
      <c r="G2181">
        <f>Skills!G11*IF(Skills!H11&gt;0,Skills!I11/Skills!H11,1)</f>
        <v/>
      </c>
      <c r="H2181">
        <f>1-(1-Skills!J11/100)^Skills!K11</f>
        <v/>
      </c>
      <c r="I2181" t="inlineStr">
        <is>
          <t>1</t>
        </is>
      </c>
      <c r="J2181">
        <f>((Inputs!$B$6*(1+Inputs!$B$7/100))+(((Inputs!$B$12*(1+Inputs!$B$13/100))-(Inputs!$B$12*(1+Inputs!$B$13/100)))+0.25*(Inputs!$B$14-Inputs!$B$14))*(1+Inputs!$B$7/100))*(F2181/100)</f>
        <v/>
      </c>
      <c r="K2181">
        <f>J2181*(1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2181)</f>
        <v/>
      </c>
      <c r="L2181">
        <f>K2181*(MIN(Inputs!$B$22+((C2194=TRUE)*(F2194-Calc!F24)),(Inputs!$B$23+((C2199=TRUE)*(F2199-Calc!F29))+IF(ArtifactsInput!$M$15,CHOOSE(ArtifactsInput!$N$15+1,25,30,35,40,45,50)/100*(Inputs!$B$11-Inputs!$B$11),0)))/100+(Inputs!$B$23+((C2199=TRUE)*(F2199-Calc!F29))+IF(ArtifactsInput!$M$15,CHOOSE(ArtifactsInput!$N$15+1,25,30,35,40,45,50)/100*(Inputs!$B$11-Inputs!$B$11),0))/100)/2</f>
        <v/>
      </c>
      <c r="M2181">
        <f>L2181*(1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IF(B2215=0,0,O2181/B2215)</f>
        <v/>
      </c>
      <c r="Q2181">
        <f>IFERROR(1/IF(Inputs!$B$39="pvp",15,MAX(0.1,Skills!D11-IF(Skills!E11=TRUE,Inputs!$B$32,0))),0)</f>
        <v/>
      </c>
      <c r="R2181">
        <f>IF(AND(Inputs!$B$39&lt;&gt;"pvp",Inputs!$B$44&gt;0),IF(MAX(0,Inputs!$B$44-B2214)&lt;=0,0,(INT(MAX(0,Inputs!$B$44-B2214)/IF(Inputs!$B$39="pvp",15,MAX(0.1,Skills!D11-IF(Skills!E11=TRUE,Inputs!$B$32,0))))+1)),0)</f>
        <v/>
      </c>
      <c r="S2181">
        <f>IFERROR(O2181/N2181,0)</f>
        <v/>
      </c>
      <c r="T2181">
        <f>IF(C2181,(H2181*N2181*IF(AND(Inputs!$B$39&lt;&gt;"pvp",Inputs!$B$44&gt;0),((Skills!G11*((R2181-1)*IF(Skills!H11&gt;0,Skills!I11/Skills!H11,1)+IF(Skills!H11&gt;0,MIN(Skills!I11,MAX(0,MAX(0,Inputs!$B$44-B2214)-((R2181-1)*IF(Inputs!$B$39="pvp",15,MAX(0.1,Skills!D11-IF(Skills!E11=TRUE,Inputs!$B$32,0))))))/Skills!H11,1)))/Inputs!$B$44),G2181*Q2181))*IF(Inputs!$B$39="pvp",1,1+(Inputs!$B$20+0+Skills!P11+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2181*(1-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1">
        <f>IF(C2181,(H2181*N2181*IF(AND(Inputs!$B$39&lt;&gt;"pvp",Inputs!$B$44&gt;0),((Skills!G11*((R2181-1)*IF(Skills!H11&gt;0,Skills!I11/Skills!H11,1)+IF(Skills!H11&gt;0,MIN(Skills!I11,MAX(0,MAX(0,Inputs!$B$44-B2214)-((R2181-1)*IF(Inputs!$B$39="pvp",15,MAX(0.1,Skills!D11-IF(Skills!E11=TRUE,Inputs!$B$32,0))))))/Skills!H11,1)))/Inputs!$B$44),G2181*Q2181))*IF(Inputs!$B$39="pvp",1,(1+(Inputs!$B$21+Skills!Q11+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Skills!A12</f>
        <v/>
      </c>
      <c r="B2182">
        <f>Skills!B12</f>
        <v/>
      </c>
      <c r="C2182">
        <f>Inputs!$B$3&gt;=105</f>
        <v/>
      </c>
      <c r="D2182">
        <f>IF(Skills!C12=1,60+Inputs!$B$25+Inputs!$B$29,IF(Skills!C12=2,90+Inputs!$B$26+Inputs!$B$29,IF(Skills!C12=3,120+Inputs!$B$27+Inputs!$B$29,MAX(0,(Inputs!$B$3-100)*3)+Inputs!$B$28+Inputs!$B$29)))</f>
        <v/>
      </c>
      <c r="E2182">
        <f>INDEX(FactorTable!$B$2:$Y$301, MATCH(ROUND(MIN(300,MAX(1,D2182)),0), FactorTable!$A$2:$A$301,0), Skills!M12+1)</f>
        <v/>
      </c>
      <c r="F2182">
        <f>IF(Skills!N12=TRUE,(Skills!L12/10)*(E2182/1000),Skills!L12/10)+Skills!O12</f>
        <v/>
      </c>
      <c r="G2182">
        <f>Skills!G12*IF(Skills!H12&gt;0,Skills!I12/Skills!H12,1)</f>
        <v/>
      </c>
      <c r="H2182">
        <f>1-(1-Skills!J12/100)^Skills!K12</f>
        <v/>
      </c>
      <c r="I2182" t="inlineStr">
        <is>
          <t>1</t>
        </is>
      </c>
      <c r="J2182">
        <f>((Inputs!$B$6*(1+Inputs!$B$7/100))+(((Inputs!$B$12*(1+Inputs!$B$13/100))-(Inputs!$B$12*(1+Inputs!$B$13/100)))+0.25*(Inputs!$B$14-Inputs!$B$14))*(1+Inputs!$B$7/100))*(F2182/100)</f>
        <v/>
      </c>
      <c r="K2182">
        <f>J2182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2182)</f>
        <v/>
      </c>
      <c r="L2182">
        <f>K2182*(MIN(Inputs!$B$22+((C2194=TRUE)*(F2194-Calc!F24)),(Inputs!$B$23+((C2199=TRUE)*(F2199-Calc!F29))+IF(ArtifactsInput!$M$15,CHOOSE(ArtifactsInput!$N$15+1,25,30,35,40,45,50)/100*(Inputs!$B$11-Inputs!$B$11),0)))/100+(Inputs!$B$23+((C2199=TRUE)*(F2199-Calc!F29))+IF(ArtifactsInput!$M$15,CHOOSE(ArtifactsInput!$N$15+1,25,30,35,40,45,50)/100*(Inputs!$B$11-Inputs!$B$11),0))/100)/2</f>
        <v/>
      </c>
      <c r="M2182">
        <f>L2182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IF(B2215=0,0,O2182/B2215)</f>
        <v/>
      </c>
      <c r="Q2182">
        <f>IFERROR(1/IF(Inputs!$B$39="pvp",15,MAX(0.1,Skills!D12-IF(Skills!E12=TRUE,Inputs!$B$32,0))),0)</f>
        <v/>
      </c>
      <c r="R2182">
        <f>IF(AND(Inputs!$B$39&lt;&gt;"pvp",Inputs!$B$44&gt;0),IF(MAX(0,Inputs!$B$44-B2214)&lt;=0,0,(INT(MAX(0,Inputs!$B$44-B2214)/IF(Inputs!$B$39="pvp",15,MAX(0.1,Skills!D12-IF(Skills!E12=TRUE,Inputs!$B$32,0))))+1)),0)</f>
        <v/>
      </c>
      <c r="S2182">
        <f>IFERROR(O2182/N2182,0)</f>
        <v/>
      </c>
      <c r="T2182">
        <f>IF(C2182,(H2182*N2182*IF(AND(Inputs!$B$39&lt;&gt;"pvp",Inputs!$B$44&gt;0),((Skills!G12*((R2182-1)*IF(Skills!H12&gt;0,Skills!I12/Skills!H12,1)+IF(Skills!H12&gt;0,MIN(Skills!I12,MAX(0,MAX(0,Inputs!$B$44-B2214)-((R2182-1)*IF(Inputs!$B$39="pvp",15,MAX(0.1,Skills!D12-IF(Skills!E12=TRUE,Inputs!$B$32,0))))))/Skills!H12,1)))/Inputs!$B$44),G2182*Q2182))*IF(Inputs!$B$39="pvp",1,1+(Inputs!$B$20+0+Skills!P12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2182*(1-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12*((R2182-1)*IF(Skills!H12&gt;0,Skills!I12/Skills!H12,1)+IF(Skills!H12&gt;0,MIN(Skills!I12,MAX(0,MAX(0,Inputs!$B$44-B2214)-((R2182-1)*IF(Inputs!$B$39="pvp",15,MAX(0.1,Skills!D12-IF(Skills!E12=TRUE,Inputs!$B$32,0))))))/Skills!H12,1)))/Inputs!$B$44),G2182*Q2182))*IF(Inputs!$B$39="pvp",1,(1+(Inputs!$B$21+Skills!Q12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Skills!A13</f>
        <v/>
      </c>
      <c r="B2183">
        <f>Skills!B13</f>
        <v/>
      </c>
      <c r="C2183">
        <f>Inputs!$B$3&gt;=105</f>
        <v/>
      </c>
      <c r="D2183">
        <f>IF(Skills!C13=1,60+Inputs!$B$25+Inputs!$B$29,IF(Skills!C13=2,90+Inputs!$B$26+Inputs!$B$29,IF(Skills!C13=3,120+Inputs!$B$27+Inputs!$B$29,MAX(0,(Inputs!$B$3-100)*3)+Inputs!$B$28+Inputs!$B$29)))</f>
        <v/>
      </c>
      <c r="E2183">
        <f>INDEX(FactorTable!$B$2:$Y$301, MATCH(ROUND(MIN(300,MAX(1,D2183)),0), FactorTable!$A$2:$A$301,0), Skills!M13+1)</f>
        <v/>
      </c>
      <c r="F2183">
        <f>IF(Skills!N13=TRUE,(Skills!L13/10)*(E2183/1000),Skills!L13/10)+Skills!O13</f>
        <v/>
      </c>
      <c r="G2183">
        <f>Skills!G13*IF(Skills!H13&gt;0,Skills!I13/Skills!H13,1)</f>
        <v/>
      </c>
      <c r="H2183">
        <f>1-(1-Skills!J13/100)^Skills!K13</f>
        <v/>
      </c>
      <c r="I2183" t="inlineStr">
        <is>
          <t>1</t>
        </is>
      </c>
      <c r="J2183">
        <f>((Inputs!$B$6*(1+Inputs!$B$7/100))+(((Inputs!$B$12*(1+Inputs!$B$13/100))-(Inputs!$B$12*(1+Inputs!$B$13/100)))+0.25*(Inputs!$B$14-Inputs!$B$14))*(1+Inputs!$B$7/100))*(F2183/100)</f>
        <v/>
      </c>
      <c r="K2183">
        <f>J2183*(1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2183)</f>
        <v/>
      </c>
      <c r="L2183">
        <f>K2183*(MIN(Inputs!$B$22+((C2194=TRUE)*(F2194-Calc!F24)),(Inputs!$B$23+((C2199=TRUE)*(F2199-Calc!F29))+IF(ArtifactsInput!$M$15,CHOOSE(ArtifactsInput!$N$15+1,25,30,35,40,45,50)/100*(Inputs!$B$11-Inputs!$B$11),0)))/100+(Inputs!$B$23+((C2199=TRUE)*(F2199-Calc!F29))+IF(ArtifactsInput!$M$15,CHOOSE(ArtifactsInput!$N$15+1,25,30,35,40,45,50)/100*(Inputs!$B$11-Inputs!$B$11),0))/100)/2</f>
        <v/>
      </c>
      <c r="M2183">
        <f>L2183*(1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IF(B2215=0,0,O2183/B2215)</f>
        <v/>
      </c>
      <c r="Q2183">
        <f>IFERROR(1/IF(Inputs!$B$39="pvp",15,MAX(0.1,Skills!D13-IF(Skills!E13=TRUE,Inputs!$B$32,0))),0)</f>
        <v/>
      </c>
      <c r="R2183">
        <f>IF(AND(Inputs!$B$39&lt;&gt;"pvp",Inputs!$B$44&gt;0),IF(MAX(0,Inputs!$B$44-B2214)&lt;=0,0,(INT(MAX(0,Inputs!$B$44-B2214)/IF(Inputs!$B$39="pvp",15,MAX(0.1,Skills!D13-IF(Skills!E13=TRUE,Inputs!$B$32,0))))+1)),0)</f>
        <v/>
      </c>
      <c r="S2183">
        <f>IFERROR(O2183/N2183,0)</f>
        <v/>
      </c>
      <c r="T2183">
        <f>IF(C2183,(H2183*N2183*IF(AND(Inputs!$B$39&lt;&gt;"pvp",Inputs!$B$44&gt;0),((Skills!G13*((R2183-1)*IF(Skills!H13&gt;0,Skills!I13/Skills!H13,1)+IF(Skills!H13&gt;0,MIN(Skills!I13,MAX(0,MAX(0,Inputs!$B$44-B2214)-((R2183-1)*IF(Inputs!$B$39="pvp",15,MAX(0.1,Skills!D13-IF(Skills!E13=TRUE,Inputs!$B$32,0))))))/Skills!H13,1)))/Inputs!$B$44),G2183*Q2183))*IF(Inputs!$B$39="pvp",1,1+(Inputs!$B$20+0+Skills!P13+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2183*(1-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13*((R2183-1)*IF(Skills!H13&gt;0,Skills!I13/Skills!H13,1)+IF(Skills!H13&gt;0,MIN(Skills!I13,MAX(0,MAX(0,Inputs!$B$44-B2214)-((R2183-1)*IF(Inputs!$B$39="pvp",15,MAX(0.1,Skills!D13-IF(Skills!E13=TRUE,Inputs!$B$32,0))))))/Skills!H13,1)))/Inputs!$B$44),G2183*Q2183))*IF(Inputs!$B$39="pvp",1,(1+(Inputs!$B$21+Skills!Q13+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Skills!A14</f>
        <v/>
      </c>
      <c r="B2184">
        <f>Skills!B14</f>
        <v/>
      </c>
      <c r="C2184">
        <f>Inputs!$B$3&gt;=107</f>
        <v/>
      </c>
      <c r="D2184">
        <f>IF(Skills!C14=1,60+Inputs!$B$25+Inputs!$B$29,IF(Skills!C14=2,90+Inputs!$B$26+Inputs!$B$29,IF(Skills!C14=3,120+Inputs!$B$27+Inputs!$B$29,MAX(0,(Inputs!$B$3-100)*3)+Inputs!$B$28+Inputs!$B$29)))</f>
        <v/>
      </c>
      <c r="E2184">
        <f>INDEX(FactorTable!$B$2:$Y$301, MATCH(ROUND(MIN(300,MAX(1,D2184)),0), FactorTable!$A$2:$A$301,0), Skills!M14+1)</f>
        <v/>
      </c>
      <c r="F2184">
        <f>IF(Skills!N14=TRUE,(Skills!L14/10)*(E2184/1000),Skills!L14/10)+Skills!O14</f>
        <v/>
      </c>
      <c r="G2184">
        <f>Skills!G14*IF(Skills!H14&gt;0,Skills!I14/Skills!H14,1)</f>
        <v/>
      </c>
      <c r="H2184">
        <f>1-(1-Skills!J14/100)^Skills!K14</f>
        <v/>
      </c>
      <c r="I2184" t="inlineStr">
        <is>
          <t>1</t>
        </is>
      </c>
      <c r="J2184">
        <f>((Inputs!$B$6*(1+Inputs!$B$7/100))+(((Inputs!$B$12*(1+Inputs!$B$13/100))-(Inputs!$B$12*(1+Inputs!$B$13/100)))+0.25*(Inputs!$B$14-Inputs!$B$14))*(1+Inputs!$B$7/100))*(F2184/100)</f>
        <v/>
      </c>
      <c r="K2184">
        <f>J2184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2184)</f>
        <v/>
      </c>
      <c r="L2184">
        <f>K2184*(MIN(Inputs!$B$22+((C2194=TRUE)*(F2194-Calc!F24)),(Inputs!$B$23+((C2199=TRUE)*(F2199-Calc!F29))+IF(ArtifactsInput!$M$15,CHOOSE(ArtifactsInput!$N$15+1,25,30,35,40,45,50)/100*(Inputs!$B$11-Inputs!$B$11),0)))/100+(Inputs!$B$23+((C2199=TRUE)*(F2199-Calc!F29))+IF(ArtifactsInput!$M$15,CHOOSE(ArtifactsInput!$N$15+1,25,30,35,40,45,50)/100*(Inputs!$B$11-Inputs!$B$11),0))/100)/2</f>
        <v/>
      </c>
      <c r="M2184">
        <f>L2184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IF(B2215=0,0,O2184/B2215)</f>
        <v/>
      </c>
      <c r="Q2184">
        <f>IFERROR(1/IF(Inputs!$B$39="pvp",15,MAX(0.1,Skills!D14-IF(Skills!E14=TRUE,Inputs!$B$32,0))),0)</f>
        <v/>
      </c>
      <c r="R2184">
        <f>IF(AND(Inputs!$B$39&lt;&gt;"pvp",Inputs!$B$44&gt;0),IF(MAX(0,Inputs!$B$44-B2214)&lt;=0,0,(INT(MAX(0,Inputs!$B$44-B2214)/IF(Inputs!$B$39="pvp",15,MAX(0.1,Skills!D14-IF(Skills!E14=TRUE,Inputs!$B$32,0))))+1)),0)</f>
        <v/>
      </c>
      <c r="S2184">
        <f>IFERROR(O2184/N2184,0)</f>
        <v/>
      </c>
      <c r="T2184">
        <f>IF(C2184,(H2184*N2184*IF(AND(Inputs!$B$39&lt;&gt;"pvp",Inputs!$B$44&gt;0),((Skills!G14*((R2184-1)*IF(Skills!H14&gt;0,Skills!I14/Skills!H14,1)+IF(Skills!H14&gt;0,MIN(Skills!I14,MAX(0,MAX(0,Inputs!$B$44-B2214)-((R2184-1)*IF(Inputs!$B$39="pvp",15,MAX(0.1,Skills!D14-IF(Skills!E14=TRUE,Inputs!$B$32,0))))))/Skills!H14,1)))/Inputs!$B$44),G2184*Q2184))*IF(Inputs!$B$39="pvp",1,1+(Inputs!$B$20+0+Skills!P14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2184*(1-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4">
        <f>IF(C2184,(H2184*N2184*IF(AND(Inputs!$B$39&lt;&gt;"pvp",Inputs!$B$44&gt;0),((Skills!G14*((R2184-1)*IF(Skills!H14&gt;0,Skills!I14/Skills!H14,1)+IF(Skills!H14&gt;0,MIN(Skills!I14,MAX(0,MAX(0,Inputs!$B$44-B2214)-((R2184-1)*IF(Inputs!$B$39="pvp",15,MAX(0.1,Skills!D14-IF(Skills!E14=TRUE,Inputs!$B$32,0))))))/Skills!H14,1)))/Inputs!$B$44),G2184*Q2184))*IF(Inputs!$B$39="pvp",1,(1+(Inputs!$B$21+Skills!Q14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(5,0.25*B2207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Skills!A15</f>
        <v/>
      </c>
      <c r="B2185">
        <f>Skills!B15</f>
        <v/>
      </c>
      <c r="C2185">
        <f>Inputs!$B$3&gt;=110</f>
        <v/>
      </c>
      <c r="D2185">
        <f>IF(Skills!C15=1,60+Inputs!$B$25+Inputs!$B$29,IF(Skills!C15=2,90+Inputs!$B$26+Inputs!$B$29,IF(Skills!C15=3,120+Inputs!$B$27+Inputs!$B$29,MAX(0,(Inputs!$B$3-100)*3)+Inputs!$B$28+Inputs!$B$29)))</f>
        <v/>
      </c>
      <c r="E2185">
        <f>INDEX(FactorTable!$B$2:$Y$301, MATCH(ROUND(MIN(300,MAX(1,D2185)),0), FactorTable!$A$2:$A$301,0), Skills!M15+1)</f>
        <v/>
      </c>
      <c r="F2185">
        <f>IF(Skills!N15=TRUE,(Skills!L15/10)*(E2185/1000),Skills!L15/10)+Skills!O15</f>
        <v/>
      </c>
      <c r="G2185">
        <f>Skills!G15*IF(Skills!H15&gt;0,Skills!I15/Skills!H15,1)</f>
        <v/>
      </c>
      <c r="H2185">
        <f>1-(1-Skills!J15/100)^Skills!K15</f>
        <v/>
      </c>
      <c r="I2185" t="inlineStr">
        <is>
          <t>1</t>
        </is>
      </c>
      <c r="J2185" t="inlineStr"/>
      <c r="K2185" t="inlineStr"/>
      <c r="L2185" t="inlineStr"/>
      <c r="M2185" t="inlineStr"/>
      <c r="N2185" t="inlineStr"/>
      <c r="O2185">
        <f>(1-Summary!$B$11)*T2185+Summary!$B$11*V2185</f>
        <v/>
      </c>
      <c r="P2185">
        <f>IF(B2215=0,0,O2185/B2215)</f>
        <v/>
      </c>
      <c r="Q2185">
        <f>IFERROR(1/IF(Inputs!$B$39="pvp",15,MAX(0.1,Skills!D15-IF(Skills!E15=TRUE,Inputs!$B$32,0))),0)</f>
        <v/>
      </c>
      <c r="R2185">
        <f>IF(AND(Inputs!$B$39&lt;&gt;"pvp",Inputs!$B$44&gt;0),IF(Inputs!$B$44&lt;=0,0,(INT(Inputs!$B$44/IF(Inputs!$B$39="pvp",15,MAX(0.1,Skills!D15-IF(Skills!E15=TRUE,Inputs!$B$32,0))))+1)),0)</f>
        <v/>
      </c>
      <c r="S2185">
        <f>IFERROR(O2185/N2185,0)</f>
        <v/>
      </c>
      <c r="T2185" t="n">
        <v>0</v>
      </c>
      <c r="V2185" t="n">
        <v>0</v>
      </c>
    </row>
    <row r="2186">
      <c r="A2186">
        <f>Skills!A16</f>
        <v/>
      </c>
      <c r="B2186">
        <f>Skills!B16</f>
        <v/>
      </c>
      <c r="C2186">
        <f>Inputs!$B$3&gt;=115</f>
        <v/>
      </c>
      <c r="D2186">
        <f>IF(Skills!C16=1,60+Inputs!$B$25+Inputs!$B$29,IF(Skills!C16=2,90+Inputs!$B$26+Inputs!$B$29,IF(Skills!C16=3,120+Inputs!$B$27+Inputs!$B$29,MAX(0,(Inputs!$B$3-100)*3)+Inputs!$B$28+Inputs!$B$29)))</f>
        <v/>
      </c>
      <c r="E2186">
        <f>INDEX(FactorTable!$B$2:$Y$301, MATCH(ROUND(MIN(300,MAX(1,D2186)),0), FactorTable!$A$2:$A$301,0), Skills!M16+1)</f>
        <v/>
      </c>
      <c r="F2186">
        <f>IF(Skills!N16=TRUE,(Skills!L16/10)*(E2186/1000),Skills!L16/10)+Skills!O16</f>
        <v/>
      </c>
      <c r="G2186">
        <f>Skills!G16*IF(Skills!H16&gt;0,Skills!I16/Skills!H16,1)</f>
        <v/>
      </c>
      <c r="H2186">
        <f>1-(1-Skills!J16/100)^Skills!K16</f>
        <v/>
      </c>
      <c r="I2186" t="inlineStr">
        <is>
          <t>1</t>
        </is>
      </c>
      <c r="J2186">
        <f>((Inputs!$B$6*(1+Inputs!$B$7/100))+(((Inputs!$B$12*(1+Inputs!$B$13/100))-(Inputs!$B$12*(1+Inputs!$B$13/100)))+0.25*(Inputs!$B$14-Inputs!$B$14))*(1+Inputs!$B$7/100))*(F2186/100)</f>
        <v/>
      </c>
      <c r="K2186">
        <f>J2186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2197=TRUE)*(F2197-Calc!F27))+((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2186)</f>
        <v/>
      </c>
      <c r="L2186">
        <f>K2186*(MIN(Inputs!$B$22+((C2194=TRUE)*(F2194-Calc!F24)),(Inputs!$B$23+((C2199=TRUE)*(F2199-Calc!F29))+IF(ArtifactsInput!$M$15,CHOOSE(ArtifactsInput!$N$15+1,25,30,35,40,45,50)/100*(Inputs!$B$11-Inputs!$B$11),0)))/100+(Inputs!$B$23+((C2199=TRUE)*(F2199-Calc!F29))+IF(ArtifactsInput!$M$15,CHOOSE(ArtifactsInput!$N$15+1,25,30,35,40,45,50)/100*(Inputs!$B$11-Inputs!$B$11),0))/100)/2</f>
        <v/>
      </c>
      <c r="M2186">
        <f>L2186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6">
        <f>L2186*(1-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2186*(MIN((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6">
        <f>(1-Summary!$B$11)*T2186+Summary!$B$11*V2186</f>
        <v/>
      </c>
      <c r="P2186">
        <f>IF(B2215=0,0,O2186/B2215)</f>
        <v/>
      </c>
      <c r="Q2186" t="n">
        <v>0</v>
      </c>
      <c r="R2186" t="n">
        <v>0</v>
      </c>
      <c r="S2186">
        <f>IFERROR(O2186/N2186,0)</f>
        <v/>
      </c>
      <c r="T2186">
        <f>IF(C2186,(Inputs!$B$38*0.2*N2186)*IF(Inputs!$B$39="pvp",1,1+(Inputs!$B$20+0+Skills!P16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2186*(1-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2186*(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2186*(1-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2186*(MIN(100,(Inputs!$B$9+((C2195=TRUE)*(F2195-Calc!F25))+B2203+(ArtifactsInput!$M$24-ArtifactsInput!$M$24)*CHOOSE(ArtifactsInput!$N$24+1,10,12,14,16,18,20)+(IF(AND(Inputs!$B$39&lt;&gt;"pvp",Inputs!$B$44=0),1,IF(IF(Inputs!$B$39="pvp",15,Inputs!$B$44)-(B2214)&lt;=0,1,MAX(0,IF(Inputs!$B$39="pvp",15,Inputs!$B$44)-MAX(5,B2214))/(IF(Inputs!$B$39="pvp",15,Inputs!$B$44)-(B2214))))*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6">
        <f>IF(C2186,(Inputs!$B$38*0.2*N2186)*IF(Inputs!$B$39="pvp",1,(1+(Inputs!$B$21+Skills!Q16+B2204+(IF(ArtifactsInput!$M$33,CHOOSE(ArtifactsInput!$N$33+1,30,36,42,48,54,60),0))+(IF(AND(ArtifactsInput!$M$35,Inputs!$B$4&lt;&gt;"Chapter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7">
      <c r="A2187">
        <f>Skills!A17</f>
        <v/>
      </c>
      <c r="B2187">
        <f>Skills!B17</f>
        <v/>
      </c>
      <c r="C2187">
        <f>Inputs!$B$3&gt;=115</f>
        <v/>
      </c>
      <c r="D2187">
        <f>IF(Skills!C17=1,60+Inputs!$B$25+Inputs!$B$29,IF(Skills!C17=2,90+Inputs!$B$26+Inputs!$B$29,IF(Skills!C17=3,120+Inputs!$B$27+Inputs!$B$29,MAX(0,(Inputs!$B$3-100)*3)+Inputs!$B$28+Inputs!$B$29)))</f>
        <v/>
      </c>
      <c r="E2187">
        <f>INDEX(FactorTable!$B$2:$Y$301, MATCH(ROUND(MIN(300,MAX(1,D2187)),0), FactorTable!$A$2:$A$301,0), Skills!M17+1)</f>
        <v/>
      </c>
      <c r="F2187">
        <f>IF(Skills!N17=TRUE,(Skills!L17/10)*(E2187/1000),Skills!L17/10)+Skills!O17</f>
        <v/>
      </c>
      <c r="G2187">
        <f>Skills!G17*IF(Skills!H17&gt;0,Skills!I17/Skills!H17,1)</f>
        <v/>
      </c>
      <c r="H2187">
        <f>1-(1-Skills!J17/100)^Skills!K17</f>
        <v/>
      </c>
      <c r="I2187" t="inlineStr">
        <is>
          <t>1</t>
        </is>
      </c>
      <c r="J2187" t="inlineStr"/>
      <c r="K2187" t="inlineStr"/>
      <c r="L2187" t="inlineStr"/>
      <c r="M2187" t="inlineStr"/>
      <c r="N2187" t="inlineStr"/>
      <c r="O2187">
        <f>(1-Summary!$B$11)*T2187+Summary!$B$11*V2187</f>
        <v/>
      </c>
      <c r="P2187">
        <f>IF(B2215=0,0,O2187/B2215)</f>
        <v/>
      </c>
      <c r="Q2187" t="n">
        <v>0</v>
      </c>
      <c r="R2187" t="n">
        <v>0</v>
      </c>
      <c r="S2187">
        <f>IFERROR(O2187/N2187,0)</f>
        <v/>
      </c>
      <c r="T2187" t="n">
        <v>0</v>
      </c>
      <c r="V2187" t="n">
        <v>0</v>
      </c>
    </row>
    <row r="2188">
      <c r="A2188">
        <f>Skills!A18</f>
        <v/>
      </c>
      <c r="B2188">
        <f>Skills!B18</f>
        <v/>
      </c>
      <c r="C2188">
        <f>Inputs!$B$3&gt;=100</f>
        <v/>
      </c>
      <c r="D2188">
        <f>IF(Skills!C18=1,60+Inputs!$B$25+Inputs!$B$29,IF(Skills!C18=2,90+Inputs!$B$26+Inputs!$B$29,IF(Skills!C18=3,120+Inputs!$B$27+Inputs!$B$29,MAX(0,(Inputs!$B$3-100)*3)+Inputs!$B$28+Inputs!$B$29)))</f>
        <v/>
      </c>
      <c r="E2188">
        <f>INDEX(FactorTable!$B$2:$Y$301, MATCH(ROUND(MIN(300,MAX(1,D2188)),0), FactorTable!$A$2:$A$301,0), Skills!M18+1)</f>
        <v/>
      </c>
      <c r="F2188">
        <f>IF(Skills!N18=TRUE,(Skills!L18/10)*(E2188/1000),Skills!L18/10)+Skills!O18</f>
        <v/>
      </c>
      <c r="G2188">
        <f>Skills!G18*IF(Skills!H18&gt;0,Skills!I18/Skills!H18,1)</f>
        <v/>
      </c>
      <c r="H2188">
        <f>1-(1-Skills!J18/100)^Skills!K18</f>
        <v/>
      </c>
      <c r="I2188" t="inlineStr">
        <is>
          <t>1</t>
        </is>
      </c>
      <c r="J2188" t="inlineStr"/>
      <c r="K2188" t="inlineStr"/>
      <c r="L2188" t="inlineStr"/>
      <c r="M2188" t="inlineStr"/>
      <c r="N2188" t="inlineStr"/>
      <c r="O2188">
        <f>(1-Summary!$B$11)*T2188+Summary!$B$11*V2188</f>
        <v/>
      </c>
      <c r="P2188">
        <f>IF(B2215=0,0,O2188/B2215)</f>
        <v/>
      </c>
      <c r="Q2188" t="n">
        <v>0</v>
      </c>
      <c r="R2188" t="n">
        <v>0</v>
      </c>
      <c r="S2188">
        <f>IFERROR(O2188/N2188,0)</f>
        <v/>
      </c>
      <c r="T2188" t="n">
        <v>0</v>
      </c>
      <c r="V2188" t="n">
        <v>0</v>
      </c>
    </row>
    <row r="2189">
      <c r="A2189">
        <f>Skills!A19</f>
        <v/>
      </c>
      <c r="B2189">
        <f>Skills!B19</f>
        <v/>
      </c>
      <c r="C2189">
        <f>TRUE</f>
        <v/>
      </c>
      <c r="D2189">
        <f>IF(Skills!C19=1,60+Inputs!$B$25+Inputs!$B$29,IF(Skills!C19=2,90+Inputs!$B$26+Inputs!$B$29,IF(Skills!C19=3,120+Inputs!$B$27+Inputs!$B$29,MAX(0,(Inputs!$B$3-100)*3)+Inputs!$B$28+Inputs!$B$29)))</f>
        <v/>
      </c>
      <c r="E2189">
        <f>INDEX(FactorTable!$B$2:$Y$301, MATCH(ROUND(MIN(300,MAX(1,D2189)),0), FactorTable!$A$2:$A$301,0), Skills!M19+1)</f>
        <v/>
      </c>
      <c r="F2189">
        <f>IF(Skills!N19=TRUE,(Skills!L19/10)*(E2189/1000),Skills!L19/10)+Skills!O19</f>
        <v/>
      </c>
      <c r="G2189">
        <f>Skills!G19*IF(Skills!H19&gt;0,Skills!I19/Skills!H19,1)</f>
        <v/>
      </c>
      <c r="H2189">
        <f>1-(1-Skills!J19/100)^Skills!K19</f>
        <v/>
      </c>
      <c r="I2189" t="inlineStr">
        <is>
          <t>1</t>
        </is>
      </c>
      <c r="J2189" t="inlineStr"/>
      <c r="K2189" t="inlineStr"/>
      <c r="L2189" t="inlineStr"/>
      <c r="M2189" t="inlineStr"/>
      <c r="N2189" t="inlineStr"/>
      <c r="O2189">
        <f>(1-Summary!$B$11)*T2189+Summary!$B$11*V2189</f>
        <v/>
      </c>
      <c r="P2189">
        <f>IF(B2215=0,0,O2189/B2215)</f>
        <v/>
      </c>
      <c r="Q2189">
        <f>IFERROR(1/IF(Inputs!$B$39="pvp",15,MAX(0.1,Skills!D19-IF(Skills!E19=TRUE,Inputs!$B$32,0))),0)</f>
        <v/>
      </c>
      <c r="R2189">
        <f>IF(AND(Inputs!$B$39&lt;&gt;"pvp",Inputs!$B$44&gt;0),IF(Inputs!$B$44&lt;=0,0,(INT(Inputs!$B$44/IF(Inputs!$B$39="pvp",15,MAX(0.1,Skills!D19-IF(Skills!E19=TRUE,Inputs!$B$32,0))))+1)),0)</f>
        <v/>
      </c>
      <c r="S2189">
        <f>IFERROR(O2189/N2189,0)</f>
        <v/>
      </c>
      <c r="T2189" t="n">
        <v>0</v>
      </c>
      <c r="V2189" t="n">
        <v>0</v>
      </c>
    </row>
    <row r="2190">
      <c r="A2190">
        <f>Skills!A20</f>
        <v/>
      </c>
      <c r="B2190">
        <f>Skills!B20</f>
        <v/>
      </c>
      <c r="C2190">
        <f>Inputs!$B$3&gt;=15</f>
        <v/>
      </c>
      <c r="D2190">
        <f>IF(Skills!C20=1,60+Inputs!$B$25+Inputs!$B$29,IF(Skills!C20=2,90+Inputs!$B$26+Inputs!$B$29,IF(Skills!C20=3,120+Inputs!$B$27+Inputs!$B$29,MAX(0,(Inputs!$B$3-100)*3)+Inputs!$B$28+Inputs!$B$29)))</f>
        <v/>
      </c>
      <c r="E2190">
        <f>INDEX(FactorTable!$B$2:$Y$301, MATCH(ROUND(MIN(300,MAX(1,D2190)),0), FactorTable!$A$2:$A$301,0), Skills!M20+1)</f>
        <v/>
      </c>
      <c r="F2190">
        <f>IF(Skills!N20=TRUE,(Skills!L20/10)*(E2190/1000),Skills!L20/10)+Skills!O20</f>
        <v/>
      </c>
      <c r="G2190">
        <f>Skills!G20*IF(Skills!H20&gt;0,Skills!I20/Skills!H20,1)</f>
        <v/>
      </c>
      <c r="H2190">
        <f>1-(1-Skills!J20/100)^Skills!K20</f>
        <v/>
      </c>
      <c r="I2190" t="inlineStr">
        <is>
          <t>1</t>
        </is>
      </c>
      <c r="J2190" t="inlineStr"/>
      <c r="K2190" t="inlineStr"/>
      <c r="L2190" t="inlineStr"/>
      <c r="M2190" t="inlineStr"/>
      <c r="N2190" t="inlineStr"/>
      <c r="O2190">
        <f>(1-Summary!$B$11)*T2190+Summary!$B$11*V2190</f>
        <v/>
      </c>
      <c r="P2190">
        <f>IF(B2215=0,0,O2190/B2215)</f>
        <v/>
      </c>
      <c r="Q2190">
        <f>IFERROR(1/IF(Inputs!$B$39="pvp",15,MAX(0.1,Skills!D20-IF(Skills!E20=TRUE,Inputs!$B$32,0))),0)</f>
        <v/>
      </c>
      <c r="R2190">
        <f>IF(AND(Inputs!$B$39&lt;&gt;"pvp",Inputs!$B$44&gt;0),IF(Inputs!$B$44&lt;=0,0,(INT(Inputs!$B$44/IF(Inputs!$B$39="pvp",15,MAX(0.1,Skills!D20-IF(Skills!E20=TRUE,Inputs!$B$32,0))))+1)),0)</f>
        <v/>
      </c>
      <c r="S2190">
        <f>IFERROR(O2190/N2190,0)</f>
        <v/>
      </c>
      <c r="T2190" t="n">
        <v>0</v>
      </c>
      <c r="V2190" t="n">
        <v>0</v>
      </c>
    </row>
    <row r="2191">
      <c r="A2191">
        <f>Skills!A21</f>
        <v/>
      </c>
      <c r="B2191">
        <f>Skills!B21</f>
        <v/>
      </c>
      <c r="C2191">
        <f>Inputs!$B$3&gt;=15</f>
        <v/>
      </c>
      <c r="D2191">
        <f>IF(Skills!C21=1,60+Inputs!$B$25+Inputs!$B$29,IF(Skills!C21=2,90+Inputs!$B$26+Inputs!$B$29,IF(Skills!C21=3,120+Inputs!$B$27+Inputs!$B$29,MAX(0,(Inputs!$B$3-100)*3)+Inputs!$B$28+Inputs!$B$29)))</f>
        <v/>
      </c>
      <c r="E2191">
        <f>INDEX(FactorTable!$B$2:$Y$301, MATCH(ROUND(MIN(300,MAX(1,D2191)),0), FactorTable!$A$2:$A$301,0), Skills!M21+1)</f>
        <v/>
      </c>
      <c r="F2191">
        <f>IF(Skills!N21=TRUE,(Skills!L21/10)*(E2191/1000),Skills!L21/10)+Skills!O21</f>
        <v/>
      </c>
      <c r="G2191">
        <f>Skills!G21*IF(Skills!H21&gt;0,Skills!I21/Skills!H21,1)</f>
        <v/>
      </c>
      <c r="H2191">
        <f>1-(1-Skills!J21/100)^Skills!K21</f>
        <v/>
      </c>
      <c r="I2191" t="inlineStr">
        <is>
          <t>1</t>
        </is>
      </c>
      <c r="J2191" t="inlineStr"/>
      <c r="K2191" t="inlineStr"/>
      <c r="L2191" t="inlineStr"/>
      <c r="M2191" t="inlineStr"/>
      <c r="N2191" t="inlineStr"/>
      <c r="O2191">
        <f>(1-Summary!$B$11)*T2191+Summary!$B$11*V2191</f>
        <v/>
      </c>
      <c r="P2191">
        <f>IF(B2215=0,0,O2191/B2215)</f>
        <v/>
      </c>
      <c r="Q2191">
        <f>IFERROR(1/IF(Inputs!$B$39="pvp",15,MAX(0.1,Skills!D21-IF(Skills!E21=TRUE,Inputs!$B$32,0))),0)</f>
        <v/>
      </c>
      <c r="R2191">
        <f>IF(AND(Inputs!$B$39&lt;&gt;"pvp",Inputs!$B$44&gt;0),IF(Inputs!$B$44&lt;=0,0,(INT(Inputs!$B$44/IF(Inputs!$B$39="pvp",15,MAX(0.1,Skills!D21-IF(Skills!E21=TRUE,Inputs!$B$32,0))))+1)),0)</f>
        <v/>
      </c>
      <c r="S2191">
        <f>IFERROR(O2191/N2191,0)</f>
        <v/>
      </c>
      <c r="T2191" t="n">
        <v>0</v>
      </c>
      <c r="V2191" t="n">
        <v>0</v>
      </c>
    </row>
    <row r="2192">
      <c r="A2192">
        <f>Skills!A22</f>
        <v/>
      </c>
      <c r="B2192">
        <f>Skills!B22</f>
        <v/>
      </c>
      <c r="C2192">
        <f>Inputs!$B$3&gt;=33</f>
        <v/>
      </c>
      <c r="D2192">
        <f>IF(Skills!C22=1,60+Inputs!$B$25+Inputs!$B$29,IF(Skills!C22=2,90+Inputs!$B$26+Inputs!$B$29,IF(Skills!C22=3,120+Inputs!$B$27+Inputs!$B$29,MAX(0,(Inputs!$B$3-100)*3)+Inputs!$B$28+Inputs!$B$29)))</f>
        <v/>
      </c>
      <c r="E2192">
        <f>INDEX(FactorTable!$B$2:$Y$301, MATCH(ROUND(MIN(300,MAX(1,D2192)),0), FactorTable!$A$2:$A$301,0), Skills!M22+1)</f>
        <v/>
      </c>
      <c r="F2192">
        <f>IF(Skills!N22=TRUE,(Skills!L22/10)*(E2192/1000),Skills!L22/10)+Skills!O22</f>
        <v/>
      </c>
      <c r="G2192">
        <f>Skills!G22*IF(Skills!H22&gt;0,Skills!I22/Skills!H22,1)</f>
        <v/>
      </c>
      <c r="H2192">
        <f>1-(1-Skills!J22/100)^Skills!K22</f>
        <v/>
      </c>
      <c r="I2192" t="inlineStr">
        <is>
          <t>1</t>
        </is>
      </c>
      <c r="J2192" t="inlineStr"/>
      <c r="K2192" t="inlineStr"/>
      <c r="L2192" t="inlineStr"/>
      <c r="M2192" t="inlineStr"/>
      <c r="N2192" t="inlineStr"/>
      <c r="O2192">
        <f>(1-Summary!$B$11)*T2192+Summary!$B$11*V2192</f>
        <v/>
      </c>
      <c r="P2192">
        <f>IF(B2215=0,0,O2192/B2215)</f>
        <v/>
      </c>
      <c r="Q2192" t="n">
        <v>0</v>
      </c>
      <c r="R2192" t="n">
        <v>0</v>
      </c>
      <c r="S2192">
        <f>IFERROR(O2192/N2192,0)</f>
        <v/>
      </c>
      <c r="T2192" t="n">
        <v>0</v>
      </c>
      <c r="V2192" t="n">
        <v>0</v>
      </c>
    </row>
    <row r="2193">
      <c r="A2193">
        <f>Skills!A23</f>
        <v/>
      </c>
      <c r="B2193">
        <f>Skills!B23</f>
        <v/>
      </c>
      <c r="C2193">
        <f>Inputs!$B$3&gt;=40</f>
        <v/>
      </c>
      <c r="D2193">
        <f>IF(Skills!C23=1,60+Inputs!$B$25+Inputs!$B$29,IF(Skills!C23=2,90+Inputs!$B$26+Inputs!$B$29,IF(Skills!C23=3,120+Inputs!$B$27+Inputs!$B$29,MAX(0,(Inputs!$B$3-100)*3)+Inputs!$B$28+Inputs!$B$29)))</f>
        <v/>
      </c>
      <c r="E2193">
        <f>INDEX(FactorTable!$B$2:$Y$301, MATCH(ROUND(MIN(300,MAX(1,D2193)),0), FactorTable!$A$2:$A$301,0), Skills!M23+1)</f>
        <v/>
      </c>
      <c r="F2193">
        <f>IF(Skills!N23=TRUE,(Skills!L23/10)*(E2193/1000),Skills!L23/10)+Skills!O23</f>
        <v/>
      </c>
      <c r="G2193">
        <f>Skills!G23*IF(Skills!H23&gt;0,Skills!I23/Skills!H23,1)</f>
        <v/>
      </c>
      <c r="H2193">
        <f>1-(1-Skills!J23/100)^Skills!K23</f>
        <v/>
      </c>
      <c r="I2193" t="inlineStr">
        <is>
          <t>1</t>
        </is>
      </c>
      <c r="J2193" t="inlineStr"/>
      <c r="K2193" t="inlineStr"/>
      <c r="L2193" t="inlineStr"/>
      <c r="M2193" t="inlineStr"/>
      <c r="N2193" t="inlineStr"/>
      <c r="O2193">
        <f>(1-Summary!$B$11)*T2193+Summary!$B$11*V2193</f>
        <v/>
      </c>
      <c r="P2193">
        <f>IF(B2215=0,0,O2193/B2215)</f>
        <v/>
      </c>
      <c r="Q2193" t="n">
        <v>0</v>
      </c>
      <c r="R2193" t="n">
        <v>0</v>
      </c>
      <c r="S2193">
        <f>IFERROR(O2193/N2193,0)</f>
        <v/>
      </c>
      <c r="T2193" t="n">
        <v>0</v>
      </c>
      <c r="V2193" t="n">
        <v>0</v>
      </c>
    </row>
    <row r="2194">
      <c r="A2194">
        <f>Skills!A24</f>
        <v/>
      </c>
      <c r="B2194">
        <f>Skills!B24</f>
        <v/>
      </c>
      <c r="C2194">
        <f>Inputs!$B$3&gt;=43</f>
        <v/>
      </c>
      <c r="D2194">
        <f>IF(Skills!C24=1,60+Inputs!$B$25+Inputs!$B$29,IF(Skills!C24=2,90+Inputs!$B$26+Inputs!$B$29,IF(Skills!C24=3,120+Inputs!$B$27+Inputs!$B$29,MAX(0,(Inputs!$B$3-100)*3)+Inputs!$B$28+Inputs!$B$29)))</f>
        <v/>
      </c>
      <c r="E2194">
        <f>INDEX(FactorTable!$B$2:$Y$301, MATCH(ROUND(MIN(300,MAX(1,D2194)),0), FactorTable!$A$2:$A$301,0), Skills!M24+1)</f>
        <v/>
      </c>
      <c r="F2194">
        <f>IF(Skills!N24=TRUE,(Skills!L24/10)*(E2194/1000),Skills!L24/10)+Skills!O24</f>
        <v/>
      </c>
      <c r="G2194">
        <f>Skills!G24*IF(Skills!H24&gt;0,Skills!I24/Skills!H24,1)</f>
        <v/>
      </c>
      <c r="H2194">
        <f>1-(1-Skills!J24/100)^Skills!K24</f>
        <v/>
      </c>
      <c r="I2194" t="inlineStr">
        <is>
          <t>1</t>
        </is>
      </c>
      <c r="J2194" t="inlineStr"/>
      <c r="K2194" t="inlineStr"/>
      <c r="L2194" t="inlineStr"/>
      <c r="M2194" t="inlineStr"/>
      <c r="N2194" t="inlineStr"/>
      <c r="O2194">
        <f>(1-Summary!$B$11)*T2194+Summary!$B$11*V2194</f>
        <v/>
      </c>
      <c r="P2194">
        <f>IF(B2215=0,0,O2194/B2215)</f>
        <v/>
      </c>
      <c r="Q2194" t="n">
        <v>0</v>
      </c>
      <c r="R2194" t="n">
        <v>0</v>
      </c>
      <c r="S2194">
        <f>IFERROR(O2194/N2194,0)</f>
        <v/>
      </c>
      <c r="T2194" t="n">
        <v>0</v>
      </c>
      <c r="V2194" t="n">
        <v>0</v>
      </c>
    </row>
    <row r="2195">
      <c r="A2195">
        <f>Skills!A25</f>
        <v/>
      </c>
      <c r="B2195">
        <f>Skills!B25</f>
        <v/>
      </c>
      <c r="C2195">
        <f>Inputs!$B$3&gt;=50</f>
        <v/>
      </c>
      <c r="D2195">
        <f>IF(Skills!C25=1,60+Inputs!$B$25+Inputs!$B$29,IF(Skills!C25=2,90+Inputs!$B$26+Inputs!$B$29,IF(Skills!C25=3,120+Inputs!$B$27+Inputs!$B$29,MAX(0,(Inputs!$B$3-100)*3)+Inputs!$B$28+Inputs!$B$29)))</f>
        <v/>
      </c>
      <c r="E2195">
        <f>INDEX(FactorTable!$B$2:$Y$301, MATCH(ROUND(MIN(300,MAX(1,D2195)),0), FactorTable!$A$2:$A$301,0), Skills!M25+1)</f>
        <v/>
      </c>
      <c r="F2195">
        <f>IF(Skills!N25=TRUE,(Skills!L25/10)*(E2195/1000),Skills!L25/10)+Skills!O25</f>
        <v/>
      </c>
      <c r="G2195">
        <f>Skills!G25*IF(Skills!H25&gt;0,Skills!I25/Skills!H25,1)</f>
        <v/>
      </c>
      <c r="H2195">
        <f>1-(1-Skills!J25/100)^Skills!K25</f>
        <v/>
      </c>
      <c r="I2195" t="inlineStr">
        <is>
          <t>1</t>
        </is>
      </c>
      <c r="J2195" t="inlineStr"/>
      <c r="K2195" t="inlineStr"/>
      <c r="L2195" t="inlineStr"/>
      <c r="M2195" t="inlineStr"/>
      <c r="N2195" t="inlineStr"/>
      <c r="O2195">
        <f>(1-Summary!$B$11)*T2195+Summary!$B$11*V2195</f>
        <v/>
      </c>
      <c r="P2195">
        <f>IF(B2215=0,0,O2195/B2215)</f>
        <v/>
      </c>
      <c r="Q2195" t="n">
        <v>0</v>
      </c>
      <c r="R2195" t="n">
        <v>0</v>
      </c>
      <c r="S2195">
        <f>IFERROR(O2195/N2195,0)</f>
        <v/>
      </c>
      <c r="T2195" t="n">
        <v>0</v>
      </c>
      <c r="V2195" t="n">
        <v>0</v>
      </c>
    </row>
    <row r="2196">
      <c r="A2196">
        <f>Skills!A26</f>
        <v/>
      </c>
      <c r="B2196">
        <f>Skills!B26</f>
        <v/>
      </c>
      <c r="C2196">
        <f>Inputs!$B$3&gt;=50</f>
        <v/>
      </c>
      <c r="D2196">
        <f>IF(Skills!C26=1,60+Inputs!$B$25+Inputs!$B$29,IF(Skills!C26=2,90+Inputs!$B$26+Inputs!$B$29,IF(Skills!C26=3,120+Inputs!$B$27+Inputs!$B$29,MAX(0,(Inputs!$B$3-100)*3)+Inputs!$B$28+Inputs!$B$29)))</f>
        <v/>
      </c>
      <c r="E2196">
        <f>INDEX(FactorTable!$B$2:$Y$301, MATCH(ROUND(MIN(300,MAX(1,D2196)),0), FactorTable!$A$2:$A$301,0), Skills!M26+1)</f>
        <v/>
      </c>
      <c r="F2196">
        <f>IF(Skills!N26=TRUE,(Skills!L26/10)*(E2196/1000),Skills!L26/10)+Skills!O26</f>
        <v/>
      </c>
      <c r="G2196">
        <f>Skills!G26*IF(Skills!H26&gt;0,Skills!I26/Skills!H26,1)</f>
        <v/>
      </c>
      <c r="H2196">
        <f>1-(1-Skills!J26/100)^Skills!K26</f>
        <v/>
      </c>
      <c r="I2196" t="inlineStr">
        <is>
          <t>1</t>
        </is>
      </c>
      <c r="J2196" t="inlineStr"/>
      <c r="K2196" t="inlineStr"/>
      <c r="L2196" t="inlineStr"/>
      <c r="M2196" t="inlineStr"/>
      <c r="N2196" t="inlineStr"/>
      <c r="O2196">
        <f>(1-Summary!$B$11)*T2196+Summary!$B$11*V2196</f>
        <v/>
      </c>
      <c r="P2196">
        <f>IF(B2215=0,0,O2196/B2215)</f>
        <v/>
      </c>
      <c r="Q2196" t="n">
        <v>0</v>
      </c>
      <c r="R2196" t="n">
        <v>0</v>
      </c>
      <c r="S2196">
        <f>IFERROR(O2196/N2196,0)</f>
        <v/>
      </c>
      <c r="T2196" t="n">
        <v>0</v>
      </c>
      <c r="V2196" t="n">
        <v>0</v>
      </c>
    </row>
    <row r="2197">
      <c r="A2197">
        <f>Skills!A27</f>
        <v/>
      </c>
      <c r="B2197">
        <f>Skills!B27</f>
        <v/>
      </c>
      <c r="C2197">
        <f>Inputs!$B$3&gt;=38</f>
        <v/>
      </c>
      <c r="D2197">
        <f>IF(Skills!C27=1,60+Inputs!$B$25+Inputs!$B$29,IF(Skills!C27=2,90+Inputs!$B$26+Inputs!$B$29,IF(Skills!C27=3,120+Inputs!$B$27+Inputs!$B$29,MAX(0,(Inputs!$B$3-100)*3)+Inputs!$B$28+Inputs!$B$29)))</f>
        <v/>
      </c>
      <c r="E2197">
        <f>INDEX(FactorTable!$B$2:$Y$301, MATCH(ROUND(MIN(300,MAX(1,D2197)),0), FactorTable!$A$2:$A$301,0), Skills!M27+1)</f>
        <v/>
      </c>
      <c r="F2197">
        <f>IF(Skills!N27=TRUE,(Skills!L27/10)*(E2197/1000),Skills!L27/10)+Skills!O27</f>
        <v/>
      </c>
      <c r="G2197">
        <f>Skills!G27*IF(Skills!H27&gt;0,Skills!I27/Skills!H27,1)</f>
        <v/>
      </c>
      <c r="H2197">
        <f>1-(1-Skills!J27/100)^Skills!K27</f>
        <v/>
      </c>
      <c r="I2197" t="inlineStr">
        <is>
          <t>1</t>
        </is>
      </c>
      <c r="J2197" t="inlineStr"/>
      <c r="K2197" t="inlineStr"/>
      <c r="L2197" t="inlineStr"/>
      <c r="M2197" t="inlineStr"/>
      <c r="N2197" t="inlineStr"/>
      <c r="O2197">
        <f>(1-Summary!$B$11)*T2197+Summary!$B$11*V2197</f>
        <v/>
      </c>
      <c r="P2197">
        <f>IF(B2215=0,0,O2197/B2215)</f>
        <v/>
      </c>
      <c r="Q2197" t="n">
        <v>0</v>
      </c>
      <c r="R2197" t="n">
        <v>0</v>
      </c>
      <c r="S2197">
        <f>IFERROR(O2197/N2197,0)</f>
        <v/>
      </c>
      <c r="T2197" t="n">
        <v>0</v>
      </c>
      <c r="V2197" t="n">
        <v>0</v>
      </c>
    </row>
    <row r="2198">
      <c r="A2198">
        <f>Skills!A28</f>
        <v/>
      </c>
      <c r="B2198">
        <f>Skills!B28</f>
        <v/>
      </c>
      <c r="C2198">
        <f>Inputs!$B$3&gt;=120</f>
        <v/>
      </c>
      <c r="D2198">
        <f>IF(Skills!C28=1,60+Inputs!$B$25+Inputs!$B$29,IF(Skills!C28=2,90+Inputs!$B$26+Inputs!$B$29,IF(Skills!C28=3,120+Inputs!$B$27+Inputs!$B$29,MAX(0,(Inputs!$B$3-100)*3)+Inputs!$B$28+Inputs!$B$29)))</f>
        <v/>
      </c>
      <c r="E2198">
        <f>INDEX(FactorTable!$B$2:$Y$301, MATCH(ROUND(MIN(300,MAX(1,D2198)),0), FactorTable!$A$2:$A$301,0), Skills!M28+1)</f>
        <v/>
      </c>
      <c r="F2198">
        <f>IF(Skills!N28=TRUE,(Skills!L28/10)*(E2198/1000),Skills!L28/10)+Skills!O28</f>
        <v/>
      </c>
      <c r="G2198">
        <f>Skills!G28*IF(Skills!H28&gt;0,Skills!I28/Skills!H28,1)</f>
        <v/>
      </c>
      <c r="H2198">
        <f>1-(1-Skills!J28/100)^Skills!K28</f>
        <v/>
      </c>
      <c r="I2198" t="inlineStr">
        <is>
          <t>1</t>
        </is>
      </c>
      <c r="J2198" t="inlineStr"/>
      <c r="K2198" t="inlineStr"/>
      <c r="L2198" t="inlineStr"/>
      <c r="M2198" t="inlineStr"/>
      <c r="N2198" t="inlineStr"/>
      <c r="O2198">
        <f>(1-Summary!$B$11)*T2198+Summary!$B$11*V2198</f>
        <v/>
      </c>
      <c r="P2198">
        <f>IF(B2215=0,0,O2198/B2215)</f>
        <v/>
      </c>
      <c r="Q2198" t="n">
        <v>0</v>
      </c>
      <c r="R2198" t="n">
        <v>0</v>
      </c>
      <c r="S2198">
        <f>IFERROR(O2198/N2198,0)</f>
        <v/>
      </c>
      <c r="T2198" t="n">
        <v>0</v>
      </c>
      <c r="V2198" t="n">
        <v>0</v>
      </c>
    </row>
    <row r="2199">
      <c r="A2199">
        <f>Skills!A29</f>
        <v/>
      </c>
      <c r="B2199">
        <f>Skills!B29</f>
        <v/>
      </c>
      <c r="C2199">
        <f>Inputs!$B$3&gt;=120</f>
        <v/>
      </c>
      <c r="D2199">
        <f>IF(Skills!C29=1,60+Inputs!$B$25+Inputs!$B$29,IF(Skills!C29=2,90+Inputs!$B$26+Inputs!$B$29,IF(Skills!C29=3,120+Inputs!$B$27+Inputs!$B$29,MAX(0,(Inputs!$B$3-100)*3)+Inputs!$B$28+Inputs!$B$29)))</f>
        <v/>
      </c>
      <c r="E2199">
        <f>INDEX(FactorTable!$B$2:$Y$301, MATCH(ROUND(MIN(300,MAX(1,D2199)),0), FactorTable!$A$2:$A$301,0), Skills!M29+1)</f>
        <v/>
      </c>
      <c r="F2199">
        <f>IF(Skills!N29=TRUE,(Skills!L29/10)*(E2199/1000),Skills!L29/10)+Skills!O29</f>
        <v/>
      </c>
      <c r="G2199">
        <f>Skills!G29*IF(Skills!H29&gt;0,Skills!I29/Skills!H29,1)</f>
        <v/>
      </c>
      <c r="H2199">
        <f>1-(1-Skills!J29/100)^Skills!K29</f>
        <v/>
      </c>
      <c r="I2199" t="inlineStr">
        <is>
          <t>1</t>
        </is>
      </c>
      <c r="J2199" t="inlineStr"/>
      <c r="K2199" t="inlineStr"/>
      <c r="L2199" t="inlineStr"/>
      <c r="M2199" t="inlineStr"/>
      <c r="N2199" t="inlineStr"/>
      <c r="O2199">
        <f>(1-Summary!$B$11)*T2199+Summary!$B$11*V2199</f>
        <v/>
      </c>
      <c r="P2199">
        <f>IF(B2215=0,0,O2199/B2215)</f>
        <v/>
      </c>
      <c r="Q2199" t="n">
        <v>0</v>
      </c>
      <c r="R2199" t="n">
        <v>0</v>
      </c>
      <c r="S2199">
        <f>IFERROR(O2199/N2199,0)</f>
        <v/>
      </c>
      <c r="T2199" t="n">
        <v>0</v>
      </c>
      <c r="V2199" t="n">
        <v>0</v>
      </c>
    </row>
    <row r="2200">
      <c r="A2200">
        <f>Skills!A30</f>
        <v/>
      </c>
      <c r="B2200">
        <f>Skills!B30</f>
        <v/>
      </c>
      <c r="C2200">
        <f>Inputs!$B$3&gt;=125</f>
        <v/>
      </c>
      <c r="D2200">
        <f>IF(Skills!C30=1,60+Inputs!$B$25+Inputs!$B$29,IF(Skills!C30=2,90+Inputs!$B$26+Inputs!$B$29,IF(Skills!C30=3,120+Inputs!$B$27+Inputs!$B$29,MAX(0,(Inputs!$B$3-100)*3)+Inputs!$B$28+Inputs!$B$29)))</f>
        <v/>
      </c>
      <c r="E2200">
        <f>INDEX(FactorTable!$B$2:$Y$301, MATCH(ROUND(MIN(300,MAX(1,D2200)),0), FactorTable!$A$2:$A$301,0), Skills!M30+1)</f>
        <v/>
      </c>
      <c r="F2200">
        <f>IF(Skills!N30=TRUE,(Skills!L30/10)*(E2200/1000),Skills!L30/10)+Skills!O30</f>
        <v/>
      </c>
      <c r="G2200">
        <f>Skills!G30*IF(Skills!H30&gt;0,Skills!I30/Skills!H30,1)</f>
        <v/>
      </c>
      <c r="H2200">
        <f>1-(1-Skills!J30/100)^Skills!K30</f>
        <v/>
      </c>
      <c r="I2200" t="inlineStr">
        <is>
          <t>1</t>
        </is>
      </c>
      <c r="J2200" t="inlineStr"/>
      <c r="K2200" t="inlineStr"/>
      <c r="L2200" t="inlineStr"/>
      <c r="M2200" t="inlineStr"/>
      <c r="N2200" t="inlineStr"/>
      <c r="O2200">
        <f>(1-Summary!$B$11)*T2200+Summary!$B$11*V2200</f>
        <v/>
      </c>
      <c r="P2200">
        <f>IF(B2215=0,0,O2200/B2215)</f>
        <v/>
      </c>
      <c r="Q2200" t="n">
        <v>0</v>
      </c>
      <c r="R2200" t="n">
        <v>0</v>
      </c>
      <c r="S2200">
        <f>IFERROR(O2200/N2200,0)</f>
        <v/>
      </c>
      <c r="T2200" t="n">
        <v>0</v>
      </c>
      <c r="V2200" t="n">
        <v>0</v>
      </c>
    </row>
    <row r="2202">
      <c r="A2202" t="inlineStr">
        <is>
          <t>Average Buff Multiplier</t>
        </is>
      </c>
      <c r="B2202">
        <f>(1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f>
        <v/>
      </c>
    </row>
    <row r="2203">
      <c r="A2203" t="inlineStr">
        <is>
          <t>Global Crit Rate Bonus %</t>
        </is>
      </c>
      <c r="B2203">
        <f>((C2190=TRUE)*F2190*IF(AND(Inputs!$B$39&lt;&gt;"pvp",Inputs!$B$44&gt;0),(((R2190-1)*(Skills!Y20*(1+Inputs!$B$34/100))+MIN((Skills!Y20*(1+Inputs!$B$34/100)),MAX(0,Inputs!$B$44-((R2190-1)*Skills!D20))))/Inputs!$B$44),IF(Inputs!$B$39="pvp",MIN((Skills!Y20*(1+Inputs!$B$34/100)),15)/15,(Skills!Y20*(1+Inputs!$B$34/100))/Skills!D20)))</f>
        <v/>
      </c>
    </row>
    <row r="2204">
      <c r="A2204" t="inlineStr">
        <is>
          <t>Global Monster Damage-Taken Bonus %</t>
        </is>
      </c>
      <c r="B2204">
        <f>IF(Inputs!$B$3&gt;=82,15,0)</f>
        <v/>
      </c>
    </row>
    <row r="2205">
      <c r="A2205" t="inlineStr">
        <is>
          <t>Shadow Partner Average Multiplier</t>
        </is>
      </c>
      <c r="B2205">
        <f>1+((C2177=TRUE)*F2177*(1+3.3333333333333335*IF(C2188=TRUE,F2188,0)/100)*I2177*Skills!J7/100)/100</f>
        <v/>
      </c>
    </row>
    <row r="2206">
      <c r="A2206" t="inlineStr">
        <is>
          <t>Attack Speed Buff Bonus %</t>
        </is>
      </c>
      <c r="B2206">
        <f>((C2189=TRUE)*F2189*IF(AND(Inputs!$B$39&lt;&gt;"pvp",Inputs!$B$44&gt;0),(((R2189-1)*(Skills!Y19*(1+Inputs!$B$34/100))+MIN((Skills!Y19*(1+Inputs!$B$34/100)),MAX(0,Inputs!$B$44-((R2189-1)*Skills!D19))))/Inputs!$B$44),IF(Inputs!$B$39="pvp",MIN((Skills!Y19*(1+Inputs!$B$34/100)),15)/15,(Skills!Y19*(1+Inputs!$B$34/100))/Skills!D19)))+((C2173=TRUE)*F2173*3)</f>
        <v/>
      </c>
    </row>
    <row r="2207">
      <c r="A2207" t="inlineStr">
        <is>
          <t>Actions Per Second</t>
        </is>
      </c>
      <c r="B2207">
        <f>1+MIN(150,150*(1-(1-(Inputs!$B$11+((C2192=TRUE)*(F2192-Calc!F22)))/150)*(1-B2206/150)))/100</f>
        <v/>
      </c>
    </row>
    <row r="2208">
      <c r="A2208" t="inlineStr">
        <is>
          <t>Skill + Buff Cast Rate</t>
        </is>
      </c>
      <c r="B2208">
        <f>IF(AND(Inputs!$B$39&lt;&gt;"pvp",Inputs!$B$44&gt;0),SUMPRODUCT((Skills!E2:E30=TRUE)*(C2172:C2200=TRUE)*R2172:R2200*Skills!F2:F30)/Inputs!$B$44,SUMPRODUCT((Skills!E2:E30=TRUE)*(C2172:C2200=TRUE)*Q2172:Q2200*Skills!F2:F30))</f>
        <v/>
      </c>
    </row>
    <row r="2209">
      <c r="A2209" t="inlineStr">
        <is>
          <t>Cruel Stab Casts Per Second</t>
        </is>
      </c>
      <c r="B2209">
        <f>MAX(0,B2207-B2208)</f>
        <v/>
      </c>
    </row>
    <row r="2210">
      <c r="A2210" t="inlineStr">
        <is>
          <t>Global Critical Damage Bonus % (Smokescreen Mastery Lv.113)</t>
        </is>
      </c>
      <c r="B2210">
        <f>IF(Inputs!$B$3&gt;=113,30,0)*IF(AND(Inputs!$B$39&lt;&gt;"pvp",Inputs!$B$44&gt;0),(((R2185-1)*(Skills!Y15*(1+Inputs!$B$34/100))+MIN((Skills!Y15*(1+Inputs!$B$34/100)),MAX(0,Inputs!$B$44-((R2185-1)*Skills!D15))))/Inputs!$B$44),IF(Inputs!$B$39="pvp",MIN((Skills!Y15*(1+Inputs!$B$34/100)),15)/15,(Skills!Y15*(1+Inputs!$B$34/100))/Skills!D15))</f>
        <v/>
      </c>
    </row>
    <row r="2211">
      <c r="A2211" t="inlineStr">
        <is>
          <t>Meso Explosion average stack count</t>
        </is>
      </c>
      <c r="B2211">
        <f>MIN(10,0.5*B2207*Skills!D4)</f>
        <v/>
      </c>
    </row>
    <row r="2212">
      <c r="A2212" t="inlineStr">
        <is>
          <t>Blood Money average stack count</t>
        </is>
      </c>
      <c r="B2212">
        <f>MIN(5,0.25*B2207*Skills!D4)</f>
        <v/>
      </c>
    </row>
    <row r="2213">
      <c r="A2213" t="inlineStr">
        <is>
          <t>Assassinate Murderous Intent Multiplier</t>
        </is>
      </c>
      <c r="B2213">
        <f>1+IFERROR(MIN(1,Q2184*2/Q2181),0)</f>
        <v/>
      </c>
    </row>
    <row r="2214">
      <c r="A2214" t="inlineStr">
        <is>
          <t>Buff-Casting Startup Delay (s, fixed-duration only)</t>
        </is>
      </c>
      <c r="B2214">
        <f>IF(AND(Inputs!$B$39&lt;&gt;"pvp",Inputs!$B$44&gt;0),SUMPRODUCT((Skills!Y2:Y30&gt;0)*(Skills!E2:E30=TRUE)*(C2172:C2200=TRUE))/B2207,0)</f>
        <v/>
      </c>
    </row>
    <row r="2215">
      <c r="A2215" s="6" t="inlineStr">
        <is>
          <t>TOTAL DPS</t>
        </is>
      </c>
      <c r="B2215" s="6">
        <f>SUM(O2172:O2200)</f>
        <v/>
      </c>
    </row>
    <row r="2216">
      <c r="A2216" t="inlineStr">
        <is>
          <t>Boss-Only Total DPS (this block's swept value)</t>
        </is>
      </c>
      <c r="B2216">
        <f>SUM(T2172:T2200)</f>
        <v/>
      </c>
    </row>
    <row r="2217">
      <c r="A2217" t="inlineStr">
        <is>
          <t>Normal-Only Total DPS (this block's swept value)</t>
        </is>
      </c>
      <c r="B2217">
        <f>SUM(V2172:V2200)</f>
        <v/>
      </c>
    </row>
    <row r="2220">
      <c r="A2220" s="6" t="inlineStr">
        <is>
          <t>Stat: Star Rock (Equip)</t>
        </is>
      </c>
    </row>
    <row r="2221">
      <c r="A2221" s="5" t="inlineStr">
        <is>
          <t>Key</t>
        </is>
      </c>
      <c r="B2221" s="5" t="inlineStr">
        <is>
          <t>Name</t>
        </is>
      </c>
      <c r="C2221" s="5" t="inlineStr">
        <is>
          <t>Unlocked</t>
        </is>
      </c>
      <c r="D2221" s="5" t="inlineStr">
        <is>
          <t>InputLevel</t>
        </is>
      </c>
      <c r="E2221" s="5" t="inlineStr">
        <is>
          <t>Factor</t>
        </is>
      </c>
      <c r="F2221" s="5" t="inlineStr">
        <is>
          <t>CoefficientPercent</t>
        </is>
      </c>
      <c r="G2221" s="5" t="inlineStr">
        <is>
          <t>EffectiveHits</t>
        </is>
      </c>
      <c r="H2221" s="5" t="inlineStr">
        <is>
          <t>ProcProbability</t>
        </is>
      </c>
      <c r="I2221" s="5" t="inlineStr">
        <is>
          <t>MapleHeroMultiplier</t>
        </is>
      </c>
      <c r="J2221" s="5" t="inlineStr">
        <is>
          <t>BaseDamage</t>
        </is>
      </c>
      <c r="K2221" s="5" t="inlineStr">
        <is>
          <t>BaseHitDamage</t>
        </is>
      </c>
      <c r="L2221" s="5" t="inlineStr">
        <is>
          <t>NonCritAvg</t>
        </is>
      </c>
      <c r="M2221" s="5" t="inlineStr">
        <is>
          <t>CritAvg</t>
        </is>
      </c>
      <c r="N2221" s="5" t="inlineStr">
        <is>
          <t>ExpectedDamage(perHit)</t>
        </is>
      </c>
      <c r="O2221" s="5" t="inlineStr">
        <is>
          <t>DPS</t>
        </is>
      </c>
      <c r="P2221" s="5" t="inlineStr">
        <is>
          <t>% of Total</t>
        </is>
      </c>
      <c r="Q2221" s="5" t="inlineStr">
        <is>
          <t>InvCooldown</t>
        </is>
      </c>
      <c r="R2221" s="5" t="inlineStr">
        <is>
          <t>CastsInFight</t>
        </is>
      </c>
      <c r="S2221" s="5" t="inlineStr">
        <is>
          <t>HitRate(perSec)</t>
        </is>
      </c>
      <c r="U2221" t="inlineStr">
        <is>
          <t>helpers</t>
        </is>
      </c>
    </row>
    <row r="2222">
      <c r="A2222">
        <f>Skills!A2</f>
        <v/>
      </c>
      <c r="B2222">
        <f>Skills!B2</f>
        <v/>
      </c>
      <c r="C2222">
        <f>Inputs!$B$3&gt;=100</f>
        <v/>
      </c>
      <c r="D2222" t="inlineStr"/>
      <c r="E2222" t="inlineStr"/>
      <c r="F2222">
        <f>U2224+Skills!O2</f>
        <v/>
      </c>
      <c r="G2222">
        <f>Skills!G2*IF(Skills!H2&gt;0,Skills!I2/Skills!H2,1)</f>
        <v/>
      </c>
      <c r="H2222">
        <f>1-(1-Skills!J2/100)^Skills!K2</f>
        <v/>
      </c>
      <c r="I2222" t="inlineStr">
        <is>
          <t>1</t>
        </is>
      </c>
      <c r="J2222">
        <f>((Inputs!$B$6*(1+Inputs!$B$7/100))+(((Inputs!$B$12*(1+Inputs!$B$13/100))-(Inputs!$B$12*(1+Inputs!$B$13/100)))+0.25*(Inputs!$B$14-Inputs!$B$14))*(1+Inputs!$B$7/100))*(F2222/100)</f>
        <v/>
      </c>
      <c r="K2222">
        <f>J2222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2222)</f>
        <v/>
      </c>
      <c r="L2222">
        <f>K2222*(MIN(Inputs!$B$22+((C2244=TRUE)*(F2244-Calc!F24)),(Inputs!$B$23+((C2249=TRUE)*(F2249-Calc!F29))+IF(ArtifactsInput!$M$15,CHOOSE(ArtifactsInput!$N$15+1,25,30,35,40,45,50)/100*(Inputs!$B$11-Inputs!$B$11),0)))/100+(Inputs!$B$23+((C2249=TRUE)*(F2249-Calc!F29))+IF(ArtifactsInput!$M$15,CHOOSE(ArtifactsInput!$N$15+1,25,30,35,40,45,50)/100*(Inputs!$B$11-Inputs!$B$11),0))/100)/2</f>
        <v/>
      </c>
      <c r="M2222">
        <f>L2222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2">
        <f>L2222*(1-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IF(B2265=0,0,O2222/B2265)</f>
        <v/>
      </c>
      <c r="Q2222" t="n">
        <v>0</v>
      </c>
      <c r="R2222" t="n">
        <v>0</v>
      </c>
      <c r="S2222">
        <f>IFERROR(O2222/N2222,0)</f>
        <v/>
      </c>
      <c r="T2222">
        <f>IF(C2222,(Skills!G2*N2222*B2259)*IF(Inputs!$B$39="pvp",1,1+(Inputs!$B$20+0+Skills!P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2222*(1-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2">
        <f>MAX(0,(Inputs!$B$3-100)*3)+Inputs!$B$28+Inputs!$B$29</f>
        <v/>
      </c>
      <c r="V2222">
        <f>IF(C2222,(Skills!G2*N2222*B2259)*IF(Inputs!$B$39="pvp",1,(1+(Inputs!$B$21+Skills!Q2+B2254+(IF(ArtifactsInput!$M$33,CHOOSE(ArtifactsInput!$N$33+1,30,36,42,48,54,60),0))+(IF(AND(ArtifactsInput!$M$35,Inputs!$B$4&lt;&gt;"Chapter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Skills!A3</f>
        <v/>
      </c>
      <c r="B2223">
        <f>Skills!B3</f>
        <v/>
      </c>
      <c r="C2223">
        <f>Inputs!$B$3&gt;=35</f>
        <v/>
      </c>
      <c r="D2223">
        <f>IF(Skills!C3=1,60+Inputs!$B$25+Inputs!$B$29,IF(Skills!C3=2,90+Inputs!$B$26+Inputs!$B$29,IF(Skills!C3=3,120+Inputs!$B$27+Inputs!$B$29,MAX(0,(Inputs!$B$3-100)*3)+Inputs!$B$28+Inputs!$B$29)))</f>
        <v/>
      </c>
      <c r="E2223">
        <f>INDEX(FactorTable!$B$2:$Y$301, MATCH(ROUND(MIN(300,MAX(1,D2223)),0), FactorTable!$A$2:$A$301,0), Skills!M3+1)</f>
        <v/>
      </c>
      <c r="F2223">
        <f>IF(Skills!N3=TRUE,(Skills!L3/10)*(E2223/1000),Skills!L3/10)+Skills!O3</f>
        <v/>
      </c>
      <c r="G2223">
        <f>Skills!G3*IF(Skills!H3&gt;0,Skills!I3/Skills!H3,1)</f>
        <v/>
      </c>
      <c r="H2223">
        <f>1-(1-Skills!J3/100)^Skills!K3</f>
        <v/>
      </c>
      <c r="I2223" t="inlineStr">
        <is>
          <t>1</t>
        </is>
      </c>
      <c r="J2223" t="inlineStr"/>
      <c r="K2223" t="inlineStr"/>
      <c r="L2223" t="inlineStr"/>
      <c r="M2223" t="inlineStr"/>
      <c r="N2223" t="inlineStr"/>
      <c r="O2223">
        <f>(1-Summary!$B$11)*T2223+Summary!$B$11*V2223</f>
        <v/>
      </c>
      <c r="P2223">
        <f>IF(B2265=0,0,O2223/B2265)</f>
        <v/>
      </c>
      <c r="Q2223" t="n">
        <v>0</v>
      </c>
      <c r="R2223" t="n">
        <v>0</v>
      </c>
      <c r="S2223">
        <f>IFERROR(O2223/N2223,0)</f>
        <v/>
      </c>
      <c r="T2223" t="n">
        <v>0</v>
      </c>
      <c r="U2223">
        <f>INDEX(FactorTable!$B$2:$Y$301, MATCH(ROUND(MIN(300,MAX(1,U2222)),0), FactorTable!$A$2:$A$301,0), 22)</f>
        <v/>
      </c>
      <c r="V2223" t="n">
        <v>0</v>
      </c>
    </row>
    <row r="2224">
      <c r="A2224">
        <f>Skills!A4</f>
        <v/>
      </c>
      <c r="B2224">
        <f>Skills!B4</f>
        <v/>
      </c>
      <c r="C2224">
        <f>Inputs!$B$3&gt;=66</f>
        <v/>
      </c>
      <c r="D2224">
        <f>IF(Skills!C4=1,60+Inputs!$B$25+Inputs!$B$29,IF(Skills!C4=2,90+Inputs!$B$26+Inputs!$B$29,IF(Skills!C4=3,120+Inputs!$B$27+Inputs!$B$29,MAX(0,(Inputs!$B$3-100)*3)+Inputs!$B$28+Inputs!$B$29)))</f>
        <v/>
      </c>
      <c r="E2224">
        <f>INDEX(FactorTable!$B$2:$Y$301, MATCH(ROUND(MIN(300,MAX(1,D2224)),0), FactorTable!$A$2:$A$301,0), Skills!M4+1)</f>
        <v/>
      </c>
      <c r="F2224">
        <f>IF(Skills!N4=TRUE,(Skills!L4/10)*(E2224/1000),Skills!L4/10)+Skills!O4</f>
        <v/>
      </c>
      <c r="G2224">
        <f>Skills!G4*IF(Skills!H4&gt;0,Skills!I4/Skills!H4,1)</f>
        <v/>
      </c>
      <c r="H2224">
        <f>1-(1-Skills!J4/100)^Skills!K4</f>
        <v/>
      </c>
      <c r="I2224" t="inlineStr">
        <is>
          <t>1</t>
        </is>
      </c>
      <c r="J2224">
        <f>((Inputs!$B$6*(1+Inputs!$B$7/100))+(((Inputs!$B$12*(1+Inputs!$B$13/100))-(Inputs!$B$12*(1+Inputs!$B$13/100)))+0.25*(Inputs!$B$14-Inputs!$B$14))*(1+Inputs!$B$7/100))*(F2224/100)</f>
        <v/>
      </c>
      <c r="K2224">
        <f>J2224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2224)</f>
        <v/>
      </c>
      <c r="L2224">
        <f>K2224*(MIN(Inputs!$B$22+((C2244=TRUE)*(F2244-Calc!F24)),(Inputs!$B$23+((C2249=TRUE)*(F2249-Calc!F29))+IF(ArtifactsInput!$M$15,CHOOSE(ArtifactsInput!$N$15+1,25,30,35,40,45,50)/100*(Inputs!$B$11-Inputs!$B$11),0)))/100+(Inputs!$B$23+((C2249=TRUE)*(F2249-Calc!F29))+IF(ArtifactsInput!$M$15,CHOOSE(ArtifactsInput!$N$15+1,25,30,35,40,45,50)/100*(Inputs!$B$11-Inputs!$B$11),0))/100)/2</f>
        <v/>
      </c>
      <c r="M2224">
        <f>L2224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4">
        <f>L2224*(1-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IF(B2265=0,0,O2224/B2265)</f>
        <v/>
      </c>
      <c r="Q2224">
        <f>IFERROR(1/IF(Inputs!$B$39="pvp",15,MAX(0.1,Skills!D4-IF(Skills!E4=TRUE,Inputs!$B$32,0))),0)</f>
        <v/>
      </c>
      <c r="R2224">
        <f>IF(AND(Inputs!$B$39&lt;&gt;"pvp",Inputs!$B$44&gt;0),IF(MAX(0,Inputs!$B$44-B2264)&lt;=0,0,(INT(MAX(0,Inputs!$B$44-B2264)/IF(Inputs!$B$39="pvp",15,MAX(0.1,Skills!D4-IF(Skills!E4=TRUE,Inputs!$B$32,0))))+1)),0)</f>
        <v/>
      </c>
      <c r="S2224">
        <f>IFERROR(O2224/N2224,0)</f>
        <v/>
      </c>
      <c r="T2224">
        <f>IF(C2224,(H2224*N2224*IF(AND(Inputs!$B$39&lt;&gt;"pvp",Inputs!$B$44&gt;0),((Skills!G4*((R2224-1)*IF(Skills!H4&gt;0,Skills!I4/Skills!H4,1)+IF(Skills!H4&gt;0,MIN(Skills!I4,MAX(0,MAX(0,Inputs!$B$44-B2264)-((R2224-1)*IF(Inputs!$B$39="pvp",15,MAX(0.1,Skills!D4-IF(Skills!E4=TRUE,Inputs!$B$32,0))))))/Skills!H4,1)))/Inputs!$B$44),G2224*Q2224))*IF(Inputs!$B$39="pvp",1,1+(Inputs!$B$20+0+Skills!P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2224*(1-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4">
        <f>290*U2223/1000</f>
        <v/>
      </c>
      <c r="V2224">
        <f>IF(C2224,(H2224*N2224*IF(AND(Inputs!$B$39&lt;&gt;"pvp",Inputs!$B$44&gt;0),((Skills!G4*((R2224-1)*IF(Skills!H4&gt;0,Skills!I4/Skills!H4,1)+IF(Skills!H4&gt;0,MIN(Skills!I4,MAX(0,MAX(0,Inputs!$B$44-B2264)-((R2224-1)*IF(Inputs!$B$39="pvp",15,MAX(0.1,Skills!D4-IF(Skills!E4=TRUE,Inputs!$B$32,0))))))/Skills!H4,1)))/Inputs!$B$44),G2224*Q2224))*IF(Inputs!$B$39="pvp",1,(1+(Inputs!$B$21+Skills!Q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(10,0.5*B2257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Skills!A5</f>
        <v/>
      </c>
      <c r="B2225">
        <f>Skills!B5</f>
        <v/>
      </c>
      <c r="C2225">
        <f>Inputs!$B$3&gt;=63</f>
        <v/>
      </c>
      <c r="D2225">
        <f>IF(Skills!C5=1,60+Inputs!$B$25+Inputs!$B$29,IF(Skills!C5=2,90+Inputs!$B$26+Inputs!$B$29,IF(Skills!C5=3,120+Inputs!$B$27+Inputs!$B$29,MAX(0,(Inputs!$B$3-100)*3)+Inputs!$B$28+Inputs!$B$29)))</f>
        <v/>
      </c>
      <c r="E2225">
        <f>INDEX(FactorTable!$B$2:$Y$301, MATCH(ROUND(MIN(300,MAX(1,D2225)),0), FactorTable!$A$2:$A$301,0), Skills!M5+1)</f>
        <v/>
      </c>
      <c r="F2225">
        <f>IF(Skills!N5=TRUE,(Skills!L5/10)*(E2225/1000),Skills!L5/10)+Skills!O5</f>
        <v/>
      </c>
      <c r="G2225">
        <f>Skills!G5*IF(Skills!H5&gt;0,Skills!I5/Skills!H5,1)</f>
        <v/>
      </c>
      <c r="H2225">
        <f>1-(1-Skills!J5/100)^Skills!K5</f>
        <v/>
      </c>
      <c r="I2225" t="inlineStr">
        <is>
          <t>1</t>
        </is>
      </c>
      <c r="J2225">
        <f>((Inputs!$B$6*(1+Inputs!$B$7/100))+(((Inputs!$B$12*(1+Inputs!$B$13/100))-(Inputs!$B$12*(1+Inputs!$B$13/100)))+0.25*(Inputs!$B$14-Inputs!$B$14))*(1+Inputs!$B$7/100))*(F2225/100)</f>
        <v/>
      </c>
      <c r="K2225">
        <f>J2225*(1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2238=TRUE,F2238,0)/100)*(1+(IF(Skills!A5="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2225)</f>
        <v/>
      </c>
      <c r="L2225">
        <f>K2225*(MIN(Inputs!$B$22+((C2244=TRUE)*(F2244-Calc!F24)),(Inputs!$B$23+((C2249=TRUE)*(F2249-Calc!F29))+IF(ArtifactsInput!$M$15,CHOOSE(ArtifactsInput!$N$15+1,25,30,35,40,45,50)/100*(Inputs!$B$11-Inputs!$B$11),0)))/100+(Inputs!$B$23+((C2249=TRUE)*(F2249-Calc!F29))+IF(ArtifactsInput!$M$15,CHOOSE(ArtifactsInput!$N$15+1,25,30,35,40,45,50)/100*(Inputs!$B$11-Inputs!$B$11),0))/100)/2</f>
        <v/>
      </c>
      <c r="M2225">
        <f>L2225*(1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5">
        <f>L2225*(1-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IF(B2265=0,0,O2225/B2265)</f>
        <v/>
      </c>
      <c r="Q2225">
        <f>IFERROR(1/IF(Inputs!$B$39="pvp",15,MAX(0.1,Skills!D5-IF(Skills!E5=TRUE,Inputs!$B$32,0))),0)</f>
        <v/>
      </c>
      <c r="R2225">
        <f>IF(AND(Inputs!$B$39&lt;&gt;"pvp",Inputs!$B$44&gt;0),IF(MAX(0,Inputs!$B$44-B2264)&lt;=0,0,(INT(MAX(0,Inputs!$B$44-B2264)/IF(Inputs!$B$39="pvp",15,MAX(0.1,Skills!D5-IF(Skills!E5=TRUE,Inputs!$B$32,0))))+1)),0)</f>
        <v/>
      </c>
      <c r="S2225">
        <f>IFERROR(O2225/N2225,0)</f>
        <v/>
      </c>
      <c r="T2225">
        <f>IF(C2225,(H2225*N2225*IF(AND(Inputs!$B$39&lt;&gt;"pvp",Inputs!$B$44&gt;0),((Skills!G5*((R2225-1)*IF(Skills!H5&gt;0,Skills!I5/Skills!H5,1)+IF(Skills!H5&gt;0,MIN(Skills!I5,MAX(0,MAX(0,Inputs!$B$44-B2264)-((R2225-1)*IF(Inputs!$B$39="pvp",15,MAX(0.1,Skills!D5-IF(Skills!E5=TRUE,Inputs!$B$32,0))))))/Skills!H5,1)))/Inputs!$B$44),G2225*Q2225))*IF(Inputs!$B$39="pvp",1,1+(Inputs!$B$20+0+Skills!P5+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2225*(1-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5*((R2225-1)*IF(Skills!H5&gt;0,Skills!I5/Skills!H5,1)+IF(Skills!H5&gt;0,MIN(Skills!I5,MAX(0,MAX(0,Inputs!$B$44-B2264)-((R2225-1)*IF(Inputs!$B$39="pvp",15,MAX(0.1,Skills!D5-IF(Skills!E5=TRUE,Inputs!$B$32,0))))))/Skills!H5,1)))/Inputs!$B$44),G2225*Q2225))*IF(Inputs!$B$39="pvp",1,(1+(Inputs!$B$21+Skills!Q5+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Skills!A6</f>
        <v/>
      </c>
      <c r="B2226">
        <f>Skills!B6</f>
        <v/>
      </c>
      <c r="C2226">
        <f>Inputs!$B$3&gt;=69</f>
        <v/>
      </c>
      <c r="D2226">
        <f>IF(Skills!C6=1,60+Inputs!$B$25+Inputs!$B$29,IF(Skills!C6=2,90+Inputs!$B$26+Inputs!$B$29,IF(Skills!C6=3,120+Inputs!$B$27+Inputs!$B$29,MAX(0,(Inputs!$B$3-100)*3)+Inputs!$B$28+Inputs!$B$29)))</f>
        <v/>
      </c>
      <c r="E2226">
        <f>INDEX(FactorTable!$B$2:$Y$301, MATCH(ROUND(MIN(300,MAX(1,D2226)),0), FactorTable!$A$2:$A$301,0), Skills!M6+1)</f>
        <v/>
      </c>
      <c r="F2226">
        <f>IF(Skills!N6=TRUE,(Skills!L6/10)*(E2226/1000),Skills!L6/10)+Skills!O6</f>
        <v/>
      </c>
      <c r="G2226">
        <f>Skills!G6*IF(Skills!H6&gt;0,Skills!I6/Skills!H6,1)</f>
        <v/>
      </c>
      <c r="H2226">
        <f>1-(1-Skills!J6/100)^Skills!K6</f>
        <v/>
      </c>
      <c r="I2226" t="inlineStr">
        <is>
          <t>1</t>
        </is>
      </c>
      <c r="J2226">
        <f>((Inputs!$B$6*(1+Inputs!$B$7/100))+(((Inputs!$B$12*(1+Inputs!$B$13/100))-(Inputs!$B$12*(1+Inputs!$B$13/100)))+0.25*(Inputs!$B$14-Inputs!$B$14))*(1+Inputs!$B$7/100))*(F2226/100)</f>
        <v/>
      </c>
      <c r="K2226">
        <f>J2226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2238=TRUE,F2238,0)/100)*(1+(IF(Skills!A6="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2226)</f>
        <v/>
      </c>
      <c r="L2226">
        <f>K2226*(MIN(Inputs!$B$22+((C2244=TRUE)*(F2244-Calc!F24)),(Inputs!$B$23+((C2249=TRUE)*(F2249-Calc!F29))+IF(ArtifactsInput!$M$15,CHOOSE(ArtifactsInput!$N$15+1,25,30,35,40,45,50)/100*(Inputs!$B$11-Inputs!$B$11),0)))/100+(Inputs!$B$23+((C2249=TRUE)*(F2249-Calc!F29))+IF(ArtifactsInput!$M$15,CHOOSE(ArtifactsInput!$N$15+1,25,30,35,40,45,50)/100*(Inputs!$B$11-Inputs!$B$11),0))/100)/2</f>
        <v/>
      </c>
      <c r="M2226">
        <f>L2226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6">
        <f>L2226*(1-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2226*(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6">
        <f>(1-Summary!$B$11)*T2226+Summary!$B$11*V2226</f>
        <v/>
      </c>
      <c r="P2226">
        <f>IF(B2265=0,0,O2226/B2265)</f>
        <v/>
      </c>
      <c r="Q2226">
        <f>IFERROR(1/IF(Inputs!$B$39="pvp",15,MAX(0.1,Skills!D6-IF(Skills!E6=TRUE,Inputs!$B$32,0))),0)</f>
        <v/>
      </c>
      <c r="R2226">
        <f>IF(AND(Inputs!$B$39&lt;&gt;"pvp",Inputs!$B$44&gt;0),IF(MAX(0,Inputs!$B$44-B2264)&lt;=0,0,(INT(MAX(0,Inputs!$B$44-B2264)/IF(Inputs!$B$39="pvp",15,MAX(0.1,Skills!D6-IF(Skills!E6=TRUE,Inputs!$B$32,0))))+1)),0)</f>
        <v/>
      </c>
      <c r="S2226">
        <f>IFERROR(O2226/N2226,0)</f>
        <v/>
      </c>
      <c r="T2226">
        <f>IF(C2226,(H2226*N2226*IF(AND(Inputs!$B$39&lt;&gt;"pvp",Inputs!$B$44&gt;0),((Skills!G6*((R2226-1)*IF(Skills!H6&gt;0,Skills!I6/Skills!H6,1)+IF(Skills!H6&gt;0,MIN(Skills!I6,MAX(0,MAX(0,Inputs!$B$44-B2264)-((R2226-1)*IF(Inputs!$B$39="pvp",15,MAX(0.1,Skills!D6-IF(Skills!E6=TRUE,Inputs!$B$32,0))))))/Skills!H6,1)))/Inputs!$B$44),G2226*Q2226))*IF(Inputs!$B$39="pvp",1,1+(Inputs!$B$20+0+Skills!P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2226*(1-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2226*(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2226*(1-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2226*(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6">
        <f>IF(C2226,(H2226*N2226*IF(AND(Inputs!$B$39&lt;&gt;"pvp",Inputs!$B$44&gt;0),((Skills!G6*((R2226-1)*IF(Skills!H6&gt;0,Skills!I6/Skills!H6,1)+IF(Skills!H6&gt;0,MIN(Skills!I6,MAX(0,MAX(0,Inputs!$B$44-B2264)-((R2226-1)*IF(Inputs!$B$39="pvp",15,MAX(0.1,Skills!D6-IF(Skills!E6=TRUE,Inputs!$B$32,0))))))/Skills!H6,1)))/Inputs!$B$44),G2226*Q2226))*IF(Inputs!$B$39="pvp",1,(1+(Inputs!$B$21+Skills!Q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7">
      <c r="A2227">
        <f>Skills!A7</f>
        <v/>
      </c>
      <c r="B2227">
        <f>Skills!B7</f>
        <v/>
      </c>
      <c r="C2227">
        <f>Inputs!$B$3&gt;=60</f>
        <v/>
      </c>
      <c r="D2227">
        <f>IF(Skills!C7=1,60+Inputs!$B$25+Inputs!$B$29,IF(Skills!C7=2,90+Inputs!$B$26+Inputs!$B$29,IF(Skills!C7=3,120+Inputs!$B$27+Inputs!$B$29,MAX(0,(Inputs!$B$3-100)*3)+Inputs!$B$28+Inputs!$B$29)))</f>
        <v/>
      </c>
      <c r="E2227">
        <f>INDEX(FactorTable!$B$2:$Y$301, MATCH(ROUND(MIN(300,MAX(1,D2227)),0), FactorTable!$A$2:$A$301,0), Skills!M7+1)</f>
        <v/>
      </c>
      <c r="F2227">
        <f>IF(Skills!N7=TRUE,(Skills!L7/10)*(E2227/1000),Skills!L7/10)+Skills!O7</f>
        <v/>
      </c>
      <c r="G2227">
        <f>Skills!G7*IF(Skills!H7&gt;0,Skills!I7/Skills!H7,1)</f>
        <v/>
      </c>
      <c r="H2227">
        <f>1-(1-Skills!J7/100)^Skills!K7</f>
        <v/>
      </c>
      <c r="I2227" t="inlineStr">
        <is>
          <t>1</t>
        </is>
      </c>
      <c r="J2227" t="inlineStr"/>
      <c r="K2227" t="inlineStr"/>
      <c r="L2227" t="inlineStr"/>
      <c r="M2227" t="inlineStr"/>
      <c r="N2227" t="inlineStr"/>
      <c r="O2227">
        <f>(1-Summary!$B$11)*T2227+Summary!$B$11*V2227</f>
        <v/>
      </c>
      <c r="P2227">
        <f>IF(B2265=0,0,O2227/B2265)</f>
        <v/>
      </c>
      <c r="Q2227" t="n">
        <v>0</v>
      </c>
      <c r="R2227" t="n">
        <v>0</v>
      </c>
      <c r="S2227">
        <f>IFERROR(O2227/N2227,0)</f>
        <v/>
      </c>
      <c r="T2227" t="n">
        <v>0</v>
      </c>
      <c r="V2227" t="n">
        <v>0</v>
      </c>
    </row>
    <row r="2228">
      <c r="A2228">
        <f>Skills!A8</f>
        <v/>
      </c>
      <c r="B2228">
        <f>Skills!B8</f>
        <v/>
      </c>
      <c r="C2228">
        <f>Inputs!$B$3&gt;=72</f>
        <v/>
      </c>
      <c r="D2228">
        <f>IF(Skills!C8=1,60+Inputs!$B$25+Inputs!$B$29,IF(Skills!C8=2,90+Inputs!$B$26+Inputs!$B$29,IF(Skills!C8=3,120+Inputs!$B$27+Inputs!$B$29,MAX(0,(Inputs!$B$3-100)*3)+Inputs!$B$28+Inputs!$B$29)))</f>
        <v/>
      </c>
      <c r="E2228">
        <f>INDEX(FactorTable!$B$2:$Y$301, MATCH(ROUND(MIN(300,MAX(1,D2228)),0), FactorTable!$A$2:$A$301,0), Skills!M8+1)</f>
        <v/>
      </c>
      <c r="F2228">
        <f>IF(Skills!N8=TRUE,(Skills!L8/10)*(E2228/1000),Skills!L8/10)+Skills!O8</f>
        <v/>
      </c>
      <c r="G2228">
        <f>Skills!G8*IF(Skills!H8&gt;0,Skills!I8/Skills!H8,1)</f>
        <v/>
      </c>
      <c r="H2228">
        <f>1-(1-Skills!J8/100)^Skills!K8</f>
        <v/>
      </c>
      <c r="I2228" t="inlineStr">
        <is>
          <t>1</t>
        </is>
      </c>
      <c r="J2228">
        <f>((Inputs!$B$6*(1+Inputs!$B$7/100))+(((Inputs!$B$12*(1+Inputs!$B$13/100))-(Inputs!$B$12*(1+Inputs!$B$13/100)))+0.25*(Inputs!$B$14-Inputs!$B$14))*(1+Inputs!$B$7/100))*(F2228/100)</f>
        <v/>
      </c>
      <c r="K2228">
        <f>J2228*(1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2238=TRUE,F2238,0)/100)*(1+(IF(Skills!A8="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2228)</f>
        <v/>
      </c>
      <c r="L2228">
        <f>K2228*(MIN(Inputs!$B$22+((C2244=TRUE)*(F2244-Calc!F24)),(Inputs!$B$23+((C2249=TRUE)*(F2249-Calc!F29))+IF(ArtifactsInput!$M$15,CHOOSE(ArtifactsInput!$N$15+1,25,30,35,40,45,50)/100*(Inputs!$B$11-Inputs!$B$11),0)))/100+(Inputs!$B$23+((C2249=TRUE)*(F2249-Calc!F29))+IF(ArtifactsInput!$M$15,CHOOSE(ArtifactsInput!$N$15+1,25,30,35,40,45,50)/100*(Inputs!$B$11-Inputs!$B$11),0))/100)/2</f>
        <v/>
      </c>
      <c r="M2228">
        <f>L2228*(1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8">
        <f>L2228*(1-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2228*(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8">
        <f>(1-Summary!$B$11)*T2228+Summary!$B$11*V2228</f>
        <v/>
      </c>
      <c r="P2228">
        <f>IF(B2265=0,0,O2228/B2265)</f>
        <v/>
      </c>
      <c r="Q2228">
        <f>IFERROR(1/IF(Inputs!$B$39="pvp",15,MAX(0.1,Skills!D8-IF(Skills!E8=TRUE,Inputs!$B$32,0))),0)</f>
        <v/>
      </c>
      <c r="R2228">
        <f>IF(AND(Inputs!$B$39&lt;&gt;"pvp",Inputs!$B$44&gt;0),IF(MAX(0,Inputs!$B$44-B2264)&lt;=0,0,(INT(MAX(0,Inputs!$B$44-B2264)/IF(Inputs!$B$39="pvp",15,MAX(0.1,Skills!D8-IF(Skills!E8=TRUE,Inputs!$B$32,0))))+1)),0)</f>
        <v/>
      </c>
      <c r="S2228">
        <f>IFERROR(O2228/N2228,0)</f>
        <v/>
      </c>
      <c r="T2228">
        <f>IF(C2228,(H2228*N2228*IF(AND(Inputs!$B$39&lt;&gt;"pvp",Inputs!$B$44&gt;0),((Skills!G8*((R2228-1)*IF(Skills!H8&gt;0,Skills!I8/Skills!H8,1)+IF(Skills!H8&gt;0,MIN(Skills!I8,MAX(0,MAX(0,Inputs!$B$44-B2264)-((R2228-1)*IF(Inputs!$B$39="pvp",15,MAX(0.1,Skills!D8-IF(Skills!E8=TRUE,Inputs!$B$32,0))))))/Skills!H8,1)))/Inputs!$B$44),G2228*Q2228))*IF(Inputs!$B$39="pvp",1,1+(Inputs!$B$20+0+Skills!P8+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2228*(1-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2228*(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2228*(1-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2228*(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8">
        <f>IF(C2228,(H2228*N2228*IF(AND(Inputs!$B$39&lt;&gt;"pvp",Inputs!$B$44&gt;0),((Skills!G8*((R2228-1)*IF(Skills!H8&gt;0,Skills!I8/Skills!H8,1)+IF(Skills!H8&gt;0,MIN(Skills!I8,MAX(0,MAX(0,Inputs!$B$44-B2264)-((R2228-1)*IF(Inputs!$B$39="pvp",15,MAX(0.1,Skills!D8-IF(Skills!E8=TRUE,Inputs!$B$32,0))))))/Skills!H8,1)))/Inputs!$B$44),G2228*Q2228))*IF(Inputs!$B$39="pvp",1,(1+(Inputs!$B$21+Skills!Q8+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9">
      <c r="A2229">
        <f>Skills!A9</f>
        <v/>
      </c>
      <c r="B2229">
        <f>Skills!B9</f>
        <v/>
      </c>
      <c r="C2229">
        <f>Inputs!$B$3&gt;=117</f>
        <v/>
      </c>
      <c r="D2229">
        <f>IF(Skills!C9=1,60+Inputs!$B$25+Inputs!$B$29,IF(Skills!C9=2,90+Inputs!$B$26+Inputs!$B$29,IF(Skills!C9=3,120+Inputs!$B$27+Inputs!$B$29,MAX(0,(Inputs!$B$3-100)*3)+Inputs!$B$28+Inputs!$B$29)))</f>
        <v/>
      </c>
      <c r="E2229">
        <f>INDEX(FactorTable!$B$2:$Y$301, MATCH(ROUND(MIN(300,MAX(1,D2229)),0), FactorTable!$A$2:$A$301,0), Skills!M9+1)</f>
        <v/>
      </c>
      <c r="F2229">
        <f>IF(Skills!N9=TRUE,(Skills!L9/10)*(E2229/1000),Skills!L9/10)+Skills!O9</f>
        <v/>
      </c>
      <c r="G2229">
        <f>Skills!G9*IF(Skills!H9&gt;0,Skills!I9/Skills!H9,1)</f>
        <v/>
      </c>
      <c r="H2229">
        <f>1-(1-Skills!J9/100)^Skills!K9</f>
        <v/>
      </c>
      <c r="I2229" t="inlineStr">
        <is>
          <t>1</t>
        </is>
      </c>
      <c r="J2229">
        <f>((Inputs!$B$6*(1+Inputs!$B$7/100))+(((Inputs!$B$12*(1+Inputs!$B$13/100))-(Inputs!$B$12*(1+Inputs!$B$13/100)))+0.25*(Inputs!$B$14-Inputs!$B$14))*(1+Inputs!$B$7/100))*(F2229/100)</f>
        <v/>
      </c>
      <c r="K2229">
        <f>J2229*(1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2229)</f>
        <v/>
      </c>
      <c r="L2229">
        <f>K2229*(MIN(Inputs!$B$22+((C2244=TRUE)*(F2244-Calc!F24)),(Inputs!$B$23+((C2249=TRUE)*(F2249-Calc!F29))+IF(ArtifactsInput!$M$15,CHOOSE(ArtifactsInput!$N$15+1,25,30,35,40,45,50)/100*(Inputs!$B$11-Inputs!$B$11),0)))/100+(Inputs!$B$23+((C2249=TRUE)*(F2249-Calc!F29))+IF(ArtifactsInput!$M$15,CHOOSE(ArtifactsInput!$N$15+1,25,30,35,40,45,50)/100*(Inputs!$B$11-Inputs!$B$11),0))/100)/2</f>
        <v/>
      </c>
      <c r="M2229">
        <f>L2229*(1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9">
        <f>L2229*(1-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2229*(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9">
        <f>(1-Summary!$B$11)*T2229+Summary!$B$11*V2229</f>
        <v/>
      </c>
      <c r="P2229">
        <f>IF(B2265=0,0,O2229/B2265)</f>
        <v/>
      </c>
      <c r="Q2229" t="n">
        <v>0</v>
      </c>
      <c r="R2229" t="n">
        <v>0</v>
      </c>
      <c r="S2229" t="n">
        <v>0</v>
      </c>
      <c r="T2229">
        <f>IF(C2229,(0.2*SUMPRODUCT((Skills!Z2:Z30=TRUE)*(C2222:C2250=TRUE)*S2222:S2250)*N2229)*IF(Inputs!$B$39="pvp",1,1+(Inputs!$B$20+0+Skills!P9+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2229*(1-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2229*(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2229*(1-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2229*(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9">
        <f>IF(C2229,(0.2*SUMPRODUCT((Skills!Z2:Z30=TRUE)*(C2222:C2250=TRUE)*S2222:S2250)*N2229)*IF(Inputs!$B$39="pvp",1,(1+(Inputs!$B$21+Skills!Q9+B2254+(IF(ArtifactsInput!$M$33,CHOOSE(ArtifactsInput!$N$33+1,30,36,42,48,54,60),0))+(IF(AND(ArtifactsInput!$M$35,Inputs!$B$4&lt;&gt;"Chapter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0">
      <c r="A2230">
        <f>Skills!A10</f>
        <v/>
      </c>
      <c r="B2230">
        <f>Skills!B10</f>
        <v/>
      </c>
      <c r="C2230">
        <f>Inputs!$B$3&gt;=74</f>
        <v/>
      </c>
      <c r="D2230">
        <f>IF(Skills!C10=1,60+Inputs!$B$25+Inputs!$B$29,IF(Skills!C10=2,90+Inputs!$B$26+Inputs!$B$29,IF(Skills!C10=3,120+Inputs!$B$27+Inputs!$B$29,MAX(0,(Inputs!$B$3-100)*3)+Inputs!$B$28+Inputs!$B$29)))</f>
        <v/>
      </c>
      <c r="E2230">
        <f>INDEX(FactorTable!$B$2:$Y$301, MATCH(ROUND(MIN(300,MAX(1,D2230)),0), FactorTable!$A$2:$A$301,0), Skills!M10+1)</f>
        <v/>
      </c>
      <c r="F2230">
        <f>IF(Skills!N10=TRUE,(Skills!L10/10)*(E2230/1000),Skills!L10/10)+Skills!O10</f>
        <v/>
      </c>
      <c r="G2230">
        <f>Skills!G10*IF(Skills!H10&gt;0,Skills!I10/Skills!H10,1)</f>
        <v/>
      </c>
      <c r="H2230">
        <f>1-(1-Skills!J10/100)^Skills!K10</f>
        <v/>
      </c>
      <c r="I2230" t="inlineStr">
        <is>
          <t>1</t>
        </is>
      </c>
      <c r="J2230" t="inlineStr"/>
      <c r="K2230" t="inlineStr"/>
      <c r="L2230" t="inlineStr"/>
      <c r="M2230" t="inlineStr"/>
      <c r="N2230" t="inlineStr"/>
      <c r="O2230">
        <f>(1-Summary!$B$11)*T2230+Summary!$B$11*V2230</f>
        <v/>
      </c>
      <c r="P2230">
        <f>IF(B2265=0,0,O2230/B2265)</f>
        <v/>
      </c>
      <c r="Q2230">
        <f>IFERROR(1/IF(Inputs!$B$39="pvp",15,MAX(0.1,Skills!D10-IF(Skills!E10=TRUE,Inputs!$B$32,0))),0)</f>
        <v/>
      </c>
      <c r="R2230">
        <f>IF(AND(Inputs!$B$39&lt;&gt;"pvp",Inputs!$B$44&gt;0),IF(Inputs!$B$44&lt;=0,0,(INT(Inputs!$B$44/IF(Inputs!$B$39="pvp",15,MAX(0.1,Skills!D10-IF(Skills!E10=TRUE,Inputs!$B$32,0))))+1)),0)</f>
        <v/>
      </c>
      <c r="S2230">
        <f>IFERROR(O2230/N2230,0)</f>
        <v/>
      </c>
      <c r="T2230" t="n">
        <v>0</v>
      </c>
      <c r="V2230" t="n">
        <v>0</v>
      </c>
    </row>
    <row r="2231">
      <c r="A2231">
        <f>Skills!A11</f>
        <v/>
      </c>
      <c r="B2231">
        <f>Skills!B11</f>
        <v/>
      </c>
      <c r="C2231">
        <f>Inputs!$B$3&gt;=103</f>
        <v/>
      </c>
      <c r="D2231">
        <f>IF(Skills!C11=1,60+Inputs!$B$25+Inputs!$B$29,IF(Skills!C11=2,90+Inputs!$B$26+Inputs!$B$29,IF(Skills!C11=3,120+Inputs!$B$27+Inputs!$B$29,MAX(0,(Inputs!$B$3-100)*3)+Inputs!$B$28+Inputs!$B$29)))</f>
        <v/>
      </c>
      <c r="E2231">
        <f>INDEX(FactorTable!$B$2:$Y$301, MATCH(ROUND(MIN(300,MAX(1,D2231)),0), FactorTable!$A$2:$A$301,0), Skills!M11+1)</f>
        <v/>
      </c>
      <c r="F2231">
        <f>(Skills!L11/10)*(E2231/1000)+IF(Inputs!$B$3&gt;=134,50,0)+0.5*(30000/10)*(INDEX(FactorTable!$B$2:$Y$301, MATCH(ROUND(MIN(300,MAX(1,D2231)),0), FactorTable!$A$2:$A$301,0), 13)/1000)*B2263</f>
        <v/>
      </c>
      <c r="G2231">
        <f>Skills!G11*IF(Skills!H11&gt;0,Skills!I11/Skills!H11,1)</f>
        <v/>
      </c>
      <c r="H2231">
        <f>1-(1-Skills!J11/100)^Skills!K11</f>
        <v/>
      </c>
      <c r="I2231" t="inlineStr">
        <is>
          <t>1</t>
        </is>
      </c>
      <c r="J2231">
        <f>((Inputs!$B$6*(1+Inputs!$B$7/100))+(((Inputs!$B$12*(1+Inputs!$B$13/100))-(Inputs!$B$12*(1+Inputs!$B$13/100)))+0.25*(Inputs!$B$14-Inputs!$B$14))*(1+Inputs!$B$7/100))*(F2231/100)</f>
        <v/>
      </c>
      <c r="K2231">
        <f>J2231*(1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2231)</f>
        <v/>
      </c>
      <c r="L2231">
        <f>K2231*(MIN(Inputs!$B$22+((C2244=TRUE)*(F2244-Calc!F24)),(Inputs!$B$23+((C2249=TRUE)*(F2249-Calc!F29))+IF(ArtifactsInput!$M$15,CHOOSE(ArtifactsInput!$N$15+1,25,30,35,40,45,50)/100*(Inputs!$B$11-Inputs!$B$11),0)))/100+(Inputs!$B$23+((C2249=TRUE)*(F2249-Calc!F29))+IF(ArtifactsInput!$M$15,CHOOSE(ArtifactsInput!$N$15+1,25,30,35,40,45,50)/100*(Inputs!$B$11-Inputs!$B$11),0))/100)/2</f>
        <v/>
      </c>
      <c r="M2231">
        <f>L2231*(1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1">
        <f>L2231*(1-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IF(B2265=0,0,O2231/B2265)</f>
        <v/>
      </c>
      <c r="Q2231">
        <f>IFERROR(1/IF(Inputs!$B$39="pvp",15,MAX(0.1,Skills!D11-IF(Skills!E11=TRUE,Inputs!$B$32,0))),0)</f>
        <v/>
      </c>
      <c r="R2231">
        <f>IF(AND(Inputs!$B$39&lt;&gt;"pvp",Inputs!$B$44&gt;0),IF(MAX(0,Inputs!$B$44-B2264)&lt;=0,0,(INT(MAX(0,Inputs!$B$44-B2264)/IF(Inputs!$B$39="pvp",15,MAX(0.1,Skills!D11-IF(Skills!E11=TRUE,Inputs!$B$32,0))))+1)),0)</f>
        <v/>
      </c>
      <c r="S2231">
        <f>IFERROR(O2231/N2231,0)</f>
        <v/>
      </c>
      <c r="T2231">
        <f>IF(C2231,(H2231*N2231*IF(AND(Inputs!$B$39&lt;&gt;"pvp",Inputs!$B$44&gt;0),((Skills!G11*((R2231-1)*IF(Skills!H11&gt;0,Skills!I11/Skills!H11,1)+IF(Skills!H11&gt;0,MIN(Skills!I11,MAX(0,MAX(0,Inputs!$B$44-B2264)-((R2231-1)*IF(Inputs!$B$39="pvp",15,MAX(0.1,Skills!D11-IF(Skills!E11=TRUE,Inputs!$B$32,0))))))/Skills!H11,1)))/Inputs!$B$44),G2231*Q2231))*IF(Inputs!$B$39="pvp",1,1+(Inputs!$B$20+0+Skills!P11+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2231*(1-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1">
        <f>IF(C2231,(H2231*N2231*IF(AND(Inputs!$B$39&lt;&gt;"pvp",Inputs!$B$44&gt;0),((Skills!G11*((R2231-1)*IF(Skills!H11&gt;0,Skills!I11/Skills!H11,1)+IF(Skills!H11&gt;0,MIN(Skills!I11,MAX(0,MAX(0,Inputs!$B$44-B2264)-((R2231-1)*IF(Inputs!$B$39="pvp",15,MAX(0.1,Skills!D11-IF(Skills!E11=TRUE,Inputs!$B$32,0))))))/Skills!H11,1)))/Inputs!$B$44),G2231*Q2231))*IF(Inputs!$B$39="pvp",1,(1+(Inputs!$B$21+Skills!Q11+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Skills!A12</f>
        <v/>
      </c>
      <c r="B2232">
        <f>Skills!B12</f>
        <v/>
      </c>
      <c r="C2232">
        <f>Inputs!$B$3&gt;=105</f>
        <v/>
      </c>
      <c r="D2232">
        <f>IF(Skills!C12=1,60+Inputs!$B$25+Inputs!$B$29,IF(Skills!C12=2,90+Inputs!$B$26+Inputs!$B$29,IF(Skills!C12=3,120+Inputs!$B$27+Inputs!$B$29,MAX(0,(Inputs!$B$3-100)*3)+Inputs!$B$28+Inputs!$B$29)))</f>
        <v/>
      </c>
      <c r="E2232">
        <f>INDEX(FactorTable!$B$2:$Y$301, MATCH(ROUND(MIN(300,MAX(1,D2232)),0), FactorTable!$A$2:$A$301,0), Skills!M12+1)</f>
        <v/>
      </c>
      <c r="F2232">
        <f>IF(Skills!N12=TRUE,(Skills!L12/10)*(E2232/1000),Skills!L12/10)+Skills!O12</f>
        <v/>
      </c>
      <c r="G2232">
        <f>Skills!G12*IF(Skills!H12&gt;0,Skills!I12/Skills!H12,1)</f>
        <v/>
      </c>
      <c r="H2232">
        <f>1-(1-Skills!J12/100)^Skills!K12</f>
        <v/>
      </c>
      <c r="I2232" t="inlineStr">
        <is>
          <t>1</t>
        </is>
      </c>
      <c r="J2232">
        <f>((Inputs!$B$6*(1+Inputs!$B$7/100))+(((Inputs!$B$12*(1+Inputs!$B$13/100))-(Inputs!$B$12*(1+Inputs!$B$13/100)))+0.25*(Inputs!$B$14-Inputs!$B$14))*(1+Inputs!$B$7/100))*(F2232/100)</f>
        <v/>
      </c>
      <c r="K2232">
        <f>J2232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2232)</f>
        <v/>
      </c>
      <c r="L2232">
        <f>K2232*(MIN(Inputs!$B$22+((C2244=TRUE)*(F2244-Calc!F24)),(Inputs!$B$23+((C2249=TRUE)*(F2249-Calc!F29))+IF(ArtifactsInput!$M$15,CHOOSE(ArtifactsInput!$N$15+1,25,30,35,40,45,50)/100*(Inputs!$B$11-Inputs!$B$11),0)))/100+(Inputs!$B$23+((C2249=TRUE)*(F2249-Calc!F29))+IF(ArtifactsInput!$M$15,CHOOSE(ArtifactsInput!$N$15+1,25,30,35,40,45,50)/100*(Inputs!$B$11-Inputs!$B$11),0))/100)/2</f>
        <v/>
      </c>
      <c r="M2232">
        <f>L2232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2">
        <f>L2232*(1-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IF(B2265=0,0,O2232/B2265)</f>
        <v/>
      </c>
      <c r="Q2232">
        <f>IFERROR(1/IF(Inputs!$B$39="pvp",15,MAX(0.1,Skills!D12-IF(Skills!E12=TRUE,Inputs!$B$32,0))),0)</f>
        <v/>
      </c>
      <c r="R2232">
        <f>IF(AND(Inputs!$B$39&lt;&gt;"pvp",Inputs!$B$44&gt;0),IF(MAX(0,Inputs!$B$44-B2264)&lt;=0,0,(INT(MAX(0,Inputs!$B$44-B2264)/IF(Inputs!$B$39="pvp",15,MAX(0.1,Skills!D12-IF(Skills!E12=TRUE,Inputs!$B$32,0))))+1)),0)</f>
        <v/>
      </c>
      <c r="S2232">
        <f>IFERROR(O2232/N2232,0)</f>
        <v/>
      </c>
      <c r="T2232">
        <f>IF(C2232,(H2232*N2232*IF(AND(Inputs!$B$39&lt;&gt;"pvp",Inputs!$B$44&gt;0),((Skills!G12*((R2232-1)*IF(Skills!H12&gt;0,Skills!I12/Skills!H12,1)+IF(Skills!H12&gt;0,MIN(Skills!I12,MAX(0,MAX(0,Inputs!$B$44-B2264)-((R2232-1)*IF(Inputs!$B$39="pvp",15,MAX(0.1,Skills!D12-IF(Skills!E12=TRUE,Inputs!$B$32,0))))))/Skills!H12,1)))/Inputs!$B$44),G2232*Q2232))*IF(Inputs!$B$39="pvp",1,1+(Inputs!$B$20+0+Skills!P12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2232*(1-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2">
        <f>IF(C2232,(H2232*N2232*IF(AND(Inputs!$B$39&lt;&gt;"pvp",Inputs!$B$44&gt;0),((Skills!G12*((R2232-1)*IF(Skills!H12&gt;0,Skills!I12/Skills!H12,1)+IF(Skills!H12&gt;0,MIN(Skills!I12,MAX(0,MAX(0,Inputs!$B$44-B2264)-((R2232-1)*IF(Inputs!$B$39="pvp",15,MAX(0.1,Skills!D12-IF(Skills!E12=TRUE,Inputs!$B$32,0))))))/Skills!H12,1)))/Inputs!$B$44),G2232*Q2232))*IF(Inputs!$B$39="pvp",1,(1+(Inputs!$B$21+Skills!Q12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Skills!A13</f>
        <v/>
      </c>
      <c r="B2233">
        <f>Skills!B13</f>
        <v/>
      </c>
      <c r="C2233">
        <f>Inputs!$B$3&gt;=105</f>
        <v/>
      </c>
      <c r="D2233">
        <f>IF(Skills!C13=1,60+Inputs!$B$25+Inputs!$B$29,IF(Skills!C13=2,90+Inputs!$B$26+Inputs!$B$29,IF(Skills!C13=3,120+Inputs!$B$27+Inputs!$B$29,MAX(0,(Inputs!$B$3-100)*3)+Inputs!$B$28+Inputs!$B$29)))</f>
        <v/>
      </c>
      <c r="E2233">
        <f>INDEX(FactorTable!$B$2:$Y$301, MATCH(ROUND(MIN(300,MAX(1,D2233)),0), FactorTable!$A$2:$A$301,0), Skills!M13+1)</f>
        <v/>
      </c>
      <c r="F2233">
        <f>IF(Skills!N13=TRUE,(Skills!L13/10)*(E2233/1000),Skills!L13/10)+Skills!O13</f>
        <v/>
      </c>
      <c r="G2233">
        <f>Skills!G13*IF(Skills!H13&gt;0,Skills!I13/Skills!H13,1)</f>
        <v/>
      </c>
      <c r="H2233">
        <f>1-(1-Skills!J13/100)^Skills!K13</f>
        <v/>
      </c>
      <c r="I2233" t="inlineStr">
        <is>
          <t>1</t>
        </is>
      </c>
      <c r="J2233">
        <f>((Inputs!$B$6*(1+Inputs!$B$7/100))+(((Inputs!$B$12*(1+Inputs!$B$13/100))-(Inputs!$B$12*(1+Inputs!$B$13/100)))+0.25*(Inputs!$B$14-Inputs!$B$14))*(1+Inputs!$B$7/100))*(F2233/100)</f>
        <v/>
      </c>
      <c r="K2233">
        <f>J2233*(1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2233)</f>
        <v/>
      </c>
      <c r="L2233">
        <f>K2233*(MIN(Inputs!$B$22+((C2244=TRUE)*(F2244-Calc!F24)),(Inputs!$B$23+((C2249=TRUE)*(F2249-Calc!F29))+IF(ArtifactsInput!$M$15,CHOOSE(ArtifactsInput!$N$15+1,25,30,35,40,45,50)/100*(Inputs!$B$11-Inputs!$B$11),0)))/100+(Inputs!$B$23+((C2249=TRUE)*(F2249-Calc!F29))+IF(ArtifactsInput!$M$15,CHOOSE(ArtifactsInput!$N$15+1,25,30,35,40,45,50)/100*(Inputs!$B$11-Inputs!$B$11),0))/100)/2</f>
        <v/>
      </c>
      <c r="M2233">
        <f>L2233*(1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3">
        <f>L2233*(1-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IF(B2265=0,0,O2233/B2265)</f>
        <v/>
      </c>
      <c r="Q2233">
        <f>IFERROR(1/IF(Inputs!$B$39="pvp",15,MAX(0.1,Skills!D13-IF(Skills!E13=TRUE,Inputs!$B$32,0))),0)</f>
        <v/>
      </c>
      <c r="R2233">
        <f>IF(AND(Inputs!$B$39&lt;&gt;"pvp",Inputs!$B$44&gt;0),IF(MAX(0,Inputs!$B$44-B2264)&lt;=0,0,(INT(MAX(0,Inputs!$B$44-B2264)/IF(Inputs!$B$39="pvp",15,MAX(0.1,Skills!D13-IF(Skills!E13=TRUE,Inputs!$B$32,0))))+1)),0)</f>
        <v/>
      </c>
      <c r="S2233">
        <f>IFERROR(O2233/N2233,0)</f>
        <v/>
      </c>
      <c r="T2233">
        <f>IF(C2233,(H2233*N2233*IF(AND(Inputs!$B$39&lt;&gt;"pvp",Inputs!$B$44&gt;0),((Skills!G13*((R2233-1)*IF(Skills!H13&gt;0,Skills!I13/Skills!H13,1)+IF(Skills!H13&gt;0,MIN(Skills!I13,MAX(0,MAX(0,Inputs!$B$44-B2264)-((R2233-1)*IF(Inputs!$B$39="pvp",15,MAX(0.1,Skills!D13-IF(Skills!E13=TRUE,Inputs!$B$32,0))))))/Skills!H13,1)))/Inputs!$B$44),G2233*Q2233))*IF(Inputs!$B$39="pvp",1,1+(Inputs!$B$20+0+Skills!P13+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2233*(1-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3">
        <f>IF(C2233,(H2233*N2233*IF(AND(Inputs!$B$39&lt;&gt;"pvp",Inputs!$B$44&gt;0),((Skills!G13*((R2233-1)*IF(Skills!H13&gt;0,Skills!I13/Skills!H13,1)+IF(Skills!H13&gt;0,MIN(Skills!I13,MAX(0,MAX(0,Inputs!$B$44-B2264)-((R2233-1)*IF(Inputs!$B$39="pvp",15,MAX(0.1,Skills!D13-IF(Skills!E13=TRUE,Inputs!$B$32,0))))))/Skills!H13,1)))/Inputs!$B$44),G2233*Q2233))*IF(Inputs!$B$39="pvp",1,(1+(Inputs!$B$21+Skills!Q13+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Skills!A14</f>
        <v/>
      </c>
      <c r="B2234">
        <f>Skills!B14</f>
        <v/>
      </c>
      <c r="C2234">
        <f>Inputs!$B$3&gt;=107</f>
        <v/>
      </c>
      <c r="D2234">
        <f>IF(Skills!C14=1,60+Inputs!$B$25+Inputs!$B$29,IF(Skills!C14=2,90+Inputs!$B$26+Inputs!$B$29,IF(Skills!C14=3,120+Inputs!$B$27+Inputs!$B$29,MAX(0,(Inputs!$B$3-100)*3)+Inputs!$B$28+Inputs!$B$29)))</f>
        <v/>
      </c>
      <c r="E2234">
        <f>INDEX(FactorTable!$B$2:$Y$301, MATCH(ROUND(MIN(300,MAX(1,D2234)),0), FactorTable!$A$2:$A$301,0), Skills!M14+1)</f>
        <v/>
      </c>
      <c r="F2234">
        <f>IF(Skills!N14=TRUE,(Skills!L14/10)*(E2234/1000),Skills!L14/10)+Skills!O14</f>
        <v/>
      </c>
      <c r="G2234">
        <f>Skills!G14*IF(Skills!H14&gt;0,Skills!I14/Skills!H14,1)</f>
        <v/>
      </c>
      <c r="H2234">
        <f>1-(1-Skills!J14/100)^Skills!K14</f>
        <v/>
      </c>
      <c r="I2234" t="inlineStr">
        <is>
          <t>1</t>
        </is>
      </c>
      <c r="J2234">
        <f>((Inputs!$B$6*(1+Inputs!$B$7/100))+(((Inputs!$B$12*(1+Inputs!$B$13/100))-(Inputs!$B$12*(1+Inputs!$B$13/100)))+0.25*(Inputs!$B$14-Inputs!$B$14))*(1+Inputs!$B$7/100))*(F2234/100)</f>
        <v/>
      </c>
      <c r="K2234">
        <f>J2234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2234)</f>
        <v/>
      </c>
      <c r="L2234">
        <f>K2234*(MIN(Inputs!$B$22+((C2244=TRUE)*(F2244-Calc!F24)),(Inputs!$B$23+((C2249=TRUE)*(F2249-Calc!F29))+IF(ArtifactsInput!$M$15,CHOOSE(ArtifactsInput!$N$15+1,25,30,35,40,45,50)/100*(Inputs!$B$11-Inputs!$B$11),0)))/100+(Inputs!$B$23+((C2249=TRUE)*(F2249-Calc!F29))+IF(ArtifactsInput!$M$15,CHOOSE(ArtifactsInput!$N$15+1,25,30,35,40,45,50)/100*(Inputs!$B$11-Inputs!$B$11),0))/100)/2</f>
        <v/>
      </c>
      <c r="M2234">
        <f>L2234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4">
        <f>L2234*(1-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(1-Summary!$B$11)*T2234+Summary!$B$11*V2234</f>
        <v/>
      </c>
      <c r="P2234">
        <f>IF(B2265=0,0,O2234/B2265)</f>
        <v/>
      </c>
      <c r="Q2234">
        <f>IFERROR(1/IF(Inputs!$B$39="pvp",15,MAX(0.1,Skills!D14-IF(Skills!E14=TRUE,Inputs!$B$32,0))),0)</f>
        <v/>
      </c>
      <c r="R2234">
        <f>IF(AND(Inputs!$B$39&lt;&gt;"pvp",Inputs!$B$44&gt;0),IF(MAX(0,Inputs!$B$44-B2264)&lt;=0,0,(INT(MAX(0,Inputs!$B$44-B2264)/IF(Inputs!$B$39="pvp",15,MAX(0.1,Skills!D14-IF(Skills!E14=TRUE,Inputs!$B$32,0))))+1)),0)</f>
        <v/>
      </c>
      <c r="S2234">
        <f>IFERROR(O2234/N2234,0)</f>
        <v/>
      </c>
      <c r="T2234">
        <f>IF(C2234,(H2234*N2234*IF(AND(Inputs!$B$39&lt;&gt;"pvp",Inputs!$B$44&gt;0),((Skills!G14*((R2234-1)*IF(Skills!H14&gt;0,Skills!I14/Skills!H14,1)+IF(Skills!H14&gt;0,MIN(Skills!I14,MAX(0,MAX(0,Inputs!$B$44-B2264)-((R2234-1)*IF(Inputs!$B$39="pvp",15,MAX(0.1,Skills!D14-IF(Skills!E14=TRUE,Inputs!$B$32,0))))))/Skills!H14,1)))/Inputs!$B$44),G2234*Q2234))*IF(Inputs!$B$39="pvp",1,1+(Inputs!$B$20+0+Skills!P14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2234*(1-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4">
        <f>IF(C2234,(H2234*N2234*IF(AND(Inputs!$B$39&lt;&gt;"pvp",Inputs!$B$44&gt;0),((Skills!G14*((R2234-1)*IF(Skills!H14&gt;0,Skills!I14/Skills!H14,1)+IF(Skills!H14&gt;0,MIN(Skills!I14,MAX(0,MAX(0,Inputs!$B$44-B2264)-((R2234-1)*IF(Inputs!$B$39="pvp",15,MAX(0.1,Skills!D14-IF(Skills!E14=TRUE,Inputs!$B$32,0))))))/Skills!H14,1)))/Inputs!$B$44),G2234*Q2234))*IF(Inputs!$B$39="pvp",1,(1+(Inputs!$B$21+Skills!Q14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(5,0.25*B2257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Skills!A15</f>
        <v/>
      </c>
      <c r="B2235">
        <f>Skills!B15</f>
        <v/>
      </c>
      <c r="C2235">
        <f>Inputs!$B$3&gt;=110</f>
        <v/>
      </c>
      <c r="D2235">
        <f>IF(Skills!C15=1,60+Inputs!$B$25+Inputs!$B$29,IF(Skills!C15=2,90+Inputs!$B$26+Inputs!$B$29,IF(Skills!C15=3,120+Inputs!$B$27+Inputs!$B$29,MAX(0,(Inputs!$B$3-100)*3)+Inputs!$B$28+Inputs!$B$29)))</f>
        <v/>
      </c>
      <c r="E2235">
        <f>INDEX(FactorTable!$B$2:$Y$301, MATCH(ROUND(MIN(300,MAX(1,D2235)),0), FactorTable!$A$2:$A$301,0), Skills!M15+1)</f>
        <v/>
      </c>
      <c r="F2235">
        <f>IF(Skills!N15=TRUE,(Skills!L15/10)*(E2235/1000),Skills!L15/10)+Skills!O15</f>
        <v/>
      </c>
      <c r="G2235">
        <f>Skills!G15*IF(Skills!H15&gt;0,Skills!I15/Skills!H15,1)</f>
        <v/>
      </c>
      <c r="H2235">
        <f>1-(1-Skills!J15/100)^Skills!K15</f>
        <v/>
      </c>
      <c r="I2235" t="inlineStr">
        <is>
          <t>1</t>
        </is>
      </c>
      <c r="J2235" t="inlineStr"/>
      <c r="K2235" t="inlineStr"/>
      <c r="L2235" t="inlineStr"/>
      <c r="M2235" t="inlineStr"/>
      <c r="N2235" t="inlineStr"/>
      <c r="O2235">
        <f>(1-Summary!$B$11)*T2235+Summary!$B$11*V2235</f>
        <v/>
      </c>
      <c r="P2235">
        <f>IF(B2265=0,0,O2235/B2265)</f>
        <v/>
      </c>
      <c r="Q2235">
        <f>IFERROR(1/IF(Inputs!$B$39="pvp",15,MAX(0.1,Skills!D15-IF(Skills!E15=TRUE,Inputs!$B$32,0))),0)</f>
        <v/>
      </c>
      <c r="R2235">
        <f>IF(AND(Inputs!$B$39&lt;&gt;"pvp",Inputs!$B$44&gt;0),IF(Inputs!$B$44&lt;=0,0,(INT(Inputs!$B$44/IF(Inputs!$B$39="pvp",15,MAX(0.1,Skills!D15-IF(Skills!E15=TRUE,Inputs!$B$32,0))))+1)),0)</f>
        <v/>
      </c>
      <c r="S2235">
        <f>IFERROR(O2235/N2235,0)</f>
        <v/>
      </c>
      <c r="T2235" t="n">
        <v>0</v>
      </c>
      <c r="V2235" t="n">
        <v>0</v>
      </c>
    </row>
    <row r="2236">
      <c r="A2236">
        <f>Skills!A16</f>
        <v/>
      </c>
      <c r="B2236">
        <f>Skills!B16</f>
        <v/>
      </c>
      <c r="C2236">
        <f>Inputs!$B$3&gt;=115</f>
        <v/>
      </c>
      <c r="D2236">
        <f>IF(Skills!C16=1,60+Inputs!$B$25+Inputs!$B$29,IF(Skills!C16=2,90+Inputs!$B$26+Inputs!$B$29,IF(Skills!C16=3,120+Inputs!$B$27+Inputs!$B$29,MAX(0,(Inputs!$B$3-100)*3)+Inputs!$B$28+Inputs!$B$29)))</f>
        <v/>
      </c>
      <c r="E2236">
        <f>INDEX(FactorTable!$B$2:$Y$301, MATCH(ROUND(MIN(300,MAX(1,D2236)),0), FactorTable!$A$2:$A$301,0), Skills!M16+1)</f>
        <v/>
      </c>
      <c r="F2236">
        <f>IF(Skills!N16=TRUE,(Skills!L16/10)*(E2236/1000),Skills!L16/10)+Skills!O16</f>
        <v/>
      </c>
      <c r="G2236">
        <f>Skills!G16*IF(Skills!H16&gt;0,Skills!I16/Skills!H16,1)</f>
        <v/>
      </c>
      <c r="H2236">
        <f>1-(1-Skills!J16/100)^Skills!K16</f>
        <v/>
      </c>
      <c r="I2236" t="inlineStr">
        <is>
          <t>1</t>
        </is>
      </c>
      <c r="J2236">
        <f>((Inputs!$B$6*(1+Inputs!$B$7/100))+(((Inputs!$B$12*(1+Inputs!$B$13/100))-(Inputs!$B$12*(1+Inputs!$B$13/100)))+0.25*(Inputs!$B$14-Inputs!$B$14))*(1+Inputs!$B$7/100))*(F2236/100)</f>
        <v/>
      </c>
      <c r="K2236">
        <f>J2236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2247=TRUE)*(F2247-Calc!F27))+((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2236)</f>
        <v/>
      </c>
      <c r="L2236">
        <f>K2236*(MIN(Inputs!$B$22+((C2244=TRUE)*(F2244-Calc!F24)),(Inputs!$B$23+((C2249=TRUE)*(F2249-Calc!F29))+IF(ArtifactsInput!$M$15,CHOOSE(ArtifactsInput!$N$15+1,25,30,35,40,45,50)/100*(Inputs!$B$11-Inputs!$B$11),0)))/100+(Inputs!$B$23+((C2249=TRUE)*(F2249-Calc!F29))+IF(ArtifactsInput!$M$15,CHOOSE(ArtifactsInput!$N$15+1,25,30,35,40,45,50)/100*(Inputs!$B$11-Inputs!$B$11),0))/100)/2</f>
        <v/>
      </c>
      <c r="M2236">
        <f>L2236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6">
        <f>L2236*(1-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IF(B2265=0,0,O2236/B2265)</f>
        <v/>
      </c>
      <c r="Q2236" t="n">
        <v>0</v>
      </c>
      <c r="R2236" t="n">
        <v>0</v>
      </c>
      <c r="S2236">
        <f>IFERROR(O2236/N2236,0)</f>
        <v/>
      </c>
      <c r="T2236">
        <f>IF(C2236,(Inputs!$B$38*0.2*N2236)*IF(Inputs!$B$39="pvp",1,1+(Inputs!$B$20+0+Skills!P16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2236*(1-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2245=TRUE)*(F2245-Calc!F25))+B2253+(ArtifactsInput!$M$24-ArtifactsInput!$M$24)*CHOOSE(ArtifactsInput!$N$24+1,10,12,14,16,18,20)+(IF(AND(Inputs!$B$39&lt;&gt;"pvp",Inputs!$B$44=0),1,IF(IF(Inputs!$B$39="pvp",15,Inputs!$B$44)-(B2264)&lt;=0,1,MAX(0,IF(Inputs!$B$39="pvp",15,Inputs!$B$44)-MAX(5,B2264))/(IF(Inputs!$B$39="pvp",15,Inputs!$B$44)-(B2264))))*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IF(C2236,(Inputs!$B$38*0.2*N2236)*IF(Inputs!$B$39="pvp",1,(1+(Inputs!$B$21+Skills!Q16+B2254+(IF(ArtifactsInput!$M$33,CHOOSE(ArtifactsInput!$N$33+1,30,36,42,48,54,60),0))+(IF(AND(ArtifactsInput!$M$35,Inputs!$B$4&lt;&gt;"Chapter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Skills!A17</f>
        <v/>
      </c>
      <c r="B2237">
        <f>Skills!B17</f>
        <v/>
      </c>
      <c r="C2237">
        <f>Inputs!$B$3&gt;=115</f>
        <v/>
      </c>
      <c r="D2237">
        <f>IF(Skills!C17=1,60+Inputs!$B$25+Inputs!$B$29,IF(Skills!C17=2,90+Inputs!$B$26+Inputs!$B$29,IF(Skills!C17=3,120+Inputs!$B$27+Inputs!$B$29,MAX(0,(Inputs!$B$3-100)*3)+Inputs!$B$28+Inputs!$B$29)))</f>
        <v/>
      </c>
      <c r="E2237">
        <f>INDEX(FactorTable!$B$2:$Y$301, MATCH(ROUND(MIN(300,MAX(1,D2237)),0), FactorTable!$A$2:$A$301,0), Skills!M17+1)</f>
        <v/>
      </c>
      <c r="F2237">
        <f>IF(Skills!N17=TRUE,(Skills!L17/10)*(E2237/1000),Skills!L17/10)+Skills!O17</f>
        <v/>
      </c>
      <c r="G2237">
        <f>Skills!G17*IF(Skills!H17&gt;0,Skills!I17/Skills!H17,1)</f>
        <v/>
      </c>
      <c r="H2237">
        <f>1-(1-Skills!J17/100)^Skills!K17</f>
        <v/>
      </c>
      <c r="I2237" t="inlineStr">
        <is>
          <t>1</t>
        </is>
      </c>
      <c r="J2237" t="inlineStr"/>
      <c r="K2237" t="inlineStr"/>
      <c r="L2237" t="inlineStr"/>
      <c r="M2237" t="inlineStr"/>
      <c r="N2237" t="inlineStr"/>
      <c r="O2237">
        <f>(1-Summary!$B$11)*T2237+Summary!$B$11*V2237</f>
        <v/>
      </c>
      <c r="P2237">
        <f>IF(B2265=0,0,O2237/B2265)</f>
        <v/>
      </c>
      <c r="Q2237" t="n">
        <v>0</v>
      </c>
      <c r="R2237" t="n">
        <v>0</v>
      </c>
      <c r="S2237">
        <f>IFERROR(O2237/N2237,0)</f>
        <v/>
      </c>
      <c r="T2237" t="n">
        <v>0</v>
      </c>
      <c r="V2237" t="n">
        <v>0</v>
      </c>
    </row>
    <row r="2238">
      <c r="A2238">
        <f>Skills!A18</f>
        <v/>
      </c>
      <c r="B2238">
        <f>Skills!B18</f>
        <v/>
      </c>
      <c r="C2238">
        <f>Inputs!$B$3&gt;=100</f>
        <v/>
      </c>
      <c r="D2238">
        <f>IF(Skills!C18=1,60+Inputs!$B$25+Inputs!$B$29,IF(Skills!C18=2,90+Inputs!$B$26+Inputs!$B$29,IF(Skills!C18=3,120+Inputs!$B$27+Inputs!$B$29,MAX(0,(Inputs!$B$3-100)*3)+Inputs!$B$28+Inputs!$B$29)))</f>
        <v/>
      </c>
      <c r="E2238">
        <f>INDEX(FactorTable!$B$2:$Y$301, MATCH(ROUND(MIN(300,MAX(1,D2238)),0), FactorTable!$A$2:$A$301,0), Skills!M18+1)</f>
        <v/>
      </c>
      <c r="F2238">
        <f>IF(Skills!N18=TRUE,(Skills!L18/10)*(E2238/1000),Skills!L18/10)+Skills!O18</f>
        <v/>
      </c>
      <c r="G2238">
        <f>Skills!G18*IF(Skills!H18&gt;0,Skills!I18/Skills!H18,1)</f>
        <v/>
      </c>
      <c r="H2238">
        <f>1-(1-Skills!J18/100)^Skills!K18</f>
        <v/>
      </c>
      <c r="I2238" t="inlineStr">
        <is>
          <t>1</t>
        </is>
      </c>
      <c r="J2238" t="inlineStr"/>
      <c r="K2238" t="inlineStr"/>
      <c r="L2238" t="inlineStr"/>
      <c r="M2238" t="inlineStr"/>
      <c r="N2238" t="inlineStr"/>
      <c r="O2238">
        <f>(1-Summary!$B$11)*T2238+Summary!$B$11*V2238</f>
        <v/>
      </c>
      <c r="P2238">
        <f>IF(B2265=0,0,O2238/B2265)</f>
        <v/>
      </c>
      <c r="Q2238" t="n">
        <v>0</v>
      </c>
      <c r="R2238" t="n">
        <v>0</v>
      </c>
      <c r="S2238">
        <f>IFERROR(O2238/N2238,0)</f>
        <v/>
      </c>
      <c r="T2238" t="n">
        <v>0</v>
      </c>
      <c r="V2238" t="n">
        <v>0</v>
      </c>
    </row>
    <row r="2239">
      <c r="A2239">
        <f>Skills!A19</f>
        <v/>
      </c>
      <c r="B2239">
        <f>Skills!B19</f>
        <v/>
      </c>
      <c r="C2239">
        <f>TRUE</f>
        <v/>
      </c>
      <c r="D2239">
        <f>IF(Skills!C19=1,60+Inputs!$B$25+Inputs!$B$29,IF(Skills!C19=2,90+Inputs!$B$26+Inputs!$B$29,IF(Skills!C19=3,120+Inputs!$B$27+Inputs!$B$29,MAX(0,(Inputs!$B$3-100)*3)+Inputs!$B$28+Inputs!$B$29)))</f>
        <v/>
      </c>
      <c r="E2239">
        <f>INDEX(FactorTable!$B$2:$Y$301, MATCH(ROUND(MIN(300,MAX(1,D2239)),0), FactorTable!$A$2:$A$301,0), Skills!M19+1)</f>
        <v/>
      </c>
      <c r="F2239">
        <f>IF(Skills!N19=TRUE,(Skills!L19/10)*(E2239/1000),Skills!L19/10)+Skills!O19</f>
        <v/>
      </c>
      <c r="G2239">
        <f>Skills!G19*IF(Skills!H19&gt;0,Skills!I19/Skills!H19,1)</f>
        <v/>
      </c>
      <c r="H2239">
        <f>1-(1-Skills!J19/100)^Skills!K19</f>
        <v/>
      </c>
      <c r="I2239" t="inlineStr">
        <is>
          <t>1</t>
        </is>
      </c>
      <c r="J2239" t="inlineStr"/>
      <c r="K2239" t="inlineStr"/>
      <c r="L2239" t="inlineStr"/>
      <c r="M2239" t="inlineStr"/>
      <c r="N2239" t="inlineStr"/>
      <c r="O2239">
        <f>(1-Summary!$B$11)*T2239+Summary!$B$11*V2239</f>
        <v/>
      </c>
      <c r="P2239">
        <f>IF(B2265=0,0,O2239/B2265)</f>
        <v/>
      </c>
      <c r="Q2239">
        <f>IFERROR(1/IF(Inputs!$B$39="pvp",15,MAX(0.1,Skills!D19-IF(Skills!E19=TRUE,Inputs!$B$32,0))),0)</f>
        <v/>
      </c>
      <c r="R2239">
        <f>IF(AND(Inputs!$B$39&lt;&gt;"pvp",Inputs!$B$44&gt;0),IF(Inputs!$B$44&lt;=0,0,(INT(Inputs!$B$44/IF(Inputs!$B$39="pvp",15,MAX(0.1,Skills!D19-IF(Skills!E19=TRUE,Inputs!$B$32,0))))+1)),0)</f>
        <v/>
      </c>
      <c r="S2239">
        <f>IFERROR(O2239/N2239,0)</f>
        <v/>
      </c>
      <c r="T2239" t="n">
        <v>0</v>
      </c>
      <c r="V2239" t="n">
        <v>0</v>
      </c>
    </row>
    <row r="2240">
      <c r="A2240">
        <f>Skills!A20</f>
        <v/>
      </c>
      <c r="B2240">
        <f>Skills!B20</f>
        <v/>
      </c>
      <c r="C2240">
        <f>Inputs!$B$3&gt;=15</f>
        <v/>
      </c>
      <c r="D2240">
        <f>IF(Skills!C20=1,60+Inputs!$B$25+Inputs!$B$29,IF(Skills!C20=2,90+Inputs!$B$26+Inputs!$B$29,IF(Skills!C20=3,120+Inputs!$B$27+Inputs!$B$29,MAX(0,(Inputs!$B$3-100)*3)+Inputs!$B$28+Inputs!$B$29)))</f>
        <v/>
      </c>
      <c r="E2240">
        <f>INDEX(FactorTable!$B$2:$Y$301, MATCH(ROUND(MIN(300,MAX(1,D2240)),0), FactorTable!$A$2:$A$301,0), Skills!M20+1)</f>
        <v/>
      </c>
      <c r="F2240">
        <f>IF(Skills!N20=TRUE,(Skills!L20/10)*(E2240/1000),Skills!L20/10)+Skills!O20</f>
        <v/>
      </c>
      <c r="G2240">
        <f>Skills!G20*IF(Skills!H20&gt;0,Skills!I20/Skills!H20,1)</f>
        <v/>
      </c>
      <c r="H2240">
        <f>1-(1-Skills!J20/100)^Skills!K20</f>
        <v/>
      </c>
      <c r="I2240" t="inlineStr">
        <is>
          <t>1</t>
        </is>
      </c>
      <c r="J2240" t="inlineStr"/>
      <c r="K2240" t="inlineStr"/>
      <c r="L2240" t="inlineStr"/>
      <c r="M2240" t="inlineStr"/>
      <c r="N2240" t="inlineStr"/>
      <c r="O2240">
        <f>(1-Summary!$B$11)*T2240+Summary!$B$11*V2240</f>
        <v/>
      </c>
      <c r="P2240">
        <f>IF(B2265=0,0,O2240/B2265)</f>
        <v/>
      </c>
      <c r="Q2240">
        <f>IFERROR(1/IF(Inputs!$B$39="pvp",15,MAX(0.1,Skills!D20-IF(Skills!E20=TRUE,Inputs!$B$32,0))),0)</f>
        <v/>
      </c>
      <c r="R2240">
        <f>IF(AND(Inputs!$B$39&lt;&gt;"pvp",Inputs!$B$44&gt;0),IF(Inputs!$B$44&lt;=0,0,(INT(Inputs!$B$44/IF(Inputs!$B$39="pvp",15,MAX(0.1,Skills!D20-IF(Skills!E20=TRUE,Inputs!$B$32,0))))+1)),0)</f>
        <v/>
      </c>
      <c r="S2240">
        <f>IFERROR(O2240/N2240,0)</f>
        <v/>
      </c>
      <c r="T2240" t="n">
        <v>0</v>
      </c>
      <c r="V2240" t="n">
        <v>0</v>
      </c>
    </row>
    <row r="2241">
      <c r="A2241">
        <f>Skills!A21</f>
        <v/>
      </c>
      <c r="B2241">
        <f>Skills!B21</f>
        <v/>
      </c>
      <c r="C2241">
        <f>Inputs!$B$3&gt;=15</f>
        <v/>
      </c>
      <c r="D2241">
        <f>IF(Skills!C21=1,60+Inputs!$B$25+Inputs!$B$29,IF(Skills!C21=2,90+Inputs!$B$26+Inputs!$B$29,IF(Skills!C21=3,120+Inputs!$B$27+Inputs!$B$29,MAX(0,(Inputs!$B$3-100)*3)+Inputs!$B$28+Inputs!$B$29)))</f>
        <v/>
      </c>
      <c r="E2241">
        <f>INDEX(FactorTable!$B$2:$Y$301, MATCH(ROUND(MIN(300,MAX(1,D2241)),0), FactorTable!$A$2:$A$301,0), Skills!M21+1)</f>
        <v/>
      </c>
      <c r="F2241">
        <f>IF(Skills!N21=TRUE,(Skills!L21/10)*(E2241/1000),Skills!L21/10)+Skills!O21</f>
        <v/>
      </c>
      <c r="G2241">
        <f>Skills!G21*IF(Skills!H21&gt;0,Skills!I21/Skills!H21,1)</f>
        <v/>
      </c>
      <c r="H2241">
        <f>1-(1-Skills!J21/100)^Skills!K21</f>
        <v/>
      </c>
      <c r="I2241" t="inlineStr">
        <is>
          <t>1</t>
        </is>
      </c>
      <c r="J2241" t="inlineStr"/>
      <c r="K2241" t="inlineStr"/>
      <c r="L2241" t="inlineStr"/>
      <c r="M2241" t="inlineStr"/>
      <c r="N2241" t="inlineStr"/>
      <c r="O2241">
        <f>(1-Summary!$B$11)*T2241+Summary!$B$11*V2241</f>
        <v/>
      </c>
      <c r="P2241">
        <f>IF(B2265=0,0,O2241/B2265)</f>
        <v/>
      </c>
      <c r="Q2241">
        <f>IFERROR(1/IF(Inputs!$B$39="pvp",15,MAX(0.1,Skills!D21-IF(Skills!E21=TRUE,Inputs!$B$32,0))),0)</f>
        <v/>
      </c>
      <c r="R2241">
        <f>IF(AND(Inputs!$B$39&lt;&gt;"pvp",Inputs!$B$44&gt;0),IF(Inputs!$B$44&lt;=0,0,(INT(Inputs!$B$44/IF(Inputs!$B$39="pvp",15,MAX(0.1,Skills!D21-IF(Skills!E21=TRUE,Inputs!$B$32,0))))+1)),0)</f>
        <v/>
      </c>
      <c r="S2241">
        <f>IFERROR(O2241/N2241,0)</f>
        <v/>
      </c>
      <c r="T2241" t="n">
        <v>0</v>
      </c>
      <c r="V2241" t="n">
        <v>0</v>
      </c>
    </row>
    <row r="2242">
      <c r="A2242">
        <f>Skills!A22</f>
        <v/>
      </c>
      <c r="B2242">
        <f>Skills!B22</f>
        <v/>
      </c>
      <c r="C2242">
        <f>Inputs!$B$3&gt;=33</f>
        <v/>
      </c>
      <c r="D2242">
        <f>IF(Skills!C22=1,60+Inputs!$B$25+Inputs!$B$29,IF(Skills!C22=2,90+Inputs!$B$26+Inputs!$B$29,IF(Skills!C22=3,120+Inputs!$B$27+Inputs!$B$29,MAX(0,(Inputs!$B$3-100)*3)+Inputs!$B$28+Inputs!$B$29)))</f>
        <v/>
      </c>
      <c r="E2242">
        <f>INDEX(FactorTable!$B$2:$Y$301, MATCH(ROUND(MIN(300,MAX(1,D2242)),0), FactorTable!$A$2:$A$301,0), Skills!M22+1)</f>
        <v/>
      </c>
      <c r="F2242">
        <f>IF(Skills!N22=TRUE,(Skills!L22/10)*(E2242/1000),Skills!L22/10)+Skills!O22</f>
        <v/>
      </c>
      <c r="G2242">
        <f>Skills!G22*IF(Skills!H22&gt;0,Skills!I22/Skills!H22,1)</f>
        <v/>
      </c>
      <c r="H2242">
        <f>1-(1-Skills!J22/100)^Skills!K22</f>
        <v/>
      </c>
      <c r="I2242" t="inlineStr">
        <is>
          <t>1</t>
        </is>
      </c>
      <c r="J2242" t="inlineStr"/>
      <c r="K2242" t="inlineStr"/>
      <c r="L2242" t="inlineStr"/>
      <c r="M2242" t="inlineStr"/>
      <c r="N2242" t="inlineStr"/>
      <c r="O2242">
        <f>(1-Summary!$B$11)*T2242+Summary!$B$11*V2242</f>
        <v/>
      </c>
      <c r="P2242">
        <f>IF(B2265=0,0,O2242/B2265)</f>
        <v/>
      </c>
      <c r="Q2242" t="n">
        <v>0</v>
      </c>
      <c r="R2242" t="n">
        <v>0</v>
      </c>
      <c r="S2242">
        <f>IFERROR(O2242/N2242,0)</f>
        <v/>
      </c>
      <c r="T2242" t="n">
        <v>0</v>
      </c>
      <c r="V2242" t="n">
        <v>0</v>
      </c>
    </row>
    <row r="2243">
      <c r="A2243">
        <f>Skills!A23</f>
        <v/>
      </c>
      <c r="B2243">
        <f>Skills!B23</f>
        <v/>
      </c>
      <c r="C2243">
        <f>Inputs!$B$3&gt;=40</f>
        <v/>
      </c>
      <c r="D2243">
        <f>IF(Skills!C23=1,60+Inputs!$B$25+Inputs!$B$29,IF(Skills!C23=2,90+Inputs!$B$26+Inputs!$B$29,IF(Skills!C23=3,120+Inputs!$B$27+Inputs!$B$29,MAX(0,(Inputs!$B$3-100)*3)+Inputs!$B$28+Inputs!$B$29)))</f>
        <v/>
      </c>
      <c r="E2243">
        <f>INDEX(FactorTable!$B$2:$Y$301, MATCH(ROUND(MIN(300,MAX(1,D2243)),0), FactorTable!$A$2:$A$301,0), Skills!M23+1)</f>
        <v/>
      </c>
      <c r="F2243">
        <f>IF(Skills!N23=TRUE,(Skills!L23/10)*(E2243/1000),Skills!L23/10)+Skills!O23</f>
        <v/>
      </c>
      <c r="G2243">
        <f>Skills!G23*IF(Skills!H23&gt;0,Skills!I23/Skills!H23,1)</f>
        <v/>
      </c>
      <c r="H2243">
        <f>1-(1-Skills!J23/100)^Skills!K23</f>
        <v/>
      </c>
      <c r="I2243" t="inlineStr">
        <is>
          <t>1</t>
        </is>
      </c>
      <c r="J2243" t="inlineStr"/>
      <c r="K2243" t="inlineStr"/>
      <c r="L2243" t="inlineStr"/>
      <c r="M2243" t="inlineStr"/>
      <c r="N2243" t="inlineStr"/>
      <c r="O2243">
        <f>(1-Summary!$B$11)*T2243+Summary!$B$11*V2243</f>
        <v/>
      </c>
      <c r="P2243">
        <f>IF(B2265=0,0,O2243/B2265)</f>
        <v/>
      </c>
      <c r="Q2243" t="n">
        <v>0</v>
      </c>
      <c r="R2243" t="n">
        <v>0</v>
      </c>
      <c r="S2243">
        <f>IFERROR(O2243/N2243,0)</f>
        <v/>
      </c>
      <c r="T2243" t="n">
        <v>0</v>
      </c>
      <c r="V2243" t="n">
        <v>0</v>
      </c>
    </row>
    <row r="2244">
      <c r="A2244">
        <f>Skills!A24</f>
        <v/>
      </c>
      <c r="B2244">
        <f>Skills!B24</f>
        <v/>
      </c>
      <c r="C2244">
        <f>Inputs!$B$3&gt;=43</f>
        <v/>
      </c>
      <c r="D2244">
        <f>IF(Skills!C24=1,60+Inputs!$B$25+Inputs!$B$29,IF(Skills!C24=2,90+Inputs!$B$26+Inputs!$B$29,IF(Skills!C24=3,120+Inputs!$B$27+Inputs!$B$29,MAX(0,(Inputs!$B$3-100)*3)+Inputs!$B$28+Inputs!$B$29)))</f>
        <v/>
      </c>
      <c r="E2244">
        <f>INDEX(FactorTable!$B$2:$Y$301, MATCH(ROUND(MIN(300,MAX(1,D2244)),0), FactorTable!$A$2:$A$301,0), Skills!M24+1)</f>
        <v/>
      </c>
      <c r="F2244">
        <f>IF(Skills!N24=TRUE,(Skills!L24/10)*(E2244/1000),Skills!L24/10)+Skills!O24</f>
        <v/>
      </c>
      <c r="G2244">
        <f>Skills!G24*IF(Skills!H24&gt;0,Skills!I24/Skills!H24,1)</f>
        <v/>
      </c>
      <c r="H2244">
        <f>1-(1-Skills!J24/100)^Skills!K24</f>
        <v/>
      </c>
      <c r="I2244" t="inlineStr">
        <is>
          <t>1</t>
        </is>
      </c>
      <c r="J2244" t="inlineStr"/>
      <c r="K2244" t="inlineStr"/>
      <c r="L2244" t="inlineStr"/>
      <c r="M2244" t="inlineStr"/>
      <c r="N2244" t="inlineStr"/>
      <c r="O2244">
        <f>(1-Summary!$B$11)*T2244+Summary!$B$11*V2244</f>
        <v/>
      </c>
      <c r="P2244">
        <f>IF(B2265=0,0,O2244/B2265)</f>
        <v/>
      </c>
      <c r="Q2244" t="n">
        <v>0</v>
      </c>
      <c r="R2244" t="n">
        <v>0</v>
      </c>
      <c r="S2244">
        <f>IFERROR(O2244/N2244,0)</f>
        <v/>
      </c>
      <c r="T2244" t="n">
        <v>0</v>
      </c>
      <c r="V2244" t="n">
        <v>0</v>
      </c>
    </row>
    <row r="2245">
      <c r="A2245">
        <f>Skills!A25</f>
        <v/>
      </c>
      <c r="B2245">
        <f>Skills!B25</f>
        <v/>
      </c>
      <c r="C2245">
        <f>Inputs!$B$3&gt;=50</f>
        <v/>
      </c>
      <c r="D2245">
        <f>IF(Skills!C25=1,60+Inputs!$B$25+Inputs!$B$29,IF(Skills!C25=2,90+Inputs!$B$26+Inputs!$B$29,IF(Skills!C25=3,120+Inputs!$B$27+Inputs!$B$29,MAX(0,(Inputs!$B$3-100)*3)+Inputs!$B$28+Inputs!$B$29)))</f>
        <v/>
      </c>
      <c r="E2245">
        <f>INDEX(FactorTable!$B$2:$Y$301, MATCH(ROUND(MIN(300,MAX(1,D2245)),0), FactorTable!$A$2:$A$301,0), Skills!M25+1)</f>
        <v/>
      </c>
      <c r="F2245">
        <f>IF(Skills!N25=TRUE,(Skills!L25/10)*(E2245/1000),Skills!L25/10)+Skills!O25</f>
        <v/>
      </c>
      <c r="G2245">
        <f>Skills!G25*IF(Skills!H25&gt;0,Skills!I25/Skills!H25,1)</f>
        <v/>
      </c>
      <c r="H2245">
        <f>1-(1-Skills!J25/100)^Skills!K25</f>
        <v/>
      </c>
      <c r="I2245" t="inlineStr">
        <is>
          <t>1</t>
        </is>
      </c>
      <c r="J2245" t="inlineStr"/>
      <c r="K2245" t="inlineStr"/>
      <c r="L2245" t="inlineStr"/>
      <c r="M2245" t="inlineStr"/>
      <c r="N2245" t="inlineStr"/>
      <c r="O2245">
        <f>(1-Summary!$B$11)*T2245+Summary!$B$11*V2245</f>
        <v/>
      </c>
      <c r="P2245">
        <f>IF(B2265=0,0,O2245/B2265)</f>
        <v/>
      </c>
      <c r="Q2245" t="n">
        <v>0</v>
      </c>
      <c r="R2245" t="n">
        <v>0</v>
      </c>
      <c r="S2245">
        <f>IFERROR(O2245/N2245,0)</f>
        <v/>
      </c>
      <c r="T2245" t="n">
        <v>0</v>
      </c>
      <c r="V2245" t="n">
        <v>0</v>
      </c>
    </row>
    <row r="2246">
      <c r="A2246">
        <f>Skills!A26</f>
        <v/>
      </c>
      <c r="B2246">
        <f>Skills!B26</f>
        <v/>
      </c>
      <c r="C2246">
        <f>Inputs!$B$3&gt;=50</f>
        <v/>
      </c>
      <c r="D2246">
        <f>IF(Skills!C26=1,60+Inputs!$B$25+Inputs!$B$29,IF(Skills!C26=2,90+Inputs!$B$26+Inputs!$B$29,IF(Skills!C26=3,120+Inputs!$B$27+Inputs!$B$29,MAX(0,(Inputs!$B$3-100)*3)+Inputs!$B$28+Inputs!$B$29)))</f>
        <v/>
      </c>
      <c r="E2246">
        <f>INDEX(FactorTable!$B$2:$Y$301, MATCH(ROUND(MIN(300,MAX(1,D2246)),0), FactorTable!$A$2:$A$301,0), Skills!M26+1)</f>
        <v/>
      </c>
      <c r="F2246">
        <f>IF(Skills!N26=TRUE,(Skills!L26/10)*(E2246/1000),Skills!L26/10)+Skills!O26</f>
        <v/>
      </c>
      <c r="G2246">
        <f>Skills!G26*IF(Skills!H26&gt;0,Skills!I26/Skills!H26,1)</f>
        <v/>
      </c>
      <c r="H2246">
        <f>1-(1-Skills!J26/100)^Skills!K26</f>
        <v/>
      </c>
      <c r="I2246" t="inlineStr">
        <is>
          <t>1</t>
        </is>
      </c>
      <c r="J2246" t="inlineStr"/>
      <c r="K2246" t="inlineStr"/>
      <c r="L2246" t="inlineStr"/>
      <c r="M2246" t="inlineStr"/>
      <c r="N2246" t="inlineStr"/>
      <c r="O2246">
        <f>(1-Summary!$B$11)*T2246+Summary!$B$11*V2246</f>
        <v/>
      </c>
      <c r="P2246">
        <f>IF(B2265=0,0,O2246/B2265)</f>
        <v/>
      </c>
      <c r="Q2246" t="n">
        <v>0</v>
      </c>
      <c r="R2246" t="n">
        <v>0</v>
      </c>
      <c r="S2246">
        <f>IFERROR(O2246/N2246,0)</f>
        <v/>
      </c>
      <c r="T2246" t="n">
        <v>0</v>
      </c>
      <c r="V2246" t="n">
        <v>0</v>
      </c>
    </row>
    <row r="2247">
      <c r="A2247">
        <f>Skills!A27</f>
        <v/>
      </c>
      <c r="B2247">
        <f>Skills!B27</f>
        <v/>
      </c>
      <c r="C2247">
        <f>Inputs!$B$3&gt;=38</f>
        <v/>
      </c>
      <c r="D2247">
        <f>IF(Skills!C27=1,60+Inputs!$B$25+Inputs!$B$29,IF(Skills!C27=2,90+Inputs!$B$26+Inputs!$B$29,IF(Skills!C27=3,120+Inputs!$B$27+Inputs!$B$29,MAX(0,(Inputs!$B$3-100)*3)+Inputs!$B$28+Inputs!$B$29)))</f>
        <v/>
      </c>
      <c r="E2247">
        <f>INDEX(FactorTable!$B$2:$Y$301, MATCH(ROUND(MIN(300,MAX(1,D2247)),0), FactorTable!$A$2:$A$301,0), Skills!M27+1)</f>
        <v/>
      </c>
      <c r="F2247">
        <f>IF(Skills!N27=TRUE,(Skills!L27/10)*(E2247/1000),Skills!L27/10)+Skills!O27</f>
        <v/>
      </c>
      <c r="G2247">
        <f>Skills!G27*IF(Skills!H27&gt;0,Skills!I27/Skills!H27,1)</f>
        <v/>
      </c>
      <c r="H2247">
        <f>1-(1-Skills!J27/100)^Skills!K27</f>
        <v/>
      </c>
      <c r="I2247" t="inlineStr">
        <is>
          <t>1</t>
        </is>
      </c>
      <c r="J2247" t="inlineStr"/>
      <c r="K2247" t="inlineStr"/>
      <c r="L2247" t="inlineStr"/>
      <c r="M2247" t="inlineStr"/>
      <c r="N2247" t="inlineStr"/>
      <c r="O2247">
        <f>(1-Summary!$B$11)*T2247+Summary!$B$11*V2247</f>
        <v/>
      </c>
      <c r="P2247">
        <f>IF(B2265=0,0,O2247/B2265)</f>
        <v/>
      </c>
      <c r="Q2247" t="n">
        <v>0</v>
      </c>
      <c r="R2247" t="n">
        <v>0</v>
      </c>
      <c r="S2247">
        <f>IFERROR(O2247/N2247,0)</f>
        <v/>
      </c>
      <c r="T2247" t="n">
        <v>0</v>
      </c>
      <c r="V2247" t="n">
        <v>0</v>
      </c>
    </row>
    <row r="2248">
      <c r="A2248">
        <f>Skills!A28</f>
        <v/>
      </c>
      <c r="B2248">
        <f>Skills!B28</f>
        <v/>
      </c>
      <c r="C2248">
        <f>Inputs!$B$3&gt;=120</f>
        <v/>
      </c>
      <c r="D2248">
        <f>IF(Skills!C28=1,60+Inputs!$B$25+Inputs!$B$29,IF(Skills!C28=2,90+Inputs!$B$26+Inputs!$B$29,IF(Skills!C28=3,120+Inputs!$B$27+Inputs!$B$29,MAX(0,(Inputs!$B$3-100)*3)+Inputs!$B$28+Inputs!$B$29)))</f>
        <v/>
      </c>
      <c r="E2248">
        <f>INDEX(FactorTable!$B$2:$Y$301, MATCH(ROUND(MIN(300,MAX(1,D2248)),0), FactorTable!$A$2:$A$301,0), Skills!M28+1)</f>
        <v/>
      </c>
      <c r="F2248">
        <f>IF(Skills!N28=TRUE,(Skills!L28/10)*(E2248/1000),Skills!L28/10)+Skills!O28</f>
        <v/>
      </c>
      <c r="G2248">
        <f>Skills!G28*IF(Skills!H28&gt;0,Skills!I28/Skills!H28,1)</f>
        <v/>
      </c>
      <c r="H2248">
        <f>1-(1-Skills!J28/100)^Skills!K28</f>
        <v/>
      </c>
      <c r="I2248" t="inlineStr">
        <is>
          <t>1</t>
        </is>
      </c>
      <c r="J2248" t="inlineStr"/>
      <c r="K2248" t="inlineStr"/>
      <c r="L2248" t="inlineStr"/>
      <c r="M2248" t="inlineStr"/>
      <c r="N2248" t="inlineStr"/>
      <c r="O2248">
        <f>(1-Summary!$B$11)*T2248+Summary!$B$11*V2248</f>
        <v/>
      </c>
      <c r="P2248">
        <f>IF(B2265=0,0,O2248/B2265)</f>
        <v/>
      </c>
      <c r="Q2248" t="n">
        <v>0</v>
      </c>
      <c r="R2248" t="n">
        <v>0</v>
      </c>
      <c r="S2248">
        <f>IFERROR(O2248/N2248,0)</f>
        <v/>
      </c>
      <c r="T2248" t="n">
        <v>0</v>
      </c>
      <c r="V2248" t="n">
        <v>0</v>
      </c>
    </row>
    <row r="2249">
      <c r="A2249">
        <f>Skills!A29</f>
        <v/>
      </c>
      <c r="B2249">
        <f>Skills!B29</f>
        <v/>
      </c>
      <c r="C2249">
        <f>Inputs!$B$3&gt;=120</f>
        <v/>
      </c>
      <c r="D2249">
        <f>IF(Skills!C29=1,60+Inputs!$B$25+Inputs!$B$29,IF(Skills!C29=2,90+Inputs!$B$26+Inputs!$B$29,IF(Skills!C29=3,120+Inputs!$B$27+Inputs!$B$29,MAX(0,(Inputs!$B$3-100)*3)+Inputs!$B$28+Inputs!$B$29)))</f>
        <v/>
      </c>
      <c r="E2249">
        <f>INDEX(FactorTable!$B$2:$Y$301, MATCH(ROUND(MIN(300,MAX(1,D2249)),0), FactorTable!$A$2:$A$301,0), Skills!M29+1)</f>
        <v/>
      </c>
      <c r="F2249">
        <f>IF(Skills!N29=TRUE,(Skills!L29/10)*(E2249/1000),Skills!L29/10)+Skills!O29</f>
        <v/>
      </c>
      <c r="G2249">
        <f>Skills!G29*IF(Skills!H29&gt;0,Skills!I29/Skills!H29,1)</f>
        <v/>
      </c>
      <c r="H2249">
        <f>1-(1-Skills!J29/100)^Skills!K29</f>
        <v/>
      </c>
      <c r="I2249" t="inlineStr">
        <is>
          <t>1</t>
        </is>
      </c>
      <c r="J2249" t="inlineStr"/>
      <c r="K2249" t="inlineStr"/>
      <c r="L2249" t="inlineStr"/>
      <c r="M2249" t="inlineStr"/>
      <c r="N2249" t="inlineStr"/>
      <c r="O2249">
        <f>(1-Summary!$B$11)*T2249+Summary!$B$11*V2249</f>
        <v/>
      </c>
      <c r="P2249">
        <f>IF(B2265=0,0,O2249/B2265)</f>
        <v/>
      </c>
      <c r="Q2249" t="n">
        <v>0</v>
      </c>
      <c r="R2249" t="n">
        <v>0</v>
      </c>
      <c r="S2249">
        <f>IFERROR(O2249/N2249,0)</f>
        <v/>
      </c>
      <c r="T2249" t="n">
        <v>0</v>
      </c>
      <c r="V2249" t="n">
        <v>0</v>
      </c>
    </row>
    <row r="2250">
      <c r="A2250">
        <f>Skills!A30</f>
        <v/>
      </c>
      <c r="B2250">
        <f>Skills!B30</f>
        <v/>
      </c>
      <c r="C2250">
        <f>Inputs!$B$3&gt;=125</f>
        <v/>
      </c>
      <c r="D2250">
        <f>IF(Skills!C30=1,60+Inputs!$B$25+Inputs!$B$29,IF(Skills!C30=2,90+Inputs!$B$26+Inputs!$B$29,IF(Skills!C30=3,120+Inputs!$B$27+Inputs!$B$29,MAX(0,(Inputs!$B$3-100)*3)+Inputs!$B$28+Inputs!$B$29)))</f>
        <v/>
      </c>
      <c r="E2250">
        <f>INDEX(FactorTable!$B$2:$Y$301, MATCH(ROUND(MIN(300,MAX(1,D2250)),0), FactorTable!$A$2:$A$301,0), Skills!M30+1)</f>
        <v/>
      </c>
      <c r="F2250">
        <f>IF(Skills!N30=TRUE,(Skills!L30/10)*(E2250/1000),Skills!L30/10)+Skills!O30</f>
        <v/>
      </c>
      <c r="G2250">
        <f>Skills!G30*IF(Skills!H30&gt;0,Skills!I30/Skills!H30,1)</f>
        <v/>
      </c>
      <c r="H2250">
        <f>1-(1-Skills!J30/100)^Skills!K30</f>
        <v/>
      </c>
      <c r="I2250" t="inlineStr">
        <is>
          <t>1</t>
        </is>
      </c>
      <c r="J2250" t="inlineStr"/>
      <c r="K2250" t="inlineStr"/>
      <c r="L2250" t="inlineStr"/>
      <c r="M2250" t="inlineStr"/>
      <c r="N2250" t="inlineStr"/>
      <c r="O2250">
        <f>(1-Summary!$B$11)*T2250+Summary!$B$11*V2250</f>
        <v/>
      </c>
      <c r="P2250">
        <f>IF(B2265=0,0,O2250/B2265)</f>
        <v/>
      </c>
      <c r="Q2250" t="n">
        <v>0</v>
      </c>
      <c r="R2250" t="n">
        <v>0</v>
      </c>
      <c r="S2250">
        <f>IFERROR(O2250/N2250,0)</f>
        <v/>
      </c>
      <c r="T2250" t="n">
        <v>0</v>
      </c>
      <c r="V2250" t="n">
        <v>0</v>
      </c>
    </row>
    <row r="2252">
      <c r="A2252" t="inlineStr">
        <is>
          <t>Average Buff Multiplier</t>
        </is>
      </c>
      <c r="B2252">
        <f>(1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f>
        <v/>
      </c>
    </row>
    <row r="2253">
      <c r="A2253" t="inlineStr">
        <is>
          <t>Global Crit Rate Bonus %</t>
        </is>
      </c>
      <c r="B2253">
        <f>((C2240=TRUE)*F2240*IF(AND(Inputs!$B$39&lt;&gt;"pvp",Inputs!$B$44&gt;0),(((R2240-1)*(Skills!Y20*(1+Inputs!$B$34/100))+MIN((Skills!Y20*(1+Inputs!$B$34/100)),MAX(0,Inputs!$B$44-((R2240-1)*Skills!D20))))/Inputs!$B$44),IF(Inputs!$B$39="pvp",MIN((Skills!Y20*(1+Inputs!$B$34/100)),15)/15,(Skills!Y20*(1+Inputs!$B$34/100))/Skills!D20)))</f>
        <v/>
      </c>
    </row>
    <row r="2254">
      <c r="A2254" t="inlineStr">
        <is>
          <t>Global Monster Damage-Taken Bonus %</t>
        </is>
      </c>
      <c r="B2254">
        <f>IF(Inputs!$B$3&gt;=82,15,0)</f>
        <v/>
      </c>
    </row>
    <row r="2255">
      <c r="A2255" t="inlineStr">
        <is>
          <t>Shadow Partner Average Multiplier</t>
        </is>
      </c>
      <c r="B2255">
        <f>1+((C2227=TRUE)*F2227*(1+3.3333333333333335*IF(C2238=TRUE,F2238,0)/100)*I2227*Skills!J7/100)/100</f>
        <v/>
      </c>
    </row>
    <row r="2256">
      <c r="A2256" t="inlineStr">
        <is>
          <t>Attack Speed Buff Bonus %</t>
        </is>
      </c>
      <c r="B2256">
        <f>((C2239=TRUE)*F2239*IF(AND(Inputs!$B$39&lt;&gt;"pvp",Inputs!$B$44&gt;0),(((R2239-1)*(Skills!Y19*(1+Inputs!$B$34/100))+MIN((Skills!Y19*(1+Inputs!$B$34/100)),MAX(0,Inputs!$B$44-((R2239-1)*Skills!D19))))/Inputs!$B$44),IF(Inputs!$B$39="pvp",MIN((Skills!Y19*(1+Inputs!$B$34/100)),15)/15,(Skills!Y19*(1+Inputs!$B$34/100))/Skills!D19)))+((C2223=TRUE)*F2223*3)</f>
        <v/>
      </c>
    </row>
    <row r="2257">
      <c r="A2257" t="inlineStr">
        <is>
          <t>Actions Per Second</t>
        </is>
      </c>
      <c r="B2257">
        <f>1+MIN(150,150*(1-(1-(Inputs!$B$11+((C2242=TRUE)*(F2242-Calc!F22)))/150)*(1-B2256/150)))/100</f>
        <v/>
      </c>
    </row>
    <row r="2258">
      <c r="A2258" t="inlineStr">
        <is>
          <t>Skill + Buff Cast Rate</t>
        </is>
      </c>
      <c r="B2258">
        <f>IF(AND(Inputs!$B$39&lt;&gt;"pvp",Inputs!$B$44&gt;0),SUMPRODUCT((Skills!E2:E30=TRUE)*(C2222:C2250=TRUE)*R2222:R2250*Skills!F2:F30)/Inputs!$B$44,SUMPRODUCT((Skills!E2:E30=TRUE)*(C2222:C2250=TRUE)*Q2222:Q2250*Skills!F2:F30))</f>
        <v/>
      </c>
    </row>
    <row r="2259">
      <c r="A2259" t="inlineStr">
        <is>
          <t>Cruel Stab Casts Per Second</t>
        </is>
      </c>
      <c r="B2259">
        <f>MAX(0,B2257-B2258)</f>
        <v/>
      </c>
    </row>
    <row r="2260">
      <c r="A2260" t="inlineStr">
        <is>
          <t>Global Critical Damage Bonus % (Smokescreen Mastery Lv.113)</t>
        </is>
      </c>
      <c r="B2260">
        <f>IF(Inputs!$B$3&gt;=113,30,0)*IF(AND(Inputs!$B$39&lt;&gt;"pvp",Inputs!$B$44&gt;0),(((R2235-1)*(Skills!Y15*(1+Inputs!$B$34/100))+MIN((Skills!Y15*(1+Inputs!$B$34/100)),MAX(0,Inputs!$B$44-((R2235-1)*Skills!D15))))/Inputs!$B$44),IF(Inputs!$B$39="pvp",MIN((Skills!Y15*(1+Inputs!$B$34/100)),15)/15,(Skills!Y15*(1+Inputs!$B$34/100))/Skills!D15))</f>
        <v/>
      </c>
    </row>
    <row r="2261">
      <c r="A2261" t="inlineStr">
        <is>
          <t>Meso Explosion average stack count</t>
        </is>
      </c>
      <c r="B2261">
        <f>MIN(10,0.5*B2257*Skills!D4)</f>
        <v/>
      </c>
    </row>
    <row r="2262">
      <c r="A2262" t="inlineStr">
        <is>
          <t>Blood Money average stack count</t>
        </is>
      </c>
      <c r="B2262">
        <f>MIN(5,0.25*B2257*Skills!D4)</f>
        <v/>
      </c>
    </row>
    <row r="2263">
      <c r="A2263" t="inlineStr">
        <is>
          <t>Assassinate Murderous Intent Multiplier</t>
        </is>
      </c>
      <c r="B2263">
        <f>1+IFERROR(MIN(1,Q2234*2/Q2231),0)</f>
        <v/>
      </c>
    </row>
    <row r="2264">
      <c r="A2264" t="inlineStr">
        <is>
          <t>Buff-Casting Startup Delay (s, fixed-duration only)</t>
        </is>
      </c>
      <c r="B2264">
        <f>IF(AND(Inputs!$B$39&lt;&gt;"pvp",Inputs!$B$44&gt;0),SUMPRODUCT((Skills!Y2:Y30&gt;0)*(Skills!E2:E30=TRUE)*(C2222:C2250=TRUE))/B2257,0)</f>
        <v/>
      </c>
    </row>
    <row r="2265">
      <c r="A2265" s="6" t="inlineStr">
        <is>
          <t>TOTAL DPS</t>
        </is>
      </c>
      <c r="B2265" s="6">
        <f>SUM(O2222:O2250)</f>
        <v/>
      </c>
    </row>
    <row r="2266">
      <c r="A2266" t="inlineStr">
        <is>
          <t>Boss-Only Total DPS (this block's swept value)</t>
        </is>
      </c>
      <c r="B2266">
        <f>SUM(T2222:T2250)</f>
        <v/>
      </c>
    </row>
    <row r="2267">
      <c r="A2267" t="inlineStr">
        <is>
          <t>Normal-Only Total DPS (this block's swept value)</t>
        </is>
      </c>
      <c r="B2267">
        <f>SUM(V2222:V2250)</f>
        <v/>
      </c>
    </row>
    <row r="2270">
      <c r="A2270" s="6" t="inlineStr">
        <is>
          <t>Stat: Book of Ancient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Q2271" s="5" t="inlineStr">
        <is>
          <t>InvCooldown</t>
        </is>
      </c>
      <c r="R2271" s="5" t="inlineStr">
        <is>
          <t>CastsInFight</t>
        </is>
      </c>
      <c r="S2271" s="5" t="inlineStr">
        <is>
          <t>HitRate(perSec)</t>
        </is>
      </c>
      <c r="U2271" t="inlineStr">
        <is>
          <t>helpers</t>
        </is>
      </c>
    </row>
    <row r="2272">
      <c r="A2272">
        <f>Skills!A2</f>
        <v/>
      </c>
      <c r="B2272">
        <f>Skills!B2</f>
        <v/>
      </c>
      <c r="C2272">
        <f>Inputs!$B$3&gt;=100</f>
        <v/>
      </c>
      <c r="D2272" t="inlineStr"/>
      <c r="E2272" t="inlineStr"/>
      <c r="F2272">
        <f>U2274+Skills!O2</f>
        <v/>
      </c>
      <c r="G2272">
        <f>Skills!G2*IF(Skills!H2&gt;0,Skills!I2/Skills!H2,1)</f>
        <v/>
      </c>
      <c r="H2272">
        <f>1-(1-Skills!J2/100)^Skills!K2</f>
        <v/>
      </c>
      <c r="I2272" t="inlineStr">
        <is>
          <t>1</t>
        </is>
      </c>
      <c r="J2272">
        <f>((Inputs!$B$6*(1+Inputs!$B$7/100))+(((Inputs!$B$12*(1+Inputs!$B$13/100))-(Inputs!$B$12*(1+Inputs!$B$13/100)))+0.25*(Inputs!$B$14-Inputs!$B$14))*(1+Inputs!$B$7/100))*(F2272/100)</f>
        <v/>
      </c>
      <c r="K2272">
        <f>J2272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2272)</f>
        <v/>
      </c>
      <c r="L2272">
        <f>K2272*(MIN(Inputs!$B$22+((C2294=TRUE)*(F2294-Calc!F24)),(Inputs!$B$23+((C2299=TRUE)*(F2299-Calc!F29))+IF(ArtifactsInput!$M$15,CHOOSE(ArtifactsInput!$N$15+1,25,30,35,40,45,50)/100*(Inputs!$B$11-Inputs!$B$11),0)))/100+(Inputs!$B$23+((C2299=TRUE)*(F2299-Calc!F29))+IF(ArtifactsInput!$M$15,CHOOSE(ArtifactsInput!$N$15+1,25,30,35,40,45,50)/100*(Inputs!$B$11-Inputs!$B$11),0))/100)/2</f>
        <v/>
      </c>
      <c r="M2272">
        <f>L2272*(1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2">
        <f>L2272*(1-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2272*(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2">
        <f>(1-Summary!$B$11)*T2272+Summary!$B$11*V2272</f>
        <v/>
      </c>
      <c r="P2272">
        <f>IF(B2315=0,0,O2272/B2315)</f>
        <v/>
      </c>
      <c r="Q2272" t="n">
        <v>0</v>
      </c>
      <c r="R2272" t="n">
        <v>0</v>
      </c>
      <c r="S2272">
        <f>IFERROR(O2272/N2272,0)</f>
        <v/>
      </c>
      <c r="T2272">
        <f>IF(C2272,(Skills!G2*N2272*B2309)*IF(Inputs!$B$39="pvp",1,1+(Inputs!$B$20+0+Skills!P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2272*(1-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2272*(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2272*(1-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2272*(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2">
        <f>MAX(0,(Inputs!$B$3-100)*3)+Inputs!$B$28+Inputs!$B$29</f>
        <v/>
      </c>
      <c r="V2272">
        <f>IF(C2272,(Skills!G2*N2272*B2309)*IF(Inputs!$B$39="pvp",1,(1+(Inputs!$B$21+Skills!Q2+B2304+(IF(ArtifactsInput!$M$33,CHOOSE(ArtifactsInput!$N$33+1,30,36,42,48,54,60),0))+(IF(AND(ArtifactsInput!$M$35,Inputs!$B$4&lt;&gt;"Chapter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3">
      <c r="A2273">
        <f>Skills!A3</f>
        <v/>
      </c>
      <c r="B2273">
        <f>Skills!B3</f>
        <v/>
      </c>
      <c r="C2273">
        <f>Inputs!$B$3&gt;=35</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Skills!G3*IF(Skills!H3&gt;0,Skills!I3/Skills!H3,1)</f>
        <v/>
      </c>
      <c r="H2273">
        <f>1-(1-Skills!J3/100)^Skills!K3</f>
        <v/>
      </c>
      <c r="I2273" t="inlineStr">
        <is>
          <t>1</t>
        </is>
      </c>
      <c r="J2273" t="inlineStr"/>
      <c r="K2273" t="inlineStr"/>
      <c r="L2273" t="inlineStr"/>
      <c r="M2273" t="inlineStr"/>
      <c r="N2273" t="inlineStr"/>
      <c r="O2273">
        <f>(1-Summary!$B$11)*T2273+Summary!$B$11*V2273</f>
        <v/>
      </c>
      <c r="P2273">
        <f>IF(B2315=0,0,O2273/B2315)</f>
        <v/>
      </c>
      <c r="Q2273" t="n">
        <v>0</v>
      </c>
      <c r="R2273" t="n">
        <v>0</v>
      </c>
      <c r="S2273">
        <f>IFERROR(O2273/N2273,0)</f>
        <v/>
      </c>
      <c r="T2273" t="n">
        <v>0</v>
      </c>
      <c r="U2273">
        <f>INDEX(FactorTable!$B$2:$Y$301, MATCH(ROUND(MIN(300,MAX(1,U2272)),0), FactorTable!$A$2:$A$301,0), 22)</f>
        <v/>
      </c>
      <c r="V2273" t="n">
        <v>0</v>
      </c>
    </row>
    <row r="2274">
      <c r="A2274">
        <f>Skills!A4</f>
        <v/>
      </c>
      <c r="B2274">
        <f>Skills!B4</f>
        <v/>
      </c>
      <c r="C2274">
        <f>Inputs!$B$3&gt;=66</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Skills!G4*IF(Skills!H4&gt;0,Skills!I4/Skills!H4,1)</f>
        <v/>
      </c>
      <c r="H2274">
        <f>1-(1-Skills!J4/100)^Skills!K4</f>
        <v/>
      </c>
      <c r="I2274" t="inlineStr">
        <is>
          <t>1</t>
        </is>
      </c>
      <c r="J2274">
        <f>((Inputs!$B$6*(1+Inputs!$B$7/100))+(((Inputs!$B$12*(1+Inputs!$B$13/100))-(Inputs!$B$12*(1+Inputs!$B$13/100)))+0.25*(Inputs!$B$14-Inputs!$B$14))*(1+Inputs!$B$7/100))*(F2274/100)</f>
        <v/>
      </c>
      <c r="K2274">
        <f>J2274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2274)</f>
        <v/>
      </c>
      <c r="L2274">
        <f>K2274*(MIN(Inputs!$B$22+((C2294=TRUE)*(F2294-Calc!F24)),(Inputs!$B$23+((C2299=TRUE)*(F2299-Calc!F29))+IF(ArtifactsInput!$M$15,CHOOSE(ArtifactsInput!$N$15+1,25,30,35,40,45,50)/100*(Inputs!$B$11-Inputs!$B$11),0)))/100+(Inputs!$B$23+((C2299=TRUE)*(F2299-Calc!F29))+IF(ArtifactsInput!$M$15,CHOOSE(ArtifactsInput!$N$15+1,25,30,35,40,45,50)/100*(Inputs!$B$11-Inputs!$B$11),0))/100)/2</f>
        <v/>
      </c>
      <c r="M2274">
        <f>L2274*(1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4">
        <f>L2274*(1-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2274*(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4">
        <f>(1-Summary!$B$11)*T2274+Summary!$B$11*V2274</f>
        <v/>
      </c>
      <c r="P2274">
        <f>IF(B2315=0,0,O2274/B2315)</f>
        <v/>
      </c>
      <c r="Q2274">
        <f>IFERROR(1/IF(Inputs!$B$39="pvp",15,MAX(0.1,Skills!D4-IF(Skills!E4=TRUE,Inputs!$B$32,0))),0)</f>
        <v/>
      </c>
      <c r="R2274">
        <f>IF(AND(Inputs!$B$39&lt;&gt;"pvp",Inputs!$B$44&gt;0),IF(MAX(0,Inputs!$B$44-B2314)&lt;=0,0,(INT(MAX(0,Inputs!$B$44-B2314)/IF(Inputs!$B$39="pvp",15,MAX(0.1,Skills!D4-IF(Skills!E4=TRUE,Inputs!$B$32,0))))+1)),0)</f>
        <v/>
      </c>
      <c r="S2274">
        <f>IFERROR(O2274/N2274,0)</f>
        <v/>
      </c>
      <c r="T2274">
        <f>IF(C2274,(H2274*N2274*IF(AND(Inputs!$B$39&lt;&gt;"pvp",Inputs!$B$44&gt;0),((Skills!G4*((R2274-1)*IF(Skills!H4&gt;0,Skills!I4/Skills!H4,1)+IF(Skills!H4&gt;0,MIN(Skills!I4,MAX(0,MAX(0,Inputs!$B$44-B2314)-((R2274-1)*IF(Inputs!$B$39="pvp",15,MAX(0.1,Skills!D4-IF(Skills!E4=TRUE,Inputs!$B$32,0))))))/Skills!H4,1)))/Inputs!$B$44),G2274*Q2274))*IF(Inputs!$B$39="pvp",1,1+(Inputs!$B$20+0+Skills!P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2274*(1-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2274*(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2274*(1-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2274*(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4">
        <f>290*U2273/1000</f>
        <v/>
      </c>
      <c r="V2274">
        <f>IF(C2274,(H2274*N2274*IF(AND(Inputs!$B$39&lt;&gt;"pvp",Inputs!$B$44&gt;0),((Skills!G4*((R2274-1)*IF(Skills!H4&gt;0,Skills!I4/Skills!H4,1)+IF(Skills!H4&gt;0,MIN(Skills!I4,MAX(0,MAX(0,Inputs!$B$44-B2314)-((R2274-1)*IF(Inputs!$B$39="pvp",15,MAX(0.1,Skills!D4-IF(Skills!E4=TRUE,Inputs!$B$32,0))))))/Skills!H4,1)))/Inputs!$B$44),G2274*Q2274))*IF(Inputs!$B$39="pvp",1,(1+(Inputs!$B$21+Skills!Q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(10,0.5*B2307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5">
      <c r="A2275">
        <f>Skills!A5</f>
        <v/>
      </c>
      <c r="B2275">
        <f>Skills!B5</f>
        <v/>
      </c>
      <c r="C2275">
        <f>Inputs!$B$3&gt;=63</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Skills!G5*IF(Skills!H5&gt;0,Skills!I5/Skills!H5,1)</f>
        <v/>
      </c>
      <c r="H2275">
        <f>1-(1-Skills!J5/100)^Skills!K5</f>
        <v/>
      </c>
      <c r="I2275" t="inlineStr">
        <is>
          <t>1</t>
        </is>
      </c>
      <c r="J2275">
        <f>((Inputs!$B$6*(1+Inputs!$B$7/100))+(((Inputs!$B$12*(1+Inputs!$B$13/100))-(Inputs!$B$12*(1+Inputs!$B$13/100)))+0.25*(Inputs!$B$14-Inputs!$B$14))*(1+Inputs!$B$7/100))*(F2275/100)</f>
        <v/>
      </c>
      <c r="K2275">
        <f>J2275*(1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2288=TRUE,F2288,0)/100)*(1+(IF(Skills!A5="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2275)</f>
        <v/>
      </c>
      <c r="L2275">
        <f>K2275*(MIN(Inputs!$B$22+((C2294=TRUE)*(F2294-Calc!F24)),(Inputs!$B$23+((C2299=TRUE)*(F2299-Calc!F29))+IF(ArtifactsInput!$M$15,CHOOSE(ArtifactsInput!$N$15+1,25,30,35,40,45,50)/100*(Inputs!$B$11-Inputs!$B$11),0)))/100+(Inputs!$B$23+((C2299=TRUE)*(F2299-Calc!F29))+IF(ArtifactsInput!$M$15,CHOOSE(ArtifactsInput!$N$15+1,25,30,35,40,45,50)/100*(Inputs!$B$11-Inputs!$B$11),0))/100)/2</f>
        <v/>
      </c>
      <c r="M2275">
        <f>L2275*(1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5">
        <f>L2275*(1-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2275*(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5">
        <f>(1-Summary!$B$11)*T2275+Summary!$B$11*V2275</f>
        <v/>
      </c>
      <c r="P2275">
        <f>IF(B2315=0,0,O2275/B2315)</f>
        <v/>
      </c>
      <c r="Q2275">
        <f>IFERROR(1/IF(Inputs!$B$39="pvp",15,MAX(0.1,Skills!D5-IF(Skills!E5=TRUE,Inputs!$B$32,0))),0)</f>
        <v/>
      </c>
      <c r="R2275">
        <f>IF(AND(Inputs!$B$39&lt;&gt;"pvp",Inputs!$B$44&gt;0),IF(MAX(0,Inputs!$B$44-B2314)&lt;=0,0,(INT(MAX(0,Inputs!$B$44-B2314)/IF(Inputs!$B$39="pvp",15,MAX(0.1,Skills!D5-IF(Skills!E5=TRUE,Inputs!$B$32,0))))+1)),0)</f>
        <v/>
      </c>
      <c r="S2275">
        <f>IFERROR(O2275/N2275,0)</f>
        <v/>
      </c>
      <c r="T2275">
        <f>IF(C2275,(H2275*N2275*IF(AND(Inputs!$B$39&lt;&gt;"pvp",Inputs!$B$44&gt;0),((Skills!G5*((R2275-1)*IF(Skills!H5&gt;0,Skills!I5/Skills!H5,1)+IF(Skills!H5&gt;0,MIN(Skills!I5,MAX(0,MAX(0,Inputs!$B$44-B2314)-((R2275-1)*IF(Inputs!$B$39="pvp",15,MAX(0.1,Skills!D5-IF(Skills!E5=TRUE,Inputs!$B$32,0))))))/Skills!H5,1)))/Inputs!$B$44),G2275*Q2275))*IF(Inputs!$B$39="pvp",1,1+(Inputs!$B$20+0+Skills!P5+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2275*(1-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2275*(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2275*(1-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2275*(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5">
        <f>IF(C2275,(H2275*N2275*IF(AND(Inputs!$B$39&lt;&gt;"pvp",Inputs!$B$44&gt;0),((Skills!G5*((R2275-1)*IF(Skills!H5&gt;0,Skills!I5/Skills!H5,1)+IF(Skills!H5&gt;0,MIN(Skills!I5,MAX(0,MAX(0,Inputs!$B$44-B2314)-((R2275-1)*IF(Inputs!$B$39="pvp",15,MAX(0.1,Skills!D5-IF(Skills!E5=TRUE,Inputs!$B$32,0))))))/Skills!H5,1)))/Inputs!$B$44),G2275*Q2275))*IF(Inputs!$B$39="pvp",1,(1+(Inputs!$B$21+Skills!Q5+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6">
      <c r="A2276">
        <f>Skills!A6</f>
        <v/>
      </c>
      <c r="B2276">
        <f>Skills!B6</f>
        <v/>
      </c>
      <c r="C2276">
        <f>Inputs!$B$3&gt;=69</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Skills!G6*IF(Skills!H6&gt;0,Skills!I6/Skills!H6,1)</f>
        <v/>
      </c>
      <c r="H2276">
        <f>1-(1-Skills!J6/100)^Skills!K6</f>
        <v/>
      </c>
      <c r="I2276" t="inlineStr">
        <is>
          <t>1</t>
        </is>
      </c>
      <c r="J2276">
        <f>((Inputs!$B$6*(1+Inputs!$B$7/100))+(((Inputs!$B$12*(1+Inputs!$B$13/100))-(Inputs!$B$12*(1+Inputs!$B$13/100)))+0.25*(Inputs!$B$14-Inputs!$B$14))*(1+Inputs!$B$7/100))*(F2276/100)</f>
        <v/>
      </c>
      <c r="K2276">
        <f>J2276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2288=TRUE,F2288,0)/100)*(1+(IF(Skills!A6="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2276)</f>
        <v/>
      </c>
      <c r="L2276">
        <f>K2276*(MIN(Inputs!$B$22+((C2294=TRUE)*(F2294-Calc!F24)),(Inputs!$B$23+((C2299=TRUE)*(F2299-Calc!F29))+IF(ArtifactsInput!$M$15,CHOOSE(ArtifactsInput!$N$15+1,25,30,35,40,45,50)/100*(Inputs!$B$11-Inputs!$B$11),0)))/100+(Inputs!$B$23+((C2299=TRUE)*(F2299-Calc!F29))+IF(ArtifactsInput!$M$15,CHOOSE(ArtifactsInput!$N$15+1,25,30,35,40,45,50)/100*(Inputs!$B$11-Inputs!$B$11),0))/100)/2</f>
        <v/>
      </c>
      <c r="M2276">
        <f>L2276*(1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6">
        <f>L2276*(1-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2276*(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6">
        <f>(1-Summary!$B$11)*T2276+Summary!$B$11*V2276</f>
        <v/>
      </c>
      <c r="P2276">
        <f>IF(B2315=0,0,O2276/B2315)</f>
        <v/>
      </c>
      <c r="Q2276">
        <f>IFERROR(1/IF(Inputs!$B$39="pvp",15,MAX(0.1,Skills!D6-IF(Skills!E6=TRUE,Inputs!$B$32,0))),0)</f>
        <v/>
      </c>
      <c r="R2276">
        <f>IF(AND(Inputs!$B$39&lt;&gt;"pvp",Inputs!$B$44&gt;0),IF(MAX(0,Inputs!$B$44-B2314)&lt;=0,0,(INT(MAX(0,Inputs!$B$44-B2314)/IF(Inputs!$B$39="pvp",15,MAX(0.1,Skills!D6-IF(Skills!E6=TRUE,Inputs!$B$32,0))))+1)),0)</f>
        <v/>
      </c>
      <c r="S2276">
        <f>IFERROR(O2276/N2276,0)</f>
        <v/>
      </c>
      <c r="T2276">
        <f>IF(C2276,(H2276*N2276*IF(AND(Inputs!$B$39&lt;&gt;"pvp",Inputs!$B$44&gt;0),((Skills!G6*((R2276-1)*IF(Skills!H6&gt;0,Skills!I6/Skills!H6,1)+IF(Skills!H6&gt;0,MIN(Skills!I6,MAX(0,MAX(0,Inputs!$B$44-B2314)-((R2276-1)*IF(Inputs!$B$39="pvp",15,MAX(0.1,Skills!D6-IF(Skills!E6=TRUE,Inputs!$B$32,0))))))/Skills!H6,1)))/Inputs!$B$44),G2276*Q2276))*IF(Inputs!$B$39="pvp",1,1+(Inputs!$B$20+0+Skills!P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2276*(1-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2276*(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2276*(1-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2276*(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6">
        <f>IF(C2276,(H2276*N2276*IF(AND(Inputs!$B$39&lt;&gt;"pvp",Inputs!$B$44&gt;0),((Skills!G6*((R2276-1)*IF(Skills!H6&gt;0,Skills!I6/Skills!H6,1)+IF(Skills!H6&gt;0,MIN(Skills!I6,MAX(0,MAX(0,Inputs!$B$44-B2314)-((R2276-1)*IF(Inputs!$B$39="pvp",15,MAX(0.1,Skills!D6-IF(Skills!E6=TRUE,Inputs!$B$32,0))))))/Skills!H6,1)))/Inputs!$B$44),G2276*Q2276))*IF(Inputs!$B$39="pvp",1,(1+(Inputs!$B$21+Skills!Q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7">
      <c r="A2277">
        <f>Skills!A7</f>
        <v/>
      </c>
      <c r="B2277">
        <f>Skills!B7</f>
        <v/>
      </c>
      <c r="C2277">
        <f>Inputs!$B$3&gt;=60</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Skills!G7*IF(Skills!H7&gt;0,Skills!I7/Skills!H7,1)</f>
        <v/>
      </c>
      <c r="H2277">
        <f>1-(1-Skills!J7/100)^Skills!K7</f>
        <v/>
      </c>
      <c r="I2277" t="inlineStr">
        <is>
          <t>1</t>
        </is>
      </c>
      <c r="J2277" t="inlineStr"/>
      <c r="K2277" t="inlineStr"/>
      <c r="L2277" t="inlineStr"/>
      <c r="M2277" t="inlineStr"/>
      <c r="N2277" t="inlineStr"/>
      <c r="O2277">
        <f>(1-Summary!$B$11)*T2277+Summary!$B$11*V2277</f>
        <v/>
      </c>
      <c r="P2277">
        <f>IF(B2315=0,0,O2277/B2315)</f>
        <v/>
      </c>
      <c r="Q2277" t="n">
        <v>0</v>
      </c>
      <c r="R2277" t="n">
        <v>0</v>
      </c>
      <c r="S2277">
        <f>IFERROR(O2277/N2277,0)</f>
        <v/>
      </c>
      <c r="T2277" t="n">
        <v>0</v>
      </c>
      <c r="V2277" t="n">
        <v>0</v>
      </c>
    </row>
    <row r="2278">
      <c r="A2278">
        <f>Skills!A8</f>
        <v/>
      </c>
      <c r="B2278">
        <f>Skills!B8</f>
        <v/>
      </c>
      <c r="C2278">
        <f>Inputs!$B$3&gt;=72</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Skills!G8*IF(Skills!H8&gt;0,Skills!I8/Skills!H8,1)</f>
        <v/>
      </c>
      <c r="H2278">
        <f>1-(1-Skills!J8/100)^Skills!K8</f>
        <v/>
      </c>
      <c r="I2278" t="inlineStr">
        <is>
          <t>1</t>
        </is>
      </c>
      <c r="J2278">
        <f>((Inputs!$B$6*(1+Inputs!$B$7/100))+(((Inputs!$B$12*(1+Inputs!$B$13/100))-(Inputs!$B$12*(1+Inputs!$B$13/100)))+0.25*(Inputs!$B$14-Inputs!$B$14))*(1+Inputs!$B$7/100))*(F2278/100)</f>
        <v/>
      </c>
      <c r="K2278">
        <f>J2278*(1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2288=TRUE,F2288,0)/100)*(1+(IF(Skills!A8="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2278)</f>
        <v/>
      </c>
      <c r="L2278">
        <f>K2278*(MIN(Inputs!$B$22+((C2294=TRUE)*(F2294-Calc!F24)),(Inputs!$B$23+((C2299=TRUE)*(F2299-Calc!F29))+IF(ArtifactsInput!$M$15,CHOOSE(ArtifactsInput!$N$15+1,25,30,35,40,45,50)/100*(Inputs!$B$11-Inputs!$B$11),0)))/100+(Inputs!$B$23+((C2299=TRUE)*(F2299-Calc!F29))+IF(ArtifactsInput!$M$15,CHOOSE(ArtifactsInput!$N$15+1,25,30,35,40,45,50)/100*(Inputs!$B$11-Inputs!$B$11),0))/100)/2</f>
        <v/>
      </c>
      <c r="M2278">
        <f>L2278*(1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8">
        <f>L2278*(1-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(1-Summary!$B$11)*T2278+Summary!$B$11*V2278</f>
        <v/>
      </c>
      <c r="P2278">
        <f>IF(B2315=0,0,O2278/B2315)</f>
        <v/>
      </c>
      <c r="Q2278">
        <f>IFERROR(1/IF(Inputs!$B$39="pvp",15,MAX(0.1,Skills!D8-IF(Skills!E8=TRUE,Inputs!$B$32,0))),0)</f>
        <v/>
      </c>
      <c r="R2278">
        <f>IF(AND(Inputs!$B$39&lt;&gt;"pvp",Inputs!$B$44&gt;0),IF(MAX(0,Inputs!$B$44-B2314)&lt;=0,0,(INT(MAX(0,Inputs!$B$44-B2314)/IF(Inputs!$B$39="pvp",15,MAX(0.1,Skills!D8-IF(Skills!E8=TRUE,Inputs!$B$32,0))))+1)),0)</f>
        <v/>
      </c>
      <c r="S2278">
        <f>IFERROR(O2278/N2278,0)</f>
        <v/>
      </c>
      <c r="T2278">
        <f>IF(C2278,(H2278*N2278*IF(AND(Inputs!$B$39&lt;&gt;"pvp",Inputs!$B$44&gt;0),((Skills!G8*((R2278-1)*IF(Skills!H8&gt;0,Skills!I8/Skills!H8,1)+IF(Skills!H8&gt;0,MIN(Skills!I8,MAX(0,MAX(0,Inputs!$B$44-B2314)-((R2278-1)*IF(Inputs!$B$39="pvp",15,MAX(0.1,Skills!D8-IF(Skills!E8=TRUE,Inputs!$B$32,0))))))/Skills!H8,1)))/Inputs!$B$44),G2278*Q2278))*IF(Inputs!$B$39="pvp",1,1+(Inputs!$B$20+0+Skills!P8+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2278*(1-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8">
        <f>IF(C2278,(H2278*N2278*IF(AND(Inputs!$B$39&lt;&gt;"pvp",Inputs!$B$44&gt;0),((Skills!G8*((R2278-1)*IF(Skills!H8&gt;0,Skills!I8/Skills!H8,1)+IF(Skills!H8&gt;0,MIN(Skills!I8,MAX(0,MAX(0,Inputs!$B$44-B2314)-((R2278-1)*IF(Inputs!$B$39="pvp",15,MAX(0.1,Skills!D8-IF(Skills!E8=TRUE,Inputs!$B$32,0))))))/Skills!H8,1)))/Inputs!$B$44),G2278*Q2278))*IF(Inputs!$B$39="pvp",1,(1+(Inputs!$B$21+Skills!Q8+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Skills!A9</f>
        <v/>
      </c>
      <c r="B2279">
        <f>Skills!B9</f>
        <v/>
      </c>
      <c r="C2279">
        <f>Inputs!$B$3&gt;=117</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Skills!G9*IF(Skills!H9&gt;0,Skills!I9/Skills!H9,1)</f>
        <v/>
      </c>
      <c r="H2279">
        <f>1-(1-Skills!J9/100)^Skills!K9</f>
        <v/>
      </c>
      <c r="I2279" t="inlineStr">
        <is>
          <t>1</t>
        </is>
      </c>
      <c r="J2279">
        <f>((Inputs!$B$6*(1+Inputs!$B$7/100))+(((Inputs!$B$12*(1+Inputs!$B$13/100))-(Inputs!$B$12*(1+Inputs!$B$13/100)))+0.25*(Inputs!$B$14-Inputs!$B$14))*(1+Inputs!$B$7/100))*(F2279/100)</f>
        <v/>
      </c>
      <c r="K2279">
        <f>J2279*(1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2279)</f>
        <v/>
      </c>
      <c r="L2279">
        <f>K2279*(MIN(Inputs!$B$22+((C2294=TRUE)*(F2294-Calc!F24)),(Inputs!$B$23+((C2299=TRUE)*(F2299-Calc!F29))+IF(ArtifactsInput!$M$15,CHOOSE(ArtifactsInput!$N$15+1,25,30,35,40,45,50)/100*(Inputs!$B$11-Inputs!$B$11),0)))/100+(Inputs!$B$23+((C2299=TRUE)*(F2299-Calc!F29))+IF(ArtifactsInput!$M$15,CHOOSE(ArtifactsInput!$N$15+1,25,30,35,40,45,50)/100*(Inputs!$B$11-Inputs!$B$11),0))/100)/2</f>
        <v/>
      </c>
      <c r="M2279">
        <f>L2279*(1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9">
        <f>L2279*(1-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IF(B2315=0,0,O2279/B2315)</f>
        <v/>
      </c>
      <c r="Q2279" t="n">
        <v>0</v>
      </c>
      <c r="R2279" t="n">
        <v>0</v>
      </c>
      <c r="S2279" t="n">
        <v>0</v>
      </c>
      <c r="T2279">
        <f>IF(C2279,(0.2*SUMPRODUCT((Skills!Z2:Z30=TRUE)*(C2272:C2300=TRUE)*S2272:S2300)*N2279)*IF(Inputs!$B$39="pvp",1,1+(Inputs!$B$20+0+Skills!P9+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2279*(1-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9">
        <f>IF(C2279,(0.2*SUMPRODUCT((Skills!Z2:Z30=TRUE)*(C2272:C2300=TRUE)*S2272:S2300)*N2279)*IF(Inputs!$B$39="pvp",1,(1+(Inputs!$B$21+Skills!Q9+B2304+(IF(ArtifactsInput!$M$33,CHOOSE(ArtifactsInput!$N$33+1,30,36,42,48,54,60),0))+(IF(AND(ArtifactsInput!$M$35,Inputs!$B$4&lt;&gt;"Chapter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Skills!A10</f>
        <v/>
      </c>
      <c r="B2280">
        <f>Skills!B10</f>
        <v/>
      </c>
      <c r="C2280">
        <f>Inputs!$B$3&gt;=74</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Skills!G10*IF(Skills!H10&gt;0,Skills!I10/Skills!H10,1)</f>
        <v/>
      </c>
      <c r="H2280">
        <f>1-(1-Skills!J10/100)^Skills!K10</f>
        <v/>
      </c>
      <c r="I2280" t="inlineStr">
        <is>
          <t>1</t>
        </is>
      </c>
      <c r="J2280" t="inlineStr"/>
      <c r="K2280" t="inlineStr"/>
      <c r="L2280" t="inlineStr"/>
      <c r="M2280" t="inlineStr"/>
      <c r="N2280" t="inlineStr"/>
      <c r="O2280">
        <f>(1-Summary!$B$11)*T2280+Summary!$B$11*V2280</f>
        <v/>
      </c>
      <c r="P2280">
        <f>IF(B2315=0,0,O2280/B2315)</f>
        <v/>
      </c>
      <c r="Q2280">
        <f>IFERROR(1/IF(Inputs!$B$39="pvp",15,MAX(0.1,Skills!D10-IF(Skills!E10=TRUE,Inputs!$B$32,0))),0)</f>
        <v/>
      </c>
      <c r="R2280">
        <f>IF(AND(Inputs!$B$39&lt;&gt;"pvp",Inputs!$B$44&gt;0),IF(Inputs!$B$44&lt;=0,0,(INT(Inputs!$B$44/IF(Inputs!$B$39="pvp",15,MAX(0.1,Skills!D10-IF(Skills!E10=TRUE,Inputs!$B$32,0))))+1)),0)</f>
        <v/>
      </c>
      <c r="S2280">
        <f>IFERROR(O2280/N2280,0)</f>
        <v/>
      </c>
      <c r="T2280" t="n">
        <v>0</v>
      </c>
      <c r="V2280" t="n">
        <v>0</v>
      </c>
    </row>
    <row r="2281">
      <c r="A2281">
        <f>Skills!A11</f>
        <v/>
      </c>
      <c r="B2281">
        <f>Skills!B11</f>
        <v/>
      </c>
      <c r="C2281">
        <f>Inputs!$B$3&gt;=103</f>
        <v/>
      </c>
      <c r="D2281">
        <f>IF(Skills!C11=1,60+Inputs!$B$25+Inputs!$B$29,IF(Skills!C11=2,90+Inputs!$B$26+Inputs!$B$29,IF(Skills!C11=3,120+Inputs!$B$27+Inputs!$B$29,MAX(0,(Inputs!$B$3-100)*3)+Inputs!$B$28+Inputs!$B$29)))</f>
        <v/>
      </c>
      <c r="E2281">
        <f>INDEX(FactorTable!$B$2:$Y$301, MATCH(ROUND(MIN(300,MAX(1,D2281)),0), FactorTable!$A$2:$A$301,0), Skills!M11+1)</f>
        <v/>
      </c>
      <c r="F2281">
        <f>(Skills!L11/10)*(E2281/1000)+IF(Inputs!$B$3&gt;=134,50,0)+0.5*(30000/10)*(INDEX(FactorTable!$B$2:$Y$301, MATCH(ROUND(MIN(300,MAX(1,D2281)),0), FactorTable!$A$2:$A$301,0), 13)/1000)*B2313</f>
        <v/>
      </c>
      <c r="G2281">
        <f>Skills!G11*IF(Skills!H11&gt;0,Skills!I11/Skills!H11,1)</f>
        <v/>
      </c>
      <c r="H2281">
        <f>1-(1-Skills!J11/100)^Skills!K11</f>
        <v/>
      </c>
      <c r="I2281" t="inlineStr">
        <is>
          <t>1</t>
        </is>
      </c>
      <c r="J2281">
        <f>((Inputs!$B$6*(1+Inputs!$B$7/100))+(((Inputs!$B$12*(1+Inputs!$B$13/100))-(Inputs!$B$12*(1+Inputs!$B$13/100)))+0.25*(Inputs!$B$14-Inputs!$B$14))*(1+Inputs!$B$7/100))*(F2281/100)</f>
        <v/>
      </c>
      <c r="K2281">
        <f>J2281*(1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2281)</f>
        <v/>
      </c>
      <c r="L2281">
        <f>K2281*(MIN(Inputs!$B$22+((C2294=TRUE)*(F2294-Calc!F24)),(Inputs!$B$23+((C2299=TRUE)*(F2299-Calc!F29))+IF(ArtifactsInput!$M$15,CHOOSE(ArtifactsInput!$N$15+1,25,30,35,40,45,50)/100*(Inputs!$B$11-Inputs!$B$11),0)))/100+(Inputs!$B$23+((C2299=TRUE)*(F2299-Calc!F29))+IF(ArtifactsInput!$M$15,CHOOSE(ArtifactsInput!$N$15+1,25,30,35,40,45,50)/100*(Inputs!$B$11-Inputs!$B$11),0))/100)/2</f>
        <v/>
      </c>
      <c r="M2281">
        <f>L2281*(1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1">
        <f>L2281*(1-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IF(B2315=0,0,O2281/B2315)</f>
        <v/>
      </c>
      <c r="Q2281">
        <f>IFERROR(1/IF(Inputs!$B$39="pvp",15,MAX(0.1,Skills!D11-IF(Skills!E11=TRUE,Inputs!$B$32,0))),0)</f>
        <v/>
      </c>
      <c r="R2281">
        <f>IF(AND(Inputs!$B$39&lt;&gt;"pvp",Inputs!$B$44&gt;0),IF(MAX(0,Inputs!$B$44-B2314)&lt;=0,0,(INT(MAX(0,Inputs!$B$44-B2314)/IF(Inputs!$B$39="pvp",15,MAX(0.1,Skills!D11-IF(Skills!E11=TRUE,Inputs!$B$32,0))))+1)),0)</f>
        <v/>
      </c>
      <c r="S2281">
        <f>IFERROR(O2281/N2281,0)</f>
        <v/>
      </c>
      <c r="T2281">
        <f>IF(C2281,(H2281*N2281*IF(AND(Inputs!$B$39&lt;&gt;"pvp",Inputs!$B$44&gt;0),((Skills!G11*((R2281-1)*IF(Skills!H11&gt;0,Skills!I11/Skills!H11,1)+IF(Skills!H11&gt;0,MIN(Skills!I11,MAX(0,MAX(0,Inputs!$B$44-B2314)-((R2281-1)*IF(Inputs!$B$39="pvp",15,MAX(0.1,Skills!D11-IF(Skills!E11=TRUE,Inputs!$B$32,0))))))/Skills!H11,1)))/Inputs!$B$44),G2281*Q2281))*IF(Inputs!$B$39="pvp",1,1+(Inputs!$B$20+0+Skills!P11+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1">
        <f>IF(C2281,(H2281*N2281*IF(AND(Inputs!$B$39&lt;&gt;"pvp",Inputs!$B$44&gt;0),((Skills!G11*((R2281-1)*IF(Skills!H11&gt;0,Skills!I11/Skills!H11,1)+IF(Skills!H11&gt;0,MIN(Skills!I11,MAX(0,MAX(0,Inputs!$B$44-B2314)-((R2281-1)*IF(Inputs!$B$39="pvp",15,MAX(0.1,Skills!D11-IF(Skills!E11=TRUE,Inputs!$B$32,0))))))/Skills!H11,1)))/Inputs!$B$44),G2281*Q2281))*IF(Inputs!$B$39="pvp",1,(1+(Inputs!$B$21+Skills!Q11+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Skills!A12</f>
        <v/>
      </c>
      <c r="B2282">
        <f>Skills!B12</f>
        <v/>
      </c>
      <c r="C2282">
        <f>Inputs!$B$3&gt;=105</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Skills!G12*IF(Skills!H12&gt;0,Skills!I12/Skills!H12,1)</f>
        <v/>
      </c>
      <c r="H2282">
        <f>1-(1-Skills!J12/100)^Skills!K12</f>
        <v/>
      </c>
      <c r="I2282" t="inlineStr">
        <is>
          <t>1</t>
        </is>
      </c>
      <c r="J2282">
        <f>((Inputs!$B$6*(1+Inputs!$B$7/100))+(((Inputs!$B$12*(1+Inputs!$B$13/100))-(Inputs!$B$12*(1+Inputs!$B$13/100)))+0.25*(Inputs!$B$14-Inputs!$B$14))*(1+Inputs!$B$7/100))*(F2282/100)</f>
        <v/>
      </c>
      <c r="K2282">
        <f>J2282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2282)</f>
        <v/>
      </c>
      <c r="L2282">
        <f>K2282*(MIN(Inputs!$B$22+((C2294=TRUE)*(F2294-Calc!F24)),(Inputs!$B$23+((C2299=TRUE)*(F2299-Calc!F29))+IF(ArtifactsInput!$M$15,CHOOSE(ArtifactsInput!$N$15+1,25,30,35,40,45,50)/100*(Inputs!$B$11-Inputs!$B$11),0)))/100+(Inputs!$B$23+((C2299=TRUE)*(F2299-Calc!F29))+IF(ArtifactsInput!$M$15,CHOOSE(ArtifactsInput!$N$15+1,25,30,35,40,45,50)/100*(Inputs!$B$11-Inputs!$B$11),0))/100)/2</f>
        <v/>
      </c>
      <c r="M2282">
        <f>L2282*(1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2">
        <f>L2282*(1-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IF(B2315=0,0,O2282/B2315)</f>
        <v/>
      </c>
      <c r="Q2282">
        <f>IFERROR(1/IF(Inputs!$B$39="pvp",15,MAX(0.1,Skills!D12-IF(Skills!E12=TRUE,Inputs!$B$32,0))),0)</f>
        <v/>
      </c>
      <c r="R2282">
        <f>IF(AND(Inputs!$B$39&lt;&gt;"pvp",Inputs!$B$44&gt;0),IF(MAX(0,Inputs!$B$44-B2314)&lt;=0,0,(INT(MAX(0,Inputs!$B$44-B2314)/IF(Inputs!$B$39="pvp",15,MAX(0.1,Skills!D12-IF(Skills!E12=TRUE,Inputs!$B$32,0))))+1)),0)</f>
        <v/>
      </c>
      <c r="S2282">
        <f>IFERROR(O2282/N2282,0)</f>
        <v/>
      </c>
      <c r="T2282">
        <f>IF(C2282,(H2282*N2282*IF(AND(Inputs!$B$39&lt;&gt;"pvp",Inputs!$B$44&gt;0),((Skills!G12*((R2282-1)*IF(Skills!H12&gt;0,Skills!I12/Skills!H12,1)+IF(Skills!H12&gt;0,MIN(Skills!I12,MAX(0,MAX(0,Inputs!$B$44-B2314)-((R2282-1)*IF(Inputs!$B$39="pvp",15,MAX(0.1,Skills!D12-IF(Skills!E12=TRUE,Inputs!$B$32,0))))))/Skills!H12,1)))/Inputs!$B$44),G2282*Q2282))*IF(Inputs!$B$39="pvp",1,1+(Inputs!$B$20+0+Skills!P12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2282*(1-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2">
        <f>IF(C2282,(H2282*N2282*IF(AND(Inputs!$B$39&lt;&gt;"pvp",Inputs!$B$44&gt;0),((Skills!G12*((R2282-1)*IF(Skills!H12&gt;0,Skills!I12/Skills!H12,1)+IF(Skills!H12&gt;0,MIN(Skills!I12,MAX(0,MAX(0,Inputs!$B$44-B2314)-((R2282-1)*IF(Inputs!$B$39="pvp",15,MAX(0.1,Skills!D12-IF(Skills!E12=TRUE,Inputs!$B$32,0))))))/Skills!H12,1)))/Inputs!$B$44),G2282*Q2282))*IF(Inputs!$B$39="pvp",1,(1+(Inputs!$B$21+Skills!Q12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Skills!G13*IF(Skills!H13&gt;0,Skills!I13/Skills!H13,1)</f>
        <v/>
      </c>
      <c r="H2283">
        <f>1-(1-Skills!J13/100)^Skills!K13</f>
        <v/>
      </c>
      <c r="I2283" t="inlineStr">
        <is>
          <t>1</t>
        </is>
      </c>
      <c r="J2283">
        <f>((Inputs!$B$6*(1+Inputs!$B$7/100))+(((Inputs!$B$12*(1+Inputs!$B$13/100))-(Inputs!$B$12*(1+Inputs!$B$13/100)))+0.25*(Inputs!$B$14-Inputs!$B$14))*(1+Inputs!$B$7/100))*(F2283/100)</f>
        <v/>
      </c>
      <c r="K2283">
        <f>J2283*(1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2283)</f>
        <v/>
      </c>
      <c r="L2283">
        <f>K2283*(MIN(Inputs!$B$22+((C2294=TRUE)*(F2294-Calc!F24)),(Inputs!$B$23+((C2299=TRUE)*(F2299-Calc!F29))+IF(ArtifactsInput!$M$15,CHOOSE(ArtifactsInput!$N$15+1,25,30,35,40,45,50)/100*(Inputs!$B$11-Inputs!$B$11),0)))/100+(Inputs!$B$23+((C2299=TRUE)*(F2299-Calc!F29))+IF(ArtifactsInput!$M$15,CHOOSE(ArtifactsInput!$N$15+1,25,30,35,40,45,50)/100*(Inputs!$B$11-Inputs!$B$11),0))/100)/2</f>
        <v/>
      </c>
      <c r="M2283">
        <f>L2283*(1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3">
        <f>L2283*(1-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(1-Summary!$B$11)*T2283+Summary!$B$11*V2283</f>
        <v/>
      </c>
      <c r="P2283">
        <f>IF(B2315=0,0,O2283/B2315)</f>
        <v/>
      </c>
      <c r="Q2283">
        <f>IFERROR(1/IF(Inputs!$B$39="pvp",15,MAX(0.1,Skills!D13-IF(Skills!E13=TRUE,Inputs!$B$32,0))),0)</f>
        <v/>
      </c>
      <c r="R2283">
        <f>IF(AND(Inputs!$B$39&lt;&gt;"pvp",Inputs!$B$44&gt;0),IF(MAX(0,Inputs!$B$44-B2314)&lt;=0,0,(INT(MAX(0,Inputs!$B$44-B2314)/IF(Inputs!$B$39="pvp",15,MAX(0.1,Skills!D13-IF(Skills!E13=TRUE,Inputs!$B$32,0))))+1)),0)</f>
        <v/>
      </c>
      <c r="S2283">
        <f>IFERROR(O2283/N2283,0)</f>
        <v/>
      </c>
      <c r="T2283">
        <f>IF(C2283,(H2283*N2283*IF(AND(Inputs!$B$39&lt;&gt;"pvp",Inputs!$B$44&gt;0),((Skills!G13*((R2283-1)*IF(Skills!H13&gt;0,Skills!I13/Skills!H13,1)+IF(Skills!H13&gt;0,MIN(Skills!I13,MAX(0,MAX(0,Inputs!$B$44-B2314)-((R2283-1)*IF(Inputs!$B$39="pvp",15,MAX(0.1,Skills!D13-IF(Skills!E13=TRUE,Inputs!$B$32,0))))))/Skills!H13,1)))/Inputs!$B$44),G2283*Q2283))*IF(Inputs!$B$39="pvp",1,1+(Inputs!$B$20+0+Skills!P13+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2283*(1-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3">
        <f>IF(C2283,(H2283*N2283*IF(AND(Inputs!$B$39&lt;&gt;"pvp",Inputs!$B$44&gt;0),((Skills!G13*((R2283-1)*IF(Skills!H13&gt;0,Skills!I13/Skills!H13,1)+IF(Skills!H13&gt;0,MIN(Skills!I13,MAX(0,MAX(0,Inputs!$B$44-B2314)-((R2283-1)*IF(Inputs!$B$39="pvp",15,MAX(0.1,Skills!D13-IF(Skills!E13=TRUE,Inputs!$B$32,0))))))/Skills!H13,1)))/Inputs!$B$44),G2283*Q2283))*IF(Inputs!$B$39="pvp",1,(1+(Inputs!$B$21+Skills!Q13+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Skills!A14</f>
        <v/>
      </c>
      <c r="B2284">
        <f>Skills!B14</f>
        <v/>
      </c>
      <c r="C2284">
        <f>Inputs!$B$3&gt;=107</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Skills!G14*IF(Skills!H14&gt;0,Skills!I14/Skills!H14,1)</f>
        <v/>
      </c>
      <c r="H2284">
        <f>1-(1-Skills!J14/100)^Skills!K14</f>
        <v/>
      </c>
      <c r="I2284" t="inlineStr">
        <is>
          <t>1</t>
        </is>
      </c>
      <c r="J2284">
        <f>((Inputs!$B$6*(1+Inputs!$B$7/100))+(((Inputs!$B$12*(1+Inputs!$B$13/100))-(Inputs!$B$12*(1+Inputs!$B$13/100)))+0.25*(Inputs!$B$14-Inputs!$B$14))*(1+Inputs!$B$7/100))*(F2284/100)</f>
        <v/>
      </c>
      <c r="K2284">
        <f>J2284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2284)</f>
        <v/>
      </c>
      <c r="L2284">
        <f>K2284*(MIN(Inputs!$B$22+((C2294=TRUE)*(F2294-Calc!F24)),(Inputs!$B$23+((C2299=TRUE)*(F2299-Calc!F29))+IF(ArtifactsInput!$M$15,CHOOSE(ArtifactsInput!$N$15+1,25,30,35,40,45,50)/100*(Inputs!$B$11-Inputs!$B$11),0)))/100+(Inputs!$B$23+((C2299=TRUE)*(F2299-Calc!F29))+IF(ArtifactsInput!$M$15,CHOOSE(ArtifactsInput!$N$15+1,25,30,35,40,45,50)/100*(Inputs!$B$11-Inputs!$B$11),0))/100)/2</f>
        <v/>
      </c>
      <c r="M2284">
        <f>L2284*(1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4">
        <f>L2284*(1-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(1-Summary!$B$11)*T2284+Summary!$B$11*V2284</f>
        <v/>
      </c>
      <c r="P2284">
        <f>IF(B2315=0,0,O2284/B2315)</f>
        <v/>
      </c>
      <c r="Q2284">
        <f>IFERROR(1/IF(Inputs!$B$39="pvp",15,MAX(0.1,Skills!D14-IF(Skills!E14=TRUE,Inputs!$B$32,0))),0)</f>
        <v/>
      </c>
      <c r="R2284">
        <f>IF(AND(Inputs!$B$39&lt;&gt;"pvp",Inputs!$B$44&gt;0),IF(MAX(0,Inputs!$B$44-B2314)&lt;=0,0,(INT(MAX(0,Inputs!$B$44-B2314)/IF(Inputs!$B$39="pvp",15,MAX(0.1,Skills!D14-IF(Skills!E14=TRUE,Inputs!$B$32,0))))+1)),0)</f>
        <v/>
      </c>
      <c r="S2284">
        <f>IFERROR(O2284/N2284,0)</f>
        <v/>
      </c>
      <c r="T2284">
        <f>IF(C2284,(H2284*N2284*IF(AND(Inputs!$B$39&lt;&gt;"pvp",Inputs!$B$44&gt;0),((Skills!G14*((R2284-1)*IF(Skills!H14&gt;0,Skills!I14/Skills!H14,1)+IF(Skills!H14&gt;0,MIN(Skills!I14,MAX(0,MAX(0,Inputs!$B$44-B2314)-((R2284-1)*IF(Inputs!$B$39="pvp",15,MAX(0.1,Skills!D14-IF(Skills!E14=TRUE,Inputs!$B$32,0))))))/Skills!H14,1)))/Inputs!$B$44),G2284*Q2284))*IF(Inputs!$B$39="pvp",1,1+(Inputs!$B$20+0+Skills!P14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2284*(1-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4">
        <f>IF(C2284,(H2284*N2284*IF(AND(Inputs!$B$39&lt;&gt;"pvp",Inputs!$B$44&gt;0),((Skills!G14*((R2284-1)*IF(Skills!H14&gt;0,Skills!I14/Skills!H14,1)+IF(Skills!H14&gt;0,MIN(Skills!I14,MAX(0,MAX(0,Inputs!$B$44-B2314)-((R2284-1)*IF(Inputs!$B$39="pvp",15,MAX(0.1,Skills!D14-IF(Skills!E14=TRUE,Inputs!$B$32,0))))))/Skills!H14,1)))/Inputs!$B$44),G2284*Q2284))*IF(Inputs!$B$39="pvp",1,(1+(Inputs!$B$21+Skills!Q14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(5,0.25*B2307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5">
      <c r="A2285">
        <f>Skills!A15</f>
        <v/>
      </c>
      <c r="B2285">
        <f>Skills!B15</f>
        <v/>
      </c>
      <c r="C2285">
        <f>Inputs!$B$3&gt;=110</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Skills!G15*IF(Skills!H15&gt;0,Skills!I15/Skills!H15,1)</f>
        <v/>
      </c>
      <c r="H2285">
        <f>1-(1-Skills!J15/100)^Skills!K15</f>
        <v/>
      </c>
      <c r="I2285" t="inlineStr">
        <is>
          <t>1</t>
        </is>
      </c>
      <c r="J2285" t="inlineStr"/>
      <c r="K2285" t="inlineStr"/>
      <c r="L2285" t="inlineStr"/>
      <c r="M2285" t="inlineStr"/>
      <c r="N2285" t="inlineStr"/>
      <c r="O2285">
        <f>(1-Summary!$B$11)*T2285+Summary!$B$11*V2285</f>
        <v/>
      </c>
      <c r="P2285">
        <f>IF(B2315=0,0,O2285/B2315)</f>
        <v/>
      </c>
      <c r="Q2285">
        <f>IFERROR(1/IF(Inputs!$B$39="pvp",15,MAX(0.1,Skills!D15-IF(Skills!E15=TRUE,Inputs!$B$32,0))),0)</f>
        <v/>
      </c>
      <c r="R2285">
        <f>IF(AND(Inputs!$B$39&lt;&gt;"pvp",Inputs!$B$44&gt;0),IF(Inputs!$B$44&lt;=0,0,(INT(Inputs!$B$44/IF(Inputs!$B$39="pvp",15,MAX(0.1,Skills!D15-IF(Skills!E15=TRUE,Inputs!$B$32,0))))+1)),0)</f>
        <v/>
      </c>
      <c r="S2285">
        <f>IFERROR(O2285/N2285,0)</f>
        <v/>
      </c>
      <c r="T2285" t="n">
        <v>0</v>
      </c>
      <c r="V2285" t="n">
        <v>0</v>
      </c>
    </row>
    <row r="2286">
      <c r="A2286">
        <f>Skills!A16</f>
        <v/>
      </c>
      <c r="B2286">
        <f>Skills!B16</f>
        <v/>
      </c>
      <c r="C2286">
        <f>Inputs!$B$3&gt;=115</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Skills!G16*IF(Skills!H16&gt;0,Skills!I16/Skills!H16,1)</f>
        <v/>
      </c>
      <c r="H2286">
        <f>1-(1-Skills!J16/100)^Skills!K16</f>
        <v/>
      </c>
      <c r="I2286" t="inlineStr">
        <is>
          <t>1</t>
        </is>
      </c>
      <c r="J2286">
        <f>((Inputs!$B$6*(1+Inputs!$B$7/100))+(((Inputs!$B$12*(1+Inputs!$B$13/100))-(Inputs!$B$12*(1+Inputs!$B$13/100)))+0.25*(Inputs!$B$14-Inputs!$B$14))*(1+Inputs!$B$7/100))*(F2286/100)</f>
        <v/>
      </c>
      <c r="K2286">
        <f>J2286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2297=TRUE)*(F2297-Calc!F27))+((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2286)</f>
        <v/>
      </c>
      <c r="L2286">
        <f>K2286*(MIN(Inputs!$B$22+((C2294=TRUE)*(F2294-Calc!F24)),(Inputs!$B$23+((C2299=TRUE)*(F2299-Calc!F29))+IF(ArtifactsInput!$M$15,CHOOSE(ArtifactsInput!$N$15+1,25,30,35,40,45,50)/100*(Inputs!$B$11-Inputs!$B$11),0)))/100+(Inputs!$B$23+((C2299=TRUE)*(F2299-Calc!F29))+IF(ArtifactsInput!$M$15,CHOOSE(ArtifactsInput!$N$15+1,25,30,35,40,45,50)/100*(Inputs!$B$11-Inputs!$B$11),0))/100)/2</f>
        <v/>
      </c>
      <c r="M2286">
        <f>L2286*(1+(Inputs!$B$10+((C2296=TRUE)*(F2296-Calc!F26))+B2310+((IF(IF(ArtifactsInput!$M$24,FALSE,TRUE),1,-1)*CHOOSE(ArtifactsInput!$N$24+1,30,36,42,48,54,60)/100*IF(IF(ArtifactsInput!$M$24,FALSE,TRUE),(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6">
        <f>L2286*(1-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IF(B2315=0,0,O2286/B2315)</f>
        <v/>
      </c>
      <c r="Q2286" t="n">
        <v>0</v>
      </c>
      <c r="R2286" t="n">
        <v>0</v>
      </c>
      <c r="S2286">
        <f>IFERROR(O2286/N2286,0)</f>
        <v/>
      </c>
      <c r="T2286">
        <f>IF(C2286,(Inputs!$B$38*0.2*N2286)*IF(Inputs!$B$39="pvp",1,1+(Inputs!$B$20+0+Skills!P16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2286*(1-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2295=TRUE)*(F2295-Calc!F25))+B2303+(IF(ArtifactsInput!$M$24,FALSE,TRUE)-ArtifactsInput!$M$24)*CHOOSE(ArtifactsInput!$N$24+1,10,12,14,16,18,20)+(IF(AND(Inputs!$B$39&lt;&gt;"pvp",Inputs!$B$44=0),1,IF(IF(Inputs!$B$39="pvp",15,Inputs!$B$44)-(B2314)&lt;=0,1,MAX(0,IF(Inputs!$B$39="pvp",15,Inputs!$B$44)-MAX(5,B2314))/(IF(Inputs!$B$39="pvp",15,Inputs!$B$44)-(B2314))))*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IF(C2286,(Inputs!$B$38*0.2*N2286)*IF(Inputs!$B$39="pvp",1,(1+(Inputs!$B$21+Skills!Q16+B2304+(IF(ArtifactsInput!$M$33,CHOOSE(ArtifactsInput!$N$33+1,30,36,42,48,54,60),0))+(IF(AND(ArtifactsInput!$M$35,Inputs!$B$4&lt;&gt;"Chapter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Skills!A17</f>
        <v/>
      </c>
      <c r="B2287">
        <f>Skills!B17</f>
        <v/>
      </c>
      <c r="C2287">
        <f>Inputs!$B$3&gt;=115</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Skills!G17*IF(Skills!H17&gt;0,Skills!I17/Skills!H17,1)</f>
        <v/>
      </c>
      <c r="H2287">
        <f>1-(1-Skills!J17/100)^Skills!K17</f>
        <v/>
      </c>
      <c r="I2287" t="inlineStr">
        <is>
          <t>1</t>
        </is>
      </c>
      <c r="J2287" t="inlineStr"/>
      <c r="K2287" t="inlineStr"/>
      <c r="L2287" t="inlineStr"/>
      <c r="M2287" t="inlineStr"/>
      <c r="N2287" t="inlineStr"/>
      <c r="O2287">
        <f>(1-Summary!$B$11)*T2287+Summary!$B$11*V2287</f>
        <v/>
      </c>
      <c r="P2287">
        <f>IF(B2315=0,0,O2287/B2315)</f>
        <v/>
      </c>
      <c r="Q2287" t="n">
        <v>0</v>
      </c>
      <c r="R2287" t="n">
        <v>0</v>
      </c>
      <c r="S2287">
        <f>IFERROR(O2287/N2287,0)</f>
        <v/>
      </c>
      <c r="T2287" t="n">
        <v>0</v>
      </c>
      <c r="V2287" t="n">
        <v>0</v>
      </c>
    </row>
    <row r="2288">
      <c r="A2288">
        <f>Skills!A18</f>
        <v/>
      </c>
      <c r="B2288">
        <f>Skills!B18</f>
        <v/>
      </c>
      <c r="C2288">
        <f>Inputs!$B$3&gt;=100</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Skills!G18*IF(Skills!H18&gt;0,Skills!I18/Skills!H18,1)</f>
        <v/>
      </c>
      <c r="H2288">
        <f>1-(1-Skills!J18/100)^Skills!K18</f>
        <v/>
      </c>
      <c r="I2288" t="inlineStr">
        <is>
          <t>1</t>
        </is>
      </c>
      <c r="J2288" t="inlineStr"/>
      <c r="K2288" t="inlineStr"/>
      <c r="L2288" t="inlineStr"/>
      <c r="M2288" t="inlineStr"/>
      <c r="N2288" t="inlineStr"/>
      <c r="O2288">
        <f>(1-Summary!$B$11)*T2288+Summary!$B$11*V2288</f>
        <v/>
      </c>
      <c r="P2288">
        <f>IF(B2315=0,0,O2288/B2315)</f>
        <v/>
      </c>
      <c r="Q2288" t="n">
        <v>0</v>
      </c>
      <c r="R2288" t="n">
        <v>0</v>
      </c>
      <c r="S2288">
        <f>IFERROR(O2288/N2288,0)</f>
        <v/>
      </c>
      <c r="T2288" t="n">
        <v>0</v>
      </c>
      <c r="V2288" t="n">
        <v>0</v>
      </c>
    </row>
    <row r="2289">
      <c r="A2289">
        <f>Skills!A19</f>
        <v/>
      </c>
      <c r="B2289">
        <f>Skills!B19</f>
        <v/>
      </c>
      <c r="C2289">
        <f>TRUE</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Skills!G19*IF(Skills!H19&gt;0,Skills!I19/Skills!H19,1)</f>
        <v/>
      </c>
      <c r="H2289">
        <f>1-(1-Skills!J19/100)^Skills!K19</f>
        <v/>
      </c>
      <c r="I2289" t="inlineStr">
        <is>
          <t>1</t>
        </is>
      </c>
      <c r="J2289" t="inlineStr"/>
      <c r="K2289" t="inlineStr"/>
      <c r="L2289" t="inlineStr"/>
      <c r="M2289" t="inlineStr"/>
      <c r="N2289" t="inlineStr"/>
      <c r="O2289">
        <f>(1-Summary!$B$11)*T2289+Summary!$B$11*V2289</f>
        <v/>
      </c>
      <c r="P2289">
        <f>IF(B2315=0,0,O2289/B2315)</f>
        <v/>
      </c>
      <c r="Q2289">
        <f>IFERROR(1/IF(Inputs!$B$39="pvp",15,MAX(0.1,Skills!D19-IF(Skills!E19=TRUE,Inputs!$B$32,0))),0)</f>
        <v/>
      </c>
      <c r="R2289">
        <f>IF(AND(Inputs!$B$39&lt;&gt;"pvp",Inputs!$B$44&gt;0),IF(Inputs!$B$44&lt;=0,0,(INT(Inputs!$B$44/IF(Inputs!$B$39="pvp",15,MAX(0.1,Skills!D19-IF(Skills!E19=TRUE,Inputs!$B$32,0))))+1)),0)</f>
        <v/>
      </c>
      <c r="S2289">
        <f>IFERROR(O2289/N2289,0)</f>
        <v/>
      </c>
      <c r="T2289" t="n">
        <v>0</v>
      </c>
      <c r="V2289" t="n">
        <v>0</v>
      </c>
    </row>
    <row r="2290">
      <c r="A2290">
        <f>Skills!A20</f>
        <v/>
      </c>
      <c r="B2290">
        <f>Skills!B20</f>
        <v/>
      </c>
      <c r="C2290">
        <f>Inputs!$B$3&gt;=15</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Skills!G20*IF(Skills!H20&gt;0,Skills!I20/Skills!H20,1)</f>
        <v/>
      </c>
      <c r="H2290">
        <f>1-(1-Skills!J20/100)^Skills!K20</f>
        <v/>
      </c>
      <c r="I2290" t="inlineStr">
        <is>
          <t>1</t>
        </is>
      </c>
      <c r="J2290" t="inlineStr"/>
      <c r="K2290" t="inlineStr"/>
      <c r="L2290" t="inlineStr"/>
      <c r="M2290" t="inlineStr"/>
      <c r="N2290" t="inlineStr"/>
      <c r="O2290">
        <f>(1-Summary!$B$11)*T2290+Summary!$B$11*V2290</f>
        <v/>
      </c>
      <c r="P2290">
        <f>IF(B2315=0,0,O2290/B2315)</f>
        <v/>
      </c>
      <c r="Q2290">
        <f>IFERROR(1/IF(Inputs!$B$39="pvp",15,MAX(0.1,Skills!D20-IF(Skills!E20=TRUE,Inputs!$B$32,0))),0)</f>
        <v/>
      </c>
      <c r="R2290">
        <f>IF(AND(Inputs!$B$39&lt;&gt;"pvp",Inputs!$B$44&gt;0),IF(Inputs!$B$44&lt;=0,0,(INT(Inputs!$B$44/IF(Inputs!$B$39="pvp",15,MAX(0.1,Skills!D20-IF(Skills!E20=TRUE,Inputs!$B$32,0))))+1)),0)</f>
        <v/>
      </c>
      <c r="S2290">
        <f>IFERROR(O2290/N2290,0)</f>
        <v/>
      </c>
      <c r="T2290" t="n">
        <v>0</v>
      </c>
      <c r="V2290" t="n">
        <v>0</v>
      </c>
    </row>
    <row r="2291">
      <c r="A2291">
        <f>Skills!A21</f>
        <v/>
      </c>
      <c r="B2291">
        <f>Skills!B21</f>
        <v/>
      </c>
      <c r="C2291">
        <f>Inputs!$B$3&gt;=15</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Skills!G21*IF(Skills!H21&gt;0,Skills!I21/Skills!H21,1)</f>
        <v/>
      </c>
      <c r="H2291">
        <f>1-(1-Skills!J21/100)^Skills!K21</f>
        <v/>
      </c>
      <c r="I2291" t="inlineStr">
        <is>
          <t>1</t>
        </is>
      </c>
      <c r="J2291" t="inlineStr"/>
      <c r="K2291" t="inlineStr"/>
      <c r="L2291" t="inlineStr"/>
      <c r="M2291" t="inlineStr"/>
      <c r="N2291" t="inlineStr"/>
      <c r="O2291">
        <f>(1-Summary!$B$11)*T2291+Summary!$B$11*V2291</f>
        <v/>
      </c>
      <c r="P2291">
        <f>IF(B2315=0,0,O2291/B2315)</f>
        <v/>
      </c>
      <c r="Q2291">
        <f>IFERROR(1/IF(Inputs!$B$39="pvp",15,MAX(0.1,Skills!D21-IF(Skills!E21=TRUE,Inputs!$B$32,0))),0)</f>
        <v/>
      </c>
      <c r="R2291">
        <f>IF(AND(Inputs!$B$39&lt;&gt;"pvp",Inputs!$B$44&gt;0),IF(Inputs!$B$44&lt;=0,0,(INT(Inputs!$B$44/IF(Inputs!$B$39="pvp",15,MAX(0.1,Skills!D21-IF(Skills!E21=TRUE,Inputs!$B$32,0))))+1)),0)</f>
        <v/>
      </c>
      <c r="S2291">
        <f>IFERROR(O2291/N2291,0)</f>
        <v/>
      </c>
      <c r="T2291" t="n">
        <v>0</v>
      </c>
      <c r="V2291" t="n">
        <v>0</v>
      </c>
    </row>
    <row r="2292">
      <c r="A2292">
        <f>Skills!A22</f>
        <v/>
      </c>
      <c r="B2292">
        <f>Skills!B22</f>
        <v/>
      </c>
      <c r="C2292">
        <f>Inputs!$B$3&gt;=33</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Skills!G22*IF(Skills!H22&gt;0,Skills!I22/Skills!H22,1)</f>
        <v/>
      </c>
      <c r="H2292">
        <f>1-(1-Skills!J22/100)^Skills!K22</f>
        <v/>
      </c>
      <c r="I2292" t="inlineStr">
        <is>
          <t>1</t>
        </is>
      </c>
      <c r="J2292" t="inlineStr"/>
      <c r="K2292" t="inlineStr"/>
      <c r="L2292" t="inlineStr"/>
      <c r="M2292" t="inlineStr"/>
      <c r="N2292" t="inlineStr"/>
      <c r="O2292">
        <f>(1-Summary!$B$11)*T2292+Summary!$B$11*V2292</f>
        <v/>
      </c>
      <c r="P2292">
        <f>IF(B2315=0,0,O2292/B2315)</f>
        <v/>
      </c>
      <c r="Q2292" t="n">
        <v>0</v>
      </c>
      <c r="R2292" t="n">
        <v>0</v>
      </c>
      <c r="S2292">
        <f>IFERROR(O2292/N2292,0)</f>
        <v/>
      </c>
      <c r="T2292" t="n">
        <v>0</v>
      </c>
      <c r="V2292" t="n">
        <v>0</v>
      </c>
    </row>
    <row r="2293">
      <c r="A2293">
        <f>Skills!A23</f>
        <v/>
      </c>
      <c r="B2293">
        <f>Skills!B23</f>
        <v/>
      </c>
      <c r="C2293">
        <f>Inputs!$B$3&gt;=40</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Skills!G23*IF(Skills!H23&gt;0,Skills!I23/Skills!H23,1)</f>
        <v/>
      </c>
      <c r="H2293">
        <f>1-(1-Skills!J23/100)^Skills!K23</f>
        <v/>
      </c>
      <c r="I2293" t="inlineStr">
        <is>
          <t>1</t>
        </is>
      </c>
      <c r="J2293" t="inlineStr"/>
      <c r="K2293" t="inlineStr"/>
      <c r="L2293" t="inlineStr"/>
      <c r="M2293" t="inlineStr"/>
      <c r="N2293" t="inlineStr"/>
      <c r="O2293">
        <f>(1-Summary!$B$11)*T2293+Summary!$B$11*V2293</f>
        <v/>
      </c>
      <c r="P2293">
        <f>IF(B2315=0,0,O2293/B2315)</f>
        <v/>
      </c>
      <c r="Q2293" t="n">
        <v>0</v>
      </c>
      <c r="R2293" t="n">
        <v>0</v>
      </c>
      <c r="S2293">
        <f>IFERROR(O2293/N2293,0)</f>
        <v/>
      </c>
      <c r="T2293" t="n">
        <v>0</v>
      </c>
      <c r="V2293" t="n">
        <v>0</v>
      </c>
    </row>
    <row r="2294">
      <c r="A2294">
        <f>Skills!A24</f>
        <v/>
      </c>
      <c r="B2294">
        <f>Skills!B24</f>
        <v/>
      </c>
      <c r="C2294">
        <f>Inputs!$B$3&gt;=43</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Skills!G24*IF(Skills!H24&gt;0,Skills!I24/Skills!H24,1)</f>
        <v/>
      </c>
      <c r="H2294">
        <f>1-(1-Skills!J24/100)^Skills!K24</f>
        <v/>
      </c>
      <c r="I2294" t="inlineStr">
        <is>
          <t>1</t>
        </is>
      </c>
      <c r="J2294" t="inlineStr"/>
      <c r="K2294" t="inlineStr"/>
      <c r="L2294" t="inlineStr"/>
      <c r="M2294" t="inlineStr"/>
      <c r="N2294" t="inlineStr"/>
      <c r="O2294">
        <f>(1-Summary!$B$11)*T2294+Summary!$B$11*V2294</f>
        <v/>
      </c>
      <c r="P2294">
        <f>IF(B2315=0,0,O2294/B2315)</f>
        <v/>
      </c>
      <c r="Q2294" t="n">
        <v>0</v>
      </c>
      <c r="R2294" t="n">
        <v>0</v>
      </c>
      <c r="S2294">
        <f>IFERROR(O2294/N2294,0)</f>
        <v/>
      </c>
      <c r="T2294" t="n">
        <v>0</v>
      </c>
      <c r="V2294" t="n">
        <v>0</v>
      </c>
    </row>
    <row r="2295">
      <c r="A2295">
        <f>Skills!A25</f>
        <v/>
      </c>
      <c r="B2295">
        <f>Skills!B25</f>
        <v/>
      </c>
      <c r="C2295">
        <f>Inputs!$B$3&gt;=50</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Skills!G25*IF(Skills!H25&gt;0,Skills!I25/Skills!H25,1)</f>
        <v/>
      </c>
      <c r="H2295">
        <f>1-(1-Skills!J25/100)^Skills!K25</f>
        <v/>
      </c>
      <c r="I2295" t="inlineStr">
        <is>
          <t>1</t>
        </is>
      </c>
      <c r="J2295" t="inlineStr"/>
      <c r="K2295" t="inlineStr"/>
      <c r="L2295" t="inlineStr"/>
      <c r="M2295" t="inlineStr"/>
      <c r="N2295" t="inlineStr"/>
      <c r="O2295">
        <f>(1-Summary!$B$11)*T2295+Summary!$B$11*V2295</f>
        <v/>
      </c>
      <c r="P2295">
        <f>IF(B2315=0,0,O2295/B2315)</f>
        <v/>
      </c>
      <c r="Q2295" t="n">
        <v>0</v>
      </c>
      <c r="R2295" t="n">
        <v>0</v>
      </c>
      <c r="S2295">
        <f>IFERROR(O2295/N2295,0)</f>
        <v/>
      </c>
      <c r="T2295" t="n">
        <v>0</v>
      </c>
      <c r="V2295" t="n">
        <v>0</v>
      </c>
    </row>
    <row r="2296">
      <c r="A2296">
        <f>Skills!A26</f>
        <v/>
      </c>
      <c r="B2296">
        <f>Skills!B26</f>
        <v/>
      </c>
      <c r="C2296">
        <f>Inputs!$B$3&gt;=50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Skills!G26*IF(Skills!H26&gt;0,Skills!I26/Skills!H26,1)</f>
        <v/>
      </c>
      <c r="H2296">
        <f>1-(1-Skills!J26/100)^Skills!K26</f>
        <v/>
      </c>
      <c r="I2296" t="inlineStr">
        <is>
          <t>1</t>
        </is>
      </c>
      <c r="J2296" t="inlineStr"/>
      <c r="K2296" t="inlineStr"/>
      <c r="L2296" t="inlineStr"/>
      <c r="M2296" t="inlineStr"/>
      <c r="N2296" t="inlineStr"/>
      <c r="O2296">
        <f>(1-Summary!$B$11)*T2296+Summary!$B$11*V2296</f>
        <v/>
      </c>
      <c r="P2296">
        <f>IF(B2315=0,0,O2296/B2315)</f>
        <v/>
      </c>
      <c r="Q2296" t="n">
        <v>0</v>
      </c>
      <c r="R2296" t="n">
        <v>0</v>
      </c>
      <c r="S2296">
        <f>IFERROR(O2296/N2296,0)</f>
        <v/>
      </c>
      <c r="T2296" t="n">
        <v>0</v>
      </c>
      <c r="V2296" t="n">
        <v>0</v>
      </c>
    </row>
    <row r="2297">
      <c r="A2297">
        <f>Skills!A27</f>
        <v/>
      </c>
      <c r="B2297">
        <f>Skills!B27</f>
        <v/>
      </c>
      <c r="C2297">
        <f>Inputs!$B$3&gt;=38</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Skills!G27*IF(Skills!H27&gt;0,Skills!I27/Skills!H27,1)</f>
        <v/>
      </c>
      <c r="H2297">
        <f>1-(1-Skills!J27/100)^Skills!K27</f>
        <v/>
      </c>
      <c r="I2297" t="inlineStr">
        <is>
          <t>1</t>
        </is>
      </c>
      <c r="J2297" t="inlineStr"/>
      <c r="K2297" t="inlineStr"/>
      <c r="L2297" t="inlineStr"/>
      <c r="M2297" t="inlineStr"/>
      <c r="N2297" t="inlineStr"/>
      <c r="O2297">
        <f>(1-Summary!$B$11)*T2297+Summary!$B$11*V2297</f>
        <v/>
      </c>
      <c r="P2297">
        <f>IF(B2315=0,0,O2297/B2315)</f>
        <v/>
      </c>
      <c r="Q2297" t="n">
        <v>0</v>
      </c>
      <c r="R2297" t="n">
        <v>0</v>
      </c>
      <c r="S2297">
        <f>IFERROR(O2297/N2297,0)</f>
        <v/>
      </c>
      <c r="T2297" t="n">
        <v>0</v>
      </c>
      <c r="V2297" t="n">
        <v>0</v>
      </c>
    </row>
    <row r="2298">
      <c r="A2298">
        <f>Skills!A28</f>
        <v/>
      </c>
      <c r="B2298">
        <f>Skills!B28</f>
        <v/>
      </c>
      <c r="C2298">
        <f>Inputs!$B$3&gt;=120</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Skills!G28*IF(Skills!H28&gt;0,Skills!I28/Skills!H28,1)</f>
        <v/>
      </c>
      <c r="H2298">
        <f>1-(1-Skills!J28/100)^Skills!K28</f>
        <v/>
      </c>
      <c r="I2298" t="inlineStr">
        <is>
          <t>1</t>
        </is>
      </c>
      <c r="J2298" t="inlineStr"/>
      <c r="K2298" t="inlineStr"/>
      <c r="L2298" t="inlineStr"/>
      <c r="M2298" t="inlineStr"/>
      <c r="N2298" t="inlineStr"/>
      <c r="O2298">
        <f>(1-Summary!$B$11)*T2298+Summary!$B$11*V2298</f>
        <v/>
      </c>
      <c r="P2298">
        <f>IF(B2315=0,0,O2298/B2315)</f>
        <v/>
      </c>
      <c r="Q2298" t="n">
        <v>0</v>
      </c>
      <c r="R2298" t="n">
        <v>0</v>
      </c>
      <c r="S2298">
        <f>IFERROR(O2298/N2298,0)</f>
        <v/>
      </c>
      <c r="T2298" t="n">
        <v>0</v>
      </c>
      <c r="V2298" t="n">
        <v>0</v>
      </c>
    </row>
    <row r="2299">
      <c r="A2299">
        <f>Skills!A29</f>
        <v/>
      </c>
      <c r="B2299">
        <f>Skills!B29</f>
        <v/>
      </c>
      <c r="C2299">
        <f>Inputs!$B$3&gt;=120</f>
        <v/>
      </c>
      <c r="D2299">
        <f>IF(Skills!C29=1,60+Inputs!$B$25+Inputs!$B$29,IF(Skills!C29=2,90+Inputs!$B$26+Inputs!$B$29,IF(Skills!C29=3,120+Inputs!$B$27+Inputs!$B$29,MAX(0,(Inputs!$B$3-100)*3)+Inputs!$B$28+Inputs!$B$29)))</f>
        <v/>
      </c>
      <c r="E2299">
        <f>INDEX(FactorTable!$B$2:$Y$301, MATCH(ROUND(MIN(300,MAX(1,D2299)),0), FactorTable!$A$2:$A$301,0), Skills!M29+1)</f>
        <v/>
      </c>
      <c r="F2299">
        <f>IF(Skills!N29=TRUE,(Skills!L29/10)*(E2299/1000),Skills!L29/10)+Skills!O29</f>
        <v/>
      </c>
      <c r="G2299">
        <f>Skills!G29*IF(Skills!H29&gt;0,Skills!I29/Skills!H29,1)</f>
        <v/>
      </c>
      <c r="H2299">
        <f>1-(1-Skills!J29/100)^Skills!K29</f>
        <v/>
      </c>
      <c r="I2299" t="inlineStr">
        <is>
          <t>1</t>
        </is>
      </c>
      <c r="J2299" t="inlineStr"/>
      <c r="K2299" t="inlineStr"/>
      <c r="L2299" t="inlineStr"/>
      <c r="M2299" t="inlineStr"/>
      <c r="N2299" t="inlineStr"/>
      <c r="O2299">
        <f>(1-Summary!$B$11)*T2299+Summary!$B$11*V2299</f>
        <v/>
      </c>
      <c r="P2299">
        <f>IF(B2315=0,0,O2299/B2315)</f>
        <v/>
      </c>
      <c r="Q2299" t="n">
        <v>0</v>
      </c>
      <c r="R2299" t="n">
        <v>0</v>
      </c>
      <c r="S2299">
        <f>IFERROR(O2299/N2299,0)</f>
        <v/>
      </c>
      <c r="T2299" t="n">
        <v>0</v>
      </c>
      <c r="V2299" t="n">
        <v>0</v>
      </c>
    </row>
    <row r="2300">
      <c r="A2300">
        <f>Skills!A30</f>
        <v/>
      </c>
      <c r="B2300">
        <f>Skills!B30</f>
        <v/>
      </c>
      <c r="C2300">
        <f>Inputs!$B$3&gt;=125</f>
        <v/>
      </c>
      <c r="D2300">
        <f>IF(Skills!C30=1,60+Inputs!$B$25+Inputs!$B$29,IF(Skills!C30=2,90+Inputs!$B$26+Inputs!$B$29,IF(Skills!C30=3,120+Inputs!$B$27+Inputs!$B$29,MAX(0,(Inputs!$B$3-100)*3)+Inputs!$B$28+Inputs!$B$29)))</f>
        <v/>
      </c>
      <c r="E2300">
        <f>INDEX(FactorTable!$B$2:$Y$301, MATCH(ROUND(MIN(300,MAX(1,D2300)),0), FactorTable!$A$2:$A$301,0), Skills!M30+1)</f>
        <v/>
      </c>
      <c r="F2300">
        <f>IF(Skills!N30=TRUE,(Skills!L30/10)*(E2300/1000),Skills!L30/10)+Skills!O30</f>
        <v/>
      </c>
      <c r="G2300">
        <f>Skills!G30*IF(Skills!H30&gt;0,Skills!I30/Skills!H30,1)</f>
        <v/>
      </c>
      <c r="H2300">
        <f>1-(1-Skills!J30/100)^Skills!K30</f>
        <v/>
      </c>
      <c r="I2300" t="inlineStr">
        <is>
          <t>1</t>
        </is>
      </c>
      <c r="J2300" t="inlineStr"/>
      <c r="K2300" t="inlineStr"/>
      <c r="L2300" t="inlineStr"/>
      <c r="M2300" t="inlineStr"/>
      <c r="N2300" t="inlineStr"/>
      <c r="O2300">
        <f>(1-Summary!$B$11)*T2300+Summary!$B$11*V2300</f>
        <v/>
      </c>
      <c r="P2300">
        <f>IF(B2315=0,0,O2300/B2315)</f>
        <v/>
      </c>
      <c r="Q2300" t="n">
        <v>0</v>
      </c>
      <c r="R2300" t="n">
        <v>0</v>
      </c>
      <c r="S2300">
        <f>IFERROR(O2300/N2300,0)</f>
        <v/>
      </c>
      <c r="T2300" t="n">
        <v>0</v>
      </c>
      <c r="V2300" t="n">
        <v>0</v>
      </c>
    </row>
    <row r="2302">
      <c r="A2302" t="inlineStr">
        <is>
          <t>Average Buff Multiplier</t>
        </is>
      </c>
      <c r="B2302">
        <f>(1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f>
        <v/>
      </c>
    </row>
    <row r="2303">
      <c r="A2303" t="inlineStr">
        <is>
          <t>Global Crit Rate Bonus %</t>
        </is>
      </c>
      <c r="B2303">
        <f>((C2290=TRUE)*F2290*IF(AND(Inputs!$B$39&lt;&gt;"pvp",Inputs!$B$44&gt;0),(((R2290-1)*(Skills!Y20*(1+Inputs!$B$34/100))+MIN((Skills!Y20*(1+Inputs!$B$34/100)),MAX(0,Inputs!$B$44-((R2290-1)*Skills!D20))))/Inputs!$B$44),IF(Inputs!$B$39="pvp",MIN((Skills!Y20*(1+Inputs!$B$34/100)),15)/15,(Skills!Y20*(1+Inputs!$B$34/100))/Skills!D20)))</f>
        <v/>
      </c>
    </row>
    <row r="2304">
      <c r="A2304" t="inlineStr">
        <is>
          <t>Global Monster Damage-Taken Bonus %</t>
        </is>
      </c>
      <c r="B2304">
        <f>IF(Inputs!$B$3&gt;=82,15,0)</f>
        <v/>
      </c>
    </row>
    <row r="2305">
      <c r="A2305" t="inlineStr">
        <is>
          <t>Shadow Partner Average Multiplier</t>
        </is>
      </c>
      <c r="B2305">
        <f>1+((C2277=TRUE)*F2277*(1+3.3333333333333335*IF(C2288=TRUE,F2288,0)/100)*I2277*Skills!J7/100)/100</f>
        <v/>
      </c>
    </row>
    <row r="2306">
      <c r="A2306" t="inlineStr">
        <is>
          <t>Attack Speed Buff Bonus %</t>
        </is>
      </c>
      <c r="B2306">
        <f>((C2289=TRUE)*F2289*IF(AND(Inputs!$B$39&lt;&gt;"pvp",Inputs!$B$44&gt;0),(((R2289-1)*(Skills!Y19*(1+Inputs!$B$34/100))+MIN((Skills!Y19*(1+Inputs!$B$34/100)),MAX(0,Inputs!$B$44-((R2289-1)*Skills!D19))))/Inputs!$B$44),IF(Inputs!$B$39="pvp",MIN((Skills!Y19*(1+Inputs!$B$34/100)),15)/15,(Skills!Y19*(1+Inputs!$B$34/100))/Skills!D19)))+((C2273=TRUE)*F2273*3)</f>
        <v/>
      </c>
    </row>
    <row r="2307">
      <c r="A2307" t="inlineStr">
        <is>
          <t>Actions Per Second</t>
        </is>
      </c>
      <c r="B2307">
        <f>1+MIN(150,150*(1-(1-(Inputs!$B$11+((C2292=TRUE)*(F2292-Calc!F22)))/150)*(1-B2306/150)))/100</f>
        <v/>
      </c>
    </row>
    <row r="2308">
      <c r="A2308" t="inlineStr">
        <is>
          <t>Skill + Buff Cast Rate</t>
        </is>
      </c>
      <c r="B2308">
        <f>IF(AND(Inputs!$B$39&lt;&gt;"pvp",Inputs!$B$44&gt;0),SUMPRODUCT((Skills!E2:E30=TRUE)*(C2272:C2300=TRUE)*R2272:R2300*Skills!F2:F30)/Inputs!$B$44,SUMPRODUCT((Skills!E2:E30=TRUE)*(C2272:C2300=TRUE)*Q2272:Q2300*Skills!F2:F30))</f>
        <v/>
      </c>
    </row>
    <row r="2309">
      <c r="A2309" t="inlineStr">
        <is>
          <t>Cruel Stab Casts Per Second</t>
        </is>
      </c>
      <c r="B2309">
        <f>MAX(0,B2307-B2308)</f>
        <v/>
      </c>
    </row>
    <row r="2310">
      <c r="A2310" t="inlineStr">
        <is>
          <t>Global Critical Damage Bonus % (Smokescreen Mastery Lv.113)</t>
        </is>
      </c>
      <c r="B2310">
        <f>IF(Inputs!$B$3&gt;=113,30,0)*IF(AND(Inputs!$B$39&lt;&gt;"pvp",Inputs!$B$44&gt;0),(((R2285-1)*(Skills!Y15*(1+Inputs!$B$34/100))+MIN((Skills!Y15*(1+Inputs!$B$34/100)),MAX(0,Inputs!$B$44-((R2285-1)*Skills!D15))))/Inputs!$B$44),IF(Inputs!$B$39="pvp",MIN((Skills!Y15*(1+Inputs!$B$34/100)),15)/15,(Skills!Y15*(1+Inputs!$B$34/100))/Skills!D15))</f>
        <v/>
      </c>
    </row>
    <row r="2311">
      <c r="A2311" t="inlineStr">
        <is>
          <t>Meso Explosion average stack count</t>
        </is>
      </c>
      <c r="B2311">
        <f>MIN(10,0.5*B2307*Skills!D4)</f>
        <v/>
      </c>
    </row>
    <row r="2312">
      <c r="A2312" t="inlineStr">
        <is>
          <t>Blood Money average stack count</t>
        </is>
      </c>
      <c r="B2312">
        <f>MIN(5,0.25*B2307*Skills!D4)</f>
        <v/>
      </c>
    </row>
    <row r="2313">
      <c r="A2313" t="inlineStr">
        <is>
          <t>Assassinate Murderous Intent Multiplier</t>
        </is>
      </c>
      <c r="B2313">
        <f>1+IFERROR(MIN(1,Q2284*2/Q2281),0)</f>
        <v/>
      </c>
    </row>
    <row r="2314">
      <c r="A2314" t="inlineStr">
        <is>
          <t>Buff-Casting Startup Delay (s, fixed-duration only)</t>
        </is>
      </c>
      <c r="B2314">
        <f>IF(AND(Inputs!$B$39&lt;&gt;"pvp",Inputs!$B$44&gt;0),SUMPRODUCT((Skills!Y2:Y30&gt;0)*(Skills!E2:E30=TRUE)*(C2272:C2300=TRUE))/B2307,0)</f>
        <v/>
      </c>
    </row>
    <row r="2315">
      <c r="A2315" s="6" t="inlineStr">
        <is>
          <t>TOTAL DPS</t>
        </is>
      </c>
      <c r="B2315" s="6">
        <f>SUM(O2272:O2300)</f>
        <v/>
      </c>
    </row>
    <row r="2316">
      <c r="A2316" t="inlineStr">
        <is>
          <t>Boss-Only Total DPS (this block's swept value)</t>
        </is>
      </c>
      <c r="B2316">
        <f>SUM(T2272:T2300)</f>
        <v/>
      </c>
    </row>
    <row r="2317">
      <c r="A2317" t="inlineStr">
        <is>
          <t>Normal-Only Total DPS (this block's swept value)</t>
        </is>
      </c>
      <c r="B2317">
        <f>SUM(V2272:V2300)</f>
        <v/>
      </c>
    </row>
    <row r="2320">
      <c r="A2320" s="6" t="inlineStr">
        <is>
          <t>Stat: Lunar Dew (Equip)</t>
        </is>
      </c>
    </row>
    <row r="2321">
      <c r="A2321" s="5" t="inlineStr">
        <is>
          <t>Key</t>
        </is>
      </c>
      <c r="B2321" s="5" t="inlineStr">
        <is>
          <t>Name</t>
        </is>
      </c>
      <c r="C2321" s="5" t="inlineStr">
        <is>
          <t>Unlocked</t>
        </is>
      </c>
      <c r="D2321" s="5" t="inlineStr">
        <is>
          <t>InputLevel</t>
        </is>
      </c>
      <c r="E2321" s="5" t="inlineStr">
        <is>
          <t>Factor</t>
        </is>
      </c>
      <c r="F2321" s="5" t="inlineStr">
        <is>
          <t>CoefficientPercent</t>
        </is>
      </c>
      <c r="G2321" s="5" t="inlineStr">
        <is>
          <t>EffectiveHits</t>
        </is>
      </c>
      <c r="H2321" s="5" t="inlineStr">
        <is>
          <t>ProcProbability</t>
        </is>
      </c>
      <c r="I2321" s="5" t="inlineStr">
        <is>
          <t>MapleHeroMultiplier</t>
        </is>
      </c>
      <c r="J2321" s="5" t="inlineStr">
        <is>
          <t>BaseDamage</t>
        </is>
      </c>
      <c r="K2321" s="5" t="inlineStr">
        <is>
          <t>BaseHitDamage</t>
        </is>
      </c>
      <c r="L2321" s="5" t="inlineStr">
        <is>
          <t>NonCritAvg</t>
        </is>
      </c>
      <c r="M2321" s="5" t="inlineStr">
        <is>
          <t>CritAvg</t>
        </is>
      </c>
      <c r="N2321" s="5" t="inlineStr">
        <is>
          <t>ExpectedDamage(perHit)</t>
        </is>
      </c>
      <c r="O2321" s="5" t="inlineStr">
        <is>
          <t>DPS</t>
        </is>
      </c>
      <c r="P2321" s="5" t="inlineStr">
        <is>
          <t>% of Total</t>
        </is>
      </c>
      <c r="Q2321" s="5" t="inlineStr">
        <is>
          <t>InvCooldown</t>
        </is>
      </c>
      <c r="R2321" s="5" t="inlineStr">
        <is>
          <t>CastsInFight</t>
        </is>
      </c>
      <c r="S2321" s="5" t="inlineStr">
        <is>
          <t>HitRate(perSec)</t>
        </is>
      </c>
      <c r="U2321" t="inlineStr">
        <is>
          <t>helpers</t>
        </is>
      </c>
    </row>
    <row r="2322">
      <c r="A2322">
        <f>Skills!A2</f>
        <v/>
      </c>
      <c r="B2322">
        <f>Skills!B2</f>
        <v/>
      </c>
      <c r="C2322">
        <f>Inputs!$B$3&gt;=100</f>
        <v/>
      </c>
      <c r="D2322" t="inlineStr"/>
      <c r="E2322" t="inlineStr"/>
      <c r="F2322">
        <f>U2324+Skills!O2</f>
        <v/>
      </c>
      <c r="G2322">
        <f>Skills!G2*IF(Skills!H2&gt;0,Skills!I2/Skills!H2,1)</f>
        <v/>
      </c>
      <c r="H2322">
        <f>1-(1-Skills!J2/100)^Skills!K2</f>
        <v/>
      </c>
      <c r="I2322" t="inlineStr">
        <is>
          <t>1</t>
        </is>
      </c>
      <c r="J2322">
        <f>((Inputs!$B$6*(1+Inputs!$B$7/100))+(((Inputs!$B$12*(1+Inputs!$B$13/100))-(Inputs!$B$12*(1+Inputs!$B$13/100)))+0.25*(Inputs!$B$14-Inputs!$B$14))*(1+Inputs!$B$7/100))*(F2322/100)</f>
        <v/>
      </c>
      <c r="K2322">
        <f>J2322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2322)</f>
        <v/>
      </c>
      <c r="L2322">
        <f>K2322*(MIN(Inputs!$B$22+((C2344=TRUE)*(F2344-Calc!F24)),(Inputs!$B$23+((C2349=TRUE)*(F2349-Calc!F29))+IF(ArtifactsInput!$M$15,CHOOSE(ArtifactsInput!$N$15+1,25,30,35,40,45,50)/100*(Inputs!$B$11-Inputs!$B$11),0)))/100+(Inputs!$B$23+((C2349=TRUE)*(F2349-Calc!F29))+IF(ArtifactsInput!$M$15,CHOOSE(ArtifactsInput!$N$15+1,25,30,35,40,45,50)/100*(Inputs!$B$11-Inputs!$B$11),0))/100)/2</f>
        <v/>
      </c>
      <c r="M2322">
        <f>L2322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2">
        <f>L2322*(1-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2322*(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2">
        <f>(1-Summary!$B$11)*T2322+Summary!$B$11*V2322</f>
        <v/>
      </c>
      <c r="P2322">
        <f>IF(B2365=0,0,O2322/B2365)</f>
        <v/>
      </c>
      <c r="Q2322" t="n">
        <v>0</v>
      </c>
      <c r="R2322" t="n">
        <v>0</v>
      </c>
      <c r="S2322">
        <f>IFERROR(O2322/N2322,0)</f>
        <v/>
      </c>
      <c r="T2322">
        <f>IF(C2322,(Skills!G2*N2322*B2359)*IF(Inputs!$B$39="pvp",1,1+(Inputs!$B$20+0+Skills!P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2322*(1-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2322*(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2322*(1-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2322*(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2">
        <f>MAX(0,(Inputs!$B$3-100)*3)+Inputs!$B$28+Inputs!$B$29</f>
        <v/>
      </c>
      <c r="V2322">
        <f>IF(C2322,(Skills!G2*N2322*B2359)*IF(Inputs!$B$39="pvp",1,(1+(Inputs!$B$21+Skills!Q2+B2354+(IF(ArtifactsInput!$M$33,CHOOSE(ArtifactsInput!$N$33+1,30,36,42,48,54,60),0))+(IF(AND(ArtifactsInput!$M$35,Inputs!$B$4&lt;&gt;"Chapter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3">
      <c r="A2323">
        <f>Skills!A3</f>
        <v/>
      </c>
      <c r="B2323">
        <f>Skills!B3</f>
        <v/>
      </c>
      <c r="C2323">
        <f>Inputs!$B$3&gt;=35</f>
        <v/>
      </c>
      <c r="D2323">
        <f>IF(Skills!C3=1,60+Inputs!$B$25+Inputs!$B$29,IF(Skills!C3=2,90+Inputs!$B$26+Inputs!$B$29,IF(Skills!C3=3,120+Inputs!$B$27+Inputs!$B$29,MAX(0,(Inputs!$B$3-100)*3)+Inputs!$B$28+Inputs!$B$29)))</f>
        <v/>
      </c>
      <c r="E2323">
        <f>INDEX(FactorTable!$B$2:$Y$301, MATCH(ROUND(MIN(300,MAX(1,D2323)),0), FactorTable!$A$2:$A$301,0), Skills!M3+1)</f>
        <v/>
      </c>
      <c r="F2323">
        <f>IF(Skills!N3=TRUE,(Skills!L3/10)*(E2323/1000),Skills!L3/10)+Skills!O3</f>
        <v/>
      </c>
      <c r="G2323">
        <f>Skills!G3*IF(Skills!H3&gt;0,Skills!I3/Skills!H3,1)</f>
        <v/>
      </c>
      <c r="H2323">
        <f>1-(1-Skills!J3/100)^Skills!K3</f>
        <v/>
      </c>
      <c r="I2323" t="inlineStr">
        <is>
          <t>1</t>
        </is>
      </c>
      <c r="J2323" t="inlineStr"/>
      <c r="K2323" t="inlineStr"/>
      <c r="L2323" t="inlineStr"/>
      <c r="M2323" t="inlineStr"/>
      <c r="N2323" t="inlineStr"/>
      <c r="O2323">
        <f>(1-Summary!$B$11)*T2323+Summary!$B$11*V2323</f>
        <v/>
      </c>
      <c r="P2323">
        <f>IF(B2365=0,0,O2323/B2365)</f>
        <v/>
      </c>
      <c r="Q2323" t="n">
        <v>0</v>
      </c>
      <c r="R2323" t="n">
        <v>0</v>
      </c>
      <c r="S2323">
        <f>IFERROR(O2323/N2323,0)</f>
        <v/>
      </c>
      <c r="T2323" t="n">
        <v>0</v>
      </c>
      <c r="U2323">
        <f>INDEX(FactorTable!$B$2:$Y$301, MATCH(ROUND(MIN(300,MAX(1,U2322)),0), FactorTable!$A$2:$A$301,0), 22)</f>
        <v/>
      </c>
      <c r="V2323" t="n">
        <v>0</v>
      </c>
    </row>
    <row r="2324">
      <c r="A2324">
        <f>Skills!A4</f>
        <v/>
      </c>
      <c r="B2324">
        <f>Skills!B4</f>
        <v/>
      </c>
      <c r="C2324">
        <f>Inputs!$B$3&gt;=66</f>
        <v/>
      </c>
      <c r="D2324">
        <f>IF(Skills!C4=1,60+Inputs!$B$25+Inputs!$B$29,IF(Skills!C4=2,90+Inputs!$B$26+Inputs!$B$29,IF(Skills!C4=3,120+Inputs!$B$27+Inputs!$B$29,MAX(0,(Inputs!$B$3-100)*3)+Inputs!$B$28+Inputs!$B$29)))</f>
        <v/>
      </c>
      <c r="E2324">
        <f>INDEX(FactorTable!$B$2:$Y$301, MATCH(ROUND(MIN(300,MAX(1,D2324)),0), FactorTable!$A$2:$A$301,0), Skills!M4+1)</f>
        <v/>
      </c>
      <c r="F2324">
        <f>IF(Skills!N4=TRUE,(Skills!L4/10)*(E2324/1000),Skills!L4/10)+Skills!O4</f>
        <v/>
      </c>
      <c r="G2324">
        <f>Skills!G4*IF(Skills!H4&gt;0,Skills!I4/Skills!H4,1)</f>
        <v/>
      </c>
      <c r="H2324">
        <f>1-(1-Skills!J4/100)^Skills!K4</f>
        <v/>
      </c>
      <c r="I2324" t="inlineStr">
        <is>
          <t>1</t>
        </is>
      </c>
      <c r="J2324">
        <f>((Inputs!$B$6*(1+Inputs!$B$7/100))+(((Inputs!$B$12*(1+Inputs!$B$13/100))-(Inputs!$B$12*(1+Inputs!$B$13/100)))+0.25*(Inputs!$B$14-Inputs!$B$14))*(1+Inputs!$B$7/100))*(F2324/100)</f>
        <v/>
      </c>
      <c r="K2324">
        <f>J2324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2324)</f>
        <v/>
      </c>
      <c r="L2324">
        <f>K2324*(MIN(Inputs!$B$22+((C2344=TRUE)*(F2344-Calc!F24)),(Inputs!$B$23+((C2349=TRUE)*(F2349-Calc!F29))+IF(ArtifactsInput!$M$15,CHOOSE(ArtifactsInput!$N$15+1,25,30,35,40,45,50)/100*(Inputs!$B$11-Inputs!$B$11),0)))/100+(Inputs!$B$23+((C2349=TRUE)*(F2349-Calc!F29))+IF(ArtifactsInput!$M$15,CHOOSE(ArtifactsInput!$N$15+1,25,30,35,40,45,50)/100*(Inputs!$B$11-Inputs!$B$11),0))/100)/2</f>
        <v/>
      </c>
      <c r="M2324">
        <f>L2324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4">
        <f>L2324*(1-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(1-Summary!$B$11)*T2324+Summary!$B$11*V2324</f>
        <v/>
      </c>
      <c r="P2324">
        <f>IF(B2365=0,0,O2324/B2365)</f>
        <v/>
      </c>
      <c r="Q2324">
        <f>IFERROR(1/IF(Inputs!$B$39="pvp",15,MAX(0.1,Skills!D4-IF(Skills!E4=TRUE,Inputs!$B$32,0))),0)</f>
        <v/>
      </c>
      <c r="R2324">
        <f>IF(AND(Inputs!$B$39&lt;&gt;"pvp",Inputs!$B$44&gt;0),IF(MAX(0,Inputs!$B$44-B2364)&lt;=0,0,(INT(MAX(0,Inputs!$B$44-B2364)/IF(Inputs!$B$39="pvp",15,MAX(0.1,Skills!D4-IF(Skills!E4=TRUE,Inputs!$B$32,0))))+1)),0)</f>
        <v/>
      </c>
      <c r="S2324">
        <f>IFERROR(O2324/N2324,0)</f>
        <v/>
      </c>
      <c r="T2324">
        <f>IF(C2324,(H2324*N2324*IF(AND(Inputs!$B$39&lt;&gt;"pvp",Inputs!$B$44&gt;0),((Skills!G4*((R2324-1)*IF(Skills!H4&gt;0,Skills!I4/Skills!H4,1)+IF(Skills!H4&gt;0,MIN(Skills!I4,MAX(0,MAX(0,Inputs!$B$44-B2364)-((R2324-1)*IF(Inputs!$B$39="pvp",15,MAX(0.1,Skills!D4-IF(Skills!E4=TRUE,Inputs!$B$32,0))))))/Skills!H4,1)))/Inputs!$B$44),G2324*Q2324))*IF(Inputs!$B$39="pvp",1,1+(Inputs!$B$20+0+Skills!P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2324*(1-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4">
        <f>290*U2323/1000</f>
        <v/>
      </c>
      <c r="V2324">
        <f>IF(C2324,(H2324*N2324*IF(AND(Inputs!$B$39&lt;&gt;"pvp",Inputs!$B$44&gt;0),((Skills!G4*((R2324-1)*IF(Skills!H4&gt;0,Skills!I4/Skills!H4,1)+IF(Skills!H4&gt;0,MIN(Skills!I4,MAX(0,MAX(0,Inputs!$B$44-B2364)-((R2324-1)*IF(Inputs!$B$39="pvp",15,MAX(0.1,Skills!D4-IF(Skills!E4=TRUE,Inputs!$B$32,0))))))/Skills!H4,1)))/Inputs!$B$44),G2324*Q2324))*IF(Inputs!$B$39="pvp",1,(1+(Inputs!$B$21+Skills!Q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(10,0.5*B2357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Skills!A5</f>
        <v/>
      </c>
      <c r="B2325">
        <f>Skills!B5</f>
        <v/>
      </c>
      <c r="C2325">
        <f>Inputs!$B$3&gt;=63</f>
        <v/>
      </c>
      <c r="D2325">
        <f>IF(Skills!C5=1,60+Inputs!$B$25+Inputs!$B$29,IF(Skills!C5=2,90+Inputs!$B$26+Inputs!$B$29,IF(Skills!C5=3,120+Inputs!$B$27+Inputs!$B$29,MAX(0,(Inputs!$B$3-100)*3)+Inputs!$B$28+Inputs!$B$29)))</f>
        <v/>
      </c>
      <c r="E2325">
        <f>INDEX(FactorTable!$B$2:$Y$301, MATCH(ROUND(MIN(300,MAX(1,D2325)),0), FactorTable!$A$2:$A$301,0), Skills!M5+1)</f>
        <v/>
      </c>
      <c r="F2325">
        <f>IF(Skills!N5=TRUE,(Skills!L5/10)*(E2325/1000),Skills!L5/10)+Skills!O5</f>
        <v/>
      </c>
      <c r="G2325">
        <f>Skills!G5*IF(Skills!H5&gt;0,Skills!I5/Skills!H5,1)</f>
        <v/>
      </c>
      <c r="H2325">
        <f>1-(1-Skills!J5/100)^Skills!K5</f>
        <v/>
      </c>
      <c r="I2325" t="inlineStr">
        <is>
          <t>1</t>
        </is>
      </c>
      <c r="J2325">
        <f>((Inputs!$B$6*(1+Inputs!$B$7/100))+(((Inputs!$B$12*(1+Inputs!$B$13/100))-(Inputs!$B$12*(1+Inputs!$B$13/100)))+0.25*(Inputs!$B$14-Inputs!$B$14))*(1+Inputs!$B$7/100))*(F2325/100)</f>
        <v/>
      </c>
      <c r="K2325">
        <f>J2325*(1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2338=TRUE,F2338,0)/100)*(1+(IF(Skills!A5="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2325)</f>
        <v/>
      </c>
      <c r="L2325">
        <f>K2325*(MIN(Inputs!$B$22+((C2344=TRUE)*(F2344-Calc!F24)),(Inputs!$B$23+((C2349=TRUE)*(F2349-Calc!F29))+IF(ArtifactsInput!$M$15,CHOOSE(ArtifactsInput!$N$15+1,25,30,35,40,45,50)/100*(Inputs!$B$11-Inputs!$B$11),0)))/100+(Inputs!$B$23+((C2349=TRUE)*(F2349-Calc!F29))+IF(ArtifactsInput!$M$15,CHOOSE(ArtifactsInput!$N$15+1,25,30,35,40,45,50)/100*(Inputs!$B$11-Inputs!$B$11),0))/100)/2</f>
        <v/>
      </c>
      <c r="M2325">
        <f>L2325*(1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5">
        <f>L2325*(1-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2325*(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5">
        <f>(1-Summary!$B$11)*T2325+Summary!$B$11*V2325</f>
        <v/>
      </c>
      <c r="P2325">
        <f>IF(B2365=0,0,O2325/B2365)</f>
        <v/>
      </c>
      <c r="Q2325">
        <f>IFERROR(1/IF(Inputs!$B$39="pvp",15,MAX(0.1,Skills!D5-IF(Skills!E5=TRUE,Inputs!$B$32,0))),0)</f>
        <v/>
      </c>
      <c r="R2325">
        <f>IF(AND(Inputs!$B$39&lt;&gt;"pvp",Inputs!$B$44&gt;0),IF(MAX(0,Inputs!$B$44-B2364)&lt;=0,0,(INT(MAX(0,Inputs!$B$44-B2364)/IF(Inputs!$B$39="pvp",15,MAX(0.1,Skills!D5-IF(Skills!E5=TRUE,Inputs!$B$32,0))))+1)),0)</f>
        <v/>
      </c>
      <c r="S2325">
        <f>IFERROR(O2325/N2325,0)</f>
        <v/>
      </c>
      <c r="T2325">
        <f>IF(C2325,(H2325*N2325*IF(AND(Inputs!$B$39&lt;&gt;"pvp",Inputs!$B$44&gt;0),((Skills!G5*((R2325-1)*IF(Skills!H5&gt;0,Skills!I5/Skills!H5,1)+IF(Skills!H5&gt;0,MIN(Skills!I5,MAX(0,MAX(0,Inputs!$B$44-B2364)-((R2325-1)*IF(Inputs!$B$39="pvp",15,MAX(0.1,Skills!D5-IF(Skills!E5=TRUE,Inputs!$B$32,0))))))/Skills!H5,1)))/Inputs!$B$44),G2325*Q2325))*IF(Inputs!$B$39="pvp",1,1+(Inputs!$B$20+0+Skills!P5+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2325*(1-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2325*(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2325*(1-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2325*(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5">
        <f>IF(C2325,(H2325*N2325*IF(AND(Inputs!$B$39&lt;&gt;"pvp",Inputs!$B$44&gt;0),((Skills!G5*((R2325-1)*IF(Skills!H5&gt;0,Skills!I5/Skills!H5,1)+IF(Skills!H5&gt;0,MIN(Skills!I5,MAX(0,MAX(0,Inputs!$B$44-B2364)-((R2325-1)*IF(Inputs!$B$39="pvp",15,MAX(0.1,Skills!D5-IF(Skills!E5=TRUE,Inputs!$B$32,0))))))/Skills!H5,1)))/Inputs!$B$44),G2325*Q2325))*IF(Inputs!$B$39="pvp",1,(1+(Inputs!$B$21+Skills!Q5+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6">
      <c r="A2326">
        <f>Skills!A6</f>
        <v/>
      </c>
      <c r="B2326">
        <f>Skills!B6</f>
        <v/>
      </c>
      <c r="C2326">
        <f>Inputs!$B$3&gt;=69</f>
        <v/>
      </c>
      <c r="D2326">
        <f>IF(Skills!C6=1,60+Inputs!$B$25+Inputs!$B$29,IF(Skills!C6=2,90+Inputs!$B$26+Inputs!$B$29,IF(Skills!C6=3,120+Inputs!$B$27+Inputs!$B$29,MAX(0,(Inputs!$B$3-100)*3)+Inputs!$B$28+Inputs!$B$29)))</f>
        <v/>
      </c>
      <c r="E2326">
        <f>INDEX(FactorTable!$B$2:$Y$301, MATCH(ROUND(MIN(300,MAX(1,D2326)),0), FactorTable!$A$2:$A$301,0), Skills!M6+1)</f>
        <v/>
      </c>
      <c r="F2326">
        <f>IF(Skills!N6=TRUE,(Skills!L6/10)*(E2326/1000),Skills!L6/10)+Skills!O6</f>
        <v/>
      </c>
      <c r="G2326">
        <f>Skills!G6*IF(Skills!H6&gt;0,Skills!I6/Skills!H6,1)</f>
        <v/>
      </c>
      <c r="H2326">
        <f>1-(1-Skills!J6/100)^Skills!K6</f>
        <v/>
      </c>
      <c r="I2326" t="inlineStr">
        <is>
          <t>1</t>
        </is>
      </c>
      <c r="J2326">
        <f>((Inputs!$B$6*(1+Inputs!$B$7/100))+(((Inputs!$B$12*(1+Inputs!$B$13/100))-(Inputs!$B$12*(1+Inputs!$B$13/100)))+0.25*(Inputs!$B$14-Inputs!$B$14))*(1+Inputs!$B$7/100))*(F2326/100)</f>
        <v/>
      </c>
      <c r="K2326">
        <f>J2326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6="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2326)</f>
        <v/>
      </c>
      <c r="L2326">
        <f>K2326*(MIN(Inputs!$B$22+((C2344=TRUE)*(F2344-Calc!F24)),(Inputs!$B$23+((C2349=TRUE)*(F2349-Calc!F29))+IF(ArtifactsInput!$M$15,CHOOSE(ArtifactsInput!$N$15+1,25,30,35,40,45,50)/100*(Inputs!$B$11-Inputs!$B$11),0)))/100+(Inputs!$B$23+((C2349=TRUE)*(F2349-Calc!F29))+IF(ArtifactsInput!$M$15,CHOOSE(ArtifactsInput!$N$15+1,25,30,35,40,45,50)/100*(Inputs!$B$11-Inputs!$B$11),0))/100)/2</f>
        <v/>
      </c>
      <c r="M2326">
        <f>L2326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6">
        <f>L2326*(1-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2326*(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6">
        <f>(1-Summary!$B$11)*T2326+Summary!$B$11*V2326</f>
        <v/>
      </c>
      <c r="P2326">
        <f>IF(B2365=0,0,O2326/B2365)</f>
        <v/>
      </c>
      <c r="Q2326">
        <f>IFERROR(1/IF(Inputs!$B$39="pvp",15,MAX(0.1,Skills!D6-IF(Skills!E6=TRUE,Inputs!$B$32,0))),0)</f>
        <v/>
      </c>
      <c r="R2326">
        <f>IF(AND(Inputs!$B$39&lt;&gt;"pvp",Inputs!$B$44&gt;0),IF(MAX(0,Inputs!$B$44-B2364)&lt;=0,0,(INT(MAX(0,Inputs!$B$44-B2364)/IF(Inputs!$B$39="pvp",15,MAX(0.1,Skills!D6-IF(Skills!E6=TRUE,Inputs!$B$32,0))))+1)),0)</f>
        <v/>
      </c>
      <c r="S2326">
        <f>IFERROR(O2326/N2326,0)</f>
        <v/>
      </c>
      <c r="T2326">
        <f>IF(C2326,(H2326*N2326*IF(AND(Inputs!$B$39&lt;&gt;"pvp",Inputs!$B$44&gt;0),((Skills!G6*((R2326-1)*IF(Skills!H6&gt;0,Skills!I6/Skills!H6,1)+IF(Skills!H6&gt;0,MIN(Skills!I6,MAX(0,MAX(0,Inputs!$B$44-B2364)-((R2326-1)*IF(Inputs!$B$39="pvp",15,MAX(0.1,Skills!D6-IF(Skills!E6=TRUE,Inputs!$B$32,0))))))/Skills!H6,1)))/Inputs!$B$44),G2326*Q2326))*IF(Inputs!$B$39="pvp",1,1+(Inputs!$B$20+0+Skills!P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2326*(1-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2326*(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2326*(1-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2326*(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6">
        <f>IF(C2326,(H2326*N2326*IF(AND(Inputs!$B$39&lt;&gt;"pvp",Inputs!$B$44&gt;0),((Skills!G6*((R2326-1)*IF(Skills!H6&gt;0,Skills!I6/Skills!H6,1)+IF(Skills!H6&gt;0,MIN(Skills!I6,MAX(0,MAX(0,Inputs!$B$44-B2364)-((R2326-1)*IF(Inputs!$B$39="pvp",15,MAX(0.1,Skills!D6-IF(Skills!E6=TRUE,Inputs!$B$32,0))))))/Skills!H6,1)))/Inputs!$B$44),G2326*Q2326))*IF(Inputs!$B$39="pvp",1,(1+(Inputs!$B$21+Skills!Q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7">
      <c r="A2327">
        <f>Skills!A7</f>
        <v/>
      </c>
      <c r="B2327">
        <f>Skills!B7</f>
        <v/>
      </c>
      <c r="C2327">
        <f>Inputs!$B$3&gt;=60</f>
        <v/>
      </c>
      <c r="D2327">
        <f>IF(Skills!C7=1,60+Inputs!$B$25+Inputs!$B$29,IF(Skills!C7=2,90+Inputs!$B$26+Inputs!$B$29,IF(Skills!C7=3,120+Inputs!$B$27+Inputs!$B$29,MAX(0,(Inputs!$B$3-100)*3)+Inputs!$B$28+Inputs!$B$29)))</f>
        <v/>
      </c>
      <c r="E2327">
        <f>INDEX(FactorTable!$B$2:$Y$301, MATCH(ROUND(MIN(300,MAX(1,D2327)),0), FactorTable!$A$2:$A$301,0), Skills!M7+1)</f>
        <v/>
      </c>
      <c r="F2327">
        <f>IF(Skills!N7=TRUE,(Skills!L7/10)*(E2327/1000),Skills!L7/10)+Skills!O7</f>
        <v/>
      </c>
      <c r="G2327">
        <f>Skills!G7*IF(Skills!H7&gt;0,Skills!I7/Skills!H7,1)</f>
        <v/>
      </c>
      <c r="H2327">
        <f>1-(1-Skills!J7/100)^Skills!K7</f>
        <v/>
      </c>
      <c r="I2327" t="inlineStr">
        <is>
          <t>1</t>
        </is>
      </c>
      <c r="J2327" t="inlineStr"/>
      <c r="K2327" t="inlineStr"/>
      <c r="L2327" t="inlineStr"/>
      <c r="M2327" t="inlineStr"/>
      <c r="N2327" t="inlineStr"/>
      <c r="O2327">
        <f>(1-Summary!$B$11)*T2327+Summary!$B$11*V2327</f>
        <v/>
      </c>
      <c r="P2327">
        <f>IF(B2365=0,0,O2327/B2365)</f>
        <v/>
      </c>
      <c r="Q2327" t="n">
        <v>0</v>
      </c>
      <c r="R2327" t="n">
        <v>0</v>
      </c>
      <c r="S2327">
        <f>IFERROR(O2327/N2327,0)</f>
        <v/>
      </c>
      <c r="T2327" t="n">
        <v>0</v>
      </c>
      <c r="V2327" t="n">
        <v>0</v>
      </c>
    </row>
    <row r="2328">
      <c r="A2328">
        <f>Skills!A8</f>
        <v/>
      </c>
      <c r="B2328">
        <f>Skills!B8</f>
        <v/>
      </c>
      <c r="C2328">
        <f>Inputs!$B$3&gt;=72</f>
        <v/>
      </c>
      <c r="D2328">
        <f>IF(Skills!C8=1,60+Inputs!$B$25+Inputs!$B$29,IF(Skills!C8=2,90+Inputs!$B$26+Inputs!$B$29,IF(Skills!C8=3,120+Inputs!$B$27+Inputs!$B$29,MAX(0,(Inputs!$B$3-100)*3)+Inputs!$B$28+Inputs!$B$29)))</f>
        <v/>
      </c>
      <c r="E2328">
        <f>INDEX(FactorTable!$B$2:$Y$301, MATCH(ROUND(MIN(300,MAX(1,D2328)),0), FactorTable!$A$2:$A$301,0), Skills!M8+1)</f>
        <v/>
      </c>
      <c r="F2328">
        <f>IF(Skills!N8=TRUE,(Skills!L8/10)*(E2328/1000),Skills!L8/10)+Skills!O8</f>
        <v/>
      </c>
      <c r="G2328">
        <f>Skills!G8*IF(Skills!H8&gt;0,Skills!I8/Skills!H8,1)</f>
        <v/>
      </c>
      <c r="H2328">
        <f>1-(1-Skills!J8/100)^Skills!K8</f>
        <v/>
      </c>
      <c r="I2328" t="inlineStr">
        <is>
          <t>1</t>
        </is>
      </c>
      <c r="J2328">
        <f>((Inputs!$B$6*(1+Inputs!$B$7/100))+(((Inputs!$B$12*(1+Inputs!$B$13/100))-(Inputs!$B$12*(1+Inputs!$B$13/100)))+0.25*(Inputs!$B$14-Inputs!$B$14))*(1+Inputs!$B$7/100))*(F2328/100)</f>
        <v/>
      </c>
      <c r="K2328">
        <f>J2328*(1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2338=TRUE,F2338,0)/100)*(1+(IF(Skills!A8="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2328)</f>
        <v/>
      </c>
      <c r="L2328">
        <f>K2328*(MIN(Inputs!$B$22+((C2344=TRUE)*(F2344-Calc!F24)),(Inputs!$B$23+((C2349=TRUE)*(F2349-Calc!F29))+IF(ArtifactsInput!$M$15,CHOOSE(ArtifactsInput!$N$15+1,25,30,35,40,45,50)/100*(Inputs!$B$11-Inputs!$B$11),0)))/100+(Inputs!$B$23+((C2349=TRUE)*(F2349-Calc!F29))+IF(ArtifactsInput!$M$15,CHOOSE(ArtifactsInput!$N$15+1,25,30,35,40,45,50)/100*(Inputs!$B$11-Inputs!$B$11),0))/100)/2</f>
        <v/>
      </c>
      <c r="M2328">
        <f>L2328*(1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IF(B2365=0,0,O2328/B2365)</f>
        <v/>
      </c>
      <c r="Q2328">
        <f>IFERROR(1/IF(Inputs!$B$39="pvp",15,MAX(0.1,Skills!D8-IF(Skills!E8=TRUE,Inputs!$B$32,0))),0)</f>
        <v/>
      </c>
      <c r="R2328">
        <f>IF(AND(Inputs!$B$39&lt;&gt;"pvp",Inputs!$B$44&gt;0),IF(MAX(0,Inputs!$B$44-B2364)&lt;=0,0,(INT(MAX(0,Inputs!$B$44-B2364)/IF(Inputs!$B$39="pvp",15,MAX(0.1,Skills!D8-IF(Skills!E8=TRUE,Inputs!$B$32,0))))+1)),0)</f>
        <v/>
      </c>
      <c r="S2328">
        <f>IFERROR(O2328/N2328,0)</f>
        <v/>
      </c>
      <c r="T2328">
        <f>IF(C2328,(H2328*N2328*IF(AND(Inputs!$B$39&lt;&gt;"pvp",Inputs!$B$44&gt;0),((Skills!G8*((R2328-1)*IF(Skills!H8&gt;0,Skills!I8/Skills!H8,1)+IF(Skills!H8&gt;0,MIN(Skills!I8,MAX(0,MAX(0,Inputs!$B$44-B2364)-((R2328-1)*IF(Inputs!$B$39="pvp",15,MAX(0.1,Skills!D8-IF(Skills!E8=TRUE,Inputs!$B$32,0))))))/Skills!H8,1)))/Inputs!$B$44),G2328*Q2328))*IF(Inputs!$B$39="pvp",1,1+(Inputs!$B$20+0+Skills!P8+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2328*(1-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8">
        <f>IF(C2328,(H2328*N2328*IF(AND(Inputs!$B$39&lt;&gt;"pvp",Inputs!$B$44&gt;0),((Skills!G8*((R2328-1)*IF(Skills!H8&gt;0,Skills!I8/Skills!H8,1)+IF(Skills!H8&gt;0,MIN(Skills!I8,MAX(0,MAX(0,Inputs!$B$44-B2364)-((R2328-1)*IF(Inputs!$B$39="pvp",15,MAX(0.1,Skills!D8-IF(Skills!E8=TRUE,Inputs!$B$32,0))))))/Skills!H8,1)))/Inputs!$B$44),G2328*Q2328))*IF(Inputs!$B$39="pvp",1,(1+(Inputs!$B$21+Skills!Q8+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Skills!A9</f>
        <v/>
      </c>
      <c r="B2329">
        <f>Skills!B9</f>
        <v/>
      </c>
      <c r="C2329">
        <f>Inputs!$B$3&gt;=117</f>
        <v/>
      </c>
      <c r="D2329">
        <f>IF(Skills!C9=1,60+Inputs!$B$25+Inputs!$B$29,IF(Skills!C9=2,90+Inputs!$B$26+Inputs!$B$29,IF(Skills!C9=3,120+Inputs!$B$27+Inputs!$B$29,MAX(0,(Inputs!$B$3-100)*3)+Inputs!$B$28+Inputs!$B$29)))</f>
        <v/>
      </c>
      <c r="E2329">
        <f>INDEX(FactorTable!$B$2:$Y$301, MATCH(ROUND(MIN(300,MAX(1,D2329)),0), FactorTable!$A$2:$A$301,0), Skills!M9+1)</f>
        <v/>
      </c>
      <c r="F2329">
        <f>IF(Skills!N9=TRUE,(Skills!L9/10)*(E2329/1000),Skills!L9/10)+Skills!O9</f>
        <v/>
      </c>
      <c r="G2329">
        <f>Skills!G9*IF(Skills!H9&gt;0,Skills!I9/Skills!H9,1)</f>
        <v/>
      </c>
      <c r="H2329">
        <f>1-(1-Skills!J9/100)^Skills!K9</f>
        <v/>
      </c>
      <c r="I2329" t="inlineStr">
        <is>
          <t>1</t>
        </is>
      </c>
      <c r="J2329">
        <f>((Inputs!$B$6*(1+Inputs!$B$7/100))+(((Inputs!$B$12*(1+Inputs!$B$13/100))-(Inputs!$B$12*(1+Inputs!$B$13/100)))+0.25*(Inputs!$B$14-Inputs!$B$14))*(1+Inputs!$B$7/100))*(F2329/100)</f>
        <v/>
      </c>
      <c r="K2329">
        <f>J2329*(1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2329)</f>
        <v/>
      </c>
      <c r="L2329">
        <f>K2329*(MIN(Inputs!$B$22+((C2344=TRUE)*(F2344-Calc!F24)),(Inputs!$B$23+((C2349=TRUE)*(F2349-Calc!F29))+IF(ArtifactsInput!$M$15,CHOOSE(ArtifactsInput!$N$15+1,25,30,35,40,45,50)/100*(Inputs!$B$11-Inputs!$B$11),0)))/100+(Inputs!$B$23+((C2349=TRUE)*(F2349-Calc!F29))+IF(ArtifactsInput!$M$15,CHOOSE(ArtifactsInput!$N$15+1,25,30,35,40,45,50)/100*(Inputs!$B$11-Inputs!$B$11),0))/100)/2</f>
        <v/>
      </c>
      <c r="M2329">
        <f>L2329*(1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IF(B2365=0,0,O2329/B2365)</f>
        <v/>
      </c>
      <c r="Q2329" t="n">
        <v>0</v>
      </c>
      <c r="R2329" t="n">
        <v>0</v>
      </c>
      <c r="S2329" t="n">
        <v>0</v>
      </c>
      <c r="T2329">
        <f>IF(C2329,(0.2*SUMPRODUCT((Skills!Z2:Z30=TRUE)*(C2322:C2350=TRUE)*S2322:S2350)*N2329)*IF(Inputs!$B$39="pvp",1,1+(Inputs!$B$20+0+Skills!P9+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2329*(1-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9">
        <f>IF(C2329,(0.2*SUMPRODUCT((Skills!Z2:Z30=TRUE)*(C2322:C2350=TRUE)*S2322:S2350)*N2329)*IF(Inputs!$B$39="pvp",1,(1+(Inputs!$B$21+Skills!Q9+B2354+(IF(ArtifactsInput!$M$33,CHOOSE(ArtifactsInput!$N$33+1,30,36,42,48,54,60),0))+(IF(AND(ArtifactsInput!$M$35,Inputs!$B$4&lt;&gt;"Chapter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Skills!A10</f>
        <v/>
      </c>
      <c r="B2330">
        <f>Skills!B10</f>
        <v/>
      </c>
      <c r="C2330">
        <f>Inputs!$B$3&gt;=74</f>
        <v/>
      </c>
      <c r="D2330">
        <f>IF(Skills!C10=1,60+Inputs!$B$25+Inputs!$B$29,IF(Skills!C10=2,90+Inputs!$B$26+Inputs!$B$29,IF(Skills!C10=3,120+Inputs!$B$27+Inputs!$B$29,MAX(0,(Inputs!$B$3-100)*3)+Inputs!$B$28+Inputs!$B$29)))</f>
        <v/>
      </c>
      <c r="E2330">
        <f>INDEX(FactorTable!$B$2:$Y$301, MATCH(ROUND(MIN(300,MAX(1,D2330)),0), FactorTable!$A$2:$A$301,0), Skills!M10+1)</f>
        <v/>
      </c>
      <c r="F2330">
        <f>IF(Skills!N10=TRUE,(Skills!L10/10)*(E2330/1000),Skills!L10/10)+Skills!O10</f>
        <v/>
      </c>
      <c r="G2330">
        <f>Skills!G10*IF(Skills!H10&gt;0,Skills!I10/Skills!H10,1)</f>
        <v/>
      </c>
      <c r="H2330">
        <f>1-(1-Skills!J10/100)^Skills!K10</f>
        <v/>
      </c>
      <c r="I2330" t="inlineStr">
        <is>
          <t>1</t>
        </is>
      </c>
      <c r="J2330" t="inlineStr"/>
      <c r="K2330" t="inlineStr"/>
      <c r="L2330" t="inlineStr"/>
      <c r="M2330" t="inlineStr"/>
      <c r="N2330" t="inlineStr"/>
      <c r="O2330">
        <f>(1-Summary!$B$11)*T2330+Summary!$B$11*V2330</f>
        <v/>
      </c>
      <c r="P2330">
        <f>IF(B2365=0,0,O2330/B2365)</f>
        <v/>
      </c>
      <c r="Q2330">
        <f>IFERROR(1/IF(Inputs!$B$39="pvp",15,MAX(0.1,Skills!D10-IF(Skills!E10=TRUE,Inputs!$B$32,0))),0)</f>
        <v/>
      </c>
      <c r="R2330">
        <f>IF(AND(Inputs!$B$39&lt;&gt;"pvp",Inputs!$B$44&gt;0),IF(Inputs!$B$44&lt;=0,0,(INT(Inputs!$B$44/IF(Inputs!$B$39="pvp",15,MAX(0.1,Skills!D10-IF(Skills!E10=TRUE,Inputs!$B$32,0))))+1)),0)</f>
        <v/>
      </c>
      <c r="S2330">
        <f>IFERROR(O2330/N2330,0)</f>
        <v/>
      </c>
      <c r="T2330" t="n">
        <v>0</v>
      </c>
      <c r="V2330" t="n">
        <v>0</v>
      </c>
    </row>
    <row r="2331">
      <c r="A2331">
        <f>Skills!A11</f>
        <v/>
      </c>
      <c r="B2331">
        <f>Skills!B11</f>
        <v/>
      </c>
      <c r="C2331">
        <f>Inputs!$B$3&gt;=103</f>
        <v/>
      </c>
      <c r="D2331">
        <f>IF(Skills!C11=1,60+Inputs!$B$25+Inputs!$B$29,IF(Skills!C11=2,90+Inputs!$B$26+Inputs!$B$29,IF(Skills!C11=3,120+Inputs!$B$27+Inputs!$B$29,MAX(0,(Inputs!$B$3-100)*3)+Inputs!$B$28+Inputs!$B$29)))</f>
        <v/>
      </c>
      <c r="E2331">
        <f>INDEX(FactorTable!$B$2:$Y$301, MATCH(ROUND(MIN(300,MAX(1,D2331)),0), FactorTable!$A$2:$A$301,0), Skills!M11+1)</f>
        <v/>
      </c>
      <c r="F2331">
        <f>(Skills!L11/10)*(E2331/1000)+IF(Inputs!$B$3&gt;=134,50,0)+0.5*(30000/10)*(INDEX(FactorTable!$B$2:$Y$301, MATCH(ROUND(MIN(300,MAX(1,D2331)),0), FactorTable!$A$2:$A$301,0), 13)/1000)*B2363</f>
        <v/>
      </c>
      <c r="G2331">
        <f>Skills!G11*IF(Skills!H11&gt;0,Skills!I11/Skills!H11,1)</f>
        <v/>
      </c>
      <c r="H2331">
        <f>1-(1-Skills!J11/100)^Skills!K11</f>
        <v/>
      </c>
      <c r="I2331" t="inlineStr">
        <is>
          <t>1</t>
        </is>
      </c>
      <c r="J2331">
        <f>((Inputs!$B$6*(1+Inputs!$B$7/100))+(((Inputs!$B$12*(1+Inputs!$B$13/100))-(Inputs!$B$12*(1+Inputs!$B$13/100)))+0.25*(Inputs!$B$14-Inputs!$B$14))*(1+Inputs!$B$7/100))*(F2331/100)</f>
        <v/>
      </c>
      <c r="K2331">
        <f>J2331*(1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2331)</f>
        <v/>
      </c>
      <c r="L2331">
        <f>K2331*(MIN(Inputs!$B$22+((C2344=TRUE)*(F2344-Calc!F24)),(Inputs!$B$23+((C2349=TRUE)*(F2349-Calc!F29))+IF(ArtifactsInput!$M$15,CHOOSE(ArtifactsInput!$N$15+1,25,30,35,40,45,50)/100*(Inputs!$B$11-Inputs!$B$11),0)))/100+(Inputs!$B$23+((C2349=TRUE)*(F2349-Calc!F29))+IF(ArtifactsInput!$M$15,CHOOSE(ArtifactsInput!$N$15+1,25,30,35,40,45,50)/100*(Inputs!$B$11-Inputs!$B$11),0))/100)/2</f>
        <v/>
      </c>
      <c r="M2331">
        <f>L2331*(1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IF(B2365=0,0,O2331/B2365)</f>
        <v/>
      </c>
      <c r="Q2331">
        <f>IFERROR(1/IF(Inputs!$B$39="pvp",15,MAX(0.1,Skills!D11-IF(Skills!E11=TRUE,Inputs!$B$32,0))),0)</f>
        <v/>
      </c>
      <c r="R2331">
        <f>IF(AND(Inputs!$B$39&lt;&gt;"pvp",Inputs!$B$44&gt;0),IF(MAX(0,Inputs!$B$44-B2364)&lt;=0,0,(INT(MAX(0,Inputs!$B$44-B2364)/IF(Inputs!$B$39="pvp",15,MAX(0.1,Skills!D11-IF(Skills!E11=TRUE,Inputs!$B$32,0))))+1)),0)</f>
        <v/>
      </c>
      <c r="S2331">
        <f>IFERROR(O2331/N2331,0)</f>
        <v/>
      </c>
      <c r="T2331">
        <f>IF(C2331,(H2331*N2331*IF(AND(Inputs!$B$39&lt;&gt;"pvp",Inputs!$B$44&gt;0),((Skills!G11*((R2331-1)*IF(Skills!H11&gt;0,Skills!I11/Skills!H11,1)+IF(Skills!H11&gt;0,MIN(Skills!I11,MAX(0,MAX(0,Inputs!$B$44-B2364)-((R2331-1)*IF(Inputs!$B$39="pvp",15,MAX(0.1,Skills!D11-IF(Skills!E11=TRUE,Inputs!$B$32,0))))))/Skills!H11,1)))/Inputs!$B$44),G2331*Q2331))*IF(Inputs!$B$39="pvp",1,1+(Inputs!$B$20+0+Skills!P11+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1">
        <f>IF(C2331,(H2331*N2331*IF(AND(Inputs!$B$39&lt;&gt;"pvp",Inputs!$B$44&gt;0),((Skills!G11*((R2331-1)*IF(Skills!H11&gt;0,Skills!I11/Skills!H11,1)+IF(Skills!H11&gt;0,MIN(Skills!I11,MAX(0,MAX(0,Inputs!$B$44-B2364)-((R2331-1)*IF(Inputs!$B$39="pvp",15,MAX(0.1,Skills!D11-IF(Skills!E11=TRUE,Inputs!$B$32,0))))))/Skills!H11,1)))/Inputs!$B$44),G2331*Q2331))*IF(Inputs!$B$39="pvp",1,(1+(Inputs!$B$21+Skills!Q11+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Skills!A12</f>
        <v/>
      </c>
      <c r="B2332">
        <f>Skills!B12</f>
        <v/>
      </c>
      <c r="C2332">
        <f>Inputs!$B$3&gt;=105</f>
        <v/>
      </c>
      <c r="D2332">
        <f>IF(Skills!C12=1,60+Inputs!$B$25+Inputs!$B$29,IF(Skills!C12=2,90+Inputs!$B$26+Inputs!$B$29,IF(Skills!C12=3,120+Inputs!$B$27+Inputs!$B$29,MAX(0,(Inputs!$B$3-100)*3)+Inputs!$B$28+Inputs!$B$29)))</f>
        <v/>
      </c>
      <c r="E2332">
        <f>INDEX(FactorTable!$B$2:$Y$301, MATCH(ROUND(MIN(300,MAX(1,D2332)),0), FactorTable!$A$2:$A$301,0), Skills!M12+1)</f>
        <v/>
      </c>
      <c r="F2332">
        <f>IF(Skills!N12=TRUE,(Skills!L12/10)*(E2332/1000),Skills!L12/10)+Skills!O12</f>
        <v/>
      </c>
      <c r="G2332">
        <f>Skills!G12*IF(Skills!H12&gt;0,Skills!I12/Skills!H12,1)</f>
        <v/>
      </c>
      <c r="H2332">
        <f>1-(1-Skills!J12/100)^Skills!K12</f>
        <v/>
      </c>
      <c r="I2332" t="inlineStr">
        <is>
          <t>1</t>
        </is>
      </c>
      <c r="J2332">
        <f>((Inputs!$B$6*(1+Inputs!$B$7/100))+(((Inputs!$B$12*(1+Inputs!$B$13/100))-(Inputs!$B$12*(1+Inputs!$B$13/100)))+0.25*(Inputs!$B$14-Inputs!$B$14))*(1+Inputs!$B$7/100))*(F2332/100)</f>
        <v/>
      </c>
      <c r="K2332">
        <f>J2332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2332)</f>
        <v/>
      </c>
      <c r="L2332">
        <f>K2332*(MIN(Inputs!$B$22+((C2344=TRUE)*(F2344-Calc!F24)),(Inputs!$B$23+((C2349=TRUE)*(F2349-Calc!F29))+IF(ArtifactsInput!$M$15,CHOOSE(ArtifactsInput!$N$15+1,25,30,35,40,45,50)/100*(Inputs!$B$11-Inputs!$B$11),0)))/100+(Inputs!$B$23+((C2349=TRUE)*(F2349-Calc!F29))+IF(ArtifactsInput!$M$15,CHOOSE(ArtifactsInput!$N$15+1,25,30,35,40,45,50)/100*(Inputs!$B$11-Inputs!$B$11),0))/100)/2</f>
        <v/>
      </c>
      <c r="M2332">
        <f>L2332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2">
        <f>L2332*(1-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2332*(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2">
        <f>(1-Summary!$B$11)*T2332+Summary!$B$11*V2332</f>
        <v/>
      </c>
      <c r="P2332">
        <f>IF(B2365=0,0,O2332/B2365)</f>
        <v/>
      </c>
      <c r="Q2332">
        <f>IFERROR(1/IF(Inputs!$B$39="pvp",15,MAX(0.1,Skills!D12-IF(Skills!E12=TRUE,Inputs!$B$32,0))),0)</f>
        <v/>
      </c>
      <c r="R2332">
        <f>IF(AND(Inputs!$B$39&lt;&gt;"pvp",Inputs!$B$44&gt;0),IF(MAX(0,Inputs!$B$44-B2364)&lt;=0,0,(INT(MAX(0,Inputs!$B$44-B2364)/IF(Inputs!$B$39="pvp",15,MAX(0.1,Skills!D12-IF(Skills!E12=TRUE,Inputs!$B$32,0))))+1)),0)</f>
        <v/>
      </c>
      <c r="S2332">
        <f>IFERROR(O2332/N2332,0)</f>
        <v/>
      </c>
      <c r="T2332">
        <f>IF(C2332,(H2332*N2332*IF(AND(Inputs!$B$39&lt;&gt;"pvp",Inputs!$B$44&gt;0),((Skills!G12*((R2332-1)*IF(Skills!H12&gt;0,Skills!I12/Skills!H12,1)+IF(Skills!H12&gt;0,MIN(Skills!I12,MAX(0,MAX(0,Inputs!$B$44-B2364)-((R2332-1)*IF(Inputs!$B$39="pvp",15,MAX(0.1,Skills!D12-IF(Skills!E12=TRUE,Inputs!$B$32,0))))))/Skills!H12,1)))/Inputs!$B$44),G2332*Q2332))*IF(Inputs!$B$39="pvp",1,1+(Inputs!$B$20+0+Skills!P12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2332*(1-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2332*(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2332*(1-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2332*(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2">
        <f>IF(C2332,(H2332*N2332*IF(AND(Inputs!$B$39&lt;&gt;"pvp",Inputs!$B$44&gt;0),((Skills!G12*((R2332-1)*IF(Skills!H12&gt;0,Skills!I12/Skills!H12,1)+IF(Skills!H12&gt;0,MIN(Skills!I12,MAX(0,MAX(0,Inputs!$B$44-B2364)-((R2332-1)*IF(Inputs!$B$39="pvp",15,MAX(0.1,Skills!D12-IF(Skills!E12=TRUE,Inputs!$B$32,0))))))/Skills!H12,1)))/Inputs!$B$44),G2332*Q2332))*IF(Inputs!$B$39="pvp",1,(1+(Inputs!$B$21+Skills!Q12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3">
      <c r="A2333">
        <f>Skills!A13</f>
        <v/>
      </c>
      <c r="B2333">
        <f>Skills!B13</f>
        <v/>
      </c>
      <c r="C2333">
        <f>Inputs!$B$3&gt;=105</f>
        <v/>
      </c>
      <c r="D2333">
        <f>IF(Skills!C13=1,60+Inputs!$B$25+Inputs!$B$29,IF(Skills!C13=2,90+Inputs!$B$26+Inputs!$B$29,IF(Skills!C13=3,120+Inputs!$B$27+Inputs!$B$29,MAX(0,(Inputs!$B$3-100)*3)+Inputs!$B$28+Inputs!$B$29)))</f>
        <v/>
      </c>
      <c r="E2333">
        <f>INDEX(FactorTable!$B$2:$Y$301, MATCH(ROUND(MIN(300,MAX(1,D2333)),0), FactorTable!$A$2:$A$301,0), Skills!M13+1)</f>
        <v/>
      </c>
      <c r="F2333">
        <f>IF(Skills!N13=TRUE,(Skills!L13/10)*(E2333/1000),Skills!L13/10)+Skills!O13</f>
        <v/>
      </c>
      <c r="G2333">
        <f>Skills!G13*IF(Skills!H13&gt;0,Skills!I13/Skills!H13,1)</f>
        <v/>
      </c>
      <c r="H2333">
        <f>1-(1-Skills!J13/100)^Skills!K13</f>
        <v/>
      </c>
      <c r="I2333" t="inlineStr">
        <is>
          <t>1</t>
        </is>
      </c>
      <c r="J2333">
        <f>((Inputs!$B$6*(1+Inputs!$B$7/100))+(((Inputs!$B$12*(1+Inputs!$B$13/100))-(Inputs!$B$12*(1+Inputs!$B$13/100)))+0.25*(Inputs!$B$14-Inputs!$B$14))*(1+Inputs!$B$7/100))*(F2333/100)</f>
        <v/>
      </c>
      <c r="K2333">
        <f>J2333*(1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2333)</f>
        <v/>
      </c>
      <c r="L2333">
        <f>K2333*(MIN(Inputs!$B$22+((C2344=TRUE)*(F2344-Calc!F24)),(Inputs!$B$23+((C2349=TRUE)*(F2349-Calc!F29))+IF(ArtifactsInput!$M$15,CHOOSE(ArtifactsInput!$N$15+1,25,30,35,40,45,50)/100*(Inputs!$B$11-Inputs!$B$11),0)))/100+(Inputs!$B$23+((C2349=TRUE)*(F2349-Calc!F29))+IF(ArtifactsInput!$M$15,CHOOSE(ArtifactsInput!$N$15+1,25,30,35,40,45,50)/100*(Inputs!$B$11-Inputs!$B$11),0))/100)/2</f>
        <v/>
      </c>
      <c r="M2333">
        <f>L2333*(1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3">
        <f>L2333*(1-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2333*(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3">
        <f>(1-Summary!$B$11)*T2333+Summary!$B$11*V2333</f>
        <v/>
      </c>
      <c r="P2333">
        <f>IF(B2365=0,0,O2333/B2365)</f>
        <v/>
      </c>
      <c r="Q2333">
        <f>IFERROR(1/IF(Inputs!$B$39="pvp",15,MAX(0.1,Skills!D13-IF(Skills!E13=TRUE,Inputs!$B$32,0))),0)</f>
        <v/>
      </c>
      <c r="R2333">
        <f>IF(AND(Inputs!$B$39&lt;&gt;"pvp",Inputs!$B$44&gt;0),IF(MAX(0,Inputs!$B$44-B2364)&lt;=0,0,(INT(MAX(0,Inputs!$B$44-B2364)/IF(Inputs!$B$39="pvp",15,MAX(0.1,Skills!D13-IF(Skills!E13=TRUE,Inputs!$B$32,0))))+1)),0)</f>
        <v/>
      </c>
      <c r="S2333">
        <f>IFERROR(O2333/N2333,0)</f>
        <v/>
      </c>
      <c r="T2333">
        <f>IF(C2333,(H2333*N2333*IF(AND(Inputs!$B$39&lt;&gt;"pvp",Inputs!$B$44&gt;0),((Skills!G13*((R2333-1)*IF(Skills!H13&gt;0,Skills!I13/Skills!H13,1)+IF(Skills!H13&gt;0,MIN(Skills!I13,MAX(0,MAX(0,Inputs!$B$44-B2364)-((R2333-1)*IF(Inputs!$B$39="pvp",15,MAX(0.1,Skills!D13-IF(Skills!E13=TRUE,Inputs!$B$32,0))))))/Skills!H13,1)))/Inputs!$B$44),G2333*Q2333))*IF(Inputs!$B$39="pvp",1,1+(Inputs!$B$20+0+Skills!P13+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2333*(1-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2333*(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2333*(1-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2333*(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3">
        <f>IF(C2333,(H2333*N2333*IF(AND(Inputs!$B$39&lt;&gt;"pvp",Inputs!$B$44&gt;0),((Skills!G13*((R2333-1)*IF(Skills!H13&gt;0,Skills!I13/Skills!H13,1)+IF(Skills!H13&gt;0,MIN(Skills!I13,MAX(0,MAX(0,Inputs!$B$44-B2364)-((R2333-1)*IF(Inputs!$B$39="pvp",15,MAX(0.1,Skills!D13-IF(Skills!E13=TRUE,Inputs!$B$32,0))))))/Skills!H13,1)))/Inputs!$B$44),G2333*Q2333))*IF(Inputs!$B$39="pvp",1,(1+(Inputs!$B$21+Skills!Q13+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4">
      <c r="A2334">
        <f>Skills!A14</f>
        <v/>
      </c>
      <c r="B2334">
        <f>Skills!B14</f>
        <v/>
      </c>
      <c r="C2334">
        <f>Inputs!$B$3&gt;=107</f>
        <v/>
      </c>
      <c r="D2334">
        <f>IF(Skills!C14=1,60+Inputs!$B$25+Inputs!$B$29,IF(Skills!C14=2,90+Inputs!$B$26+Inputs!$B$29,IF(Skills!C14=3,120+Inputs!$B$27+Inputs!$B$29,MAX(0,(Inputs!$B$3-100)*3)+Inputs!$B$28+Inputs!$B$29)))</f>
        <v/>
      </c>
      <c r="E2334">
        <f>INDEX(FactorTable!$B$2:$Y$301, MATCH(ROUND(MIN(300,MAX(1,D2334)),0), FactorTable!$A$2:$A$301,0), Skills!M14+1)</f>
        <v/>
      </c>
      <c r="F2334">
        <f>IF(Skills!N14=TRUE,(Skills!L14/10)*(E2334/1000),Skills!L14/10)+Skills!O14</f>
        <v/>
      </c>
      <c r="G2334">
        <f>Skills!G14*IF(Skills!H14&gt;0,Skills!I14/Skills!H14,1)</f>
        <v/>
      </c>
      <c r="H2334">
        <f>1-(1-Skills!J14/100)^Skills!K14</f>
        <v/>
      </c>
      <c r="I2334" t="inlineStr">
        <is>
          <t>1</t>
        </is>
      </c>
      <c r="J2334">
        <f>((Inputs!$B$6*(1+Inputs!$B$7/100))+(((Inputs!$B$12*(1+Inputs!$B$13/100))-(Inputs!$B$12*(1+Inputs!$B$13/100)))+0.25*(Inputs!$B$14-Inputs!$B$14))*(1+Inputs!$B$7/100))*(F2334/100)</f>
        <v/>
      </c>
      <c r="K2334">
        <f>J2334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2334)</f>
        <v/>
      </c>
      <c r="L2334">
        <f>K2334*(MIN(Inputs!$B$22+((C2344=TRUE)*(F2344-Calc!F24)),(Inputs!$B$23+((C2349=TRUE)*(F2349-Calc!F29))+IF(ArtifactsInput!$M$15,CHOOSE(ArtifactsInput!$N$15+1,25,30,35,40,45,50)/100*(Inputs!$B$11-Inputs!$B$11),0)))/100+(Inputs!$B$23+((C2349=TRUE)*(F2349-Calc!F29))+IF(ArtifactsInput!$M$15,CHOOSE(ArtifactsInput!$N$15+1,25,30,35,40,45,50)/100*(Inputs!$B$11-Inputs!$B$11),0))/100)/2</f>
        <v/>
      </c>
      <c r="M2334">
        <f>L2334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IF(B2365=0,0,O2334/B2365)</f>
        <v/>
      </c>
      <c r="Q2334">
        <f>IFERROR(1/IF(Inputs!$B$39="pvp",15,MAX(0.1,Skills!D14-IF(Skills!E14=TRUE,Inputs!$B$32,0))),0)</f>
        <v/>
      </c>
      <c r="R2334">
        <f>IF(AND(Inputs!$B$39&lt;&gt;"pvp",Inputs!$B$44&gt;0),IF(MAX(0,Inputs!$B$44-B2364)&lt;=0,0,(INT(MAX(0,Inputs!$B$44-B2364)/IF(Inputs!$B$39="pvp",15,MAX(0.1,Skills!D14-IF(Skills!E14=TRUE,Inputs!$B$32,0))))+1)),0)</f>
        <v/>
      </c>
      <c r="S2334">
        <f>IFERROR(O2334/N2334,0)</f>
        <v/>
      </c>
      <c r="T2334">
        <f>IF(C2334,(H2334*N2334*IF(AND(Inputs!$B$39&lt;&gt;"pvp",Inputs!$B$44&gt;0),((Skills!G14*((R2334-1)*IF(Skills!H14&gt;0,Skills!I14/Skills!H14,1)+IF(Skills!H14&gt;0,MIN(Skills!I14,MAX(0,MAX(0,Inputs!$B$44-B2364)-((R2334-1)*IF(Inputs!$B$39="pvp",15,MAX(0.1,Skills!D14-IF(Skills!E14=TRUE,Inputs!$B$32,0))))))/Skills!H14,1)))/Inputs!$B$44),G2334*Q2334))*IF(Inputs!$B$39="pvp",1,1+(Inputs!$B$20+0+Skills!P14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2334*(1-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14*((R2334-1)*IF(Skills!H14&gt;0,Skills!I14/Skills!H14,1)+IF(Skills!H14&gt;0,MIN(Skills!I14,MAX(0,MAX(0,Inputs!$B$44-B2364)-((R2334-1)*IF(Inputs!$B$39="pvp",15,MAX(0.1,Skills!D14-IF(Skills!E14=TRUE,Inputs!$B$32,0))))))/Skills!H14,1)))/Inputs!$B$44),G2334*Q2334))*IF(Inputs!$B$39="pvp",1,(1+(Inputs!$B$21+Skills!Q14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(5,0.25*B2357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Skills!A15</f>
        <v/>
      </c>
      <c r="B2335">
        <f>Skills!B15</f>
        <v/>
      </c>
      <c r="C2335">
        <f>Inputs!$B$3&gt;=110</f>
        <v/>
      </c>
      <c r="D2335">
        <f>IF(Skills!C15=1,60+Inputs!$B$25+Inputs!$B$29,IF(Skills!C15=2,90+Inputs!$B$26+Inputs!$B$29,IF(Skills!C15=3,120+Inputs!$B$27+Inputs!$B$29,MAX(0,(Inputs!$B$3-100)*3)+Inputs!$B$28+Inputs!$B$29)))</f>
        <v/>
      </c>
      <c r="E2335">
        <f>INDEX(FactorTable!$B$2:$Y$301, MATCH(ROUND(MIN(300,MAX(1,D2335)),0), FactorTable!$A$2:$A$301,0), Skills!M15+1)</f>
        <v/>
      </c>
      <c r="F2335">
        <f>IF(Skills!N15=TRUE,(Skills!L15/10)*(E2335/1000),Skills!L15/10)+Skills!O15</f>
        <v/>
      </c>
      <c r="G2335">
        <f>Skills!G15*IF(Skills!H15&gt;0,Skills!I15/Skills!H15,1)</f>
        <v/>
      </c>
      <c r="H2335">
        <f>1-(1-Skills!J15/100)^Skills!K15</f>
        <v/>
      </c>
      <c r="I2335" t="inlineStr">
        <is>
          <t>1</t>
        </is>
      </c>
      <c r="J2335" t="inlineStr"/>
      <c r="K2335" t="inlineStr"/>
      <c r="L2335" t="inlineStr"/>
      <c r="M2335" t="inlineStr"/>
      <c r="N2335" t="inlineStr"/>
      <c r="O2335">
        <f>(1-Summary!$B$11)*T2335+Summary!$B$11*V2335</f>
        <v/>
      </c>
      <c r="P2335">
        <f>IF(B2365=0,0,O2335/B2365)</f>
        <v/>
      </c>
      <c r="Q2335">
        <f>IFERROR(1/IF(Inputs!$B$39="pvp",15,MAX(0.1,Skills!D15-IF(Skills!E15=TRUE,Inputs!$B$32,0))),0)</f>
        <v/>
      </c>
      <c r="R2335">
        <f>IF(AND(Inputs!$B$39&lt;&gt;"pvp",Inputs!$B$44&gt;0),IF(Inputs!$B$44&lt;=0,0,(INT(Inputs!$B$44/IF(Inputs!$B$39="pvp",15,MAX(0.1,Skills!D15-IF(Skills!E15=TRUE,Inputs!$B$32,0))))+1)),0)</f>
        <v/>
      </c>
      <c r="S2335">
        <f>IFERROR(O2335/N2335,0)</f>
        <v/>
      </c>
      <c r="T2335" t="n">
        <v>0</v>
      </c>
      <c r="V2335" t="n">
        <v>0</v>
      </c>
    </row>
    <row r="2336">
      <c r="A2336">
        <f>Skills!A16</f>
        <v/>
      </c>
      <c r="B2336">
        <f>Skills!B16</f>
        <v/>
      </c>
      <c r="C2336">
        <f>Inputs!$B$3&gt;=115</f>
        <v/>
      </c>
      <c r="D2336">
        <f>IF(Skills!C16=1,60+Inputs!$B$25+Inputs!$B$29,IF(Skills!C16=2,90+Inputs!$B$26+Inputs!$B$29,IF(Skills!C16=3,120+Inputs!$B$27+Inputs!$B$29,MAX(0,(Inputs!$B$3-100)*3)+Inputs!$B$28+Inputs!$B$29)))</f>
        <v/>
      </c>
      <c r="E2336">
        <f>INDEX(FactorTable!$B$2:$Y$301, MATCH(ROUND(MIN(300,MAX(1,D2336)),0), FactorTable!$A$2:$A$301,0), Skills!M16+1)</f>
        <v/>
      </c>
      <c r="F2336">
        <f>IF(Skills!N16=TRUE,(Skills!L16/10)*(E2336/1000),Skills!L16/10)+Skills!O16</f>
        <v/>
      </c>
      <c r="G2336">
        <f>Skills!G16*IF(Skills!H16&gt;0,Skills!I16/Skills!H16,1)</f>
        <v/>
      </c>
      <c r="H2336">
        <f>1-(1-Skills!J16/100)^Skills!K16</f>
        <v/>
      </c>
      <c r="I2336" t="inlineStr">
        <is>
          <t>1</t>
        </is>
      </c>
      <c r="J2336">
        <f>((Inputs!$B$6*(1+Inputs!$B$7/100))+(((Inputs!$B$12*(1+Inputs!$B$13/100))-(Inputs!$B$12*(1+Inputs!$B$13/100)))+0.25*(Inputs!$B$14-Inputs!$B$14))*(1+Inputs!$B$7/100))*(F2336/100)</f>
        <v/>
      </c>
      <c r="K2336">
        <f>J2336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2347=TRUE)*(F2347-Calc!F27))+((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2336)</f>
        <v/>
      </c>
      <c r="L2336">
        <f>K2336*(MIN(Inputs!$B$22+((C2344=TRUE)*(F2344-Calc!F24)),(Inputs!$B$23+((C2349=TRUE)*(F2349-Calc!F29))+IF(ArtifactsInput!$M$15,CHOOSE(ArtifactsInput!$N$15+1,25,30,35,40,45,50)/100*(Inputs!$B$11-Inputs!$B$11),0)))/100+(Inputs!$B$23+((C2349=TRUE)*(F2349-Calc!F29))+IF(ArtifactsInput!$M$15,CHOOSE(ArtifactsInput!$N$15+1,25,30,35,40,45,50)/100*(Inputs!$B$11-Inputs!$B$11),0))/100)/2</f>
        <v/>
      </c>
      <c r="M2336">
        <f>L2336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IF(B2365=0,0,O2336/B2365)</f>
        <v/>
      </c>
      <c r="Q2336" t="n">
        <v>0</v>
      </c>
      <c r="R2336" t="n">
        <v>0</v>
      </c>
      <c r="S2336">
        <f>IFERROR(O2336/N2336,0)</f>
        <v/>
      </c>
      <c r="T2336">
        <f>IF(C2336,(Inputs!$B$38*0.2*N2336)*IF(Inputs!$B$39="pvp",1,1+(Inputs!$B$20+0+Skills!P16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2336*(1-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2345=TRUE)*(F2345-Calc!F25))+B2353+(ArtifactsInput!$M$24-ArtifactsInput!$M$24)*CHOOSE(ArtifactsInput!$N$24+1,10,12,14,16,18,20)+(IF(AND(Inputs!$B$39&lt;&gt;"pvp",Inputs!$B$44=0),1,IF(IF(Inputs!$B$39="pvp",15,Inputs!$B$44)-(B2364)&lt;=0,1,MAX(0,IF(Inputs!$B$39="pvp",15,Inputs!$B$44)-MAX(5,B2364))/(IF(Inputs!$B$39="pvp",15,Inputs!$B$44)-(B2364))))*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IF(C2336,(Inputs!$B$38*0.2*N2336)*IF(Inputs!$B$39="pvp",1,(1+(Inputs!$B$21+Skills!Q16+B2354+(IF(ArtifactsInput!$M$33,CHOOSE(ArtifactsInput!$N$33+1,30,36,42,48,54,60),0))+(IF(AND(ArtifactsInput!$M$35,Inputs!$B$4&lt;&gt;"Chapter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Skills!A17</f>
        <v/>
      </c>
      <c r="B2337">
        <f>Skills!B17</f>
        <v/>
      </c>
      <c r="C2337">
        <f>Inputs!$B$3&gt;=115</f>
        <v/>
      </c>
      <c r="D2337">
        <f>IF(Skills!C17=1,60+Inputs!$B$25+Inputs!$B$29,IF(Skills!C17=2,90+Inputs!$B$26+Inputs!$B$29,IF(Skills!C17=3,120+Inputs!$B$27+Inputs!$B$29,MAX(0,(Inputs!$B$3-100)*3)+Inputs!$B$28+Inputs!$B$29)))</f>
        <v/>
      </c>
      <c r="E2337">
        <f>INDEX(FactorTable!$B$2:$Y$301, MATCH(ROUND(MIN(300,MAX(1,D2337)),0), FactorTable!$A$2:$A$301,0), Skills!M17+1)</f>
        <v/>
      </c>
      <c r="F2337">
        <f>IF(Skills!N17=TRUE,(Skills!L17/10)*(E2337/1000),Skills!L17/10)+Skills!O17</f>
        <v/>
      </c>
      <c r="G2337">
        <f>Skills!G17*IF(Skills!H17&gt;0,Skills!I17/Skills!H17,1)</f>
        <v/>
      </c>
      <c r="H2337">
        <f>1-(1-Skills!J17/100)^Skills!K17</f>
        <v/>
      </c>
      <c r="I2337" t="inlineStr">
        <is>
          <t>1</t>
        </is>
      </c>
      <c r="J2337" t="inlineStr"/>
      <c r="K2337" t="inlineStr"/>
      <c r="L2337" t="inlineStr"/>
      <c r="M2337" t="inlineStr"/>
      <c r="N2337" t="inlineStr"/>
      <c r="O2337">
        <f>(1-Summary!$B$11)*T2337+Summary!$B$11*V2337</f>
        <v/>
      </c>
      <c r="P2337">
        <f>IF(B2365=0,0,O2337/B2365)</f>
        <v/>
      </c>
      <c r="Q2337" t="n">
        <v>0</v>
      </c>
      <c r="R2337" t="n">
        <v>0</v>
      </c>
      <c r="S2337">
        <f>IFERROR(O2337/N2337,0)</f>
        <v/>
      </c>
      <c r="T2337" t="n">
        <v>0</v>
      </c>
      <c r="V2337" t="n">
        <v>0</v>
      </c>
    </row>
    <row r="2338">
      <c r="A2338">
        <f>Skills!A18</f>
        <v/>
      </c>
      <c r="B2338">
        <f>Skills!B18</f>
        <v/>
      </c>
      <c r="C2338">
        <f>Inputs!$B$3&gt;=100</f>
        <v/>
      </c>
      <c r="D2338">
        <f>IF(Skills!C18=1,60+Inputs!$B$25+Inputs!$B$29,IF(Skills!C18=2,90+Inputs!$B$26+Inputs!$B$29,IF(Skills!C18=3,120+Inputs!$B$27+Inputs!$B$29,MAX(0,(Inputs!$B$3-100)*3)+Inputs!$B$28+Inputs!$B$29)))</f>
        <v/>
      </c>
      <c r="E2338">
        <f>INDEX(FactorTable!$B$2:$Y$301, MATCH(ROUND(MIN(300,MAX(1,D2338)),0), FactorTable!$A$2:$A$301,0), Skills!M18+1)</f>
        <v/>
      </c>
      <c r="F2338">
        <f>IF(Skills!N18=TRUE,(Skills!L18/10)*(E2338/1000),Skills!L18/10)+Skills!O18</f>
        <v/>
      </c>
      <c r="G2338">
        <f>Skills!G18*IF(Skills!H18&gt;0,Skills!I18/Skills!H18,1)</f>
        <v/>
      </c>
      <c r="H2338">
        <f>1-(1-Skills!J18/100)^Skills!K18</f>
        <v/>
      </c>
      <c r="I2338" t="inlineStr">
        <is>
          <t>1</t>
        </is>
      </c>
      <c r="J2338" t="inlineStr"/>
      <c r="K2338" t="inlineStr"/>
      <c r="L2338" t="inlineStr"/>
      <c r="M2338" t="inlineStr"/>
      <c r="N2338" t="inlineStr"/>
      <c r="O2338">
        <f>(1-Summary!$B$11)*T2338+Summary!$B$11*V2338</f>
        <v/>
      </c>
      <c r="P2338">
        <f>IF(B2365=0,0,O2338/B2365)</f>
        <v/>
      </c>
      <c r="Q2338" t="n">
        <v>0</v>
      </c>
      <c r="R2338" t="n">
        <v>0</v>
      </c>
      <c r="S2338">
        <f>IFERROR(O2338/N2338,0)</f>
        <v/>
      </c>
      <c r="T2338" t="n">
        <v>0</v>
      </c>
      <c r="V2338" t="n">
        <v>0</v>
      </c>
    </row>
    <row r="2339">
      <c r="A2339">
        <f>Skills!A19</f>
        <v/>
      </c>
      <c r="B2339">
        <f>Skills!B19</f>
        <v/>
      </c>
      <c r="C2339">
        <f>TRUE</f>
        <v/>
      </c>
      <c r="D2339">
        <f>IF(Skills!C19=1,60+Inputs!$B$25+Inputs!$B$29,IF(Skills!C19=2,90+Inputs!$B$26+Inputs!$B$29,IF(Skills!C19=3,120+Inputs!$B$27+Inputs!$B$29,MAX(0,(Inputs!$B$3-100)*3)+Inputs!$B$28+Inputs!$B$29)))</f>
        <v/>
      </c>
      <c r="E2339">
        <f>INDEX(FactorTable!$B$2:$Y$301, MATCH(ROUND(MIN(300,MAX(1,D2339)),0), FactorTable!$A$2:$A$301,0), Skills!M19+1)</f>
        <v/>
      </c>
      <c r="F2339">
        <f>IF(Skills!N19=TRUE,(Skills!L19/10)*(E2339/1000),Skills!L19/10)+Skills!O19</f>
        <v/>
      </c>
      <c r="G2339">
        <f>Skills!G19*IF(Skills!H19&gt;0,Skills!I19/Skills!H19,1)</f>
        <v/>
      </c>
      <c r="H2339">
        <f>1-(1-Skills!J19/100)^Skills!K19</f>
        <v/>
      </c>
      <c r="I2339" t="inlineStr">
        <is>
          <t>1</t>
        </is>
      </c>
      <c r="J2339" t="inlineStr"/>
      <c r="K2339" t="inlineStr"/>
      <c r="L2339" t="inlineStr"/>
      <c r="M2339" t="inlineStr"/>
      <c r="N2339" t="inlineStr"/>
      <c r="O2339">
        <f>(1-Summary!$B$11)*T2339+Summary!$B$11*V2339</f>
        <v/>
      </c>
      <c r="P2339">
        <f>IF(B2365=0,0,O2339/B2365)</f>
        <v/>
      </c>
      <c r="Q2339">
        <f>IFERROR(1/IF(Inputs!$B$39="pvp",15,MAX(0.1,Skills!D19-IF(Skills!E19=TRUE,Inputs!$B$32,0))),0)</f>
        <v/>
      </c>
      <c r="R2339">
        <f>IF(AND(Inputs!$B$39&lt;&gt;"pvp",Inputs!$B$44&gt;0),IF(Inputs!$B$44&lt;=0,0,(INT(Inputs!$B$44/IF(Inputs!$B$39="pvp",15,MAX(0.1,Skills!D19-IF(Skills!E19=TRUE,Inputs!$B$32,0))))+1)),0)</f>
        <v/>
      </c>
      <c r="S2339">
        <f>IFERROR(O2339/N2339,0)</f>
        <v/>
      </c>
      <c r="T2339" t="n">
        <v>0</v>
      </c>
      <c r="V2339" t="n">
        <v>0</v>
      </c>
    </row>
    <row r="2340">
      <c r="A2340">
        <f>Skills!A20</f>
        <v/>
      </c>
      <c r="B2340">
        <f>Skills!B20</f>
        <v/>
      </c>
      <c r="C2340">
        <f>Inputs!$B$3&gt;=15</f>
        <v/>
      </c>
      <c r="D2340">
        <f>IF(Skills!C20=1,60+Inputs!$B$25+Inputs!$B$29,IF(Skills!C20=2,90+Inputs!$B$26+Inputs!$B$29,IF(Skills!C20=3,120+Inputs!$B$27+Inputs!$B$29,MAX(0,(Inputs!$B$3-100)*3)+Inputs!$B$28+Inputs!$B$29)))</f>
        <v/>
      </c>
      <c r="E2340">
        <f>INDEX(FactorTable!$B$2:$Y$301, MATCH(ROUND(MIN(300,MAX(1,D2340)),0), FactorTable!$A$2:$A$301,0), Skills!M20+1)</f>
        <v/>
      </c>
      <c r="F2340">
        <f>IF(Skills!N20=TRUE,(Skills!L20/10)*(E2340/1000),Skills!L20/10)+Skills!O20</f>
        <v/>
      </c>
      <c r="G2340">
        <f>Skills!G20*IF(Skills!H20&gt;0,Skills!I20/Skills!H20,1)</f>
        <v/>
      </c>
      <c r="H2340">
        <f>1-(1-Skills!J20/100)^Skills!K20</f>
        <v/>
      </c>
      <c r="I2340" t="inlineStr">
        <is>
          <t>1</t>
        </is>
      </c>
      <c r="J2340" t="inlineStr"/>
      <c r="K2340" t="inlineStr"/>
      <c r="L2340" t="inlineStr"/>
      <c r="M2340" t="inlineStr"/>
      <c r="N2340" t="inlineStr"/>
      <c r="O2340">
        <f>(1-Summary!$B$11)*T2340+Summary!$B$11*V2340</f>
        <v/>
      </c>
      <c r="P2340">
        <f>IF(B2365=0,0,O2340/B2365)</f>
        <v/>
      </c>
      <c r="Q2340">
        <f>IFERROR(1/IF(Inputs!$B$39="pvp",15,MAX(0.1,Skills!D20-IF(Skills!E20=TRUE,Inputs!$B$32,0))),0)</f>
        <v/>
      </c>
      <c r="R2340">
        <f>IF(AND(Inputs!$B$39&lt;&gt;"pvp",Inputs!$B$44&gt;0),IF(Inputs!$B$44&lt;=0,0,(INT(Inputs!$B$44/IF(Inputs!$B$39="pvp",15,MAX(0.1,Skills!D20-IF(Skills!E20=TRUE,Inputs!$B$32,0))))+1)),0)</f>
        <v/>
      </c>
      <c r="S2340">
        <f>IFERROR(O2340/N2340,0)</f>
        <v/>
      </c>
      <c r="T2340" t="n">
        <v>0</v>
      </c>
      <c r="V2340" t="n">
        <v>0</v>
      </c>
    </row>
    <row r="2341">
      <c r="A2341">
        <f>Skills!A21</f>
        <v/>
      </c>
      <c r="B2341">
        <f>Skills!B21</f>
        <v/>
      </c>
      <c r="C2341">
        <f>Inputs!$B$3&gt;=15</f>
        <v/>
      </c>
      <c r="D2341">
        <f>IF(Skills!C21=1,60+Inputs!$B$25+Inputs!$B$29,IF(Skills!C21=2,90+Inputs!$B$26+Inputs!$B$29,IF(Skills!C21=3,120+Inputs!$B$27+Inputs!$B$29,MAX(0,(Inputs!$B$3-100)*3)+Inputs!$B$28+Inputs!$B$29)))</f>
        <v/>
      </c>
      <c r="E2341">
        <f>INDEX(FactorTable!$B$2:$Y$301, MATCH(ROUND(MIN(300,MAX(1,D2341)),0), FactorTable!$A$2:$A$301,0), Skills!M21+1)</f>
        <v/>
      </c>
      <c r="F2341">
        <f>IF(Skills!N21=TRUE,(Skills!L21/10)*(E2341/1000),Skills!L21/10)+Skills!O21</f>
        <v/>
      </c>
      <c r="G2341">
        <f>Skills!G21*IF(Skills!H21&gt;0,Skills!I21/Skills!H21,1)</f>
        <v/>
      </c>
      <c r="H2341">
        <f>1-(1-Skills!J21/100)^Skills!K21</f>
        <v/>
      </c>
      <c r="I2341" t="inlineStr">
        <is>
          <t>1</t>
        </is>
      </c>
      <c r="J2341" t="inlineStr"/>
      <c r="K2341" t="inlineStr"/>
      <c r="L2341" t="inlineStr"/>
      <c r="M2341" t="inlineStr"/>
      <c r="N2341" t="inlineStr"/>
      <c r="O2341">
        <f>(1-Summary!$B$11)*T2341+Summary!$B$11*V2341</f>
        <v/>
      </c>
      <c r="P2341">
        <f>IF(B2365=0,0,O2341/B2365)</f>
        <v/>
      </c>
      <c r="Q2341">
        <f>IFERROR(1/IF(Inputs!$B$39="pvp",15,MAX(0.1,Skills!D21-IF(Skills!E21=TRUE,Inputs!$B$32,0))),0)</f>
        <v/>
      </c>
      <c r="R2341">
        <f>IF(AND(Inputs!$B$39&lt;&gt;"pvp",Inputs!$B$44&gt;0),IF(Inputs!$B$44&lt;=0,0,(INT(Inputs!$B$44/IF(Inputs!$B$39="pvp",15,MAX(0.1,Skills!D21-IF(Skills!E21=TRUE,Inputs!$B$32,0))))+1)),0)</f>
        <v/>
      </c>
      <c r="S2341">
        <f>IFERROR(O2341/N2341,0)</f>
        <v/>
      </c>
      <c r="T2341" t="n">
        <v>0</v>
      </c>
      <c r="V2341" t="n">
        <v>0</v>
      </c>
    </row>
    <row r="2342">
      <c r="A2342">
        <f>Skills!A22</f>
        <v/>
      </c>
      <c r="B2342">
        <f>Skills!B22</f>
        <v/>
      </c>
      <c r="C2342">
        <f>Inputs!$B$3&gt;=33</f>
        <v/>
      </c>
      <c r="D2342">
        <f>IF(Skills!C22=1,60+Inputs!$B$25+Inputs!$B$29,IF(Skills!C22=2,90+Inputs!$B$26+Inputs!$B$29,IF(Skills!C22=3,120+Inputs!$B$27+Inputs!$B$29,MAX(0,(Inputs!$B$3-100)*3)+Inputs!$B$28+Inputs!$B$29)))</f>
        <v/>
      </c>
      <c r="E2342">
        <f>INDEX(FactorTable!$B$2:$Y$301, MATCH(ROUND(MIN(300,MAX(1,D2342)),0), FactorTable!$A$2:$A$301,0), Skills!M22+1)</f>
        <v/>
      </c>
      <c r="F2342">
        <f>IF(Skills!N22=TRUE,(Skills!L22/10)*(E2342/1000),Skills!L22/10)+Skills!O22</f>
        <v/>
      </c>
      <c r="G2342">
        <f>Skills!G22*IF(Skills!H22&gt;0,Skills!I22/Skills!H22,1)</f>
        <v/>
      </c>
      <c r="H2342">
        <f>1-(1-Skills!J22/100)^Skills!K22</f>
        <v/>
      </c>
      <c r="I2342" t="inlineStr">
        <is>
          <t>1</t>
        </is>
      </c>
      <c r="J2342" t="inlineStr"/>
      <c r="K2342" t="inlineStr"/>
      <c r="L2342" t="inlineStr"/>
      <c r="M2342" t="inlineStr"/>
      <c r="N2342" t="inlineStr"/>
      <c r="O2342">
        <f>(1-Summary!$B$11)*T2342+Summary!$B$11*V2342</f>
        <v/>
      </c>
      <c r="P2342">
        <f>IF(B2365=0,0,O2342/B2365)</f>
        <v/>
      </c>
      <c r="Q2342" t="n">
        <v>0</v>
      </c>
      <c r="R2342" t="n">
        <v>0</v>
      </c>
      <c r="S2342">
        <f>IFERROR(O2342/N2342,0)</f>
        <v/>
      </c>
      <c r="T2342" t="n">
        <v>0</v>
      </c>
      <c r="V2342" t="n">
        <v>0</v>
      </c>
    </row>
    <row r="2343">
      <c r="A2343">
        <f>Skills!A23</f>
        <v/>
      </c>
      <c r="B2343">
        <f>Skills!B23</f>
        <v/>
      </c>
      <c r="C2343">
        <f>Inputs!$B$3&gt;=40</f>
        <v/>
      </c>
      <c r="D2343">
        <f>IF(Skills!C23=1,60+Inputs!$B$25+Inputs!$B$29,IF(Skills!C23=2,90+Inputs!$B$26+Inputs!$B$29,IF(Skills!C23=3,120+Inputs!$B$27+Inputs!$B$29,MAX(0,(Inputs!$B$3-100)*3)+Inputs!$B$28+Inputs!$B$29)))</f>
        <v/>
      </c>
      <c r="E2343">
        <f>INDEX(FactorTable!$B$2:$Y$301, MATCH(ROUND(MIN(300,MAX(1,D2343)),0), FactorTable!$A$2:$A$301,0), Skills!M23+1)</f>
        <v/>
      </c>
      <c r="F2343">
        <f>IF(Skills!N23=TRUE,(Skills!L23/10)*(E2343/1000),Skills!L23/10)+Skills!O23</f>
        <v/>
      </c>
      <c r="G2343">
        <f>Skills!G23*IF(Skills!H23&gt;0,Skills!I23/Skills!H23,1)</f>
        <v/>
      </c>
      <c r="H2343">
        <f>1-(1-Skills!J23/100)^Skills!K23</f>
        <v/>
      </c>
      <c r="I2343" t="inlineStr">
        <is>
          <t>1</t>
        </is>
      </c>
      <c r="J2343" t="inlineStr"/>
      <c r="K2343" t="inlineStr"/>
      <c r="L2343" t="inlineStr"/>
      <c r="M2343" t="inlineStr"/>
      <c r="N2343" t="inlineStr"/>
      <c r="O2343">
        <f>(1-Summary!$B$11)*T2343+Summary!$B$11*V2343</f>
        <v/>
      </c>
      <c r="P2343">
        <f>IF(B2365=0,0,O2343/B2365)</f>
        <v/>
      </c>
      <c r="Q2343" t="n">
        <v>0</v>
      </c>
      <c r="R2343" t="n">
        <v>0</v>
      </c>
      <c r="S2343">
        <f>IFERROR(O2343/N2343,0)</f>
        <v/>
      </c>
      <c r="T2343" t="n">
        <v>0</v>
      </c>
      <c r="V2343" t="n">
        <v>0</v>
      </c>
    </row>
    <row r="2344">
      <c r="A2344">
        <f>Skills!A24</f>
        <v/>
      </c>
      <c r="B2344">
        <f>Skills!B24</f>
        <v/>
      </c>
      <c r="C2344">
        <f>Inputs!$B$3&gt;=43</f>
        <v/>
      </c>
      <c r="D2344">
        <f>IF(Skills!C24=1,60+Inputs!$B$25+Inputs!$B$29,IF(Skills!C24=2,90+Inputs!$B$26+Inputs!$B$29,IF(Skills!C24=3,120+Inputs!$B$27+Inputs!$B$29,MAX(0,(Inputs!$B$3-100)*3)+Inputs!$B$28+Inputs!$B$29)))</f>
        <v/>
      </c>
      <c r="E2344">
        <f>INDEX(FactorTable!$B$2:$Y$301, MATCH(ROUND(MIN(300,MAX(1,D2344)),0), FactorTable!$A$2:$A$301,0), Skills!M24+1)</f>
        <v/>
      </c>
      <c r="F2344">
        <f>IF(Skills!N24=TRUE,(Skills!L24/10)*(E2344/1000),Skills!L24/10)+Skills!O24</f>
        <v/>
      </c>
      <c r="G2344">
        <f>Skills!G24*IF(Skills!H24&gt;0,Skills!I24/Skills!H24,1)</f>
        <v/>
      </c>
      <c r="H2344">
        <f>1-(1-Skills!J24/100)^Skills!K24</f>
        <v/>
      </c>
      <c r="I2344" t="inlineStr">
        <is>
          <t>1</t>
        </is>
      </c>
      <c r="J2344" t="inlineStr"/>
      <c r="K2344" t="inlineStr"/>
      <c r="L2344" t="inlineStr"/>
      <c r="M2344" t="inlineStr"/>
      <c r="N2344" t="inlineStr"/>
      <c r="O2344">
        <f>(1-Summary!$B$11)*T2344+Summary!$B$11*V2344</f>
        <v/>
      </c>
      <c r="P2344">
        <f>IF(B2365=0,0,O2344/B2365)</f>
        <v/>
      </c>
      <c r="Q2344" t="n">
        <v>0</v>
      </c>
      <c r="R2344" t="n">
        <v>0</v>
      </c>
      <c r="S2344">
        <f>IFERROR(O2344/N2344,0)</f>
        <v/>
      </c>
      <c r="T2344" t="n">
        <v>0</v>
      </c>
      <c r="V2344" t="n">
        <v>0</v>
      </c>
    </row>
    <row r="2345">
      <c r="A2345">
        <f>Skills!A25</f>
        <v/>
      </c>
      <c r="B2345">
        <f>Skills!B25</f>
        <v/>
      </c>
      <c r="C2345">
        <f>Inputs!$B$3&gt;=50</f>
        <v/>
      </c>
      <c r="D2345">
        <f>IF(Skills!C25=1,60+Inputs!$B$25+Inputs!$B$29,IF(Skills!C25=2,90+Inputs!$B$26+Inputs!$B$29,IF(Skills!C25=3,120+Inputs!$B$27+Inputs!$B$29,MAX(0,(Inputs!$B$3-100)*3)+Inputs!$B$28+Inputs!$B$29)))</f>
        <v/>
      </c>
      <c r="E2345">
        <f>INDEX(FactorTable!$B$2:$Y$301, MATCH(ROUND(MIN(300,MAX(1,D2345)),0), FactorTable!$A$2:$A$301,0), Skills!M25+1)</f>
        <v/>
      </c>
      <c r="F2345">
        <f>IF(Skills!N25=TRUE,(Skills!L25/10)*(E2345/1000),Skills!L25/10)+Skills!O25</f>
        <v/>
      </c>
      <c r="G2345">
        <f>Skills!G25*IF(Skills!H25&gt;0,Skills!I25/Skills!H25,1)</f>
        <v/>
      </c>
      <c r="H2345">
        <f>1-(1-Skills!J25/100)^Skills!K25</f>
        <v/>
      </c>
      <c r="I2345" t="inlineStr">
        <is>
          <t>1</t>
        </is>
      </c>
      <c r="J2345" t="inlineStr"/>
      <c r="K2345" t="inlineStr"/>
      <c r="L2345" t="inlineStr"/>
      <c r="M2345" t="inlineStr"/>
      <c r="N2345" t="inlineStr"/>
      <c r="O2345">
        <f>(1-Summary!$B$11)*T2345+Summary!$B$11*V2345</f>
        <v/>
      </c>
      <c r="P2345">
        <f>IF(B2365=0,0,O2345/B2365)</f>
        <v/>
      </c>
      <c r="Q2345" t="n">
        <v>0</v>
      </c>
      <c r="R2345" t="n">
        <v>0</v>
      </c>
      <c r="S2345">
        <f>IFERROR(O2345/N2345,0)</f>
        <v/>
      </c>
      <c r="T2345" t="n">
        <v>0</v>
      </c>
      <c r="V2345" t="n">
        <v>0</v>
      </c>
    </row>
    <row r="2346">
      <c r="A2346">
        <f>Skills!A26</f>
        <v/>
      </c>
      <c r="B2346">
        <f>Skills!B26</f>
        <v/>
      </c>
      <c r="C2346">
        <f>Inputs!$B$3&gt;=50</f>
        <v/>
      </c>
      <c r="D2346">
        <f>IF(Skills!C26=1,60+Inputs!$B$25+Inputs!$B$29,IF(Skills!C26=2,90+Inputs!$B$26+Inputs!$B$29,IF(Skills!C26=3,120+Inputs!$B$27+Inputs!$B$29,MAX(0,(Inputs!$B$3-100)*3)+Inputs!$B$28+Inputs!$B$29)))</f>
        <v/>
      </c>
      <c r="E2346">
        <f>INDEX(FactorTable!$B$2:$Y$301, MATCH(ROUND(MIN(300,MAX(1,D2346)),0), FactorTable!$A$2:$A$301,0), Skills!M26+1)</f>
        <v/>
      </c>
      <c r="F2346">
        <f>IF(Skills!N26=TRUE,(Skills!L26/10)*(E2346/1000),Skills!L26/10)+Skills!O26</f>
        <v/>
      </c>
      <c r="G2346">
        <f>Skills!G26*IF(Skills!H26&gt;0,Skills!I26/Skills!H26,1)</f>
        <v/>
      </c>
      <c r="H2346">
        <f>1-(1-Skills!J26/100)^Skills!K26</f>
        <v/>
      </c>
      <c r="I2346" t="inlineStr">
        <is>
          <t>1</t>
        </is>
      </c>
      <c r="J2346" t="inlineStr"/>
      <c r="K2346" t="inlineStr"/>
      <c r="L2346" t="inlineStr"/>
      <c r="M2346" t="inlineStr"/>
      <c r="N2346" t="inlineStr"/>
      <c r="O2346">
        <f>(1-Summary!$B$11)*T2346+Summary!$B$11*V2346</f>
        <v/>
      </c>
      <c r="P2346">
        <f>IF(B2365=0,0,O2346/B2365)</f>
        <v/>
      </c>
      <c r="Q2346" t="n">
        <v>0</v>
      </c>
      <c r="R2346" t="n">
        <v>0</v>
      </c>
      <c r="S2346">
        <f>IFERROR(O2346/N2346,0)</f>
        <v/>
      </c>
      <c r="T2346" t="n">
        <v>0</v>
      </c>
      <c r="V2346" t="n">
        <v>0</v>
      </c>
    </row>
    <row r="2347">
      <c r="A2347">
        <f>Skills!A27</f>
        <v/>
      </c>
      <c r="B2347">
        <f>Skills!B27</f>
        <v/>
      </c>
      <c r="C2347">
        <f>Inputs!$B$3&gt;=38</f>
        <v/>
      </c>
      <c r="D2347">
        <f>IF(Skills!C27=1,60+Inputs!$B$25+Inputs!$B$29,IF(Skills!C27=2,90+Inputs!$B$26+Inputs!$B$29,IF(Skills!C27=3,120+Inputs!$B$27+Inputs!$B$29,MAX(0,(Inputs!$B$3-100)*3)+Inputs!$B$28+Inputs!$B$29)))</f>
        <v/>
      </c>
      <c r="E2347">
        <f>INDEX(FactorTable!$B$2:$Y$301, MATCH(ROUND(MIN(300,MAX(1,D2347)),0), FactorTable!$A$2:$A$301,0), Skills!M27+1)</f>
        <v/>
      </c>
      <c r="F2347">
        <f>IF(Skills!N27=TRUE,(Skills!L27/10)*(E2347/1000),Skills!L27/10)+Skills!O27</f>
        <v/>
      </c>
      <c r="G2347">
        <f>Skills!G27*IF(Skills!H27&gt;0,Skills!I27/Skills!H27,1)</f>
        <v/>
      </c>
      <c r="H2347">
        <f>1-(1-Skills!J27/100)^Skills!K27</f>
        <v/>
      </c>
      <c r="I2347" t="inlineStr">
        <is>
          <t>1</t>
        </is>
      </c>
      <c r="J2347" t="inlineStr"/>
      <c r="K2347" t="inlineStr"/>
      <c r="L2347" t="inlineStr"/>
      <c r="M2347" t="inlineStr"/>
      <c r="N2347" t="inlineStr"/>
      <c r="O2347">
        <f>(1-Summary!$B$11)*T2347+Summary!$B$11*V2347</f>
        <v/>
      </c>
      <c r="P2347">
        <f>IF(B2365=0,0,O2347/B2365)</f>
        <v/>
      </c>
      <c r="Q2347" t="n">
        <v>0</v>
      </c>
      <c r="R2347" t="n">
        <v>0</v>
      </c>
      <c r="S2347">
        <f>IFERROR(O2347/N2347,0)</f>
        <v/>
      </c>
      <c r="T2347" t="n">
        <v>0</v>
      </c>
      <c r="V2347" t="n">
        <v>0</v>
      </c>
    </row>
    <row r="2348">
      <c r="A2348">
        <f>Skills!A28</f>
        <v/>
      </c>
      <c r="B2348">
        <f>Skills!B28</f>
        <v/>
      </c>
      <c r="C2348">
        <f>Inputs!$B$3&gt;=120</f>
        <v/>
      </c>
      <c r="D2348">
        <f>IF(Skills!C28=1,60+Inputs!$B$25+Inputs!$B$29,IF(Skills!C28=2,90+Inputs!$B$26+Inputs!$B$29,IF(Skills!C28=3,120+Inputs!$B$27+Inputs!$B$29,MAX(0,(Inputs!$B$3-100)*3)+Inputs!$B$28+Inputs!$B$29)))</f>
        <v/>
      </c>
      <c r="E2348">
        <f>INDEX(FactorTable!$B$2:$Y$301, MATCH(ROUND(MIN(300,MAX(1,D2348)),0), FactorTable!$A$2:$A$301,0), Skills!M28+1)</f>
        <v/>
      </c>
      <c r="F2348">
        <f>IF(Skills!N28=TRUE,(Skills!L28/10)*(E2348/1000),Skills!L28/10)+Skills!O28</f>
        <v/>
      </c>
      <c r="G2348">
        <f>Skills!G28*IF(Skills!H28&gt;0,Skills!I28/Skills!H28,1)</f>
        <v/>
      </c>
      <c r="H2348">
        <f>1-(1-Skills!J28/100)^Skills!K28</f>
        <v/>
      </c>
      <c r="I2348" t="inlineStr">
        <is>
          <t>1</t>
        </is>
      </c>
      <c r="J2348" t="inlineStr"/>
      <c r="K2348" t="inlineStr"/>
      <c r="L2348" t="inlineStr"/>
      <c r="M2348" t="inlineStr"/>
      <c r="N2348" t="inlineStr"/>
      <c r="O2348">
        <f>(1-Summary!$B$11)*T2348+Summary!$B$11*V2348</f>
        <v/>
      </c>
      <c r="P2348">
        <f>IF(B2365=0,0,O2348/B2365)</f>
        <v/>
      </c>
      <c r="Q2348" t="n">
        <v>0</v>
      </c>
      <c r="R2348" t="n">
        <v>0</v>
      </c>
      <c r="S2348">
        <f>IFERROR(O2348/N2348,0)</f>
        <v/>
      </c>
      <c r="T2348" t="n">
        <v>0</v>
      </c>
      <c r="V2348" t="n">
        <v>0</v>
      </c>
    </row>
    <row r="2349">
      <c r="A2349">
        <f>Skills!A29</f>
        <v/>
      </c>
      <c r="B2349">
        <f>Skills!B29</f>
        <v/>
      </c>
      <c r="C2349">
        <f>Inputs!$B$3&gt;=120</f>
        <v/>
      </c>
      <c r="D2349">
        <f>IF(Skills!C29=1,60+Inputs!$B$25+Inputs!$B$29,IF(Skills!C29=2,90+Inputs!$B$26+Inputs!$B$29,IF(Skills!C29=3,120+Inputs!$B$27+Inputs!$B$29,MAX(0,(Inputs!$B$3-100)*3)+Inputs!$B$28+Inputs!$B$29)))</f>
        <v/>
      </c>
      <c r="E2349">
        <f>INDEX(FactorTable!$B$2:$Y$301, MATCH(ROUND(MIN(300,MAX(1,D2349)),0), FactorTable!$A$2:$A$301,0), Skills!M29+1)</f>
        <v/>
      </c>
      <c r="F2349">
        <f>IF(Skills!N29=TRUE,(Skills!L29/10)*(E2349/1000),Skills!L29/10)+Skills!O29</f>
        <v/>
      </c>
      <c r="G2349">
        <f>Skills!G29*IF(Skills!H29&gt;0,Skills!I29/Skills!H29,1)</f>
        <v/>
      </c>
      <c r="H2349">
        <f>1-(1-Skills!J29/100)^Skills!K29</f>
        <v/>
      </c>
      <c r="I2349" t="inlineStr">
        <is>
          <t>1</t>
        </is>
      </c>
      <c r="J2349" t="inlineStr"/>
      <c r="K2349" t="inlineStr"/>
      <c r="L2349" t="inlineStr"/>
      <c r="M2349" t="inlineStr"/>
      <c r="N2349" t="inlineStr"/>
      <c r="O2349">
        <f>(1-Summary!$B$11)*T2349+Summary!$B$11*V2349</f>
        <v/>
      </c>
      <c r="P2349">
        <f>IF(B2365=0,0,O2349/B2365)</f>
        <v/>
      </c>
      <c r="Q2349" t="n">
        <v>0</v>
      </c>
      <c r="R2349" t="n">
        <v>0</v>
      </c>
      <c r="S2349">
        <f>IFERROR(O2349/N2349,0)</f>
        <v/>
      </c>
      <c r="T2349" t="n">
        <v>0</v>
      </c>
      <c r="V2349" t="n">
        <v>0</v>
      </c>
    </row>
    <row r="2350">
      <c r="A2350">
        <f>Skills!A30</f>
        <v/>
      </c>
      <c r="B2350">
        <f>Skills!B30</f>
        <v/>
      </c>
      <c r="C2350">
        <f>Inputs!$B$3&gt;=125</f>
        <v/>
      </c>
      <c r="D2350">
        <f>IF(Skills!C30=1,60+Inputs!$B$25+Inputs!$B$29,IF(Skills!C30=2,90+Inputs!$B$26+Inputs!$B$29,IF(Skills!C30=3,120+Inputs!$B$27+Inputs!$B$29,MAX(0,(Inputs!$B$3-100)*3)+Inputs!$B$28+Inputs!$B$29)))</f>
        <v/>
      </c>
      <c r="E2350">
        <f>INDEX(FactorTable!$B$2:$Y$301, MATCH(ROUND(MIN(300,MAX(1,D2350)),0), FactorTable!$A$2:$A$301,0), Skills!M30+1)</f>
        <v/>
      </c>
      <c r="F2350">
        <f>IF(Skills!N30=TRUE,(Skills!L30/10)*(E2350/1000),Skills!L30/10)+Skills!O30</f>
        <v/>
      </c>
      <c r="G2350">
        <f>Skills!G30*IF(Skills!H30&gt;0,Skills!I30/Skills!H30,1)</f>
        <v/>
      </c>
      <c r="H2350">
        <f>1-(1-Skills!J30/100)^Skills!K30</f>
        <v/>
      </c>
      <c r="I2350" t="inlineStr">
        <is>
          <t>1</t>
        </is>
      </c>
      <c r="J2350" t="inlineStr"/>
      <c r="K2350" t="inlineStr"/>
      <c r="L2350" t="inlineStr"/>
      <c r="M2350" t="inlineStr"/>
      <c r="N2350" t="inlineStr"/>
      <c r="O2350">
        <f>(1-Summary!$B$11)*T2350+Summary!$B$11*V2350</f>
        <v/>
      </c>
      <c r="P2350">
        <f>IF(B2365=0,0,O2350/B2365)</f>
        <v/>
      </c>
      <c r="Q2350" t="n">
        <v>0</v>
      </c>
      <c r="R2350" t="n">
        <v>0</v>
      </c>
      <c r="S2350">
        <f>IFERROR(O2350/N2350,0)</f>
        <v/>
      </c>
      <c r="T2350" t="n">
        <v>0</v>
      </c>
      <c r="V2350" t="n">
        <v>0</v>
      </c>
    </row>
    <row r="2352">
      <c r="A2352" t="inlineStr">
        <is>
          <t>Average Buff Multiplier</t>
        </is>
      </c>
      <c r="B2352">
        <f>(1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f>
        <v/>
      </c>
    </row>
    <row r="2353">
      <c r="A2353" t="inlineStr">
        <is>
          <t>Global Crit Rate Bonus %</t>
        </is>
      </c>
      <c r="B2353">
        <f>((C2340=TRUE)*F2340*IF(AND(Inputs!$B$39&lt;&gt;"pvp",Inputs!$B$44&gt;0),(((R2340-1)*(Skills!Y20*(1+Inputs!$B$34/100))+MIN((Skills!Y20*(1+Inputs!$B$34/100)),MAX(0,Inputs!$B$44-((R2340-1)*Skills!D20))))/Inputs!$B$44),IF(Inputs!$B$39="pvp",MIN((Skills!Y20*(1+Inputs!$B$34/100)),15)/15,(Skills!Y20*(1+Inputs!$B$34/100))/Skills!D20)))</f>
        <v/>
      </c>
    </row>
    <row r="2354">
      <c r="A2354" t="inlineStr">
        <is>
          <t>Global Monster Damage-Taken Bonus %</t>
        </is>
      </c>
      <c r="B2354">
        <f>IF(Inputs!$B$3&gt;=82,15,0)</f>
        <v/>
      </c>
    </row>
    <row r="2355">
      <c r="A2355" t="inlineStr">
        <is>
          <t>Shadow Partner Average Multiplier</t>
        </is>
      </c>
      <c r="B2355">
        <f>1+((C2327=TRUE)*F2327*(1+3.3333333333333335*IF(C2338=TRUE,F2338,0)/100)*I2327*Skills!J7/100)/100</f>
        <v/>
      </c>
    </row>
    <row r="2356">
      <c r="A2356" t="inlineStr">
        <is>
          <t>Attack Speed Buff Bonus %</t>
        </is>
      </c>
      <c r="B2356">
        <f>((C2339=TRUE)*F2339*IF(AND(Inputs!$B$39&lt;&gt;"pvp",Inputs!$B$44&gt;0),(((R2339-1)*(Skills!Y19*(1+Inputs!$B$34/100))+MIN((Skills!Y19*(1+Inputs!$B$34/100)),MAX(0,Inputs!$B$44-((R2339-1)*Skills!D19))))/Inputs!$B$44),IF(Inputs!$B$39="pvp",MIN((Skills!Y19*(1+Inputs!$B$34/100)),15)/15,(Skills!Y19*(1+Inputs!$B$34/100))/Skills!D19)))+((C2323=TRUE)*F2323*3)</f>
        <v/>
      </c>
    </row>
    <row r="2357">
      <c r="A2357" t="inlineStr">
        <is>
          <t>Actions Per Second</t>
        </is>
      </c>
      <c r="B2357">
        <f>1+MIN(150,150*(1-(1-(Inputs!$B$11+((C2342=TRUE)*(F2342-Calc!F22)))/150)*(1-B2356/150)))/100</f>
        <v/>
      </c>
    </row>
    <row r="2358">
      <c r="A2358" t="inlineStr">
        <is>
          <t>Skill + Buff Cast Rate</t>
        </is>
      </c>
      <c r="B2358">
        <f>IF(AND(Inputs!$B$39&lt;&gt;"pvp",Inputs!$B$44&gt;0),SUMPRODUCT((Skills!E2:E30=TRUE)*(C2322:C2350=TRUE)*R2322:R2350*Skills!F2:F30)/Inputs!$B$44,SUMPRODUCT((Skills!E2:E30=TRUE)*(C2322:C2350=TRUE)*Q2322:Q2350*Skills!F2:F30))</f>
        <v/>
      </c>
    </row>
    <row r="2359">
      <c r="A2359" t="inlineStr">
        <is>
          <t>Cruel Stab Casts Per Second</t>
        </is>
      </c>
      <c r="B2359">
        <f>MAX(0,B2357-B2358)</f>
        <v/>
      </c>
    </row>
    <row r="2360">
      <c r="A2360" t="inlineStr">
        <is>
          <t>Global Critical Damage Bonus % (Smokescreen Mastery Lv.113)</t>
        </is>
      </c>
      <c r="B2360">
        <f>IF(Inputs!$B$3&gt;=113,30,0)*IF(AND(Inputs!$B$39&lt;&gt;"pvp",Inputs!$B$44&gt;0),(((R2335-1)*(Skills!Y15*(1+Inputs!$B$34/100))+MIN((Skills!Y15*(1+Inputs!$B$34/100)),MAX(0,Inputs!$B$44-((R2335-1)*Skills!D15))))/Inputs!$B$44),IF(Inputs!$B$39="pvp",MIN((Skills!Y15*(1+Inputs!$B$34/100)),15)/15,(Skills!Y15*(1+Inputs!$B$34/100))/Skills!D15))</f>
        <v/>
      </c>
    </row>
    <row r="2361">
      <c r="A2361" t="inlineStr">
        <is>
          <t>Meso Explosion average stack count</t>
        </is>
      </c>
      <c r="B2361">
        <f>MIN(10,0.5*B2357*Skills!D4)</f>
        <v/>
      </c>
    </row>
    <row r="2362">
      <c r="A2362" t="inlineStr">
        <is>
          <t>Blood Money average stack count</t>
        </is>
      </c>
      <c r="B2362">
        <f>MIN(5,0.25*B2357*Skills!D4)</f>
        <v/>
      </c>
    </row>
    <row r="2363">
      <c r="A2363" t="inlineStr">
        <is>
          <t>Assassinate Murderous Intent Multiplier</t>
        </is>
      </c>
      <c r="B2363">
        <f>1+IFERROR(MIN(1,Q2334*2/Q2331),0)</f>
        <v/>
      </c>
    </row>
    <row r="2364">
      <c r="A2364" t="inlineStr">
        <is>
          <t>Buff-Casting Startup Delay (s, fixed-duration only)</t>
        </is>
      </c>
      <c r="B2364">
        <f>IF(AND(Inputs!$B$39&lt;&gt;"pvp",Inputs!$B$44&gt;0),SUMPRODUCT((Skills!Y2:Y30&gt;0)*(Skills!E2:E30=TRUE)*(C2322:C2350=TRUE))/B2357,0)</f>
        <v/>
      </c>
    </row>
    <row r="2365">
      <c r="A2365" s="6" t="inlineStr">
        <is>
          <t>TOTAL DPS</t>
        </is>
      </c>
      <c r="B2365" s="6">
        <f>SUM(O2322:O2350)</f>
        <v/>
      </c>
    </row>
    <row r="2366">
      <c r="A2366" t="inlineStr">
        <is>
          <t>Boss-Only Total DPS (this block's swept value)</t>
        </is>
      </c>
      <c r="B2366">
        <f>SUM(T2322:T2350)</f>
        <v/>
      </c>
    </row>
    <row r="2367">
      <c r="A2367" t="inlineStr">
        <is>
          <t>Normal-Only Total DPS (this block's swept value)</t>
        </is>
      </c>
      <c r="B2367">
        <f>SUM(V2322:V2350)</f>
        <v/>
      </c>
    </row>
    <row r="2370">
      <c r="A2370" s="6" t="inlineStr">
        <is>
          <t>Stat: Fire Flower (Equip)</t>
        </is>
      </c>
    </row>
    <row r="2371">
      <c r="A2371" s="5" t="inlineStr">
        <is>
          <t>Key</t>
        </is>
      </c>
      <c r="B2371" s="5" t="inlineStr">
        <is>
          <t>Name</t>
        </is>
      </c>
      <c r="C2371" s="5" t="inlineStr">
        <is>
          <t>Unlocked</t>
        </is>
      </c>
      <c r="D2371" s="5" t="inlineStr">
        <is>
          <t>InputLevel</t>
        </is>
      </c>
      <c r="E2371" s="5" t="inlineStr">
        <is>
          <t>Factor</t>
        </is>
      </c>
      <c r="F2371" s="5" t="inlineStr">
        <is>
          <t>CoefficientPercent</t>
        </is>
      </c>
      <c r="G2371" s="5" t="inlineStr">
        <is>
          <t>EffectiveHits</t>
        </is>
      </c>
      <c r="H2371" s="5" t="inlineStr">
        <is>
          <t>ProcProbability</t>
        </is>
      </c>
      <c r="I2371" s="5" t="inlineStr">
        <is>
          <t>MapleHeroMultiplier</t>
        </is>
      </c>
      <c r="J2371" s="5" t="inlineStr">
        <is>
          <t>BaseDamage</t>
        </is>
      </c>
      <c r="K2371" s="5" t="inlineStr">
        <is>
          <t>BaseHitDamage</t>
        </is>
      </c>
      <c r="L2371" s="5" t="inlineStr">
        <is>
          <t>NonCritAvg</t>
        </is>
      </c>
      <c r="M2371" s="5" t="inlineStr">
        <is>
          <t>CritAvg</t>
        </is>
      </c>
      <c r="N2371" s="5" t="inlineStr">
        <is>
          <t>ExpectedDamage(perHit)</t>
        </is>
      </c>
      <c r="O2371" s="5" t="inlineStr">
        <is>
          <t>DPS</t>
        </is>
      </c>
      <c r="P2371" s="5" t="inlineStr">
        <is>
          <t>% of Total</t>
        </is>
      </c>
      <c r="Q2371" s="5" t="inlineStr">
        <is>
          <t>InvCooldown</t>
        </is>
      </c>
      <c r="R2371" s="5" t="inlineStr">
        <is>
          <t>CastsInFight</t>
        </is>
      </c>
      <c r="S2371" s="5" t="inlineStr">
        <is>
          <t>HitRate(perSec)</t>
        </is>
      </c>
      <c r="U2371" t="inlineStr">
        <is>
          <t>helpers</t>
        </is>
      </c>
    </row>
    <row r="2372">
      <c r="A2372">
        <f>Skills!A2</f>
        <v/>
      </c>
      <c r="B2372">
        <f>Skills!B2</f>
        <v/>
      </c>
      <c r="C2372">
        <f>Inputs!$B$3&gt;=100</f>
        <v/>
      </c>
      <c r="D2372" t="inlineStr"/>
      <c r="E2372" t="inlineStr"/>
      <c r="F2372">
        <f>U2374+Skills!O2</f>
        <v/>
      </c>
      <c r="G2372">
        <f>Skills!G2*IF(Skills!H2&gt;0,Skills!I2/Skills!H2,1)</f>
        <v/>
      </c>
      <c r="H2372">
        <f>1-(1-Skills!J2/100)^Skills!K2</f>
        <v/>
      </c>
      <c r="I2372" t="inlineStr">
        <is>
          <t>1</t>
        </is>
      </c>
      <c r="J2372">
        <f>((Inputs!$B$6*(1+Inputs!$B$7/100))+(((Inputs!$B$12*(1+Inputs!$B$13/100))-(Inputs!$B$12*(1+Inputs!$B$13/100)))+0.25*(Inputs!$B$14-Inputs!$B$14))*(1+Inputs!$B$7/100))*(F2372/100)</f>
        <v/>
      </c>
      <c r="K2372">
        <f>J2372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2372)</f>
        <v/>
      </c>
      <c r="L2372">
        <f>K2372*(MIN(Inputs!$B$22+((C2394=TRUE)*(F2394-Calc!F24)),(Inputs!$B$23+((C2399=TRUE)*(F2399-Calc!F29))+IF(ArtifactsInput!$M$15,CHOOSE(ArtifactsInput!$N$15+1,25,30,35,40,45,50)/100*(Inputs!$B$11-Inputs!$B$11),0)))/100+(Inputs!$B$23+((C2399=TRUE)*(F2399-Calc!F29))+IF(ArtifactsInput!$M$15,CHOOSE(ArtifactsInput!$N$15+1,25,30,35,40,45,50)/100*(Inputs!$B$11-Inputs!$B$11),0))/100)/2</f>
        <v/>
      </c>
      <c r="M2372">
        <f>L2372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2">
        <f>L2372*(1-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2372*(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2">
        <f>(1-Summary!$B$11)*T2372+Summary!$B$11*V2372</f>
        <v/>
      </c>
      <c r="P2372">
        <f>IF(B2415=0,0,O2372/B2415)</f>
        <v/>
      </c>
      <c r="Q2372" t="n">
        <v>0</v>
      </c>
      <c r="R2372" t="n">
        <v>0</v>
      </c>
      <c r="S2372">
        <f>IFERROR(O2372/N2372,0)</f>
        <v/>
      </c>
      <c r="T2372">
        <f>IF(C2372,(Skills!G2*N2372*B2409)*IF(Inputs!$B$39="pvp",1,1+(Inputs!$B$20+0+Skills!P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2372*(1-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2372*(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2372*(1-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2372*(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2">
        <f>MAX(0,(Inputs!$B$3-100)*3)+Inputs!$B$28+Inputs!$B$29</f>
        <v/>
      </c>
      <c r="V2372">
        <f>IF(C2372,(Skills!G2*N2372*B2409)*IF(Inputs!$B$39="pvp",1,(1+(Inputs!$B$21+Skills!Q2+B2404+(IF(ArtifactsInput!$M$33,CHOOSE(ArtifactsInput!$N$33+1,30,36,42,48,54,60),0))+(IF(AND(ArtifactsInput!$M$35,Inputs!$B$4&lt;&gt;"Chapter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3">
      <c r="A2373">
        <f>Skills!A3</f>
        <v/>
      </c>
      <c r="B2373">
        <f>Skills!B3</f>
        <v/>
      </c>
      <c r="C2373">
        <f>Inputs!$B$3&gt;=35</f>
        <v/>
      </c>
      <c r="D2373">
        <f>IF(Skills!C3=1,60+Inputs!$B$25+Inputs!$B$29,IF(Skills!C3=2,90+Inputs!$B$26+Inputs!$B$29,IF(Skills!C3=3,120+Inputs!$B$27+Inputs!$B$29,MAX(0,(Inputs!$B$3-100)*3)+Inputs!$B$28+Inputs!$B$29)))</f>
        <v/>
      </c>
      <c r="E2373">
        <f>INDEX(FactorTable!$B$2:$Y$301, MATCH(ROUND(MIN(300,MAX(1,D2373)),0), FactorTable!$A$2:$A$301,0), Skills!M3+1)</f>
        <v/>
      </c>
      <c r="F2373">
        <f>IF(Skills!N3=TRUE,(Skills!L3/10)*(E2373/1000),Skills!L3/10)+Skills!O3</f>
        <v/>
      </c>
      <c r="G2373">
        <f>Skills!G3*IF(Skills!H3&gt;0,Skills!I3/Skills!H3,1)</f>
        <v/>
      </c>
      <c r="H2373">
        <f>1-(1-Skills!J3/100)^Skills!K3</f>
        <v/>
      </c>
      <c r="I2373" t="inlineStr">
        <is>
          <t>1</t>
        </is>
      </c>
      <c r="J2373" t="inlineStr"/>
      <c r="K2373" t="inlineStr"/>
      <c r="L2373" t="inlineStr"/>
      <c r="M2373" t="inlineStr"/>
      <c r="N2373" t="inlineStr"/>
      <c r="O2373">
        <f>(1-Summary!$B$11)*T2373+Summary!$B$11*V2373</f>
        <v/>
      </c>
      <c r="P2373">
        <f>IF(B2415=0,0,O2373/B2415)</f>
        <v/>
      </c>
      <c r="Q2373" t="n">
        <v>0</v>
      </c>
      <c r="R2373" t="n">
        <v>0</v>
      </c>
      <c r="S2373">
        <f>IFERROR(O2373/N2373,0)</f>
        <v/>
      </c>
      <c r="T2373" t="n">
        <v>0</v>
      </c>
      <c r="U2373">
        <f>INDEX(FactorTable!$B$2:$Y$301, MATCH(ROUND(MIN(300,MAX(1,U2372)),0), FactorTable!$A$2:$A$301,0), 22)</f>
        <v/>
      </c>
      <c r="V2373" t="n">
        <v>0</v>
      </c>
    </row>
    <row r="2374">
      <c r="A2374">
        <f>Skills!A4</f>
        <v/>
      </c>
      <c r="B2374">
        <f>Skills!B4</f>
        <v/>
      </c>
      <c r="C2374">
        <f>Inputs!$B$3&gt;=66</f>
        <v/>
      </c>
      <c r="D2374">
        <f>IF(Skills!C4=1,60+Inputs!$B$25+Inputs!$B$29,IF(Skills!C4=2,90+Inputs!$B$26+Inputs!$B$29,IF(Skills!C4=3,120+Inputs!$B$27+Inputs!$B$29,MAX(0,(Inputs!$B$3-100)*3)+Inputs!$B$28+Inputs!$B$29)))</f>
        <v/>
      </c>
      <c r="E2374">
        <f>INDEX(FactorTable!$B$2:$Y$301, MATCH(ROUND(MIN(300,MAX(1,D2374)),0), FactorTable!$A$2:$A$301,0), Skills!M4+1)</f>
        <v/>
      </c>
      <c r="F2374">
        <f>IF(Skills!N4=TRUE,(Skills!L4/10)*(E2374/1000),Skills!L4/10)+Skills!O4</f>
        <v/>
      </c>
      <c r="G2374">
        <f>Skills!G4*IF(Skills!H4&gt;0,Skills!I4/Skills!H4,1)</f>
        <v/>
      </c>
      <c r="H2374">
        <f>1-(1-Skills!J4/100)^Skills!K4</f>
        <v/>
      </c>
      <c r="I2374" t="inlineStr">
        <is>
          <t>1</t>
        </is>
      </c>
      <c r="J2374">
        <f>((Inputs!$B$6*(1+Inputs!$B$7/100))+(((Inputs!$B$12*(1+Inputs!$B$13/100))-(Inputs!$B$12*(1+Inputs!$B$13/100)))+0.25*(Inputs!$B$14-Inputs!$B$14))*(1+Inputs!$B$7/100))*(F2374/100)</f>
        <v/>
      </c>
      <c r="K2374">
        <f>J2374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2374)</f>
        <v/>
      </c>
      <c r="L2374">
        <f>K2374*(MIN(Inputs!$B$22+((C2394=TRUE)*(F2394-Calc!F24)),(Inputs!$B$23+((C2399=TRUE)*(F2399-Calc!F29))+IF(ArtifactsInput!$M$15,CHOOSE(ArtifactsInput!$N$15+1,25,30,35,40,45,50)/100*(Inputs!$B$11-Inputs!$B$11),0)))/100+(Inputs!$B$23+((C2399=TRUE)*(F2399-Calc!F29))+IF(ArtifactsInput!$M$15,CHOOSE(ArtifactsInput!$N$15+1,25,30,35,40,45,50)/100*(Inputs!$B$11-Inputs!$B$11),0))/100)/2</f>
        <v/>
      </c>
      <c r="M2374">
        <f>L2374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4">
        <f>L2374*(1-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(1-Summary!$B$11)*T2374+Summary!$B$11*V2374</f>
        <v/>
      </c>
      <c r="P2374">
        <f>IF(B2415=0,0,O2374/B2415)</f>
        <v/>
      </c>
      <c r="Q2374">
        <f>IFERROR(1/IF(Inputs!$B$39="pvp",15,MAX(0.1,Skills!D4-IF(Skills!E4=TRUE,Inputs!$B$32,0))),0)</f>
        <v/>
      </c>
      <c r="R2374">
        <f>IF(AND(Inputs!$B$39&lt;&gt;"pvp",Inputs!$B$44&gt;0),IF(MAX(0,Inputs!$B$44-B2414)&lt;=0,0,(INT(MAX(0,Inputs!$B$44-B2414)/IF(Inputs!$B$39="pvp",15,MAX(0.1,Skills!D4-IF(Skills!E4=TRUE,Inputs!$B$32,0))))+1)),0)</f>
        <v/>
      </c>
      <c r="S2374">
        <f>IFERROR(O2374/N2374,0)</f>
        <v/>
      </c>
      <c r="T2374">
        <f>IF(C2374,(H2374*N2374*IF(AND(Inputs!$B$39&lt;&gt;"pvp",Inputs!$B$44&gt;0),((Skills!G4*((R2374-1)*IF(Skills!H4&gt;0,Skills!I4/Skills!H4,1)+IF(Skills!H4&gt;0,MIN(Skills!I4,MAX(0,MAX(0,Inputs!$B$44-B2414)-((R2374-1)*IF(Inputs!$B$39="pvp",15,MAX(0.1,Skills!D4-IF(Skills!E4=TRUE,Inputs!$B$32,0))))))/Skills!H4,1)))/Inputs!$B$44),G2374*Q2374))*IF(Inputs!$B$39="pvp",1,1+(Inputs!$B$20+0+Skills!P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2374*(1-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f>290*U2373/1000</f>
        <v/>
      </c>
      <c r="V2374">
        <f>IF(C2374,(H2374*N2374*IF(AND(Inputs!$B$39&lt;&gt;"pvp",Inputs!$B$44&gt;0),((Skills!G4*((R2374-1)*IF(Skills!H4&gt;0,Skills!I4/Skills!H4,1)+IF(Skills!H4&gt;0,MIN(Skills!I4,MAX(0,MAX(0,Inputs!$B$44-B2414)-((R2374-1)*IF(Inputs!$B$39="pvp",15,MAX(0.1,Skills!D4-IF(Skills!E4=TRUE,Inputs!$B$32,0))))))/Skills!H4,1)))/Inputs!$B$44),G2374*Q2374))*IF(Inputs!$B$39="pvp",1,(1+(Inputs!$B$21+Skills!Q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(10,0.5*B2407*Skills!D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5">
      <c r="A2375">
        <f>Skills!A5</f>
        <v/>
      </c>
      <c r="B2375">
        <f>Skills!B5</f>
        <v/>
      </c>
      <c r="C2375">
        <f>Inputs!$B$3&gt;=63</f>
        <v/>
      </c>
      <c r="D2375">
        <f>IF(Skills!C5=1,60+Inputs!$B$25+Inputs!$B$29,IF(Skills!C5=2,90+Inputs!$B$26+Inputs!$B$29,IF(Skills!C5=3,120+Inputs!$B$27+Inputs!$B$29,MAX(0,(Inputs!$B$3-100)*3)+Inputs!$B$28+Inputs!$B$29)))</f>
        <v/>
      </c>
      <c r="E2375">
        <f>INDEX(FactorTable!$B$2:$Y$301, MATCH(ROUND(MIN(300,MAX(1,D2375)),0), FactorTable!$A$2:$A$301,0), Skills!M5+1)</f>
        <v/>
      </c>
      <c r="F2375">
        <f>IF(Skills!N5=TRUE,(Skills!L5/10)*(E2375/1000),Skills!L5/10)+Skills!O5</f>
        <v/>
      </c>
      <c r="G2375">
        <f>Skills!G5*IF(Skills!H5&gt;0,Skills!I5/Skills!H5,1)</f>
        <v/>
      </c>
      <c r="H2375">
        <f>1-(1-Skills!J5/100)^Skills!K5</f>
        <v/>
      </c>
      <c r="I2375" t="inlineStr">
        <is>
          <t>1</t>
        </is>
      </c>
      <c r="J2375">
        <f>((Inputs!$B$6*(1+Inputs!$B$7/100))+(((Inputs!$B$12*(1+Inputs!$B$13/100))-(Inputs!$B$12*(1+Inputs!$B$13/100)))+0.25*(Inputs!$B$14-Inputs!$B$14))*(1+Inputs!$B$7/100))*(F2375/100)</f>
        <v/>
      </c>
      <c r="K2375">
        <f>J2375*(1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2388=TRUE,F2388,0)/100)*(1+(IF(Skills!A5="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2375)</f>
        <v/>
      </c>
      <c r="L2375">
        <f>K2375*(MIN(Inputs!$B$22+((C2394=TRUE)*(F2394-Calc!F24)),(Inputs!$B$23+((C2399=TRUE)*(F2399-Calc!F29))+IF(ArtifactsInput!$M$15,CHOOSE(ArtifactsInput!$N$15+1,25,30,35,40,45,50)/100*(Inputs!$B$11-Inputs!$B$11),0)))/100+(Inputs!$B$23+((C2399=TRUE)*(F2399-Calc!F29))+IF(ArtifactsInput!$M$15,CHOOSE(ArtifactsInput!$N$15+1,25,30,35,40,45,50)/100*(Inputs!$B$11-Inputs!$B$11),0))/100)/2</f>
        <v/>
      </c>
      <c r="M2375">
        <f>L2375*(1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5">
        <f>L2375*(1-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(1-Summary!$B$11)*T2375+Summary!$B$11*V2375</f>
        <v/>
      </c>
      <c r="P2375">
        <f>IF(B2415=0,0,O2375/B2415)</f>
        <v/>
      </c>
      <c r="Q2375">
        <f>IFERROR(1/IF(Inputs!$B$39="pvp",15,MAX(0.1,Skills!D5-IF(Skills!E5=TRUE,Inputs!$B$32,0))),0)</f>
        <v/>
      </c>
      <c r="R2375">
        <f>IF(AND(Inputs!$B$39&lt;&gt;"pvp",Inputs!$B$44&gt;0),IF(MAX(0,Inputs!$B$44-B2414)&lt;=0,0,(INT(MAX(0,Inputs!$B$44-B2414)/IF(Inputs!$B$39="pvp",15,MAX(0.1,Skills!D5-IF(Skills!E5=TRUE,Inputs!$B$32,0))))+1)),0)</f>
        <v/>
      </c>
      <c r="S2375">
        <f>IFERROR(O2375/N2375,0)</f>
        <v/>
      </c>
      <c r="T2375">
        <f>IF(C2375,(H2375*N2375*IF(AND(Inputs!$B$39&lt;&gt;"pvp",Inputs!$B$44&gt;0),((Skills!G5*((R2375-1)*IF(Skills!H5&gt;0,Skills!I5/Skills!H5,1)+IF(Skills!H5&gt;0,MIN(Skills!I5,MAX(0,MAX(0,Inputs!$B$44-B2414)-((R2375-1)*IF(Inputs!$B$39="pvp",15,MAX(0.1,Skills!D5-IF(Skills!E5=TRUE,Inputs!$B$32,0))))))/Skills!H5,1)))/Inputs!$B$44),G2375*Q2375))*IF(Inputs!$B$39="pvp",1,1+(Inputs!$B$20+0+Skills!P5+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2375*(1-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5">
        <f>IF(C2375,(H2375*N2375*IF(AND(Inputs!$B$39&lt;&gt;"pvp",Inputs!$B$44&gt;0),((Skills!G5*((R2375-1)*IF(Skills!H5&gt;0,Skills!I5/Skills!H5,1)+IF(Skills!H5&gt;0,MIN(Skills!I5,MAX(0,MAX(0,Inputs!$B$44-B2414)-((R2375-1)*IF(Inputs!$B$39="pvp",15,MAX(0.1,Skills!D5-IF(Skills!E5=TRUE,Inputs!$B$32,0))))))/Skills!H5,1)))/Inputs!$B$44),G2375*Q2375))*IF(Inputs!$B$39="pvp",1,(1+(Inputs!$B$21+Skills!Q5+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Skills!A6</f>
        <v/>
      </c>
      <c r="B2376">
        <f>Skills!B6</f>
        <v/>
      </c>
      <c r="C2376">
        <f>Inputs!$B$3&gt;=69</f>
        <v/>
      </c>
      <c r="D2376">
        <f>IF(Skills!C6=1,60+Inputs!$B$25+Inputs!$B$29,IF(Skills!C6=2,90+Inputs!$B$26+Inputs!$B$29,IF(Skills!C6=3,120+Inputs!$B$27+Inputs!$B$29,MAX(0,(Inputs!$B$3-100)*3)+Inputs!$B$28+Inputs!$B$29)))</f>
        <v/>
      </c>
      <c r="E2376">
        <f>INDEX(FactorTable!$B$2:$Y$301, MATCH(ROUND(MIN(300,MAX(1,D2376)),0), FactorTable!$A$2:$A$301,0), Skills!M6+1)</f>
        <v/>
      </c>
      <c r="F2376">
        <f>IF(Skills!N6=TRUE,(Skills!L6/10)*(E2376/1000),Skills!L6/10)+Skills!O6</f>
        <v/>
      </c>
      <c r="G2376">
        <f>Skills!G6*IF(Skills!H6&gt;0,Skills!I6/Skills!H6,1)</f>
        <v/>
      </c>
      <c r="H2376">
        <f>1-(1-Skills!J6/100)^Skills!K6</f>
        <v/>
      </c>
      <c r="I2376" t="inlineStr">
        <is>
          <t>1</t>
        </is>
      </c>
      <c r="J2376">
        <f>((Inputs!$B$6*(1+Inputs!$B$7/100))+(((Inputs!$B$12*(1+Inputs!$B$13/100))-(Inputs!$B$12*(1+Inputs!$B$13/100)))+0.25*(Inputs!$B$14-Inputs!$B$14))*(1+Inputs!$B$7/100))*(F2376/100)</f>
        <v/>
      </c>
      <c r="K2376">
        <f>J2376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2388=TRUE,F2388,0)/100)*(1+(IF(Skills!A6="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2376)</f>
        <v/>
      </c>
      <c r="L2376">
        <f>K2376*(MIN(Inputs!$B$22+((C2394=TRUE)*(F2394-Calc!F24)),(Inputs!$B$23+((C2399=TRUE)*(F2399-Calc!F29))+IF(ArtifactsInput!$M$15,CHOOSE(ArtifactsInput!$N$15+1,25,30,35,40,45,50)/100*(Inputs!$B$11-Inputs!$B$11),0)))/100+(Inputs!$B$23+((C2399=TRUE)*(F2399-Calc!F29))+IF(ArtifactsInput!$M$15,CHOOSE(ArtifactsInput!$N$15+1,25,30,35,40,45,50)/100*(Inputs!$B$11-Inputs!$B$11),0))/100)/2</f>
        <v/>
      </c>
      <c r="M2376">
        <f>L2376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6">
        <f>L2376*(1-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(1-Summary!$B$11)*T2376+Summary!$B$11*V2376</f>
        <v/>
      </c>
      <c r="P2376">
        <f>IF(B2415=0,0,O2376/B2415)</f>
        <v/>
      </c>
      <c r="Q2376">
        <f>IFERROR(1/IF(Inputs!$B$39="pvp",15,MAX(0.1,Skills!D6-IF(Skills!E6=TRUE,Inputs!$B$32,0))),0)</f>
        <v/>
      </c>
      <c r="R2376">
        <f>IF(AND(Inputs!$B$39&lt;&gt;"pvp",Inputs!$B$44&gt;0),IF(MAX(0,Inputs!$B$44-B2414)&lt;=0,0,(INT(MAX(0,Inputs!$B$44-B2414)/IF(Inputs!$B$39="pvp",15,MAX(0.1,Skills!D6-IF(Skills!E6=TRUE,Inputs!$B$32,0))))+1)),0)</f>
        <v/>
      </c>
      <c r="S2376">
        <f>IFERROR(O2376/N2376,0)</f>
        <v/>
      </c>
      <c r="T2376">
        <f>IF(C2376,(H2376*N2376*IF(AND(Inputs!$B$39&lt;&gt;"pvp",Inputs!$B$44&gt;0),((Skills!G6*((R2376-1)*IF(Skills!H6&gt;0,Skills!I6/Skills!H6,1)+IF(Skills!H6&gt;0,MIN(Skills!I6,MAX(0,MAX(0,Inputs!$B$44-B2414)-((R2376-1)*IF(Inputs!$B$39="pvp",15,MAX(0.1,Skills!D6-IF(Skills!E6=TRUE,Inputs!$B$32,0))))))/Skills!H6,1)))/Inputs!$B$44),G2376*Q2376))*IF(Inputs!$B$39="pvp",1,1+(Inputs!$B$20+0+Skills!P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2376*(1-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6">
        <f>IF(C2376,(H2376*N2376*IF(AND(Inputs!$B$39&lt;&gt;"pvp",Inputs!$B$44&gt;0),((Skills!G6*((R2376-1)*IF(Skills!H6&gt;0,Skills!I6/Skills!H6,1)+IF(Skills!H6&gt;0,MIN(Skills!I6,MAX(0,MAX(0,Inputs!$B$44-B2414)-((R2376-1)*IF(Inputs!$B$39="pvp",15,MAX(0.1,Skills!D6-IF(Skills!E6=TRUE,Inputs!$B$32,0))))))/Skills!H6,1)))/Inputs!$B$44),G2376*Q2376))*IF(Inputs!$B$39="pvp",1,(1+(Inputs!$B$21+Skills!Q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Skills!A7</f>
        <v/>
      </c>
      <c r="B2377">
        <f>Skills!B7</f>
        <v/>
      </c>
      <c r="C2377">
        <f>Inputs!$B$3&gt;=60</f>
        <v/>
      </c>
      <c r="D2377">
        <f>IF(Skills!C7=1,60+Inputs!$B$25+Inputs!$B$29,IF(Skills!C7=2,90+Inputs!$B$26+Inputs!$B$29,IF(Skills!C7=3,120+Inputs!$B$27+Inputs!$B$29,MAX(0,(Inputs!$B$3-100)*3)+Inputs!$B$28+Inputs!$B$29)))</f>
        <v/>
      </c>
      <c r="E2377">
        <f>INDEX(FactorTable!$B$2:$Y$301, MATCH(ROUND(MIN(300,MAX(1,D2377)),0), FactorTable!$A$2:$A$301,0), Skills!M7+1)</f>
        <v/>
      </c>
      <c r="F2377">
        <f>IF(Skills!N7=TRUE,(Skills!L7/10)*(E2377/1000),Skills!L7/10)+Skills!O7</f>
        <v/>
      </c>
      <c r="G2377">
        <f>Skills!G7*IF(Skills!H7&gt;0,Skills!I7/Skills!H7,1)</f>
        <v/>
      </c>
      <c r="H2377">
        <f>1-(1-Skills!J7/100)^Skills!K7</f>
        <v/>
      </c>
      <c r="I2377" t="inlineStr">
        <is>
          <t>1</t>
        </is>
      </c>
      <c r="J2377" t="inlineStr"/>
      <c r="K2377" t="inlineStr"/>
      <c r="L2377" t="inlineStr"/>
      <c r="M2377" t="inlineStr"/>
      <c r="N2377" t="inlineStr"/>
      <c r="O2377">
        <f>(1-Summary!$B$11)*T2377+Summary!$B$11*V2377</f>
        <v/>
      </c>
      <c r="P2377">
        <f>IF(B2415=0,0,O2377/B2415)</f>
        <v/>
      </c>
      <c r="Q2377" t="n">
        <v>0</v>
      </c>
      <c r="R2377" t="n">
        <v>0</v>
      </c>
      <c r="S2377">
        <f>IFERROR(O2377/N2377,0)</f>
        <v/>
      </c>
      <c r="T2377" t="n">
        <v>0</v>
      </c>
      <c r="V2377" t="n">
        <v>0</v>
      </c>
    </row>
    <row r="2378">
      <c r="A2378">
        <f>Skills!A8</f>
        <v/>
      </c>
      <c r="B2378">
        <f>Skills!B8</f>
        <v/>
      </c>
      <c r="C2378">
        <f>Inputs!$B$3&gt;=72</f>
        <v/>
      </c>
      <c r="D2378">
        <f>IF(Skills!C8=1,60+Inputs!$B$25+Inputs!$B$29,IF(Skills!C8=2,90+Inputs!$B$26+Inputs!$B$29,IF(Skills!C8=3,120+Inputs!$B$27+Inputs!$B$29,MAX(0,(Inputs!$B$3-100)*3)+Inputs!$B$28+Inputs!$B$29)))</f>
        <v/>
      </c>
      <c r="E2378">
        <f>INDEX(FactorTable!$B$2:$Y$301, MATCH(ROUND(MIN(300,MAX(1,D2378)),0), FactorTable!$A$2:$A$301,0), Skills!M8+1)</f>
        <v/>
      </c>
      <c r="F2378">
        <f>IF(Skills!N8=TRUE,(Skills!L8/10)*(E2378/1000),Skills!L8/10)+Skills!O8</f>
        <v/>
      </c>
      <c r="G2378">
        <f>Skills!G8*IF(Skills!H8&gt;0,Skills!I8/Skills!H8,1)</f>
        <v/>
      </c>
      <c r="H2378">
        <f>1-(1-Skills!J8/100)^Skills!K8</f>
        <v/>
      </c>
      <c r="I2378" t="inlineStr">
        <is>
          <t>1</t>
        </is>
      </c>
      <c r="J2378">
        <f>((Inputs!$B$6*(1+Inputs!$B$7/100))+(((Inputs!$B$12*(1+Inputs!$B$13/100))-(Inputs!$B$12*(1+Inputs!$B$13/100)))+0.25*(Inputs!$B$14-Inputs!$B$14))*(1+Inputs!$B$7/100))*(F2378/100)</f>
        <v/>
      </c>
      <c r="K2378">
        <f>J2378*(1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2388=TRUE,F2388,0)/100)*(1+(IF(Skills!A8="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2378)</f>
        <v/>
      </c>
      <c r="L2378">
        <f>K2378*(MIN(Inputs!$B$22+((C2394=TRUE)*(F2394-Calc!F24)),(Inputs!$B$23+((C2399=TRUE)*(F2399-Calc!F29))+IF(ArtifactsInput!$M$15,CHOOSE(ArtifactsInput!$N$15+1,25,30,35,40,45,50)/100*(Inputs!$B$11-Inputs!$B$11),0)))/100+(Inputs!$B$23+((C2399=TRUE)*(F2399-Calc!F29))+IF(ArtifactsInput!$M$15,CHOOSE(ArtifactsInput!$N$15+1,25,30,35,40,45,50)/100*(Inputs!$B$11-Inputs!$B$11),0))/100)/2</f>
        <v/>
      </c>
      <c r="M2378">
        <f>L2378*(1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IF(B2415=0,0,O2378/B2415)</f>
        <v/>
      </c>
      <c r="Q2378">
        <f>IFERROR(1/IF(Inputs!$B$39="pvp",15,MAX(0.1,Skills!D8-IF(Skills!E8=TRUE,Inputs!$B$32,0))),0)</f>
        <v/>
      </c>
      <c r="R2378">
        <f>IF(AND(Inputs!$B$39&lt;&gt;"pvp",Inputs!$B$44&gt;0),IF(MAX(0,Inputs!$B$44-B2414)&lt;=0,0,(INT(MAX(0,Inputs!$B$44-B2414)/IF(Inputs!$B$39="pvp",15,MAX(0.1,Skills!D8-IF(Skills!E8=TRUE,Inputs!$B$32,0))))+1)),0)</f>
        <v/>
      </c>
      <c r="S2378">
        <f>IFERROR(O2378/N2378,0)</f>
        <v/>
      </c>
      <c r="T2378">
        <f>IF(C2378,(H2378*N2378*IF(AND(Inputs!$B$39&lt;&gt;"pvp",Inputs!$B$44&gt;0),((Skills!G8*((R2378-1)*IF(Skills!H8&gt;0,Skills!I8/Skills!H8,1)+IF(Skills!H8&gt;0,MIN(Skills!I8,MAX(0,MAX(0,Inputs!$B$44-B2414)-((R2378-1)*IF(Inputs!$B$39="pvp",15,MAX(0.1,Skills!D8-IF(Skills!E8=TRUE,Inputs!$B$32,0))))))/Skills!H8,1)))/Inputs!$B$44),G2378*Q2378))*IF(Inputs!$B$39="pvp",1,1+(Inputs!$B$20+0+Skills!P8+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2378*(1-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8">
        <f>IF(C2378,(H2378*N2378*IF(AND(Inputs!$B$39&lt;&gt;"pvp",Inputs!$B$44&gt;0),((Skills!G8*((R2378-1)*IF(Skills!H8&gt;0,Skills!I8/Skills!H8,1)+IF(Skills!H8&gt;0,MIN(Skills!I8,MAX(0,MAX(0,Inputs!$B$44-B2414)-((R2378-1)*IF(Inputs!$B$39="pvp",15,MAX(0.1,Skills!D8-IF(Skills!E8=TRUE,Inputs!$B$32,0))))))/Skills!H8,1)))/Inputs!$B$44),G2378*Q2378))*IF(Inputs!$B$39="pvp",1,(1+(Inputs!$B$21+Skills!Q8+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Skills!A9</f>
        <v/>
      </c>
      <c r="B2379">
        <f>Skills!B9</f>
        <v/>
      </c>
      <c r="C2379">
        <f>Inputs!$B$3&gt;=117</f>
        <v/>
      </c>
      <c r="D2379">
        <f>IF(Skills!C9=1,60+Inputs!$B$25+Inputs!$B$29,IF(Skills!C9=2,90+Inputs!$B$26+Inputs!$B$29,IF(Skills!C9=3,120+Inputs!$B$27+Inputs!$B$29,MAX(0,(Inputs!$B$3-100)*3)+Inputs!$B$28+Inputs!$B$29)))</f>
        <v/>
      </c>
      <c r="E2379">
        <f>INDEX(FactorTable!$B$2:$Y$301, MATCH(ROUND(MIN(300,MAX(1,D2379)),0), FactorTable!$A$2:$A$301,0), Skills!M9+1)</f>
        <v/>
      </c>
      <c r="F2379">
        <f>IF(Skills!N9=TRUE,(Skills!L9/10)*(E2379/1000),Skills!L9/10)+Skills!O9</f>
        <v/>
      </c>
      <c r="G2379">
        <f>Skills!G9*IF(Skills!H9&gt;0,Skills!I9/Skills!H9,1)</f>
        <v/>
      </c>
      <c r="H2379">
        <f>1-(1-Skills!J9/100)^Skills!K9</f>
        <v/>
      </c>
      <c r="I2379" t="inlineStr">
        <is>
          <t>1</t>
        </is>
      </c>
      <c r="J2379">
        <f>((Inputs!$B$6*(1+Inputs!$B$7/100))+(((Inputs!$B$12*(1+Inputs!$B$13/100))-(Inputs!$B$12*(1+Inputs!$B$13/100)))+0.25*(Inputs!$B$14-Inputs!$B$14))*(1+Inputs!$B$7/100))*(F2379/100)</f>
        <v/>
      </c>
      <c r="K2379">
        <f>J2379*(1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2379)</f>
        <v/>
      </c>
      <c r="L2379">
        <f>K2379*(MIN(Inputs!$B$22+((C2394=TRUE)*(F2394-Calc!F24)),(Inputs!$B$23+((C2399=TRUE)*(F2399-Calc!F29))+IF(ArtifactsInput!$M$15,CHOOSE(ArtifactsInput!$N$15+1,25,30,35,40,45,50)/100*(Inputs!$B$11-Inputs!$B$11),0)))/100+(Inputs!$B$23+((C2399=TRUE)*(F2399-Calc!F29))+IF(ArtifactsInput!$M$15,CHOOSE(ArtifactsInput!$N$15+1,25,30,35,40,45,50)/100*(Inputs!$B$11-Inputs!$B$11),0))/100)/2</f>
        <v/>
      </c>
      <c r="M2379">
        <f>L2379*(1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IF(B2415=0,0,O2379/B2415)</f>
        <v/>
      </c>
      <c r="Q2379" t="n">
        <v>0</v>
      </c>
      <c r="R2379" t="n">
        <v>0</v>
      </c>
      <c r="S2379" t="n">
        <v>0</v>
      </c>
      <c r="T2379">
        <f>IF(C2379,(0.2*SUMPRODUCT((Skills!Z2:Z30=TRUE)*(C2372:C2400=TRUE)*S2372:S2400)*N2379)*IF(Inputs!$B$39="pvp",1,1+(Inputs!$B$20+0+Skills!P9+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2379*(1-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9">
        <f>IF(C2379,(0.2*SUMPRODUCT((Skills!Z2:Z30=TRUE)*(C2372:C2400=TRUE)*S2372:S2400)*N2379)*IF(Inputs!$B$39="pvp",1,(1+(Inputs!$B$21+Skills!Q9+B2404+(IF(ArtifactsInput!$M$33,CHOOSE(ArtifactsInput!$N$33+1,30,36,42,48,54,60),0))+(IF(AND(ArtifactsInput!$M$35,Inputs!$B$4&lt;&gt;"Chapter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Skills!A10</f>
        <v/>
      </c>
      <c r="B2380">
        <f>Skills!B10</f>
        <v/>
      </c>
      <c r="C2380">
        <f>Inputs!$B$3&gt;=74</f>
        <v/>
      </c>
      <c r="D2380">
        <f>IF(Skills!C10=1,60+Inputs!$B$25+Inputs!$B$29,IF(Skills!C10=2,90+Inputs!$B$26+Inputs!$B$29,IF(Skills!C10=3,120+Inputs!$B$27+Inputs!$B$29,MAX(0,(Inputs!$B$3-100)*3)+Inputs!$B$28+Inputs!$B$29)))</f>
        <v/>
      </c>
      <c r="E2380">
        <f>INDEX(FactorTable!$B$2:$Y$301, MATCH(ROUND(MIN(300,MAX(1,D2380)),0), FactorTable!$A$2:$A$301,0), Skills!M10+1)</f>
        <v/>
      </c>
      <c r="F2380">
        <f>IF(Skills!N10=TRUE,(Skills!L10/10)*(E2380/1000),Skills!L10/10)+Skills!O10</f>
        <v/>
      </c>
      <c r="G2380">
        <f>Skills!G10*IF(Skills!H10&gt;0,Skills!I10/Skills!H10,1)</f>
        <v/>
      </c>
      <c r="H2380">
        <f>1-(1-Skills!J10/100)^Skills!K10</f>
        <v/>
      </c>
      <c r="I2380" t="inlineStr">
        <is>
          <t>1</t>
        </is>
      </c>
      <c r="J2380" t="inlineStr"/>
      <c r="K2380" t="inlineStr"/>
      <c r="L2380" t="inlineStr"/>
      <c r="M2380" t="inlineStr"/>
      <c r="N2380" t="inlineStr"/>
      <c r="O2380">
        <f>(1-Summary!$B$11)*T2380+Summary!$B$11*V2380</f>
        <v/>
      </c>
      <c r="P2380">
        <f>IF(B2415=0,0,O2380/B2415)</f>
        <v/>
      </c>
      <c r="Q2380">
        <f>IFERROR(1/IF(Inputs!$B$39="pvp",15,MAX(0.1,Skills!D10-IF(Skills!E10=TRUE,Inputs!$B$32,0))),0)</f>
        <v/>
      </c>
      <c r="R2380">
        <f>IF(AND(Inputs!$B$39&lt;&gt;"pvp",Inputs!$B$44&gt;0),IF(Inputs!$B$44&lt;=0,0,(INT(Inputs!$B$44/IF(Inputs!$B$39="pvp",15,MAX(0.1,Skills!D10-IF(Skills!E10=TRUE,Inputs!$B$32,0))))+1)),0)</f>
        <v/>
      </c>
      <c r="S2380">
        <f>IFERROR(O2380/N2380,0)</f>
        <v/>
      </c>
      <c r="T2380" t="n">
        <v>0</v>
      </c>
      <c r="V2380" t="n">
        <v>0</v>
      </c>
    </row>
    <row r="2381">
      <c r="A2381">
        <f>Skills!A11</f>
        <v/>
      </c>
      <c r="B2381">
        <f>Skills!B11</f>
        <v/>
      </c>
      <c r="C2381">
        <f>Inputs!$B$3&gt;=103</f>
        <v/>
      </c>
      <c r="D2381">
        <f>IF(Skills!C11=1,60+Inputs!$B$25+Inputs!$B$29,IF(Skills!C11=2,90+Inputs!$B$26+Inputs!$B$29,IF(Skills!C11=3,120+Inputs!$B$27+Inputs!$B$29,MAX(0,(Inputs!$B$3-100)*3)+Inputs!$B$28+Inputs!$B$29)))</f>
        <v/>
      </c>
      <c r="E2381">
        <f>INDEX(FactorTable!$B$2:$Y$301, MATCH(ROUND(MIN(300,MAX(1,D2381)),0), FactorTable!$A$2:$A$301,0), Skills!M11+1)</f>
        <v/>
      </c>
      <c r="F2381">
        <f>(Skills!L11/10)*(E2381/1000)+IF(Inputs!$B$3&gt;=134,50,0)+0.5*(30000/10)*(INDEX(FactorTable!$B$2:$Y$301, MATCH(ROUND(MIN(300,MAX(1,D2381)),0), FactorTable!$A$2:$A$301,0), 13)/1000)*B2413</f>
        <v/>
      </c>
      <c r="G2381">
        <f>Skills!G11*IF(Skills!H11&gt;0,Skills!I11/Skills!H11,1)</f>
        <v/>
      </c>
      <c r="H2381">
        <f>1-(1-Skills!J11/100)^Skills!K11</f>
        <v/>
      </c>
      <c r="I2381" t="inlineStr">
        <is>
          <t>1</t>
        </is>
      </c>
      <c r="J2381">
        <f>((Inputs!$B$6*(1+Inputs!$B$7/100))+(((Inputs!$B$12*(1+Inputs!$B$13/100))-(Inputs!$B$12*(1+Inputs!$B$13/100)))+0.25*(Inputs!$B$14-Inputs!$B$14))*(1+Inputs!$B$7/100))*(F2381/100)</f>
        <v/>
      </c>
      <c r="K2381">
        <f>J2381*(1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2381)</f>
        <v/>
      </c>
      <c r="L2381">
        <f>K2381*(MIN(Inputs!$B$22+((C2394=TRUE)*(F2394-Calc!F24)),(Inputs!$B$23+((C2399=TRUE)*(F2399-Calc!F29))+IF(ArtifactsInput!$M$15,CHOOSE(ArtifactsInput!$N$15+1,25,30,35,40,45,50)/100*(Inputs!$B$11-Inputs!$B$11),0)))/100+(Inputs!$B$23+((C2399=TRUE)*(F2399-Calc!F29))+IF(ArtifactsInput!$M$15,CHOOSE(ArtifactsInput!$N$15+1,25,30,35,40,45,50)/100*(Inputs!$B$11-Inputs!$B$11),0))/100)/2</f>
        <v/>
      </c>
      <c r="M2381">
        <f>L2381*(1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1">
        <f>L2381*(1-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1">
        <f>(1-Summary!$B$11)*T2381+Summary!$B$11*V2381</f>
        <v/>
      </c>
      <c r="P2381">
        <f>IF(B2415=0,0,O2381/B2415)</f>
        <v/>
      </c>
      <c r="Q2381">
        <f>IFERROR(1/IF(Inputs!$B$39="pvp",15,MAX(0.1,Skills!D11-IF(Skills!E11=TRUE,Inputs!$B$32,0))),0)</f>
        <v/>
      </c>
      <c r="R2381">
        <f>IF(AND(Inputs!$B$39&lt;&gt;"pvp",Inputs!$B$44&gt;0),IF(MAX(0,Inputs!$B$44-B2414)&lt;=0,0,(INT(MAX(0,Inputs!$B$44-B2414)/IF(Inputs!$B$39="pvp",15,MAX(0.1,Skills!D11-IF(Skills!E11=TRUE,Inputs!$B$32,0))))+1)),0)</f>
        <v/>
      </c>
      <c r="S2381">
        <f>IFERROR(O2381/N2381,0)</f>
        <v/>
      </c>
      <c r="T2381">
        <f>IF(C2381,(H2381*N2381*IF(AND(Inputs!$B$39&lt;&gt;"pvp",Inputs!$B$44&gt;0),((Skills!G11*((R2381-1)*IF(Skills!H11&gt;0,Skills!I11/Skills!H11,1)+IF(Skills!H11&gt;0,MIN(Skills!I11,MAX(0,MAX(0,Inputs!$B$44-B2414)-((R2381-1)*IF(Inputs!$B$39="pvp",15,MAX(0.1,Skills!D11-IF(Skills!E11=TRUE,Inputs!$B$32,0))))))/Skills!H11,1)))/Inputs!$B$44),G2381*Q2381))*IF(Inputs!$B$39="pvp",1,1+(Inputs!$B$20+0+Skills!P11+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2381*(1-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2381*(1-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1">
        <f>IF(C2381,(H2381*N2381*IF(AND(Inputs!$B$39&lt;&gt;"pvp",Inputs!$B$44&gt;0),((Skills!G11*((R2381-1)*IF(Skills!H11&gt;0,Skills!I11/Skills!H11,1)+IF(Skills!H11&gt;0,MIN(Skills!I11,MAX(0,MAX(0,Inputs!$B$44-B2414)-((R2381-1)*IF(Inputs!$B$39="pvp",15,MAX(0.1,Skills!D11-IF(Skills!E11=TRUE,Inputs!$B$32,0))))))/Skills!H11,1)))/Inputs!$B$44),G2381*Q2381))*IF(Inputs!$B$39="pvp",1,(1+(Inputs!$B$21+Skills!Q11+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11,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2">
      <c r="A2382">
        <f>Skills!A12</f>
        <v/>
      </c>
      <c r="B2382">
        <f>Skills!B12</f>
        <v/>
      </c>
      <c r="C2382">
        <f>Inputs!$B$3&gt;=105</f>
        <v/>
      </c>
      <c r="D2382">
        <f>IF(Skills!C12=1,60+Inputs!$B$25+Inputs!$B$29,IF(Skills!C12=2,90+Inputs!$B$26+Inputs!$B$29,IF(Skills!C12=3,120+Inputs!$B$27+Inputs!$B$29,MAX(0,(Inputs!$B$3-100)*3)+Inputs!$B$28+Inputs!$B$29)))</f>
        <v/>
      </c>
      <c r="E2382">
        <f>INDEX(FactorTable!$B$2:$Y$301, MATCH(ROUND(MIN(300,MAX(1,D2382)),0), FactorTable!$A$2:$A$301,0), Skills!M12+1)</f>
        <v/>
      </c>
      <c r="F2382">
        <f>IF(Skills!N12=TRUE,(Skills!L12/10)*(E2382/1000),Skills!L12/10)+Skills!O12</f>
        <v/>
      </c>
      <c r="G2382">
        <f>Skills!G12*IF(Skills!H12&gt;0,Skills!I12/Skills!H12,1)</f>
        <v/>
      </c>
      <c r="H2382">
        <f>1-(1-Skills!J12/100)^Skills!K12</f>
        <v/>
      </c>
      <c r="I2382" t="inlineStr">
        <is>
          <t>1</t>
        </is>
      </c>
      <c r="J2382">
        <f>((Inputs!$B$6*(1+Inputs!$B$7/100))+(((Inputs!$B$12*(1+Inputs!$B$13/100))-(Inputs!$B$12*(1+Inputs!$B$13/100)))+0.25*(Inputs!$B$14-Inputs!$B$14))*(1+Inputs!$B$7/100))*(F2382/100)</f>
        <v/>
      </c>
      <c r="K2382">
        <f>J2382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2382)</f>
        <v/>
      </c>
      <c r="L2382">
        <f>K2382*(MIN(Inputs!$B$22+((C2394=TRUE)*(F2394-Calc!F24)),(Inputs!$B$23+((C2399=TRUE)*(F2399-Calc!F29))+IF(ArtifactsInput!$M$15,CHOOSE(ArtifactsInput!$N$15+1,25,30,35,40,45,50)/100*(Inputs!$B$11-Inputs!$B$11),0)))/100+(Inputs!$B$23+((C2399=TRUE)*(F2399-Calc!F29))+IF(ArtifactsInput!$M$15,CHOOSE(ArtifactsInput!$N$15+1,25,30,35,40,45,50)/100*(Inputs!$B$11-Inputs!$B$11),0))/100)/2</f>
        <v/>
      </c>
      <c r="M2382">
        <f>L2382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2">
        <f>L2382*(1-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(1-Summary!$B$11)*T2382+Summary!$B$11*V2382</f>
        <v/>
      </c>
      <c r="P2382">
        <f>IF(B2415=0,0,O2382/B2415)</f>
        <v/>
      </c>
      <c r="Q2382">
        <f>IFERROR(1/IF(Inputs!$B$39="pvp",15,MAX(0.1,Skills!D12-IF(Skills!E12=TRUE,Inputs!$B$32,0))),0)</f>
        <v/>
      </c>
      <c r="R2382">
        <f>IF(AND(Inputs!$B$39&lt;&gt;"pvp",Inputs!$B$44&gt;0),IF(MAX(0,Inputs!$B$44-B2414)&lt;=0,0,(INT(MAX(0,Inputs!$B$44-B2414)/IF(Inputs!$B$39="pvp",15,MAX(0.1,Skills!D12-IF(Skills!E12=TRUE,Inputs!$B$32,0))))+1)),0)</f>
        <v/>
      </c>
      <c r="S2382">
        <f>IFERROR(O2382/N2382,0)</f>
        <v/>
      </c>
      <c r="T2382">
        <f>IF(C2382,(H2382*N2382*IF(AND(Inputs!$B$39&lt;&gt;"pvp",Inputs!$B$44&gt;0),((Skills!G12*((R2382-1)*IF(Skills!H12&gt;0,Skills!I12/Skills!H12,1)+IF(Skills!H12&gt;0,MIN(Skills!I12,MAX(0,MAX(0,Inputs!$B$44-B2414)-((R2382-1)*IF(Inputs!$B$39="pvp",15,MAX(0.1,Skills!D12-IF(Skills!E12=TRUE,Inputs!$B$32,0))))))/Skills!H12,1)))/Inputs!$B$44),G2382*Q2382))*IF(Inputs!$B$39="pvp",1,1+(Inputs!$B$20+0+Skills!P12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2382*(1-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2">
        <f>IF(C2382,(H2382*N2382*IF(AND(Inputs!$B$39&lt;&gt;"pvp",Inputs!$B$44&gt;0),((Skills!G12*((R2382-1)*IF(Skills!H12&gt;0,Skills!I12/Skills!H12,1)+IF(Skills!H12&gt;0,MIN(Skills!I12,MAX(0,MAX(0,Inputs!$B$44-B2414)-((R2382-1)*IF(Inputs!$B$39="pvp",15,MAX(0.1,Skills!D12-IF(Skills!E12=TRUE,Inputs!$B$32,0))))))/Skills!H12,1)))/Inputs!$B$44),G2382*Q2382))*IF(Inputs!$B$39="pvp",1,(1+(Inputs!$B$21+Skills!Q12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Skills!A13</f>
        <v/>
      </c>
      <c r="B2383">
        <f>Skills!B13</f>
        <v/>
      </c>
      <c r="C2383">
        <f>Inputs!$B$3&gt;=105</f>
        <v/>
      </c>
      <c r="D2383">
        <f>IF(Skills!C13=1,60+Inputs!$B$25+Inputs!$B$29,IF(Skills!C13=2,90+Inputs!$B$26+Inputs!$B$29,IF(Skills!C13=3,120+Inputs!$B$27+Inputs!$B$29,MAX(0,(Inputs!$B$3-100)*3)+Inputs!$B$28+Inputs!$B$29)))</f>
        <v/>
      </c>
      <c r="E2383">
        <f>INDEX(FactorTable!$B$2:$Y$301, MATCH(ROUND(MIN(300,MAX(1,D2383)),0), FactorTable!$A$2:$A$301,0), Skills!M13+1)</f>
        <v/>
      </c>
      <c r="F2383">
        <f>IF(Skills!N13=TRUE,(Skills!L13/10)*(E2383/1000),Skills!L13/10)+Skills!O13</f>
        <v/>
      </c>
      <c r="G2383">
        <f>Skills!G13*IF(Skills!H13&gt;0,Skills!I13/Skills!H13,1)</f>
        <v/>
      </c>
      <c r="H2383">
        <f>1-(1-Skills!J13/100)^Skills!K13</f>
        <v/>
      </c>
      <c r="I2383" t="inlineStr">
        <is>
          <t>1</t>
        </is>
      </c>
      <c r="J2383">
        <f>((Inputs!$B$6*(1+Inputs!$B$7/100))+(((Inputs!$B$12*(1+Inputs!$B$13/100))-(Inputs!$B$12*(1+Inputs!$B$13/100)))+0.25*(Inputs!$B$14-Inputs!$B$14))*(1+Inputs!$B$7/100))*(F2383/100)</f>
        <v/>
      </c>
      <c r="K2383">
        <f>J2383*(1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2383)</f>
        <v/>
      </c>
      <c r="L2383">
        <f>K2383*(MIN(Inputs!$B$22+((C2394=TRUE)*(F2394-Calc!F24)),(Inputs!$B$23+((C2399=TRUE)*(F2399-Calc!F29))+IF(ArtifactsInput!$M$15,CHOOSE(ArtifactsInput!$N$15+1,25,30,35,40,45,50)/100*(Inputs!$B$11-Inputs!$B$11),0)))/100+(Inputs!$B$23+((C2399=TRUE)*(F2399-Calc!F29))+IF(ArtifactsInput!$M$15,CHOOSE(ArtifactsInput!$N$15+1,25,30,35,40,45,50)/100*(Inputs!$B$11-Inputs!$B$11),0))/100)/2</f>
        <v/>
      </c>
      <c r="M2383">
        <f>L2383*(1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IF(B2415=0,0,O2383/B2415)</f>
        <v/>
      </c>
      <c r="Q2383">
        <f>IFERROR(1/IF(Inputs!$B$39="pvp",15,MAX(0.1,Skills!D13-IF(Skills!E13=TRUE,Inputs!$B$32,0))),0)</f>
        <v/>
      </c>
      <c r="R2383">
        <f>IF(AND(Inputs!$B$39&lt;&gt;"pvp",Inputs!$B$44&gt;0),IF(MAX(0,Inputs!$B$44-B2414)&lt;=0,0,(INT(MAX(0,Inputs!$B$44-B2414)/IF(Inputs!$B$39="pvp",15,MAX(0.1,Skills!D13-IF(Skills!E13=TRUE,Inputs!$B$32,0))))+1)),0)</f>
        <v/>
      </c>
      <c r="S2383">
        <f>IFERROR(O2383/N2383,0)</f>
        <v/>
      </c>
      <c r="T2383">
        <f>IF(C2383,(H2383*N2383*IF(AND(Inputs!$B$39&lt;&gt;"pvp",Inputs!$B$44&gt;0),((Skills!G13*((R2383-1)*IF(Skills!H13&gt;0,Skills!I13/Skills!H13,1)+IF(Skills!H13&gt;0,MIN(Skills!I13,MAX(0,MAX(0,Inputs!$B$44-B2414)-((R2383-1)*IF(Inputs!$B$39="pvp",15,MAX(0.1,Skills!D13-IF(Skills!E13=TRUE,Inputs!$B$32,0))))))/Skills!H13,1)))/Inputs!$B$44),G2383*Q2383))*IF(Inputs!$B$39="pvp",1,1+(Inputs!$B$20+0+Skills!P13+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2383*(1-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13*((R2383-1)*IF(Skills!H13&gt;0,Skills!I13/Skills!H13,1)+IF(Skills!H13&gt;0,MIN(Skills!I13,MAX(0,MAX(0,Inputs!$B$44-B2414)-((R2383-1)*IF(Inputs!$B$39="pvp",15,MAX(0.1,Skills!D13-IF(Skills!E13=TRUE,Inputs!$B$32,0))))))/Skills!H13,1)))/Inputs!$B$44),G2383*Q2383))*IF(Inputs!$B$39="pvp",1,(1+(Inputs!$B$21+Skills!Q13+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Skills!A14</f>
        <v/>
      </c>
      <c r="B2384">
        <f>Skills!B14</f>
        <v/>
      </c>
      <c r="C2384">
        <f>Inputs!$B$3&gt;=107</f>
        <v/>
      </c>
      <c r="D2384">
        <f>IF(Skills!C14=1,60+Inputs!$B$25+Inputs!$B$29,IF(Skills!C14=2,90+Inputs!$B$26+Inputs!$B$29,IF(Skills!C14=3,120+Inputs!$B$27+Inputs!$B$29,MAX(0,(Inputs!$B$3-100)*3)+Inputs!$B$28+Inputs!$B$29)))</f>
        <v/>
      </c>
      <c r="E2384">
        <f>INDEX(FactorTable!$B$2:$Y$301, MATCH(ROUND(MIN(300,MAX(1,D2384)),0), FactorTable!$A$2:$A$301,0), Skills!M14+1)</f>
        <v/>
      </c>
      <c r="F2384">
        <f>IF(Skills!N14=TRUE,(Skills!L14/10)*(E2384/1000),Skills!L14/10)+Skills!O14</f>
        <v/>
      </c>
      <c r="G2384">
        <f>Skills!G14*IF(Skills!H14&gt;0,Skills!I14/Skills!H14,1)</f>
        <v/>
      </c>
      <c r="H2384">
        <f>1-(1-Skills!J14/100)^Skills!K14</f>
        <v/>
      </c>
      <c r="I2384" t="inlineStr">
        <is>
          <t>1</t>
        </is>
      </c>
      <c r="J2384">
        <f>((Inputs!$B$6*(1+Inputs!$B$7/100))+(((Inputs!$B$12*(1+Inputs!$B$13/100))-(Inputs!$B$12*(1+Inputs!$B$13/100)))+0.25*(Inputs!$B$14-Inputs!$B$14))*(1+Inputs!$B$7/100))*(F2384/100)</f>
        <v/>
      </c>
      <c r="K2384">
        <f>J2384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2384)</f>
        <v/>
      </c>
      <c r="L2384">
        <f>K2384*(MIN(Inputs!$B$22+((C2394=TRUE)*(F2394-Calc!F24)),(Inputs!$B$23+((C2399=TRUE)*(F2399-Calc!F29))+IF(ArtifactsInput!$M$15,CHOOSE(ArtifactsInput!$N$15+1,25,30,35,40,45,50)/100*(Inputs!$B$11-Inputs!$B$11),0)))/100+(Inputs!$B$23+((C2399=TRUE)*(F2399-Calc!F29))+IF(ArtifactsInput!$M$15,CHOOSE(ArtifactsInput!$N$15+1,25,30,35,40,45,50)/100*(Inputs!$B$11-Inputs!$B$11),0))/100)/2</f>
        <v/>
      </c>
      <c r="M2384">
        <f>L2384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IF(B2415=0,0,O2384/B2415)</f>
        <v/>
      </c>
      <c r="Q2384">
        <f>IFERROR(1/IF(Inputs!$B$39="pvp",15,MAX(0.1,Skills!D14-IF(Skills!E14=TRUE,Inputs!$B$32,0))),0)</f>
        <v/>
      </c>
      <c r="R2384">
        <f>IF(AND(Inputs!$B$39&lt;&gt;"pvp",Inputs!$B$44&gt;0),IF(MAX(0,Inputs!$B$44-B2414)&lt;=0,0,(INT(MAX(0,Inputs!$B$44-B2414)/IF(Inputs!$B$39="pvp",15,MAX(0.1,Skills!D14-IF(Skills!E14=TRUE,Inputs!$B$32,0))))+1)),0)</f>
        <v/>
      </c>
      <c r="S2384">
        <f>IFERROR(O2384/N2384,0)</f>
        <v/>
      </c>
      <c r="T2384">
        <f>IF(C2384,(H2384*N2384*IF(AND(Inputs!$B$39&lt;&gt;"pvp",Inputs!$B$44&gt;0),((Skills!G14*((R2384-1)*IF(Skills!H14&gt;0,Skills!I14/Skills!H14,1)+IF(Skills!H14&gt;0,MIN(Skills!I14,MAX(0,MAX(0,Inputs!$B$44-B2414)-((R2384-1)*IF(Inputs!$B$39="pvp",15,MAX(0.1,Skills!D14-IF(Skills!E14=TRUE,Inputs!$B$32,0))))))/Skills!H14,1)))/Inputs!$B$44),G2384*Q2384))*IF(Inputs!$B$39="pvp",1,1+(Inputs!$B$20+0+Skills!P14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2384*(1-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14*((R2384-1)*IF(Skills!H14&gt;0,Skills!I14/Skills!H14,1)+IF(Skills!H14&gt;0,MIN(Skills!I14,MAX(0,MAX(0,Inputs!$B$44-B2414)-((R2384-1)*IF(Inputs!$B$39="pvp",15,MAX(0.1,Skills!D14-IF(Skills!E14=TRUE,Inputs!$B$32,0))))))/Skills!H14,1)))/Inputs!$B$44),G2384*Q2384))*IF(Inputs!$B$39="pvp",1,(1+(Inputs!$B$21+Skills!Q14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(5,0.25*B2407*Skills!D4)*Skills!V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Skills!A15</f>
        <v/>
      </c>
      <c r="B2385">
        <f>Skills!B15</f>
        <v/>
      </c>
      <c r="C2385">
        <f>Inputs!$B$3&gt;=110</f>
        <v/>
      </c>
      <c r="D2385">
        <f>IF(Skills!C15=1,60+Inputs!$B$25+Inputs!$B$29,IF(Skills!C15=2,90+Inputs!$B$26+Inputs!$B$29,IF(Skills!C15=3,120+Inputs!$B$27+Inputs!$B$29,MAX(0,(Inputs!$B$3-100)*3)+Inputs!$B$28+Inputs!$B$29)))</f>
        <v/>
      </c>
      <c r="E2385">
        <f>INDEX(FactorTable!$B$2:$Y$301, MATCH(ROUND(MIN(300,MAX(1,D2385)),0), FactorTable!$A$2:$A$301,0), Skills!M15+1)</f>
        <v/>
      </c>
      <c r="F2385">
        <f>IF(Skills!N15=TRUE,(Skills!L15/10)*(E2385/1000),Skills!L15/10)+Skills!O15</f>
        <v/>
      </c>
      <c r="G2385">
        <f>Skills!G15*IF(Skills!H15&gt;0,Skills!I15/Skills!H15,1)</f>
        <v/>
      </c>
      <c r="H2385">
        <f>1-(1-Skills!J15/100)^Skills!K15</f>
        <v/>
      </c>
      <c r="I2385" t="inlineStr">
        <is>
          <t>1</t>
        </is>
      </c>
      <c r="J2385" t="inlineStr"/>
      <c r="K2385" t="inlineStr"/>
      <c r="L2385" t="inlineStr"/>
      <c r="M2385" t="inlineStr"/>
      <c r="N2385" t="inlineStr"/>
      <c r="O2385">
        <f>(1-Summary!$B$11)*T2385+Summary!$B$11*V2385</f>
        <v/>
      </c>
      <c r="P2385">
        <f>IF(B2415=0,0,O2385/B2415)</f>
        <v/>
      </c>
      <c r="Q2385">
        <f>IFERROR(1/IF(Inputs!$B$39="pvp",15,MAX(0.1,Skills!D15-IF(Skills!E15=TRUE,Inputs!$B$32,0))),0)</f>
        <v/>
      </c>
      <c r="R2385">
        <f>IF(AND(Inputs!$B$39&lt;&gt;"pvp",Inputs!$B$44&gt;0),IF(Inputs!$B$44&lt;=0,0,(INT(Inputs!$B$44/IF(Inputs!$B$39="pvp",15,MAX(0.1,Skills!D15-IF(Skills!E15=TRUE,Inputs!$B$32,0))))+1)),0)</f>
        <v/>
      </c>
      <c r="S2385">
        <f>IFERROR(O2385/N2385,0)</f>
        <v/>
      </c>
      <c r="T2385" t="n">
        <v>0</v>
      </c>
      <c r="V2385" t="n">
        <v>0</v>
      </c>
    </row>
    <row r="2386">
      <c r="A2386">
        <f>Skills!A16</f>
        <v/>
      </c>
      <c r="B2386">
        <f>Skills!B16</f>
        <v/>
      </c>
      <c r="C2386">
        <f>Inputs!$B$3&gt;=115</f>
        <v/>
      </c>
      <c r="D2386">
        <f>IF(Skills!C16=1,60+Inputs!$B$25+Inputs!$B$29,IF(Skills!C16=2,90+Inputs!$B$26+Inputs!$B$29,IF(Skills!C16=3,120+Inputs!$B$27+Inputs!$B$29,MAX(0,(Inputs!$B$3-100)*3)+Inputs!$B$28+Inputs!$B$29)))</f>
        <v/>
      </c>
      <c r="E2386">
        <f>INDEX(FactorTable!$B$2:$Y$301, MATCH(ROUND(MIN(300,MAX(1,D2386)),0), FactorTable!$A$2:$A$301,0), Skills!M16+1)</f>
        <v/>
      </c>
      <c r="F2386">
        <f>IF(Skills!N16=TRUE,(Skills!L16/10)*(E2386/1000),Skills!L16/10)+Skills!O16</f>
        <v/>
      </c>
      <c r="G2386">
        <f>Skills!G16*IF(Skills!H16&gt;0,Skills!I16/Skills!H16,1)</f>
        <v/>
      </c>
      <c r="H2386">
        <f>1-(1-Skills!J16/100)^Skills!K16</f>
        <v/>
      </c>
      <c r="I2386" t="inlineStr">
        <is>
          <t>1</t>
        </is>
      </c>
      <c r="J2386">
        <f>((Inputs!$B$6*(1+Inputs!$B$7/100))+(((Inputs!$B$12*(1+Inputs!$B$13/100))-(Inputs!$B$12*(1+Inputs!$B$13/100)))+0.25*(Inputs!$B$14-Inputs!$B$14))*(1+Inputs!$B$7/100))*(F2386/100)</f>
        <v/>
      </c>
      <c r="K2386">
        <f>J2386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2397=TRUE)*(F2397-Calc!F27))+((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2386)</f>
        <v/>
      </c>
      <c r="L2386">
        <f>K2386*(MIN(Inputs!$B$22+((C2394=TRUE)*(F2394-Calc!F24)),(Inputs!$B$23+((C2399=TRUE)*(F2399-Calc!F29))+IF(ArtifactsInput!$M$15,CHOOSE(ArtifactsInput!$N$15+1,25,30,35,40,45,50)/100*(Inputs!$B$11-Inputs!$B$11),0)))/100+(Inputs!$B$23+((C2399=TRUE)*(F2399-Calc!F29))+IF(ArtifactsInput!$M$15,CHOOSE(ArtifactsInput!$N$15+1,25,30,35,40,45,50)/100*(Inputs!$B$11-Inputs!$B$11),0))/100)/2</f>
        <v/>
      </c>
      <c r="M2386">
        <f>L2386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6">
        <f>L2386*(1-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2386*(MIN((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6">
        <f>(1-Summary!$B$11)*T2386+Summary!$B$11*V2386</f>
        <v/>
      </c>
      <c r="P2386">
        <f>IF(B2415=0,0,O2386/B2415)</f>
        <v/>
      </c>
      <c r="Q2386" t="n">
        <v>0</v>
      </c>
      <c r="R2386" t="n">
        <v>0</v>
      </c>
      <c r="S2386">
        <f>IFERROR(O2386/N2386,0)</f>
        <v/>
      </c>
      <c r="T2386">
        <f>IF(C2386,(Inputs!$B$38*0.2*N2386)*IF(Inputs!$B$39="pvp",1,1+(Inputs!$B$20+0+Skills!P16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2386*(1-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2386*(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2386*(1-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2386*(MIN(100,(Inputs!$B$9+((C2395=TRUE)*(F2395-Calc!F25))+B2403+(ArtifactsInput!$M$24-ArtifactsInput!$M$24)*CHOOSE(ArtifactsInput!$N$24+1,10,12,14,16,18,20)+(IF(AND(Inputs!$B$39&lt;&gt;"pvp",Inputs!$B$44=0),1,IF(IF(Inputs!$B$39="pvp",15,Inputs!$B$44)-(B2414)&lt;=0,1,MAX(0,IF(Inputs!$B$39="pvp",15,Inputs!$B$44)-MAX(5,B2414))/(IF(Inputs!$B$39="pvp",15,Inputs!$B$44)-(B2414))))*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6">
        <f>IF(C2386,(Inputs!$B$38*0.2*N2386)*IF(Inputs!$B$39="pvp",1,(1+(Inputs!$B$21+Skills!Q16+B2404+(IF(ArtifactsInput!$M$33,CHOOSE(ArtifactsInput!$N$33+1,30,36,42,48,54,60),0))+(IF(AND(ArtifactsInput!$M$35,Inputs!$B$4&lt;&gt;"Chapter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7">
      <c r="A2387">
        <f>Skills!A17</f>
        <v/>
      </c>
      <c r="B2387">
        <f>Skills!B17</f>
        <v/>
      </c>
      <c r="C2387">
        <f>Inputs!$B$3&gt;=115</f>
        <v/>
      </c>
      <c r="D2387">
        <f>IF(Skills!C17=1,60+Inputs!$B$25+Inputs!$B$29,IF(Skills!C17=2,90+Inputs!$B$26+Inputs!$B$29,IF(Skills!C17=3,120+Inputs!$B$27+Inputs!$B$29,MAX(0,(Inputs!$B$3-100)*3)+Inputs!$B$28+Inputs!$B$29)))</f>
        <v/>
      </c>
      <c r="E2387">
        <f>INDEX(FactorTable!$B$2:$Y$301, MATCH(ROUND(MIN(300,MAX(1,D2387)),0), FactorTable!$A$2:$A$301,0), Skills!M17+1)</f>
        <v/>
      </c>
      <c r="F2387">
        <f>IF(Skills!N17=TRUE,(Skills!L17/10)*(E2387/1000),Skills!L17/10)+Skills!O17</f>
        <v/>
      </c>
      <c r="G2387">
        <f>Skills!G17*IF(Skills!H17&gt;0,Skills!I17/Skills!H17,1)</f>
        <v/>
      </c>
      <c r="H2387">
        <f>1-(1-Skills!J17/100)^Skills!K17</f>
        <v/>
      </c>
      <c r="I2387" t="inlineStr">
        <is>
          <t>1</t>
        </is>
      </c>
      <c r="J2387" t="inlineStr"/>
      <c r="K2387" t="inlineStr"/>
      <c r="L2387" t="inlineStr"/>
      <c r="M2387" t="inlineStr"/>
      <c r="N2387" t="inlineStr"/>
      <c r="O2387">
        <f>(1-Summary!$B$11)*T2387+Summary!$B$11*V2387</f>
        <v/>
      </c>
      <c r="P2387">
        <f>IF(B2415=0,0,O2387/B2415)</f>
        <v/>
      </c>
      <c r="Q2387" t="n">
        <v>0</v>
      </c>
      <c r="R2387" t="n">
        <v>0</v>
      </c>
      <c r="S2387">
        <f>IFERROR(O2387/N2387,0)</f>
        <v/>
      </c>
      <c r="T2387" t="n">
        <v>0</v>
      </c>
      <c r="V2387" t="n">
        <v>0</v>
      </c>
    </row>
    <row r="2388">
      <c r="A2388">
        <f>Skills!A18</f>
        <v/>
      </c>
      <c r="B2388">
        <f>Skills!B18</f>
        <v/>
      </c>
      <c r="C2388">
        <f>Inputs!$B$3&gt;=100</f>
        <v/>
      </c>
      <c r="D2388">
        <f>IF(Skills!C18=1,60+Inputs!$B$25+Inputs!$B$29,IF(Skills!C18=2,90+Inputs!$B$26+Inputs!$B$29,IF(Skills!C18=3,120+Inputs!$B$27+Inputs!$B$29,MAX(0,(Inputs!$B$3-100)*3)+Inputs!$B$28+Inputs!$B$29)))</f>
        <v/>
      </c>
      <c r="E2388">
        <f>INDEX(FactorTable!$B$2:$Y$301, MATCH(ROUND(MIN(300,MAX(1,D2388)),0), FactorTable!$A$2:$A$301,0), Skills!M18+1)</f>
        <v/>
      </c>
      <c r="F2388">
        <f>IF(Skills!N18=TRUE,(Skills!L18/10)*(E2388/1000),Skills!L18/10)+Skills!O18</f>
        <v/>
      </c>
      <c r="G2388">
        <f>Skills!G18*IF(Skills!H18&gt;0,Skills!I18/Skills!H18,1)</f>
        <v/>
      </c>
      <c r="H2388">
        <f>1-(1-Skills!J18/100)^Skills!K18</f>
        <v/>
      </c>
      <c r="I2388" t="inlineStr">
        <is>
          <t>1</t>
        </is>
      </c>
      <c r="J2388" t="inlineStr"/>
      <c r="K2388" t="inlineStr"/>
      <c r="L2388" t="inlineStr"/>
      <c r="M2388" t="inlineStr"/>
      <c r="N2388" t="inlineStr"/>
      <c r="O2388">
        <f>(1-Summary!$B$11)*T2388+Summary!$B$11*V2388</f>
        <v/>
      </c>
      <c r="P2388">
        <f>IF(B2415=0,0,O2388/B2415)</f>
        <v/>
      </c>
      <c r="Q2388" t="n">
        <v>0</v>
      </c>
      <c r="R2388" t="n">
        <v>0</v>
      </c>
      <c r="S2388">
        <f>IFERROR(O2388/N2388,0)</f>
        <v/>
      </c>
      <c r="T2388" t="n">
        <v>0</v>
      </c>
      <c r="V2388" t="n">
        <v>0</v>
      </c>
    </row>
    <row r="2389">
      <c r="A2389">
        <f>Skills!A19</f>
        <v/>
      </c>
      <c r="B2389">
        <f>Skills!B19</f>
        <v/>
      </c>
      <c r="C2389">
        <f>TRUE</f>
        <v/>
      </c>
      <c r="D2389">
        <f>IF(Skills!C19=1,60+Inputs!$B$25+Inputs!$B$29,IF(Skills!C19=2,90+Inputs!$B$26+Inputs!$B$29,IF(Skills!C19=3,120+Inputs!$B$27+Inputs!$B$29,MAX(0,(Inputs!$B$3-100)*3)+Inputs!$B$28+Inputs!$B$29)))</f>
        <v/>
      </c>
      <c r="E2389">
        <f>INDEX(FactorTable!$B$2:$Y$301, MATCH(ROUND(MIN(300,MAX(1,D2389)),0), FactorTable!$A$2:$A$301,0), Skills!M19+1)</f>
        <v/>
      </c>
      <c r="F2389">
        <f>IF(Skills!N19=TRUE,(Skills!L19/10)*(E2389/1000),Skills!L19/10)+Skills!O19</f>
        <v/>
      </c>
      <c r="G2389">
        <f>Skills!G19*IF(Skills!H19&gt;0,Skills!I19/Skills!H19,1)</f>
        <v/>
      </c>
      <c r="H2389">
        <f>1-(1-Skills!J19/100)^Skills!K19</f>
        <v/>
      </c>
      <c r="I2389" t="inlineStr">
        <is>
          <t>1</t>
        </is>
      </c>
      <c r="J2389" t="inlineStr"/>
      <c r="K2389" t="inlineStr"/>
      <c r="L2389" t="inlineStr"/>
      <c r="M2389" t="inlineStr"/>
      <c r="N2389" t="inlineStr"/>
      <c r="O2389">
        <f>(1-Summary!$B$11)*T2389+Summary!$B$11*V2389</f>
        <v/>
      </c>
      <c r="P2389">
        <f>IF(B2415=0,0,O2389/B2415)</f>
        <v/>
      </c>
      <c r="Q2389">
        <f>IFERROR(1/IF(Inputs!$B$39="pvp",15,MAX(0.1,Skills!D19-IF(Skills!E19=TRUE,Inputs!$B$32,0))),0)</f>
        <v/>
      </c>
      <c r="R2389">
        <f>IF(AND(Inputs!$B$39&lt;&gt;"pvp",Inputs!$B$44&gt;0),IF(Inputs!$B$44&lt;=0,0,(INT(Inputs!$B$44/IF(Inputs!$B$39="pvp",15,MAX(0.1,Skills!D19-IF(Skills!E19=TRUE,Inputs!$B$32,0))))+1)),0)</f>
        <v/>
      </c>
      <c r="S2389">
        <f>IFERROR(O2389/N2389,0)</f>
        <v/>
      </c>
      <c r="T2389" t="n">
        <v>0</v>
      </c>
      <c r="V2389" t="n">
        <v>0</v>
      </c>
    </row>
    <row r="2390">
      <c r="A2390">
        <f>Skills!A20</f>
        <v/>
      </c>
      <c r="B2390">
        <f>Skills!B20</f>
        <v/>
      </c>
      <c r="C2390">
        <f>Inputs!$B$3&gt;=15</f>
        <v/>
      </c>
      <c r="D2390">
        <f>IF(Skills!C20=1,60+Inputs!$B$25+Inputs!$B$29,IF(Skills!C20=2,90+Inputs!$B$26+Inputs!$B$29,IF(Skills!C20=3,120+Inputs!$B$27+Inputs!$B$29,MAX(0,(Inputs!$B$3-100)*3)+Inputs!$B$28+Inputs!$B$29)))</f>
        <v/>
      </c>
      <c r="E2390">
        <f>INDEX(FactorTable!$B$2:$Y$301, MATCH(ROUND(MIN(300,MAX(1,D2390)),0), FactorTable!$A$2:$A$301,0), Skills!M20+1)</f>
        <v/>
      </c>
      <c r="F2390">
        <f>IF(Skills!N20=TRUE,(Skills!L20/10)*(E2390/1000),Skills!L20/10)+Skills!O20</f>
        <v/>
      </c>
      <c r="G2390">
        <f>Skills!G20*IF(Skills!H20&gt;0,Skills!I20/Skills!H20,1)</f>
        <v/>
      </c>
      <c r="H2390">
        <f>1-(1-Skills!J20/100)^Skills!K20</f>
        <v/>
      </c>
      <c r="I2390" t="inlineStr">
        <is>
          <t>1</t>
        </is>
      </c>
      <c r="J2390" t="inlineStr"/>
      <c r="K2390" t="inlineStr"/>
      <c r="L2390" t="inlineStr"/>
      <c r="M2390" t="inlineStr"/>
      <c r="N2390" t="inlineStr"/>
      <c r="O2390">
        <f>(1-Summary!$B$11)*T2390+Summary!$B$11*V2390</f>
        <v/>
      </c>
      <c r="P2390">
        <f>IF(B2415=0,0,O2390/B2415)</f>
        <v/>
      </c>
      <c r="Q2390">
        <f>IFERROR(1/IF(Inputs!$B$39="pvp",15,MAX(0.1,Skills!D20-IF(Skills!E20=TRUE,Inputs!$B$32,0))),0)</f>
        <v/>
      </c>
      <c r="R2390">
        <f>IF(AND(Inputs!$B$39&lt;&gt;"pvp",Inputs!$B$44&gt;0),IF(Inputs!$B$44&lt;=0,0,(INT(Inputs!$B$44/IF(Inputs!$B$39="pvp",15,MAX(0.1,Skills!D20-IF(Skills!E20=TRUE,Inputs!$B$32,0))))+1)),0)</f>
        <v/>
      </c>
      <c r="S2390">
        <f>IFERROR(O2390/N2390,0)</f>
        <v/>
      </c>
      <c r="T2390" t="n">
        <v>0</v>
      </c>
      <c r="V2390" t="n">
        <v>0</v>
      </c>
    </row>
    <row r="2391">
      <c r="A2391">
        <f>Skills!A21</f>
        <v/>
      </c>
      <c r="B2391">
        <f>Skills!B21</f>
        <v/>
      </c>
      <c r="C2391">
        <f>Inputs!$B$3&gt;=15</f>
        <v/>
      </c>
      <c r="D2391">
        <f>IF(Skills!C21=1,60+Inputs!$B$25+Inputs!$B$29,IF(Skills!C21=2,90+Inputs!$B$26+Inputs!$B$29,IF(Skills!C21=3,120+Inputs!$B$27+Inputs!$B$29,MAX(0,(Inputs!$B$3-100)*3)+Inputs!$B$28+Inputs!$B$29)))</f>
        <v/>
      </c>
      <c r="E2391">
        <f>INDEX(FactorTable!$B$2:$Y$301, MATCH(ROUND(MIN(300,MAX(1,D2391)),0), FactorTable!$A$2:$A$301,0), Skills!M21+1)</f>
        <v/>
      </c>
      <c r="F2391">
        <f>IF(Skills!N21=TRUE,(Skills!L21/10)*(E2391/1000),Skills!L21/10)+Skills!O21</f>
        <v/>
      </c>
      <c r="G2391">
        <f>Skills!G21*IF(Skills!H21&gt;0,Skills!I21/Skills!H21,1)</f>
        <v/>
      </c>
      <c r="H2391">
        <f>1-(1-Skills!J21/100)^Skills!K21</f>
        <v/>
      </c>
      <c r="I2391" t="inlineStr">
        <is>
          <t>1</t>
        </is>
      </c>
      <c r="J2391" t="inlineStr"/>
      <c r="K2391" t="inlineStr"/>
      <c r="L2391" t="inlineStr"/>
      <c r="M2391" t="inlineStr"/>
      <c r="N2391" t="inlineStr"/>
      <c r="O2391">
        <f>(1-Summary!$B$11)*T2391+Summary!$B$11*V2391</f>
        <v/>
      </c>
      <c r="P2391">
        <f>IF(B2415=0,0,O2391/B2415)</f>
        <v/>
      </c>
      <c r="Q2391">
        <f>IFERROR(1/IF(Inputs!$B$39="pvp",15,MAX(0.1,Skills!D21-IF(Skills!E21=TRUE,Inputs!$B$32,0))),0)</f>
        <v/>
      </c>
      <c r="R2391">
        <f>IF(AND(Inputs!$B$39&lt;&gt;"pvp",Inputs!$B$44&gt;0),IF(Inputs!$B$44&lt;=0,0,(INT(Inputs!$B$44/IF(Inputs!$B$39="pvp",15,MAX(0.1,Skills!D21-IF(Skills!E21=TRUE,Inputs!$B$32,0))))+1)),0)</f>
        <v/>
      </c>
      <c r="S2391">
        <f>IFERROR(O2391/N2391,0)</f>
        <v/>
      </c>
      <c r="T2391" t="n">
        <v>0</v>
      </c>
      <c r="V2391" t="n">
        <v>0</v>
      </c>
    </row>
    <row r="2392">
      <c r="A2392">
        <f>Skills!A22</f>
        <v/>
      </c>
      <c r="B2392">
        <f>Skills!B22</f>
        <v/>
      </c>
      <c r="C2392">
        <f>Inputs!$B$3&gt;=33</f>
        <v/>
      </c>
      <c r="D2392">
        <f>IF(Skills!C22=1,60+Inputs!$B$25+Inputs!$B$29,IF(Skills!C22=2,90+Inputs!$B$26+Inputs!$B$29,IF(Skills!C22=3,120+Inputs!$B$27+Inputs!$B$29,MAX(0,(Inputs!$B$3-100)*3)+Inputs!$B$28+Inputs!$B$29)))</f>
        <v/>
      </c>
      <c r="E2392">
        <f>INDEX(FactorTable!$B$2:$Y$301, MATCH(ROUND(MIN(300,MAX(1,D2392)),0), FactorTable!$A$2:$A$301,0), Skills!M22+1)</f>
        <v/>
      </c>
      <c r="F2392">
        <f>IF(Skills!N22=TRUE,(Skills!L22/10)*(E2392/1000),Skills!L22/10)+Skills!O22</f>
        <v/>
      </c>
      <c r="G2392">
        <f>Skills!G22*IF(Skills!H22&gt;0,Skills!I22/Skills!H22,1)</f>
        <v/>
      </c>
      <c r="H2392">
        <f>1-(1-Skills!J22/100)^Skills!K22</f>
        <v/>
      </c>
      <c r="I2392" t="inlineStr">
        <is>
          <t>1</t>
        </is>
      </c>
      <c r="J2392" t="inlineStr"/>
      <c r="K2392" t="inlineStr"/>
      <c r="L2392" t="inlineStr"/>
      <c r="M2392" t="inlineStr"/>
      <c r="N2392" t="inlineStr"/>
      <c r="O2392">
        <f>(1-Summary!$B$11)*T2392+Summary!$B$11*V2392</f>
        <v/>
      </c>
      <c r="P2392">
        <f>IF(B2415=0,0,O2392/B2415)</f>
        <v/>
      </c>
      <c r="Q2392" t="n">
        <v>0</v>
      </c>
      <c r="R2392" t="n">
        <v>0</v>
      </c>
      <c r="S2392">
        <f>IFERROR(O2392/N2392,0)</f>
        <v/>
      </c>
      <c r="T2392" t="n">
        <v>0</v>
      </c>
      <c r="V2392" t="n">
        <v>0</v>
      </c>
    </row>
    <row r="2393">
      <c r="A2393">
        <f>Skills!A23</f>
        <v/>
      </c>
      <c r="B2393">
        <f>Skills!B23</f>
        <v/>
      </c>
      <c r="C2393">
        <f>Inputs!$B$3&gt;=40</f>
        <v/>
      </c>
      <c r="D2393">
        <f>IF(Skills!C23=1,60+Inputs!$B$25+Inputs!$B$29,IF(Skills!C23=2,90+Inputs!$B$26+Inputs!$B$29,IF(Skills!C23=3,120+Inputs!$B$27+Inputs!$B$29,MAX(0,(Inputs!$B$3-100)*3)+Inputs!$B$28+Inputs!$B$29)))</f>
        <v/>
      </c>
      <c r="E2393">
        <f>INDEX(FactorTable!$B$2:$Y$301, MATCH(ROUND(MIN(300,MAX(1,D2393)),0), FactorTable!$A$2:$A$301,0), Skills!M23+1)</f>
        <v/>
      </c>
      <c r="F2393">
        <f>IF(Skills!N23=TRUE,(Skills!L23/10)*(E2393/1000),Skills!L23/10)+Skills!O23</f>
        <v/>
      </c>
      <c r="G2393">
        <f>Skills!G23*IF(Skills!H23&gt;0,Skills!I23/Skills!H23,1)</f>
        <v/>
      </c>
      <c r="H2393">
        <f>1-(1-Skills!J23/100)^Skills!K23</f>
        <v/>
      </c>
      <c r="I2393" t="inlineStr">
        <is>
          <t>1</t>
        </is>
      </c>
      <c r="J2393" t="inlineStr"/>
      <c r="K2393" t="inlineStr"/>
      <c r="L2393" t="inlineStr"/>
      <c r="M2393" t="inlineStr"/>
      <c r="N2393" t="inlineStr"/>
      <c r="O2393">
        <f>(1-Summary!$B$11)*T2393+Summary!$B$11*V2393</f>
        <v/>
      </c>
      <c r="P2393">
        <f>IF(B2415=0,0,O2393/B2415)</f>
        <v/>
      </c>
      <c r="Q2393" t="n">
        <v>0</v>
      </c>
      <c r="R2393" t="n">
        <v>0</v>
      </c>
      <c r="S2393">
        <f>IFERROR(O2393/N2393,0)</f>
        <v/>
      </c>
      <c r="T2393" t="n">
        <v>0</v>
      </c>
      <c r="V2393" t="n">
        <v>0</v>
      </c>
    </row>
    <row r="2394">
      <c r="A2394">
        <f>Skills!A24</f>
        <v/>
      </c>
      <c r="B2394">
        <f>Skills!B24</f>
        <v/>
      </c>
      <c r="C2394">
        <f>Inputs!$B$3&gt;=43</f>
        <v/>
      </c>
      <c r="D2394">
        <f>IF(Skills!C24=1,60+Inputs!$B$25+Inputs!$B$29,IF(Skills!C24=2,90+Inputs!$B$26+Inputs!$B$29,IF(Skills!C24=3,120+Inputs!$B$27+Inputs!$B$29,MAX(0,(Inputs!$B$3-100)*3)+Inputs!$B$28+Inputs!$B$29)))</f>
        <v/>
      </c>
      <c r="E2394">
        <f>INDEX(FactorTable!$B$2:$Y$301, MATCH(ROUND(MIN(300,MAX(1,D2394)),0), FactorTable!$A$2:$A$301,0), Skills!M24+1)</f>
        <v/>
      </c>
      <c r="F2394">
        <f>IF(Skills!N24=TRUE,(Skills!L24/10)*(E2394/1000),Skills!L24/10)+Skills!O24</f>
        <v/>
      </c>
      <c r="G2394">
        <f>Skills!G24*IF(Skills!H24&gt;0,Skills!I24/Skills!H24,1)</f>
        <v/>
      </c>
      <c r="H2394">
        <f>1-(1-Skills!J24/100)^Skills!K24</f>
        <v/>
      </c>
      <c r="I2394" t="inlineStr">
        <is>
          <t>1</t>
        </is>
      </c>
      <c r="J2394" t="inlineStr"/>
      <c r="K2394" t="inlineStr"/>
      <c r="L2394" t="inlineStr"/>
      <c r="M2394" t="inlineStr"/>
      <c r="N2394" t="inlineStr"/>
      <c r="O2394">
        <f>(1-Summary!$B$11)*T2394+Summary!$B$11*V2394</f>
        <v/>
      </c>
      <c r="P2394">
        <f>IF(B2415=0,0,O2394/B2415)</f>
        <v/>
      </c>
      <c r="Q2394" t="n">
        <v>0</v>
      </c>
      <c r="R2394" t="n">
        <v>0</v>
      </c>
      <c r="S2394">
        <f>IFERROR(O2394/N2394,0)</f>
        <v/>
      </c>
      <c r="T2394" t="n">
        <v>0</v>
      </c>
      <c r="V2394" t="n">
        <v>0</v>
      </c>
    </row>
    <row r="2395">
      <c r="A2395">
        <f>Skills!A25</f>
        <v/>
      </c>
      <c r="B2395">
        <f>Skills!B25</f>
        <v/>
      </c>
      <c r="C2395">
        <f>Inputs!$B$3&gt;=50</f>
        <v/>
      </c>
      <c r="D2395">
        <f>IF(Skills!C25=1,60+Inputs!$B$25+Inputs!$B$29,IF(Skills!C25=2,90+Inputs!$B$26+Inputs!$B$29,IF(Skills!C25=3,120+Inputs!$B$27+Inputs!$B$29,MAX(0,(Inputs!$B$3-100)*3)+Inputs!$B$28+Inputs!$B$29)))</f>
        <v/>
      </c>
      <c r="E2395">
        <f>INDEX(FactorTable!$B$2:$Y$301, MATCH(ROUND(MIN(300,MAX(1,D2395)),0), FactorTable!$A$2:$A$301,0), Skills!M25+1)</f>
        <v/>
      </c>
      <c r="F2395">
        <f>IF(Skills!N25=TRUE,(Skills!L25/10)*(E2395/1000),Skills!L25/10)+Skills!O25</f>
        <v/>
      </c>
      <c r="G2395">
        <f>Skills!G25*IF(Skills!H25&gt;0,Skills!I25/Skills!H25,1)</f>
        <v/>
      </c>
      <c r="H2395">
        <f>1-(1-Skills!J25/100)^Skills!K25</f>
        <v/>
      </c>
      <c r="I2395" t="inlineStr">
        <is>
          <t>1</t>
        </is>
      </c>
      <c r="J2395" t="inlineStr"/>
      <c r="K2395" t="inlineStr"/>
      <c r="L2395" t="inlineStr"/>
      <c r="M2395" t="inlineStr"/>
      <c r="N2395" t="inlineStr"/>
      <c r="O2395">
        <f>(1-Summary!$B$11)*T2395+Summary!$B$11*V2395</f>
        <v/>
      </c>
      <c r="P2395">
        <f>IF(B2415=0,0,O2395/B2415)</f>
        <v/>
      </c>
      <c r="Q2395" t="n">
        <v>0</v>
      </c>
      <c r="R2395" t="n">
        <v>0</v>
      </c>
      <c r="S2395">
        <f>IFERROR(O2395/N2395,0)</f>
        <v/>
      </c>
      <c r="T2395" t="n">
        <v>0</v>
      </c>
      <c r="V2395" t="n">
        <v>0</v>
      </c>
    </row>
    <row r="2396">
      <c r="A2396">
        <f>Skills!A26</f>
        <v/>
      </c>
      <c r="B2396">
        <f>Skills!B26</f>
        <v/>
      </c>
      <c r="C2396">
        <f>Inputs!$B$3&gt;=50</f>
        <v/>
      </c>
      <c r="D2396">
        <f>IF(Skills!C26=1,60+Inputs!$B$25+Inputs!$B$29,IF(Skills!C26=2,90+Inputs!$B$26+Inputs!$B$29,IF(Skills!C26=3,120+Inputs!$B$27+Inputs!$B$29,MAX(0,(Inputs!$B$3-100)*3)+Inputs!$B$28+Inputs!$B$29)))</f>
        <v/>
      </c>
      <c r="E2396">
        <f>INDEX(FactorTable!$B$2:$Y$301, MATCH(ROUND(MIN(300,MAX(1,D2396)),0), FactorTable!$A$2:$A$301,0), Skills!M26+1)</f>
        <v/>
      </c>
      <c r="F2396">
        <f>IF(Skills!N26=TRUE,(Skills!L26/10)*(E2396/1000),Skills!L26/10)+Skills!O26</f>
        <v/>
      </c>
      <c r="G2396">
        <f>Skills!G26*IF(Skills!H26&gt;0,Skills!I26/Skills!H26,1)</f>
        <v/>
      </c>
      <c r="H2396">
        <f>1-(1-Skills!J26/100)^Skills!K26</f>
        <v/>
      </c>
      <c r="I2396" t="inlineStr">
        <is>
          <t>1</t>
        </is>
      </c>
      <c r="J2396" t="inlineStr"/>
      <c r="K2396" t="inlineStr"/>
      <c r="L2396" t="inlineStr"/>
      <c r="M2396" t="inlineStr"/>
      <c r="N2396" t="inlineStr"/>
      <c r="O2396">
        <f>(1-Summary!$B$11)*T2396+Summary!$B$11*V2396</f>
        <v/>
      </c>
      <c r="P2396">
        <f>IF(B2415=0,0,O2396/B2415)</f>
        <v/>
      </c>
      <c r="Q2396" t="n">
        <v>0</v>
      </c>
      <c r="R2396" t="n">
        <v>0</v>
      </c>
      <c r="S2396">
        <f>IFERROR(O2396/N2396,0)</f>
        <v/>
      </c>
      <c r="T2396" t="n">
        <v>0</v>
      </c>
      <c r="V2396" t="n">
        <v>0</v>
      </c>
    </row>
    <row r="2397">
      <c r="A2397">
        <f>Skills!A27</f>
        <v/>
      </c>
      <c r="B2397">
        <f>Skills!B27</f>
        <v/>
      </c>
      <c r="C2397">
        <f>Inputs!$B$3&gt;=38</f>
        <v/>
      </c>
      <c r="D2397">
        <f>IF(Skills!C27=1,60+Inputs!$B$25+Inputs!$B$29,IF(Skills!C27=2,90+Inputs!$B$26+Inputs!$B$29,IF(Skills!C27=3,120+Inputs!$B$27+Inputs!$B$29,MAX(0,(Inputs!$B$3-100)*3)+Inputs!$B$28+Inputs!$B$29)))</f>
        <v/>
      </c>
      <c r="E2397">
        <f>INDEX(FactorTable!$B$2:$Y$301, MATCH(ROUND(MIN(300,MAX(1,D2397)),0), FactorTable!$A$2:$A$301,0), Skills!M27+1)</f>
        <v/>
      </c>
      <c r="F2397">
        <f>IF(Skills!N27=TRUE,(Skills!L27/10)*(E2397/1000),Skills!L27/10)+Skills!O27</f>
        <v/>
      </c>
      <c r="G2397">
        <f>Skills!G27*IF(Skills!H27&gt;0,Skills!I27/Skills!H27,1)</f>
        <v/>
      </c>
      <c r="H2397">
        <f>1-(1-Skills!J27/100)^Skills!K27</f>
        <v/>
      </c>
      <c r="I2397" t="inlineStr">
        <is>
          <t>1</t>
        </is>
      </c>
      <c r="J2397" t="inlineStr"/>
      <c r="K2397" t="inlineStr"/>
      <c r="L2397" t="inlineStr"/>
      <c r="M2397" t="inlineStr"/>
      <c r="N2397" t="inlineStr"/>
      <c r="O2397">
        <f>(1-Summary!$B$11)*T2397+Summary!$B$11*V2397</f>
        <v/>
      </c>
      <c r="P2397">
        <f>IF(B2415=0,0,O2397/B2415)</f>
        <v/>
      </c>
      <c r="Q2397" t="n">
        <v>0</v>
      </c>
      <c r="R2397" t="n">
        <v>0</v>
      </c>
      <c r="S2397">
        <f>IFERROR(O2397/N2397,0)</f>
        <v/>
      </c>
      <c r="T2397" t="n">
        <v>0</v>
      </c>
      <c r="V2397" t="n">
        <v>0</v>
      </c>
    </row>
    <row r="2398">
      <c r="A2398">
        <f>Skills!A28</f>
        <v/>
      </c>
      <c r="B2398">
        <f>Skills!B28</f>
        <v/>
      </c>
      <c r="C2398">
        <f>Inputs!$B$3&gt;=120</f>
        <v/>
      </c>
      <c r="D2398">
        <f>IF(Skills!C28=1,60+Inputs!$B$25+Inputs!$B$29,IF(Skills!C28=2,90+Inputs!$B$26+Inputs!$B$29,IF(Skills!C28=3,120+Inputs!$B$27+Inputs!$B$29,MAX(0,(Inputs!$B$3-100)*3)+Inputs!$B$28+Inputs!$B$29)))</f>
        <v/>
      </c>
      <c r="E2398">
        <f>INDEX(FactorTable!$B$2:$Y$301, MATCH(ROUND(MIN(300,MAX(1,D2398)),0), FactorTable!$A$2:$A$301,0), Skills!M28+1)</f>
        <v/>
      </c>
      <c r="F2398">
        <f>IF(Skills!N28=TRUE,(Skills!L28/10)*(E2398/1000),Skills!L28/10)+Skills!O28</f>
        <v/>
      </c>
      <c r="G2398">
        <f>Skills!G28*IF(Skills!H28&gt;0,Skills!I28/Skills!H28,1)</f>
        <v/>
      </c>
      <c r="H2398">
        <f>1-(1-Skills!J28/100)^Skills!K28</f>
        <v/>
      </c>
      <c r="I2398" t="inlineStr">
        <is>
          <t>1</t>
        </is>
      </c>
      <c r="J2398" t="inlineStr"/>
      <c r="K2398" t="inlineStr"/>
      <c r="L2398" t="inlineStr"/>
      <c r="M2398" t="inlineStr"/>
      <c r="N2398" t="inlineStr"/>
      <c r="O2398">
        <f>(1-Summary!$B$11)*T2398+Summary!$B$11*V2398</f>
        <v/>
      </c>
      <c r="P2398">
        <f>IF(B2415=0,0,O2398/B2415)</f>
        <v/>
      </c>
      <c r="Q2398" t="n">
        <v>0</v>
      </c>
      <c r="R2398" t="n">
        <v>0</v>
      </c>
      <c r="S2398">
        <f>IFERROR(O2398/N2398,0)</f>
        <v/>
      </c>
      <c r="T2398" t="n">
        <v>0</v>
      </c>
      <c r="V2398" t="n">
        <v>0</v>
      </c>
    </row>
    <row r="2399">
      <c r="A2399">
        <f>Skills!A29</f>
        <v/>
      </c>
      <c r="B2399">
        <f>Skills!B29</f>
        <v/>
      </c>
      <c r="C2399">
        <f>Inputs!$B$3&gt;=120</f>
        <v/>
      </c>
      <c r="D2399">
        <f>IF(Skills!C29=1,60+Inputs!$B$25+Inputs!$B$29,IF(Skills!C29=2,90+Inputs!$B$26+Inputs!$B$29,IF(Skills!C29=3,120+Inputs!$B$27+Inputs!$B$29,MAX(0,(Inputs!$B$3-100)*3)+Inputs!$B$28+Inputs!$B$29)))</f>
        <v/>
      </c>
      <c r="E2399">
        <f>INDEX(FactorTable!$B$2:$Y$301, MATCH(ROUND(MIN(300,MAX(1,D2399)),0), FactorTable!$A$2:$A$301,0), Skills!M29+1)</f>
        <v/>
      </c>
      <c r="F2399">
        <f>IF(Skills!N29=TRUE,(Skills!L29/10)*(E2399/1000),Skills!L29/10)+Skills!O29</f>
        <v/>
      </c>
      <c r="G2399">
        <f>Skills!G29*IF(Skills!H29&gt;0,Skills!I29/Skills!H29,1)</f>
        <v/>
      </c>
      <c r="H2399">
        <f>1-(1-Skills!J29/100)^Skills!K29</f>
        <v/>
      </c>
      <c r="I2399" t="inlineStr">
        <is>
          <t>1</t>
        </is>
      </c>
      <c r="J2399" t="inlineStr"/>
      <c r="K2399" t="inlineStr"/>
      <c r="L2399" t="inlineStr"/>
      <c r="M2399" t="inlineStr"/>
      <c r="N2399" t="inlineStr"/>
      <c r="O2399">
        <f>(1-Summary!$B$11)*T2399+Summary!$B$11*V2399</f>
        <v/>
      </c>
      <c r="P2399">
        <f>IF(B2415=0,0,O2399/B2415)</f>
        <v/>
      </c>
      <c r="Q2399" t="n">
        <v>0</v>
      </c>
      <c r="R2399" t="n">
        <v>0</v>
      </c>
      <c r="S2399">
        <f>IFERROR(O2399/N2399,0)</f>
        <v/>
      </c>
      <c r="T2399" t="n">
        <v>0</v>
      </c>
      <c r="V2399" t="n">
        <v>0</v>
      </c>
    </row>
    <row r="2400">
      <c r="A2400">
        <f>Skills!A30</f>
        <v/>
      </c>
      <c r="B2400">
        <f>Skills!B30</f>
        <v/>
      </c>
      <c r="C2400">
        <f>Inputs!$B$3&gt;=125</f>
        <v/>
      </c>
      <c r="D2400">
        <f>IF(Skills!C30=1,60+Inputs!$B$25+Inputs!$B$29,IF(Skills!C30=2,90+Inputs!$B$26+Inputs!$B$29,IF(Skills!C30=3,120+Inputs!$B$27+Inputs!$B$29,MAX(0,(Inputs!$B$3-100)*3)+Inputs!$B$28+Inputs!$B$29)))</f>
        <v/>
      </c>
      <c r="E2400">
        <f>INDEX(FactorTable!$B$2:$Y$301, MATCH(ROUND(MIN(300,MAX(1,D2400)),0), FactorTable!$A$2:$A$301,0), Skills!M30+1)</f>
        <v/>
      </c>
      <c r="F2400">
        <f>IF(Skills!N30=TRUE,(Skills!L30/10)*(E2400/1000),Skills!L30/10)+Skills!O30</f>
        <v/>
      </c>
      <c r="G2400">
        <f>Skills!G30*IF(Skills!H30&gt;0,Skills!I30/Skills!H30,1)</f>
        <v/>
      </c>
      <c r="H2400">
        <f>1-(1-Skills!J30/100)^Skills!K30</f>
        <v/>
      </c>
      <c r="I2400" t="inlineStr">
        <is>
          <t>1</t>
        </is>
      </c>
      <c r="J2400" t="inlineStr"/>
      <c r="K2400" t="inlineStr"/>
      <c r="L2400" t="inlineStr"/>
      <c r="M2400" t="inlineStr"/>
      <c r="N2400" t="inlineStr"/>
      <c r="O2400">
        <f>(1-Summary!$B$11)*T2400+Summary!$B$11*V2400</f>
        <v/>
      </c>
      <c r="P2400">
        <f>IF(B2415=0,0,O2400/B2415)</f>
        <v/>
      </c>
      <c r="Q2400" t="n">
        <v>0</v>
      </c>
      <c r="R2400" t="n">
        <v>0</v>
      </c>
      <c r="S2400">
        <f>IFERROR(O2400/N2400,0)</f>
        <v/>
      </c>
      <c r="T2400" t="n">
        <v>0</v>
      </c>
      <c r="V2400" t="n">
        <v>0</v>
      </c>
    </row>
    <row r="2402">
      <c r="A2402" t="inlineStr">
        <is>
          <t>Average Buff Multiplier</t>
        </is>
      </c>
      <c r="B2402">
        <f>(1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f>
        <v/>
      </c>
    </row>
    <row r="2403">
      <c r="A2403" t="inlineStr">
        <is>
          <t>Global Crit Rate Bonus %</t>
        </is>
      </c>
      <c r="B2403">
        <f>((C2390=TRUE)*F2390*IF(AND(Inputs!$B$39&lt;&gt;"pvp",Inputs!$B$44&gt;0),(((R2390-1)*(Skills!Y20*(1+Inputs!$B$34/100))+MIN((Skills!Y20*(1+Inputs!$B$34/100)),MAX(0,Inputs!$B$44-((R2390-1)*Skills!D20))))/Inputs!$B$44),IF(Inputs!$B$39="pvp",MIN((Skills!Y20*(1+Inputs!$B$34/100)),15)/15,(Skills!Y20*(1+Inputs!$B$34/100))/Skills!D20)))</f>
        <v/>
      </c>
    </row>
    <row r="2404">
      <c r="A2404" t="inlineStr">
        <is>
          <t>Global Monster Damage-Taken Bonus %</t>
        </is>
      </c>
      <c r="B2404">
        <f>IF(Inputs!$B$3&gt;=82,15,0)</f>
        <v/>
      </c>
    </row>
    <row r="2405">
      <c r="A2405" t="inlineStr">
        <is>
          <t>Shadow Partner Average Multiplier</t>
        </is>
      </c>
      <c r="B2405">
        <f>1+((C2377=TRUE)*F2377*(1+3.3333333333333335*IF(C2388=TRUE,F2388,0)/100)*I2377*Skills!J7/100)/100</f>
        <v/>
      </c>
    </row>
    <row r="2406">
      <c r="A2406" t="inlineStr">
        <is>
          <t>Attack Speed Buff Bonus %</t>
        </is>
      </c>
      <c r="B2406">
        <f>((C2389=TRUE)*F2389*IF(AND(Inputs!$B$39&lt;&gt;"pvp",Inputs!$B$44&gt;0),(((R2389-1)*(Skills!Y19*(1+Inputs!$B$34/100))+MIN((Skills!Y19*(1+Inputs!$B$34/100)),MAX(0,Inputs!$B$44-((R2389-1)*Skills!D19))))/Inputs!$B$44),IF(Inputs!$B$39="pvp",MIN((Skills!Y19*(1+Inputs!$B$34/100)),15)/15,(Skills!Y19*(1+Inputs!$B$34/100))/Skills!D19)))+((C2373=TRUE)*F2373*3)</f>
        <v/>
      </c>
    </row>
    <row r="2407">
      <c r="A2407" t="inlineStr">
        <is>
          <t>Actions Per Second</t>
        </is>
      </c>
      <c r="B2407">
        <f>1+MIN(150,150*(1-(1-(Inputs!$B$11+((C2392=TRUE)*(F2392-Calc!F22)))/150)*(1-B2406/150)))/100</f>
        <v/>
      </c>
    </row>
    <row r="2408">
      <c r="A2408" t="inlineStr">
        <is>
          <t>Skill + Buff Cast Rate</t>
        </is>
      </c>
      <c r="B2408">
        <f>IF(AND(Inputs!$B$39&lt;&gt;"pvp",Inputs!$B$44&gt;0),SUMPRODUCT((Skills!E2:E30=TRUE)*(C2372:C2400=TRUE)*R2372:R2400*Skills!F2:F30)/Inputs!$B$44,SUMPRODUCT((Skills!E2:E30=TRUE)*(C2372:C2400=TRUE)*Q2372:Q2400*Skills!F2:F30))</f>
        <v/>
      </c>
    </row>
    <row r="2409">
      <c r="A2409" t="inlineStr">
        <is>
          <t>Cruel Stab Casts Per Second</t>
        </is>
      </c>
      <c r="B2409">
        <f>MAX(0,B2407-B2408)</f>
        <v/>
      </c>
    </row>
    <row r="2410">
      <c r="A2410" t="inlineStr">
        <is>
          <t>Global Critical Damage Bonus % (Smokescreen Mastery Lv.113)</t>
        </is>
      </c>
      <c r="B2410">
        <f>IF(Inputs!$B$3&gt;=113,30,0)*IF(AND(Inputs!$B$39&lt;&gt;"pvp",Inputs!$B$44&gt;0),(((R2385-1)*(Skills!Y15*(1+Inputs!$B$34/100))+MIN((Skills!Y15*(1+Inputs!$B$34/100)),MAX(0,Inputs!$B$44-((R2385-1)*Skills!D15))))/Inputs!$B$44),IF(Inputs!$B$39="pvp",MIN((Skills!Y15*(1+Inputs!$B$34/100)),15)/15,(Skills!Y15*(1+Inputs!$B$34/100))/Skills!D15))</f>
        <v/>
      </c>
    </row>
    <row r="2411">
      <c r="A2411" t="inlineStr">
        <is>
          <t>Meso Explosion average stack count</t>
        </is>
      </c>
      <c r="B2411">
        <f>MIN(10,0.5*B2407*Skills!D4)</f>
        <v/>
      </c>
    </row>
    <row r="2412">
      <c r="A2412" t="inlineStr">
        <is>
          <t>Blood Money average stack count</t>
        </is>
      </c>
      <c r="B2412">
        <f>MIN(5,0.25*B2407*Skills!D4)</f>
        <v/>
      </c>
    </row>
    <row r="2413">
      <c r="A2413" t="inlineStr">
        <is>
          <t>Assassinate Murderous Intent Multiplier</t>
        </is>
      </c>
      <c r="B2413">
        <f>1+IFERROR(MIN(1,Q2384*2/Q2381),0)</f>
        <v/>
      </c>
    </row>
    <row r="2414">
      <c r="A2414" t="inlineStr">
        <is>
          <t>Buff-Casting Startup Delay (s, fixed-duration only)</t>
        </is>
      </c>
      <c r="B2414">
        <f>IF(AND(Inputs!$B$39&lt;&gt;"pvp",Inputs!$B$44&gt;0),SUMPRODUCT((Skills!Y2:Y30&gt;0)*(Skills!E2:E30=TRUE)*(C2372:C2400=TRUE))/B2407,0)</f>
        <v/>
      </c>
    </row>
    <row r="2415">
      <c r="A2415" s="6" t="inlineStr">
        <is>
          <t>TOTAL DPS</t>
        </is>
      </c>
      <c r="B2415" s="6">
        <f>SUM(O2372:O2400)</f>
        <v/>
      </c>
    </row>
    <row r="2416">
      <c r="A2416" t="inlineStr">
        <is>
          <t>Boss-Only Total DPS (this block's swept value)</t>
        </is>
      </c>
      <c r="B2416">
        <f>SUM(T2372:T2400)</f>
        <v/>
      </c>
    </row>
    <row r="2417">
      <c r="A2417" t="inlineStr">
        <is>
          <t>Normal-Only Total DPS (this block's swept value)</t>
        </is>
      </c>
      <c r="B2417">
        <f>SUM(V2372:V2400)</f>
        <v/>
      </c>
    </row>
    <row r="2420">
      <c r="A2420" s="6" t="inlineStr">
        <is>
          <t>Stat: Soul Contract (Equip)</t>
        </is>
      </c>
    </row>
    <row r="2421">
      <c r="A2421" s="5" t="inlineStr">
        <is>
          <t>Key</t>
        </is>
      </c>
      <c r="B2421" s="5" t="inlineStr">
        <is>
          <t>Name</t>
        </is>
      </c>
      <c r="C2421" s="5" t="inlineStr">
        <is>
          <t>Unlocked</t>
        </is>
      </c>
      <c r="D2421" s="5" t="inlineStr">
        <is>
          <t>InputLevel</t>
        </is>
      </c>
      <c r="E2421" s="5" t="inlineStr">
        <is>
          <t>Factor</t>
        </is>
      </c>
      <c r="F2421" s="5" t="inlineStr">
        <is>
          <t>CoefficientPercent</t>
        </is>
      </c>
      <c r="G2421" s="5" t="inlineStr">
        <is>
          <t>EffectiveHits</t>
        </is>
      </c>
      <c r="H2421" s="5" t="inlineStr">
        <is>
          <t>ProcProbability</t>
        </is>
      </c>
      <c r="I2421" s="5" t="inlineStr">
        <is>
          <t>MapleHeroMultiplier</t>
        </is>
      </c>
      <c r="J2421" s="5" t="inlineStr">
        <is>
          <t>BaseDamage</t>
        </is>
      </c>
      <c r="K2421" s="5" t="inlineStr">
        <is>
          <t>BaseHitDamage</t>
        </is>
      </c>
      <c r="L2421" s="5" t="inlineStr">
        <is>
          <t>NonCritAvg</t>
        </is>
      </c>
      <c r="M2421" s="5" t="inlineStr">
        <is>
          <t>CritAvg</t>
        </is>
      </c>
      <c r="N2421" s="5" t="inlineStr">
        <is>
          <t>ExpectedDamage(perHit)</t>
        </is>
      </c>
      <c r="O2421" s="5" t="inlineStr">
        <is>
          <t>DPS</t>
        </is>
      </c>
      <c r="P2421" s="5" t="inlineStr">
        <is>
          <t>% of Total</t>
        </is>
      </c>
      <c r="Q2421" s="5" t="inlineStr">
        <is>
          <t>InvCooldown</t>
        </is>
      </c>
      <c r="R2421" s="5" t="inlineStr">
        <is>
          <t>CastsInFight</t>
        </is>
      </c>
      <c r="S2421" s="5" t="inlineStr">
        <is>
          <t>HitRate(perSec)</t>
        </is>
      </c>
      <c r="U2421" t="inlineStr">
        <is>
          <t>helpers</t>
        </is>
      </c>
    </row>
    <row r="2422">
      <c r="A2422">
        <f>Skills!A2</f>
        <v/>
      </c>
      <c r="B2422">
        <f>Skills!B2</f>
        <v/>
      </c>
      <c r="C2422">
        <f>Inputs!$B$3&gt;=100</f>
        <v/>
      </c>
      <c r="D2422" t="inlineStr"/>
      <c r="E2422" t="inlineStr"/>
      <c r="F2422">
        <f>U2424+Skills!O2</f>
        <v/>
      </c>
      <c r="G2422">
        <f>Skills!G2*IF(Skills!H2&gt;0,Skills!I2/Skills!H2,1)</f>
        <v/>
      </c>
      <c r="H2422">
        <f>1-(1-Skills!J2/100)^Skills!K2</f>
        <v/>
      </c>
      <c r="I2422" t="inlineStr">
        <is>
          <t>1</t>
        </is>
      </c>
      <c r="J2422">
        <f>((Inputs!$B$6*(1+Inputs!$B$7/100))+(((Inputs!$B$12*(1+Inputs!$B$13/100))-(Inputs!$B$12*(1+Inputs!$B$13/100)))+0.25*(Inputs!$B$14-Inputs!$B$14))*(1+Inputs!$B$7/100))*(F2422/100)</f>
        <v/>
      </c>
      <c r="K2422">
        <f>J2422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2422)</f>
        <v/>
      </c>
      <c r="L2422">
        <f>K2422*(MIN(Inputs!$B$22+((C2444=TRUE)*(F2444-Calc!F24)),(Inputs!$B$23+((C2449=TRUE)*(F2449-Calc!F29))+IF(ArtifactsInput!$M$15,CHOOSE(ArtifactsInput!$N$15+1,25,30,35,40,45,50)/100*(Inputs!$B$11-Inputs!$B$11),0)))/100+(Inputs!$B$23+((C2449=TRUE)*(F2449-Calc!F29))+IF(ArtifactsInput!$M$15,CHOOSE(ArtifactsInput!$N$15+1,25,30,35,40,45,50)/100*(Inputs!$B$11-Inputs!$B$11),0))/100)/2</f>
        <v/>
      </c>
      <c r="M2422">
        <f>L2422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2">
        <f>L2422*(1-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2422*(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2">
        <f>(1-Summary!$B$11)*T2422+Summary!$B$11*V2422</f>
        <v/>
      </c>
      <c r="P2422">
        <f>IF(B2465=0,0,O2422/B2465)</f>
        <v/>
      </c>
      <c r="Q2422" t="n">
        <v>0</v>
      </c>
      <c r="R2422" t="n">
        <v>0</v>
      </c>
      <c r="S2422">
        <f>IFERROR(O2422/N2422,0)</f>
        <v/>
      </c>
      <c r="T2422">
        <f>IF(C2422,(Skills!G2*N2422*B2459)*IF(Inputs!$B$39="pvp",1,1+(Inputs!$B$20+0+Skills!P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2422*(1-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2422*(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2422*(1-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2422*(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2">
        <f>MAX(0,(Inputs!$B$3-100)*3)+Inputs!$B$28+Inputs!$B$29</f>
        <v/>
      </c>
      <c r="V2422">
        <f>IF(C2422,(Skills!G2*N2422*B2459)*IF(Inputs!$B$39="pvp",1,(1+(Inputs!$B$21+Skills!Q2+B2454+(IF(ArtifactsInput!$M$33,CHOOSE(ArtifactsInput!$N$33+1,30,36,42,48,54,60),0))+(IF(AND(ArtifactsInput!$M$35,Inputs!$B$4&lt;&gt;"Chapter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3">
      <c r="A2423">
        <f>Skills!A3</f>
        <v/>
      </c>
      <c r="B2423">
        <f>Skills!B3</f>
        <v/>
      </c>
      <c r="C2423">
        <f>Inputs!$B$3&gt;=35</f>
        <v/>
      </c>
      <c r="D2423">
        <f>IF(Skills!C3=1,60+Inputs!$B$25+Inputs!$B$29,IF(Skills!C3=2,90+Inputs!$B$26+Inputs!$B$29,IF(Skills!C3=3,120+Inputs!$B$27+Inputs!$B$29,MAX(0,(Inputs!$B$3-100)*3)+Inputs!$B$28+Inputs!$B$29)))</f>
        <v/>
      </c>
      <c r="E2423">
        <f>INDEX(FactorTable!$B$2:$Y$301, MATCH(ROUND(MIN(300,MAX(1,D2423)),0), FactorTable!$A$2:$A$301,0), Skills!M3+1)</f>
        <v/>
      </c>
      <c r="F2423">
        <f>IF(Skills!N3=TRUE,(Skills!L3/10)*(E2423/1000),Skills!L3/10)+Skills!O3</f>
        <v/>
      </c>
      <c r="G2423">
        <f>Skills!G3*IF(Skills!H3&gt;0,Skills!I3/Skills!H3,1)</f>
        <v/>
      </c>
      <c r="H2423">
        <f>1-(1-Skills!J3/100)^Skills!K3</f>
        <v/>
      </c>
      <c r="I2423" t="inlineStr">
        <is>
          <t>1</t>
        </is>
      </c>
      <c r="J2423" t="inlineStr"/>
      <c r="K2423" t="inlineStr"/>
      <c r="L2423" t="inlineStr"/>
      <c r="M2423" t="inlineStr"/>
      <c r="N2423" t="inlineStr"/>
      <c r="O2423">
        <f>(1-Summary!$B$11)*T2423+Summary!$B$11*V2423</f>
        <v/>
      </c>
      <c r="P2423">
        <f>IF(B2465=0,0,O2423/B2465)</f>
        <v/>
      </c>
      <c r="Q2423" t="n">
        <v>0</v>
      </c>
      <c r="R2423" t="n">
        <v>0</v>
      </c>
      <c r="S2423">
        <f>IFERROR(O2423/N2423,0)</f>
        <v/>
      </c>
      <c r="T2423" t="n">
        <v>0</v>
      </c>
      <c r="U2423">
        <f>INDEX(FactorTable!$B$2:$Y$301, MATCH(ROUND(MIN(300,MAX(1,U2422)),0), FactorTable!$A$2:$A$301,0), 22)</f>
        <v/>
      </c>
      <c r="V2423" t="n">
        <v>0</v>
      </c>
    </row>
    <row r="2424">
      <c r="A2424">
        <f>Skills!A4</f>
        <v/>
      </c>
      <c r="B2424">
        <f>Skills!B4</f>
        <v/>
      </c>
      <c r="C2424">
        <f>Inputs!$B$3&gt;=66</f>
        <v/>
      </c>
      <c r="D2424">
        <f>IF(Skills!C4=1,60+Inputs!$B$25+Inputs!$B$29,IF(Skills!C4=2,90+Inputs!$B$26+Inputs!$B$29,IF(Skills!C4=3,120+Inputs!$B$27+Inputs!$B$29,MAX(0,(Inputs!$B$3-100)*3)+Inputs!$B$28+Inputs!$B$29)))</f>
        <v/>
      </c>
      <c r="E2424">
        <f>INDEX(FactorTable!$B$2:$Y$301, MATCH(ROUND(MIN(300,MAX(1,D2424)),0), FactorTable!$A$2:$A$301,0), Skills!M4+1)</f>
        <v/>
      </c>
      <c r="F2424">
        <f>IF(Skills!N4=TRUE,(Skills!L4/10)*(E2424/1000),Skills!L4/10)+Skills!O4</f>
        <v/>
      </c>
      <c r="G2424">
        <f>Skills!G4*IF(Skills!H4&gt;0,Skills!I4/Skills!H4,1)</f>
        <v/>
      </c>
      <c r="H2424">
        <f>1-(1-Skills!J4/100)^Skills!K4</f>
        <v/>
      </c>
      <c r="I2424" t="inlineStr">
        <is>
          <t>1</t>
        </is>
      </c>
      <c r="J2424">
        <f>((Inputs!$B$6*(1+Inputs!$B$7/100))+(((Inputs!$B$12*(1+Inputs!$B$13/100))-(Inputs!$B$12*(1+Inputs!$B$13/100)))+0.25*(Inputs!$B$14-Inputs!$B$14))*(1+Inputs!$B$7/100))*(F2424/100)</f>
        <v/>
      </c>
      <c r="K2424">
        <f>J2424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2424)</f>
        <v/>
      </c>
      <c r="L2424">
        <f>K2424*(MIN(Inputs!$B$22+((C2444=TRUE)*(F2444-Calc!F24)),(Inputs!$B$23+((C2449=TRUE)*(F2449-Calc!F29))+IF(ArtifactsInput!$M$15,CHOOSE(ArtifactsInput!$N$15+1,25,30,35,40,45,50)/100*(Inputs!$B$11-Inputs!$B$11),0)))/100+(Inputs!$B$23+((C2449=TRUE)*(F2449-Calc!F29))+IF(ArtifactsInput!$M$15,CHOOSE(ArtifactsInput!$N$15+1,25,30,35,40,45,50)/100*(Inputs!$B$11-Inputs!$B$11),0))/100)/2</f>
        <v/>
      </c>
      <c r="M2424">
        <f>L2424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4">
        <f>L2424*(1-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2424*(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4">
        <f>(1-Summary!$B$11)*T2424+Summary!$B$11*V2424</f>
        <v/>
      </c>
      <c r="P2424">
        <f>IF(B2465=0,0,O2424/B2465)</f>
        <v/>
      </c>
      <c r="Q2424">
        <f>IFERROR(1/IF(Inputs!$B$39="pvp",15,MAX(0.1,Skills!D4-IF(Skills!E4=TRUE,Inputs!$B$32,0))),0)</f>
        <v/>
      </c>
      <c r="R2424">
        <f>IF(AND(Inputs!$B$39&lt;&gt;"pvp",Inputs!$B$44&gt;0),IF(MAX(0,Inputs!$B$44-B2464)&lt;=0,0,(INT(MAX(0,Inputs!$B$44-B2464)/IF(Inputs!$B$39="pvp",15,MAX(0.1,Skills!D4-IF(Skills!E4=TRUE,Inputs!$B$32,0))))+1)),0)</f>
        <v/>
      </c>
      <c r="S2424">
        <f>IFERROR(O2424/N2424,0)</f>
        <v/>
      </c>
      <c r="T2424">
        <f>IF(C2424,(H2424*N2424*IF(AND(Inputs!$B$39&lt;&gt;"pvp",Inputs!$B$44&gt;0),((Skills!G4*((R2424-1)*IF(Skills!H4&gt;0,Skills!I4/Skills!H4,1)+IF(Skills!H4&gt;0,MIN(Skills!I4,MAX(0,MAX(0,Inputs!$B$44-B2464)-((R2424-1)*IF(Inputs!$B$39="pvp",15,MAX(0.1,Skills!D4-IF(Skills!E4=TRUE,Inputs!$B$32,0))))))/Skills!H4,1)))/Inputs!$B$44),G2424*Q2424))*IF(Inputs!$B$39="pvp",1,1+(Inputs!$B$20+0+Skills!P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2424*(1-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2424*(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2424*(1-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2424*(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4">
        <f>290*U2423/1000</f>
        <v/>
      </c>
      <c r="V2424">
        <f>IF(C2424,(H2424*N2424*IF(AND(Inputs!$B$39&lt;&gt;"pvp",Inputs!$B$44&gt;0),((Skills!G4*((R2424-1)*IF(Skills!H4&gt;0,Skills!I4/Skills!H4,1)+IF(Skills!H4&gt;0,MIN(Skills!I4,MAX(0,MAX(0,Inputs!$B$44-B2464)-((R2424-1)*IF(Inputs!$B$39="pvp",15,MAX(0.1,Skills!D4-IF(Skills!E4=TRUE,Inputs!$B$32,0))))))/Skills!H4,1)))/Inputs!$B$44),G2424*Q2424))*IF(Inputs!$B$39="pvp",1,(1+(Inputs!$B$21+Skills!Q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(10,0.5*B2457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5">
      <c r="A2425">
        <f>Skills!A5</f>
        <v/>
      </c>
      <c r="B2425">
        <f>Skills!B5</f>
        <v/>
      </c>
      <c r="C2425">
        <f>Inputs!$B$3&gt;=63</f>
        <v/>
      </c>
      <c r="D2425">
        <f>IF(Skills!C5=1,60+Inputs!$B$25+Inputs!$B$29,IF(Skills!C5=2,90+Inputs!$B$26+Inputs!$B$29,IF(Skills!C5=3,120+Inputs!$B$27+Inputs!$B$29,MAX(0,(Inputs!$B$3-100)*3)+Inputs!$B$28+Inputs!$B$29)))</f>
        <v/>
      </c>
      <c r="E2425">
        <f>INDEX(FactorTable!$B$2:$Y$301, MATCH(ROUND(MIN(300,MAX(1,D2425)),0), FactorTable!$A$2:$A$301,0), Skills!M5+1)</f>
        <v/>
      </c>
      <c r="F2425">
        <f>IF(Skills!N5=TRUE,(Skills!L5/10)*(E2425/1000),Skills!L5/10)+Skills!O5</f>
        <v/>
      </c>
      <c r="G2425">
        <f>Skills!G5*IF(Skills!H5&gt;0,Skills!I5/Skills!H5,1)</f>
        <v/>
      </c>
      <c r="H2425">
        <f>1-(1-Skills!J5/100)^Skills!K5</f>
        <v/>
      </c>
      <c r="I2425" t="inlineStr">
        <is>
          <t>1</t>
        </is>
      </c>
      <c r="J2425">
        <f>((Inputs!$B$6*(1+Inputs!$B$7/100))+(((Inputs!$B$12*(1+Inputs!$B$13/100))-(Inputs!$B$12*(1+Inputs!$B$13/100)))+0.25*(Inputs!$B$14-Inputs!$B$14))*(1+Inputs!$B$7/100))*(F2425/100)</f>
        <v/>
      </c>
      <c r="K2425">
        <f>J2425*(1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2438=TRUE,F2438,0)/100)*(1+(IF(Skills!A5="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2425)</f>
        <v/>
      </c>
      <c r="L2425">
        <f>K2425*(MIN(Inputs!$B$22+((C2444=TRUE)*(F2444-Calc!F24)),(Inputs!$B$23+((C2449=TRUE)*(F2449-Calc!F29))+IF(ArtifactsInput!$M$15,CHOOSE(ArtifactsInput!$N$15+1,25,30,35,40,45,50)/100*(Inputs!$B$11-Inputs!$B$11),0)))/100+(Inputs!$B$23+((C2449=TRUE)*(F2449-Calc!F29))+IF(ArtifactsInput!$M$15,CHOOSE(ArtifactsInput!$N$15+1,25,30,35,40,45,50)/100*(Inputs!$B$11-Inputs!$B$11),0))/100)/2</f>
        <v/>
      </c>
      <c r="M2425">
        <f>L2425*(1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5">
        <f>L2425*(1-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2425*(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5">
        <f>(1-Summary!$B$11)*T2425+Summary!$B$11*V2425</f>
        <v/>
      </c>
      <c r="P2425">
        <f>IF(B2465=0,0,O2425/B2465)</f>
        <v/>
      </c>
      <c r="Q2425">
        <f>IFERROR(1/IF(Inputs!$B$39="pvp",15,MAX(0.1,Skills!D5-IF(Skills!E5=TRUE,Inputs!$B$32,0))),0)</f>
        <v/>
      </c>
      <c r="R2425">
        <f>IF(AND(Inputs!$B$39&lt;&gt;"pvp",Inputs!$B$44&gt;0),IF(MAX(0,Inputs!$B$44-B2464)&lt;=0,0,(INT(MAX(0,Inputs!$B$44-B2464)/IF(Inputs!$B$39="pvp",15,MAX(0.1,Skills!D5-IF(Skills!E5=TRUE,Inputs!$B$32,0))))+1)),0)</f>
        <v/>
      </c>
      <c r="S2425">
        <f>IFERROR(O2425/N2425,0)</f>
        <v/>
      </c>
      <c r="T2425">
        <f>IF(C2425,(H2425*N2425*IF(AND(Inputs!$B$39&lt;&gt;"pvp",Inputs!$B$44&gt;0),((Skills!G5*((R2425-1)*IF(Skills!H5&gt;0,Skills!I5/Skills!H5,1)+IF(Skills!H5&gt;0,MIN(Skills!I5,MAX(0,MAX(0,Inputs!$B$44-B2464)-((R2425-1)*IF(Inputs!$B$39="pvp",15,MAX(0.1,Skills!D5-IF(Skills!E5=TRUE,Inputs!$B$32,0))))))/Skills!H5,1)))/Inputs!$B$44),G2425*Q2425))*IF(Inputs!$B$39="pvp",1,1+(Inputs!$B$20+0+Skills!P5+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2425*(1-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2425*(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2425*(1-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2425*(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5">
        <f>IF(C2425,(H2425*N2425*IF(AND(Inputs!$B$39&lt;&gt;"pvp",Inputs!$B$44&gt;0),((Skills!G5*((R2425-1)*IF(Skills!H5&gt;0,Skills!I5/Skills!H5,1)+IF(Skills!H5&gt;0,MIN(Skills!I5,MAX(0,MAX(0,Inputs!$B$44-B2464)-((R2425-1)*IF(Inputs!$B$39="pvp",15,MAX(0.1,Skills!D5-IF(Skills!E5=TRUE,Inputs!$B$32,0))))))/Skills!H5,1)))/Inputs!$B$44),G2425*Q2425))*IF(Inputs!$B$39="pvp",1,(1+(Inputs!$B$21+Skills!Q5+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6">
      <c r="A2426">
        <f>Skills!A6</f>
        <v/>
      </c>
      <c r="B2426">
        <f>Skills!B6</f>
        <v/>
      </c>
      <c r="C2426">
        <f>Inputs!$B$3&gt;=69</f>
        <v/>
      </c>
      <c r="D2426">
        <f>IF(Skills!C6=1,60+Inputs!$B$25+Inputs!$B$29,IF(Skills!C6=2,90+Inputs!$B$26+Inputs!$B$29,IF(Skills!C6=3,120+Inputs!$B$27+Inputs!$B$29,MAX(0,(Inputs!$B$3-100)*3)+Inputs!$B$28+Inputs!$B$29)))</f>
        <v/>
      </c>
      <c r="E2426">
        <f>INDEX(FactorTable!$B$2:$Y$301, MATCH(ROUND(MIN(300,MAX(1,D2426)),0), FactorTable!$A$2:$A$301,0), Skills!M6+1)</f>
        <v/>
      </c>
      <c r="F2426">
        <f>IF(Skills!N6=TRUE,(Skills!L6/10)*(E2426/1000),Skills!L6/10)+Skills!O6</f>
        <v/>
      </c>
      <c r="G2426">
        <f>Skills!G6*IF(Skills!H6&gt;0,Skills!I6/Skills!H6,1)</f>
        <v/>
      </c>
      <c r="H2426">
        <f>1-(1-Skills!J6/100)^Skills!K6</f>
        <v/>
      </c>
      <c r="I2426" t="inlineStr">
        <is>
          <t>1</t>
        </is>
      </c>
      <c r="J2426">
        <f>((Inputs!$B$6*(1+Inputs!$B$7/100))+(((Inputs!$B$12*(1+Inputs!$B$13/100))-(Inputs!$B$12*(1+Inputs!$B$13/100)))+0.25*(Inputs!$B$14-Inputs!$B$14))*(1+Inputs!$B$7/100))*(F2426/100)</f>
        <v/>
      </c>
      <c r="K2426">
        <f>J2426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2438=TRUE,F2438,0)/100)*(1+(IF(Skills!A6="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2426)</f>
        <v/>
      </c>
      <c r="L2426">
        <f>K2426*(MIN(Inputs!$B$22+((C2444=TRUE)*(F2444-Calc!F24)),(Inputs!$B$23+((C2449=TRUE)*(F2449-Calc!F29))+IF(ArtifactsInput!$M$15,CHOOSE(ArtifactsInput!$N$15+1,25,30,35,40,45,50)/100*(Inputs!$B$11-Inputs!$B$11),0)))/100+(Inputs!$B$23+((C2449=TRUE)*(F2449-Calc!F29))+IF(ArtifactsInput!$M$15,CHOOSE(ArtifactsInput!$N$15+1,25,30,35,40,45,50)/100*(Inputs!$B$11-Inputs!$B$11),0))/100)/2</f>
        <v/>
      </c>
      <c r="M2426">
        <f>L2426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IF(B2465=0,0,O2426/B2465)</f>
        <v/>
      </c>
      <c r="Q2426">
        <f>IFERROR(1/IF(Inputs!$B$39="pvp",15,MAX(0.1,Skills!D6-IF(Skills!E6=TRUE,Inputs!$B$32,0))),0)</f>
        <v/>
      </c>
      <c r="R2426">
        <f>IF(AND(Inputs!$B$39&lt;&gt;"pvp",Inputs!$B$44&gt;0),IF(MAX(0,Inputs!$B$44-B2464)&lt;=0,0,(INT(MAX(0,Inputs!$B$44-B2464)/IF(Inputs!$B$39="pvp",15,MAX(0.1,Skills!D6-IF(Skills!E6=TRUE,Inputs!$B$32,0))))+1)),0)</f>
        <v/>
      </c>
      <c r="S2426">
        <f>IFERROR(O2426/N2426,0)</f>
        <v/>
      </c>
      <c r="T2426">
        <f>IF(C2426,(H2426*N2426*IF(AND(Inputs!$B$39&lt;&gt;"pvp",Inputs!$B$44&gt;0),((Skills!G6*((R2426-1)*IF(Skills!H6&gt;0,Skills!I6/Skills!H6,1)+IF(Skills!H6&gt;0,MIN(Skills!I6,MAX(0,MAX(0,Inputs!$B$44-B2464)-((R2426-1)*IF(Inputs!$B$39="pvp",15,MAX(0.1,Skills!D6-IF(Skills!E6=TRUE,Inputs!$B$32,0))))))/Skills!H6,1)))/Inputs!$B$44),G2426*Q2426))*IF(Inputs!$B$39="pvp",1,1+(Inputs!$B$20+0+Skills!P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2426*(1-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6">
        <f>IF(C2426,(H2426*N2426*IF(AND(Inputs!$B$39&lt;&gt;"pvp",Inputs!$B$44&gt;0),((Skills!G6*((R2426-1)*IF(Skills!H6&gt;0,Skills!I6/Skills!H6,1)+IF(Skills!H6&gt;0,MIN(Skills!I6,MAX(0,MAX(0,Inputs!$B$44-B2464)-((R2426-1)*IF(Inputs!$B$39="pvp",15,MAX(0.1,Skills!D6-IF(Skills!E6=TRUE,Inputs!$B$32,0))))))/Skills!H6,1)))/Inputs!$B$44),G2426*Q2426))*IF(Inputs!$B$39="pvp",1,(1+(Inputs!$B$21+Skills!Q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Skills!A7</f>
        <v/>
      </c>
      <c r="B2427">
        <f>Skills!B7</f>
        <v/>
      </c>
      <c r="C2427">
        <f>Inputs!$B$3&gt;=60</f>
        <v/>
      </c>
      <c r="D2427">
        <f>IF(Skills!C7=1,60+Inputs!$B$25+Inputs!$B$29,IF(Skills!C7=2,90+Inputs!$B$26+Inputs!$B$29,IF(Skills!C7=3,120+Inputs!$B$27+Inputs!$B$29,MAX(0,(Inputs!$B$3-100)*3)+Inputs!$B$28+Inputs!$B$29)))</f>
        <v/>
      </c>
      <c r="E2427">
        <f>INDEX(FactorTable!$B$2:$Y$301, MATCH(ROUND(MIN(300,MAX(1,D2427)),0), FactorTable!$A$2:$A$301,0), Skills!M7+1)</f>
        <v/>
      </c>
      <c r="F2427">
        <f>IF(Skills!N7=TRUE,(Skills!L7/10)*(E2427/1000),Skills!L7/10)+Skills!O7</f>
        <v/>
      </c>
      <c r="G2427">
        <f>Skills!G7*IF(Skills!H7&gt;0,Skills!I7/Skills!H7,1)</f>
        <v/>
      </c>
      <c r="H2427">
        <f>1-(1-Skills!J7/100)^Skills!K7</f>
        <v/>
      </c>
      <c r="I2427" t="inlineStr">
        <is>
          <t>1</t>
        </is>
      </c>
      <c r="J2427" t="inlineStr"/>
      <c r="K2427" t="inlineStr"/>
      <c r="L2427" t="inlineStr"/>
      <c r="M2427" t="inlineStr"/>
      <c r="N2427" t="inlineStr"/>
      <c r="O2427">
        <f>(1-Summary!$B$11)*T2427+Summary!$B$11*V2427</f>
        <v/>
      </c>
      <c r="P2427">
        <f>IF(B2465=0,0,O2427/B2465)</f>
        <v/>
      </c>
      <c r="Q2427" t="n">
        <v>0</v>
      </c>
      <c r="R2427" t="n">
        <v>0</v>
      </c>
      <c r="S2427">
        <f>IFERROR(O2427/N2427,0)</f>
        <v/>
      </c>
      <c r="T2427" t="n">
        <v>0</v>
      </c>
      <c r="V2427" t="n">
        <v>0</v>
      </c>
    </row>
    <row r="2428">
      <c r="A2428">
        <f>Skills!A8</f>
        <v/>
      </c>
      <c r="B2428">
        <f>Skills!B8</f>
        <v/>
      </c>
      <c r="C2428">
        <f>Inputs!$B$3&gt;=72</f>
        <v/>
      </c>
      <c r="D2428">
        <f>IF(Skills!C8=1,60+Inputs!$B$25+Inputs!$B$29,IF(Skills!C8=2,90+Inputs!$B$26+Inputs!$B$29,IF(Skills!C8=3,120+Inputs!$B$27+Inputs!$B$29,MAX(0,(Inputs!$B$3-100)*3)+Inputs!$B$28+Inputs!$B$29)))</f>
        <v/>
      </c>
      <c r="E2428">
        <f>INDEX(FactorTable!$B$2:$Y$301, MATCH(ROUND(MIN(300,MAX(1,D2428)),0), FactorTable!$A$2:$A$301,0), Skills!M8+1)</f>
        <v/>
      </c>
      <c r="F2428">
        <f>IF(Skills!N8=TRUE,(Skills!L8/10)*(E2428/1000),Skills!L8/10)+Skills!O8</f>
        <v/>
      </c>
      <c r="G2428">
        <f>Skills!G8*IF(Skills!H8&gt;0,Skills!I8/Skills!H8,1)</f>
        <v/>
      </c>
      <c r="H2428">
        <f>1-(1-Skills!J8/100)^Skills!K8</f>
        <v/>
      </c>
      <c r="I2428" t="inlineStr">
        <is>
          <t>1</t>
        </is>
      </c>
      <c r="J2428">
        <f>((Inputs!$B$6*(1+Inputs!$B$7/100))+(((Inputs!$B$12*(1+Inputs!$B$13/100))-(Inputs!$B$12*(1+Inputs!$B$13/100)))+0.25*(Inputs!$B$14-Inputs!$B$14))*(1+Inputs!$B$7/100))*(F2428/100)</f>
        <v/>
      </c>
      <c r="K2428">
        <f>J2428*(1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2438=TRUE,F2438,0)/100)*(1+(IF(Skills!A8="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2428)</f>
        <v/>
      </c>
      <c r="L2428">
        <f>K2428*(MIN(Inputs!$B$22+((C2444=TRUE)*(F2444-Calc!F24)),(Inputs!$B$23+((C2449=TRUE)*(F2449-Calc!F29))+IF(ArtifactsInput!$M$15,CHOOSE(ArtifactsInput!$N$15+1,25,30,35,40,45,50)/100*(Inputs!$B$11-Inputs!$B$11),0)))/100+(Inputs!$B$23+((C2449=TRUE)*(F2449-Calc!F29))+IF(ArtifactsInput!$M$15,CHOOSE(ArtifactsInput!$N$15+1,25,30,35,40,45,50)/100*(Inputs!$B$11-Inputs!$B$11),0))/100)/2</f>
        <v/>
      </c>
      <c r="M2428">
        <f>L2428*(1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IF(B2465=0,0,O2428/B2465)</f>
        <v/>
      </c>
      <c r="Q2428">
        <f>IFERROR(1/IF(Inputs!$B$39="pvp",15,MAX(0.1,Skills!D8-IF(Skills!E8=TRUE,Inputs!$B$32,0))),0)</f>
        <v/>
      </c>
      <c r="R2428">
        <f>IF(AND(Inputs!$B$39&lt;&gt;"pvp",Inputs!$B$44&gt;0),IF(MAX(0,Inputs!$B$44-B2464)&lt;=0,0,(INT(MAX(0,Inputs!$B$44-B2464)/IF(Inputs!$B$39="pvp",15,MAX(0.1,Skills!D8-IF(Skills!E8=TRUE,Inputs!$B$32,0))))+1)),0)</f>
        <v/>
      </c>
      <c r="S2428">
        <f>IFERROR(O2428/N2428,0)</f>
        <v/>
      </c>
      <c r="T2428">
        <f>IF(C2428,(H2428*N2428*IF(AND(Inputs!$B$39&lt;&gt;"pvp",Inputs!$B$44&gt;0),((Skills!G8*((R2428-1)*IF(Skills!H8&gt;0,Skills!I8/Skills!H8,1)+IF(Skills!H8&gt;0,MIN(Skills!I8,MAX(0,MAX(0,Inputs!$B$44-B2464)-((R2428-1)*IF(Inputs!$B$39="pvp",15,MAX(0.1,Skills!D8-IF(Skills!E8=TRUE,Inputs!$B$32,0))))))/Skills!H8,1)))/Inputs!$B$44),G2428*Q2428))*IF(Inputs!$B$39="pvp",1,1+(Inputs!$B$20+0+Skills!P8+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2428*(1-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8">
        <f>IF(C2428,(H2428*N2428*IF(AND(Inputs!$B$39&lt;&gt;"pvp",Inputs!$B$44&gt;0),((Skills!G8*((R2428-1)*IF(Skills!H8&gt;0,Skills!I8/Skills!H8,1)+IF(Skills!H8&gt;0,MIN(Skills!I8,MAX(0,MAX(0,Inputs!$B$44-B2464)-((R2428-1)*IF(Inputs!$B$39="pvp",15,MAX(0.1,Skills!D8-IF(Skills!E8=TRUE,Inputs!$B$32,0))))))/Skills!H8,1)))/Inputs!$B$44),G2428*Q2428))*IF(Inputs!$B$39="pvp",1,(1+(Inputs!$B$21+Skills!Q8+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Skills!A9</f>
        <v/>
      </c>
      <c r="B2429">
        <f>Skills!B9</f>
        <v/>
      </c>
      <c r="C2429">
        <f>Inputs!$B$3&gt;=117</f>
        <v/>
      </c>
      <c r="D2429">
        <f>IF(Skills!C9=1,60+Inputs!$B$25+Inputs!$B$29,IF(Skills!C9=2,90+Inputs!$B$26+Inputs!$B$29,IF(Skills!C9=3,120+Inputs!$B$27+Inputs!$B$29,MAX(0,(Inputs!$B$3-100)*3)+Inputs!$B$28+Inputs!$B$29)))</f>
        <v/>
      </c>
      <c r="E2429">
        <f>INDEX(FactorTable!$B$2:$Y$301, MATCH(ROUND(MIN(300,MAX(1,D2429)),0), FactorTable!$A$2:$A$301,0), Skills!M9+1)</f>
        <v/>
      </c>
      <c r="F2429">
        <f>IF(Skills!N9=TRUE,(Skills!L9/10)*(E2429/1000),Skills!L9/10)+Skills!O9</f>
        <v/>
      </c>
      <c r="G2429">
        <f>Skills!G9*IF(Skills!H9&gt;0,Skills!I9/Skills!H9,1)</f>
        <v/>
      </c>
      <c r="H2429">
        <f>1-(1-Skills!J9/100)^Skills!K9</f>
        <v/>
      </c>
      <c r="I2429" t="inlineStr">
        <is>
          <t>1</t>
        </is>
      </c>
      <c r="J2429">
        <f>((Inputs!$B$6*(1+Inputs!$B$7/100))+(((Inputs!$B$12*(1+Inputs!$B$13/100))-(Inputs!$B$12*(1+Inputs!$B$13/100)))+0.25*(Inputs!$B$14-Inputs!$B$14))*(1+Inputs!$B$7/100))*(F2429/100)</f>
        <v/>
      </c>
      <c r="K2429">
        <f>J2429*(1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2429)</f>
        <v/>
      </c>
      <c r="L2429">
        <f>K2429*(MIN(Inputs!$B$22+((C2444=TRUE)*(F2444-Calc!F24)),(Inputs!$B$23+((C2449=TRUE)*(F2449-Calc!F29))+IF(ArtifactsInput!$M$15,CHOOSE(ArtifactsInput!$N$15+1,25,30,35,40,45,50)/100*(Inputs!$B$11-Inputs!$B$11),0)))/100+(Inputs!$B$23+((C2449=TRUE)*(F2449-Calc!F29))+IF(ArtifactsInput!$M$15,CHOOSE(ArtifactsInput!$N$15+1,25,30,35,40,45,50)/100*(Inputs!$B$11-Inputs!$B$11),0))/100)/2</f>
        <v/>
      </c>
      <c r="M2429">
        <f>L2429*(1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IF(B2465=0,0,O2429/B2465)</f>
        <v/>
      </c>
      <c r="Q2429" t="n">
        <v>0</v>
      </c>
      <c r="R2429" t="n">
        <v>0</v>
      </c>
      <c r="S2429" t="n">
        <v>0</v>
      </c>
      <c r="T2429">
        <f>IF(C2429,(0.2*SUMPRODUCT((Skills!Z2:Z30=TRUE)*(C2422:C2450=TRUE)*S2422:S2450)*N2429)*IF(Inputs!$B$39="pvp",1,1+(Inputs!$B$20+0+Skills!P9+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2429*(1-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9">
        <f>IF(C2429,(0.2*SUMPRODUCT((Skills!Z2:Z30=TRUE)*(C2422:C2450=TRUE)*S2422:S2450)*N2429)*IF(Inputs!$B$39="pvp",1,(1+(Inputs!$B$21+Skills!Q9+B2454+(IF(ArtifactsInput!$M$33,CHOOSE(ArtifactsInput!$N$33+1,30,36,42,48,54,60),0))+(IF(AND(ArtifactsInput!$M$35,Inputs!$B$4&lt;&gt;"Chapter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Skills!A10</f>
        <v/>
      </c>
      <c r="B2430">
        <f>Skills!B10</f>
        <v/>
      </c>
      <c r="C2430">
        <f>Inputs!$B$3&gt;=74</f>
        <v/>
      </c>
      <c r="D2430">
        <f>IF(Skills!C10=1,60+Inputs!$B$25+Inputs!$B$29,IF(Skills!C10=2,90+Inputs!$B$26+Inputs!$B$29,IF(Skills!C10=3,120+Inputs!$B$27+Inputs!$B$29,MAX(0,(Inputs!$B$3-100)*3)+Inputs!$B$28+Inputs!$B$29)))</f>
        <v/>
      </c>
      <c r="E2430">
        <f>INDEX(FactorTable!$B$2:$Y$301, MATCH(ROUND(MIN(300,MAX(1,D2430)),0), FactorTable!$A$2:$A$301,0), Skills!M10+1)</f>
        <v/>
      </c>
      <c r="F2430">
        <f>IF(Skills!N10=TRUE,(Skills!L10/10)*(E2430/1000),Skills!L10/10)+Skills!O10</f>
        <v/>
      </c>
      <c r="G2430">
        <f>Skills!G10*IF(Skills!H10&gt;0,Skills!I10/Skills!H10,1)</f>
        <v/>
      </c>
      <c r="H2430">
        <f>1-(1-Skills!J10/100)^Skills!K10</f>
        <v/>
      </c>
      <c r="I2430" t="inlineStr">
        <is>
          <t>1</t>
        </is>
      </c>
      <c r="J2430" t="inlineStr"/>
      <c r="K2430" t="inlineStr"/>
      <c r="L2430" t="inlineStr"/>
      <c r="M2430" t="inlineStr"/>
      <c r="N2430" t="inlineStr"/>
      <c r="O2430">
        <f>(1-Summary!$B$11)*T2430+Summary!$B$11*V2430</f>
        <v/>
      </c>
      <c r="P2430">
        <f>IF(B2465=0,0,O2430/B2465)</f>
        <v/>
      </c>
      <c r="Q2430">
        <f>IFERROR(1/IF(Inputs!$B$39="pvp",15,MAX(0.1,Skills!D10-IF(Skills!E10=TRUE,Inputs!$B$32,0))),0)</f>
        <v/>
      </c>
      <c r="R2430">
        <f>IF(AND(Inputs!$B$39&lt;&gt;"pvp",Inputs!$B$44&gt;0),IF(Inputs!$B$44&lt;=0,0,(INT(Inputs!$B$44/IF(Inputs!$B$39="pvp",15,MAX(0.1,Skills!D10-IF(Skills!E10=TRUE,Inputs!$B$32,0))))+1)),0)</f>
        <v/>
      </c>
      <c r="S2430">
        <f>IFERROR(O2430/N2430,0)</f>
        <v/>
      </c>
      <c r="T2430" t="n">
        <v>0</v>
      </c>
      <c r="V2430" t="n">
        <v>0</v>
      </c>
    </row>
    <row r="2431">
      <c r="A2431">
        <f>Skills!A11</f>
        <v/>
      </c>
      <c r="B2431">
        <f>Skills!B11</f>
        <v/>
      </c>
      <c r="C2431">
        <f>Inputs!$B$3&gt;=103</f>
        <v/>
      </c>
      <c r="D2431">
        <f>IF(Skills!C11=1,60+Inputs!$B$25+Inputs!$B$29,IF(Skills!C11=2,90+Inputs!$B$26+Inputs!$B$29,IF(Skills!C11=3,120+Inputs!$B$27+Inputs!$B$29,MAX(0,(Inputs!$B$3-100)*3)+Inputs!$B$28+Inputs!$B$29)))</f>
        <v/>
      </c>
      <c r="E2431">
        <f>INDEX(FactorTable!$B$2:$Y$301, MATCH(ROUND(MIN(300,MAX(1,D2431)),0), FactorTable!$A$2:$A$301,0), Skills!M11+1)</f>
        <v/>
      </c>
      <c r="F2431">
        <f>(Skills!L11/10)*(E2431/1000)+IF(Inputs!$B$3&gt;=134,50,0)+0.5*(30000/10)*(INDEX(FactorTable!$B$2:$Y$301, MATCH(ROUND(MIN(300,MAX(1,D2431)),0), FactorTable!$A$2:$A$301,0), 13)/1000)*B2463</f>
        <v/>
      </c>
      <c r="G2431">
        <f>Skills!G11*IF(Skills!H11&gt;0,Skills!I11/Skills!H11,1)</f>
        <v/>
      </c>
      <c r="H2431">
        <f>1-(1-Skills!J11/100)^Skills!K11</f>
        <v/>
      </c>
      <c r="I2431" t="inlineStr">
        <is>
          <t>1</t>
        </is>
      </c>
      <c r="J2431">
        <f>((Inputs!$B$6*(1+Inputs!$B$7/100))+(((Inputs!$B$12*(1+Inputs!$B$13/100))-(Inputs!$B$12*(1+Inputs!$B$13/100)))+0.25*(Inputs!$B$14-Inputs!$B$14))*(1+Inputs!$B$7/100))*(F2431/100)</f>
        <v/>
      </c>
      <c r="K2431">
        <f>J2431*(1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2431)</f>
        <v/>
      </c>
      <c r="L2431">
        <f>K2431*(MIN(Inputs!$B$22+((C2444=TRUE)*(F2444-Calc!F24)),(Inputs!$B$23+((C2449=TRUE)*(F2449-Calc!F29))+IF(ArtifactsInput!$M$15,CHOOSE(ArtifactsInput!$N$15+1,25,30,35,40,45,50)/100*(Inputs!$B$11-Inputs!$B$11),0)))/100+(Inputs!$B$23+((C2449=TRUE)*(F2449-Calc!F29))+IF(ArtifactsInput!$M$15,CHOOSE(ArtifactsInput!$N$15+1,25,30,35,40,45,50)/100*(Inputs!$B$11-Inputs!$B$11),0))/100)/2</f>
        <v/>
      </c>
      <c r="M2431">
        <f>L2431*(1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1">
        <f>L2431*(1-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IF(B2465=0,0,O2431/B2465)</f>
        <v/>
      </c>
      <c r="Q2431">
        <f>IFERROR(1/IF(Inputs!$B$39="pvp",15,MAX(0.1,Skills!D11-IF(Skills!E11=TRUE,Inputs!$B$32,0))),0)</f>
        <v/>
      </c>
      <c r="R2431">
        <f>IF(AND(Inputs!$B$39&lt;&gt;"pvp",Inputs!$B$44&gt;0),IF(MAX(0,Inputs!$B$44-B2464)&lt;=0,0,(INT(MAX(0,Inputs!$B$44-B2464)/IF(Inputs!$B$39="pvp",15,MAX(0.1,Skills!D11-IF(Skills!E11=TRUE,Inputs!$B$32,0))))+1)),0)</f>
        <v/>
      </c>
      <c r="S2431">
        <f>IFERROR(O2431/N2431,0)</f>
        <v/>
      </c>
      <c r="T2431">
        <f>IF(C2431,(H2431*N2431*IF(AND(Inputs!$B$39&lt;&gt;"pvp",Inputs!$B$44&gt;0),((Skills!G11*((R2431-1)*IF(Skills!H11&gt;0,Skills!I11/Skills!H11,1)+IF(Skills!H11&gt;0,MIN(Skills!I11,MAX(0,MAX(0,Inputs!$B$44-B2464)-((R2431-1)*IF(Inputs!$B$39="pvp",15,MAX(0.1,Skills!D11-IF(Skills!E11=TRUE,Inputs!$B$32,0))))))/Skills!H11,1)))/Inputs!$B$44),G2431*Q2431))*IF(Inputs!$B$39="pvp",1,1+(Inputs!$B$20+0+Skills!P11+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2431*(1-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11*((R2431-1)*IF(Skills!H11&gt;0,Skills!I11/Skills!H11,1)+IF(Skills!H11&gt;0,MIN(Skills!I11,MAX(0,MAX(0,Inputs!$B$44-B2464)-((R2431-1)*IF(Inputs!$B$39="pvp",15,MAX(0.1,Skills!D11-IF(Skills!E11=TRUE,Inputs!$B$32,0))))))/Skills!H11,1)))/Inputs!$B$44),G2431*Q2431))*IF(Inputs!$B$39="pvp",1,(1+(Inputs!$B$21+Skills!Q11+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Skills!A12</f>
        <v/>
      </c>
      <c r="B2432">
        <f>Skills!B12</f>
        <v/>
      </c>
      <c r="C2432">
        <f>Inputs!$B$3&gt;=105</f>
        <v/>
      </c>
      <c r="D2432">
        <f>IF(Skills!C12=1,60+Inputs!$B$25+Inputs!$B$29,IF(Skills!C12=2,90+Inputs!$B$26+Inputs!$B$29,IF(Skills!C12=3,120+Inputs!$B$27+Inputs!$B$29,MAX(0,(Inputs!$B$3-100)*3)+Inputs!$B$28+Inputs!$B$29)))</f>
        <v/>
      </c>
      <c r="E2432">
        <f>INDEX(FactorTable!$B$2:$Y$301, MATCH(ROUND(MIN(300,MAX(1,D2432)),0), FactorTable!$A$2:$A$301,0), Skills!M12+1)</f>
        <v/>
      </c>
      <c r="F2432">
        <f>IF(Skills!N12=TRUE,(Skills!L12/10)*(E2432/1000),Skills!L12/10)+Skills!O12</f>
        <v/>
      </c>
      <c r="G2432">
        <f>Skills!G12*IF(Skills!H12&gt;0,Skills!I12/Skills!H12,1)</f>
        <v/>
      </c>
      <c r="H2432">
        <f>1-(1-Skills!J12/100)^Skills!K12</f>
        <v/>
      </c>
      <c r="I2432" t="inlineStr">
        <is>
          <t>1</t>
        </is>
      </c>
      <c r="J2432">
        <f>((Inputs!$B$6*(1+Inputs!$B$7/100))+(((Inputs!$B$12*(1+Inputs!$B$13/100))-(Inputs!$B$12*(1+Inputs!$B$13/100)))+0.25*(Inputs!$B$14-Inputs!$B$14))*(1+Inputs!$B$7/100))*(F2432/100)</f>
        <v/>
      </c>
      <c r="K2432">
        <f>J2432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2432)</f>
        <v/>
      </c>
      <c r="L2432">
        <f>K2432*(MIN(Inputs!$B$22+((C2444=TRUE)*(F2444-Calc!F24)),(Inputs!$B$23+((C2449=TRUE)*(F2449-Calc!F29))+IF(ArtifactsInput!$M$15,CHOOSE(ArtifactsInput!$N$15+1,25,30,35,40,45,50)/100*(Inputs!$B$11-Inputs!$B$11),0)))/100+(Inputs!$B$23+((C2449=TRUE)*(F2449-Calc!F29))+IF(ArtifactsInput!$M$15,CHOOSE(ArtifactsInput!$N$15+1,25,30,35,40,45,50)/100*(Inputs!$B$11-Inputs!$B$11),0))/100)/2</f>
        <v/>
      </c>
      <c r="M2432">
        <f>L2432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IF(B2465=0,0,O2432/B2465)</f>
        <v/>
      </c>
      <c r="Q2432">
        <f>IFERROR(1/IF(Inputs!$B$39="pvp",15,MAX(0.1,Skills!D12-IF(Skills!E12=TRUE,Inputs!$B$32,0))),0)</f>
        <v/>
      </c>
      <c r="R2432">
        <f>IF(AND(Inputs!$B$39&lt;&gt;"pvp",Inputs!$B$44&gt;0),IF(MAX(0,Inputs!$B$44-B2464)&lt;=0,0,(INT(MAX(0,Inputs!$B$44-B2464)/IF(Inputs!$B$39="pvp",15,MAX(0.1,Skills!D12-IF(Skills!E12=TRUE,Inputs!$B$32,0))))+1)),0)</f>
        <v/>
      </c>
      <c r="S2432">
        <f>IFERROR(O2432/N2432,0)</f>
        <v/>
      </c>
      <c r="T2432">
        <f>IF(C2432,(H2432*N2432*IF(AND(Inputs!$B$39&lt;&gt;"pvp",Inputs!$B$44&gt;0),((Skills!G12*((R2432-1)*IF(Skills!H12&gt;0,Skills!I12/Skills!H12,1)+IF(Skills!H12&gt;0,MIN(Skills!I12,MAX(0,MAX(0,Inputs!$B$44-B2464)-((R2432-1)*IF(Inputs!$B$39="pvp",15,MAX(0.1,Skills!D12-IF(Skills!E12=TRUE,Inputs!$B$32,0))))))/Skills!H12,1)))/Inputs!$B$44),G2432*Q2432))*IF(Inputs!$B$39="pvp",1,1+(Inputs!$B$20+0+Skills!P12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2432*(1-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12*((R2432-1)*IF(Skills!H12&gt;0,Skills!I12/Skills!H12,1)+IF(Skills!H12&gt;0,MIN(Skills!I12,MAX(0,MAX(0,Inputs!$B$44-B2464)-((R2432-1)*IF(Inputs!$B$39="pvp",15,MAX(0.1,Skills!D12-IF(Skills!E12=TRUE,Inputs!$B$32,0))))))/Skills!H12,1)))/Inputs!$B$44),G2432*Q2432))*IF(Inputs!$B$39="pvp",1,(1+(Inputs!$B$21+Skills!Q12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Skills!A13</f>
        <v/>
      </c>
      <c r="B2433">
        <f>Skills!B13</f>
        <v/>
      </c>
      <c r="C2433">
        <f>Inputs!$B$3&gt;=105</f>
        <v/>
      </c>
      <c r="D2433">
        <f>IF(Skills!C13=1,60+Inputs!$B$25+Inputs!$B$29,IF(Skills!C13=2,90+Inputs!$B$26+Inputs!$B$29,IF(Skills!C13=3,120+Inputs!$B$27+Inputs!$B$29,MAX(0,(Inputs!$B$3-100)*3)+Inputs!$B$28+Inputs!$B$29)))</f>
        <v/>
      </c>
      <c r="E2433">
        <f>INDEX(FactorTable!$B$2:$Y$301, MATCH(ROUND(MIN(300,MAX(1,D2433)),0), FactorTable!$A$2:$A$301,0), Skills!M13+1)</f>
        <v/>
      </c>
      <c r="F2433">
        <f>IF(Skills!N13=TRUE,(Skills!L13/10)*(E2433/1000),Skills!L13/10)+Skills!O13</f>
        <v/>
      </c>
      <c r="G2433">
        <f>Skills!G13*IF(Skills!H13&gt;0,Skills!I13/Skills!H13,1)</f>
        <v/>
      </c>
      <c r="H2433">
        <f>1-(1-Skills!J13/100)^Skills!K13</f>
        <v/>
      </c>
      <c r="I2433" t="inlineStr">
        <is>
          <t>1</t>
        </is>
      </c>
      <c r="J2433">
        <f>((Inputs!$B$6*(1+Inputs!$B$7/100))+(((Inputs!$B$12*(1+Inputs!$B$13/100))-(Inputs!$B$12*(1+Inputs!$B$13/100)))+0.25*(Inputs!$B$14-Inputs!$B$14))*(1+Inputs!$B$7/100))*(F2433/100)</f>
        <v/>
      </c>
      <c r="K2433">
        <f>J2433*(1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2433)</f>
        <v/>
      </c>
      <c r="L2433">
        <f>K2433*(MIN(Inputs!$B$22+((C2444=TRUE)*(F2444-Calc!F24)),(Inputs!$B$23+((C2449=TRUE)*(F2449-Calc!F29))+IF(ArtifactsInput!$M$15,CHOOSE(ArtifactsInput!$N$15+1,25,30,35,40,45,50)/100*(Inputs!$B$11-Inputs!$B$11),0)))/100+(Inputs!$B$23+((C2449=TRUE)*(F2449-Calc!F29))+IF(ArtifactsInput!$M$15,CHOOSE(ArtifactsInput!$N$15+1,25,30,35,40,45,50)/100*(Inputs!$B$11-Inputs!$B$11),0))/100)/2</f>
        <v/>
      </c>
      <c r="M2433">
        <f>L2433*(1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IF(B2465=0,0,O2433/B2465)</f>
        <v/>
      </c>
      <c r="Q2433">
        <f>IFERROR(1/IF(Inputs!$B$39="pvp",15,MAX(0.1,Skills!D13-IF(Skills!E13=TRUE,Inputs!$B$32,0))),0)</f>
        <v/>
      </c>
      <c r="R2433">
        <f>IF(AND(Inputs!$B$39&lt;&gt;"pvp",Inputs!$B$44&gt;0),IF(MAX(0,Inputs!$B$44-B2464)&lt;=0,0,(INT(MAX(0,Inputs!$B$44-B2464)/IF(Inputs!$B$39="pvp",15,MAX(0.1,Skills!D13-IF(Skills!E13=TRUE,Inputs!$B$32,0))))+1)),0)</f>
        <v/>
      </c>
      <c r="S2433">
        <f>IFERROR(O2433/N2433,0)</f>
        <v/>
      </c>
      <c r="T2433">
        <f>IF(C2433,(H2433*N2433*IF(AND(Inputs!$B$39&lt;&gt;"pvp",Inputs!$B$44&gt;0),((Skills!G13*((R2433-1)*IF(Skills!H13&gt;0,Skills!I13/Skills!H13,1)+IF(Skills!H13&gt;0,MIN(Skills!I13,MAX(0,MAX(0,Inputs!$B$44-B2464)-((R2433-1)*IF(Inputs!$B$39="pvp",15,MAX(0.1,Skills!D13-IF(Skills!E13=TRUE,Inputs!$B$32,0))))))/Skills!H13,1)))/Inputs!$B$44),G2433*Q2433))*IF(Inputs!$B$39="pvp",1,1+(Inputs!$B$20+0+Skills!P13+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2433*(1-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13*((R2433-1)*IF(Skills!H13&gt;0,Skills!I13/Skills!H13,1)+IF(Skills!H13&gt;0,MIN(Skills!I13,MAX(0,MAX(0,Inputs!$B$44-B2464)-((R2433-1)*IF(Inputs!$B$39="pvp",15,MAX(0.1,Skills!D13-IF(Skills!E13=TRUE,Inputs!$B$32,0))))))/Skills!H13,1)))/Inputs!$B$44),G2433*Q2433))*IF(Inputs!$B$39="pvp",1,(1+(Inputs!$B$21+Skills!Q13+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Skills!A14</f>
        <v/>
      </c>
      <c r="B2434">
        <f>Skills!B14</f>
        <v/>
      </c>
      <c r="C2434">
        <f>Inputs!$B$3&gt;=107</f>
        <v/>
      </c>
      <c r="D2434">
        <f>IF(Skills!C14=1,60+Inputs!$B$25+Inputs!$B$29,IF(Skills!C14=2,90+Inputs!$B$26+Inputs!$B$29,IF(Skills!C14=3,120+Inputs!$B$27+Inputs!$B$29,MAX(0,(Inputs!$B$3-100)*3)+Inputs!$B$28+Inputs!$B$29)))</f>
        <v/>
      </c>
      <c r="E2434">
        <f>INDEX(FactorTable!$B$2:$Y$301, MATCH(ROUND(MIN(300,MAX(1,D2434)),0), FactorTable!$A$2:$A$301,0), Skills!M14+1)</f>
        <v/>
      </c>
      <c r="F2434">
        <f>IF(Skills!N14=TRUE,(Skills!L14/10)*(E2434/1000),Skills!L14/10)+Skills!O14</f>
        <v/>
      </c>
      <c r="G2434">
        <f>Skills!G14*IF(Skills!H14&gt;0,Skills!I14/Skills!H14,1)</f>
        <v/>
      </c>
      <c r="H2434">
        <f>1-(1-Skills!J14/100)^Skills!K14</f>
        <v/>
      </c>
      <c r="I2434" t="inlineStr">
        <is>
          <t>1</t>
        </is>
      </c>
      <c r="J2434">
        <f>((Inputs!$B$6*(1+Inputs!$B$7/100))+(((Inputs!$B$12*(1+Inputs!$B$13/100))-(Inputs!$B$12*(1+Inputs!$B$13/100)))+0.25*(Inputs!$B$14-Inputs!$B$14))*(1+Inputs!$B$7/100))*(F2434/100)</f>
        <v/>
      </c>
      <c r="K2434">
        <f>J2434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2434)</f>
        <v/>
      </c>
      <c r="L2434">
        <f>K2434*(MIN(Inputs!$B$22+((C2444=TRUE)*(F2444-Calc!F24)),(Inputs!$B$23+((C2449=TRUE)*(F2449-Calc!F29))+IF(ArtifactsInput!$M$15,CHOOSE(ArtifactsInput!$N$15+1,25,30,35,40,45,50)/100*(Inputs!$B$11-Inputs!$B$11),0)))/100+(Inputs!$B$23+((C2449=TRUE)*(F2449-Calc!F29))+IF(ArtifactsInput!$M$15,CHOOSE(ArtifactsInput!$N$15+1,25,30,35,40,45,50)/100*(Inputs!$B$11-Inputs!$B$11),0))/100)/2</f>
        <v/>
      </c>
      <c r="M2434">
        <f>L2434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IF(B2465=0,0,O2434/B2465)</f>
        <v/>
      </c>
      <c r="Q2434">
        <f>IFERROR(1/IF(Inputs!$B$39="pvp",15,MAX(0.1,Skills!D14-IF(Skills!E14=TRUE,Inputs!$B$32,0))),0)</f>
        <v/>
      </c>
      <c r="R2434">
        <f>IF(AND(Inputs!$B$39&lt;&gt;"pvp",Inputs!$B$44&gt;0),IF(MAX(0,Inputs!$B$44-B2464)&lt;=0,0,(INT(MAX(0,Inputs!$B$44-B2464)/IF(Inputs!$B$39="pvp",15,MAX(0.1,Skills!D14-IF(Skills!E14=TRUE,Inputs!$B$32,0))))+1)),0)</f>
        <v/>
      </c>
      <c r="S2434">
        <f>IFERROR(O2434/N2434,0)</f>
        <v/>
      </c>
      <c r="T2434">
        <f>IF(C2434,(H2434*N2434*IF(AND(Inputs!$B$39&lt;&gt;"pvp",Inputs!$B$44&gt;0),((Skills!G14*((R2434-1)*IF(Skills!H14&gt;0,Skills!I14/Skills!H14,1)+IF(Skills!H14&gt;0,MIN(Skills!I14,MAX(0,MAX(0,Inputs!$B$44-B2464)-((R2434-1)*IF(Inputs!$B$39="pvp",15,MAX(0.1,Skills!D14-IF(Skills!E14=TRUE,Inputs!$B$32,0))))))/Skills!H14,1)))/Inputs!$B$44),G2434*Q2434))*IF(Inputs!$B$39="pvp",1,1+(Inputs!$B$20+0+Skills!P14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2434*(1-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14*((R2434-1)*IF(Skills!H14&gt;0,Skills!I14/Skills!H14,1)+IF(Skills!H14&gt;0,MIN(Skills!I14,MAX(0,MAX(0,Inputs!$B$44-B2464)-((R2434-1)*IF(Inputs!$B$39="pvp",15,MAX(0.1,Skills!D14-IF(Skills!E14=TRUE,Inputs!$B$32,0))))))/Skills!H14,1)))/Inputs!$B$44),G2434*Q2434))*IF(Inputs!$B$39="pvp",1,(1+(Inputs!$B$21+Skills!Q14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(5,0.25*B2457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Skills!A15</f>
        <v/>
      </c>
      <c r="B2435">
        <f>Skills!B15</f>
        <v/>
      </c>
      <c r="C2435">
        <f>Inputs!$B$3&gt;=110</f>
        <v/>
      </c>
      <c r="D2435">
        <f>IF(Skills!C15=1,60+Inputs!$B$25+Inputs!$B$29,IF(Skills!C15=2,90+Inputs!$B$26+Inputs!$B$29,IF(Skills!C15=3,120+Inputs!$B$27+Inputs!$B$29,MAX(0,(Inputs!$B$3-100)*3)+Inputs!$B$28+Inputs!$B$29)))</f>
        <v/>
      </c>
      <c r="E2435">
        <f>INDEX(FactorTable!$B$2:$Y$301, MATCH(ROUND(MIN(300,MAX(1,D2435)),0), FactorTable!$A$2:$A$301,0), Skills!M15+1)</f>
        <v/>
      </c>
      <c r="F2435">
        <f>IF(Skills!N15=TRUE,(Skills!L15/10)*(E2435/1000),Skills!L15/10)+Skills!O15</f>
        <v/>
      </c>
      <c r="G2435">
        <f>Skills!G15*IF(Skills!H15&gt;0,Skills!I15/Skills!H15,1)</f>
        <v/>
      </c>
      <c r="H2435">
        <f>1-(1-Skills!J15/100)^Skills!K15</f>
        <v/>
      </c>
      <c r="I2435" t="inlineStr">
        <is>
          <t>1</t>
        </is>
      </c>
      <c r="J2435" t="inlineStr"/>
      <c r="K2435" t="inlineStr"/>
      <c r="L2435" t="inlineStr"/>
      <c r="M2435" t="inlineStr"/>
      <c r="N2435" t="inlineStr"/>
      <c r="O2435">
        <f>(1-Summary!$B$11)*T2435+Summary!$B$11*V2435</f>
        <v/>
      </c>
      <c r="P2435">
        <f>IF(B2465=0,0,O2435/B2465)</f>
        <v/>
      </c>
      <c r="Q2435">
        <f>IFERROR(1/IF(Inputs!$B$39="pvp",15,MAX(0.1,Skills!D15-IF(Skills!E15=TRUE,Inputs!$B$32,0))),0)</f>
        <v/>
      </c>
      <c r="R2435">
        <f>IF(AND(Inputs!$B$39&lt;&gt;"pvp",Inputs!$B$44&gt;0),IF(Inputs!$B$44&lt;=0,0,(INT(Inputs!$B$44/IF(Inputs!$B$39="pvp",15,MAX(0.1,Skills!D15-IF(Skills!E15=TRUE,Inputs!$B$32,0))))+1)),0)</f>
        <v/>
      </c>
      <c r="S2435">
        <f>IFERROR(O2435/N2435,0)</f>
        <v/>
      </c>
      <c r="T2435" t="n">
        <v>0</v>
      </c>
      <c r="V2435" t="n">
        <v>0</v>
      </c>
    </row>
    <row r="2436">
      <c r="A2436">
        <f>Skills!A16</f>
        <v/>
      </c>
      <c r="B2436">
        <f>Skills!B16</f>
        <v/>
      </c>
      <c r="C2436">
        <f>Inputs!$B$3&gt;=115</f>
        <v/>
      </c>
      <c r="D2436">
        <f>IF(Skills!C16=1,60+Inputs!$B$25+Inputs!$B$29,IF(Skills!C16=2,90+Inputs!$B$26+Inputs!$B$29,IF(Skills!C16=3,120+Inputs!$B$27+Inputs!$B$29,MAX(0,(Inputs!$B$3-100)*3)+Inputs!$B$28+Inputs!$B$29)))</f>
        <v/>
      </c>
      <c r="E2436">
        <f>INDEX(FactorTable!$B$2:$Y$301, MATCH(ROUND(MIN(300,MAX(1,D2436)),0), FactorTable!$A$2:$A$301,0), Skills!M16+1)</f>
        <v/>
      </c>
      <c r="F2436">
        <f>IF(Skills!N16=TRUE,(Skills!L16/10)*(E2436/1000),Skills!L16/10)+Skills!O16</f>
        <v/>
      </c>
      <c r="G2436">
        <f>Skills!G16*IF(Skills!H16&gt;0,Skills!I16/Skills!H16,1)</f>
        <v/>
      </c>
      <c r="H2436">
        <f>1-(1-Skills!J16/100)^Skills!K16</f>
        <v/>
      </c>
      <c r="I2436" t="inlineStr">
        <is>
          <t>1</t>
        </is>
      </c>
      <c r="J2436">
        <f>((Inputs!$B$6*(1+Inputs!$B$7/100))+(((Inputs!$B$12*(1+Inputs!$B$13/100))-(Inputs!$B$12*(1+Inputs!$B$13/100)))+0.25*(Inputs!$B$14-Inputs!$B$14))*(1+Inputs!$B$7/100))*(F2436/100)</f>
        <v/>
      </c>
      <c r="K2436">
        <f>J2436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2447=TRUE)*(F2447-Calc!F27))+((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2436)</f>
        <v/>
      </c>
      <c r="L2436">
        <f>K2436*(MIN(Inputs!$B$22+((C2444=TRUE)*(F2444-Calc!F24)),(Inputs!$B$23+((C2449=TRUE)*(F2449-Calc!F29))+IF(ArtifactsInput!$M$15,CHOOSE(ArtifactsInput!$N$15+1,25,30,35,40,45,50)/100*(Inputs!$B$11-Inputs!$B$11),0)))/100+(Inputs!$B$23+((C2449=TRUE)*(F2449-Calc!F29))+IF(ArtifactsInput!$M$15,CHOOSE(ArtifactsInput!$N$15+1,25,30,35,40,45,50)/100*(Inputs!$B$11-Inputs!$B$11),0))/100)/2</f>
        <v/>
      </c>
      <c r="M2436">
        <f>L2436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IF(B2465=0,0,O2436/B2465)</f>
        <v/>
      </c>
      <c r="Q2436" t="n">
        <v>0</v>
      </c>
      <c r="R2436" t="n">
        <v>0</v>
      </c>
      <c r="S2436">
        <f>IFERROR(O2436/N2436,0)</f>
        <v/>
      </c>
      <c r="T2436">
        <f>IF(C2436,(Inputs!$B$38*0.2*N2436)*IF(Inputs!$B$39="pvp",1,1+(Inputs!$B$20+0+Skills!P16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2436*(1-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2445=TRUE)*(F2445-Calc!F25))+B2453+(ArtifactsInput!$M$24-ArtifactsInput!$M$24)*CHOOSE(ArtifactsInput!$N$24+1,10,12,14,16,18,20)+(IF(AND(Inputs!$B$39&lt;&gt;"pvp",Inputs!$B$44=0),1,IF(IF(Inputs!$B$39="pvp",15,Inputs!$B$44)-(B2464)&lt;=0,1,MAX(0,IF(Inputs!$B$39="pvp",15,Inputs!$B$44)-MAX(5,B2464))/(IF(Inputs!$B$39="pvp",15,Inputs!$B$44)-(B2464))))*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IF(C2436,(Inputs!$B$38*0.2*N2436)*IF(Inputs!$B$39="pvp",1,(1+(Inputs!$B$21+Skills!Q16+B2454+(IF(ArtifactsInput!$M$33,CHOOSE(ArtifactsInput!$N$33+1,30,36,42,48,54,60),0))+(IF(AND(ArtifactsInput!$M$35,Inputs!$B$4&lt;&gt;"Chapter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Skills!A17</f>
        <v/>
      </c>
      <c r="B2437">
        <f>Skills!B17</f>
        <v/>
      </c>
      <c r="C2437">
        <f>Inputs!$B$3&gt;=115</f>
        <v/>
      </c>
      <c r="D2437">
        <f>IF(Skills!C17=1,60+Inputs!$B$25+Inputs!$B$29,IF(Skills!C17=2,90+Inputs!$B$26+Inputs!$B$29,IF(Skills!C17=3,120+Inputs!$B$27+Inputs!$B$29,MAX(0,(Inputs!$B$3-100)*3)+Inputs!$B$28+Inputs!$B$29)))</f>
        <v/>
      </c>
      <c r="E2437">
        <f>INDEX(FactorTable!$B$2:$Y$301, MATCH(ROUND(MIN(300,MAX(1,D2437)),0), FactorTable!$A$2:$A$301,0), Skills!M17+1)</f>
        <v/>
      </c>
      <c r="F2437">
        <f>IF(Skills!N17=TRUE,(Skills!L17/10)*(E2437/1000),Skills!L17/10)+Skills!O17</f>
        <v/>
      </c>
      <c r="G2437">
        <f>Skills!G17*IF(Skills!H17&gt;0,Skills!I17/Skills!H17,1)</f>
        <v/>
      </c>
      <c r="H2437">
        <f>1-(1-Skills!J17/100)^Skills!K17</f>
        <v/>
      </c>
      <c r="I2437" t="inlineStr">
        <is>
          <t>1</t>
        </is>
      </c>
      <c r="J2437" t="inlineStr"/>
      <c r="K2437" t="inlineStr"/>
      <c r="L2437" t="inlineStr"/>
      <c r="M2437" t="inlineStr"/>
      <c r="N2437" t="inlineStr"/>
      <c r="O2437">
        <f>(1-Summary!$B$11)*T2437+Summary!$B$11*V2437</f>
        <v/>
      </c>
      <c r="P2437">
        <f>IF(B2465=0,0,O2437/B2465)</f>
        <v/>
      </c>
      <c r="Q2437" t="n">
        <v>0</v>
      </c>
      <c r="R2437" t="n">
        <v>0</v>
      </c>
      <c r="S2437">
        <f>IFERROR(O2437/N2437,0)</f>
        <v/>
      </c>
      <c r="T2437" t="n">
        <v>0</v>
      </c>
      <c r="V2437" t="n">
        <v>0</v>
      </c>
    </row>
    <row r="2438">
      <c r="A2438">
        <f>Skills!A18</f>
        <v/>
      </c>
      <c r="B2438">
        <f>Skills!B18</f>
        <v/>
      </c>
      <c r="C2438">
        <f>Inputs!$B$3&gt;=100</f>
        <v/>
      </c>
      <c r="D2438">
        <f>IF(Skills!C18=1,60+Inputs!$B$25+Inputs!$B$29,IF(Skills!C18=2,90+Inputs!$B$26+Inputs!$B$29,IF(Skills!C18=3,120+Inputs!$B$27+Inputs!$B$29,MAX(0,(Inputs!$B$3-100)*3)+Inputs!$B$28+Inputs!$B$29)))</f>
        <v/>
      </c>
      <c r="E2438">
        <f>INDEX(FactorTable!$B$2:$Y$301, MATCH(ROUND(MIN(300,MAX(1,D2438)),0), FactorTable!$A$2:$A$301,0), Skills!M18+1)</f>
        <v/>
      </c>
      <c r="F2438">
        <f>IF(Skills!N18=TRUE,(Skills!L18/10)*(E2438/1000),Skills!L18/10)+Skills!O18</f>
        <v/>
      </c>
      <c r="G2438">
        <f>Skills!G18*IF(Skills!H18&gt;0,Skills!I18/Skills!H18,1)</f>
        <v/>
      </c>
      <c r="H2438">
        <f>1-(1-Skills!J18/100)^Skills!K18</f>
        <v/>
      </c>
      <c r="I2438" t="inlineStr">
        <is>
          <t>1</t>
        </is>
      </c>
      <c r="J2438" t="inlineStr"/>
      <c r="K2438" t="inlineStr"/>
      <c r="L2438" t="inlineStr"/>
      <c r="M2438" t="inlineStr"/>
      <c r="N2438" t="inlineStr"/>
      <c r="O2438">
        <f>(1-Summary!$B$11)*T2438+Summary!$B$11*V2438</f>
        <v/>
      </c>
      <c r="P2438">
        <f>IF(B2465=0,0,O2438/B2465)</f>
        <v/>
      </c>
      <c r="Q2438" t="n">
        <v>0</v>
      </c>
      <c r="R2438" t="n">
        <v>0</v>
      </c>
      <c r="S2438">
        <f>IFERROR(O2438/N2438,0)</f>
        <v/>
      </c>
      <c r="T2438" t="n">
        <v>0</v>
      </c>
      <c r="V2438" t="n">
        <v>0</v>
      </c>
    </row>
    <row r="2439">
      <c r="A2439">
        <f>Skills!A19</f>
        <v/>
      </c>
      <c r="B2439">
        <f>Skills!B19</f>
        <v/>
      </c>
      <c r="C2439">
        <f>TRUE</f>
        <v/>
      </c>
      <c r="D2439">
        <f>IF(Skills!C19=1,60+Inputs!$B$25+Inputs!$B$29,IF(Skills!C19=2,90+Inputs!$B$26+Inputs!$B$29,IF(Skills!C19=3,120+Inputs!$B$27+Inputs!$B$29,MAX(0,(Inputs!$B$3-100)*3)+Inputs!$B$28+Inputs!$B$29)))</f>
        <v/>
      </c>
      <c r="E2439">
        <f>INDEX(FactorTable!$B$2:$Y$301, MATCH(ROUND(MIN(300,MAX(1,D2439)),0), FactorTable!$A$2:$A$301,0), Skills!M19+1)</f>
        <v/>
      </c>
      <c r="F2439">
        <f>IF(Skills!N19=TRUE,(Skills!L19/10)*(E2439/1000),Skills!L19/10)+Skills!O19</f>
        <v/>
      </c>
      <c r="G2439">
        <f>Skills!G19*IF(Skills!H19&gt;0,Skills!I19/Skills!H19,1)</f>
        <v/>
      </c>
      <c r="H2439">
        <f>1-(1-Skills!J19/100)^Skills!K19</f>
        <v/>
      </c>
      <c r="I2439" t="inlineStr">
        <is>
          <t>1</t>
        </is>
      </c>
      <c r="J2439" t="inlineStr"/>
      <c r="K2439" t="inlineStr"/>
      <c r="L2439" t="inlineStr"/>
      <c r="M2439" t="inlineStr"/>
      <c r="N2439" t="inlineStr"/>
      <c r="O2439">
        <f>(1-Summary!$B$11)*T2439+Summary!$B$11*V2439</f>
        <v/>
      </c>
      <c r="P2439">
        <f>IF(B2465=0,0,O2439/B2465)</f>
        <v/>
      </c>
      <c r="Q2439">
        <f>IFERROR(1/IF(Inputs!$B$39="pvp",15,MAX(0.1,Skills!D19-IF(Skills!E19=TRUE,Inputs!$B$32,0))),0)</f>
        <v/>
      </c>
      <c r="R2439">
        <f>IF(AND(Inputs!$B$39&lt;&gt;"pvp",Inputs!$B$44&gt;0),IF(Inputs!$B$44&lt;=0,0,(INT(Inputs!$B$44/IF(Inputs!$B$39="pvp",15,MAX(0.1,Skills!D19-IF(Skills!E19=TRUE,Inputs!$B$32,0))))+1)),0)</f>
        <v/>
      </c>
      <c r="S2439">
        <f>IFERROR(O2439/N2439,0)</f>
        <v/>
      </c>
      <c r="T2439" t="n">
        <v>0</v>
      </c>
      <c r="V2439" t="n">
        <v>0</v>
      </c>
    </row>
    <row r="2440">
      <c r="A2440">
        <f>Skills!A20</f>
        <v/>
      </c>
      <c r="B2440">
        <f>Skills!B20</f>
        <v/>
      </c>
      <c r="C2440">
        <f>Inputs!$B$3&gt;=15</f>
        <v/>
      </c>
      <c r="D2440">
        <f>IF(Skills!C20=1,60+Inputs!$B$25+Inputs!$B$29,IF(Skills!C20=2,90+Inputs!$B$26+Inputs!$B$29,IF(Skills!C20=3,120+Inputs!$B$27+Inputs!$B$29,MAX(0,(Inputs!$B$3-100)*3)+Inputs!$B$28+Inputs!$B$29)))</f>
        <v/>
      </c>
      <c r="E2440">
        <f>INDEX(FactorTable!$B$2:$Y$301, MATCH(ROUND(MIN(300,MAX(1,D2440)),0), FactorTable!$A$2:$A$301,0), Skills!M20+1)</f>
        <v/>
      </c>
      <c r="F2440">
        <f>IF(Skills!N20=TRUE,(Skills!L20/10)*(E2440/1000),Skills!L20/10)+Skills!O20</f>
        <v/>
      </c>
      <c r="G2440">
        <f>Skills!G20*IF(Skills!H20&gt;0,Skills!I20/Skills!H20,1)</f>
        <v/>
      </c>
      <c r="H2440">
        <f>1-(1-Skills!J20/100)^Skills!K20</f>
        <v/>
      </c>
      <c r="I2440" t="inlineStr">
        <is>
          <t>1</t>
        </is>
      </c>
      <c r="J2440" t="inlineStr"/>
      <c r="K2440" t="inlineStr"/>
      <c r="L2440" t="inlineStr"/>
      <c r="M2440" t="inlineStr"/>
      <c r="N2440" t="inlineStr"/>
      <c r="O2440">
        <f>(1-Summary!$B$11)*T2440+Summary!$B$11*V2440</f>
        <v/>
      </c>
      <c r="P2440">
        <f>IF(B2465=0,0,O2440/B2465)</f>
        <v/>
      </c>
      <c r="Q2440">
        <f>IFERROR(1/IF(Inputs!$B$39="pvp",15,MAX(0.1,Skills!D20-IF(Skills!E20=TRUE,Inputs!$B$32,0))),0)</f>
        <v/>
      </c>
      <c r="R2440">
        <f>IF(AND(Inputs!$B$39&lt;&gt;"pvp",Inputs!$B$44&gt;0),IF(Inputs!$B$44&lt;=0,0,(INT(Inputs!$B$44/IF(Inputs!$B$39="pvp",15,MAX(0.1,Skills!D20-IF(Skills!E20=TRUE,Inputs!$B$32,0))))+1)),0)</f>
        <v/>
      </c>
      <c r="S2440">
        <f>IFERROR(O2440/N2440,0)</f>
        <v/>
      </c>
      <c r="T2440" t="n">
        <v>0</v>
      </c>
      <c r="V2440" t="n">
        <v>0</v>
      </c>
    </row>
    <row r="2441">
      <c r="A2441">
        <f>Skills!A21</f>
        <v/>
      </c>
      <c r="B2441">
        <f>Skills!B21</f>
        <v/>
      </c>
      <c r="C2441">
        <f>Inputs!$B$3&gt;=15</f>
        <v/>
      </c>
      <c r="D2441">
        <f>IF(Skills!C21=1,60+Inputs!$B$25+Inputs!$B$29,IF(Skills!C21=2,90+Inputs!$B$26+Inputs!$B$29,IF(Skills!C21=3,120+Inputs!$B$27+Inputs!$B$29,MAX(0,(Inputs!$B$3-100)*3)+Inputs!$B$28+Inputs!$B$29)))</f>
        <v/>
      </c>
      <c r="E2441">
        <f>INDEX(FactorTable!$B$2:$Y$301, MATCH(ROUND(MIN(300,MAX(1,D2441)),0), FactorTable!$A$2:$A$301,0), Skills!M21+1)</f>
        <v/>
      </c>
      <c r="F2441">
        <f>IF(Skills!N21=TRUE,(Skills!L21/10)*(E2441/1000),Skills!L21/10)+Skills!O21</f>
        <v/>
      </c>
      <c r="G2441">
        <f>Skills!G21*IF(Skills!H21&gt;0,Skills!I21/Skills!H21,1)</f>
        <v/>
      </c>
      <c r="H2441">
        <f>1-(1-Skills!J21/100)^Skills!K21</f>
        <v/>
      </c>
      <c r="I2441" t="inlineStr">
        <is>
          <t>1</t>
        </is>
      </c>
      <c r="J2441" t="inlineStr"/>
      <c r="K2441" t="inlineStr"/>
      <c r="L2441" t="inlineStr"/>
      <c r="M2441" t="inlineStr"/>
      <c r="N2441" t="inlineStr"/>
      <c r="O2441">
        <f>(1-Summary!$B$11)*T2441+Summary!$B$11*V2441</f>
        <v/>
      </c>
      <c r="P2441">
        <f>IF(B2465=0,0,O2441/B2465)</f>
        <v/>
      </c>
      <c r="Q2441">
        <f>IFERROR(1/IF(Inputs!$B$39="pvp",15,MAX(0.1,Skills!D21-IF(Skills!E21=TRUE,Inputs!$B$32,0))),0)</f>
        <v/>
      </c>
      <c r="R2441">
        <f>IF(AND(Inputs!$B$39&lt;&gt;"pvp",Inputs!$B$44&gt;0),IF(Inputs!$B$44&lt;=0,0,(INT(Inputs!$B$44/IF(Inputs!$B$39="pvp",15,MAX(0.1,Skills!D21-IF(Skills!E21=TRUE,Inputs!$B$32,0))))+1)),0)</f>
        <v/>
      </c>
      <c r="S2441">
        <f>IFERROR(O2441/N2441,0)</f>
        <v/>
      </c>
      <c r="T2441" t="n">
        <v>0</v>
      </c>
      <c r="V2441" t="n">
        <v>0</v>
      </c>
    </row>
    <row r="2442">
      <c r="A2442">
        <f>Skills!A22</f>
        <v/>
      </c>
      <c r="B2442">
        <f>Skills!B22</f>
        <v/>
      </c>
      <c r="C2442">
        <f>Inputs!$B$3&gt;=33</f>
        <v/>
      </c>
      <c r="D2442">
        <f>IF(Skills!C22=1,60+Inputs!$B$25+Inputs!$B$29,IF(Skills!C22=2,90+Inputs!$B$26+Inputs!$B$29,IF(Skills!C22=3,120+Inputs!$B$27+Inputs!$B$29,MAX(0,(Inputs!$B$3-100)*3)+Inputs!$B$28+Inputs!$B$29)))</f>
        <v/>
      </c>
      <c r="E2442">
        <f>INDEX(FactorTable!$B$2:$Y$301, MATCH(ROUND(MIN(300,MAX(1,D2442)),0), FactorTable!$A$2:$A$301,0), Skills!M22+1)</f>
        <v/>
      </c>
      <c r="F2442">
        <f>IF(Skills!N22=TRUE,(Skills!L22/10)*(E2442/1000),Skills!L22/10)+Skills!O22</f>
        <v/>
      </c>
      <c r="G2442">
        <f>Skills!G22*IF(Skills!H22&gt;0,Skills!I22/Skills!H22,1)</f>
        <v/>
      </c>
      <c r="H2442">
        <f>1-(1-Skills!J22/100)^Skills!K22</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Skills!A23</f>
        <v/>
      </c>
      <c r="B2443">
        <f>Skills!B23</f>
        <v/>
      </c>
      <c r="C2443">
        <f>Inputs!$B$3&gt;=40</f>
        <v/>
      </c>
      <c r="D2443">
        <f>IF(Skills!C23=1,60+Inputs!$B$25+Inputs!$B$29,IF(Skills!C23=2,90+Inputs!$B$26+Inputs!$B$29,IF(Skills!C23=3,120+Inputs!$B$27+Inputs!$B$29,MAX(0,(Inputs!$B$3-100)*3)+Inputs!$B$28+Inputs!$B$29)))</f>
        <v/>
      </c>
      <c r="E2443">
        <f>INDEX(FactorTable!$B$2:$Y$301, MATCH(ROUND(MIN(300,MAX(1,D2443)),0), FactorTable!$A$2:$A$301,0), Skills!M23+1)</f>
        <v/>
      </c>
      <c r="F2443">
        <f>IF(Skills!N23=TRUE,(Skills!L23/10)*(E2443/1000),Skills!L23/10)+Skills!O23</f>
        <v/>
      </c>
      <c r="G2443">
        <f>Skills!G23*IF(Skills!H23&gt;0,Skills!I23/Skills!H23,1)</f>
        <v/>
      </c>
      <c r="H2443">
        <f>1-(1-Skills!J23/100)^Skills!K23</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Skills!A24</f>
        <v/>
      </c>
      <c r="B2444">
        <f>Skills!B24</f>
        <v/>
      </c>
      <c r="C2444">
        <f>Inputs!$B$3&gt;=43</f>
        <v/>
      </c>
      <c r="D2444">
        <f>IF(Skills!C24=1,60+Inputs!$B$25+Inputs!$B$29,IF(Skills!C24=2,90+Inputs!$B$26+Inputs!$B$29,IF(Skills!C24=3,120+Inputs!$B$27+Inputs!$B$29,MAX(0,(Inputs!$B$3-100)*3)+Inputs!$B$28+Inputs!$B$29)))</f>
        <v/>
      </c>
      <c r="E2444">
        <f>INDEX(FactorTable!$B$2:$Y$301, MATCH(ROUND(MIN(300,MAX(1,D2444)),0), FactorTable!$A$2:$A$301,0), Skills!M24+1)</f>
        <v/>
      </c>
      <c r="F2444">
        <f>IF(Skills!N24=TRUE,(Skills!L24/10)*(E2444/1000),Skills!L24/10)+Skills!O24</f>
        <v/>
      </c>
      <c r="G2444">
        <f>Skills!G24*IF(Skills!H24&gt;0,Skills!I24/Skills!H24,1)</f>
        <v/>
      </c>
      <c r="H2444">
        <f>1-(1-Skills!J24/100)^Skills!K24</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Skills!A25</f>
        <v/>
      </c>
      <c r="B2445">
        <f>Skills!B25</f>
        <v/>
      </c>
      <c r="C2445">
        <f>Inputs!$B$3&gt;=50</f>
        <v/>
      </c>
      <c r="D2445">
        <f>IF(Skills!C25=1,60+Inputs!$B$25+Inputs!$B$29,IF(Skills!C25=2,90+Inputs!$B$26+Inputs!$B$29,IF(Skills!C25=3,120+Inputs!$B$27+Inputs!$B$29,MAX(0,(Inputs!$B$3-100)*3)+Inputs!$B$28+Inputs!$B$29)))</f>
        <v/>
      </c>
      <c r="E2445">
        <f>INDEX(FactorTable!$B$2:$Y$301, MATCH(ROUND(MIN(300,MAX(1,D2445)),0), FactorTable!$A$2:$A$301,0), Skills!M25+1)</f>
        <v/>
      </c>
      <c r="F2445">
        <f>IF(Skills!N25=TRUE,(Skills!L25/10)*(E2445/1000),Skills!L25/10)+Skills!O25</f>
        <v/>
      </c>
      <c r="G2445">
        <f>Skills!G25*IF(Skills!H25&gt;0,Skills!I25/Skills!H25,1)</f>
        <v/>
      </c>
      <c r="H2445">
        <f>1-(1-Skills!J25/100)^Skills!K25</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Skills!A26</f>
        <v/>
      </c>
      <c r="B2446">
        <f>Skills!B26</f>
        <v/>
      </c>
      <c r="C2446">
        <f>Inputs!$B$3&gt;=50</f>
        <v/>
      </c>
      <c r="D2446">
        <f>IF(Skills!C26=1,60+Inputs!$B$25+Inputs!$B$29,IF(Skills!C26=2,90+Inputs!$B$26+Inputs!$B$29,IF(Skills!C26=3,120+Inputs!$B$27+Inputs!$B$29,MAX(0,(Inputs!$B$3-100)*3)+Inputs!$B$28+Inputs!$B$29)))</f>
        <v/>
      </c>
      <c r="E2446">
        <f>INDEX(FactorTable!$B$2:$Y$301, MATCH(ROUND(MIN(300,MAX(1,D2446)),0), FactorTable!$A$2:$A$301,0), Skills!M26+1)</f>
        <v/>
      </c>
      <c r="F2446">
        <f>IF(Skills!N26=TRUE,(Skills!L26/10)*(E2446/1000),Skills!L26/10)+Skills!O26</f>
        <v/>
      </c>
      <c r="G2446">
        <f>Skills!G26*IF(Skills!H26&gt;0,Skills!I26/Skills!H26,1)</f>
        <v/>
      </c>
      <c r="H2446">
        <f>1-(1-Skills!J26/100)^Skills!K26</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Skills!A27</f>
        <v/>
      </c>
      <c r="B2447">
        <f>Skills!B27</f>
        <v/>
      </c>
      <c r="C2447">
        <f>Inputs!$B$3&gt;=38</f>
        <v/>
      </c>
      <c r="D2447">
        <f>IF(Skills!C27=1,60+Inputs!$B$25+Inputs!$B$29,IF(Skills!C27=2,90+Inputs!$B$26+Inputs!$B$29,IF(Skills!C27=3,120+Inputs!$B$27+Inputs!$B$29,MAX(0,(Inputs!$B$3-100)*3)+Inputs!$B$28+Inputs!$B$29)))</f>
        <v/>
      </c>
      <c r="E2447">
        <f>INDEX(FactorTable!$B$2:$Y$301, MATCH(ROUND(MIN(300,MAX(1,D2447)),0), FactorTable!$A$2:$A$301,0), Skills!M27+1)</f>
        <v/>
      </c>
      <c r="F2447">
        <f>IF(Skills!N27=TRUE,(Skills!L27/10)*(E2447/1000),Skills!L27/10)+Skills!O27</f>
        <v/>
      </c>
      <c r="G2447">
        <f>Skills!G27*IF(Skills!H27&gt;0,Skills!I27/Skills!H27,1)</f>
        <v/>
      </c>
      <c r="H2447">
        <f>1-(1-Skills!J27/100)^Skills!K27</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Skills!A28</f>
        <v/>
      </c>
      <c r="B2448">
        <f>Skills!B28</f>
        <v/>
      </c>
      <c r="C2448">
        <f>Inputs!$B$3&gt;=120</f>
        <v/>
      </c>
      <c r="D2448">
        <f>IF(Skills!C28=1,60+Inputs!$B$25+Inputs!$B$29,IF(Skills!C28=2,90+Inputs!$B$26+Inputs!$B$29,IF(Skills!C28=3,120+Inputs!$B$27+Inputs!$B$29,MAX(0,(Inputs!$B$3-100)*3)+Inputs!$B$28+Inputs!$B$29)))</f>
        <v/>
      </c>
      <c r="E2448">
        <f>INDEX(FactorTable!$B$2:$Y$301, MATCH(ROUND(MIN(300,MAX(1,D2448)),0), FactorTable!$A$2:$A$301,0), Skills!M28+1)</f>
        <v/>
      </c>
      <c r="F2448">
        <f>IF(Skills!N28=TRUE,(Skills!L28/10)*(E2448/1000),Skills!L28/10)+Skills!O28</f>
        <v/>
      </c>
      <c r="G2448">
        <f>Skills!G28*IF(Skills!H28&gt;0,Skills!I28/Skills!H28,1)</f>
        <v/>
      </c>
      <c r="H2448">
        <f>1-(1-Skills!J28/100)^Skills!K28</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Skills!A29</f>
        <v/>
      </c>
      <c r="B2449">
        <f>Skills!B29</f>
        <v/>
      </c>
      <c r="C2449">
        <f>Inputs!$B$3&gt;=120</f>
        <v/>
      </c>
      <c r="D2449">
        <f>IF(Skills!C29=1,60+Inputs!$B$25+Inputs!$B$29,IF(Skills!C29=2,90+Inputs!$B$26+Inputs!$B$29,IF(Skills!C29=3,120+Inputs!$B$27+Inputs!$B$29,MAX(0,(Inputs!$B$3-100)*3)+Inputs!$B$28+Inputs!$B$29)))</f>
        <v/>
      </c>
      <c r="E2449">
        <f>INDEX(FactorTable!$B$2:$Y$301, MATCH(ROUND(MIN(300,MAX(1,D2449)),0), FactorTable!$A$2:$A$301,0), Skills!M29+1)</f>
        <v/>
      </c>
      <c r="F2449">
        <f>IF(Skills!N29=TRUE,(Skills!L29/10)*(E2449/1000),Skills!L29/10)+Skills!O29</f>
        <v/>
      </c>
      <c r="G2449">
        <f>Skills!G29*IF(Skills!H29&gt;0,Skills!I29/Skills!H29,1)</f>
        <v/>
      </c>
      <c r="H2449">
        <f>1-(1-Skills!J29/100)^Skills!K29</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Skills!A30</f>
        <v/>
      </c>
      <c r="B2450">
        <f>Skills!B30</f>
        <v/>
      </c>
      <c r="C2450">
        <f>Inputs!$B$3&gt;=125</f>
        <v/>
      </c>
      <c r="D2450">
        <f>IF(Skills!C30=1,60+Inputs!$B$25+Inputs!$B$29,IF(Skills!C30=2,90+Inputs!$B$26+Inputs!$B$29,IF(Skills!C30=3,120+Inputs!$B$27+Inputs!$B$29,MAX(0,(Inputs!$B$3-100)*3)+Inputs!$B$28+Inputs!$B$29)))</f>
        <v/>
      </c>
      <c r="E2450">
        <f>INDEX(FactorTable!$B$2:$Y$301, MATCH(ROUND(MIN(300,MAX(1,D2450)),0), FactorTable!$A$2:$A$301,0), Skills!M30+1)</f>
        <v/>
      </c>
      <c r="F2450">
        <f>IF(Skills!N30=TRUE,(Skills!L30/10)*(E2450/1000),Skills!L30/10)+Skills!O30</f>
        <v/>
      </c>
      <c r="G2450">
        <f>Skills!G30*IF(Skills!H30&gt;0,Skills!I30/Skills!H30,1)</f>
        <v/>
      </c>
      <c r="H2450">
        <f>1-(1-Skills!J30/100)^Skills!K30</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2">
      <c r="A2452" t="inlineStr">
        <is>
          <t>Average Buff Multiplier</t>
        </is>
      </c>
      <c r="B2452">
        <f>(1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f>
        <v/>
      </c>
    </row>
    <row r="2453">
      <c r="A2453" t="inlineStr">
        <is>
          <t>Global Crit Rate Bonus %</t>
        </is>
      </c>
      <c r="B2453">
        <f>((C2440=TRUE)*F2440*IF(AND(Inputs!$B$39&lt;&gt;"pvp",Inputs!$B$44&gt;0),(((R2440-1)*(Skills!Y20*(1+Inputs!$B$34/100))+MIN((Skills!Y20*(1+Inputs!$B$34/100)),MAX(0,Inputs!$B$44-((R2440-1)*Skills!D20))))/Inputs!$B$44),IF(Inputs!$B$39="pvp",MIN((Skills!Y20*(1+Inputs!$B$34/100)),15)/15,(Skills!Y20*(1+Inputs!$B$34/100))/Skills!D20)))</f>
        <v/>
      </c>
    </row>
    <row r="2454">
      <c r="A2454" t="inlineStr">
        <is>
          <t>Global Monster Damage-Taken Bonus %</t>
        </is>
      </c>
      <c r="B2454">
        <f>IF(Inputs!$B$3&gt;=82,15,0)</f>
        <v/>
      </c>
    </row>
    <row r="2455">
      <c r="A2455" t="inlineStr">
        <is>
          <t>Shadow Partner Average Multiplier</t>
        </is>
      </c>
      <c r="B2455">
        <f>1+((C2427=TRUE)*F2427*(1+3.3333333333333335*IF(C2438=TRUE,F2438,0)/100)*I2427*Skills!J7/100)/100</f>
        <v/>
      </c>
    </row>
    <row r="2456">
      <c r="A2456" t="inlineStr">
        <is>
          <t>Attack Speed Buff Bonus %</t>
        </is>
      </c>
      <c r="B2456">
        <f>((C2439=TRUE)*F2439*IF(AND(Inputs!$B$39&lt;&gt;"pvp",Inputs!$B$44&gt;0),(((R2439-1)*(Skills!Y19*(1+Inputs!$B$34/100))+MIN((Skills!Y19*(1+Inputs!$B$34/100)),MAX(0,Inputs!$B$44-((R2439-1)*Skills!D19))))/Inputs!$B$44),IF(Inputs!$B$39="pvp",MIN((Skills!Y19*(1+Inputs!$B$34/100)),15)/15,(Skills!Y19*(1+Inputs!$B$34/100))/Skills!D19)))+((C2423=TRUE)*F2423*3)</f>
        <v/>
      </c>
    </row>
    <row r="2457">
      <c r="A2457" t="inlineStr">
        <is>
          <t>Actions Per Second</t>
        </is>
      </c>
      <c r="B2457">
        <f>1+MIN(150,150*(1-(1-(Inputs!$B$11+((C2442=TRUE)*(F2442-Calc!F22)))/150)*(1-B2456/150)))/100</f>
        <v/>
      </c>
    </row>
    <row r="2458">
      <c r="A2458" t="inlineStr">
        <is>
          <t>Skill + Buff Cast Rate</t>
        </is>
      </c>
      <c r="B2458">
        <f>IF(AND(Inputs!$B$39&lt;&gt;"pvp",Inputs!$B$44&gt;0),SUMPRODUCT((Skills!E2:E30=TRUE)*(C2422:C2450=TRUE)*R2422:R2450*Skills!F2:F30)/Inputs!$B$44,SUMPRODUCT((Skills!E2:E30=TRUE)*(C2422:C2450=TRUE)*Q2422:Q2450*Skills!F2:F30))</f>
        <v/>
      </c>
    </row>
    <row r="2459">
      <c r="A2459" t="inlineStr">
        <is>
          <t>Cruel Stab Casts Per Second</t>
        </is>
      </c>
      <c r="B2459">
        <f>MAX(0,B2457-B2458)</f>
        <v/>
      </c>
    </row>
    <row r="2460">
      <c r="A2460" t="inlineStr">
        <is>
          <t>Global Critical Damage Bonus % (Smokescreen Mastery Lv.113)</t>
        </is>
      </c>
      <c r="B2460">
        <f>IF(Inputs!$B$3&gt;=113,30,0)*IF(AND(Inputs!$B$39&lt;&gt;"pvp",Inputs!$B$44&gt;0),(((R2435-1)*(Skills!Y15*(1+Inputs!$B$34/100))+MIN((Skills!Y15*(1+Inputs!$B$34/100)),MAX(0,Inputs!$B$44-((R2435-1)*Skills!D15))))/Inputs!$B$44),IF(Inputs!$B$39="pvp",MIN((Skills!Y15*(1+Inputs!$B$34/100)),15)/15,(Skills!Y15*(1+Inputs!$B$34/100))/Skills!D15))</f>
        <v/>
      </c>
    </row>
    <row r="2461">
      <c r="A2461" t="inlineStr">
        <is>
          <t>Meso Explosion average stack count</t>
        </is>
      </c>
      <c r="B2461">
        <f>MIN(10,0.5*B2457*Skills!D4)</f>
        <v/>
      </c>
    </row>
    <row r="2462">
      <c r="A2462" t="inlineStr">
        <is>
          <t>Blood Money average stack count</t>
        </is>
      </c>
      <c r="B2462">
        <f>MIN(5,0.25*B2457*Skills!D4)</f>
        <v/>
      </c>
    </row>
    <row r="2463">
      <c r="A2463" t="inlineStr">
        <is>
          <t>Assassinate Murderous Intent Multiplier</t>
        </is>
      </c>
      <c r="B2463">
        <f>1+IFERROR(MIN(1,Q2434*2/Q2431),0)</f>
        <v/>
      </c>
    </row>
    <row r="2464">
      <c r="A2464" t="inlineStr">
        <is>
          <t>Buff-Casting Startup Delay (s, fixed-duration only)</t>
        </is>
      </c>
      <c r="B2464">
        <f>IF(AND(Inputs!$B$39&lt;&gt;"pvp",Inputs!$B$44&gt;0),SUMPRODUCT((Skills!Y2:Y30&gt;0)*(Skills!E2:E30=TRUE)*(C2422:C2450=TRUE))/B2457,0)</f>
        <v/>
      </c>
    </row>
    <row r="2465">
      <c r="A2465" s="6" t="inlineStr">
        <is>
          <t>TOTAL DPS</t>
        </is>
      </c>
      <c r="B2465" s="6">
        <f>SUM(O2422:O2450)</f>
        <v/>
      </c>
    </row>
    <row r="2466">
      <c r="A2466" t="inlineStr">
        <is>
          <t>Boss-Only Total DPS (this block's swept value)</t>
        </is>
      </c>
      <c r="B2466">
        <f>SUM(T2422:T2450)</f>
        <v/>
      </c>
    </row>
    <row r="2467">
      <c r="A2467" t="inlineStr">
        <is>
          <t>Normal-Only Total DPS (this block's swept value)</t>
        </is>
      </c>
      <c r="B2467">
        <f>SUM(V2422:V2450)</f>
        <v/>
      </c>
    </row>
    <row r="2470">
      <c r="A2470" s="6" t="inlineStr">
        <is>
          <t>Stat: Lit Lamp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Q2471" s="5" t="inlineStr">
        <is>
          <t>InvCooldown</t>
        </is>
      </c>
      <c r="R2471" s="5" t="inlineStr">
        <is>
          <t>CastsInFight</t>
        </is>
      </c>
      <c r="S2471" s="5" t="inlineStr">
        <is>
          <t>HitRate(perSec)</t>
        </is>
      </c>
      <c r="U2471" t="inlineStr">
        <is>
          <t>helpers</t>
        </is>
      </c>
    </row>
    <row r="2472">
      <c r="A2472">
        <f>Skills!A2</f>
        <v/>
      </c>
      <c r="B2472">
        <f>Skills!B2</f>
        <v/>
      </c>
      <c r="C2472">
        <f>Inputs!$B$3&gt;=100</f>
        <v/>
      </c>
      <c r="D2472" t="inlineStr"/>
      <c r="E2472" t="inlineStr"/>
      <c r="F2472">
        <f>U2474+Skills!O2</f>
        <v/>
      </c>
      <c r="G2472">
        <f>Skills!G2*IF(Skills!H2&gt;0,Skills!I2/Skills!H2,1)</f>
        <v/>
      </c>
      <c r="H2472">
        <f>1-(1-Skills!J2/100)^Skills!K2</f>
        <v/>
      </c>
      <c r="I2472" t="inlineStr">
        <is>
          <t>1</t>
        </is>
      </c>
      <c r="J2472">
        <f>((Inputs!$B$6*(1+Inputs!$B$7/100))+(((Inputs!$B$12*(1+Inputs!$B$13/100))-(Inputs!$B$12*(1+Inputs!$B$13/100)))+0.25*(Inputs!$B$14-Inputs!$B$14))*(1+Inputs!$B$7/100))*(F2472/100)</f>
        <v/>
      </c>
      <c r="K2472">
        <f>J2472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2472)</f>
        <v/>
      </c>
      <c r="L2472">
        <f>K2472*(MIN(Inputs!$B$22+((C2494=TRUE)*(F2494-Calc!F24)),(Inputs!$B$23+((C2499=TRUE)*(F2499-Calc!F29))+IF(ArtifactsInput!$M$15,CHOOSE(ArtifactsInput!$N$15+1,25,30,35,40,45,50)/100*(Inputs!$B$11-Inputs!$B$11),0)))/100+(Inputs!$B$23+((C2499=TRUE)*(F2499-Calc!F29))+IF(ArtifactsInput!$M$15,CHOOSE(ArtifactsInput!$N$15+1,25,30,35,40,45,50)/100*(Inputs!$B$11-Inputs!$B$11),0))/100)/2</f>
        <v/>
      </c>
      <c r="M2472">
        <f>L2472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2">
        <f>L2472*(1-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IF(B2515=0,0,O2472/B2515)</f>
        <v/>
      </c>
      <c r="Q2472" t="n">
        <v>0</v>
      </c>
      <c r="R2472" t="n">
        <v>0</v>
      </c>
      <c r="S2472">
        <f>IFERROR(O2472/N2472,0)</f>
        <v/>
      </c>
      <c r="T2472">
        <f>IF(C2472,(Skills!G2*N2472*B2509)*IF(Inputs!$B$39="pvp",1,1+(Inputs!$B$20+0+Skills!P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2472*(1-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MAX(0,(Inputs!$B$3-100)*3)+Inputs!$B$28+Inputs!$B$29</f>
        <v/>
      </c>
      <c r="V2472">
        <f>IF(C2472,(Skills!G2*N2472*B2509)*IF(Inputs!$B$39="pvp",1,(1+(Inputs!$B$21+Skills!Q2+B2504+(IF(ArtifactsInput!$M$33,CHOOSE(ArtifactsInput!$N$33+1,30,36,42,48,54,60),0))+(IF(AND(ArtifactsInput!$M$35,Inputs!$B$4&lt;&gt;"Chapter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Skills!A3</f>
        <v/>
      </c>
      <c r="B2473">
        <f>Skills!B3</f>
        <v/>
      </c>
      <c r="C2473">
        <f>Inputs!$B$3&gt;=35</f>
        <v/>
      </c>
      <c r="D2473">
        <f>IF(Skills!C3=1,60+Inputs!$B$25+Inputs!$B$29,IF(Skills!C3=2,90+Inputs!$B$26+Inputs!$B$29,IF(Skills!C3=3,120+Inputs!$B$27+Inputs!$B$29,MAX(0,(Inputs!$B$3-100)*3)+Inputs!$B$28+Inputs!$B$29)))</f>
        <v/>
      </c>
      <c r="E2473">
        <f>INDEX(FactorTable!$B$2:$Y$301, MATCH(ROUND(MIN(300,MAX(1,D2473)),0), FactorTable!$A$2:$A$301,0), Skills!M3+1)</f>
        <v/>
      </c>
      <c r="F2473">
        <f>IF(Skills!N3=TRUE,(Skills!L3/10)*(E2473/1000),Skills!L3/10)+Skills!O3</f>
        <v/>
      </c>
      <c r="G2473">
        <f>Skills!G3*IF(Skills!H3&gt;0,Skills!I3/Skills!H3,1)</f>
        <v/>
      </c>
      <c r="H2473">
        <f>1-(1-Skills!J3/100)^Skills!K3</f>
        <v/>
      </c>
      <c r="I2473" t="inlineStr">
        <is>
          <t>1</t>
        </is>
      </c>
      <c r="J2473" t="inlineStr"/>
      <c r="K2473" t="inlineStr"/>
      <c r="L2473" t="inlineStr"/>
      <c r="M2473" t="inlineStr"/>
      <c r="N2473" t="inlineStr"/>
      <c r="O2473">
        <f>(1-Summary!$B$11)*T2473+Summary!$B$11*V2473</f>
        <v/>
      </c>
      <c r="P2473">
        <f>IF(B2515=0,0,O2473/B2515)</f>
        <v/>
      </c>
      <c r="Q2473" t="n">
        <v>0</v>
      </c>
      <c r="R2473" t="n">
        <v>0</v>
      </c>
      <c r="S2473">
        <f>IFERROR(O2473/N2473,0)</f>
        <v/>
      </c>
      <c r="T2473" t="n">
        <v>0</v>
      </c>
      <c r="U2473">
        <f>INDEX(FactorTable!$B$2:$Y$301, MATCH(ROUND(MIN(300,MAX(1,U2472)),0), FactorTable!$A$2:$A$301,0), 22)</f>
        <v/>
      </c>
      <c r="V2473" t="n">
        <v>0</v>
      </c>
    </row>
    <row r="2474">
      <c r="A2474">
        <f>Skills!A4</f>
        <v/>
      </c>
      <c r="B2474">
        <f>Skills!B4</f>
        <v/>
      </c>
      <c r="C2474">
        <f>Inputs!$B$3&gt;=66</f>
        <v/>
      </c>
      <c r="D2474">
        <f>IF(Skills!C4=1,60+Inputs!$B$25+Inputs!$B$29,IF(Skills!C4=2,90+Inputs!$B$26+Inputs!$B$29,IF(Skills!C4=3,120+Inputs!$B$27+Inputs!$B$29,MAX(0,(Inputs!$B$3-100)*3)+Inputs!$B$28+Inputs!$B$29)))</f>
        <v/>
      </c>
      <c r="E2474">
        <f>INDEX(FactorTable!$B$2:$Y$301, MATCH(ROUND(MIN(300,MAX(1,D2474)),0), FactorTable!$A$2:$A$301,0), Skills!M4+1)</f>
        <v/>
      </c>
      <c r="F2474">
        <f>IF(Skills!N4=TRUE,(Skills!L4/10)*(E2474/1000),Skills!L4/10)+Skills!O4</f>
        <v/>
      </c>
      <c r="G2474">
        <f>Skills!G4*IF(Skills!H4&gt;0,Skills!I4/Skills!H4,1)</f>
        <v/>
      </c>
      <c r="H2474">
        <f>1-(1-Skills!J4/100)^Skills!K4</f>
        <v/>
      </c>
      <c r="I2474" t="inlineStr">
        <is>
          <t>1</t>
        </is>
      </c>
      <c r="J2474">
        <f>((Inputs!$B$6*(1+Inputs!$B$7/100))+(((Inputs!$B$12*(1+Inputs!$B$13/100))-(Inputs!$B$12*(1+Inputs!$B$13/100)))+0.25*(Inputs!$B$14-Inputs!$B$14))*(1+Inputs!$B$7/100))*(F2474/100)</f>
        <v/>
      </c>
      <c r="K2474">
        <f>J2474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2474)</f>
        <v/>
      </c>
      <c r="L2474">
        <f>K2474*(MIN(Inputs!$B$22+((C2494=TRUE)*(F2494-Calc!F24)),(Inputs!$B$23+((C2499=TRUE)*(F2499-Calc!F29))+IF(ArtifactsInput!$M$15,CHOOSE(ArtifactsInput!$N$15+1,25,30,35,40,45,50)/100*(Inputs!$B$11-Inputs!$B$11),0)))/100+(Inputs!$B$23+((C2499=TRUE)*(F2499-Calc!F29))+IF(ArtifactsInput!$M$15,CHOOSE(ArtifactsInput!$N$15+1,25,30,35,40,45,50)/100*(Inputs!$B$11-Inputs!$B$11),0))/100)/2</f>
        <v/>
      </c>
      <c r="M2474">
        <f>L2474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4">
        <f>L2474*(1-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IF(B2515=0,0,O2474/B2515)</f>
        <v/>
      </c>
      <c r="Q2474">
        <f>IFERROR(1/IF(Inputs!$B$39="pvp",15,MAX(0.1,Skills!D4-IF(Skills!E4=TRUE,Inputs!$B$32,0))),0)</f>
        <v/>
      </c>
      <c r="R2474">
        <f>IF(AND(Inputs!$B$39&lt;&gt;"pvp",Inputs!$B$44&gt;0),IF(MAX(0,Inputs!$B$44-B2514)&lt;=0,0,(INT(MAX(0,Inputs!$B$44-B2514)/IF(Inputs!$B$39="pvp",15,MAX(0.1,Skills!D4-IF(Skills!E4=TRUE,Inputs!$B$32,0))))+1)),0)</f>
        <v/>
      </c>
      <c r="S2474">
        <f>IFERROR(O2474/N2474,0)</f>
        <v/>
      </c>
      <c r="T2474">
        <f>IF(C2474,(H2474*N2474*IF(AND(Inputs!$B$39&lt;&gt;"pvp",Inputs!$B$44&gt;0),((Skills!G4*((R2474-1)*IF(Skills!H4&gt;0,Skills!I4/Skills!H4,1)+IF(Skills!H4&gt;0,MIN(Skills!I4,MAX(0,MAX(0,Inputs!$B$44-B2514)-((R2474-1)*IF(Inputs!$B$39="pvp",15,MAX(0.1,Skills!D4-IF(Skills!E4=TRUE,Inputs!$B$32,0))))))/Skills!H4,1)))/Inputs!$B$44),G2474*Q2474))*IF(Inputs!$B$39="pvp",1,1+(Inputs!$B$20+0+Skills!P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2474*(1-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4">
        <f>290*U2473/1000</f>
        <v/>
      </c>
      <c r="V2474">
        <f>IF(C2474,(H2474*N2474*IF(AND(Inputs!$B$39&lt;&gt;"pvp",Inputs!$B$44&gt;0),((Skills!G4*((R2474-1)*IF(Skills!H4&gt;0,Skills!I4/Skills!H4,1)+IF(Skills!H4&gt;0,MIN(Skills!I4,MAX(0,MAX(0,Inputs!$B$44-B2514)-((R2474-1)*IF(Inputs!$B$39="pvp",15,MAX(0.1,Skills!D4-IF(Skills!E4=TRUE,Inputs!$B$32,0))))))/Skills!H4,1)))/Inputs!$B$44),G2474*Q2474))*IF(Inputs!$B$39="pvp",1,(1+(Inputs!$B$21+Skills!Q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(10,0.5*B2507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Skills!A5</f>
        <v/>
      </c>
      <c r="B2475">
        <f>Skills!B5</f>
        <v/>
      </c>
      <c r="C2475">
        <f>Inputs!$B$3&gt;=63</f>
        <v/>
      </c>
      <c r="D2475">
        <f>IF(Skills!C5=1,60+Inputs!$B$25+Inputs!$B$29,IF(Skills!C5=2,90+Inputs!$B$26+Inputs!$B$29,IF(Skills!C5=3,120+Inputs!$B$27+Inputs!$B$29,MAX(0,(Inputs!$B$3-100)*3)+Inputs!$B$28+Inputs!$B$29)))</f>
        <v/>
      </c>
      <c r="E2475">
        <f>INDEX(FactorTable!$B$2:$Y$301, MATCH(ROUND(MIN(300,MAX(1,D2475)),0), FactorTable!$A$2:$A$301,0), Skills!M5+1)</f>
        <v/>
      </c>
      <c r="F2475">
        <f>IF(Skills!N5=TRUE,(Skills!L5/10)*(E2475/1000),Skills!L5/10)+Skills!O5</f>
        <v/>
      </c>
      <c r="G2475">
        <f>Skills!G5*IF(Skills!H5&gt;0,Skills!I5/Skills!H5,1)</f>
        <v/>
      </c>
      <c r="H2475">
        <f>1-(1-Skills!J5/100)^Skills!K5</f>
        <v/>
      </c>
      <c r="I2475" t="inlineStr">
        <is>
          <t>1</t>
        </is>
      </c>
      <c r="J2475">
        <f>((Inputs!$B$6*(1+Inputs!$B$7/100))+(((Inputs!$B$12*(1+Inputs!$B$13/100))-(Inputs!$B$12*(1+Inputs!$B$13/100)))+0.25*(Inputs!$B$14-Inputs!$B$14))*(1+Inputs!$B$7/100))*(F2475/100)</f>
        <v/>
      </c>
      <c r="K2475">
        <f>J2475*(1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2488=TRUE,F2488,0)/100)*(1+(IF(Skills!A5="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2475)</f>
        <v/>
      </c>
      <c r="L2475">
        <f>K2475*(MIN(Inputs!$B$22+((C2494=TRUE)*(F2494-Calc!F24)),(Inputs!$B$23+((C2499=TRUE)*(F2499-Calc!F29))+IF(ArtifactsInput!$M$15,CHOOSE(ArtifactsInput!$N$15+1,25,30,35,40,45,50)/100*(Inputs!$B$11-Inputs!$B$11),0)))/100+(Inputs!$B$23+((C2499=TRUE)*(F2499-Calc!F29))+IF(ArtifactsInput!$M$15,CHOOSE(ArtifactsInput!$N$15+1,25,30,35,40,45,50)/100*(Inputs!$B$11-Inputs!$B$11),0))/100)/2</f>
        <v/>
      </c>
      <c r="M2475">
        <f>L2475*(1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IF(B2515=0,0,O2475/B2515)</f>
        <v/>
      </c>
      <c r="Q2475">
        <f>IFERROR(1/IF(Inputs!$B$39="pvp",15,MAX(0.1,Skills!D5-IF(Skills!E5=TRUE,Inputs!$B$32,0))),0)</f>
        <v/>
      </c>
      <c r="R2475">
        <f>IF(AND(Inputs!$B$39&lt;&gt;"pvp",Inputs!$B$44&gt;0),IF(MAX(0,Inputs!$B$44-B2514)&lt;=0,0,(INT(MAX(0,Inputs!$B$44-B2514)/IF(Inputs!$B$39="pvp",15,MAX(0.1,Skills!D5-IF(Skills!E5=TRUE,Inputs!$B$32,0))))+1)),0)</f>
        <v/>
      </c>
      <c r="S2475">
        <f>IFERROR(O2475/N2475,0)</f>
        <v/>
      </c>
      <c r="T2475">
        <f>IF(C2475,(H2475*N2475*IF(AND(Inputs!$B$39&lt;&gt;"pvp",Inputs!$B$44&gt;0),((Skills!G5*((R2475-1)*IF(Skills!H5&gt;0,Skills!I5/Skills!H5,1)+IF(Skills!H5&gt;0,MIN(Skills!I5,MAX(0,MAX(0,Inputs!$B$44-B2514)-((R2475-1)*IF(Inputs!$B$39="pvp",15,MAX(0.1,Skills!D5-IF(Skills!E5=TRUE,Inputs!$B$32,0))))))/Skills!H5,1)))/Inputs!$B$44),G2475*Q2475))*IF(Inputs!$B$39="pvp",1,1+(Inputs!$B$20+0+Skills!P5+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2475*(1-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5">
        <f>IF(C2475,(H2475*N2475*IF(AND(Inputs!$B$39&lt;&gt;"pvp",Inputs!$B$44&gt;0),((Skills!G5*((R2475-1)*IF(Skills!H5&gt;0,Skills!I5/Skills!H5,1)+IF(Skills!H5&gt;0,MIN(Skills!I5,MAX(0,MAX(0,Inputs!$B$44-B2514)-((R2475-1)*IF(Inputs!$B$39="pvp",15,MAX(0.1,Skills!D5-IF(Skills!E5=TRUE,Inputs!$B$32,0))))))/Skills!H5,1)))/Inputs!$B$44),G2475*Q2475))*IF(Inputs!$B$39="pvp",1,(1+(Inputs!$B$21+Skills!Q5+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Skills!A6</f>
        <v/>
      </c>
      <c r="B2476">
        <f>Skills!B6</f>
        <v/>
      </c>
      <c r="C2476">
        <f>Inputs!$B$3&gt;=69</f>
        <v/>
      </c>
      <c r="D2476">
        <f>IF(Skills!C6=1,60+Inputs!$B$25+Inputs!$B$29,IF(Skills!C6=2,90+Inputs!$B$26+Inputs!$B$29,IF(Skills!C6=3,120+Inputs!$B$27+Inputs!$B$29,MAX(0,(Inputs!$B$3-100)*3)+Inputs!$B$28+Inputs!$B$29)))</f>
        <v/>
      </c>
      <c r="E2476">
        <f>INDEX(FactorTable!$B$2:$Y$301, MATCH(ROUND(MIN(300,MAX(1,D2476)),0), FactorTable!$A$2:$A$301,0), Skills!M6+1)</f>
        <v/>
      </c>
      <c r="F2476">
        <f>IF(Skills!N6=TRUE,(Skills!L6/10)*(E2476/1000),Skills!L6/10)+Skills!O6</f>
        <v/>
      </c>
      <c r="G2476">
        <f>Skills!G6*IF(Skills!H6&gt;0,Skills!I6/Skills!H6,1)</f>
        <v/>
      </c>
      <c r="H2476">
        <f>1-(1-Skills!J6/100)^Skills!K6</f>
        <v/>
      </c>
      <c r="I2476" t="inlineStr">
        <is>
          <t>1</t>
        </is>
      </c>
      <c r="J2476">
        <f>((Inputs!$B$6*(1+Inputs!$B$7/100))+(((Inputs!$B$12*(1+Inputs!$B$13/100))-(Inputs!$B$12*(1+Inputs!$B$13/100)))+0.25*(Inputs!$B$14-Inputs!$B$14))*(1+Inputs!$B$7/100))*(F2476/100)</f>
        <v/>
      </c>
      <c r="K2476">
        <f>J2476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2488=TRUE,F2488,0)/100)*(1+(IF(Skills!A6="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2476)</f>
        <v/>
      </c>
      <c r="L2476">
        <f>K2476*(MIN(Inputs!$B$22+((C2494=TRUE)*(F2494-Calc!F24)),(Inputs!$B$23+((C2499=TRUE)*(F2499-Calc!F29))+IF(ArtifactsInput!$M$15,CHOOSE(ArtifactsInput!$N$15+1,25,30,35,40,45,50)/100*(Inputs!$B$11-Inputs!$B$11),0)))/100+(Inputs!$B$23+((C2499=TRUE)*(F2499-Calc!F29))+IF(ArtifactsInput!$M$15,CHOOSE(ArtifactsInput!$N$15+1,25,30,35,40,45,50)/100*(Inputs!$B$11-Inputs!$B$11),0))/100)/2</f>
        <v/>
      </c>
      <c r="M2476">
        <f>L2476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IF(B2515=0,0,O2476/B2515)</f>
        <v/>
      </c>
      <c r="Q2476">
        <f>IFERROR(1/IF(Inputs!$B$39="pvp",15,MAX(0.1,Skills!D6-IF(Skills!E6=TRUE,Inputs!$B$32,0))),0)</f>
        <v/>
      </c>
      <c r="R2476">
        <f>IF(AND(Inputs!$B$39&lt;&gt;"pvp",Inputs!$B$44&gt;0),IF(MAX(0,Inputs!$B$44-B2514)&lt;=0,0,(INT(MAX(0,Inputs!$B$44-B2514)/IF(Inputs!$B$39="pvp",15,MAX(0.1,Skills!D6-IF(Skills!E6=TRUE,Inputs!$B$32,0))))+1)),0)</f>
        <v/>
      </c>
      <c r="S2476">
        <f>IFERROR(O2476/N2476,0)</f>
        <v/>
      </c>
      <c r="T2476">
        <f>IF(C2476,(H2476*N2476*IF(AND(Inputs!$B$39&lt;&gt;"pvp",Inputs!$B$44&gt;0),((Skills!G6*((R2476-1)*IF(Skills!H6&gt;0,Skills!I6/Skills!H6,1)+IF(Skills!H6&gt;0,MIN(Skills!I6,MAX(0,MAX(0,Inputs!$B$44-B2514)-((R2476-1)*IF(Inputs!$B$39="pvp",15,MAX(0.1,Skills!D6-IF(Skills!E6=TRUE,Inputs!$B$32,0))))))/Skills!H6,1)))/Inputs!$B$44),G2476*Q2476))*IF(Inputs!$B$39="pvp",1,1+(Inputs!$B$20+0+Skills!P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2476*(1-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6*((R2476-1)*IF(Skills!H6&gt;0,Skills!I6/Skills!H6,1)+IF(Skills!H6&gt;0,MIN(Skills!I6,MAX(0,MAX(0,Inputs!$B$44-B2514)-((R2476-1)*IF(Inputs!$B$39="pvp",15,MAX(0.1,Skills!D6-IF(Skills!E6=TRUE,Inputs!$B$32,0))))))/Skills!H6,1)))/Inputs!$B$44),G2476*Q2476))*IF(Inputs!$B$39="pvp",1,(1+(Inputs!$B$21+Skills!Q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Skills!A7</f>
        <v/>
      </c>
      <c r="B2477">
        <f>Skills!B7</f>
        <v/>
      </c>
      <c r="C2477">
        <f>Inputs!$B$3&gt;=60</f>
        <v/>
      </c>
      <c r="D2477">
        <f>IF(Skills!C7=1,60+Inputs!$B$25+Inputs!$B$29,IF(Skills!C7=2,90+Inputs!$B$26+Inputs!$B$29,IF(Skills!C7=3,120+Inputs!$B$27+Inputs!$B$29,MAX(0,(Inputs!$B$3-100)*3)+Inputs!$B$28+Inputs!$B$29)))</f>
        <v/>
      </c>
      <c r="E2477">
        <f>INDEX(FactorTable!$B$2:$Y$301, MATCH(ROUND(MIN(300,MAX(1,D2477)),0), FactorTable!$A$2:$A$301,0), Skills!M7+1)</f>
        <v/>
      </c>
      <c r="F2477">
        <f>IF(Skills!N7=TRUE,(Skills!L7/10)*(E2477/1000),Skills!L7/10)+Skills!O7</f>
        <v/>
      </c>
      <c r="G2477">
        <f>Skills!G7*IF(Skills!H7&gt;0,Skills!I7/Skills!H7,1)</f>
        <v/>
      </c>
      <c r="H2477">
        <f>1-(1-Skills!J7/100)^Skills!K7</f>
        <v/>
      </c>
      <c r="I2477" t="inlineStr">
        <is>
          <t>1</t>
        </is>
      </c>
      <c r="J2477" t="inlineStr"/>
      <c r="K2477" t="inlineStr"/>
      <c r="L2477" t="inlineStr"/>
      <c r="M2477" t="inlineStr"/>
      <c r="N2477" t="inlineStr"/>
      <c r="O2477">
        <f>(1-Summary!$B$11)*T2477+Summary!$B$11*V2477</f>
        <v/>
      </c>
      <c r="P2477">
        <f>IF(B2515=0,0,O2477/B2515)</f>
        <v/>
      </c>
      <c r="Q2477" t="n">
        <v>0</v>
      </c>
      <c r="R2477" t="n">
        <v>0</v>
      </c>
      <c r="S2477">
        <f>IFERROR(O2477/N2477,0)</f>
        <v/>
      </c>
      <c r="T2477" t="n">
        <v>0</v>
      </c>
      <c r="V2477" t="n">
        <v>0</v>
      </c>
    </row>
    <row r="2478">
      <c r="A2478">
        <f>Skills!A8</f>
        <v/>
      </c>
      <c r="B2478">
        <f>Skills!B8</f>
        <v/>
      </c>
      <c r="C2478">
        <f>Inputs!$B$3&gt;=72</f>
        <v/>
      </c>
      <c r="D2478">
        <f>IF(Skills!C8=1,60+Inputs!$B$25+Inputs!$B$29,IF(Skills!C8=2,90+Inputs!$B$26+Inputs!$B$29,IF(Skills!C8=3,120+Inputs!$B$27+Inputs!$B$29,MAX(0,(Inputs!$B$3-100)*3)+Inputs!$B$28+Inputs!$B$29)))</f>
        <v/>
      </c>
      <c r="E2478">
        <f>INDEX(FactorTable!$B$2:$Y$301, MATCH(ROUND(MIN(300,MAX(1,D2478)),0), FactorTable!$A$2:$A$301,0), Skills!M8+1)</f>
        <v/>
      </c>
      <c r="F2478">
        <f>IF(Skills!N8=TRUE,(Skills!L8/10)*(E2478/1000),Skills!L8/10)+Skills!O8</f>
        <v/>
      </c>
      <c r="G2478">
        <f>Skills!G8*IF(Skills!H8&gt;0,Skills!I8/Skills!H8,1)</f>
        <v/>
      </c>
      <c r="H2478">
        <f>1-(1-Skills!J8/100)^Skills!K8</f>
        <v/>
      </c>
      <c r="I2478" t="inlineStr">
        <is>
          <t>1</t>
        </is>
      </c>
      <c r="J2478">
        <f>((Inputs!$B$6*(1+Inputs!$B$7/100))+(((Inputs!$B$12*(1+Inputs!$B$13/100))-(Inputs!$B$12*(1+Inputs!$B$13/100)))+0.25*(Inputs!$B$14-Inputs!$B$14))*(1+Inputs!$B$7/100))*(F2478/100)</f>
        <v/>
      </c>
      <c r="K2478">
        <f>J2478*(1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2488=TRUE,F2488,0)/100)*(1+(IF(Skills!A8="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2478)</f>
        <v/>
      </c>
      <c r="L2478">
        <f>K2478*(MIN(Inputs!$B$22+((C2494=TRUE)*(F2494-Calc!F24)),(Inputs!$B$23+((C2499=TRUE)*(F2499-Calc!F29))+IF(ArtifactsInput!$M$15,CHOOSE(ArtifactsInput!$N$15+1,25,30,35,40,45,50)/100*(Inputs!$B$11-Inputs!$B$11),0)))/100+(Inputs!$B$23+((C2499=TRUE)*(F2499-Calc!F29))+IF(ArtifactsInput!$M$15,CHOOSE(ArtifactsInput!$N$15+1,25,30,35,40,45,50)/100*(Inputs!$B$11-Inputs!$B$11),0))/100)/2</f>
        <v/>
      </c>
      <c r="M2478">
        <f>L2478*(1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IF(B2515=0,0,O2478/B2515)</f>
        <v/>
      </c>
      <c r="Q2478">
        <f>IFERROR(1/IF(Inputs!$B$39="pvp",15,MAX(0.1,Skills!D8-IF(Skills!E8=TRUE,Inputs!$B$32,0))),0)</f>
        <v/>
      </c>
      <c r="R2478">
        <f>IF(AND(Inputs!$B$39&lt;&gt;"pvp",Inputs!$B$44&gt;0),IF(MAX(0,Inputs!$B$44-B2514)&lt;=0,0,(INT(MAX(0,Inputs!$B$44-B2514)/IF(Inputs!$B$39="pvp",15,MAX(0.1,Skills!D8-IF(Skills!E8=TRUE,Inputs!$B$32,0))))+1)),0)</f>
        <v/>
      </c>
      <c r="S2478">
        <f>IFERROR(O2478/N2478,0)</f>
        <v/>
      </c>
      <c r="T2478">
        <f>IF(C2478,(H2478*N2478*IF(AND(Inputs!$B$39&lt;&gt;"pvp",Inputs!$B$44&gt;0),((Skills!G8*((R2478-1)*IF(Skills!H8&gt;0,Skills!I8/Skills!H8,1)+IF(Skills!H8&gt;0,MIN(Skills!I8,MAX(0,MAX(0,Inputs!$B$44-B2514)-((R2478-1)*IF(Inputs!$B$39="pvp",15,MAX(0.1,Skills!D8-IF(Skills!E8=TRUE,Inputs!$B$32,0))))))/Skills!H8,1)))/Inputs!$B$44),G2478*Q2478))*IF(Inputs!$B$39="pvp",1,1+(Inputs!$B$20+0+Skills!P8+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2478*(1-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8">
        <f>IF(C2478,(H2478*N2478*IF(AND(Inputs!$B$39&lt;&gt;"pvp",Inputs!$B$44&gt;0),((Skills!G8*((R2478-1)*IF(Skills!H8&gt;0,Skills!I8/Skills!H8,1)+IF(Skills!H8&gt;0,MIN(Skills!I8,MAX(0,MAX(0,Inputs!$B$44-B2514)-((R2478-1)*IF(Inputs!$B$39="pvp",15,MAX(0.1,Skills!D8-IF(Skills!E8=TRUE,Inputs!$B$32,0))))))/Skills!H8,1)))/Inputs!$B$44),G2478*Q2478))*IF(Inputs!$B$39="pvp",1,(1+(Inputs!$B$21+Skills!Q8+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Skills!A9</f>
        <v/>
      </c>
      <c r="B2479">
        <f>Skills!B9</f>
        <v/>
      </c>
      <c r="C2479">
        <f>Inputs!$B$3&gt;=117</f>
        <v/>
      </c>
      <c r="D2479">
        <f>IF(Skills!C9=1,60+Inputs!$B$25+Inputs!$B$29,IF(Skills!C9=2,90+Inputs!$B$26+Inputs!$B$29,IF(Skills!C9=3,120+Inputs!$B$27+Inputs!$B$29,MAX(0,(Inputs!$B$3-100)*3)+Inputs!$B$28+Inputs!$B$29)))</f>
        <v/>
      </c>
      <c r="E2479">
        <f>INDEX(FactorTable!$B$2:$Y$301, MATCH(ROUND(MIN(300,MAX(1,D2479)),0), FactorTable!$A$2:$A$301,0), Skills!M9+1)</f>
        <v/>
      </c>
      <c r="F2479">
        <f>IF(Skills!N9=TRUE,(Skills!L9/10)*(E2479/1000),Skills!L9/10)+Skills!O9</f>
        <v/>
      </c>
      <c r="G2479">
        <f>Skills!G9*IF(Skills!H9&gt;0,Skills!I9/Skills!H9,1)</f>
        <v/>
      </c>
      <c r="H2479">
        <f>1-(1-Skills!J9/100)^Skills!K9</f>
        <v/>
      </c>
      <c r="I2479" t="inlineStr">
        <is>
          <t>1</t>
        </is>
      </c>
      <c r="J2479">
        <f>((Inputs!$B$6*(1+Inputs!$B$7/100))+(((Inputs!$B$12*(1+Inputs!$B$13/100))-(Inputs!$B$12*(1+Inputs!$B$13/100)))+0.25*(Inputs!$B$14-Inputs!$B$14))*(1+Inputs!$B$7/100))*(F2479/100)</f>
        <v/>
      </c>
      <c r="K2479">
        <f>J2479*(1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2479)</f>
        <v/>
      </c>
      <c r="L2479">
        <f>K2479*(MIN(Inputs!$B$22+((C2494=TRUE)*(F2494-Calc!F24)),(Inputs!$B$23+((C2499=TRUE)*(F2499-Calc!F29))+IF(ArtifactsInput!$M$15,CHOOSE(ArtifactsInput!$N$15+1,25,30,35,40,45,50)/100*(Inputs!$B$11-Inputs!$B$11),0)))/100+(Inputs!$B$23+((C2499=TRUE)*(F2499-Calc!F29))+IF(ArtifactsInput!$M$15,CHOOSE(ArtifactsInput!$N$15+1,25,30,35,40,45,50)/100*(Inputs!$B$11-Inputs!$B$11),0))/100)/2</f>
        <v/>
      </c>
      <c r="M2479">
        <f>L2479*(1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9">
        <f>L2479*(1-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IF(B2515=0,0,O2479/B2515)</f>
        <v/>
      </c>
      <c r="Q2479" t="n">
        <v>0</v>
      </c>
      <c r="R2479" t="n">
        <v>0</v>
      </c>
      <c r="S2479" t="n">
        <v>0</v>
      </c>
      <c r="T2479">
        <f>IF(C2479,(0.2*SUMPRODUCT((Skills!Z2:Z30=TRUE)*(C2472:C2500=TRUE)*S2472:S2500)*N2479)*IF(Inputs!$B$39="pvp",1,1+(Inputs!$B$20+0+Skills!P9+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2479*(1-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IF(C2479,(0.2*SUMPRODUCT((Skills!Z2:Z30=TRUE)*(C2472:C2500=TRUE)*S2472:S2500)*N2479)*IF(Inputs!$B$39="pvp",1,(1+(Inputs!$B$21+Skills!Q9+B2504+(IF(ArtifactsInput!$M$33,CHOOSE(ArtifactsInput!$N$33+1,30,36,42,48,54,60),0))+(IF(AND(ArtifactsInput!$M$35,Inputs!$B$4&lt;&gt;"Chapter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Skills!A10</f>
        <v/>
      </c>
      <c r="B2480">
        <f>Skills!B10</f>
        <v/>
      </c>
      <c r="C2480">
        <f>Inputs!$B$3&gt;=74</f>
        <v/>
      </c>
      <c r="D2480">
        <f>IF(Skills!C10=1,60+Inputs!$B$25+Inputs!$B$29,IF(Skills!C10=2,90+Inputs!$B$26+Inputs!$B$29,IF(Skills!C10=3,120+Inputs!$B$27+Inputs!$B$29,MAX(0,(Inputs!$B$3-100)*3)+Inputs!$B$28+Inputs!$B$29)))</f>
        <v/>
      </c>
      <c r="E2480">
        <f>INDEX(FactorTable!$B$2:$Y$301, MATCH(ROUND(MIN(300,MAX(1,D2480)),0), FactorTable!$A$2:$A$301,0), Skills!M10+1)</f>
        <v/>
      </c>
      <c r="F2480">
        <f>IF(Skills!N10=TRUE,(Skills!L10/10)*(E2480/1000),Skills!L10/10)+Skills!O10</f>
        <v/>
      </c>
      <c r="G2480">
        <f>Skills!G10*IF(Skills!H10&gt;0,Skills!I10/Skills!H10,1)</f>
        <v/>
      </c>
      <c r="H2480">
        <f>1-(1-Skills!J10/100)^Skills!K10</f>
        <v/>
      </c>
      <c r="I2480" t="inlineStr">
        <is>
          <t>1</t>
        </is>
      </c>
      <c r="J2480" t="inlineStr"/>
      <c r="K2480" t="inlineStr"/>
      <c r="L2480" t="inlineStr"/>
      <c r="M2480" t="inlineStr"/>
      <c r="N2480" t="inlineStr"/>
      <c r="O2480">
        <f>(1-Summary!$B$11)*T2480+Summary!$B$11*V2480</f>
        <v/>
      </c>
      <c r="P2480">
        <f>IF(B2515=0,0,O2480/B2515)</f>
        <v/>
      </c>
      <c r="Q2480">
        <f>IFERROR(1/IF(Inputs!$B$39="pvp",15,MAX(0.1,Skills!D10-IF(Skills!E10=TRUE,Inputs!$B$32,0))),0)</f>
        <v/>
      </c>
      <c r="R2480">
        <f>IF(AND(Inputs!$B$39&lt;&gt;"pvp",Inputs!$B$44&gt;0),IF(Inputs!$B$44&lt;=0,0,(INT(Inputs!$B$44/IF(Inputs!$B$39="pvp",15,MAX(0.1,Skills!D10-IF(Skills!E10=TRUE,Inputs!$B$32,0))))+1)),0)</f>
        <v/>
      </c>
      <c r="S2480">
        <f>IFERROR(O2480/N2480,0)</f>
        <v/>
      </c>
      <c r="T2480" t="n">
        <v>0</v>
      </c>
      <c r="V2480" t="n">
        <v>0</v>
      </c>
    </row>
    <row r="2481">
      <c r="A2481">
        <f>Skills!A11</f>
        <v/>
      </c>
      <c r="B2481">
        <f>Skills!B11</f>
        <v/>
      </c>
      <c r="C2481">
        <f>Inputs!$B$3&gt;=103</f>
        <v/>
      </c>
      <c r="D2481">
        <f>IF(Skills!C11=1,60+Inputs!$B$25+Inputs!$B$29,IF(Skills!C11=2,90+Inputs!$B$26+Inputs!$B$29,IF(Skills!C11=3,120+Inputs!$B$27+Inputs!$B$29,MAX(0,(Inputs!$B$3-100)*3)+Inputs!$B$28+Inputs!$B$29)))</f>
        <v/>
      </c>
      <c r="E2481">
        <f>INDEX(FactorTable!$B$2:$Y$301, MATCH(ROUND(MIN(300,MAX(1,D2481)),0), FactorTable!$A$2:$A$301,0), Skills!M11+1)</f>
        <v/>
      </c>
      <c r="F2481">
        <f>(Skills!L11/10)*(E2481/1000)+IF(Inputs!$B$3&gt;=134,50,0)+0.5*(30000/10)*(INDEX(FactorTable!$B$2:$Y$301, MATCH(ROUND(MIN(300,MAX(1,D2481)),0), FactorTable!$A$2:$A$301,0), 13)/1000)*B2513</f>
        <v/>
      </c>
      <c r="G2481">
        <f>Skills!G11*IF(Skills!H11&gt;0,Skills!I11/Skills!H11,1)</f>
        <v/>
      </c>
      <c r="H2481">
        <f>1-(1-Skills!J11/100)^Skills!K11</f>
        <v/>
      </c>
      <c r="I2481" t="inlineStr">
        <is>
          <t>1</t>
        </is>
      </c>
      <c r="J2481">
        <f>((Inputs!$B$6*(1+Inputs!$B$7/100))+(((Inputs!$B$12*(1+Inputs!$B$13/100))-(Inputs!$B$12*(1+Inputs!$B$13/100)))+0.25*(Inputs!$B$14-Inputs!$B$14))*(1+Inputs!$B$7/100))*(F2481/100)</f>
        <v/>
      </c>
      <c r="K2481">
        <f>J2481*(1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2481)</f>
        <v/>
      </c>
      <c r="L2481">
        <f>K2481*(MIN(Inputs!$B$22+((C2494=TRUE)*(F2494-Calc!F24)),(Inputs!$B$23+((C2499=TRUE)*(F2499-Calc!F29))+IF(ArtifactsInput!$M$15,CHOOSE(ArtifactsInput!$N$15+1,25,30,35,40,45,50)/100*(Inputs!$B$11-Inputs!$B$11),0)))/100+(Inputs!$B$23+((C2499=TRUE)*(F2499-Calc!F29))+IF(ArtifactsInput!$M$15,CHOOSE(ArtifactsInput!$N$15+1,25,30,35,40,45,50)/100*(Inputs!$B$11-Inputs!$B$11),0))/100)/2</f>
        <v/>
      </c>
      <c r="M2481">
        <f>L2481*(1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IF(B2515=0,0,O2481/B2515)</f>
        <v/>
      </c>
      <c r="Q2481">
        <f>IFERROR(1/IF(Inputs!$B$39="pvp",15,MAX(0.1,Skills!D11-IF(Skills!E11=TRUE,Inputs!$B$32,0))),0)</f>
        <v/>
      </c>
      <c r="R2481">
        <f>IF(AND(Inputs!$B$39&lt;&gt;"pvp",Inputs!$B$44&gt;0),IF(MAX(0,Inputs!$B$44-B2514)&lt;=0,0,(INT(MAX(0,Inputs!$B$44-B2514)/IF(Inputs!$B$39="pvp",15,MAX(0.1,Skills!D11-IF(Skills!E11=TRUE,Inputs!$B$32,0))))+1)),0)</f>
        <v/>
      </c>
      <c r="S2481">
        <f>IFERROR(O2481/N2481,0)</f>
        <v/>
      </c>
      <c r="T2481">
        <f>IF(C2481,(H2481*N2481*IF(AND(Inputs!$B$39&lt;&gt;"pvp",Inputs!$B$44&gt;0),((Skills!G11*((R2481-1)*IF(Skills!H11&gt;0,Skills!I11/Skills!H11,1)+IF(Skills!H11&gt;0,MIN(Skills!I11,MAX(0,MAX(0,Inputs!$B$44-B2514)-((R2481-1)*IF(Inputs!$B$39="pvp",15,MAX(0.1,Skills!D11-IF(Skills!E11=TRUE,Inputs!$B$32,0))))))/Skills!H11,1)))/Inputs!$B$44),G2481*Q2481))*IF(Inputs!$B$39="pvp",1,1+(Inputs!$B$20+0+Skills!P11+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2481*(1-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11*((R2481-1)*IF(Skills!H11&gt;0,Skills!I11/Skills!H11,1)+IF(Skills!H11&gt;0,MIN(Skills!I11,MAX(0,MAX(0,Inputs!$B$44-B2514)-((R2481-1)*IF(Inputs!$B$39="pvp",15,MAX(0.1,Skills!D11-IF(Skills!E11=TRUE,Inputs!$B$32,0))))))/Skills!H11,1)))/Inputs!$B$44),G2481*Q2481))*IF(Inputs!$B$39="pvp",1,(1+(Inputs!$B$21+Skills!Q11+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Skills!A12</f>
        <v/>
      </c>
      <c r="B2482">
        <f>Skills!B12</f>
        <v/>
      </c>
      <c r="C2482">
        <f>Inputs!$B$3&gt;=105</f>
        <v/>
      </c>
      <c r="D2482">
        <f>IF(Skills!C12=1,60+Inputs!$B$25+Inputs!$B$29,IF(Skills!C12=2,90+Inputs!$B$26+Inputs!$B$29,IF(Skills!C12=3,120+Inputs!$B$27+Inputs!$B$29,MAX(0,(Inputs!$B$3-100)*3)+Inputs!$B$28+Inputs!$B$29)))</f>
        <v/>
      </c>
      <c r="E2482">
        <f>INDEX(FactorTable!$B$2:$Y$301, MATCH(ROUND(MIN(300,MAX(1,D2482)),0), FactorTable!$A$2:$A$301,0), Skills!M12+1)</f>
        <v/>
      </c>
      <c r="F2482">
        <f>IF(Skills!N12=TRUE,(Skills!L12/10)*(E2482/1000),Skills!L12/10)+Skills!O12</f>
        <v/>
      </c>
      <c r="G2482">
        <f>Skills!G12*IF(Skills!H12&gt;0,Skills!I12/Skills!H12,1)</f>
        <v/>
      </c>
      <c r="H2482">
        <f>1-(1-Skills!J12/100)^Skills!K12</f>
        <v/>
      </c>
      <c r="I2482" t="inlineStr">
        <is>
          <t>1</t>
        </is>
      </c>
      <c r="J2482">
        <f>((Inputs!$B$6*(1+Inputs!$B$7/100))+(((Inputs!$B$12*(1+Inputs!$B$13/100))-(Inputs!$B$12*(1+Inputs!$B$13/100)))+0.25*(Inputs!$B$14-Inputs!$B$14))*(1+Inputs!$B$7/100))*(F2482/100)</f>
        <v/>
      </c>
      <c r="K2482">
        <f>J2482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2482)</f>
        <v/>
      </c>
      <c r="L2482">
        <f>K2482*(MIN(Inputs!$B$22+((C2494=TRUE)*(F2494-Calc!F24)),(Inputs!$B$23+((C2499=TRUE)*(F2499-Calc!F29))+IF(ArtifactsInput!$M$15,CHOOSE(ArtifactsInput!$N$15+1,25,30,35,40,45,50)/100*(Inputs!$B$11-Inputs!$B$11),0)))/100+(Inputs!$B$23+((C2499=TRUE)*(F2499-Calc!F29))+IF(ArtifactsInput!$M$15,CHOOSE(ArtifactsInput!$N$15+1,25,30,35,40,45,50)/100*(Inputs!$B$11-Inputs!$B$11),0))/100)/2</f>
        <v/>
      </c>
      <c r="M2482">
        <f>L2482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IF(B2515=0,0,O2482/B2515)</f>
        <v/>
      </c>
      <c r="Q2482">
        <f>IFERROR(1/IF(Inputs!$B$39="pvp",15,MAX(0.1,Skills!D12-IF(Skills!E12=TRUE,Inputs!$B$32,0))),0)</f>
        <v/>
      </c>
      <c r="R2482">
        <f>IF(AND(Inputs!$B$39&lt;&gt;"pvp",Inputs!$B$44&gt;0),IF(MAX(0,Inputs!$B$44-B2514)&lt;=0,0,(INT(MAX(0,Inputs!$B$44-B2514)/IF(Inputs!$B$39="pvp",15,MAX(0.1,Skills!D12-IF(Skills!E12=TRUE,Inputs!$B$32,0))))+1)),0)</f>
        <v/>
      </c>
      <c r="S2482">
        <f>IFERROR(O2482/N2482,0)</f>
        <v/>
      </c>
      <c r="T2482">
        <f>IF(C2482,(H2482*N2482*IF(AND(Inputs!$B$39&lt;&gt;"pvp",Inputs!$B$44&gt;0),((Skills!G12*((R2482-1)*IF(Skills!H12&gt;0,Skills!I12/Skills!H12,1)+IF(Skills!H12&gt;0,MIN(Skills!I12,MAX(0,MAX(0,Inputs!$B$44-B2514)-((R2482-1)*IF(Inputs!$B$39="pvp",15,MAX(0.1,Skills!D12-IF(Skills!E12=TRUE,Inputs!$B$32,0))))))/Skills!H12,1)))/Inputs!$B$44),G2482*Q2482))*IF(Inputs!$B$39="pvp",1,1+(Inputs!$B$20+0+Skills!P12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2482*(1-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12*((R2482-1)*IF(Skills!H12&gt;0,Skills!I12/Skills!H12,1)+IF(Skills!H12&gt;0,MIN(Skills!I12,MAX(0,MAX(0,Inputs!$B$44-B2514)-((R2482-1)*IF(Inputs!$B$39="pvp",15,MAX(0.1,Skills!D12-IF(Skills!E12=TRUE,Inputs!$B$32,0))))))/Skills!H12,1)))/Inputs!$B$44),G2482*Q2482))*IF(Inputs!$B$39="pvp",1,(1+(Inputs!$B$21+Skills!Q12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Skills!A13</f>
        <v/>
      </c>
      <c r="B2483">
        <f>Skills!B13</f>
        <v/>
      </c>
      <c r="C2483">
        <f>Inputs!$B$3&gt;=105</f>
        <v/>
      </c>
      <c r="D2483">
        <f>IF(Skills!C13=1,60+Inputs!$B$25+Inputs!$B$29,IF(Skills!C13=2,90+Inputs!$B$26+Inputs!$B$29,IF(Skills!C13=3,120+Inputs!$B$27+Inputs!$B$29,MAX(0,(Inputs!$B$3-100)*3)+Inputs!$B$28+Inputs!$B$29)))</f>
        <v/>
      </c>
      <c r="E2483">
        <f>INDEX(FactorTable!$B$2:$Y$301, MATCH(ROUND(MIN(300,MAX(1,D2483)),0), FactorTable!$A$2:$A$301,0), Skills!M13+1)</f>
        <v/>
      </c>
      <c r="F2483">
        <f>IF(Skills!N13=TRUE,(Skills!L13/10)*(E2483/1000),Skills!L13/10)+Skills!O13</f>
        <v/>
      </c>
      <c r="G2483">
        <f>Skills!G13*IF(Skills!H13&gt;0,Skills!I13/Skills!H13,1)</f>
        <v/>
      </c>
      <c r="H2483">
        <f>1-(1-Skills!J13/100)^Skills!K13</f>
        <v/>
      </c>
      <c r="I2483" t="inlineStr">
        <is>
          <t>1</t>
        </is>
      </c>
      <c r="J2483">
        <f>((Inputs!$B$6*(1+Inputs!$B$7/100))+(((Inputs!$B$12*(1+Inputs!$B$13/100))-(Inputs!$B$12*(1+Inputs!$B$13/100)))+0.25*(Inputs!$B$14-Inputs!$B$14))*(1+Inputs!$B$7/100))*(F2483/100)</f>
        <v/>
      </c>
      <c r="K2483">
        <f>J2483*(1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2483)</f>
        <v/>
      </c>
      <c r="L2483">
        <f>K2483*(MIN(Inputs!$B$22+((C2494=TRUE)*(F2494-Calc!F24)),(Inputs!$B$23+((C2499=TRUE)*(F2499-Calc!F29))+IF(ArtifactsInput!$M$15,CHOOSE(ArtifactsInput!$N$15+1,25,30,35,40,45,50)/100*(Inputs!$B$11-Inputs!$B$11),0)))/100+(Inputs!$B$23+((C2499=TRUE)*(F2499-Calc!F29))+IF(ArtifactsInput!$M$15,CHOOSE(ArtifactsInput!$N$15+1,25,30,35,40,45,50)/100*(Inputs!$B$11-Inputs!$B$11),0))/100)/2</f>
        <v/>
      </c>
      <c r="M2483">
        <f>L2483*(1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IF(B2515=0,0,O2483/B2515)</f>
        <v/>
      </c>
      <c r="Q2483">
        <f>IFERROR(1/IF(Inputs!$B$39="pvp",15,MAX(0.1,Skills!D13-IF(Skills!E13=TRUE,Inputs!$B$32,0))),0)</f>
        <v/>
      </c>
      <c r="R2483">
        <f>IF(AND(Inputs!$B$39&lt;&gt;"pvp",Inputs!$B$44&gt;0),IF(MAX(0,Inputs!$B$44-B2514)&lt;=0,0,(INT(MAX(0,Inputs!$B$44-B2514)/IF(Inputs!$B$39="pvp",15,MAX(0.1,Skills!D13-IF(Skills!E13=TRUE,Inputs!$B$32,0))))+1)),0)</f>
        <v/>
      </c>
      <c r="S2483">
        <f>IFERROR(O2483/N2483,0)</f>
        <v/>
      </c>
      <c r="T2483">
        <f>IF(C2483,(H2483*N2483*IF(AND(Inputs!$B$39&lt;&gt;"pvp",Inputs!$B$44&gt;0),((Skills!G13*((R2483-1)*IF(Skills!H13&gt;0,Skills!I13/Skills!H13,1)+IF(Skills!H13&gt;0,MIN(Skills!I13,MAX(0,MAX(0,Inputs!$B$44-B2514)-((R2483-1)*IF(Inputs!$B$39="pvp",15,MAX(0.1,Skills!D13-IF(Skills!E13=TRUE,Inputs!$B$32,0))))))/Skills!H13,1)))/Inputs!$B$44),G2483*Q2483))*IF(Inputs!$B$39="pvp",1,1+(Inputs!$B$20+0+Skills!P13+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2483*(1-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H2483*N2483*IF(AND(Inputs!$B$39&lt;&gt;"pvp",Inputs!$B$44&gt;0),((Skills!G13*((R2483-1)*IF(Skills!H13&gt;0,Skills!I13/Skills!H13,1)+IF(Skills!H13&gt;0,MIN(Skills!I13,MAX(0,MAX(0,Inputs!$B$44-B2514)-((R2483-1)*IF(Inputs!$B$39="pvp",15,MAX(0.1,Skills!D13-IF(Skills!E13=TRUE,Inputs!$B$32,0))))))/Skills!H13,1)))/Inputs!$B$44),G2483*Q2483))*IF(Inputs!$B$39="pvp",1,(1+(Inputs!$B$21+Skills!Q13+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Skills!A14</f>
        <v/>
      </c>
      <c r="B2484">
        <f>Skills!B14</f>
        <v/>
      </c>
      <c r="C2484">
        <f>Inputs!$B$3&gt;=107</f>
        <v/>
      </c>
      <c r="D2484">
        <f>IF(Skills!C14=1,60+Inputs!$B$25+Inputs!$B$29,IF(Skills!C14=2,90+Inputs!$B$26+Inputs!$B$29,IF(Skills!C14=3,120+Inputs!$B$27+Inputs!$B$29,MAX(0,(Inputs!$B$3-100)*3)+Inputs!$B$28+Inputs!$B$29)))</f>
        <v/>
      </c>
      <c r="E2484">
        <f>INDEX(FactorTable!$B$2:$Y$301, MATCH(ROUND(MIN(300,MAX(1,D2484)),0), FactorTable!$A$2:$A$301,0), Skills!M14+1)</f>
        <v/>
      </c>
      <c r="F2484">
        <f>IF(Skills!N14=TRUE,(Skills!L14/10)*(E2484/1000),Skills!L14/10)+Skills!O14</f>
        <v/>
      </c>
      <c r="G2484">
        <f>Skills!G14*IF(Skills!H14&gt;0,Skills!I14/Skills!H14,1)</f>
        <v/>
      </c>
      <c r="H2484">
        <f>1-(1-Skills!J14/100)^Skills!K14</f>
        <v/>
      </c>
      <c r="I2484" t="inlineStr">
        <is>
          <t>1</t>
        </is>
      </c>
      <c r="J2484">
        <f>((Inputs!$B$6*(1+Inputs!$B$7/100))+(((Inputs!$B$12*(1+Inputs!$B$13/100))-(Inputs!$B$12*(1+Inputs!$B$13/100)))+0.25*(Inputs!$B$14-Inputs!$B$14))*(1+Inputs!$B$7/100))*(F2484/100)</f>
        <v/>
      </c>
      <c r="K2484">
        <f>J2484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2484)</f>
        <v/>
      </c>
      <c r="L2484">
        <f>K2484*(MIN(Inputs!$B$22+((C2494=TRUE)*(F2494-Calc!F24)),(Inputs!$B$23+((C2499=TRUE)*(F2499-Calc!F29))+IF(ArtifactsInput!$M$15,CHOOSE(ArtifactsInput!$N$15+1,25,30,35,40,45,50)/100*(Inputs!$B$11-Inputs!$B$11),0)))/100+(Inputs!$B$23+((C2499=TRUE)*(F2499-Calc!F29))+IF(ArtifactsInput!$M$15,CHOOSE(ArtifactsInput!$N$15+1,25,30,35,40,45,50)/100*(Inputs!$B$11-Inputs!$B$11),0))/100)/2</f>
        <v/>
      </c>
      <c r="M2484">
        <f>L2484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4">
        <f>L2484*(1-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2484*(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4">
        <f>(1-Summary!$B$11)*T2484+Summary!$B$11*V2484</f>
        <v/>
      </c>
      <c r="P2484">
        <f>IF(B2515=0,0,O2484/B2515)</f>
        <v/>
      </c>
      <c r="Q2484">
        <f>IFERROR(1/IF(Inputs!$B$39="pvp",15,MAX(0.1,Skills!D14-IF(Skills!E14=TRUE,Inputs!$B$32,0))),0)</f>
        <v/>
      </c>
      <c r="R2484">
        <f>IF(AND(Inputs!$B$39&lt;&gt;"pvp",Inputs!$B$44&gt;0),IF(MAX(0,Inputs!$B$44-B2514)&lt;=0,0,(INT(MAX(0,Inputs!$B$44-B2514)/IF(Inputs!$B$39="pvp",15,MAX(0.1,Skills!D14-IF(Skills!E14=TRUE,Inputs!$B$32,0))))+1)),0)</f>
        <v/>
      </c>
      <c r="S2484">
        <f>IFERROR(O2484/N2484,0)</f>
        <v/>
      </c>
      <c r="T2484">
        <f>IF(C2484,(H2484*N2484*IF(AND(Inputs!$B$39&lt;&gt;"pvp",Inputs!$B$44&gt;0),((Skills!G14*((R2484-1)*IF(Skills!H14&gt;0,Skills!I14/Skills!H14,1)+IF(Skills!H14&gt;0,MIN(Skills!I14,MAX(0,MAX(0,Inputs!$B$44-B2514)-((R2484-1)*IF(Inputs!$B$39="pvp",15,MAX(0.1,Skills!D14-IF(Skills!E14=TRUE,Inputs!$B$32,0))))))/Skills!H14,1)))/Inputs!$B$44),G2484*Q2484))*IF(Inputs!$B$39="pvp",1,1+(Inputs!$B$20+0+Skills!P14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2484*(1-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2484*(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2484*(1-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2484*(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4">
        <f>IF(C2484,(H2484*N2484*IF(AND(Inputs!$B$39&lt;&gt;"pvp",Inputs!$B$44&gt;0),((Skills!G14*((R2484-1)*IF(Skills!H14&gt;0,Skills!I14/Skills!H14,1)+IF(Skills!H14&gt;0,MIN(Skills!I14,MAX(0,MAX(0,Inputs!$B$44-B2514)-((R2484-1)*IF(Inputs!$B$39="pvp",15,MAX(0.1,Skills!D14-IF(Skills!E14=TRUE,Inputs!$B$32,0))))))/Skills!H14,1)))/Inputs!$B$44),G2484*Q2484))*IF(Inputs!$B$39="pvp",1,(1+(Inputs!$B$21+Skills!Q14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(5,0.25*B2507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5">
      <c r="A2485">
        <f>Skills!A15</f>
        <v/>
      </c>
      <c r="B2485">
        <f>Skills!B15</f>
        <v/>
      </c>
      <c r="C2485">
        <f>Inputs!$B$3&gt;=110</f>
        <v/>
      </c>
      <c r="D2485">
        <f>IF(Skills!C15=1,60+Inputs!$B$25+Inputs!$B$29,IF(Skills!C15=2,90+Inputs!$B$26+Inputs!$B$29,IF(Skills!C15=3,120+Inputs!$B$27+Inputs!$B$29,MAX(0,(Inputs!$B$3-100)*3)+Inputs!$B$28+Inputs!$B$29)))</f>
        <v/>
      </c>
      <c r="E2485">
        <f>INDEX(FactorTable!$B$2:$Y$301, MATCH(ROUND(MIN(300,MAX(1,D2485)),0), FactorTable!$A$2:$A$301,0), Skills!M15+1)</f>
        <v/>
      </c>
      <c r="F2485">
        <f>IF(Skills!N15=TRUE,(Skills!L15/10)*(E2485/1000),Skills!L15/10)+Skills!O15</f>
        <v/>
      </c>
      <c r="G2485">
        <f>Skills!G15*IF(Skills!H15&gt;0,Skills!I15/Skills!H15,1)</f>
        <v/>
      </c>
      <c r="H2485">
        <f>1-(1-Skills!J15/100)^Skills!K15</f>
        <v/>
      </c>
      <c r="I2485" t="inlineStr">
        <is>
          <t>1</t>
        </is>
      </c>
      <c r="J2485" t="inlineStr"/>
      <c r="K2485" t="inlineStr"/>
      <c r="L2485" t="inlineStr"/>
      <c r="M2485" t="inlineStr"/>
      <c r="N2485" t="inlineStr"/>
      <c r="O2485">
        <f>(1-Summary!$B$11)*T2485+Summary!$B$11*V2485</f>
        <v/>
      </c>
      <c r="P2485">
        <f>IF(B2515=0,0,O2485/B2515)</f>
        <v/>
      </c>
      <c r="Q2485">
        <f>IFERROR(1/IF(Inputs!$B$39="pvp",15,MAX(0.1,Skills!D15-IF(Skills!E15=TRUE,Inputs!$B$32,0))),0)</f>
        <v/>
      </c>
      <c r="R2485">
        <f>IF(AND(Inputs!$B$39&lt;&gt;"pvp",Inputs!$B$44&gt;0),IF(Inputs!$B$44&lt;=0,0,(INT(Inputs!$B$44/IF(Inputs!$B$39="pvp",15,MAX(0.1,Skills!D15-IF(Skills!E15=TRUE,Inputs!$B$32,0))))+1)),0)</f>
        <v/>
      </c>
      <c r="S2485">
        <f>IFERROR(O2485/N2485,0)</f>
        <v/>
      </c>
      <c r="T2485" t="n">
        <v>0</v>
      </c>
      <c r="V2485" t="n">
        <v>0</v>
      </c>
    </row>
    <row r="2486">
      <c r="A2486">
        <f>Skills!A16</f>
        <v/>
      </c>
      <c r="B2486">
        <f>Skills!B16</f>
        <v/>
      </c>
      <c r="C2486">
        <f>Inputs!$B$3&gt;=115</f>
        <v/>
      </c>
      <c r="D2486">
        <f>IF(Skills!C16=1,60+Inputs!$B$25+Inputs!$B$29,IF(Skills!C16=2,90+Inputs!$B$26+Inputs!$B$29,IF(Skills!C16=3,120+Inputs!$B$27+Inputs!$B$29,MAX(0,(Inputs!$B$3-100)*3)+Inputs!$B$28+Inputs!$B$29)))</f>
        <v/>
      </c>
      <c r="E2486">
        <f>INDEX(FactorTable!$B$2:$Y$301, MATCH(ROUND(MIN(300,MAX(1,D2486)),0), FactorTable!$A$2:$A$301,0), Skills!M16+1)</f>
        <v/>
      </c>
      <c r="F2486">
        <f>IF(Skills!N16=TRUE,(Skills!L16/10)*(E2486/1000),Skills!L16/10)+Skills!O16</f>
        <v/>
      </c>
      <c r="G2486">
        <f>Skills!G16*IF(Skills!H16&gt;0,Skills!I16/Skills!H16,1)</f>
        <v/>
      </c>
      <c r="H2486">
        <f>1-(1-Skills!J16/100)^Skills!K16</f>
        <v/>
      </c>
      <c r="I2486" t="inlineStr">
        <is>
          <t>1</t>
        </is>
      </c>
      <c r="J2486">
        <f>((Inputs!$B$6*(1+Inputs!$B$7/100))+(((Inputs!$B$12*(1+Inputs!$B$13/100))-(Inputs!$B$12*(1+Inputs!$B$13/100)))+0.25*(Inputs!$B$14-Inputs!$B$14))*(1+Inputs!$B$7/100))*(F2486/100)</f>
        <v/>
      </c>
      <c r="K2486">
        <f>J2486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2497=TRUE)*(F2497-Calc!F27))+((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2486)</f>
        <v/>
      </c>
      <c r="L2486">
        <f>K2486*(MIN(Inputs!$B$22+((C2494=TRUE)*(F2494-Calc!F24)),(Inputs!$B$23+((C2499=TRUE)*(F2499-Calc!F29))+IF(ArtifactsInput!$M$15,CHOOSE(ArtifactsInput!$N$15+1,25,30,35,40,45,50)/100*(Inputs!$B$11-Inputs!$B$11),0)))/100+(Inputs!$B$23+((C2499=TRUE)*(F2499-Calc!F29))+IF(ArtifactsInput!$M$15,CHOOSE(ArtifactsInput!$N$15+1,25,30,35,40,45,50)/100*(Inputs!$B$11-Inputs!$B$11),0))/100)/2</f>
        <v/>
      </c>
      <c r="M2486">
        <f>L2486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IF(B2515=0,0,O2486/B2515)</f>
        <v/>
      </c>
      <c r="Q2486" t="n">
        <v>0</v>
      </c>
      <c r="R2486" t="n">
        <v>0</v>
      </c>
      <c r="S2486">
        <f>IFERROR(O2486/N2486,0)</f>
        <v/>
      </c>
      <c r="T2486">
        <f>IF(C2486,(Inputs!$B$38*0.2*N2486)*IF(Inputs!$B$39="pvp",1,1+(Inputs!$B$20+0+Skills!P16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2486*(1-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2495=TRUE)*(F2495-Calc!F25))+B2503+(ArtifactsInput!$M$24-ArtifactsInput!$M$24)*CHOOSE(ArtifactsInput!$N$24+1,10,12,14,16,18,20)+(IF(AND(Inputs!$B$39&lt;&gt;"pvp",Inputs!$B$44=0),1,IF(IF(Inputs!$B$39="pvp",15,Inputs!$B$44)-(B2514)&lt;=0,1,MAX(0,IF(Inputs!$B$39="pvp",15,Inputs!$B$44)-MAX(5,B2514))/(IF(Inputs!$B$39="pvp",15,Inputs!$B$44)-(B2514))))*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IF(C2486,(Inputs!$B$38*0.2*N2486)*IF(Inputs!$B$39="pvp",1,(1+(Inputs!$B$21+Skills!Q16+B2504+(IF(ArtifactsInput!$M$33,CHOOSE(ArtifactsInput!$N$33+1,30,36,42,48,54,60),0))+(IF(AND(ArtifactsInput!$M$35,Inputs!$B$4&lt;&gt;"Chapter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Skills!A17</f>
        <v/>
      </c>
      <c r="B2487">
        <f>Skills!B17</f>
        <v/>
      </c>
      <c r="C2487">
        <f>Inputs!$B$3&gt;=115</f>
        <v/>
      </c>
      <c r="D2487">
        <f>IF(Skills!C17=1,60+Inputs!$B$25+Inputs!$B$29,IF(Skills!C17=2,90+Inputs!$B$26+Inputs!$B$29,IF(Skills!C17=3,120+Inputs!$B$27+Inputs!$B$29,MAX(0,(Inputs!$B$3-100)*3)+Inputs!$B$28+Inputs!$B$29)))</f>
        <v/>
      </c>
      <c r="E2487">
        <f>INDEX(FactorTable!$B$2:$Y$301, MATCH(ROUND(MIN(300,MAX(1,D2487)),0), FactorTable!$A$2:$A$301,0), Skills!M17+1)</f>
        <v/>
      </c>
      <c r="F2487">
        <f>IF(Skills!N17=TRUE,(Skills!L17/10)*(E2487/1000),Skills!L17/10)+Skills!O17</f>
        <v/>
      </c>
      <c r="G2487">
        <f>Skills!G17*IF(Skills!H17&gt;0,Skills!I17/Skills!H17,1)</f>
        <v/>
      </c>
      <c r="H2487">
        <f>1-(1-Skills!J17/100)^Skills!K17</f>
        <v/>
      </c>
      <c r="I2487" t="inlineStr">
        <is>
          <t>1</t>
        </is>
      </c>
      <c r="J2487" t="inlineStr"/>
      <c r="K2487" t="inlineStr"/>
      <c r="L2487" t="inlineStr"/>
      <c r="M2487" t="inlineStr"/>
      <c r="N2487" t="inlineStr"/>
      <c r="O2487">
        <f>(1-Summary!$B$11)*T2487+Summary!$B$11*V2487</f>
        <v/>
      </c>
      <c r="P2487">
        <f>IF(B2515=0,0,O2487/B2515)</f>
        <v/>
      </c>
      <c r="Q2487" t="n">
        <v>0</v>
      </c>
      <c r="R2487" t="n">
        <v>0</v>
      </c>
      <c r="S2487">
        <f>IFERROR(O2487/N2487,0)</f>
        <v/>
      </c>
      <c r="T2487" t="n">
        <v>0</v>
      </c>
      <c r="V2487" t="n">
        <v>0</v>
      </c>
    </row>
    <row r="2488">
      <c r="A2488">
        <f>Skills!A18</f>
        <v/>
      </c>
      <c r="B2488">
        <f>Skills!B18</f>
        <v/>
      </c>
      <c r="C2488">
        <f>Inputs!$B$3&gt;=100</f>
        <v/>
      </c>
      <c r="D2488">
        <f>IF(Skills!C18=1,60+Inputs!$B$25+Inputs!$B$29,IF(Skills!C18=2,90+Inputs!$B$26+Inputs!$B$29,IF(Skills!C18=3,120+Inputs!$B$27+Inputs!$B$29,MAX(0,(Inputs!$B$3-100)*3)+Inputs!$B$28+Inputs!$B$29)))</f>
        <v/>
      </c>
      <c r="E2488">
        <f>INDEX(FactorTable!$B$2:$Y$301, MATCH(ROUND(MIN(300,MAX(1,D2488)),0), FactorTable!$A$2:$A$301,0), Skills!M18+1)</f>
        <v/>
      </c>
      <c r="F2488">
        <f>IF(Skills!N18=TRUE,(Skills!L18/10)*(E2488/1000),Skills!L18/10)+Skills!O18</f>
        <v/>
      </c>
      <c r="G2488">
        <f>Skills!G18*IF(Skills!H18&gt;0,Skills!I18/Skills!H18,1)</f>
        <v/>
      </c>
      <c r="H2488">
        <f>1-(1-Skills!J18/100)^Skills!K18</f>
        <v/>
      </c>
      <c r="I2488" t="inlineStr">
        <is>
          <t>1</t>
        </is>
      </c>
      <c r="J2488" t="inlineStr"/>
      <c r="K2488" t="inlineStr"/>
      <c r="L2488" t="inlineStr"/>
      <c r="M2488" t="inlineStr"/>
      <c r="N2488" t="inlineStr"/>
      <c r="O2488">
        <f>(1-Summary!$B$11)*T2488+Summary!$B$11*V2488</f>
        <v/>
      </c>
      <c r="P2488">
        <f>IF(B2515=0,0,O2488/B2515)</f>
        <v/>
      </c>
      <c r="Q2488" t="n">
        <v>0</v>
      </c>
      <c r="R2488" t="n">
        <v>0</v>
      </c>
      <c r="S2488">
        <f>IFERROR(O2488/N2488,0)</f>
        <v/>
      </c>
      <c r="T2488" t="n">
        <v>0</v>
      </c>
      <c r="V2488" t="n">
        <v>0</v>
      </c>
    </row>
    <row r="2489">
      <c r="A2489">
        <f>Skills!A19</f>
        <v/>
      </c>
      <c r="B2489">
        <f>Skills!B19</f>
        <v/>
      </c>
      <c r="C2489">
        <f>TRUE</f>
        <v/>
      </c>
      <c r="D2489">
        <f>IF(Skills!C19=1,60+Inputs!$B$25+Inputs!$B$29,IF(Skills!C19=2,90+Inputs!$B$26+Inputs!$B$29,IF(Skills!C19=3,120+Inputs!$B$27+Inputs!$B$29,MAX(0,(Inputs!$B$3-100)*3)+Inputs!$B$28+Inputs!$B$29)))</f>
        <v/>
      </c>
      <c r="E2489">
        <f>INDEX(FactorTable!$B$2:$Y$301, MATCH(ROUND(MIN(300,MAX(1,D2489)),0), FactorTable!$A$2:$A$301,0), Skills!M19+1)</f>
        <v/>
      </c>
      <c r="F2489">
        <f>IF(Skills!N19=TRUE,(Skills!L19/10)*(E2489/1000),Skills!L19/10)+Skills!O19</f>
        <v/>
      </c>
      <c r="G2489">
        <f>Skills!G19*IF(Skills!H19&gt;0,Skills!I19/Skills!H19,1)</f>
        <v/>
      </c>
      <c r="H2489">
        <f>1-(1-Skills!J19/100)^Skills!K19</f>
        <v/>
      </c>
      <c r="I2489" t="inlineStr">
        <is>
          <t>1</t>
        </is>
      </c>
      <c r="J2489" t="inlineStr"/>
      <c r="K2489" t="inlineStr"/>
      <c r="L2489" t="inlineStr"/>
      <c r="M2489" t="inlineStr"/>
      <c r="N2489" t="inlineStr"/>
      <c r="O2489">
        <f>(1-Summary!$B$11)*T2489+Summary!$B$11*V2489</f>
        <v/>
      </c>
      <c r="P2489">
        <f>IF(B2515=0,0,O2489/B2515)</f>
        <v/>
      </c>
      <c r="Q2489">
        <f>IFERROR(1/IF(Inputs!$B$39="pvp",15,MAX(0.1,Skills!D19-IF(Skills!E19=TRUE,Inputs!$B$32,0))),0)</f>
        <v/>
      </c>
      <c r="R2489">
        <f>IF(AND(Inputs!$B$39&lt;&gt;"pvp",Inputs!$B$44&gt;0),IF(Inputs!$B$44&lt;=0,0,(INT(Inputs!$B$44/IF(Inputs!$B$39="pvp",15,MAX(0.1,Skills!D19-IF(Skills!E19=TRUE,Inputs!$B$32,0))))+1)),0)</f>
        <v/>
      </c>
      <c r="S2489">
        <f>IFERROR(O2489/N2489,0)</f>
        <v/>
      </c>
      <c r="T2489" t="n">
        <v>0</v>
      </c>
      <c r="V2489" t="n">
        <v>0</v>
      </c>
    </row>
    <row r="2490">
      <c r="A2490">
        <f>Skills!A20</f>
        <v/>
      </c>
      <c r="B2490">
        <f>Skills!B20</f>
        <v/>
      </c>
      <c r="C2490">
        <f>Inputs!$B$3&gt;=15</f>
        <v/>
      </c>
      <c r="D2490">
        <f>IF(Skills!C20=1,60+Inputs!$B$25+Inputs!$B$29,IF(Skills!C20=2,90+Inputs!$B$26+Inputs!$B$29,IF(Skills!C20=3,120+Inputs!$B$27+Inputs!$B$29,MAX(0,(Inputs!$B$3-100)*3)+Inputs!$B$28+Inputs!$B$29)))</f>
        <v/>
      </c>
      <c r="E2490">
        <f>INDEX(FactorTable!$B$2:$Y$301, MATCH(ROUND(MIN(300,MAX(1,D2490)),0), FactorTable!$A$2:$A$301,0), Skills!M20+1)</f>
        <v/>
      </c>
      <c r="F2490">
        <f>IF(Skills!N20=TRUE,(Skills!L20/10)*(E2490/1000),Skills!L20/10)+Skills!O20</f>
        <v/>
      </c>
      <c r="G2490">
        <f>Skills!G20*IF(Skills!H20&gt;0,Skills!I20/Skills!H20,1)</f>
        <v/>
      </c>
      <c r="H2490">
        <f>1-(1-Skills!J20/100)^Skills!K20</f>
        <v/>
      </c>
      <c r="I2490" t="inlineStr">
        <is>
          <t>1</t>
        </is>
      </c>
      <c r="J2490" t="inlineStr"/>
      <c r="K2490" t="inlineStr"/>
      <c r="L2490" t="inlineStr"/>
      <c r="M2490" t="inlineStr"/>
      <c r="N2490" t="inlineStr"/>
      <c r="O2490">
        <f>(1-Summary!$B$11)*T2490+Summary!$B$11*V2490</f>
        <v/>
      </c>
      <c r="P2490">
        <f>IF(B2515=0,0,O2490/B2515)</f>
        <v/>
      </c>
      <c r="Q2490">
        <f>IFERROR(1/IF(Inputs!$B$39="pvp",15,MAX(0.1,Skills!D20-IF(Skills!E20=TRUE,Inputs!$B$32,0))),0)</f>
        <v/>
      </c>
      <c r="R2490">
        <f>IF(AND(Inputs!$B$39&lt;&gt;"pvp",Inputs!$B$44&gt;0),IF(Inputs!$B$44&lt;=0,0,(INT(Inputs!$B$44/IF(Inputs!$B$39="pvp",15,MAX(0.1,Skills!D20-IF(Skills!E20=TRUE,Inputs!$B$32,0))))+1)),0)</f>
        <v/>
      </c>
      <c r="S2490">
        <f>IFERROR(O2490/N2490,0)</f>
        <v/>
      </c>
      <c r="T2490" t="n">
        <v>0</v>
      </c>
      <c r="V2490" t="n">
        <v>0</v>
      </c>
    </row>
    <row r="2491">
      <c r="A2491">
        <f>Skills!A21</f>
        <v/>
      </c>
      <c r="B2491">
        <f>Skills!B21</f>
        <v/>
      </c>
      <c r="C2491">
        <f>Inputs!$B$3&gt;=15</f>
        <v/>
      </c>
      <c r="D2491">
        <f>IF(Skills!C21=1,60+Inputs!$B$25+Inputs!$B$29,IF(Skills!C21=2,90+Inputs!$B$26+Inputs!$B$29,IF(Skills!C21=3,120+Inputs!$B$27+Inputs!$B$29,MAX(0,(Inputs!$B$3-100)*3)+Inputs!$B$28+Inputs!$B$29)))</f>
        <v/>
      </c>
      <c r="E2491">
        <f>INDEX(FactorTable!$B$2:$Y$301, MATCH(ROUND(MIN(300,MAX(1,D2491)),0), FactorTable!$A$2:$A$301,0), Skills!M21+1)</f>
        <v/>
      </c>
      <c r="F2491">
        <f>IF(Skills!N21=TRUE,(Skills!L21/10)*(E2491/1000),Skills!L21/10)+Skills!O21</f>
        <v/>
      </c>
      <c r="G2491">
        <f>Skills!G21*IF(Skills!H21&gt;0,Skills!I21/Skills!H21,1)</f>
        <v/>
      </c>
      <c r="H2491">
        <f>1-(1-Skills!J21/100)^Skills!K21</f>
        <v/>
      </c>
      <c r="I2491" t="inlineStr">
        <is>
          <t>1</t>
        </is>
      </c>
      <c r="J2491" t="inlineStr"/>
      <c r="K2491" t="inlineStr"/>
      <c r="L2491" t="inlineStr"/>
      <c r="M2491" t="inlineStr"/>
      <c r="N2491" t="inlineStr"/>
      <c r="O2491">
        <f>(1-Summary!$B$11)*T2491+Summary!$B$11*V2491</f>
        <v/>
      </c>
      <c r="P2491">
        <f>IF(B2515=0,0,O2491/B2515)</f>
        <v/>
      </c>
      <c r="Q2491">
        <f>IFERROR(1/IF(Inputs!$B$39="pvp",15,MAX(0.1,Skills!D21-IF(Skills!E21=TRUE,Inputs!$B$32,0))),0)</f>
        <v/>
      </c>
      <c r="R2491">
        <f>IF(AND(Inputs!$B$39&lt;&gt;"pvp",Inputs!$B$44&gt;0),IF(Inputs!$B$44&lt;=0,0,(INT(Inputs!$B$44/IF(Inputs!$B$39="pvp",15,MAX(0.1,Skills!D21-IF(Skills!E21=TRUE,Inputs!$B$32,0))))+1)),0)</f>
        <v/>
      </c>
      <c r="S2491">
        <f>IFERROR(O2491/N2491,0)</f>
        <v/>
      </c>
      <c r="T2491" t="n">
        <v>0</v>
      </c>
      <c r="V2491" t="n">
        <v>0</v>
      </c>
    </row>
    <row r="2492">
      <c r="A2492">
        <f>Skills!A22</f>
        <v/>
      </c>
      <c r="B2492">
        <f>Skills!B22</f>
        <v/>
      </c>
      <c r="C2492">
        <f>Inputs!$B$3&gt;=33</f>
        <v/>
      </c>
      <c r="D2492">
        <f>IF(Skills!C22=1,60+Inputs!$B$25+Inputs!$B$29,IF(Skills!C22=2,90+Inputs!$B$26+Inputs!$B$29,IF(Skills!C22=3,120+Inputs!$B$27+Inputs!$B$29,MAX(0,(Inputs!$B$3-100)*3)+Inputs!$B$28+Inputs!$B$29)))</f>
        <v/>
      </c>
      <c r="E2492">
        <f>INDEX(FactorTable!$B$2:$Y$301, MATCH(ROUND(MIN(300,MAX(1,D2492)),0), FactorTable!$A$2:$A$301,0), Skills!M22+1)</f>
        <v/>
      </c>
      <c r="F2492">
        <f>IF(Skills!N22=TRUE,(Skills!L22/10)*(E2492/1000),Skills!L22/10)+Skills!O22</f>
        <v/>
      </c>
      <c r="G2492">
        <f>Skills!G22*IF(Skills!H22&gt;0,Skills!I22/Skills!H22,1)</f>
        <v/>
      </c>
      <c r="H2492">
        <f>1-(1-Skills!J22/100)^Skills!K22</f>
        <v/>
      </c>
      <c r="I2492" t="inlineStr">
        <is>
          <t>1</t>
        </is>
      </c>
      <c r="J2492" t="inlineStr"/>
      <c r="K2492" t="inlineStr"/>
      <c r="L2492" t="inlineStr"/>
      <c r="M2492" t="inlineStr"/>
      <c r="N2492" t="inlineStr"/>
      <c r="O2492">
        <f>(1-Summary!$B$11)*T2492+Summary!$B$11*V2492</f>
        <v/>
      </c>
      <c r="P2492">
        <f>IF(B2515=0,0,O2492/B2515)</f>
        <v/>
      </c>
      <c r="Q2492" t="n">
        <v>0</v>
      </c>
      <c r="R2492" t="n">
        <v>0</v>
      </c>
      <c r="S2492">
        <f>IFERROR(O2492/N2492,0)</f>
        <v/>
      </c>
      <c r="T2492" t="n">
        <v>0</v>
      </c>
      <c r="V2492" t="n">
        <v>0</v>
      </c>
    </row>
    <row r="2493">
      <c r="A2493">
        <f>Skills!A23</f>
        <v/>
      </c>
      <c r="B2493">
        <f>Skills!B23</f>
        <v/>
      </c>
      <c r="C2493">
        <f>Inputs!$B$3&gt;=40</f>
        <v/>
      </c>
      <c r="D2493">
        <f>IF(Skills!C23=1,60+Inputs!$B$25+Inputs!$B$29,IF(Skills!C23=2,90+Inputs!$B$26+Inputs!$B$29,IF(Skills!C23=3,120+Inputs!$B$27+Inputs!$B$29,MAX(0,(Inputs!$B$3-100)*3)+Inputs!$B$28+Inputs!$B$29)))</f>
        <v/>
      </c>
      <c r="E2493">
        <f>INDEX(FactorTable!$B$2:$Y$301, MATCH(ROUND(MIN(300,MAX(1,D2493)),0), FactorTable!$A$2:$A$301,0), Skills!M23+1)</f>
        <v/>
      </c>
      <c r="F2493">
        <f>IF(Skills!N23=TRUE,(Skills!L23/10)*(E2493/1000),Skills!L23/10)+Skills!O23</f>
        <v/>
      </c>
      <c r="G2493">
        <f>Skills!G23*IF(Skills!H23&gt;0,Skills!I23/Skills!H23,1)</f>
        <v/>
      </c>
      <c r="H2493">
        <f>1-(1-Skills!J23/100)^Skills!K23</f>
        <v/>
      </c>
      <c r="I2493" t="inlineStr">
        <is>
          <t>1</t>
        </is>
      </c>
      <c r="J2493" t="inlineStr"/>
      <c r="K2493" t="inlineStr"/>
      <c r="L2493" t="inlineStr"/>
      <c r="M2493" t="inlineStr"/>
      <c r="N2493" t="inlineStr"/>
      <c r="O2493">
        <f>(1-Summary!$B$11)*T2493+Summary!$B$11*V2493</f>
        <v/>
      </c>
      <c r="P2493">
        <f>IF(B2515=0,0,O2493/B2515)</f>
        <v/>
      </c>
      <c r="Q2493" t="n">
        <v>0</v>
      </c>
      <c r="R2493" t="n">
        <v>0</v>
      </c>
      <c r="S2493">
        <f>IFERROR(O2493/N2493,0)</f>
        <v/>
      </c>
      <c r="T2493" t="n">
        <v>0</v>
      </c>
      <c r="V2493" t="n">
        <v>0</v>
      </c>
    </row>
    <row r="2494">
      <c r="A2494">
        <f>Skills!A24</f>
        <v/>
      </c>
      <c r="B2494">
        <f>Skills!B24</f>
        <v/>
      </c>
      <c r="C2494">
        <f>Inputs!$B$3&gt;=43</f>
        <v/>
      </c>
      <c r="D2494">
        <f>IF(Skills!C24=1,60+Inputs!$B$25+Inputs!$B$29,IF(Skills!C24=2,90+Inputs!$B$26+Inputs!$B$29,IF(Skills!C24=3,120+Inputs!$B$27+Inputs!$B$29,MAX(0,(Inputs!$B$3-100)*3)+Inputs!$B$28+Inputs!$B$29)))</f>
        <v/>
      </c>
      <c r="E2494">
        <f>INDEX(FactorTable!$B$2:$Y$301, MATCH(ROUND(MIN(300,MAX(1,D2494)),0), FactorTable!$A$2:$A$301,0), Skills!M24+1)</f>
        <v/>
      </c>
      <c r="F2494">
        <f>IF(Skills!N24=TRUE,(Skills!L24/10)*(E2494/1000),Skills!L24/10)+Skills!O24</f>
        <v/>
      </c>
      <c r="G2494">
        <f>Skills!G24*IF(Skills!H24&gt;0,Skills!I24/Skills!H24,1)</f>
        <v/>
      </c>
      <c r="H2494">
        <f>1-(1-Skills!J24/100)^Skills!K24</f>
        <v/>
      </c>
      <c r="I2494" t="inlineStr">
        <is>
          <t>1</t>
        </is>
      </c>
      <c r="J2494" t="inlineStr"/>
      <c r="K2494" t="inlineStr"/>
      <c r="L2494" t="inlineStr"/>
      <c r="M2494" t="inlineStr"/>
      <c r="N2494" t="inlineStr"/>
      <c r="O2494">
        <f>(1-Summary!$B$11)*T2494+Summary!$B$11*V2494</f>
        <v/>
      </c>
      <c r="P2494">
        <f>IF(B2515=0,0,O2494/B2515)</f>
        <v/>
      </c>
      <c r="Q2494" t="n">
        <v>0</v>
      </c>
      <c r="R2494" t="n">
        <v>0</v>
      </c>
      <c r="S2494">
        <f>IFERROR(O2494/N2494,0)</f>
        <v/>
      </c>
      <c r="T2494" t="n">
        <v>0</v>
      </c>
      <c r="V2494" t="n">
        <v>0</v>
      </c>
    </row>
    <row r="2495">
      <c r="A2495">
        <f>Skills!A25</f>
        <v/>
      </c>
      <c r="B2495">
        <f>Skills!B25</f>
        <v/>
      </c>
      <c r="C2495">
        <f>Inputs!$B$3&gt;=50</f>
        <v/>
      </c>
      <c r="D2495">
        <f>IF(Skills!C25=1,60+Inputs!$B$25+Inputs!$B$29,IF(Skills!C25=2,90+Inputs!$B$26+Inputs!$B$29,IF(Skills!C25=3,120+Inputs!$B$27+Inputs!$B$29,MAX(0,(Inputs!$B$3-100)*3)+Inputs!$B$28+Inputs!$B$29)))</f>
        <v/>
      </c>
      <c r="E2495">
        <f>INDEX(FactorTable!$B$2:$Y$301, MATCH(ROUND(MIN(300,MAX(1,D2495)),0), FactorTable!$A$2:$A$301,0), Skills!M25+1)</f>
        <v/>
      </c>
      <c r="F2495">
        <f>IF(Skills!N25=TRUE,(Skills!L25/10)*(E2495/1000),Skills!L25/10)+Skills!O25</f>
        <v/>
      </c>
      <c r="G2495">
        <f>Skills!G25*IF(Skills!H25&gt;0,Skills!I25/Skills!H25,1)</f>
        <v/>
      </c>
      <c r="H2495">
        <f>1-(1-Skills!J25/100)^Skills!K25</f>
        <v/>
      </c>
      <c r="I2495" t="inlineStr">
        <is>
          <t>1</t>
        </is>
      </c>
      <c r="J2495" t="inlineStr"/>
      <c r="K2495" t="inlineStr"/>
      <c r="L2495" t="inlineStr"/>
      <c r="M2495" t="inlineStr"/>
      <c r="N2495" t="inlineStr"/>
      <c r="O2495">
        <f>(1-Summary!$B$11)*T2495+Summary!$B$11*V2495</f>
        <v/>
      </c>
      <c r="P2495">
        <f>IF(B2515=0,0,O2495/B2515)</f>
        <v/>
      </c>
      <c r="Q2495" t="n">
        <v>0</v>
      </c>
      <c r="R2495" t="n">
        <v>0</v>
      </c>
      <c r="S2495">
        <f>IFERROR(O2495/N2495,0)</f>
        <v/>
      </c>
      <c r="T2495" t="n">
        <v>0</v>
      </c>
      <c r="V2495" t="n">
        <v>0</v>
      </c>
    </row>
    <row r="2496">
      <c r="A2496">
        <f>Skills!A26</f>
        <v/>
      </c>
      <c r="B2496">
        <f>Skills!B26</f>
        <v/>
      </c>
      <c r="C2496">
        <f>Inputs!$B$3&gt;=50</f>
        <v/>
      </c>
      <c r="D2496">
        <f>IF(Skills!C26=1,60+Inputs!$B$25+Inputs!$B$29,IF(Skills!C26=2,90+Inputs!$B$26+Inputs!$B$29,IF(Skills!C26=3,120+Inputs!$B$27+Inputs!$B$29,MAX(0,(Inputs!$B$3-100)*3)+Inputs!$B$28+Inputs!$B$29)))</f>
        <v/>
      </c>
      <c r="E2496">
        <f>INDEX(FactorTable!$B$2:$Y$301, MATCH(ROUND(MIN(300,MAX(1,D2496)),0), FactorTable!$A$2:$A$301,0), Skills!M26+1)</f>
        <v/>
      </c>
      <c r="F2496">
        <f>IF(Skills!N26=TRUE,(Skills!L26/10)*(E2496/1000),Skills!L26/10)+Skills!O26</f>
        <v/>
      </c>
      <c r="G2496">
        <f>Skills!G26*IF(Skills!H26&gt;0,Skills!I26/Skills!H26,1)</f>
        <v/>
      </c>
      <c r="H2496">
        <f>1-(1-Skills!J26/100)^Skills!K26</f>
        <v/>
      </c>
      <c r="I2496" t="inlineStr">
        <is>
          <t>1</t>
        </is>
      </c>
      <c r="J2496" t="inlineStr"/>
      <c r="K2496" t="inlineStr"/>
      <c r="L2496" t="inlineStr"/>
      <c r="M2496" t="inlineStr"/>
      <c r="N2496" t="inlineStr"/>
      <c r="O2496">
        <f>(1-Summary!$B$11)*T2496+Summary!$B$11*V2496</f>
        <v/>
      </c>
      <c r="P2496">
        <f>IF(B2515=0,0,O2496/B2515)</f>
        <v/>
      </c>
      <c r="Q2496" t="n">
        <v>0</v>
      </c>
      <c r="R2496" t="n">
        <v>0</v>
      </c>
      <c r="S2496">
        <f>IFERROR(O2496/N2496,0)</f>
        <v/>
      </c>
      <c r="T2496" t="n">
        <v>0</v>
      </c>
      <c r="V2496" t="n">
        <v>0</v>
      </c>
    </row>
    <row r="2497">
      <c r="A2497">
        <f>Skills!A27</f>
        <v/>
      </c>
      <c r="B2497">
        <f>Skills!B27</f>
        <v/>
      </c>
      <c r="C2497">
        <f>Inputs!$B$3&gt;=38</f>
        <v/>
      </c>
      <c r="D2497">
        <f>IF(Skills!C27=1,60+Inputs!$B$25+Inputs!$B$29,IF(Skills!C27=2,90+Inputs!$B$26+Inputs!$B$29,IF(Skills!C27=3,120+Inputs!$B$27+Inputs!$B$29,MAX(0,(Inputs!$B$3-100)*3)+Inputs!$B$28+Inputs!$B$29)))</f>
        <v/>
      </c>
      <c r="E2497">
        <f>INDEX(FactorTable!$B$2:$Y$301, MATCH(ROUND(MIN(300,MAX(1,D2497)),0), FactorTable!$A$2:$A$301,0), Skills!M27+1)</f>
        <v/>
      </c>
      <c r="F2497">
        <f>IF(Skills!N27=TRUE,(Skills!L27/10)*(E2497/1000),Skills!L27/10)+Skills!O27</f>
        <v/>
      </c>
      <c r="G2497">
        <f>Skills!G27*IF(Skills!H27&gt;0,Skills!I27/Skills!H27,1)</f>
        <v/>
      </c>
      <c r="H2497">
        <f>1-(1-Skills!J27/100)^Skills!K27</f>
        <v/>
      </c>
      <c r="I2497" t="inlineStr">
        <is>
          <t>1</t>
        </is>
      </c>
      <c r="J2497" t="inlineStr"/>
      <c r="K2497" t="inlineStr"/>
      <c r="L2497" t="inlineStr"/>
      <c r="M2497" t="inlineStr"/>
      <c r="N2497" t="inlineStr"/>
      <c r="O2497">
        <f>(1-Summary!$B$11)*T2497+Summary!$B$11*V2497</f>
        <v/>
      </c>
      <c r="P2497">
        <f>IF(B2515=0,0,O2497/B2515)</f>
        <v/>
      </c>
      <c r="Q2497" t="n">
        <v>0</v>
      </c>
      <c r="R2497" t="n">
        <v>0</v>
      </c>
      <c r="S2497">
        <f>IFERROR(O2497/N2497,0)</f>
        <v/>
      </c>
      <c r="T2497" t="n">
        <v>0</v>
      </c>
      <c r="V2497" t="n">
        <v>0</v>
      </c>
    </row>
    <row r="2498">
      <c r="A2498">
        <f>Skills!A28</f>
        <v/>
      </c>
      <c r="B2498">
        <f>Skills!B28</f>
        <v/>
      </c>
      <c r="C2498">
        <f>Inputs!$B$3&gt;=120</f>
        <v/>
      </c>
      <c r="D2498">
        <f>IF(Skills!C28=1,60+Inputs!$B$25+Inputs!$B$29,IF(Skills!C28=2,90+Inputs!$B$26+Inputs!$B$29,IF(Skills!C28=3,120+Inputs!$B$27+Inputs!$B$29,MAX(0,(Inputs!$B$3-100)*3)+Inputs!$B$28+Inputs!$B$29)))</f>
        <v/>
      </c>
      <c r="E2498">
        <f>INDEX(FactorTable!$B$2:$Y$301, MATCH(ROUND(MIN(300,MAX(1,D2498)),0), FactorTable!$A$2:$A$301,0), Skills!M28+1)</f>
        <v/>
      </c>
      <c r="F2498">
        <f>IF(Skills!N28=TRUE,(Skills!L28/10)*(E2498/1000),Skills!L28/10)+Skills!O28</f>
        <v/>
      </c>
      <c r="G2498">
        <f>Skills!G28*IF(Skills!H28&gt;0,Skills!I28/Skills!H28,1)</f>
        <v/>
      </c>
      <c r="H2498">
        <f>1-(1-Skills!J28/100)^Skills!K28</f>
        <v/>
      </c>
      <c r="I2498" t="inlineStr">
        <is>
          <t>1</t>
        </is>
      </c>
      <c r="J2498" t="inlineStr"/>
      <c r="K2498" t="inlineStr"/>
      <c r="L2498" t="inlineStr"/>
      <c r="M2498" t="inlineStr"/>
      <c r="N2498" t="inlineStr"/>
      <c r="O2498">
        <f>(1-Summary!$B$11)*T2498+Summary!$B$11*V2498</f>
        <v/>
      </c>
      <c r="P2498">
        <f>IF(B2515=0,0,O2498/B2515)</f>
        <v/>
      </c>
      <c r="Q2498" t="n">
        <v>0</v>
      </c>
      <c r="R2498" t="n">
        <v>0</v>
      </c>
      <c r="S2498">
        <f>IFERROR(O2498/N2498,0)</f>
        <v/>
      </c>
      <c r="T2498" t="n">
        <v>0</v>
      </c>
      <c r="V2498" t="n">
        <v>0</v>
      </c>
    </row>
    <row r="2499">
      <c r="A2499">
        <f>Skills!A29</f>
        <v/>
      </c>
      <c r="B2499">
        <f>Skills!B29</f>
        <v/>
      </c>
      <c r="C2499">
        <f>Inputs!$B$3&gt;=120</f>
        <v/>
      </c>
      <c r="D2499">
        <f>IF(Skills!C29=1,60+Inputs!$B$25+Inputs!$B$29,IF(Skills!C29=2,90+Inputs!$B$26+Inputs!$B$29,IF(Skills!C29=3,120+Inputs!$B$27+Inputs!$B$29,MAX(0,(Inputs!$B$3-100)*3)+Inputs!$B$28+Inputs!$B$29)))</f>
        <v/>
      </c>
      <c r="E2499">
        <f>INDEX(FactorTable!$B$2:$Y$301, MATCH(ROUND(MIN(300,MAX(1,D2499)),0), FactorTable!$A$2:$A$301,0), Skills!M29+1)</f>
        <v/>
      </c>
      <c r="F2499">
        <f>IF(Skills!N29=TRUE,(Skills!L29/10)*(E2499/1000),Skills!L29/10)+Skills!O29</f>
        <v/>
      </c>
      <c r="G2499">
        <f>Skills!G29*IF(Skills!H29&gt;0,Skills!I29/Skills!H29,1)</f>
        <v/>
      </c>
      <c r="H2499">
        <f>1-(1-Skills!J29/100)^Skills!K29</f>
        <v/>
      </c>
      <c r="I2499" t="inlineStr">
        <is>
          <t>1</t>
        </is>
      </c>
      <c r="J2499" t="inlineStr"/>
      <c r="K2499" t="inlineStr"/>
      <c r="L2499" t="inlineStr"/>
      <c r="M2499" t="inlineStr"/>
      <c r="N2499" t="inlineStr"/>
      <c r="O2499">
        <f>(1-Summary!$B$11)*T2499+Summary!$B$11*V2499</f>
        <v/>
      </c>
      <c r="P2499">
        <f>IF(B2515=0,0,O2499/B2515)</f>
        <v/>
      </c>
      <c r="Q2499" t="n">
        <v>0</v>
      </c>
      <c r="R2499" t="n">
        <v>0</v>
      </c>
      <c r="S2499">
        <f>IFERROR(O2499/N2499,0)</f>
        <v/>
      </c>
      <c r="T2499" t="n">
        <v>0</v>
      </c>
      <c r="V2499" t="n">
        <v>0</v>
      </c>
    </row>
    <row r="2500">
      <c r="A2500">
        <f>Skills!A30</f>
        <v/>
      </c>
      <c r="B2500">
        <f>Skills!B30</f>
        <v/>
      </c>
      <c r="C2500">
        <f>Inputs!$B$3&gt;=125</f>
        <v/>
      </c>
      <c r="D2500">
        <f>IF(Skills!C30=1,60+Inputs!$B$25+Inputs!$B$29,IF(Skills!C30=2,90+Inputs!$B$26+Inputs!$B$29,IF(Skills!C30=3,120+Inputs!$B$27+Inputs!$B$29,MAX(0,(Inputs!$B$3-100)*3)+Inputs!$B$28+Inputs!$B$29)))</f>
        <v/>
      </c>
      <c r="E2500">
        <f>INDEX(FactorTable!$B$2:$Y$301, MATCH(ROUND(MIN(300,MAX(1,D2500)),0), FactorTable!$A$2:$A$301,0), Skills!M30+1)</f>
        <v/>
      </c>
      <c r="F2500">
        <f>IF(Skills!N30=TRUE,(Skills!L30/10)*(E2500/1000),Skills!L30/10)+Skills!O30</f>
        <v/>
      </c>
      <c r="G2500">
        <f>Skills!G30*IF(Skills!H30&gt;0,Skills!I30/Skills!H30,1)</f>
        <v/>
      </c>
      <c r="H2500">
        <f>1-(1-Skills!J30/100)^Skills!K30</f>
        <v/>
      </c>
      <c r="I2500" t="inlineStr">
        <is>
          <t>1</t>
        </is>
      </c>
      <c r="J2500" t="inlineStr"/>
      <c r="K2500" t="inlineStr"/>
      <c r="L2500" t="inlineStr"/>
      <c r="M2500" t="inlineStr"/>
      <c r="N2500" t="inlineStr"/>
      <c r="O2500">
        <f>(1-Summary!$B$11)*T2500+Summary!$B$11*V2500</f>
        <v/>
      </c>
      <c r="P2500">
        <f>IF(B2515=0,0,O2500/B2515)</f>
        <v/>
      </c>
      <c r="Q2500" t="n">
        <v>0</v>
      </c>
      <c r="R2500" t="n">
        <v>0</v>
      </c>
      <c r="S2500">
        <f>IFERROR(O2500/N2500,0)</f>
        <v/>
      </c>
      <c r="T2500" t="n">
        <v>0</v>
      </c>
      <c r="V2500" t="n">
        <v>0</v>
      </c>
    </row>
    <row r="2502">
      <c r="A2502" t="inlineStr">
        <is>
          <t>Average Buff Multiplier</t>
        </is>
      </c>
      <c r="B2502">
        <f>(1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f>
        <v/>
      </c>
    </row>
    <row r="2503">
      <c r="A2503" t="inlineStr">
        <is>
          <t>Global Crit Rate Bonus %</t>
        </is>
      </c>
      <c r="B2503">
        <f>((C2490=TRUE)*F2490*IF(AND(Inputs!$B$39&lt;&gt;"pvp",Inputs!$B$44&gt;0),(((R2490-1)*(Skills!Y20*(1+Inputs!$B$34/100))+MIN((Skills!Y20*(1+Inputs!$B$34/100)),MAX(0,Inputs!$B$44-((R2490-1)*Skills!D20))))/Inputs!$B$44),IF(Inputs!$B$39="pvp",MIN((Skills!Y20*(1+Inputs!$B$34/100)),15)/15,(Skills!Y20*(1+Inputs!$B$34/100))/Skills!D20)))</f>
        <v/>
      </c>
    </row>
    <row r="2504">
      <c r="A2504" t="inlineStr">
        <is>
          <t>Global Monster Damage-Taken Bonus %</t>
        </is>
      </c>
      <c r="B2504">
        <f>IF(Inputs!$B$3&gt;=82,15,0)</f>
        <v/>
      </c>
    </row>
    <row r="2505">
      <c r="A2505" t="inlineStr">
        <is>
          <t>Shadow Partner Average Multiplier</t>
        </is>
      </c>
      <c r="B2505">
        <f>1+((C2477=TRUE)*F2477*(1+3.3333333333333335*IF(C2488=TRUE,F2488,0)/100)*I2477*Skills!J7/100)/100</f>
        <v/>
      </c>
    </row>
    <row r="2506">
      <c r="A2506" t="inlineStr">
        <is>
          <t>Attack Speed Buff Bonus %</t>
        </is>
      </c>
      <c r="B2506">
        <f>((C2489=TRUE)*F2489*IF(AND(Inputs!$B$39&lt;&gt;"pvp",Inputs!$B$44&gt;0),(((R2489-1)*(Skills!Y19*(1+Inputs!$B$34/100))+MIN((Skills!Y19*(1+Inputs!$B$34/100)),MAX(0,Inputs!$B$44-((R2489-1)*Skills!D19))))/Inputs!$B$44),IF(Inputs!$B$39="pvp",MIN((Skills!Y19*(1+Inputs!$B$34/100)),15)/15,(Skills!Y19*(1+Inputs!$B$34/100))/Skills!D19)))+((C2473=TRUE)*F2473*3)</f>
        <v/>
      </c>
    </row>
    <row r="2507">
      <c r="A2507" t="inlineStr">
        <is>
          <t>Actions Per Second</t>
        </is>
      </c>
      <c r="B2507">
        <f>1+MIN(150,150*(1-(1-(Inputs!$B$11+((C2492=TRUE)*(F2492-Calc!F22)))/150)*(1-B2506/150)))/100</f>
        <v/>
      </c>
    </row>
    <row r="2508">
      <c r="A2508" t="inlineStr">
        <is>
          <t>Skill + Buff Cast Rate</t>
        </is>
      </c>
      <c r="B2508">
        <f>IF(AND(Inputs!$B$39&lt;&gt;"pvp",Inputs!$B$44&gt;0),SUMPRODUCT((Skills!E2:E30=TRUE)*(C2472:C2500=TRUE)*R2472:R2500*Skills!F2:F30)/Inputs!$B$44,SUMPRODUCT((Skills!E2:E30=TRUE)*(C2472:C2500=TRUE)*Q2472:Q2500*Skills!F2:F30))</f>
        <v/>
      </c>
    </row>
    <row r="2509">
      <c r="A2509" t="inlineStr">
        <is>
          <t>Cruel Stab Casts Per Second</t>
        </is>
      </c>
      <c r="B2509">
        <f>MAX(0,B2507-B2508)</f>
        <v/>
      </c>
    </row>
    <row r="2510">
      <c r="A2510" t="inlineStr">
        <is>
          <t>Global Critical Damage Bonus % (Smokescreen Mastery Lv.113)</t>
        </is>
      </c>
      <c r="B2510">
        <f>IF(Inputs!$B$3&gt;=113,30,0)*IF(AND(Inputs!$B$39&lt;&gt;"pvp",Inputs!$B$44&gt;0),(((R2485-1)*(Skills!Y15*(1+Inputs!$B$34/100))+MIN((Skills!Y15*(1+Inputs!$B$34/100)),MAX(0,Inputs!$B$44-((R2485-1)*Skills!D15))))/Inputs!$B$44),IF(Inputs!$B$39="pvp",MIN((Skills!Y15*(1+Inputs!$B$34/100)),15)/15,(Skills!Y15*(1+Inputs!$B$34/100))/Skills!D15))</f>
        <v/>
      </c>
    </row>
    <row r="2511">
      <c r="A2511" t="inlineStr">
        <is>
          <t>Meso Explosion average stack count</t>
        </is>
      </c>
      <c r="B2511">
        <f>MIN(10,0.5*B2507*Skills!D4)</f>
        <v/>
      </c>
    </row>
    <row r="2512">
      <c r="A2512" t="inlineStr">
        <is>
          <t>Blood Money average stack count</t>
        </is>
      </c>
      <c r="B2512">
        <f>MIN(5,0.25*B2507*Skills!D4)</f>
        <v/>
      </c>
    </row>
    <row r="2513">
      <c r="A2513" t="inlineStr">
        <is>
          <t>Assassinate Murderous Intent Multiplier</t>
        </is>
      </c>
      <c r="B2513">
        <f>1+IFERROR(MIN(1,Q2484*2/Q2481),0)</f>
        <v/>
      </c>
    </row>
    <row r="2514">
      <c r="A2514" t="inlineStr">
        <is>
          <t>Buff-Casting Startup Delay (s, fixed-duration only)</t>
        </is>
      </c>
      <c r="B2514">
        <f>IF(AND(Inputs!$B$39&lt;&gt;"pvp",Inputs!$B$44&gt;0),SUMPRODUCT((Skills!Y2:Y30&gt;0)*(Skills!E2:E30=TRUE)*(C2472:C2500=TRUE))/B2507,0)</f>
        <v/>
      </c>
    </row>
    <row r="2515">
      <c r="A2515" s="6" t="inlineStr">
        <is>
          <t>TOTAL DPS</t>
        </is>
      </c>
      <c r="B2515" s="6">
        <f>SUM(O2472:O2500)</f>
        <v/>
      </c>
    </row>
    <row r="2516">
      <c r="A2516" t="inlineStr">
        <is>
          <t>Boss-Only Total DPS (this block's swept value)</t>
        </is>
      </c>
      <c r="B2516">
        <f>SUM(T2472:T2500)</f>
        <v/>
      </c>
    </row>
    <row r="2517">
      <c r="A2517" t="inlineStr">
        <is>
          <t>Normal-Only Total DPS (this block's swept value)</t>
        </is>
      </c>
      <c r="B2517">
        <f>SUM(V2472:V2500)</f>
        <v/>
      </c>
    </row>
    <row r="2520">
      <c r="A2520" s="6" t="inlineStr">
        <is>
          <t>Stat: Soul Pouch (Equip)</t>
        </is>
      </c>
    </row>
    <row r="2521">
      <c r="A2521" s="5" t="inlineStr">
        <is>
          <t>Key</t>
        </is>
      </c>
      <c r="B2521" s="5" t="inlineStr">
        <is>
          <t>Name</t>
        </is>
      </c>
      <c r="C2521" s="5" t="inlineStr">
        <is>
          <t>Unlocked</t>
        </is>
      </c>
      <c r="D2521" s="5" t="inlineStr">
        <is>
          <t>InputLevel</t>
        </is>
      </c>
      <c r="E2521" s="5" t="inlineStr">
        <is>
          <t>Factor</t>
        </is>
      </c>
      <c r="F2521" s="5" t="inlineStr">
        <is>
          <t>CoefficientPercent</t>
        </is>
      </c>
      <c r="G2521" s="5" t="inlineStr">
        <is>
          <t>EffectiveHits</t>
        </is>
      </c>
      <c r="H2521" s="5" t="inlineStr">
        <is>
          <t>ProcProbability</t>
        </is>
      </c>
      <c r="I2521" s="5" t="inlineStr">
        <is>
          <t>MapleHeroMultiplier</t>
        </is>
      </c>
      <c r="J2521" s="5" t="inlineStr">
        <is>
          <t>BaseDamage</t>
        </is>
      </c>
      <c r="K2521" s="5" t="inlineStr">
        <is>
          <t>BaseHitDamage</t>
        </is>
      </c>
      <c r="L2521" s="5" t="inlineStr">
        <is>
          <t>NonCritAvg</t>
        </is>
      </c>
      <c r="M2521" s="5" t="inlineStr">
        <is>
          <t>CritAvg</t>
        </is>
      </c>
      <c r="N2521" s="5" t="inlineStr">
        <is>
          <t>ExpectedDamage(perHit)</t>
        </is>
      </c>
      <c r="O2521" s="5" t="inlineStr">
        <is>
          <t>DPS</t>
        </is>
      </c>
      <c r="P2521" s="5" t="inlineStr">
        <is>
          <t>% of Total</t>
        </is>
      </c>
      <c r="Q2521" s="5" t="inlineStr">
        <is>
          <t>InvCooldown</t>
        </is>
      </c>
      <c r="R2521" s="5" t="inlineStr">
        <is>
          <t>CastsInFight</t>
        </is>
      </c>
      <c r="S2521" s="5" t="inlineStr">
        <is>
          <t>HitRate(perSec)</t>
        </is>
      </c>
      <c r="U2521" t="inlineStr">
        <is>
          <t>helpers</t>
        </is>
      </c>
    </row>
    <row r="2522">
      <c r="A2522">
        <f>Skills!A2</f>
        <v/>
      </c>
      <c r="B2522">
        <f>Skills!B2</f>
        <v/>
      </c>
      <c r="C2522">
        <f>Inputs!$B$3&gt;=100</f>
        <v/>
      </c>
      <c r="D2522" t="inlineStr"/>
      <c r="E2522" t="inlineStr"/>
      <c r="F2522">
        <f>U2524+Skills!O2</f>
        <v/>
      </c>
      <c r="G2522">
        <f>Skills!G2*IF(Skills!H2&gt;0,Skills!I2/Skills!H2,1)</f>
        <v/>
      </c>
      <c r="H2522">
        <f>1-(1-Skills!J2/100)^Skills!K2</f>
        <v/>
      </c>
      <c r="I2522" t="inlineStr">
        <is>
          <t>1</t>
        </is>
      </c>
      <c r="J2522">
        <f>((Inputs!$B$6*(1+Inputs!$B$7/100))+(((Inputs!$B$12*(1+Inputs!$B$13/100))-(Inputs!$B$12*(1+Inputs!$B$13/100)))+0.25*(Inputs!$B$14-Inputs!$B$14))*(1+Inputs!$B$7/100))*(F2522/100)</f>
        <v/>
      </c>
      <c r="K2522">
        <f>J2522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2522)</f>
        <v/>
      </c>
      <c r="L2522">
        <f>K2522*(MIN(Inputs!$B$22+((C2544=TRUE)*(F2544-Calc!F24)),(Inputs!$B$23+((C2549=TRUE)*(F2549-Calc!F29))+IF(ArtifactsInput!$M$15,CHOOSE(ArtifactsInput!$N$15+1,25,30,35,40,45,50)/100*(Inputs!$B$11-Inputs!$B$11),0)))/100+(Inputs!$B$23+((C2549=TRUE)*(F2549-Calc!F29))+IF(ArtifactsInput!$M$15,CHOOSE(ArtifactsInput!$N$15+1,25,30,35,40,45,50)/100*(Inputs!$B$11-Inputs!$B$11),0))/100)/2</f>
        <v/>
      </c>
      <c r="M2522">
        <f>L2522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2">
        <f>L2522*(1-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2522*(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2">
        <f>(1-Summary!$B$11)*T2522+Summary!$B$11*V2522</f>
        <v/>
      </c>
      <c r="P2522">
        <f>IF(B2565=0,0,O2522/B2565)</f>
        <v/>
      </c>
      <c r="Q2522" t="n">
        <v>0</v>
      </c>
      <c r="R2522" t="n">
        <v>0</v>
      </c>
      <c r="S2522">
        <f>IFERROR(O2522/N2522,0)</f>
        <v/>
      </c>
      <c r="T2522">
        <f>IF(C2522,(Skills!G2*N2522*B2559)*IF(Inputs!$B$39="pvp",1,1+(Inputs!$B$20+0+Skills!P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2522*(1-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2522*(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2522*(1-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2522*(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2">
        <f>MAX(0,(Inputs!$B$3-100)*3)+Inputs!$B$28+Inputs!$B$29</f>
        <v/>
      </c>
      <c r="V2522">
        <f>IF(C2522,(Skills!G2*N2522*B2559)*IF(Inputs!$B$39="pvp",1,(1+(Inputs!$B$21+Skills!Q2+B2554+(IF(ArtifactsInput!$M$33,CHOOSE(ArtifactsInput!$N$33+1,30,36,42,48,54,60),0))+(IF(AND(ArtifactsInput!$M$35,Inputs!$B$4&lt;&gt;"Chapter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3">
      <c r="A2523">
        <f>Skills!A3</f>
        <v/>
      </c>
      <c r="B2523">
        <f>Skills!B3</f>
        <v/>
      </c>
      <c r="C2523">
        <f>Inputs!$B$3&gt;=35</f>
        <v/>
      </c>
      <c r="D2523">
        <f>IF(Skills!C3=1,60+Inputs!$B$25+Inputs!$B$29,IF(Skills!C3=2,90+Inputs!$B$26+Inputs!$B$29,IF(Skills!C3=3,120+Inputs!$B$27+Inputs!$B$29,MAX(0,(Inputs!$B$3-100)*3)+Inputs!$B$28+Inputs!$B$29)))</f>
        <v/>
      </c>
      <c r="E2523">
        <f>INDEX(FactorTable!$B$2:$Y$301, MATCH(ROUND(MIN(300,MAX(1,D2523)),0), FactorTable!$A$2:$A$301,0), Skills!M3+1)</f>
        <v/>
      </c>
      <c r="F2523">
        <f>IF(Skills!N3=TRUE,(Skills!L3/10)*(E2523/1000),Skills!L3/10)+Skills!O3</f>
        <v/>
      </c>
      <c r="G2523">
        <f>Skills!G3*IF(Skills!H3&gt;0,Skills!I3/Skills!H3,1)</f>
        <v/>
      </c>
      <c r="H2523">
        <f>1-(1-Skills!J3/100)^Skills!K3</f>
        <v/>
      </c>
      <c r="I2523" t="inlineStr">
        <is>
          <t>1</t>
        </is>
      </c>
      <c r="J2523" t="inlineStr"/>
      <c r="K2523" t="inlineStr"/>
      <c r="L2523" t="inlineStr"/>
      <c r="M2523" t="inlineStr"/>
      <c r="N2523" t="inlineStr"/>
      <c r="O2523">
        <f>(1-Summary!$B$11)*T2523+Summary!$B$11*V2523</f>
        <v/>
      </c>
      <c r="P2523">
        <f>IF(B2565=0,0,O2523/B2565)</f>
        <v/>
      </c>
      <c r="Q2523" t="n">
        <v>0</v>
      </c>
      <c r="R2523" t="n">
        <v>0</v>
      </c>
      <c r="S2523">
        <f>IFERROR(O2523/N2523,0)</f>
        <v/>
      </c>
      <c r="T2523" t="n">
        <v>0</v>
      </c>
      <c r="U2523">
        <f>INDEX(FactorTable!$B$2:$Y$301, MATCH(ROUND(MIN(300,MAX(1,U2522)),0), FactorTable!$A$2:$A$301,0), 22)</f>
        <v/>
      </c>
      <c r="V2523" t="n">
        <v>0</v>
      </c>
    </row>
    <row r="2524">
      <c r="A2524">
        <f>Skills!A4</f>
        <v/>
      </c>
      <c r="B2524">
        <f>Skills!B4</f>
        <v/>
      </c>
      <c r="C2524">
        <f>Inputs!$B$3&gt;=66</f>
        <v/>
      </c>
      <c r="D2524">
        <f>IF(Skills!C4=1,60+Inputs!$B$25+Inputs!$B$29,IF(Skills!C4=2,90+Inputs!$B$26+Inputs!$B$29,IF(Skills!C4=3,120+Inputs!$B$27+Inputs!$B$29,MAX(0,(Inputs!$B$3-100)*3)+Inputs!$B$28+Inputs!$B$29)))</f>
        <v/>
      </c>
      <c r="E2524">
        <f>INDEX(FactorTable!$B$2:$Y$301, MATCH(ROUND(MIN(300,MAX(1,D2524)),0), FactorTable!$A$2:$A$301,0), Skills!M4+1)</f>
        <v/>
      </c>
      <c r="F2524">
        <f>IF(Skills!N4=TRUE,(Skills!L4/10)*(E2524/1000),Skills!L4/10)+Skills!O4</f>
        <v/>
      </c>
      <c r="G2524">
        <f>Skills!G4*IF(Skills!H4&gt;0,Skills!I4/Skills!H4,1)</f>
        <v/>
      </c>
      <c r="H2524">
        <f>1-(1-Skills!J4/100)^Skills!K4</f>
        <v/>
      </c>
      <c r="I2524" t="inlineStr">
        <is>
          <t>1</t>
        </is>
      </c>
      <c r="J2524">
        <f>((Inputs!$B$6*(1+Inputs!$B$7/100))+(((Inputs!$B$12*(1+Inputs!$B$13/100))-(Inputs!$B$12*(1+Inputs!$B$13/100)))+0.25*(Inputs!$B$14-Inputs!$B$14))*(1+Inputs!$B$7/100))*(F2524/100)</f>
        <v/>
      </c>
      <c r="K2524">
        <f>J2524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2524)</f>
        <v/>
      </c>
      <c r="L2524">
        <f>K2524*(MIN(Inputs!$B$22+((C2544=TRUE)*(F2544-Calc!F24)),(Inputs!$B$23+((C2549=TRUE)*(F2549-Calc!F29))+IF(ArtifactsInput!$M$15,CHOOSE(ArtifactsInput!$N$15+1,25,30,35,40,45,50)/100*(Inputs!$B$11-Inputs!$B$11),0)))/100+(Inputs!$B$23+((C2549=TRUE)*(F2549-Calc!F29))+IF(ArtifactsInput!$M$15,CHOOSE(ArtifactsInput!$N$15+1,25,30,35,40,45,50)/100*(Inputs!$B$11-Inputs!$B$11),0))/100)/2</f>
        <v/>
      </c>
      <c r="M2524">
        <f>L2524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IF(B2565=0,0,O2524/B2565)</f>
        <v/>
      </c>
      <c r="Q2524">
        <f>IFERROR(1/IF(Inputs!$B$39="pvp",15,MAX(0.1,Skills!D4-IF(Skills!E4=TRUE,Inputs!$B$32,0))),0)</f>
        <v/>
      </c>
      <c r="R2524">
        <f>IF(AND(Inputs!$B$39&lt;&gt;"pvp",Inputs!$B$44&gt;0),IF(MAX(0,Inputs!$B$44-B2564)&lt;=0,0,(INT(MAX(0,Inputs!$B$44-B2564)/IF(Inputs!$B$39="pvp",15,MAX(0.1,Skills!D4-IF(Skills!E4=TRUE,Inputs!$B$32,0))))+1)),0)</f>
        <v/>
      </c>
      <c r="S2524">
        <f>IFERROR(O2524/N2524,0)</f>
        <v/>
      </c>
      <c r="T2524">
        <f>IF(C2524,(H2524*N2524*IF(AND(Inputs!$B$39&lt;&gt;"pvp",Inputs!$B$44&gt;0),((Skills!G4*((R2524-1)*IF(Skills!H4&gt;0,Skills!I4/Skills!H4,1)+IF(Skills!H4&gt;0,MIN(Skills!I4,MAX(0,MAX(0,Inputs!$B$44-B2564)-((R2524-1)*IF(Inputs!$B$39="pvp",15,MAX(0.1,Skills!D4-IF(Skills!E4=TRUE,Inputs!$B$32,0))))))/Skills!H4,1)))/Inputs!$B$44),G2524*Q2524))*IF(Inputs!$B$39="pvp",1,1+(Inputs!$B$20+0+Skills!P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2524*(1-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290*U2523/1000</f>
        <v/>
      </c>
      <c r="V2524">
        <f>IF(C2524,(H2524*N2524*IF(AND(Inputs!$B$39&lt;&gt;"pvp",Inputs!$B$44&gt;0),((Skills!G4*((R2524-1)*IF(Skills!H4&gt;0,Skills!I4/Skills!H4,1)+IF(Skills!H4&gt;0,MIN(Skills!I4,MAX(0,MAX(0,Inputs!$B$44-B2564)-((R2524-1)*IF(Inputs!$B$39="pvp",15,MAX(0.1,Skills!D4-IF(Skills!E4=TRUE,Inputs!$B$32,0))))))/Skills!H4,1)))/Inputs!$B$44),G2524*Q2524))*IF(Inputs!$B$39="pvp",1,(1+(Inputs!$B$21+Skills!Q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(10,0.5*B2557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Skills!A5</f>
        <v/>
      </c>
      <c r="B2525">
        <f>Skills!B5</f>
        <v/>
      </c>
      <c r="C2525">
        <f>Inputs!$B$3&gt;=63</f>
        <v/>
      </c>
      <c r="D2525">
        <f>IF(Skills!C5=1,60+Inputs!$B$25+Inputs!$B$29,IF(Skills!C5=2,90+Inputs!$B$26+Inputs!$B$29,IF(Skills!C5=3,120+Inputs!$B$27+Inputs!$B$29,MAX(0,(Inputs!$B$3-100)*3)+Inputs!$B$28+Inputs!$B$29)))</f>
        <v/>
      </c>
      <c r="E2525">
        <f>INDEX(FactorTable!$B$2:$Y$301, MATCH(ROUND(MIN(300,MAX(1,D2525)),0), FactorTable!$A$2:$A$301,0), Skills!M5+1)</f>
        <v/>
      </c>
      <c r="F2525">
        <f>IF(Skills!N5=TRUE,(Skills!L5/10)*(E2525/1000),Skills!L5/10)+Skills!O5</f>
        <v/>
      </c>
      <c r="G2525">
        <f>Skills!G5*IF(Skills!H5&gt;0,Skills!I5/Skills!H5,1)</f>
        <v/>
      </c>
      <c r="H2525">
        <f>1-(1-Skills!J5/100)^Skills!K5</f>
        <v/>
      </c>
      <c r="I2525" t="inlineStr">
        <is>
          <t>1</t>
        </is>
      </c>
      <c r="J2525">
        <f>((Inputs!$B$6*(1+Inputs!$B$7/100))+(((Inputs!$B$12*(1+Inputs!$B$13/100))-(Inputs!$B$12*(1+Inputs!$B$13/100)))+0.25*(Inputs!$B$14-Inputs!$B$14))*(1+Inputs!$B$7/100))*(F2525/100)</f>
        <v/>
      </c>
      <c r="K2525">
        <f>J2525*(1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2538=TRUE,F2538,0)/100)*(1+(IF(Skills!A5="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2525)</f>
        <v/>
      </c>
      <c r="L2525">
        <f>K2525*(MIN(Inputs!$B$22+((C2544=TRUE)*(F2544-Calc!F24)),(Inputs!$B$23+((C2549=TRUE)*(F2549-Calc!F29))+IF(ArtifactsInput!$M$15,CHOOSE(ArtifactsInput!$N$15+1,25,30,35,40,45,50)/100*(Inputs!$B$11-Inputs!$B$11),0)))/100+(Inputs!$B$23+((C2549=TRUE)*(F2549-Calc!F29))+IF(ArtifactsInput!$M$15,CHOOSE(ArtifactsInput!$N$15+1,25,30,35,40,45,50)/100*(Inputs!$B$11-Inputs!$B$11),0))/100)/2</f>
        <v/>
      </c>
      <c r="M2525">
        <f>L2525*(1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IF(B2565=0,0,O2525/B2565)</f>
        <v/>
      </c>
      <c r="Q2525">
        <f>IFERROR(1/IF(Inputs!$B$39="pvp",15,MAX(0.1,Skills!D5-IF(Skills!E5=TRUE,Inputs!$B$32,0))),0)</f>
        <v/>
      </c>
      <c r="R2525">
        <f>IF(AND(Inputs!$B$39&lt;&gt;"pvp",Inputs!$B$44&gt;0),IF(MAX(0,Inputs!$B$44-B2564)&lt;=0,0,(INT(MAX(0,Inputs!$B$44-B2564)/IF(Inputs!$B$39="pvp",15,MAX(0.1,Skills!D5-IF(Skills!E5=TRUE,Inputs!$B$32,0))))+1)),0)</f>
        <v/>
      </c>
      <c r="S2525">
        <f>IFERROR(O2525/N2525,0)</f>
        <v/>
      </c>
      <c r="T2525">
        <f>IF(C2525,(H2525*N2525*IF(AND(Inputs!$B$39&lt;&gt;"pvp",Inputs!$B$44&gt;0),((Skills!G5*((R2525-1)*IF(Skills!H5&gt;0,Skills!I5/Skills!H5,1)+IF(Skills!H5&gt;0,MIN(Skills!I5,MAX(0,MAX(0,Inputs!$B$44-B2564)-((R2525-1)*IF(Inputs!$B$39="pvp",15,MAX(0.1,Skills!D5-IF(Skills!E5=TRUE,Inputs!$B$32,0))))))/Skills!H5,1)))/Inputs!$B$44),G2525*Q2525))*IF(Inputs!$B$39="pvp",1,1+(Inputs!$B$20+0+Skills!P5+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2525*(1-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5">
        <f>IF(C2525,(H2525*N2525*IF(AND(Inputs!$B$39&lt;&gt;"pvp",Inputs!$B$44&gt;0),((Skills!G5*((R2525-1)*IF(Skills!H5&gt;0,Skills!I5/Skills!H5,1)+IF(Skills!H5&gt;0,MIN(Skills!I5,MAX(0,MAX(0,Inputs!$B$44-B2564)-((R2525-1)*IF(Inputs!$B$39="pvp",15,MAX(0.1,Skills!D5-IF(Skills!E5=TRUE,Inputs!$B$32,0))))))/Skills!H5,1)))/Inputs!$B$44),G2525*Q2525))*IF(Inputs!$B$39="pvp",1,(1+(Inputs!$B$21+Skills!Q5+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Skills!A6</f>
        <v/>
      </c>
      <c r="B2526">
        <f>Skills!B6</f>
        <v/>
      </c>
      <c r="C2526">
        <f>Inputs!$B$3&gt;=69</f>
        <v/>
      </c>
      <c r="D2526">
        <f>IF(Skills!C6=1,60+Inputs!$B$25+Inputs!$B$29,IF(Skills!C6=2,90+Inputs!$B$26+Inputs!$B$29,IF(Skills!C6=3,120+Inputs!$B$27+Inputs!$B$29,MAX(0,(Inputs!$B$3-100)*3)+Inputs!$B$28+Inputs!$B$29)))</f>
        <v/>
      </c>
      <c r="E2526">
        <f>INDEX(FactorTable!$B$2:$Y$301, MATCH(ROUND(MIN(300,MAX(1,D2526)),0), FactorTable!$A$2:$A$301,0), Skills!M6+1)</f>
        <v/>
      </c>
      <c r="F2526">
        <f>IF(Skills!N6=TRUE,(Skills!L6/10)*(E2526/1000),Skills!L6/10)+Skills!O6</f>
        <v/>
      </c>
      <c r="G2526">
        <f>Skills!G6*IF(Skills!H6&gt;0,Skills!I6/Skills!H6,1)</f>
        <v/>
      </c>
      <c r="H2526">
        <f>1-(1-Skills!J6/100)^Skills!K6</f>
        <v/>
      </c>
      <c r="I2526" t="inlineStr">
        <is>
          <t>1</t>
        </is>
      </c>
      <c r="J2526">
        <f>((Inputs!$B$6*(1+Inputs!$B$7/100))+(((Inputs!$B$12*(1+Inputs!$B$13/100))-(Inputs!$B$12*(1+Inputs!$B$13/100)))+0.25*(Inputs!$B$14-Inputs!$B$14))*(1+Inputs!$B$7/100))*(F2526/100)</f>
        <v/>
      </c>
      <c r="K2526">
        <f>J2526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6="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2526)</f>
        <v/>
      </c>
      <c r="L2526">
        <f>K2526*(MIN(Inputs!$B$22+((C2544=TRUE)*(F2544-Calc!F24)),(Inputs!$B$23+((C2549=TRUE)*(F2549-Calc!F29))+IF(ArtifactsInput!$M$15,CHOOSE(ArtifactsInput!$N$15+1,25,30,35,40,45,50)/100*(Inputs!$B$11-Inputs!$B$11),0)))/100+(Inputs!$B$23+((C2549=TRUE)*(F2549-Calc!F29))+IF(ArtifactsInput!$M$15,CHOOSE(ArtifactsInput!$N$15+1,25,30,35,40,45,50)/100*(Inputs!$B$11-Inputs!$B$11),0))/100)/2</f>
        <v/>
      </c>
      <c r="M2526">
        <f>L2526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IF(B2565=0,0,O2526/B2565)</f>
        <v/>
      </c>
      <c r="Q2526">
        <f>IFERROR(1/IF(Inputs!$B$39="pvp",15,MAX(0.1,Skills!D6-IF(Skills!E6=TRUE,Inputs!$B$32,0))),0)</f>
        <v/>
      </c>
      <c r="R2526">
        <f>IF(AND(Inputs!$B$39&lt;&gt;"pvp",Inputs!$B$44&gt;0),IF(MAX(0,Inputs!$B$44-B2564)&lt;=0,0,(INT(MAX(0,Inputs!$B$44-B2564)/IF(Inputs!$B$39="pvp",15,MAX(0.1,Skills!D6-IF(Skills!E6=TRUE,Inputs!$B$32,0))))+1)),0)</f>
        <v/>
      </c>
      <c r="S2526">
        <f>IFERROR(O2526/N2526,0)</f>
        <v/>
      </c>
      <c r="T2526">
        <f>IF(C2526,(H2526*N2526*IF(AND(Inputs!$B$39&lt;&gt;"pvp",Inputs!$B$44&gt;0),((Skills!G6*((R2526-1)*IF(Skills!H6&gt;0,Skills!I6/Skills!H6,1)+IF(Skills!H6&gt;0,MIN(Skills!I6,MAX(0,MAX(0,Inputs!$B$44-B2564)-((R2526-1)*IF(Inputs!$B$39="pvp",15,MAX(0.1,Skills!D6-IF(Skills!E6=TRUE,Inputs!$B$32,0))))))/Skills!H6,1)))/Inputs!$B$44),G2526*Q2526))*IF(Inputs!$B$39="pvp",1,1+(Inputs!$B$20+0+Skills!P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2526*(1-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6">
        <f>IF(C2526,(H2526*N2526*IF(AND(Inputs!$B$39&lt;&gt;"pvp",Inputs!$B$44&gt;0),((Skills!G6*((R2526-1)*IF(Skills!H6&gt;0,Skills!I6/Skills!H6,1)+IF(Skills!H6&gt;0,MIN(Skills!I6,MAX(0,MAX(0,Inputs!$B$44-B2564)-((R2526-1)*IF(Inputs!$B$39="pvp",15,MAX(0.1,Skills!D6-IF(Skills!E6=TRUE,Inputs!$B$32,0))))))/Skills!H6,1)))/Inputs!$B$44),G2526*Q2526))*IF(Inputs!$B$39="pvp",1,(1+(Inputs!$B$21+Skills!Q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Skills!A7</f>
        <v/>
      </c>
      <c r="B2527">
        <f>Skills!B7</f>
        <v/>
      </c>
      <c r="C2527">
        <f>Inputs!$B$3&gt;=60</f>
        <v/>
      </c>
      <c r="D2527">
        <f>IF(Skills!C7=1,60+Inputs!$B$25+Inputs!$B$29,IF(Skills!C7=2,90+Inputs!$B$26+Inputs!$B$29,IF(Skills!C7=3,120+Inputs!$B$27+Inputs!$B$29,MAX(0,(Inputs!$B$3-100)*3)+Inputs!$B$28+Inputs!$B$29)))</f>
        <v/>
      </c>
      <c r="E2527">
        <f>INDEX(FactorTable!$B$2:$Y$301, MATCH(ROUND(MIN(300,MAX(1,D2527)),0), FactorTable!$A$2:$A$301,0), Skills!M7+1)</f>
        <v/>
      </c>
      <c r="F2527">
        <f>IF(Skills!N7=TRUE,(Skills!L7/10)*(E2527/1000),Skills!L7/10)+Skills!O7</f>
        <v/>
      </c>
      <c r="G2527">
        <f>Skills!G7*IF(Skills!H7&gt;0,Skills!I7/Skills!H7,1)</f>
        <v/>
      </c>
      <c r="H2527">
        <f>1-(1-Skills!J7/100)^Skills!K7</f>
        <v/>
      </c>
      <c r="I2527" t="inlineStr">
        <is>
          <t>1</t>
        </is>
      </c>
      <c r="J2527" t="inlineStr"/>
      <c r="K2527" t="inlineStr"/>
      <c r="L2527" t="inlineStr"/>
      <c r="M2527" t="inlineStr"/>
      <c r="N2527" t="inlineStr"/>
      <c r="O2527">
        <f>(1-Summary!$B$11)*T2527+Summary!$B$11*V2527</f>
        <v/>
      </c>
      <c r="P2527">
        <f>IF(B2565=0,0,O2527/B2565)</f>
        <v/>
      </c>
      <c r="Q2527" t="n">
        <v>0</v>
      </c>
      <c r="R2527" t="n">
        <v>0</v>
      </c>
      <c r="S2527">
        <f>IFERROR(O2527/N2527,0)</f>
        <v/>
      </c>
      <c r="T2527" t="n">
        <v>0</v>
      </c>
      <c r="V2527" t="n">
        <v>0</v>
      </c>
    </row>
    <row r="2528">
      <c r="A2528">
        <f>Skills!A8</f>
        <v/>
      </c>
      <c r="B2528">
        <f>Skills!B8</f>
        <v/>
      </c>
      <c r="C2528">
        <f>Inputs!$B$3&gt;=72</f>
        <v/>
      </c>
      <c r="D2528">
        <f>IF(Skills!C8=1,60+Inputs!$B$25+Inputs!$B$29,IF(Skills!C8=2,90+Inputs!$B$26+Inputs!$B$29,IF(Skills!C8=3,120+Inputs!$B$27+Inputs!$B$29,MAX(0,(Inputs!$B$3-100)*3)+Inputs!$B$28+Inputs!$B$29)))</f>
        <v/>
      </c>
      <c r="E2528">
        <f>INDEX(FactorTable!$B$2:$Y$301, MATCH(ROUND(MIN(300,MAX(1,D2528)),0), FactorTable!$A$2:$A$301,0), Skills!M8+1)</f>
        <v/>
      </c>
      <c r="F2528">
        <f>IF(Skills!N8=TRUE,(Skills!L8/10)*(E2528/1000),Skills!L8/10)+Skills!O8</f>
        <v/>
      </c>
      <c r="G2528">
        <f>Skills!G8*IF(Skills!H8&gt;0,Skills!I8/Skills!H8,1)</f>
        <v/>
      </c>
      <c r="H2528">
        <f>1-(1-Skills!J8/100)^Skills!K8</f>
        <v/>
      </c>
      <c r="I2528" t="inlineStr">
        <is>
          <t>1</t>
        </is>
      </c>
      <c r="J2528">
        <f>((Inputs!$B$6*(1+Inputs!$B$7/100))+(((Inputs!$B$12*(1+Inputs!$B$13/100))-(Inputs!$B$12*(1+Inputs!$B$13/100)))+0.25*(Inputs!$B$14-Inputs!$B$14))*(1+Inputs!$B$7/100))*(F2528/100)</f>
        <v/>
      </c>
      <c r="K2528">
        <f>J2528*(1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2538=TRUE,F2538,0)/100)*(1+(IF(Skills!A8="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2528)</f>
        <v/>
      </c>
      <c r="L2528">
        <f>K2528*(MIN(Inputs!$B$22+((C2544=TRUE)*(F2544-Calc!F24)),(Inputs!$B$23+((C2549=TRUE)*(F2549-Calc!F29))+IF(ArtifactsInput!$M$15,CHOOSE(ArtifactsInput!$N$15+1,25,30,35,40,45,50)/100*(Inputs!$B$11-Inputs!$B$11),0)))/100+(Inputs!$B$23+((C2549=TRUE)*(F2549-Calc!F29))+IF(ArtifactsInput!$M$15,CHOOSE(ArtifactsInput!$N$15+1,25,30,35,40,45,50)/100*(Inputs!$B$11-Inputs!$B$11),0))/100)/2</f>
        <v/>
      </c>
      <c r="M2528">
        <f>L2528*(1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8">
        <f>L2528*(1-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2528*(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8">
        <f>(1-Summary!$B$11)*T2528+Summary!$B$11*V2528</f>
        <v/>
      </c>
      <c r="P2528">
        <f>IF(B2565=0,0,O2528/B2565)</f>
        <v/>
      </c>
      <c r="Q2528">
        <f>IFERROR(1/IF(Inputs!$B$39="pvp",15,MAX(0.1,Skills!D8-IF(Skills!E8=TRUE,Inputs!$B$32,0))),0)</f>
        <v/>
      </c>
      <c r="R2528">
        <f>IF(AND(Inputs!$B$39&lt;&gt;"pvp",Inputs!$B$44&gt;0),IF(MAX(0,Inputs!$B$44-B2564)&lt;=0,0,(INT(MAX(0,Inputs!$B$44-B2564)/IF(Inputs!$B$39="pvp",15,MAX(0.1,Skills!D8-IF(Skills!E8=TRUE,Inputs!$B$32,0))))+1)),0)</f>
        <v/>
      </c>
      <c r="S2528">
        <f>IFERROR(O2528/N2528,0)</f>
        <v/>
      </c>
      <c r="T2528">
        <f>IF(C2528,(H2528*N2528*IF(AND(Inputs!$B$39&lt;&gt;"pvp",Inputs!$B$44&gt;0),((Skills!G8*((R2528-1)*IF(Skills!H8&gt;0,Skills!I8/Skills!H8,1)+IF(Skills!H8&gt;0,MIN(Skills!I8,MAX(0,MAX(0,Inputs!$B$44-B2564)-((R2528-1)*IF(Inputs!$B$39="pvp",15,MAX(0.1,Skills!D8-IF(Skills!E8=TRUE,Inputs!$B$32,0))))))/Skills!H8,1)))/Inputs!$B$44),G2528*Q2528))*IF(Inputs!$B$39="pvp",1,1+(Inputs!$B$20+0+Skills!P8+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2528*(1-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2528*(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2528*(1-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2528*(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8">
        <f>IF(C2528,(H2528*N2528*IF(AND(Inputs!$B$39&lt;&gt;"pvp",Inputs!$B$44&gt;0),((Skills!G8*((R2528-1)*IF(Skills!H8&gt;0,Skills!I8/Skills!H8,1)+IF(Skills!H8&gt;0,MIN(Skills!I8,MAX(0,MAX(0,Inputs!$B$44-B2564)-((R2528-1)*IF(Inputs!$B$39="pvp",15,MAX(0.1,Skills!D8-IF(Skills!E8=TRUE,Inputs!$B$32,0))))))/Skills!H8,1)))/Inputs!$B$44),G2528*Q2528))*IF(Inputs!$B$39="pvp",1,(1+(Inputs!$B$21+Skills!Q8+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9">
      <c r="A2529">
        <f>Skills!A9</f>
        <v/>
      </c>
      <c r="B2529">
        <f>Skills!B9</f>
        <v/>
      </c>
      <c r="C2529">
        <f>Inputs!$B$3&gt;=117</f>
        <v/>
      </c>
      <c r="D2529">
        <f>IF(Skills!C9=1,60+Inputs!$B$25+Inputs!$B$29,IF(Skills!C9=2,90+Inputs!$B$26+Inputs!$B$29,IF(Skills!C9=3,120+Inputs!$B$27+Inputs!$B$29,MAX(0,(Inputs!$B$3-100)*3)+Inputs!$B$28+Inputs!$B$29)))</f>
        <v/>
      </c>
      <c r="E2529">
        <f>INDEX(FactorTable!$B$2:$Y$301, MATCH(ROUND(MIN(300,MAX(1,D2529)),0), FactorTable!$A$2:$A$301,0), Skills!M9+1)</f>
        <v/>
      </c>
      <c r="F2529">
        <f>IF(Skills!N9=TRUE,(Skills!L9/10)*(E2529/1000),Skills!L9/10)+Skills!O9</f>
        <v/>
      </c>
      <c r="G2529">
        <f>Skills!G9*IF(Skills!H9&gt;0,Skills!I9/Skills!H9,1)</f>
        <v/>
      </c>
      <c r="H2529">
        <f>1-(1-Skills!J9/100)^Skills!K9</f>
        <v/>
      </c>
      <c r="I2529" t="inlineStr">
        <is>
          <t>1</t>
        </is>
      </c>
      <c r="J2529">
        <f>((Inputs!$B$6*(1+Inputs!$B$7/100))+(((Inputs!$B$12*(1+Inputs!$B$13/100))-(Inputs!$B$12*(1+Inputs!$B$13/100)))+0.25*(Inputs!$B$14-Inputs!$B$14))*(1+Inputs!$B$7/100))*(F2529/100)</f>
        <v/>
      </c>
      <c r="K2529">
        <f>J2529*(1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2529)</f>
        <v/>
      </c>
      <c r="L2529">
        <f>K2529*(MIN(Inputs!$B$22+((C2544=TRUE)*(F2544-Calc!F24)),(Inputs!$B$23+((C2549=TRUE)*(F2549-Calc!F29))+IF(ArtifactsInput!$M$15,CHOOSE(ArtifactsInput!$N$15+1,25,30,35,40,45,50)/100*(Inputs!$B$11-Inputs!$B$11),0)))/100+(Inputs!$B$23+((C2549=TRUE)*(F2549-Calc!F29))+IF(ArtifactsInput!$M$15,CHOOSE(ArtifactsInput!$N$15+1,25,30,35,40,45,50)/100*(Inputs!$B$11-Inputs!$B$11),0))/100)/2</f>
        <v/>
      </c>
      <c r="M2529">
        <f>L2529*(1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9">
        <f>L2529*(1-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2529*(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9">
        <f>(1-Summary!$B$11)*T2529+Summary!$B$11*V2529</f>
        <v/>
      </c>
      <c r="P2529">
        <f>IF(B2565=0,0,O2529/B2565)</f>
        <v/>
      </c>
      <c r="Q2529" t="n">
        <v>0</v>
      </c>
      <c r="R2529" t="n">
        <v>0</v>
      </c>
      <c r="S2529" t="n">
        <v>0</v>
      </c>
      <c r="T2529">
        <f>IF(C2529,(0.2*SUMPRODUCT((Skills!Z2:Z30=TRUE)*(C2522:C2550=TRUE)*S2522:S2550)*N2529)*IF(Inputs!$B$39="pvp",1,1+(Inputs!$B$20+0+Skills!P9+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2529*(1-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2529*(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2529*(1-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2529*(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9">
        <f>IF(C2529,(0.2*SUMPRODUCT((Skills!Z2:Z30=TRUE)*(C2522:C2550=TRUE)*S2522:S2550)*N2529)*IF(Inputs!$B$39="pvp",1,(1+(Inputs!$B$21+Skills!Q9+B2554+(IF(ArtifactsInput!$M$33,CHOOSE(ArtifactsInput!$N$33+1,30,36,42,48,54,60),0))+(IF(AND(ArtifactsInput!$M$35,Inputs!$B$4&lt;&gt;"Chapter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0">
      <c r="A2530">
        <f>Skills!A10</f>
        <v/>
      </c>
      <c r="B2530">
        <f>Skills!B10</f>
        <v/>
      </c>
      <c r="C2530">
        <f>Inputs!$B$3&gt;=74</f>
        <v/>
      </c>
      <c r="D2530">
        <f>IF(Skills!C10=1,60+Inputs!$B$25+Inputs!$B$29,IF(Skills!C10=2,90+Inputs!$B$26+Inputs!$B$29,IF(Skills!C10=3,120+Inputs!$B$27+Inputs!$B$29,MAX(0,(Inputs!$B$3-100)*3)+Inputs!$B$28+Inputs!$B$29)))</f>
        <v/>
      </c>
      <c r="E2530">
        <f>INDEX(FactorTable!$B$2:$Y$301, MATCH(ROUND(MIN(300,MAX(1,D2530)),0), FactorTable!$A$2:$A$301,0), Skills!M10+1)</f>
        <v/>
      </c>
      <c r="F2530">
        <f>IF(Skills!N10=TRUE,(Skills!L10/10)*(E2530/1000),Skills!L10/10)+Skills!O10</f>
        <v/>
      </c>
      <c r="G2530">
        <f>Skills!G10*IF(Skills!H10&gt;0,Skills!I10/Skills!H10,1)</f>
        <v/>
      </c>
      <c r="H2530">
        <f>1-(1-Skills!J10/100)^Skills!K10</f>
        <v/>
      </c>
      <c r="I2530" t="inlineStr">
        <is>
          <t>1</t>
        </is>
      </c>
      <c r="J2530" t="inlineStr"/>
      <c r="K2530" t="inlineStr"/>
      <c r="L2530" t="inlineStr"/>
      <c r="M2530" t="inlineStr"/>
      <c r="N2530" t="inlineStr"/>
      <c r="O2530">
        <f>(1-Summary!$B$11)*T2530+Summary!$B$11*V2530</f>
        <v/>
      </c>
      <c r="P2530">
        <f>IF(B2565=0,0,O2530/B2565)</f>
        <v/>
      </c>
      <c r="Q2530">
        <f>IFERROR(1/IF(Inputs!$B$39="pvp",15,MAX(0.1,Skills!D10-IF(Skills!E10=TRUE,Inputs!$B$32,0))),0)</f>
        <v/>
      </c>
      <c r="R2530">
        <f>IF(AND(Inputs!$B$39&lt;&gt;"pvp",Inputs!$B$44&gt;0),IF(Inputs!$B$44&lt;=0,0,(INT(Inputs!$B$44/IF(Inputs!$B$39="pvp",15,MAX(0.1,Skills!D10-IF(Skills!E10=TRUE,Inputs!$B$32,0))))+1)),0)</f>
        <v/>
      </c>
      <c r="S2530">
        <f>IFERROR(O2530/N2530,0)</f>
        <v/>
      </c>
      <c r="T2530" t="n">
        <v>0</v>
      </c>
      <c r="V2530" t="n">
        <v>0</v>
      </c>
    </row>
    <row r="2531">
      <c r="A2531">
        <f>Skills!A11</f>
        <v/>
      </c>
      <c r="B2531">
        <f>Skills!B11</f>
        <v/>
      </c>
      <c r="C2531">
        <f>Inputs!$B$3&gt;=103</f>
        <v/>
      </c>
      <c r="D2531">
        <f>IF(Skills!C11=1,60+Inputs!$B$25+Inputs!$B$29,IF(Skills!C11=2,90+Inputs!$B$26+Inputs!$B$29,IF(Skills!C11=3,120+Inputs!$B$27+Inputs!$B$29,MAX(0,(Inputs!$B$3-100)*3)+Inputs!$B$28+Inputs!$B$29)))</f>
        <v/>
      </c>
      <c r="E2531">
        <f>INDEX(FactorTable!$B$2:$Y$301, MATCH(ROUND(MIN(300,MAX(1,D2531)),0), FactorTable!$A$2:$A$301,0), Skills!M11+1)</f>
        <v/>
      </c>
      <c r="F2531">
        <f>(Skills!L11/10)*(E2531/1000)+IF(Inputs!$B$3&gt;=134,50,0)+0.5*(30000/10)*(INDEX(FactorTable!$B$2:$Y$301, MATCH(ROUND(MIN(300,MAX(1,D2531)),0), FactorTable!$A$2:$A$301,0), 13)/1000)*B2563</f>
        <v/>
      </c>
      <c r="G2531">
        <f>Skills!G11*IF(Skills!H11&gt;0,Skills!I11/Skills!H11,1)</f>
        <v/>
      </c>
      <c r="H2531">
        <f>1-(1-Skills!J11/100)^Skills!K11</f>
        <v/>
      </c>
      <c r="I2531" t="inlineStr">
        <is>
          <t>1</t>
        </is>
      </c>
      <c r="J2531">
        <f>((Inputs!$B$6*(1+Inputs!$B$7/100))+(((Inputs!$B$12*(1+Inputs!$B$13/100))-(Inputs!$B$12*(1+Inputs!$B$13/100)))+0.25*(Inputs!$B$14-Inputs!$B$14))*(1+Inputs!$B$7/100))*(F2531/100)</f>
        <v/>
      </c>
      <c r="K2531">
        <f>J2531*(1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2531)</f>
        <v/>
      </c>
      <c r="L2531">
        <f>K2531*(MIN(Inputs!$B$22+((C2544=TRUE)*(F2544-Calc!F24)),(Inputs!$B$23+((C2549=TRUE)*(F2549-Calc!F29))+IF(ArtifactsInput!$M$15,CHOOSE(ArtifactsInput!$N$15+1,25,30,35,40,45,50)/100*(Inputs!$B$11-Inputs!$B$11),0)))/100+(Inputs!$B$23+((C2549=TRUE)*(F2549-Calc!F29))+IF(ArtifactsInput!$M$15,CHOOSE(ArtifactsInput!$N$15+1,25,30,35,40,45,50)/100*(Inputs!$B$11-Inputs!$B$11),0))/100)/2</f>
        <v/>
      </c>
      <c r="M2531">
        <f>L2531*(1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IF(B2565=0,0,O2531/B2565)</f>
        <v/>
      </c>
      <c r="Q2531">
        <f>IFERROR(1/IF(Inputs!$B$39="pvp",15,MAX(0.1,Skills!D11-IF(Skills!E11=TRUE,Inputs!$B$32,0))),0)</f>
        <v/>
      </c>
      <c r="R2531">
        <f>IF(AND(Inputs!$B$39&lt;&gt;"pvp",Inputs!$B$44&gt;0),IF(MAX(0,Inputs!$B$44-B2564)&lt;=0,0,(INT(MAX(0,Inputs!$B$44-B2564)/IF(Inputs!$B$39="pvp",15,MAX(0.1,Skills!D11-IF(Skills!E11=TRUE,Inputs!$B$32,0))))+1)),0)</f>
        <v/>
      </c>
      <c r="S2531">
        <f>IFERROR(O2531/N2531,0)</f>
        <v/>
      </c>
      <c r="T2531">
        <f>IF(C2531,(H2531*N2531*IF(AND(Inputs!$B$39&lt;&gt;"pvp",Inputs!$B$44&gt;0),((Skills!G11*((R2531-1)*IF(Skills!H11&gt;0,Skills!I11/Skills!H11,1)+IF(Skills!H11&gt;0,MIN(Skills!I11,MAX(0,MAX(0,Inputs!$B$44-B2564)-((R2531-1)*IF(Inputs!$B$39="pvp",15,MAX(0.1,Skills!D11-IF(Skills!E11=TRUE,Inputs!$B$32,0))))))/Skills!H11,1)))/Inputs!$B$44),G2531*Q2531))*IF(Inputs!$B$39="pvp",1,1+(Inputs!$B$20+0+Skills!P11+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2531*(1-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11*((R2531-1)*IF(Skills!H11&gt;0,Skills!I11/Skills!H11,1)+IF(Skills!H11&gt;0,MIN(Skills!I11,MAX(0,MAX(0,Inputs!$B$44-B2564)-((R2531-1)*IF(Inputs!$B$39="pvp",15,MAX(0.1,Skills!D11-IF(Skills!E11=TRUE,Inputs!$B$32,0))))))/Skills!H11,1)))/Inputs!$B$44),G2531*Q2531))*IF(Inputs!$B$39="pvp",1,(1+(Inputs!$B$21+Skills!Q11+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Skills!A12</f>
        <v/>
      </c>
      <c r="B2532">
        <f>Skills!B12</f>
        <v/>
      </c>
      <c r="C2532">
        <f>Inputs!$B$3&gt;=105</f>
        <v/>
      </c>
      <c r="D2532">
        <f>IF(Skills!C12=1,60+Inputs!$B$25+Inputs!$B$29,IF(Skills!C12=2,90+Inputs!$B$26+Inputs!$B$29,IF(Skills!C12=3,120+Inputs!$B$27+Inputs!$B$29,MAX(0,(Inputs!$B$3-100)*3)+Inputs!$B$28+Inputs!$B$29)))</f>
        <v/>
      </c>
      <c r="E2532">
        <f>INDEX(FactorTable!$B$2:$Y$301, MATCH(ROUND(MIN(300,MAX(1,D2532)),0), FactorTable!$A$2:$A$301,0), Skills!M12+1)</f>
        <v/>
      </c>
      <c r="F2532">
        <f>IF(Skills!N12=TRUE,(Skills!L12/10)*(E2532/1000),Skills!L12/10)+Skills!O12</f>
        <v/>
      </c>
      <c r="G2532">
        <f>Skills!G12*IF(Skills!H12&gt;0,Skills!I12/Skills!H12,1)</f>
        <v/>
      </c>
      <c r="H2532">
        <f>1-(1-Skills!J12/100)^Skills!K12</f>
        <v/>
      </c>
      <c r="I2532" t="inlineStr">
        <is>
          <t>1</t>
        </is>
      </c>
      <c r="J2532">
        <f>((Inputs!$B$6*(1+Inputs!$B$7/100))+(((Inputs!$B$12*(1+Inputs!$B$13/100))-(Inputs!$B$12*(1+Inputs!$B$13/100)))+0.25*(Inputs!$B$14-Inputs!$B$14))*(1+Inputs!$B$7/100))*(F2532/100)</f>
        <v/>
      </c>
      <c r="K2532">
        <f>J2532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2532)</f>
        <v/>
      </c>
      <c r="L2532">
        <f>K2532*(MIN(Inputs!$B$22+((C2544=TRUE)*(F2544-Calc!F24)),(Inputs!$B$23+((C2549=TRUE)*(F2549-Calc!F29))+IF(ArtifactsInput!$M$15,CHOOSE(ArtifactsInput!$N$15+1,25,30,35,40,45,50)/100*(Inputs!$B$11-Inputs!$B$11),0)))/100+(Inputs!$B$23+((C2549=TRUE)*(F2549-Calc!F29))+IF(ArtifactsInput!$M$15,CHOOSE(ArtifactsInput!$N$15+1,25,30,35,40,45,50)/100*(Inputs!$B$11-Inputs!$B$11),0))/100)/2</f>
        <v/>
      </c>
      <c r="M2532">
        <f>L2532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IF(B2565=0,0,O2532/B2565)</f>
        <v/>
      </c>
      <c r="Q2532">
        <f>IFERROR(1/IF(Inputs!$B$39="pvp",15,MAX(0.1,Skills!D12-IF(Skills!E12=TRUE,Inputs!$B$32,0))),0)</f>
        <v/>
      </c>
      <c r="R2532">
        <f>IF(AND(Inputs!$B$39&lt;&gt;"pvp",Inputs!$B$44&gt;0),IF(MAX(0,Inputs!$B$44-B2564)&lt;=0,0,(INT(MAX(0,Inputs!$B$44-B2564)/IF(Inputs!$B$39="pvp",15,MAX(0.1,Skills!D12-IF(Skills!E12=TRUE,Inputs!$B$32,0))))+1)),0)</f>
        <v/>
      </c>
      <c r="S2532">
        <f>IFERROR(O2532/N2532,0)</f>
        <v/>
      </c>
      <c r="T2532">
        <f>IF(C2532,(H2532*N2532*IF(AND(Inputs!$B$39&lt;&gt;"pvp",Inputs!$B$44&gt;0),((Skills!G12*((R2532-1)*IF(Skills!H12&gt;0,Skills!I12/Skills!H12,1)+IF(Skills!H12&gt;0,MIN(Skills!I12,MAX(0,MAX(0,Inputs!$B$44-B2564)-((R2532-1)*IF(Inputs!$B$39="pvp",15,MAX(0.1,Skills!D12-IF(Skills!E12=TRUE,Inputs!$B$32,0))))))/Skills!H12,1)))/Inputs!$B$44),G2532*Q2532))*IF(Inputs!$B$39="pvp",1,1+(Inputs!$B$20+0+Skills!P12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2532*(1-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H2532*N2532*IF(AND(Inputs!$B$39&lt;&gt;"pvp",Inputs!$B$44&gt;0),((Skills!G12*((R2532-1)*IF(Skills!H12&gt;0,Skills!I12/Skills!H12,1)+IF(Skills!H12&gt;0,MIN(Skills!I12,MAX(0,MAX(0,Inputs!$B$44-B2564)-((R2532-1)*IF(Inputs!$B$39="pvp",15,MAX(0.1,Skills!D12-IF(Skills!E12=TRUE,Inputs!$B$32,0))))))/Skills!H12,1)))/Inputs!$B$44),G2532*Q2532))*IF(Inputs!$B$39="pvp",1,(1+(Inputs!$B$21+Skills!Q12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Skills!A13</f>
        <v/>
      </c>
      <c r="B2533">
        <f>Skills!B13</f>
        <v/>
      </c>
      <c r="C2533">
        <f>Inputs!$B$3&gt;=105</f>
        <v/>
      </c>
      <c r="D2533">
        <f>IF(Skills!C13=1,60+Inputs!$B$25+Inputs!$B$29,IF(Skills!C13=2,90+Inputs!$B$26+Inputs!$B$29,IF(Skills!C13=3,120+Inputs!$B$27+Inputs!$B$29,MAX(0,(Inputs!$B$3-100)*3)+Inputs!$B$28+Inputs!$B$29)))</f>
        <v/>
      </c>
      <c r="E2533">
        <f>INDEX(FactorTable!$B$2:$Y$301, MATCH(ROUND(MIN(300,MAX(1,D2533)),0), FactorTable!$A$2:$A$301,0), Skills!M13+1)</f>
        <v/>
      </c>
      <c r="F2533">
        <f>IF(Skills!N13=TRUE,(Skills!L13/10)*(E2533/1000),Skills!L13/10)+Skills!O13</f>
        <v/>
      </c>
      <c r="G2533">
        <f>Skills!G13*IF(Skills!H13&gt;0,Skills!I13/Skills!H13,1)</f>
        <v/>
      </c>
      <c r="H2533">
        <f>1-(1-Skills!J13/100)^Skills!K13</f>
        <v/>
      </c>
      <c r="I2533" t="inlineStr">
        <is>
          <t>1</t>
        </is>
      </c>
      <c r="J2533">
        <f>((Inputs!$B$6*(1+Inputs!$B$7/100))+(((Inputs!$B$12*(1+Inputs!$B$13/100))-(Inputs!$B$12*(1+Inputs!$B$13/100)))+0.25*(Inputs!$B$14-Inputs!$B$14))*(1+Inputs!$B$7/100))*(F2533/100)</f>
        <v/>
      </c>
      <c r="K2533">
        <f>J2533*(1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2533)</f>
        <v/>
      </c>
      <c r="L2533">
        <f>K2533*(MIN(Inputs!$B$22+((C2544=TRUE)*(F2544-Calc!F24)),(Inputs!$B$23+((C2549=TRUE)*(F2549-Calc!F29))+IF(ArtifactsInput!$M$15,CHOOSE(ArtifactsInput!$N$15+1,25,30,35,40,45,50)/100*(Inputs!$B$11-Inputs!$B$11),0)))/100+(Inputs!$B$23+((C2549=TRUE)*(F2549-Calc!F29))+IF(ArtifactsInput!$M$15,CHOOSE(ArtifactsInput!$N$15+1,25,30,35,40,45,50)/100*(Inputs!$B$11-Inputs!$B$11),0))/100)/2</f>
        <v/>
      </c>
      <c r="M2533">
        <f>L2533*(1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3">
        <f>L2533*(1-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2533*(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3">
        <f>(1-Summary!$B$11)*T2533+Summary!$B$11*V2533</f>
        <v/>
      </c>
      <c r="P2533">
        <f>IF(B2565=0,0,O2533/B2565)</f>
        <v/>
      </c>
      <c r="Q2533">
        <f>IFERROR(1/IF(Inputs!$B$39="pvp",15,MAX(0.1,Skills!D13-IF(Skills!E13=TRUE,Inputs!$B$32,0))),0)</f>
        <v/>
      </c>
      <c r="R2533">
        <f>IF(AND(Inputs!$B$39&lt;&gt;"pvp",Inputs!$B$44&gt;0),IF(MAX(0,Inputs!$B$44-B2564)&lt;=0,0,(INT(MAX(0,Inputs!$B$44-B2564)/IF(Inputs!$B$39="pvp",15,MAX(0.1,Skills!D13-IF(Skills!E13=TRUE,Inputs!$B$32,0))))+1)),0)</f>
        <v/>
      </c>
      <c r="S2533">
        <f>IFERROR(O2533/N2533,0)</f>
        <v/>
      </c>
      <c r="T2533">
        <f>IF(C2533,(H2533*N2533*IF(AND(Inputs!$B$39&lt;&gt;"pvp",Inputs!$B$44&gt;0),((Skills!G13*((R2533-1)*IF(Skills!H13&gt;0,Skills!I13/Skills!H13,1)+IF(Skills!H13&gt;0,MIN(Skills!I13,MAX(0,MAX(0,Inputs!$B$44-B2564)-((R2533-1)*IF(Inputs!$B$39="pvp",15,MAX(0.1,Skills!D13-IF(Skills!E13=TRUE,Inputs!$B$32,0))))))/Skills!H13,1)))/Inputs!$B$44),G2533*Q2533))*IF(Inputs!$B$39="pvp",1,1+(Inputs!$B$20+0+Skills!P13+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2533*(1-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2533*(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2533*(1-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2533*(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3">
        <f>IF(C2533,(H2533*N2533*IF(AND(Inputs!$B$39&lt;&gt;"pvp",Inputs!$B$44&gt;0),((Skills!G13*((R2533-1)*IF(Skills!H13&gt;0,Skills!I13/Skills!H13,1)+IF(Skills!H13&gt;0,MIN(Skills!I13,MAX(0,MAX(0,Inputs!$B$44-B2564)-((R2533-1)*IF(Inputs!$B$39="pvp",15,MAX(0.1,Skills!D13-IF(Skills!E13=TRUE,Inputs!$B$32,0))))))/Skills!H13,1)))/Inputs!$B$44),G2533*Q2533))*IF(Inputs!$B$39="pvp",1,(1+(Inputs!$B$21+Skills!Q13+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4">
      <c r="A2534">
        <f>Skills!A14</f>
        <v/>
      </c>
      <c r="B2534">
        <f>Skills!B14</f>
        <v/>
      </c>
      <c r="C2534">
        <f>Inputs!$B$3&gt;=107</f>
        <v/>
      </c>
      <c r="D2534">
        <f>IF(Skills!C14=1,60+Inputs!$B$25+Inputs!$B$29,IF(Skills!C14=2,90+Inputs!$B$26+Inputs!$B$29,IF(Skills!C14=3,120+Inputs!$B$27+Inputs!$B$29,MAX(0,(Inputs!$B$3-100)*3)+Inputs!$B$28+Inputs!$B$29)))</f>
        <v/>
      </c>
      <c r="E2534">
        <f>INDEX(FactorTable!$B$2:$Y$301, MATCH(ROUND(MIN(300,MAX(1,D2534)),0), FactorTable!$A$2:$A$301,0), Skills!M14+1)</f>
        <v/>
      </c>
      <c r="F2534">
        <f>IF(Skills!N14=TRUE,(Skills!L14/10)*(E2534/1000),Skills!L14/10)+Skills!O14</f>
        <v/>
      </c>
      <c r="G2534">
        <f>Skills!G14*IF(Skills!H14&gt;0,Skills!I14/Skills!H14,1)</f>
        <v/>
      </c>
      <c r="H2534">
        <f>1-(1-Skills!J14/100)^Skills!K14</f>
        <v/>
      </c>
      <c r="I2534" t="inlineStr">
        <is>
          <t>1</t>
        </is>
      </c>
      <c r="J2534">
        <f>((Inputs!$B$6*(1+Inputs!$B$7/100))+(((Inputs!$B$12*(1+Inputs!$B$13/100))-(Inputs!$B$12*(1+Inputs!$B$13/100)))+0.25*(Inputs!$B$14-Inputs!$B$14))*(1+Inputs!$B$7/100))*(F2534/100)</f>
        <v/>
      </c>
      <c r="K2534">
        <f>J2534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2534)</f>
        <v/>
      </c>
      <c r="L2534">
        <f>K2534*(MIN(Inputs!$B$22+((C2544=TRUE)*(F2544-Calc!F24)),(Inputs!$B$23+((C2549=TRUE)*(F2549-Calc!F29))+IF(ArtifactsInput!$M$15,CHOOSE(ArtifactsInput!$N$15+1,25,30,35,40,45,50)/100*(Inputs!$B$11-Inputs!$B$11),0)))/100+(Inputs!$B$23+((C2549=TRUE)*(F2549-Calc!F29))+IF(ArtifactsInput!$M$15,CHOOSE(ArtifactsInput!$N$15+1,25,30,35,40,45,50)/100*(Inputs!$B$11-Inputs!$B$11),0))/100)/2</f>
        <v/>
      </c>
      <c r="M2534">
        <f>L2534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IF(B2565=0,0,O2534/B2565)</f>
        <v/>
      </c>
      <c r="Q2534">
        <f>IFERROR(1/IF(Inputs!$B$39="pvp",15,MAX(0.1,Skills!D14-IF(Skills!E14=TRUE,Inputs!$B$32,0))),0)</f>
        <v/>
      </c>
      <c r="R2534">
        <f>IF(AND(Inputs!$B$39&lt;&gt;"pvp",Inputs!$B$44&gt;0),IF(MAX(0,Inputs!$B$44-B2564)&lt;=0,0,(INT(MAX(0,Inputs!$B$44-B2564)/IF(Inputs!$B$39="pvp",15,MAX(0.1,Skills!D14-IF(Skills!E14=TRUE,Inputs!$B$32,0))))+1)),0)</f>
        <v/>
      </c>
      <c r="S2534">
        <f>IFERROR(O2534/N2534,0)</f>
        <v/>
      </c>
      <c r="T2534">
        <f>IF(C2534,(H2534*N2534*IF(AND(Inputs!$B$39&lt;&gt;"pvp",Inputs!$B$44&gt;0),((Skills!G14*((R2534-1)*IF(Skills!H14&gt;0,Skills!I14/Skills!H14,1)+IF(Skills!H14&gt;0,MIN(Skills!I14,MAX(0,MAX(0,Inputs!$B$44-B2564)-((R2534-1)*IF(Inputs!$B$39="pvp",15,MAX(0.1,Skills!D14-IF(Skills!E14=TRUE,Inputs!$B$32,0))))))/Skills!H14,1)))/Inputs!$B$44),G2534*Q2534))*IF(Inputs!$B$39="pvp",1,1+(Inputs!$B$20+0+Skills!P14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2534*(1-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14*((R2534-1)*IF(Skills!H14&gt;0,Skills!I14/Skills!H14,1)+IF(Skills!H14&gt;0,MIN(Skills!I14,MAX(0,MAX(0,Inputs!$B$44-B2564)-((R2534-1)*IF(Inputs!$B$39="pvp",15,MAX(0.1,Skills!D14-IF(Skills!E14=TRUE,Inputs!$B$32,0))))))/Skills!H14,1)))/Inputs!$B$44),G2534*Q2534))*IF(Inputs!$B$39="pvp",1,(1+(Inputs!$B$21+Skills!Q14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(5,0.25*B2557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Skills!A15</f>
        <v/>
      </c>
      <c r="B2535">
        <f>Skills!B15</f>
        <v/>
      </c>
      <c r="C2535">
        <f>Inputs!$B$3&gt;=110</f>
        <v/>
      </c>
      <c r="D2535">
        <f>IF(Skills!C15=1,60+Inputs!$B$25+Inputs!$B$29,IF(Skills!C15=2,90+Inputs!$B$26+Inputs!$B$29,IF(Skills!C15=3,120+Inputs!$B$27+Inputs!$B$29,MAX(0,(Inputs!$B$3-100)*3)+Inputs!$B$28+Inputs!$B$29)))</f>
        <v/>
      </c>
      <c r="E2535">
        <f>INDEX(FactorTable!$B$2:$Y$301, MATCH(ROUND(MIN(300,MAX(1,D2535)),0), FactorTable!$A$2:$A$301,0), Skills!M15+1)</f>
        <v/>
      </c>
      <c r="F2535">
        <f>IF(Skills!N15=TRUE,(Skills!L15/10)*(E2535/1000),Skills!L15/10)+Skills!O15</f>
        <v/>
      </c>
      <c r="G2535">
        <f>Skills!G15*IF(Skills!H15&gt;0,Skills!I15/Skills!H15,1)</f>
        <v/>
      </c>
      <c r="H2535">
        <f>1-(1-Skills!J15/100)^Skills!K15</f>
        <v/>
      </c>
      <c r="I2535" t="inlineStr">
        <is>
          <t>1</t>
        </is>
      </c>
      <c r="J2535" t="inlineStr"/>
      <c r="K2535" t="inlineStr"/>
      <c r="L2535" t="inlineStr"/>
      <c r="M2535" t="inlineStr"/>
      <c r="N2535" t="inlineStr"/>
      <c r="O2535">
        <f>(1-Summary!$B$11)*T2535+Summary!$B$11*V2535</f>
        <v/>
      </c>
      <c r="P2535">
        <f>IF(B2565=0,0,O2535/B2565)</f>
        <v/>
      </c>
      <c r="Q2535">
        <f>IFERROR(1/IF(Inputs!$B$39="pvp",15,MAX(0.1,Skills!D15-IF(Skills!E15=TRUE,Inputs!$B$32,0))),0)</f>
        <v/>
      </c>
      <c r="R2535">
        <f>IF(AND(Inputs!$B$39&lt;&gt;"pvp",Inputs!$B$44&gt;0),IF(Inputs!$B$44&lt;=0,0,(INT(Inputs!$B$44/IF(Inputs!$B$39="pvp",15,MAX(0.1,Skills!D15-IF(Skills!E15=TRUE,Inputs!$B$32,0))))+1)),0)</f>
        <v/>
      </c>
      <c r="S2535">
        <f>IFERROR(O2535/N2535,0)</f>
        <v/>
      </c>
      <c r="T2535" t="n">
        <v>0</v>
      </c>
      <c r="V2535" t="n">
        <v>0</v>
      </c>
    </row>
    <row r="2536">
      <c r="A2536">
        <f>Skills!A16</f>
        <v/>
      </c>
      <c r="B2536">
        <f>Skills!B16</f>
        <v/>
      </c>
      <c r="C2536">
        <f>Inputs!$B$3&gt;=115</f>
        <v/>
      </c>
      <c r="D2536">
        <f>IF(Skills!C16=1,60+Inputs!$B$25+Inputs!$B$29,IF(Skills!C16=2,90+Inputs!$B$26+Inputs!$B$29,IF(Skills!C16=3,120+Inputs!$B$27+Inputs!$B$29,MAX(0,(Inputs!$B$3-100)*3)+Inputs!$B$28+Inputs!$B$29)))</f>
        <v/>
      </c>
      <c r="E2536">
        <f>INDEX(FactorTable!$B$2:$Y$301, MATCH(ROUND(MIN(300,MAX(1,D2536)),0), FactorTable!$A$2:$A$301,0), Skills!M16+1)</f>
        <v/>
      </c>
      <c r="F2536">
        <f>IF(Skills!N16=TRUE,(Skills!L16/10)*(E2536/1000),Skills!L16/10)+Skills!O16</f>
        <v/>
      </c>
      <c r="G2536">
        <f>Skills!G16*IF(Skills!H16&gt;0,Skills!I16/Skills!H16,1)</f>
        <v/>
      </c>
      <c r="H2536">
        <f>1-(1-Skills!J16/100)^Skills!K16</f>
        <v/>
      </c>
      <c r="I2536" t="inlineStr">
        <is>
          <t>1</t>
        </is>
      </c>
      <c r="J2536">
        <f>((Inputs!$B$6*(1+Inputs!$B$7/100))+(((Inputs!$B$12*(1+Inputs!$B$13/100))-(Inputs!$B$12*(1+Inputs!$B$13/100)))+0.25*(Inputs!$B$14-Inputs!$B$14))*(1+Inputs!$B$7/100))*(F2536/100)</f>
        <v/>
      </c>
      <c r="K2536">
        <f>J2536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2547=TRUE)*(F2547-Calc!F27))+((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2536)</f>
        <v/>
      </c>
      <c r="L2536">
        <f>K2536*(MIN(Inputs!$B$22+((C2544=TRUE)*(F2544-Calc!F24)),(Inputs!$B$23+((C2549=TRUE)*(F2549-Calc!F29))+IF(ArtifactsInput!$M$15,CHOOSE(ArtifactsInput!$N$15+1,25,30,35,40,45,50)/100*(Inputs!$B$11-Inputs!$B$11),0)))/100+(Inputs!$B$23+((C2549=TRUE)*(F2549-Calc!F29))+IF(ArtifactsInput!$M$15,CHOOSE(ArtifactsInput!$N$15+1,25,30,35,40,45,50)/100*(Inputs!$B$11-Inputs!$B$11),0))/100)/2</f>
        <v/>
      </c>
      <c r="M2536">
        <f>L2536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IF(B2565=0,0,O2536/B2565)</f>
        <v/>
      </c>
      <c r="Q2536" t="n">
        <v>0</v>
      </c>
      <c r="R2536" t="n">
        <v>0</v>
      </c>
      <c r="S2536">
        <f>IFERROR(O2536/N2536,0)</f>
        <v/>
      </c>
      <c r="T2536">
        <f>IF(C2536,(Inputs!$B$38*0.2*N2536)*IF(Inputs!$B$39="pvp",1,1+(Inputs!$B$20+0+Skills!P16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2536*(1-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2545=TRUE)*(F2545-Calc!F25))+B2553+(ArtifactsInput!$M$24-ArtifactsInput!$M$24)*CHOOSE(ArtifactsInput!$N$24+1,10,12,14,16,18,20)+(IF(AND(Inputs!$B$39&lt;&gt;"pvp",Inputs!$B$44=0),1,IF(IF(Inputs!$B$39="pvp",15,Inputs!$B$44)-(B2564)&lt;=0,1,MAX(0,IF(Inputs!$B$39="pvp",15,Inputs!$B$44)-MAX(5,B2564))/(IF(Inputs!$B$39="pvp",15,Inputs!$B$44)-(B2564))))*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IF(C2536,(Inputs!$B$38*0.2*N2536)*IF(Inputs!$B$39="pvp",1,(1+(Inputs!$B$21+Skills!Q16+B2554+(IF(ArtifactsInput!$M$33,CHOOSE(ArtifactsInput!$N$33+1,30,36,42,48,54,60),0))+(IF(AND(ArtifactsInput!$M$35,Inputs!$B$4&lt;&gt;"Chapter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Skills!A17</f>
        <v/>
      </c>
      <c r="B2537">
        <f>Skills!B17</f>
        <v/>
      </c>
      <c r="C2537">
        <f>Inputs!$B$3&gt;=115</f>
        <v/>
      </c>
      <c r="D2537">
        <f>IF(Skills!C17=1,60+Inputs!$B$25+Inputs!$B$29,IF(Skills!C17=2,90+Inputs!$B$26+Inputs!$B$29,IF(Skills!C17=3,120+Inputs!$B$27+Inputs!$B$29,MAX(0,(Inputs!$B$3-100)*3)+Inputs!$B$28+Inputs!$B$29)))</f>
        <v/>
      </c>
      <c r="E2537">
        <f>INDEX(FactorTable!$B$2:$Y$301, MATCH(ROUND(MIN(300,MAX(1,D2537)),0), FactorTable!$A$2:$A$301,0), Skills!M17+1)</f>
        <v/>
      </c>
      <c r="F2537">
        <f>IF(Skills!N17=TRUE,(Skills!L17/10)*(E2537/1000),Skills!L17/10)+Skills!O17</f>
        <v/>
      </c>
      <c r="G2537">
        <f>Skills!G17*IF(Skills!H17&gt;0,Skills!I17/Skills!H17,1)</f>
        <v/>
      </c>
      <c r="H2537">
        <f>1-(1-Skills!J17/100)^Skills!K17</f>
        <v/>
      </c>
      <c r="I2537" t="inlineStr">
        <is>
          <t>1</t>
        </is>
      </c>
      <c r="J2537" t="inlineStr"/>
      <c r="K2537" t="inlineStr"/>
      <c r="L2537" t="inlineStr"/>
      <c r="M2537" t="inlineStr"/>
      <c r="N2537" t="inlineStr"/>
      <c r="O2537">
        <f>(1-Summary!$B$11)*T2537+Summary!$B$11*V2537</f>
        <v/>
      </c>
      <c r="P2537">
        <f>IF(B2565=0,0,O2537/B2565)</f>
        <v/>
      </c>
      <c r="Q2537" t="n">
        <v>0</v>
      </c>
      <c r="R2537" t="n">
        <v>0</v>
      </c>
      <c r="S2537">
        <f>IFERROR(O2537/N2537,0)</f>
        <v/>
      </c>
      <c r="T2537" t="n">
        <v>0</v>
      </c>
      <c r="V2537" t="n">
        <v>0</v>
      </c>
    </row>
    <row r="2538">
      <c r="A2538">
        <f>Skills!A18</f>
        <v/>
      </c>
      <c r="B2538">
        <f>Skills!B18</f>
        <v/>
      </c>
      <c r="C2538">
        <f>Inputs!$B$3&gt;=100</f>
        <v/>
      </c>
      <c r="D2538">
        <f>IF(Skills!C18=1,60+Inputs!$B$25+Inputs!$B$29,IF(Skills!C18=2,90+Inputs!$B$26+Inputs!$B$29,IF(Skills!C18=3,120+Inputs!$B$27+Inputs!$B$29,MAX(0,(Inputs!$B$3-100)*3)+Inputs!$B$28+Inputs!$B$29)))</f>
        <v/>
      </c>
      <c r="E2538">
        <f>INDEX(FactorTable!$B$2:$Y$301, MATCH(ROUND(MIN(300,MAX(1,D2538)),0), FactorTable!$A$2:$A$301,0), Skills!M18+1)</f>
        <v/>
      </c>
      <c r="F2538">
        <f>IF(Skills!N18=TRUE,(Skills!L18/10)*(E2538/1000),Skills!L18/10)+Skills!O18</f>
        <v/>
      </c>
      <c r="G2538">
        <f>Skills!G18*IF(Skills!H18&gt;0,Skills!I18/Skills!H18,1)</f>
        <v/>
      </c>
      <c r="H2538">
        <f>1-(1-Skills!J18/100)^Skills!K18</f>
        <v/>
      </c>
      <c r="I2538" t="inlineStr">
        <is>
          <t>1</t>
        </is>
      </c>
      <c r="J2538" t="inlineStr"/>
      <c r="K2538" t="inlineStr"/>
      <c r="L2538" t="inlineStr"/>
      <c r="M2538" t="inlineStr"/>
      <c r="N2538" t="inlineStr"/>
      <c r="O2538">
        <f>(1-Summary!$B$11)*T2538+Summary!$B$11*V2538</f>
        <v/>
      </c>
      <c r="P2538">
        <f>IF(B2565=0,0,O2538/B2565)</f>
        <v/>
      </c>
      <c r="Q2538" t="n">
        <v>0</v>
      </c>
      <c r="R2538" t="n">
        <v>0</v>
      </c>
      <c r="S2538">
        <f>IFERROR(O2538/N2538,0)</f>
        <v/>
      </c>
      <c r="T2538" t="n">
        <v>0</v>
      </c>
      <c r="V2538" t="n">
        <v>0</v>
      </c>
    </row>
    <row r="2539">
      <c r="A2539">
        <f>Skills!A19</f>
        <v/>
      </c>
      <c r="B2539">
        <f>Skills!B19</f>
        <v/>
      </c>
      <c r="C2539">
        <f>TRUE</f>
        <v/>
      </c>
      <c r="D2539">
        <f>IF(Skills!C19=1,60+Inputs!$B$25+Inputs!$B$29,IF(Skills!C19=2,90+Inputs!$B$26+Inputs!$B$29,IF(Skills!C19=3,120+Inputs!$B$27+Inputs!$B$29,MAX(0,(Inputs!$B$3-100)*3)+Inputs!$B$28+Inputs!$B$29)))</f>
        <v/>
      </c>
      <c r="E2539">
        <f>INDEX(FactorTable!$B$2:$Y$301, MATCH(ROUND(MIN(300,MAX(1,D2539)),0), FactorTable!$A$2:$A$301,0), Skills!M19+1)</f>
        <v/>
      </c>
      <c r="F2539">
        <f>IF(Skills!N19=TRUE,(Skills!L19/10)*(E2539/1000),Skills!L19/10)+Skills!O19</f>
        <v/>
      </c>
      <c r="G2539">
        <f>Skills!G19*IF(Skills!H19&gt;0,Skills!I19/Skills!H19,1)</f>
        <v/>
      </c>
      <c r="H2539">
        <f>1-(1-Skills!J19/100)^Skills!K19</f>
        <v/>
      </c>
      <c r="I2539" t="inlineStr">
        <is>
          <t>1</t>
        </is>
      </c>
      <c r="J2539" t="inlineStr"/>
      <c r="K2539" t="inlineStr"/>
      <c r="L2539" t="inlineStr"/>
      <c r="M2539" t="inlineStr"/>
      <c r="N2539" t="inlineStr"/>
      <c r="O2539">
        <f>(1-Summary!$B$11)*T2539+Summary!$B$11*V2539</f>
        <v/>
      </c>
      <c r="P2539">
        <f>IF(B2565=0,0,O2539/B2565)</f>
        <v/>
      </c>
      <c r="Q2539">
        <f>IFERROR(1/IF(Inputs!$B$39="pvp",15,MAX(0.1,Skills!D19-IF(Skills!E19=TRUE,Inputs!$B$32,0))),0)</f>
        <v/>
      </c>
      <c r="R2539">
        <f>IF(AND(Inputs!$B$39&lt;&gt;"pvp",Inputs!$B$44&gt;0),IF(Inputs!$B$44&lt;=0,0,(INT(Inputs!$B$44/IF(Inputs!$B$39="pvp",15,MAX(0.1,Skills!D19-IF(Skills!E19=TRUE,Inputs!$B$32,0))))+1)),0)</f>
        <v/>
      </c>
      <c r="S2539">
        <f>IFERROR(O2539/N2539,0)</f>
        <v/>
      </c>
      <c r="T2539" t="n">
        <v>0</v>
      </c>
      <c r="V2539" t="n">
        <v>0</v>
      </c>
    </row>
    <row r="2540">
      <c r="A2540">
        <f>Skills!A20</f>
        <v/>
      </c>
      <c r="B2540">
        <f>Skills!B20</f>
        <v/>
      </c>
      <c r="C2540">
        <f>Inputs!$B$3&gt;=15</f>
        <v/>
      </c>
      <c r="D2540">
        <f>IF(Skills!C20=1,60+Inputs!$B$25+Inputs!$B$29,IF(Skills!C20=2,90+Inputs!$B$26+Inputs!$B$29,IF(Skills!C20=3,120+Inputs!$B$27+Inputs!$B$29,MAX(0,(Inputs!$B$3-100)*3)+Inputs!$B$28+Inputs!$B$29)))</f>
        <v/>
      </c>
      <c r="E2540">
        <f>INDEX(FactorTable!$B$2:$Y$301, MATCH(ROUND(MIN(300,MAX(1,D2540)),0), FactorTable!$A$2:$A$301,0), Skills!M20+1)</f>
        <v/>
      </c>
      <c r="F2540">
        <f>IF(Skills!N20=TRUE,(Skills!L20/10)*(E2540/1000),Skills!L20/10)+Skills!O20</f>
        <v/>
      </c>
      <c r="G2540">
        <f>Skills!G20*IF(Skills!H20&gt;0,Skills!I20/Skills!H20,1)</f>
        <v/>
      </c>
      <c r="H2540">
        <f>1-(1-Skills!J20/100)^Skills!K20</f>
        <v/>
      </c>
      <c r="I2540" t="inlineStr">
        <is>
          <t>1</t>
        </is>
      </c>
      <c r="J2540" t="inlineStr"/>
      <c r="K2540" t="inlineStr"/>
      <c r="L2540" t="inlineStr"/>
      <c r="M2540" t="inlineStr"/>
      <c r="N2540" t="inlineStr"/>
      <c r="O2540">
        <f>(1-Summary!$B$11)*T2540+Summary!$B$11*V2540</f>
        <v/>
      </c>
      <c r="P2540">
        <f>IF(B2565=0,0,O2540/B2565)</f>
        <v/>
      </c>
      <c r="Q2540">
        <f>IFERROR(1/IF(Inputs!$B$39="pvp",15,MAX(0.1,Skills!D20-IF(Skills!E20=TRUE,Inputs!$B$32,0))),0)</f>
        <v/>
      </c>
      <c r="R2540">
        <f>IF(AND(Inputs!$B$39&lt;&gt;"pvp",Inputs!$B$44&gt;0),IF(Inputs!$B$44&lt;=0,0,(INT(Inputs!$B$44/IF(Inputs!$B$39="pvp",15,MAX(0.1,Skills!D20-IF(Skills!E20=TRUE,Inputs!$B$32,0))))+1)),0)</f>
        <v/>
      </c>
      <c r="S2540">
        <f>IFERROR(O2540/N2540,0)</f>
        <v/>
      </c>
      <c r="T2540" t="n">
        <v>0</v>
      </c>
      <c r="V2540" t="n">
        <v>0</v>
      </c>
    </row>
    <row r="2541">
      <c r="A2541">
        <f>Skills!A21</f>
        <v/>
      </c>
      <c r="B2541">
        <f>Skills!B21</f>
        <v/>
      </c>
      <c r="C2541">
        <f>Inputs!$B$3&gt;=15</f>
        <v/>
      </c>
      <c r="D2541">
        <f>IF(Skills!C21=1,60+Inputs!$B$25+Inputs!$B$29,IF(Skills!C21=2,90+Inputs!$B$26+Inputs!$B$29,IF(Skills!C21=3,120+Inputs!$B$27+Inputs!$B$29,MAX(0,(Inputs!$B$3-100)*3)+Inputs!$B$28+Inputs!$B$29)))</f>
        <v/>
      </c>
      <c r="E2541">
        <f>INDEX(FactorTable!$B$2:$Y$301, MATCH(ROUND(MIN(300,MAX(1,D2541)),0), FactorTable!$A$2:$A$301,0), Skills!M21+1)</f>
        <v/>
      </c>
      <c r="F2541">
        <f>IF(Skills!N21=TRUE,(Skills!L21/10)*(E2541/1000),Skills!L21/10)+Skills!O21</f>
        <v/>
      </c>
      <c r="G2541">
        <f>Skills!G21*IF(Skills!H21&gt;0,Skills!I21/Skills!H21,1)</f>
        <v/>
      </c>
      <c r="H2541">
        <f>1-(1-Skills!J21/100)^Skills!K21</f>
        <v/>
      </c>
      <c r="I2541" t="inlineStr">
        <is>
          <t>1</t>
        </is>
      </c>
      <c r="J2541" t="inlineStr"/>
      <c r="K2541" t="inlineStr"/>
      <c r="L2541" t="inlineStr"/>
      <c r="M2541" t="inlineStr"/>
      <c r="N2541" t="inlineStr"/>
      <c r="O2541">
        <f>(1-Summary!$B$11)*T2541+Summary!$B$11*V2541</f>
        <v/>
      </c>
      <c r="P2541">
        <f>IF(B2565=0,0,O2541/B2565)</f>
        <v/>
      </c>
      <c r="Q2541">
        <f>IFERROR(1/IF(Inputs!$B$39="pvp",15,MAX(0.1,Skills!D21-IF(Skills!E21=TRUE,Inputs!$B$32,0))),0)</f>
        <v/>
      </c>
      <c r="R2541">
        <f>IF(AND(Inputs!$B$39&lt;&gt;"pvp",Inputs!$B$44&gt;0),IF(Inputs!$B$44&lt;=0,0,(INT(Inputs!$B$44/IF(Inputs!$B$39="pvp",15,MAX(0.1,Skills!D21-IF(Skills!E21=TRUE,Inputs!$B$32,0))))+1)),0)</f>
        <v/>
      </c>
      <c r="S2541">
        <f>IFERROR(O2541/N2541,0)</f>
        <v/>
      </c>
      <c r="T2541" t="n">
        <v>0</v>
      </c>
      <c r="V2541" t="n">
        <v>0</v>
      </c>
    </row>
    <row r="2542">
      <c r="A2542">
        <f>Skills!A22</f>
        <v/>
      </c>
      <c r="B2542">
        <f>Skills!B22</f>
        <v/>
      </c>
      <c r="C2542">
        <f>Inputs!$B$3&gt;=33</f>
        <v/>
      </c>
      <c r="D2542">
        <f>IF(Skills!C22=1,60+Inputs!$B$25+Inputs!$B$29,IF(Skills!C22=2,90+Inputs!$B$26+Inputs!$B$29,IF(Skills!C22=3,120+Inputs!$B$27+Inputs!$B$29,MAX(0,(Inputs!$B$3-100)*3)+Inputs!$B$28+Inputs!$B$29)))</f>
        <v/>
      </c>
      <c r="E2542">
        <f>INDEX(FactorTable!$B$2:$Y$301, MATCH(ROUND(MIN(300,MAX(1,D2542)),0), FactorTable!$A$2:$A$301,0), Skills!M22+1)</f>
        <v/>
      </c>
      <c r="F2542">
        <f>IF(Skills!N22=TRUE,(Skills!L22/10)*(E2542/1000),Skills!L22/10)+Skills!O22</f>
        <v/>
      </c>
      <c r="G2542">
        <f>Skills!G22*IF(Skills!H22&gt;0,Skills!I22/Skills!H22,1)</f>
        <v/>
      </c>
      <c r="H2542">
        <f>1-(1-Skills!J22/100)^Skills!K22</f>
        <v/>
      </c>
      <c r="I2542" t="inlineStr">
        <is>
          <t>1</t>
        </is>
      </c>
      <c r="J2542" t="inlineStr"/>
      <c r="K2542" t="inlineStr"/>
      <c r="L2542" t="inlineStr"/>
      <c r="M2542" t="inlineStr"/>
      <c r="N2542" t="inlineStr"/>
      <c r="O2542">
        <f>(1-Summary!$B$11)*T2542+Summary!$B$11*V2542</f>
        <v/>
      </c>
      <c r="P2542">
        <f>IF(B2565=0,0,O2542/B2565)</f>
        <v/>
      </c>
      <c r="Q2542" t="n">
        <v>0</v>
      </c>
      <c r="R2542" t="n">
        <v>0</v>
      </c>
      <c r="S2542">
        <f>IFERROR(O2542/N2542,0)</f>
        <v/>
      </c>
      <c r="T2542" t="n">
        <v>0</v>
      </c>
      <c r="V2542" t="n">
        <v>0</v>
      </c>
    </row>
    <row r="2543">
      <c r="A2543">
        <f>Skills!A23</f>
        <v/>
      </c>
      <c r="B2543">
        <f>Skills!B23</f>
        <v/>
      </c>
      <c r="C2543">
        <f>Inputs!$B$3&gt;=40</f>
        <v/>
      </c>
      <c r="D2543">
        <f>IF(Skills!C23=1,60+Inputs!$B$25+Inputs!$B$29,IF(Skills!C23=2,90+Inputs!$B$26+Inputs!$B$29,IF(Skills!C23=3,120+Inputs!$B$27+Inputs!$B$29,MAX(0,(Inputs!$B$3-100)*3)+Inputs!$B$28+Inputs!$B$29)))</f>
        <v/>
      </c>
      <c r="E2543">
        <f>INDEX(FactorTable!$B$2:$Y$301, MATCH(ROUND(MIN(300,MAX(1,D2543)),0), FactorTable!$A$2:$A$301,0), Skills!M23+1)</f>
        <v/>
      </c>
      <c r="F2543">
        <f>IF(Skills!N23=TRUE,(Skills!L23/10)*(E2543/1000),Skills!L23/10)+Skills!O23</f>
        <v/>
      </c>
      <c r="G2543">
        <f>Skills!G23*IF(Skills!H23&gt;0,Skills!I23/Skills!H23,1)</f>
        <v/>
      </c>
      <c r="H2543">
        <f>1-(1-Skills!J23/100)^Skills!K23</f>
        <v/>
      </c>
      <c r="I2543" t="inlineStr">
        <is>
          <t>1</t>
        </is>
      </c>
      <c r="J2543" t="inlineStr"/>
      <c r="K2543" t="inlineStr"/>
      <c r="L2543" t="inlineStr"/>
      <c r="M2543" t="inlineStr"/>
      <c r="N2543" t="inlineStr"/>
      <c r="O2543">
        <f>(1-Summary!$B$11)*T2543+Summary!$B$11*V2543</f>
        <v/>
      </c>
      <c r="P2543">
        <f>IF(B2565=0,0,O2543/B2565)</f>
        <v/>
      </c>
      <c r="Q2543" t="n">
        <v>0</v>
      </c>
      <c r="R2543" t="n">
        <v>0</v>
      </c>
      <c r="S2543">
        <f>IFERROR(O2543/N2543,0)</f>
        <v/>
      </c>
      <c r="T2543" t="n">
        <v>0</v>
      </c>
      <c r="V2543" t="n">
        <v>0</v>
      </c>
    </row>
    <row r="2544">
      <c r="A2544">
        <f>Skills!A24</f>
        <v/>
      </c>
      <c r="B2544">
        <f>Skills!B24</f>
        <v/>
      </c>
      <c r="C2544">
        <f>Inputs!$B$3&gt;=43</f>
        <v/>
      </c>
      <c r="D2544">
        <f>IF(Skills!C24=1,60+Inputs!$B$25+Inputs!$B$29,IF(Skills!C24=2,90+Inputs!$B$26+Inputs!$B$29,IF(Skills!C24=3,120+Inputs!$B$27+Inputs!$B$29,MAX(0,(Inputs!$B$3-100)*3)+Inputs!$B$28+Inputs!$B$29)))</f>
        <v/>
      </c>
      <c r="E2544">
        <f>INDEX(FactorTable!$B$2:$Y$301, MATCH(ROUND(MIN(300,MAX(1,D2544)),0), FactorTable!$A$2:$A$301,0), Skills!M24+1)</f>
        <v/>
      </c>
      <c r="F2544">
        <f>IF(Skills!N24=TRUE,(Skills!L24/10)*(E2544/1000),Skills!L24/10)+Skills!O24</f>
        <v/>
      </c>
      <c r="G2544">
        <f>Skills!G24*IF(Skills!H24&gt;0,Skills!I24/Skills!H24,1)</f>
        <v/>
      </c>
      <c r="H2544">
        <f>1-(1-Skills!J24/100)^Skills!K24</f>
        <v/>
      </c>
      <c r="I2544" t="inlineStr">
        <is>
          <t>1</t>
        </is>
      </c>
      <c r="J2544" t="inlineStr"/>
      <c r="K2544" t="inlineStr"/>
      <c r="L2544" t="inlineStr"/>
      <c r="M2544" t="inlineStr"/>
      <c r="N2544" t="inlineStr"/>
      <c r="O2544">
        <f>(1-Summary!$B$11)*T2544+Summary!$B$11*V2544</f>
        <v/>
      </c>
      <c r="P2544">
        <f>IF(B2565=0,0,O2544/B2565)</f>
        <v/>
      </c>
      <c r="Q2544" t="n">
        <v>0</v>
      </c>
      <c r="R2544" t="n">
        <v>0</v>
      </c>
      <c r="S2544">
        <f>IFERROR(O2544/N2544,0)</f>
        <v/>
      </c>
      <c r="T2544" t="n">
        <v>0</v>
      </c>
      <c r="V2544" t="n">
        <v>0</v>
      </c>
    </row>
    <row r="2545">
      <c r="A2545">
        <f>Skills!A25</f>
        <v/>
      </c>
      <c r="B2545">
        <f>Skills!B25</f>
        <v/>
      </c>
      <c r="C2545">
        <f>Inputs!$B$3&gt;=50</f>
        <v/>
      </c>
      <c r="D2545">
        <f>IF(Skills!C25=1,60+Inputs!$B$25+Inputs!$B$29,IF(Skills!C25=2,90+Inputs!$B$26+Inputs!$B$29,IF(Skills!C25=3,120+Inputs!$B$27+Inputs!$B$29,MAX(0,(Inputs!$B$3-100)*3)+Inputs!$B$28+Inputs!$B$29)))</f>
        <v/>
      </c>
      <c r="E2545">
        <f>INDEX(FactorTable!$B$2:$Y$301, MATCH(ROUND(MIN(300,MAX(1,D2545)),0), FactorTable!$A$2:$A$301,0), Skills!M25+1)</f>
        <v/>
      </c>
      <c r="F2545">
        <f>IF(Skills!N25=TRUE,(Skills!L25/10)*(E2545/1000),Skills!L25/10)+Skills!O25</f>
        <v/>
      </c>
      <c r="G2545">
        <f>Skills!G25*IF(Skills!H25&gt;0,Skills!I25/Skills!H25,1)</f>
        <v/>
      </c>
      <c r="H2545">
        <f>1-(1-Skills!J25/100)^Skills!K25</f>
        <v/>
      </c>
      <c r="I2545" t="inlineStr">
        <is>
          <t>1</t>
        </is>
      </c>
      <c r="J2545" t="inlineStr"/>
      <c r="K2545" t="inlineStr"/>
      <c r="L2545" t="inlineStr"/>
      <c r="M2545" t="inlineStr"/>
      <c r="N2545" t="inlineStr"/>
      <c r="O2545">
        <f>(1-Summary!$B$11)*T2545+Summary!$B$11*V2545</f>
        <v/>
      </c>
      <c r="P2545">
        <f>IF(B2565=0,0,O2545/B2565)</f>
        <v/>
      </c>
      <c r="Q2545" t="n">
        <v>0</v>
      </c>
      <c r="R2545" t="n">
        <v>0</v>
      </c>
      <c r="S2545">
        <f>IFERROR(O2545/N2545,0)</f>
        <v/>
      </c>
      <c r="T2545" t="n">
        <v>0</v>
      </c>
      <c r="V2545" t="n">
        <v>0</v>
      </c>
    </row>
    <row r="2546">
      <c r="A2546">
        <f>Skills!A26</f>
        <v/>
      </c>
      <c r="B2546">
        <f>Skills!B26</f>
        <v/>
      </c>
      <c r="C2546">
        <f>Inputs!$B$3&gt;=50</f>
        <v/>
      </c>
      <c r="D2546">
        <f>IF(Skills!C26=1,60+Inputs!$B$25+Inputs!$B$29,IF(Skills!C26=2,90+Inputs!$B$26+Inputs!$B$29,IF(Skills!C26=3,120+Inputs!$B$27+Inputs!$B$29,MAX(0,(Inputs!$B$3-100)*3)+Inputs!$B$28+Inputs!$B$29)))</f>
        <v/>
      </c>
      <c r="E2546">
        <f>INDEX(FactorTable!$B$2:$Y$301, MATCH(ROUND(MIN(300,MAX(1,D2546)),0), FactorTable!$A$2:$A$301,0), Skills!M26+1)</f>
        <v/>
      </c>
      <c r="F2546">
        <f>IF(Skills!N26=TRUE,(Skills!L26/10)*(E2546/1000),Skills!L26/10)+Skills!O26</f>
        <v/>
      </c>
      <c r="G2546">
        <f>Skills!G26*IF(Skills!H26&gt;0,Skills!I26/Skills!H26,1)</f>
        <v/>
      </c>
      <c r="H2546">
        <f>1-(1-Skills!J26/100)^Skills!K26</f>
        <v/>
      </c>
      <c r="I2546" t="inlineStr">
        <is>
          <t>1</t>
        </is>
      </c>
      <c r="J2546" t="inlineStr"/>
      <c r="K2546" t="inlineStr"/>
      <c r="L2546" t="inlineStr"/>
      <c r="M2546" t="inlineStr"/>
      <c r="N2546" t="inlineStr"/>
      <c r="O2546">
        <f>(1-Summary!$B$11)*T2546+Summary!$B$11*V2546</f>
        <v/>
      </c>
      <c r="P2546">
        <f>IF(B2565=0,0,O2546/B2565)</f>
        <v/>
      </c>
      <c r="Q2546" t="n">
        <v>0</v>
      </c>
      <c r="R2546" t="n">
        <v>0</v>
      </c>
      <c r="S2546">
        <f>IFERROR(O2546/N2546,0)</f>
        <v/>
      </c>
      <c r="T2546" t="n">
        <v>0</v>
      </c>
      <c r="V2546" t="n">
        <v>0</v>
      </c>
    </row>
    <row r="2547">
      <c r="A2547">
        <f>Skills!A27</f>
        <v/>
      </c>
      <c r="B2547">
        <f>Skills!B27</f>
        <v/>
      </c>
      <c r="C2547">
        <f>Inputs!$B$3&gt;=38</f>
        <v/>
      </c>
      <c r="D2547">
        <f>IF(Skills!C27=1,60+Inputs!$B$25+Inputs!$B$29,IF(Skills!C27=2,90+Inputs!$B$26+Inputs!$B$29,IF(Skills!C27=3,120+Inputs!$B$27+Inputs!$B$29,MAX(0,(Inputs!$B$3-100)*3)+Inputs!$B$28+Inputs!$B$29)))</f>
        <v/>
      </c>
      <c r="E2547">
        <f>INDEX(FactorTable!$B$2:$Y$301, MATCH(ROUND(MIN(300,MAX(1,D2547)),0), FactorTable!$A$2:$A$301,0), Skills!M27+1)</f>
        <v/>
      </c>
      <c r="F2547">
        <f>IF(Skills!N27=TRUE,(Skills!L27/10)*(E2547/1000),Skills!L27/10)+Skills!O27</f>
        <v/>
      </c>
      <c r="G2547">
        <f>Skills!G27*IF(Skills!H27&gt;0,Skills!I27/Skills!H27,1)</f>
        <v/>
      </c>
      <c r="H2547">
        <f>1-(1-Skills!J27/100)^Skills!K27</f>
        <v/>
      </c>
      <c r="I2547" t="inlineStr">
        <is>
          <t>1</t>
        </is>
      </c>
      <c r="J2547" t="inlineStr"/>
      <c r="K2547" t="inlineStr"/>
      <c r="L2547" t="inlineStr"/>
      <c r="M2547" t="inlineStr"/>
      <c r="N2547" t="inlineStr"/>
      <c r="O2547">
        <f>(1-Summary!$B$11)*T2547+Summary!$B$11*V2547</f>
        <v/>
      </c>
      <c r="P2547">
        <f>IF(B2565=0,0,O2547/B2565)</f>
        <v/>
      </c>
      <c r="Q2547" t="n">
        <v>0</v>
      </c>
      <c r="R2547" t="n">
        <v>0</v>
      </c>
      <c r="S2547">
        <f>IFERROR(O2547/N2547,0)</f>
        <v/>
      </c>
      <c r="T2547" t="n">
        <v>0</v>
      </c>
      <c r="V2547" t="n">
        <v>0</v>
      </c>
    </row>
    <row r="2548">
      <c r="A2548">
        <f>Skills!A28</f>
        <v/>
      </c>
      <c r="B2548">
        <f>Skills!B28</f>
        <v/>
      </c>
      <c r="C2548">
        <f>Inputs!$B$3&gt;=120</f>
        <v/>
      </c>
      <c r="D2548">
        <f>IF(Skills!C28=1,60+Inputs!$B$25+Inputs!$B$29,IF(Skills!C28=2,90+Inputs!$B$26+Inputs!$B$29,IF(Skills!C28=3,120+Inputs!$B$27+Inputs!$B$29,MAX(0,(Inputs!$B$3-100)*3)+Inputs!$B$28+Inputs!$B$29)))</f>
        <v/>
      </c>
      <c r="E2548">
        <f>INDEX(FactorTable!$B$2:$Y$301, MATCH(ROUND(MIN(300,MAX(1,D2548)),0), FactorTable!$A$2:$A$301,0), Skills!M28+1)</f>
        <v/>
      </c>
      <c r="F2548">
        <f>IF(Skills!N28=TRUE,(Skills!L28/10)*(E2548/1000),Skills!L28/10)+Skills!O28</f>
        <v/>
      </c>
      <c r="G2548">
        <f>Skills!G28*IF(Skills!H28&gt;0,Skills!I28/Skills!H28,1)</f>
        <v/>
      </c>
      <c r="H2548">
        <f>1-(1-Skills!J28/100)^Skills!K28</f>
        <v/>
      </c>
      <c r="I2548" t="inlineStr">
        <is>
          <t>1</t>
        </is>
      </c>
      <c r="J2548" t="inlineStr"/>
      <c r="K2548" t="inlineStr"/>
      <c r="L2548" t="inlineStr"/>
      <c r="M2548" t="inlineStr"/>
      <c r="N2548" t="inlineStr"/>
      <c r="O2548">
        <f>(1-Summary!$B$11)*T2548+Summary!$B$11*V2548</f>
        <v/>
      </c>
      <c r="P2548">
        <f>IF(B2565=0,0,O2548/B2565)</f>
        <v/>
      </c>
      <c r="Q2548" t="n">
        <v>0</v>
      </c>
      <c r="R2548" t="n">
        <v>0</v>
      </c>
      <c r="S2548">
        <f>IFERROR(O2548/N2548,0)</f>
        <v/>
      </c>
      <c r="T2548" t="n">
        <v>0</v>
      </c>
      <c r="V2548" t="n">
        <v>0</v>
      </c>
    </row>
    <row r="2549">
      <c r="A2549">
        <f>Skills!A29</f>
        <v/>
      </c>
      <c r="B2549">
        <f>Skills!B29</f>
        <v/>
      </c>
      <c r="C2549">
        <f>Inputs!$B$3&gt;=120</f>
        <v/>
      </c>
      <c r="D2549">
        <f>IF(Skills!C29=1,60+Inputs!$B$25+Inputs!$B$29,IF(Skills!C29=2,90+Inputs!$B$26+Inputs!$B$29,IF(Skills!C29=3,120+Inputs!$B$27+Inputs!$B$29,MAX(0,(Inputs!$B$3-100)*3)+Inputs!$B$28+Inputs!$B$29)))</f>
        <v/>
      </c>
      <c r="E2549">
        <f>INDEX(FactorTable!$B$2:$Y$301, MATCH(ROUND(MIN(300,MAX(1,D2549)),0), FactorTable!$A$2:$A$301,0), Skills!M29+1)</f>
        <v/>
      </c>
      <c r="F2549">
        <f>IF(Skills!N29=TRUE,(Skills!L29/10)*(E2549/1000),Skills!L29/10)+Skills!O29</f>
        <v/>
      </c>
      <c r="G2549">
        <f>Skills!G29*IF(Skills!H29&gt;0,Skills!I29/Skills!H29,1)</f>
        <v/>
      </c>
      <c r="H2549">
        <f>1-(1-Skills!J29/100)^Skills!K29</f>
        <v/>
      </c>
      <c r="I2549" t="inlineStr">
        <is>
          <t>1</t>
        </is>
      </c>
      <c r="J2549" t="inlineStr"/>
      <c r="K2549" t="inlineStr"/>
      <c r="L2549" t="inlineStr"/>
      <c r="M2549" t="inlineStr"/>
      <c r="N2549" t="inlineStr"/>
      <c r="O2549">
        <f>(1-Summary!$B$11)*T2549+Summary!$B$11*V2549</f>
        <v/>
      </c>
      <c r="P2549">
        <f>IF(B2565=0,0,O2549/B2565)</f>
        <v/>
      </c>
      <c r="Q2549" t="n">
        <v>0</v>
      </c>
      <c r="R2549" t="n">
        <v>0</v>
      </c>
      <c r="S2549">
        <f>IFERROR(O2549/N2549,0)</f>
        <v/>
      </c>
      <c r="T2549" t="n">
        <v>0</v>
      </c>
      <c r="V2549" t="n">
        <v>0</v>
      </c>
    </row>
    <row r="2550">
      <c r="A2550">
        <f>Skills!A30</f>
        <v/>
      </c>
      <c r="B2550">
        <f>Skills!B30</f>
        <v/>
      </c>
      <c r="C2550">
        <f>Inputs!$B$3&gt;=125</f>
        <v/>
      </c>
      <c r="D2550">
        <f>IF(Skills!C30=1,60+Inputs!$B$25+Inputs!$B$29,IF(Skills!C30=2,90+Inputs!$B$26+Inputs!$B$29,IF(Skills!C30=3,120+Inputs!$B$27+Inputs!$B$29,MAX(0,(Inputs!$B$3-100)*3)+Inputs!$B$28+Inputs!$B$29)))</f>
        <v/>
      </c>
      <c r="E2550">
        <f>INDEX(FactorTable!$B$2:$Y$301, MATCH(ROUND(MIN(300,MAX(1,D2550)),0), FactorTable!$A$2:$A$301,0), Skills!M30+1)</f>
        <v/>
      </c>
      <c r="F2550">
        <f>IF(Skills!N30=TRUE,(Skills!L30/10)*(E2550/1000),Skills!L30/10)+Skills!O30</f>
        <v/>
      </c>
      <c r="G2550">
        <f>Skills!G30*IF(Skills!H30&gt;0,Skills!I30/Skills!H30,1)</f>
        <v/>
      </c>
      <c r="H2550">
        <f>1-(1-Skills!J30/100)^Skills!K30</f>
        <v/>
      </c>
      <c r="I2550" t="inlineStr">
        <is>
          <t>1</t>
        </is>
      </c>
      <c r="J2550" t="inlineStr"/>
      <c r="K2550" t="inlineStr"/>
      <c r="L2550" t="inlineStr"/>
      <c r="M2550" t="inlineStr"/>
      <c r="N2550" t="inlineStr"/>
      <c r="O2550">
        <f>(1-Summary!$B$11)*T2550+Summary!$B$11*V2550</f>
        <v/>
      </c>
      <c r="P2550">
        <f>IF(B2565=0,0,O2550/B2565)</f>
        <v/>
      </c>
      <c r="Q2550" t="n">
        <v>0</v>
      </c>
      <c r="R2550" t="n">
        <v>0</v>
      </c>
      <c r="S2550">
        <f>IFERROR(O2550/N2550,0)</f>
        <v/>
      </c>
      <c r="T2550" t="n">
        <v>0</v>
      </c>
      <c r="V2550" t="n">
        <v>0</v>
      </c>
    </row>
    <row r="2552">
      <c r="A2552" t="inlineStr">
        <is>
          <t>Average Buff Multiplier</t>
        </is>
      </c>
      <c r="B2552">
        <f>(1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f>
        <v/>
      </c>
    </row>
    <row r="2553">
      <c r="A2553" t="inlineStr">
        <is>
          <t>Global Crit Rate Bonus %</t>
        </is>
      </c>
      <c r="B2553">
        <f>((C2540=TRUE)*F2540*IF(AND(Inputs!$B$39&lt;&gt;"pvp",Inputs!$B$44&gt;0),(((R2540-1)*(Skills!Y20*(1+Inputs!$B$34/100))+MIN((Skills!Y20*(1+Inputs!$B$34/100)),MAX(0,Inputs!$B$44-((R2540-1)*Skills!D20))))/Inputs!$B$44),IF(Inputs!$B$39="pvp",MIN((Skills!Y20*(1+Inputs!$B$34/100)),15)/15,(Skills!Y20*(1+Inputs!$B$34/100))/Skills!D20)))</f>
        <v/>
      </c>
    </row>
    <row r="2554">
      <c r="A2554" t="inlineStr">
        <is>
          <t>Global Monster Damage-Taken Bonus %</t>
        </is>
      </c>
      <c r="B2554">
        <f>IF(Inputs!$B$3&gt;=82,15,0)</f>
        <v/>
      </c>
    </row>
    <row r="2555">
      <c r="A2555" t="inlineStr">
        <is>
          <t>Shadow Partner Average Multiplier</t>
        </is>
      </c>
      <c r="B2555">
        <f>1+((C2527=TRUE)*F2527*(1+3.3333333333333335*IF(C2538=TRUE,F2538,0)/100)*I2527*Skills!J7/100)/100</f>
        <v/>
      </c>
    </row>
    <row r="2556">
      <c r="A2556" t="inlineStr">
        <is>
          <t>Attack Speed Buff Bonus %</t>
        </is>
      </c>
      <c r="B2556">
        <f>((C2539=TRUE)*F2539*IF(AND(Inputs!$B$39&lt;&gt;"pvp",Inputs!$B$44&gt;0),(((R2539-1)*(Skills!Y19*(1+Inputs!$B$34/100))+MIN((Skills!Y19*(1+Inputs!$B$34/100)),MAX(0,Inputs!$B$44-((R2539-1)*Skills!D19))))/Inputs!$B$44),IF(Inputs!$B$39="pvp",MIN((Skills!Y19*(1+Inputs!$B$34/100)),15)/15,(Skills!Y19*(1+Inputs!$B$34/100))/Skills!D19)))+((C2523=TRUE)*F2523*3)</f>
        <v/>
      </c>
    </row>
    <row r="2557">
      <c r="A2557" t="inlineStr">
        <is>
          <t>Actions Per Second</t>
        </is>
      </c>
      <c r="B2557">
        <f>1+MIN(150,150*(1-(1-(Inputs!$B$11+((C2542=TRUE)*(F2542-Calc!F22)))/150)*(1-B2556/150)))/100</f>
        <v/>
      </c>
    </row>
    <row r="2558">
      <c r="A2558" t="inlineStr">
        <is>
          <t>Skill + Buff Cast Rate</t>
        </is>
      </c>
      <c r="B2558">
        <f>IF(AND(Inputs!$B$39&lt;&gt;"pvp",Inputs!$B$44&gt;0),SUMPRODUCT((Skills!E2:E30=TRUE)*(C2522:C2550=TRUE)*R2522:R2550*Skills!F2:F30)/Inputs!$B$44,SUMPRODUCT((Skills!E2:E30=TRUE)*(C2522:C2550=TRUE)*Q2522:Q2550*Skills!F2:F30))</f>
        <v/>
      </c>
    </row>
    <row r="2559">
      <c r="A2559" t="inlineStr">
        <is>
          <t>Cruel Stab Casts Per Second</t>
        </is>
      </c>
      <c r="B2559">
        <f>MAX(0,B2557-B2558)</f>
        <v/>
      </c>
    </row>
    <row r="2560">
      <c r="A2560" t="inlineStr">
        <is>
          <t>Global Critical Damage Bonus % (Smokescreen Mastery Lv.113)</t>
        </is>
      </c>
      <c r="B2560">
        <f>IF(Inputs!$B$3&gt;=113,30,0)*IF(AND(Inputs!$B$39&lt;&gt;"pvp",Inputs!$B$44&gt;0),(((R2535-1)*(Skills!Y15*(1+Inputs!$B$34/100))+MIN((Skills!Y15*(1+Inputs!$B$34/100)),MAX(0,Inputs!$B$44-((R2535-1)*Skills!D15))))/Inputs!$B$44),IF(Inputs!$B$39="pvp",MIN((Skills!Y15*(1+Inputs!$B$34/100)),15)/15,(Skills!Y15*(1+Inputs!$B$34/100))/Skills!D15))</f>
        <v/>
      </c>
    </row>
    <row r="2561">
      <c r="A2561" t="inlineStr">
        <is>
          <t>Meso Explosion average stack count</t>
        </is>
      </c>
      <c r="B2561">
        <f>MIN(10,0.5*B2557*Skills!D4)</f>
        <v/>
      </c>
    </row>
    <row r="2562">
      <c r="A2562" t="inlineStr">
        <is>
          <t>Blood Money average stack count</t>
        </is>
      </c>
      <c r="B2562">
        <f>MIN(5,0.25*B2557*Skills!D4)</f>
        <v/>
      </c>
    </row>
    <row r="2563">
      <c r="A2563" t="inlineStr">
        <is>
          <t>Assassinate Murderous Intent Multiplier</t>
        </is>
      </c>
      <c r="B2563">
        <f>1+IFERROR(MIN(1,Q2534*2/Q2531),0)</f>
        <v/>
      </c>
    </row>
    <row r="2564">
      <c r="A2564" t="inlineStr">
        <is>
          <t>Buff-Casting Startup Delay (s, fixed-duration only)</t>
        </is>
      </c>
      <c r="B2564">
        <f>IF(AND(Inputs!$B$39&lt;&gt;"pvp",Inputs!$B$44&gt;0),SUMPRODUCT((Skills!Y2:Y30&gt;0)*(Skills!E2:E30=TRUE)*(C2522:C2550=TRUE))/B2557,0)</f>
        <v/>
      </c>
    </row>
    <row r="2565">
      <c r="A2565" s="6" t="inlineStr">
        <is>
          <t>TOTAL DPS</t>
        </is>
      </c>
      <c r="B2565" s="6">
        <f>SUM(O2522:O2550)</f>
        <v/>
      </c>
    </row>
    <row r="2566">
      <c r="A2566" t="inlineStr">
        <is>
          <t>Boss-Only Total DPS (this block's swept value)</t>
        </is>
      </c>
      <c r="B2566">
        <f>SUM(T2522:T2550)</f>
        <v/>
      </c>
    </row>
    <row r="2567">
      <c r="A2567" t="inlineStr">
        <is>
          <t>Normal-Only Total DPS (this block's swept value)</t>
        </is>
      </c>
      <c r="B2567">
        <f>SUM(V2522:V2550)</f>
        <v/>
      </c>
    </row>
    <row r="2570">
      <c r="A2570" s="6" t="inlineStr">
        <is>
          <t>Stat: Ancient Text Piece (Equip)</t>
        </is>
      </c>
    </row>
    <row r="2571">
      <c r="A2571" s="5" t="inlineStr">
        <is>
          <t>Key</t>
        </is>
      </c>
      <c r="B2571" s="5" t="inlineStr">
        <is>
          <t>Name</t>
        </is>
      </c>
      <c r="C2571" s="5" t="inlineStr">
        <is>
          <t>Unlocked</t>
        </is>
      </c>
      <c r="D2571" s="5" t="inlineStr">
        <is>
          <t>InputLevel</t>
        </is>
      </c>
      <c r="E2571" s="5" t="inlineStr">
        <is>
          <t>Factor</t>
        </is>
      </c>
      <c r="F2571" s="5" t="inlineStr">
        <is>
          <t>CoefficientPercent</t>
        </is>
      </c>
      <c r="G2571" s="5" t="inlineStr">
        <is>
          <t>EffectiveHits</t>
        </is>
      </c>
      <c r="H2571" s="5" t="inlineStr">
        <is>
          <t>ProcProbability</t>
        </is>
      </c>
      <c r="I2571" s="5" t="inlineStr">
        <is>
          <t>MapleHeroMultiplier</t>
        </is>
      </c>
      <c r="J2571" s="5" t="inlineStr">
        <is>
          <t>BaseDamage</t>
        </is>
      </c>
      <c r="K2571" s="5" t="inlineStr">
        <is>
          <t>BaseHitDamage</t>
        </is>
      </c>
      <c r="L2571" s="5" t="inlineStr">
        <is>
          <t>NonCritAvg</t>
        </is>
      </c>
      <c r="M2571" s="5" t="inlineStr">
        <is>
          <t>CritAvg</t>
        </is>
      </c>
      <c r="N2571" s="5" t="inlineStr">
        <is>
          <t>ExpectedDamage(perHit)</t>
        </is>
      </c>
      <c r="O2571" s="5" t="inlineStr">
        <is>
          <t>DPS</t>
        </is>
      </c>
      <c r="P2571" s="5" t="inlineStr">
        <is>
          <t>% of Total</t>
        </is>
      </c>
      <c r="Q2571" s="5" t="inlineStr">
        <is>
          <t>InvCooldown</t>
        </is>
      </c>
      <c r="R2571" s="5" t="inlineStr">
        <is>
          <t>CastsInFight</t>
        </is>
      </c>
      <c r="S2571" s="5" t="inlineStr">
        <is>
          <t>HitRate(perSec)</t>
        </is>
      </c>
      <c r="U2571" t="inlineStr">
        <is>
          <t>helpers</t>
        </is>
      </c>
    </row>
    <row r="2572">
      <c r="A2572">
        <f>Skills!A2</f>
        <v/>
      </c>
      <c r="B2572">
        <f>Skills!B2</f>
        <v/>
      </c>
      <c r="C2572">
        <f>Inputs!$B$3&gt;=100</f>
        <v/>
      </c>
      <c r="D2572" t="inlineStr"/>
      <c r="E2572" t="inlineStr"/>
      <c r="F2572">
        <f>U2574+Skills!O2</f>
        <v/>
      </c>
      <c r="G2572">
        <f>Skills!G2*IF(Skills!H2&gt;0,Skills!I2/Skills!H2,1)</f>
        <v/>
      </c>
      <c r="H2572">
        <f>1-(1-Skills!J2/100)^Skills!K2</f>
        <v/>
      </c>
      <c r="I2572" t="inlineStr">
        <is>
          <t>1</t>
        </is>
      </c>
      <c r="J2572">
        <f>((Inputs!$B$6*(1+Inputs!$B$7/100))+(((Inputs!$B$12*(1+Inputs!$B$13/100))-(Inputs!$B$12*(1+Inputs!$B$13/100)))+0.25*(Inputs!$B$14-Inputs!$B$14))*(1+Inputs!$B$7/100))*(F2572/100)</f>
        <v/>
      </c>
      <c r="K2572">
        <f>J2572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2572)</f>
        <v/>
      </c>
      <c r="L2572">
        <f>K2572*(MIN(Inputs!$B$22+((C2594=TRUE)*(F2594-Calc!F24)),(Inputs!$B$23+((C2599=TRUE)*(F2599-Calc!F29))+IF(ArtifactsInput!$M$15,CHOOSE(ArtifactsInput!$N$15+1,25,30,35,40,45,50)/100*(Inputs!$B$11-Inputs!$B$11),0)))/100+(Inputs!$B$23+((C2599=TRUE)*(F2599-Calc!F29))+IF(ArtifactsInput!$M$15,CHOOSE(ArtifactsInput!$N$15+1,25,30,35,40,45,50)/100*(Inputs!$B$11-Inputs!$B$11),0))/100)/2</f>
        <v/>
      </c>
      <c r="M2572">
        <f>L2572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2">
        <f>L2572*(1-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2572*(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2">
        <f>(1-Summary!$B$11)*T2572+Summary!$B$11*V2572</f>
        <v/>
      </c>
      <c r="P2572">
        <f>IF(B2615=0,0,O2572/B2615)</f>
        <v/>
      </c>
      <c r="Q2572" t="n">
        <v>0</v>
      </c>
      <c r="R2572" t="n">
        <v>0</v>
      </c>
      <c r="S2572">
        <f>IFERROR(O2572/N2572,0)</f>
        <v/>
      </c>
      <c r="T2572">
        <f>IF(C2572,(Skills!G2*N2572*B2609)*IF(Inputs!$B$39="pvp",1,1+(Inputs!$B$20+0+Skills!P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2572*(1-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2572*(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2572*(1-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2572*(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2">
        <f>MAX(0,(Inputs!$B$3-100)*3)+Inputs!$B$28+Inputs!$B$29</f>
        <v/>
      </c>
      <c r="V2572">
        <f>IF(C2572,(Skills!G2*N2572*B2609)*IF(Inputs!$B$39="pvp",1,(1+(Inputs!$B$21+Skills!Q2+B2604+(IF(ArtifactsInput!$M$33,CHOOSE(ArtifactsInput!$N$33+1,30,36,42,48,54,60),0))+(IF(AND(ArtifactsInput!$M$35,Inputs!$B$4&lt;&gt;"Chapter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3">
      <c r="A2573">
        <f>Skills!A3</f>
        <v/>
      </c>
      <c r="B2573">
        <f>Skills!B3</f>
        <v/>
      </c>
      <c r="C2573">
        <f>Inputs!$B$3&gt;=35</f>
        <v/>
      </c>
      <c r="D2573">
        <f>IF(Skills!C3=1,60+Inputs!$B$25+Inputs!$B$29,IF(Skills!C3=2,90+Inputs!$B$26+Inputs!$B$29,IF(Skills!C3=3,120+Inputs!$B$27+Inputs!$B$29,MAX(0,(Inputs!$B$3-100)*3)+Inputs!$B$28+Inputs!$B$29)))</f>
        <v/>
      </c>
      <c r="E2573">
        <f>INDEX(FactorTable!$B$2:$Y$301, MATCH(ROUND(MIN(300,MAX(1,D2573)),0), FactorTable!$A$2:$A$301,0), Skills!M3+1)</f>
        <v/>
      </c>
      <c r="F2573">
        <f>IF(Skills!N3=TRUE,(Skills!L3/10)*(E2573/1000),Skills!L3/10)+Skills!O3</f>
        <v/>
      </c>
      <c r="G2573">
        <f>Skills!G3*IF(Skills!H3&gt;0,Skills!I3/Skills!H3,1)</f>
        <v/>
      </c>
      <c r="H2573">
        <f>1-(1-Skills!J3/100)^Skills!K3</f>
        <v/>
      </c>
      <c r="I2573" t="inlineStr">
        <is>
          <t>1</t>
        </is>
      </c>
      <c r="J2573" t="inlineStr"/>
      <c r="K2573" t="inlineStr"/>
      <c r="L2573" t="inlineStr"/>
      <c r="M2573" t="inlineStr"/>
      <c r="N2573" t="inlineStr"/>
      <c r="O2573">
        <f>(1-Summary!$B$11)*T2573+Summary!$B$11*V2573</f>
        <v/>
      </c>
      <c r="P2573">
        <f>IF(B2615=0,0,O2573/B2615)</f>
        <v/>
      </c>
      <c r="Q2573" t="n">
        <v>0</v>
      </c>
      <c r="R2573" t="n">
        <v>0</v>
      </c>
      <c r="S2573">
        <f>IFERROR(O2573/N2573,0)</f>
        <v/>
      </c>
      <c r="T2573" t="n">
        <v>0</v>
      </c>
      <c r="U2573">
        <f>INDEX(FactorTable!$B$2:$Y$301, MATCH(ROUND(MIN(300,MAX(1,U2572)),0), FactorTable!$A$2:$A$301,0), 22)</f>
        <v/>
      </c>
      <c r="V2573" t="n">
        <v>0</v>
      </c>
    </row>
    <row r="2574">
      <c r="A2574">
        <f>Skills!A4</f>
        <v/>
      </c>
      <c r="B2574">
        <f>Skills!B4</f>
        <v/>
      </c>
      <c r="C2574">
        <f>Inputs!$B$3&gt;=66</f>
        <v/>
      </c>
      <c r="D2574">
        <f>IF(Skills!C4=1,60+Inputs!$B$25+Inputs!$B$29,IF(Skills!C4=2,90+Inputs!$B$26+Inputs!$B$29,IF(Skills!C4=3,120+Inputs!$B$27+Inputs!$B$29,MAX(0,(Inputs!$B$3-100)*3)+Inputs!$B$28+Inputs!$B$29)))</f>
        <v/>
      </c>
      <c r="E2574">
        <f>INDEX(FactorTable!$B$2:$Y$301, MATCH(ROUND(MIN(300,MAX(1,D2574)),0), FactorTable!$A$2:$A$301,0), Skills!M4+1)</f>
        <v/>
      </c>
      <c r="F2574">
        <f>IF(Skills!N4=TRUE,(Skills!L4/10)*(E2574/1000),Skills!L4/10)+Skills!O4</f>
        <v/>
      </c>
      <c r="G2574">
        <f>Skills!G4*IF(Skills!H4&gt;0,Skills!I4/Skills!H4,1)</f>
        <v/>
      </c>
      <c r="H2574">
        <f>1-(1-Skills!J4/100)^Skills!K4</f>
        <v/>
      </c>
      <c r="I2574" t="inlineStr">
        <is>
          <t>1</t>
        </is>
      </c>
      <c r="J2574">
        <f>((Inputs!$B$6*(1+Inputs!$B$7/100))+(((Inputs!$B$12*(1+Inputs!$B$13/100))-(Inputs!$B$12*(1+Inputs!$B$13/100)))+0.25*(Inputs!$B$14-Inputs!$B$14))*(1+Inputs!$B$7/100))*(F2574/100)</f>
        <v/>
      </c>
      <c r="K2574">
        <f>J2574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2574)</f>
        <v/>
      </c>
      <c r="L2574">
        <f>K2574*(MIN(Inputs!$B$22+((C2594=TRUE)*(F2594-Calc!F24)),(Inputs!$B$23+((C2599=TRUE)*(F2599-Calc!F29))+IF(ArtifactsInput!$M$15,CHOOSE(ArtifactsInput!$N$15+1,25,30,35,40,45,50)/100*(Inputs!$B$11-Inputs!$B$11),0)))/100+(Inputs!$B$23+((C2599=TRUE)*(F2599-Calc!F29))+IF(ArtifactsInput!$M$15,CHOOSE(ArtifactsInput!$N$15+1,25,30,35,40,45,50)/100*(Inputs!$B$11-Inputs!$B$11),0))/100)/2</f>
        <v/>
      </c>
      <c r="M2574">
        <f>L2574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4">
        <f>L2574*(1-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IFERROR(1/IF(Inputs!$B$39="pvp",15,MAX(0.1,Skills!D4-IF(Skills!E4=TRUE,Inputs!$B$32,0))),0)</f>
        <v/>
      </c>
      <c r="R2574">
        <f>IF(AND(Inputs!$B$39&lt;&gt;"pvp",Inputs!$B$44&gt;0),IF(MAX(0,Inputs!$B$44-B2614)&lt;=0,0,(INT(MAX(0,Inputs!$B$44-B2614)/IF(Inputs!$B$39="pvp",15,MAX(0.1,Skills!D4-IF(Skills!E4=TRUE,Inputs!$B$32,0))))+1)),0)</f>
        <v/>
      </c>
      <c r="S2574">
        <f>IFERROR(O2574/N2574,0)</f>
        <v/>
      </c>
      <c r="T2574">
        <f>IF(C2574,(H2574*N2574*IF(AND(Inputs!$B$39&lt;&gt;"pvp",Inputs!$B$44&gt;0),((Skills!G4*((R2574-1)*IF(Skills!H4&gt;0,Skills!I4/Skills!H4,1)+IF(Skills!H4&gt;0,MIN(Skills!I4,MAX(0,MAX(0,Inputs!$B$44-B2614)-((R2574-1)*IF(Inputs!$B$39="pvp",15,MAX(0.1,Skills!D4-IF(Skills!E4=TRUE,Inputs!$B$32,0))))))/Skills!H4,1)))/Inputs!$B$44),G2574*Q2574))*IF(Inputs!$B$39="pvp",1,1+(Inputs!$B$20+0+Skills!P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2574*(1-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290*U2573/1000</f>
        <v/>
      </c>
      <c r="V2574">
        <f>IF(C2574,(H2574*N2574*IF(AND(Inputs!$B$39&lt;&gt;"pvp",Inputs!$B$44&gt;0),((Skills!G4*((R2574-1)*IF(Skills!H4&gt;0,Skills!I4/Skills!H4,1)+IF(Skills!H4&gt;0,MIN(Skills!I4,MAX(0,MAX(0,Inputs!$B$44-B2614)-((R2574-1)*IF(Inputs!$B$39="pvp",15,MAX(0.1,Skills!D4-IF(Skills!E4=TRUE,Inputs!$B$32,0))))))/Skills!H4,1)))/Inputs!$B$44),G2574*Q2574))*IF(Inputs!$B$39="pvp",1,(1+(Inputs!$B$21+Skills!Q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(10,0.5*B2607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Skills!A5</f>
        <v/>
      </c>
      <c r="B2575">
        <f>Skills!B5</f>
        <v/>
      </c>
      <c r="C2575">
        <f>Inputs!$B$3&gt;=63</f>
        <v/>
      </c>
      <c r="D2575">
        <f>IF(Skills!C5=1,60+Inputs!$B$25+Inputs!$B$29,IF(Skills!C5=2,90+Inputs!$B$26+Inputs!$B$29,IF(Skills!C5=3,120+Inputs!$B$27+Inputs!$B$29,MAX(0,(Inputs!$B$3-100)*3)+Inputs!$B$28+Inputs!$B$29)))</f>
        <v/>
      </c>
      <c r="E2575">
        <f>INDEX(FactorTable!$B$2:$Y$301, MATCH(ROUND(MIN(300,MAX(1,D2575)),0), FactorTable!$A$2:$A$301,0), Skills!M5+1)</f>
        <v/>
      </c>
      <c r="F2575">
        <f>IF(Skills!N5=TRUE,(Skills!L5/10)*(E2575/1000),Skills!L5/10)+Skills!O5</f>
        <v/>
      </c>
      <c r="G2575">
        <f>Skills!G5*IF(Skills!H5&gt;0,Skills!I5/Skills!H5,1)</f>
        <v/>
      </c>
      <c r="H2575">
        <f>1-(1-Skills!J5/100)^Skills!K5</f>
        <v/>
      </c>
      <c r="I2575" t="inlineStr">
        <is>
          <t>1</t>
        </is>
      </c>
      <c r="J2575">
        <f>((Inputs!$B$6*(1+Inputs!$B$7/100))+(((Inputs!$B$12*(1+Inputs!$B$13/100))-(Inputs!$B$12*(1+Inputs!$B$13/100)))+0.25*(Inputs!$B$14-Inputs!$B$14))*(1+Inputs!$B$7/100))*(F2575/100)</f>
        <v/>
      </c>
      <c r="K2575">
        <f>J2575*(1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2588=TRUE,F2588,0)/100)*(1+(IF(Skills!A5="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2575)</f>
        <v/>
      </c>
      <c r="L2575">
        <f>K2575*(MIN(Inputs!$B$22+((C2594=TRUE)*(F2594-Calc!F24)),(Inputs!$B$23+((C2599=TRUE)*(F2599-Calc!F29))+IF(ArtifactsInput!$M$15,CHOOSE(ArtifactsInput!$N$15+1,25,30,35,40,45,50)/100*(Inputs!$B$11-Inputs!$B$11),0)))/100+(Inputs!$B$23+((C2599=TRUE)*(F2599-Calc!F29))+IF(ArtifactsInput!$M$15,CHOOSE(ArtifactsInput!$N$15+1,25,30,35,40,45,50)/100*(Inputs!$B$11-Inputs!$B$11),0))/100)/2</f>
        <v/>
      </c>
      <c r="M2575">
        <f>L2575*(1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5">
        <f>L2575*(1-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IFERROR(1/IF(Inputs!$B$39="pvp",15,MAX(0.1,Skills!D5-IF(Skills!E5=TRUE,Inputs!$B$32,0))),0)</f>
        <v/>
      </c>
      <c r="R2575">
        <f>IF(AND(Inputs!$B$39&lt;&gt;"pvp",Inputs!$B$44&gt;0),IF(MAX(0,Inputs!$B$44-B2614)&lt;=0,0,(INT(MAX(0,Inputs!$B$44-B2614)/IF(Inputs!$B$39="pvp",15,MAX(0.1,Skills!D5-IF(Skills!E5=TRUE,Inputs!$B$32,0))))+1)),0)</f>
        <v/>
      </c>
      <c r="S2575">
        <f>IFERROR(O2575/N2575,0)</f>
        <v/>
      </c>
      <c r="T2575">
        <f>IF(C2575,(H2575*N2575*IF(AND(Inputs!$B$39&lt;&gt;"pvp",Inputs!$B$44&gt;0),((Skills!G5*((R2575-1)*IF(Skills!H5&gt;0,Skills!I5/Skills!H5,1)+IF(Skills!H5&gt;0,MIN(Skills!I5,MAX(0,MAX(0,Inputs!$B$44-B2614)-((R2575-1)*IF(Inputs!$B$39="pvp",15,MAX(0.1,Skills!D5-IF(Skills!E5=TRUE,Inputs!$B$32,0))))))/Skills!H5,1)))/Inputs!$B$44),G2575*Q2575))*IF(Inputs!$B$39="pvp",1,1+(Inputs!$B$20+0+Skills!P5+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2575*(1-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5">
        <f>IF(C2575,(H2575*N2575*IF(AND(Inputs!$B$39&lt;&gt;"pvp",Inputs!$B$44&gt;0),((Skills!G5*((R2575-1)*IF(Skills!H5&gt;0,Skills!I5/Skills!H5,1)+IF(Skills!H5&gt;0,MIN(Skills!I5,MAX(0,MAX(0,Inputs!$B$44-B2614)-((R2575-1)*IF(Inputs!$B$39="pvp",15,MAX(0.1,Skills!D5-IF(Skills!E5=TRUE,Inputs!$B$32,0))))))/Skills!H5,1)))/Inputs!$B$44),G2575*Q2575))*IF(Inputs!$B$39="pvp",1,(1+(Inputs!$B$21+Skills!Q5+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Skills!A6</f>
        <v/>
      </c>
      <c r="B2576">
        <f>Skills!B6</f>
        <v/>
      </c>
      <c r="C2576">
        <f>Inputs!$B$3&gt;=69</f>
        <v/>
      </c>
      <c r="D2576">
        <f>IF(Skills!C6=1,60+Inputs!$B$25+Inputs!$B$29,IF(Skills!C6=2,90+Inputs!$B$26+Inputs!$B$29,IF(Skills!C6=3,120+Inputs!$B$27+Inputs!$B$29,MAX(0,(Inputs!$B$3-100)*3)+Inputs!$B$28+Inputs!$B$29)))</f>
        <v/>
      </c>
      <c r="E2576">
        <f>INDEX(FactorTable!$B$2:$Y$301, MATCH(ROUND(MIN(300,MAX(1,D2576)),0), FactorTable!$A$2:$A$301,0), Skills!M6+1)</f>
        <v/>
      </c>
      <c r="F2576">
        <f>IF(Skills!N6=TRUE,(Skills!L6/10)*(E2576/1000),Skills!L6/10)+Skills!O6</f>
        <v/>
      </c>
      <c r="G2576">
        <f>Skills!G6*IF(Skills!H6&gt;0,Skills!I6/Skills!H6,1)</f>
        <v/>
      </c>
      <c r="H2576">
        <f>1-(1-Skills!J6/100)^Skills!K6</f>
        <v/>
      </c>
      <c r="I2576" t="inlineStr">
        <is>
          <t>1</t>
        </is>
      </c>
      <c r="J2576">
        <f>((Inputs!$B$6*(1+Inputs!$B$7/100))+(((Inputs!$B$12*(1+Inputs!$B$13/100))-(Inputs!$B$12*(1+Inputs!$B$13/100)))+0.25*(Inputs!$B$14-Inputs!$B$14))*(1+Inputs!$B$7/100))*(F2576/100)</f>
        <v/>
      </c>
      <c r="K2576">
        <f>J2576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2588=TRUE,F2588,0)/100)*(1+(IF(Skills!A6="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2576)</f>
        <v/>
      </c>
      <c r="L2576">
        <f>K2576*(MIN(Inputs!$B$22+((C2594=TRUE)*(F2594-Calc!F24)),(Inputs!$B$23+((C2599=TRUE)*(F2599-Calc!F29))+IF(ArtifactsInput!$M$15,CHOOSE(ArtifactsInput!$N$15+1,25,30,35,40,45,50)/100*(Inputs!$B$11-Inputs!$B$11),0)))/100+(Inputs!$B$23+((C2599=TRUE)*(F2599-Calc!F29))+IF(ArtifactsInput!$M$15,CHOOSE(ArtifactsInput!$N$15+1,25,30,35,40,45,50)/100*(Inputs!$B$11-Inputs!$B$11),0))/100)/2</f>
        <v/>
      </c>
      <c r="M2576">
        <f>L2576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6">
        <f>L2576*(1-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IFERROR(1/IF(Inputs!$B$39="pvp",15,MAX(0.1,Skills!D6-IF(Skills!E6=TRUE,Inputs!$B$32,0))),0)</f>
        <v/>
      </c>
      <c r="R2576">
        <f>IF(AND(Inputs!$B$39&lt;&gt;"pvp",Inputs!$B$44&gt;0),IF(MAX(0,Inputs!$B$44-B2614)&lt;=0,0,(INT(MAX(0,Inputs!$B$44-B2614)/IF(Inputs!$B$39="pvp",15,MAX(0.1,Skills!D6-IF(Skills!E6=TRUE,Inputs!$B$32,0))))+1)),0)</f>
        <v/>
      </c>
      <c r="S2576">
        <f>IFERROR(O2576/N2576,0)</f>
        <v/>
      </c>
      <c r="T2576">
        <f>IF(C2576,(H2576*N2576*IF(AND(Inputs!$B$39&lt;&gt;"pvp",Inputs!$B$44&gt;0),((Skills!G6*((R2576-1)*IF(Skills!H6&gt;0,Skills!I6/Skills!H6,1)+IF(Skills!H6&gt;0,MIN(Skills!I6,MAX(0,MAX(0,Inputs!$B$44-B2614)-((R2576-1)*IF(Inputs!$B$39="pvp",15,MAX(0.1,Skills!D6-IF(Skills!E6=TRUE,Inputs!$B$32,0))))))/Skills!H6,1)))/Inputs!$B$44),G2576*Q2576))*IF(Inputs!$B$39="pvp",1,1+(Inputs!$B$20+0+Skills!P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2576*(1-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6">
        <f>IF(C2576,(H2576*N2576*IF(AND(Inputs!$B$39&lt;&gt;"pvp",Inputs!$B$44&gt;0),((Skills!G6*((R2576-1)*IF(Skills!H6&gt;0,Skills!I6/Skills!H6,1)+IF(Skills!H6&gt;0,MIN(Skills!I6,MAX(0,MAX(0,Inputs!$B$44-B2614)-((R2576-1)*IF(Inputs!$B$39="pvp",15,MAX(0.1,Skills!D6-IF(Skills!E6=TRUE,Inputs!$B$32,0))))))/Skills!H6,1)))/Inputs!$B$44),G2576*Q2576))*IF(Inputs!$B$39="pvp",1,(1+(Inputs!$B$21+Skills!Q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Skills!A7</f>
        <v/>
      </c>
      <c r="B2577">
        <f>Skills!B7</f>
        <v/>
      </c>
      <c r="C2577">
        <f>Inputs!$B$3&gt;=60</f>
        <v/>
      </c>
      <c r="D2577">
        <f>IF(Skills!C7=1,60+Inputs!$B$25+Inputs!$B$29,IF(Skills!C7=2,90+Inputs!$B$26+Inputs!$B$29,IF(Skills!C7=3,120+Inputs!$B$27+Inputs!$B$29,MAX(0,(Inputs!$B$3-100)*3)+Inputs!$B$28+Inputs!$B$29)))</f>
        <v/>
      </c>
      <c r="E2577">
        <f>INDEX(FactorTable!$B$2:$Y$301, MATCH(ROUND(MIN(300,MAX(1,D2577)),0), FactorTable!$A$2:$A$301,0), Skills!M7+1)</f>
        <v/>
      </c>
      <c r="F2577">
        <f>IF(Skills!N7=TRUE,(Skills!L7/10)*(E2577/1000),Skills!L7/10)+Skills!O7</f>
        <v/>
      </c>
      <c r="G2577">
        <f>Skills!G7*IF(Skills!H7&gt;0,Skills!I7/Skills!H7,1)</f>
        <v/>
      </c>
      <c r="H2577">
        <f>1-(1-Skills!J7/100)^Skills!K7</f>
        <v/>
      </c>
      <c r="I2577" t="inlineStr">
        <is>
          <t>1</t>
        </is>
      </c>
      <c r="J2577" t="inlineStr"/>
      <c r="K2577" t="inlineStr"/>
      <c r="L2577" t="inlineStr"/>
      <c r="M2577" t="inlineStr"/>
      <c r="N2577" t="inlineStr"/>
      <c r="O2577">
        <f>(1-Summary!$B$11)*T2577+Summary!$B$11*V2577</f>
        <v/>
      </c>
      <c r="P2577">
        <f>IF(B2615=0,0,O2577/B2615)</f>
        <v/>
      </c>
      <c r="Q2577" t="n">
        <v>0</v>
      </c>
      <c r="R2577" t="n">
        <v>0</v>
      </c>
      <c r="S2577">
        <f>IFERROR(O2577/N2577,0)</f>
        <v/>
      </c>
      <c r="T2577" t="n">
        <v>0</v>
      </c>
      <c r="V2577" t="n">
        <v>0</v>
      </c>
    </row>
    <row r="2578">
      <c r="A2578">
        <f>Skills!A8</f>
        <v/>
      </c>
      <c r="B2578">
        <f>Skills!B8</f>
        <v/>
      </c>
      <c r="C2578">
        <f>Inputs!$B$3&gt;=72</f>
        <v/>
      </c>
      <c r="D2578">
        <f>IF(Skills!C8=1,60+Inputs!$B$25+Inputs!$B$29,IF(Skills!C8=2,90+Inputs!$B$26+Inputs!$B$29,IF(Skills!C8=3,120+Inputs!$B$27+Inputs!$B$29,MAX(0,(Inputs!$B$3-100)*3)+Inputs!$B$28+Inputs!$B$29)))</f>
        <v/>
      </c>
      <c r="E2578">
        <f>INDEX(FactorTable!$B$2:$Y$301, MATCH(ROUND(MIN(300,MAX(1,D2578)),0), FactorTable!$A$2:$A$301,0), Skills!M8+1)</f>
        <v/>
      </c>
      <c r="F2578">
        <f>IF(Skills!N8=TRUE,(Skills!L8/10)*(E2578/1000),Skills!L8/10)+Skills!O8</f>
        <v/>
      </c>
      <c r="G2578">
        <f>Skills!G8*IF(Skills!H8&gt;0,Skills!I8/Skills!H8,1)</f>
        <v/>
      </c>
      <c r="H2578">
        <f>1-(1-Skills!J8/100)^Skills!K8</f>
        <v/>
      </c>
      <c r="I2578" t="inlineStr">
        <is>
          <t>1</t>
        </is>
      </c>
      <c r="J2578">
        <f>((Inputs!$B$6*(1+Inputs!$B$7/100))+(((Inputs!$B$12*(1+Inputs!$B$13/100))-(Inputs!$B$12*(1+Inputs!$B$13/100)))+0.25*(Inputs!$B$14-Inputs!$B$14))*(1+Inputs!$B$7/100))*(F2578/100)</f>
        <v/>
      </c>
      <c r="K2578">
        <f>J2578*(1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2588=TRUE,F2588,0)/100)*(1+(IF(Skills!A8="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2578)</f>
        <v/>
      </c>
      <c r="L2578">
        <f>K2578*(MIN(Inputs!$B$22+((C2594=TRUE)*(F2594-Calc!F24)),(Inputs!$B$23+((C2599=TRUE)*(F2599-Calc!F29))+IF(ArtifactsInput!$M$15,CHOOSE(ArtifactsInput!$N$15+1,25,30,35,40,45,50)/100*(Inputs!$B$11-Inputs!$B$11),0)))/100+(Inputs!$B$23+((C2599=TRUE)*(F2599-Calc!F29))+IF(ArtifactsInput!$M$15,CHOOSE(ArtifactsInput!$N$15+1,25,30,35,40,45,50)/100*(Inputs!$B$11-Inputs!$B$11),0))/100)/2</f>
        <v/>
      </c>
      <c r="M2578">
        <f>L2578*(1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8">
        <f>L2578*(1-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2578*(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8">
        <f>(1-Summary!$B$11)*T2578+Summary!$B$11*V2578</f>
        <v/>
      </c>
      <c r="P2578">
        <f>IF(B2615=0,0,O2578/B2615)</f>
        <v/>
      </c>
      <c r="Q2578">
        <f>IFERROR(1/IF(Inputs!$B$39="pvp",15,MAX(0.1,Skills!D8-IF(Skills!E8=TRUE,Inputs!$B$32,0))),0)</f>
        <v/>
      </c>
      <c r="R2578">
        <f>IF(AND(Inputs!$B$39&lt;&gt;"pvp",Inputs!$B$44&gt;0),IF(MAX(0,Inputs!$B$44-B2614)&lt;=0,0,(INT(MAX(0,Inputs!$B$44-B2614)/IF(Inputs!$B$39="pvp",15,MAX(0.1,Skills!D8-IF(Skills!E8=TRUE,Inputs!$B$32,0))))+1)),0)</f>
        <v/>
      </c>
      <c r="S2578">
        <f>IFERROR(O2578/N2578,0)</f>
        <v/>
      </c>
      <c r="T2578">
        <f>IF(C2578,(H2578*N2578*IF(AND(Inputs!$B$39&lt;&gt;"pvp",Inputs!$B$44&gt;0),((Skills!G8*((R2578-1)*IF(Skills!H8&gt;0,Skills!I8/Skills!H8,1)+IF(Skills!H8&gt;0,MIN(Skills!I8,MAX(0,MAX(0,Inputs!$B$44-B2614)-((R2578-1)*IF(Inputs!$B$39="pvp",15,MAX(0.1,Skills!D8-IF(Skills!E8=TRUE,Inputs!$B$32,0))))))/Skills!H8,1)))/Inputs!$B$44),G2578*Q2578))*IF(Inputs!$B$39="pvp",1,1+(Inputs!$B$20+0+Skills!P8+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2578*(1-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2578*(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2578*(1-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2578*(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8">
        <f>IF(C2578,(H2578*N2578*IF(AND(Inputs!$B$39&lt;&gt;"pvp",Inputs!$B$44&gt;0),((Skills!G8*((R2578-1)*IF(Skills!H8&gt;0,Skills!I8/Skills!H8,1)+IF(Skills!H8&gt;0,MIN(Skills!I8,MAX(0,MAX(0,Inputs!$B$44-B2614)-((R2578-1)*IF(Inputs!$B$39="pvp",15,MAX(0.1,Skills!D8-IF(Skills!E8=TRUE,Inputs!$B$32,0))))))/Skills!H8,1)))/Inputs!$B$44),G2578*Q2578))*IF(Inputs!$B$39="pvp",1,(1+(Inputs!$B$21+Skills!Q8+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9">
      <c r="A2579">
        <f>Skills!A9</f>
        <v/>
      </c>
      <c r="B2579">
        <f>Skills!B9</f>
        <v/>
      </c>
      <c r="C2579">
        <f>Inputs!$B$3&gt;=117</f>
        <v/>
      </c>
      <c r="D2579">
        <f>IF(Skills!C9=1,60+Inputs!$B$25+Inputs!$B$29,IF(Skills!C9=2,90+Inputs!$B$26+Inputs!$B$29,IF(Skills!C9=3,120+Inputs!$B$27+Inputs!$B$29,MAX(0,(Inputs!$B$3-100)*3)+Inputs!$B$28+Inputs!$B$29)))</f>
        <v/>
      </c>
      <c r="E2579">
        <f>INDEX(FactorTable!$B$2:$Y$301, MATCH(ROUND(MIN(300,MAX(1,D2579)),0), FactorTable!$A$2:$A$301,0), Skills!M9+1)</f>
        <v/>
      </c>
      <c r="F2579">
        <f>IF(Skills!N9=TRUE,(Skills!L9/10)*(E2579/1000),Skills!L9/10)+Skills!O9</f>
        <v/>
      </c>
      <c r="G2579">
        <f>Skills!G9*IF(Skills!H9&gt;0,Skills!I9/Skills!H9,1)</f>
        <v/>
      </c>
      <c r="H2579">
        <f>1-(1-Skills!J9/100)^Skills!K9</f>
        <v/>
      </c>
      <c r="I2579" t="inlineStr">
        <is>
          <t>1</t>
        </is>
      </c>
      <c r="J2579">
        <f>((Inputs!$B$6*(1+Inputs!$B$7/100))+(((Inputs!$B$12*(1+Inputs!$B$13/100))-(Inputs!$B$12*(1+Inputs!$B$13/100)))+0.25*(Inputs!$B$14-Inputs!$B$14))*(1+Inputs!$B$7/100))*(F2579/100)</f>
        <v/>
      </c>
      <c r="K2579">
        <f>J2579*(1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2579)</f>
        <v/>
      </c>
      <c r="L2579">
        <f>K2579*(MIN(Inputs!$B$22+((C2594=TRUE)*(F2594-Calc!F24)),(Inputs!$B$23+((C2599=TRUE)*(F2599-Calc!F29))+IF(ArtifactsInput!$M$15,CHOOSE(ArtifactsInput!$N$15+1,25,30,35,40,45,50)/100*(Inputs!$B$11-Inputs!$B$11),0)))/100+(Inputs!$B$23+((C2599=TRUE)*(F2599-Calc!F29))+IF(ArtifactsInput!$M$15,CHOOSE(ArtifactsInput!$N$15+1,25,30,35,40,45,50)/100*(Inputs!$B$11-Inputs!$B$11),0))/100)/2</f>
        <v/>
      </c>
      <c r="M2579">
        <f>L2579*(1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9">
        <f>L2579*(1-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t="n">
        <v>0</v>
      </c>
      <c r="R2579" t="n">
        <v>0</v>
      </c>
      <c r="S2579" t="n">
        <v>0</v>
      </c>
      <c r="T2579">
        <f>IF(C2579,(0.2*SUMPRODUCT((Skills!Z2:Z30=TRUE)*(C2572:C2600=TRUE)*S2572:S2600)*N2579)*IF(Inputs!$B$39="pvp",1,1+(Inputs!$B$20+0+Skills!P9+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2579*(1-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IF(C2579,(0.2*SUMPRODUCT((Skills!Z2:Z30=TRUE)*(C2572:C2600=TRUE)*S2572:S2600)*N2579)*IF(Inputs!$B$39="pvp",1,(1+(Inputs!$B$21+Skills!Q9+B2604+(IF(ArtifactsInput!$M$33,CHOOSE(ArtifactsInput!$N$33+1,30,36,42,48,54,60),0))+(IF(AND(ArtifactsInput!$M$35,Inputs!$B$4&lt;&gt;"Chapter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Skills!A10</f>
        <v/>
      </c>
      <c r="B2580">
        <f>Skills!B10</f>
        <v/>
      </c>
      <c r="C2580">
        <f>Inputs!$B$3&gt;=74</f>
        <v/>
      </c>
      <c r="D2580">
        <f>IF(Skills!C10=1,60+Inputs!$B$25+Inputs!$B$29,IF(Skills!C10=2,90+Inputs!$B$26+Inputs!$B$29,IF(Skills!C10=3,120+Inputs!$B$27+Inputs!$B$29,MAX(0,(Inputs!$B$3-100)*3)+Inputs!$B$28+Inputs!$B$29)))</f>
        <v/>
      </c>
      <c r="E2580">
        <f>INDEX(FactorTable!$B$2:$Y$301, MATCH(ROUND(MIN(300,MAX(1,D2580)),0), FactorTable!$A$2:$A$301,0), Skills!M10+1)</f>
        <v/>
      </c>
      <c r="F2580">
        <f>IF(Skills!N10=TRUE,(Skills!L10/10)*(E2580/1000),Skills!L10/10)+Skills!O10</f>
        <v/>
      </c>
      <c r="G2580">
        <f>Skills!G10*IF(Skills!H10&gt;0,Skills!I10/Skills!H10,1)</f>
        <v/>
      </c>
      <c r="H2580">
        <f>1-(1-Skills!J10/100)^Skills!K10</f>
        <v/>
      </c>
      <c r="I2580" t="inlineStr">
        <is>
          <t>1</t>
        </is>
      </c>
      <c r="J2580" t="inlineStr"/>
      <c r="K2580" t="inlineStr"/>
      <c r="L2580" t="inlineStr"/>
      <c r="M2580" t="inlineStr"/>
      <c r="N2580" t="inlineStr"/>
      <c r="O2580">
        <f>(1-Summary!$B$11)*T2580+Summary!$B$11*V2580</f>
        <v/>
      </c>
      <c r="P2580">
        <f>IF(B2615=0,0,O2580/B2615)</f>
        <v/>
      </c>
      <c r="Q2580">
        <f>IFERROR(1/IF(Inputs!$B$39="pvp",15,MAX(0.1,Skills!D10-IF(Skills!E10=TRUE,Inputs!$B$32,0))),0)</f>
        <v/>
      </c>
      <c r="R2580">
        <f>IF(AND(Inputs!$B$39&lt;&gt;"pvp",Inputs!$B$44&gt;0),IF(Inputs!$B$44&lt;=0,0,(INT(Inputs!$B$44/IF(Inputs!$B$39="pvp",15,MAX(0.1,Skills!D10-IF(Skills!E10=TRUE,Inputs!$B$32,0))))+1)),0)</f>
        <v/>
      </c>
      <c r="S2580">
        <f>IFERROR(O2580/N2580,0)</f>
        <v/>
      </c>
      <c r="T2580" t="n">
        <v>0</v>
      </c>
      <c r="V2580" t="n">
        <v>0</v>
      </c>
    </row>
    <row r="2581">
      <c r="A2581">
        <f>Skills!A11</f>
        <v/>
      </c>
      <c r="B2581">
        <f>Skills!B11</f>
        <v/>
      </c>
      <c r="C2581">
        <f>Inputs!$B$3&gt;=103</f>
        <v/>
      </c>
      <c r="D2581">
        <f>IF(Skills!C11=1,60+Inputs!$B$25+Inputs!$B$29,IF(Skills!C11=2,90+Inputs!$B$26+Inputs!$B$29,IF(Skills!C11=3,120+Inputs!$B$27+Inputs!$B$29,MAX(0,(Inputs!$B$3-100)*3)+Inputs!$B$28+Inputs!$B$29)))</f>
        <v/>
      </c>
      <c r="E2581">
        <f>INDEX(FactorTable!$B$2:$Y$301, MATCH(ROUND(MIN(300,MAX(1,D2581)),0), FactorTable!$A$2:$A$301,0), Skills!M11+1)</f>
        <v/>
      </c>
      <c r="F2581">
        <f>(Skills!L11/10)*(E2581/1000)+IF(Inputs!$B$3&gt;=134,50,0)+0.5*(30000/10)*(INDEX(FactorTable!$B$2:$Y$301, MATCH(ROUND(MIN(300,MAX(1,D2581)),0), FactorTable!$A$2:$A$301,0), 13)/1000)*B2613</f>
        <v/>
      </c>
      <c r="G2581">
        <f>Skills!G11*IF(Skills!H11&gt;0,Skills!I11/Skills!H11,1)</f>
        <v/>
      </c>
      <c r="H2581">
        <f>1-(1-Skills!J11/100)^Skills!K11</f>
        <v/>
      </c>
      <c r="I2581" t="inlineStr">
        <is>
          <t>1</t>
        </is>
      </c>
      <c r="J2581">
        <f>((Inputs!$B$6*(1+Inputs!$B$7/100))+(((Inputs!$B$12*(1+Inputs!$B$13/100))-(Inputs!$B$12*(1+Inputs!$B$13/100)))+0.25*(Inputs!$B$14-Inputs!$B$14))*(1+Inputs!$B$7/100))*(F2581/100)</f>
        <v/>
      </c>
      <c r="K2581">
        <f>J2581*(1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2581)</f>
        <v/>
      </c>
      <c r="L2581">
        <f>K2581*(MIN(Inputs!$B$22+((C2594=TRUE)*(F2594-Calc!F24)),(Inputs!$B$23+((C2599=TRUE)*(F2599-Calc!F29))+IF(ArtifactsInput!$M$15,CHOOSE(ArtifactsInput!$N$15+1,25,30,35,40,45,50)/100*(Inputs!$B$11-Inputs!$B$11),0)))/100+(Inputs!$B$23+((C2599=TRUE)*(F2599-Calc!F29))+IF(ArtifactsInput!$M$15,CHOOSE(ArtifactsInput!$N$15+1,25,30,35,40,45,50)/100*(Inputs!$B$11-Inputs!$B$11),0))/100)/2</f>
        <v/>
      </c>
      <c r="M2581">
        <f>L2581*(1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1">
        <f>L2581*(1-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f>IFERROR(1/IF(Inputs!$B$39="pvp",15,MAX(0.1,Skills!D11-IF(Skills!E11=TRUE,Inputs!$B$32,0))),0)</f>
        <v/>
      </c>
      <c r="R2581">
        <f>IF(AND(Inputs!$B$39&lt;&gt;"pvp",Inputs!$B$44&gt;0),IF(MAX(0,Inputs!$B$44-B2614)&lt;=0,0,(INT(MAX(0,Inputs!$B$44-B2614)/IF(Inputs!$B$39="pvp",15,MAX(0.1,Skills!D11-IF(Skills!E11=TRUE,Inputs!$B$32,0))))+1)),0)</f>
        <v/>
      </c>
      <c r="S2581">
        <f>IFERROR(O2581/N2581,0)</f>
        <v/>
      </c>
      <c r="T2581">
        <f>IF(C2581,(H2581*N2581*IF(AND(Inputs!$B$39&lt;&gt;"pvp",Inputs!$B$44&gt;0),((Skills!G11*((R2581-1)*IF(Skills!H11&gt;0,Skills!I11/Skills!H11,1)+IF(Skills!H11&gt;0,MIN(Skills!I11,MAX(0,MAX(0,Inputs!$B$44-B2614)-((R2581-1)*IF(Inputs!$B$39="pvp",15,MAX(0.1,Skills!D11-IF(Skills!E11=TRUE,Inputs!$B$32,0))))))/Skills!H11,1)))/Inputs!$B$44),G2581*Q2581))*IF(Inputs!$B$39="pvp",1,1+(Inputs!$B$20+0+Skills!P11+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2581*(1-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H2581*N2581*IF(AND(Inputs!$B$39&lt;&gt;"pvp",Inputs!$B$44&gt;0),((Skills!G11*((R2581-1)*IF(Skills!H11&gt;0,Skills!I11/Skills!H11,1)+IF(Skills!H11&gt;0,MIN(Skills!I11,MAX(0,MAX(0,Inputs!$B$44-B2614)-((R2581-1)*IF(Inputs!$B$39="pvp",15,MAX(0.1,Skills!D11-IF(Skills!E11=TRUE,Inputs!$B$32,0))))))/Skills!H11,1)))/Inputs!$B$44),G2581*Q2581))*IF(Inputs!$B$39="pvp",1,(1+(Inputs!$B$21+Skills!Q11+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Skills!A12</f>
        <v/>
      </c>
      <c r="B2582">
        <f>Skills!B12</f>
        <v/>
      </c>
      <c r="C2582">
        <f>Inputs!$B$3&gt;=105</f>
        <v/>
      </c>
      <c r="D2582">
        <f>IF(Skills!C12=1,60+Inputs!$B$25+Inputs!$B$29,IF(Skills!C12=2,90+Inputs!$B$26+Inputs!$B$29,IF(Skills!C12=3,120+Inputs!$B$27+Inputs!$B$29,MAX(0,(Inputs!$B$3-100)*3)+Inputs!$B$28+Inputs!$B$29)))</f>
        <v/>
      </c>
      <c r="E2582">
        <f>INDEX(FactorTable!$B$2:$Y$301, MATCH(ROUND(MIN(300,MAX(1,D2582)),0), FactorTable!$A$2:$A$301,0), Skills!M12+1)</f>
        <v/>
      </c>
      <c r="F2582">
        <f>IF(Skills!N12=TRUE,(Skills!L12/10)*(E2582/1000),Skills!L12/10)+Skills!O12</f>
        <v/>
      </c>
      <c r="G2582">
        <f>Skills!G12*IF(Skills!H12&gt;0,Skills!I12/Skills!H12,1)</f>
        <v/>
      </c>
      <c r="H2582">
        <f>1-(1-Skills!J12/100)^Skills!K12</f>
        <v/>
      </c>
      <c r="I2582" t="inlineStr">
        <is>
          <t>1</t>
        </is>
      </c>
      <c r="J2582">
        <f>((Inputs!$B$6*(1+Inputs!$B$7/100))+(((Inputs!$B$12*(1+Inputs!$B$13/100))-(Inputs!$B$12*(1+Inputs!$B$13/100)))+0.25*(Inputs!$B$14-Inputs!$B$14))*(1+Inputs!$B$7/100))*(F2582/100)</f>
        <v/>
      </c>
      <c r="K2582">
        <f>J2582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2582)</f>
        <v/>
      </c>
      <c r="L2582">
        <f>K2582*(MIN(Inputs!$B$22+((C2594=TRUE)*(F2594-Calc!F24)),(Inputs!$B$23+((C2599=TRUE)*(F2599-Calc!F29))+IF(ArtifactsInput!$M$15,CHOOSE(ArtifactsInput!$N$15+1,25,30,35,40,45,50)/100*(Inputs!$B$11-Inputs!$B$11),0)))/100+(Inputs!$B$23+((C2599=TRUE)*(F2599-Calc!F29))+IF(ArtifactsInput!$M$15,CHOOSE(ArtifactsInput!$N$15+1,25,30,35,40,45,50)/100*(Inputs!$B$11-Inputs!$B$11),0))/100)/2</f>
        <v/>
      </c>
      <c r="M2582">
        <f>L2582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2">
        <f>L2582*(1-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(1-Summary!$B$11)*T2582+Summary!$B$11*V2582</f>
        <v/>
      </c>
      <c r="P2582">
        <f>IF(B2615=0,0,O2582/B2615)</f>
        <v/>
      </c>
      <c r="Q2582">
        <f>IFERROR(1/IF(Inputs!$B$39="pvp",15,MAX(0.1,Skills!D12-IF(Skills!E12=TRUE,Inputs!$B$32,0))),0)</f>
        <v/>
      </c>
      <c r="R2582">
        <f>IF(AND(Inputs!$B$39&lt;&gt;"pvp",Inputs!$B$44&gt;0),IF(MAX(0,Inputs!$B$44-B2614)&lt;=0,0,(INT(MAX(0,Inputs!$B$44-B2614)/IF(Inputs!$B$39="pvp",15,MAX(0.1,Skills!D12-IF(Skills!E12=TRUE,Inputs!$B$32,0))))+1)),0)</f>
        <v/>
      </c>
      <c r="S2582">
        <f>IFERROR(O2582/N2582,0)</f>
        <v/>
      </c>
      <c r="T2582">
        <f>IF(C2582,(H2582*N2582*IF(AND(Inputs!$B$39&lt;&gt;"pvp",Inputs!$B$44&gt;0),((Skills!G12*((R2582-1)*IF(Skills!H12&gt;0,Skills!I12/Skills!H12,1)+IF(Skills!H12&gt;0,MIN(Skills!I12,MAX(0,MAX(0,Inputs!$B$44-B2614)-((R2582-1)*IF(Inputs!$B$39="pvp",15,MAX(0.1,Skills!D12-IF(Skills!E12=TRUE,Inputs!$B$32,0))))))/Skills!H12,1)))/Inputs!$B$44),G2582*Q2582))*IF(Inputs!$B$39="pvp",1,1+(Inputs!$B$20+0+Skills!P12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2582*(1-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2">
        <f>IF(C2582,(H2582*N2582*IF(AND(Inputs!$B$39&lt;&gt;"pvp",Inputs!$B$44&gt;0),((Skills!G12*((R2582-1)*IF(Skills!H12&gt;0,Skills!I12/Skills!H12,1)+IF(Skills!H12&gt;0,MIN(Skills!I12,MAX(0,MAX(0,Inputs!$B$44-B2614)-((R2582-1)*IF(Inputs!$B$39="pvp",15,MAX(0.1,Skills!D12-IF(Skills!E12=TRUE,Inputs!$B$32,0))))))/Skills!H12,1)))/Inputs!$B$44),G2582*Q2582))*IF(Inputs!$B$39="pvp",1,(1+(Inputs!$B$21+Skills!Q12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Skills!A13</f>
        <v/>
      </c>
      <c r="B2583">
        <f>Skills!B13</f>
        <v/>
      </c>
      <c r="C2583">
        <f>Inputs!$B$3&gt;=105</f>
        <v/>
      </c>
      <c r="D2583">
        <f>IF(Skills!C13=1,60+Inputs!$B$25+Inputs!$B$29,IF(Skills!C13=2,90+Inputs!$B$26+Inputs!$B$29,IF(Skills!C13=3,120+Inputs!$B$27+Inputs!$B$29,MAX(0,(Inputs!$B$3-100)*3)+Inputs!$B$28+Inputs!$B$29)))</f>
        <v/>
      </c>
      <c r="E2583">
        <f>INDEX(FactorTable!$B$2:$Y$301, MATCH(ROUND(MIN(300,MAX(1,D2583)),0), FactorTable!$A$2:$A$301,0), Skills!M13+1)</f>
        <v/>
      </c>
      <c r="F2583">
        <f>IF(Skills!N13=TRUE,(Skills!L13/10)*(E2583/1000),Skills!L13/10)+Skills!O13</f>
        <v/>
      </c>
      <c r="G2583">
        <f>Skills!G13*IF(Skills!H13&gt;0,Skills!I13/Skills!H13,1)</f>
        <v/>
      </c>
      <c r="H2583">
        <f>1-(1-Skills!J13/100)^Skills!K13</f>
        <v/>
      </c>
      <c r="I2583" t="inlineStr">
        <is>
          <t>1</t>
        </is>
      </c>
      <c r="J2583">
        <f>((Inputs!$B$6*(1+Inputs!$B$7/100))+(((Inputs!$B$12*(1+Inputs!$B$13/100))-(Inputs!$B$12*(1+Inputs!$B$13/100)))+0.25*(Inputs!$B$14-Inputs!$B$14))*(1+Inputs!$B$7/100))*(F2583/100)</f>
        <v/>
      </c>
      <c r="K2583">
        <f>J2583*(1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2583)</f>
        <v/>
      </c>
      <c r="L2583">
        <f>K2583*(MIN(Inputs!$B$22+((C2594=TRUE)*(F2594-Calc!F24)),(Inputs!$B$23+((C2599=TRUE)*(F2599-Calc!F29))+IF(ArtifactsInput!$M$15,CHOOSE(ArtifactsInput!$N$15+1,25,30,35,40,45,50)/100*(Inputs!$B$11-Inputs!$B$11),0)))/100+(Inputs!$B$23+((C2599=TRUE)*(F2599-Calc!F29))+IF(ArtifactsInput!$M$15,CHOOSE(ArtifactsInput!$N$15+1,25,30,35,40,45,50)/100*(Inputs!$B$11-Inputs!$B$11),0))/100)/2</f>
        <v/>
      </c>
      <c r="M2583">
        <f>L2583*(1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3">
        <f>L2583*(1-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IFERROR(1/IF(Inputs!$B$39="pvp",15,MAX(0.1,Skills!D13-IF(Skills!E13=TRUE,Inputs!$B$32,0))),0)</f>
        <v/>
      </c>
      <c r="R2583">
        <f>IF(AND(Inputs!$B$39&lt;&gt;"pvp",Inputs!$B$44&gt;0),IF(MAX(0,Inputs!$B$44-B2614)&lt;=0,0,(INT(MAX(0,Inputs!$B$44-B2614)/IF(Inputs!$B$39="pvp",15,MAX(0.1,Skills!D13-IF(Skills!E13=TRUE,Inputs!$B$32,0))))+1)),0)</f>
        <v/>
      </c>
      <c r="S2583">
        <f>IFERROR(O2583/N2583,0)</f>
        <v/>
      </c>
      <c r="T2583">
        <f>IF(C2583,(H2583*N2583*IF(AND(Inputs!$B$39&lt;&gt;"pvp",Inputs!$B$44&gt;0),((Skills!G13*((R2583-1)*IF(Skills!H13&gt;0,Skills!I13/Skills!H13,1)+IF(Skills!H13&gt;0,MIN(Skills!I13,MAX(0,MAX(0,Inputs!$B$44-B2614)-((R2583-1)*IF(Inputs!$B$39="pvp",15,MAX(0.1,Skills!D13-IF(Skills!E13=TRUE,Inputs!$B$32,0))))))/Skills!H13,1)))/Inputs!$B$44),G2583*Q2583))*IF(Inputs!$B$39="pvp",1,1+(Inputs!$B$20+0+Skills!P13+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2583*(1-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13*((R2583-1)*IF(Skills!H13&gt;0,Skills!I13/Skills!H13,1)+IF(Skills!H13&gt;0,MIN(Skills!I13,MAX(0,MAX(0,Inputs!$B$44-B2614)-((R2583-1)*IF(Inputs!$B$39="pvp",15,MAX(0.1,Skills!D13-IF(Skills!E13=TRUE,Inputs!$B$32,0))))))/Skills!H13,1)))/Inputs!$B$44),G2583*Q2583))*IF(Inputs!$B$39="pvp",1,(1+(Inputs!$B$21+Skills!Q13+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Skills!A14</f>
        <v/>
      </c>
      <c r="B2584">
        <f>Skills!B14</f>
        <v/>
      </c>
      <c r="C2584">
        <f>Inputs!$B$3&gt;=107</f>
        <v/>
      </c>
      <c r="D2584">
        <f>IF(Skills!C14=1,60+Inputs!$B$25+Inputs!$B$29,IF(Skills!C14=2,90+Inputs!$B$26+Inputs!$B$29,IF(Skills!C14=3,120+Inputs!$B$27+Inputs!$B$29,MAX(0,(Inputs!$B$3-100)*3)+Inputs!$B$28+Inputs!$B$29)))</f>
        <v/>
      </c>
      <c r="E2584">
        <f>INDEX(FactorTable!$B$2:$Y$301, MATCH(ROUND(MIN(300,MAX(1,D2584)),0), FactorTable!$A$2:$A$301,0), Skills!M14+1)</f>
        <v/>
      </c>
      <c r="F2584">
        <f>IF(Skills!N14=TRUE,(Skills!L14/10)*(E2584/1000),Skills!L14/10)+Skills!O14</f>
        <v/>
      </c>
      <c r="G2584">
        <f>Skills!G14*IF(Skills!H14&gt;0,Skills!I14/Skills!H14,1)</f>
        <v/>
      </c>
      <c r="H2584">
        <f>1-(1-Skills!J14/100)^Skills!K14</f>
        <v/>
      </c>
      <c r="I2584" t="inlineStr">
        <is>
          <t>1</t>
        </is>
      </c>
      <c r="J2584">
        <f>((Inputs!$B$6*(1+Inputs!$B$7/100))+(((Inputs!$B$12*(1+Inputs!$B$13/100))-(Inputs!$B$12*(1+Inputs!$B$13/100)))+0.25*(Inputs!$B$14-Inputs!$B$14))*(1+Inputs!$B$7/100))*(F2584/100)</f>
        <v/>
      </c>
      <c r="K2584">
        <f>J2584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2584)</f>
        <v/>
      </c>
      <c r="L2584">
        <f>K2584*(MIN(Inputs!$B$22+((C2594=TRUE)*(F2594-Calc!F24)),(Inputs!$B$23+((C2599=TRUE)*(F2599-Calc!F29))+IF(ArtifactsInput!$M$15,CHOOSE(ArtifactsInput!$N$15+1,25,30,35,40,45,50)/100*(Inputs!$B$11-Inputs!$B$11),0)))/100+(Inputs!$B$23+((C2599=TRUE)*(F2599-Calc!F29))+IF(ArtifactsInput!$M$15,CHOOSE(ArtifactsInput!$N$15+1,25,30,35,40,45,50)/100*(Inputs!$B$11-Inputs!$B$11),0))/100)/2</f>
        <v/>
      </c>
      <c r="M2584">
        <f>L2584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4">
        <f>L2584*(1-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IFERROR(1/IF(Inputs!$B$39="pvp",15,MAX(0.1,Skills!D14-IF(Skills!E14=TRUE,Inputs!$B$32,0))),0)</f>
        <v/>
      </c>
      <c r="R2584">
        <f>IF(AND(Inputs!$B$39&lt;&gt;"pvp",Inputs!$B$44&gt;0),IF(MAX(0,Inputs!$B$44-B2614)&lt;=0,0,(INT(MAX(0,Inputs!$B$44-B2614)/IF(Inputs!$B$39="pvp",15,MAX(0.1,Skills!D14-IF(Skills!E14=TRUE,Inputs!$B$32,0))))+1)),0)</f>
        <v/>
      </c>
      <c r="S2584">
        <f>IFERROR(O2584/N2584,0)</f>
        <v/>
      </c>
      <c r="T2584">
        <f>IF(C2584,(H2584*N2584*IF(AND(Inputs!$B$39&lt;&gt;"pvp",Inputs!$B$44&gt;0),((Skills!G14*((R2584-1)*IF(Skills!H14&gt;0,Skills!I14/Skills!H14,1)+IF(Skills!H14&gt;0,MIN(Skills!I14,MAX(0,MAX(0,Inputs!$B$44-B2614)-((R2584-1)*IF(Inputs!$B$39="pvp",15,MAX(0.1,Skills!D14-IF(Skills!E14=TRUE,Inputs!$B$32,0))))))/Skills!H14,1)))/Inputs!$B$44),G2584*Q2584))*IF(Inputs!$B$39="pvp",1,1+(Inputs!$B$20+0+Skills!P14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2584*(1-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14*((R2584-1)*IF(Skills!H14&gt;0,Skills!I14/Skills!H14,1)+IF(Skills!H14&gt;0,MIN(Skills!I14,MAX(0,MAX(0,Inputs!$B$44-B2614)-((R2584-1)*IF(Inputs!$B$39="pvp",15,MAX(0.1,Skills!D14-IF(Skills!E14=TRUE,Inputs!$B$32,0))))))/Skills!H14,1)))/Inputs!$B$44),G2584*Q2584))*IF(Inputs!$B$39="pvp",1,(1+(Inputs!$B$21+Skills!Q14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(5,0.25*B2607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Skills!A15</f>
        <v/>
      </c>
      <c r="B2585">
        <f>Skills!B15</f>
        <v/>
      </c>
      <c r="C2585">
        <f>Inputs!$B$3&gt;=110</f>
        <v/>
      </c>
      <c r="D2585">
        <f>IF(Skills!C15=1,60+Inputs!$B$25+Inputs!$B$29,IF(Skills!C15=2,90+Inputs!$B$26+Inputs!$B$29,IF(Skills!C15=3,120+Inputs!$B$27+Inputs!$B$29,MAX(0,(Inputs!$B$3-100)*3)+Inputs!$B$28+Inputs!$B$29)))</f>
        <v/>
      </c>
      <c r="E2585">
        <f>INDEX(FactorTable!$B$2:$Y$301, MATCH(ROUND(MIN(300,MAX(1,D2585)),0), FactorTable!$A$2:$A$301,0), Skills!M15+1)</f>
        <v/>
      </c>
      <c r="F2585">
        <f>IF(Skills!N15=TRUE,(Skills!L15/10)*(E2585/1000),Skills!L15/10)+Skills!O15</f>
        <v/>
      </c>
      <c r="G2585">
        <f>Skills!G15*IF(Skills!H15&gt;0,Skills!I15/Skills!H15,1)</f>
        <v/>
      </c>
      <c r="H2585">
        <f>1-(1-Skills!J15/100)^Skills!K15</f>
        <v/>
      </c>
      <c r="I2585" t="inlineStr">
        <is>
          <t>1</t>
        </is>
      </c>
      <c r="J2585" t="inlineStr"/>
      <c r="K2585" t="inlineStr"/>
      <c r="L2585" t="inlineStr"/>
      <c r="M2585" t="inlineStr"/>
      <c r="N2585" t="inlineStr"/>
      <c r="O2585">
        <f>(1-Summary!$B$11)*T2585+Summary!$B$11*V2585</f>
        <v/>
      </c>
      <c r="P2585">
        <f>IF(B2615=0,0,O2585/B2615)</f>
        <v/>
      </c>
      <c r="Q2585">
        <f>IFERROR(1/IF(Inputs!$B$39="pvp",15,MAX(0.1,Skills!D15-IF(Skills!E15=TRUE,Inputs!$B$32,0))),0)</f>
        <v/>
      </c>
      <c r="R2585">
        <f>IF(AND(Inputs!$B$39&lt;&gt;"pvp",Inputs!$B$44&gt;0),IF(Inputs!$B$44&lt;=0,0,(INT(Inputs!$B$44/IF(Inputs!$B$39="pvp",15,MAX(0.1,Skills!D15-IF(Skills!E15=TRUE,Inputs!$B$32,0))))+1)),0)</f>
        <v/>
      </c>
      <c r="S2585">
        <f>IFERROR(O2585/N2585,0)</f>
        <v/>
      </c>
      <c r="T2585" t="n">
        <v>0</v>
      </c>
      <c r="V2585" t="n">
        <v>0</v>
      </c>
    </row>
    <row r="2586">
      <c r="A2586">
        <f>Skills!A16</f>
        <v/>
      </c>
      <c r="B2586">
        <f>Skills!B16</f>
        <v/>
      </c>
      <c r="C2586">
        <f>Inputs!$B$3&gt;=115</f>
        <v/>
      </c>
      <c r="D2586">
        <f>IF(Skills!C16=1,60+Inputs!$B$25+Inputs!$B$29,IF(Skills!C16=2,90+Inputs!$B$26+Inputs!$B$29,IF(Skills!C16=3,120+Inputs!$B$27+Inputs!$B$29,MAX(0,(Inputs!$B$3-100)*3)+Inputs!$B$28+Inputs!$B$29)))</f>
        <v/>
      </c>
      <c r="E2586">
        <f>INDEX(FactorTable!$B$2:$Y$301, MATCH(ROUND(MIN(300,MAX(1,D2586)),0), FactorTable!$A$2:$A$301,0), Skills!M16+1)</f>
        <v/>
      </c>
      <c r="F2586">
        <f>IF(Skills!N16=TRUE,(Skills!L16/10)*(E2586/1000),Skills!L16/10)+Skills!O16</f>
        <v/>
      </c>
      <c r="G2586">
        <f>Skills!G16*IF(Skills!H16&gt;0,Skills!I16/Skills!H16,1)</f>
        <v/>
      </c>
      <c r="H2586">
        <f>1-(1-Skills!J16/100)^Skills!K16</f>
        <v/>
      </c>
      <c r="I2586" t="inlineStr">
        <is>
          <t>1</t>
        </is>
      </c>
      <c r="J2586">
        <f>((Inputs!$B$6*(1+Inputs!$B$7/100))+(((Inputs!$B$12*(1+Inputs!$B$13/100))-(Inputs!$B$12*(1+Inputs!$B$13/100)))+0.25*(Inputs!$B$14-Inputs!$B$14))*(1+Inputs!$B$7/100))*(F2586/100)</f>
        <v/>
      </c>
      <c r="K2586">
        <f>J2586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2597=TRUE)*(F2597-Calc!F27))+((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2586)</f>
        <v/>
      </c>
      <c r="L2586">
        <f>K2586*(MIN(Inputs!$B$22+((C2594=TRUE)*(F2594-Calc!F24)),(Inputs!$B$23+((C2599=TRUE)*(F2599-Calc!F29))+IF(ArtifactsInput!$M$15,CHOOSE(ArtifactsInput!$N$15+1,25,30,35,40,45,50)/100*(Inputs!$B$11-Inputs!$B$11),0)))/100+(Inputs!$B$23+((C2599=TRUE)*(F2599-Calc!F29))+IF(ArtifactsInput!$M$15,CHOOSE(ArtifactsInput!$N$15+1,25,30,35,40,45,50)/100*(Inputs!$B$11-Inputs!$B$11),0))/100)/2</f>
        <v/>
      </c>
      <c r="M2586">
        <f>L2586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6">
        <f>L2586*(1-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(1-Summary!$B$11)*T2586+Summary!$B$11*V2586</f>
        <v/>
      </c>
      <c r="P2586">
        <f>IF(B2615=0,0,O2586/B2615)</f>
        <v/>
      </c>
      <c r="Q2586" t="n">
        <v>0</v>
      </c>
      <c r="R2586" t="n">
        <v>0</v>
      </c>
      <c r="S2586">
        <f>IFERROR(O2586/N2586,0)</f>
        <v/>
      </c>
      <c r="T2586">
        <f>IF(C2586,(Inputs!$B$38*0.2*N2586)*IF(Inputs!$B$39="pvp",1,1+(Inputs!$B$20+0+Skills!P16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2586*(1-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$9+((C2595=TRUE)*(F2595-Calc!F25))+B2603+(ArtifactsInput!$M$24-ArtifactsInput!$M$24)*CHOOSE(ArtifactsInput!$N$24+1,10,12,14,16,18,20)+(IF(AND(Inputs!$B$39&lt;&gt;"pvp",Inputs!$B$44=0),1,IF(IF(Inputs!$B$39="pvp",15,Inputs!$B$44)-(B2614)&lt;=0,1,MAX(0,IF(Inputs!$B$39="pvp",15,Inputs!$B$44)-MAX(5,B2614))/(IF(Inputs!$B$39="pvp",15,Inputs!$B$44)-(B2614))))*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6">
        <f>IF(C2586,(Inputs!$B$38*0.2*N2586)*IF(Inputs!$B$39="pvp",1,(1+(Inputs!$B$21+Skills!Q16+B2604+(IF(ArtifactsInput!$M$33,CHOOSE(ArtifactsInput!$N$33+1,30,36,42,48,54,60),0))+(IF(AND(ArtifactsInput!$M$35,Inputs!$B$4&lt;&gt;"Chapter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Skills!A17</f>
        <v/>
      </c>
      <c r="B2587">
        <f>Skills!B17</f>
        <v/>
      </c>
      <c r="C2587">
        <f>Inputs!$B$3&gt;=115</f>
        <v/>
      </c>
      <c r="D2587">
        <f>IF(Skills!C17=1,60+Inputs!$B$25+Inputs!$B$29,IF(Skills!C17=2,90+Inputs!$B$26+Inputs!$B$29,IF(Skills!C17=3,120+Inputs!$B$27+Inputs!$B$29,MAX(0,(Inputs!$B$3-100)*3)+Inputs!$B$28+Inputs!$B$29)))</f>
        <v/>
      </c>
      <c r="E2587">
        <f>INDEX(FactorTable!$B$2:$Y$301, MATCH(ROUND(MIN(300,MAX(1,D2587)),0), FactorTable!$A$2:$A$301,0), Skills!M17+1)</f>
        <v/>
      </c>
      <c r="F2587">
        <f>IF(Skills!N17=TRUE,(Skills!L17/10)*(E2587/1000),Skills!L17/10)+Skills!O17</f>
        <v/>
      </c>
      <c r="G2587">
        <f>Skills!G17*IF(Skills!H17&gt;0,Skills!I17/Skills!H17,1)</f>
        <v/>
      </c>
      <c r="H2587">
        <f>1-(1-Skills!J17/100)^Skills!K17</f>
        <v/>
      </c>
      <c r="I2587" t="inlineStr">
        <is>
          <t>1</t>
        </is>
      </c>
      <c r="J2587" t="inlineStr"/>
      <c r="K2587" t="inlineStr"/>
      <c r="L2587" t="inlineStr"/>
      <c r="M2587" t="inlineStr"/>
      <c r="N2587" t="inlineStr"/>
      <c r="O2587">
        <f>(1-Summary!$B$11)*T2587+Summary!$B$11*V2587</f>
        <v/>
      </c>
      <c r="P2587">
        <f>IF(B2615=0,0,O2587/B2615)</f>
        <v/>
      </c>
      <c r="Q2587" t="n">
        <v>0</v>
      </c>
      <c r="R2587" t="n">
        <v>0</v>
      </c>
      <c r="S2587">
        <f>IFERROR(O2587/N2587,0)</f>
        <v/>
      </c>
      <c r="T2587" t="n">
        <v>0</v>
      </c>
      <c r="V2587" t="n">
        <v>0</v>
      </c>
    </row>
    <row r="2588">
      <c r="A2588">
        <f>Skills!A18</f>
        <v/>
      </c>
      <c r="B2588">
        <f>Skills!B18</f>
        <v/>
      </c>
      <c r="C2588">
        <f>Inputs!$B$3&gt;=100</f>
        <v/>
      </c>
      <c r="D2588">
        <f>IF(Skills!C18=1,60+Inputs!$B$25+Inputs!$B$29,IF(Skills!C18=2,90+Inputs!$B$26+Inputs!$B$29,IF(Skills!C18=3,120+Inputs!$B$27+Inputs!$B$29,MAX(0,(Inputs!$B$3-100)*3)+Inputs!$B$28+Inputs!$B$29)))</f>
        <v/>
      </c>
      <c r="E2588">
        <f>INDEX(FactorTable!$B$2:$Y$301, MATCH(ROUND(MIN(300,MAX(1,D2588)),0), FactorTable!$A$2:$A$301,0), Skills!M18+1)</f>
        <v/>
      </c>
      <c r="F2588">
        <f>IF(Skills!N18=TRUE,(Skills!L18/10)*(E2588/1000),Skills!L18/10)+Skills!O18</f>
        <v/>
      </c>
      <c r="G2588">
        <f>Skills!G18*IF(Skills!H18&gt;0,Skills!I18/Skills!H18,1)</f>
        <v/>
      </c>
      <c r="H2588">
        <f>1-(1-Skills!J18/100)^Skills!K18</f>
        <v/>
      </c>
      <c r="I2588" t="inlineStr">
        <is>
          <t>1</t>
        </is>
      </c>
      <c r="J2588" t="inlineStr"/>
      <c r="K2588" t="inlineStr"/>
      <c r="L2588" t="inlineStr"/>
      <c r="M2588" t="inlineStr"/>
      <c r="N2588" t="inlineStr"/>
      <c r="O2588">
        <f>(1-Summary!$B$11)*T2588+Summary!$B$11*V2588</f>
        <v/>
      </c>
      <c r="P2588">
        <f>IF(B2615=0,0,O2588/B2615)</f>
        <v/>
      </c>
      <c r="Q2588" t="n">
        <v>0</v>
      </c>
      <c r="R2588" t="n">
        <v>0</v>
      </c>
      <c r="S2588">
        <f>IFERROR(O2588/N2588,0)</f>
        <v/>
      </c>
      <c r="T2588" t="n">
        <v>0</v>
      </c>
      <c r="V2588" t="n">
        <v>0</v>
      </c>
    </row>
    <row r="2589">
      <c r="A2589">
        <f>Skills!A19</f>
        <v/>
      </c>
      <c r="B2589">
        <f>Skills!B19</f>
        <v/>
      </c>
      <c r="C2589">
        <f>TRUE</f>
        <v/>
      </c>
      <c r="D2589">
        <f>IF(Skills!C19=1,60+Inputs!$B$25+Inputs!$B$29,IF(Skills!C19=2,90+Inputs!$B$26+Inputs!$B$29,IF(Skills!C19=3,120+Inputs!$B$27+Inputs!$B$29,MAX(0,(Inputs!$B$3-100)*3)+Inputs!$B$28+Inputs!$B$29)))</f>
        <v/>
      </c>
      <c r="E2589">
        <f>INDEX(FactorTable!$B$2:$Y$301, MATCH(ROUND(MIN(300,MAX(1,D2589)),0), FactorTable!$A$2:$A$301,0), Skills!M19+1)</f>
        <v/>
      </c>
      <c r="F2589">
        <f>IF(Skills!N19=TRUE,(Skills!L19/10)*(E2589/1000),Skills!L19/10)+Skills!O19</f>
        <v/>
      </c>
      <c r="G2589">
        <f>Skills!G19*IF(Skills!H19&gt;0,Skills!I19/Skills!H19,1)</f>
        <v/>
      </c>
      <c r="H2589">
        <f>1-(1-Skills!J19/100)^Skills!K19</f>
        <v/>
      </c>
      <c r="I2589" t="inlineStr">
        <is>
          <t>1</t>
        </is>
      </c>
      <c r="J2589" t="inlineStr"/>
      <c r="K2589" t="inlineStr"/>
      <c r="L2589" t="inlineStr"/>
      <c r="M2589" t="inlineStr"/>
      <c r="N2589" t="inlineStr"/>
      <c r="O2589">
        <f>(1-Summary!$B$11)*T2589+Summary!$B$11*V2589</f>
        <v/>
      </c>
      <c r="P2589">
        <f>IF(B2615=0,0,O2589/B2615)</f>
        <v/>
      </c>
      <c r="Q2589">
        <f>IFERROR(1/IF(Inputs!$B$39="pvp",15,MAX(0.1,Skills!D19-IF(Skills!E19=TRUE,Inputs!$B$32,0))),0)</f>
        <v/>
      </c>
      <c r="R2589">
        <f>IF(AND(Inputs!$B$39&lt;&gt;"pvp",Inputs!$B$44&gt;0),IF(Inputs!$B$44&lt;=0,0,(INT(Inputs!$B$44/IF(Inputs!$B$39="pvp",15,MAX(0.1,Skills!D19-IF(Skills!E19=TRUE,Inputs!$B$32,0))))+1)),0)</f>
        <v/>
      </c>
      <c r="S2589">
        <f>IFERROR(O2589/N2589,0)</f>
        <v/>
      </c>
      <c r="T2589" t="n">
        <v>0</v>
      </c>
      <c r="V2589" t="n">
        <v>0</v>
      </c>
    </row>
    <row r="2590">
      <c r="A2590">
        <f>Skills!A20</f>
        <v/>
      </c>
      <c r="B2590">
        <f>Skills!B20</f>
        <v/>
      </c>
      <c r="C2590">
        <f>Inputs!$B$3&gt;=15</f>
        <v/>
      </c>
      <c r="D2590">
        <f>IF(Skills!C20=1,60+Inputs!$B$25+Inputs!$B$29,IF(Skills!C20=2,90+Inputs!$B$26+Inputs!$B$29,IF(Skills!C20=3,120+Inputs!$B$27+Inputs!$B$29,MAX(0,(Inputs!$B$3-100)*3)+Inputs!$B$28+Inputs!$B$29)))</f>
        <v/>
      </c>
      <c r="E2590">
        <f>INDEX(FactorTable!$B$2:$Y$301, MATCH(ROUND(MIN(300,MAX(1,D2590)),0), FactorTable!$A$2:$A$301,0), Skills!M20+1)</f>
        <v/>
      </c>
      <c r="F2590">
        <f>IF(Skills!N20=TRUE,(Skills!L20/10)*(E2590/1000),Skills!L20/10)+Skills!O20</f>
        <v/>
      </c>
      <c r="G2590">
        <f>Skills!G20*IF(Skills!H20&gt;0,Skills!I20/Skills!H20,1)</f>
        <v/>
      </c>
      <c r="H2590">
        <f>1-(1-Skills!J20/100)^Skills!K20</f>
        <v/>
      </c>
      <c r="I2590" t="inlineStr">
        <is>
          <t>1</t>
        </is>
      </c>
      <c r="J2590" t="inlineStr"/>
      <c r="K2590" t="inlineStr"/>
      <c r="L2590" t="inlineStr"/>
      <c r="M2590" t="inlineStr"/>
      <c r="N2590" t="inlineStr"/>
      <c r="O2590">
        <f>(1-Summary!$B$11)*T2590+Summary!$B$11*V2590</f>
        <v/>
      </c>
      <c r="P2590">
        <f>IF(B2615=0,0,O2590/B2615)</f>
        <v/>
      </c>
      <c r="Q2590">
        <f>IFERROR(1/IF(Inputs!$B$39="pvp",15,MAX(0.1,Skills!D20-IF(Skills!E20=TRUE,Inputs!$B$32,0))),0)</f>
        <v/>
      </c>
      <c r="R2590">
        <f>IF(AND(Inputs!$B$39&lt;&gt;"pvp",Inputs!$B$44&gt;0),IF(Inputs!$B$44&lt;=0,0,(INT(Inputs!$B$44/IF(Inputs!$B$39="pvp",15,MAX(0.1,Skills!D20-IF(Skills!E20=TRUE,Inputs!$B$32,0))))+1)),0)</f>
        <v/>
      </c>
      <c r="S2590">
        <f>IFERROR(O2590/N2590,0)</f>
        <v/>
      </c>
      <c r="T2590" t="n">
        <v>0</v>
      </c>
      <c r="V2590" t="n">
        <v>0</v>
      </c>
    </row>
    <row r="2591">
      <c r="A2591">
        <f>Skills!A21</f>
        <v/>
      </c>
      <c r="B2591">
        <f>Skills!B21</f>
        <v/>
      </c>
      <c r="C2591">
        <f>Inputs!$B$3&gt;=15</f>
        <v/>
      </c>
      <c r="D2591">
        <f>IF(Skills!C21=1,60+Inputs!$B$25+Inputs!$B$29,IF(Skills!C21=2,90+Inputs!$B$26+Inputs!$B$29,IF(Skills!C21=3,120+Inputs!$B$27+Inputs!$B$29,MAX(0,(Inputs!$B$3-100)*3)+Inputs!$B$28+Inputs!$B$29)))</f>
        <v/>
      </c>
      <c r="E2591">
        <f>INDEX(FactorTable!$B$2:$Y$301, MATCH(ROUND(MIN(300,MAX(1,D2591)),0), FactorTable!$A$2:$A$301,0), Skills!M21+1)</f>
        <v/>
      </c>
      <c r="F2591">
        <f>IF(Skills!N21=TRUE,(Skills!L21/10)*(E2591/1000),Skills!L21/10)+Skills!O21</f>
        <v/>
      </c>
      <c r="G2591">
        <f>Skills!G21*IF(Skills!H21&gt;0,Skills!I21/Skills!H21,1)</f>
        <v/>
      </c>
      <c r="H2591">
        <f>1-(1-Skills!J21/100)^Skills!K21</f>
        <v/>
      </c>
      <c r="I2591" t="inlineStr">
        <is>
          <t>1</t>
        </is>
      </c>
      <c r="J2591" t="inlineStr"/>
      <c r="K2591" t="inlineStr"/>
      <c r="L2591" t="inlineStr"/>
      <c r="M2591" t="inlineStr"/>
      <c r="N2591" t="inlineStr"/>
      <c r="O2591">
        <f>(1-Summary!$B$11)*T2591+Summary!$B$11*V2591</f>
        <v/>
      </c>
      <c r="P2591">
        <f>IF(B2615=0,0,O2591/B2615)</f>
        <v/>
      </c>
      <c r="Q2591">
        <f>IFERROR(1/IF(Inputs!$B$39="pvp",15,MAX(0.1,Skills!D21-IF(Skills!E21=TRUE,Inputs!$B$32,0))),0)</f>
        <v/>
      </c>
      <c r="R2591">
        <f>IF(AND(Inputs!$B$39&lt;&gt;"pvp",Inputs!$B$44&gt;0),IF(Inputs!$B$44&lt;=0,0,(INT(Inputs!$B$44/IF(Inputs!$B$39="pvp",15,MAX(0.1,Skills!D21-IF(Skills!E21=TRUE,Inputs!$B$32,0))))+1)),0)</f>
        <v/>
      </c>
      <c r="S2591">
        <f>IFERROR(O2591/N2591,0)</f>
        <v/>
      </c>
      <c r="T2591" t="n">
        <v>0</v>
      </c>
      <c r="V2591" t="n">
        <v>0</v>
      </c>
    </row>
    <row r="2592">
      <c r="A2592">
        <f>Skills!A22</f>
        <v/>
      </c>
      <c r="B2592">
        <f>Skills!B22</f>
        <v/>
      </c>
      <c r="C2592">
        <f>Inputs!$B$3&gt;=33</f>
        <v/>
      </c>
      <c r="D2592">
        <f>IF(Skills!C22=1,60+Inputs!$B$25+Inputs!$B$29,IF(Skills!C22=2,90+Inputs!$B$26+Inputs!$B$29,IF(Skills!C22=3,120+Inputs!$B$27+Inputs!$B$29,MAX(0,(Inputs!$B$3-100)*3)+Inputs!$B$28+Inputs!$B$29)))</f>
        <v/>
      </c>
      <c r="E2592">
        <f>INDEX(FactorTable!$B$2:$Y$301, MATCH(ROUND(MIN(300,MAX(1,D2592)),0), FactorTable!$A$2:$A$301,0), Skills!M22+1)</f>
        <v/>
      </c>
      <c r="F2592">
        <f>IF(Skills!N22=TRUE,(Skills!L22/10)*(E2592/1000),Skills!L22/10)+Skills!O22</f>
        <v/>
      </c>
      <c r="G2592">
        <f>Skills!G22*IF(Skills!H22&gt;0,Skills!I22/Skills!H22,1)</f>
        <v/>
      </c>
      <c r="H2592">
        <f>1-(1-Skills!J22/100)^Skills!K22</f>
        <v/>
      </c>
      <c r="I2592" t="inlineStr">
        <is>
          <t>1</t>
        </is>
      </c>
      <c r="J2592" t="inlineStr"/>
      <c r="K2592" t="inlineStr"/>
      <c r="L2592" t="inlineStr"/>
      <c r="M2592" t="inlineStr"/>
      <c r="N2592" t="inlineStr"/>
      <c r="O2592">
        <f>(1-Summary!$B$11)*T2592+Summary!$B$11*V2592</f>
        <v/>
      </c>
      <c r="P2592">
        <f>IF(B2615=0,0,O2592/B2615)</f>
        <v/>
      </c>
      <c r="Q2592" t="n">
        <v>0</v>
      </c>
      <c r="R2592" t="n">
        <v>0</v>
      </c>
      <c r="S2592">
        <f>IFERROR(O2592/N2592,0)</f>
        <v/>
      </c>
      <c r="T2592" t="n">
        <v>0</v>
      </c>
      <c r="V2592" t="n">
        <v>0</v>
      </c>
    </row>
    <row r="2593">
      <c r="A2593">
        <f>Skills!A23</f>
        <v/>
      </c>
      <c r="B2593">
        <f>Skills!B23</f>
        <v/>
      </c>
      <c r="C2593">
        <f>Inputs!$B$3&gt;=40</f>
        <v/>
      </c>
      <c r="D2593">
        <f>IF(Skills!C23=1,60+Inputs!$B$25+Inputs!$B$29,IF(Skills!C23=2,90+Inputs!$B$26+Inputs!$B$29,IF(Skills!C23=3,120+Inputs!$B$27+Inputs!$B$29,MAX(0,(Inputs!$B$3-100)*3)+Inputs!$B$28+Inputs!$B$29)))</f>
        <v/>
      </c>
      <c r="E2593">
        <f>INDEX(FactorTable!$B$2:$Y$301, MATCH(ROUND(MIN(300,MAX(1,D2593)),0), FactorTable!$A$2:$A$301,0), Skills!M23+1)</f>
        <v/>
      </c>
      <c r="F2593">
        <f>IF(Skills!N23=TRUE,(Skills!L23/10)*(E2593/1000),Skills!L23/10)+Skills!O23</f>
        <v/>
      </c>
      <c r="G2593">
        <f>Skills!G23*IF(Skills!H23&gt;0,Skills!I23/Skills!H23,1)</f>
        <v/>
      </c>
      <c r="H2593">
        <f>1-(1-Skills!J23/100)^Skills!K23</f>
        <v/>
      </c>
      <c r="I2593" t="inlineStr">
        <is>
          <t>1</t>
        </is>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Skills!A24</f>
        <v/>
      </c>
      <c r="B2594">
        <f>Skills!B24</f>
        <v/>
      </c>
      <c r="C2594">
        <f>Inputs!$B$3&gt;=43</f>
        <v/>
      </c>
      <c r="D2594">
        <f>IF(Skills!C24=1,60+Inputs!$B$25+Inputs!$B$29,IF(Skills!C24=2,90+Inputs!$B$26+Inputs!$B$29,IF(Skills!C24=3,120+Inputs!$B$27+Inputs!$B$29,MAX(0,(Inputs!$B$3-100)*3)+Inputs!$B$28+Inputs!$B$29)))</f>
        <v/>
      </c>
      <c r="E2594">
        <f>INDEX(FactorTable!$B$2:$Y$301, MATCH(ROUND(MIN(300,MAX(1,D2594)),0), FactorTable!$A$2:$A$301,0), Skills!M24+1)</f>
        <v/>
      </c>
      <c r="F2594">
        <f>IF(Skills!N24=TRUE,(Skills!L24/10)*(E2594/1000),Skills!L24/10)+Skills!O24</f>
        <v/>
      </c>
      <c r="G2594">
        <f>Skills!G24*IF(Skills!H24&gt;0,Skills!I24/Skills!H24,1)</f>
        <v/>
      </c>
      <c r="H2594">
        <f>1-(1-Skills!J24/100)^Skills!K24</f>
        <v/>
      </c>
      <c r="I2594" t="inlineStr">
        <is>
          <t>1</t>
        </is>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Skills!A25</f>
        <v/>
      </c>
      <c r="B2595">
        <f>Skills!B25</f>
        <v/>
      </c>
      <c r="C2595">
        <f>Inputs!$B$3&gt;=50</f>
        <v/>
      </c>
      <c r="D2595">
        <f>IF(Skills!C25=1,60+Inputs!$B$25+Inputs!$B$29,IF(Skills!C25=2,90+Inputs!$B$26+Inputs!$B$29,IF(Skills!C25=3,120+Inputs!$B$27+Inputs!$B$29,MAX(0,(Inputs!$B$3-100)*3)+Inputs!$B$28+Inputs!$B$29)))</f>
        <v/>
      </c>
      <c r="E2595">
        <f>INDEX(FactorTable!$B$2:$Y$301, MATCH(ROUND(MIN(300,MAX(1,D2595)),0), FactorTable!$A$2:$A$301,0), Skills!M25+1)</f>
        <v/>
      </c>
      <c r="F2595">
        <f>IF(Skills!N25=TRUE,(Skills!L25/10)*(E2595/1000),Skills!L25/10)+Skills!O25</f>
        <v/>
      </c>
      <c r="G2595">
        <f>Skills!G25*IF(Skills!H25&gt;0,Skills!I25/Skills!H25,1)</f>
        <v/>
      </c>
      <c r="H2595">
        <f>1-(1-Skills!J25/100)^Skills!K25</f>
        <v/>
      </c>
      <c r="I2595" t="inlineStr">
        <is>
          <t>1</t>
        </is>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Skills!A26</f>
        <v/>
      </c>
      <c r="B2596">
        <f>Skills!B26</f>
        <v/>
      </c>
      <c r="C2596">
        <f>Inputs!$B$3&gt;=50</f>
        <v/>
      </c>
      <c r="D2596">
        <f>IF(Skills!C26=1,60+Inputs!$B$25+Inputs!$B$29,IF(Skills!C26=2,90+Inputs!$B$26+Inputs!$B$29,IF(Skills!C26=3,120+Inputs!$B$27+Inputs!$B$29,MAX(0,(Inputs!$B$3-100)*3)+Inputs!$B$28+Inputs!$B$29)))</f>
        <v/>
      </c>
      <c r="E2596">
        <f>INDEX(FactorTable!$B$2:$Y$301, MATCH(ROUND(MIN(300,MAX(1,D2596)),0), FactorTable!$A$2:$A$301,0), Skills!M26+1)</f>
        <v/>
      </c>
      <c r="F2596">
        <f>IF(Skills!N26=TRUE,(Skills!L26/10)*(E2596/1000),Skills!L26/10)+Skills!O26</f>
        <v/>
      </c>
      <c r="G2596">
        <f>Skills!G26*IF(Skills!H26&gt;0,Skills!I26/Skills!H26,1)</f>
        <v/>
      </c>
      <c r="H2596">
        <f>1-(1-Skills!J26/100)^Skills!K26</f>
        <v/>
      </c>
      <c r="I2596" t="inlineStr">
        <is>
          <t>1</t>
        </is>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Skills!A27</f>
        <v/>
      </c>
      <c r="B2597">
        <f>Skills!B27</f>
        <v/>
      </c>
      <c r="C2597">
        <f>Inputs!$B$3&gt;=38</f>
        <v/>
      </c>
      <c r="D2597">
        <f>IF(Skills!C27=1,60+Inputs!$B$25+Inputs!$B$29,IF(Skills!C27=2,90+Inputs!$B$26+Inputs!$B$29,IF(Skills!C27=3,120+Inputs!$B$27+Inputs!$B$29,MAX(0,(Inputs!$B$3-100)*3)+Inputs!$B$28+Inputs!$B$29)))</f>
        <v/>
      </c>
      <c r="E2597">
        <f>INDEX(FactorTable!$B$2:$Y$301, MATCH(ROUND(MIN(300,MAX(1,D2597)),0), FactorTable!$A$2:$A$301,0), Skills!M27+1)</f>
        <v/>
      </c>
      <c r="F2597">
        <f>IF(Skills!N27=TRUE,(Skills!L27/10)*(E2597/1000),Skills!L27/10)+Skills!O27</f>
        <v/>
      </c>
      <c r="G2597">
        <f>Skills!G27*IF(Skills!H27&gt;0,Skills!I27/Skills!H27,1)</f>
        <v/>
      </c>
      <c r="H2597">
        <f>1-(1-Skills!J27/100)^Skills!K27</f>
        <v/>
      </c>
      <c r="I2597" t="inlineStr">
        <is>
          <t>1</t>
        </is>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Skills!A28</f>
        <v/>
      </c>
      <c r="B2598">
        <f>Skills!B28</f>
        <v/>
      </c>
      <c r="C2598">
        <f>Inputs!$B$3&gt;=120</f>
        <v/>
      </c>
      <c r="D2598">
        <f>IF(Skills!C28=1,60+Inputs!$B$25+Inputs!$B$29,IF(Skills!C28=2,90+Inputs!$B$26+Inputs!$B$29,IF(Skills!C28=3,120+Inputs!$B$27+Inputs!$B$29,MAX(0,(Inputs!$B$3-100)*3)+Inputs!$B$28+Inputs!$B$29)))</f>
        <v/>
      </c>
      <c r="E2598">
        <f>INDEX(FactorTable!$B$2:$Y$301, MATCH(ROUND(MIN(300,MAX(1,D2598)),0), FactorTable!$A$2:$A$301,0), Skills!M28+1)</f>
        <v/>
      </c>
      <c r="F2598">
        <f>IF(Skills!N28=TRUE,(Skills!L28/10)*(E2598/1000),Skills!L28/10)+Skills!O28</f>
        <v/>
      </c>
      <c r="G2598">
        <f>Skills!G28*IF(Skills!H28&gt;0,Skills!I28/Skills!H28,1)</f>
        <v/>
      </c>
      <c r="H2598">
        <f>1-(1-Skills!J28/100)^Skills!K28</f>
        <v/>
      </c>
      <c r="I2598" t="inlineStr">
        <is>
          <t>1</t>
        </is>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Skills!A29</f>
        <v/>
      </c>
      <c r="B2599">
        <f>Skills!B29</f>
        <v/>
      </c>
      <c r="C2599">
        <f>Inputs!$B$3&gt;=120</f>
        <v/>
      </c>
      <c r="D2599">
        <f>IF(Skills!C29=1,60+Inputs!$B$25+Inputs!$B$29,IF(Skills!C29=2,90+Inputs!$B$26+Inputs!$B$29,IF(Skills!C29=3,120+Inputs!$B$27+Inputs!$B$29,MAX(0,(Inputs!$B$3-100)*3)+Inputs!$B$28+Inputs!$B$29)))</f>
        <v/>
      </c>
      <c r="E2599">
        <f>INDEX(FactorTable!$B$2:$Y$301, MATCH(ROUND(MIN(300,MAX(1,D2599)),0), FactorTable!$A$2:$A$301,0), Skills!M29+1)</f>
        <v/>
      </c>
      <c r="F2599">
        <f>IF(Skills!N29=TRUE,(Skills!L29/10)*(E2599/1000),Skills!L29/10)+Skills!O29</f>
        <v/>
      </c>
      <c r="G2599">
        <f>Skills!G29*IF(Skills!H29&gt;0,Skills!I29/Skills!H29,1)</f>
        <v/>
      </c>
      <c r="H2599">
        <f>1-(1-Skills!J29/100)^Skills!K29</f>
        <v/>
      </c>
      <c r="I2599" t="inlineStr">
        <is>
          <t>1</t>
        </is>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Skills!A30</f>
        <v/>
      </c>
      <c r="B2600">
        <f>Skills!B30</f>
        <v/>
      </c>
      <c r="C2600">
        <f>Inputs!$B$3&gt;=125</f>
        <v/>
      </c>
      <c r="D2600">
        <f>IF(Skills!C30=1,60+Inputs!$B$25+Inputs!$B$29,IF(Skills!C30=2,90+Inputs!$B$26+Inputs!$B$29,IF(Skills!C30=3,120+Inputs!$B$27+Inputs!$B$29,MAX(0,(Inputs!$B$3-100)*3)+Inputs!$B$28+Inputs!$B$29)))</f>
        <v/>
      </c>
      <c r="E2600">
        <f>INDEX(FactorTable!$B$2:$Y$301, MATCH(ROUND(MIN(300,MAX(1,D2600)),0), FactorTable!$A$2:$A$301,0), Skills!M30+1)</f>
        <v/>
      </c>
      <c r="F2600">
        <f>IF(Skills!N30=TRUE,(Skills!L30/10)*(E2600/1000),Skills!L30/10)+Skills!O30</f>
        <v/>
      </c>
      <c r="G2600">
        <f>Skills!G30*IF(Skills!H30&gt;0,Skills!I30/Skills!H30,1)</f>
        <v/>
      </c>
      <c r="H2600">
        <f>1-(1-Skills!J30/100)^Skills!K30</f>
        <v/>
      </c>
      <c r="I2600" t="inlineStr">
        <is>
          <t>1</t>
        </is>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2">
      <c r="A2602" t="inlineStr">
        <is>
          <t>Average Buff Multiplier</t>
        </is>
      </c>
      <c r="B2602">
        <f>(1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f>
        <v/>
      </c>
    </row>
    <row r="2603">
      <c r="A2603" t="inlineStr">
        <is>
          <t>Global Crit Rate Bonus %</t>
        </is>
      </c>
      <c r="B2603">
        <f>((C2590=TRUE)*F2590*IF(AND(Inputs!$B$39&lt;&gt;"pvp",Inputs!$B$44&gt;0),(((R2590-1)*(Skills!Y20*(1+Inputs!$B$34/100))+MIN((Skills!Y20*(1+Inputs!$B$34/100)),MAX(0,Inputs!$B$44-((R2590-1)*Skills!D20))))/Inputs!$B$44),IF(Inputs!$B$39="pvp",MIN((Skills!Y20*(1+Inputs!$B$34/100)),15)/15,(Skills!Y20*(1+Inputs!$B$34/100))/Skills!D20)))</f>
        <v/>
      </c>
    </row>
    <row r="2604">
      <c r="A2604" t="inlineStr">
        <is>
          <t>Global Monster Damage-Taken Bonus %</t>
        </is>
      </c>
      <c r="B2604">
        <f>IF(Inputs!$B$3&gt;=82,15,0)</f>
        <v/>
      </c>
    </row>
    <row r="2605">
      <c r="A2605" t="inlineStr">
        <is>
          <t>Shadow Partner Average Multiplier</t>
        </is>
      </c>
      <c r="B2605">
        <f>1+((C2577=TRUE)*F2577*(1+3.3333333333333335*IF(C2588=TRUE,F2588,0)/100)*I2577*Skills!J7/100)/100</f>
        <v/>
      </c>
    </row>
    <row r="2606">
      <c r="A2606" t="inlineStr">
        <is>
          <t>Attack Speed Buff Bonus %</t>
        </is>
      </c>
      <c r="B2606">
        <f>((C2589=TRUE)*F2589*IF(AND(Inputs!$B$39&lt;&gt;"pvp",Inputs!$B$44&gt;0),(((R2589-1)*(Skills!Y19*(1+Inputs!$B$34/100))+MIN((Skills!Y19*(1+Inputs!$B$34/100)),MAX(0,Inputs!$B$44-((R2589-1)*Skills!D19))))/Inputs!$B$44),IF(Inputs!$B$39="pvp",MIN((Skills!Y19*(1+Inputs!$B$34/100)),15)/15,(Skills!Y19*(1+Inputs!$B$34/100))/Skills!D19)))+((C2573=TRUE)*F2573*3)</f>
        <v/>
      </c>
    </row>
    <row r="2607">
      <c r="A2607" t="inlineStr">
        <is>
          <t>Actions Per Second</t>
        </is>
      </c>
      <c r="B2607">
        <f>1+MIN(150,150*(1-(1-(Inputs!$B$11+((C2592=TRUE)*(F2592-Calc!F22)))/150)*(1-B2606/150)))/100</f>
        <v/>
      </c>
    </row>
    <row r="2608">
      <c r="A2608" t="inlineStr">
        <is>
          <t>Skill + Buff Cast Rate</t>
        </is>
      </c>
      <c r="B2608">
        <f>IF(AND(Inputs!$B$39&lt;&gt;"pvp",Inputs!$B$44&gt;0),SUMPRODUCT((Skills!E2:E30=TRUE)*(C2572:C2600=TRUE)*R2572:R2600*Skills!F2:F30)/Inputs!$B$44,SUMPRODUCT((Skills!E2:E30=TRUE)*(C2572:C2600=TRUE)*Q2572:Q2600*Skills!F2:F30))</f>
        <v/>
      </c>
    </row>
    <row r="2609">
      <c r="A2609" t="inlineStr">
        <is>
          <t>Cruel Stab Casts Per Second</t>
        </is>
      </c>
      <c r="B2609">
        <f>MAX(0,B2607-B2608)</f>
        <v/>
      </c>
    </row>
    <row r="2610">
      <c r="A2610" t="inlineStr">
        <is>
          <t>Global Critical Damage Bonus % (Smokescreen Mastery Lv.113)</t>
        </is>
      </c>
      <c r="B2610">
        <f>IF(Inputs!$B$3&gt;=113,30,0)*IF(AND(Inputs!$B$39&lt;&gt;"pvp",Inputs!$B$44&gt;0),(((R2585-1)*(Skills!Y15*(1+Inputs!$B$34/100))+MIN((Skills!Y15*(1+Inputs!$B$34/100)),MAX(0,Inputs!$B$44-((R2585-1)*Skills!D15))))/Inputs!$B$44),IF(Inputs!$B$39="pvp",MIN((Skills!Y15*(1+Inputs!$B$34/100)),15)/15,(Skills!Y15*(1+Inputs!$B$34/100))/Skills!D15))</f>
        <v/>
      </c>
    </row>
    <row r="2611">
      <c r="A2611" t="inlineStr">
        <is>
          <t>Meso Explosion average stack count</t>
        </is>
      </c>
      <c r="B2611">
        <f>MIN(10,0.5*B2607*Skills!D4)</f>
        <v/>
      </c>
    </row>
    <row r="2612">
      <c r="A2612" t="inlineStr">
        <is>
          <t>Blood Money average stack count</t>
        </is>
      </c>
      <c r="B2612">
        <f>MIN(5,0.25*B2607*Skills!D4)</f>
        <v/>
      </c>
    </row>
    <row r="2613">
      <c r="A2613" t="inlineStr">
        <is>
          <t>Assassinate Murderous Intent Multiplier</t>
        </is>
      </c>
      <c r="B2613">
        <f>1+IFERROR(MIN(1,Q2584*2/Q2581),0)</f>
        <v/>
      </c>
    </row>
    <row r="2614">
      <c r="A2614" t="inlineStr">
        <is>
          <t>Buff-Casting Startup Delay (s, fixed-duration only)</t>
        </is>
      </c>
      <c r="B2614">
        <f>IF(AND(Inputs!$B$39&lt;&gt;"pvp",Inputs!$B$44&gt;0),SUMPRODUCT((Skills!Y2:Y30&gt;0)*(Skills!E2:E30=TRUE)*(C2572:C2600=TRUE))/B2607,0)</f>
        <v/>
      </c>
    </row>
    <row r="2615">
      <c r="A2615" s="6" t="inlineStr">
        <is>
          <t>TOTAL DPS</t>
        </is>
      </c>
      <c r="B2615" s="6">
        <f>SUM(O2572:O2600)</f>
        <v/>
      </c>
    </row>
    <row r="2616">
      <c r="A2616" t="inlineStr">
        <is>
          <t>Boss-Only Total DPS (this block's swept value)</t>
        </is>
      </c>
      <c r="B2616">
        <f>SUM(T2572:T2600)</f>
        <v/>
      </c>
    </row>
    <row r="2617">
      <c r="A2617" t="inlineStr">
        <is>
          <t>Normal-Only Total DPS (this block's swept value)</t>
        </is>
      </c>
      <c r="B2617">
        <f>SUM(V2572:V2600)</f>
        <v/>
      </c>
    </row>
    <row r="2620">
      <c r="A2620" s="6" t="inlineStr">
        <is>
          <t>Stat: Icy Soul Rock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2622)</f>
        <v/>
      </c>
      <c r="L2622">
        <f>K2622*(MIN(Inputs!$B$22+((C2644=TRUE)*(F2644-Calc!F24)),(Inputs!$B$23+((C2649=TRUE)*(F2649-Calc!F29))+IF(ArtifactsInput!$M$15,CHOOSE(ArtifactsInput!$N$15+1,25,30,35,40,45,50)/100*(Inputs!$B$11-Inputs!$B$11),0)))/100+(Inputs!$B$23+((C2649=TRUE)*(F2649-Calc!F29))+IF(ArtifactsInput!$M$15,CHOOSE(ArtifactsInput!$N$15+1,25,30,35,40,45,50)/100*(Inputs!$B$11-Inputs!$B$11),0))/100)/2</f>
        <v/>
      </c>
      <c r="M2622">
        <f>L2622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2">
        <f>L2622*(1-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IF(B2665=0,0,O2622/B2665)</f>
        <v/>
      </c>
      <c r="Q2622" t="n">
        <v>0</v>
      </c>
      <c r="R2622" t="n">
        <v>0</v>
      </c>
      <c r="S2622">
        <f>IFERROR(O2622/N2622,0)</f>
        <v/>
      </c>
      <c r="T2622">
        <f>IF(C2622,(Skills!G2*N2622*B2659)*IF(Inputs!$B$39="pvp",1,1+(Inputs!$B$20+0+Skills!P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2622*(1-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IF(C2622,(Skills!G2*N2622*B2659)*IF(Inputs!$B$39="pvp",1,(1+(Inputs!$B$21+Skills!Q2+B2654+(IF(ArtifactsInput!$M$33,CHOOSE(ArtifactsInput!$N$33+1,30,36,42,48,54,60),0))+(IF(AND(ArtifactsInput!$M$35,Inputs!$B$4&lt;&gt;"Chapter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t="inlineStr"/>
      <c r="K2623" t="inlineStr"/>
      <c r="L2623" t="inlineStr"/>
      <c r="M2623" t="inlineStr"/>
      <c r="N2623" t="inlineStr"/>
      <c r="O2623">
        <f>(1-Summary!$B$11)*T2623+Summary!$B$11*V2623</f>
        <v/>
      </c>
      <c r="P2623">
        <f>IF(B2665=0,0,O2623/B2665)</f>
        <v/>
      </c>
      <c r="Q2623" t="n">
        <v>0</v>
      </c>
      <c r="R2623" t="n">
        <v>0</v>
      </c>
      <c r="S2623">
        <f>IFERROR(O2623/N2623,0)</f>
        <v/>
      </c>
      <c r="T2623" t="n">
        <v>0</v>
      </c>
      <c r="U2623">
        <f>INDEX(FactorTable!$B$2:$Y$301, MATCH(ROUND(MIN(300,MAX(1,U2622)),0), FactorTable!$A$2:$A$301,0), 22)</f>
        <v/>
      </c>
      <c r="V2623" t="n">
        <v>0</v>
      </c>
    </row>
    <row r="2624">
      <c r="A2624">
        <f>Skills!A4</f>
        <v/>
      </c>
      <c r="B2624">
        <f>Skills!B4</f>
        <v/>
      </c>
      <c r="C2624">
        <f>Inputs!$B$3&gt;=66</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2624)</f>
        <v/>
      </c>
      <c r="L2624">
        <f>K2624*(MIN(Inputs!$B$22+((C2644=TRUE)*(F2644-Calc!F24)),(Inputs!$B$23+((C2649=TRUE)*(F2649-Calc!F29))+IF(ArtifactsInput!$M$15,CHOOSE(ArtifactsInput!$N$15+1,25,30,35,40,45,50)/100*(Inputs!$B$11-Inputs!$B$11),0)))/100+(Inputs!$B$23+((C2649=TRUE)*(F2649-Calc!F29))+IF(ArtifactsInput!$M$15,CHOOSE(ArtifactsInput!$N$15+1,25,30,35,40,45,50)/100*(Inputs!$B$11-Inputs!$B$11),0))/100)/2</f>
        <v/>
      </c>
      <c r="M2624">
        <f>L2624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4">
        <f>L2624*(1-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IF(B2665=0,0,O2624/B2665)</f>
        <v/>
      </c>
      <c r="Q2624">
        <f>IFERROR(1/IF(Inputs!$B$39="pvp",15,MAX(0.1,Skills!D4-IF(Skills!E4=TRUE,Inputs!$B$32,0))),0)</f>
        <v/>
      </c>
      <c r="R2624">
        <f>IF(AND(Inputs!$B$39&lt;&gt;"pvp",Inputs!$B$44&gt;0),IF(MAX(0,Inputs!$B$44-B2664)&lt;=0,0,(INT(MAX(0,Inputs!$B$44-B2664)/IF(Inputs!$B$39="pvp",15,MAX(0.1,Skills!D4-IF(Skills!E4=TRUE,Inputs!$B$32,0))))+1)),0)</f>
        <v/>
      </c>
      <c r="S2624">
        <f>IFERROR(O2624/N2624,0)</f>
        <v/>
      </c>
      <c r="T2624">
        <f>IF(C2624,(H2624*N2624*IF(AND(Inputs!$B$39&lt;&gt;"pvp",Inputs!$B$44&gt;0),((Skills!G4*((R2624-1)*IF(Skills!H4&gt;0,Skills!I4/Skills!H4,1)+IF(Skills!H4&gt;0,MIN(Skills!I4,MAX(0,MAX(0,Inputs!$B$44-B2664)-((R2624-1)*IF(Inputs!$B$39="pvp",15,MAX(0.1,Skills!D4-IF(Skills!E4=TRUE,Inputs!$B$32,0))))))/Skills!H4,1)))/Inputs!$B$44),G2624*Q2624))*IF(Inputs!$B$39="pvp",1,1+(Inputs!$B$20+0+Skills!P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2624*(1-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290*U2623/1000</f>
        <v/>
      </c>
      <c r="V2624">
        <f>IF(C2624,(H2624*N2624*IF(AND(Inputs!$B$39&lt;&gt;"pvp",Inputs!$B$44&gt;0),((Skills!G4*((R2624-1)*IF(Skills!H4&gt;0,Skills!I4/Skills!H4,1)+IF(Skills!H4&gt;0,MIN(Skills!I4,MAX(0,MAX(0,Inputs!$B$44-B2664)-((R2624-1)*IF(Inputs!$B$39="pvp",15,MAX(0.1,Skills!D4-IF(Skills!E4=TRUE,Inputs!$B$32,0))))))/Skills!H4,1)))/Inputs!$B$44),G2624*Q2624))*IF(Inputs!$B$39="pvp",1,(1+(Inputs!$B$21+Skills!Q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(10,0.5*B2657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f>((Inputs!$B$6*(1+Inputs!$B$7/100))+(((Inputs!$B$12*(1+Inputs!$B$13/100))-(Inputs!$B$12*(1+Inputs!$B$13/100)))+0.25*(Inputs!$B$14-Inputs!$B$14))*(1+Inputs!$B$7/100))*(F2625/100)</f>
        <v/>
      </c>
      <c r="K2625">
        <f>J2625*(1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2638=TRUE,F2638,0)/100)*(1+(IF(Skills!A5="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2625)</f>
        <v/>
      </c>
      <c r="L2625">
        <f>K2625*(MIN(Inputs!$B$22+((C2644=TRUE)*(F2644-Calc!F24)),(Inputs!$B$23+((C2649=TRUE)*(F2649-Calc!F29))+IF(ArtifactsInput!$M$15,CHOOSE(ArtifactsInput!$N$15+1,25,30,35,40,45,50)/100*(Inputs!$B$11-Inputs!$B$11),0)))/100+(Inputs!$B$23+((C2649=TRUE)*(F2649-Calc!F29))+IF(ArtifactsInput!$M$15,CHOOSE(ArtifactsInput!$N$15+1,25,30,35,40,45,50)/100*(Inputs!$B$11-Inputs!$B$11),0))/100)/2</f>
        <v/>
      </c>
      <c r="M2625">
        <f>L2625*(1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5">
        <f>L2625*(1-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IF(B2665=0,0,O2625/B2665)</f>
        <v/>
      </c>
      <c r="Q2625">
        <f>IFERROR(1/IF(Inputs!$B$39="pvp",15,MAX(0.1,Skills!D5-IF(Skills!E5=TRUE,Inputs!$B$32,0))),0)</f>
        <v/>
      </c>
      <c r="R2625">
        <f>IF(AND(Inputs!$B$39&lt;&gt;"pvp",Inputs!$B$44&gt;0),IF(MAX(0,Inputs!$B$44-B2664)&lt;=0,0,(INT(MAX(0,Inputs!$B$44-B2664)/IF(Inputs!$B$39="pvp",15,MAX(0.1,Skills!D5-IF(Skills!E5=TRUE,Inputs!$B$32,0))))+1)),0)</f>
        <v/>
      </c>
      <c r="S2625">
        <f>IFERROR(O2625/N2625,0)</f>
        <v/>
      </c>
      <c r="T2625">
        <f>IF(C2625,(H2625*N2625*IF(AND(Inputs!$B$39&lt;&gt;"pvp",Inputs!$B$44&gt;0),((Skills!G5*((R2625-1)*IF(Skills!H5&gt;0,Skills!I5/Skills!H5,1)+IF(Skills!H5&gt;0,MIN(Skills!I5,MAX(0,MAX(0,Inputs!$B$44-B2664)-((R2625-1)*IF(Inputs!$B$39="pvp",15,MAX(0.1,Skills!D5-IF(Skills!E5=TRUE,Inputs!$B$32,0))))))/Skills!H5,1)))/Inputs!$B$44),G2625*Q2625))*IF(Inputs!$B$39="pvp",1,1+(Inputs!$B$20+0+Skills!P5+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2625*(1-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5">
        <f>IF(C2625,(H2625*N2625*IF(AND(Inputs!$B$39&lt;&gt;"pvp",Inputs!$B$44&gt;0),((Skills!G5*((R2625-1)*IF(Skills!H5&gt;0,Skills!I5/Skills!H5,1)+IF(Skills!H5&gt;0,MIN(Skills!I5,MAX(0,MAX(0,Inputs!$B$44-B2664)-((R2625-1)*IF(Inputs!$B$39="pvp",15,MAX(0.1,Skills!D5-IF(Skills!E5=TRUE,Inputs!$B$32,0))))))/Skills!H5,1)))/Inputs!$B$44),G2625*Q2625))*IF(Inputs!$B$39="pvp",1,(1+(Inputs!$B$21+Skills!Q5+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Inputs!$B$3&gt;=69</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6="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2626)</f>
        <v/>
      </c>
      <c r="L2626">
        <f>K2626*(MIN(Inputs!$B$22+((C2644=TRUE)*(F2644-Calc!F24)),(Inputs!$B$23+((C2649=TRUE)*(F2649-Calc!F29))+IF(ArtifactsInput!$M$15,CHOOSE(ArtifactsInput!$N$15+1,25,30,35,40,45,50)/100*(Inputs!$B$11-Inputs!$B$11),0)))/100+(Inputs!$B$23+((C2649=TRUE)*(F2649-Calc!F29))+IF(ArtifactsInput!$M$15,CHOOSE(ArtifactsInput!$N$15+1,25,30,35,40,45,50)/100*(Inputs!$B$11-Inputs!$B$11),0))/100)/2</f>
        <v/>
      </c>
      <c r="M2626">
        <f>L2626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6">
        <f>L2626*(1-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(1-Summary!$B$11)*T2626+Summary!$B$11*V2626</f>
        <v/>
      </c>
      <c r="P2626">
        <f>IF(B2665=0,0,O2626/B2665)</f>
        <v/>
      </c>
      <c r="Q2626">
        <f>IFERROR(1/IF(Inputs!$B$39="pvp",15,MAX(0.1,Skills!D6-IF(Skills!E6=TRUE,Inputs!$B$32,0))),0)</f>
        <v/>
      </c>
      <c r="R2626">
        <f>IF(AND(Inputs!$B$39&lt;&gt;"pvp",Inputs!$B$44&gt;0),IF(MAX(0,Inputs!$B$44-B2664)&lt;=0,0,(INT(MAX(0,Inputs!$B$44-B2664)/IF(Inputs!$B$39="pvp",15,MAX(0.1,Skills!D6-IF(Skills!E6=TRUE,Inputs!$B$32,0))))+1)),0)</f>
        <v/>
      </c>
      <c r="S2626">
        <f>IFERROR(O2626/N2626,0)</f>
        <v/>
      </c>
      <c r="T2626">
        <f>IF(C2626,(H2626*N2626*IF(AND(Inputs!$B$39&lt;&gt;"pvp",Inputs!$B$44&gt;0),((Skills!G6*((R2626-1)*IF(Skills!H6&gt;0,Skills!I6/Skills!H6,1)+IF(Skills!H6&gt;0,MIN(Skills!I6,MAX(0,MAX(0,Inputs!$B$44-B2664)-((R2626-1)*IF(Inputs!$B$39="pvp",15,MAX(0.1,Skills!D6-IF(Skills!E6=TRUE,Inputs!$B$32,0))))))/Skills!H6,1)))/Inputs!$B$44),G2626*Q2626))*IF(Inputs!$B$39="pvp",1,1+(Inputs!$B$20+0+Skills!P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2626*(1-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6">
        <f>IF(C2626,(H2626*N2626*IF(AND(Inputs!$B$39&lt;&gt;"pvp",Inputs!$B$44&gt;0),((Skills!G6*((R2626-1)*IF(Skills!H6&gt;0,Skills!I6/Skills!H6,1)+IF(Skills!H6&gt;0,MIN(Skills!I6,MAX(0,MAX(0,Inputs!$B$44-B2664)-((R2626-1)*IF(Inputs!$B$39="pvp",15,MAX(0.1,Skills!D6-IF(Skills!E6=TRUE,Inputs!$B$32,0))))))/Skills!H6,1)))/Inputs!$B$44),G2626*Q2626))*IF(Inputs!$B$39="pvp",1,(1+(Inputs!$B$21+Skills!Q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Skills!A7</f>
        <v/>
      </c>
      <c r="B2627">
        <f>Skills!B7</f>
        <v/>
      </c>
      <c r="C2627">
        <f>Inputs!$B$3&gt;=60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t="inlineStr"/>
      <c r="K2627" t="inlineStr"/>
      <c r="L2627" t="inlineStr"/>
      <c r="M2627" t="inlineStr"/>
      <c r="N2627" t="inlineStr"/>
      <c r="O2627">
        <f>(1-Summary!$B$11)*T2627+Summary!$B$11*V2627</f>
        <v/>
      </c>
      <c r="P2627">
        <f>IF(B2665=0,0,O2627/B2665)</f>
        <v/>
      </c>
      <c r="Q2627" t="n">
        <v>0</v>
      </c>
      <c r="R2627" t="n">
        <v>0</v>
      </c>
      <c r="S2627">
        <f>IFERROR(O2627/N2627,0)</f>
        <v/>
      </c>
      <c r="T2627" t="n">
        <v>0</v>
      </c>
      <c r="V2627" t="n">
        <v>0</v>
      </c>
    </row>
    <row r="2628">
      <c r="A2628">
        <f>Skills!A8</f>
        <v/>
      </c>
      <c r="B2628">
        <f>Skills!B8</f>
        <v/>
      </c>
      <c r="C2628">
        <f>Inputs!$B$3&gt;=72</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2638=TRUE,F2638,0)/100)*(1+(IF(Skills!A8="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2628)</f>
        <v/>
      </c>
      <c r="L2628">
        <f>K2628*(MIN(Inputs!$B$22+((C2644=TRUE)*(F2644-Calc!F24)),(Inputs!$B$23+((C2649=TRUE)*(F2649-Calc!F29))+IF(ArtifactsInput!$M$15,CHOOSE(ArtifactsInput!$N$15+1,25,30,35,40,45,50)/100*(Inputs!$B$11-Inputs!$B$11),0)))/100+(Inputs!$B$23+((C2649=TRUE)*(F2649-Calc!F29))+IF(ArtifactsInput!$M$15,CHOOSE(ArtifactsInput!$N$15+1,25,30,35,40,45,50)/100*(Inputs!$B$11-Inputs!$B$11),0))/100)/2</f>
        <v/>
      </c>
      <c r="M2628">
        <f>L2628*(1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8">
        <f>L2628*(1-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IF(B2665=0,0,O2628/B2665)</f>
        <v/>
      </c>
      <c r="Q2628">
        <f>IFERROR(1/IF(Inputs!$B$39="pvp",15,MAX(0.1,Skills!D8-IF(Skills!E8=TRUE,Inputs!$B$32,0))),0)</f>
        <v/>
      </c>
      <c r="R2628">
        <f>IF(AND(Inputs!$B$39&lt;&gt;"pvp",Inputs!$B$44&gt;0),IF(MAX(0,Inputs!$B$44-B2664)&lt;=0,0,(INT(MAX(0,Inputs!$B$44-B2664)/IF(Inputs!$B$39="pvp",15,MAX(0.1,Skills!D8-IF(Skills!E8=TRUE,Inputs!$B$32,0))))+1)),0)</f>
        <v/>
      </c>
      <c r="S2628">
        <f>IFERROR(O2628/N2628,0)</f>
        <v/>
      </c>
      <c r="T2628">
        <f>IF(C2628,(H2628*N2628*IF(AND(Inputs!$B$39&lt;&gt;"pvp",Inputs!$B$44&gt;0),((Skills!G8*((R2628-1)*IF(Skills!H8&gt;0,Skills!I8/Skills!H8,1)+IF(Skills!H8&gt;0,MIN(Skills!I8,MAX(0,MAX(0,Inputs!$B$44-B2664)-((R2628-1)*IF(Inputs!$B$39="pvp",15,MAX(0.1,Skills!D8-IF(Skills!E8=TRUE,Inputs!$B$32,0))))))/Skills!H8,1)))/Inputs!$B$44),G2628*Q2628))*IF(Inputs!$B$39="pvp",1,1+(Inputs!$B$20+0+Skills!P8+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2628*(1-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2664)-((R2628-1)*IF(Inputs!$B$39="pvp",15,MAX(0.1,Skills!D8-IF(Skills!E8=TRUE,Inputs!$B$32,0))))))/Skills!H8,1)))/Inputs!$B$44),G2628*Q2628))*IF(Inputs!$B$39="pvp",1,(1+(Inputs!$B$21+Skills!Q8+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Inputs!$B$3&gt;=117</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2629)</f>
        <v/>
      </c>
      <c r="L2629">
        <f>K2629*(MIN(Inputs!$B$22+((C2644=TRUE)*(F2644-Calc!F24)),(Inputs!$B$23+((C2649=TRUE)*(F2649-Calc!F29))+IF(ArtifactsInput!$M$15,CHOOSE(ArtifactsInput!$N$15+1,25,30,35,40,45,50)/100*(Inputs!$B$11-Inputs!$B$11),0)))/100+(Inputs!$B$23+((C2649=TRUE)*(F2649-Calc!F29))+IF(ArtifactsInput!$M$15,CHOOSE(ArtifactsInput!$N$15+1,25,30,35,40,45,50)/100*(Inputs!$B$11-Inputs!$B$11),0))/100)/2</f>
        <v/>
      </c>
      <c r="M2629">
        <f>L2629*(1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9">
        <f>L2629*(1-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IF(B2665=0,0,O2629/B2665)</f>
        <v/>
      </c>
      <c r="Q2629" t="n">
        <v>0</v>
      </c>
      <c r="R2629" t="n">
        <v>0</v>
      </c>
      <c r="S2629" t="n">
        <v>0</v>
      </c>
      <c r="T2629">
        <f>IF(C2629,(0.2*SUMPRODUCT((Skills!Z2:Z30=TRUE)*(C2622:C2650=TRUE)*S2622:S2650)*N2629)*IF(Inputs!$B$39="pvp",1,1+(Inputs!$B$20+0+Skills!P9+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2629*(1-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IF(C2629,(0.2*SUMPRODUCT((Skills!Z2:Z30=TRUE)*(C2622:C2650=TRUE)*S2622:S2650)*N2629)*IF(Inputs!$B$39="pvp",1,(1+(Inputs!$B$21+Skills!Q9+B2654+(IF(ArtifactsInput!$M$33,CHOOSE(ArtifactsInput!$N$33+1,30,36,42,48,54,60),0))+(IF(AND(ArtifactsInput!$M$35,Inputs!$B$4&lt;&gt;"Chapter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Inputs!$B$3&gt;=74</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t="inlineStr"/>
      <c r="K2630" t="inlineStr"/>
      <c r="L2630" t="inlineStr"/>
      <c r="M2630" t="inlineStr"/>
      <c r="N2630" t="inlineStr"/>
      <c r="O2630">
        <f>(1-Summary!$B$11)*T2630+Summary!$B$11*V2630</f>
        <v/>
      </c>
      <c r="P2630">
        <f>IF(B2665=0,0,O2630/B2665)</f>
        <v/>
      </c>
      <c r="Q2630">
        <f>IFERROR(1/IF(Inputs!$B$39="pvp",15,MAX(0.1,Skills!D10-IF(Skills!E10=TRUE,Inputs!$B$32,0))),0)</f>
        <v/>
      </c>
      <c r="R2630">
        <f>IF(AND(Inputs!$B$39&lt;&gt;"pvp",Inputs!$B$44&gt;0),IF(Inputs!$B$44&lt;=0,0,(INT(Inputs!$B$44/IF(Inputs!$B$39="pvp",15,MAX(0.1,Skills!D10-IF(Skills!E10=TRUE,Inputs!$B$32,0))))+1)),0)</f>
        <v/>
      </c>
      <c r="S2630">
        <f>IFERROR(O2630/N2630,0)</f>
        <v/>
      </c>
      <c r="T2630" t="n">
        <v>0</v>
      </c>
      <c r="V2630" t="n">
        <v>0</v>
      </c>
    </row>
    <row r="2631">
      <c r="A2631">
        <f>Skills!A11</f>
        <v/>
      </c>
      <c r="B2631">
        <f>Skills!B11</f>
        <v/>
      </c>
      <c r="C2631">
        <f>Inputs!$B$3&gt;=103</f>
        <v/>
      </c>
      <c r="D2631">
        <f>IF(Skills!C11=1,60+Inputs!$B$25+Inputs!$B$29,IF(Skills!C11=2,90+Inputs!$B$26+Inputs!$B$29,IF(Skills!C11=3,120+Inputs!$B$27+Inputs!$B$29,MAX(0,(Inputs!$B$3-100)*3)+Inputs!$B$28+Inputs!$B$29)))</f>
        <v/>
      </c>
      <c r="E2631">
        <f>INDEX(FactorTable!$B$2:$Y$301, MATCH(ROUND(MIN(300,MAX(1,D2631)),0), FactorTable!$A$2:$A$301,0), Skills!M11+1)</f>
        <v/>
      </c>
      <c r="F2631">
        <f>(Skills!L11/10)*(E2631/1000)+IF(Inputs!$B$3&gt;=134,50,0)+0.5*(30000/10)*(INDEX(FactorTable!$B$2:$Y$301, MATCH(ROUND(MIN(300,MAX(1,D2631)),0), FactorTable!$A$2:$A$301,0), 13)/1000)*B2663</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2631)</f>
        <v/>
      </c>
      <c r="L2631">
        <f>K2631*(MIN(Inputs!$B$22+((C2644=TRUE)*(F2644-Calc!F24)),(Inputs!$B$23+((C2649=TRUE)*(F2649-Calc!F29))+IF(ArtifactsInput!$M$15,CHOOSE(ArtifactsInput!$N$15+1,25,30,35,40,45,50)/100*(Inputs!$B$11-Inputs!$B$11),0)))/100+(Inputs!$B$23+((C2649=TRUE)*(F2649-Calc!F29))+IF(ArtifactsInput!$M$15,CHOOSE(ArtifactsInput!$N$15+1,25,30,35,40,45,50)/100*(Inputs!$B$11-Inputs!$B$11),0))/100)/2</f>
        <v/>
      </c>
      <c r="M2631">
        <f>L2631*(1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1">
        <f>L2631*(1-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1">
        <f>(1-Summary!$B$11)*T2631+Summary!$B$11*V2631</f>
        <v/>
      </c>
      <c r="P2631">
        <f>IF(B2665=0,0,O2631/B2665)</f>
        <v/>
      </c>
      <c r="Q2631">
        <f>IFERROR(1/IF(Inputs!$B$39="pvp",15,MAX(0.1,Skills!D11-IF(Skills!E11=TRUE,Inputs!$B$32,0))),0)</f>
        <v/>
      </c>
      <c r="R2631">
        <f>IF(AND(Inputs!$B$39&lt;&gt;"pvp",Inputs!$B$44&gt;0),IF(MAX(0,Inputs!$B$44-B2664)&lt;=0,0,(INT(MAX(0,Inputs!$B$44-B2664)/IF(Inputs!$B$39="pvp",15,MAX(0.1,Skills!D11-IF(Skills!E11=TRUE,Inputs!$B$32,0))))+1)),0)</f>
        <v/>
      </c>
      <c r="S2631">
        <f>IFERROR(O2631/N2631,0)</f>
        <v/>
      </c>
      <c r="T2631">
        <f>IF(C2631,(H2631*N2631*IF(AND(Inputs!$B$39&lt;&gt;"pvp",Inputs!$B$44&gt;0),((Skills!G11*((R2631-1)*IF(Skills!H11&gt;0,Skills!I11/Skills!H11,1)+IF(Skills!H11&gt;0,MIN(Skills!I11,MAX(0,MAX(0,Inputs!$B$44-B2664)-((R2631-1)*IF(Inputs!$B$39="pvp",15,MAX(0.1,Skills!D11-IF(Skills!E11=TRUE,Inputs!$B$32,0))))))/Skills!H11,1)))/Inputs!$B$44),G2631*Q2631))*IF(Inputs!$B$39="pvp",1,1+(Inputs!$B$20+0+Skills!P11+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2631*(1-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1">
        <f>IF(C2631,(H2631*N2631*IF(AND(Inputs!$B$39&lt;&gt;"pvp",Inputs!$B$44&gt;0),((Skills!G11*((R2631-1)*IF(Skills!H11&gt;0,Skills!I11/Skills!H11,1)+IF(Skills!H11&gt;0,MIN(Skills!I11,MAX(0,MAX(0,Inputs!$B$44-B2664)-((R2631-1)*IF(Inputs!$B$39="pvp",15,MAX(0.1,Skills!D11-IF(Skills!E11=TRUE,Inputs!$B$32,0))))))/Skills!H11,1)))/Inputs!$B$44),G2631*Q2631))*IF(Inputs!$B$39="pvp",1,(1+(Inputs!$B$21+Skills!Q11+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2">
      <c r="A2632">
        <f>Skills!A12</f>
        <v/>
      </c>
      <c r="B2632">
        <f>Skills!B12</f>
        <v/>
      </c>
      <c r="C2632">
        <f>Inputs!$B$3&gt;=105</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Skills!G12*IF(Skills!H12&gt;0,Skills!I12/Skills!H12,1)</f>
        <v/>
      </c>
      <c r="H2632">
        <f>1-(1-Skills!J12/100)^Skills!K12</f>
        <v/>
      </c>
      <c r="I2632" t="inlineStr">
        <is>
          <t>1</t>
        </is>
      </c>
      <c r="J2632">
        <f>((Inputs!$B$6*(1+Inputs!$B$7/100))+(((Inputs!$B$12*(1+Inputs!$B$13/100))-(Inputs!$B$12*(1+Inputs!$B$13/100)))+0.25*(Inputs!$B$14-Inputs!$B$14))*(1+Inputs!$B$7/100))*(F2632/100)</f>
        <v/>
      </c>
      <c r="K2632">
        <f>J2632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2632)</f>
        <v/>
      </c>
      <c r="L2632">
        <f>K2632*(MIN(Inputs!$B$22+((C2644=TRUE)*(F2644-Calc!F24)),(Inputs!$B$23+((C2649=TRUE)*(F2649-Calc!F29))+IF(ArtifactsInput!$M$15,CHOOSE(ArtifactsInput!$N$15+1,25,30,35,40,45,50)/100*(Inputs!$B$11-Inputs!$B$11),0)))/100+(Inputs!$B$23+((C2649=TRUE)*(F2649-Calc!F29))+IF(ArtifactsInput!$M$15,CHOOSE(ArtifactsInput!$N$15+1,25,30,35,40,45,50)/100*(Inputs!$B$11-Inputs!$B$11),0))/100)/2</f>
        <v/>
      </c>
      <c r="M2632">
        <f>L2632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2">
        <f>L2632*(1-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IF(B2665=0,0,O2632/B2665)</f>
        <v/>
      </c>
      <c r="Q2632">
        <f>IFERROR(1/IF(Inputs!$B$39="pvp",15,MAX(0.1,Skills!D12-IF(Skills!E12=TRUE,Inputs!$B$32,0))),0)</f>
        <v/>
      </c>
      <c r="R2632">
        <f>IF(AND(Inputs!$B$39&lt;&gt;"pvp",Inputs!$B$44&gt;0),IF(MAX(0,Inputs!$B$44-B2664)&lt;=0,0,(INT(MAX(0,Inputs!$B$44-B2664)/IF(Inputs!$B$39="pvp",15,MAX(0.1,Skills!D12-IF(Skills!E12=TRUE,Inputs!$B$32,0))))+1)),0)</f>
        <v/>
      </c>
      <c r="S2632">
        <f>IFERROR(O2632/N2632,0)</f>
        <v/>
      </c>
      <c r="T2632">
        <f>IF(C2632,(H2632*N2632*IF(AND(Inputs!$B$39&lt;&gt;"pvp",Inputs!$B$44&gt;0),((Skills!G12*((R2632-1)*IF(Skills!H12&gt;0,Skills!I12/Skills!H12,1)+IF(Skills!H12&gt;0,MIN(Skills!I12,MAX(0,MAX(0,Inputs!$B$44-B2664)-((R2632-1)*IF(Inputs!$B$39="pvp",15,MAX(0.1,Skills!D12-IF(Skills!E12=TRUE,Inputs!$B$32,0))))))/Skills!H12,1)))/Inputs!$B$44),G2632*Q2632))*IF(Inputs!$B$39="pvp",1,1+(Inputs!$B$20+0+Skills!P12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2632*(1-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2664)-((R2632-1)*IF(Inputs!$B$39="pvp",15,MAX(0.1,Skills!D12-IF(Skills!E12=TRUE,Inputs!$B$32,0))))))/Skills!H12,1)))/Inputs!$B$44),G2632*Q2632))*IF(Inputs!$B$39="pvp",1,(1+(Inputs!$B$21+Skills!Q12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f>((Inputs!$B$6*(1+Inputs!$B$7/100))+(((Inputs!$B$12*(1+Inputs!$B$13/100))-(Inputs!$B$12*(1+Inputs!$B$13/100)))+0.25*(Inputs!$B$14-Inputs!$B$14))*(1+Inputs!$B$7/100))*(F2633/100)</f>
        <v/>
      </c>
      <c r="K2633">
        <f>J2633*(1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2633)</f>
        <v/>
      </c>
      <c r="L2633">
        <f>K2633*(MIN(Inputs!$B$22+((C2644=TRUE)*(F2644-Calc!F24)),(Inputs!$B$23+((C2649=TRUE)*(F2649-Calc!F29))+IF(ArtifactsInput!$M$15,CHOOSE(ArtifactsInput!$N$15+1,25,30,35,40,45,50)/100*(Inputs!$B$11-Inputs!$B$11),0)))/100+(Inputs!$B$23+((C2649=TRUE)*(F2649-Calc!F29))+IF(ArtifactsInput!$M$15,CHOOSE(ArtifactsInput!$N$15+1,25,30,35,40,45,50)/100*(Inputs!$B$11-Inputs!$B$11),0))/100)/2</f>
        <v/>
      </c>
      <c r="M2633">
        <f>L2633*(1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3">
        <f>L2633*(1-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IF(B2665=0,0,O2633/B2665)</f>
        <v/>
      </c>
      <c r="Q2633">
        <f>IFERROR(1/IF(Inputs!$B$39="pvp",15,MAX(0.1,Skills!D13-IF(Skills!E13=TRUE,Inputs!$B$32,0))),0)</f>
        <v/>
      </c>
      <c r="R2633">
        <f>IF(AND(Inputs!$B$39&lt;&gt;"pvp",Inputs!$B$44&gt;0),IF(MAX(0,Inputs!$B$44-B2664)&lt;=0,0,(INT(MAX(0,Inputs!$B$44-B2664)/IF(Inputs!$B$39="pvp",15,MAX(0.1,Skills!D13-IF(Skills!E13=TRUE,Inputs!$B$32,0))))+1)),0)</f>
        <v/>
      </c>
      <c r="S2633">
        <f>IFERROR(O2633/N2633,0)</f>
        <v/>
      </c>
      <c r="T2633">
        <f>IF(C2633,(H2633*N2633*IF(AND(Inputs!$B$39&lt;&gt;"pvp",Inputs!$B$44&gt;0),((Skills!G13*((R2633-1)*IF(Skills!H13&gt;0,Skills!I13/Skills!H13,1)+IF(Skills!H13&gt;0,MIN(Skills!I13,MAX(0,MAX(0,Inputs!$B$44-B2664)-((R2633-1)*IF(Inputs!$B$39="pvp",15,MAX(0.1,Skills!D13-IF(Skills!E13=TRUE,Inputs!$B$32,0))))))/Skills!H13,1)))/Inputs!$B$44),G2633*Q2633))*IF(Inputs!$B$39="pvp",1,1+(Inputs!$B$20+0+Skills!P13+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2633*(1-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2664)-((R2633-1)*IF(Inputs!$B$39="pvp",15,MAX(0.1,Skills!D13-IF(Skills!E13=TRUE,Inputs!$B$32,0))))))/Skills!H13,1)))/Inputs!$B$44),G2633*Q2633))*IF(Inputs!$B$39="pvp",1,(1+(Inputs!$B$21+Skills!Q13+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f>((Inputs!$B$6*(1+Inputs!$B$7/100))+(((Inputs!$B$12*(1+Inputs!$B$13/100))-(Inputs!$B$12*(1+Inputs!$B$13/100)))+0.25*(Inputs!$B$14-Inputs!$B$14))*(1+Inputs!$B$7/100))*(F2634/100)</f>
        <v/>
      </c>
      <c r="K2634">
        <f>J2634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2634)</f>
        <v/>
      </c>
      <c r="L2634">
        <f>K2634*(MIN(Inputs!$B$22+((C2644=TRUE)*(F2644-Calc!F24)),(Inputs!$B$23+((C2649=TRUE)*(F2649-Calc!F29))+IF(ArtifactsInput!$M$15,CHOOSE(ArtifactsInput!$N$15+1,25,30,35,40,45,50)/100*(Inputs!$B$11-Inputs!$B$11),0)))/100+(Inputs!$B$23+((C2649=TRUE)*(F2649-Calc!F29))+IF(ArtifactsInput!$M$15,CHOOSE(ArtifactsInput!$N$15+1,25,30,35,40,45,50)/100*(Inputs!$B$11-Inputs!$B$11),0))/100)/2</f>
        <v/>
      </c>
      <c r="M2634">
        <f>L2634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4">
        <f>L2634*(1-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IF(B2665=0,0,O2634/B2665)</f>
        <v/>
      </c>
      <c r="Q2634">
        <f>IFERROR(1/IF(Inputs!$B$39="pvp",15,MAX(0.1,Skills!D14-IF(Skills!E14=TRUE,Inputs!$B$32,0))),0)</f>
        <v/>
      </c>
      <c r="R2634">
        <f>IF(AND(Inputs!$B$39&lt;&gt;"pvp",Inputs!$B$44&gt;0),IF(MAX(0,Inputs!$B$44-B2664)&lt;=0,0,(INT(MAX(0,Inputs!$B$44-B2664)/IF(Inputs!$B$39="pvp",15,MAX(0.1,Skills!D14-IF(Skills!E14=TRUE,Inputs!$B$32,0))))+1)),0)</f>
        <v/>
      </c>
      <c r="S2634">
        <f>IFERROR(O2634/N2634,0)</f>
        <v/>
      </c>
      <c r="T2634">
        <f>IF(C2634,(H2634*N2634*IF(AND(Inputs!$B$39&lt;&gt;"pvp",Inputs!$B$44&gt;0),((Skills!G14*((R2634-1)*IF(Skills!H14&gt;0,Skills!I14/Skills!H14,1)+IF(Skills!H14&gt;0,MIN(Skills!I14,MAX(0,MAX(0,Inputs!$B$44-B2664)-((R2634-1)*IF(Inputs!$B$39="pvp",15,MAX(0.1,Skills!D14-IF(Skills!E14=TRUE,Inputs!$B$32,0))))))/Skills!H14,1)))/Inputs!$B$44),G2634*Q2634))*IF(Inputs!$B$39="pvp",1,1+(Inputs!$B$20+0+Skills!P14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2634*(1-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2664)-((R2634-1)*IF(Inputs!$B$39="pvp",15,MAX(0.1,Skills!D14-IF(Skills!E14=TRUE,Inputs!$B$32,0))))))/Skills!H14,1)))/Inputs!$B$44),G2634*Q2634))*IF(Inputs!$B$39="pvp",1,(1+(Inputs!$B$21+Skills!Q14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(5,0.25*B2657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IF(B2665=0,0,O2635/B2665)</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f>((Inputs!$B$6*(1+Inputs!$B$7/100))+(((Inputs!$B$12*(1+Inputs!$B$13/100))-(Inputs!$B$12*(1+Inputs!$B$13/100)))+0.25*(Inputs!$B$14-Inputs!$B$14))*(1+Inputs!$B$7/100))*(F2636/100)</f>
        <v/>
      </c>
      <c r="K2636">
        <f>J2636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2647=TRUE)*(F2647-Calc!F27))+((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2636)</f>
        <v/>
      </c>
      <c r="L2636">
        <f>K2636*(MIN(Inputs!$B$22+((C2644=TRUE)*(F2644-Calc!F24)),(Inputs!$B$23+((C2649=TRUE)*(F2649-Calc!F29))+IF(ArtifactsInput!$M$15,CHOOSE(ArtifactsInput!$N$15+1,25,30,35,40,45,50)/100*(Inputs!$B$11-Inputs!$B$11),0)))/100+(Inputs!$B$23+((C2649=TRUE)*(F2649-Calc!F29))+IF(ArtifactsInput!$M$15,CHOOSE(ArtifactsInput!$N$15+1,25,30,35,40,45,50)/100*(Inputs!$B$11-Inputs!$B$11),0))/100)/2</f>
        <v/>
      </c>
      <c r="M2636">
        <f>L2636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6">
        <f>L2636*(1-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2636*(MIN((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6">
        <f>(1-Summary!$B$11)*T2636+Summary!$B$11*V2636</f>
        <v/>
      </c>
      <c r="P2636">
        <f>IF(B2665=0,0,O2636/B2665)</f>
        <v/>
      </c>
      <c r="Q2636" t="n">
        <v>0</v>
      </c>
      <c r="R2636" t="n">
        <v>0</v>
      </c>
      <c r="S2636">
        <f>IFERROR(O2636/N2636,0)</f>
        <v/>
      </c>
      <c r="T2636">
        <f>IF(C2636,(Inputs!$B$38*0.2*N2636)*IF(Inputs!$B$39="pvp",1,1+(Inputs!$B$20+0+Skills!P16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2636*(1-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2636*(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2636*(1-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2636*(MIN(100,(Inputs!$B$9+((C2645=TRUE)*(F2645-Calc!F25))+B2653+(ArtifactsInput!$M$24-ArtifactsInput!$M$24)*CHOOSE(ArtifactsInput!$N$24+1,10,12,14,16,18,20)+(IF(AND(Inputs!$B$39&lt;&gt;"pvp",Inputs!$B$44=0),1,IF(IF(Inputs!$B$39="pvp",15,Inputs!$B$44)-(B2664)&lt;=0,1,MAX(0,IF(Inputs!$B$39="pvp",15,Inputs!$B$44)-MAX(5,B2664))/(IF(Inputs!$B$39="pvp",15,Inputs!$B$44)-(B2664))))*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6">
        <f>IF(C2636,(Inputs!$B$38*0.2*N2636)*IF(Inputs!$B$39="pvp",1,(1+(Inputs!$B$21+Skills!Q16+B2654+(IF(ArtifactsInput!$M$33,CHOOSE(ArtifactsInput!$N$33+1,30,36,42,48,54,60),0))+(IF(AND(ArtifactsInput!$M$35,Inputs!$B$4&lt;&gt;"Chapter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IF(B2665=0,0,O2637/B2665)</f>
        <v/>
      </c>
      <c r="Q2637" t="n">
        <v>0</v>
      </c>
      <c r="R2637" t="n">
        <v>0</v>
      </c>
      <c r="S2637">
        <f>IFERROR(O2637/N2637,0)</f>
        <v/>
      </c>
      <c r="T2637" t="n">
        <v>0</v>
      </c>
      <c r="V2637" t="n">
        <v>0</v>
      </c>
    </row>
    <row r="2638">
      <c r="A2638">
        <f>Skills!A18</f>
        <v/>
      </c>
      <c r="B2638">
        <f>Skills!B18</f>
        <v/>
      </c>
      <c r="C2638">
        <f>Inputs!$B$3&gt;=100</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IF(B2665=0,0,O2638/B2665)</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IF(B2665=0,0,O2639/B2665)</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IF(B2665=0,0,O2640/B2665)</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IF(B2665=0,0,O2641/B2665)</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IF(B2665=0,0,O2642/B2665)</f>
        <v/>
      </c>
      <c r="Q2642" t="n">
        <v>0</v>
      </c>
      <c r="R2642" t="n">
        <v>0</v>
      </c>
      <c r="S2642">
        <f>IFERROR(O2642/N2642,0)</f>
        <v/>
      </c>
      <c r="T2642" t="n">
        <v>0</v>
      </c>
      <c r="V2642" t="n">
        <v>0</v>
      </c>
    </row>
    <row r="2643">
      <c r="A2643">
        <f>Skills!A23</f>
        <v/>
      </c>
      <c r="B2643">
        <f>Skills!B23</f>
        <v/>
      </c>
      <c r="C2643">
        <f>Inputs!$B$3&gt;=40</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IF(B2665=0,0,O2643/B2665)</f>
        <v/>
      </c>
      <c r="Q2643" t="n">
        <v>0</v>
      </c>
      <c r="R2643" t="n">
        <v>0</v>
      </c>
      <c r="S2643">
        <f>IFERROR(O2643/N2643,0)</f>
        <v/>
      </c>
      <c r="T2643" t="n">
        <v>0</v>
      </c>
      <c r="V2643" t="n">
        <v>0</v>
      </c>
    </row>
    <row r="2644">
      <c r="A2644">
        <f>Skills!A24</f>
        <v/>
      </c>
      <c r="B2644">
        <f>Skills!B24</f>
        <v/>
      </c>
      <c r="C2644">
        <f>Inputs!$B$3&gt;=43</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Skills!G24*IF(Skills!H24&gt;0,Skills!I24/Skills!H24,1)</f>
        <v/>
      </c>
      <c r="H2644">
        <f>1-(1-Skills!J24/100)^Skills!K24</f>
        <v/>
      </c>
      <c r="I2644" t="inlineStr">
        <is>
          <t>1</t>
        </is>
      </c>
      <c r="J2644" t="inlineStr"/>
      <c r="K2644" t="inlineStr"/>
      <c r="L2644" t="inlineStr"/>
      <c r="M2644" t="inlineStr"/>
      <c r="N2644" t="inlineStr"/>
      <c r="O2644">
        <f>(1-Summary!$B$11)*T2644+Summary!$B$11*V2644</f>
        <v/>
      </c>
      <c r="P2644">
        <f>IF(B2665=0,0,O2644/B2665)</f>
        <v/>
      </c>
      <c r="Q2644" t="n">
        <v>0</v>
      </c>
      <c r="R2644" t="n">
        <v>0</v>
      </c>
      <c r="S2644">
        <f>IFERROR(O2644/N2644,0)</f>
        <v/>
      </c>
      <c r="T2644" t="n">
        <v>0</v>
      </c>
      <c r="V2644" t="n">
        <v>0</v>
      </c>
    </row>
    <row r="2645">
      <c r="A2645">
        <f>Skills!A25</f>
        <v/>
      </c>
      <c r="B2645">
        <f>Skills!B25</f>
        <v/>
      </c>
      <c r="C2645">
        <f>Inputs!$B$3&gt;=50</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Skills!G25*IF(Skills!H25&gt;0,Skills!I25/Skills!H25,1)</f>
        <v/>
      </c>
      <c r="H2645">
        <f>1-(1-Skills!J25/100)^Skills!K25</f>
        <v/>
      </c>
      <c r="I2645" t="inlineStr">
        <is>
          <t>1</t>
        </is>
      </c>
      <c r="J2645" t="inlineStr"/>
      <c r="K2645" t="inlineStr"/>
      <c r="L2645" t="inlineStr"/>
      <c r="M2645" t="inlineStr"/>
      <c r="N2645" t="inlineStr"/>
      <c r="O2645">
        <f>(1-Summary!$B$11)*T2645+Summary!$B$11*V2645</f>
        <v/>
      </c>
      <c r="P2645">
        <f>IF(B2665=0,0,O2645/B2665)</f>
        <v/>
      </c>
      <c r="Q2645" t="n">
        <v>0</v>
      </c>
      <c r="R2645" t="n">
        <v>0</v>
      </c>
      <c r="S2645">
        <f>IFERROR(O2645/N2645,0)</f>
        <v/>
      </c>
      <c r="T2645" t="n">
        <v>0</v>
      </c>
      <c r="V2645" t="n">
        <v>0</v>
      </c>
    </row>
    <row r="2646">
      <c r="A2646">
        <f>Skills!A26</f>
        <v/>
      </c>
      <c r="B2646">
        <f>Skills!B26</f>
        <v/>
      </c>
      <c r="C2646">
        <f>Inputs!$B$3&gt;=50</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Skills!G26*IF(Skills!H26&gt;0,Skills!I26/Skills!H26,1)</f>
        <v/>
      </c>
      <c r="H2646">
        <f>1-(1-Skills!J26/100)^Skills!K26</f>
        <v/>
      </c>
      <c r="I2646" t="inlineStr">
        <is>
          <t>1</t>
        </is>
      </c>
      <c r="J2646" t="inlineStr"/>
      <c r="K2646" t="inlineStr"/>
      <c r="L2646" t="inlineStr"/>
      <c r="M2646" t="inlineStr"/>
      <c r="N2646" t="inlineStr"/>
      <c r="O2646">
        <f>(1-Summary!$B$11)*T2646+Summary!$B$11*V2646</f>
        <v/>
      </c>
      <c r="P2646">
        <f>IF(B2665=0,0,O2646/B2665)</f>
        <v/>
      </c>
      <c r="Q2646" t="n">
        <v>0</v>
      </c>
      <c r="R2646" t="n">
        <v>0</v>
      </c>
      <c r="S2646">
        <f>IFERROR(O2646/N2646,0)</f>
        <v/>
      </c>
      <c r="T2646" t="n">
        <v>0</v>
      </c>
      <c r="V2646" t="n">
        <v>0</v>
      </c>
    </row>
    <row r="2647">
      <c r="A2647">
        <f>Skills!A27</f>
        <v/>
      </c>
      <c r="B2647">
        <f>Skills!B27</f>
        <v/>
      </c>
      <c r="C2647">
        <f>Inputs!$B$3&gt;=38</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Skills!G27*IF(Skills!H27&gt;0,Skills!I27/Skills!H27,1)</f>
        <v/>
      </c>
      <c r="H2647">
        <f>1-(1-Skills!J27/100)^Skills!K27</f>
        <v/>
      </c>
      <c r="I2647" t="inlineStr">
        <is>
          <t>1</t>
        </is>
      </c>
      <c r="J2647" t="inlineStr"/>
      <c r="K2647" t="inlineStr"/>
      <c r="L2647" t="inlineStr"/>
      <c r="M2647" t="inlineStr"/>
      <c r="N2647" t="inlineStr"/>
      <c r="O2647">
        <f>(1-Summary!$B$11)*T2647+Summary!$B$11*V2647</f>
        <v/>
      </c>
      <c r="P2647">
        <f>IF(B2665=0,0,O2647/B2665)</f>
        <v/>
      </c>
      <c r="Q2647" t="n">
        <v>0</v>
      </c>
      <c r="R2647" t="n">
        <v>0</v>
      </c>
      <c r="S2647">
        <f>IFERROR(O2647/N2647,0)</f>
        <v/>
      </c>
      <c r="T2647" t="n">
        <v>0</v>
      </c>
      <c r="V2647" t="n">
        <v>0</v>
      </c>
    </row>
    <row r="2648">
      <c r="A2648">
        <f>Skills!A28</f>
        <v/>
      </c>
      <c r="B2648">
        <f>Skills!B28</f>
        <v/>
      </c>
      <c r="C2648">
        <f>Inputs!$B$3&gt;=120</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Skills!G28*IF(Skills!H28&gt;0,Skills!I28/Skills!H28,1)</f>
        <v/>
      </c>
      <c r="H2648">
        <f>1-(1-Skills!J28/100)^Skills!K28</f>
        <v/>
      </c>
      <c r="I2648" t="inlineStr">
        <is>
          <t>1</t>
        </is>
      </c>
      <c r="J2648" t="inlineStr"/>
      <c r="K2648" t="inlineStr"/>
      <c r="L2648" t="inlineStr"/>
      <c r="M2648" t="inlineStr"/>
      <c r="N2648" t="inlineStr"/>
      <c r="O2648">
        <f>(1-Summary!$B$11)*T2648+Summary!$B$11*V2648</f>
        <v/>
      </c>
      <c r="P2648">
        <f>IF(B2665=0,0,O2648/B2665)</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Skills!G29*IF(Skills!H29&gt;0,Skills!I29/Skills!H29,1)</f>
        <v/>
      </c>
      <c r="H2649">
        <f>1-(1-Skills!J29/100)^Skills!K29</f>
        <v/>
      </c>
      <c r="I2649" t="inlineStr">
        <is>
          <t>1</t>
        </is>
      </c>
      <c r="J2649" t="inlineStr"/>
      <c r="K2649" t="inlineStr"/>
      <c r="L2649" t="inlineStr"/>
      <c r="M2649" t="inlineStr"/>
      <c r="N2649" t="inlineStr"/>
      <c r="O2649">
        <f>(1-Summary!$B$11)*T2649+Summary!$B$11*V2649</f>
        <v/>
      </c>
      <c r="P2649">
        <f>IF(B2665=0,0,O2649/B2665)</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Skills!G30*IF(Skills!H30&gt;0,Skills!I30/Skills!H30,1)</f>
        <v/>
      </c>
      <c r="H2650">
        <f>1-(1-Skills!J30/100)^Skills!K30</f>
        <v/>
      </c>
      <c r="I2650" t="inlineStr">
        <is>
          <t>1</t>
        </is>
      </c>
      <c r="J2650" t="inlineStr"/>
      <c r="K2650" t="inlineStr"/>
      <c r="L2650" t="inlineStr"/>
      <c r="M2650" t="inlineStr"/>
      <c r="N2650" t="inlineStr"/>
      <c r="O2650">
        <f>(1-Summary!$B$11)*T2650+Summary!$B$11*V2650</f>
        <v/>
      </c>
      <c r="P2650">
        <f>IF(B2665=0,0,O2650/B2665)</f>
        <v/>
      </c>
      <c r="Q2650" t="n">
        <v>0</v>
      </c>
      <c r="R2650" t="n">
        <v>0</v>
      </c>
      <c r="S2650">
        <f>IFERROR(O2650/N2650,0)</f>
        <v/>
      </c>
      <c r="T2650" t="n">
        <v>0</v>
      </c>
      <c r="V2650" t="n">
        <v>0</v>
      </c>
    </row>
    <row r="2652">
      <c r="A2652" t="inlineStr">
        <is>
          <t>Average Buff Multiplier</t>
        </is>
      </c>
      <c r="B2652">
        <f>(1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f>
        <v/>
      </c>
    </row>
    <row r="2653">
      <c r="A2653" t="inlineStr">
        <is>
          <t>Global Crit Rate Bonus %</t>
        </is>
      </c>
      <c r="B2653">
        <f>((C2640=TRUE)*F2640*IF(AND(Inputs!$B$39&lt;&gt;"pvp",Inputs!$B$44&gt;0),(((R2640-1)*(Skills!Y20*(1+Inputs!$B$34/100))+MIN((Skills!Y20*(1+Inputs!$B$34/100)),MAX(0,Inputs!$B$44-((R2640-1)*Skills!D20))))/Inputs!$B$44),IF(Inputs!$B$39="pvp",MIN((Skills!Y20*(1+Inputs!$B$34/100)),15)/15,(Skills!Y20*(1+Inputs!$B$34/100))/Skills!D20)))</f>
        <v/>
      </c>
    </row>
    <row r="2654">
      <c r="A2654" t="inlineStr">
        <is>
          <t>Global Monster Damage-Taken Bonus %</t>
        </is>
      </c>
      <c r="B2654">
        <f>IF(Inputs!$B$3&gt;=82,15,0)</f>
        <v/>
      </c>
    </row>
    <row r="2655">
      <c r="A2655" t="inlineStr">
        <is>
          <t>Shadow Partner Average Multiplier</t>
        </is>
      </c>
      <c r="B2655">
        <f>1+((C2627=TRUE)*F2627*(1+3.3333333333333335*IF(C2638=TRUE,F2638,0)/100)*I2627*Skills!J7/100)/100</f>
        <v/>
      </c>
    </row>
    <row r="2656">
      <c r="A2656" t="inlineStr">
        <is>
          <t>Attack Speed Buff Bonus %</t>
        </is>
      </c>
      <c r="B2656">
        <f>((C2639=TRUE)*F2639*IF(AND(Inputs!$B$39&lt;&gt;"pvp",Inputs!$B$44&gt;0),(((R2639-1)*(Skills!Y19*(1+Inputs!$B$34/100))+MIN((Skills!Y19*(1+Inputs!$B$34/100)),MAX(0,Inputs!$B$44-((R2639-1)*Skills!D19))))/Inputs!$B$44),IF(Inputs!$B$39="pvp",MIN((Skills!Y19*(1+Inputs!$B$34/100)),15)/15,(Skills!Y19*(1+Inputs!$B$34/100))/Skills!D19)))+((C2623=TRUE)*F2623*3)</f>
        <v/>
      </c>
    </row>
    <row r="2657">
      <c r="A2657" t="inlineStr">
        <is>
          <t>Actions Per Second</t>
        </is>
      </c>
      <c r="B2657">
        <f>1+MIN(150,150*(1-(1-(Inputs!$B$11+((C2642=TRUE)*(F2642-Calc!F22)))/150)*(1-B2656/150)))/100</f>
        <v/>
      </c>
    </row>
    <row r="2658">
      <c r="A2658" t="inlineStr">
        <is>
          <t>Skill + Buff Cast Rate</t>
        </is>
      </c>
      <c r="B2658">
        <f>IF(AND(Inputs!$B$39&lt;&gt;"pvp",Inputs!$B$44&gt;0),SUMPRODUCT((Skills!E2:E30=TRUE)*(C2622:C2650=TRUE)*R2622:R2650*Skills!F2:F30)/Inputs!$B$44,SUMPRODUCT((Skills!E2:E30=TRUE)*(C2622:C2650=TRUE)*Q2622:Q2650*Skills!F2:F30))</f>
        <v/>
      </c>
    </row>
    <row r="2659">
      <c r="A2659" t="inlineStr">
        <is>
          <t>Cruel Stab Casts Per Second</t>
        </is>
      </c>
      <c r="B2659">
        <f>MAX(0,B2657-B2658)</f>
        <v/>
      </c>
    </row>
    <row r="2660">
      <c r="A2660" t="inlineStr">
        <is>
          <t>Global Critical Damage Bonus % (Smokescreen Mastery Lv.113)</t>
        </is>
      </c>
      <c r="B2660">
        <f>IF(Inputs!$B$3&gt;=113,30,0)*IF(AND(Inputs!$B$39&lt;&gt;"pvp",Inputs!$B$44&gt;0),(((R2635-1)*(Skills!Y15*(1+Inputs!$B$34/100))+MIN((Skills!Y15*(1+Inputs!$B$34/100)),MAX(0,Inputs!$B$44-((R2635-1)*Skills!D15))))/Inputs!$B$44),IF(Inputs!$B$39="pvp",MIN((Skills!Y15*(1+Inputs!$B$34/100)),15)/15,(Skills!Y15*(1+Inputs!$B$34/100))/Skills!D15))</f>
        <v/>
      </c>
    </row>
    <row r="2661">
      <c r="A2661" t="inlineStr">
        <is>
          <t>Meso Explosion average stack count</t>
        </is>
      </c>
      <c r="B2661">
        <f>MIN(10,0.5*B2657*Skills!D4)</f>
        <v/>
      </c>
    </row>
    <row r="2662">
      <c r="A2662" t="inlineStr">
        <is>
          <t>Blood Money average stack count</t>
        </is>
      </c>
      <c r="B2662">
        <f>MIN(5,0.25*B2657*Skills!D4)</f>
        <v/>
      </c>
    </row>
    <row r="2663">
      <c r="A2663" t="inlineStr">
        <is>
          <t>Assassinate Murderous Intent Multiplier</t>
        </is>
      </c>
      <c r="B2663">
        <f>1+IFERROR(MIN(1,Q2634*2/Q2631),0)</f>
        <v/>
      </c>
    </row>
    <row r="2664">
      <c r="A2664" t="inlineStr">
        <is>
          <t>Buff-Casting Startup Delay (s, fixed-duration only)</t>
        </is>
      </c>
      <c r="B2664">
        <f>IF(AND(Inputs!$B$39&lt;&gt;"pvp",Inputs!$B$44&gt;0),SUMPRODUCT((Skills!Y2:Y30&gt;0)*(Skills!E2:E30=TRUE)*(C2622:C2650=TRUE))/B2657,0)</f>
        <v/>
      </c>
    </row>
    <row r="2665">
      <c r="A2665" s="6" t="inlineStr">
        <is>
          <t>TOTAL DPS</t>
        </is>
      </c>
      <c r="B2665" s="6">
        <f>SUM(O2622:O2650)</f>
        <v/>
      </c>
    </row>
    <row r="2666">
      <c r="A2666" t="inlineStr">
        <is>
          <t>Boss-Only Total DPS (this block's swept value)</t>
        </is>
      </c>
      <c r="B2666">
        <f>SUM(T2622:T2650)</f>
        <v/>
      </c>
    </row>
    <row r="2667">
      <c r="A2667" t="inlineStr">
        <is>
          <t>Normal-Only Total DPS (this block's swept value)</t>
        </is>
      </c>
      <c r="B2667">
        <f>SUM(V2622:V2650)</f>
        <v/>
      </c>
    </row>
    <row r="2670">
      <c r="A2670" s="6" t="inlineStr">
        <is>
          <t>Stat: Flaming Lava (Equip)</t>
        </is>
      </c>
    </row>
    <row r="2671">
      <c r="A2671" s="5" t="inlineStr">
        <is>
          <t>Key</t>
        </is>
      </c>
      <c r="B2671" s="5" t="inlineStr">
        <is>
          <t>Name</t>
        </is>
      </c>
      <c r="C2671" s="5" t="inlineStr">
        <is>
          <t>Unlocked</t>
        </is>
      </c>
      <c r="D2671" s="5" t="inlineStr">
        <is>
          <t>InputLevel</t>
        </is>
      </c>
      <c r="E2671" s="5" t="inlineStr">
        <is>
          <t>Factor</t>
        </is>
      </c>
      <c r="F2671" s="5" t="inlineStr">
        <is>
          <t>CoefficientPercent</t>
        </is>
      </c>
      <c r="G2671" s="5" t="inlineStr">
        <is>
          <t>EffectiveHits</t>
        </is>
      </c>
      <c r="H2671" s="5" t="inlineStr">
        <is>
          <t>ProcProbability</t>
        </is>
      </c>
      <c r="I2671" s="5" t="inlineStr">
        <is>
          <t>MapleHeroMultiplier</t>
        </is>
      </c>
      <c r="J2671" s="5" t="inlineStr">
        <is>
          <t>BaseDamage</t>
        </is>
      </c>
      <c r="K2671" s="5" t="inlineStr">
        <is>
          <t>BaseHitDamage</t>
        </is>
      </c>
      <c r="L2671" s="5" t="inlineStr">
        <is>
          <t>NonCritAvg</t>
        </is>
      </c>
      <c r="M2671" s="5" t="inlineStr">
        <is>
          <t>CritAvg</t>
        </is>
      </c>
      <c r="N2671" s="5" t="inlineStr">
        <is>
          <t>ExpectedDamage(perHit)</t>
        </is>
      </c>
      <c r="O2671" s="5" t="inlineStr">
        <is>
          <t>DPS</t>
        </is>
      </c>
      <c r="P2671" s="5" t="inlineStr">
        <is>
          <t>% of Total</t>
        </is>
      </c>
      <c r="Q2671" s="5" t="inlineStr">
        <is>
          <t>InvCooldown</t>
        </is>
      </c>
      <c r="R2671" s="5" t="inlineStr">
        <is>
          <t>CastsInFight</t>
        </is>
      </c>
      <c r="S2671" s="5" t="inlineStr">
        <is>
          <t>HitRate(perSec)</t>
        </is>
      </c>
      <c r="U2671" t="inlineStr">
        <is>
          <t>helpers</t>
        </is>
      </c>
    </row>
    <row r="2672">
      <c r="A2672">
        <f>Skills!A2</f>
        <v/>
      </c>
      <c r="B2672">
        <f>Skills!B2</f>
        <v/>
      </c>
      <c r="C2672">
        <f>Inputs!$B$3&gt;=100</f>
        <v/>
      </c>
      <c r="D2672" t="inlineStr"/>
      <c r="E2672" t="inlineStr"/>
      <c r="F2672">
        <f>U2674+Skills!O2</f>
        <v/>
      </c>
      <c r="G2672">
        <f>Skills!G2*IF(Skills!H2&gt;0,Skills!I2/Skills!H2,1)</f>
        <v/>
      </c>
      <c r="H2672">
        <f>1-(1-Skills!J2/100)^Skills!K2</f>
        <v/>
      </c>
      <c r="I2672" t="inlineStr">
        <is>
          <t>1</t>
        </is>
      </c>
      <c r="J2672">
        <f>((Inputs!$B$6*(1+Inputs!$B$7/100))+(((Inputs!$B$12*(1+Inputs!$B$13/100))-(Inputs!$B$12*(1+Inputs!$B$13/100)))+0.25*(Inputs!$B$14-Inputs!$B$14))*(1+Inputs!$B$7/100))*(F2672/100)</f>
        <v/>
      </c>
      <c r="K2672">
        <f>J2672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2672)</f>
        <v/>
      </c>
      <c r="L2672">
        <f>K2672*(MIN(Inputs!$B$22+((C2694=TRUE)*(F2694-Calc!F24)),(Inputs!$B$23+((C2699=TRUE)*(F2699-Calc!F29))+IF(ArtifactsInput!$M$15,CHOOSE(ArtifactsInput!$N$15+1,25,30,35,40,45,50)/100*(Inputs!$B$11-Inputs!$B$11),0)))/100+(Inputs!$B$23+((C2699=TRUE)*(F2699-Calc!F29))+IF(ArtifactsInput!$M$15,CHOOSE(ArtifactsInput!$N$15+1,25,30,35,40,45,50)/100*(Inputs!$B$11-Inputs!$B$11),0))/100)/2</f>
        <v/>
      </c>
      <c r="M2672">
        <f>L2672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IF(B2715=0,0,O2672/B2715)</f>
        <v/>
      </c>
      <c r="Q2672" t="n">
        <v>0</v>
      </c>
      <c r="R2672" t="n">
        <v>0</v>
      </c>
      <c r="S2672">
        <f>IFERROR(O2672/N2672,0)</f>
        <v/>
      </c>
      <c r="T2672">
        <f>IF(C2672,(Skills!G2*N2672*B2709)*IF(Inputs!$B$39="pvp",1,1+(Inputs!$B$20+0+Skills!P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2672*(1-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MAX(0,(Inputs!$B$3-100)*3)+Inputs!$B$28+Inputs!$B$29</f>
        <v/>
      </c>
      <c r="V2672">
        <f>IF(C2672,(Skills!G2*N2672*B2709)*IF(Inputs!$B$39="pvp",1,(1+(Inputs!$B$21+Skills!Q2+B2704+(IF(ArtifactsInput!$M$33,CHOOSE(ArtifactsInput!$N$33+1,30,36,42,48,54,60),0))+(IF(AND(ArtifactsInput!$M$35,Inputs!$B$4&lt;&gt;"Chapter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Skills!A3</f>
        <v/>
      </c>
      <c r="B2673">
        <f>Skills!B3</f>
        <v/>
      </c>
      <c r="C2673">
        <f>Inputs!$B$3&gt;=35</f>
        <v/>
      </c>
      <c r="D2673">
        <f>IF(Skills!C3=1,60+Inputs!$B$25+Inputs!$B$29,IF(Skills!C3=2,90+Inputs!$B$26+Inputs!$B$29,IF(Skills!C3=3,120+Inputs!$B$27+Inputs!$B$29,MAX(0,(Inputs!$B$3-100)*3)+Inputs!$B$28+Inputs!$B$29)))</f>
        <v/>
      </c>
      <c r="E2673">
        <f>INDEX(FactorTable!$B$2:$Y$301, MATCH(ROUND(MIN(300,MAX(1,D2673)),0), FactorTable!$A$2:$A$301,0), Skills!M3+1)</f>
        <v/>
      </c>
      <c r="F2673">
        <f>IF(Skills!N3=TRUE,(Skills!L3/10)*(E2673/1000),Skills!L3/10)+Skills!O3</f>
        <v/>
      </c>
      <c r="G2673">
        <f>Skills!G3*IF(Skills!H3&gt;0,Skills!I3/Skills!H3,1)</f>
        <v/>
      </c>
      <c r="H2673">
        <f>1-(1-Skills!J3/100)^Skills!K3</f>
        <v/>
      </c>
      <c r="I2673" t="inlineStr">
        <is>
          <t>1</t>
        </is>
      </c>
      <c r="J2673" t="inlineStr"/>
      <c r="K2673" t="inlineStr"/>
      <c r="L2673" t="inlineStr"/>
      <c r="M2673" t="inlineStr"/>
      <c r="N2673" t="inlineStr"/>
      <c r="O2673">
        <f>(1-Summary!$B$11)*T2673+Summary!$B$11*V2673</f>
        <v/>
      </c>
      <c r="P2673">
        <f>IF(B2715=0,0,O2673/B2715)</f>
        <v/>
      </c>
      <c r="Q2673" t="n">
        <v>0</v>
      </c>
      <c r="R2673" t="n">
        <v>0</v>
      </c>
      <c r="S2673">
        <f>IFERROR(O2673/N2673,0)</f>
        <v/>
      </c>
      <c r="T2673" t="n">
        <v>0</v>
      </c>
      <c r="U2673">
        <f>INDEX(FactorTable!$B$2:$Y$301, MATCH(ROUND(MIN(300,MAX(1,U2672)),0), FactorTable!$A$2:$A$301,0), 22)</f>
        <v/>
      </c>
      <c r="V2673" t="n">
        <v>0</v>
      </c>
    </row>
    <row r="2674">
      <c r="A2674">
        <f>Skills!A4</f>
        <v/>
      </c>
      <c r="B2674">
        <f>Skills!B4</f>
        <v/>
      </c>
      <c r="C2674">
        <f>Inputs!$B$3&gt;=66</f>
        <v/>
      </c>
      <c r="D2674">
        <f>IF(Skills!C4=1,60+Inputs!$B$25+Inputs!$B$29,IF(Skills!C4=2,90+Inputs!$B$26+Inputs!$B$29,IF(Skills!C4=3,120+Inputs!$B$27+Inputs!$B$29,MAX(0,(Inputs!$B$3-100)*3)+Inputs!$B$28+Inputs!$B$29)))</f>
        <v/>
      </c>
      <c r="E2674">
        <f>INDEX(FactorTable!$B$2:$Y$301, MATCH(ROUND(MIN(300,MAX(1,D2674)),0), FactorTable!$A$2:$A$301,0), Skills!M4+1)</f>
        <v/>
      </c>
      <c r="F2674">
        <f>IF(Skills!N4=TRUE,(Skills!L4/10)*(E2674/1000),Skills!L4/10)+Skills!O4</f>
        <v/>
      </c>
      <c r="G2674">
        <f>Skills!G4*IF(Skills!H4&gt;0,Skills!I4/Skills!H4,1)</f>
        <v/>
      </c>
      <c r="H2674">
        <f>1-(1-Skills!J4/100)^Skills!K4</f>
        <v/>
      </c>
      <c r="I2674" t="inlineStr">
        <is>
          <t>1</t>
        </is>
      </c>
      <c r="J2674">
        <f>((Inputs!$B$6*(1+Inputs!$B$7/100))+(((Inputs!$B$12*(1+Inputs!$B$13/100))-(Inputs!$B$12*(1+Inputs!$B$13/100)))+0.25*(Inputs!$B$14-Inputs!$B$14))*(1+Inputs!$B$7/100))*(F2674/100)</f>
        <v/>
      </c>
      <c r="K2674">
        <f>J2674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2674)</f>
        <v/>
      </c>
      <c r="L2674">
        <f>K2674*(MIN(Inputs!$B$22+((C2694=TRUE)*(F2694-Calc!F24)),(Inputs!$B$23+((C2699=TRUE)*(F2699-Calc!F29))+IF(ArtifactsInput!$M$15,CHOOSE(ArtifactsInput!$N$15+1,25,30,35,40,45,50)/100*(Inputs!$B$11-Inputs!$B$11),0)))/100+(Inputs!$B$23+((C2699=TRUE)*(F2699-Calc!F29))+IF(ArtifactsInput!$M$15,CHOOSE(ArtifactsInput!$N$15+1,25,30,35,40,45,50)/100*(Inputs!$B$11-Inputs!$B$11),0))/100)/2</f>
        <v/>
      </c>
      <c r="M2674">
        <f>L2674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IF(B2715=0,0,O2674/B2715)</f>
        <v/>
      </c>
      <c r="Q2674">
        <f>IFERROR(1/IF(Inputs!$B$39="pvp",15,MAX(0.1,Skills!D4-IF(Skills!E4=TRUE,Inputs!$B$32,0))),0)</f>
        <v/>
      </c>
      <c r="R2674">
        <f>IF(AND(Inputs!$B$39&lt;&gt;"pvp",Inputs!$B$44&gt;0),IF(MAX(0,Inputs!$B$44-B2714)&lt;=0,0,(INT(MAX(0,Inputs!$B$44-B2714)/IF(Inputs!$B$39="pvp",15,MAX(0.1,Skills!D4-IF(Skills!E4=TRUE,Inputs!$B$32,0))))+1)),0)</f>
        <v/>
      </c>
      <c r="S2674">
        <f>IFERROR(O2674/N2674,0)</f>
        <v/>
      </c>
      <c r="T2674">
        <f>IF(C2674,(H2674*N2674*IF(AND(Inputs!$B$39&lt;&gt;"pvp",Inputs!$B$44&gt;0),((Skills!G4*((R2674-1)*IF(Skills!H4&gt;0,Skills!I4/Skills!H4,1)+IF(Skills!H4&gt;0,MIN(Skills!I4,MAX(0,MAX(0,Inputs!$B$44-B2714)-((R2674-1)*IF(Inputs!$B$39="pvp",15,MAX(0.1,Skills!D4-IF(Skills!E4=TRUE,Inputs!$B$32,0))))))/Skills!H4,1)))/Inputs!$B$44),G2674*Q2674))*IF(Inputs!$B$39="pvp",1,1+(Inputs!$B$20+0+Skills!P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2674*(1-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290*U2673/1000</f>
        <v/>
      </c>
      <c r="V2674">
        <f>IF(C2674,(H2674*N2674*IF(AND(Inputs!$B$39&lt;&gt;"pvp",Inputs!$B$44&gt;0),((Skills!G4*((R2674-1)*IF(Skills!H4&gt;0,Skills!I4/Skills!H4,1)+IF(Skills!H4&gt;0,MIN(Skills!I4,MAX(0,MAX(0,Inputs!$B$44-B2714)-((R2674-1)*IF(Inputs!$B$39="pvp",15,MAX(0.1,Skills!D4-IF(Skills!E4=TRUE,Inputs!$B$32,0))))))/Skills!H4,1)))/Inputs!$B$44),G2674*Q2674))*IF(Inputs!$B$39="pvp",1,(1+(Inputs!$B$21+Skills!Q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(10,0.5*B2707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Skills!A5</f>
        <v/>
      </c>
      <c r="B2675">
        <f>Skills!B5</f>
        <v/>
      </c>
      <c r="C2675">
        <f>Inputs!$B$3&gt;=63</f>
        <v/>
      </c>
      <c r="D2675">
        <f>IF(Skills!C5=1,60+Inputs!$B$25+Inputs!$B$29,IF(Skills!C5=2,90+Inputs!$B$26+Inputs!$B$29,IF(Skills!C5=3,120+Inputs!$B$27+Inputs!$B$29,MAX(0,(Inputs!$B$3-100)*3)+Inputs!$B$28+Inputs!$B$29)))</f>
        <v/>
      </c>
      <c r="E2675">
        <f>INDEX(FactorTable!$B$2:$Y$301, MATCH(ROUND(MIN(300,MAX(1,D2675)),0), FactorTable!$A$2:$A$301,0), Skills!M5+1)</f>
        <v/>
      </c>
      <c r="F2675">
        <f>IF(Skills!N5=TRUE,(Skills!L5/10)*(E2675/1000),Skills!L5/10)+Skills!O5</f>
        <v/>
      </c>
      <c r="G2675">
        <f>Skills!G5*IF(Skills!H5&gt;0,Skills!I5/Skills!H5,1)</f>
        <v/>
      </c>
      <c r="H2675">
        <f>1-(1-Skills!J5/100)^Skills!K5</f>
        <v/>
      </c>
      <c r="I2675" t="inlineStr">
        <is>
          <t>1</t>
        </is>
      </c>
      <c r="J2675">
        <f>((Inputs!$B$6*(1+Inputs!$B$7/100))+(((Inputs!$B$12*(1+Inputs!$B$13/100))-(Inputs!$B$12*(1+Inputs!$B$13/100)))+0.25*(Inputs!$B$14-Inputs!$B$14))*(1+Inputs!$B$7/100))*(F2675/100)</f>
        <v/>
      </c>
      <c r="K2675">
        <f>J2675*(1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2688=TRUE,F2688,0)/100)*(1+(IF(Skills!A5="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2675)</f>
        <v/>
      </c>
      <c r="L2675">
        <f>K2675*(MIN(Inputs!$B$22+((C2694=TRUE)*(F2694-Calc!F24)),(Inputs!$B$23+((C2699=TRUE)*(F2699-Calc!F29))+IF(ArtifactsInput!$M$15,CHOOSE(ArtifactsInput!$N$15+1,25,30,35,40,45,50)/100*(Inputs!$B$11-Inputs!$B$11),0)))/100+(Inputs!$B$23+((C2699=TRUE)*(F2699-Calc!F29))+IF(ArtifactsInput!$M$15,CHOOSE(ArtifactsInput!$N$15+1,25,30,35,40,45,50)/100*(Inputs!$B$11-Inputs!$B$11),0))/100)/2</f>
        <v/>
      </c>
      <c r="M2675">
        <f>L2675*(1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5">
        <f>L2675*(1-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(1-Summary!$B$11)*T2675+Summary!$B$11*V2675</f>
        <v/>
      </c>
      <c r="P2675">
        <f>IF(B2715=0,0,O2675/B2715)</f>
        <v/>
      </c>
      <c r="Q2675">
        <f>IFERROR(1/IF(Inputs!$B$39="pvp",15,MAX(0.1,Skills!D5-IF(Skills!E5=TRUE,Inputs!$B$32,0))),0)</f>
        <v/>
      </c>
      <c r="R2675">
        <f>IF(AND(Inputs!$B$39&lt;&gt;"pvp",Inputs!$B$44&gt;0),IF(MAX(0,Inputs!$B$44-B2714)&lt;=0,0,(INT(MAX(0,Inputs!$B$44-B2714)/IF(Inputs!$B$39="pvp",15,MAX(0.1,Skills!D5-IF(Skills!E5=TRUE,Inputs!$B$32,0))))+1)),0)</f>
        <v/>
      </c>
      <c r="S2675">
        <f>IFERROR(O2675/N2675,0)</f>
        <v/>
      </c>
      <c r="T2675">
        <f>IF(C2675,(H2675*N2675*IF(AND(Inputs!$B$39&lt;&gt;"pvp",Inputs!$B$44&gt;0),((Skills!G5*((R2675-1)*IF(Skills!H5&gt;0,Skills!I5/Skills!H5,1)+IF(Skills!H5&gt;0,MIN(Skills!I5,MAX(0,MAX(0,Inputs!$B$44-B2714)-((R2675-1)*IF(Inputs!$B$39="pvp",15,MAX(0.1,Skills!D5-IF(Skills!E5=TRUE,Inputs!$B$32,0))))))/Skills!H5,1)))/Inputs!$B$44),G2675*Q2675))*IF(Inputs!$B$39="pvp",1,1+(Inputs!$B$20+0+Skills!P5+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2675*(1-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5">
        <f>IF(C2675,(H2675*N2675*IF(AND(Inputs!$B$39&lt;&gt;"pvp",Inputs!$B$44&gt;0),((Skills!G5*((R2675-1)*IF(Skills!H5&gt;0,Skills!I5/Skills!H5,1)+IF(Skills!H5&gt;0,MIN(Skills!I5,MAX(0,MAX(0,Inputs!$B$44-B2714)-((R2675-1)*IF(Inputs!$B$39="pvp",15,MAX(0.1,Skills!D5-IF(Skills!E5=TRUE,Inputs!$B$32,0))))))/Skills!H5,1)))/Inputs!$B$44),G2675*Q2675))*IF(Inputs!$B$39="pvp",1,(1+(Inputs!$B$21+Skills!Q5+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6">
      <c r="A2676">
        <f>Skills!A6</f>
        <v/>
      </c>
      <c r="B2676">
        <f>Skills!B6</f>
        <v/>
      </c>
      <c r="C2676">
        <f>Inputs!$B$3&gt;=69</f>
        <v/>
      </c>
      <c r="D2676">
        <f>IF(Skills!C6=1,60+Inputs!$B$25+Inputs!$B$29,IF(Skills!C6=2,90+Inputs!$B$26+Inputs!$B$29,IF(Skills!C6=3,120+Inputs!$B$27+Inputs!$B$29,MAX(0,(Inputs!$B$3-100)*3)+Inputs!$B$28+Inputs!$B$29)))</f>
        <v/>
      </c>
      <c r="E2676">
        <f>INDEX(FactorTable!$B$2:$Y$301, MATCH(ROUND(MIN(300,MAX(1,D2676)),0), FactorTable!$A$2:$A$301,0), Skills!M6+1)</f>
        <v/>
      </c>
      <c r="F2676">
        <f>IF(Skills!N6=TRUE,(Skills!L6/10)*(E2676/1000),Skills!L6/10)+Skills!O6</f>
        <v/>
      </c>
      <c r="G2676">
        <f>Skills!G6*IF(Skills!H6&gt;0,Skills!I6/Skills!H6,1)</f>
        <v/>
      </c>
      <c r="H2676">
        <f>1-(1-Skills!J6/100)^Skills!K6</f>
        <v/>
      </c>
      <c r="I2676" t="inlineStr">
        <is>
          <t>1</t>
        </is>
      </c>
      <c r="J2676">
        <f>((Inputs!$B$6*(1+Inputs!$B$7/100))+(((Inputs!$B$12*(1+Inputs!$B$13/100))-(Inputs!$B$12*(1+Inputs!$B$13/100)))+0.25*(Inputs!$B$14-Inputs!$B$14))*(1+Inputs!$B$7/100))*(F2676/100)</f>
        <v/>
      </c>
      <c r="K2676">
        <f>J2676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2688=TRUE,F2688,0)/100)*(1+(IF(Skills!A6="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2676)</f>
        <v/>
      </c>
      <c r="L2676">
        <f>K2676*(MIN(Inputs!$B$22+((C2694=TRUE)*(F2694-Calc!F24)),(Inputs!$B$23+((C2699=TRUE)*(F2699-Calc!F29))+IF(ArtifactsInput!$M$15,CHOOSE(ArtifactsInput!$N$15+1,25,30,35,40,45,50)/100*(Inputs!$B$11-Inputs!$B$11),0)))/100+(Inputs!$B$23+((C2699=TRUE)*(F2699-Calc!F29))+IF(ArtifactsInput!$M$15,CHOOSE(ArtifactsInput!$N$15+1,25,30,35,40,45,50)/100*(Inputs!$B$11-Inputs!$B$11),0))/100)/2</f>
        <v/>
      </c>
      <c r="M2676">
        <f>L2676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6">
        <f>L2676*(1-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2676*(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6">
        <f>(1-Summary!$B$11)*T2676+Summary!$B$11*V2676</f>
        <v/>
      </c>
      <c r="P2676">
        <f>IF(B2715=0,0,O2676/B2715)</f>
        <v/>
      </c>
      <c r="Q2676">
        <f>IFERROR(1/IF(Inputs!$B$39="pvp",15,MAX(0.1,Skills!D6-IF(Skills!E6=TRUE,Inputs!$B$32,0))),0)</f>
        <v/>
      </c>
      <c r="R2676">
        <f>IF(AND(Inputs!$B$39&lt;&gt;"pvp",Inputs!$B$44&gt;0),IF(MAX(0,Inputs!$B$44-B2714)&lt;=0,0,(INT(MAX(0,Inputs!$B$44-B2714)/IF(Inputs!$B$39="pvp",15,MAX(0.1,Skills!D6-IF(Skills!E6=TRUE,Inputs!$B$32,0))))+1)),0)</f>
        <v/>
      </c>
      <c r="S2676">
        <f>IFERROR(O2676/N2676,0)</f>
        <v/>
      </c>
      <c r="T2676">
        <f>IF(C2676,(H2676*N2676*IF(AND(Inputs!$B$39&lt;&gt;"pvp",Inputs!$B$44&gt;0),((Skills!G6*((R2676-1)*IF(Skills!H6&gt;0,Skills!I6/Skills!H6,1)+IF(Skills!H6&gt;0,MIN(Skills!I6,MAX(0,MAX(0,Inputs!$B$44-B2714)-((R2676-1)*IF(Inputs!$B$39="pvp",15,MAX(0.1,Skills!D6-IF(Skills!E6=TRUE,Inputs!$B$32,0))))))/Skills!H6,1)))/Inputs!$B$44),G2676*Q2676))*IF(Inputs!$B$39="pvp",1,1+(Inputs!$B$20+0+Skills!P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2676*(1-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2676*(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2676*(1-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2676*(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6">
        <f>IF(C2676,(H2676*N2676*IF(AND(Inputs!$B$39&lt;&gt;"pvp",Inputs!$B$44&gt;0),((Skills!G6*((R2676-1)*IF(Skills!H6&gt;0,Skills!I6/Skills!H6,1)+IF(Skills!H6&gt;0,MIN(Skills!I6,MAX(0,MAX(0,Inputs!$B$44-B2714)-((R2676-1)*IF(Inputs!$B$39="pvp",15,MAX(0.1,Skills!D6-IF(Skills!E6=TRUE,Inputs!$B$32,0))))))/Skills!H6,1)))/Inputs!$B$44),G2676*Q2676))*IF(Inputs!$B$39="pvp",1,(1+(Inputs!$B$21+Skills!Q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7">
      <c r="A2677">
        <f>Skills!A7</f>
        <v/>
      </c>
      <c r="B2677">
        <f>Skills!B7</f>
        <v/>
      </c>
      <c r="C2677">
        <f>Inputs!$B$3&gt;=60</f>
        <v/>
      </c>
      <c r="D2677">
        <f>IF(Skills!C7=1,60+Inputs!$B$25+Inputs!$B$29,IF(Skills!C7=2,90+Inputs!$B$26+Inputs!$B$29,IF(Skills!C7=3,120+Inputs!$B$27+Inputs!$B$29,MAX(0,(Inputs!$B$3-100)*3)+Inputs!$B$28+Inputs!$B$29)))</f>
        <v/>
      </c>
      <c r="E2677">
        <f>INDEX(FactorTable!$B$2:$Y$301, MATCH(ROUND(MIN(300,MAX(1,D2677)),0), FactorTable!$A$2:$A$301,0), Skills!M7+1)</f>
        <v/>
      </c>
      <c r="F2677">
        <f>IF(Skills!N7=TRUE,(Skills!L7/10)*(E2677/1000),Skills!L7/10)+Skills!O7</f>
        <v/>
      </c>
      <c r="G2677">
        <f>Skills!G7*IF(Skills!H7&gt;0,Skills!I7/Skills!H7,1)</f>
        <v/>
      </c>
      <c r="H2677">
        <f>1-(1-Skills!J7/100)^Skills!K7</f>
        <v/>
      </c>
      <c r="I2677" t="inlineStr">
        <is>
          <t>1</t>
        </is>
      </c>
      <c r="J2677" t="inlineStr"/>
      <c r="K2677" t="inlineStr"/>
      <c r="L2677" t="inlineStr"/>
      <c r="M2677" t="inlineStr"/>
      <c r="N2677" t="inlineStr"/>
      <c r="O2677">
        <f>(1-Summary!$B$11)*T2677+Summary!$B$11*V2677</f>
        <v/>
      </c>
      <c r="P2677">
        <f>IF(B2715=0,0,O2677/B2715)</f>
        <v/>
      </c>
      <c r="Q2677" t="n">
        <v>0</v>
      </c>
      <c r="R2677" t="n">
        <v>0</v>
      </c>
      <c r="S2677">
        <f>IFERROR(O2677/N2677,0)</f>
        <v/>
      </c>
      <c r="T2677" t="n">
        <v>0</v>
      </c>
      <c r="V2677" t="n">
        <v>0</v>
      </c>
    </row>
    <row r="2678">
      <c r="A2678">
        <f>Skills!A8</f>
        <v/>
      </c>
      <c r="B2678">
        <f>Skills!B8</f>
        <v/>
      </c>
      <c r="C2678">
        <f>Inputs!$B$3&gt;=72</f>
        <v/>
      </c>
      <c r="D2678">
        <f>IF(Skills!C8=1,60+Inputs!$B$25+Inputs!$B$29,IF(Skills!C8=2,90+Inputs!$B$26+Inputs!$B$29,IF(Skills!C8=3,120+Inputs!$B$27+Inputs!$B$29,MAX(0,(Inputs!$B$3-100)*3)+Inputs!$B$28+Inputs!$B$29)))</f>
        <v/>
      </c>
      <c r="E2678">
        <f>INDEX(FactorTable!$B$2:$Y$301, MATCH(ROUND(MIN(300,MAX(1,D2678)),0), FactorTable!$A$2:$A$301,0), Skills!M8+1)</f>
        <v/>
      </c>
      <c r="F2678">
        <f>IF(Skills!N8=TRUE,(Skills!L8/10)*(E2678/1000),Skills!L8/10)+Skills!O8</f>
        <v/>
      </c>
      <c r="G2678">
        <f>Skills!G8*IF(Skills!H8&gt;0,Skills!I8/Skills!H8,1)</f>
        <v/>
      </c>
      <c r="H2678">
        <f>1-(1-Skills!J8/100)^Skills!K8</f>
        <v/>
      </c>
      <c r="I2678" t="inlineStr">
        <is>
          <t>1</t>
        </is>
      </c>
      <c r="J2678">
        <f>((Inputs!$B$6*(1+Inputs!$B$7/100))+(((Inputs!$B$12*(1+Inputs!$B$13/100))-(Inputs!$B$12*(1+Inputs!$B$13/100)))+0.25*(Inputs!$B$14-Inputs!$B$14))*(1+Inputs!$B$7/100))*(F2678/100)</f>
        <v/>
      </c>
      <c r="K2678">
        <f>J2678*(1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2688=TRUE,F2688,0)/100)*(1+(IF(Skills!A8="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2678)</f>
        <v/>
      </c>
      <c r="L2678">
        <f>K2678*(MIN(Inputs!$B$22+((C2694=TRUE)*(F2694-Calc!F24)),(Inputs!$B$23+((C2699=TRUE)*(F2699-Calc!F29))+IF(ArtifactsInput!$M$15,CHOOSE(ArtifactsInput!$N$15+1,25,30,35,40,45,50)/100*(Inputs!$B$11-Inputs!$B$11),0)))/100+(Inputs!$B$23+((C2699=TRUE)*(F2699-Calc!F29))+IF(ArtifactsInput!$M$15,CHOOSE(ArtifactsInput!$N$15+1,25,30,35,40,45,50)/100*(Inputs!$B$11-Inputs!$B$11),0))/100)/2</f>
        <v/>
      </c>
      <c r="M2678">
        <f>L2678*(1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IF(B2715=0,0,O2678/B2715)</f>
        <v/>
      </c>
      <c r="Q2678">
        <f>IFERROR(1/IF(Inputs!$B$39="pvp",15,MAX(0.1,Skills!D8-IF(Skills!E8=TRUE,Inputs!$B$32,0))),0)</f>
        <v/>
      </c>
      <c r="R2678">
        <f>IF(AND(Inputs!$B$39&lt;&gt;"pvp",Inputs!$B$44&gt;0),IF(MAX(0,Inputs!$B$44-B2714)&lt;=0,0,(INT(MAX(0,Inputs!$B$44-B2714)/IF(Inputs!$B$39="pvp",15,MAX(0.1,Skills!D8-IF(Skills!E8=TRUE,Inputs!$B$32,0))))+1)),0)</f>
        <v/>
      </c>
      <c r="S2678">
        <f>IFERROR(O2678/N2678,0)</f>
        <v/>
      </c>
      <c r="T2678">
        <f>IF(C2678,(H2678*N2678*IF(AND(Inputs!$B$39&lt;&gt;"pvp",Inputs!$B$44&gt;0),((Skills!G8*((R2678-1)*IF(Skills!H8&gt;0,Skills!I8/Skills!H8,1)+IF(Skills!H8&gt;0,MIN(Skills!I8,MAX(0,MAX(0,Inputs!$B$44-B2714)-((R2678-1)*IF(Inputs!$B$39="pvp",15,MAX(0.1,Skills!D8-IF(Skills!E8=TRUE,Inputs!$B$32,0))))))/Skills!H8,1)))/Inputs!$B$44),G2678*Q2678))*IF(Inputs!$B$39="pvp",1,1+(Inputs!$B$20+0+Skills!P8+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2678*(1-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8*((R2678-1)*IF(Skills!H8&gt;0,Skills!I8/Skills!H8,1)+IF(Skills!H8&gt;0,MIN(Skills!I8,MAX(0,MAX(0,Inputs!$B$44-B2714)-((R2678-1)*IF(Inputs!$B$39="pvp",15,MAX(0.1,Skills!D8-IF(Skills!E8=TRUE,Inputs!$B$32,0))))))/Skills!H8,1)))/Inputs!$B$44),G2678*Q2678))*IF(Inputs!$B$39="pvp",1,(1+(Inputs!$B$21+Skills!Q8+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Skills!A9</f>
        <v/>
      </c>
      <c r="B2679">
        <f>Skills!B9</f>
        <v/>
      </c>
      <c r="C2679">
        <f>Inputs!$B$3&gt;=117</f>
        <v/>
      </c>
      <c r="D2679">
        <f>IF(Skills!C9=1,60+Inputs!$B$25+Inputs!$B$29,IF(Skills!C9=2,90+Inputs!$B$26+Inputs!$B$29,IF(Skills!C9=3,120+Inputs!$B$27+Inputs!$B$29,MAX(0,(Inputs!$B$3-100)*3)+Inputs!$B$28+Inputs!$B$29)))</f>
        <v/>
      </c>
      <c r="E2679">
        <f>INDEX(FactorTable!$B$2:$Y$301, MATCH(ROUND(MIN(300,MAX(1,D2679)),0), FactorTable!$A$2:$A$301,0), Skills!M9+1)</f>
        <v/>
      </c>
      <c r="F2679">
        <f>IF(Skills!N9=TRUE,(Skills!L9/10)*(E2679/1000),Skills!L9/10)+Skills!O9</f>
        <v/>
      </c>
      <c r="G2679">
        <f>Skills!G9*IF(Skills!H9&gt;0,Skills!I9/Skills!H9,1)</f>
        <v/>
      </c>
      <c r="H2679">
        <f>1-(1-Skills!J9/100)^Skills!K9</f>
        <v/>
      </c>
      <c r="I2679" t="inlineStr">
        <is>
          <t>1</t>
        </is>
      </c>
      <c r="J2679">
        <f>((Inputs!$B$6*(1+Inputs!$B$7/100))+(((Inputs!$B$12*(1+Inputs!$B$13/100))-(Inputs!$B$12*(1+Inputs!$B$13/100)))+0.25*(Inputs!$B$14-Inputs!$B$14))*(1+Inputs!$B$7/100))*(F2679/100)</f>
        <v/>
      </c>
      <c r="K2679">
        <f>J2679*(1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2679)</f>
        <v/>
      </c>
      <c r="L2679">
        <f>K2679*(MIN(Inputs!$B$22+((C2694=TRUE)*(F2694-Calc!F24)),(Inputs!$B$23+((C2699=TRUE)*(F2699-Calc!F29))+IF(ArtifactsInput!$M$15,CHOOSE(ArtifactsInput!$N$15+1,25,30,35,40,45,50)/100*(Inputs!$B$11-Inputs!$B$11),0)))/100+(Inputs!$B$23+((C2699=TRUE)*(F2699-Calc!F29))+IF(ArtifactsInput!$M$15,CHOOSE(ArtifactsInput!$N$15+1,25,30,35,40,45,50)/100*(Inputs!$B$11-Inputs!$B$11),0))/100)/2</f>
        <v/>
      </c>
      <c r="M2679">
        <f>L2679*(1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IF(B2715=0,0,O2679/B2715)</f>
        <v/>
      </c>
      <c r="Q2679" t="n">
        <v>0</v>
      </c>
      <c r="R2679" t="n">
        <v>0</v>
      </c>
      <c r="S2679" t="n">
        <v>0</v>
      </c>
      <c r="T2679">
        <f>IF(C2679,(0.2*SUMPRODUCT((Skills!Z2:Z30=TRUE)*(C2672:C2700=TRUE)*S2672:S2700)*N2679)*IF(Inputs!$B$39="pvp",1,1+(Inputs!$B$20+0+Skills!P9+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2679*(1-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IF(C2679,(0.2*SUMPRODUCT((Skills!Z2:Z30=TRUE)*(C2672:C2700=TRUE)*S2672:S2700)*N2679)*IF(Inputs!$B$39="pvp",1,(1+(Inputs!$B$21+Skills!Q9+B2704+(IF(ArtifactsInput!$M$33,CHOOSE(ArtifactsInput!$N$33+1,30,36,42,48,54,60),0))+(IF(AND(ArtifactsInput!$M$35,Inputs!$B$4&lt;&gt;"Chapter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Skills!A10</f>
        <v/>
      </c>
      <c r="B2680">
        <f>Skills!B10</f>
        <v/>
      </c>
      <c r="C2680">
        <f>Inputs!$B$3&gt;=74</f>
        <v/>
      </c>
      <c r="D2680">
        <f>IF(Skills!C10=1,60+Inputs!$B$25+Inputs!$B$29,IF(Skills!C10=2,90+Inputs!$B$26+Inputs!$B$29,IF(Skills!C10=3,120+Inputs!$B$27+Inputs!$B$29,MAX(0,(Inputs!$B$3-100)*3)+Inputs!$B$28+Inputs!$B$29)))</f>
        <v/>
      </c>
      <c r="E2680">
        <f>INDEX(FactorTable!$B$2:$Y$301, MATCH(ROUND(MIN(300,MAX(1,D2680)),0), FactorTable!$A$2:$A$301,0), Skills!M10+1)</f>
        <v/>
      </c>
      <c r="F2680">
        <f>IF(Skills!N10=TRUE,(Skills!L10/10)*(E2680/1000),Skills!L10/10)+Skills!O10</f>
        <v/>
      </c>
      <c r="G2680">
        <f>Skills!G10*IF(Skills!H10&gt;0,Skills!I10/Skills!H10,1)</f>
        <v/>
      </c>
      <c r="H2680">
        <f>1-(1-Skills!J10/100)^Skills!K10</f>
        <v/>
      </c>
      <c r="I2680" t="inlineStr">
        <is>
          <t>1</t>
        </is>
      </c>
      <c r="J2680" t="inlineStr"/>
      <c r="K2680" t="inlineStr"/>
      <c r="L2680" t="inlineStr"/>
      <c r="M2680" t="inlineStr"/>
      <c r="N2680" t="inlineStr"/>
      <c r="O2680">
        <f>(1-Summary!$B$11)*T2680+Summary!$B$11*V2680</f>
        <v/>
      </c>
      <c r="P2680">
        <f>IF(B2715=0,0,O2680/B2715)</f>
        <v/>
      </c>
      <c r="Q2680">
        <f>IFERROR(1/IF(Inputs!$B$39="pvp",15,MAX(0.1,Skills!D10-IF(Skills!E10=TRUE,Inputs!$B$32,0))),0)</f>
        <v/>
      </c>
      <c r="R2680">
        <f>IF(AND(Inputs!$B$39&lt;&gt;"pvp",Inputs!$B$44&gt;0),IF(Inputs!$B$44&lt;=0,0,(INT(Inputs!$B$44/IF(Inputs!$B$39="pvp",15,MAX(0.1,Skills!D10-IF(Skills!E10=TRUE,Inputs!$B$32,0))))+1)),0)</f>
        <v/>
      </c>
      <c r="S2680">
        <f>IFERROR(O2680/N2680,0)</f>
        <v/>
      </c>
      <c r="T2680" t="n">
        <v>0</v>
      </c>
      <c r="V2680" t="n">
        <v>0</v>
      </c>
    </row>
    <row r="2681">
      <c r="A2681">
        <f>Skills!A11</f>
        <v/>
      </c>
      <c r="B2681">
        <f>Skills!B11</f>
        <v/>
      </c>
      <c r="C2681">
        <f>Inputs!$B$3&gt;=103</f>
        <v/>
      </c>
      <c r="D2681">
        <f>IF(Skills!C11=1,60+Inputs!$B$25+Inputs!$B$29,IF(Skills!C11=2,90+Inputs!$B$26+Inputs!$B$29,IF(Skills!C11=3,120+Inputs!$B$27+Inputs!$B$29,MAX(0,(Inputs!$B$3-100)*3)+Inputs!$B$28+Inputs!$B$29)))</f>
        <v/>
      </c>
      <c r="E2681">
        <f>INDEX(FactorTable!$B$2:$Y$301, MATCH(ROUND(MIN(300,MAX(1,D2681)),0), FactorTable!$A$2:$A$301,0), Skills!M11+1)</f>
        <v/>
      </c>
      <c r="F2681">
        <f>(Skills!L11/10)*(E2681/1000)+IF(Inputs!$B$3&gt;=134,50,0)+0.5*(30000/10)*(INDEX(FactorTable!$B$2:$Y$301, MATCH(ROUND(MIN(300,MAX(1,D2681)),0), FactorTable!$A$2:$A$301,0), 13)/1000)*B2713</f>
        <v/>
      </c>
      <c r="G2681">
        <f>Skills!G11*IF(Skills!H11&gt;0,Skills!I11/Skills!H11,1)</f>
        <v/>
      </c>
      <c r="H2681">
        <f>1-(1-Skills!J11/100)^Skills!K11</f>
        <v/>
      </c>
      <c r="I2681" t="inlineStr">
        <is>
          <t>1</t>
        </is>
      </c>
      <c r="J2681">
        <f>((Inputs!$B$6*(1+Inputs!$B$7/100))+(((Inputs!$B$12*(1+Inputs!$B$13/100))-(Inputs!$B$12*(1+Inputs!$B$13/100)))+0.25*(Inputs!$B$14-Inputs!$B$14))*(1+Inputs!$B$7/100))*(F2681/100)</f>
        <v/>
      </c>
      <c r="K2681">
        <f>J2681*(1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2681)</f>
        <v/>
      </c>
      <c r="L2681">
        <f>K2681*(MIN(Inputs!$B$22+((C2694=TRUE)*(F2694-Calc!F24)),(Inputs!$B$23+((C2699=TRUE)*(F2699-Calc!F29))+IF(ArtifactsInput!$M$15,CHOOSE(ArtifactsInput!$N$15+1,25,30,35,40,45,50)/100*(Inputs!$B$11-Inputs!$B$11),0)))/100+(Inputs!$B$23+((C2699=TRUE)*(F2699-Calc!F29))+IF(ArtifactsInput!$M$15,CHOOSE(ArtifactsInput!$N$15+1,25,30,35,40,45,50)/100*(Inputs!$B$11-Inputs!$B$11),0))/100)/2</f>
        <v/>
      </c>
      <c r="M2681">
        <f>L2681*(1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IF(B2715=0,0,O2681/B2715)</f>
        <v/>
      </c>
      <c r="Q2681">
        <f>IFERROR(1/IF(Inputs!$B$39="pvp",15,MAX(0.1,Skills!D11-IF(Skills!E11=TRUE,Inputs!$B$32,0))),0)</f>
        <v/>
      </c>
      <c r="R2681">
        <f>IF(AND(Inputs!$B$39&lt;&gt;"pvp",Inputs!$B$44&gt;0),IF(MAX(0,Inputs!$B$44-B2714)&lt;=0,0,(INT(MAX(0,Inputs!$B$44-B2714)/IF(Inputs!$B$39="pvp",15,MAX(0.1,Skills!D11-IF(Skills!E11=TRUE,Inputs!$B$32,0))))+1)),0)</f>
        <v/>
      </c>
      <c r="S2681">
        <f>IFERROR(O2681/N2681,0)</f>
        <v/>
      </c>
      <c r="T2681">
        <f>IF(C2681,(H2681*N2681*IF(AND(Inputs!$B$39&lt;&gt;"pvp",Inputs!$B$44&gt;0),((Skills!G11*((R2681-1)*IF(Skills!H11&gt;0,Skills!I11/Skills!H11,1)+IF(Skills!H11&gt;0,MIN(Skills!I11,MAX(0,MAX(0,Inputs!$B$44-B2714)-((R2681-1)*IF(Inputs!$B$39="pvp",15,MAX(0.1,Skills!D11-IF(Skills!E11=TRUE,Inputs!$B$32,0))))))/Skills!H11,1)))/Inputs!$B$44),G2681*Q2681))*IF(Inputs!$B$39="pvp",1,1+(Inputs!$B$20+0+Skills!P11+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2681*(1-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11*((R2681-1)*IF(Skills!H11&gt;0,Skills!I11/Skills!H11,1)+IF(Skills!H11&gt;0,MIN(Skills!I11,MAX(0,MAX(0,Inputs!$B$44-B2714)-((R2681-1)*IF(Inputs!$B$39="pvp",15,MAX(0.1,Skills!D11-IF(Skills!E11=TRUE,Inputs!$B$32,0))))))/Skills!H11,1)))/Inputs!$B$44),G2681*Q2681))*IF(Inputs!$B$39="pvp",1,(1+(Inputs!$B$21+Skills!Q11+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Skills!A12</f>
        <v/>
      </c>
      <c r="B2682">
        <f>Skills!B12</f>
        <v/>
      </c>
      <c r="C2682">
        <f>Inputs!$B$3&gt;=105</f>
        <v/>
      </c>
      <c r="D2682">
        <f>IF(Skills!C12=1,60+Inputs!$B$25+Inputs!$B$29,IF(Skills!C12=2,90+Inputs!$B$26+Inputs!$B$29,IF(Skills!C12=3,120+Inputs!$B$27+Inputs!$B$29,MAX(0,(Inputs!$B$3-100)*3)+Inputs!$B$28+Inputs!$B$29)))</f>
        <v/>
      </c>
      <c r="E2682">
        <f>INDEX(FactorTable!$B$2:$Y$301, MATCH(ROUND(MIN(300,MAX(1,D2682)),0), FactorTable!$A$2:$A$301,0), Skills!M12+1)</f>
        <v/>
      </c>
      <c r="F2682">
        <f>IF(Skills!N12=TRUE,(Skills!L12/10)*(E2682/1000),Skills!L12/10)+Skills!O12</f>
        <v/>
      </c>
      <c r="G2682">
        <f>Skills!G12*IF(Skills!H12&gt;0,Skills!I12/Skills!H12,1)</f>
        <v/>
      </c>
      <c r="H2682">
        <f>1-(1-Skills!J12/100)^Skills!K12</f>
        <v/>
      </c>
      <c r="I2682" t="inlineStr">
        <is>
          <t>1</t>
        </is>
      </c>
      <c r="J2682">
        <f>((Inputs!$B$6*(1+Inputs!$B$7/100))+(((Inputs!$B$12*(1+Inputs!$B$13/100))-(Inputs!$B$12*(1+Inputs!$B$13/100)))+0.25*(Inputs!$B$14-Inputs!$B$14))*(1+Inputs!$B$7/100))*(F2682/100)</f>
        <v/>
      </c>
      <c r="K2682">
        <f>J2682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2682)</f>
        <v/>
      </c>
      <c r="L2682">
        <f>K2682*(MIN(Inputs!$B$22+((C2694=TRUE)*(F2694-Calc!F24)),(Inputs!$B$23+((C2699=TRUE)*(F2699-Calc!F29))+IF(ArtifactsInput!$M$15,CHOOSE(ArtifactsInput!$N$15+1,25,30,35,40,45,50)/100*(Inputs!$B$11-Inputs!$B$11),0)))/100+(Inputs!$B$23+((C2699=TRUE)*(F2699-Calc!F29))+IF(ArtifactsInput!$M$15,CHOOSE(ArtifactsInput!$N$15+1,25,30,35,40,45,50)/100*(Inputs!$B$11-Inputs!$B$11),0))/100)/2</f>
        <v/>
      </c>
      <c r="M2682">
        <f>L2682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IF(B2715=0,0,O2682/B2715)</f>
        <v/>
      </c>
      <c r="Q2682">
        <f>IFERROR(1/IF(Inputs!$B$39="pvp",15,MAX(0.1,Skills!D12-IF(Skills!E12=TRUE,Inputs!$B$32,0))),0)</f>
        <v/>
      </c>
      <c r="R2682">
        <f>IF(AND(Inputs!$B$39&lt;&gt;"pvp",Inputs!$B$44&gt;0),IF(MAX(0,Inputs!$B$44-B2714)&lt;=0,0,(INT(MAX(0,Inputs!$B$44-B2714)/IF(Inputs!$B$39="pvp",15,MAX(0.1,Skills!D12-IF(Skills!E12=TRUE,Inputs!$B$32,0))))+1)),0)</f>
        <v/>
      </c>
      <c r="S2682">
        <f>IFERROR(O2682/N2682,0)</f>
        <v/>
      </c>
      <c r="T2682">
        <f>IF(C2682,(H2682*N2682*IF(AND(Inputs!$B$39&lt;&gt;"pvp",Inputs!$B$44&gt;0),((Skills!G12*((R2682-1)*IF(Skills!H12&gt;0,Skills!I12/Skills!H12,1)+IF(Skills!H12&gt;0,MIN(Skills!I12,MAX(0,MAX(0,Inputs!$B$44-B2714)-((R2682-1)*IF(Inputs!$B$39="pvp",15,MAX(0.1,Skills!D12-IF(Skills!E12=TRUE,Inputs!$B$32,0))))))/Skills!H12,1)))/Inputs!$B$44),G2682*Q2682))*IF(Inputs!$B$39="pvp",1,1+(Inputs!$B$20+0+Skills!P12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2682*(1-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12*((R2682-1)*IF(Skills!H12&gt;0,Skills!I12/Skills!H12,1)+IF(Skills!H12&gt;0,MIN(Skills!I12,MAX(0,MAX(0,Inputs!$B$44-B2714)-((R2682-1)*IF(Inputs!$B$39="pvp",15,MAX(0.1,Skills!D12-IF(Skills!E12=TRUE,Inputs!$B$32,0))))))/Skills!H12,1)))/Inputs!$B$44),G2682*Q2682))*IF(Inputs!$B$39="pvp",1,(1+(Inputs!$B$21+Skills!Q12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Skills!A13</f>
        <v/>
      </c>
      <c r="B2683">
        <f>Skills!B13</f>
        <v/>
      </c>
      <c r="C2683">
        <f>Inputs!$B$3&gt;=105</f>
        <v/>
      </c>
      <c r="D2683">
        <f>IF(Skills!C13=1,60+Inputs!$B$25+Inputs!$B$29,IF(Skills!C13=2,90+Inputs!$B$26+Inputs!$B$29,IF(Skills!C13=3,120+Inputs!$B$27+Inputs!$B$29,MAX(0,(Inputs!$B$3-100)*3)+Inputs!$B$28+Inputs!$B$29)))</f>
        <v/>
      </c>
      <c r="E2683">
        <f>INDEX(FactorTable!$B$2:$Y$301, MATCH(ROUND(MIN(300,MAX(1,D2683)),0), FactorTable!$A$2:$A$301,0), Skills!M13+1)</f>
        <v/>
      </c>
      <c r="F2683">
        <f>IF(Skills!N13=TRUE,(Skills!L13/10)*(E2683/1000),Skills!L13/10)+Skills!O13</f>
        <v/>
      </c>
      <c r="G2683">
        <f>Skills!G13*IF(Skills!H13&gt;0,Skills!I13/Skills!H13,1)</f>
        <v/>
      </c>
      <c r="H2683">
        <f>1-(1-Skills!J13/100)^Skills!K13</f>
        <v/>
      </c>
      <c r="I2683" t="inlineStr">
        <is>
          <t>1</t>
        </is>
      </c>
      <c r="J2683">
        <f>((Inputs!$B$6*(1+Inputs!$B$7/100))+(((Inputs!$B$12*(1+Inputs!$B$13/100))-(Inputs!$B$12*(1+Inputs!$B$13/100)))+0.25*(Inputs!$B$14-Inputs!$B$14))*(1+Inputs!$B$7/100))*(F2683/100)</f>
        <v/>
      </c>
      <c r="K2683">
        <f>J2683*(1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2683)</f>
        <v/>
      </c>
      <c r="L2683">
        <f>K2683*(MIN(Inputs!$B$22+((C2694=TRUE)*(F2694-Calc!F24)),(Inputs!$B$23+((C2699=TRUE)*(F2699-Calc!F29))+IF(ArtifactsInput!$M$15,CHOOSE(ArtifactsInput!$N$15+1,25,30,35,40,45,50)/100*(Inputs!$B$11-Inputs!$B$11),0)))/100+(Inputs!$B$23+((C2699=TRUE)*(F2699-Calc!F29))+IF(ArtifactsInput!$M$15,CHOOSE(ArtifactsInput!$N$15+1,25,30,35,40,45,50)/100*(Inputs!$B$11-Inputs!$B$11),0))/100)/2</f>
        <v/>
      </c>
      <c r="M2683">
        <f>L2683*(1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IF(B2715=0,0,O2683/B2715)</f>
        <v/>
      </c>
      <c r="Q2683">
        <f>IFERROR(1/IF(Inputs!$B$39="pvp",15,MAX(0.1,Skills!D13-IF(Skills!E13=TRUE,Inputs!$B$32,0))),0)</f>
        <v/>
      </c>
      <c r="R2683">
        <f>IF(AND(Inputs!$B$39&lt;&gt;"pvp",Inputs!$B$44&gt;0),IF(MAX(0,Inputs!$B$44-B2714)&lt;=0,0,(INT(MAX(0,Inputs!$B$44-B2714)/IF(Inputs!$B$39="pvp",15,MAX(0.1,Skills!D13-IF(Skills!E13=TRUE,Inputs!$B$32,0))))+1)),0)</f>
        <v/>
      </c>
      <c r="S2683">
        <f>IFERROR(O2683/N2683,0)</f>
        <v/>
      </c>
      <c r="T2683">
        <f>IF(C2683,(H2683*N2683*IF(AND(Inputs!$B$39&lt;&gt;"pvp",Inputs!$B$44&gt;0),((Skills!G13*((R2683-1)*IF(Skills!H13&gt;0,Skills!I13/Skills!H13,1)+IF(Skills!H13&gt;0,MIN(Skills!I13,MAX(0,MAX(0,Inputs!$B$44-B2714)-((R2683-1)*IF(Inputs!$B$39="pvp",15,MAX(0.1,Skills!D13-IF(Skills!E13=TRUE,Inputs!$B$32,0))))))/Skills!H13,1)))/Inputs!$B$44),G2683*Q2683))*IF(Inputs!$B$39="pvp",1,1+(Inputs!$B$20+0+Skills!P13+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2683*(1-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13*((R2683-1)*IF(Skills!H13&gt;0,Skills!I13/Skills!H13,1)+IF(Skills!H13&gt;0,MIN(Skills!I13,MAX(0,MAX(0,Inputs!$B$44-B2714)-((R2683-1)*IF(Inputs!$B$39="pvp",15,MAX(0.1,Skills!D13-IF(Skills!E13=TRUE,Inputs!$B$32,0))))))/Skills!H13,1)))/Inputs!$B$44),G2683*Q2683))*IF(Inputs!$B$39="pvp",1,(1+(Inputs!$B$21+Skills!Q13+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Skills!A14</f>
        <v/>
      </c>
      <c r="B2684">
        <f>Skills!B14</f>
        <v/>
      </c>
      <c r="C2684">
        <f>Inputs!$B$3&gt;=107</f>
        <v/>
      </c>
      <c r="D2684">
        <f>IF(Skills!C14=1,60+Inputs!$B$25+Inputs!$B$29,IF(Skills!C14=2,90+Inputs!$B$26+Inputs!$B$29,IF(Skills!C14=3,120+Inputs!$B$27+Inputs!$B$29,MAX(0,(Inputs!$B$3-100)*3)+Inputs!$B$28+Inputs!$B$29)))</f>
        <v/>
      </c>
      <c r="E2684">
        <f>INDEX(FactorTable!$B$2:$Y$301, MATCH(ROUND(MIN(300,MAX(1,D2684)),0), FactorTable!$A$2:$A$301,0), Skills!M14+1)</f>
        <v/>
      </c>
      <c r="F2684">
        <f>IF(Skills!N14=TRUE,(Skills!L14/10)*(E2684/1000),Skills!L14/10)+Skills!O14</f>
        <v/>
      </c>
      <c r="G2684">
        <f>Skills!G14*IF(Skills!H14&gt;0,Skills!I14/Skills!H14,1)</f>
        <v/>
      </c>
      <c r="H2684">
        <f>1-(1-Skills!J14/100)^Skills!K14</f>
        <v/>
      </c>
      <c r="I2684" t="inlineStr">
        <is>
          <t>1</t>
        </is>
      </c>
      <c r="J2684">
        <f>((Inputs!$B$6*(1+Inputs!$B$7/100))+(((Inputs!$B$12*(1+Inputs!$B$13/100))-(Inputs!$B$12*(1+Inputs!$B$13/100)))+0.25*(Inputs!$B$14-Inputs!$B$14))*(1+Inputs!$B$7/100))*(F2684/100)</f>
        <v/>
      </c>
      <c r="K2684">
        <f>J2684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2684)</f>
        <v/>
      </c>
      <c r="L2684">
        <f>K2684*(MIN(Inputs!$B$22+((C2694=TRUE)*(F2694-Calc!F24)),(Inputs!$B$23+((C2699=TRUE)*(F2699-Calc!F29))+IF(ArtifactsInput!$M$15,CHOOSE(ArtifactsInput!$N$15+1,25,30,35,40,45,50)/100*(Inputs!$B$11-Inputs!$B$11),0)))/100+(Inputs!$B$23+((C2699=TRUE)*(F2699-Calc!F29))+IF(ArtifactsInput!$M$15,CHOOSE(ArtifactsInput!$N$15+1,25,30,35,40,45,50)/100*(Inputs!$B$11-Inputs!$B$11),0))/100)/2</f>
        <v/>
      </c>
      <c r="M2684">
        <f>L2684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4">
        <f>L2684*(1-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IF(B2715=0,0,O2684/B2715)</f>
        <v/>
      </c>
      <c r="Q2684">
        <f>IFERROR(1/IF(Inputs!$B$39="pvp",15,MAX(0.1,Skills!D14-IF(Skills!E14=TRUE,Inputs!$B$32,0))),0)</f>
        <v/>
      </c>
      <c r="R2684">
        <f>IF(AND(Inputs!$B$39&lt;&gt;"pvp",Inputs!$B$44&gt;0),IF(MAX(0,Inputs!$B$44-B2714)&lt;=0,0,(INT(MAX(0,Inputs!$B$44-B2714)/IF(Inputs!$B$39="pvp",15,MAX(0.1,Skills!D14-IF(Skills!E14=TRUE,Inputs!$B$32,0))))+1)),0)</f>
        <v/>
      </c>
      <c r="S2684">
        <f>IFERROR(O2684/N2684,0)</f>
        <v/>
      </c>
      <c r="T2684">
        <f>IF(C2684,(H2684*N2684*IF(AND(Inputs!$B$39&lt;&gt;"pvp",Inputs!$B$44&gt;0),((Skills!G14*((R2684-1)*IF(Skills!H14&gt;0,Skills!I14/Skills!H14,1)+IF(Skills!H14&gt;0,MIN(Skills!I14,MAX(0,MAX(0,Inputs!$B$44-B2714)-((R2684-1)*IF(Inputs!$B$39="pvp",15,MAX(0.1,Skills!D14-IF(Skills!E14=TRUE,Inputs!$B$32,0))))))/Skills!H14,1)))/Inputs!$B$44),G2684*Q2684))*IF(Inputs!$B$39="pvp",1,1+(Inputs!$B$20+0+Skills!P14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2684*(1-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14*((R2684-1)*IF(Skills!H14&gt;0,Skills!I14/Skills!H14,1)+IF(Skills!H14&gt;0,MIN(Skills!I14,MAX(0,MAX(0,Inputs!$B$44-B2714)-((R2684-1)*IF(Inputs!$B$39="pvp",15,MAX(0.1,Skills!D14-IF(Skills!E14=TRUE,Inputs!$B$32,0))))))/Skills!H14,1)))/Inputs!$B$44),G2684*Q2684))*IF(Inputs!$B$39="pvp",1,(1+(Inputs!$B$21+Skills!Q14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(5,0.25*B2707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Skills!A15</f>
        <v/>
      </c>
      <c r="B2685">
        <f>Skills!B15</f>
        <v/>
      </c>
      <c r="C2685">
        <f>Inputs!$B$3&gt;=110</f>
        <v/>
      </c>
      <c r="D2685">
        <f>IF(Skills!C15=1,60+Inputs!$B$25+Inputs!$B$29,IF(Skills!C15=2,90+Inputs!$B$26+Inputs!$B$29,IF(Skills!C15=3,120+Inputs!$B$27+Inputs!$B$29,MAX(0,(Inputs!$B$3-100)*3)+Inputs!$B$28+Inputs!$B$29)))</f>
        <v/>
      </c>
      <c r="E2685">
        <f>INDEX(FactorTable!$B$2:$Y$301, MATCH(ROUND(MIN(300,MAX(1,D2685)),0), FactorTable!$A$2:$A$301,0), Skills!M15+1)</f>
        <v/>
      </c>
      <c r="F2685">
        <f>IF(Skills!N15=TRUE,(Skills!L15/10)*(E2685/1000),Skills!L15/10)+Skills!O15</f>
        <v/>
      </c>
      <c r="G2685">
        <f>Skills!G15*IF(Skills!H15&gt;0,Skills!I15/Skills!H15,1)</f>
        <v/>
      </c>
      <c r="H2685">
        <f>1-(1-Skills!J15/100)^Skills!K15</f>
        <v/>
      </c>
      <c r="I2685" t="inlineStr">
        <is>
          <t>1</t>
        </is>
      </c>
      <c r="J2685" t="inlineStr"/>
      <c r="K2685" t="inlineStr"/>
      <c r="L2685" t="inlineStr"/>
      <c r="M2685" t="inlineStr"/>
      <c r="N2685" t="inlineStr"/>
      <c r="O2685">
        <f>(1-Summary!$B$11)*T2685+Summary!$B$11*V2685</f>
        <v/>
      </c>
      <c r="P2685">
        <f>IF(B2715=0,0,O2685/B2715)</f>
        <v/>
      </c>
      <c r="Q2685">
        <f>IFERROR(1/IF(Inputs!$B$39="pvp",15,MAX(0.1,Skills!D15-IF(Skills!E15=TRUE,Inputs!$B$32,0))),0)</f>
        <v/>
      </c>
      <c r="R2685">
        <f>IF(AND(Inputs!$B$39&lt;&gt;"pvp",Inputs!$B$44&gt;0),IF(Inputs!$B$44&lt;=0,0,(INT(Inputs!$B$44/IF(Inputs!$B$39="pvp",15,MAX(0.1,Skills!D15-IF(Skills!E15=TRUE,Inputs!$B$32,0))))+1)),0)</f>
        <v/>
      </c>
      <c r="S2685">
        <f>IFERROR(O2685/N2685,0)</f>
        <v/>
      </c>
      <c r="T2685" t="n">
        <v>0</v>
      </c>
      <c r="V2685" t="n">
        <v>0</v>
      </c>
    </row>
    <row r="2686">
      <c r="A2686">
        <f>Skills!A16</f>
        <v/>
      </c>
      <c r="B2686">
        <f>Skills!B16</f>
        <v/>
      </c>
      <c r="C2686">
        <f>Inputs!$B$3&gt;=115</f>
        <v/>
      </c>
      <c r="D2686">
        <f>IF(Skills!C16=1,60+Inputs!$B$25+Inputs!$B$29,IF(Skills!C16=2,90+Inputs!$B$26+Inputs!$B$29,IF(Skills!C16=3,120+Inputs!$B$27+Inputs!$B$29,MAX(0,(Inputs!$B$3-100)*3)+Inputs!$B$28+Inputs!$B$29)))</f>
        <v/>
      </c>
      <c r="E2686">
        <f>INDEX(FactorTable!$B$2:$Y$301, MATCH(ROUND(MIN(300,MAX(1,D2686)),0), FactorTable!$A$2:$A$301,0), Skills!M16+1)</f>
        <v/>
      </c>
      <c r="F2686">
        <f>IF(Skills!N16=TRUE,(Skills!L16/10)*(E2686/1000),Skills!L16/10)+Skills!O16</f>
        <v/>
      </c>
      <c r="G2686">
        <f>Skills!G16*IF(Skills!H16&gt;0,Skills!I16/Skills!H16,1)</f>
        <v/>
      </c>
      <c r="H2686">
        <f>1-(1-Skills!J16/100)^Skills!K16</f>
        <v/>
      </c>
      <c r="I2686" t="inlineStr">
        <is>
          <t>1</t>
        </is>
      </c>
      <c r="J2686">
        <f>((Inputs!$B$6*(1+Inputs!$B$7/100))+(((Inputs!$B$12*(1+Inputs!$B$13/100))-(Inputs!$B$12*(1+Inputs!$B$13/100)))+0.25*(Inputs!$B$14-Inputs!$B$14))*(1+Inputs!$B$7/100))*(F2686/100)</f>
        <v/>
      </c>
      <c r="K2686">
        <f>J2686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2697=TRUE)*(F2697-Calc!F27))+((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2686)</f>
        <v/>
      </c>
      <c r="L2686">
        <f>K2686*(MIN(Inputs!$B$22+((C2694=TRUE)*(F2694-Calc!F24)),(Inputs!$B$23+((C2699=TRUE)*(F2699-Calc!F29))+IF(ArtifactsInput!$M$15,CHOOSE(ArtifactsInput!$N$15+1,25,30,35,40,45,50)/100*(Inputs!$B$11-Inputs!$B$11),0)))/100+(Inputs!$B$23+((C2699=TRUE)*(F2699-Calc!F29))+IF(ArtifactsInput!$M$15,CHOOSE(ArtifactsInput!$N$15+1,25,30,35,40,45,50)/100*(Inputs!$B$11-Inputs!$B$11),0))/100)/2</f>
        <v/>
      </c>
      <c r="M2686">
        <f>L2686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IF(B2715=0,0,O2686/B2715)</f>
        <v/>
      </c>
      <c r="Q2686" t="n">
        <v>0</v>
      </c>
      <c r="R2686" t="n">
        <v>0</v>
      </c>
      <c r="S2686">
        <f>IFERROR(O2686/N2686,0)</f>
        <v/>
      </c>
      <c r="T2686">
        <f>IF(C2686,(Inputs!$B$38*0.2*N2686)*IF(Inputs!$B$39="pvp",1,1+(Inputs!$B$20+0+Skills!P16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2686*(1-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2695=TRUE)*(F2695-Calc!F25))+B2703+(ArtifactsInput!$M$24-ArtifactsInput!$M$24)*CHOOSE(ArtifactsInput!$N$24+1,10,12,14,16,18,20)+(IF(AND(Inputs!$B$39&lt;&gt;"pvp",Inputs!$B$44=0),1,IF(IF(Inputs!$B$39="pvp",15,Inputs!$B$44)-(B2714)&lt;=0,1,MAX(0,IF(Inputs!$B$39="pvp",15,Inputs!$B$44)-MAX(5,B2714))/(IF(Inputs!$B$39="pvp",15,Inputs!$B$44)-(B2714))))*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Skills!A17</f>
        <v/>
      </c>
      <c r="B2687">
        <f>Skills!B17</f>
        <v/>
      </c>
      <c r="C2687">
        <f>Inputs!$B$3&gt;=115</f>
        <v/>
      </c>
      <c r="D2687">
        <f>IF(Skills!C17=1,60+Inputs!$B$25+Inputs!$B$29,IF(Skills!C17=2,90+Inputs!$B$26+Inputs!$B$29,IF(Skills!C17=3,120+Inputs!$B$27+Inputs!$B$29,MAX(0,(Inputs!$B$3-100)*3)+Inputs!$B$28+Inputs!$B$29)))</f>
        <v/>
      </c>
      <c r="E2687">
        <f>INDEX(FactorTable!$B$2:$Y$301, MATCH(ROUND(MIN(300,MAX(1,D2687)),0), FactorTable!$A$2:$A$301,0), Skills!M17+1)</f>
        <v/>
      </c>
      <c r="F2687">
        <f>IF(Skills!N17=TRUE,(Skills!L17/10)*(E2687/1000),Skills!L17/10)+Skills!O17</f>
        <v/>
      </c>
      <c r="G2687">
        <f>Skills!G17*IF(Skills!H17&gt;0,Skills!I17/Skills!H17,1)</f>
        <v/>
      </c>
      <c r="H2687">
        <f>1-(1-Skills!J17/100)^Skills!K17</f>
        <v/>
      </c>
      <c r="I2687" t="inlineStr">
        <is>
          <t>1</t>
        </is>
      </c>
      <c r="J2687" t="inlineStr"/>
      <c r="K2687" t="inlineStr"/>
      <c r="L2687" t="inlineStr"/>
      <c r="M2687" t="inlineStr"/>
      <c r="N2687" t="inlineStr"/>
      <c r="O2687">
        <f>(1-Summary!$B$11)*T2687+Summary!$B$11*V2687</f>
        <v/>
      </c>
      <c r="P2687">
        <f>IF(B2715=0,0,O2687/B2715)</f>
        <v/>
      </c>
      <c r="Q2687" t="n">
        <v>0</v>
      </c>
      <c r="R2687" t="n">
        <v>0</v>
      </c>
      <c r="S2687">
        <f>IFERROR(O2687/N2687,0)</f>
        <v/>
      </c>
      <c r="T2687" t="n">
        <v>0</v>
      </c>
      <c r="V2687" t="n">
        <v>0</v>
      </c>
    </row>
    <row r="2688">
      <c r="A2688">
        <f>Skills!A18</f>
        <v/>
      </c>
      <c r="B2688">
        <f>Skills!B18</f>
        <v/>
      </c>
      <c r="C2688">
        <f>Inputs!$B$3&gt;=100</f>
        <v/>
      </c>
      <c r="D2688">
        <f>IF(Skills!C18=1,60+Inputs!$B$25+Inputs!$B$29,IF(Skills!C18=2,90+Inputs!$B$26+Inputs!$B$29,IF(Skills!C18=3,120+Inputs!$B$27+Inputs!$B$29,MAX(0,(Inputs!$B$3-100)*3)+Inputs!$B$28+Inputs!$B$29)))</f>
        <v/>
      </c>
      <c r="E2688">
        <f>INDEX(FactorTable!$B$2:$Y$301, MATCH(ROUND(MIN(300,MAX(1,D2688)),0), FactorTable!$A$2:$A$301,0), Skills!M18+1)</f>
        <v/>
      </c>
      <c r="F2688">
        <f>IF(Skills!N18=TRUE,(Skills!L18/10)*(E2688/1000),Skills!L18/10)+Skills!O18</f>
        <v/>
      </c>
      <c r="G2688">
        <f>Skills!G18*IF(Skills!H18&gt;0,Skills!I18/Skills!H18,1)</f>
        <v/>
      </c>
      <c r="H2688">
        <f>1-(1-Skills!J18/100)^Skills!K18</f>
        <v/>
      </c>
      <c r="I2688" t="inlineStr">
        <is>
          <t>1</t>
        </is>
      </c>
      <c r="J2688" t="inlineStr"/>
      <c r="K2688" t="inlineStr"/>
      <c r="L2688" t="inlineStr"/>
      <c r="M2688" t="inlineStr"/>
      <c r="N2688" t="inlineStr"/>
      <c r="O2688">
        <f>(1-Summary!$B$11)*T2688+Summary!$B$11*V2688</f>
        <v/>
      </c>
      <c r="P2688">
        <f>IF(B2715=0,0,O2688/B2715)</f>
        <v/>
      </c>
      <c r="Q2688" t="n">
        <v>0</v>
      </c>
      <c r="R2688" t="n">
        <v>0</v>
      </c>
      <c r="S2688">
        <f>IFERROR(O2688/N2688,0)</f>
        <v/>
      </c>
      <c r="T2688" t="n">
        <v>0</v>
      </c>
      <c r="V2688" t="n">
        <v>0</v>
      </c>
    </row>
    <row r="2689">
      <c r="A2689">
        <f>Skills!A19</f>
        <v/>
      </c>
      <c r="B2689">
        <f>Skills!B19</f>
        <v/>
      </c>
      <c r="C2689">
        <f>TRUE</f>
        <v/>
      </c>
      <c r="D2689">
        <f>IF(Skills!C19=1,60+Inputs!$B$25+Inputs!$B$29,IF(Skills!C19=2,90+Inputs!$B$26+Inputs!$B$29,IF(Skills!C19=3,120+Inputs!$B$27+Inputs!$B$29,MAX(0,(Inputs!$B$3-100)*3)+Inputs!$B$28+Inputs!$B$29)))</f>
        <v/>
      </c>
      <c r="E2689">
        <f>INDEX(FactorTable!$B$2:$Y$301, MATCH(ROUND(MIN(300,MAX(1,D2689)),0), FactorTable!$A$2:$A$301,0), Skills!M19+1)</f>
        <v/>
      </c>
      <c r="F2689">
        <f>IF(Skills!N19=TRUE,(Skills!L19/10)*(E2689/1000),Skills!L19/10)+Skills!O19</f>
        <v/>
      </c>
      <c r="G2689">
        <f>Skills!G19*IF(Skills!H19&gt;0,Skills!I19/Skills!H19,1)</f>
        <v/>
      </c>
      <c r="H2689">
        <f>1-(1-Skills!J19/100)^Skills!K19</f>
        <v/>
      </c>
      <c r="I2689" t="inlineStr">
        <is>
          <t>1</t>
        </is>
      </c>
      <c r="J2689" t="inlineStr"/>
      <c r="K2689" t="inlineStr"/>
      <c r="L2689" t="inlineStr"/>
      <c r="M2689" t="inlineStr"/>
      <c r="N2689" t="inlineStr"/>
      <c r="O2689">
        <f>(1-Summary!$B$11)*T2689+Summary!$B$11*V2689</f>
        <v/>
      </c>
      <c r="P2689">
        <f>IF(B2715=0,0,O2689/B2715)</f>
        <v/>
      </c>
      <c r="Q2689">
        <f>IFERROR(1/IF(Inputs!$B$39="pvp",15,MAX(0.1,Skills!D19-IF(Skills!E19=TRUE,Inputs!$B$32,0))),0)</f>
        <v/>
      </c>
      <c r="R2689">
        <f>IF(AND(Inputs!$B$39&lt;&gt;"pvp",Inputs!$B$44&gt;0),IF(Inputs!$B$44&lt;=0,0,(INT(Inputs!$B$44/IF(Inputs!$B$39="pvp",15,MAX(0.1,Skills!D19-IF(Skills!E19=TRUE,Inputs!$B$32,0))))+1)),0)</f>
        <v/>
      </c>
      <c r="S2689">
        <f>IFERROR(O2689/N2689,0)</f>
        <v/>
      </c>
      <c r="T2689" t="n">
        <v>0</v>
      </c>
      <c r="V2689" t="n">
        <v>0</v>
      </c>
    </row>
    <row r="2690">
      <c r="A2690">
        <f>Skills!A20</f>
        <v/>
      </c>
      <c r="B2690">
        <f>Skills!B20</f>
        <v/>
      </c>
      <c r="C2690">
        <f>Inputs!$B$3&gt;=15</f>
        <v/>
      </c>
      <c r="D2690">
        <f>IF(Skills!C20=1,60+Inputs!$B$25+Inputs!$B$29,IF(Skills!C20=2,90+Inputs!$B$26+Inputs!$B$29,IF(Skills!C20=3,120+Inputs!$B$27+Inputs!$B$29,MAX(0,(Inputs!$B$3-100)*3)+Inputs!$B$28+Inputs!$B$29)))</f>
        <v/>
      </c>
      <c r="E2690">
        <f>INDEX(FactorTable!$B$2:$Y$301, MATCH(ROUND(MIN(300,MAX(1,D2690)),0), FactorTable!$A$2:$A$301,0), Skills!M20+1)</f>
        <v/>
      </c>
      <c r="F2690">
        <f>IF(Skills!N20=TRUE,(Skills!L20/10)*(E2690/1000),Skills!L20/10)+Skills!O20</f>
        <v/>
      </c>
      <c r="G2690">
        <f>Skills!G20*IF(Skills!H20&gt;0,Skills!I20/Skills!H20,1)</f>
        <v/>
      </c>
      <c r="H2690">
        <f>1-(1-Skills!J20/100)^Skills!K20</f>
        <v/>
      </c>
      <c r="I2690" t="inlineStr">
        <is>
          <t>1</t>
        </is>
      </c>
      <c r="J2690" t="inlineStr"/>
      <c r="K2690" t="inlineStr"/>
      <c r="L2690" t="inlineStr"/>
      <c r="M2690" t="inlineStr"/>
      <c r="N2690" t="inlineStr"/>
      <c r="O2690">
        <f>(1-Summary!$B$11)*T2690+Summary!$B$11*V2690</f>
        <v/>
      </c>
      <c r="P2690">
        <f>IF(B2715=0,0,O2690/B2715)</f>
        <v/>
      </c>
      <c r="Q2690">
        <f>IFERROR(1/IF(Inputs!$B$39="pvp",15,MAX(0.1,Skills!D20-IF(Skills!E20=TRUE,Inputs!$B$32,0))),0)</f>
        <v/>
      </c>
      <c r="R2690">
        <f>IF(AND(Inputs!$B$39&lt;&gt;"pvp",Inputs!$B$44&gt;0),IF(Inputs!$B$44&lt;=0,0,(INT(Inputs!$B$44/IF(Inputs!$B$39="pvp",15,MAX(0.1,Skills!D20-IF(Skills!E20=TRUE,Inputs!$B$32,0))))+1)),0)</f>
        <v/>
      </c>
      <c r="S2690">
        <f>IFERROR(O2690/N2690,0)</f>
        <v/>
      </c>
      <c r="T2690" t="n">
        <v>0</v>
      </c>
      <c r="V2690" t="n">
        <v>0</v>
      </c>
    </row>
    <row r="2691">
      <c r="A2691">
        <f>Skills!A21</f>
        <v/>
      </c>
      <c r="B2691">
        <f>Skills!B21</f>
        <v/>
      </c>
      <c r="C2691">
        <f>Inputs!$B$3&gt;=15</f>
        <v/>
      </c>
      <c r="D2691">
        <f>IF(Skills!C21=1,60+Inputs!$B$25+Inputs!$B$29,IF(Skills!C21=2,90+Inputs!$B$26+Inputs!$B$29,IF(Skills!C21=3,120+Inputs!$B$27+Inputs!$B$29,MAX(0,(Inputs!$B$3-100)*3)+Inputs!$B$28+Inputs!$B$29)))</f>
        <v/>
      </c>
      <c r="E2691">
        <f>INDEX(FactorTable!$B$2:$Y$301, MATCH(ROUND(MIN(300,MAX(1,D2691)),0), FactorTable!$A$2:$A$301,0), Skills!M21+1)</f>
        <v/>
      </c>
      <c r="F2691">
        <f>IF(Skills!N21=TRUE,(Skills!L21/10)*(E2691/1000),Skills!L21/10)+Skills!O21</f>
        <v/>
      </c>
      <c r="G2691">
        <f>Skills!G21*IF(Skills!H21&gt;0,Skills!I21/Skills!H21,1)</f>
        <v/>
      </c>
      <c r="H2691">
        <f>1-(1-Skills!J21/100)^Skills!K21</f>
        <v/>
      </c>
      <c r="I2691" t="inlineStr">
        <is>
          <t>1</t>
        </is>
      </c>
      <c r="J2691" t="inlineStr"/>
      <c r="K2691" t="inlineStr"/>
      <c r="L2691" t="inlineStr"/>
      <c r="M2691" t="inlineStr"/>
      <c r="N2691" t="inlineStr"/>
      <c r="O2691">
        <f>(1-Summary!$B$11)*T2691+Summary!$B$11*V2691</f>
        <v/>
      </c>
      <c r="P2691">
        <f>IF(B2715=0,0,O2691/B2715)</f>
        <v/>
      </c>
      <c r="Q2691">
        <f>IFERROR(1/IF(Inputs!$B$39="pvp",15,MAX(0.1,Skills!D21-IF(Skills!E21=TRUE,Inputs!$B$32,0))),0)</f>
        <v/>
      </c>
      <c r="R2691">
        <f>IF(AND(Inputs!$B$39&lt;&gt;"pvp",Inputs!$B$44&gt;0),IF(Inputs!$B$44&lt;=0,0,(INT(Inputs!$B$44/IF(Inputs!$B$39="pvp",15,MAX(0.1,Skills!D21-IF(Skills!E21=TRUE,Inputs!$B$32,0))))+1)),0)</f>
        <v/>
      </c>
      <c r="S2691">
        <f>IFERROR(O2691/N2691,0)</f>
        <v/>
      </c>
      <c r="T2691" t="n">
        <v>0</v>
      </c>
      <c r="V2691" t="n">
        <v>0</v>
      </c>
    </row>
    <row r="2692">
      <c r="A2692">
        <f>Skills!A22</f>
        <v/>
      </c>
      <c r="B2692">
        <f>Skills!B22</f>
        <v/>
      </c>
      <c r="C2692">
        <f>Inputs!$B$3&gt;=33</f>
        <v/>
      </c>
      <c r="D2692">
        <f>IF(Skills!C22=1,60+Inputs!$B$25+Inputs!$B$29,IF(Skills!C22=2,90+Inputs!$B$26+Inputs!$B$29,IF(Skills!C22=3,120+Inputs!$B$27+Inputs!$B$29,MAX(0,(Inputs!$B$3-100)*3)+Inputs!$B$28+Inputs!$B$29)))</f>
        <v/>
      </c>
      <c r="E2692">
        <f>INDEX(FactorTable!$B$2:$Y$301, MATCH(ROUND(MIN(300,MAX(1,D2692)),0), FactorTable!$A$2:$A$301,0), Skills!M22+1)</f>
        <v/>
      </c>
      <c r="F2692">
        <f>IF(Skills!N22=TRUE,(Skills!L22/10)*(E2692/1000),Skills!L22/10)+Skills!O22</f>
        <v/>
      </c>
      <c r="G2692">
        <f>Skills!G22*IF(Skills!H22&gt;0,Skills!I22/Skills!H22,1)</f>
        <v/>
      </c>
      <c r="H2692">
        <f>1-(1-Skills!J22/100)^Skills!K22</f>
        <v/>
      </c>
      <c r="I2692" t="inlineStr">
        <is>
          <t>1</t>
        </is>
      </c>
      <c r="J2692" t="inlineStr"/>
      <c r="K2692" t="inlineStr"/>
      <c r="L2692" t="inlineStr"/>
      <c r="M2692" t="inlineStr"/>
      <c r="N2692" t="inlineStr"/>
      <c r="O2692">
        <f>(1-Summary!$B$11)*T2692+Summary!$B$11*V2692</f>
        <v/>
      </c>
      <c r="P2692">
        <f>IF(B2715=0,0,O2692/B2715)</f>
        <v/>
      </c>
      <c r="Q2692" t="n">
        <v>0</v>
      </c>
      <c r="R2692" t="n">
        <v>0</v>
      </c>
      <c r="S2692">
        <f>IFERROR(O2692/N2692,0)</f>
        <v/>
      </c>
      <c r="T2692" t="n">
        <v>0</v>
      </c>
      <c r="V2692" t="n">
        <v>0</v>
      </c>
    </row>
    <row r="2693">
      <c r="A2693">
        <f>Skills!A23</f>
        <v/>
      </c>
      <c r="B2693">
        <f>Skills!B23</f>
        <v/>
      </c>
      <c r="C2693">
        <f>Inputs!$B$3&gt;=40</f>
        <v/>
      </c>
      <c r="D2693">
        <f>IF(Skills!C23=1,60+Inputs!$B$25+Inputs!$B$29,IF(Skills!C23=2,90+Inputs!$B$26+Inputs!$B$29,IF(Skills!C23=3,120+Inputs!$B$27+Inputs!$B$29,MAX(0,(Inputs!$B$3-100)*3)+Inputs!$B$28+Inputs!$B$29)))</f>
        <v/>
      </c>
      <c r="E2693">
        <f>INDEX(FactorTable!$B$2:$Y$301, MATCH(ROUND(MIN(300,MAX(1,D2693)),0), FactorTable!$A$2:$A$301,0), Skills!M23+1)</f>
        <v/>
      </c>
      <c r="F2693">
        <f>IF(Skills!N23=TRUE,(Skills!L23/10)*(E2693/1000),Skills!L23/10)+Skills!O23</f>
        <v/>
      </c>
      <c r="G2693">
        <f>Skills!G23*IF(Skills!H23&gt;0,Skills!I23/Skills!H23,1)</f>
        <v/>
      </c>
      <c r="H2693">
        <f>1-(1-Skills!J23/100)^Skills!K23</f>
        <v/>
      </c>
      <c r="I2693" t="inlineStr">
        <is>
          <t>1</t>
        </is>
      </c>
      <c r="J2693" t="inlineStr"/>
      <c r="K2693" t="inlineStr"/>
      <c r="L2693" t="inlineStr"/>
      <c r="M2693" t="inlineStr"/>
      <c r="N2693" t="inlineStr"/>
      <c r="O2693">
        <f>(1-Summary!$B$11)*T2693+Summary!$B$11*V2693</f>
        <v/>
      </c>
      <c r="P2693">
        <f>IF(B2715=0,0,O2693/B2715)</f>
        <v/>
      </c>
      <c r="Q2693" t="n">
        <v>0</v>
      </c>
      <c r="R2693" t="n">
        <v>0</v>
      </c>
      <c r="S2693">
        <f>IFERROR(O2693/N2693,0)</f>
        <v/>
      </c>
      <c r="T2693" t="n">
        <v>0</v>
      </c>
      <c r="V2693" t="n">
        <v>0</v>
      </c>
    </row>
    <row r="2694">
      <c r="A2694">
        <f>Skills!A24</f>
        <v/>
      </c>
      <c r="B2694">
        <f>Skills!B24</f>
        <v/>
      </c>
      <c r="C2694">
        <f>Inputs!$B$3&gt;=43</f>
        <v/>
      </c>
      <c r="D2694">
        <f>IF(Skills!C24=1,60+Inputs!$B$25+Inputs!$B$29,IF(Skills!C24=2,90+Inputs!$B$26+Inputs!$B$29,IF(Skills!C24=3,120+Inputs!$B$27+Inputs!$B$29,MAX(0,(Inputs!$B$3-100)*3)+Inputs!$B$28+Inputs!$B$29)))</f>
        <v/>
      </c>
      <c r="E2694">
        <f>INDEX(FactorTable!$B$2:$Y$301, MATCH(ROUND(MIN(300,MAX(1,D2694)),0), FactorTable!$A$2:$A$301,0), Skills!M24+1)</f>
        <v/>
      </c>
      <c r="F2694">
        <f>IF(Skills!N24=TRUE,(Skills!L24/10)*(E2694/1000),Skills!L24/10)+Skills!O24</f>
        <v/>
      </c>
      <c r="G2694">
        <f>Skills!G24*IF(Skills!H24&gt;0,Skills!I24/Skills!H24,1)</f>
        <v/>
      </c>
      <c r="H2694">
        <f>1-(1-Skills!J24/100)^Skills!K24</f>
        <v/>
      </c>
      <c r="I2694" t="inlineStr">
        <is>
          <t>1</t>
        </is>
      </c>
      <c r="J2694" t="inlineStr"/>
      <c r="K2694" t="inlineStr"/>
      <c r="L2694" t="inlineStr"/>
      <c r="M2694" t="inlineStr"/>
      <c r="N2694" t="inlineStr"/>
      <c r="O2694">
        <f>(1-Summary!$B$11)*T2694+Summary!$B$11*V2694</f>
        <v/>
      </c>
      <c r="P2694">
        <f>IF(B2715=0,0,O2694/B2715)</f>
        <v/>
      </c>
      <c r="Q2694" t="n">
        <v>0</v>
      </c>
      <c r="R2694" t="n">
        <v>0</v>
      </c>
      <c r="S2694">
        <f>IFERROR(O2694/N2694,0)</f>
        <v/>
      </c>
      <c r="T2694" t="n">
        <v>0</v>
      </c>
      <c r="V2694" t="n">
        <v>0</v>
      </c>
    </row>
    <row r="2695">
      <c r="A2695">
        <f>Skills!A25</f>
        <v/>
      </c>
      <c r="B2695">
        <f>Skills!B25</f>
        <v/>
      </c>
      <c r="C2695">
        <f>Inputs!$B$3&gt;=50</f>
        <v/>
      </c>
      <c r="D2695">
        <f>IF(Skills!C25=1,60+Inputs!$B$25+Inputs!$B$29,IF(Skills!C25=2,90+Inputs!$B$26+Inputs!$B$29,IF(Skills!C25=3,120+Inputs!$B$27+Inputs!$B$29,MAX(0,(Inputs!$B$3-100)*3)+Inputs!$B$28+Inputs!$B$29)))</f>
        <v/>
      </c>
      <c r="E2695">
        <f>INDEX(FactorTable!$B$2:$Y$301, MATCH(ROUND(MIN(300,MAX(1,D2695)),0), FactorTable!$A$2:$A$301,0), Skills!M25+1)</f>
        <v/>
      </c>
      <c r="F2695">
        <f>IF(Skills!N25=TRUE,(Skills!L25/10)*(E2695/1000),Skills!L25/10)+Skills!O25</f>
        <v/>
      </c>
      <c r="G2695">
        <f>Skills!G25*IF(Skills!H25&gt;0,Skills!I25/Skills!H25,1)</f>
        <v/>
      </c>
      <c r="H2695">
        <f>1-(1-Skills!J25/100)^Skills!K25</f>
        <v/>
      </c>
      <c r="I2695" t="inlineStr">
        <is>
          <t>1</t>
        </is>
      </c>
      <c r="J2695" t="inlineStr"/>
      <c r="K2695" t="inlineStr"/>
      <c r="L2695" t="inlineStr"/>
      <c r="M2695" t="inlineStr"/>
      <c r="N2695" t="inlineStr"/>
      <c r="O2695">
        <f>(1-Summary!$B$11)*T2695+Summary!$B$11*V2695</f>
        <v/>
      </c>
      <c r="P2695">
        <f>IF(B2715=0,0,O2695/B2715)</f>
        <v/>
      </c>
      <c r="Q2695" t="n">
        <v>0</v>
      </c>
      <c r="R2695" t="n">
        <v>0</v>
      </c>
      <c r="S2695">
        <f>IFERROR(O2695/N2695,0)</f>
        <v/>
      </c>
      <c r="T2695" t="n">
        <v>0</v>
      </c>
      <c r="V2695" t="n">
        <v>0</v>
      </c>
    </row>
    <row r="2696">
      <c r="A2696">
        <f>Skills!A26</f>
        <v/>
      </c>
      <c r="B2696">
        <f>Skills!B26</f>
        <v/>
      </c>
      <c r="C2696">
        <f>Inputs!$B$3&gt;=50</f>
        <v/>
      </c>
      <c r="D2696">
        <f>IF(Skills!C26=1,60+Inputs!$B$25+Inputs!$B$29,IF(Skills!C26=2,90+Inputs!$B$26+Inputs!$B$29,IF(Skills!C26=3,120+Inputs!$B$27+Inputs!$B$29,MAX(0,(Inputs!$B$3-100)*3)+Inputs!$B$28+Inputs!$B$29)))</f>
        <v/>
      </c>
      <c r="E2696">
        <f>INDEX(FactorTable!$B$2:$Y$301, MATCH(ROUND(MIN(300,MAX(1,D2696)),0), FactorTable!$A$2:$A$301,0), Skills!M26+1)</f>
        <v/>
      </c>
      <c r="F2696">
        <f>IF(Skills!N26=TRUE,(Skills!L26/10)*(E2696/1000),Skills!L26/10)+Skills!O26</f>
        <v/>
      </c>
      <c r="G2696">
        <f>Skills!G26*IF(Skills!H26&gt;0,Skills!I26/Skills!H26,1)</f>
        <v/>
      </c>
      <c r="H2696">
        <f>1-(1-Skills!J26/100)^Skills!K26</f>
        <v/>
      </c>
      <c r="I2696" t="inlineStr">
        <is>
          <t>1</t>
        </is>
      </c>
      <c r="J2696" t="inlineStr"/>
      <c r="K2696" t="inlineStr"/>
      <c r="L2696" t="inlineStr"/>
      <c r="M2696" t="inlineStr"/>
      <c r="N2696" t="inlineStr"/>
      <c r="O2696">
        <f>(1-Summary!$B$11)*T2696+Summary!$B$11*V2696</f>
        <v/>
      </c>
      <c r="P2696">
        <f>IF(B2715=0,0,O2696/B2715)</f>
        <v/>
      </c>
      <c r="Q2696" t="n">
        <v>0</v>
      </c>
      <c r="R2696" t="n">
        <v>0</v>
      </c>
      <c r="S2696">
        <f>IFERROR(O2696/N2696,0)</f>
        <v/>
      </c>
      <c r="T2696" t="n">
        <v>0</v>
      </c>
      <c r="V2696" t="n">
        <v>0</v>
      </c>
    </row>
    <row r="2697">
      <c r="A2697">
        <f>Skills!A27</f>
        <v/>
      </c>
      <c r="B2697">
        <f>Skills!B27</f>
        <v/>
      </c>
      <c r="C2697">
        <f>Inputs!$B$3&gt;=38</f>
        <v/>
      </c>
      <c r="D2697">
        <f>IF(Skills!C27=1,60+Inputs!$B$25+Inputs!$B$29,IF(Skills!C27=2,90+Inputs!$B$26+Inputs!$B$29,IF(Skills!C27=3,120+Inputs!$B$27+Inputs!$B$29,MAX(0,(Inputs!$B$3-100)*3)+Inputs!$B$28+Inputs!$B$29)))</f>
        <v/>
      </c>
      <c r="E2697">
        <f>INDEX(FactorTable!$B$2:$Y$301, MATCH(ROUND(MIN(300,MAX(1,D2697)),0), FactorTable!$A$2:$A$301,0), Skills!M27+1)</f>
        <v/>
      </c>
      <c r="F2697">
        <f>IF(Skills!N27=TRUE,(Skills!L27/10)*(E2697/1000),Skills!L27/10)+Skills!O27</f>
        <v/>
      </c>
      <c r="G2697">
        <f>Skills!G27*IF(Skills!H27&gt;0,Skills!I27/Skills!H27,1)</f>
        <v/>
      </c>
      <c r="H2697">
        <f>1-(1-Skills!J27/100)^Skills!K27</f>
        <v/>
      </c>
      <c r="I2697" t="inlineStr">
        <is>
          <t>1</t>
        </is>
      </c>
      <c r="J2697" t="inlineStr"/>
      <c r="K2697" t="inlineStr"/>
      <c r="L2697" t="inlineStr"/>
      <c r="M2697" t="inlineStr"/>
      <c r="N2697" t="inlineStr"/>
      <c r="O2697">
        <f>(1-Summary!$B$11)*T2697+Summary!$B$11*V2697</f>
        <v/>
      </c>
      <c r="P2697">
        <f>IF(B2715=0,0,O2697/B2715)</f>
        <v/>
      </c>
      <c r="Q2697" t="n">
        <v>0</v>
      </c>
      <c r="R2697" t="n">
        <v>0</v>
      </c>
      <c r="S2697">
        <f>IFERROR(O2697/N2697,0)</f>
        <v/>
      </c>
      <c r="T2697" t="n">
        <v>0</v>
      </c>
      <c r="V2697" t="n">
        <v>0</v>
      </c>
    </row>
    <row r="2698">
      <c r="A2698">
        <f>Skills!A28</f>
        <v/>
      </c>
      <c r="B2698">
        <f>Skills!B28</f>
        <v/>
      </c>
      <c r="C2698">
        <f>Inputs!$B$3&gt;=120</f>
        <v/>
      </c>
      <c r="D2698">
        <f>IF(Skills!C28=1,60+Inputs!$B$25+Inputs!$B$29,IF(Skills!C28=2,90+Inputs!$B$26+Inputs!$B$29,IF(Skills!C28=3,120+Inputs!$B$27+Inputs!$B$29,MAX(0,(Inputs!$B$3-100)*3)+Inputs!$B$28+Inputs!$B$29)))</f>
        <v/>
      </c>
      <c r="E2698">
        <f>INDEX(FactorTable!$B$2:$Y$301, MATCH(ROUND(MIN(300,MAX(1,D2698)),0), FactorTable!$A$2:$A$301,0), Skills!M28+1)</f>
        <v/>
      </c>
      <c r="F2698">
        <f>IF(Skills!N28=TRUE,(Skills!L28/10)*(E2698/1000),Skills!L28/10)+Skills!O28</f>
        <v/>
      </c>
      <c r="G2698">
        <f>Skills!G28*IF(Skills!H28&gt;0,Skills!I28/Skills!H28,1)</f>
        <v/>
      </c>
      <c r="H2698">
        <f>1-(1-Skills!J28/100)^Skills!K28</f>
        <v/>
      </c>
      <c r="I2698" t="inlineStr">
        <is>
          <t>1</t>
        </is>
      </c>
      <c r="J2698" t="inlineStr"/>
      <c r="K2698" t="inlineStr"/>
      <c r="L2698" t="inlineStr"/>
      <c r="M2698" t="inlineStr"/>
      <c r="N2698" t="inlineStr"/>
      <c r="O2698">
        <f>(1-Summary!$B$11)*T2698+Summary!$B$11*V2698</f>
        <v/>
      </c>
      <c r="P2698">
        <f>IF(B2715=0,0,O2698/B2715)</f>
        <v/>
      </c>
      <c r="Q2698" t="n">
        <v>0</v>
      </c>
      <c r="R2698" t="n">
        <v>0</v>
      </c>
      <c r="S2698">
        <f>IFERROR(O2698/N2698,0)</f>
        <v/>
      </c>
      <c r="T2698" t="n">
        <v>0</v>
      </c>
      <c r="V2698" t="n">
        <v>0</v>
      </c>
    </row>
    <row r="2699">
      <c r="A2699">
        <f>Skills!A29</f>
        <v/>
      </c>
      <c r="B2699">
        <f>Skills!B29</f>
        <v/>
      </c>
      <c r="C2699">
        <f>Inputs!$B$3&gt;=120</f>
        <v/>
      </c>
      <c r="D2699">
        <f>IF(Skills!C29=1,60+Inputs!$B$25+Inputs!$B$29,IF(Skills!C29=2,90+Inputs!$B$26+Inputs!$B$29,IF(Skills!C29=3,120+Inputs!$B$27+Inputs!$B$29,MAX(0,(Inputs!$B$3-100)*3)+Inputs!$B$28+Inputs!$B$29)))</f>
        <v/>
      </c>
      <c r="E2699">
        <f>INDEX(FactorTable!$B$2:$Y$301, MATCH(ROUND(MIN(300,MAX(1,D2699)),0), FactorTable!$A$2:$A$301,0), Skills!M29+1)</f>
        <v/>
      </c>
      <c r="F2699">
        <f>IF(Skills!N29=TRUE,(Skills!L29/10)*(E2699/1000),Skills!L29/10)+Skills!O29</f>
        <v/>
      </c>
      <c r="G2699">
        <f>Skills!G29*IF(Skills!H29&gt;0,Skills!I29/Skills!H29,1)</f>
        <v/>
      </c>
      <c r="H2699">
        <f>1-(1-Skills!J29/100)^Skills!K29</f>
        <v/>
      </c>
      <c r="I2699" t="inlineStr">
        <is>
          <t>1</t>
        </is>
      </c>
      <c r="J2699" t="inlineStr"/>
      <c r="K2699" t="inlineStr"/>
      <c r="L2699" t="inlineStr"/>
      <c r="M2699" t="inlineStr"/>
      <c r="N2699" t="inlineStr"/>
      <c r="O2699">
        <f>(1-Summary!$B$11)*T2699+Summary!$B$11*V2699</f>
        <v/>
      </c>
      <c r="P2699">
        <f>IF(B2715=0,0,O2699/B2715)</f>
        <v/>
      </c>
      <c r="Q2699" t="n">
        <v>0</v>
      </c>
      <c r="R2699" t="n">
        <v>0</v>
      </c>
      <c r="S2699">
        <f>IFERROR(O2699/N2699,0)</f>
        <v/>
      </c>
      <c r="T2699" t="n">
        <v>0</v>
      </c>
      <c r="V2699" t="n">
        <v>0</v>
      </c>
    </row>
    <row r="2700">
      <c r="A2700">
        <f>Skills!A30</f>
        <v/>
      </c>
      <c r="B2700">
        <f>Skills!B30</f>
        <v/>
      </c>
      <c r="C2700">
        <f>Inputs!$B$3&gt;=125</f>
        <v/>
      </c>
      <c r="D2700">
        <f>IF(Skills!C30=1,60+Inputs!$B$25+Inputs!$B$29,IF(Skills!C30=2,90+Inputs!$B$26+Inputs!$B$29,IF(Skills!C30=3,120+Inputs!$B$27+Inputs!$B$29,MAX(0,(Inputs!$B$3-100)*3)+Inputs!$B$28+Inputs!$B$29)))</f>
        <v/>
      </c>
      <c r="E2700">
        <f>INDEX(FactorTable!$B$2:$Y$301, MATCH(ROUND(MIN(300,MAX(1,D2700)),0), FactorTable!$A$2:$A$301,0), Skills!M30+1)</f>
        <v/>
      </c>
      <c r="F2700">
        <f>IF(Skills!N30=TRUE,(Skills!L30/10)*(E2700/1000),Skills!L30/10)+Skills!O30</f>
        <v/>
      </c>
      <c r="G2700">
        <f>Skills!G30*IF(Skills!H30&gt;0,Skills!I30/Skills!H30,1)</f>
        <v/>
      </c>
      <c r="H2700">
        <f>1-(1-Skills!J30/100)^Skills!K30</f>
        <v/>
      </c>
      <c r="I2700" t="inlineStr">
        <is>
          <t>1</t>
        </is>
      </c>
      <c r="J2700" t="inlineStr"/>
      <c r="K2700" t="inlineStr"/>
      <c r="L2700" t="inlineStr"/>
      <c r="M2700" t="inlineStr"/>
      <c r="N2700" t="inlineStr"/>
      <c r="O2700">
        <f>(1-Summary!$B$11)*T2700+Summary!$B$11*V2700</f>
        <v/>
      </c>
      <c r="P2700">
        <f>IF(B2715=0,0,O2700/B2715)</f>
        <v/>
      </c>
      <c r="Q2700" t="n">
        <v>0</v>
      </c>
      <c r="R2700" t="n">
        <v>0</v>
      </c>
      <c r="S2700">
        <f>IFERROR(O2700/N2700,0)</f>
        <v/>
      </c>
      <c r="T2700" t="n">
        <v>0</v>
      </c>
      <c r="V2700" t="n">
        <v>0</v>
      </c>
    </row>
    <row r="2702">
      <c r="A2702" t="inlineStr">
        <is>
          <t>Average Buff Multiplier</t>
        </is>
      </c>
      <c r="B2702">
        <f>(1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f>
        <v/>
      </c>
    </row>
    <row r="2703">
      <c r="A2703" t="inlineStr">
        <is>
          <t>Global Crit Rate Bonus %</t>
        </is>
      </c>
      <c r="B2703">
        <f>((C2690=TRUE)*F2690*IF(AND(Inputs!$B$39&lt;&gt;"pvp",Inputs!$B$44&gt;0),(((R2690-1)*(Skills!Y20*(1+Inputs!$B$34/100))+MIN((Skills!Y20*(1+Inputs!$B$34/100)),MAX(0,Inputs!$B$44-((R2690-1)*Skills!D20))))/Inputs!$B$44),IF(Inputs!$B$39="pvp",MIN((Skills!Y20*(1+Inputs!$B$34/100)),15)/15,(Skills!Y20*(1+Inputs!$B$34/100))/Skills!D20)))</f>
        <v/>
      </c>
    </row>
    <row r="2704">
      <c r="A2704" t="inlineStr">
        <is>
          <t>Global Monster Damage-Taken Bonus %</t>
        </is>
      </c>
      <c r="B2704">
        <f>IF(Inputs!$B$3&gt;=82,15,0)</f>
        <v/>
      </c>
    </row>
    <row r="2705">
      <c r="A2705" t="inlineStr">
        <is>
          <t>Shadow Partner Average Multiplier</t>
        </is>
      </c>
      <c r="B2705">
        <f>1+((C2677=TRUE)*F2677*(1+3.3333333333333335*IF(C2688=TRUE,F2688,0)/100)*I2677*Skills!J7/100)/100</f>
        <v/>
      </c>
    </row>
    <row r="2706">
      <c r="A2706" t="inlineStr">
        <is>
          <t>Attack Speed Buff Bonus %</t>
        </is>
      </c>
      <c r="B2706">
        <f>((C2689=TRUE)*F2689*IF(AND(Inputs!$B$39&lt;&gt;"pvp",Inputs!$B$44&gt;0),(((R2689-1)*(Skills!Y19*(1+Inputs!$B$34/100))+MIN((Skills!Y19*(1+Inputs!$B$34/100)),MAX(0,Inputs!$B$44-((R2689-1)*Skills!D19))))/Inputs!$B$44),IF(Inputs!$B$39="pvp",MIN((Skills!Y19*(1+Inputs!$B$34/100)),15)/15,(Skills!Y19*(1+Inputs!$B$34/100))/Skills!D19)))+((C2673=TRUE)*F2673*3)</f>
        <v/>
      </c>
    </row>
    <row r="2707">
      <c r="A2707" t="inlineStr">
        <is>
          <t>Actions Per Second</t>
        </is>
      </c>
      <c r="B2707">
        <f>1+MIN(150,150*(1-(1-(Inputs!$B$11+((C2692=TRUE)*(F2692-Calc!F22)))/150)*(1-B2706/150)))/100</f>
        <v/>
      </c>
    </row>
    <row r="2708">
      <c r="A2708" t="inlineStr">
        <is>
          <t>Skill + Buff Cast Rate</t>
        </is>
      </c>
      <c r="B2708">
        <f>IF(AND(Inputs!$B$39&lt;&gt;"pvp",Inputs!$B$44&gt;0),SUMPRODUCT((Skills!E2:E30=TRUE)*(C2672:C2700=TRUE)*R2672:R2700*Skills!F2:F30)/Inputs!$B$44,SUMPRODUCT((Skills!E2:E30=TRUE)*(C2672:C2700=TRUE)*Q2672:Q2700*Skills!F2:F30))</f>
        <v/>
      </c>
    </row>
    <row r="2709">
      <c r="A2709" t="inlineStr">
        <is>
          <t>Cruel Stab Casts Per Second</t>
        </is>
      </c>
      <c r="B2709">
        <f>MAX(0,B2707-B2708)</f>
        <v/>
      </c>
    </row>
    <row r="2710">
      <c r="A2710" t="inlineStr">
        <is>
          <t>Global Critical Damage Bonus % (Smokescreen Mastery Lv.113)</t>
        </is>
      </c>
      <c r="B2710">
        <f>IF(Inputs!$B$3&gt;=113,30,0)*IF(AND(Inputs!$B$39&lt;&gt;"pvp",Inputs!$B$44&gt;0),(((R2685-1)*(Skills!Y15*(1+Inputs!$B$34/100))+MIN((Skills!Y15*(1+Inputs!$B$34/100)),MAX(0,Inputs!$B$44-((R2685-1)*Skills!D15))))/Inputs!$B$44),IF(Inputs!$B$39="pvp",MIN((Skills!Y15*(1+Inputs!$B$34/100)),15)/15,(Skills!Y15*(1+Inputs!$B$34/100))/Skills!D15))</f>
        <v/>
      </c>
    </row>
    <row r="2711">
      <c r="A2711" t="inlineStr">
        <is>
          <t>Meso Explosion average stack count</t>
        </is>
      </c>
      <c r="B2711">
        <f>MIN(10,0.5*B2707*Skills!D4)</f>
        <v/>
      </c>
    </row>
    <row r="2712">
      <c r="A2712" t="inlineStr">
        <is>
          <t>Blood Money average stack count</t>
        </is>
      </c>
      <c r="B2712">
        <f>MIN(5,0.25*B2707*Skills!D4)</f>
        <v/>
      </c>
    </row>
    <row r="2713">
      <c r="A2713" t="inlineStr">
        <is>
          <t>Assassinate Murderous Intent Multiplier</t>
        </is>
      </c>
      <c r="B2713">
        <f>1+IFERROR(MIN(1,Q2684*2/Q2681),0)</f>
        <v/>
      </c>
    </row>
    <row r="2714">
      <c r="A2714" t="inlineStr">
        <is>
          <t>Buff-Casting Startup Delay (s, fixed-duration only)</t>
        </is>
      </c>
      <c r="B2714">
        <f>IF(AND(Inputs!$B$39&lt;&gt;"pvp",Inputs!$B$44&gt;0),SUMPRODUCT((Skills!Y2:Y30&gt;0)*(Skills!E2:E30=TRUE)*(C2672:C2700=TRUE))/B2707,0)</f>
        <v/>
      </c>
    </row>
    <row r="2715">
      <c r="A2715" s="6" t="inlineStr">
        <is>
          <t>TOTAL DPS</t>
        </is>
      </c>
      <c r="B2715" s="6">
        <f>SUM(O2672:O2700)</f>
        <v/>
      </c>
    </row>
    <row r="2716">
      <c r="A2716" t="inlineStr">
        <is>
          <t>Boss-Only Total DPS (this block's swept value)</t>
        </is>
      </c>
      <c r="B2716">
        <f>SUM(T2672:T2700)</f>
        <v/>
      </c>
    </row>
    <row r="2717">
      <c r="A2717" t="inlineStr">
        <is>
          <t>Normal-Only Total DPS (this block's swept value)</t>
        </is>
      </c>
      <c r="B2717">
        <f>SUM(V2672:V2700)</f>
        <v/>
      </c>
    </row>
    <row r="2720">
      <c r="A2720" s="6" t="inlineStr">
        <is>
          <t>Stat: Sayram's Necklace (Equip)</t>
        </is>
      </c>
    </row>
    <row r="2721">
      <c r="A2721" s="5" t="inlineStr">
        <is>
          <t>Key</t>
        </is>
      </c>
      <c r="B2721" s="5" t="inlineStr">
        <is>
          <t>Name</t>
        </is>
      </c>
      <c r="C2721" s="5" t="inlineStr">
        <is>
          <t>Unlocked</t>
        </is>
      </c>
      <c r="D2721" s="5" t="inlineStr">
        <is>
          <t>InputLevel</t>
        </is>
      </c>
      <c r="E2721" s="5" t="inlineStr">
        <is>
          <t>Factor</t>
        </is>
      </c>
      <c r="F2721" s="5" t="inlineStr">
        <is>
          <t>CoefficientPercent</t>
        </is>
      </c>
      <c r="G2721" s="5" t="inlineStr">
        <is>
          <t>EffectiveHits</t>
        </is>
      </c>
      <c r="H2721" s="5" t="inlineStr">
        <is>
          <t>ProcProbability</t>
        </is>
      </c>
      <c r="I2721" s="5" t="inlineStr">
        <is>
          <t>MapleHeroMultiplier</t>
        </is>
      </c>
      <c r="J2721" s="5" t="inlineStr">
        <is>
          <t>BaseDamage</t>
        </is>
      </c>
      <c r="K2721" s="5" t="inlineStr">
        <is>
          <t>BaseHitDamage</t>
        </is>
      </c>
      <c r="L2721" s="5" t="inlineStr">
        <is>
          <t>NonCritAvg</t>
        </is>
      </c>
      <c r="M2721" s="5" t="inlineStr">
        <is>
          <t>CritAvg</t>
        </is>
      </c>
      <c r="N2721" s="5" t="inlineStr">
        <is>
          <t>ExpectedDamage(perHit)</t>
        </is>
      </c>
      <c r="O2721" s="5" t="inlineStr">
        <is>
          <t>DPS</t>
        </is>
      </c>
      <c r="P2721" s="5" t="inlineStr">
        <is>
          <t>% of Total</t>
        </is>
      </c>
      <c r="Q2721" s="5" t="inlineStr">
        <is>
          <t>InvCooldown</t>
        </is>
      </c>
      <c r="R2721" s="5" t="inlineStr">
        <is>
          <t>CastsInFight</t>
        </is>
      </c>
      <c r="S2721" s="5" t="inlineStr">
        <is>
          <t>HitRate(perSec)</t>
        </is>
      </c>
      <c r="U2721" t="inlineStr">
        <is>
          <t>helpers</t>
        </is>
      </c>
    </row>
    <row r="2722">
      <c r="A2722">
        <f>Skills!A2</f>
        <v/>
      </c>
      <c r="B2722">
        <f>Skills!B2</f>
        <v/>
      </c>
      <c r="C2722">
        <f>Inputs!$B$3&gt;=100</f>
        <v/>
      </c>
      <c r="D2722" t="inlineStr"/>
      <c r="E2722" t="inlineStr"/>
      <c r="F2722">
        <f>U2724+Skills!O2</f>
        <v/>
      </c>
      <c r="G2722">
        <f>Skills!G2*IF(Skills!H2&gt;0,Skills!I2/Skills!H2,1)</f>
        <v/>
      </c>
      <c r="H2722">
        <f>1-(1-Skills!J2/100)^Skills!K2</f>
        <v/>
      </c>
      <c r="I2722" t="inlineStr">
        <is>
          <t>1</t>
        </is>
      </c>
      <c r="J2722">
        <f>((Inputs!$B$6*(1+Inputs!$B$7/100))+(((Inputs!$B$12*(1+Inputs!$B$13/100))-(Inputs!$B$12*(1+Inputs!$B$13/100)))+0.25*(Inputs!$B$14-Inputs!$B$14))*(1+Inputs!$B$7/100))*(F2722/100)</f>
        <v/>
      </c>
      <c r="K2722">
        <f>J2722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2722)</f>
        <v/>
      </c>
      <c r="L2722">
        <f>K2722*(MIN(Inputs!$B$22+((C2744=TRUE)*(F2744-Calc!F24)),(Inputs!$B$23+((C2749=TRUE)*(F2749-Calc!F29))+IF(ArtifactsInput!$M$15,CHOOSE(ArtifactsInput!$N$15+1,25,30,35,40,45,50)/100*(Inputs!$B$11-Inputs!$B$11),0)))/100+(Inputs!$B$23+((C2749=TRUE)*(F2749-Calc!F29))+IF(ArtifactsInput!$M$15,CHOOSE(ArtifactsInput!$N$15+1,25,30,35,40,45,50)/100*(Inputs!$B$11-Inputs!$B$11),0))/100)/2</f>
        <v/>
      </c>
      <c r="M2722">
        <f>L2722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IF(B2765=0,0,O2722/B2765)</f>
        <v/>
      </c>
      <c r="Q2722" t="n">
        <v>0</v>
      </c>
      <c r="R2722" t="n">
        <v>0</v>
      </c>
      <c r="S2722">
        <f>IFERROR(O2722/N2722,0)</f>
        <v/>
      </c>
      <c r="T2722">
        <f>IF(C2722,(Skills!G2*N2722*B2759)*IF(Inputs!$B$39="pvp",1,1+(Inputs!$B$20+0+Skills!P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2722*(1-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IF(C2722,(Skills!G2*N2722*B2759)*IF(Inputs!$B$39="pvp",1,(1+(Inputs!$B$21+Skills!Q2+B2754+(IF(IF(ArtifactsInput!$M$33,FALSE,TRUE),CHOOSE(ArtifactsInput!$N$33+1,30,36,42,48,54,60),0))+(IF(AND(ArtifactsInput!$M$35,Inputs!$B$4&lt;&gt;"Chapter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Skills!A3</f>
        <v/>
      </c>
      <c r="B2723">
        <f>Skills!B3</f>
        <v/>
      </c>
      <c r="C2723">
        <f>Inputs!$B$3&gt;=35</f>
        <v/>
      </c>
      <c r="D2723">
        <f>IF(Skills!C3=1,60+Inputs!$B$25+Inputs!$B$29,IF(Skills!C3=2,90+Inputs!$B$26+Inputs!$B$29,IF(Skills!C3=3,120+Inputs!$B$27+Inputs!$B$29,MAX(0,(Inputs!$B$3-100)*3)+Inputs!$B$28+Inputs!$B$29)))</f>
        <v/>
      </c>
      <c r="E2723">
        <f>INDEX(FactorTable!$B$2:$Y$301, MATCH(ROUND(MIN(300,MAX(1,D2723)),0), FactorTable!$A$2:$A$301,0), Skills!M3+1)</f>
        <v/>
      </c>
      <c r="F2723">
        <f>IF(Skills!N3=TRUE,(Skills!L3/10)*(E2723/1000),Skills!L3/10)+Skills!O3</f>
        <v/>
      </c>
      <c r="G2723">
        <f>Skills!G3*IF(Skills!H3&gt;0,Skills!I3/Skills!H3,1)</f>
        <v/>
      </c>
      <c r="H2723">
        <f>1-(1-Skills!J3/100)^Skills!K3</f>
        <v/>
      </c>
      <c r="I2723" t="inlineStr">
        <is>
          <t>1</t>
        </is>
      </c>
      <c r="J2723" t="inlineStr"/>
      <c r="K2723" t="inlineStr"/>
      <c r="L2723" t="inlineStr"/>
      <c r="M2723" t="inlineStr"/>
      <c r="N2723" t="inlineStr"/>
      <c r="O2723">
        <f>(1-Summary!$B$11)*T2723+Summary!$B$11*V2723</f>
        <v/>
      </c>
      <c r="P2723">
        <f>IF(B2765=0,0,O2723/B2765)</f>
        <v/>
      </c>
      <c r="Q2723" t="n">
        <v>0</v>
      </c>
      <c r="R2723" t="n">
        <v>0</v>
      </c>
      <c r="S2723">
        <f>IFERROR(O2723/N2723,0)</f>
        <v/>
      </c>
      <c r="T2723" t="n">
        <v>0</v>
      </c>
      <c r="U2723">
        <f>INDEX(FactorTable!$B$2:$Y$301, MATCH(ROUND(MIN(300,MAX(1,U2722)),0), FactorTable!$A$2:$A$301,0), 22)</f>
        <v/>
      </c>
      <c r="V2723" t="n">
        <v>0</v>
      </c>
    </row>
    <row r="2724">
      <c r="A2724">
        <f>Skills!A4</f>
        <v/>
      </c>
      <c r="B2724">
        <f>Skills!B4</f>
        <v/>
      </c>
      <c r="C2724">
        <f>Inputs!$B$3&gt;=66</f>
        <v/>
      </c>
      <c r="D2724">
        <f>IF(Skills!C4=1,60+Inputs!$B$25+Inputs!$B$29,IF(Skills!C4=2,90+Inputs!$B$26+Inputs!$B$29,IF(Skills!C4=3,120+Inputs!$B$27+Inputs!$B$29,MAX(0,(Inputs!$B$3-100)*3)+Inputs!$B$28+Inputs!$B$29)))</f>
        <v/>
      </c>
      <c r="E2724">
        <f>INDEX(FactorTable!$B$2:$Y$301, MATCH(ROUND(MIN(300,MAX(1,D2724)),0), FactorTable!$A$2:$A$301,0), Skills!M4+1)</f>
        <v/>
      </c>
      <c r="F2724">
        <f>IF(Skills!N4=TRUE,(Skills!L4/10)*(E2724/1000),Skills!L4/10)+Skills!O4</f>
        <v/>
      </c>
      <c r="G2724">
        <f>Skills!G4*IF(Skills!H4&gt;0,Skills!I4/Skills!H4,1)</f>
        <v/>
      </c>
      <c r="H2724">
        <f>1-(1-Skills!J4/100)^Skills!K4</f>
        <v/>
      </c>
      <c r="I2724" t="inlineStr">
        <is>
          <t>1</t>
        </is>
      </c>
      <c r="J2724">
        <f>((Inputs!$B$6*(1+Inputs!$B$7/100))+(((Inputs!$B$12*(1+Inputs!$B$13/100))-(Inputs!$B$12*(1+Inputs!$B$13/100)))+0.25*(Inputs!$B$14-Inputs!$B$14))*(1+Inputs!$B$7/100))*(F2724/100)</f>
        <v/>
      </c>
      <c r="K2724">
        <f>J2724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2724)</f>
        <v/>
      </c>
      <c r="L2724">
        <f>K2724*(MIN(Inputs!$B$22+((C2744=TRUE)*(F2744-Calc!F24)),(Inputs!$B$23+((C2749=TRUE)*(F2749-Calc!F29))+IF(ArtifactsInput!$M$15,CHOOSE(ArtifactsInput!$N$15+1,25,30,35,40,45,50)/100*(Inputs!$B$11-Inputs!$B$11),0)))/100+(Inputs!$B$23+((C2749=TRUE)*(F2749-Calc!F29))+IF(ArtifactsInput!$M$15,CHOOSE(ArtifactsInput!$N$15+1,25,30,35,40,45,50)/100*(Inputs!$B$11-Inputs!$B$11),0))/100)/2</f>
        <v/>
      </c>
      <c r="M2724">
        <f>L2724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4">
        <f>L2724*(1-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IF(B2765=0,0,O2724/B2765)</f>
        <v/>
      </c>
      <c r="Q2724">
        <f>IFERROR(1/IF(Inputs!$B$39="pvp",15,MAX(0.1,Skills!D4-IF(Skills!E4=TRUE,Inputs!$B$32,0))),0)</f>
        <v/>
      </c>
      <c r="R2724">
        <f>IF(AND(Inputs!$B$39&lt;&gt;"pvp",Inputs!$B$44&gt;0),IF(MAX(0,Inputs!$B$44-B2764)&lt;=0,0,(INT(MAX(0,Inputs!$B$44-B2764)/IF(Inputs!$B$39="pvp",15,MAX(0.1,Skills!D4-IF(Skills!E4=TRUE,Inputs!$B$32,0))))+1)),0)</f>
        <v/>
      </c>
      <c r="S2724">
        <f>IFERROR(O2724/N2724,0)</f>
        <v/>
      </c>
      <c r="T2724">
        <f>IF(C2724,(H2724*N2724*IF(AND(Inputs!$B$39&lt;&gt;"pvp",Inputs!$B$44&gt;0),((Skills!G4*((R2724-1)*IF(Skills!H4&gt;0,Skills!I4/Skills!H4,1)+IF(Skills!H4&gt;0,MIN(Skills!I4,MAX(0,MAX(0,Inputs!$B$44-B2764)-((R2724-1)*IF(Inputs!$B$39="pvp",15,MAX(0.1,Skills!D4-IF(Skills!E4=TRUE,Inputs!$B$32,0))))))/Skills!H4,1)))/Inputs!$B$44),G2724*Q2724))*IF(Inputs!$B$39="pvp",1,1+(Inputs!$B$20+0+Skills!P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2724*(1-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4">
        <f>290*U2723/1000</f>
        <v/>
      </c>
      <c r="V2724">
        <f>IF(C2724,(H2724*N2724*IF(AND(Inputs!$B$39&lt;&gt;"pvp",Inputs!$B$44&gt;0),((Skills!G4*((R2724-1)*IF(Skills!H4&gt;0,Skills!I4/Skills!H4,1)+IF(Skills!H4&gt;0,MIN(Skills!I4,MAX(0,MAX(0,Inputs!$B$44-B2764)-((R2724-1)*IF(Inputs!$B$39="pvp",15,MAX(0.1,Skills!D4-IF(Skills!E4=TRUE,Inputs!$B$32,0))))))/Skills!H4,1)))/Inputs!$B$44),G2724*Q2724))*IF(Inputs!$B$39="pvp",1,(1+(Inputs!$B$21+Skills!Q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(10,0.5*B2757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Skills!A5</f>
        <v/>
      </c>
      <c r="B2725">
        <f>Skills!B5</f>
        <v/>
      </c>
      <c r="C2725">
        <f>Inputs!$B$3&gt;=63</f>
        <v/>
      </c>
      <c r="D2725">
        <f>IF(Skills!C5=1,60+Inputs!$B$25+Inputs!$B$29,IF(Skills!C5=2,90+Inputs!$B$26+Inputs!$B$29,IF(Skills!C5=3,120+Inputs!$B$27+Inputs!$B$29,MAX(0,(Inputs!$B$3-100)*3)+Inputs!$B$28+Inputs!$B$29)))</f>
        <v/>
      </c>
      <c r="E2725">
        <f>INDEX(FactorTable!$B$2:$Y$301, MATCH(ROUND(MIN(300,MAX(1,D2725)),0), FactorTable!$A$2:$A$301,0), Skills!M5+1)</f>
        <v/>
      </c>
      <c r="F2725">
        <f>IF(Skills!N5=TRUE,(Skills!L5/10)*(E2725/1000),Skills!L5/10)+Skills!O5</f>
        <v/>
      </c>
      <c r="G2725">
        <f>Skills!G5*IF(Skills!H5&gt;0,Skills!I5/Skills!H5,1)</f>
        <v/>
      </c>
      <c r="H2725">
        <f>1-(1-Skills!J5/100)^Skills!K5</f>
        <v/>
      </c>
      <c r="I2725" t="inlineStr">
        <is>
          <t>1</t>
        </is>
      </c>
      <c r="J2725">
        <f>((Inputs!$B$6*(1+Inputs!$B$7/100))+(((Inputs!$B$12*(1+Inputs!$B$13/100))-(Inputs!$B$12*(1+Inputs!$B$13/100)))+0.25*(Inputs!$B$14-Inputs!$B$14))*(1+Inputs!$B$7/100))*(F2725/100)</f>
        <v/>
      </c>
      <c r="K2725">
        <f>J2725*(1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2738=TRUE,F2738,0)/100)*(1+(IF(Skills!A5="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2725)</f>
        <v/>
      </c>
      <c r="L2725">
        <f>K2725*(MIN(Inputs!$B$22+((C2744=TRUE)*(F2744-Calc!F24)),(Inputs!$B$23+((C2749=TRUE)*(F2749-Calc!F29))+IF(ArtifactsInput!$M$15,CHOOSE(ArtifactsInput!$N$15+1,25,30,35,40,45,50)/100*(Inputs!$B$11-Inputs!$B$11),0)))/100+(Inputs!$B$23+((C2749=TRUE)*(F2749-Calc!F29))+IF(ArtifactsInput!$M$15,CHOOSE(ArtifactsInput!$N$15+1,25,30,35,40,45,50)/100*(Inputs!$B$11-Inputs!$B$11),0))/100)/2</f>
        <v/>
      </c>
      <c r="M2725">
        <f>L2725*(1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5">
        <f>L2725*(1-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IF(B2765=0,0,O2725/B2765)</f>
        <v/>
      </c>
      <c r="Q2725">
        <f>IFERROR(1/IF(Inputs!$B$39="pvp",15,MAX(0.1,Skills!D5-IF(Skills!E5=TRUE,Inputs!$B$32,0))),0)</f>
        <v/>
      </c>
      <c r="R2725">
        <f>IF(AND(Inputs!$B$39&lt;&gt;"pvp",Inputs!$B$44&gt;0),IF(MAX(0,Inputs!$B$44-B2764)&lt;=0,0,(INT(MAX(0,Inputs!$B$44-B2764)/IF(Inputs!$B$39="pvp",15,MAX(0.1,Skills!D5-IF(Skills!E5=TRUE,Inputs!$B$32,0))))+1)),0)</f>
        <v/>
      </c>
      <c r="S2725">
        <f>IFERROR(O2725/N2725,0)</f>
        <v/>
      </c>
      <c r="T2725">
        <f>IF(C2725,(H2725*N2725*IF(AND(Inputs!$B$39&lt;&gt;"pvp",Inputs!$B$44&gt;0),((Skills!G5*((R2725-1)*IF(Skills!H5&gt;0,Skills!I5/Skills!H5,1)+IF(Skills!H5&gt;0,MIN(Skills!I5,MAX(0,MAX(0,Inputs!$B$44-B2764)-((R2725-1)*IF(Inputs!$B$39="pvp",15,MAX(0.1,Skills!D5-IF(Skills!E5=TRUE,Inputs!$B$32,0))))))/Skills!H5,1)))/Inputs!$B$44),G2725*Q2725))*IF(Inputs!$B$39="pvp",1,1+(Inputs!$B$20+0+Skills!P5+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2725*(1-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5*((R2725-1)*IF(Skills!H5&gt;0,Skills!I5/Skills!H5,1)+IF(Skills!H5&gt;0,MIN(Skills!I5,MAX(0,MAX(0,Inputs!$B$44-B2764)-((R2725-1)*IF(Inputs!$B$39="pvp",15,MAX(0.1,Skills!D5-IF(Skills!E5=TRUE,Inputs!$B$32,0))))))/Skills!H5,1)))/Inputs!$B$44),G2725*Q2725))*IF(Inputs!$B$39="pvp",1,(1+(Inputs!$B$21+Skills!Q5+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Skills!A6</f>
        <v/>
      </c>
      <c r="B2726">
        <f>Skills!B6</f>
        <v/>
      </c>
      <c r="C2726">
        <f>Inputs!$B$3&gt;=69</f>
        <v/>
      </c>
      <c r="D2726">
        <f>IF(Skills!C6=1,60+Inputs!$B$25+Inputs!$B$29,IF(Skills!C6=2,90+Inputs!$B$26+Inputs!$B$29,IF(Skills!C6=3,120+Inputs!$B$27+Inputs!$B$29,MAX(0,(Inputs!$B$3-100)*3)+Inputs!$B$28+Inputs!$B$29)))</f>
        <v/>
      </c>
      <c r="E2726">
        <f>INDEX(FactorTable!$B$2:$Y$301, MATCH(ROUND(MIN(300,MAX(1,D2726)),0), FactorTable!$A$2:$A$301,0), Skills!M6+1)</f>
        <v/>
      </c>
      <c r="F2726">
        <f>IF(Skills!N6=TRUE,(Skills!L6/10)*(E2726/1000),Skills!L6/10)+Skills!O6</f>
        <v/>
      </c>
      <c r="G2726">
        <f>Skills!G6*IF(Skills!H6&gt;0,Skills!I6/Skills!H6,1)</f>
        <v/>
      </c>
      <c r="H2726">
        <f>1-(1-Skills!J6/100)^Skills!K6</f>
        <v/>
      </c>
      <c r="I2726" t="inlineStr">
        <is>
          <t>1</t>
        </is>
      </c>
      <c r="J2726">
        <f>((Inputs!$B$6*(1+Inputs!$B$7/100))+(((Inputs!$B$12*(1+Inputs!$B$13/100))-(Inputs!$B$12*(1+Inputs!$B$13/100)))+0.25*(Inputs!$B$14-Inputs!$B$14))*(1+Inputs!$B$7/100))*(F2726/100)</f>
        <v/>
      </c>
      <c r="K2726">
        <f>J2726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2738=TRUE,F2738,0)/100)*(1+(IF(Skills!A6="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2726)</f>
        <v/>
      </c>
      <c r="L2726">
        <f>K2726*(MIN(Inputs!$B$22+((C2744=TRUE)*(F2744-Calc!F24)),(Inputs!$B$23+((C2749=TRUE)*(F2749-Calc!F29))+IF(ArtifactsInput!$M$15,CHOOSE(ArtifactsInput!$N$15+1,25,30,35,40,45,50)/100*(Inputs!$B$11-Inputs!$B$11),0)))/100+(Inputs!$B$23+((C2749=TRUE)*(F2749-Calc!F29))+IF(ArtifactsInput!$M$15,CHOOSE(ArtifactsInput!$N$15+1,25,30,35,40,45,50)/100*(Inputs!$B$11-Inputs!$B$11),0))/100)/2</f>
        <v/>
      </c>
      <c r="M2726">
        <f>L2726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IF(B2765=0,0,O2726/B2765)</f>
        <v/>
      </c>
      <c r="Q2726">
        <f>IFERROR(1/IF(Inputs!$B$39="pvp",15,MAX(0.1,Skills!D6-IF(Skills!E6=TRUE,Inputs!$B$32,0))),0)</f>
        <v/>
      </c>
      <c r="R2726">
        <f>IF(AND(Inputs!$B$39&lt;&gt;"pvp",Inputs!$B$44&gt;0),IF(MAX(0,Inputs!$B$44-B2764)&lt;=0,0,(INT(MAX(0,Inputs!$B$44-B2764)/IF(Inputs!$B$39="pvp",15,MAX(0.1,Skills!D6-IF(Skills!E6=TRUE,Inputs!$B$32,0))))+1)),0)</f>
        <v/>
      </c>
      <c r="S2726">
        <f>IFERROR(O2726/N2726,0)</f>
        <v/>
      </c>
      <c r="T2726">
        <f>IF(C2726,(H2726*N2726*IF(AND(Inputs!$B$39&lt;&gt;"pvp",Inputs!$B$44&gt;0),((Skills!G6*((R2726-1)*IF(Skills!H6&gt;0,Skills!I6/Skills!H6,1)+IF(Skills!H6&gt;0,MIN(Skills!I6,MAX(0,MAX(0,Inputs!$B$44-B2764)-((R2726-1)*IF(Inputs!$B$39="pvp",15,MAX(0.1,Skills!D6-IF(Skills!E6=TRUE,Inputs!$B$32,0))))))/Skills!H6,1)))/Inputs!$B$44),G2726*Q2726))*IF(Inputs!$B$39="pvp",1,1+(Inputs!$B$20+0+Skills!P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2726*(1-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6*((R2726-1)*IF(Skills!H6&gt;0,Skills!I6/Skills!H6,1)+IF(Skills!H6&gt;0,MIN(Skills!I6,MAX(0,MAX(0,Inputs!$B$44-B2764)-((R2726-1)*IF(Inputs!$B$39="pvp",15,MAX(0.1,Skills!D6-IF(Skills!E6=TRUE,Inputs!$B$32,0))))))/Skills!H6,1)))/Inputs!$B$44),G2726*Q2726))*IF(Inputs!$B$39="pvp",1,(1+(Inputs!$B$21+Skills!Q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Skills!A7</f>
        <v/>
      </c>
      <c r="B2727">
        <f>Skills!B7</f>
        <v/>
      </c>
      <c r="C2727">
        <f>Inputs!$B$3&gt;=60</f>
        <v/>
      </c>
      <c r="D2727">
        <f>IF(Skills!C7=1,60+Inputs!$B$25+Inputs!$B$29,IF(Skills!C7=2,90+Inputs!$B$26+Inputs!$B$29,IF(Skills!C7=3,120+Inputs!$B$27+Inputs!$B$29,MAX(0,(Inputs!$B$3-100)*3)+Inputs!$B$28+Inputs!$B$29)))</f>
        <v/>
      </c>
      <c r="E2727">
        <f>INDEX(FactorTable!$B$2:$Y$301, MATCH(ROUND(MIN(300,MAX(1,D2727)),0), FactorTable!$A$2:$A$301,0), Skills!M7+1)</f>
        <v/>
      </c>
      <c r="F2727">
        <f>IF(Skills!N7=TRUE,(Skills!L7/10)*(E2727/1000),Skills!L7/10)+Skills!O7</f>
        <v/>
      </c>
      <c r="G2727">
        <f>Skills!G7*IF(Skills!H7&gt;0,Skills!I7/Skills!H7,1)</f>
        <v/>
      </c>
      <c r="H2727">
        <f>1-(1-Skills!J7/100)^Skills!K7</f>
        <v/>
      </c>
      <c r="I2727" t="inlineStr">
        <is>
          <t>1</t>
        </is>
      </c>
      <c r="J2727" t="inlineStr"/>
      <c r="K2727" t="inlineStr"/>
      <c r="L2727" t="inlineStr"/>
      <c r="M2727" t="inlineStr"/>
      <c r="N2727" t="inlineStr"/>
      <c r="O2727">
        <f>(1-Summary!$B$11)*T2727+Summary!$B$11*V2727</f>
        <v/>
      </c>
      <c r="P2727">
        <f>IF(B2765=0,0,O2727/B2765)</f>
        <v/>
      </c>
      <c r="Q2727" t="n">
        <v>0</v>
      </c>
      <c r="R2727" t="n">
        <v>0</v>
      </c>
      <c r="S2727">
        <f>IFERROR(O2727/N2727,0)</f>
        <v/>
      </c>
      <c r="T2727" t="n">
        <v>0</v>
      </c>
      <c r="V2727" t="n">
        <v>0</v>
      </c>
    </row>
    <row r="2728">
      <c r="A2728">
        <f>Skills!A8</f>
        <v/>
      </c>
      <c r="B2728">
        <f>Skills!B8</f>
        <v/>
      </c>
      <c r="C2728">
        <f>Inputs!$B$3&gt;=72</f>
        <v/>
      </c>
      <c r="D2728">
        <f>IF(Skills!C8=1,60+Inputs!$B$25+Inputs!$B$29,IF(Skills!C8=2,90+Inputs!$B$26+Inputs!$B$29,IF(Skills!C8=3,120+Inputs!$B$27+Inputs!$B$29,MAX(0,(Inputs!$B$3-100)*3)+Inputs!$B$28+Inputs!$B$29)))</f>
        <v/>
      </c>
      <c r="E2728">
        <f>INDEX(FactorTable!$B$2:$Y$301, MATCH(ROUND(MIN(300,MAX(1,D2728)),0), FactorTable!$A$2:$A$301,0), Skills!M8+1)</f>
        <v/>
      </c>
      <c r="F2728">
        <f>IF(Skills!N8=TRUE,(Skills!L8/10)*(E2728/1000),Skills!L8/10)+Skills!O8</f>
        <v/>
      </c>
      <c r="G2728">
        <f>Skills!G8*IF(Skills!H8&gt;0,Skills!I8/Skills!H8,1)</f>
        <v/>
      </c>
      <c r="H2728">
        <f>1-(1-Skills!J8/100)^Skills!K8</f>
        <v/>
      </c>
      <c r="I2728" t="inlineStr">
        <is>
          <t>1</t>
        </is>
      </c>
      <c r="J2728">
        <f>((Inputs!$B$6*(1+Inputs!$B$7/100))+(((Inputs!$B$12*(1+Inputs!$B$13/100))-(Inputs!$B$12*(1+Inputs!$B$13/100)))+0.25*(Inputs!$B$14-Inputs!$B$14))*(1+Inputs!$B$7/100))*(F2728/100)</f>
        <v/>
      </c>
      <c r="K2728">
        <f>J2728*(1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2738=TRUE,F2738,0)/100)*(1+(IF(Skills!A8="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2728)</f>
        <v/>
      </c>
      <c r="L2728">
        <f>K2728*(MIN(Inputs!$B$22+((C2744=TRUE)*(F2744-Calc!F24)),(Inputs!$B$23+((C2749=TRUE)*(F2749-Calc!F29))+IF(ArtifactsInput!$M$15,CHOOSE(ArtifactsInput!$N$15+1,25,30,35,40,45,50)/100*(Inputs!$B$11-Inputs!$B$11),0)))/100+(Inputs!$B$23+((C2749=TRUE)*(F2749-Calc!F29))+IF(ArtifactsInput!$M$15,CHOOSE(ArtifactsInput!$N$15+1,25,30,35,40,45,50)/100*(Inputs!$B$11-Inputs!$B$11),0))/100)/2</f>
        <v/>
      </c>
      <c r="M2728">
        <f>L2728*(1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IF(B2765=0,0,O2728/B2765)</f>
        <v/>
      </c>
      <c r="Q2728">
        <f>IFERROR(1/IF(Inputs!$B$39="pvp",15,MAX(0.1,Skills!D8-IF(Skills!E8=TRUE,Inputs!$B$32,0))),0)</f>
        <v/>
      </c>
      <c r="R2728">
        <f>IF(AND(Inputs!$B$39&lt;&gt;"pvp",Inputs!$B$44&gt;0),IF(MAX(0,Inputs!$B$44-B2764)&lt;=0,0,(INT(MAX(0,Inputs!$B$44-B2764)/IF(Inputs!$B$39="pvp",15,MAX(0.1,Skills!D8-IF(Skills!E8=TRUE,Inputs!$B$32,0))))+1)),0)</f>
        <v/>
      </c>
      <c r="S2728">
        <f>IFERROR(O2728/N2728,0)</f>
        <v/>
      </c>
      <c r="T2728">
        <f>IF(C2728,(H2728*N2728*IF(AND(Inputs!$B$39&lt;&gt;"pvp",Inputs!$B$44&gt;0),((Skills!G8*((R2728-1)*IF(Skills!H8&gt;0,Skills!I8/Skills!H8,1)+IF(Skills!H8&gt;0,MIN(Skills!I8,MAX(0,MAX(0,Inputs!$B$44-B2764)-((R2728-1)*IF(Inputs!$B$39="pvp",15,MAX(0.1,Skills!D8-IF(Skills!E8=TRUE,Inputs!$B$32,0))))))/Skills!H8,1)))/Inputs!$B$44),G2728*Q2728))*IF(Inputs!$B$39="pvp",1,1+(Inputs!$B$20+0+Skills!P8+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2728*(1-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8*((R2728-1)*IF(Skills!H8&gt;0,Skills!I8/Skills!H8,1)+IF(Skills!H8&gt;0,MIN(Skills!I8,MAX(0,MAX(0,Inputs!$B$44-B2764)-((R2728-1)*IF(Inputs!$B$39="pvp",15,MAX(0.1,Skills!D8-IF(Skills!E8=TRUE,Inputs!$B$32,0))))))/Skills!H8,1)))/Inputs!$B$44),G2728*Q2728))*IF(Inputs!$B$39="pvp",1,(1+(Inputs!$B$21+Skills!Q8+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Skills!A9</f>
        <v/>
      </c>
      <c r="B2729">
        <f>Skills!B9</f>
        <v/>
      </c>
      <c r="C2729">
        <f>Inputs!$B$3&gt;=117</f>
        <v/>
      </c>
      <c r="D2729">
        <f>IF(Skills!C9=1,60+Inputs!$B$25+Inputs!$B$29,IF(Skills!C9=2,90+Inputs!$B$26+Inputs!$B$29,IF(Skills!C9=3,120+Inputs!$B$27+Inputs!$B$29,MAX(0,(Inputs!$B$3-100)*3)+Inputs!$B$28+Inputs!$B$29)))</f>
        <v/>
      </c>
      <c r="E2729">
        <f>INDEX(FactorTable!$B$2:$Y$301, MATCH(ROUND(MIN(300,MAX(1,D2729)),0), FactorTable!$A$2:$A$301,0), Skills!M9+1)</f>
        <v/>
      </c>
      <c r="F2729">
        <f>IF(Skills!N9=TRUE,(Skills!L9/10)*(E2729/1000),Skills!L9/10)+Skills!O9</f>
        <v/>
      </c>
      <c r="G2729">
        <f>Skills!G9*IF(Skills!H9&gt;0,Skills!I9/Skills!H9,1)</f>
        <v/>
      </c>
      <c r="H2729">
        <f>1-(1-Skills!J9/100)^Skills!K9</f>
        <v/>
      </c>
      <c r="I2729" t="inlineStr">
        <is>
          <t>1</t>
        </is>
      </c>
      <c r="J2729">
        <f>((Inputs!$B$6*(1+Inputs!$B$7/100))+(((Inputs!$B$12*(1+Inputs!$B$13/100))-(Inputs!$B$12*(1+Inputs!$B$13/100)))+0.25*(Inputs!$B$14-Inputs!$B$14))*(1+Inputs!$B$7/100))*(F2729/100)</f>
        <v/>
      </c>
      <c r="K2729">
        <f>J2729*(1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2729)</f>
        <v/>
      </c>
      <c r="L2729">
        <f>K2729*(MIN(Inputs!$B$22+((C2744=TRUE)*(F2744-Calc!F24)),(Inputs!$B$23+((C2749=TRUE)*(F2749-Calc!F29))+IF(ArtifactsInput!$M$15,CHOOSE(ArtifactsInput!$N$15+1,25,30,35,40,45,50)/100*(Inputs!$B$11-Inputs!$B$11),0)))/100+(Inputs!$B$23+((C2749=TRUE)*(F2749-Calc!F29))+IF(ArtifactsInput!$M$15,CHOOSE(ArtifactsInput!$N$15+1,25,30,35,40,45,50)/100*(Inputs!$B$11-Inputs!$B$11),0))/100)/2</f>
        <v/>
      </c>
      <c r="M2729">
        <f>L2729*(1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9">
        <f>L2729*(1-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IF(B2765=0,0,O2729/B2765)</f>
        <v/>
      </c>
      <c r="Q2729" t="n">
        <v>0</v>
      </c>
      <c r="R2729" t="n">
        <v>0</v>
      </c>
      <c r="S2729" t="n">
        <v>0</v>
      </c>
      <c r="T2729">
        <f>IF(C2729,(0.2*SUMPRODUCT((Skills!Z2:Z30=TRUE)*(C2722:C2750=TRUE)*S2722:S2750)*N2729)*IF(Inputs!$B$39="pvp",1,1+(Inputs!$B$20+0+Skills!P9+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2729*(1-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(0.2*SUMPRODUCT((Skills!Z2:Z30=TRUE)*(C2722:C2750=TRUE)*S2722:S2750)*N2729)*IF(Inputs!$B$39="pvp",1,(1+(Inputs!$B$21+Skills!Q9+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Skills!A10</f>
        <v/>
      </c>
      <c r="B2730">
        <f>Skills!B10</f>
        <v/>
      </c>
      <c r="C2730">
        <f>Inputs!$B$3&gt;=74</f>
        <v/>
      </c>
      <c r="D2730">
        <f>IF(Skills!C10=1,60+Inputs!$B$25+Inputs!$B$29,IF(Skills!C10=2,90+Inputs!$B$26+Inputs!$B$29,IF(Skills!C10=3,120+Inputs!$B$27+Inputs!$B$29,MAX(0,(Inputs!$B$3-100)*3)+Inputs!$B$28+Inputs!$B$29)))</f>
        <v/>
      </c>
      <c r="E2730">
        <f>INDEX(FactorTable!$B$2:$Y$301, MATCH(ROUND(MIN(300,MAX(1,D2730)),0), FactorTable!$A$2:$A$301,0), Skills!M10+1)</f>
        <v/>
      </c>
      <c r="F2730">
        <f>IF(Skills!N10=TRUE,(Skills!L10/10)*(E2730/1000),Skills!L10/10)+Skills!O10</f>
        <v/>
      </c>
      <c r="G2730">
        <f>Skills!G10*IF(Skills!H10&gt;0,Skills!I10/Skills!H10,1)</f>
        <v/>
      </c>
      <c r="H2730">
        <f>1-(1-Skills!J10/100)^Skills!K10</f>
        <v/>
      </c>
      <c r="I2730" t="inlineStr">
        <is>
          <t>1</t>
        </is>
      </c>
      <c r="J2730" t="inlineStr"/>
      <c r="K2730" t="inlineStr"/>
      <c r="L2730" t="inlineStr"/>
      <c r="M2730" t="inlineStr"/>
      <c r="N2730" t="inlineStr"/>
      <c r="O2730">
        <f>(1-Summary!$B$11)*T2730+Summary!$B$11*V2730</f>
        <v/>
      </c>
      <c r="P2730">
        <f>IF(B2765=0,0,O2730/B2765)</f>
        <v/>
      </c>
      <c r="Q2730">
        <f>IFERROR(1/IF(Inputs!$B$39="pvp",15,MAX(0.1,Skills!D10-IF(Skills!E10=TRUE,Inputs!$B$32,0))),0)</f>
        <v/>
      </c>
      <c r="R2730">
        <f>IF(AND(Inputs!$B$39&lt;&gt;"pvp",Inputs!$B$44&gt;0),IF(Inputs!$B$44&lt;=0,0,(INT(Inputs!$B$44/IF(Inputs!$B$39="pvp",15,MAX(0.1,Skills!D10-IF(Skills!E10=TRUE,Inputs!$B$32,0))))+1)),0)</f>
        <v/>
      </c>
      <c r="S2730">
        <f>IFERROR(O2730/N2730,0)</f>
        <v/>
      </c>
      <c r="T2730" t="n">
        <v>0</v>
      </c>
      <c r="V2730" t="n">
        <v>0</v>
      </c>
    </row>
    <row r="2731">
      <c r="A2731">
        <f>Skills!A11</f>
        <v/>
      </c>
      <c r="B2731">
        <f>Skills!B11</f>
        <v/>
      </c>
      <c r="C2731">
        <f>Inputs!$B$3&gt;=103</f>
        <v/>
      </c>
      <c r="D2731">
        <f>IF(Skills!C11=1,60+Inputs!$B$25+Inputs!$B$29,IF(Skills!C11=2,90+Inputs!$B$26+Inputs!$B$29,IF(Skills!C11=3,120+Inputs!$B$27+Inputs!$B$29,MAX(0,(Inputs!$B$3-100)*3)+Inputs!$B$28+Inputs!$B$29)))</f>
        <v/>
      </c>
      <c r="E2731">
        <f>INDEX(FactorTable!$B$2:$Y$301, MATCH(ROUND(MIN(300,MAX(1,D2731)),0), FactorTable!$A$2:$A$301,0), Skills!M11+1)</f>
        <v/>
      </c>
      <c r="F2731">
        <f>(Skills!L11/10)*(E2731/1000)+IF(Inputs!$B$3&gt;=134,50,0)+0.5*(30000/10)*(INDEX(FactorTable!$B$2:$Y$301, MATCH(ROUND(MIN(300,MAX(1,D2731)),0), FactorTable!$A$2:$A$301,0), 13)/1000)*B2763</f>
        <v/>
      </c>
      <c r="G2731">
        <f>Skills!G11*IF(Skills!H11&gt;0,Skills!I11/Skills!H11,1)</f>
        <v/>
      </c>
      <c r="H2731">
        <f>1-(1-Skills!J11/100)^Skills!K11</f>
        <v/>
      </c>
      <c r="I2731" t="inlineStr">
        <is>
          <t>1</t>
        </is>
      </c>
      <c r="J2731">
        <f>((Inputs!$B$6*(1+Inputs!$B$7/100))+(((Inputs!$B$12*(1+Inputs!$B$13/100))-(Inputs!$B$12*(1+Inputs!$B$13/100)))+0.25*(Inputs!$B$14-Inputs!$B$14))*(1+Inputs!$B$7/100))*(F2731/100)</f>
        <v/>
      </c>
      <c r="K2731">
        <f>J2731*(1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2731)</f>
        <v/>
      </c>
      <c r="L2731">
        <f>K2731*(MIN(Inputs!$B$22+((C2744=TRUE)*(F2744-Calc!F24)),(Inputs!$B$23+((C2749=TRUE)*(F2749-Calc!F29))+IF(ArtifactsInput!$M$15,CHOOSE(ArtifactsInput!$N$15+1,25,30,35,40,45,50)/100*(Inputs!$B$11-Inputs!$B$11),0)))/100+(Inputs!$B$23+((C2749=TRUE)*(F2749-Calc!F29))+IF(ArtifactsInput!$M$15,CHOOSE(ArtifactsInput!$N$15+1,25,30,35,40,45,50)/100*(Inputs!$B$11-Inputs!$B$11),0))/100)/2</f>
        <v/>
      </c>
      <c r="M2731">
        <f>L2731*(1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IF(B2765=0,0,O2731/B2765)</f>
        <v/>
      </c>
      <c r="Q2731">
        <f>IFERROR(1/IF(Inputs!$B$39="pvp",15,MAX(0.1,Skills!D11-IF(Skills!E11=TRUE,Inputs!$B$32,0))),0)</f>
        <v/>
      </c>
      <c r="R2731">
        <f>IF(AND(Inputs!$B$39&lt;&gt;"pvp",Inputs!$B$44&gt;0),IF(MAX(0,Inputs!$B$44-B2764)&lt;=0,0,(INT(MAX(0,Inputs!$B$44-B2764)/IF(Inputs!$B$39="pvp",15,MAX(0.1,Skills!D11-IF(Skills!E11=TRUE,Inputs!$B$32,0))))+1)),0)</f>
        <v/>
      </c>
      <c r="S2731">
        <f>IFERROR(O2731/N2731,0)</f>
        <v/>
      </c>
      <c r="T2731">
        <f>IF(C2731,(H2731*N2731*IF(AND(Inputs!$B$39&lt;&gt;"pvp",Inputs!$B$44&gt;0),((Skills!G11*((R2731-1)*IF(Skills!H11&gt;0,Skills!I11/Skills!H11,1)+IF(Skills!H11&gt;0,MIN(Skills!I11,MAX(0,MAX(0,Inputs!$B$44-B2764)-((R2731-1)*IF(Inputs!$B$39="pvp",15,MAX(0.1,Skills!D11-IF(Skills!E11=TRUE,Inputs!$B$32,0))))))/Skills!H11,1)))/Inputs!$B$44),G2731*Q2731))*IF(Inputs!$B$39="pvp",1,1+(Inputs!$B$20+0+Skills!P11+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2731*(1-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11*((R2731-1)*IF(Skills!H11&gt;0,Skills!I11/Skills!H11,1)+IF(Skills!H11&gt;0,MIN(Skills!I11,MAX(0,MAX(0,Inputs!$B$44-B2764)-((R2731-1)*IF(Inputs!$B$39="pvp",15,MAX(0.1,Skills!D11-IF(Skills!E11=TRUE,Inputs!$B$32,0))))))/Skills!H11,1)))/Inputs!$B$44),G2731*Q2731))*IF(Inputs!$B$39="pvp",1,(1+(Inputs!$B$21+Skills!Q11+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Skills!A12</f>
        <v/>
      </c>
      <c r="B2732">
        <f>Skills!B12</f>
        <v/>
      </c>
      <c r="C2732">
        <f>Inputs!$B$3&gt;=105</f>
        <v/>
      </c>
      <c r="D2732">
        <f>IF(Skills!C12=1,60+Inputs!$B$25+Inputs!$B$29,IF(Skills!C12=2,90+Inputs!$B$26+Inputs!$B$29,IF(Skills!C12=3,120+Inputs!$B$27+Inputs!$B$29,MAX(0,(Inputs!$B$3-100)*3)+Inputs!$B$28+Inputs!$B$29)))</f>
        <v/>
      </c>
      <c r="E2732">
        <f>INDEX(FactorTable!$B$2:$Y$301, MATCH(ROUND(MIN(300,MAX(1,D2732)),0), FactorTable!$A$2:$A$301,0), Skills!M12+1)</f>
        <v/>
      </c>
      <c r="F2732">
        <f>IF(Skills!N12=TRUE,(Skills!L12/10)*(E2732/1000),Skills!L12/10)+Skills!O12</f>
        <v/>
      </c>
      <c r="G2732">
        <f>Skills!G12*IF(Skills!H12&gt;0,Skills!I12/Skills!H12,1)</f>
        <v/>
      </c>
      <c r="H2732">
        <f>1-(1-Skills!J12/100)^Skills!K12</f>
        <v/>
      </c>
      <c r="I2732" t="inlineStr">
        <is>
          <t>1</t>
        </is>
      </c>
      <c r="J2732">
        <f>((Inputs!$B$6*(1+Inputs!$B$7/100))+(((Inputs!$B$12*(1+Inputs!$B$13/100))-(Inputs!$B$12*(1+Inputs!$B$13/100)))+0.25*(Inputs!$B$14-Inputs!$B$14))*(1+Inputs!$B$7/100))*(F2732/100)</f>
        <v/>
      </c>
      <c r="K2732">
        <f>J2732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2732)</f>
        <v/>
      </c>
      <c r="L2732">
        <f>K2732*(MIN(Inputs!$B$22+((C2744=TRUE)*(F2744-Calc!F24)),(Inputs!$B$23+((C2749=TRUE)*(F2749-Calc!F29))+IF(ArtifactsInput!$M$15,CHOOSE(ArtifactsInput!$N$15+1,25,30,35,40,45,50)/100*(Inputs!$B$11-Inputs!$B$11),0)))/100+(Inputs!$B$23+((C2749=TRUE)*(F2749-Calc!F29))+IF(ArtifactsInput!$M$15,CHOOSE(ArtifactsInput!$N$15+1,25,30,35,40,45,50)/100*(Inputs!$B$11-Inputs!$B$11),0))/100)/2</f>
        <v/>
      </c>
      <c r="M2732">
        <f>L2732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IF(B2765=0,0,O2732/B2765)</f>
        <v/>
      </c>
      <c r="Q2732">
        <f>IFERROR(1/IF(Inputs!$B$39="pvp",15,MAX(0.1,Skills!D12-IF(Skills!E12=TRUE,Inputs!$B$32,0))),0)</f>
        <v/>
      </c>
      <c r="R2732">
        <f>IF(AND(Inputs!$B$39&lt;&gt;"pvp",Inputs!$B$44&gt;0),IF(MAX(0,Inputs!$B$44-B2764)&lt;=0,0,(INT(MAX(0,Inputs!$B$44-B2764)/IF(Inputs!$B$39="pvp",15,MAX(0.1,Skills!D12-IF(Skills!E12=TRUE,Inputs!$B$32,0))))+1)),0)</f>
        <v/>
      </c>
      <c r="S2732">
        <f>IFERROR(O2732/N2732,0)</f>
        <v/>
      </c>
      <c r="T2732">
        <f>IF(C2732,(H2732*N2732*IF(AND(Inputs!$B$39&lt;&gt;"pvp",Inputs!$B$44&gt;0),((Skills!G12*((R2732-1)*IF(Skills!H12&gt;0,Skills!I12/Skills!H12,1)+IF(Skills!H12&gt;0,MIN(Skills!I12,MAX(0,MAX(0,Inputs!$B$44-B2764)-((R2732-1)*IF(Inputs!$B$39="pvp",15,MAX(0.1,Skills!D12-IF(Skills!E12=TRUE,Inputs!$B$32,0))))))/Skills!H12,1)))/Inputs!$B$44),G2732*Q2732))*IF(Inputs!$B$39="pvp",1,1+(Inputs!$B$20+0+Skills!P12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2732*(1-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12*((R2732-1)*IF(Skills!H12&gt;0,Skills!I12/Skills!H12,1)+IF(Skills!H12&gt;0,MIN(Skills!I12,MAX(0,MAX(0,Inputs!$B$44-B2764)-((R2732-1)*IF(Inputs!$B$39="pvp",15,MAX(0.1,Skills!D12-IF(Skills!E12=TRUE,Inputs!$B$32,0))))))/Skills!H12,1)))/Inputs!$B$44),G2732*Q2732))*IF(Inputs!$B$39="pvp",1,(1+(Inputs!$B$21+Skills!Q12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Skills!A13</f>
        <v/>
      </c>
      <c r="B2733">
        <f>Skills!B13</f>
        <v/>
      </c>
      <c r="C2733">
        <f>Inputs!$B$3&gt;=105</f>
        <v/>
      </c>
      <c r="D2733">
        <f>IF(Skills!C13=1,60+Inputs!$B$25+Inputs!$B$29,IF(Skills!C13=2,90+Inputs!$B$26+Inputs!$B$29,IF(Skills!C13=3,120+Inputs!$B$27+Inputs!$B$29,MAX(0,(Inputs!$B$3-100)*3)+Inputs!$B$28+Inputs!$B$29)))</f>
        <v/>
      </c>
      <c r="E2733">
        <f>INDEX(FactorTable!$B$2:$Y$301, MATCH(ROUND(MIN(300,MAX(1,D2733)),0), FactorTable!$A$2:$A$301,0), Skills!M13+1)</f>
        <v/>
      </c>
      <c r="F2733">
        <f>IF(Skills!N13=TRUE,(Skills!L13/10)*(E2733/1000),Skills!L13/10)+Skills!O13</f>
        <v/>
      </c>
      <c r="G2733">
        <f>Skills!G13*IF(Skills!H13&gt;0,Skills!I13/Skills!H13,1)</f>
        <v/>
      </c>
      <c r="H2733">
        <f>1-(1-Skills!J13/100)^Skills!K13</f>
        <v/>
      </c>
      <c r="I2733" t="inlineStr">
        <is>
          <t>1</t>
        </is>
      </c>
      <c r="J2733">
        <f>((Inputs!$B$6*(1+Inputs!$B$7/100))+(((Inputs!$B$12*(1+Inputs!$B$13/100))-(Inputs!$B$12*(1+Inputs!$B$13/100)))+0.25*(Inputs!$B$14-Inputs!$B$14))*(1+Inputs!$B$7/100))*(F2733/100)</f>
        <v/>
      </c>
      <c r="K2733">
        <f>J2733*(1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2733)</f>
        <v/>
      </c>
      <c r="L2733">
        <f>K2733*(MIN(Inputs!$B$22+((C2744=TRUE)*(F2744-Calc!F24)),(Inputs!$B$23+((C2749=TRUE)*(F2749-Calc!F29))+IF(ArtifactsInput!$M$15,CHOOSE(ArtifactsInput!$N$15+1,25,30,35,40,45,50)/100*(Inputs!$B$11-Inputs!$B$11),0)))/100+(Inputs!$B$23+((C2749=TRUE)*(F2749-Calc!F29))+IF(ArtifactsInput!$M$15,CHOOSE(ArtifactsInput!$N$15+1,25,30,35,40,45,50)/100*(Inputs!$B$11-Inputs!$B$11),0))/100)/2</f>
        <v/>
      </c>
      <c r="M2733">
        <f>L2733*(1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3">
        <f>L2733*(1-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(1-Summary!$B$11)*T2733+Summary!$B$11*V2733</f>
        <v/>
      </c>
      <c r="P2733">
        <f>IF(B2765=0,0,O2733/B2765)</f>
        <v/>
      </c>
      <c r="Q2733">
        <f>IFERROR(1/IF(Inputs!$B$39="pvp",15,MAX(0.1,Skills!D13-IF(Skills!E13=TRUE,Inputs!$B$32,0))),0)</f>
        <v/>
      </c>
      <c r="R2733">
        <f>IF(AND(Inputs!$B$39&lt;&gt;"pvp",Inputs!$B$44&gt;0),IF(MAX(0,Inputs!$B$44-B2764)&lt;=0,0,(INT(MAX(0,Inputs!$B$44-B2764)/IF(Inputs!$B$39="pvp",15,MAX(0.1,Skills!D13-IF(Skills!E13=TRUE,Inputs!$B$32,0))))+1)),0)</f>
        <v/>
      </c>
      <c r="S2733">
        <f>IFERROR(O2733/N2733,0)</f>
        <v/>
      </c>
      <c r="T2733">
        <f>IF(C2733,(H2733*N2733*IF(AND(Inputs!$B$39&lt;&gt;"pvp",Inputs!$B$44&gt;0),((Skills!G13*((R2733-1)*IF(Skills!H13&gt;0,Skills!I13/Skills!H13,1)+IF(Skills!H13&gt;0,MIN(Skills!I13,MAX(0,MAX(0,Inputs!$B$44-B2764)-((R2733-1)*IF(Inputs!$B$39="pvp",15,MAX(0.1,Skills!D13-IF(Skills!E13=TRUE,Inputs!$B$32,0))))))/Skills!H13,1)))/Inputs!$B$44),G2733*Q2733))*IF(Inputs!$B$39="pvp",1,1+(Inputs!$B$20+0+Skills!P13+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2733*(1-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3">
        <f>IF(C2733,(H2733*N2733*IF(AND(Inputs!$B$39&lt;&gt;"pvp",Inputs!$B$44&gt;0),((Skills!G13*((R2733-1)*IF(Skills!H13&gt;0,Skills!I13/Skills!H13,1)+IF(Skills!H13&gt;0,MIN(Skills!I13,MAX(0,MAX(0,Inputs!$B$44-B2764)-((R2733-1)*IF(Inputs!$B$39="pvp",15,MAX(0.1,Skills!D13-IF(Skills!E13=TRUE,Inputs!$B$32,0))))))/Skills!H13,1)))/Inputs!$B$44),G2733*Q2733))*IF(Inputs!$B$39="pvp",1,(1+(Inputs!$B$21+Skills!Q13+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Skills!A14</f>
        <v/>
      </c>
      <c r="B2734">
        <f>Skills!B14</f>
        <v/>
      </c>
      <c r="C2734">
        <f>Inputs!$B$3&gt;=107</f>
        <v/>
      </c>
      <c r="D2734">
        <f>IF(Skills!C14=1,60+Inputs!$B$25+Inputs!$B$29,IF(Skills!C14=2,90+Inputs!$B$26+Inputs!$B$29,IF(Skills!C14=3,120+Inputs!$B$27+Inputs!$B$29,MAX(0,(Inputs!$B$3-100)*3)+Inputs!$B$28+Inputs!$B$29)))</f>
        <v/>
      </c>
      <c r="E2734">
        <f>INDEX(FactorTable!$B$2:$Y$301, MATCH(ROUND(MIN(300,MAX(1,D2734)),0), FactorTable!$A$2:$A$301,0), Skills!M14+1)</f>
        <v/>
      </c>
      <c r="F2734">
        <f>IF(Skills!N14=TRUE,(Skills!L14/10)*(E2734/1000),Skills!L14/10)+Skills!O14</f>
        <v/>
      </c>
      <c r="G2734">
        <f>Skills!G14*IF(Skills!H14&gt;0,Skills!I14/Skills!H14,1)</f>
        <v/>
      </c>
      <c r="H2734">
        <f>1-(1-Skills!J14/100)^Skills!K14</f>
        <v/>
      </c>
      <c r="I2734" t="inlineStr">
        <is>
          <t>1</t>
        </is>
      </c>
      <c r="J2734">
        <f>((Inputs!$B$6*(1+Inputs!$B$7/100))+(((Inputs!$B$12*(1+Inputs!$B$13/100))-(Inputs!$B$12*(1+Inputs!$B$13/100)))+0.25*(Inputs!$B$14-Inputs!$B$14))*(1+Inputs!$B$7/100))*(F2734/100)</f>
        <v/>
      </c>
      <c r="K2734">
        <f>J2734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2734)</f>
        <v/>
      </c>
      <c r="L2734">
        <f>K2734*(MIN(Inputs!$B$22+((C2744=TRUE)*(F2744-Calc!F24)),(Inputs!$B$23+((C2749=TRUE)*(F2749-Calc!F29))+IF(ArtifactsInput!$M$15,CHOOSE(ArtifactsInput!$N$15+1,25,30,35,40,45,50)/100*(Inputs!$B$11-Inputs!$B$11),0)))/100+(Inputs!$B$23+((C2749=TRUE)*(F2749-Calc!F29))+IF(ArtifactsInput!$M$15,CHOOSE(ArtifactsInput!$N$15+1,25,30,35,40,45,50)/100*(Inputs!$B$11-Inputs!$B$11),0))/100)/2</f>
        <v/>
      </c>
      <c r="M2734">
        <f>L2734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4">
        <f>L2734*(1-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(1-Summary!$B$11)*T2734+Summary!$B$11*V2734</f>
        <v/>
      </c>
      <c r="P2734">
        <f>IF(B2765=0,0,O2734/B2765)</f>
        <v/>
      </c>
      <c r="Q2734">
        <f>IFERROR(1/IF(Inputs!$B$39="pvp",15,MAX(0.1,Skills!D14-IF(Skills!E14=TRUE,Inputs!$B$32,0))),0)</f>
        <v/>
      </c>
      <c r="R2734">
        <f>IF(AND(Inputs!$B$39&lt;&gt;"pvp",Inputs!$B$44&gt;0),IF(MAX(0,Inputs!$B$44-B2764)&lt;=0,0,(INT(MAX(0,Inputs!$B$44-B2764)/IF(Inputs!$B$39="pvp",15,MAX(0.1,Skills!D14-IF(Skills!E14=TRUE,Inputs!$B$32,0))))+1)),0)</f>
        <v/>
      </c>
      <c r="S2734">
        <f>IFERROR(O2734/N2734,0)</f>
        <v/>
      </c>
      <c r="T2734">
        <f>IF(C2734,(H2734*N2734*IF(AND(Inputs!$B$39&lt;&gt;"pvp",Inputs!$B$44&gt;0),((Skills!G14*((R2734-1)*IF(Skills!H14&gt;0,Skills!I14/Skills!H14,1)+IF(Skills!H14&gt;0,MIN(Skills!I14,MAX(0,MAX(0,Inputs!$B$44-B2764)-((R2734-1)*IF(Inputs!$B$39="pvp",15,MAX(0.1,Skills!D14-IF(Skills!E14=TRUE,Inputs!$B$32,0))))))/Skills!H14,1)))/Inputs!$B$44),G2734*Q2734))*IF(Inputs!$B$39="pvp",1,1+(Inputs!$B$20+0+Skills!P14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2734*(1-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4">
        <f>IF(C2734,(H2734*N2734*IF(AND(Inputs!$B$39&lt;&gt;"pvp",Inputs!$B$44&gt;0),((Skills!G14*((R2734-1)*IF(Skills!H14&gt;0,Skills!I14/Skills!H14,1)+IF(Skills!H14&gt;0,MIN(Skills!I14,MAX(0,MAX(0,Inputs!$B$44-B2764)-((R2734-1)*IF(Inputs!$B$39="pvp",15,MAX(0.1,Skills!D14-IF(Skills!E14=TRUE,Inputs!$B$32,0))))))/Skills!H14,1)))/Inputs!$B$44),G2734*Q2734))*IF(Inputs!$B$39="pvp",1,(1+(Inputs!$B$21+Skills!Q14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(5,0.25*B2757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5">
      <c r="A2735">
        <f>Skills!A15</f>
        <v/>
      </c>
      <c r="B2735">
        <f>Skills!B15</f>
        <v/>
      </c>
      <c r="C2735">
        <f>Inputs!$B$3&gt;=110</f>
        <v/>
      </c>
      <c r="D2735">
        <f>IF(Skills!C15=1,60+Inputs!$B$25+Inputs!$B$29,IF(Skills!C15=2,90+Inputs!$B$26+Inputs!$B$29,IF(Skills!C15=3,120+Inputs!$B$27+Inputs!$B$29,MAX(0,(Inputs!$B$3-100)*3)+Inputs!$B$28+Inputs!$B$29)))</f>
        <v/>
      </c>
      <c r="E2735">
        <f>INDEX(FactorTable!$B$2:$Y$301, MATCH(ROUND(MIN(300,MAX(1,D2735)),0), FactorTable!$A$2:$A$301,0), Skills!M15+1)</f>
        <v/>
      </c>
      <c r="F2735">
        <f>IF(Skills!N15=TRUE,(Skills!L15/10)*(E2735/1000),Skills!L15/10)+Skills!O15</f>
        <v/>
      </c>
      <c r="G2735">
        <f>Skills!G15*IF(Skills!H15&gt;0,Skills!I15/Skills!H15,1)</f>
        <v/>
      </c>
      <c r="H2735">
        <f>1-(1-Skills!J15/100)^Skills!K15</f>
        <v/>
      </c>
      <c r="I2735" t="inlineStr">
        <is>
          <t>1</t>
        </is>
      </c>
      <c r="J2735" t="inlineStr"/>
      <c r="K2735" t="inlineStr"/>
      <c r="L2735" t="inlineStr"/>
      <c r="M2735" t="inlineStr"/>
      <c r="N2735" t="inlineStr"/>
      <c r="O2735">
        <f>(1-Summary!$B$11)*T2735+Summary!$B$11*V2735</f>
        <v/>
      </c>
      <c r="P2735">
        <f>IF(B2765=0,0,O2735/B2765)</f>
        <v/>
      </c>
      <c r="Q2735">
        <f>IFERROR(1/IF(Inputs!$B$39="pvp",15,MAX(0.1,Skills!D15-IF(Skills!E15=TRUE,Inputs!$B$32,0))),0)</f>
        <v/>
      </c>
      <c r="R2735">
        <f>IF(AND(Inputs!$B$39&lt;&gt;"pvp",Inputs!$B$44&gt;0),IF(Inputs!$B$44&lt;=0,0,(INT(Inputs!$B$44/IF(Inputs!$B$39="pvp",15,MAX(0.1,Skills!D15-IF(Skills!E15=TRUE,Inputs!$B$32,0))))+1)),0)</f>
        <v/>
      </c>
      <c r="S2735">
        <f>IFERROR(O2735/N2735,0)</f>
        <v/>
      </c>
      <c r="T2735" t="n">
        <v>0</v>
      </c>
      <c r="V2735" t="n">
        <v>0</v>
      </c>
    </row>
    <row r="2736">
      <c r="A2736">
        <f>Skills!A16</f>
        <v/>
      </c>
      <c r="B2736">
        <f>Skills!B16</f>
        <v/>
      </c>
      <c r="C2736">
        <f>Inputs!$B$3&gt;=115</f>
        <v/>
      </c>
      <c r="D2736">
        <f>IF(Skills!C16=1,60+Inputs!$B$25+Inputs!$B$29,IF(Skills!C16=2,90+Inputs!$B$26+Inputs!$B$29,IF(Skills!C16=3,120+Inputs!$B$27+Inputs!$B$29,MAX(0,(Inputs!$B$3-100)*3)+Inputs!$B$28+Inputs!$B$29)))</f>
        <v/>
      </c>
      <c r="E2736">
        <f>INDEX(FactorTable!$B$2:$Y$301, MATCH(ROUND(MIN(300,MAX(1,D2736)),0), FactorTable!$A$2:$A$301,0), Skills!M16+1)</f>
        <v/>
      </c>
      <c r="F2736">
        <f>IF(Skills!N16=TRUE,(Skills!L16/10)*(E2736/1000),Skills!L16/10)+Skills!O16</f>
        <v/>
      </c>
      <c r="G2736">
        <f>Skills!G16*IF(Skills!H16&gt;0,Skills!I16/Skills!H16,1)</f>
        <v/>
      </c>
      <c r="H2736">
        <f>1-(1-Skills!J16/100)^Skills!K16</f>
        <v/>
      </c>
      <c r="I2736" t="inlineStr">
        <is>
          <t>1</t>
        </is>
      </c>
      <c r="J2736">
        <f>((Inputs!$B$6*(1+Inputs!$B$7/100))+(((Inputs!$B$12*(1+Inputs!$B$13/100))-(Inputs!$B$12*(1+Inputs!$B$13/100)))+0.25*(Inputs!$B$14-Inputs!$B$14))*(1+Inputs!$B$7/100))*(F2736/100)</f>
        <v/>
      </c>
      <c r="K2736">
        <f>J2736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2747=TRUE)*(F2747-Calc!F27))+((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2736)</f>
        <v/>
      </c>
      <c r="L2736">
        <f>K2736*(MIN(Inputs!$B$22+((C2744=TRUE)*(F2744-Calc!F24)),(Inputs!$B$23+((C2749=TRUE)*(F2749-Calc!F29))+IF(ArtifactsInput!$M$15,CHOOSE(ArtifactsInput!$N$15+1,25,30,35,40,45,50)/100*(Inputs!$B$11-Inputs!$B$11),0)))/100+(Inputs!$B$23+((C2749=TRUE)*(F2749-Calc!F29))+IF(ArtifactsInput!$M$15,CHOOSE(ArtifactsInput!$N$15+1,25,30,35,40,45,50)/100*(Inputs!$B$11-Inputs!$B$11),0))/100)/2</f>
        <v/>
      </c>
      <c r="M2736">
        <f>L2736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6">
        <f>L2736*(1-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(1-Summary!$B$11)*T2736+Summary!$B$11*V2736</f>
        <v/>
      </c>
      <c r="P2736">
        <f>IF(B2765=0,0,O2736/B2765)</f>
        <v/>
      </c>
      <c r="Q2736" t="n">
        <v>0</v>
      </c>
      <c r="R2736" t="n">
        <v>0</v>
      </c>
      <c r="S2736">
        <f>IFERROR(O2736/N2736,0)</f>
        <v/>
      </c>
      <c r="T2736">
        <f>IF(C2736,(Inputs!$B$38*0.2*N2736)*IF(Inputs!$B$39="pvp",1,1+(Inputs!$B$20+0+Skills!P16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2736*(1-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$9+((C2745=TRUE)*(F2745-Calc!F25))+B2753+(ArtifactsInput!$M$24-ArtifactsInput!$M$24)*CHOOSE(ArtifactsInput!$N$24+1,10,12,14,16,18,20)+(IF(AND(Inputs!$B$39&lt;&gt;"pvp",Inputs!$B$44=0),1,IF(IF(Inputs!$B$39="pvp",15,Inputs!$B$44)-(B2764)&lt;=0,1,MAX(0,IF(Inputs!$B$39="pvp",15,Inputs!$B$44)-MAX(5,B2764))/(IF(Inputs!$B$39="pvp",15,Inputs!$B$44)-(B2764))))*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6">
        <f>IF(C2736,(Inputs!$B$38*0.2*N2736)*IF(Inputs!$B$39="pvp",1,(1+(Inputs!$B$21+Skills!Q16+B2754+(IF(IF(ArtifactsInput!$M$33,FALSE,TRUE),CHOOSE(ArtifactsInput!$N$33+1,30,36,42,48,54,60),0))+(IF(AND(ArtifactsInput!$M$35,Inputs!$B$4&lt;&gt;"Chapter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Skills!A17</f>
        <v/>
      </c>
      <c r="B2737">
        <f>Skills!B17</f>
        <v/>
      </c>
      <c r="C2737">
        <f>Inputs!$B$3&gt;=115</f>
        <v/>
      </c>
      <c r="D2737">
        <f>IF(Skills!C17=1,60+Inputs!$B$25+Inputs!$B$29,IF(Skills!C17=2,90+Inputs!$B$26+Inputs!$B$29,IF(Skills!C17=3,120+Inputs!$B$27+Inputs!$B$29,MAX(0,(Inputs!$B$3-100)*3)+Inputs!$B$28+Inputs!$B$29)))</f>
        <v/>
      </c>
      <c r="E2737">
        <f>INDEX(FactorTable!$B$2:$Y$301, MATCH(ROUND(MIN(300,MAX(1,D2737)),0), FactorTable!$A$2:$A$301,0), Skills!M17+1)</f>
        <v/>
      </c>
      <c r="F2737">
        <f>IF(Skills!N17=TRUE,(Skills!L17/10)*(E2737/1000),Skills!L17/10)+Skills!O17</f>
        <v/>
      </c>
      <c r="G2737">
        <f>Skills!G17*IF(Skills!H17&gt;0,Skills!I17/Skills!H17,1)</f>
        <v/>
      </c>
      <c r="H2737">
        <f>1-(1-Skills!J17/100)^Skills!K17</f>
        <v/>
      </c>
      <c r="I2737" t="inlineStr">
        <is>
          <t>1</t>
        </is>
      </c>
      <c r="J2737" t="inlineStr"/>
      <c r="K2737" t="inlineStr"/>
      <c r="L2737" t="inlineStr"/>
      <c r="M2737" t="inlineStr"/>
      <c r="N2737" t="inlineStr"/>
      <c r="O2737">
        <f>(1-Summary!$B$11)*T2737+Summary!$B$11*V2737</f>
        <v/>
      </c>
      <c r="P2737">
        <f>IF(B2765=0,0,O2737/B2765)</f>
        <v/>
      </c>
      <c r="Q2737" t="n">
        <v>0</v>
      </c>
      <c r="R2737" t="n">
        <v>0</v>
      </c>
      <c r="S2737">
        <f>IFERROR(O2737/N2737,0)</f>
        <v/>
      </c>
      <c r="T2737" t="n">
        <v>0</v>
      </c>
      <c r="V2737" t="n">
        <v>0</v>
      </c>
    </row>
    <row r="2738">
      <c r="A2738">
        <f>Skills!A18</f>
        <v/>
      </c>
      <c r="B2738">
        <f>Skills!B18</f>
        <v/>
      </c>
      <c r="C2738">
        <f>Inputs!$B$3&gt;=100</f>
        <v/>
      </c>
      <c r="D2738">
        <f>IF(Skills!C18=1,60+Inputs!$B$25+Inputs!$B$29,IF(Skills!C18=2,90+Inputs!$B$26+Inputs!$B$29,IF(Skills!C18=3,120+Inputs!$B$27+Inputs!$B$29,MAX(0,(Inputs!$B$3-100)*3)+Inputs!$B$28+Inputs!$B$29)))</f>
        <v/>
      </c>
      <c r="E2738">
        <f>INDEX(FactorTable!$B$2:$Y$301, MATCH(ROUND(MIN(300,MAX(1,D2738)),0), FactorTable!$A$2:$A$301,0), Skills!M18+1)</f>
        <v/>
      </c>
      <c r="F2738">
        <f>IF(Skills!N18=TRUE,(Skills!L18/10)*(E2738/1000),Skills!L18/10)+Skills!O18</f>
        <v/>
      </c>
      <c r="G2738">
        <f>Skills!G18*IF(Skills!H18&gt;0,Skills!I18/Skills!H18,1)</f>
        <v/>
      </c>
      <c r="H2738">
        <f>1-(1-Skills!J18/100)^Skills!K18</f>
        <v/>
      </c>
      <c r="I2738" t="inlineStr">
        <is>
          <t>1</t>
        </is>
      </c>
      <c r="J2738" t="inlineStr"/>
      <c r="K2738" t="inlineStr"/>
      <c r="L2738" t="inlineStr"/>
      <c r="M2738" t="inlineStr"/>
      <c r="N2738" t="inlineStr"/>
      <c r="O2738">
        <f>(1-Summary!$B$11)*T2738+Summary!$B$11*V2738</f>
        <v/>
      </c>
      <c r="P2738">
        <f>IF(B2765=0,0,O2738/B2765)</f>
        <v/>
      </c>
      <c r="Q2738" t="n">
        <v>0</v>
      </c>
      <c r="R2738" t="n">
        <v>0</v>
      </c>
      <c r="S2738">
        <f>IFERROR(O2738/N2738,0)</f>
        <v/>
      </c>
      <c r="T2738" t="n">
        <v>0</v>
      </c>
      <c r="V2738" t="n">
        <v>0</v>
      </c>
    </row>
    <row r="2739">
      <c r="A2739">
        <f>Skills!A19</f>
        <v/>
      </c>
      <c r="B2739">
        <f>Skills!B19</f>
        <v/>
      </c>
      <c r="C2739">
        <f>TRUE</f>
        <v/>
      </c>
      <c r="D2739">
        <f>IF(Skills!C19=1,60+Inputs!$B$25+Inputs!$B$29,IF(Skills!C19=2,90+Inputs!$B$26+Inputs!$B$29,IF(Skills!C19=3,120+Inputs!$B$27+Inputs!$B$29,MAX(0,(Inputs!$B$3-100)*3)+Inputs!$B$28+Inputs!$B$29)))</f>
        <v/>
      </c>
      <c r="E2739">
        <f>INDEX(FactorTable!$B$2:$Y$301, MATCH(ROUND(MIN(300,MAX(1,D2739)),0), FactorTable!$A$2:$A$301,0), Skills!M19+1)</f>
        <v/>
      </c>
      <c r="F2739">
        <f>IF(Skills!N19=TRUE,(Skills!L19/10)*(E2739/1000),Skills!L19/10)+Skills!O19</f>
        <v/>
      </c>
      <c r="G2739">
        <f>Skills!G19*IF(Skills!H19&gt;0,Skills!I19/Skills!H19,1)</f>
        <v/>
      </c>
      <c r="H2739">
        <f>1-(1-Skills!J19/100)^Skills!K19</f>
        <v/>
      </c>
      <c r="I2739" t="inlineStr">
        <is>
          <t>1</t>
        </is>
      </c>
      <c r="J2739" t="inlineStr"/>
      <c r="K2739" t="inlineStr"/>
      <c r="L2739" t="inlineStr"/>
      <c r="M2739" t="inlineStr"/>
      <c r="N2739" t="inlineStr"/>
      <c r="O2739">
        <f>(1-Summary!$B$11)*T2739+Summary!$B$11*V2739</f>
        <v/>
      </c>
      <c r="P2739">
        <f>IF(B2765=0,0,O2739/B2765)</f>
        <v/>
      </c>
      <c r="Q2739">
        <f>IFERROR(1/IF(Inputs!$B$39="pvp",15,MAX(0.1,Skills!D19-IF(Skills!E19=TRUE,Inputs!$B$32,0))),0)</f>
        <v/>
      </c>
      <c r="R2739">
        <f>IF(AND(Inputs!$B$39&lt;&gt;"pvp",Inputs!$B$44&gt;0),IF(Inputs!$B$44&lt;=0,0,(INT(Inputs!$B$44/IF(Inputs!$B$39="pvp",15,MAX(0.1,Skills!D19-IF(Skills!E19=TRUE,Inputs!$B$32,0))))+1)),0)</f>
        <v/>
      </c>
      <c r="S2739">
        <f>IFERROR(O2739/N2739,0)</f>
        <v/>
      </c>
      <c r="T2739" t="n">
        <v>0</v>
      </c>
      <c r="V2739" t="n">
        <v>0</v>
      </c>
    </row>
    <row r="2740">
      <c r="A2740">
        <f>Skills!A20</f>
        <v/>
      </c>
      <c r="B2740">
        <f>Skills!B20</f>
        <v/>
      </c>
      <c r="C2740">
        <f>Inputs!$B$3&gt;=15</f>
        <v/>
      </c>
      <c r="D2740">
        <f>IF(Skills!C20=1,60+Inputs!$B$25+Inputs!$B$29,IF(Skills!C20=2,90+Inputs!$B$26+Inputs!$B$29,IF(Skills!C20=3,120+Inputs!$B$27+Inputs!$B$29,MAX(0,(Inputs!$B$3-100)*3)+Inputs!$B$28+Inputs!$B$29)))</f>
        <v/>
      </c>
      <c r="E2740">
        <f>INDEX(FactorTable!$B$2:$Y$301, MATCH(ROUND(MIN(300,MAX(1,D2740)),0), FactorTable!$A$2:$A$301,0), Skills!M20+1)</f>
        <v/>
      </c>
      <c r="F2740">
        <f>IF(Skills!N20=TRUE,(Skills!L20/10)*(E2740/1000),Skills!L20/10)+Skills!O20</f>
        <v/>
      </c>
      <c r="G2740">
        <f>Skills!G20*IF(Skills!H20&gt;0,Skills!I20/Skills!H20,1)</f>
        <v/>
      </c>
      <c r="H2740">
        <f>1-(1-Skills!J20/100)^Skills!K20</f>
        <v/>
      </c>
      <c r="I2740" t="inlineStr">
        <is>
          <t>1</t>
        </is>
      </c>
      <c r="J2740" t="inlineStr"/>
      <c r="K2740" t="inlineStr"/>
      <c r="L2740" t="inlineStr"/>
      <c r="M2740" t="inlineStr"/>
      <c r="N2740" t="inlineStr"/>
      <c r="O2740">
        <f>(1-Summary!$B$11)*T2740+Summary!$B$11*V2740</f>
        <v/>
      </c>
      <c r="P2740">
        <f>IF(B2765=0,0,O2740/B2765)</f>
        <v/>
      </c>
      <c r="Q2740">
        <f>IFERROR(1/IF(Inputs!$B$39="pvp",15,MAX(0.1,Skills!D20-IF(Skills!E20=TRUE,Inputs!$B$32,0))),0)</f>
        <v/>
      </c>
      <c r="R2740">
        <f>IF(AND(Inputs!$B$39&lt;&gt;"pvp",Inputs!$B$44&gt;0),IF(Inputs!$B$44&lt;=0,0,(INT(Inputs!$B$44/IF(Inputs!$B$39="pvp",15,MAX(0.1,Skills!D20-IF(Skills!E20=TRUE,Inputs!$B$32,0))))+1)),0)</f>
        <v/>
      </c>
      <c r="S2740">
        <f>IFERROR(O2740/N2740,0)</f>
        <v/>
      </c>
      <c r="T2740" t="n">
        <v>0</v>
      </c>
      <c r="V2740" t="n">
        <v>0</v>
      </c>
    </row>
    <row r="2741">
      <c r="A2741">
        <f>Skills!A21</f>
        <v/>
      </c>
      <c r="B2741">
        <f>Skills!B21</f>
        <v/>
      </c>
      <c r="C2741">
        <f>Inputs!$B$3&gt;=15</f>
        <v/>
      </c>
      <c r="D2741">
        <f>IF(Skills!C21=1,60+Inputs!$B$25+Inputs!$B$29,IF(Skills!C21=2,90+Inputs!$B$26+Inputs!$B$29,IF(Skills!C21=3,120+Inputs!$B$27+Inputs!$B$29,MAX(0,(Inputs!$B$3-100)*3)+Inputs!$B$28+Inputs!$B$29)))</f>
        <v/>
      </c>
      <c r="E2741">
        <f>INDEX(FactorTable!$B$2:$Y$301, MATCH(ROUND(MIN(300,MAX(1,D2741)),0), FactorTable!$A$2:$A$301,0), Skills!M21+1)</f>
        <v/>
      </c>
      <c r="F2741">
        <f>IF(Skills!N21=TRUE,(Skills!L21/10)*(E2741/1000),Skills!L21/10)+Skills!O21</f>
        <v/>
      </c>
      <c r="G2741">
        <f>Skills!G21*IF(Skills!H21&gt;0,Skills!I21/Skills!H21,1)</f>
        <v/>
      </c>
      <c r="H2741">
        <f>1-(1-Skills!J21/100)^Skills!K21</f>
        <v/>
      </c>
      <c r="I2741" t="inlineStr">
        <is>
          <t>1</t>
        </is>
      </c>
      <c r="J2741" t="inlineStr"/>
      <c r="K2741" t="inlineStr"/>
      <c r="L2741" t="inlineStr"/>
      <c r="M2741" t="inlineStr"/>
      <c r="N2741" t="inlineStr"/>
      <c r="O2741">
        <f>(1-Summary!$B$11)*T2741+Summary!$B$11*V2741</f>
        <v/>
      </c>
      <c r="P2741">
        <f>IF(B2765=0,0,O2741/B2765)</f>
        <v/>
      </c>
      <c r="Q2741">
        <f>IFERROR(1/IF(Inputs!$B$39="pvp",15,MAX(0.1,Skills!D21-IF(Skills!E21=TRUE,Inputs!$B$32,0))),0)</f>
        <v/>
      </c>
      <c r="R2741">
        <f>IF(AND(Inputs!$B$39&lt;&gt;"pvp",Inputs!$B$44&gt;0),IF(Inputs!$B$44&lt;=0,0,(INT(Inputs!$B$44/IF(Inputs!$B$39="pvp",15,MAX(0.1,Skills!D21-IF(Skills!E21=TRUE,Inputs!$B$32,0))))+1)),0)</f>
        <v/>
      </c>
      <c r="S2741">
        <f>IFERROR(O2741/N2741,0)</f>
        <v/>
      </c>
      <c r="T2741" t="n">
        <v>0</v>
      </c>
      <c r="V2741" t="n">
        <v>0</v>
      </c>
    </row>
    <row r="2742">
      <c r="A2742">
        <f>Skills!A22</f>
        <v/>
      </c>
      <c r="B2742">
        <f>Skills!B22</f>
        <v/>
      </c>
      <c r="C2742">
        <f>Inputs!$B$3&gt;=33</f>
        <v/>
      </c>
      <c r="D2742">
        <f>IF(Skills!C22=1,60+Inputs!$B$25+Inputs!$B$29,IF(Skills!C22=2,90+Inputs!$B$26+Inputs!$B$29,IF(Skills!C22=3,120+Inputs!$B$27+Inputs!$B$29,MAX(0,(Inputs!$B$3-100)*3)+Inputs!$B$28+Inputs!$B$29)))</f>
        <v/>
      </c>
      <c r="E2742">
        <f>INDEX(FactorTable!$B$2:$Y$301, MATCH(ROUND(MIN(300,MAX(1,D2742)),0), FactorTable!$A$2:$A$301,0), Skills!M22+1)</f>
        <v/>
      </c>
      <c r="F2742">
        <f>IF(Skills!N22=TRUE,(Skills!L22/10)*(E2742/1000),Skills!L22/10)+Skills!O22</f>
        <v/>
      </c>
      <c r="G2742">
        <f>Skills!G22*IF(Skills!H22&gt;0,Skills!I22/Skills!H22,1)</f>
        <v/>
      </c>
      <c r="H2742">
        <f>1-(1-Skills!J22/100)^Skills!K22</f>
        <v/>
      </c>
      <c r="I2742" t="inlineStr">
        <is>
          <t>1</t>
        </is>
      </c>
      <c r="J2742" t="inlineStr"/>
      <c r="K2742" t="inlineStr"/>
      <c r="L2742" t="inlineStr"/>
      <c r="M2742" t="inlineStr"/>
      <c r="N2742" t="inlineStr"/>
      <c r="O2742">
        <f>(1-Summary!$B$11)*T2742+Summary!$B$11*V2742</f>
        <v/>
      </c>
      <c r="P2742">
        <f>IF(B2765=0,0,O2742/B2765)</f>
        <v/>
      </c>
      <c r="Q2742" t="n">
        <v>0</v>
      </c>
      <c r="R2742" t="n">
        <v>0</v>
      </c>
      <c r="S2742">
        <f>IFERROR(O2742/N2742,0)</f>
        <v/>
      </c>
      <c r="T2742" t="n">
        <v>0</v>
      </c>
      <c r="V2742" t="n">
        <v>0</v>
      </c>
    </row>
    <row r="2743">
      <c r="A2743">
        <f>Skills!A23</f>
        <v/>
      </c>
      <c r="B2743">
        <f>Skills!B23</f>
        <v/>
      </c>
      <c r="C2743">
        <f>Inputs!$B$3&gt;=40</f>
        <v/>
      </c>
      <c r="D2743">
        <f>IF(Skills!C23=1,60+Inputs!$B$25+Inputs!$B$29,IF(Skills!C23=2,90+Inputs!$B$26+Inputs!$B$29,IF(Skills!C23=3,120+Inputs!$B$27+Inputs!$B$29,MAX(0,(Inputs!$B$3-100)*3)+Inputs!$B$28+Inputs!$B$29)))</f>
        <v/>
      </c>
      <c r="E2743">
        <f>INDEX(FactorTable!$B$2:$Y$301, MATCH(ROUND(MIN(300,MAX(1,D2743)),0), FactorTable!$A$2:$A$301,0), Skills!M23+1)</f>
        <v/>
      </c>
      <c r="F2743">
        <f>IF(Skills!N23=TRUE,(Skills!L23/10)*(E2743/1000),Skills!L23/10)+Skills!O23</f>
        <v/>
      </c>
      <c r="G2743">
        <f>Skills!G23*IF(Skills!H23&gt;0,Skills!I23/Skills!H23,1)</f>
        <v/>
      </c>
      <c r="H2743">
        <f>1-(1-Skills!J23/100)^Skills!K23</f>
        <v/>
      </c>
      <c r="I2743" t="inlineStr">
        <is>
          <t>1</t>
        </is>
      </c>
      <c r="J2743" t="inlineStr"/>
      <c r="K2743" t="inlineStr"/>
      <c r="L2743" t="inlineStr"/>
      <c r="M2743" t="inlineStr"/>
      <c r="N2743" t="inlineStr"/>
      <c r="O2743">
        <f>(1-Summary!$B$11)*T2743+Summary!$B$11*V2743</f>
        <v/>
      </c>
      <c r="P2743">
        <f>IF(B2765=0,0,O2743/B2765)</f>
        <v/>
      </c>
      <c r="Q2743" t="n">
        <v>0</v>
      </c>
      <c r="R2743" t="n">
        <v>0</v>
      </c>
      <c r="S2743">
        <f>IFERROR(O2743/N2743,0)</f>
        <v/>
      </c>
      <c r="T2743" t="n">
        <v>0</v>
      </c>
      <c r="V2743" t="n">
        <v>0</v>
      </c>
    </row>
    <row r="2744">
      <c r="A2744">
        <f>Skills!A24</f>
        <v/>
      </c>
      <c r="B2744">
        <f>Skills!B24</f>
        <v/>
      </c>
      <c r="C2744">
        <f>Inputs!$B$3&gt;=43</f>
        <v/>
      </c>
      <c r="D2744">
        <f>IF(Skills!C24=1,60+Inputs!$B$25+Inputs!$B$29,IF(Skills!C24=2,90+Inputs!$B$26+Inputs!$B$29,IF(Skills!C24=3,120+Inputs!$B$27+Inputs!$B$29,MAX(0,(Inputs!$B$3-100)*3)+Inputs!$B$28+Inputs!$B$29)))</f>
        <v/>
      </c>
      <c r="E2744">
        <f>INDEX(FactorTable!$B$2:$Y$301, MATCH(ROUND(MIN(300,MAX(1,D2744)),0), FactorTable!$A$2:$A$301,0), Skills!M24+1)</f>
        <v/>
      </c>
      <c r="F2744">
        <f>IF(Skills!N24=TRUE,(Skills!L24/10)*(E2744/1000),Skills!L24/10)+Skills!O24</f>
        <v/>
      </c>
      <c r="G2744">
        <f>Skills!G24*IF(Skills!H24&gt;0,Skills!I24/Skills!H24,1)</f>
        <v/>
      </c>
      <c r="H2744">
        <f>1-(1-Skills!J24/100)^Skills!K24</f>
        <v/>
      </c>
      <c r="I2744" t="inlineStr">
        <is>
          <t>1</t>
        </is>
      </c>
      <c r="J2744" t="inlineStr"/>
      <c r="K2744" t="inlineStr"/>
      <c r="L2744" t="inlineStr"/>
      <c r="M2744" t="inlineStr"/>
      <c r="N2744" t="inlineStr"/>
      <c r="O2744">
        <f>(1-Summary!$B$11)*T2744+Summary!$B$11*V2744</f>
        <v/>
      </c>
      <c r="P2744">
        <f>IF(B2765=0,0,O2744/B2765)</f>
        <v/>
      </c>
      <c r="Q2744" t="n">
        <v>0</v>
      </c>
      <c r="R2744" t="n">
        <v>0</v>
      </c>
      <c r="S2744">
        <f>IFERROR(O2744/N2744,0)</f>
        <v/>
      </c>
      <c r="T2744" t="n">
        <v>0</v>
      </c>
      <c r="V2744" t="n">
        <v>0</v>
      </c>
    </row>
    <row r="2745">
      <c r="A2745">
        <f>Skills!A25</f>
        <v/>
      </c>
      <c r="B2745">
        <f>Skills!B25</f>
        <v/>
      </c>
      <c r="C2745">
        <f>Inputs!$B$3&gt;=50</f>
        <v/>
      </c>
      <c r="D2745">
        <f>IF(Skills!C25=1,60+Inputs!$B$25+Inputs!$B$29,IF(Skills!C25=2,90+Inputs!$B$26+Inputs!$B$29,IF(Skills!C25=3,120+Inputs!$B$27+Inputs!$B$29,MAX(0,(Inputs!$B$3-100)*3)+Inputs!$B$28+Inputs!$B$29)))</f>
        <v/>
      </c>
      <c r="E2745">
        <f>INDEX(FactorTable!$B$2:$Y$301, MATCH(ROUND(MIN(300,MAX(1,D2745)),0), FactorTable!$A$2:$A$301,0), Skills!M25+1)</f>
        <v/>
      </c>
      <c r="F2745">
        <f>IF(Skills!N25=TRUE,(Skills!L25/10)*(E2745/1000),Skills!L25/10)+Skills!O25</f>
        <v/>
      </c>
      <c r="G2745">
        <f>Skills!G25*IF(Skills!H25&gt;0,Skills!I25/Skills!H25,1)</f>
        <v/>
      </c>
      <c r="H2745">
        <f>1-(1-Skills!J25/100)^Skills!K25</f>
        <v/>
      </c>
      <c r="I2745" t="inlineStr">
        <is>
          <t>1</t>
        </is>
      </c>
      <c r="J2745" t="inlineStr"/>
      <c r="K2745" t="inlineStr"/>
      <c r="L2745" t="inlineStr"/>
      <c r="M2745" t="inlineStr"/>
      <c r="N2745" t="inlineStr"/>
      <c r="O2745">
        <f>(1-Summary!$B$11)*T2745+Summary!$B$11*V2745</f>
        <v/>
      </c>
      <c r="P2745">
        <f>IF(B2765=0,0,O2745/B2765)</f>
        <v/>
      </c>
      <c r="Q2745" t="n">
        <v>0</v>
      </c>
      <c r="R2745" t="n">
        <v>0</v>
      </c>
      <c r="S2745">
        <f>IFERROR(O2745/N2745,0)</f>
        <v/>
      </c>
      <c r="T2745" t="n">
        <v>0</v>
      </c>
      <c r="V2745" t="n">
        <v>0</v>
      </c>
    </row>
    <row r="2746">
      <c r="A2746">
        <f>Skills!A26</f>
        <v/>
      </c>
      <c r="B2746">
        <f>Skills!B26</f>
        <v/>
      </c>
      <c r="C2746">
        <f>Inputs!$B$3&gt;=50</f>
        <v/>
      </c>
      <c r="D2746">
        <f>IF(Skills!C26=1,60+Inputs!$B$25+Inputs!$B$29,IF(Skills!C26=2,90+Inputs!$B$26+Inputs!$B$29,IF(Skills!C26=3,120+Inputs!$B$27+Inputs!$B$29,MAX(0,(Inputs!$B$3-100)*3)+Inputs!$B$28+Inputs!$B$29)))</f>
        <v/>
      </c>
      <c r="E2746">
        <f>INDEX(FactorTable!$B$2:$Y$301, MATCH(ROUND(MIN(300,MAX(1,D2746)),0), FactorTable!$A$2:$A$301,0), Skills!M26+1)</f>
        <v/>
      </c>
      <c r="F2746">
        <f>IF(Skills!N26=TRUE,(Skills!L26/10)*(E2746/1000),Skills!L26/10)+Skills!O26</f>
        <v/>
      </c>
      <c r="G2746">
        <f>Skills!G26*IF(Skills!H26&gt;0,Skills!I26/Skills!H26,1)</f>
        <v/>
      </c>
      <c r="H2746">
        <f>1-(1-Skills!J26/100)^Skills!K26</f>
        <v/>
      </c>
      <c r="I2746" t="inlineStr">
        <is>
          <t>1</t>
        </is>
      </c>
      <c r="J2746" t="inlineStr"/>
      <c r="K2746" t="inlineStr"/>
      <c r="L2746" t="inlineStr"/>
      <c r="M2746" t="inlineStr"/>
      <c r="N2746" t="inlineStr"/>
      <c r="O2746">
        <f>(1-Summary!$B$11)*T2746+Summary!$B$11*V2746</f>
        <v/>
      </c>
      <c r="P2746">
        <f>IF(B2765=0,0,O2746/B2765)</f>
        <v/>
      </c>
      <c r="Q2746" t="n">
        <v>0</v>
      </c>
      <c r="R2746" t="n">
        <v>0</v>
      </c>
      <c r="S2746">
        <f>IFERROR(O2746/N2746,0)</f>
        <v/>
      </c>
      <c r="T2746" t="n">
        <v>0</v>
      </c>
      <c r="V2746" t="n">
        <v>0</v>
      </c>
    </row>
    <row r="2747">
      <c r="A2747">
        <f>Skills!A27</f>
        <v/>
      </c>
      <c r="B2747">
        <f>Skills!B27</f>
        <v/>
      </c>
      <c r="C2747">
        <f>Inputs!$B$3&gt;=38</f>
        <v/>
      </c>
      <c r="D2747">
        <f>IF(Skills!C27=1,60+Inputs!$B$25+Inputs!$B$29,IF(Skills!C27=2,90+Inputs!$B$26+Inputs!$B$29,IF(Skills!C27=3,120+Inputs!$B$27+Inputs!$B$29,MAX(0,(Inputs!$B$3-100)*3)+Inputs!$B$28+Inputs!$B$29)))</f>
        <v/>
      </c>
      <c r="E2747">
        <f>INDEX(FactorTable!$B$2:$Y$301, MATCH(ROUND(MIN(300,MAX(1,D2747)),0), FactorTable!$A$2:$A$301,0), Skills!M27+1)</f>
        <v/>
      </c>
      <c r="F2747">
        <f>IF(Skills!N27=TRUE,(Skills!L27/10)*(E2747/1000),Skills!L27/10)+Skills!O27</f>
        <v/>
      </c>
      <c r="G2747">
        <f>Skills!G27*IF(Skills!H27&gt;0,Skills!I27/Skills!H27,1)</f>
        <v/>
      </c>
      <c r="H2747">
        <f>1-(1-Skills!J27/100)^Skills!K27</f>
        <v/>
      </c>
      <c r="I2747" t="inlineStr">
        <is>
          <t>1</t>
        </is>
      </c>
      <c r="J2747" t="inlineStr"/>
      <c r="K2747" t="inlineStr"/>
      <c r="L2747" t="inlineStr"/>
      <c r="M2747" t="inlineStr"/>
      <c r="N2747" t="inlineStr"/>
      <c r="O2747">
        <f>(1-Summary!$B$11)*T2747+Summary!$B$11*V2747</f>
        <v/>
      </c>
      <c r="P2747">
        <f>IF(B2765=0,0,O2747/B2765)</f>
        <v/>
      </c>
      <c r="Q2747" t="n">
        <v>0</v>
      </c>
      <c r="R2747" t="n">
        <v>0</v>
      </c>
      <c r="S2747">
        <f>IFERROR(O2747/N2747,0)</f>
        <v/>
      </c>
      <c r="T2747" t="n">
        <v>0</v>
      </c>
      <c r="V2747" t="n">
        <v>0</v>
      </c>
    </row>
    <row r="2748">
      <c r="A2748">
        <f>Skills!A28</f>
        <v/>
      </c>
      <c r="B2748">
        <f>Skills!B28</f>
        <v/>
      </c>
      <c r="C2748">
        <f>Inputs!$B$3&gt;=120</f>
        <v/>
      </c>
      <c r="D2748">
        <f>IF(Skills!C28=1,60+Inputs!$B$25+Inputs!$B$29,IF(Skills!C28=2,90+Inputs!$B$26+Inputs!$B$29,IF(Skills!C28=3,120+Inputs!$B$27+Inputs!$B$29,MAX(0,(Inputs!$B$3-100)*3)+Inputs!$B$28+Inputs!$B$29)))</f>
        <v/>
      </c>
      <c r="E2748">
        <f>INDEX(FactorTable!$B$2:$Y$301, MATCH(ROUND(MIN(300,MAX(1,D2748)),0), FactorTable!$A$2:$A$301,0), Skills!M28+1)</f>
        <v/>
      </c>
      <c r="F2748">
        <f>IF(Skills!N28=TRUE,(Skills!L28/10)*(E2748/1000),Skills!L28/10)+Skills!O28</f>
        <v/>
      </c>
      <c r="G2748">
        <f>Skills!G28*IF(Skills!H28&gt;0,Skills!I28/Skills!H28,1)</f>
        <v/>
      </c>
      <c r="H2748">
        <f>1-(1-Skills!J28/100)^Skills!K28</f>
        <v/>
      </c>
      <c r="I2748" t="inlineStr">
        <is>
          <t>1</t>
        </is>
      </c>
      <c r="J2748" t="inlineStr"/>
      <c r="K2748" t="inlineStr"/>
      <c r="L2748" t="inlineStr"/>
      <c r="M2748" t="inlineStr"/>
      <c r="N2748" t="inlineStr"/>
      <c r="O2748">
        <f>(1-Summary!$B$11)*T2748+Summary!$B$11*V2748</f>
        <v/>
      </c>
      <c r="P2748">
        <f>IF(B2765=0,0,O2748/B2765)</f>
        <v/>
      </c>
      <c r="Q2748" t="n">
        <v>0</v>
      </c>
      <c r="R2748" t="n">
        <v>0</v>
      </c>
      <c r="S2748">
        <f>IFERROR(O2748/N2748,0)</f>
        <v/>
      </c>
      <c r="T2748" t="n">
        <v>0</v>
      </c>
      <c r="V2748" t="n">
        <v>0</v>
      </c>
    </row>
    <row r="2749">
      <c r="A2749">
        <f>Skills!A29</f>
        <v/>
      </c>
      <c r="B2749">
        <f>Skills!B29</f>
        <v/>
      </c>
      <c r="C2749">
        <f>Inputs!$B$3&gt;=120</f>
        <v/>
      </c>
      <c r="D2749">
        <f>IF(Skills!C29=1,60+Inputs!$B$25+Inputs!$B$29,IF(Skills!C29=2,90+Inputs!$B$26+Inputs!$B$29,IF(Skills!C29=3,120+Inputs!$B$27+Inputs!$B$29,MAX(0,(Inputs!$B$3-100)*3)+Inputs!$B$28+Inputs!$B$29)))</f>
        <v/>
      </c>
      <c r="E2749">
        <f>INDEX(FactorTable!$B$2:$Y$301, MATCH(ROUND(MIN(300,MAX(1,D2749)),0), FactorTable!$A$2:$A$301,0), Skills!M29+1)</f>
        <v/>
      </c>
      <c r="F2749">
        <f>IF(Skills!N29=TRUE,(Skills!L29/10)*(E2749/1000),Skills!L29/10)+Skills!O29</f>
        <v/>
      </c>
      <c r="G2749">
        <f>Skills!G29*IF(Skills!H29&gt;0,Skills!I29/Skills!H29,1)</f>
        <v/>
      </c>
      <c r="H2749">
        <f>1-(1-Skills!J29/100)^Skills!K29</f>
        <v/>
      </c>
      <c r="I2749" t="inlineStr">
        <is>
          <t>1</t>
        </is>
      </c>
      <c r="J2749" t="inlineStr"/>
      <c r="K2749" t="inlineStr"/>
      <c r="L2749" t="inlineStr"/>
      <c r="M2749" t="inlineStr"/>
      <c r="N2749" t="inlineStr"/>
      <c r="O2749">
        <f>(1-Summary!$B$11)*T2749+Summary!$B$11*V2749</f>
        <v/>
      </c>
      <c r="P2749">
        <f>IF(B2765=0,0,O2749/B2765)</f>
        <v/>
      </c>
      <c r="Q2749" t="n">
        <v>0</v>
      </c>
      <c r="R2749" t="n">
        <v>0</v>
      </c>
      <c r="S2749">
        <f>IFERROR(O2749/N2749,0)</f>
        <v/>
      </c>
      <c r="T2749" t="n">
        <v>0</v>
      </c>
      <c r="V2749" t="n">
        <v>0</v>
      </c>
    </row>
    <row r="2750">
      <c r="A2750">
        <f>Skills!A30</f>
        <v/>
      </c>
      <c r="B2750">
        <f>Skills!B30</f>
        <v/>
      </c>
      <c r="C2750">
        <f>Inputs!$B$3&gt;=125</f>
        <v/>
      </c>
      <c r="D2750">
        <f>IF(Skills!C30=1,60+Inputs!$B$25+Inputs!$B$29,IF(Skills!C30=2,90+Inputs!$B$26+Inputs!$B$29,IF(Skills!C30=3,120+Inputs!$B$27+Inputs!$B$29,MAX(0,(Inputs!$B$3-100)*3)+Inputs!$B$28+Inputs!$B$29)))</f>
        <v/>
      </c>
      <c r="E2750">
        <f>INDEX(FactorTable!$B$2:$Y$301, MATCH(ROUND(MIN(300,MAX(1,D2750)),0), FactorTable!$A$2:$A$301,0), Skills!M30+1)</f>
        <v/>
      </c>
      <c r="F2750">
        <f>IF(Skills!N30=TRUE,(Skills!L30/10)*(E2750/1000),Skills!L30/10)+Skills!O30</f>
        <v/>
      </c>
      <c r="G2750">
        <f>Skills!G30*IF(Skills!H30&gt;0,Skills!I30/Skills!H30,1)</f>
        <v/>
      </c>
      <c r="H2750">
        <f>1-(1-Skills!J30/100)^Skills!K30</f>
        <v/>
      </c>
      <c r="I2750" t="inlineStr">
        <is>
          <t>1</t>
        </is>
      </c>
      <c r="J2750" t="inlineStr"/>
      <c r="K2750" t="inlineStr"/>
      <c r="L2750" t="inlineStr"/>
      <c r="M2750" t="inlineStr"/>
      <c r="N2750" t="inlineStr"/>
      <c r="O2750">
        <f>(1-Summary!$B$11)*T2750+Summary!$B$11*V2750</f>
        <v/>
      </c>
      <c r="P2750">
        <f>IF(B2765=0,0,O2750/B2765)</f>
        <v/>
      </c>
      <c r="Q2750" t="n">
        <v>0</v>
      </c>
      <c r="R2750" t="n">
        <v>0</v>
      </c>
      <c r="S2750">
        <f>IFERROR(O2750/N2750,0)</f>
        <v/>
      </c>
      <c r="T2750" t="n">
        <v>0</v>
      </c>
      <c r="V2750" t="n">
        <v>0</v>
      </c>
    </row>
    <row r="2752">
      <c r="A2752" t="inlineStr">
        <is>
          <t>Average Buff Multiplier</t>
        </is>
      </c>
      <c r="B2752">
        <f>(1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f>
        <v/>
      </c>
    </row>
    <row r="2753">
      <c r="A2753" t="inlineStr">
        <is>
          <t>Global Crit Rate Bonus %</t>
        </is>
      </c>
      <c r="B2753">
        <f>((C2740=TRUE)*F2740*IF(AND(Inputs!$B$39&lt;&gt;"pvp",Inputs!$B$44&gt;0),(((R2740-1)*(Skills!Y20*(1+Inputs!$B$34/100))+MIN((Skills!Y20*(1+Inputs!$B$34/100)),MAX(0,Inputs!$B$44-((R2740-1)*Skills!D20))))/Inputs!$B$44),IF(Inputs!$B$39="pvp",MIN((Skills!Y20*(1+Inputs!$B$34/100)),15)/15,(Skills!Y20*(1+Inputs!$B$34/100))/Skills!D20)))</f>
        <v/>
      </c>
    </row>
    <row r="2754">
      <c r="A2754" t="inlineStr">
        <is>
          <t>Global Monster Damage-Taken Bonus %</t>
        </is>
      </c>
      <c r="B2754">
        <f>IF(Inputs!$B$3&gt;=82,15,0)</f>
        <v/>
      </c>
    </row>
    <row r="2755">
      <c r="A2755" t="inlineStr">
        <is>
          <t>Shadow Partner Average Multiplier</t>
        </is>
      </c>
      <c r="B2755">
        <f>1+((C2727=TRUE)*F2727*(1+3.3333333333333335*IF(C2738=TRUE,F2738,0)/100)*I2727*Skills!J7/100)/100</f>
        <v/>
      </c>
    </row>
    <row r="2756">
      <c r="A2756" t="inlineStr">
        <is>
          <t>Attack Speed Buff Bonus %</t>
        </is>
      </c>
      <c r="B2756">
        <f>((C2739=TRUE)*F2739*IF(AND(Inputs!$B$39&lt;&gt;"pvp",Inputs!$B$44&gt;0),(((R2739-1)*(Skills!Y19*(1+Inputs!$B$34/100))+MIN((Skills!Y19*(1+Inputs!$B$34/100)),MAX(0,Inputs!$B$44-((R2739-1)*Skills!D19))))/Inputs!$B$44),IF(Inputs!$B$39="pvp",MIN((Skills!Y19*(1+Inputs!$B$34/100)),15)/15,(Skills!Y19*(1+Inputs!$B$34/100))/Skills!D19)))+((C2723=TRUE)*F2723*3)</f>
        <v/>
      </c>
    </row>
    <row r="2757">
      <c r="A2757" t="inlineStr">
        <is>
          <t>Actions Per Second</t>
        </is>
      </c>
      <c r="B2757">
        <f>1+MIN(150,150*(1-(1-(Inputs!$B$11+((C2742=TRUE)*(F2742-Calc!F22)))/150)*(1-B2756/150)))/100</f>
        <v/>
      </c>
    </row>
    <row r="2758">
      <c r="A2758" t="inlineStr">
        <is>
          <t>Skill + Buff Cast Rate</t>
        </is>
      </c>
      <c r="B2758">
        <f>IF(AND(Inputs!$B$39&lt;&gt;"pvp",Inputs!$B$44&gt;0),SUMPRODUCT((Skills!E2:E30=TRUE)*(C2722:C2750=TRUE)*R2722:R2750*Skills!F2:F30)/Inputs!$B$44,SUMPRODUCT((Skills!E2:E30=TRUE)*(C2722:C2750=TRUE)*Q2722:Q2750*Skills!F2:F30))</f>
        <v/>
      </c>
    </row>
    <row r="2759">
      <c r="A2759" t="inlineStr">
        <is>
          <t>Cruel Stab Casts Per Second</t>
        </is>
      </c>
      <c r="B2759">
        <f>MAX(0,B2757-B2758)</f>
        <v/>
      </c>
    </row>
    <row r="2760">
      <c r="A2760" t="inlineStr">
        <is>
          <t>Global Critical Damage Bonus % (Smokescreen Mastery Lv.113)</t>
        </is>
      </c>
      <c r="B2760">
        <f>IF(Inputs!$B$3&gt;=113,30,0)*IF(AND(Inputs!$B$39&lt;&gt;"pvp",Inputs!$B$44&gt;0),(((R2735-1)*(Skills!Y15*(1+Inputs!$B$34/100))+MIN((Skills!Y15*(1+Inputs!$B$34/100)),MAX(0,Inputs!$B$44-((R2735-1)*Skills!D15))))/Inputs!$B$44),IF(Inputs!$B$39="pvp",MIN((Skills!Y15*(1+Inputs!$B$34/100)),15)/15,(Skills!Y15*(1+Inputs!$B$34/100))/Skills!D15))</f>
        <v/>
      </c>
    </row>
    <row r="2761">
      <c r="A2761" t="inlineStr">
        <is>
          <t>Meso Explosion average stack count</t>
        </is>
      </c>
      <c r="B2761">
        <f>MIN(10,0.5*B2757*Skills!D4)</f>
        <v/>
      </c>
    </row>
    <row r="2762">
      <c r="A2762" t="inlineStr">
        <is>
          <t>Blood Money average stack count</t>
        </is>
      </c>
      <c r="B2762">
        <f>MIN(5,0.25*B2757*Skills!D4)</f>
        <v/>
      </c>
    </row>
    <row r="2763">
      <c r="A2763" t="inlineStr">
        <is>
          <t>Assassinate Murderous Intent Multiplier</t>
        </is>
      </c>
      <c r="B2763">
        <f>1+IFERROR(MIN(1,Q2734*2/Q2731),0)</f>
        <v/>
      </c>
    </row>
    <row r="2764">
      <c r="A2764" t="inlineStr">
        <is>
          <t>Buff-Casting Startup Delay (s, fixed-duration only)</t>
        </is>
      </c>
      <c r="B2764">
        <f>IF(AND(Inputs!$B$39&lt;&gt;"pvp",Inputs!$B$44&gt;0),SUMPRODUCT((Skills!Y2:Y30&gt;0)*(Skills!E2:E30=TRUE)*(C2722:C2750=TRUE))/B2757,0)</f>
        <v/>
      </c>
    </row>
    <row r="2765">
      <c r="A2765" s="6" t="inlineStr">
        <is>
          <t>TOTAL DPS</t>
        </is>
      </c>
      <c r="B2765" s="6">
        <f>SUM(O2722:O2750)</f>
        <v/>
      </c>
    </row>
    <row r="2766">
      <c r="A2766" t="inlineStr">
        <is>
          <t>Boss-Only Total DPS (this block's swept value)</t>
        </is>
      </c>
      <c r="B2766">
        <f>SUM(T2722:T2750)</f>
        <v/>
      </c>
    </row>
    <row r="2767">
      <c r="A2767" t="inlineStr">
        <is>
          <t>Normal-Only Total DPS (this block's swept value)</t>
        </is>
      </c>
      <c r="B2767">
        <f>SUM(V2722:V2750)</f>
        <v/>
      </c>
    </row>
    <row r="2770">
      <c r="A2770" s="6" t="inlineStr">
        <is>
          <t>Stat: Bottle of Emotion (Equip)</t>
        </is>
      </c>
    </row>
    <row r="2771">
      <c r="A2771" s="5" t="inlineStr">
        <is>
          <t>Key</t>
        </is>
      </c>
      <c r="B2771" s="5" t="inlineStr">
        <is>
          <t>Name</t>
        </is>
      </c>
      <c r="C2771" s="5" t="inlineStr">
        <is>
          <t>Unlocked</t>
        </is>
      </c>
      <c r="D2771" s="5" t="inlineStr">
        <is>
          <t>InputLevel</t>
        </is>
      </c>
      <c r="E2771" s="5" t="inlineStr">
        <is>
          <t>Factor</t>
        </is>
      </c>
      <c r="F2771" s="5" t="inlineStr">
        <is>
          <t>CoefficientPercent</t>
        </is>
      </c>
      <c r="G2771" s="5" t="inlineStr">
        <is>
          <t>EffectiveHits</t>
        </is>
      </c>
      <c r="H2771" s="5" t="inlineStr">
        <is>
          <t>ProcProbability</t>
        </is>
      </c>
      <c r="I2771" s="5" t="inlineStr">
        <is>
          <t>MapleHeroMultiplier</t>
        </is>
      </c>
      <c r="J2771" s="5" t="inlineStr">
        <is>
          <t>BaseDamage</t>
        </is>
      </c>
      <c r="K2771" s="5" t="inlineStr">
        <is>
          <t>BaseHitDamage</t>
        </is>
      </c>
      <c r="L2771" s="5" t="inlineStr">
        <is>
          <t>NonCritAvg</t>
        </is>
      </c>
      <c r="M2771" s="5" t="inlineStr">
        <is>
          <t>CritAvg</t>
        </is>
      </c>
      <c r="N2771" s="5" t="inlineStr">
        <is>
          <t>ExpectedDamage(perHit)</t>
        </is>
      </c>
      <c r="O2771" s="5" t="inlineStr">
        <is>
          <t>DPS</t>
        </is>
      </c>
      <c r="P2771" s="5" t="inlineStr">
        <is>
          <t>% of Total</t>
        </is>
      </c>
      <c r="Q2771" s="5" t="inlineStr">
        <is>
          <t>InvCooldown</t>
        </is>
      </c>
      <c r="R2771" s="5" t="inlineStr">
        <is>
          <t>CastsInFight</t>
        </is>
      </c>
      <c r="S2771" s="5" t="inlineStr">
        <is>
          <t>HitRate(perSec)</t>
        </is>
      </c>
      <c r="U2771" t="inlineStr">
        <is>
          <t>helpers</t>
        </is>
      </c>
    </row>
    <row r="2772">
      <c r="A2772">
        <f>Skills!A2</f>
        <v/>
      </c>
      <c r="B2772">
        <f>Skills!B2</f>
        <v/>
      </c>
      <c r="C2772">
        <f>Inputs!$B$3&gt;=100</f>
        <v/>
      </c>
      <c r="D2772" t="inlineStr"/>
      <c r="E2772" t="inlineStr"/>
      <c r="F2772">
        <f>U2774+Skills!O2</f>
        <v/>
      </c>
      <c r="G2772">
        <f>Skills!G2*IF(Skills!H2&gt;0,Skills!I2/Skills!H2,1)</f>
        <v/>
      </c>
      <c r="H2772">
        <f>1-(1-Skills!J2/100)^Skills!K2</f>
        <v/>
      </c>
      <c r="I2772" t="inlineStr">
        <is>
          <t>1</t>
        </is>
      </c>
      <c r="J2772">
        <f>((Inputs!$B$6*(1+Inputs!$B$7/100))+(((Inputs!$B$12*(1+Inputs!$B$13/100))-(Inputs!$B$12*(1+Inputs!$B$13/100)))+0.25*(Inputs!$B$14-Inputs!$B$14))*(1+Inputs!$B$7/100))*(F2772/100)</f>
        <v/>
      </c>
      <c r="K2772">
        <f>J2772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2772)</f>
        <v/>
      </c>
      <c r="L2772">
        <f>K2772*(MIN(Inputs!$B$22+((C2794=TRUE)*(F2794-Calc!F24)),(Inputs!$B$23+((C2799=TRUE)*(F2799-Calc!F29))+IF(ArtifactsInput!$M$15,CHOOSE(ArtifactsInput!$N$15+1,25,30,35,40,45,50)/100*(Inputs!$B$11-Inputs!$B$11),0)))/100+(Inputs!$B$23+((C2799=TRUE)*(F2799-Calc!F29))+IF(ArtifactsInput!$M$15,CHOOSE(ArtifactsInput!$N$15+1,25,30,35,40,45,50)/100*(Inputs!$B$11-Inputs!$B$11),0))/100)/2</f>
        <v/>
      </c>
      <c r="M2772">
        <f>L2772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IF(B2815=0,0,O2772/B2815)</f>
        <v/>
      </c>
      <c r="Q2772" t="n">
        <v>0</v>
      </c>
      <c r="R2772" t="n">
        <v>0</v>
      </c>
      <c r="S2772">
        <f>IFERROR(O2772/N2772,0)</f>
        <v/>
      </c>
      <c r="T2772">
        <f>IF(C2772,(Skills!G2*N2772*B2809)*IF(Inputs!$B$39="pvp",1,1+(Inputs!$B$20+0+Skills!P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2772*(1-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MAX(0,(Inputs!$B$3-100)*3)+Inputs!$B$28+Inputs!$B$29</f>
        <v/>
      </c>
      <c r="V2772">
        <f>IF(C2772,(Skills!G2*N2772*B2809)*IF(Inputs!$B$39="pvp",1,(1+(Inputs!$B$21+Skills!Q2+B2804+(IF(ArtifactsInput!$M$33,CHOOSE(ArtifactsInput!$N$33+1,30,36,42,48,54,60),0))+(IF(AND(ArtifactsInput!$M$35,Inputs!$B$4&lt;&gt;"Chapter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Skills!A3</f>
        <v/>
      </c>
      <c r="B2773">
        <f>Skills!B3</f>
        <v/>
      </c>
      <c r="C2773">
        <f>Inputs!$B$3&gt;=35</f>
        <v/>
      </c>
      <c r="D2773">
        <f>IF(Skills!C3=1,60+Inputs!$B$25+Inputs!$B$29,IF(Skills!C3=2,90+Inputs!$B$26+Inputs!$B$29,IF(Skills!C3=3,120+Inputs!$B$27+Inputs!$B$29,MAX(0,(Inputs!$B$3-100)*3)+Inputs!$B$28+Inputs!$B$29)))</f>
        <v/>
      </c>
      <c r="E2773">
        <f>INDEX(FactorTable!$B$2:$Y$301, MATCH(ROUND(MIN(300,MAX(1,D2773)),0), FactorTable!$A$2:$A$301,0), Skills!M3+1)</f>
        <v/>
      </c>
      <c r="F2773">
        <f>IF(Skills!N3=TRUE,(Skills!L3/10)*(E2773/1000),Skills!L3/10)+Skills!O3</f>
        <v/>
      </c>
      <c r="G2773">
        <f>Skills!G3*IF(Skills!H3&gt;0,Skills!I3/Skills!H3,1)</f>
        <v/>
      </c>
      <c r="H2773">
        <f>1-(1-Skills!J3/100)^Skills!K3</f>
        <v/>
      </c>
      <c r="I2773" t="inlineStr">
        <is>
          <t>1</t>
        </is>
      </c>
      <c r="J2773" t="inlineStr"/>
      <c r="K2773" t="inlineStr"/>
      <c r="L2773" t="inlineStr"/>
      <c r="M2773" t="inlineStr"/>
      <c r="N2773" t="inlineStr"/>
      <c r="O2773">
        <f>(1-Summary!$B$11)*T2773+Summary!$B$11*V2773</f>
        <v/>
      </c>
      <c r="P2773">
        <f>IF(B2815=0,0,O2773/B2815)</f>
        <v/>
      </c>
      <c r="Q2773" t="n">
        <v>0</v>
      </c>
      <c r="R2773" t="n">
        <v>0</v>
      </c>
      <c r="S2773">
        <f>IFERROR(O2773/N2773,0)</f>
        <v/>
      </c>
      <c r="T2773" t="n">
        <v>0</v>
      </c>
      <c r="U2773">
        <f>INDEX(FactorTable!$B$2:$Y$301, MATCH(ROUND(MIN(300,MAX(1,U2772)),0), FactorTable!$A$2:$A$301,0), 22)</f>
        <v/>
      </c>
      <c r="V2773" t="n">
        <v>0</v>
      </c>
    </row>
    <row r="2774">
      <c r="A2774">
        <f>Skills!A4</f>
        <v/>
      </c>
      <c r="B2774">
        <f>Skills!B4</f>
        <v/>
      </c>
      <c r="C2774">
        <f>Inputs!$B$3&gt;=66</f>
        <v/>
      </c>
      <c r="D2774">
        <f>IF(Skills!C4=1,60+Inputs!$B$25+Inputs!$B$29,IF(Skills!C4=2,90+Inputs!$B$26+Inputs!$B$29,IF(Skills!C4=3,120+Inputs!$B$27+Inputs!$B$29,MAX(0,(Inputs!$B$3-100)*3)+Inputs!$B$28+Inputs!$B$29)))</f>
        <v/>
      </c>
      <c r="E2774">
        <f>INDEX(FactorTable!$B$2:$Y$301, MATCH(ROUND(MIN(300,MAX(1,D2774)),0), FactorTable!$A$2:$A$301,0), Skills!M4+1)</f>
        <v/>
      </c>
      <c r="F2774">
        <f>IF(Skills!N4=TRUE,(Skills!L4/10)*(E2774/1000),Skills!L4/10)+Skills!O4</f>
        <v/>
      </c>
      <c r="G2774">
        <f>Skills!G4*IF(Skills!H4&gt;0,Skills!I4/Skills!H4,1)</f>
        <v/>
      </c>
      <c r="H2774">
        <f>1-(1-Skills!J4/100)^Skills!K4</f>
        <v/>
      </c>
      <c r="I2774" t="inlineStr">
        <is>
          <t>1</t>
        </is>
      </c>
      <c r="J2774">
        <f>((Inputs!$B$6*(1+Inputs!$B$7/100))+(((Inputs!$B$12*(1+Inputs!$B$13/100))-(Inputs!$B$12*(1+Inputs!$B$13/100)))+0.25*(Inputs!$B$14-Inputs!$B$14))*(1+Inputs!$B$7/100))*(F2774/100)</f>
        <v/>
      </c>
      <c r="K2774">
        <f>J2774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2774)</f>
        <v/>
      </c>
      <c r="L2774">
        <f>K2774*(MIN(Inputs!$B$22+((C2794=TRUE)*(F2794-Calc!F24)),(Inputs!$B$23+((C2799=TRUE)*(F2799-Calc!F29))+IF(ArtifactsInput!$M$15,CHOOSE(ArtifactsInput!$N$15+1,25,30,35,40,45,50)/100*(Inputs!$B$11-Inputs!$B$11),0)))/100+(Inputs!$B$23+((C2799=TRUE)*(F2799-Calc!F29))+IF(ArtifactsInput!$M$15,CHOOSE(ArtifactsInput!$N$15+1,25,30,35,40,45,50)/100*(Inputs!$B$11-Inputs!$B$11),0))/100)/2</f>
        <v/>
      </c>
      <c r="M2774">
        <f>L2774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4">
        <f>L2774*(1-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(1-Summary!$B$11)*T2774+Summary!$B$11*V2774</f>
        <v/>
      </c>
      <c r="P2774">
        <f>IF(B2815=0,0,O2774/B2815)</f>
        <v/>
      </c>
      <c r="Q2774">
        <f>IFERROR(1/IF(Inputs!$B$39="pvp",15,MAX(0.1,Skills!D4-IF(Skills!E4=TRUE,Inputs!$B$32,0))),0)</f>
        <v/>
      </c>
      <c r="R2774">
        <f>IF(AND(Inputs!$B$39&lt;&gt;"pvp",Inputs!$B$44&gt;0),IF(MAX(0,Inputs!$B$44-B2814)&lt;=0,0,(INT(MAX(0,Inputs!$B$44-B2814)/IF(Inputs!$B$39="pvp",15,MAX(0.1,Skills!D4-IF(Skills!E4=TRUE,Inputs!$B$32,0))))+1)),0)</f>
        <v/>
      </c>
      <c r="S2774">
        <f>IFERROR(O2774/N2774,0)</f>
        <v/>
      </c>
      <c r="T2774">
        <f>IF(C2774,(H2774*N2774*IF(AND(Inputs!$B$39&lt;&gt;"pvp",Inputs!$B$44&gt;0),((Skills!G4*((R2774-1)*IF(Skills!H4&gt;0,Skills!I4/Skills!H4,1)+IF(Skills!H4&gt;0,MIN(Skills!I4,MAX(0,MAX(0,Inputs!$B$44-B2814)-((R2774-1)*IF(Inputs!$B$39="pvp",15,MAX(0.1,Skills!D4-IF(Skills!E4=TRUE,Inputs!$B$32,0))))))/Skills!H4,1)))/Inputs!$B$44),G2774*Q2774))*IF(Inputs!$B$39="pvp",1,1+(Inputs!$B$20+0+Skills!P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2774*(1-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4">
        <f>290*U2773/1000</f>
        <v/>
      </c>
      <c r="V2774">
        <f>IF(C2774,(H2774*N2774*IF(AND(Inputs!$B$39&lt;&gt;"pvp",Inputs!$B$44&gt;0),((Skills!G4*((R2774-1)*IF(Skills!H4&gt;0,Skills!I4/Skills!H4,1)+IF(Skills!H4&gt;0,MIN(Skills!I4,MAX(0,MAX(0,Inputs!$B$44-B2814)-((R2774-1)*IF(Inputs!$B$39="pvp",15,MAX(0.1,Skills!D4-IF(Skills!E4=TRUE,Inputs!$B$32,0))))))/Skills!H4,1)))/Inputs!$B$44),G2774*Q2774))*IF(Inputs!$B$39="pvp",1,(1+(Inputs!$B$21+Skills!Q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(10,0.5*B2807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Skills!A5</f>
        <v/>
      </c>
      <c r="B2775">
        <f>Skills!B5</f>
        <v/>
      </c>
      <c r="C2775">
        <f>Inputs!$B$3&gt;=63</f>
        <v/>
      </c>
      <c r="D2775">
        <f>IF(Skills!C5=1,60+Inputs!$B$25+Inputs!$B$29,IF(Skills!C5=2,90+Inputs!$B$26+Inputs!$B$29,IF(Skills!C5=3,120+Inputs!$B$27+Inputs!$B$29,MAX(0,(Inputs!$B$3-100)*3)+Inputs!$B$28+Inputs!$B$29)))</f>
        <v/>
      </c>
      <c r="E2775">
        <f>INDEX(FactorTable!$B$2:$Y$301, MATCH(ROUND(MIN(300,MAX(1,D2775)),0), FactorTable!$A$2:$A$301,0), Skills!M5+1)</f>
        <v/>
      </c>
      <c r="F2775">
        <f>IF(Skills!N5=TRUE,(Skills!L5/10)*(E2775/1000),Skills!L5/10)+Skills!O5</f>
        <v/>
      </c>
      <c r="G2775">
        <f>Skills!G5*IF(Skills!H5&gt;0,Skills!I5/Skills!H5,1)</f>
        <v/>
      </c>
      <c r="H2775">
        <f>1-(1-Skills!J5/100)^Skills!K5</f>
        <v/>
      </c>
      <c r="I2775" t="inlineStr">
        <is>
          <t>1</t>
        </is>
      </c>
      <c r="J2775">
        <f>((Inputs!$B$6*(1+Inputs!$B$7/100))+(((Inputs!$B$12*(1+Inputs!$B$13/100))-(Inputs!$B$12*(1+Inputs!$B$13/100)))+0.25*(Inputs!$B$14-Inputs!$B$14))*(1+Inputs!$B$7/100))*(F2775/100)</f>
        <v/>
      </c>
      <c r="K2775">
        <f>J2775*(1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+2.6666666666666665*IF(C2788=TRUE,F2788,0)/100)*(1+(IF(Skills!A5="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2775)</f>
        <v/>
      </c>
      <c r="L2775">
        <f>K2775*(MIN(Inputs!$B$22+((C2794=TRUE)*(F2794-Calc!F24)),(Inputs!$B$23+((C2799=TRUE)*(F2799-Calc!F29))+IF(ArtifactsInput!$M$15,CHOOSE(ArtifactsInput!$N$15+1,25,30,35,40,45,50)/100*(Inputs!$B$11-Inputs!$B$11),0)))/100+(Inputs!$B$23+((C2799=TRUE)*(F2799-Calc!F29))+IF(ArtifactsInput!$M$15,CHOOSE(ArtifactsInput!$N$15+1,25,30,35,40,45,50)/100*(Inputs!$B$11-Inputs!$B$11),0))/100)/2</f>
        <v/>
      </c>
      <c r="M2775">
        <f>L2775*(1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IF(B2815=0,0,O2775/B2815)</f>
        <v/>
      </c>
      <c r="Q2775">
        <f>IFERROR(1/IF(Inputs!$B$39="pvp",15,MAX(0.1,Skills!D5-IF(Skills!E5=TRUE,Inputs!$B$32,0))),0)</f>
        <v/>
      </c>
      <c r="R2775">
        <f>IF(AND(Inputs!$B$39&lt;&gt;"pvp",Inputs!$B$44&gt;0),IF(MAX(0,Inputs!$B$44-B2814)&lt;=0,0,(INT(MAX(0,Inputs!$B$44-B2814)/IF(Inputs!$B$39="pvp",15,MAX(0.1,Skills!D5-IF(Skills!E5=TRUE,Inputs!$B$32,0))))+1)),0)</f>
        <v/>
      </c>
      <c r="S2775">
        <f>IFERROR(O2775/N2775,0)</f>
        <v/>
      </c>
      <c r="T2775">
        <f>IF(C2775,(H2775*N2775*IF(AND(Inputs!$B$39&lt;&gt;"pvp",Inputs!$B$44&gt;0),((Skills!G5*((R2775-1)*IF(Skills!H5&gt;0,Skills!I5/Skills!H5,1)+IF(Skills!H5&gt;0,MIN(Skills!I5,MAX(0,MAX(0,Inputs!$B$44-B2814)-((R2775-1)*IF(Inputs!$B$39="pvp",15,MAX(0.1,Skills!D5-IF(Skills!E5=TRUE,Inputs!$B$32,0))))))/Skills!H5,1)))/Inputs!$B$44),G2775*Q2775))*IF(Inputs!$B$39="pvp",1,1+(Inputs!$B$20+0+Skills!P5+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2775*(1-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5*((R2775-1)*IF(Skills!H5&gt;0,Skills!I5/Skills!H5,1)+IF(Skills!H5&gt;0,MIN(Skills!I5,MAX(0,MAX(0,Inputs!$B$44-B2814)-((R2775-1)*IF(Inputs!$B$39="pvp",15,MAX(0.1,Skills!D5-IF(Skills!E5=TRUE,Inputs!$B$32,0))))))/Skills!H5,1)))/Inputs!$B$44),G2775*Q2775))*IF(Inputs!$B$39="pvp",1,(1+(Inputs!$B$21+Skills!Q5+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Skills!A6</f>
        <v/>
      </c>
      <c r="B2776">
        <f>Skills!B6</f>
        <v/>
      </c>
      <c r="C2776">
        <f>Inputs!$B$3&gt;=69</f>
        <v/>
      </c>
      <c r="D2776">
        <f>IF(Skills!C6=1,60+Inputs!$B$25+Inputs!$B$29,IF(Skills!C6=2,90+Inputs!$B$26+Inputs!$B$29,IF(Skills!C6=3,120+Inputs!$B$27+Inputs!$B$29,MAX(0,(Inputs!$B$3-100)*3)+Inputs!$B$28+Inputs!$B$29)))</f>
        <v/>
      </c>
      <c r="E2776">
        <f>INDEX(FactorTable!$B$2:$Y$301, MATCH(ROUND(MIN(300,MAX(1,D2776)),0), FactorTable!$A$2:$A$301,0), Skills!M6+1)</f>
        <v/>
      </c>
      <c r="F2776">
        <f>IF(Skills!N6=TRUE,(Skills!L6/10)*(E2776/1000),Skills!L6/10)+Skills!O6</f>
        <v/>
      </c>
      <c r="G2776">
        <f>Skills!G6*IF(Skills!H6&gt;0,Skills!I6/Skills!H6,1)</f>
        <v/>
      </c>
      <c r="H2776">
        <f>1-(1-Skills!J6/100)^Skills!K6</f>
        <v/>
      </c>
      <c r="I2776" t="inlineStr">
        <is>
          <t>1</t>
        </is>
      </c>
      <c r="J2776">
        <f>((Inputs!$B$6*(1+Inputs!$B$7/100))+(((Inputs!$B$12*(1+Inputs!$B$13/100))-(Inputs!$B$12*(1+Inputs!$B$13/100)))+0.25*(Inputs!$B$14-Inputs!$B$14))*(1+Inputs!$B$7/100))*(F2776/100)</f>
        <v/>
      </c>
      <c r="K2776">
        <f>J2776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2788=TRUE,F2788,0)/100)*(1+(IF(Skills!A6="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2776)</f>
        <v/>
      </c>
      <c r="L2776">
        <f>K2776*(MIN(Inputs!$B$22+((C2794=TRUE)*(F2794-Calc!F24)),(Inputs!$B$23+((C2799=TRUE)*(F2799-Calc!F29))+IF(ArtifactsInput!$M$15,CHOOSE(ArtifactsInput!$N$15+1,25,30,35,40,45,50)/100*(Inputs!$B$11-Inputs!$B$11),0)))/100+(Inputs!$B$23+((C2799=TRUE)*(F2799-Calc!F29))+IF(ArtifactsInput!$M$15,CHOOSE(ArtifactsInput!$N$15+1,25,30,35,40,45,50)/100*(Inputs!$B$11-Inputs!$B$11),0))/100)/2</f>
        <v/>
      </c>
      <c r="M2776">
        <f>L2776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IF(B2815=0,0,O2776/B2815)</f>
        <v/>
      </c>
      <c r="Q2776">
        <f>IFERROR(1/IF(Inputs!$B$39="pvp",15,MAX(0.1,Skills!D6-IF(Skills!E6=TRUE,Inputs!$B$32,0))),0)</f>
        <v/>
      </c>
      <c r="R2776">
        <f>IF(AND(Inputs!$B$39&lt;&gt;"pvp",Inputs!$B$44&gt;0),IF(MAX(0,Inputs!$B$44-B2814)&lt;=0,0,(INT(MAX(0,Inputs!$B$44-B2814)/IF(Inputs!$B$39="pvp",15,MAX(0.1,Skills!D6-IF(Skills!E6=TRUE,Inputs!$B$32,0))))+1)),0)</f>
        <v/>
      </c>
      <c r="S2776">
        <f>IFERROR(O2776/N2776,0)</f>
        <v/>
      </c>
      <c r="T2776">
        <f>IF(C2776,(H2776*N2776*IF(AND(Inputs!$B$39&lt;&gt;"pvp",Inputs!$B$44&gt;0),((Skills!G6*((R2776-1)*IF(Skills!H6&gt;0,Skills!I6/Skills!H6,1)+IF(Skills!H6&gt;0,MIN(Skills!I6,MAX(0,MAX(0,Inputs!$B$44-B2814)-((R2776-1)*IF(Inputs!$B$39="pvp",15,MAX(0.1,Skills!D6-IF(Skills!E6=TRUE,Inputs!$B$32,0))))))/Skills!H6,1)))/Inputs!$B$44),G2776*Q2776))*IF(Inputs!$B$39="pvp",1,1+(Inputs!$B$20+0+Skills!P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2776*(1-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6*((R2776-1)*IF(Skills!H6&gt;0,Skills!I6/Skills!H6,1)+IF(Skills!H6&gt;0,MIN(Skills!I6,MAX(0,MAX(0,Inputs!$B$44-B2814)-((R2776-1)*IF(Inputs!$B$39="pvp",15,MAX(0.1,Skills!D6-IF(Skills!E6=TRUE,Inputs!$B$32,0))))))/Skills!H6,1)))/Inputs!$B$44),G2776*Q2776))*IF(Inputs!$B$39="pvp",1,(1+(Inputs!$B$21+Skills!Q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Skills!A7</f>
        <v/>
      </c>
      <c r="B2777">
        <f>Skills!B7</f>
        <v/>
      </c>
      <c r="C2777">
        <f>Inputs!$B$3&gt;=60</f>
        <v/>
      </c>
      <c r="D2777">
        <f>IF(Skills!C7=1,60+Inputs!$B$25+Inputs!$B$29,IF(Skills!C7=2,90+Inputs!$B$26+Inputs!$B$29,IF(Skills!C7=3,120+Inputs!$B$27+Inputs!$B$29,MAX(0,(Inputs!$B$3-100)*3)+Inputs!$B$28+Inputs!$B$29)))</f>
        <v/>
      </c>
      <c r="E2777">
        <f>INDEX(FactorTable!$B$2:$Y$301, MATCH(ROUND(MIN(300,MAX(1,D2777)),0), FactorTable!$A$2:$A$301,0), Skills!M7+1)</f>
        <v/>
      </c>
      <c r="F2777">
        <f>IF(Skills!N7=TRUE,(Skills!L7/10)*(E2777/1000),Skills!L7/10)+Skills!O7</f>
        <v/>
      </c>
      <c r="G2777">
        <f>Skills!G7*IF(Skills!H7&gt;0,Skills!I7/Skills!H7,1)</f>
        <v/>
      </c>
      <c r="H2777">
        <f>1-(1-Skills!J7/100)^Skills!K7</f>
        <v/>
      </c>
      <c r="I2777" t="inlineStr">
        <is>
          <t>1</t>
        </is>
      </c>
      <c r="J2777" t="inlineStr"/>
      <c r="K2777" t="inlineStr"/>
      <c r="L2777" t="inlineStr"/>
      <c r="M2777" t="inlineStr"/>
      <c r="N2777" t="inlineStr"/>
      <c r="O2777">
        <f>(1-Summary!$B$11)*T2777+Summary!$B$11*V2777</f>
        <v/>
      </c>
      <c r="P2777">
        <f>IF(B2815=0,0,O2777/B2815)</f>
        <v/>
      </c>
      <c r="Q2777" t="n">
        <v>0</v>
      </c>
      <c r="R2777" t="n">
        <v>0</v>
      </c>
      <c r="S2777">
        <f>IFERROR(O2777/N2777,0)</f>
        <v/>
      </c>
      <c r="T2777" t="n">
        <v>0</v>
      </c>
      <c r="V2777" t="n">
        <v>0</v>
      </c>
    </row>
    <row r="2778">
      <c r="A2778">
        <f>Skills!A8</f>
        <v/>
      </c>
      <c r="B2778">
        <f>Skills!B8</f>
        <v/>
      </c>
      <c r="C2778">
        <f>Inputs!$B$3&gt;=72</f>
        <v/>
      </c>
      <c r="D2778">
        <f>IF(Skills!C8=1,60+Inputs!$B$25+Inputs!$B$29,IF(Skills!C8=2,90+Inputs!$B$26+Inputs!$B$29,IF(Skills!C8=3,120+Inputs!$B$27+Inputs!$B$29,MAX(0,(Inputs!$B$3-100)*3)+Inputs!$B$28+Inputs!$B$29)))</f>
        <v/>
      </c>
      <c r="E2778">
        <f>INDEX(FactorTable!$B$2:$Y$301, MATCH(ROUND(MIN(300,MAX(1,D2778)),0), FactorTable!$A$2:$A$301,0), Skills!M8+1)</f>
        <v/>
      </c>
      <c r="F2778">
        <f>IF(Skills!N8=TRUE,(Skills!L8/10)*(E2778/1000),Skills!L8/10)+Skills!O8</f>
        <v/>
      </c>
      <c r="G2778">
        <f>Skills!G8*IF(Skills!H8&gt;0,Skills!I8/Skills!H8,1)</f>
        <v/>
      </c>
      <c r="H2778">
        <f>1-(1-Skills!J8/100)^Skills!K8</f>
        <v/>
      </c>
      <c r="I2778" t="inlineStr">
        <is>
          <t>1</t>
        </is>
      </c>
      <c r="J2778">
        <f>((Inputs!$B$6*(1+Inputs!$B$7/100))+(((Inputs!$B$12*(1+Inputs!$B$13/100))-(Inputs!$B$12*(1+Inputs!$B$13/100)))+0.25*(Inputs!$B$14-Inputs!$B$14))*(1+Inputs!$B$7/100))*(F2778/100)</f>
        <v/>
      </c>
      <c r="K2778">
        <f>J2778*(1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+3.3333333333333335*IF(C2788=TRUE,F2788,0)/100)*(1+(IF(Skills!A8="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2778)</f>
        <v/>
      </c>
      <c r="L2778">
        <f>K2778*(MIN(Inputs!$B$22+((C2794=TRUE)*(F2794-Calc!F24)),(Inputs!$B$23+((C2799=TRUE)*(F2799-Calc!F29))+IF(ArtifactsInput!$M$15,CHOOSE(ArtifactsInput!$N$15+1,25,30,35,40,45,50)/100*(Inputs!$B$11-Inputs!$B$11),0)))/100+(Inputs!$B$23+((C2799=TRUE)*(F2799-Calc!F29))+IF(ArtifactsInput!$M$15,CHOOSE(ArtifactsInput!$N$15+1,25,30,35,40,45,50)/100*(Inputs!$B$11-Inputs!$B$11),0))/100)/2</f>
        <v/>
      </c>
      <c r="M2778">
        <f>L2778*(1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8">
        <f>L2778*(1-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(1-Summary!$B$11)*T2778+Summary!$B$11*V2778</f>
        <v/>
      </c>
      <c r="P2778">
        <f>IF(B2815=0,0,O2778/B2815)</f>
        <v/>
      </c>
      <c r="Q2778">
        <f>IFERROR(1/IF(Inputs!$B$39="pvp",15,MAX(0.1,Skills!D8-IF(Skills!E8=TRUE,Inputs!$B$32,0))),0)</f>
        <v/>
      </c>
      <c r="R2778">
        <f>IF(AND(Inputs!$B$39&lt;&gt;"pvp",Inputs!$B$44&gt;0),IF(MAX(0,Inputs!$B$44-B2814)&lt;=0,0,(INT(MAX(0,Inputs!$B$44-B2814)/IF(Inputs!$B$39="pvp",15,MAX(0.1,Skills!D8-IF(Skills!E8=TRUE,Inputs!$B$32,0))))+1)),0)</f>
        <v/>
      </c>
      <c r="S2778">
        <f>IFERROR(O2778/N2778,0)</f>
        <v/>
      </c>
      <c r="T2778">
        <f>IF(C2778,(H2778*N2778*IF(AND(Inputs!$B$39&lt;&gt;"pvp",Inputs!$B$44&gt;0),((Skills!G8*((R2778-1)*IF(Skills!H8&gt;0,Skills!I8/Skills!H8,1)+IF(Skills!H8&gt;0,MIN(Skills!I8,MAX(0,MAX(0,Inputs!$B$44-B2814)-((R2778-1)*IF(Inputs!$B$39="pvp",15,MAX(0.1,Skills!D8-IF(Skills!E8=TRUE,Inputs!$B$32,0))))))/Skills!H8,1)))/Inputs!$B$44),G2778*Q2778))*IF(Inputs!$B$39="pvp",1,1+(Inputs!$B$20+0+Skills!P8+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2778*(1-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8">
        <f>IF(C2778,(H2778*N2778*IF(AND(Inputs!$B$39&lt;&gt;"pvp",Inputs!$B$44&gt;0),((Skills!G8*((R2778-1)*IF(Skills!H8&gt;0,Skills!I8/Skills!H8,1)+IF(Skills!H8&gt;0,MIN(Skills!I8,MAX(0,MAX(0,Inputs!$B$44-B2814)-((R2778-1)*IF(Inputs!$B$39="pvp",15,MAX(0.1,Skills!D8-IF(Skills!E8=TRUE,Inputs!$B$32,0))))))/Skills!H8,1)))/Inputs!$B$44),G2778*Q2778))*IF(Inputs!$B$39="pvp",1,(1+(Inputs!$B$21+Skills!Q8+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Skills!A9</f>
        <v/>
      </c>
      <c r="B2779">
        <f>Skills!B9</f>
        <v/>
      </c>
      <c r="C2779">
        <f>Inputs!$B$3&gt;=117</f>
        <v/>
      </c>
      <c r="D2779">
        <f>IF(Skills!C9=1,60+Inputs!$B$25+Inputs!$B$29,IF(Skills!C9=2,90+Inputs!$B$26+Inputs!$B$29,IF(Skills!C9=3,120+Inputs!$B$27+Inputs!$B$29,MAX(0,(Inputs!$B$3-100)*3)+Inputs!$B$28+Inputs!$B$29)))</f>
        <v/>
      </c>
      <c r="E2779">
        <f>INDEX(FactorTable!$B$2:$Y$301, MATCH(ROUND(MIN(300,MAX(1,D2779)),0), FactorTable!$A$2:$A$301,0), Skills!M9+1)</f>
        <v/>
      </c>
      <c r="F2779">
        <f>IF(Skills!N9=TRUE,(Skills!L9/10)*(E2779/1000),Skills!L9/10)+Skills!O9</f>
        <v/>
      </c>
      <c r="G2779">
        <f>Skills!G9*IF(Skills!H9&gt;0,Skills!I9/Skills!H9,1)</f>
        <v/>
      </c>
      <c r="H2779">
        <f>1-(1-Skills!J9/100)^Skills!K9</f>
        <v/>
      </c>
      <c r="I2779" t="inlineStr">
        <is>
          <t>1</t>
        </is>
      </c>
      <c r="J2779">
        <f>((Inputs!$B$6*(1+Inputs!$B$7/100))+(((Inputs!$B$12*(1+Inputs!$B$13/100))-(Inputs!$B$12*(1+Inputs!$B$13/100)))+0.25*(Inputs!$B$14-Inputs!$B$14))*(1+Inputs!$B$7/100))*(F2779/100)</f>
        <v/>
      </c>
      <c r="K2779">
        <f>J2779*(1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2779)</f>
        <v/>
      </c>
      <c r="L2779">
        <f>K2779*(MIN(Inputs!$B$22+((C2794=TRUE)*(F2794-Calc!F24)),(Inputs!$B$23+((C2799=TRUE)*(F2799-Calc!F29))+IF(ArtifactsInput!$M$15,CHOOSE(ArtifactsInput!$N$15+1,25,30,35,40,45,50)/100*(Inputs!$B$11-Inputs!$B$11),0)))/100+(Inputs!$B$23+((C2799=TRUE)*(F2799-Calc!F29))+IF(ArtifactsInput!$M$15,CHOOSE(ArtifactsInput!$N$15+1,25,30,35,40,45,50)/100*(Inputs!$B$11-Inputs!$B$11),0))/100)/2</f>
        <v/>
      </c>
      <c r="M2779">
        <f>L2779*(1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IF(B2815=0,0,O2779/B2815)</f>
        <v/>
      </c>
      <c r="Q2779" t="n">
        <v>0</v>
      </c>
      <c r="R2779" t="n">
        <v>0</v>
      </c>
      <c r="S2779" t="n">
        <v>0</v>
      </c>
      <c r="T2779">
        <f>IF(C2779,(0.2*SUMPRODUCT((Skills!Z2:Z30=TRUE)*(C2772:C2800=TRUE)*S2772:S2800)*N2779)*IF(Inputs!$B$39="pvp",1,1+(Inputs!$B$20+0+Skills!P9+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2779*(1-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IF(C2779,(0.2*SUMPRODUCT((Skills!Z2:Z30=TRUE)*(C2772:C2800=TRUE)*S2772:S2800)*N2779)*IF(Inputs!$B$39="pvp",1,(1+(Inputs!$B$21+Skills!Q9+B2804+(IF(ArtifactsInput!$M$33,CHOOSE(ArtifactsInput!$N$33+1,30,36,42,48,54,60),0))+(IF(AND(ArtifactsInput!$M$35,Inputs!$B$4&lt;&gt;"Chapter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Skills!A10</f>
        <v/>
      </c>
      <c r="B2780">
        <f>Skills!B10</f>
        <v/>
      </c>
      <c r="C2780">
        <f>Inputs!$B$3&gt;=74</f>
        <v/>
      </c>
      <c r="D2780">
        <f>IF(Skills!C10=1,60+Inputs!$B$25+Inputs!$B$29,IF(Skills!C10=2,90+Inputs!$B$26+Inputs!$B$29,IF(Skills!C10=3,120+Inputs!$B$27+Inputs!$B$29,MAX(0,(Inputs!$B$3-100)*3)+Inputs!$B$28+Inputs!$B$29)))</f>
        <v/>
      </c>
      <c r="E2780">
        <f>INDEX(FactorTable!$B$2:$Y$301, MATCH(ROUND(MIN(300,MAX(1,D2780)),0), FactorTable!$A$2:$A$301,0), Skills!M10+1)</f>
        <v/>
      </c>
      <c r="F2780">
        <f>IF(Skills!N10=TRUE,(Skills!L10/10)*(E2780/1000),Skills!L10/10)+Skills!O10</f>
        <v/>
      </c>
      <c r="G2780">
        <f>Skills!G10*IF(Skills!H10&gt;0,Skills!I10/Skills!H10,1)</f>
        <v/>
      </c>
      <c r="H2780">
        <f>1-(1-Skills!J10/100)^Skills!K10</f>
        <v/>
      </c>
      <c r="I2780" t="inlineStr">
        <is>
          <t>1</t>
        </is>
      </c>
      <c r="J2780" t="inlineStr"/>
      <c r="K2780" t="inlineStr"/>
      <c r="L2780" t="inlineStr"/>
      <c r="M2780" t="inlineStr"/>
      <c r="N2780" t="inlineStr"/>
      <c r="O2780">
        <f>(1-Summary!$B$11)*T2780+Summary!$B$11*V2780</f>
        <v/>
      </c>
      <c r="P2780">
        <f>IF(B2815=0,0,O2780/B2815)</f>
        <v/>
      </c>
      <c r="Q2780">
        <f>IFERROR(1/IF(Inputs!$B$39="pvp",15,MAX(0.1,Skills!D10-IF(Skills!E10=TRUE,Inputs!$B$32,0))),0)</f>
        <v/>
      </c>
      <c r="R2780">
        <f>IF(AND(Inputs!$B$39&lt;&gt;"pvp",Inputs!$B$44&gt;0),IF(Inputs!$B$44&lt;=0,0,(INT(Inputs!$B$44/IF(Inputs!$B$39="pvp",15,MAX(0.1,Skills!D10-IF(Skills!E10=TRUE,Inputs!$B$32,0))))+1)),0)</f>
        <v/>
      </c>
      <c r="S2780">
        <f>IFERROR(O2780/N2780,0)</f>
        <v/>
      </c>
      <c r="T2780" t="n">
        <v>0</v>
      </c>
      <c r="V2780" t="n">
        <v>0</v>
      </c>
    </row>
    <row r="2781">
      <c r="A2781">
        <f>Skills!A11</f>
        <v/>
      </c>
      <c r="B2781">
        <f>Skills!B11</f>
        <v/>
      </c>
      <c r="C2781">
        <f>Inputs!$B$3&gt;=103</f>
        <v/>
      </c>
      <c r="D2781">
        <f>IF(Skills!C11=1,60+Inputs!$B$25+Inputs!$B$29,IF(Skills!C11=2,90+Inputs!$B$26+Inputs!$B$29,IF(Skills!C11=3,120+Inputs!$B$27+Inputs!$B$29,MAX(0,(Inputs!$B$3-100)*3)+Inputs!$B$28+Inputs!$B$29)))</f>
        <v/>
      </c>
      <c r="E2781">
        <f>INDEX(FactorTable!$B$2:$Y$301, MATCH(ROUND(MIN(300,MAX(1,D2781)),0), FactorTable!$A$2:$A$301,0), Skills!M11+1)</f>
        <v/>
      </c>
      <c r="F2781">
        <f>(Skills!L11/10)*(E2781/1000)+IF(Inputs!$B$3&gt;=134,50,0)+0.5*(30000/10)*(INDEX(FactorTable!$B$2:$Y$301, MATCH(ROUND(MIN(300,MAX(1,D2781)),0), FactorTable!$A$2:$A$301,0), 13)/1000)*B2813</f>
        <v/>
      </c>
      <c r="G2781">
        <f>Skills!G11*IF(Skills!H11&gt;0,Skills!I11/Skills!H11,1)</f>
        <v/>
      </c>
      <c r="H2781">
        <f>1-(1-Skills!J11/100)^Skills!K11</f>
        <v/>
      </c>
      <c r="I2781" t="inlineStr">
        <is>
          <t>1</t>
        </is>
      </c>
      <c r="J2781">
        <f>((Inputs!$B$6*(1+Inputs!$B$7/100))+(((Inputs!$B$12*(1+Inputs!$B$13/100))-(Inputs!$B$12*(1+Inputs!$B$13/100)))+0.25*(Inputs!$B$14-Inputs!$B$14))*(1+Inputs!$B$7/100))*(F2781/100)</f>
        <v/>
      </c>
      <c r="K2781">
        <f>J2781*(1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2781)</f>
        <v/>
      </c>
      <c r="L2781">
        <f>K2781*(MIN(Inputs!$B$22+((C2794=TRUE)*(F2794-Calc!F24)),(Inputs!$B$23+((C2799=TRUE)*(F2799-Calc!F29))+IF(ArtifactsInput!$M$15,CHOOSE(ArtifactsInput!$N$15+1,25,30,35,40,45,50)/100*(Inputs!$B$11-Inputs!$B$11),0)))/100+(Inputs!$B$23+((C2799=TRUE)*(F2799-Calc!F29))+IF(ArtifactsInput!$M$15,CHOOSE(ArtifactsInput!$N$15+1,25,30,35,40,45,50)/100*(Inputs!$B$11-Inputs!$B$11),0))/100)/2</f>
        <v/>
      </c>
      <c r="M2781">
        <f>L2781*(1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IF(B2815=0,0,O2781/B2815)</f>
        <v/>
      </c>
      <c r="Q2781">
        <f>IFERROR(1/IF(Inputs!$B$39="pvp",15,MAX(0.1,Skills!D11-IF(Skills!E11=TRUE,Inputs!$B$32,0))),0)</f>
        <v/>
      </c>
      <c r="R2781">
        <f>IF(AND(Inputs!$B$39&lt;&gt;"pvp",Inputs!$B$44&gt;0),IF(MAX(0,Inputs!$B$44-B2814)&lt;=0,0,(INT(MAX(0,Inputs!$B$44-B2814)/IF(Inputs!$B$39="pvp",15,MAX(0.1,Skills!D11-IF(Skills!E11=TRUE,Inputs!$B$32,0))))+1)),0)</f>
        <v/>
      </c>
      <c r="S2781">
        <f>IFERROR(O2781/N2781,0)</f>
        <v/>
      </c>
      <c r="T2781">
        <f>IF(C2781,(H2781*N2781*IF(AND(Inputs!$B$39&lt;&gt;"pvp",Inputs!$B$44&gt;0),((Skills!G11*((R2781-1)*IF(Skills!H11&gt;0,Skills!I11/Skills!H11,1)+IF(Skills!H11&gt;0,MIN(Skills!I11,MAX(0,MAX(0,Inputs!$B$44-B2814)-((R2781-1)*IF(Inputs!$B$39="pvp",15,MAX(0.1,Skills!D11-IF(Skills!E11=TRUE,Inputs!$B$32,0))))))/Skills!H11,1)))/Inputs!$B$44),G2781*Q2781))*IF(Inputs!$B$39="pvp",1,1+(Inputs!$B$20+0+Skills!P11+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11*((R2781-1)*IF(Skills!H11&gt;0,Skills!I11/Skills!H11,1)+IF(Skills!H11&gt;0,MIN(Skills!I11,MAX(0,MAX(0,Inputs!$B$44-B2814)-((R2781-1)*IF(Inputs!$B$39="pvp",15,MAX(0.1,Skills!D11-IF(Skills!E11=TRUE,Inputs!$B$32,0))))))/Skills!H11,1)))/Inputs!$B$44),G2781*Q2781))*IF(Inputs!$B$39="pvp",1,(1+(Inputs!$B$21+Skills!Q11+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Skills!A12</f>
        <v/>
      </c>
      <c r="B2782">
        <f>Skills!B12</f>
        <v/>
      </c>
      <c r="C2782">
        <f>Inputs!$B$3&gt;=105</f>
        <v/>
      </c>
      <c r="D2782">
        <f>IF(Skills!C12=1,60+Inputs!$B$25+Inputs!$B$29,IF(Skills!C12=2,90+Inputs!$B$26+Inputs!$B$29,IF(Skills!C12=3,120+Inputs!$B$27+Inputs!$B$29,MAX(0,(Inputs!$B$3-100)*3)+Inputs!$B$28+Inputs!$B$29)))</f>
        <v/>
      </c>
      <c r="E2782">
        <f>INDEX(FactorTable!$B$2:$Y$301, MATCH(ROUND(MIN(300,MAX(1,D2782)),0), FactorTable!$A$2:$A$301,0), Skills!M12+1)</f>
        <v/>
      </c>
      <c r="F2782">
        <f>IF(Skills!N12=TRUE,(Skills!L12/10)*(E2782/1000),Skills!L12/10)+Skills!O12</f>
        <v/>
      </c>
      <c r="G2782">
        <f>Skills!G12*IF(Skills!H12&gt;0,Skills!I12/Skills!H12,1)</f>
        <v/>
      </c>
      <c r="H2782">
        <f>1-(1-Skills!J12/100)^Skills!K12</f>
        <v/>
      </c>
      <c r="I2782" t="inlineStr">
        <is>
          <t>1</t>
        </is>
      </c>
      <c r="J2782">
        <f>((Inputs!$B$6*(1+Inputs!$B$7/100))+(((Inputs!$B$12*(1+Inputs!$B$13/100))-(Inputs!$B$12*(1+Inputs!$B$13/100)))+0.25*(Inputs!$B$14-Inputs!$B$14))*(1+Inputs!$B$7/100))*(F2782/100)</f>
        <v/>
      </c>
      <c r="K2782">
        <f>J2782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2782)</f>
        <v/>
      </c>
      <c r="L2782">
        <f>K2782*(MIN(Inputs!$B$22+((C2794=TRUE)*(F2794-Calc!F24)),(Inputs!$B$23+((C2799=TRUE)*(F2799-Calc!F29))+IF(ArtifactsInput!$M$15,CHOOSE(ArtifactsInput!$N$15+1,25,30,35,40,45,50)/100*(Inputs!$B$11-Inputs!$B$11),0)))/100+(Inputs!$B$23+((C2799=TRUE)*(F2799-Calc!F29))+IF(ArtifactsInput!$M$15,CHOOSE(ArtifactsInput!$N$15+1,25,30,35,40,45,50)/100*(Inputs!$B$11-Inputs!$B$11),0))/100)/2</f>
        <v/>
      </c>
      <c r="M2782">
        <f>L2782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2">
        <f>L2782*(1-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IF(B2815=0,0,O2782/B2815)</f>
        <v/>
      </c>
      <c r="Q2782">
        <f>IFERROR(1/IF(Inputs!$B$39="pvp",15,MAX(0.1,Skills!D12-IF(Skills!E12=TRUE,Inputs!$B$32,0))),0)</f>
        <v/>
      </c>
      <c r="R2782">
        <f>IF(AND(Inputs!$B$39&lt;&gt;"pvp",Inputs!$B$44&gt;0),IF(MAX(0,Inputs!$B$44-B2814)&lt;=0,0,(INT(MAX(0,Inputs!$B$44-B2814)/IF(Inputs!$B$39="pvp",15,MAX(0.1,Skills!D12-IF(Skills!E12=TRUE,Inputs!$B$32,0))))+1)),0)</f>
        <v/>
      </c>
      <c r="S2782">
        <f>IFERROR(O2782/N2782,0)</f>
        <v/>
      </c>
      <c r="T2782">
        <f>IF(C2782,(H2782*N2782*IF(AND(Inputs!$B$39&lt;&gt;"pvp",Inputs!$B$44&gt;0),((Skills!G12*((R2782-1)*IF(Skills!H12&gt;0,Skills!I12/Skills!H12,1)+IF(Skills!H12&gt;0,MIN(Skills!I12,MAX(0,MAX(0,Inputs!$B$44-B2814)-((R2782-1)*IF(Inputs!$B$39="pvp",15,MAX(0.1,Skills!D12-IF(Skills!E12=TRUE,Inputs!$B$32,0))))))/Skills!H12,1)))/Inputs!$B$44),G2782*Q2782))*IF(Inputs!$B$39="pvp",1,1+(Inputs!$B$20+0+Skills!P12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2782*(1-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12*((R2782-1)*IF(Skills!H12&gt;0,Skills!I12/Skills!H12,1)+IF(Skills!H12&gt;0,MIN(Skills!I12,MAX(0,MAX(0,Inputs!$B$44-B2814)-((R2782-1)*IF(Inputs!$B$39="pvp",15,MAX(0.1,Skills!D12-IF(Skills!E12=TRUE,Inputs!$B$32,0))))))/Skills!H12,1)))/Inputs!$B$44),G2782*Q2782))*IF(Inputs!$B$39="pvp",1,(1+(Inputs!$B$21+Skills!Q12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Skills!A13</f>
        <v/>
      </c>
      <c r="B2783">
        <f>Skills!B13</f>
        <v/>
      </c>
      <c r="C2783">
        <f>Inputs!$B$3&gt;=105</f>
        <v/>
      </c>
      <c r="D2783">
        <f>IF(Skills!C13=1,60+Inputs!$B$25+Inputs!$B$29,IF(Skills!C13=2,90+Inputs!$B$26+Inputs!$B$29,IF(Skills!C13=3,120+Inputs!$B$27+Inputs!$B$29,MAX(0,(Inputs!$B$3-100)*3)+Inputs!$B$28+Inputs!$B$29)))</f>
        <v/>
      </c>
      <c r="E2783">
        <f>INDEX(FactorTable!$B$2:$Y$301, MATCH(ROUND(MIN(300,MAX(1,D2783)),0), FactorTable!$A$2:$A$301,0), Skills!M13+1)</f>
        <v/>
      </c>
      <c r="F2783">
        <f>IF(Skills!N13=TRUE,(Skills!L13/10)*(E2783/1000),Skills!L13/10)+Skills!O13</f>
        <v/>
      </c>
      <c r="G2783">
        <f>Skills!G13*IF(Skills!H13&gt;0,Skills!I13/Skills!H13,1)</f>
        <v/>
      </c>
      <c r="H2783">
        <f>1-(1-Skills!J13/100)^Skills!K13</f>
        <v/>
      </c>
      <c r="I2783" t="inlineStr">
        <is>
          <t>1</t>
        </is>
      </c>
      <c r="J2783">
        <f>((Inputs!$B$6*(1+Inputs!$B$7/100))+(((Inputs!$B$12*(1+Inputs!$B$13/100))-(Inputs!$B$12*(1+Inputs!$B$13/100)))+0.25*(Inputs!$B$14-Inputs!$B$14))*(1+Inputs!$B$7/100))*(F2783/100)</f>
        <v/>
      </c>
      <c r="K2783">
        <f>J2783*(1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2783)</f>
        <v/>
      </c>
      <c r="L2783">
        <f>K2783*(MIN(Inputs!$B$22+((C2794=TRUE)*(F2794-Calc!F24)),(Inputs!$B$23+((C2799=TRUE)*(F2799-Calc!F29))+IF(ArtifactsInput!$M$15,CHOOSE(ArtifactsInput!$N$15+1,25,30,35,40,45,50)/100*(Inputs!$B$11-Inputs!$B$11),0)))/100+(Inputs!$B$23+((C2799=TRUE)*(F2799-Calc!F29))+IF(ArtifactsInput!$M$15,CHOOSE(ArtifactsInput!$N$15+1,25,30,35,40,45,50)/100*(Inputs!$B$11-Inputs!$B$11),0))/100)/2</f>
        <v/>
      </c>
      <c r="M2783">
        <f>L2783*(1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3">
        <f>L2783*(1-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2783*(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3">
        <f>(1-Summary!$B$11)*T2783+Summary!$B$11*V2783</f>
        <v/>
      </c>
      <c r="P2783">
        <f>IF(B2815=0,0,O2783/B2815)</f>
        <v/>
      </c>
      <c r="Q2783">
        <f>IFERROR(1/IF(Inputs!$B$39="pvp",15,MAX(0.1,Skills!D13-IF(Skills!E13=TRUE,Inputs!$B$32,0))),0)</f>
        <v/>
      </c>
      <c r="R2783">
        <f>IF(AND(Inputs!$B$39&lt;&gt;"pvp",Inputs!$B$44&gt;0),IF(MAX(0,Inputs!$B$44-B2814)&lt;=0,0,(INT(MAX(0,Inputs!$B$44-B2814)/IF(Inputs!$B$39="pvp",15,MAX(0.1,Skills!D13-IF(Skills!E13=TRUE,Inputs!$B$32,0))))+1)),0)</f>
        <v/>
      </c>
      <c r="S2783">
        <f>IFERROR(O2783/N2783,0)</f>
        <v/>
      </c>
      <c r="T2783">
        <f>IF(C2783,(H2783*N2783*IF(AND(Inputs!$B$39&lt;&gt;"pvp",Inputs!$B$44&gt;0),((Skills!G13*((R2783-1)*IF(Skills!H13&gt;0,Skills!I13/Skills!H13,1)+IF(Skills!H13&gt;0,MIN(Skills!I13,MAX(0,MAX(0,Inputs!$B$44-B2814)-((R2783-1)*IF(Inputs!$B$39="pvp",15,MAX(0.1,Skills!D13-IF(Skills!E13=TRUE,Inputs!$B$32,0))))))/Skills!H13,1)))/Inputs!$B$44),G2783*Q2783))*IF(Inputs!$B$39="pvp",1,1+(Inputs!$B$20+0+Skills!P13+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2783*(1-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2783*(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2783*(1-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2783*(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3">
        <f>IF(C2783,(H2783*N2783*IF(AND(Inputs!$B$39&lt;&gt;"pvp",Inputs!$B$44&gt;0),((Skills!G13*((R2783-1)*IF(Skills!H13&gt;0,Skills!I13/Skills!H13,1)+IF(Skills!H13&gt;0,MIN(Skills!I13,MAX(0,MAX(0,Inputs!$B$44-B2814)-((R2783-1)*IF(Inputs!$B$39="pvp",15,MAX(0.1,Skills!D13-IF(Skills!E13=TRUE,Inputs!$B$32,0))))))/Skills!H13,1)))/Inputs!$B$44),G2783*Q2783))*IF(Inputs!$B$39="pvp",1,(1+(Inputs!$B$21+Skills!Q13+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4">
      <c r="A2784">
        <f>Skills!A14</f>
        <v/>
      </c>
      <c r="B2784">
        <f>Skills!B14</f>
        <v/>
      </c>
      <c r="C2784">
        <f>Inputs!$B$3&gt;=107</f>
        <v/>
      </c>
      <c r="D2784">
        <f>IF(Skills!C14=1,60+Inputs!$B$25+Inputs!$B$29,IF(Skills!C14=2,90+Inputs!$B$26+Inputs!$B$29,IF(Skills!C14=3,120+Inputs!$B$27+Inputs!$B$29,MAX(0,(Inputs!$B$3-100)*3)+Inputs!$B$28+Inputs!$B$29)))</f>
        <v/>
      </c>
      <c r="E2784">
        <f>INDEX(FactorTable!$B$2:$Y$301, MATCH(ROUND(MIN(300,MAX(1,D2784)),0), FactorTable!$A$2:$A$301,0), Skills!M14+1)</f>
        <v/>
      </c>
      <c r="F2784">
        <f>IF(Skills!N14=TRUE,(Skills!L14/10)*(E2784/1000),Skills!L14/10)+Skills!O14</f>
        <v/>
      </c>
      <c r="G2784">
        <f>Skills!G14*IF(Skills!H14&gt;0,Skills!I14/Skills!H14,1)</f>
        <v/>
      </c>
      <c r="H2784">
        <f>1-(1-Skills!J14/100)^Skills!K14</f>
        <v/>
      </c>
      <c r="I2784" t="inlineStr">
        <is>
          <t>1</t>
        </is>
      </c>
      <c r="J2784">
        <f>((Inputs!$B$6*(1+Inputs!$B$7/100))+(((Inputs!$B$12*(1+Inputs!$B$13/100))-(Inputs!$B$12*(1+Inputs!$B$13/100)))+0.25*(Inputs!$B$14-Inputs!$B$14))*(1+Inputs!$B$7/100))*(F2784/100)</f>
        <v/>
      </c>
      <c r="K2784">
        <f>J2784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2784)</f>
        <v/>
      </c>
      <c r="L2784">
        <f>K2784*(MIN(Inputs!$B$22+((C2794=TRUE)*(F2794-Calc!F24)),(Inputs!$B$23+((C2799=TRUE)*(F2799-Calc!F29))+IF(ArtifactsInput!$M$15,CHOOSE(ArtifactsInput!$N$15+1,25,30,35,40,45,50)/100*(Inputs!$B$11-Inputs!$B$11),0)))/100+(Inputs!$B$23+((C2799=TRUE)*(F2799-Calc!F29))+IF(ArtifactsInput!$M$15,CHOOSE(ArtifactsInput!$N$15+1,25,30,35,40,45,50)/100*(Inputs!$B$11-Inputs!$B$11),0))/100)/2</f>
        <v/>
      </c>
      <c r="M2784">
        <f>L2784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IF(B2815=0,0,O2784/B2815)</f>
        <v/>
      </c>
      <c r="Q2784">
        <f>IFERROR(1/IF(Inputs!$B$39="pvp",15,MAX(0.1,Skills!D14-IF(Skills!E14=TRUE,Inputs!$B$32,0))),0)</f>
        <v/>
      </c>
      <c r="R2784">
        <f>IF(AND(Inputs!$B$39&lt;&gt;"pvp",Inputs!$B$44&gt;0),IF(MAX(0,Inputs!$B$44-B2814)&lt;=0,0,(INT(MAX(0,Inputs!$B$44-B2814)/IF(Inputs!$B$39="pvp",15,MAX(0.1,Skills!D14-IF(Skills!E14=TRUE,Inputs!$B$32,0))))+1)),0)</f>
        <v/>
      </c>
      <c r="S2784">
        <f>IFERROR(O2784/N2784,0)</f>
        <v/>
      </c>
      <c r="T2784">
        <f>IF(C2784,(H2784*N2784*IF(AND(Inputs!$B$39&lt;&gt;"pvp",Inputs!$B$44&gt;0),((Skills!G14*((R2784-1)*IF(Skills!H14&gt;0,Skills!I14/Skills!H14,1)+IF(Skills!H14&gt;0,MIN(Skills!I14,MAX(0,MAX(0,Inputs!$B$44-B2814)-((R2784-1)*IF(Inputs!$B$39="pvp",15,MAX(0.1,Skills!D14-IF(Skills!E14=TRUE,Inputs!$B$32,0))))))/Skills!H14,1)))/Inputs!$B$44),G2784*Q2784))*IF(Inputs!$B$39="pvp",1,1+(Inputs!$B$20+0+Skills!P14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2784*(1-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14*((R2784-1)*IF(Skills!H14&gt;0,Skills!I14/Skills!H14,1)+IF(Skills!H14&gt;0,MIN(Skills!I14,MAX(0,MAX(0,Inputs!$B$44-B2814)-((R2784-1)*IF(Inputs!$B$39="pvp",15,MAX(0.1,Skills!D14-IF(Skills!E14=TRUE,Inputs!$B$32,0))))))/Skills!H14,1)))/Inputs!$B$44),G2784*Q2784))*IF(Inputs!$B$39="pvp",1,(1+(Inputs!$B$21+Skills!Q14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(5,0.25*B2807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Skills!A15</f>
        <v/>
      </c>
      <c r="B2785">
        <f>Skills!B15</f>
        <v/>
      </c>
      <c r="C2785">
        <f>Inputs!$B$3&gt;=110</f>
        <v/>
      </c>
      <c r="D2785">
        <f>IF(Skills!C15=1,60+Inputs!$B$25+Inputs!$B$29,IF(Skills!C15=2,90+Inputs!$B$26+Inputs!$B$29,IF(Skills!C15=3,120+Inputs!$B$27+Inputs!$B$29,MAX(0,(Inputs!$B$3-100)*3)+Inputs!$B$28+Inputs!$B$29)))</f>
        <v/>
      </c>
      <c r="E2785">
        <f>INDEX(FactorTable!$B$2:$Y$301, MATCH(ROUND(MIN(300,MAX(1,D2785)),0), FactorTable!$A$2:$A$301,0), Skills!M15+1)</f>
        <v/>
      </c>
      <c r="F2785">
        <f>IF(Skills!N15=TRUE,(Skills!L15/10)*(E2785/1000),Skills!L15/10)+Skills!O15</f>
        <v/>
      </c>
      <c r="G2785">
        <f>Skills!G15*IF(Skills!H15&gt;0,Skills!I15/Skills!H15,1)</f>
        <v/>
      </c>
      <c r="H2785">
        <f>1-(1-Skills!J15/100)^Skills!K15</f>
        <v/>
      </c>
      <c r="I2785" t="inlineStr">
        <is>
          <t>1</t>
        </is>
      </c>
      <c r="J2785" t="inlineStr"/>
      <c r="K2785" t="inlineStr"/>
      <c r="L2785" t="inlineStr"/>
      <c r="M2785" t="inlineStr"/>
      <c r="N2785" t="inlineStr"/>
      <c r="O2785">
        <f>(1-Summary!$B$11)*T2785+Summary!$B$11*V2785</f>
        <v/>
      </c>
      <c r="P2785">
        <f>IF(B2815=0,0,O2785/B2815)</f>
        <v/>
      </c>
      <c r="Q2785">
        <f>IFERROR(1/IF(Inputs!$B$39="pvp",15,MAX(0.1,Skills!D15-IF(Skills!E15=TRUE,Inputs!$B$32,0))),0)</f>
        <v/>
      </c>
      <c r="R2785">
        <f>IF(AND(Inputs!$B$39&lt;&gt;"pvp",Inputs!$B$44&gt;0),IF(Inputs!$B$44&lt;=0,0,(INT(Inputs!$B$44/IF(Inputs!$B$39="pvp",15,MAX(0.1,Skills!D15-IF(Skills!E15=TRUE,Inputs!$B$32,0))))+1)),0)</f>
        <v/>
      </c>
      <c r="S2785">
        <f>IFERROR(O2785/N2785,0)</f>
        <v/>
      </c>
      <c r="T2785" t="n">
        <v>0</v>
      </c>
      <c r="V2785" t="n">
        <v>0</v>
      </c>
    </row>
    <row r="2786">
      <c r="A2786">
        <f>Skills!A16</f>
        <v/>
      </c>
      <c r="B2786">
        <f>Skills!B16</f>
        <v/>
      </c>
      <c r="C2786">
        <f>Inputs!$B$3&gt;=115</f>
        <v/>
      </c>
      <c r="D2786">
        <f>IF(Skills!C16=1,60+Inputs!$B$25+Inputs!$B$29,IF(Skills!C16=2,90+Inputs!$B$26+Inputs!$B$29,IF(Skills!C16=3,120+Inputs!$B$27+Inputs!$B$29,MAX(0,(Inputs!$B$3-100)*3)+Inputs!$B$28+Inputs!$B$29)))</f>
        <v/>
      </c>
      <c r="E2786">
        <f>INDEX(FactorTable!$B$2:$Y$301, MATCH(ROUND(MIN(300,MAX(1,D2786)),0), FactorTable!$A$2:$A$301,0), Skills!M16+1)</f>
        <v/>
      </c>
      <c r="F2786">
        <f>IF(Skills!N16=TRUE,(Skills!L16/10)*(E2786/1000),Skills!L16/10)+Skills!O16</f>
        <v/>
      </c>
      <c r="G2786">
        <f>Skills!G16*IF(Skills!H16&gt;0,Skills!I16/Skills!H16,1)</f>
        <v/>
      </c>
      <c r="H2786">
        <f>1-(1-Skills!J16/100)^Skills!K16</f>
        <v/>
      </c>
      <c r="I2786" t="inlineStr">
        <is>
          <t>1</t>
        </is>
      </c>
      <c r="J2786">
        <f>((Inputs!$B$6*(1+Inputs!$B$7/100))+(((Inputs!$B$12*(1+Inputs!$B$13/100))-(Inputs!$B$12*(1+Inputs!$B$13/100)))+0.25*(Inputs!$B$14-Inputs!$B$14))*(1+Inputs!$B$7/100))*(F2786/100)</f>
        <v/>
      </c>
      <c r="K2786">
        <f>J2786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16="CRUEL_STAB",Inputs!$B$17+((C2797=TRUE)*(F2797-Calc!F27))+((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2786)</f>
        <v/>
      </c>
      <c r="L2786">
        <f>K2786*(MIN(Inputs!$B$22+((C2794=TRUE)*(F2794-Calc!F24)),(Inputs!$B$23+((C2799=TRUE)*(F2799-Calc!F29))+IF(ArtifactsInput!$M$15,CHOOSE(ArtifactsInput!$N$15+1,25,30,35,40,45,50)/100*(Inputs!$B$11-Inputs!$B$11),0)))/100+(Inputs!$B$23+((C2799=TRUE)*(F2799-Calc!F29))+IF(ArtifactsInput!$M$15,CHOOSE(ArtifactsInput!$N$15+1,25,30,35,40,45,50)/100*(Inputs!$B$11-Inputs!$B$11),0))/100)/2</f>
        <v/>
      </c>
      <c r="M2786">
        <f>L2786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6">
        <f>L2786*(1-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2786*(MIN((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6">
        <f>(1-Summary!$B$11)*T2786+Summary!$B$11*V2786</f>
        <v/>
      </c>
      <c r="P2786">
        <f>IF(B2815=0,0,O2786/B2815)</f>
        <v/>
      </c>
      <c r="Q2786" t="n">
        <v>0</v>
      </c>
      <c r="R2786" t="n">
        <v>0</v>
      </c>
      <c r="S2786">
        <f>IFERROR(O2786/N2786,0)</f>
        <v/>
      </c>
      <c r="T2786">
        <f>IF(C2786,(Inputs!$B$38*0.2*N2786)*IF(Inputs!$B$39="pvp",1,1+(Inputs!$B$20+0+Skills!P16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2786*(1-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2786*(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2786*(1-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2786*(MIN(100,(Inputs!$B$9+((C2795=TRUE)*(F2795-Calc!F25))+B2803+(ArtifactsInput!$M$24-ArtifactsInput!$M$24)*CHOOSE(ArtifactsInput!$N$24+1,10,12,14,16,18,20)+(IF(AND(Inputs!$B$39&lt;&gt;"pvp",Inputs!$B$44=0),1,IF(IF(Inputs!$B$39="pvp",15,Inputs!$B$44)-(B2814)&lt;=0,1,MAX(0,IF(Inputs!$B$39="pvp",15,Inputs!$B$44)-MAX(5,B2814))/(IF(Inputs!$B$39="pvp",15,Inputs!$B$44)-(B2814))))*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6">
        <f>IF(C2786,(Inputs!$B$38*0.2*N2786)*IF(Inputs!$B$39="pvp",1,(1+(Inputs!$B$21+Skills!Q16+B2804+(IF(ArtifactsInput!$M$33,CHOOSE(ArtifactsInput!$N$33+1,30,36,42,48,54,60),0))+(IF(AND(ArtifactsInput!$M$35,Inputs!$B$4&lt;&gt;"Chapter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7">
      <c r="A2787">
        <f>Skills!A17</f>
        <v/>
      </c>
      <c r="B2787">
        <f>Skills!B17</f>
        <v/>
      </c>
      <c r="C2787">
        <f>Inputs!$B$3&gt;=115</f>
        <v/>
      </c>
      <c r="D2787">
        <f>IF(Skills!C17=1,60+Inputs!$B$25+Inputs!$B$29,IF(Skills!C17=2,90+Inputs!$B$26+Inputs!$B$29,IF(Skills!C17=3,120+Inputs!$B$27+Inputs!$B$29,MAX(0,(Inputs!$B$3-100)*3)+Inputs!$B$28+Inputs!$B$29)))</f>
        <v/>
      </c>
      <c r="E2787">
        <f>INDEX(FactorTable!$B$2:$Y$301, MATCH(ROUND(MIN(300,MAX(1,D2787)),0), FactorTable!$A$2:$A$301,0), Skills!M17+1)</f>
        <v/>
      </c>
      <c r="F2787">
        <f>IF(Skills!N17=TRUE,(Skills!L17/10)*(E2787/1000),Skills!L17/10)+Skills!O17</f>
        <v/>
      </c>
      <c r="G2787">
        <f>Skills!G17*IF(Skills!H17&gt;0,Skills!I17/Skills!H17,1)</f>
        <v/>
      </c>
      <c r="H2787">
        <f>1-(1-Skills!J17/100)^Skills!K17</f>
        <v/>
      </c>
      <c r="I2787" t="inlineStr">
        <is>
          <t>1</t>
        </is>
      </c>
      <c r="J2787" t="inlineStr"/>
      <c r="K2787" t="inlineStr"/>
      <c r="L2787" t="inlineStr"/>
      <c r="M2787" t="inlineStr"/>
      <c r="N2787" t="inlineStr"/>
      <c r="O2787">
        <f>(1-Summary!$B$11)*T2787+Summary!$B$11*V2787</f>
        <v/>
      </c>
      <c r="P2787">
        <f>IF(B2815=0,0,O2787/B2815)</f>
        <v/>
      </c>
      <c r="Q2787" t="n">
        <v>0</v>
      </c>
      <c r="R2787" t="n">
        <v>0</v>
      </c>
      <c r="S2787">
        <f>IFERROR(O2787/N2787,0)</f>
        <v/>
      </c>
      <c r="T2787" t="n">
        <v>0</v>
      </c>
      <c r="V2787" t="n">
        <v>0</v>
      </c>
    </row>
    <row r="2788">
      <c r="A2788">
        <f>Skills!A18</f>
        <v/>
      </c>
      <c r="B2788">
        <f>Skills!B18</f>
        <v/>
      </c>
      <c r="C2788">
        <f>Inputs!$B$3&gt;=100</f>
        <v/>
      </c>
      <c r="D2788">
        <f>IF(Skills!C18=1,60+Inputs!$B$25+Inputs!$B$29,IF(Skills!C18=2,90+Inputs!$B$26+Inputs!$B$29,IF(Skills!C18=3,120+Inputs!$B$27+Inputs!$B$29,MAX(0,(Inputs!$B$3-100)*3)+Inputs!$B$28+Inputs!$B$29)))</f>
        <v/>
      </c>
      <c r="E2788">
        <f>INDEX(FactorTable!$B$2:$Y$301, MATCH(ROUND(MIN(300,MAX(1,D2788)),0), FactorTable!$A$2:$A$301,0), Skills!M18+1)</f>
        <v/>
      </c>
      <c r="F2788">
        <f>IF(Skills!N18=TRUE,(Skills!L18/10)*(E2788/1000),Skills!L18/10)+Skills!O18</f>
        <v/>
      </c>
      <c r="G2788">
        <f>Skills!G18*IF(Skills!H18&gt;0,Skills!I18/Skills!H18,1)</f>
        <v/>
      </c>
      <c r="H2788">
        <f>1-(1-Skills!J18/100)^Skills!K18</f>
        <v/>
      </c>
      <c r="I2788" t="inlineStr">
        <is>
          <t>1</t>
        </is>
      </c>
      <c r="J2788" t="inlineStr"/>
      <c r="K2788" t="inlineStr"/>
      <c r="L2788" t="inlineStr"/>
      <c r="M2788" t="inlineStr"/>
      <c r="N2788" t="inlineStr"/>
      <c r="O2788">
        <f>(1-Summary!$B$11)*T2788+Summary!$B$11*V2788</f>
        <v/>
      </c>
      <c r="P2788">
        <f>IF(B2815=0,0,O2788/B2815)</f>
        <v/>
      </c>
      <c r="Q2788" t="n">
        <v>0</v>
      </c>
      <c r="R2788" t="n">
        <v>0</v>
      </c>
      <c r="S2788">
        <f>IFERROR(O2788/N2788,0)</f>
        <v/>
      </c>
      <c r="T2788" t="n">
        <v>0</v>
      </c>
      <c r="V2788" t="n">
        <v>0</v>
      </c>
    </row>
    <row r="2789">
      <c r="A2789">
        <f>Skills!A19</f>
        <v/>
      </c>
      <c r="B2789">
        <f>Skills!B19</f>
        <v/>
      </c>
      <c r="C2789">
        <f>TRUE</f>
        <v/>
      </c>
      <c r="D2789">
        <f>IF(Skills!C19=1,60+Inputs!$B$25+Inputs!$B$29,IF(Skills!C19=2,90+Inputs!$B$26+Inputs!$B$29,IF(Skills!C19=3,120+Inputs!$B$27+Inputs!$B$29,MAX(0,(Inputs!$B$3-100)*3)+Inputs!$B$28+Inputs!$B$29)))</f>
        <v/>
      </c>
      <c r="E2789">
        <f>INDEX(FactorTable!$B$2:$Y$301, MATCH(ROUND(MIN(300,MAX(1,D2789)),0), FactorTable!$A$2:$A$301,0), Skills!M19+1)</f>
        <v/>
      </c>
      <c r="F2789">
        <f>IF(Skills!N19=TRUE,(Skills!L19/10)*(E2789/1000),Skills!L19/10)+Skills!O19</f>
        <v/>
      </c>
      <c r="G2789">
        <f>Skills!G19*IF(Skills!H19&gt;0,Skills!I19/Skills!H19,1)</f>
        <v/>
      </c>
      <c r="H2789">
        <f>1-(1-Skills!J19/100)^Skills!K19</f>
        <v/>
      </c>
      <c r="I2789" t="inlineStr">
        <is>
          <t>1</t>
        </is>
      </c>
      <c r="J2789" t="inlineStr"/>
      <c r="K2789" t="inlineStr"/>
      <c r="L2789" t="inlineStr"/>
      <c r="M2789" t="inlineStr"/>
      <c r="N2789" t="inlineStr"/>
      <c r="O2789">
        <f>(1-Summary!$B$11)*T2789+Summary!$B$11*V2789</f>
        <v/>
      </c>
      <c r="P2789">
        <f>IF(B2815=0,0,O2789/B2815)</f>
        <v/>
      </c>
      <c r="Q2789">
        <f>IFERROR(1/IF(Inputs!$B$39="pvp",15,MAX(0.1,Skills!D19-IF(Skills!E19=TRUE,Inputs!$B$32,0))),0)</f>
        <v/>
      </c>
      <c r="R2789">
        <f>IF(AND(Inputs!$B$39&lt;&gt;"pvp",Inputs!$B$44&gt;0),IF(Inputs!$B$44&lt;=0,0,(INT(Inputs!$B$44/IF(Inputs!$B$39="pvp",15,MAX(0.1,Skills!D19-IF(Skills!E19=TRUE,Inputs!$B$32,0))))+1)),0)</f>
        <v/>
      </c>
      <c r="S2789">
        <f>IFERROR(O2789/N2789,0)</f>
        <v/>
      </c>
      <c r="T2789" t="n">
        <v>0</v>
      </c>
      <c r="V2789" t="n">
        <v>0</v>
      </c>
    </row>
    <row r="2790">
      <c r="A2790">
        <f>Skills!A20</f>
        <v/>
      </c>
      <c r="B2790">
        <f>Skills!B20</f>
        <v/>
      </c>
      <c r="C2790">
        <f>Inputs!$B$3&gt;=15</f>
        <v/>
      </c>
      <c r="D2790">
        <f>IF(Skills!C20=1,60+Inputs!$B$25+Inputs!$B$29,IF(Skills!C20=2,90+Inputs!$B$26+Inputs!$B$29,IF(Skills!C20=3,120+Inputs!$B$27+Inputs!$B$29,MAX(0,(Inputs!$B$3-100)*3)+Inputs!$B$28+Inputs!$B$29)))</f>
        <v/>
      </c>
      <c r="E2790">
        <f>INDEX(FactorTable!$B$2:$Y$301, MATCH(ROUND(MIN(300,MAX(1,D2790)),0), FactorTable!$A$2:$A$301,0), Skills!M20+1)</f>
        <v/>
      </c>
      <c r="F2790">
        <f>IF(Skills!N20=TRUE,(Skills!L20/10)*(E2790/1000),Skills!L20/10)+Skills!O20</f>
        <v/>
      </c>
      <c r="G2790">
        <f>Skills!G20*IF(Skills!H20&gt;0,Skills!I20/Skills!H20,1)</f>
        <v/>
      </c>
      <c r="H2790">
        <f>1-(1-Skills!J20/100)^Skills!K20</f>
        <v/>
      </c>
      <c r="I2790" t="inlineStr">
        <is>
          <t>1</t>
        </is>
      </c>
      <c r="J2790" t="inlineStr"/>
      <c r="K2790" t="inlineStr"/>
      <c r="L2790" t="inlineStr"/>
      <c r="M2790" t="inlineStr"/>
      <c r="N2790" t="inlineStr"/>
      <c r="O2790">
        <f>(1-Summary!$B$11)*T2790+Summary!$B$11*V2790</f>
        <v/>
      </c>
      <c r="P2790">
        <f>IF(B2815=0,0,O2790/B2815)</f>
        <v/>
      </c>
      <c r="Q2790">
        <f>IFERROR(1/IF(Inputs!$B$39="pvp",15,MAX(0.1,Skills!D20-IF(Skills!E20=TRUE,Inputs!$B$32,0))),0)</f>
        <v/>
      </c>
      <c r="R2790">
        <f>IF(AND(Inputs!$B$39&lt;&gt;"pvp",Inputs!$B$44&gt;0),IF(Inputs!$B$44&lt;=0,0,(INT(Inputs!$B$44/IF(Inputs!$B$39="pvp",15,MAX(0.1,Skills!D20-IF(Skills!E20=TRUE,Inputs!$B$32,0))))+1)),0)</f>
        <v/>
      </c>
      <c r="S2790">
        <f>IFERROR(O2790/N2790,0)</f>
        <v/>
      </c>
      <c r="T2790" t="n">
        <v>0</v>
      </c>
      <c r="V2790" t="n">
        <v>0</v>
      </c>
    </row>
    <row r="2791">
      <c r="A2791">
        <f>Skills!A21</f>
        <v/>
      </c>
      <c r="B2791">
        <f>Skills!B21</f>
        <v/>
      </c>
      <c r="C2791">
        <f>Inputs!$B$3&gt;=15</f>
        <v/>
      </c>
      <c r="D2791">
        <f>IF(Skills!C21=1,60+Inputs!$B$25+Inputs!$B$29,IF(Skills!C21=2,90+Inputs!$B$26+Inputs!$B$29,IF(Skills!C21=3,120+Inputs!$B$27+Inputs!$B$29,MAX(0,(Inputs!$B$3-100)*3)+Inputs!$B$28+Inputs!$B$29)))</f>
        <v/>
      </c>
      <c r="E2791">
        <f>INDEX(FactorTable!$B$2:$Y$301, MATCH(ROUND(MIN(300,MAX(1,D2791)),0), FactorTable!$A$2:$A$301,0), Skills!M21+1)</f>
        <v/>
      </c>
      <c r="F2791">
        <f>IF(Skills!N21=TRUE,(Skills!L21/10)*(E2791/1000),Skills!L21/10)+Skills!O21</f>
        <v/>
      </c>
      <c r="G2791">
        <f>Skills!G21*IF(Skills!H21&gt;0,Skills!I21/Skills!H21,1)</f>
        <v/>
      </c>
      <c r="H2791">
        <f>1-(1-Skills!J21/100)^Skills!K21</f>
        <v/>
      </c>
      <c r="I2791" t="inlineStr">
        <is>
          <t>1</t>
        </is>
      </c>
      <c r="J2791" t="inlineStr"/>
      <c r="K2791" t="inlineStr"/>
      <c r="L2791" t="inlineStr"/>
      <c r="M2791" t="inlineStr"/>
      <c r="N2791" t="inlineStr"/>
      <c r="O2791">
        <f>(1-Summary!$B$11)*T2791+Summary!$B$11*V2791</f>
        <v/>
      </c>
      <c r="P2791">
        <f>IF(B2815=0,0,O2791/B2815)</f>
        <v/>
      </c>
      <c r="Q2791">
        <f>IFERROR(1/IF(Inputs!$B$39="pvp",15,MAX(0.1,Skills!D21-IF(Skills!E21=TRUE,Inputs!$B$32,0))),0)</f>
        <v/>
      </c>
      <c r="R2791">
        <f>IF(AND(Inputs!$B$39&lt;&gt;"pvp",Inputs!$B$44&gt;0),IF(Inputs!$B$44&lt;=0,0,(INT(Inputs!$B$44/IF(Inputs!$B$39="pvp",15,MAX(0.1,Skills!D21-IF(Skills!E21=TRUE,Inputs!$B$32,0))))+1)),0)</f>
        <v/>
      </c>
      <c r="S2791">
        <f>IFERROR(O2791/N2791,0)</f>
        <v/>
      </c>
      <c r="T2791" t="n">
        <v>0</v>
      </c>
      <c r="V2791" t="n">
        <v>0</v>
      </c>
    </row>
    <row r="2792">
      <c r="A2792">
        <f>Skills!A22</f>
        <v/>
      </c>
      <c r="B2792">
        <f>Skills!B22</f>
        <v/>
      </c>
      <c r="C2792">
        <f>Inputs!$B$3&gt;=33</f>
        <v/>
      </c>
      <c r="D2792">
        <f>IF(Skills!C22=1,60+Inputs!$B$25+Inputs!$B$29,IF(Skills!C22=2,90+Inputs!$B$26+Inputs!$B$29,IF(Skills!C22=3,120+Inputs!$B$27+Inputs!$B$29,MAX(0,(Inputs!$B$3-100)*3)+Inputs!$B$28+Inputs!$B$29)))</f>
        <v/>
      </c>
      <c r="E2792">
        <f>INDEX(FactorTable!$B$2:$Y$301, MATCH(ROUND(MIN(300,MAX(1,D2792)),0), FactorTable!$A$2:$A$301,0), Skills!M22+1)</f>
        <v/>
      </c>
      <c r="F2792">
        <f>IF(Skills!N22=TRUE,(Skills!L22/10)*(E2792/1000),Skills!L22/10)+Skills!O22</f>
        <v/>
      </c>
      <c r="G2792">
        <f>Skills!G22*IF(Skills!H22&gt;0,Skills!I22/Skills!H22,1)</f>
        <v/>
      </c>
      <c r="H2792">
        <f>1-(1-Skills!J22/100)^Skills!K22</f>
        <v/>
      </c>
      <c r="I2792" t="inlineStr">
        <is>
          <t>1</t>
        </is>
      </c>
      <c r="J2792" t="inlineStr"/>
      <c r="K2792" t="inlineStr"/>
      <c r="L2792" t="inlineStr"/>
      <c r="M2792" t="inlineStr"/>
      <c r="N2792" t="inlineStr"/>
      <c r="O2792">
        <f>(1-Summary!$B$11)*T2792+Summary!$B$11*V2792</f>
        <v/>
      </c>
      <c r="P2792">
        <f>IF(B2815=0,0,O2792/B2815)</f>
        <v/>
      </c>
      <c r="Q2792" t="n">
        <v>0</v>
      </c>
      <c r="R2792" t="n">
        <v>0</v>
      </c>
      <c r="S2792">
        <f>IFERROR(O2792/N2792,0)</f>
        <v/>
      </c>
      <c r="T2792" t="n">
        <v>0</v>
      </c>
      <c r="V2792" t="n">
        <v>0</v>
      </c>
    </row>
    <row r="2793">
      <c r="A2793">
        <f>Skills!A23</f>
        <v/>
      </c>
      <c r="B2793">
        <f>Skills!B23</f>
        <v/>
      </c>
      <c r="C2793">
        <f>Inputs!$B$3&gt;=40</f>
        <v/>
      </c>
      <c r="D2793">
        <f>IF(Skills!C23=1,60+Inputs!$B$25+Inputs!$B$29,IF(Skills!C23=2,90+Inputs!$B$26+Inputs!$B$29,IF(Skills!C23=3,120+Inputs!$B$27+Inputs!$B$29,MAX(0,(Inputs!$B$3-100)*3)+Inputs!$B$28+Inputs!$B$29)))</f>
        <v/>
      </c>
      <c r="E2793">
        <f>INDEX(FactorTable!$B$2:$Y$301, MATCH(ROUND(MIN(300,MAX(1,D2793)),0), FactorTable!$A$2:$A$301,0), Skills!M23+1)</f>
        <v/>
      </c>
      <c r="F2793">
        <f>IF(Skills!N23=TRUE,(Skills!L23/10)*(E2793/1000),Skills!L23/10)+Skills!O23</f>
        <v/>
      </c>
      <c r="G2793">
        <f>Skills!G23*IF(Skills!H23&gt;0,Skills!I23/Skills!H23,1)</f>
        <v/>
      </c>
      <c r="H2793">
        <f>1-(1-Skills!J23/100)^Skills!K23</f>
        <v/>
      </c>
      <c r="I2793" t="inlineStr">
        <is>
          <t>1</t>
        </is>
      </c>
      <c r="J2793" t="inlineStr"/>
      <c r="K2793" t="inlineStr"/>
      <c r="L2793" t="inlineStr"/>
      <c r="M2793" t="inlineStr"/>
      <c r="N2793" t="inlineStr"/>
      <c r="O2793">
        <f>(1-Summary!$B$11)*T2793+Summary!$B$11*V2793</f>
        <v/>
      </c>
      <c r="P2793">
        <f>IF(B2815=0,0,O2793/B2815)</f>
        <v/>
      </c>
      <c r="Q2793" t="n">
        <v>0</v>
      </c>
      <c r="R2793" t="n">
        <v>0</v>
      </c>
      <c r="S2793">
        <f>IFERROR(O2793/N2793,0)</f>
        <v/>
      </c>
      <c r="T2793" t="n">
        <v>0</v>
      </c>
      <c r="V2793" t="n">
        <v>0</v>
      </c>
    </row>
    <row r="2794">
      <c r="A2794">
        <f>Skills!A24</f>
        <v/>
      </c>
      <c r="B2794">
        <f>Skills!B24</f>
        <v/>
      </c>
      <c r="C2794">
        <f>Inputs!$B$3&gt;=43</f>
        <v/>
      </c>
      <c r="D2794">
        <f>IF(Skills!C24=1,60+Inputs!$B$25+Inputs!$B$29,IF(Skills!C24=2,90+Inputs!$B$26+Inputs!$B$29,IF(Skills!C24=3,120+Inputs!$B$27+Inputs!$B$29,MAX(0,(Inputs!$B$3-100)*3)+Inputs!$B$28+Inputs!$B$29)))</f>
        <v/>
      </c>
      <c r="E2794">
        <f>INDEX(FactorTable!$B$2:$Y$301, MATCH(ROUND(MIN(300,MAX(1,D2794)),0), FactorTable!$A$2:$A$301,0), Skills!M24+1)</f>
        <v/>
      </c>
      <c r="F2794">
        <f>IF(Skills!N24=TRUE,(Skills!L24/10)*(E2794/1000),Skills!L24/10)+Skills!O24</f>
        <v/>
      </c>
      <c r="G2794">
        <f>Skills!G24*IF(Skills!H24&gt;0,Skills!I24/Skills!H24,1)</f>
        <v/>
      </c>
      <c r="H2794">
        <f>1-(1-Skills!J24/100)^Skills!K24</f>
        <v/>
      </c>
      <c r="I2794" t="inlineStr">
        <is>
          <t>1</t>
        </is>
      </c>
      <c r="J2794" t="inlineStr"/>
      <c r="K2794" t="inlineStr"/>
      <c r="L2794" t="inlineStr"/>
      <c r="M2794" t="inlineStr"/>
      <c r="N2794" t="inlineStr"/>
      <c r="O2794">
        <f>(1-Summary!$B$11)*T2794+Summary!$B$11*V2794</f>
        <v/>
      </c>
      <c r="P2794">
        <f>IF(B2815=0,0,O2794/B2815)</f>
        <v/>
      </c>
      <c r="Q2794" t="n">
        <v>0</v>
      </c>
      <c r="R2794" t="n">
        <v>0</v>
      </c>
      <c r="S2794">
        <f>IFERROR(O2794/N2794,0)</f>
        <v/>
      </c>
      <c r="T2794" t="n">
        <v>0</v>
      </c>
      <c r="V2794" t="n">
        <v>0</v>
      </c>
    </row>
    <row r="2795">
      <c r="A2795">
        <f>Skills!A25</f>
        <v/>
      </c>
      <c r="B2795">
        <f>Skills!B25</f>
        <v/>
      </c>
      <c r="C2795">
        <f>Inputs!$B$3&gt;=50</f>
        <v/>
      </c>
      <c r="D2795">
        <f>IF(Skills!C25=1,60+Inputs!$B$25+Inputs!$B$29,IF(Skills!C25=2,90+Inputs!$B$26+Inputs!$B$29,IF(Skills!C25=3,120+Inputs!$B$27+Inputs!$B$29,MAX(0,(Inputs!$B$3-100)*3)+Inputs!$B$28+Inputs!$B$29)))</f>
        <v/>
      </c>
      <c r="E2795">
        <f>INDEX(FactorTable!$B$2:$Y$301, MATCH(ROUND(MIN(300,MAX(1,D2795)),0), FactorTable!$A$2:$A$301,0), Skills!M25+1)</f>
        <v/>
      </c>
      <c r="F2795">
        <f>IF(Skills!N25=TRUE,(Skills!L25/10)*(E2795/1000),Skills!L25/10)+Skills!O25</f>
        <v/>
      </c>
      <c r="G2795">
        <f>Skills!G25*IF(Skills!H25&gt;0,Skills!I25/Skills!H25,1)</f>
        <v/>
      </c>
      <c r="H2795">
        <f>1-(1-Skills!J25/100)^Skills!K25</f>
        <v/>
      </c>
      <c r="I2795" t="inlineStr">
        <is>
          <t>1</t>
        </is>
      </c>
      <c r="J2795" t="inlineStr"/>
      <c r="K2795" t="inlineStr"/>
      <c r="L2795" t="inlineStr"/>
      <c r="M2795" t="inlineStr"/>
      <c r="N2795" t="inlineStr"/>
      <c r="O2795">
        <f>(1-Summary!$B$11)*T2795+Summary!$B$11*V2795</f>
        <v/>
      </c>
      <c r="P2795">
        <f>IF(B2815=0,0,O2795/B2815)</f>
        <v/>
      </c>
      <c r="Q2795" t="n">
        <v>0</v>
      </c>
      <c r="R2795" t="n">
        <v>0</v>
      </c>
      <c r="S2795">
        <f>IFERROR(O2795/N2795,0)</f>
        <v/>
      </c>
      <c r="T2795" t="n">
        <v>0</v>
      </c>
      <c r="V2795" t="n">
        <v>0</v>
      </c>
    </row>
    <row r="2796">
      <c r="A2796">
        <f>Skills!A26</f>
        <v/>
      </c>
      <c r="B2796">
        <f>Skills!B26</f>
        <v/>
      </c>
      <c r="C2796">
        <f>Inputs!$B$3&gt;=50</f>
        <v/>
      </c>
      <c r="D2796">
        <f>IF(Skills!C26=1,60+Inputs!$B$25+Inputs!$B$29,IF(Skills!C26=2,90+Inputs!$B$26+Inputs!$B$29,IF(Skills!C26=3,120+Inputs!$B$27+Inputs!$B$29,MAX(0,(Inputs!$B$3-100)*3)+Inputs!$B$28+Inputs!$B$29)))</f>
        <v/>
      </c>
      <c r="E2796">
        <f>INDEX(FactorTable!$B$2:$Y$301, MATCH(ROUND(MIN(300,MAX(1,D2796)),0), FactorTable!$A$2:$A$301,0), Skills!M26+1)</f>
        <v/>
      </c>
      <c r="F2796">
        <f>IF(Skills!N26=TRUE,(Skills!L26/10)*(E2796/1000),Skills!L26/10)+Skills!O26</f>
        <v/>
      </c>
      <c r="G2796">
        <f>Skills!G26*IF(Skills!H26&gt;0,Skills!I26/Skills!H26,1)</f>
        <v/>
      </c>
      <c r="H2796">
        <f>1-(1-Skills!J26/100)^Skills!K26</f>
        <v/>
      </c>
      <c r="I2796" t="inlineStr">
        <is>
          <t>1</t>
        </is>
      </c>
      <c r="J2796" t="inlineStr"/>
      <c r="K2796" t="inlineStr"/>
      <c r="L2796" t="inlineStr"/>
      <c r="M2796" t="inlineStr"/>
      <c r="N2796" t="inlineStr"/>
      <c r="O2796">
        <f>(1-Summary!$B$11)*T2796+Summary!$B$11*V2796</f>
        <v/>
      </c>
      <c r="P2796">
        <f>IF(B2815=0,0,O2796/B2815)</f>
        <v/>
      </c>
      <c r="Q2796" t="n">
        <v>0</v>
      </c>
      <c r="R2796" t="n">
        <v>0</v>
      </c>
      <c r="S2796">
        <f>IFERROR(O2796/N2796,0)</f>
        <v/>
      </c>
      <c r="T2796" t="n">
        <v>0</v>
      </c>
      <c r="V2796" t="n">
        <v>0</v>
      </c>
    </row>
    <row r="2797">
      <c r="A2797">
        <f>Skills!A27</f>
        <v/>
      </c>
      <c r="B2797">
        <f>Skills!B27</f>
        <v/>
      </c>
      <c r="C2797">
        <f>Inputs!$B$3&gt;=38</f>
        <v/>
      </c>
      <c r="D2797">
        <f>IF(Skills!C27=1,60+Inputs!$B$25+Inputs!$B$29,IF(Skills!C27=2,90+Inputs!$B$26+Inputs!$B$29,IF(Skills!C27=3,120+Inputs!$B$27+Inputs!$B$29,MAX(0,(Inputs!$B$3-100)*3)+Inputs!$B$28+Inputs!$B$29)))</f>
        <v/>
      </c>
      <c r="E2797">
        <f>INDEX(FactorTable!$B$2:$Y$301, MATCH(ROUND(MIN(300,MAX(1,D2797)),0), FactorTable!$A$2:$A$301,0), Skills!M27+1)</f>
        <v/>
      </c>
      <c r="F2797">
        <f>IF(Skills!N27=TRUE,(Skills!L27/10)*(E2797/1000),Skills!L27/10)+Skills!O27</f>
        <v/>
      </c>
      <c r="G2797">
        <f>Skills!G27*IF(Skills!H27&gt;0,Skills!I27/Skills!H27,1)</f>
        <v/>
      </c>
      <c r="H2797">
        <f>1-(1-Skills!J27/100)^Skills!K27</f>
        <v/>
      </c>
      <c r="I2797" t="inlineStr">
        <is>
          <t>1</t>
        </is>
      </c>
      <c r="J2797" t="inlineStr"/>
      <c r="K2797" t="inlineStr"/>
      <c r="L2797" t="inlineStr"/>
      <c r="M2797" t="inlineStr"/>
      <c r="N2797" t="inlineStr"/>
      <c r="O2797">
        <f>(1-Summary!$B$11)*T2797+Summary!$B$11*V2797</f>
        <v/>
      </c>
      <c r="P2797">
        <f>IF(B2815=0,0,O2797/B2815)</f>
        <v/>
      </c>
      <c r="Q2797" t="n">
        <v>0</v>
      </c>
      <c r="R2797" t="n">
        <v>0</v>
      </c>
      <c r="S2797">
        <f>IFERROR(O2797/N2797,0)</f>
        <v/>
      </c>
      <c r="T2797" t="n">
        <v>0</v>
      </c>
      <c r="V2797" t="n">
        <v>0</v>
      </c>
    </row>
    <row r="2798">
      <c r="A2798">
        <f>Skills!A28</f>
        <v/>
      </c>
      <c r="B2798">
        <f>Skills!B28</f>
        <v/>
      </c>
      <c r="C2798">
        <f>Inputs!$B$3&gt;=120</f>
        <v/>
      </c>
      <c r="D2798">
        <f>IF(Skills!C28=1,60+Inputs!$B$25+Inputs!$B$29,IF(Skills!C28=2,90+Inputs!$B$26+Inputs!$B$29,IF(Skills!C28=3,120+Inputs!$B$27+Inputs!$B$29,MAX(0,(Inputs!$B$3-100)*3)+Inputs!$B$28+Inputs!$B$29)))</f>
        <v/>
      </c>
      <c r="E2798">
        <f>INDEX(FactorTable!$B$2:$Y$301, MATCH(ROUND(MIN(300,MAX(1,D2798)),0), FactorTable!$A$2:$A$301,0), Skills!M28+1)</f>
        <v/>
      </c>
      <c r="F2798">
        <f>IF(Skills!N28=TRUE,(Skills!L28/10)*(E2798/1000),Skills!L28/10)+Skills!O28</f>
        <v/>
      </c>
      <c r="G2798">
        <f>Skills!G28*IF(Skills!H28&gt;0,Skills!I28/Skills!H28,1)</f>
        <v/>
      </c>
      <c r="H2798">
        <f>1-(1-Skills!J28/100)^Skills!K28</f>
        <v/>
      </c>
      <c r="I2798" t="inlineStr">
        <is>
          <t>1</t>
        </is>
      </c>
      <c r="J2798" t="inlineStr"/>
      <c r="K2798" t="inlineStr"/>
      <c r="L2798" t="inlineStr"/>
      <c r="M2798" t="inlineStr"/>
      <c r="N2798" t="inlineStr"/>
      <c r="O2798">
        <f>(1-Summary!$B$11)*T2798+Summary!$B$11*V2798</f>
        <v/>
      </c>
      <c r="P2798">
        <f>IF(B2815=0,0,O2798/B2815)</f>
        <v/>
      </c>
      <c r="Q2798" t="n">
        <v>0</v>
      </c>
      <c r="R2798" t="n">
        <v>0</v>
      </c>
      <c r="S2798">
        <f>IFERROR(O2798/N2798,0)</f>
        <v/>
      </c>
      <c r="T2798" t="n">
        <v>0</v>
      </c>
      <c r="V2798" t="n">
        <v>0</v>
      </c>
    </row>
    <row r="2799">
      <c r="A2799">
        <f>Skills!A29</f>
        <v/>
      </c>
      <c r="B2799">
        <f>Skills!B29</f>
        <v/>
      </c>
      <c r="C2799">
        <f>Inputs!$B$3&gt;=120</f>
        <v/>
      </c>
      <c r="D2799">
        <f>IF(Skills!C29=1,60+Inputs!$B$25+Inputs!$B$29,IF(Skills!C29=2,90+Inputs!$B$26+Inputs!$B$29,IF(Skills!C29=3,120+Inputs!$B$27+Inputs!$B$29,MAX(0,(Inputs!$B$3-100)*3)+Inputs!$B$28+Inputs!$B$29)))</f>
        <v/>
      </c>
      <c r="E2799">
        <f>INDEX(FactorTable!$B$2:$Y$301, MATCH(ROUND(MIN(300,MAX(1,D2799)),0), FactorTable!$A$2:$A$301,0), Skills!M29+1)</f>
        <v/>
      </c>
      <c r="F2799">
        <f>IF(Skills!N29=TRUE,(Skills!L29/10)*(E2799/1000),Skills!L29/10)+Skills!O29</f>
        <v/>
      </c>
      <c r="G2799">
        <f>Skills!G29*IF(Skills!H29&gt;0,Skills!I29/Skills!H29,1)</f>
        <v/>
      </c>
      <c r="H2799">
        <f>1-(1-Skills!J29/100)^Skills!K29</f>
        <v/>
      </c>
      <c r="I2799" t="inlineStr">
        <is>
          <t>1</t>
        </is>
      </c>
      <c r="J2799" t="inlineStr"/>
      <c r="K2799" t="inlineStr"/>
      <c r="L2799" t="inlineStr"/>
      <c r="M2799" t="inlineStr"/>
      <c r="N2799" t="inlineStr"/>
      <c r="O2799">
        <f>(1-Summary!$B$11)*T2799+Summary!$B$11*V2799</f>
        <v/>
      </c>
      <c r="P2799">
        <f>IF(B2815=0,0,O2799/B2815)</f>
        <v/>
      </c>
      <c r="Q2799" t="n">
        <v>0</v>
      </c>
      <c r="R2799" t="n">
        <v>0</v>
      </c>
      <c r="S2799">
        <f>IFERROR(O2799/N2799,0)</f>
        <v/>
      </c>
      <c r="T2799" t="n">
        <v>0</v>
      </c>
      <c r="V2799" t="n">
        <v>0</v>
      </c>
    </row>
    <row r="2800">
      <c r="A2800">
        <f>Skills!A30</f>
        <v/>
      </c>
      <c r="B2800">
        <f>Skills!B30</f>
        <v/>
      </c>
      <c r="C2800">
        <f>Inputs!$B$3&gt;=125</f>
        <v/>
      </c>
      <c r="D2800">
        <f>IF(Skills!C30=1,60+Inputs!$B$25+Inputs!$B$29,IF(Skills!C30=2,90+Inputs!$B$26+Inputs!$B$29,IF(Skills!C30=3,120+Inputs!$B$27+Inputs!$B$29,MAX(0,(Inputs!$B$3-100)*3)+Inputs!$B$28+Inputs!$B$29)))</f>
        <v/>
      </c>
      <c r="E2800">
        <f>INDEX(FactorTable!$B$2:$Y$301, MATCH(ROUND(MIN(300,MAX(1,D2800)),0), FactorTable!$A$2:$A$301,0), Skills!M30+1)</f>
        <v/>
      </c>
      <c r="F2800">
        <f>IF(Skills!N30=TRUE,(Skills!L30/10)*(E2800/1000),Skills!L30/10)+Skills!O30</f>
        <v/>
      </c>
      <c r="G2800">
        <f>Skills!G30*IF(Skills!H30&gt;0,Skills!I30/Skills!H30,1)</f>
        <v/>
      </c>
      <c r="H2800">
        <f>1-(1-Skills!J30/100)^Skills!K30</f>
        <v/>
      </c>
      <c r="I2800" t="inlineStr">
        <is>
          <t>1</t>
        </is>
      </c>
      <c r="J2800" t="inlineStr"/>
      <c r="K2800" t="inlineStr"/>
      <c r="L2800" t="inlineStr"/>
      <c r="M2800" t="inlineStr"/>
      <c r="N2800" t="inlineStr"/>
      <c r="O2800">
        <f>(1-Summary!$B$11)*T2800+Summary!$B$11*V2800</f>
        <v/>
      </c>
      <c r="P2800">
        <f>IF(B2815=0,0,O2800/B2815)</f>
        <v/>
      </c>
      <c r="Q2800" t="n">
        <v>0</v>
      </c>
      <c r="R2800" t="n">
        <v>0</v>
      </c>
      <c r="S2800">
        <f>IFERROR(O2800/N2800,0)</f>
        <v/>
      </c>
      <c r="T2800" t="n">
        <v>0</v>
      </c>
      <c r="V2800" t="n">
        <v>0</v>
      </c>
    </row>
    <row r="2802">
      <c r="A2802" t="inlineStr">
        <is>
          <t>Average Buff Multiplier</t>
        </is>
      </c>
      <c r="B2802">
        <f>(1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f>
        <v/>
      </c>
    </row>
    <row r="2803">
      <c r="A2803" t="inlineStr">
        <is>
          <t>Global Crit Rate Bonus %</t>
        </is>
      </c>
      <c r="B2803">
        <f>((C2790=TRUE)*F2790*IF(AND(Inputs!$B$39&lt;&gt;"pvp",Inputs!$B$44&gt;0),(((R2790-1)*(Skills!Y20*(1+Inputs!$B$34/100))+MIN((Skills!Y20*(1+Inputs!$B$34/100)),MAX(0,Inputs!$B$44-((R2790-1)*Skills!D20))))/Inputs!$B$44),IF(Inputs!$B$39="pvp",MIN((Skills!Y20*(1+Inputs!$B$34/100)),15)/15,(Skills!Y20*(1+Inputs!$B$34/100))/Skills!D20)))</f>
        <v/>
      </c>
    </row>
    <row r="2804">
      <c r="A2804" t="inlineStr">
        <is>
          <t>Global Monster Damage-Taken Bonus %</t>
        </is>
      </c>
      <c r="B2804">
        <f>IF(Inputs!$B$3&gt;=82,15,0)</f>
        <v/>
      </c>
    </row>
    <row r="2805">
      <c r="A2805" t="inlineStr">
        <is>
          <t>Shadow Partner Average Multiplier</t>
        </is>
      </c>
      <c r="B2805">
        <f>1+((C2777=TRUE)*F2777*(1+3.3333333333333335*IF(C2788=TRUE,F2788,0)/100)*I2777*Skills!J7/100)/100</f>
        <v/>
      </c>
    </row>
    <row r="2806">
      <c r="A2806" t="inlineStr">
        <is>
          <t>Attack Speed Buff Bonus %</t>
        </is>
      </c>
      <c r="B2806">
        <f>((C2789=TRUE)*F2789*IF(AND(Inputs!$B$39&lt;&gt;"pvp",Inputs!$B$44&gt;0),(((R2789-1)*(Skills!Y19*(1+Inputs!$B$34/100))+MIN((Skills!Y19*(1+Inputs!$B$34/100)),MAX(0,Inputs!$B$44-((R2789-1)*Skills!D19))))/Inputs!$B$44),IF(Inputs!$B$39="pvp",MIN((Skills!Y19*(1+Inputs!$B$34/100)),15)/15,(Skills!Y19*(1+Inputs!$B$34/100))/Skills!D19)))+((C2773=TRUE)*F2773*3)</f>
        <v/>
      </c>
    </row>
    <row r="2807">
      <c r="A2807" t="inlineStr">
        <is>
          <t>Actions Per Second</t>
        </is>
      </c>
      <c r="B2807">
        <f>1+MIN(150,150*(1-(1-(Inputs!$B$11+((C2792=TRUE)*(F2792-Calc!F22)))/150)*(1-B2806/150)))/100</f>
        <v/>
      </c>
    </row>
    <row r="2808">
      <c r="A2808" t="inlineStr">
        <is>
          <t>Skill + Buff Cast Rate</t>
        </is>
      </c>
      <c r="B2808">
        <f>IF(AND(Inputs!$B$39&lt;&gt;"pvp",Inputs!$B$44&gt;0),SUMPRODUCT((Skills!E2:E30=TRUE)*(C2772:C2800=TRUE)*R2772:R2800*Skills!F2:F30)/Inputs!$B$44,SUMPRODUCT((Skills!E2:E30=TRUE)*(C2772:C2800=TRUE)*Q2772:Q2800*Skills!F2:F30))</f>
        <v/>
      </c>
    </row>
    <row r="2809">
      <c r="A2809" t="inlineStr">
        <is>
          <t>Cruel Stab Casts Per Second</t>
        </is>
      </c>
      <c r="B2809">
        <f>MAX(0,B2807-B2808)</f>
        <v/>
      </c>
    </row>
    <row r="2810">
      <c r="A2810" t="inlineStr">
        <is>
          <t>Global Critical Damage Bonus % (Smokescreen Mastery Lv.113)</t>
        </is>
      </c>
      <c r="B2810">
        <f>IF(Inputs!$B$3&gt;=113,30,0)*IF(AND(Inputs!$B$39&lt;&gt;"pvp",Inputs!$B$44&gt;0),(((R2785-1)*(Skills!Y15*(1+Inputs!$B$34/100))+MIN((Skills!Y15*(1+Inputs!$B$34/100)),MAX(0,Inputs!$B$44-((R2785-1)*Skills!D15))))/Inputs!$B$44),IF(Inputs!$B$39="pvp",MIN((Skills!Y15*(1+Inputs!$B$34/100)),15)/15,(Skills!Y15*(1+Inputs!$B$34/100))/Skills!D15))</f>
        <v/>
      </c>
    </row>
    <row r="2811">
      <c r="A2811" t="inlineStr">
        <is>
          <t>Meso Explosion average stack count</t>
        </is>
      </c>
      <c r="B2811">
        <f>MIN(10,0.5*B2807*Skills!D4)</f>
        <v/>
      </c>
    </row>
    <row r="2812">
      <c r="A2812" t="inlineStr">
        <is>
          <t>Blood Money average stack count</t>
        </is>
      </c>
      <c r="B2812">
        <f>MIN(5,0.25*B2807*Skills!D4)</f>
        <v/>
      </c>
    </row>
    <row r="2813">
      <c r="A2813" t="inlineStr">
        <is>
          <t>Assassinate Murderous Intent Multiplier</t>
        </is>
      </c>
      <c r="B2813">
        <f>1+IFERROR(MIN(1,Q2784*2/Q2781),0)</f>
        <v/>
      </c>
    </row>
    <row r="2814">
      <c r="A2814" t="inlineStr">
        <is>
          <t>Buff-Casting Startup Delay (s, fixed-duration only)</t>
        </is>
      </c>
      <c r="B2814">
        <f>IF(AND(Inputs!$B$39&lt;&gt;"pvp",Inputs!$B$44&gt;0),SUMPRODUCT((Skills!Y2:Y30&gt;0)*(Skills!E2:E30=TRUE)*(C2772:C2800=TRUE))/B2807,0)</f>
        <v/>
      </c>
    </row>
    <row r="2815">
      <c r="A2815" s="6" t="inlineStr">
        <is>
          <t>TOTAL DPS</t>
        </is>
      </c>
      <c r="B2815" s="6">
        <f>SUM(O2772:O2800)</f>
        <v/>
      </c>
    </row>
    <row r="2816">
      <c r="A2816" t="inlineStr">
        <is>
          <t>Boss-Only Total DPS (this block's swept value)</t>
        </is>
      </c>
      <c r="B2816">
        <f>SUM(T2772:T2800)</f>
        <v/>
      </c>
    </row>
    <row r="2817">
      <c r="A2817" t="inlineStr">
        <is>
          <t>Normal-Only Total DPS (this block's swept value)</t>
        </is>
      </c>
      <c r="B2817">
        <f>SUM(V2772:V2800)</f>
        <v/>
      </c>
    </row>
    <row r="2820">
      <c r="A2820" s="6" t="inlineStr">
        <is>
          <t>Stat: Peach Tree Herb Pouch (Equip)</t>
        </is>
      </c>
    </row>
    <row r="2821">
      <c r="A2821" s="5" t="inlineStr">
        <is>
          <t>Key</t>
        </is>
      </c>
      <c r="B2821" s="5" t="inlineStr">
        <is>
          <t>Name</t>
        </is>
      </c>
      <c r="C2821" s="5" t="inlineStr">
        <is>
          <t>Unlocked</t>
        </is>
      </c>
      <c r="D2821" s="5" t="inlineStr">
        <is>
          <t>InputLevel</t>
        </is>
      </c>
      <c r="E2821" s="5" t="inlineStr">
        <is>
          <t>Factor</t>
        </is>
      </c>
      <c r="F2821" s="5" t="inlineStr">
        <is>
          <t>CoefficientPercent</t>
        </is>
      </c>
      <c r="G2821" s="5" t="inlineStr">
        <is>
          <t>EffectiveHits</t>
        </is>
      </c>
      <c r="H2821" s="5" t="inlineStr">
        <is>
          <t>ProcProbability</t>
        </is>
      </c>
      <c r="I2821" s="5" t="inlineStr">
        <is>
          <t>MapleHeroMultiplier</t>
        </is>
      </c>
      <c r="J2821" s="5" t="inlineStr">
        <is>
          <t>BaseDamage</t>
        </is>
      </c>
      <c r="K2821" s="5" t="inlineStr">
        <is>
          <t>BaseHitDamage</t>
        </is>
      </c>
      <c r="L2821" s="5" t="inlineStr">
        <is>
          <t>NonCritAvg</t>
        </is>
      </c>
      <c r="M2821" s="5" t="inlineStr">
        <is>
          <t>CritAvg</t>
        </is>
      </c>
      <c r="N2821" s="5" t="inlineStr">
        <is>
          <t>ExpectedDamage(perHit)</t>
        </is>
      </c>
      <c r="O2821" s="5" t="inlineStr">
        <is>
          <t>DPS</t>
        </is>
      </c>
      <c r="P2821" s="5" t="inlineStr">
        <is>
          <t>% of Total</t>
        </is>
      </c>
      <c r="Q2821" s="5" t="inlineStr">
        <is>
          <t>InvCooldown</t>
        </is>
      </c>
      <c r="R2821" s="5" t="inlineStr">
        <is>
          <t>CastsInFight</t>
        </is>
      </c>
      <c r="S2821" s="5" t="inlineStr">
        <is>
          <t>HitRate(perSec)</t>
        </is>
      </c>
      <c r="U2821" t="inlineStr">
        <is>
          <t>helpers</t>
        </is>
      </c>
    </row>
    <row r="2822">
      <c r="A2822">
        <f>Skills!A2</f>
        <v/>
      </c>
      <c r="B2822">
        <f>Skills!B2</f>
        <v/>
      </c>
      <c r="C2822">
        <f>Inputs!$B$3&gt;=100</f>
        <v/>
      </c>
      <c r="D2822" t="inlineStr"/>
      <c r="E2822" t="inlineStr"/>
      <c r="F2822">
        <f>U2824+Skills!O2</f>
        <v/>
      </c>
      <c r="G2822">
        <f>Skills!G2*IF(Skills!H2&gt;0,Skills!I2/Skills!H2,1)</f>
        <v/>
      </c>
      <c r="H2822">
        <f>1-(1-Skills!J2/100)^Skills!K2</f>
        <v/>
      </c>
      <c r="I2822" t="inlineStr">
        <is>
          <t>1</t>
        </is>
      </c>
      <c r="J2822">
        <f>((Inputs!$B$6*(1+Inputs!$B$7/100))+(((Inputs!$B$12*(1+Inputs!$B$13/100))-(Inputs!$B$12*(1+Inputs!$B$13/100)))+0.25*(Inputs!$B$14-Inputs!$B$14))*(1+Inputs!$B$7/100))*(F2822/100)</f>
        <v/>
      </c>
      <c r="K2822">
        <f>J2822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2822)</f>
        <v/>
      </c>
      <c r="L2822">
        <f>K2822*(MIN(Inputs!$B$22+((C2844=TRUE)*(F2844-Calc!F24)),(Inputs!$B$23+((C2849=TRUE)*(F2849-Calc!F29))+IF(ArtifactsInput!$M$15,CHOOSE(ArtifactsInput!$N$15+1,25,30,35,40,45,50)/100*(Inputs!$B$11-Inputs!$B$11),0)))/100+(Inputs!$B$23+((C2849=TRUE)*(F2849-Calc!F29))+IF(ArtifactsInput!$M$15,CHOOSE(ArtifactsInput!$N$15+1,25,30,35,40,45,50)/100*(Inputs!$B$11-Inputs!$B$11),0))/100)/2</f>
        <v/>
      </c>
      <c r="M2822">
        <f>L2822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2">
        <f>L2822*(1-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IF(B2865=0,0,O2822/B2865)</f>
        <v/>
      </c>
      <c r="Q2822" t="n">
        <v>0</v>
      </c>
      <c r="R2822" t="n">
        <v>0</v>
      </c>
      <c r="S2822">
        <f>IFERROR(O2822/N2822,0)</f>
        <v/>
      </c>
      <c r="T2822">
        <f>IF(C2822,(Skills!G2*N2822*B2859)*IF(Inputs!$B$39="pvp",1,1+(Inputs!$B$20+0+Skills!P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2822*(1-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2">
        <f>MAX(0,(Inputs!$B$3-100)*3)+Inputs!$B$28+Inputs!$B$29</f>
        <v/>
      </c>
      <c r="V2822">
        <f>IF(C2822,(Skills!G2*N2822*B2859)*IF(Inputs!$B$39="pvp",1,(1+(Inputs!$B$21+Skills!Q2+B2854+(IF(ArtifactsInput!$M$33,CHOOSE(ArtifactsInput!$N$33+1,30,36,42,48,54,60),0))+(IF(AND(IF(ArtifactsInput!$M$35,FALSE,TRUE),Inputs!$B$4&lt;&gt;"Chapter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Skills!A3</f>
        <v/>
      </c>
      <c r="B2823">
        <f>Skills!B3</f>
        <v/>
      </c>
      <c r="C2823">
        <f>Inputs!$B$3&gt;=35</f>
        <v/>
      </c>
      <c r="D2823">
        <f>IF(Skills!C3=1,60+Inputs!$B$25+Inputs!$B$29,IF(Skills!C3=2,90+Inputs!$B$26+Inputs!$B$29,IF(Skills!C3=3,120+Inputs!$B$27+Inputs!$B$29,MAX(0,(Inputs!$B$3-100)*3)+Inputs!$B$28+Inputs!$B$29)))</f>
        <v/>
      </c>
      <c r="E2823">
        <f>INDEX(FactorTable!$B$2:$Y$301, MATCH(ROUND(MIN(300,MAX(1,D2823)),0), FactorTable!$A$2:$A$301,0), Skills!M3+1)</f>
        <v/>
      </c>
      <c r="F2823">
        <f>IF(Skills!N3=TRUE,(Skills!L3/10)*(E2823/1000),Skills!L3/10)+Skills!O3</f>
        <v/>
      </c>
      <c r="G2823">
        <f>Skills!G3*IF(Skills!H3&gt;0,Skills!I3/Skills!H3,1)</f>
        <v/>
      </c>
      <c r="H2823">
        <f>1-(1-Skills!J3/100)^Skills!K3</f>
        <v/>
      </c>
      <c r="I2823" t="inlineStr">
        <is>
          <t>1</t>
        </is>
      </c>
      <c r="J2823" t="inlineStr"/>
      <c r="K2823" t="inlineStr"/>
      <c r="L2823" t="inlineStr"/>
      <c r="M2823" t="inlineStr"/>
      <c r="N2823" t="inlineStr"/>
      <c r="O2823">
        <f>(1-Summary!$B$11)*T2823+Summary!$B$11*V2823</f>
        <v/>
      </c>
      <c r="P2823">
        <f>IF(B2865=0,0,O2823/B2865)</f>
        <v/>
      </c>
      <c r="Q2823" t="n">
        <v>0</v>
      </c>
      <c r="R2823" t="n">
        <v>0</v>
      </c>
      <c r="S2823">
        <f>IFERROR(O2823/N2823,0)</f>
        <v/>
      </c>
      <c r="T2823" t="n">
        <v>0</v>
      </c>
      <c r="U2823">
        <f>INDEX(FactorTable!$B$2:$Y$301, MATCH(ROUND(MIN(300,MAX(1,U2822)),0), FactorTable!$A$2:$A$301,0), 22)</f>
        <v/>
      </c>
      <c r="V2823" t="n">
        <v>0</v>
      </c>
    </row>
    <row r="2824">
      <c r="A2824">
        <f>Skills!A4</f>
        <v/>
      </c>
      <c r="B2824">
        <f>Skills!B4</f>
        <v/>
      </c>
      <c r="C2824">
        <f>Inputs!$B$3&gt;=66</f>
        <v/>
      </c>
      <c r="D2824">
        <f>IF(Skills!C4=1,60+Inputs!$B$25+Inputs!$B$29,IF(Skills!C4=2,90+Inputs!$B$26+Inputs!$B$29,IF(Skills!C4=3,120+Inputs!$B$27+Inputs!$B$29,MAX(0,(Inputs!$B$3-100)*3)+Inputs!$B$28+Inputs!$B$29)))</f>
        <v/>
      </c>
      <c r="E2824">
        <f>INDEX(FactorTable!$B$2:$Y$301, MATCH(ROUND(MIN(300,MAX(1,D2824)),0), FactorTable!$A$2:$A$301,0), Skills!M4+1)</f>
        <v/>
      </c>
      <c r="F2824">
        <f>IF(Skills!N4=TRUE,(Skills!L4/10)*(E2824/1000),Skills!L4/10)+Skills!O4</f>
        <v/>
      </c>
      <c r="G2824">
        <f>Skills!G4*IF(Skills!H4&gt;0,Skills!I4/Skills!H4,1)</f>
        <v/>
      </c>
      <c r="H2824">
        <f>1-(1-Skills!J4/100)^Skills!K4</f>
        <v/>
      </c>
      <c r="I2824" t="inlineStr">
        <is>
          <t>1</t>
        </is>
      </c>
      <c r="J2824">
        <f>((Inputs!$B$6*(1+Inputs!$B$7/100))+(((Inputs!$B$12*(1+Inputs!$B$13/100))-(Inputs!$B$12*(1+Inputs!$B$13/100)))+0.25*(Inputs!$B$14-Inputs!$B$14))*(1+Inputs!$B$7/100))*(F2824/100)</f>
        <v/>
      </c>
      <c r="K2824">
        <f>J2824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2824)</f>
        <v/>
      </c>
      <c r="L2824">
        <f>K2824*(MIN(Inputs!$B$22+((C2844=TRUE)*(F2844-Calc!F24)),(Inputs!$B$23+((C2849=TRUE)*(F2849-Calc!F29))+IF(ArtifactsInput!$M$15,CHOOSE(ArtifactsInput!$N$15+1,25,30,35,40,45,50)/100*(Inputs!$B$11-Inputs!$B$11),0)))/100+(Inputs!$B$23+((C2849=TRUE)*(F2849-Calc!F29))+IF(ArtifactsInput!$M$15,CHOOSE(ArtifactsInput!$N$15+1,25,30,35,40,45,50)/100*(Inputs!$B$11-Inputs!$B$11),0))/100)/2</f>
        <v/>
      </c>
      <c r="M2824">
        <f>L2824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IF(B2865=0,0,O2824/B2865)</f>
        <v/>
      </c>
      <c r="Q2824">
        <f>IFERROR(1/IF(Inputs!$B$39="pvp",15,MAX(0.1,Skills!D4-IF(Skills!E4=TRUE,Inputs!$B$32,0))),0)</f>
        <v/>
      </c>
      <c r="R2824">
        <f>IF(AND(Inputs!$B$39&lt;&gt;"pvp",Inputs!$B$44&gt;0),IF(MAX(0,Inputs!$B$44-B2864)&lt;=0,0,(INT(MAX(0,Inputs!$B$44-B2864)/IF(Inputs!$B$39="pvp",15,MAX(0.1,Skills!D4-IF(Skills!E4=TRUE,Inputs!$B$32,0))))+1)),0)</f>
        <v/>
      </c>
      <c r="S2824">
        <f>IFERROR(O2824/N2824,0)</f>
        <v/>
      </c>
      <c r="T2824">
        <f>IF(C2824,(H2824*N2824*IF(AND(Inputs!$B$39&lt;&gt;"pvp",Inputs!$B$44&gt;0),((Skills!G4*((R2824-1)*IF(Skills!H4&gt;0,Skills!I4/Skills!H4,1)+IF(Skills!H4&gt;0,MIN(Skills!I4,MAX(0,MAX(0,Inputs!$B$44-B2864)-((R2824-1)*IF(Inputs!$B$39="pvp",15,MAX(0.1,Skills!D4-IF(Skills!E4=TRUE,Inputs!$B$32,0))))))/Skills!H4,1)))/Inputs!$B$44),G2824*Q2824))*IF(Inputs!$B$39="pvp",1,1+(Inputs!$B$20+0+Skills!P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2824*(1-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f>290*U2823/1000</f>
        <v/>
      </c>
      <c r="V2824">
        <f>IF(C2824,(H2824*N2824*IF(AND(Inputs!$B$39&lt;&gt;"pvp",Inputs!$B$44&gt;0),((Skills!G4*((R2824-1)*IF(Skills!H4&gt;0,Skills!I4/Skills!H4,1)+IF(Skills!H4&gt;0,MIN(Skills!I4,MAX(0,MAX(0,Inputs!$B$44-B2864)-((R2824-1)*IF(Inputs!$B$39="pvp",15,MAX(0.1,Skills!D4-IF(Skills!E4=TRUE,Inputs!$B$32,0))))))/Skills!H4,1)))/Inputs!$B$44),G2824*Q2824))*IF(Inputs!$B$39="pvp",1,(1+(Inputs!$B$21+Skills!Q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(10,0.5*B2857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Skills!A5</f>
        <v/>
      </c>
      <c r="B2825">
        <f>Skills!B5</f>
        <v/>
      </c>
      <c r="C2825">
        <f>Inputs!$B$3&gt;=63</f>
        <v/>
      </c>
      <c r="D2825">
        <f>IF(Skills!C5=1,60+Inputs!$B$25+Inputs!$B$29,IF(Skills!C5=2,90+Inputs!$B$26+Inputs!$B$29,IF(Skills!C5=3,120+Inputs!$B$27+Inputs!$B$29,MAX(0,(Inputs!$B$3-100)*3)+Inputs!$B$28+Inputs!$B$29)))</f>
        <v/>
      </c>
      <c r="E2825">
        <f>INDEX(FactorTable!$B$2:$Y$301, MATCH(ROUND(MIN(300,MAX(1,D2825)),0), FactorTable!$A$2:$A$301,0), Skills!M5+1)</f>
        <v/>
      </c>
      <c r="F2825">
        <f>IF(Skills!N5=TRUE,(Skills!L5/10)*(E2825/1000),Skills!L5/10)+Skills!O5</f>
        <v/>
      </c>
      <c r="G2825">
        <f>Skills!G5*IF(Skills!H5&gt;0,Skills!I5/Skills!H5,1)</f>
        <v/>
      </c>
      <c r="H2825">
        <f>1-(1-Skills!J5/100)^Skills!K5</f>
        <v/>
      </c>
      <c r="I2825" t="inlineStr">
        <is>
          <t>1</t>
        </is>
      </c>
      <c r="J2825">
        <f>((Inputs!$B$6*(1+Inputs!$B$7/100))+(((Inputs!$B$12*(1+Inputs!$B$13/100))-(Inputs!$B$12*(1+Inputs!$B$13/100)))+0.25*(Inputs!$B$14-Inputs!$B$14))*(1+Inputs!$B$7/100))*(F2825/100)</f>
        <v/>
      </c>
      <c r="K2825">
        <f>J2825*(1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2838=TRUE,F2838,0)/100)*(1+(IF(Skills!A5="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2825)</f>
        <v/>
      </c>
      <c r="L2825">
        <f>K2825*(MIN(Inputs!$B$22+((C2844=TRUE)*(F2844-Calc!F24)),(Inputs!$B$23+((C2849=TRUE)*(F2849-Calc!F29))+IF(ArtifactsInput!$M$15,CHOOSE(ArtifactsInput!$N$15+1,25,30,35,40,45,50)/100*(Inputs!$B$11-Inputs!$B$11),0)))/100+(Inputs!$B$23+((C2849=TRUE)*(F2849-Calc!F29))+IF(ArtifactsInput!$M$15,CHOOSE(ArtifactsInput!$N$15+1,25,30,35,40,45,50)/100*(Inputs!$B$11-Inputs!$B$11),0))/100)/2</f>
        <v/>
      </c>
      <c r="M2825">
        <f>L2825*(1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IF(B2865=0,0,O2825/B2865)</f>
        <v/>
      </c>
      <c r="Q2825">
        <f>IFERROR(1/IF(Inputs!$B$39="pvp",15,MAX(0.1,Skills!D5-IF(Skills!E5=TRUE,Inputs!$B$32,0))),0)</f>
        <v/>
      </c>
      <c r="R2825">
        <f>IF(AND(Inputs!$B$39&lt;&gt;"pvp",Inputs!$B$44&gt;0),IF(MAX(0,Inputs!$B$44-B2864)&lt;=0,0,(INT(MAX(0,Inputs!$B$44-B2864)/IF(Inputs!$B$39="pvp",15,MAX(0.1,Skills!D5-IF(Skills!E5=TRUE,Inputs!$B$32,0))))+1)),0)</f>
        <v/>
      </c>
      <c r="S2825">
        <f>IFERROR(O2825/N2825,0)</f>
        <v/>
      </c>
      <c r="T2825">
        <f>IF(C2825,(H2825*N2825*IF(AND(Inputs!$B$39&lt;&gt;"pvp",Inputs!$B$44&gt;0),((Skills!G5*((R2825-1)*IF(Skills!H5&gt;0,Skills!I5/Skills!H5,1)+IF(Skills!H5&gt;0,MIN(Skills!I5,MAX(0,MAX(0,Inputs!$B$44-B2864)-((R2825-1)*IF(Inputs!$B$39="pvp",15,MAX(0.1,Skills!D5-IF(Skills!E5=TRUE,Inputs!$B$32,0))))))/Skills!H5,1)))/Inputs!$B$44),G2825*Q2825))*IF(Inputs!$B$39="pvp",1,1+(Inputs!$B$20+0+Skills!P5+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2825*(1-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5*((R2825-1)*IF(Skills!H5&gt;0,Skills!I5/Skills!H5,1)+IF(Skills!H5&gt;0,MIN(Skills!I5,MAX(0,MAX(0,Inputs!$B$44-B2864)-((R2825-1)*IF(Inputs!$B$39="pvp",15,MAX(0.1,Skills!D5-IF(Skills!E5=TRUE,Inputs!$B$32,0))))))/Skills!H5,1)))/Inputs!$B$44),G2825*Q2825))*IF(Inputs!$B$39="pvp",1,(1+(Inputs!$B$21+Skills!Q5+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Skills!A6</f>
        <v/>
      </c>
      <c r="B2826">
        <f>Skills!B6</f>
        <v/>
      </c>
      <c r="C2826">
        <f>Inputs!$B$3&gt;=69</f>
        <v/>
      </c>
      <c r="D2826">
        <f>IF(Skills!C6=1,60+Inputs!$B$25+Inputs!$B$29,IF(Skills!C6=2,90+Inputs!$B$26+Inputs!$B$29,IF(Skills!C6=3,120+Inputs!$B$27+Inputs!$B$29,MAX(0,(Inputs!$B$3-100)*3)+Inputs!$B$28+Inputs!$B$29)))</f>
        <v/>
      </c>
      <c r="E2826">
        <f>INDEX(FactorTable!$B$2:$Y$301, MATCH(ROUND(MIN(300,MAX(1,D2826)),0), FactorTable!$A$2:$A$301,0), Skills!M6+1)</f>
        <v/>
      </c>
      <c r="F2826">
        <f>IF(Skills!N6=TRUE,(Skills!L6/10)*(E2826/1000),Skills!L6/10)+Skills!O6</f>
        <v/>
      </c>
      <c r="G2826">
        <f>Skills!G6*IF(Skills!H6&gt;0,Skills!I6/Skills!H6,1)</f>
        <v/>
      </c>
      <c r="H2826">
        <f>1-(1-Skills!J6/100)^Skills!K6</f>
        <v/>
      </c>
      <c r="I2826" t="inlineStr">
        <is>
          <t>1</t>
        </is>
      </c>
      <c r="J2826">
        <f>((Inputs!$B$6*(1+Inputs!$B$7/100))+(((Inputs!$B$12*(1+Inputs!$B$13/100))-(Inputs!$B$12*(1+Inputs!$B$13/100)))+0.25*(Inputs!$B$14-Inputs!$B$14))*(1+Inputs!$B$7/100))*(F2826/100)</f>
        <v/>
      </c>
      <c r="K2826">
        <f>J2826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2838=TRUE,F2838,0)/100)*(1+(IF(Skills!A6="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2826)</f>
        <v/>
      </c>
      <c r="L2826">
        <f>K2826*(MIN(Inputs!$B$22+((C2844=TRUE)*(F2844-Calc!F24)),(Inputs!$B$23+((C2849=TRUE)*(F2849-Calc!F29))+IF(ArtifactsInput!$M$15,CHOOSE(ArtifactsInput!$N$15+1,25,30,35,40,45,50)/100*(Inputs!$B$11-Inputs!$B$11),0)))/100+(Inputs!$B$23+((C2849=TRUE)*(F2849-Calc!F29))+IF(ArtifactsInput!$M$15,CHOOSE(ArtifactsInput!$N$15+1,25,30,35,40,45,50)/100*(Inputs!$B$11-Inputs!$B$11),0))/100)/2</f>
        <v/>
      </c>
      <c r="M2826">
        <f>L2826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IF(B2865=0,0,O2826/B2865)</f>
        <v/>
      </c>
      <c r="Q2826">
        <f>IFERROR(1/IF(Inputs!$B$39="pvp",15,MAX(0.1,Skills!D6-IF(Skills!E6=TRUE,Inputs!$B$32,0))),0)</f>
        <v/>
      </c>
      <c r="R2826">
        <f>IF(AND(Inputs!$B$39&lt;&gt;"pvp",Inputs!$B$44&gt;0),IF(MAX(0,Inputs!$B$44-B2864)&lt;=0,0,(INT(MAX(0,Inputs!$B$44-B2864)/IF(Inputs!$B$39="pvp",15,MAX(0.1,Skills!D6-IF(Skills!E6=TRUE,Inputs!$B$32,0))))+1)),0)</f>
        <v/>
      </c>
      <c r="S2826">
        <f>IFERROR(O2826/N2826,0)</f>
        <v/>
      </c>
      <c r="T2826">
        <f>IF(C2826,(H2826*N2826*IF(AND(Inputs!$B$39&lt;&gt;"pvp",Inputs!$B$44&gt;0),((Skills!G6*((R2826-1)*IF(Skills!H6&gt;0,Skills!I6/Skills!H6,1)+IF(Skills!H6&gt;0,MIN(Skills!I6,MAX(0,MAX(0,Inputs!$B$44-B2864)-((R2826-1)*IF(Inputs!$B$39="pvp",15,MAX(0.1,Skills!D6-IF(Skills!E6=TRUE,Inputs!$B$32,0))))))/Skills!H6,1)))/Inputs!$B$44),G2826*Q2826))*IF(Inputs!$B$39="pvp",1,1+(Inputs!$B$20+0+Skills!P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2826*(1-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6*((R2826-1)*IF(Skills!H6&gt;0,Skills!I6/Skills!H6,1)+IF(Skills!H6&gt;0,MIN(Skills!I6,MAX(0,MAX(0,Inputs!$B$44-B2864)-((R2826-1)*IF(Inputs!$B$39="pvp",15,MAX(0.1,Skills!D6-IF(Skills!E6=TRUE,Inputs!$B$32,0))))))/Skills!H6,1)))/Inputs!$B$44),G2826*Q2826))*IF(Inputs!$B$39="pvp",1,(1+(Inputs!$B$21+Skills!Q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Skills!A7</f>
        <v/>
      </c>
      <c r="B2827">
        <f>Skills!B7</f>
        <v/>
      </c>
      <c r="C2827">
        <f>Inputs!$B$3&gt;=60</f>
        <v/>
      </c>
      <c r="D2827">
        <f>IF(Skills!C7=1,60+Inputs!$B$25+Inputs!$B$29,IF(Skills!C7=2,90+Inputs!$B$26+Inputs!$B$29,IF(Skills!C7=3,120+Inputs!$B$27+Inputs!$B$29,MAX(0,(Inputs!$B$3-100)*3)+Inputs!$B$28+Inputs!$B$29)))</f>
        <v/>
      </c>
      <c r="E2827">
        <f>INDEX(FactorTable!$B$2:$Y$301, MATCH(ROUND(MIN(300,MAX(1,D2827)),0), FactorTable!$A$2:$A$301,0), Skills!M7+1)</f>
        <v/>
      </c>
      <c r="F2827">
        <f>IF(Skills!N7=TRUE,(Skills!L7/10)*(E2827/1000),Skills!L7/10)+Skills!O7</f>
        <v/>
      </c>
      <c r="G2827">
        <f>Skills!G7*IF(Skills!H7&gt;0,Skills!I7/Skills!H7,1)</f>
        <v/>
      </c>
      <c r="H2827">
        <f>1-(1-Skills!J7/100)^Skills!K7</f>
        <v/>
      </c>
      <c r="I2827" t="inlineStr">
        <is>
          <t>1</t>
        </is>
      </c>
      <c r="J2827" t="inlineStr"/>
      <c r="K2827" t="inlineStr"/>
      <c r="L2827" t="inlineStr"/>
      <c r="M2827" t="inlineStr"/>
      <c r="N2827" t="inlineStr"/>
      <c r="O2827">
        <f>(1-Summary!$B$11)*T2827+Summary!$B$11*V2827</f>
        <v/>
      </c>
      <c r="P2827">
        <f>IF(B2865=0,0,O2827/B2865)</f>
        <v/>
      </c>
      <c r="Q2827" t="n">
        <v>0</v>
      </c>
      <c r="R2827" t="n">
        <v>0</v>
      </c>
      <c r="S2827">
        <f>IFERROR(O2827/N2827,0)</f>
        <v/>
      </c>
      <c r="T2827" t="n">
        <v>0</v>
      </c>
      <c r="V2827" t="n">
        <v>0</v>
      </c>
    </row>
    <row r="2828">
      <c r="A2828">
        <f>Skills!A8</f>
        <v/>
      </c>
      <c r="B2828">
        <f>Skills!B8</f>
        <v/>
      </c>
      <c r="C2828">
        <f>Inputs!$B$3&gt;=72</f>
        <v/>
      </c>
      <c r="D2828">
        <f>IF(Skills!C8=1,60+Inputs!$B$25+Inputs!$B$29,IF(Skills!C8=2,90+Inputs!$B$26+Inputs!$B$29,IF(Skills!C8=3,120+Inputs!$B$27+Inputs!$B$29,MAX(0,(Inputs!$B$3-100)*3)+Inputs!$B$28+Inputs!$B$29)))</f>
        <v/>
      </c>
      <c r="E2828">
        <f>INDEX(FactorTable!$B$2:$Y$301, MATCH(ROUND(MIN(300,MAX(1,D2828)),0), FactorTable!$A$2:$A$301,0), Skills!M8+1)</f>
        <v/>
      </c>
      <c r="F2828">
        <f>IF(Skills!N8=TRUE,(Skills!L8/10)*(E2828/1000),Skills!L8/10)+Skills!O8</f>
        <v/>
      </c>
      <c r="G2828">
        <f>Skills!G8*IF(Skills!H8&gt;0,Skills!I8/Skills!H8,1)</f>
        <v/>
      </c>
      <c r="H2828">
        <f>1-(1-Skills!J8/100)^Skills!K8</f>
        <v/>
      </c>
      <c r="I2828" t="inlineStr">
        <is>
          <t>1</t>
        </is>
      </c>
      <c r="J2828">
        <f>((Inputs!$B$6*(1+Inputs!$B$7/100))+(((Inputs!$B$12*(1+Inputs!$B$13/100))-(Inputs!$B$12*(1+Inputs!$B$13/100)))+0.25*(Inputs!$B$14-Inputs!$B$14))*(1+Inputs!$B$7/100))*(F2828/100)</f>
        <v/>
      </c>
      <c r="K2828">
        <f>J2828*(1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2838=TRUE,F2838,0)/100)*(1+(IF(Skills!A8="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2828)</f>
        <v/>
      </c>
      <c r="L2828">
        <f>K2828*(MIN(Inputs!$B$22+((C2844=TRUE)*(F2844-Calc!F24)),(Inputs!$B$23+((C2849=TRUE)*(F2849-Calc!F29))+IF(ArtifactsInput!$M$15,CHOOSE(ArtifactsInput!$N$15+1,25,30,35,40,45,50)/100*(Inputs!$B$11-Inputs!$B$11),0)))/100+(Inputs!$B$23+((C2849=TRUE)*(F2849-Calc!F29))+IF(ArtifactsInput!$M$15,CHOOSE(ArtifactsInput!$N$15+1,25,30,35,40,45,50)/100*(Inputs!$B$11-Inputs!$B$11),0))/100)/2</f>
        <v/>
      </c>
      <c r="M2828">
        <f>L2828*(1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IF(B2865=0,0,O2828/B2865)</f>
        <v/>
      </c>
      <c r="Q2828">
        <f>IFERROR(1/IF(Inputs!$B$39="pvp",15,MAX(0.1,Skills!D8-IF(Skills!E8=TRUE,Inputs!$B$32,0))),0)</f>
        <v/>
      </c>
      <c r="R2828">
        <f>IF(AND(Inputs!$B$39&lt;&gt;"pvp",Inputs!$B$44&gt;0),IF(MAX(0,Inputs!$B$44-B2864)&lt;=0,0,(INT(MAX(0,Inputs!$B$44-B2864)/IF(Inputs!$B$39="pvp",15,MAX(0.1,Skills!D8-IF(Skills!E8=TRUE,Inputs!$B$32,0))))+1)),0)</f>
        <v/>
      </c>
      <c r="S2828">
        <f>IFERROR(O2828/N2828,0)</f>
        <v/>
      </c>
      <c r="T2828">
        <f>IF(C2828,(H2828*N2828*IF(AND(Inputs!$B$39&lt;&gt;"pvp",Inputs!$B$44&gt;0),((Skills!G8*((R2828-1)*IF(Skills!H8&gt;0,Skills!I8/Skills!H8,1)+IF(Skills!H8&gt;0,MIN(Skills!I8,MAX(0,MAX(0,Inputs!$B$44-B2864)-((R2828-1)*IF(Inputs!$B$39="pvp",15,MAX(0.1,Skills!D8-IF(Skills!E8=TRUE,Inputs!$B$32,0))))))/Skills!H8,1)))/Inputs!$B$44),G2828*Q2828))*IF(Inputs!$B$39="pvp",1,1+(Inputs!$B$20+0+Skills!P8+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2828*(1-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8*((R2828-1)*IF(Skills!H8&gt;0,Skills!I8/Skills!H8,1)+IF(Skills!H8&gt;0,MIN(Skills!I8,MAX(0,MAX(0,Inputs!$B$44-B2864)-((R2828-1)*IF(Inputs!$B$39="pvp",15,MAX(0.1,Skills!D8-IF(Skills!E8=TRUE,Inputs!$B$32,0))))))/Skills!H8,1)))/Inputs!$B$44),G2828*Q2828))*IF(Inputs!$B$39="pvp",1,(1+(Inputs!$B$21+Skills!Q8+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Skills!A9</f>
        <v/>
      </c>
      <c r="B2829">
        <f>Skills!B9</f>
        <v/>
      </c>
      <c r="C2829">
        <f>Inputs!$B$3&gt;=117</f>
        <v/>
      </c>
      <c r="D2829">
        <f>IF(Skills!C9=1,60+Inputs!$B$25+Inputs!$B$29,IF(Skills!C9=2,90+Inputs!$B$26+Inputs!$B$29,IF(Skills!C9=3,120+Inputs!$B$27+Inputs!$B$29,MAX(0,(Inputs!$B$3-100)*3)+Inputs!$B$28+Inputs!$B$29)))</f>
        <v/>
      </c>
      <c r="E2829">
        <f>INDEX(FactorTable!$B$2:$Y$301, MATCH(ROUND(MIN(300,MAX(1,D2829)),0), FactorTable!$A$2:$A$301,0), Skills!M9+1)</f>
        <v/>
      </c>
      <c r="F2829">
        <f>IF(Skills!N9=TRUE,(Skills!L9/10)*(E2829/1000),Skills!L9/10)+Skills!O9</f>
        <v/>
      </c>
      <c r="G2829">
        <f>Skills!G9*IF(Skills!H9&gt;0,Skills!I9/Skills!H9,1)</f>
        <v/>
      </c>
      <c r="H2829">
        <f>1-(1-Skills!J9/100)^Skills!K9</f>
        <v/>
      </c>
      <c r="I2829" t="inlineStr">
        <is>
          <t>1</t>
        </is>
      </c>
      <c r="J2829">
        <f>((Inputs!$B$6*(1+Inputs!$B$7/100))+(((Inputs!$B$12*(1+Inputs!$B$13/100))-(Inputs!$B$12*(1+Inputs!$B$13/100)))+0.25*(Inputs!$B$14-Inputs!$B$14))*(1+Inputs!$B$7/100))*(F2829/100)</f>
        <v/>
      </c>
      <c r="K2829">
        <f>J2829*(1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2829)</f>
        <v/>
      </c>
      <c r="L2829">
        <f>K2829*(MIN(Inputs!$B$22+((C2844=TRUE)*(F2844-Calc!F24)),(Inputs!$B$23+((C2849=TRUE)*(F2849-Calc!F29))+IF(ArtifactsInput!$M$15,CHOOSE(ArtifactsInput!$N$15+1,25,30,35,40,45,50)/100*(Inputs!$B$11-Inputs!$B$11),0)))/100+(Inputs!$B$23+((C2849=TRUE)*(F2849-Calc!F29))+IF(ArtifactsInput!$M$15,CHOOSE(ArtifactsInput!$N$15+1,25,30,35,40,45,50)/100*(Inputs!$B$11-Inputs!$B$11),0))/100)/2</f>
        <v/>
      </c>
      <c r="M2829">
        <f>L2829*(1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IF(B2865=0,0,O2829/B2865)</f>
        <v/>
      </c>
      <c r="Q2829" t="n">
        <v>0</v>
      </c>
      <c r="R2829" t="n">
        <v>0</v>
      </c>
      <c r="S2829" t="n">
        <v>0</v>
      </c>
      <c r="T2829">
        <f>IF(C2829,(0.2*SUMPRODUCT((Skills!Z2:Z30=TRUE)*(C2822:C2850=TRUE)*S2822:S2850)*N2829)*IF(Inputs!$B$39="pvp",1,1+(Inputs!$B$20+0+Skills!P9+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2829*(1-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(0.2*SUMPRODUCT((Skills!Z2:Z30=TRUE)*(C2822:C2850=TRUE)*S2822:S2850)*N2829)*IF(Inputs!$B$39="pvp",1,(1+(Inputs!$B$21+Skills!Q9+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Skills!A10</f>
        <v/>
      </c>
      <c r="B2830">
        <f>Skills!B10</f>
        <v/>
      </c>
      <c r="C2830">
        <f>Inputs!$B$3&gt;=74</f>
        <v/>
      </c>
      <c r="D2830">
        <f>IF(Skills!C10=1,60+Inputs!$B$25+Inputs!$B$29,IF(Skills!C10=2,90+Inputs!$B$26+Inputs!$B$29,IF(Skills!C10=3,120+Inputs!$B$27+Inputs!$B$29,MAX(0,(Inputs!$B$3-100)*3)+Inputs!$B$28+Inputs!$B$29)))</f>
        <v/>
      </c>
      <c r="E2830">
        <f>INDEX(FactorTable!$B$2:$Y$301, MATCH(ROUND(MIN(300,MAX(1,D2830)),0), FactorTable!$A$2:$A$301,0), Skills!M10+1)</f>
        <v/>
      </c>
      <c r="F2830">
        <f>IF(Skills!N10=TRUE,(Skills!L10/10)*(E2830/1000),Skills!L10/10)+Skills!O10</f>
        <v/>
      </c>
      <c r="G2830">
        <f>Skills!G10*IF(Skills!H10&gt;0,Skills!I10/Skills!H10,1)</f>
        <v/>
      </c>
      <c r="H2830">
        <f>1-(1-Skills!J10/100)^Skills!K10</f>
        <v/>
      </c>
      <c r="I2830" t="inlineStr">
        <is>
          <t>1</t>
        </is>
      </c>
      <c r="J2830" t="inlineStr"/>
      <c r="K2830" t="inlineStr"/>
      <c r="L2830" t="inlineStr"/>
      <c r="M2830" t="inlineStr"/>
      <c r="N2830" t="inlineStr"/>
      <c r="O2830">
        <f>(1-Summary!$B$11)*T2830+Summary!$B$11*V2830</f>
        <v/>
      </c>
      <c r="P2830">
        <f>IF(B2865=0,0,O2830/B2865)</f>
        <v/>
      </c>
      <c r="Q2830">
        <f>IFERROR(1/IF(Inputs!$B$39="pvp",15,MAX(0.1,Skills!D10-IF(Skills!E10=TRUE,Inputs!$B$32,0))),0)</f>
        <v/>
      </c>
      <c r="R2830">
        <f>IF(AND(Inputs!$B$39&lt;&gt;"pvp",Inputs!$B$44&gt;0),IF(Inputs!$B$44&lt;=0,0,(INT(Inputs!$B$44/IF(Inputs!$B$39="pvp",15,MAX(0.1,Skills!D10-IF(Skills!E10=TRUE,Inputs!$B$32,0))))+1)),0)</f>
        <v/>
      </c>
      <c r="S2830">
        <f>IFERROR(O2830/N2830,0)</f>
        <v/>
      </c>
      <c r="T2830" t="n">
        <v>0</v>
      </c>
      <c r="V2830" t="n">
        <v>0</v>
      </c>
    </row>
    <row r="2831">
      <c r="A2831">
        <f>Skills!A11</f>
        <v/>
      </c>
      <c r="B2831">
        <f>Skills!B11</f>
        <v/>
      </c>
      <c r="C2831">
        <f>Inputs!$B$3&gt;=103</f>
        <v/>
      </c>
      <c r="D2831">
        <f>IF(Skills!C11=1,60+Inputs!$B$25+Inputs!$B$29,IF(Skills!C11=2,90+Inputs!$B$26+Inputs!$B$29,IF(Skills!C11=3,120+Inputs!$B$27+Inputs!$B$29,MAX(0,(Inputs!$B$3-100)*3)+Inputs!$B$28+Inputs!$B$29)))</f>
        <v/>
      </c>
      <c r="E2831">
        <f>INDEX(FactorTable!$B$2:$Y$301, MATCH(ROUND(MIN(300,MAX(1,D2831)),0), FactorTable!$A$2:$A$301,0), Skills!M11+1)</f>
        <v/>
      </c>
      <c r="F2831">
        <f>(Skills!L11/10)*(E2831/1000)+IF(Inputs!$B$3&gt;=134,50,0)+0.5*(30000/10)*(INDEX(FactorTable!$B$2:$Y$301, MATCH(ROUND(MIN(300,MAX(1,D2831)),0), FactorTable!$A$2:$A$301,0), 13)/1000)*B2863</f>
        <v/>
      </c>
      <c r="G2831">
        <f>Skills!G11*IF(Skills!H11&gt;0,Skills!I11/Skills!H11,1)</f>
        <v/>
      </c>
      <c r="H2831">
        <f>1-(1-Skills!J11/100)^Skills!K11</f>
        <v/>
      </c>
      <c r="I2831" t="inlineStr">
        <is>
          <t>1</t>
        </is>
      </c>
      <c r="J2831">
        <f>((Inputs!$B$6*(1+Inputs!$B$7/100))+(((Inputs!$B$12*(1+Inputs!$B$13/100))-(Inputs!$B$12*(1+Inputs!$B$13/100)))+0.25*(Inputs!$B$14-Inputs!$B$14))*(1+Inputs!$B$7/100))*(F2831/100)</f>
        <v/>
      </c>
      <c r="K2831">
        <f>J2831*(1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2831)</f>
        <v/>
      </c>
      <c r="L2831">
        <f>K2831*(MIN(Inputs!$B$22+((C2844=TRUE)*(F2844-Calc!F24)),(Inputs!$B$23+((C2849=TRUE)*(F2849-Calc!F29))+IF(ArtifactsInput!$M$15,CHOOSE(ArtifactsInput!$N$15+1,25,30,35,40,45,50)/100*(Inputs!$B$11-Inputs!$B$11),0)))/100+(Inputs!$B$23+((C2849=TRUE)*(F2849-Calc!F29))+IF(ArtifactsInput!$M$15,CHOOSE(ArtifactsInput!$N$15+1,25,30,35,40,45,50)/100*(Inputs!$B$11-Inputs!$B$11),0))/100)/2</f>
        <v/>
      </c>
      <c r="M2831">
        <f>L2831*(1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1">
        <f>L2831*(1-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1">
        <f>(1-Summary!$B$11)*T2831+Summary!$B$11*V2831</f>
        <v/>
      </c>
      <c r="P2831">
        <f>IF(B2865=0,0,O2831/B2865)</f>
        <v/>
      </c>
      <c r="Q2831">
        <f>IFERROR(1/IF(Inputs!$B$39="pvp",15,MAX(0.1,Skills!D11-IF(Skills!E11=TRUE,Inputs!$B$32,0))),0)</f>
        <v/>
      </c>
      <c r="R2831">
        <f>IF(AND(Inputs!$B$39&lt;&gt;"pvp",Inputs!$B$44&gt;0),IF(MAX(0,Inputs!$B$44-B2864)&lt;=0,0,(INT(MAX(0,Inputs!$B$44-B2864)/IF(Inputs!$B$39="pvp",15,MAX(0.1,Skills!D11-IF(Skills!E11=TRUE,Inputs!$B$32,0))))+1)),0)</f>
        <v/>
      </c>
      <c r="S2831">
        <f>IFERROR(O2831/N2831,0)</f>
        <v/>
      </c>
      <c r="T2831">
        <f>IF(C2831,(H2831*N2831*IF(AND(Inputs!$B$39&lt;&gt;"pvp",Inputs!$B$44&gt;0),((Skills!G11*((R2831-1)*IF(Skills!H11&gt;0,Skills!I11/Skills!H11,1)+IF(Skills!H11&gt;0,MIN(Skills!I11,MAX(0,MAX(0,Inputs!$B$44-B2864)-((R2831-1)*IF(Inputs!$B$39="pvp",15,MAX(0.1,Skills!D11-IF(Skills!E11=TRUE,Inputs!$B$32,0))))))/Skills!H11,1)))/Inputs!$B$44),G2831*Q2831))*IF(Inputs!$B$39="pvp",1,1+(Inputs!$B$20+0+Skills!P11+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1">
        <f>IF(C2831,(H2831*N2831*IF(AND(Inputs!$B$39&lt;&gt;"pvp",Inputs!$B$44&gt;0),((Skills!G11*((R2831-1)*IF(Skills!H11&gt;0,Skills!I11/Skills!H11,1)+IF(Skills!H11&gt;0,MIN(Skills!I11,MAX(0,MAX(0,Inputs!$B$44-B2864)-((R2831-1)*IF(Inputs!$B$39="pvp",15,MAX(0.1,Skills!D11-IF(Skills!E11=TRUE,Inputs!$B$32,0))))))/Skills!H11,1)))/Inputs!$B$44),G2831*Q2831))*IF(Inputs!$B$39="pvp",1,(1+(Inputs!$B$21+Skills!Q11+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2">
      <c r="A2832">
        <f>Skills!A12</f>
        <v/>
      </c>
      <c r="B2832">
        <f>Skills!B12</f>
        <v/>
      </c>
      <c r="C2832">
        <f>Inputs!$B$3&gt;=105</f>
        <v/>
      </c>
      <c r="D2832">
        <f>IF(Skills!C12=1,60+Inputs!$B$25+Inputs!$B$29,IF(Skills!C12=2,90+Inputs!$B$26+Inputs!$B$29,IF(Skills!C12=3,120+Inputs!$B$27+Inputs!$B$29,MAX(0,(Inputs!$B$3-100)*3)+Inputs!$B$28+Inputs!$B$29)))</f>
        <v/>
      </c>
      <c r="E2832">
        <f>INDEX(FactorTable!$B$2:$Y$301, MATCH(ROUND(MIN(300,MAX(1,D2832)),0), FactorTable!$A$2:$A$301,0), Skills!M12+1)</f>
        <v/>
      </c>
      <c r="F2832">
        <f>IF(Skills!N12=TRUE,(Skills!L12/10)*(E2832/1000),Skills!L12/10)+Skills!O12</f>
        <v/>
      </c>
      <c r="G2832">
        <f>Skills!G12*IF(Skills!H12&gt;0,Skills!I12/Skills!H12,1)</f>
        <v/>
      </c>
      <c r="H2832">
        <f>1-(1-Skills!J12/100)^Skills!K12</f>
        <v/>
      </c>
      <c r="I2832" t="inlineStr">
        <is>
          <t>1</t>
        </is>
      </c>
      <c r="J2832">
        <f>((Inputs!$B$6*(1+Inputs!$B$7/100))+(((Inputs!$B$12*(1+Inputs!$B$13/100))-(Inputs!$B$12*(1+Inputs!$B$13/100)))+0.25*(Inputs!$B$14-Inputs!$B$14))*(1+Inputs!$B$7/100))*(F2832/100)</f>
        <v/>
      </c>
      <c r="K2832">
        <f>J2832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2832)</f>
        <v/>
      </c>
      <c r="L2832">
        <f>K2832*(MIN(Inputs!$B$22+((C2844=TRUE)*(F2844-Calc!F24)),(Inputs!$B$23+((C2849=TRUE)*(F2849-Calc!F29))+IF(ArtifactsInput!$M$15,CHOOSE(ArtifactsInput!$N$15+1,25,30,35,40,45,50)/100*(Inputs!$B$11-Inputs!$B$11),0)))/100+(Inputs!$B$23+((C2849=TRUE)*(F2849-Calc!F29))+IF(ArtifactsInput!$M$15,CHOOSE(ArtifactsInput!$N$15+1,25,30,35,40,45,50)/100*(Inputs!$B$11-Inputs!$B$11),0))/100)/2</f>
        <v/>
      </c>
      <c r="M2832">
        <f>L2832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2">
        <f>L2832*(1-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(1-Summary!$B$11)*T2832+Summary!$B$11*V2832</f>
        <v/>
      </c>
      <c r="P2832">
        <f>IF(B2865=0,0,O2832/B2865)</f>
        <v/>
      </c>
      <c r="Q2832">
        <f>IFERROR(1/IF(Inputs!$B$39="pvp",15,MAX(0.1,Skills!D12-IF(Skills!E12=TRUE,Inputs!$B$32,0))),0)</f>
        <v/>
      </c>
      <c r="R2832">
        <f>IF(AND(Inputs!$B$39&lt;&gt;"pvp",Inputs!$B$44&gt;0),IF(MAX(0,Inputs!$B$44-B2864)&lt;=0,0,(INT(MAX(0,Inputs!$B$44-B2864)/IF(Inputs!$B$39="pvp",15,MAX(0.1,Skills!D12-IF(Skills!E12=TRUE,Inputs!$B$32,0))))+1)),0)</f>
        <v/>
      </c>
      <c r="S2832">
        <f>IFERROR(O2832/N2832,0)</f>
        <v/>
      </c>
      <c r="T2832">
        <f>IF(C2832,(H2832*N2832*IF(AND(Inputs!$B$39&lt;&gt;"pvp",Inputs!$B$44&gt;0),((Skills!G12*((R2832-1)*IF(Skills!H12&gt;0,Skills!I12/Skills!H12,1)+IF(Skills!H12&gt;0,MIN(Skills!I12,MAX(0,MAX(0,Inputs!$B$44-B2864)-((R2832-1)*IF(Inputs!$B$39="pvp",15,MAX(0.1,Skills!D12-IF(Skills!E12=TRUE,Inputs!$B$32,0))))))/Skills!H12,1)))/Inputs!$B$44),G2832*Q2832))*IF(Inputs!$B$39="pvp",1,1+(Inputs!$B$20+0+Skills!P12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2832*(1-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2">
        <f>IF(C2832,(H2832*N2832*IF(AND(Inputs!$B$39&lt;&gt;"pvp",Inputs!$B$44&gt;0),((Skills!G12*((R2832-1)*IF(Skills!H12&gt;0,Skills!I12/Skills!H12,1)+IF(Skills!H12&gt;0,MIN(Skills!I12,MAX(0,MAX(0,Inputs!$B$44-B2864)-((R2832-1)*IF(Inputs!$B$39="pvp",15,MAX(0.1,Skills!D12-IF(Skills!E12=TRUE,Inputs!$B$32,0))))))/Skills!H12,1)))/Inputs!$B$44),G2832*Q2832))*IF(Inputs!$B$39="pvp",1,(1+(Inputs!$B$21+Skills!Q12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Skills!A13</f>
        <v/>
      </c>
      <c r="B2833">
        <f>Skills!B13</f>
        <v/>
      </c>
      <c r="C2833">
        <f>Inputs!$B$3&gt;=105</f>
        <v/>
      </c>
      <c r="D2833">
        <f>IF(Skills!C13=1,60+Inputs!$B$25+Inputs!$B$29,IF(Skills!C13=2,90+Inputs!$B$26+Inputs!$B$29,IF(Skills!C13=3,120+Inputs!$B$27+Inputs!$B$29,MAX(0,(Inputs!$B$3-100)*3)+Inputs!$B$28+Inputs!$B$29)))</f>
        <v/>
      </c>
      <c r="E2833">
        <f>INDEX(FactorTable!$B$2:$Y$301, MATCH(ROUND(MIN(300,MAX(1,D2833)),0), FactorTable!$A$2:$A$301,0), Skills!M13+1)</f>
        <v/>
      </c>
      <c r="F2833">
        <f>IF(Skills!N13=TRUE,(Skills!L13/10)*(E2833/1000),Skills!L13/10)+Skills!O13</f>
        <v/>
      </c>
      <c r="G2833">
        <f>Skills!G13*IF(Skills!H13&gt;0,Skills!I13/Skills!H13,1)</f>
        <v/>
      </c>
      <c r="H2833">
        <f>1-(1-Skills!J13/100)^Skills!K13</f>
        <v/>
      </c>
      <c r="I2833" t="inlineStr">
        <is>
          <t>1</t>
        </is>
      </c>
      <c r="J2833">
        <f>((Inputs!$B$6*(1+Inputs!$B$7/100))+(((Inputs!$B$12*(1+Inputs!$B$13/100))-(Inputs!$B$12*(1+Inputs!$B$13/100)))+0.25*(Inputs!$B$14-Inputs!$B$14))*(1+Inputs!$B$7/100))*(F2833/100)</f>
        <v/>
      </c>
      <c r="K2833">
        <f>J2833*(1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2833)</f>
        <v/>
      </c>
      <c r="L2833">
        <f>K2833*(MIN(Inputs!$B$22+((C2844=TRUE)*(F2844-Calc!F24)),(Inputs!$B$23+((C2849=TRUE)*(F2849-Calc!F29))+IF(ArtifactsInput!$M$15,CHOOSE(ArtifactsInput!$N$15+1,25,30,35,40,45,50)/100*(Inputs!$B$11-Inputs!$B$11),0)))/100+(Inputs!$B$23+((C2849=TRUE)*(F2849-Calc!F29))+IF(ArtifactsInput!$M$15,CHOOSE(ArtifactsInput!$N$15+1,25,30,35,40,45,50)/100*(Inputs!$B$11-Inputs!$B$11),0))/100)/2</f>
        <v/>
      </c>
      <c r="M2833">
        <f>L2833*(1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IF(B2865=0,0,O2833/B2865)</f>
        <v/>
      </c>
      <c r="Q2833">
        <f>IFERROR(1/IF(Inputs!$B$39="pvp",15,MAX(0.1,Skills!D13-IF(Skills!E13=TRUE,Inputs!$B$32,0))),0)</f>
        <v/>
      </c>
      <c r="R2833">
        <f>IF(AND(Inputs!$B$39&lt;&gt;"pvp",Inputs!$B$44&gt;0),IF(MAX(0,Inputs!$B$44-B2864)&lt;=0,0,(INT(MAX(0,Inputs!$B$44-B2864)/IF(Inputs!$B$39="pvp",15,MAX(0.1,Skills!D13-IF(Skills!E13=TRUE,Inputs!$B$32,0))))+1)),0)</f>
        <v/>
      </c>
      <c r="S2833">
        <f>IFERROR(O2833/N2833,0)</f>
        <v/>
      </c>
      <c r="T2833">
        <f>IF(C2833,(H2833*N2833*IF(AND(Inputs!$B$39&lt;&gt;"pvp",Inputs!$B$44&gt;0),((Skills!G13*((R2833-1)*IF(Skills!H13&gt;0,Skills!I13/Skills!H13,1)+IF(Skills!H13&gt;0,MIN(Skills!I13,MAX(0,MAX(0,Inputs!$B$44-B2864)-((R2833-1)*IF(Inputs!$B$39="pvp",15,MAX(0.1,Skills!D13-IF(Skills!E13=TRUE,Inputs!$B$32,0))))))/Skills!H13,1)))/Inputs!$B$44),G2833*Q2833))*IF(Inputs!$B$39="pvp",1,1+(Inputs!$B$20+0+Skills!P13+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2833*(1-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H2833*N2833*IF(AND(Inputs!$B$39&lt;&gt;"pvp",Inputs!$B$44&gt;0),((Skills!G13*((R2833-1)*IF(Skills!H13&gt;0,Skills!I13/Skills!H13,1)+IF(Skills!H13&gt;0,MIN(Skills!I13,MAX(0,MAX(0,Inputs!$B$44-B2864)-((R2833-1)*IF(Inputs!$B$39="pvp",15,MAX(0.1,Skills!D13-IF(Skills!E13=TRUE,Inputs!$B$32,0))))))/Skills!H13,1)))/Inputs!$B$44),G2833*Q2833))*IF(Inputs!$B$39="pvp",1,(1+(Inputs!$B$21+Skills!Q13+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Skills!A14</f>
        <v/>
      </c>
      <c r="B2834">
        <f>Skills!B14</f>
        <v/>
      </c>
      <c r="C2834">
        <f>Inputs!$B$3&gt;=107</f>
        <v/>
      </c>
      <c r="D2834">
        <f>IF(Skills!C14=1,60+Inputs!$B$25+Inputs!$B$29,IF(Skills!C14=2,90+Inputs!$B$26+Inputs!$B$29,IF(Skills!C14=3,120+Inputs!$B$27+Inputs!$B$29,MAX(0,(Inputs!$B$3-100)*3)+Inputs!$B$28+Inputs!$B$29)))</f>
        <v/>
      </c>
      <c r="E2834">
        <f>INDEX(FactorTable!$B$2:$Y$301, MATCH(ROUND(MIN(300,MAX(1,D2834)),0), FactorTable!$A$2:$A$301,0), Skills!M14+1)</f>
        <v/>
      </c>
      <c r="F2834">
        <f>IF(Skills!N14=TRUE,(Skills!L14/10)*(E2834/1000),Skills!L14/10)+Skills!O14</f>
        <v/>
      </c>
      <c r="G2834">
        <f>Skills!G14*IF(Skills!H14&gt;0,Skills!I14/Skills!H14,1)</f>
        <v/>
      </c>
      <c r="H2834">
        <f>1-(1-Skills!J14/100)^Skills!K14</f>
        <v/>
      </c>
      <c r="I2834" t="inlineStr">
        <is>
          <t>1</t>
        </is>
      </c>
      <c r="J2834">
        <f>((Inputs!$B$6*(1+Inputs!$B$7/100))+(((Inputs!$B$12*(1+Inputs!$B$13/100))-(Inputs!$B$12*(1+Inputs!$B$13/100)))+0.25*(Inputs!$B$14-Inputs!$B$14))*(1+Inputs!$B$7/100))*(F2834/100)</f>
        <v/>
      </c>
      <c r="K2834">
        <f>J2834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2834)</f>
        <v/>
      </c>
      <c r="L2834">
        <f>K2834*(MIN(Inputs!$B$22+((C2844=TRUE)*(F2844-Calc!F24)),(Inputs!$B$23+((C2849=TRUE)*(F2849-Calc!F29))+IF(ArtifactsInput!$M$15,CHOOSE(ArtifactsInput!$N$15+1,25,30,35,40,45,50)/100*(Inputs!$B$11-Inputs!$B$11),0)))/100+(Inputs!$B$23+((C2849=TRUE)*(F2849-Calc!F29))+IF(ArtifactsInput!$M$15,CHOOSE(ArtifactsInput!$N$15+1,25,30,35,40,45,50)/100*(Inputs!$B$11-Inputs!$B$11),0))/100)/2</f>
        <v/>
      </c>
      <c r="M2834">
        <f>L2834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4">
        <f>L2834*(1-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2834*(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4">
        <f>(1-Summary!$B$11)*T2834+Summary!$B$11*V2834</f>
        <v/>
      </c>
      <c r="P2834">
        <f>IF(B2865=0,0,O2834/B2865)</f>
        <v/>
      </c>
      <c r="Q2834">
        <f>IFERROR(1/IF(Inputs!$B$39="pvp",15,MAX(0.1,Skills!D14-IF(Skills!E14=TRUE,Inputs!$B$32,0))),0)</f>
        <v/>
      </c>
      <c r="R2834">
        <f>IF(AND(Inputs!$B$39&lt;&gt;"pvp",Inputs!$B$44&gt;0),IF(MAX(0,Inputs!$B$44-B2864)&lt;=0,0,(INT(MAX(0,Inputs!$B$44-B2864)/IF(Inputs!$B$39="pvp",15,MAX(0.1,Skills!D14-IF(Skills!E14=TRUE,Inputs!$B$32,0))))+1)),0)</f>
        <v/>
      </c>
      <c r="S2834">
        <f>IFERROR(O2834/N2834,0)</f>
        <v/>
      </c>
      <c r="T2834">
        <f>IF(C2834,(H2834*N2834*IF(AND(Inputs!$B$39&lt;&gt;"pvp",Inputs!$B$44&gt;0),((Skills!G14*((R2834-1)*IF(Skills!H14&gt;0,Skills!I14/Skills!H14,1)+IF(Skills!H14&gt;0,MIN(Skills!I14,MAX(0,MAX(0,Inputs!$B$44-B2864)-((R2834-1)*IF(Inputs!$B$39="pvp",15,MAX(0.1,Skills!D14-IF(Skills!E14=TRUE,Inputs!$B$32,0))))))/Skills!H14,1)))/Inputs!$B$44),G2834*Q2834))*IF(Inputs!$B$39="pvp",1,1+(Inputs!$B$20+0+Skills!P14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2834*(1-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2834*(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2834*(1-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2834*(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4">
        <f>IF(C2834,(H2834*N2834*IF(AND(Inputs!$B$39&lt;&gt;"pvp",Inputs!$B$44&gt;0),((Skills!G14*((R2834-1)*IF(Skills!H14&gt;0,Skills!I14/Skills!H14,1)+IF(Skills!H14&gt;0,MIN(Skills!I14,MAX(0,MAX(0,Inputs!$B$44-B2864)-((R2834-1)*IF(Inputs!$B$39="pvp",15,MAX(0.1,Skills!D14-IF(Skills!E14=TRUE,Inputs!$B$32,0))))))/Skills!H14,1)))/Inputs!$B$44),G2834*Q2834))*IF(Inputs!$B$39="pvp",1,(1+(Inputs!$B$21+Skills!Q14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(5,0.25*B2857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5">
      <c r="A2835">
        <f>Skills!A15</f>
        <v/>
      </c>
      <c r="B2835">
        <f>Skills!B15</f>
        <v/>
      </c>
      <c r="C2835">
        <f>Inputs!$B$3&gt;=110</f>
        <v/>
      </c>
      <c r="D2835">
        <f>IF(Skills!C15=1,60+Inputs!$B$25+Inputs!$B$29,IF(Skills!C15=2,90+Inputs!$B$26+Inputs!$B$29,IF(Skills!C15=3,120+Inputs!$B$27+Inputs!$B$29,MAX(0,(Inputs!$B$3-100)*3)+Inputs!$B$28+Inputs!$B$29)))</f>
        <v/>
      </c>
      <c r="E2835">
        <f>INDEX(FactorTable!$B$2:$Y$301, MATCH(ROUND(MIN(300,MAX(1,D2835)),0), FactorTable!$A$2:$A$301,0), Skills!M15+1)</f>
        <v/>
      </c>
      <c r="F2835">
        <f>IF(Skills!N15=TRUE,(Skills!L15/10)*(E2835/1000),Skills!L15/10)+Skills!O15</f>
        <v/>
      </c>
      <c r="G2835">
        <f>Skills!G15*IF(Skills!H15&gt;0,Skills!I15/Skills!H15,1)</f>
        <v/>
      </c>
      <c r="H2835">
        <f>1-(1-Skills!J15/100)^Skills!K15</f>
        <v/>
      </c>
      <c r="I2835" t="inlineStr">
        <is>
          <t>1</t>
        </is>
      </c>
      <c r="J2835" t="inlineStr"/>
      <c r="K2835" t="inlineStr"/>
      <c r="L2835" t="inlineStr"/>
      <c r="M2835" t="inlineStr"/>
      <c r="N2835" t="inlineStr"/>
      <c r="O2835">
        <f>(1-Summary!$B$11)*T2835+Summary!$B$11*V2835</f>
        <v/>
      </c>
      <c r="P2835">
        <f>IF(B2865=0,0,O2835/B2865)</f>
        <v/>
      </c>
      <c r="Q2835">
        <f>IFERROR(1/IF(Inputs!$B$39="pvp",15,MAX(0.1,Skills!D15-IF(Skills!E15=TRUE,Inputs!$B$32,0))),0)</f>
        <v/>
      </c>
      <c r="R2835">
        <f>IF(AND(Inputs!$B$39&lt;&gt;"pvp",Inputs!$B$44&gt;0),IF(Inputs!$B$44&lt;=0,0,(INT(Inputs!$B$44/IF(Inputs!$B$39="pvp",15,MAX(0.1,Skills!D15-IF(Skills!E15=TRUE,Inputs!$B$32,0))))+1)),0)</f>
        <v/>
      </c>
      <c r="S2835">
        <f>IFERROR(O2835/N2835,0)</f>
        <v/>
      </c>
      <c r="T2835" t="n">
        <v>0</v>
      </c>
      <c r="V2835" t="n">
        <v>0</v>
      </c>
    </row>
    <row r="2836">
      <c r="A2836">
        <f>Skills!A16</f>
        <v/>
      </c>
      <c r="B2836">
        <f>Skills!B16</f>
        <v/>
      </c>
      <c r="C2836">
        <f>Inputs!$B$3&gt;=115</f>
        <v/>
      </c>
      <c r="D2836">
        <f>IF(Skills!C16=1,60+Inputs!$B$25+Inputs!$B$29,IF(Skills!C16=2,90+Inputs!$B$26+Inputs!$B$29,IF(Skills!C16=3,120+Inputs!$B$27+Inputs!$B$29,MAX(0,(Inputs!$B$3-100)*3)+Inputs!$B$28+Inputs!$B$29)))</f>
        <v/>
      </c>
      <c r="E2836">
        <f>INDEX(FactorTable!$B$2:$Y$301, MATCH(ROUND(MIN(300,MAX(1,D2836)),0), FactorTable!$A$2:$A$301,0), Skills!M16+1)</f>
        <v/>
      </c>
      <c r="F2836">
        <f>IF(Skills!N16=TRUE,(Skills!L16/10)*(E2836/1000),Skills!L16/10)+Skills!O16</f>
        <v/>
      </c>
      <c r="G2836">
        <f>Skills!G16*IF(Skills!H16&gt;0,Skills!I16/Skills!H16,1)</f>
        <v/>
      </c>
      <c r="H2836">
        <f>1-(1-Skills!J16/100)^Skills!K16</f>
        <v/>
      </c>
      <c r="I2836" t="inlineStr">
        <is>
          <t>1</t>
        </is>
      </c>
      <c r="J2836">
        <f>((Inputs!$B$6*(1+Inputs!$B$7/100))+(((Inputs!$B$12*(1+Inputs!$B$13/100))-(Inputs!$B$12*(1+Inputs!$B$13/100)))+0.25*(Inputs!$B$14-Inputs!$B$14))*(1+Inputs!$B$7/100))*(F2836/100)</f>
        <v/>
      </c>
      <c r="K2836">
        <f>J2836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2847=TRUE)*(F2847-Calc!F27))+((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2836)</f>
        <v/>
      </c>
      <c r="L2836">
        <f>K2836*(MIN(Inputs!$B$22+((C2844=TRUE)*(F2844-Calc!F24)),(Inputs!$B$23+((C2849=TRUE)*(F2849-Calc!F29))+IF(ArtifactsInput!$M$15,CHOOSE(ArtifactsInput!$N$15+1,25,30,35,40,45,50)/100*(Inputs!$B$11-Inputs!$B$11),0)))/100+(Inputs!$B$23+((C2849=TRUE)*(F2849-Calc!F29))+IF(ArtifactsInput!$M$15,CHOOSE(ArtifactsInput!$N$15+1,25,30,35,40,45,50)/100*(Inputs!$B$11-Inputs!$B$11),0))/100)/2</f>
        <v/>
      </c>
      <c r="M2836">
        <f>L2836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6">
        <f>L2836*(1-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2836*(MIN((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6">
        <f>(1-Summary!$B$11)*T2836+Summary!$B$11*V2836</f>
        <v/>
      </c>
      <c r="P2836">
        <f>IF(B2865=0,0,O2836/B2865)</f>
        <v/>
      </c>
      <c r="Q2836" t="n">
        <v>0</v>
      </c>
      <c r="R2836" t="n">
        <v>0</v>
      </c>
      <c r="S2836">
        <f>IFERROR(O2836/N2836,0)</f>
        <v/>
      </c>
      <c r="T2836">
        <f>IF(C2836,(Inputs!$B$38*0.2*N2836)*IF(Inputs!$B$39="pvp",1,1+(Inputs!$B$20+0+Skills!P16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2836*(1-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2836*(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2836*(1-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2836*(MIN(100,(Inputs!$B$9+((C2845=TRUE)*(F2845-Calc!F25))+B2853+(ArtifactsInput!$M$24-ArtifactsInput!$M$24)*CHOOSE(ArtifactsInput!$N$24+1,10,12,14,16,18,20)+(IF(AND(Inputs!$B$39&lt;&gt;"pvp",Inputs!$B$44=0),1,IF(IF(Inputs!$B$39="pvp",15,Inputs!$B$44)-(B2864)&lt;=0,1,MAX(0,IF(Inputs!$B$39="pvp",15,Inputs!$B$44)-MAX(5,B2864))/(IF(Inputs!$B$39="pvp",15,Inputs!$B$44)-(B2864))))*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6">
        <f>IF(C2836,(Inputs!$B$38*0.2*N2836)*IF(Inputs!$B$39="pvp",1,(1+(Inputs!$B$21+Skills!Q16+B2854+(IF(ArtifactsInput!$M$33,CHOOSE(ArtifactsInput!$N$33+1,30,36,42,48,54,60),0))+(IF(AND(IF(ArtifactsInput!$M$35,FALSE,TRUE),Inputs!$B$4&lt;&gt;"Chapter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7">
      <c r="A2837">
        <f>Skills!A17</f>
        <v/>
      </c>
      <c r="B2837">
        <f>Skills!B17</f>
        <v/>
      </c>
      <c r="C2837">
        <f>Inputs!$B$3&gt;=115</f>
        <v/>
      </c>
      <c r="D2837">
        <f>IF(Skills!C17=1,60+Inputs!$B$25+Inputs!$B$29,IF(Skills!C17=2,90+Inputs!$B$26+Inputs!$B$29,IF(Skills!C17=3,120+Inputs!$B$27+Inputs!$B$29,MAX(0,(Inputs!$B$3-100)*3)+Inputs!$B$28+Inputs!$B$29)))</f>
        <v/>
      </c>
      <c r="E2837">
        <f>INDEX(FactorTable!$B$2:$Y$301, MATCH(ROUND(MIN(300,MAX(1,D2837)),0), FactorTable!$A$2:$A$301,0), Skills!M17+1)</f>
        <v/>
      </c>
      <c r="F2837">
        <f>IF(Skills!N17=TRUE,(Skills!L17/10)*(E2837/1000),Skills!L17/10)+Skills!O17</f>
        <v/>
      </c>
      <c r="G2837">
        <f>Skills!G17*IF(Skills!H17&gt;0,Skills!I17/Skills!H17,1)</f>
        <v/>
      </c>
      <c r="H2837">
        <f>1-(1-Skills!J17/100)^Skills!K17</f>
        <v/>
      </c>
      <c r="I2837" t="inlineStr">
        <is>
          <t>1</t>
        </is>
      </c>
      <c r="J2837" t="inlineStr"/>
      <c r="K2837" t="inlineStr"/>
      <c r="L2837" t="inlineStr"/>
      <c r="M2837" t="inlineStr"/>
      <c r="N2837" t="inlineStr"/>
      <c r="O2837">
        <f>(1-Summary!$B$11)*T2837+Summary!$B$11*V2837</f>
        <v/>
      </c>
      <c r="P2837">
        <f>IF(B2865=0,0,O2837/B2865)</f>
        <v/>
      </c>
      <c r="Q2837" t="n">
        <v>0</v>
      </c>
      <c r="R2837" t="n">
        <v>0</v>
      </c>
      <c r="S2837">
        <f>IFERROR(O2837/N2837,0)</f>
        <v/>
      </c>
      <c r="T2837" t="n">
        <v>0</v>
      </c>
      <c r="V2837" t="n">
        <v>0</v>
      </c>
    </row>
    <row r="2838">
      <c r="A2838">
        <f>Skills!A18</f>
        <v/>
      </c>
      <c r="B2838">
        <f>Skills!B18</f>
        <v/>
      </c>
      <c r="C2838">
        <f>Inputs!$B$3&gt;=100</f>
        <v/>
      </c>
      <c r="D2838">
        <f>IF(Skills!C18=1,60+Inputs!$B$25+Inputs!$B$29,IF(Skills!C18=2,90+Inputs!$B$26+Inputs!$B$29,IF(Skills!C18=3,120+Inputs!$B$27+Inputs!$B$29,MAX(0,(Inputs!$B$3-100)*3)+Inputs!$B$28+Inputs!$B$29)))</f>
        <v/>
      </c>
      <c r="E2838">
        <f>INDEX(FactorTable!$B$2:$Y$301, MATCH(ROUND(MIN(300,MAX(1,D2838)),0), FactorTable!$A$2:$A$301,0), Skills!M18+1)</f>
        <v/>
      </c>
      <c r="F2838">
        <f>IF(Skills!N18=TRUE,(Skills!L18/10)*(E2838/1000),Skills!L18/10)+Skills!O18</f>
        <v/>
      </c>
      <c r="G2838">
        <f>Skills!G18*IF(Skills!H18&gt;0,Skills!I18/Skills!H18,1)</f>
        <v/>
      </c>
      <c r="H2838">
        <f>1-(1-Skills!J18/100)^Skills!K18</f>
        <v/>
      </c>
      <c r="I2838" t="inlineStr">
        <is>
          <t>1</t>
        </is>
      </c>
      <c r="J2838" t="inlineStr"/>
      <c r="K2838" t="inlineStr"/>
      <c r="L2838" t="inlineStr"/>
      <c r="M2838" t="inlineStr"/>
      <c r="N2838" t="inlineStr"/>
      <c r="O2838">
        <f>(1-Summary!$B$11)*T2838+Summary!$B$11*V2838</f>
        <v/>
      </c>
      <c r="P2838">
        <f>IF(B2865=0,0,O2838/B2865)</f>
        <v/>
      </c>
      <c r="Q2838" t="n">
        <v>0</v>
      </c>
      <c r="R2838" t="n">
        <v>0</v>
      </c>
      <c r="S2838">
        <f>IFERROR(O2838/N2838,0)</f>
        <v/>
      </c>
      <c r="T2838" t="n">
        <v>0</v>
      </c>
      <c r="V2838" t="n">
        <v>0</v>
      </c>
    </row>
    <row r="2839">
      <c r="A2839">
        <f>Skills!A19</f>
        <v/>
      </c>
      <c r="B2839">
        <f>Skills!B19</f>
        <v/>
      </c>
      <c r="C2839">
        <f>TRUE</f>
        <v/>
      </c>
      <c r="D2839">
        <f>IF(Skills!C19=1,60+Inputs!$B$25+Inputs!$B$29,IF(Skills!C19=2,90+Inputs!$B$26+Inputs!$B$29,IF(Skills!C19=3,120+Inputs!$B$27+Inputs!$B$29,MAX(0,(Inputs!$B$3-100)*3)+Inputs!$B$28+Inputs!$B$29)))</f>
        <v/>
      </c>
      <c r="E2839">
        <f>INDEX(FactorTable!$B$2:$Y$301, MATCH(ROUND(MIN(300,MAX(1,D2839)),0), FactorTable!$A$2:$A$301,0), Skills!M19+1)</f>
        <v/>
      </c>
      <c r="F2839">
        <f>IF(Skills!N19=TRUE,(Skills!L19/10)*(E2839/1000),Skills!L19/10)+Skills!O19</f>
        <v/>
      </c>
      <c r="G2839">
        <f>Skills!G19*IF(Skills!H19&gt;0,Skills!I19/Skills!H19,1)</f>
        <v/>
      </c>
      <c r="H2839">
        <f>1-(1-Skills!J19/100)^Skills!K19</f>
        <v/>
      </c>
      <c r="I2839" t="inlineStr">
        <is>
          <t>1</t>
        </is>
      </c>
      <c r="J2839" t="inlineStr"/>
      <c r="K2839" t="inlineStr"/>
      <c r="L2839" t="inlineStr"/>
      <c r="M2839" t="inlineStr"/>
      <c r="N2839" t="inlineStr"/>
      <c r="O2839">
        <f>(1-Summary!$B$11)*T2839+Summary!$B$11*V2839</f>
        <v/>
      </c>
      <c r="P2839">
        <f>IF(B2865=0,0,O2839/B2865)</f>
        <v/>
      </c>
      <c r="Q2839">
        <f>IFERROR(1/IF(Inputs!$B$39="pvp",15,MAX(0.1,Skills!D19-IF(Skills!E19=TRUE,Inputs!$B$32,0))),0)</f>
        <v/>
      </c>
      <c r="R2839">
        <f>IF(AND(Inputs!$B$39&lt;&gt;"pvp",Inputs!$B$44&gt;0),IF(Inputs!$B$44&lt;=0,0,(INT(Inputs!$B$44/IF(Inputs!$B$39="pvp",15,MAX(0.1,Skills!D19-IF(Skills!E19=TRUE,Inputs!$B$32,0))))+1)),0)</f>
        <v/>
      </c>
      <c r="S2839">
        <f>IFERROR(O2839/N2839,0)</f>
        <v/>
      </c>
      <c r="T2839" t="n">
        <v>0</v>
      </c>
      <c r="V2839" t="n">
        <v>0</v>
      </c>
    </row>
    <row r="2840">
      <c r="A2840">
        <f>Skills!A20</f>
        <v/>
      </c>
      <c r="B2840">
        <f>Skills!B20</f>
        <v/>
      </c>
      <c r="C2840">
        <f>Inputs!$B$3&gt;=15</f>
        <v/>
      </c>
      <c r="D2840">
        <f>IF(Skills!C20=1,60+Inputs!$B$25+Inputs!$B$29,IF(Skills!C20=2,90+Inputs!$B$26+Inputs!$B$29,IF(Skills!C20=3,120+Inputs!$B$27+Inputs!$B$29,MAX(0,(Inputs!$B$3-100)*3)+Inputs!$B$28+Inputs!$B$29)))</f>
        <v/>
      </c>
      <c r="E2840">
        <f>INDEX(FactorTable!$B$2:$Y$301, MATCH(ROUND(MIN(300,MAX(1,D2840)),0), FactorTable!$A$2:$A$301,0), Skills!M20+1)</f>
        <v/>
      </c>
      <c r="F2840">
        <f>IF(Skills!N20=TRUE,(Skills!L20/10)*(E2840/1000),Skills!L20/10)+Skills!O20</f>
        <v/>
      </c>
      <c r="G2840">
        <f>Skills!G20*IF(Skills!H20&gt;0,Skills!I20/Skills!H20,1)</f>
        <v/>
      </c>
      <c r="H2840">
        <f>1-(1-Skills!J20/100)^Skills!K20</f>
        <v/>
      </c>
      <c r="I2840" t="inlineStr">
        <is>
          <t>1</t>
        </is>
      </c>
      <c r="J2840" t="inlineStr"/>
      <c r="K2840" t="inlineStr"/>
      <c r="L2840" t="inlineStr"/>
      <c r="M2840" t="inlineStr"/>
      <c r="N2840" t="inlineStr"/>
      <c r="O2840">
        <f>(1-Summary!$B$11)*T2840+Summary!$B$11*V2840</f>
        <v/>
      </c>
      <c r="P2840">
        <f>IF(B2865=0,0,O2840/B2865)</f>
        <v/>
      </c>
      <c r="Q2840">
        <f>IFERROR(1/IF(Inputs!$B$39="pvp",15,MAX(0.1,Skills!D20-IF(Skills!E20=TRUE,Inputs!$B$32,0))),0)</f>
        <v/>
      </c>
      <c r="R2840">
        <f>IF(AND(Inputs!$B$39&lt;&gt;"pvp",Inputs!$B$44&gt;0),IF(Inputs!$B$44&lt;=0,0,(INT(Inputs!$B$44/IF(Inputs!$B$39="pvp",15,MAX(0.1,Skills!D20-IF(Skills!E20=TRUE,Inputs!$B$32,0))))+1)),0)</f>
        <v/>
      </c>
      <c r="S2840">
        <f>IFERROR(O2840/N2840,0)</f>
        <v/>
      </c>
      <c r="T2840" t="n">
        <v>0</v>
      </c>
      <c r="V2840" t="n">
        <v>0</v>
      </c>
    </row>
    <row r="2841">
      <c r="A2841">
        <f>Skills!A21</f>
        <v/>
      </c>
      <c r="B2841">
        <f>Skills!B21</f>
        <v/>
      </c>
      <c r="C2841">
        <f>Inputs!$B$3&gt;=15</f>
        <v/>
      </c>
      <c r="D2841">
        <f>IF(Skills!C21=1,60+Inputs!$B$25+Inputs!$B$29,IF(Skills!C21=2,90+Inputs!$B$26+Inputs!$B$29,IF(Skills!C21=3,120+Inputs!$B$27+Inputs!$B$29,MAX(0,(Inputs!$B$3-100)*3)+Inputs!$B$28+Inputs!$B$29)))</f>
        <v/>
      </c>
      <c r="E2841">
        <f>INDEX(FactorTable!$B$2:$Y$301, MATCH(ROUND(MIN(300,MAX(1,D2841)),0), FactorTable!$A$2:$A$301,0), Skills!M21+1)</f>
        <v/>
      </c>
      <c r="F2841">
        <f>IF(Skills!N21=TRUE,(Skills!L21/10)*(E2841/1000),Skills!L21/10)+Skills!O21</f>
        <v/>
      </c>
      <c r="G2841">
        <f>Skills!G21*IF(Skills!H21&gt;0,Skills!I21/Skills!H21,1)</f>
        <v/>
      </c>
      <c r="H2841">
        <f>1-(1-Skills!J21/100)^Skills!K21</f>
        <v/>
      </c>
      <c r="I2841" t="inlineStr">
        <is>
          <t>1</t>
        </is>
      </c>
      <c r="J2841" t="inlineStr"/>
      <c r="K2841" t="inlineStr"/>
      <c r="L2841" t="inlineStr"/>
      <c r="M2841" t="inlineStr"/>
      <c r="N2841" t="inlineStr"/>
      <c r="O2841">
        <f>(1-Summary!$B$11)*T2841+Summary!$B$11*V2841</f>
        <v/>
      </c>
      <c r="P2841">
        <f>IF(B2865=0,0,O2841/B2865)</f>
        <v/>
      </c>
      <c r="Q2841">
        <f>IFERROR(1/IF(Inputs!$B$39="pvp",15,MAX(0.1,Skills!D21-IF(Skills!E21=TRUE,Inputs!$B$32,0))),0)</f>
        <v/>
      </c>
      <c r="R2841">
        <f>IF(AND(Inputs!$B$39&lt;&gt;"pvp",Inputs!$B$44&gt;0),IF(Inputs!$B$44&lt;=0,0,(INT(Inputs!$B$44/IF(Inputs!$B$39="pvp",15,MAX(0.1,Skills!D21-IF(Skills!E21=TRUE,Inputs!$B$32,0))))+1)),0)</f>
        <v/>
      </c>
      <c r="S2841">
        <f>IFERROR(O2841/N2841,0)</f>
        <v/>
      </c>
      <c r="T2841" t="n">
        <v>0</v>
      </c>
      <c r="V2841" t="n">
        <v>0</v>
      </c>
    </row>
    <row r="2842">
      <c r="A2842">
        <f>Skills!A22</f>
        <v/>
      </c>
      <c r="B2842">
        <f>Skills!B22</f>
        <v/>
      </c>
      <c r="C2842">
        <f>Inputs!$B$3&gt;=33</f>
        <v/>
      </c>
      <c r="D2842">
        <f>IF(Skills!C22=1,60+Inputs!$B$25+Inputs!$B$29,IF(Skills!C22=2,90+Inputs!$B$26+Inputs!$B$29,IF(Skills!C22=3,120+Inputs!$B$27+Inputs!$B$29,MAX(0,(Inputs!$B$3-100)*3)+Inputs!$B$28+Inputs!$B$29)))</f>
        <v/>
      </c>
      <c r="E2842">
        <f>INDEX(FactorTable!$B$2:$Y$301, MATCH(ROUND(MIN(300,MAX(1,D2842)),0), FactorTable!$A$2:$A$301,0), Skills!M22+1)</f>
        <v/>
      </c>
      <c r="F2842">
        <f>IF(Skills!N22=TRUE,(Skills!L22/10)*(E2842/1000),Skills!L22/10)+Skills!O22</f>
        <v/>
      </c>
      <c r="G2842">
        <f>Skills!G22*IF(Skills!H22&gt;0,Skills!I22/Skills!H22,1)</f>
        <v/>
      </c>
      <c r="H2842">
        <f>1-(1-Skills!J22/100)^Skills!K22</f>
        <v/>
      </c>
      <c r="I2842" t="inlineStr">
        <is>
          <t>1</t>
        </is>
      </c>
      <c r="J2842" t="inlineStr"/>
      <c r="K2842" t="inlineStr"/>
      <c r="L2842" t="inlineStr"/>
      <c r="M2842" t="inlineStr"/>
      <c r="N2842" t="inlineStr"/>
      <c r="O2842">
        <f>(1-Summary!$B$11)*T2842+Summary!$B$11*V2842</f>
        <v/>
      </c>
      <c r="P2842">
        <f>IF(B2865=0,0,O2842/B2865)</f>
        <v/>
      </c>
      <c r="Q2842" t="n">
        <v>0</v>
      </c>
      <c r="R2842" t="n">
        <v>0</v>
      </c>
      <c r="S2842">
        <f>IFERROR(O2842/N2842,0)</f>
        <v/>
      </c>
      <c r="T2842" t="n">
        <v>0</v>
      </c>
      <c r="V2842" t="n">
        <v>0</v>
      </c>
    </row>
    <row r="2843">
      <c r="A2843">
        <f>Skills!A23</f>
        <v/>
      </c>
      <c r="B2843">
        <f>Skills!B23</f>
        <v/>
      </c>
      <c r="C2843">
        <f>Inputs!$B$3&gt;=40</f>
        <v/>
      </c>
      <c r="D2843">
        <f>IF(Skills!C23=1,60+Inputs!$B$25+Inputs!$B$29,IF(Skills!C23=2,90+Inputs!$B$26+Inputs!$B$29,IF(Skills!C23=3,120+Inputs!$B$27+Inputs!$B$29,MAX(0,(Inputs!$B$3-100)*3)+Inputs!$B$28+Inputs!$B$29)))</f>
        <v/>
      </c>
      <c r="E2843">
        <f>INDEX(FactorTable!$B$2:$Y$301, MATCH(ROUND(MIN(300,MAX(1,D2843)),0), FactorTable!$A$2:$A$301,0), Skills!M23+1)</f>
        <v/>
      </c>
      <c r="F2843">
        <f>IF(Skills!N23=TRUE,(Skills!L23/10)*(E2843/1000),Skills!L23/10)+Skills!O23</f>
        <v/>
      </c>
      <c r="G2843">
        <f>Skills!G23*IF(Skills!H23&gt;0,Skills!I23/Skills!H23,1)</f>
        <v/>
      </c>
      <c r="H2843">
        <f>1-(1-Skills!J23/100)^Skills!K23</f>
        <v/>
      </c>
      <c r="I2843" t="inlineStr">
        <is>
          <t>1</t>
        </is>
      </c>
      <c r="J2843" t="inlineStr"/>
      <c r="K2843" t="inlineStr"/>
      <c r="L2843" t="inlineStr"/>
      <c r="M2843" t="inlineStr"/>
      <c r="N2843" t="inlineStr"/>
      <c r="O2843">
        <f>(1-Summary!$B$11)*T2843+Summary!$B$11*V2843</f>
        <v/>
      </c>
      <c r="P2843">
        <f>IF(B2865=0,0,O2843/B2865)</f>
        <v/>
      </c>
      <c r="Q2843" t="n">
        <v>0</v>
      </c>
      <c r="R2843" t="n">
        <v>0</v>
      </c>
      <c r="S2843">
        <f>IFERROR(O2843/N2843,0)</f>
        <v/>
      </c>
      <c r="T2843" t="n">
        <v>0</v>
      </c>
      <c r="V2843" t="n">
        <v>0</v>
      </c>
    </row>
    <row r="2844">
      <c r="A2844">
        <f>Skills!A24</f>
        <v/>
      </c>
      <c r="B2844">
        <f>Skills!B24</f>
        <v/>
      </c>
      <c r="C2844">
        <f>Inputs!$B$3&gt;=43</f>
        <v/>
      </c>
      <c r="D2844">
        <f>IF(Skills!C24=1,60+Inputs!$B$25+Inputs!$B$29,IF(Skills!C24=2,90+Inputs!$B$26+Inputs!$B$29,IF(Skills!C24=3,120+Inputs!$B$27+Inputs!$B$29,MAX(0,(Inputs!$B$3-100)*3)+Inputs!$B$28+Inputs!$B$29)))</f>
        <v/>
      </c>
      <c r="E2844">
        <f>INDEX(FactorTable!$B$2:$Y$301, MATCH(ROUND(MIN(300,MAX(1,D2844)),0), FactorTable!$A$2:$A$301,0), Skills!M24+1)</f>
        <v/>
      </c>
      <c r="F2844">
        <f>IF(Skills!N24=TRUE,(Skills!L24/10)*(E2844/1000),Skills!L24/10)+Skills!O24</f>
        <v/>
      </c>
      <c r="G2844">
        <f>Skills!G24*IF(Skills!H24&gt;0,Skills!I24/Skills!H24,1)</f>
        <v/>
      </c>
      <c r="H2844">
        <f>1-(1-Skills!J24/100)^Skills!K24</f>
        <v/>
      </c>
      <c r="I2844" t="inlineStr">
        <is>
          <t>1</t>
        </is>
      </c>
      <c r="J2844" t="inlineStr"/>
      <c r="K2844" t="inlineStr"/>
      <c r="L2844" t="inlineStr"/>
      <c r="M2844" t="inlineStr"/>
      <c r="N2844" t="inlineStr"/>
      <c r="O2844">
        <f>(1-Summary!$B$11)*T2844+Summary!$B$11*V2844</f>
        <v/>
      </c>
      <c r="P2844">
        <f>IF(B2865=0,0,O2844/B2865)</f>
        <v/>
      </c>
      <c r="Q2844" t="n">
        <v>0</v>
      </c>
      <c r="R2844" t="n">
        <v>0</v>
      </c>
      <c r="S2844">
        <f>IFERROR(O2844/N2844,0)</f>
        <v/>
      </c>
      <c r="T2844" t="n">
        <v>0</v>
      </c>
      <c r="V2844" t="n">
        <v>0</v>
      </c>
    </row>
    <row r="2845">
      <c r="A2845">
        <f>Skills!A25</f>
        <v/>
      </c>
      <c r="B2845">
        <f>Skills!B25</f>
        <v/>
      </c>
      <c r="C2845">
        <f>Inputs!$B$3&gt;=50</f>
        <v/>
      </c>
      <c r="D2845">
        <f>IF(Skills!C25=1,60+Inputs!$B$25+Inputs!$B$29,IF(Skills!C25=2,90+Inputs!$B$26+Inputs!$B$29,IF(Skills!C25=3,120+Inputs!$B$27+Inputs!$B$29,MAX(0,(Inputs!$B$3-100)*3)+Inputs!$B$28+Inputs!$B$29)))</f>
        <v/>
      </c>
      <c r="E2845">
        <f>INDEX(FactorTable!$B$2:$Y$301, MATCH(ROUND(MIN(300,MAX(1,D2845)),0), FactorTable!$A$2:$A$301,0), Skills!M25+1)</f>
        <v/>
      </c>
      <c r="F2845">
        <f>IF(Skills!N25=TRUE,(Skills!L25/10)*(E2845/1000),Skills!L25/10)+Skills!O25</f>
        <v/>
      </c>
      <c r="G2845">
        <f>Skills!G25*IF(Skills!H25&gt;0,Skills!I25/Skills!H25,1)</f>
        <v/>
      </c>
      <c r="H2845">
        <f>1-(1-Skills!J25/100)^Skills!K25</f>
        <v/>
      </c>
      <c r="I2845" t="inlineStr">
        <is>
          <t>1</t>
        </is>
      </c>
      <c r="J2845" t="inlineStr"/>
      <c r="K2845" t="inlineStr"/>
      <c r="L2845" t="inlineStr"/>
      <c r="M2845" t="inlineStr"/>
      <c r="N2845" t="inlineStr"/>
      <c r="O2845">
        <f>(1-Summary!$B$11)*T2845+Summary!$B$11*V2845</f>
        <v/>
      </c>
      <c r="P2845">
        <f>IF(B2865=0,0,O2845/B2865)</f>
        <v/>
      </c>
      <c r="Q2845" t="n">
        <v>0</v>
      </c>
      <c r="R2845" t="n">
        <v>0</v>
      </c>
      <c r="S2845">
        <f>IFERROR(O2845/N2845,0)</f>
        <v/>
      </c>
      <c r="T2845" t="n">
        <v>0</v>
      </c>
      <c r="V2845" t="n">
        <v>0</v>
      </c>
    </row>
    <row r="2846">
      <c r="A2846">
        <f>Skills!A26</f>
        <v/>
      </c>
      <c r="B2846">
        <f>Skills!B26</f>
        <v/>
      </c>
      <c r="C2846">
        <f>Inputs!$B$3&gt;=50</f>
        <v/>
      </c>
      <c r="D2846">
        <f>IF(Skills!C26=1,60+Inputs!$B$25+Inputs!$B$29,IF(Skills!C26=2,90+Inputs!$B$26+Inputs!$B$29,IF(Skills!C26=3,120+Inputs!$B$27+Inputs!$B$29,MAX(0,(Inputs!$B$3-100)*3)+Inputs!$B$28+Inputs!$B$29)))</f>
        <v/>
      </c>
      <c r="E2846">
        <f>INDEX(FactorTable!$B$2:$Y$301, MATCH(ROUND(MIN(300,MAX(1,D2846)),0), FactorTable!$A$2:$A$301,0), Skills!M26+1)</f>
        <v/>
      </c>
      <c r="F2846">
        <f>IF(Skills!N26=TRUE,(Skills!L26/10)*(E2846/1000),Skills!L26/10)+Skills!O26</f>
        <v/>
      </c>
      <c r="G2846">
        <f>Skills!G26*IF(Skills!H26&gt;0,Skills!I26/Skills!H26,1)</f>
        <v/>
      </c>
      <c r="H2846">
        <f>1-(1-Skills!J26/100)^Skills!K26</f>
        <v/>
      </c>
      <c r="I2846" t="inlineStr">
        <is>
          <t>1</t>
        </is>
      </c>
      <c r="J2846" t="inlineStr"/>
      <c r="K2846" t="inlineStr"/>
      <c r="L2846" t="inlineStr"/>
      <c r="M2846" t="inlineStr"/>
      <c r="N2846" t="inlineStr"/>
      <c r="O2846">
        <f>(1-Summary!$B$11)*T2846+Summary!$B$11*V2846</f>
        <v/>
      </c>
      <c r="P2846">
        <f>IF(B2865=0,0,O2846/B2865)</f>
        <v/>
      </c>
      <c r="Q2846" t="n">
        <v>0</v>
      </c>
      <c r="R2846" t="n">
        <v>0</v>
      </c>
      <c r="S2846">
        <f>IFERROR(O2846/N2846,0)</f>
        <v/>
      </c>
      <c r="T2846" t="n">
        <v>0</v>
      </c>
      <c r="V2846" t="n">
        <v>0</v>
      </c>
    </row>
    <row r="2847">
      <c r="A2847">
        <f>Skills!A27</f>
        <v/>
      </c>
      <c r="B2847">
        <f>Skills!B27</f>
        <v/>
      </c>
      <c r="C2847">
        <f>Inputs!$B$3&gt;=38</f>
        <v/>
      </c>
      <c r="D2847">
        <f>IF(Skills!C27=1,60+Inputs!$B$25+Inputs!$B$29,IF(Skills!C27=2,90+Inputs!$B$26+Inputs!$B$29,IF(Skills!C27=3,120+Inputs!$B$27+Inputs!$B$29,MAX(0,(Inputs!$B$3-100)*3)+Inputs!$B$28+Inputs!$B$29)))</f>
        <v/>
      </c>
      <c r="E2847">
        <f>INDEX(FactorTable!$B$2:$Y$301, MATCH(ROUND(MIN(300,MAX(1,D2847)),0), FactorTable!$A$2:$A$301,0), Skills!M27+1)</f>
        <v/>
      </c>
      <c r="F2847">
        <f>IF(Skills!N27=TRUE,(Skills!L27/10)*(E2847/1000),Skills!L27/10)+Skills!O27</f>
        <v/>
      </c>
      <c r="G2847">
        <f>Skills!G27*IF(Skills!H27&gt;0,Skills!I27/Skills!H27,1)</f>
        <v/>
      </c>
      <c r="H2847">
        <f>1-(1-Skills!J27/100)^Skills!K27</f>
        <v/>
      </c>
      <c r="I2847" t="inlineStr">
        <is>
          <t>1</t>
        </is>
      </c>
      <c r="J2847" t="inlineStr"/>
      <c r="K2847" t="inlineStr"/>
      <c r="L2847" t="inlineStr"/>
      <c r="M2847" t="inlineStr"/>
      <c r="N2847" t="inlineStr"/>
      <c r="O2847">
        <f>(1-Summary!$B$11)*T2847+Summary!$B$11*V2847</f>
        <v/>
      </c>
      <c r="P2847">
        <f>IF(B2865=0,0,O2847/B2865)</f>
        <v/>
      </c>
      <c r="Q2847" t="n">
        <v>0</v>
      </c>
      <c r="R2847" t="n">
        <v>0</v>
      </c>
      <c r="S2847">
        <f>IFERROR(O2847/N2847,0)</f>
        <v/>
      </c>
      <c r="T2847" t="n">
        <v>0</v>
      </c>
      <c r="V2847" t="n">
        <v>0</v>
      </c>
    </row>
    <row r="2848">
      <c r="A2848">
        <f>Skills!A28</f>
        <v/>
      </c>
      <c r="B2848">
        <f>Skills!B28</f>
        <v/>
      </c>
      <c r="C2848">
        <f>Inputs!$B$3&gt;=120</f>
        <v/>
      </c>
      <c r="D2848">
        <f>IF(Skills!C28=1,60+Inputs!$B$25+Inputs!$B$29,IF(Skills!C28=2,90+Inputs!$B$26+Inputs!$B$29,IF(Skills!C28=3,120+Inputs!$B$27+Inputs!$B$29,MAX(0,(Inputs!$B$3-100)*3)+Inputs!$B$28+Inputs!$B$29)))</f>
        <v/>
      </c>
      <c r="E2848">
        <f>INDEX(FactorTable!$B$2:$Y$301, MATCH(ROUND(MIN(300,MAX(1,D2848)),0), FactorTable!$A$2:$A$301,0), Skills!M28+1)</f>
        <v/>
      </c>
      <c r="F2848">
        <f>IF(Skills!N28=TRUE,(Skills!L28/10)*(E2848/1000),Skills!L28/10)+Skills!O28</f>
        <v/>
      </c>
      <c r="G2848">
        <f>Skills!G28*IF(Skills!H28&gt;0,Skills!I28/Skills!H28,1)</f>
        <v/>
      </c>
      <c r="H2848">
        <f>1-(1-Skills!J28/100)^Skills!K28</f>
        <v/>
      </c>
      <c r="I2848" t="inlineStr">
        <is>
          <t>1</t>
        </is>
      </c>
      <c r="J2848" t="inlineStr"/>
      <c r="K2848" t="inlineStr"/>
      <c r="L2848" t="inlineStr"/>
      <c r="M2848" t="inlineStr"/>
      <c r="N2848" t="inlineStr"/>
      <c r="O2848">
        <f>(1-Summary!$B$11)*T2848+Summary!$B$11*V2848</f>
        <v/>
      </c>
      <c r="P2848">
        <f>IF(B2865=0,0,O2848/B2865)</f>
        <v/>
      </c>
      <c r="Q2848" t="n">
        <v>0</v>
      </c>
      <c r="R2848" t="n">
        <v>0</v>
      </c>
      <c r="S2848">
        <f>IFERROR(O2848/N2848,0)</f>
        <v/>
      </c>
      <c r="T2848" t="n">
        <v>0</v>
      </c>
      <c r="V2848" t="n">
        <v>0</v>
      </c>
    </row>
    <row r="2849">
      <c r="A2849">
        <f>Skills!A29</f>
        <v/>
      </c>
      <c r="B2849">
        <f>Skills!B29</f>
        <v/>
      </c>
      <c r="C2849">
        <f>Inputs!$B$3&gt;=120</f>
        <v/>
      </c>
      <c r="D2849">
        <f>IF(Skills!C29=1,60+Inputs!$B$25+Inputs!$B$29,IF(Skills!C29=2,90+Inputs!$B$26+Inputs!$B$29,IF(Skills!C29=3,120+Inputs!$B$27+Inputs!$B$29,MAX(0,(Inputs!$B$3-100)*3)+Inputs!$B$28+Inputs!$B$29)))</f>
        <v/>
      </c>
      <c r="E2849">
        <f>INDEX(FactorTable!$B$2:$Y$301, MATCH(ROUND(MIN(300,MAX(1,D2849)),0), FactorTable!$A$2:$A$301,0), Skills!M29+1)</f>
        <v/>
      </c>
      <c r="F2849">
        <f>IF(Skills!N29=TRUE,(Skills!L29/10)*(E2849/1000),Skills!L29/10)+Skills!O29</f>
        <v/>
      </c>
      <c r="G2849">
        <f>Skills!G29*IF(Skills!H29&gt;0,Skills!I29/Skills!H29,1)</f>
        <v/>
      </c>
      <c r="H2849">
        <f>1-(1-Skills!J29/100)^Skills!K29</f>
        <v/>
      </c>
      <c r="I2849" t="inlineStr">
        <is>
          <t>1</t>
        </is>
      </c>
      <c r="J2849" t="inlineStr"/>
      <c r="K2849" t="inlineStr"/>
      <c r="L2849" t="inlineStr"/>
      <c r="M2849" t="inlineStr"/>
      <c r="N2849" t="inlineStr"/>
      <c r="O2849">
        <f>(1-Summary!$B$11)*T2849+Summary!$B$11*V2849</f>
        <v/>
      </c>
      <c r="P2849">
        <f>IF(B2865=0,0,O2849/B2865)</f>
        <v/>
      </c>
      <c r="Q2849" t="n">
        <v>0</v>
      </c>
      <c r="R2849" t="n">
        <v>0</v>
      </c>
      <c r="S2849">
        <f>IFERROR(O2849/N2849,0)</f>
        <v/>
      </c>
      <c r="T2849" t="n">
        <v>0</v>
      </c>
      <c r="V2849" t="n">
        <v>0</v>
      </c>
    </row>
    <row r="2850">
      <c r="A2850">
        <f>Skills!A30</f>
        <v/>
      </c>
      <c r="B2850">
        <f>Skills!B30</f>
        <v/>
      </c>
      <c r="C2850">
        <f>Inputs!$B$3&gt;=125</f>
        <v/>
      </c>
      <c r="D2850">
        <f>IF(Skills!C30=1,60+Inputs!$B$25+Inputs!$B$29,IF(Skills!C30=2,90+Inputs!$B$26+Inputs!$B$29,IF(Skills!C30=3,120+Inputs!$B$27+Inputs!$B$29,MAX(0,(Inputs!$B$3-100)*3)+Inputs!$B$28+Inputs!$B$29)))</f>
        <v/>
      </c>
      <c r="E2850">
        <f>INDEX(FactorTable!$B$2:$Y$301, MATCH(ROUND(MIN(300,MAX(1,D2850)),0), FactorTable!$A$2:$A$301,0), Skills!M30+1)</f>
        <v/>
      </c>
      <c r="F2850">
        <f>IF(Skills!N30=TRUE,(Skills!L30/10)*(E2850/1000),Skills!L30/10)+Skills!O30</f>
        <v/>
      </c>
      <c r="G2850">
        <f>Skills!G30*IF(Skills!H30&gt;0,Skills!I30/Skills!H30,1)</f>
        <v/>
      </c>
      <c r="H2850">
        <f>1-(1-Skills!J30/100)^Skills!K30</f>
        <v/>
      </c>
      <c r="I2850" t="inlineStr">
        <is>
          <t>1</t>
        </is>
      </c>
      <c r="J2850" t="inlineStr"/>
      <c r="K2850" t="inlineStr"/>
      <c r="L2850" t="inlineStr"/>
      <c r="M2850" t="inlineStr"/>
      <c r="N2850" t="inlineStr"/>
      <c r="O2850">
        <f>(1-Summary!$B$11)*T2850+Summary!$B$11*V2850</f>
        <v/>
      </c>
      <c r="P2850">
        <f>IF(B2865=0,0,O2850/B2865)</f>
        <v/>
      </c>
      <c r="Q2850" t="n">
        <v>0</v>
      </c>
      <c r="R2850" t="n">
        <v>0</v>
      </c>
      <c r="S2850">
        <f>IFERROR(O2850/N2850,0)</f>
        <v/>
      </c>
      <c r="T2850" t="n">
        <v>0</v>
      </c>
      <c r="V2850" t="n">
        <v>0</v>
      </c>
    </row>
    <row r="2852">
      <c r="A2852" t="inlineStr">
        <is>
          <t>Average Buff Multiplier</t>
        </is>
      </c>
      <c r="B2852">
        <f>(1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f>
        <v/>
      </c>
    </row>
    <row r="2853">
      <c r="A2853" t="inlineStr">
        <is>
          <t>Global Crit Rate Bonus %</t>
        </is>
      </c>
      <c r="B2853">
        <f>((C2840=TRUE)*F2840*IF(AND(Inputs!$B$39&lt;&gt;"pvp",Inputs!$B$44&gt;0),(((R2840-1)*(Skills!Y20*(1+Inputs!$B$34/100))+MIN((Skills!Y20*(1+Inputs!$B$34/100)),MAX(0,Inputs!$B$44-((R2840-1)*Skills!D20))))/Inputs!$B$44),IF(Inputs!$B$39="pvp",MIN((Skills!Y20*(1+Inputs!$B$34/100)),15)/15,(Skills!Y20*(1+Inputs!$B$34/100))/Skills!D20)))</f>
        <v/>
      </c>
    </row>
    <row r="2854">
      <c r="A2854" t="inlineStr">
        <is>
          <t>Global Monster Damage-Taken Bonus %</t>
        </is>
      </c>
      <c r="B2854">
        <f>IF(Inputs!$B$3&gt;=82,15,0)</f>
        <v/>
      </c>
    </row>
    <row r="2855">
      <c r="A2855" t="inlineStr">
        <is>
          <t>Shadow Partner Average Multiplier</t>
        </is>
      </c>
      <c r="B2855">
        <f>1+((C2827=TRUE)*F2827*(1+3.3333333333333335*IF(C2838=TRUE,F2838,0)/100)*I2827*Skills!J7/100)/100</f>
        <v/>
      </c>
    </row>
    <row r="2856">
      <c r="A2856" t="inlineStr">
        <is>
          <t>Attack Speed Buff Bonus %</t>
        </is>
      </c>
      <c r="B2856">
        <f>((C2839=TRUE)*F2839*IF(AND(Inputs!$B$39&lt;&gt;"pvp",Inputs!$B$44&gt;0),(((R2839-1)*(Skills!Y19*(1+Inputs!$B$34/100))+MIN((Skills!Y19*(1+Inputs!$B$34/100)),MAX(0,Inputs!$B$44-((R2839-1)*Skills!D19))))/Inputs!$B$44),IF(Inputs!$B$39="pvp",MIN((Skills!Y19*(1+Inputs!$B$34/100)),15)/15,(Skills!Y19*(1+Inputs!$B$34/100))/Skills!D19)))+((C2823=TRUE)*F2823*3)</f>
        <v/>
      </c>
    </row>
    <row r="2857">
      <c r="A2857" t="inlineStr">
        <is>
          <t>Actions Per Second</t>
        </is>
      </c>
      <c r="B2857">
        <f>1+MIN(150,150*(1-(1-(Inputs!$B$11+((C2842=TRUE)*(F2842-Calc!F22)))/150)*(1-B2856/150)))/100</f>
        <v/>
      </c>
    </row>
    <row r="2858">
      <c r="A2858" t="inlineStr">
        <is>
          <t>Skill + Buff Cast Rate</t>
        </is>
      </c>
      <c r="B2858">
        <f>IF(AND(Inputs!$B$39&lt;&gt;"pvp",Inputs!$B$44&gt;0),SUMPRODUCT((Skills!E2:E30=TRUE)*(C2822:C2850=TRUE)*R2822:R2850*Skills!F2:F30)/Inputs!$B$44,SUMPRODUCT((Skills!E2:E30=TRUE)*(C2822:C2850=TRUE)*Q2822:Q2850*Skills!F2:F30))</f>
        <v/>
      </c>
    </row>
    <row r="2859">
      <c r="A2859" t="inlineStr">
        <is>
          <t>Cruel Stab Casts Per Second</t>
        </is>
      </c>
      <c r="B2859">
        <f>MAX(0,B2857-B2858)</f>
        <v/>
      </c>
    </row>
    <row r="2860">
      <c r="A2860" t="inlineStr">
        <is>
          <t>Global Critical Damage Bonus % (Smokescreen Mastery Lv.113)</t>
        </is>
      </c>
      <c r="B2860">
        <f>IF(Inputs!$B$3&gt;=113,30,0)*IF(AND(Inputs!$B$39&lt;&gt;"pvp",Inputs!$B$44&gt;0),(((R2835-1)*(Skills!Y15*(1+Inputs!$B$34/100))+MIN((Skills!Y15*(1+Inputs!$B$34/100)),MAX(0,Inputs!$B$44-((R2835-1)*Skills!D15))))/Inputs!$B$44),IF(Inputs!$B$39="pvp",MIN((Skills!Y15*(1+Inputs!$B$34/100)),15)/15,(Skills!Y15*(1+Inputs!$B$34/100))/Skills!D15))</f>
        <v/>
      </c>
    </row>
    <row r="2861">
      <c r="A2861" t="inlineStr">
        <is>
          <t>Meso Explosion average stack count</t>
        </is>
      </c>
      <c r="B2861">
        <f>MIN(10,0.5*B2857*Skills!D4)</f>
        <v/>
      </c>
    </row>
    <row r="2862">
      <c r="A2862" t="inlineStr">
        <is>
          <t>Blood Money average stack count</t>
        </is>
      </c>
      <c r="B2862">
        <f>MIN(5,0.25*B2857*Skills!D4)</f>
        <v/>
      </c>
    </row>
    <row r="2863">
      <c r="A2863" t="inlineStr">
        <is>
          <t>Assassinate Murderous Intent Multiplier</t>
        </is>
      </c>
      <c r="B2863">
        <f>1+IFERROR(MIN(1,Q2834*2/Q2831),0)</f>
        <v/>
      </c>
    </row>
    <row r="2864">
      <c r="A2864" t="inlineStr">
        <is>
          <t>Buff-Casting Startup Delay (s, fixed-duration only)</t>
        </is>
      </c>
      <c r="B2864">
        <f>IF(AND(Inputs!$B$39&lt;&gt;"pvp",Inputs!$B$44&gt;0),SUMPRODUCT((Skills!Y2:Y30&gt;0)*(Skills!E2:E30=TRUE)*(C2822:C2850=TRUE))/B2857,0)</f>
        <v/>
      </c>
    </row>
    <row r="2865">
      <c r="A2865" s="6" t="inlineStr">
        <is>
          <t>TOTAL DPS</t>
        </is>
      </c>
      <c r="B2865" s="6">
        <f>SUM(O2822:O2850)</f>
        <v/>
      </c>
    </row>
    <row r="2866">
      <c r="A2866" t="inlineStr">
        <is>
          <t>Boss-Only Total DPS (this block's swept value)</t>
        </is>
      </c>
      <c r="B2866">
        <f>SUM(T2822:T2850)</f>
        <v/>
      </c>
    </row>
    <row r="2867">
      <c r="A2867" t="inlineStr">
        <is>
          <t>Normal-Only Total DPS (this block's swept value)</t>
        </is>
      </c>
      <c r="B2867">
        <f>SUM(V2822:V2850)</f>
        <v/>
      </c>
    </row>
    <row r="2870">
      <c r="A2870" s="6" t="inlineStr">
        <is>
          <t>Stat: Candle (Equip)</t>
        </is>
      </c>
    </row>
    <row r="2871">
      <c r="A2871" s="5" t="inlineStr">
        <is>
          <t>Key</t>
        </is>
      </c>
      <c r="B2871" s="5" t="inlineStr">
        <is>
          <t>Name</t>
        </is>
      </c>
      <c r="C2871" s="5" t="inlineStr">
        <is>
          <t>Unlocked</t>
        </is>
      </c>
      <c r="D2871" s="5" t="inlineStr">
        <is>
          <t>InputLevel</t>
        </is>
      </c>
      <c r="E2871" s="5" t="inlineStr">
        <is>
          <t>Factor</t>
        </is>
      </c>
      <c r="F2871" s="5" t="inlineStr">
        <is>
          <t>CoefficientPercent</t>
        </is>
      </c>
      <c r="G2871" s="5" t="inlineStr">
        <is>
          <t>EffectiveHits</t>
        </is>
      </c>
      <c r="H2871" s="5" t="inlineStr">
        <is>
          <t>ProcProbability</t>
        </is>
      </c>
      <c r="I2871" s="5" t="inlineStr">
        <is>
          <t>MapleHeroMultiplier</t>
        </is>
      </c>
      <c r="J2871" s="5" t="inlineStr">
        <is>
          <t>BaseDamage</t>
        </is>
      </c>
      <c r="K2871" s="5" t="inlineStr">
        <is>
          <t>BaseHitDamage</t>
        </is>
      </c>
      <c r="L2871" s="5" t="inlineStr">
        <is>
          <t>NonCritAvg</t>
        </is>
      </c>
      <c r="M2871" s="5" t="inlineStr">
        <is>
          <t>CritAvg</t>
        </is>
      </c>
      <c r="N2871" s="5" t="inlineStr">
        <is>
          <t>ExpectedDamage(perHit)</t>
        </is>
      </c>
      <c r="O2871" s="5" t="inlineStr">
        <is>
          <t>DPS</t>
        </is>
      </c>
      <c r="P2871" s="5" t="inlineStr">
        <is>
          <t>% of Total</t>
        </is>
      </c>
      <c r="Q2871" s="5" t="inlineStr">
        <is>
          <t>InvCooldown</t>
        </is>
      </c>
      <c r="R2871" s="5" t="inlineStr">
        <is>
          <t>CastsInFight</t>
        </is>
      </c>
      <c r="S2871" s="5" t="inlineStr">
        <is>
          <t>HitRate(perSec)</t>
        </is>
      </c>
      <c r="U2871" t="inlineStr">
        <is>
          <t>helpers</t>
        </is>
      </c>
    </row>
    <row r="2872">
      <c r="A2872">
        <f>Skills!A2</f>
        <v/>
      </c>
      <c r="B2872">
        <f>Skills!B2</f>
        <v/>
      </c>
      <c r="C2872">
        <f>Inputs!$B$3&gt;=100</f>
        <v/>
      </c>
      <c r="D2872" t="inlineStr"/>
      <c r="E2872" t="inlineStr"/>
      <c r="F2872">
        <f>U2874+Skills!O2</f>
        <v/>
      </c>
      <c r="G2872">
        <f>Skills!G2*IF(Skills!H2&gt;0,Skills!I2/Skills!H2,1)</f>
        <v/>
      </c>
      <c r="H2872">
        <f>1-(1-Skills!J2/100)^Skills!K2</f>
        <v/>
      </c>
      <c r="I2872" t="inlineStr">
        <is>
          <t>1</t>
        </is>
      </c>
      <c r="J2872">
        <f>((Inputs!$B$6*(1+Inputs!$B$7/100))+(((Inputs!$B$12*(1+Inputs!$B$13/100))-(Inputs!$B$12*(1+Inputs!$B$13/100)))+0.25*(Inputs!$B$14-Inputs!$B$14))*(1+Inputs!$B$7/100))*(F2872/100)</f>
        <v/>
      </c>
      <c r="K2872">
        <f>J2872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2872)</f>
        <v/>
      </c>
      <c r="L2872">
        <f>K2872*(MIN(Inputs!$B$22+((C2894=TRUE)*(F2894-Calc!F24)),(Inputs!$B$23+((C2899=TRUE)*(F2899-Calc!F29))+IF(ArtifactsInput!$M$15,CHOOSE(ArtifactsInput!$N$15+1,25,30,35,40,45,50)/100*(Inputs!$B$11-Inputs!$B$11),0)))/100+(Inputs!$B$23+((C2899=TRUE)*(F2899-Calc!F29))+IF(ArtifactsInput!$M$15,CHOOSE(ArtifactsInput!$N$15+1,25,30,35,40,45,50)/100*(Inputs!$B$11-Inputs!$B$11),0))/100)/2</f>
        <v/>
      </c>
      <c r="M2872">
        <f>L2872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2">
        <f>L2872*(1-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2872*(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2">
        <f>(1-Summary!$B$11)*T2872+Summary!$B$11*V2872</f>
        <v/>
      </c>
      <c r="P2872">
        <f>IF(B2915=0,0,O2872/B2915)</f>
        <v/>
      </c>
      <c r="Q2872" t="n">
        <v>0</v>
      </c>
      <c r="R2872" t="n">
        <v>0</v>
      </c>
      <c r="S2872">
        <f>IFERROR(O2872/N2872,0)</f>
        <v/>
      </c>
      <c r="T2872">
        <f>IF(C2872,(Skills!G2*N2872*B2909)*IF(Inputs!$B$39="pvp",1,1+(Inputs!$B$20+0+Skills!P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2872*(1-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2872*(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2872*(1-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2872*(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2">
        <f>MAX(0,(Inputs!$B$3-100)*3)+Inputs!$B$28+Inputs!$B$29</f>
        <v/>
      </c>
      <c r="V2872">
        <f>IF(C2872,(Skills!G2*N2872*B2909)*IF(Inputs!$B$39="pvp",1,(1+(Inputs!$B$21+Skills!Q2+B2904+(IF(ArtifactsInput!$M$33,CHOOSE(ArtifactsInput!$N$33+1,30,36,42,48,54,60),0))+(IF(AND(ArtifactsInput!$M$35,Inputs!$B$4&lt;&gt;"Chapter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3">
      <c r="A2873">
        <f>Skills!A3</f>
        <v/>
      </c>
      <c r="B2873">
        <f>Skills!B3</f>
        <v/>
      </c>
      <c r="C2873">
        <f>Inputs!$B$3&gt;=35</f>
        <v/>
      </c>
      <c r="D2873">
        <f>IF(Skills!C3=1,60+Inputs!$B$25+Inputs!$B$29,IF(Skills!C3=2,90+Inputs!$B$26+Inputs!$B$29,IF(Skills!C3=3,120+Inputs!$B$27+Inputs!$B$29,MAX(0,(Inputs!$B$3-100)*3)+Inputs!$B$28+Inputs!$B$29)))</f>
        <v/>
      </c>
      <c r="E2873">
        <f>INDEX(FactorTable!$B$2:$Y$301, MATCH(ROUND(MIN(300,MAX(1,D2873)),0), FactorTable!$A$2:$A$301,0), Skills!M3+1)</f>
        <v/>
      </c>
      <c r="F2873">
        <f>IF(Skills!N3=TRUE,(Skills!L3/10)*(E2873/1000),Skills!L3/10)+Skills!O3</f>
        <v/>
      </c>
      <c r="G2873">
        <f>Skills!G3*IF(Skills!H3&gt;0,Skills!I3/Skills!H3,1)</f>
        <v/>
      </c>
      <c r="H2873">
        <f>1-(1-Skills!J3/100)^Skills!K3</f>
        <v/>
      </c>
      <c r="I2873" t="inlineStr">
        <is>
          <t>1</t>
        </is>
      </c>
      <c r="J2873" t="inlineStr"/>
      <c r="K2873" t="inlineStr"/>
      <c r="L2873" t="inlineStr"/>
      <c r="M2873" t="inlineStr"/>
      <c r="N2873" t="inlineStr"/>
      <c r="O2873">
        <f>(1-Summary!$B$11)*T2873+Summary!$B$11*V2873</f>
        <v/>
      </c>
      <c r="P2873">
        <f>IF(B2915=0,0,O2873/B2915)</f>
        <v/>
      </c>
      <c r="Q2873" t="n">
        <v>0</v>
      </c>
      <c r="R2873" t="n">
        <v>0</v>
      </c>
      <c r="S2873">
        <f>IFERROR(O2873/N2873,0)</f>
        <v/>
      </c>
      <c r="T2873" t="n">
        <v>0</v>
      </c>
      <c r="U2873">
        <f>INDEX(FactorTable!$B$2:$Y$301, MATCH(ROUND(MIN(300,MAX(1,U2872)),0), FactorTable!$A$2:$A$301,0), 22)</f>
        <v/>
      </c>
      <c r="V2873" t="n">
        <v>0</v>
      </c>
    </row>
    <row r="2874">
      <c r="A2874">
        <f>Skills!A4</f>
        <v/>
      </c>
      <c r="B2874">
        <f>Skills!B4</f>
        <v/>
      </c>
      <c r="C2874">
        <f>Inputs!$B$3&gt;=66</f>
        <v/>
      </c>
      <c r="D2874">
        <f>IF(Skills!C4=1,60+Inputs!$B$25+Inputs!$B$29,IF(Skills!C4=2,90+Inputs!$B$26+Inputs!$B$29,IF(Skills!C4=3,120+Inputs!$B$27+Inputs!$B$29,MAX(0,(Inputs!$B$3-100)*3)+Inputs!$B$28+Inputs!$B$29)))</f>
        <v/>
      </c>
      <c r="E2874">
        <f>INDEX(FactorTable!$B$2:$Y$301, MATCH(ROUND(MIN(300,MAX(1,D2874)),0), FactorTable!$A$2:$A$301,0), Skills!M4+1)</f>
        <v/>
      </c>
      <c r="F2874">
        <f>IF(Skills!N4=TRUE,(Skills!L4/10)*(E2874/1000),Skills!L4/10)+Skills!O4</f>
        <v/>
      </c>
      <c r="G2874">
        <f>Skills!G4*IF(Skills!H4&gt;0,Skills!I4/Skills!H4,1)</f>
        <v/>
      </c>
      <c r="H2874">
        <f>1-(1-Skills!J4/100)^Skills!K4</f>
        <v/>
      </c>
      <c r="I2874" t="inlineStr">
        <is>
          <t>1</t>
        </is>
      </c>
      <c r="J2874">
        <f>((Inputs!$B$6*(1+Inputs!$B$7/100))+(((Inputs!$B$12*(1+Inputs!$B$13/100))-(Inputs!$B$12*(1+Inputs!$B$13/100)))+0.25*(Inputs!$B$14-Inputs!$B$14))*(1+Inputs!$B$7/100))*(F2874/100)</f>
        <v/>
      </c>
      <c r="K2874">
        <f>J2874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2874)</f>
        <v/>
      </c>
      <c r="L2874">
        <f>K2874*(MIN(Inputs!$B$22+((C2894=TRUE)*(F2894-Calc!F24)),(Inputs!$B$23+((C2899=TRUE)*(F2899-Calc!F29))+IF(ArtifactsInput!$M$15,CHOOSE(ArtifactsInput!$N$15+1,25,30,35,40,45,50)/100*(Inputs!$B$11-Inputs!$B$11),0)))/100+(Inputs!$B$23+((C2899=TRUE)*(F2899-Calc!F29))+IF(ArtifactsInput!$M$15,CHOOSE(ArtifactsInput!$N$15+1,25,30,35,40,45,50)/100*(Inputs!$B$11-Inputs!$B$11),0))/100)/2</f>
        <v/>
      </c>
      <c r="M2874">
        <f>L2874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IF(B2915=0,0,O2874/B2915)</f>
        <v/>
      </c>
      <c r="Q2874">
        <f>IFERROR(1/IF(Inputs!$B$39="pvp",15,MAX(0.1,Skills!D4-IF(Skills!E4=TRUE,Inputs!$B$32,0))),0)</f>
        <v/>
      </c>
      <c r="R2874">
        <f>IF(AND(Inputs!$B$39&lt;&gt;"pvp",Inputs!$B$44&gt;0),IF(MAX(0,Inputs!$B$44-B2914)&lt;=0,0,(INT(MAX(0,Inputs!$B$44-B2914)/IF(Inputs!$B$39="pvp",15,MAX(0.1,Skills!D4-IF(Skills!E4=TRUE,Inputs!$B$32,0))))+1)),0)</f>
        <v/>
      </c>
      <c r="S2874">
        <f>IFERROR(O2874/N2874,0)</f>
        <v/>
      </c>
      <c r="T2874">
        <f>IF(C2874,(H2874*N2874*IF(AND(Inputs!$B$39&lt;&gt;"pvp",Inputs!$B$44&gt;0),((Skills!G4*((R2874-1)*IF(Skills!H4&gt;0,Skills!I4/Skills!H4,1)+IF(Skills!H4&gt;0,MIN(Skills!I4,MAX(0,MAX(0,Inputs!$B$44-B2914)-((R2874-1)*IF(Inputs!$B$39="pvp",15,MAX(0.1,Skills!D4-IF(Skills!E4=TRUE,Inputs!$B$32,0))))))/Skills!H4,1)))/Inputs!$B$44),G2874*Q2874))*IF(Inputs!$B$39="pvp",1,1+(Inputs!$B$20+0+Skills!P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2874*(1-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4">
        <f>290*U2873/1000</f>
        <v/>
      </c>
      <c r="V2874">
        <f>IF(C2874,(H2874*N2874*IF(AND(Inputs!$B$39&lt;&gt;"pvp",Inputs!$B$44&gt;0),((Skills!G4*((R2874-1)*IF(Skills!H4&gt;0,Skills!I4/Skills!H4,1)+IF(Skills!H4&gt;0,MIN(Skills!I4,MAX(0,MAX(0,Inputs!$B$44-B2914)-((R2874-1)*IF(Inputs!$B$39="pvp",15,MAX(0.1,Skills!D4-IF(Skills!E4=TRUE,Inputs!$B$32,0))))))/Skills!H4,1)))/Inputs!$B$44),G2874*Q2874))*IF(Inputs!$B$39="pvp",1,(1+(Inputs!$B$21+Skills!Q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(10,0.5*B2907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Skills!A5</f>
        <v/>
      </c>
      <c r="B2875">
        <f>Skills!B5</f>
        <v/>
      </c>
      <c r="C2875">
        <f>Inputs!$B$3&gt;=63</f>
        <v/>
      </c>
      <c r="D2875">
        <f>IF(Skills!C5=1,60+Inputs!$B$25+Inputs!$B$29,IF(Skills!C5=2,90+Inputs!$B$26+Inputs!$B$29,IF(Skills!C5=3,120+Inputs!$B$27+Inputs!$B$29,MAX(0,(Inputs!$B$3-100)*3)+Inputs!$B$28+Inputs!$B$29)))</f>
        <v/>
      </c>
      <c r="E2875">
        <f>INDEX(FactorTable!$B$2:$Y$301, MATCH(ROUND(MIN(300,MAX(1,D2875)),0), FactorTable!$A$2:$A$301,0), Skills!M5+1)</f>
        <v/>
      </c>
      <c r="F2875">
        <f>IF(Skills!N5=TRUE,(Skills!L5/10)*(E2875/1000),Skills!L5/10)+Skills!O5</f>
        <v/>
      </c>
      <c r="G2875">
        <f>Skills!G5*IF(Skills!H5&gt;0,Skills!I5/Skills!H5,1)</f>
        <v/>
      </c>
      <c r="H2875">
        <f>1-(1-Skills!J5/100)^Skills!K5</f>
        <v/>
      </c>
      <c r="I2875" t="inlineStr">
        <is>
          <t>1</t>
        </is>
      </c>
      <c r="J2875">
        <f>((Inputs!$B$6*(1+Inputs!$B$7/100))+(((Inputs!$B$12*(1+Inputs!$B$13/100))-(Inputs!$B$12*(1+Inputs!$B$13/100)))+0.25*(Inputs!$B$14-Inputs!$B$14))*(1+Inputs!$B$7/100))*(F2875/100)</f>
        <v/>
      </c>
      <c r="K2875">
        <f>J2875*(1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2888=TRUE,F2888,0)/100)*(1+(IF(Skills!A5="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2875)</f>
        <v/>
      </c>
      <c r="L2875">
        <f>K2875*(MIN(Inputs!$B$22+((C2894=TRUE)*(F2894-Calc!F24)),(Inputs!$B$23+((C2899=TRUE)*(F2899-Calc!F29))+IF(ArtifactsInput!$M$15,CHOOSE(ArtifactsInput!$N$15+1,25,30,35,40,45,50)/100*(Inputs!$B$11-Inputs!$B$11),0)))/100+(Inputs!$B$23+((C2899=TRUE)*(F2899-Calc!F29))+IF(ArtifactsInput!$M$15,CHOOSE(ArtifactsInput!$N$15+1,25,30,35,40,45,50)/100*(Inputs!$B$11-Inputs!$B$11),0))/100)/2</f>
        <v/>
      </c>
      <c r="M2875">
        <f>L2875*(1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IF(B2915=0,0,O2875/B2915)</f>
        <v/>
      </c>
      <c r="Q2875">
        <f>IFERROR(1/IF(Inputs!$B$39="pvp",15,MAX(0.1,Skills!D5-IF(Skills!E5=TRUE,Inputs!$B$32,0))),0)</f>
        <v/>
      </c>
      <c r="R2875">
        <f>IF(AND(Inputs!$B$39&lt;&gt;"pvp",Inputs!$B$44&gt;0),IF(MAX(0,Inputs!$B$44-B2914)&lt;=0,0,(INT(MAX(0,Inputs!$B$44-B2914)/IF(Inputs!$B$39="pvp",15,MAX(0.1,Skills!D5-IF(Skills!E5=TRUE,Inputs!$B$32,0))))+1)),0)</f>
        <v/>
      </c>
      <c r="S2875">
        <f>IFERROR(O2875/N2875,0)</f>
        <v/>
      </c>
      <c r="T2875">
        <f>IF(C2875,(H2875*N2875*IF(AND(Inputs!$B$39&lt;&gt;"pvp",Inputs!$B$44&gt;0),((Skills!G5*((R2875-1)*IF(Skills!H5&gt;0,Skills!I5/Skills!H5,1)+IF(Skills!H5&gt;0,MIN(Skills!I5,MAX(0,MAX(0,Inputs!$B$44-B2914)-((R2875-1)*IF(Inputs!$B$39="pvp",15,MAX(0.1,Skills!D5-IF(Skills!E5=TRUE,Inputs!$B$32,0))))))/Skills!H5,1)))/Inputs!$B$44),G2875*Q2875))*IF(Inputs!$B$39="pvp",1,1+(Inputs!$B$20+0+Skills!P5+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2875*(1-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H2875*N2875*IF(AND(Inputs!$B$39&lt;&gt;"pvp",Inputs!$B$44&gt;0),((Skills!G5*((R2875-1)*IF(Skills!H5&gt;0,Skills!I5/Skills!H5,1)+IF(Skills!H5&gt;0,MIN(Skills!I5,MAX(0,MAX(0,Inputs!$B$44-B2914)-((R2875-1)*IF(Inputs!$B$39="pvp",15,MAX(0.1,Skills!D5-IF(Skills!E5=TRUE,Inputs!$B$32,0))))))/Skills!H5,1)))/Inputs!$B$44),G2875*Q2875))*IF(Inputs!$B$39="pvp",1,(1+(Inputs!$B$21+Skills!Q5+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Skills!A6</f>
        <v/>
      </c>
      <c r="B2876">
        <f>Skills!B6</f>
        <v/>
      </c>
      <c r="C2876">
        <f>Inputs!$B$3&gt;=69</f>
        <v/>
      </c>
      <c r="D2876">
        <f>IF(Skills!C6=1,60+Inputs!$B$25+Inputs!$B$29,IF(Skills!C6=2,90+Inputs!$B$26+Inputs!$B$29,IF(Skills!C6=3,120+Inputs!$B$27+Inputs!$B$29,MAX(0,(Inputs!$B$3-100)*3)+Inputs!$B$28+Inputs!$B$29)))</f>
        <v/>
      </c>
      <c r="E2876">
        <f>INDEX(FactorTable!$B$2:$Y$301, MATCH(ROUND(MIN(300,MAX(1,D2876)),0), FactorTable!$A$2:$A$301,0), Skills!M6+1)</f>
        <v/>
      </c>
      <c r="F2876">
        <f>IF(Skills!N6=TRUE,(Skills!L6/10)*(E2876/1000),Skills!L6/10)+Skills!O6</f>
        <v/>
      </c>
      <c r="G2876">
        <f>Skills!G6*IF(Skills!H6&gt;0,Skills!I6/Skills!H6,1)</f>
        <v/>
      </c>
      <c r="H2876">
        <f>1-(1-Skills!J6/100)^Skills!K6</f>
        <v/>
      </c>
      <c r="I2876" t="inlineStr">
        <is>
          <t>1</t>
        </is>
      </c>
      <c r="J2876">
        <f>((Inputs!$B$6*(1+Inputs!$B$7/100))+(((Inputs!$B$12*(1+Inputs!$B$13/100))-(Inputs!$B$12*(1+Inputs!$B$13/100)))+0.25*(Inputs!$B$14-Inputs!$B$14))*(1+Inputs!$B$7/100))*(F2876/100)</f>
        <v/>
      </c>
      <c r="K2876">
        <f>J2876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2888=TRUE,F2888,0)/100)*(1+(IF(Skills!A6="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2876)</f>
        <v/>
      </c>
      <c r="L2876">
        <f>K2876*(MIN(Inputs!$B$22+((C2894=TRUE)*(F2894-Calc!F24)),(Inputs!$B$23+((C2899=TRUE)*(F2899-Calc!F29))+IF(ArtifactsInput!$M$15,CHOOSE(ArtifactsInput!$N$15+1,25,30,35,40,45,50)/100*(Inputs!$B$11-Inputs!$B$11),0)))/100+(Inputs!$B$23+((C2899=TRUE)*(F2899-Calc!F29))+IF(ArtifactsInput!$M$15,CHOOSE(ArtifactsInput!$N$15+1,25,30,35,40,45,50)/100*(Inputs!$B$11-Inputs!$B$11),0))/100)/2</f>
        <v/>
      </c>
      <c r="M2876">
        <f>L2876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6">
        <f>L2876*(1-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2876*(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6">
        <f>(1-Summary!$B$11)*T2876+Summary!$B$11*V2876</f>
        <v/>
      </c>
      <c r="P2876">
        <f>IF(B2915=0,0,O2876/B2915)</f>
        <v/>
      </c>
      <c r="Q2876">
        <f>IFERROR(1/IF(Inputs!$B$39="pvp",15,MAX(0.1,Skills!D6-IF(Skills!E6=TRUE,Inputs!$B$32,0))),0)</f>
        <v/>
      </c>
      <c r="R2876">
        <f>IF(AND(Inputs!$B$39&lt;&gt;"pvp",Inputs!$B$44&gt;0),IF(MAX(0,Inputs!$B$44-B2914)&lt;=0,0,(INT(MAX(0,Inputs!$B$44-B2914)/IF(Inputs!$B$39="pvp",15,MAX(0.1,Skills!D6-IF(Skills!E6=TRUE,Inputs!$B$32,0))))+1)),0)</f>
        <v/>
      </c>
      <c r="S2876">
        <f>IFERROR(O2876/N2876,0)</f>
        <v/>
      </c>
      <c r="T2876">
        <f>IF(C2876,(H2876*N2876*IF(AND(Inputs!$B$39&lt;&gt;"pvp",Inputs!$B$44&gt;0),((Skills!G6*((R2876-1)*IF(Skills!H6&gt;0,Skills!I6/Skills!H6,1)+IF(Skills!H6&gt;0,MIN(Skills!I6,MAX(0,MAX(0,Inputs!$B$44-B2914)-((R2876-1)*IF(Inputs!$B$39="pvp",15,MAX(0.1,Skills!D6-IF(Skills!E6=TRUE,Inputs!$B$32,0))))))/Skills!H6,1)))/Inputs!$B$44),G2876*Q2876))*IF(Inputs!$B$39="pvp",1,1+(Inputs!$B$20+0+Skills!P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2876*(1-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2876*(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2876*(1-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2876*(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6">
        <f>IF(C2876,(H2876*N2876*IF(AND(Inputs!$B$39&lt;&gt;"pvp",Inputs!$B$44&gt;0),((Skills!G6*((R2876-1)*IF(Skills!H6&gt;0,Skills!I6/Skills!H6,1)+IF(Skills!H6&gt;0,MIN(Skills!I6,MAX(0,MAX(0,Inputs!$B$44-B2914)-((R2876-1)*IF(Inputs!$B$39="pvp",15,MAX(0.1,Skills!D6-IF(Skills!E6=TRUE,Inputs!$B$32,0))))))/Skills!H6,1)))/Inputs!$B$44),G2876*Q2876))*IF(Inputs!$B$39="pvp",1,(1+(Inputs!$B$21+Skills!Q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7">
      <c r="A2877">
        <f>Skills!A7</f>
        <v/>
      </c>
      <c r="B2877">
        <f>Skills!B7</f>
        <v/>
      </c>
      <c r="C2877">
        <f>Inputs!$B$3&gt;=60</f>
        <v/>
      </c>
      <c r="D2877">
        <f>IF(Skills!C7=1,60+Inputs!$B$25+Inputs!$B$29,IF(Skills!C7=2,90+Inputs!$B$26+Inputs!$B$29,IF(Skills!C7=3,120+Inputs!$B$27+Inputs!$B$29,MAX(0,(Inputs!$B$3-100)*3)+Inputs!$B$28+Inputs!$B$29)))</f>
        <v/>
      </c>
      <c r="E2877">
        <f>INDEX(FactorTable!$B$2:$Y$301, MATCH(ROUND(MIN(300,MAX(1,D2877)),0), FactorTable!$A$2:$A$301,0), Skills!M7+1)</f>
        <v/>
      </c>
      <c r="F2877">
        <f>IF(Skills!N7=TRUE,(Skills!L7/10)*(E2877/1000),Skills!L7/10)+Skills!O7</f>
        <v/>
      </c>
      <c r="G2877">
        <f>Skills!G7*IF(Skills!H7&gt;0,Skills!I7/Skills!H7,1)</f>
        <v/>
      </c>
      <c r="H2877">
        <f>1-(1-Skills!J7/100)^Skills!K7</f>
        <v/>
      </c>
      <c r="I2877" t="inlineStr">
        <is>
          <t>1</t>
        </is>
      </c>
      <c r="J2877" t="inlineStr"/>
      <c r="K2877" t="inlineStr"/>
      <c r="L2877" t="inlineStr"/>
      <c r="M2877" t="inlineStr"/>
      <c r="N2877" t="inlineStr"/>
      <c r="O2877">
        <f>(1-Summary!$B$11)*T2877+Summary!$B$11*V2877</f>
        <v/>
      </c>
      <c r="P2877">
        <f>IF(B2915=0,0,O2877/B2915)</f>
        <v/>
      </c>
      <c r="Q2877" t="n">
        <v>0</v>
      </c>
      <c r="R2877" t="n">
        <v>0</v>
      </c>
      <c r="S2877">
        <f>IFERROR(O2877/N2877,0)</f>
        <v/>
      </c>
      <c r="T2877" t="n">
        <v>0</v>
      </c>
      <c r="V2877" t="n">
        <v>0</v>
      </c>
    </row>
    <row r="2878">
      <c r="A2878">
        <f>Skills!A8</f>
        <v/>
      </c>
      <c r="B2878">
        <f>Skills!B8</f>
        <v/>
      </c>
      <c r="C2878">
        <f>Inputs!$B$3&gt;=72</f>
        <v/>
      </c>
      <c r="D2878">
        <f>IF(Skills!C8=1,60+Inputs!$B$25+Inputs!$B$29,IF(Skills!C8=2,90+Inputs!$B$26+Inputs!$B$29,IF(Skills!C8=3,120+Inputs!$B$27+Inputs!$B$29,MAX(0,(Inputs!$B$3-100)*3)+Inputs!$B$28+Inputs!$B$29)))</f>
        <v/>
      </c>
      <c r="E2878">
        <f>INDEX(FactorTable!$B$2:$Y$301, MATCH(ROUND(MIN(300,MAX(1,D2878)),0), FactorTable!$A$2:$A$301,0), Skills!M8+1)</f>
        <v/>
      </c>
      <c r="F2878">
        <f>IF(Skills!N8=TRUE,(Skills!L8/10)*(E2878/1000),Skills!L8/10)+Skills!O8</f>
        <v/>
      </c>
      <c r="G2878">
        <f>Skills!G8*IF(Skills!H8&gt;0,Skills!I8/Skills!H8,1)</f>
        <v/>
      </c>
      <c r="H2878">
        <f>1-(1-Skills!J8/100)^Skills!K8</f>
        <v/>
      </c>
      <c r="I2878" t="inlineStr">
        <is>
          <t>1</t>
        </is>
      </c>
      <c r="J2878">
        <f>((Inputs!$B$6*(1+Inputs!$B$7/100))+(((Inputs!$B$12*(1+Inputs!$B$13/100))-(Inputs!$B$12*(1+Inputs!$B$13/100)))+0.25*(Inputs!$B$14-Inputs!$B$14))*(1+Inputs!$B$7/100))*(F2878/100)</f>
        <v/>
      </c>
      <c r="K2878">
        <f>J2878*(1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2888=TRUE,F2888,0)/100)*(1+(IF(Skills!A8="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2878)</f>
        <v/>
      </c>
      <c r="L2878">
        <f>K2878*(MIN(Inputs!$B$22+((C2894=TRUE)*(F2894-Calc!F24)),(Inputs!$B$23+((C2899=TRUE)*(F2899-Calc!F29))+IF(ArtifactsInput!$M$15,CHOOSE(ArtifactsInput!$N$15+1,25,30,35,40,45,50)/100*(Inputs!$B$11-Inputs!$B$11),0)))/100+(Inputs!$B$23+((C2899=TRUE)*(F2899-Calc!F29))+IF(ArtifactsInput!$M$15,CHOOSE(ArtifactsInput!$N$15+1,25,30,35,40,45,50)/100*(Inputs!$B$11-Inputs!$B$11),0))/100)/2</f>
        <v/>
      </c>
      <c r="M2878">
        <f>L2878*(1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IF(B2915=0,0,O2878/B2915)</f>
        <v/>
      </c>
      <c r="Q2878">
        <f>IFERROR(1/IF(Inputs!$B$39="pvp",15,MAX(0.1,Skills!D8-IF(Skills!E8=TRUE,Inputs!$B$32,0))),0)</f>
        <v/>
      </c>
      <c r="R2878">
        <f>IF(AND(Inputs!$B$39&lt;&gt;"pvp",Inputs!$B$44&gt;0),IF(MAX(0,Inputs!$B$44-B2914)&lt;=0,0,(INT(MAX(0,Inputs!$B$44-B2914)/IF(Inputs!$B$39="pvp",15,MAX(0.1,Skills!D8-IF(Skills!E8=TRUE,Inputs!$B$32,0))))+1)),0)</f>
        <v/>
      </c>
      <c r="S2878">
        <f>IFERROR(O2878/N2878,0)</f>
        <v/>
      </c>
      <c r="T2878">
        <f>IF(C2878,(H2878*N2878*IF(AND(Inputs!$B$39&lt;&gt;"pvp",Inputs!$B$44&gt;0),((Skills!G8*((R2878-1)*IF(Skills!H8&gt;0,Skills!I8/Skills!H8,1)+IF(Skills!H8&gt;0,MIN(Skills!I8,MAX(0,MAX(0,Inputs!$B$44-B2914)-((R2878-1)*IF(Inputs!$B$39="pvp",15,MAX(0.1,Skills!D8-IF(Skills!E8=TRUE,Inputs!$B$32,0))))))/Skills!H8,1)))/Inputs!$B$44),G2878*Q2878))*IF(Inputs!$B$39="pvp",1,1+(Inputs!$B$20+0+Skills!P8+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2878*(1-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8*((R2878-1)*IF(Skills!H8&gt;0,Skills!I8/Skills!H8,1)+IF(Skills!H8&gt;0,MIN(Skills!I8,MAX(0,MAX(0,Inputs!$B$44-B2914)-((R2878-1)*IF(Inputs!$B$39="pvp",15,MAX(0.1,Skills!D8-IF(Skills!E8=TRUE,Inputs!$B$32,0))))))/Skills!H8,1)))/Inputs!$B$44),G2878*Q2878))*IF(Inputs!$B$39="pvp",1,(1+(Inputs!$B$21+Skills!Q8+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Skills!A9</f>
        <v/>
      </c>
      <c r="B2879">
        <f>Skills!B9</f>
        <v/>
      </c>
      <c r="C2879">
        <f>Inputs!$B$3&gt;=117</f>
        <v/>
      </c>
      <c r="D2879">
        <f>IF(Skills!C9=1,60+Inputs!$B$25+Inputs!$B$29,IF(Skills!C9=2,90+Inputs!$B$26+Inputs!$B$29,IF(Skills!C9=3,120+Inputs!$B$27+Inputs!$B$29,MAX(0,(Inputs!$B$3-100)*3)+Inputs!$B$28+Inputs!$B$29)))</f>
        <v/>
      </c>
      <c r="E2879">
        <f>INDEX(FactorTable!$B$2:$Y$301, MATCH(ROUND(MIN(300,MAX(1,D2879)),0), FactorTable!$A$2:$A$301,0), Skills!M9+1)</f>
        <v/>
      </c>
      <c r="F2879">
        <f>IF(Skills!N9=TRUE,(Skills!L9/10)*(E2879/1000),Skills!L9/10)+Skills!O9</f>
        <v/>
      </c>
      <c r="G2879">
        <f>Skills!G9*IF(Skills!H9&gt;0,Skills!I9/Skills!H9,1)</f>
        <v/>
      </c>
      <c r="H2879">
        <f>1-(1-Skills!J9/100)^Skills!K9</f>
        <v/>
      </c>
      <c r="I2879" t="inlineStr">
        <is>
          <t>1</t>
        </is>
      </c>
      <c r="J2879">
        <f>((Inputs!$B$6*(1+Inputs!$B$7/100))+(((Inputs!$B$12*(1+Inputs!$B$13/100))-(Inputs!$B$12*(1+Inputs!$B$13/100)))+0.25*(Inputs!$B$14-Inputs!$B$14))*(1+Inputs!$B$7/100))*(F2879/100)</f>
        <v/>
      </c>
      <c r="K2879">
        <f>J2879*(1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2879)</f>
        <v/>
      </c>
      <c r="L2879">
        <f>K2879*(MIN(Inputs!$B$22+((C2894=TRUE)*(F2894-Calc!F24)),(Inputs!$B$23+((C2899=TRUE)*(F2899-Calc!F29))+IF(ArtifactsInput!$M$15,CHOOSE(ArtifactsInput!$N$15+1,25,30,35,40,45,50)/100*(Inputs!$B$11-Inputs!$B$11),0)))/100+(Inputs!$B$23+((C2899=TRUE)*(F2899-Calc!F29))+IF(ArtifactsInput!$M$15,CHOOSE(ArtifactsInput!$N$15+1,25,30,35,40,45,50)/100*(Inputs!$B$11-Inputs!$B$11),0))/100)/2</f>
        <v/>
      </c>
      <c r="M2879">
        <f>L2879*(1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IF(B2915=0,0,O2879/B2915)</f>
        <v/>
      </c>
      <c r="Q2879" t="n">
        <v>0</v>
      </c>
      <c r="R2879" t="n">
        <v>0</v>
      </c>
      <c r="S2879" t="n">
        <v>0</v>
      </c>
      <c r="T2879">
        <f>IF(C2879,(0.2*SUMPRODUCT((Skills!Z2:Z30=TRUE)*(C2872:C2900=TRUE)*S2872:S2900)*N2879)*IF(Inputs!$B$39="pvp",1,1+(Inputs!$B$20+0+Skills!P9+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2879*(1-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IF(C2879,(0.2*SUMPRODUCT((Skills!Z2:Z30=TRUE)*(C2872:C2900=TRUE)*S2872:S2900)*N2879)*IF(Inputs!$B$39="pvp",1,(1+(Inputs!$B$21+Skills!Q9+B2904+(IF(ArtifactsInput!$M$33,CHOOSE(ArtifactsInput!$N$33+1,30,36,42,48,54,60),0))+(IF(AND(ArtifactsInput!$M$35,Inputs!$B$4&lt;&gt;"Chapter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Skills!A10</f>
        <v/>
      </c>
      <c r="B2880">
        <f>Skills!B10</f>
        <v/>
      </c>
      <c r="C2880">
        <f>Inputs!$B$3&gt;=74</f>
        <v/>
      </c>
      <c r="D2880">
        <f>IF(Skills!C10=1,60+Inputs!$B$25+Inputs!$B$29,IF(Skills!C10=2,90+Inputs!$B$26+Inputs!$B$29,IF(Skills!C10=3,120+Inputs!$B$27+Inputs!$B$29,MAX(0,(Inputs!$B$3-100)*3)+Inputs!$B$28+Inputs!$B$29)))</f>
        <v/>
      </c>
      <c r="E2880">
        <f>INDEX(FactorTable!$B$2:$Y$301, MATCH(ROUND(MIN(300,MAX(1,D2880)),0), FactorTable!$A$2:$A$301,0), Skills!M10+1)</f>
        <v/>
      </c>
      <c r="F2880">
        <f>IF(Skills!N10=TRUE,(Skills!L10/10)*(E2880/1000),Skills!L10/10)+Skills!O10</f>
        <v/>
      </c>
      <c r="G2880">
        <f>Skills!G10*IF(Skills!H10&gt;0,Skills!I10/Skills!H10,1)</f>
        <v/>
      </c>
      <c r="H2880">
        <f>1-(1-Skills!J10/100)^Skills!K10</f>
        <v/>
      </c>
      <c r="I2880" t="inlineStr">
        <is>
          <t>1</t>
        </is>
      </c>
      <c r="J2880" t="inlineStr"/>
      <c r="K2880" t="inlineStr"/>
      <c r="L2880" t="inlineStr"/>
      <c r="M2880" t="inlineStr"/>
      <c r="N2880" t="inlineStr"/>
      <c r="O2880">
        <f>(1-Summary!$B$11)*T2880+Summary!$B$11*V2880</f>
        <v/>
      </c>
      <c r="P2880">
        <f>IF(B2915=0,0,O2880/B2915)</f>
        <v/>
      </c>
      <c r="Q2880">
        <f>IFERROR(1/IF(Inputs!$B$39="pvp",15,MAX(0.1,Skills!D10-IF(Skills!E10=TRUE,Inputs!$B$32,0))),0)</f>
        <v/>
      </c>
      <c r="R2880">
        <f>IF(AND(Inputs!$B$39&lt;&gt;"pvp",Inputs!$B$44&gt;0),IF(Inputs!$B$44&lt;=0,0,(INT(Inputs!$B$44/IF(Inputs!$B$39="pvp",15,MAX(0.1,Skills!D10-IF(Skills!E10=TRUE,Inputs!$B$32,0))))+1)),0)</f>
        <v/>
      </c>
      <c r="S2880">
        <f>IFERROR(O2880/N2880,0)</f>
        <v/>
      </c>
      <c r="T2880" t="n">
        <v>0</v>
      </c>
      <c r="V2880" t="n">
        <v>0</v>
      </c>
    </row>
    <row r="2881">
      <c r="A2881">
        <f>Skills!A11</f>
        <v/>
      </c>
      <c r="B2881">
        <f>Skills!B11</f>
        <v/>
      </c>
      <c r="C2881">
        <f>Inputs!$B$3&gt;=103</f>
        <v/>
      </c>
      <c r="D2881">
        <f>IF(Skills!C11=1,60+Inputs!$B$25+Inputs!$B$29,IF(Skills!C11=2,90+Inputs!$B$26+Inputs!$B$29,IF(Skills!C11=3,120+Inputs!$B$27+Inputs!$B$29,MAX(0,(Inputs!$B$3-100)*3)+Inputs!$B$28+Inputs!$B$29)))</f>
        <v/>
      </c>
      <c r="E2881">
        <f>INDEX(FactorTable!$B$2:$Y$301, MATCH(ROUND(MIN(300,MAX(1,D2881)),0), FactorTable!$A$2:$A$301,0), Skills!M11+1)</f>
        <v/>
      </c>
      <c r="F2881">
        <f>(Skills!L11/10)*(E2881/1000)+IF(Inputs!$B$3&gt;=134,50,0)+0.5*(30000/10)*(INDEX(FactorTable!$B$2:$Y$301, MATCH(ROUND(MIN(300,MAX(1,D2881)),0), FactorTable!$A$2:$A$301,0), 13)/1000)*B2913</f>
        <v/>
      </c>
      <c r="G2881">
        <f>Skills!G11*IF(Skills!H11&gt;0,Skills!I11/Skills!H11,1)</f>
        <v/>
      </c>
      <c r="H2881">
        <f>1-(1-Skills!J11/100)^Skills!K11</f>
        <v/>
      </c>
      <c r="I2881" t="inlineStr">
        <is>
          <t>1</t>
        </is>
      </c>
      <c r="J2881">
        <f>((Inputs!$B$6*(1+Inputs!$B$7/100))+(((Inputs!$B$12*(1+Inputs!$B$13/100))-(Inputs!$B$12*(1+Inputs!$B$13/100)))+0.25*(Inputs!$B$14-Inputs!$B$14))*(1+Inputs!$B$7/100))*(F2881/100)</f>
        <v/>
      </c>
      <c r="K2881">
        <f>J2881*(1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2881)</f>
        <v/>
      </c>
      <c r="L2881">
        <f>K2881*(MIN(Inputs!$B$22+((C2894=TRUE)*(F2894-Calc!F24)),(Inputs!$B$23+((C2899=TRUE)*(F2899-Calc!F29))+IF(ArtifactsInput!$M$15,CHOOSE(ArtifactsInput!$N$15+1,25,30,35,40,45,50)/100*(Inputs!$B$11-Inputs!$B$11),0)))/100+(Inputs!$B$23+((C2899=TRUE)*(F2899-Calc!F29))+IF(ArtifactsInput!$M$15,CHOOSE(ArtifactsInput!$N$15+1,25,30,35,40,45,50)/100*(Inputs!$B$11-Inputs!$B$11),0))/100)/2</f>
        <v/>
      </c>
      <c r="M2881">
        <f>L2881*(1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1">
        <f>L2881*(1-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1">
        <f>(1-Summary!$B$11)*T2881+Summary!$B$11*V2881</f>
        <v/>
      </c>
      <c r="P2881">
        <f>IF(B2915=0,0,O2881/B2915)</f>
        <v/>
      </c>
      <c r="Q2881">
        <f>IFERROR(1/IF(Inputs!$B$39="pvp",15,MAX(0.1,Skills!D11-IF(Skills!E11=TRUE,Inputs!$B$32,0))),0)</f>
        <v/>
      </c>
      <c r="R2881">
        <f>IF(AND(Inputs!$B$39&lt;&gt;"pvp",Inputs!$B$44&gt;0),IF(MAX(0,Inputs!$B$44-B2914)&lt;=0,0,(INT(MAX(0,Inputs!$B$44-B2914)/IF(Inputs!$B$39="pvp",15,MAX(0.1,Skills!D11-IF(Skills!E11=TRUE,Inputs!$B$32,0))))+1)),0)</f>
        <v/>
      </c>
      <c r="S2881">
        <f>IFERROR(O2881/N2881,0)</f>
        <v/>
      </c>
      <c r="T2881">
        <f>IF(C2881,(H2881*N2881*IF(AND(Inputs!$B$39&lt;&gt;"pvp",Inputs!$B$44&gt;0),((Skills!G11*((R2881-1)*IF(Skills!H11&gt;0,Skills!I11/Skills!H11,1)+IF(Skills!H11&gt;0,MIN(Skills!I11,MAX(0,MAX(0,Inputs!$B$44-B2914)-((R2881-1)*IF(Inputs!$B$39="pvp",15,MAX(0.1,Skills!D11-IF(Skills!E11=TRUE,Inputs!$B$32,0))))))/Skills!H11,1)))/Inputs!$B$44),G2881*Q2881))*IF(Inputs!$B$39="pvp",1,1+(Inputs!$B$20+0+Skills!P11+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1">
        <f>IF(C2881,(H2881*N2881*IF(AND(Inputs!$B$39&lt;&gt;"pvp",Inputs!$B$44&gt;0),((Skills!G11*((R2881-1)*IF(Skills!H11&gt;0,Skills!I11/Skills!H11,1)+IF(Skills!H11&gt;0,MIN(Skills!I11,MAX(0,MAX(0,Inputs!$B$44-B2914)-((R2881-1)*IF(Inputs!$B$39="pvp",15,MAX(0.1,Skills!D11-IF(Skills!E11=TRUE,Inputs!$B$32,0))))))/Skills!H11,1)))/Inputs!$B$44),G2881*Q2881))*IF(Inputs!$B$39="pvp",1,(1+(Inputs!$B$21+Skills!Q11+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2">
      <c r="A2882">
        <f>Skills!A12</f>
        <v/>
      </c>
      <c r="B2882">
        <f>Skills!B12</f>
        <v/>
      </c>
      <c r="C2882">
        <f>Inputs!$B$3&gt;=105</f>
        <v/>
      </c>
      <c r="D2882">
        <f>IF(Skills!C12=1,60+Inputs!$B$25+Inputs!$B$29,IF(Skills!C12=2,90+Inputs!$B$26+Inputs!$B$29,IF(Skills!C12=3,120+Inputs!$B$27+Inputs!$B$29,MAX(0,(Inputs!$B$3-100)*3)+Inputs!$B$28+Inputs!$B$29)))</f>
        <v/>
      </c>
      <c r="E2882">
        <f>INDEX(FactorTable!$B$2:$Y$301, MATCH(ROUND(MIN(300,MAX(1,D2882)),0), FactorTable!$A$2:$A$301,0), Skills!M12+1)</f>
        <v/>
      </c>
      <c r="F2882">
        <f>IF(Skills!N12=TRUE,(Skills!L12/10)*(E2882/1000),Skills!L12/10)+Skills!O12</f>
        <v/>
      </c>
      <c r="G2882">
        <f>Skills!G12*IF(Skills!H12&gt;0,Skills!I12/Skills!H12,1)</f>
        <v/>
      </c>
      <c r="H2882">
        <f>1-(1-Skills!J12/100)^Skills!K12</f>
        <v/>
      </c>
      <c r="I2882" t="inlineStr">
        <is>
          <t>1</t>
        </is>
      </c>
      <c r="J2882">
        <f>((Inputs!$B$6*(1+Inputs!$B$7/100))+(((Inputs!$B$12*(1+Inputs!$B$13/100))-(Inputs!$B$12*(1+Inputs!$B$13/100)))+0.25*(Inputs!$B$14-Inputs!$B$14))*(1+Inputs!$B$7/100))*(F2882/100)</f>
        <v/>
      </c>
      <c r="K2882">
        <f>J2882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2882)</f>
        <v/>
      </c>
      <c r="L2882">
        <f>K2882*(MIN(Inputs!$B$22+((C2894=TRUE)*(F2894-Calc!F24)),(Inputs!$B$23+((C2899=TRUE)*(F2899-Calc!F29))+IF(ArtifactsInput!$M$15,CHOOSE(ArtifactsInput!$N$15+1,25,30,35,40,45,50)/100*(Inputs!$B$11-Inputs!$B$11),0)))/100+(Inputs!$B$23+((C2899=TRUE)*(F2899-Calc!F29))+IF(ArtifactsInput!$M$15,CHOOSE(ArtifactsInput!$N$15+1,25,30,35,40,45,50)/100*(Inputs!$B$11-Inputs!$B$11),0))/100)/2</f>
        <v/>
      </c>
      <c r="M2882">
        <f>L2882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IF(B2915=0,0,O2882/B2915)</f>
        <v/>
      </c>
      <c r="Q2882">
        <f>IFERROR(1/IF(Inputs!$B$39="pvp",15,MAX(0.1,Skills!D12-IF(Skills!E12=TRUE,Inputs!$B$32,0))),0)</f>
        <v/>
      </c>
      <c r="R2882">
        <f>IF(AND(Inputs!$B$39&lt;&gt;"pvp",Inputs!$B$44&gt;0),IF(MAX(0,Inputs!$B$44-B2914)&lt;=0,0,(INT(MAX(0,Inputs!$B$44-B2914)/IF(Inputs!$B$39="pvp",15,MAX(0.1,Skills!D12-IF(Skills!E12=TRUE,Inputs!$B$32,0))))+1)),0)</f>
        <v/>
      </c>
      <c r="S2882">
        <f>IFERROR(O2882/N2882,0)</f>
        <v/>
      </c>
      <c r="T2882">
        <f>IF(C2882,(H2882*N2882*IF(AND(Inputs!$B$39&lt;&gt;"pvp",Inputs!$B$44&gt;0),((Skills!G12*((R2882-1)*IF(Skills!H12&gt;0,Skills!I12/Skills!H12,1)+IF(Skills!H12&gt;0,MIN(Skills!I12,MAX(0,MAX(0,Inputs!$B$44-B2914)-((R2882-1)*IF(Inputs!$B$39="pvp",15,MAX(0.1,Skills!D12-IF(Skills!E12=TRUE,Inputs!$B$32,0))))))/Skills!H12,1)))/Inputs!$B$44),G2882*Q2882))*IF(Inputs!$B$39="pvp",1,1+(Inputs!$B$20+0+Skills!P12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2882*(1-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H2882*N2882*IF(AND(Inputs!$B$39&lt;&gt;"pvp",Inputs!$B$44&gt;0),((Skills!G12*((R2882-1)*IF(Skills!H12&gt;0,Skills!I12/Skills!H12,1)+IF(Skills!H12&gt;0,MIN(Skills!I12,MAX(0,MAX(0,Inputs!$B$44-B2914)-((R2882-1)*IF(Inputs!$B$39="pvp",15,MAX(0.1,Skills!D12-IF(Skills!E12=TRUE,Inputs!$B$32,0))))))/Skills!H12,1)))/Inputs!$B$44),G2882*Q2882))*IF(Inputs!$B$39="pvp",1,(1+(Inputs!$B$21+Skills!Q12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Skills!A13</f>
        <v/>
      </c>
      <c r="B2883">
        <f>Skills!B13</f>
        <v/>
      </c>
      <c r="C2883">
        <f>Inputs!$B$3&gt;=105</f>
        <v/>
      </c>
      <c r="D2883">
        <f>IF(Skills!C13=1,60+Inputs!$B$25+Inputs!$B$29,IF(Skills!C13=2,90+Inputs!$B$26+Inputs!$B$29,IF(Skills!C13=3,120+Inputs!$B$27+Inputs!$B$29,MAX(0,(Inputs!$B$3-100)*3)+Inputs!$B$28+Inputs!$B$29)))</f>
        <v/>
      </c>
      <c r="E2883">
        <f>INDEX(FactorTable!$B$2:$Y$301, MATCH(ROUND(MIN(300,MAX(1,D2883)),0), FactorTable!$A$2:$A$301,0), Skills!M13+1)</f>
        <v/>
      </c>
      <c r="F2883">
        <f>IF(Skills!N13=TRUE,(Skills!L13/10)*(E2883/1000),Skills!L13/10)+Skills!O13</f>
        <v/>
      </c>
      <c r="G2883">
        <f>Skills!G13*IF(Skills!H13&gt;0,Skills!I13/Skills!H13,1)</f>
        <v/>
      </c>
      <c r="H2883">
        <f>1-(1-Skills!J13/100)^Skills!K13</f>
        <v/>
      </c>
      <c r="I2883" t="inlineStr">
        <is>
          <t>1</t>
        </is>
      </c>
      <c r="J2883">
        <f>((Inputs!$B$6*(1+Inputs!$B$7/100))+(((Inputs!$B$12*(1+Inputs!$B$13/100))-(Inputs!$B$12*(1+Inputs!$B$13/100)))+0.25*(Inputs!$B$14-Inputs!$B$14))*(1+Inputs!$B$7/100))*(F2883/100)</f>
        <v/>
      </c>
      <c r="K2883">
        <f>J2883*(1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2883)</f>
        <v/>
      </c>
      <c r="L2883">
        <f>K2883*(MIN(Inputs!$B$22+((C2894=TRUE)*(F2894-Calc!F24)),(Inputs!$B$23+((C2899=TRUE)*(F2899-Calc!F29))+IF(ArtifactsInput!$M$15,CHOOSE(ArtifactsInput!$N$15+1,25,30,35,40,45,50)/100*(Inputs!$B$11-Inputs!$B$11),0)))/100+(Inputs!$B$23+((C2899=TRUE)*(F2899-Calc!F29))+IF(ArtifactsInput!$M$15,CHOOSE(ArtifactsInput!$N$15+1,25,30,35,40,45,50)/100*(Inputs!$B$11-Inputs!$B$11),0))/100)/2</f>
        <v/>
      </c>
      <c r="M2883">
        <f>L2883*(1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3">
        <f>L2883*(1-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2883*(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3">
        <f>(1-Summary!$B$11)*T2883+Summary!$B$11*V2883</f>
        <v/>
      </c>
      <c r="P2883">
        <f>IF(B2915=0,0,O2883/B2915)</f>
        <v/>
      </c>
      <c r="Q2883">
        <f>IFERROR(1/IF(Inputs!$B$39="pvp",15,MAX(0.1,Skills!D13-IF(Skills!E13=TRUE,Inputs!$B$32,0))),0)</f>
        <v/>
      </c>
      <c r="R2883">
        <f>IF(AND(Inputs!$B$39&lt;&gt;"pvp",Inputs!$B$44&gt;0),IF(MAX(0,Inputs!$B$44-B2914)&lt;=0,0,(INT(MAX(0,Inputs!$B$44-B2914)/IF(Inputs!$B$39="pvp",15,MAX(0.1,Skills!D13-IF(Skills!E13=TRUE,Inputs!$B$32,0))))+1)),0)</f>
        <v/>
      </c>
      <c r="S2883">
        <f>IFERROR(O2883/N2883,0)</f>
        <v/>
      </c>
      <c r="T2883">
        <f>IF(C2883,(H2883*N2883*IF(AND(Inputs!$B$39&lt;&gt;"pvp",Inputs!$B$44&gt;0),((Skills!G13*((R2883-1)*IF(Skills!H13&gt;0,Skills!I13/Skills!H13,1)+IF(Skills!H13&gt;0,MIN(Skills!I13,MAX(0,MAX(0,Inputs!$B$44-B2914)-((R2883-1)*IF(Inputs!$B$39="pvp",15,MAX(0.1,Skills!D13-IF(Skills!E13=TRUE,Inputs!$B$32,0))))))/Skills!H13,1)))/Inputs!$B$44),G2883*Q2883))*IF(Inputs!$B$39="pvp",1,1+(Inputs!$B$20+0+Skills!P13+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2883*(1-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2883*(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2883*(1-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2883*(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3">
        <f>IF(C2883,(H2883*N2883*IF(AND(Inputs!$B$39&lt;&gt;"pvp",Inputs!$B$44&gt;0),((Skills!G13*((R2883-1)*IF(Skills!H13&gt;0,Skills!I13/Skills!H13,1)+IF(Skills!H13&gt;0,MIN(Skills!I13,MAX(0,MAX(0,Inputs!$B$44-B2914)-((R2883-1)*IF(Inputs!$B$39="pvp",15,MAX(0.1,Skills!D13-IF(Skills!E13=TRUE,Inputs!$B$32,0))))))/Skills!H13,1)))/Inputs!$B$44),G2883*Q2883))*IF(Inputs!$B$39="pvp",1,(1+(Inputs!$B$21+Skills!Q13+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4">
      <c r="A2884">
        <f>Skills!A14</f>
        <v/>
      </c>
      <c r="B2884">
        <f>Skills!B14</f>
        <v/>
      </c>
      <c r="C2884">
        <f>Inputs!$B$3&gt;=107</f>
        <v/>
      </c>
      <c r="D2884">
        <f>IF(Skills!C14=1,60+Inputs!$B$25+Inputs!$B$29,IF(Skills!C14=2,90+Inputs!$B$26+Inputs!$B$29,IF(Skills!C14=3,120+Inputs!$B$27+Inputs!$B$29,MAX(0,(Inputs!$B$3-100)*3)+Inputs!$B$28+Inputs!$B$29)))</f>
        <v/>
      </c>
      <c r="E2884">
        <f>INDEX(FactorTable!$B$2:$Y$301, MATCH(ROUND(MIN(300,MAX(1,D2884)),0), FactorTable!$A$2:$A$301,0), Skills!M14+1)</f>
        <v/>
      </c>
      <c r="F2884">
        <f>IF(Skills!N14=TRUE,(Skills!L14/10)*(E2884/1000),Skills!L14/10)+Skills!O14</f>
        <v/>
      </c>
      <c r="G2884">
        <f>Skills!G14*IF(Skills!H14&gt;0,Skills!I14/Skills!H14,1)</f>
        <v/>
      </c>
      <c r="H2884">
        <f>1-(1-Skills!J14/100)^Skills!K14</f>
        <v/>
      </c>
      <c r="I2884" t="inlineStr">
        <is>
          <t>1</t>
        </is>
      </c>
      <c r="J2884">
        <f>((Inputs!$B$6*(1+Inputs!$B$7/100))+(((Inputs!$B$12*(1+Inputs!$B$13/100))-(Inputs!$B$12*(1+Inputs!$B$13/100)))+0.25*(Inputs!$B$14-Inputs!$B$14))*(1+Inputs!$B$7/100))*(F2884/100)</f>
        <v/>
      </c>
      <c r="K2884">
        <f>J2884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2884)</f>
        <v/>
      </c>
      <c r="L2884">
        <f>K2884*(MIN(Inputs!$B$22+((C2894=TRUE)*(F2894-Calc!F24)),(Inputs!$B$23+((C2899=TRUE)*(F2899-Calc!F29))+IF(ArtifactsInput!$M$15,CHOOSE(ArtifactsInput!$N$15+1,25,30,35,40,45,50)/100*(Inputs!$B$11-Inputs!$B$11),0)))/100+(Inputs!$B$23+((C2899=TRUE)*(F2899-Calc!F29))+IF(ArtifactsInput!$M$15,CHOOSE(ArtifactsInput!$N$15+1,25,30,35,40,45,50)/100*(Inputs!$B$11-Inputs!$B$11),0))/100)/2</f>
        <v/>
      </c>
      <c r="M2884">
        <f>L2884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4">
        <f>L2884*(1-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2884*(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4">
        <f>(1-Summary!$B$11)*T2884+Summary!$B$11*V2884</f>
        <v/>
      </c>
      <c r="P2884">
        <f>IF(B2915=0,0,O2884/B2915)</f>
        <v/>
      </c>
      <c r="Q2884">
        <f>IFERROR(1/IF(Inputs!$B$39="pvp",15,MAX(0.1,Skills!D14-IF(Skills!E14=TRUE,Inputs!$B$32,0))),0)</f>
        <v/>
      </c>
      <c r="R2884">
        <f>IF(AND(Inputs!$B$39&lt;&gt;"pvp",Inputs!$B$44&gt;0),IF(MAX(0,Inputs!$B$44-B2914)&lt;=0,0,(INT(MAX(0,Inputs!$B$44-B2914)/IF(Inputs!$B$39="pvp",15,MAX(0.1,Skills!D14-IF(Skills!E14=TRUE,Inputs!$B$32,0))))+1)),0)</f>
        <v/>
      </c>
      <c r="S2884">
        <f>IFERROR(O2884/N2884,0)</f>
        <v/>
      </c>
      <c r="T2884">
        <f>IF(C2884,(H2884*N2884*IF(AND(Inputs!$B$39&lt;&gt;"pvp",Inputs!$B$44&gt;0),((Skills!G14*((R2884-1)*IF(Skills!H14&gt;0,Skills!I14/Skills!H14,1)+IF(Skills!H14&gt;0,MIN(Skills!I14,MAX(0,MAX(0,Inputs!$B$44-B2914)-((R2884-1)*IF(Inputs!$B$39="pvp",15,MAX(0.1,Skills!D14-IF(Skills!E14=TRUE,Inputs!$B$32,0))))))/Skills!H14,1)))/Inputs!$B$44),G2884*Q2884))*IF(Inputs!$B$39="pvp",1,1+(Inputs!$B$20+0+Skills!P14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2884*(1-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2884*(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2884*(1-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2884*(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4">
        <f>IF(C2884,(H2884*N2884*IF(AND(Inputs!$B$39&lt;&gt;"pvp",Inputs!$B$44&gt;0),((Skills!G14*((R2884-1)*IF(Skills!H14&gt;0,Skills!I14/Skills!H14,1)+IF(Skills!H14&gt;0,MIN(Skills!I14,MAX(0,MAX(0,Inputs!$B$44-B2914)-((R2884-1)*IF(Inputs!$B$39="pvp",15,MAX(0.1,Skills!D14-IF(Skills!E14=TRUE,Inputs!$B$32,0))))))/Skills!H14,1)))/Inputs!$B$44),G2884*Q2884))*IF(Inputs!$B$39="pvp",1,(1+(Inputs!$B$21+Skills!Q14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(5,0.25*B2907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5">
      <c r="A2885">
        <f>Skills!A15</f>
        <v/>
      </c>
      <c r="B2885">
        <f>Skills!B15</f>
        <v/>
      </c>
      <c r="C2885">
        <f>Inputs!$B$3&gt;=110</f>
        <v/>
      </c>
      <c r="D2885">
        <f>IF(Skills!C15=1,60+Inputs!$B$25+Inputs!$B$29,IF(Skills!C15=2,90+Inputs!$B$26+Inputs!$B$29,IF(Skills!C15=3,120+Inputs!$B$27+Inputs!$B$29,MAX(0,(Inputs!$B$3-100)*3)+Inputs!$B$28+Inputs!$B$29)))</f>
        <v/>
      </c>
      <c r="E2885">
        <f>INDEX(FactorTable!$B$2:$Y$301, MATCH(ROUND(MIN(300,MAX(1,D2885)),0), FactorTable!$A$2:$A$301,0), Skills!M15+1)</f>
        <v/>
      </c>
      <c r="F2885">
        <f>IF(Skills!N15=TRUE,(Skills!L15/10)*(E2885/1000),Skills!L15/10)+Skills!O15</f>
        <v/>
      </c>
      <c r="G2885">
        <f>Skills!G15*IF(Skills!H15&gt;0,Skills!I15/Skills!H15,1)</f>
        <v/>
      </c>
      <c r="H2885">
        <f>1-(1-Skills!J15/100)^Skills!K15</f>
        <v/>
      </c>
      <c r="I2885" t="inlineStr">
        <is>
          <t>1</t>
        </is>
      </c>
      <c r="J2885" t="inlineStr"/>
      <c r="K2885" t="inlineStr"/>
      <c r="L2885" t="inlineStr"/>
      <c r="M2885" t="inlineStr"/>
      <c r="N2885" t="inlineStr"/>
      <c r="O2885">
        <f>(1-Summary!$B$11)*T2885+Summary!$B$11*V2885</f>
        <v/>
      </c>
      <c r="P2885">
        <f>IF(B2915=0,0,O2885/B2915)</f>
        <v/>
      </c>
      <c r="Q2885">
        <f>IFERROR(1/IF(Inputs!$B$39="pvp",15,MAX(0.1,Skills!D15-IF(Skills!E15=TRUE,Inputs!$B$32,0))),0)</f>
        <v/>
      </c>
      <c r="R2885">
        <f>IF(AND(Inputs!$B$39&lt;&gt;"pvp",Inputs!$B$44&gt;0),IF(Inputs!$B$44&lt;=0,0,(INT(Inputs!$B$44/IF(Inputs!$B$39="pvp",15,MAX(0.1,Skills!D15-IF(Skills!E15=TRUE,Inputs!$B$32,0))))+1)),0)</f>
        <v/>
      </c>
      <c r="S2885">
        <f>IFERROR(O2885/N2885,0)</f>
        <v/>
      </c>
      <c r="T2885" t="n">
        <v>0</v>
      </c>
      <c r="V2885" t="n">
        <v>0</v>
      </c>
    </row>
    <row r="2886">
      <c r="A2886">
        <f>Skills!A16</f>
        <v/>
      </c>
      <c r="B2886">
        <f>Skills!B16</f>
        <v/>
      </c>
      <c r="C2886">
        <f>Inputs!$B$3&gt;=115</f>
        <v/>
      </c>
      <c r="D2886">
        <f>IF(Skills!C16=1,60+Inputs!$B$25+Inputs!$B$29,IF(Skills!C16=2,90+Inputs!$B$26+Inputs!$B$29,IF(Skills!C16=3,120+Inputs!$B$27+Inputs!$B$29,MAX(0,(Inputs!$B$3-100)*3)+Inputs!$B$28+Inputs!$B$29)))</f>
        <v/>
      </c>
      <c r="E2886">
        <f>INDEX(FactorTable!$B$2:$Y$301, MATCH(ROUND(MIN(300,MAX(1,D2886)),0), FactorTable!$A$2:$A$301,0), Skills!M16+1)</f>
        <v/>
      </c>
      <c r="F2886">
        <f>IF(Skills!N16=TRUE,(Skills!L16/10)*(E2886/1000),Skills!L16/10)+Skills!O16</f>
        <v/>
      </c>
      <c r="G2886">
        <f>Skills!G16*IF(Skills!H16&gt;0,Skills!I16/Skills!H16,1)</f>
        <v/>
      </c>
      <c r="H2886">
        <f>1-(1-Skills!J16/100)^Skills!K16</f>
        <v/>
      </c>
      <c r="I2886" t="inlineStr">
        <is>
          <t>1</t>
        </is>
      </c>
      <c r="J2886">
        <f>((Inputs!$B$6*(1+Inputs!$B$7/100))+(((Inputs!$B$12*(1+Inputs!$B$13/100))-(Inputs!$B$12*(1+Inputs!$B$13/100)))+0.25*(Inputs!$B$14-Inputs!$B$14))*(1+Inputs!$B$7/100))*(F2886/100)</f>
        <v/>
      </c>
      <c r="K2886">
        <f>J2886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2897=TRUE)*(F2897-Calc!F27))+((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2886)</f>
        <v/>
      </c>
      <c r="L2886">
        <f>K2886*(MIN(Inputs!$B$22+((C2894=TRUE)*(F2894-Calc!F24)),(Inputs!$B$23+((C2899=TRUE)*(F2899-Calc!F29))+IF(ArtifactsInput!$M$15,CHOOSE(ArtifactsInput!$N$15+1,25,30,35,40,45,50)/100*(Inputs!$B$11-Inputs!$B$11),0)))/100+(Inputs!$B$23+((C2899=TRUE)*(F2899-Calc!F29))+IF(ArtifactsInput!$M$15,CHOOSE(ArtifactsInput!$N$15+1,25,30,35,40,45,50)/100*(Inputs!$B$11-Inputs!$B$11),0))/100)/2</f>
        <v/>
      </c>
      <c r="M2886">
        <f>L2886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6">
        <f>L2886*(1-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2886*(MIN((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6">
        <f>(1-Summary!$B$11)*T2886+Summary!$B$11*V2886</f>
        <v/>
      </c>
      <c r="P2886">
        <f>IF(B2915=0,0,O2886/B2915)</f>
        <v/>
      </c>
      <c r="Q2886" t="n">
        <v>0</v>
      </c>
      <c r="R2886" t="n">
        <v>0</v>
      </c>
      <c r="S2886">
        <f>IFERROR(O2886/N2886,0)</f>
        <v/>
      </c>
      <c r="T2886">
        <f>IF(C2886,(Inputs!$B$38*0.2*N2886)*IF(Inputs!$B$39="pvp",1,1+(Inputs!$B$20+0+Skills!P16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2886*(1-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2886*(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2886*(1-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2886*(MIN(100,(Inputs!$B$9+((C2895=TRUE)*(F2895-Calc!F25))+B2903+(ArtifactsInput!$M$24-ArtifactsInput!$M$24)*CHOOSE(ArtifactsInput!$N$24+1,10,12,14,16,18,20)+(IF(AND(Inputs!$B$39&lt;&gt;"pvp",Inputs!$B$44=0),1,IF(IF(Inputs!$B$39="pvp",15,Inputs!$B$44)-(B2914)&lt;=0,1,MAX(0,IF(Inputs!$B$39="pvp",15,Inputs!$B$44)-MAX(5,B2914))/(IF(Inputs!$B$39="pvp",15,Inputs!$B$44)-(B2914))))*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6">
        <f>IF(C2886,(Inputs!$B$38*0.2*N2886)*IF(Inputs!$B$39="pvp",1,(1+(Inputs!$B$21+Skills!Q16+B2904+(IF(ArtifactsInput!$M$33,CHOOSE(ArtifactsInput!$N$33+1,30,36,42,48,54,60),0))+(IF(AND(ArtifactsInput!$M$35,Inputs!$B$4&lt;&gt;"Chapter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7">
      <c r="A2887">
        <f>Skills!A17</f>
        <v/>
      </c>
      <c r="B2887">
        <f>Skills!B17</f>
        <v/>
      </c>
      <c r="C2887">
        <f>Inputs!$B$3&gt;=115</f>
        <v/>
      </c>
      <c r="D2887">
        <f>IF(Skills!C17=1,60+Inputs!$B$25+Inputs!$B$29,IF(Skills!C17=2,90+Inputs!$B$26+Inputs!$B$29,IF(Skills!C17=3,120+Inputs!$B$27+Inputs!$B$29,MAX(0,(Inputs!$B$3-100)*3)+Inputs!$B$28+Inputs!$B$29)))</f>
        <v/>
      </c>
      <c r="E2887">
        <f>INDEX(FactorTable!$B$2:$Y$301, MATCH(ROUND(MIN(300,MAX(1,D2887)),0), FactorTable!$A$2:$A$301,0), Skills!M17+1)</f>
        <v/>
      </c>
      <c r="F2887">
        <f>IF(Skills!N17=TRUE,(Skills!L17/10)*(E2887/1000),Skills!L17/10)+Skills!O17</f>
        <v/>
      </c>
      <c r="G2887">
        <f>Skills!G17*IF(Skills!H17&gt;0,Skills!I17/Skills!H17,1)</f>
        <v/>
      </c>
      <c r="H2887">
        <f>1-(1-Skills!J17/100)^Skills!K17</f>
        <v/>
      </c>
      <c r="I2887" t="inlineStr">
        <is>
          <t>1</t>
        </is>
      </c>
      <c r="J2887" t="inlineStr"/>
      <c r="K2887" t="inlineStr"/>
      <c r="L2887" t="inlineStr"/>
      <c r="M2887" t="inlineStr"/>
      <c r="N2887" t="inlineStr"/>
      <c r="O2887">
        <f>(1-Summary!$B$11)*T2887+Summary!$B$11*V2887</f>
        <v/>
      </c>
      <c r="P2887">
        <f>IF(B2915=0,0,O2887/B2915)</f>
        <v/>
      </c>
      <c r="Q2887" t="n">
        <v>0</v>
      </c>
      <c r="R2887" t="n">
        <v>0</v>
      </c>
      <c r="S2887">
        <f>IFERROR(O2887/N2887,0)</f>
        <v/>
      </c>
      <c r="T2887" t="n">
        <v>0</v>
      </c>
      <c r="V2887" t="n">
        <v>0</v>
      </c>
    </row>
    <row r="2888">
      <c r="A2888">
        <f>Skills!A18</f>
        <v/>
      </c>
      <c r="B2888">
        <f>Skills!B18</f>
        <v/>
      </c>
      <c r="C2888">
        <f>Inputs!$B$3&gt;=100</f>
        <v/>
      </c>
      <c r="D2888">
        <f>IF(Skills!C18=1,60+Inputs!$B$25+Inputs!$B$29,IF(Skills!C18=2,90+Inputs!$B$26+Inputs!$B$29,IF(Skills!C18=3,120+Inputs!$B$27+Inputs!$B$29,MAX(0,(Inputs!$B$3-100)*3)+Inputs!$B$28+Inputs!$B$29)))</f>
        <v/>
      </c>
      <c r="E2888">
        <f>INDEX(FactorTable!$B$2:$Y$301, MATCH(ROUND(MIN(300,MAX(1,D2888)),0), FactorTable!$A$2:$A$301,0), Skills!M18+1)</f>
        <v/>
      </c>
      <c r="F2888">
        <f>IF(Skills!N18=TRUE,(Skills!L18/10)*(E2888/1000),Skills!L18/10)+Skills!O18</f>
        <v/>
      </c>
      <c r="G2888">
        <f>Skills!G18*IF(Skills!H18&gt;0,Skills!I18/Skills!H18,1)</f>
        <v/>
      </c>
      <c r="H2888">
        <f>1-(1-Skills!J18/100)^Skills!K18</f>
        <v/>
      </c>
      <c r="I2888" t="inlineStr">
        <is>
          <t>1</t>
        </is>
      </c>
      <c r="J2888" t="inlineStr"/>
      <c r="K2888" t="inlineStr"/>
      <c r="L2888" t="inlineStr"/>
      <c r="M2888" t="inlineStr"/>
      <c r="N2888" t="inlineStr"/>
      <c r="O2888">
        <f>(1-Summary!$B$11)*T2888+Summary!$B$11*V2888</f>
        <v/>
      </c>
      <c r="P2888">
        <f>IF(B2915=0,0,O2888/B2915)</f>
        <v/>
      </c>
      <c r="Q2888" t="n">
        <v>0</v>
      </c>
      <c r="R2888" t="n">
        <v>0</v>
      </c>
      <c r="S2888">
        <f>IFERROR(O2888/N2888,0)</f>
        <v/>
      </c>
      <c r="T2888" t="n">
        <v>0</v>
      </c>
      <c r="V2888" t="n">
        <v>0</v>
      </c>
    </row>
    <row r="2889">
      <c r="A2889">
        <f>Skills!A19</f>
        <v/>
      </c>
      <c r="B2889">
        <f>Skills!B19</f>
        <v/>
      </c>
      <c r="C2889">
        <f>TRUE</f>
        <v/>
      </c>
      <c r="D2889">
        <f>IF(Skills!C19=1,60+Inputs!$B$25+Inputs!$B$29,IF(Skills!C19=2,90+Inputs!$B$26+Inputs!$B$29,IF(Skills!C19=3,120+Inputs!$B$27+Inputs!$B$29,MAX(0,(Inputs!$B$3-100)*3)+Inputs!$B$28+Inputs!$B$29)))</f>
        <v/>
      </c>
      <c r="E2889">
        <f>INDEX(FactorTable!$B$2:$Y$301, MATCH(ROUND(MIN(300,MAX(1,D2889)),0), FactorTable!$A$2:$A$301,0), Skills!M19+1)</f>
        <v/>
      </c>
      <c r="F2889">
        <f>IF(Skills!N19=TRUE,(Skills!L19/10)*(E2889/1000),Skills!L19/10)+Skills!O19</f>
        <v/>
      </c>
      <c r="G2889">
        <f>Skills!G19*IF(Skills!H19&gt;0,Skills!I19/Skills!H19,1)</f>
        <v/>
      </c>
      <c r="H2889">
        <f>1-(1-Skills!J19/100)^Skills!K19</f>
        <v/>
      </c>
      <c r="I2889" t="inlineStr">
        <is>
          <t>1</t>
        </is>
      </c>
      <c r="J2889" t="inlineStr"/>
      <c r="K2889" t="inlineStr"/>
      <c r="L2889" t="inlineStr"/>
      <c r="M2889" t="inlineStr"/>
      <c r="N2889" t="inlineStr"/>
      <c r="O2889">
        <f>(1-Summary!$B$11)*T2889+Summary!$B$11*V2889</f>
        <v/>
      </c>
      <c r="P2889">
        <f>IF(B2915=0,0,O2889/B2915)</f>
        <v/>
      </c>
      <c r="Q2889">
        <f>IFERROR(1/IF(Inputs!$B$39="pvp",15,MAX(0.1,Skills!D19-IF(Skills!E19=TRUE,Inputs!$B$32,0))),0)</f>
        <v/>
      </c>
      <c r="R2889">
        <f>IF(AND(Inputs!$B$39&lt;&gt;"pvp",Inputs!$B$44&gt;0),IF(Inputs!$B$44&lt;=0,0,(INT(Inputs!$B$44/IF(Inputs!$B$39="pvp",15,MAX(0.1,Skills!D19-IF(Skills!E19=TRUE,Inputs!$B$32,0))))+1)),0)</f>
        <v/>
      </c>
      <c r="S2889">
        <f>IFERROR(O2889/N2889,0)</f>
        <v/>
      </c>
      <c r="T2889" t="n">
        <v>0</v>
      </c>
      <c r="V2889" t="n">
        <v>0</v>
      </c>
    </row>
    <row r="2890">
      <c r="A2890">
        <f>Skills!A20</f>
        <v/>
      </c>
      <c r="B2890">
        <f>Skills!B20</f>
        <v/>
      </c>
      <c r="C2890">
        <f>Inputs!$B$3&gt;=15</f>
        <v/>
      </c>
      <c r="D2890">
        <f>IF(Skills!C20=1,60+Inputs!$B$25+Inputs!$B$29,IF(Skills!C20=2,90+Inputs!$B$26+Inputs!$B$29,IF(Skills!C20=3,120+Inputs!$B$27+Inputs!$B$29,MAX(0,(Inputs!$B$3-100)*3)+Inputs!$B$28+Inputs!$B$29)))</f>
        <v/>
      </c>
      <c r="E2890">
        <f>INDEX(FactorTable!$B$2:$Y$301, MATCH(ROUND(MIN(300,MAX(1,D2890)),0), FactorTable!$A$2:$A$301,0), Skills!M20+1)</f>
        <v/>
      </c>
      <c r="F2890">
        <f>IF(Skills!N20=TRUE,(Skills!L20/10)*(E2890/1000),Skills!L20/10)+Skills!O20</f>
        <v/>
      </c>
      <c r="G2890">
        <f>Skills!G20*IF(Skills!H20&gt;0,Skills!I20/Skills!H20,1)</f>
        <v/>
      </c>
      <c r="H2890">
        <f>1-(1-Skills!J20/100)^Skills!K20</f>
        <v/>
      </c>
      <c r="I2890" t="inlineStr">
        <is>
          <t>1</t>
        </is>
      </c>
      <c r="J2890" t="inlineStr"/>
      <c r="K2890" t="inlineStr"/>
      <c r="L2890" t="inlineStr"/>
      <c r="M2890" t="inlineStr"/>
      <c r="N2890" t="inlineStr"/>
      <c r="O2890">
        <f>(1-Summary!$B$11)*T2890+Summary!$B$11*V2890</f>
        <v/>
      </c>
      <c r="P2890">
        <f>IF(B2915=0,0,O2890/B2915)</f>
        <v/>
      </c>
      <c r="Q2890">
        <f>IFERROR(1/IF(Inputs!$B$39="pvp",15,MAX(0.1,Skills!D20-IF(Skills!E20=TRUE,Inputs!$B$32,0))),0)</f>
        <v/>
      </c>
      <c r="R2890">
        <f>IF(AND(Inputs!$B$39&lt;&gt;"pvp",Inputs!$B$44&gt;0),IF(Inputs!$B$44&lt;=0,0,(INT(Inputs!$B$44/IF(Inputs!$B$39="pvp",15,MAX(0.1,Skills!D20-IF(Skills!E20=TRUE,Inputs!$B$32,0))))+1)),0)</f>
        <v/>
      </c>
      <c r="S2890">
        <f>IFERROR(O2890/N2890,0)</f>
        <v/>
      </c>
      <c r="T2890" t="n">
        <v>0</v>
      </c>
      <c r="V2890" t="n">
        <v>0</v>
      </c>
    </row>
    <row r="2891">
      <c r="A2891">
        <f>Skills!A21</f>
        <v/>
      </c>
      <c r="B2891">
        <f>Skills!B21</f>
        <v/>
      </c>
      <c r="C2891">
        <f>Inputs!$B$3&gt;=15</f>
        <v/>
      </c>
      <c r="D2891">
        <f>IF(Skills!C21=1,60+Inputs!$B$25+Inputs!$B$29,IF(Skills!C21=2,90+Inputs!$B$26+Inputs!$B$29,IF(Skills!C21=3,120+Inputs!$B$27+Inputs!$B$29,MAX(0,(Inputs!$B$3-100)*3)+Inputs!$B$28+Inputs!$B$29)))</f>
        <v/>
      </c>
      <c r="E2891">
        <f>INDEX(FactorTable!$B$2:$Y$301, MATCH(ROUND(MIN(300,MAX(1,D2891)),0), FactorTable!$A$2:$A$301,0), Skills!M21+1)</f>
        <v/>
      </c>
      <c r="F2891">
        <f>IF(Skills!N21=TRUE,(Skills!L21/10)*(E2891/1000),Skills!L21/10)+Skills!O21</f>
        <v/>
      </c>
      <c r="G2891">
        <f>Skills!G21*IF(Skills!H21&gt;0,Skills!I21/Skills!H21,1)</f>
        <v/>
      </c>
      <c r="H2891">
        <f>1-(1-Skills!J21/100)^Skills!K21</f>
        <v/>
      </c>
      <c r="I2891" t="inlineStr">
        <is>
          <t>1</t>
        </is>
      </c>
      <c r="J2891" t="inlineStr"/>
      <c r="K2891" t="inlineStr"/>
      <c r="L2891" t="inlineStr"/>
      <c r="M2891" t="inlineStr"/>
      <c r="N2891" t="inlineStr"/>
      <c r="O2891">
        <f>(1-Summary!$B$11)*T2891+Summary!$B$11*V2891</f>
        <v/>
      </c>
      <c r="P2891">
        <f>IF(B2915=0,0,O2891/B2915)</f>
        <v/>
      </c>
      <c r="Q2891">
        <f>IFERROR(1/IF(Inputs!$B$39="pvp",15,MAX(0.1,Skills!D21-IF(Skills!E21=TRUE,Inputs!$B$32,0))),0)</f>
        <v/>
      </c>
      <c r="R2891">
        <f>IF(AND(Inputs!$B$39&lt;&gt;"pvp",Inputs!$B$44&gt;0),IF(Inputs!$B$44&lt;=0,0,(INT(Inputs!$B$44/IF(Inputs!$B$39="pvp",15,MAX(0.1,Skills!D21-IF(Skills!E21=TRUE,Inputs!$B$32,0))))+1)),0)</f>
        <v/>
      </c>
      <c r="S2891">
        <f>IFERROR(O2891/N2891,0)</f>
        <v/>
      </c>
      <c r="T2891" t="n">
        <v>0</v>
      </c>
      <c r="V2891" t="n">
        <v>0</v>
      </c>
    </row>
    <row r="2892">
      <c r="A2892">
        <f>Skills!A22</f>
        <v/>
      </c>
      <c r="B2892">
        <f>Skills!B22</f>
        <v/>
      </c>
      <c r="C2892">
        <f>Inputs!$B$3&gt;=33</f>
        <v/>
      </c>
      <c r="D2892">
        <f>IF(Skills!C22=1,60+Inputs!$B$25+Inputs!$B$29,IF(Skills!C22=2,90+Inputs!$B$26+Inputs!$B$29,IF(Skills!C22=3,120+Inputs!$B$27+Inputs!$B$29,MAX(0,(Inputs!$B$3-100)*3)+Inputs!$B$28+Inputs!$B$29)))</f>
        <v/>
      </c>
      <c r="E2892">
        <f>INDEX(FactorTable!$B$2:$Y$301, MATCH(ROUND(MIN(300,MAX(1,D2892)),0), FactorTable!$A$2:$A$301,0), Skills!M22+1)</f>
        <v/>
      </c>
      <c r="F2892">
        <f>IF(Skills!N22=TRUE,(Skills!L22/10)*(E2892/1000),Skills!L22/10)+Skills!O22</f>
        <v/>
      </c>
      <c r="G2892">
        <f>Skills!G22*IF(Skills!H22&gt;0,Skills!I22/Skills!H22,1)</f>
        <v/>
      </c>
      <c r="H2892">
        <f>1-(1-Skills!J22/100)^Skills!K22</f>
        <v/>
      </c>
      <c r="I2892" t="inlineStr">
        <is>
          <t>1</t>
        </is>
      </c>
      <c r="J2892" t="inlineStr"/>
      <c r="K2892" t="inlineStr"/>
      <c r="L2892" t="inlineStr"/>
      <c r="M2892" t="inlineStr"/>
      <c r="N2892" t="inlineStr"/>
      <c r="O2892">
        <f>(1-Summary!$B$11)*T2892+Summary!$B$11*V2892</f>
        <v/>
      </c>
      <c r="P2892">
        <f>IF(B2915=0,0,O2892/B2915)</f>
        <v/>
      </c>
      <c r="Q2892" t="n">
        <v>0</v>
      </c>
      <c r="R2892" t="n">
        <v>0</v>
      </c>
      <c r="S2892">
        <f>IFERROR(O2892/N2892,0)</f>
        <v/>
      </c>
      <c r="T2892" t="n">
        <v>0</v>
      </c>
      <c r="V2892" t="n">
        <v>0</v>
      </c>
    </row>
    <row r="2893">
      <c r="A2893">
        <f>Skills!A23</f>
        <v/>
      </c>
      <c r="B2893">
        <f>Skills!B23</f>
        <v/>
      </c>
      <c r="C2893">
        <f>Inputs!$B$3&gt;=40</f>
        <v/>
      </c>
      <c r="D2893">
        <f>IF(Skills!C23=1,60+Inputs!$B$25+Inputs!$B$29,IF(Skills!C23=2,90+Inputs!$B$26+Inputs!$B$29,IF(Skills!C23=3,120+Inputs!$B$27+Inputs!$B$29,MAX(0,(Inputs!$B$3-100)*3)+Inputs!$B$28+Inputs!$B$29)))</f>
        <v/>
      </c>
      <c r="E2893">
        <f>INDEX(FactorTable!$B$2:$Y$301, MATCH(ROUND(MIN(300,MAX(1,D2893)),0), FactorTable!$A$2:$A$301,0), Skills!M23+1)</f>
        <v/>
      </c>
      <c r="F2893">
        <f>IF(Skills!N23=TRUE,(Skills!L23/10)*(E2893/1000),Skills!L23/10)+Skills!O23</f>
        <v/>
      </c>
      <c r="G2893">
        <f>Skills!G23*IF(Skills!H23&gt;0,Skills!I23/Skills!H23,1)</f>
        <v/>
      </c>
      <c r="H2893">
        <f>1-(1-Skills!J23/100)^Skills!K23</f>
        <v/>
      </c>
      <c r="I2893" t="inlineStr">
        <is>
          <t>1</t>
        </is>
      </c>
      <c r="J2893" t="inlineStr"/>
      <c r="K2893" t="inlineStr"/>
      <c r="L2893" t="inlineStr"/>
      <c r="M2893" t="inlineStr"/>
      <c r="N2893" t="inlineStr"/>
      <c r="O2893">
        <f>(1-Summary!$B$11)*T2893+Summary!$B$11*V2893</f>
        <v/>
      </c>
      <c r="P2893">
        <f>IF(B2915=0,0,O2893/B2915)</f>
        <v/>
      </c>
      <c r="Q2893" t="n">
        <v>0</v>
      </c>
      <c r="R2893" t="n">
        <v>0</v>
      </c>
      <c r="S2893">
        <f>IFERROR(O2893/N2893,0)</f>
        <v/>
      </c>
      <c r="T2893" t="n">
        <v>0</v>
      </c>
      <c r="V2893" t="n">
        <v>0</v>
      </c>
    </row>
    <row r="2894">
      <c r="A2894">
        <f>Skills!A24</f>
        <v/>
      </c>
      <c r="B2894">
        <f>Skills!B24</f>
        <v/>
      </c>
      <c r="C2894">
        <f>Inputs!$B$3&gt;=43</f>
        <v/>
      </c>
      <c r="D2894">
        <f>IF(Skills!C24=1,60+Inputs!$B$25+Inputs!$B$29,IF(Skills!C24=2,90+Inputs!$B$26+Inputs!$B$29,IF(Skills!C24=3,120+Inputs!$B$27+Inputs!$B$29,MAX(0,(Inputs!$B$3-100)*3)+Inputs!$B$28+Inputs!$B$29)))</f>
        <v/>
      </c>
      <c r="E2894">
        <f>INDEX(FactorTable!$B$2:$Y$301, MATCH(ROUND(MIN(300,MAX(1,D2894)),0), FactorTable!$A$2:$A$301,0), Skills!M24+1)</f>
        <v/>
      </c>
      <c r="F2894">
        <f>IF(Skills!N24=TRUE,(Skills!L24/10)*(E2894/1000),Skills!L24/10)+Skills!O24</f>
        <v/>
      </c>
      <c r="G2894">
        <f>Skills!G24*IF(Skills!H24&gt;0,Skills!I24/Skills!H24,1)</f>
        <v/>
      </c>
      <c r="H2894">
        <f>1-(1-Skills!J24/100)^Skills!K24</f>
        <v/>
      </c>
      <c r="I2894" t="inlineStr">
        <is>
          <t>1</t>
        </is>
      </c>
      <c r="J2894" t="inlineStr"/>
      <c r="K2894" t="inlineStr"/>
      <c r="L2894" t="inlineStr"/>
      <c r="M2894" t="inlineStr"/>
      <c r="N2894" t="inlineStr"/>
      <c r="O2894">
        <f>(1-Summary!$B$11)*T2894+Summary!$B$11*V2894</f>
        <v/>
      </c>
      <c r="P2894">
        <f>IF(B2915=0,0,O2894/B2915)</f>
        <v/>
      </c>
      <c r="Q2894" t="n">
        <v>0</v>
      </c>
      <c r="R2894" t="n">
        <v>0</v>
      </c>
      <c r="S2894">
        <f>IFERROR(O2894/N2894,0)</f>
        <v/>
      </c>
      <c r="T2894" t="n">
        <v>0</v>
      </c>
      <c r="V2894" t="n">
        <v>0</v>
      </c>
    </row>
    <row r="2895">
      <c r="A2895">
        <f>Skills!A25</f>
        <v/>
      </c>
      <c r="B2895">
        <f>Skills!B25</f>
        <v/>
      </c>
      <c r="C2895">
        <f>Inputs!$B$3&gt;=50</f>
        <v/>
      </c>
      <c r="D2895">
        <f>IF(Skills!C25=1,60+Inputs!$B$25+Inputs!$B$29,IF(Skills!C25=2,90+Inputs!$B$26+Inputs!$B$29,IF(Skills!C25=3,120+Inputs!$B$27+Inputs!$B$29,MAX(0,(Inputs!$B$3-100)*3)+Inputs!$B$28+Inputs!$B$29)))</f>
        <v/>
      </c>
      <c r="E2895">
        <f>INDEX(FactorTable!$B$2:$Y$301, MATCH(ROUND(MIN(300,MAX(1,D2895)),0), FactorTable!$A$2:$A$301,0), Skills!M25+1)</f>
        <v/>
      </c>
      <c r="F2895">
        <f>IF(Skills!N25=TRUE,(Skills!L25/10)*(E2895/1000),Skills!L25/10)+Skills!O25</f>
        <v/>
      </c>
      <c r="G2895">
        <f>Skills!G25*IF(Skills!H25&gt;0,Skills!I25/Skills!H25,1)</f>
        <v/>
      </c>
      <c r="H2895">
        <f>1-(1-Skills!J25/100)^Skills!K25</f>
        <v/>
      </c>
      <c r="I2895" t="inlineStr">
        <is>
          <t>1</t>
        </is>
      </c>
      <c r="J2895" t="inlineStr"/>
      <c r="K2895" t="inlineStr"/>
      <c r="L2895" t="inlineStr"/>
      <c r="M2895" t="inlineStr"/>
      <c r="N2895" t="inlineStr"/>
      <c r="O2895">
        <f>(1-Summary!$B$11)*T2895+Summary!$B$11*V2895</f>
        <v/>
      </c>
      <c r="P2895">
        <f>IF(B2915=0,0,O2895/B2915)</f>
        <v/>
      </c>
      <c r="Q2895" t="n">
        <v>0</v>
      </c>
      <c r="R2895" t="n">
        <v>0</v>
      </c>
      <c r="S2895">
        <f>IFERROR(O2895/N2895,0)</f>
        <v/>
      </c>
      <c r="T2895" t="n">
        <v>0</v>
      </c>
      <c r="V2895" t="n">
        <v>0</v>
      </c>
    </row>
    <row r="2896">
      <c r="A2896">
        <f>Skills!A26</f>
        <v/>
      </c>
      <c r="B2896">
        <f>Skills!B26</f>
        <v/>
      </c>
      <c r="C2896">
        <f>Inputs!$B$3&gt;=50</f>
        <v/>
      </c>
      <c r="D2896">
        <f>IF(Skills!C26=1,60+Inputs!$B$25+Inputs!$B$29,IF(Skills!C26=2,90+Inputs!$B$26+Inputs!$B$29,IF(Skills!C26=3,120+Inputs!$B$27+Inputs!$B$29,MAX(0,(Inputs!$B$3-100)*3)+Inputs!$B$28+Inputs!$B$29)))</f>
        <v/>
      </c>
      <c r="E2896">
        <f>INDEX(FactorTable!$B$2:$Y$301, MATCH(ROUND(MIN(300,MAX(1,D2896)),0), FactorTable!$A$2:$A$301,0), Skills!M26+1)</f>
        <v/>
      </c>
      <c r="F2896">
        <f>IF(Skills!N26=TRUE,(Skills!L26/10)*(E2896/1000),Skills!L26/10)+Skills!O26</f>
        <v/>
      </c>
      <c r="G2896">
        <f>Skills!G26*IF(Skills!H26&gt;0,Skills!I26/Skills!H26,1)</f>
        <v/>
      </c>
      <c r="H2896">
        <f>1-(1-Skills!J26/100)^Skills!K26</f>
        <v/>
      </c>
      <c r="I2896" t="inlineStr">
        <is>
          <t>1</t>
        </is>
      </c>
      <c r="J2896" t="inlineStr"/>
      <c r="K2896" t="inlineStr"/>
      <c r="L2896" t="inlineStr"/>
      <c r="M2896" t="inlineStr"/>
      <c r="N2896" t="inlineStr"/>
      <c r="O2896">
        <f>(1-Summary!$B$11)*T2896+Summary!$B$11*V2896</f>
        <v/>
      </c>
      <c r="P2896">
        <f>IF(B2915=0,0,O2896/B2915)</f>
        <v/>
      </c>
      <c r="Q2896" t="n">
        <v>0</v>
      </c>
      <c r="R2896" t="n">
        <v>0</v>
      </c>
      <c r="S2896">
        <f>IFERROR(O2896/N2896,0)</f>
        <v/>
      </c>
      <c r="T2896" t="n">
        <v>0</v>
      </c>
      <c r="V2896" t="n">
        <v>0</v>
      </c>
    </row>
    <row r="2897">
      <c r="A2897">
        <f>Skills!A27</f>
        <v/>
      </c>
      <c r="B2897">
        <f>Skills!B27</f>
        <v/>
      </c>
      <c r="C2897">
        <f>Inputs!$B$3&gt;=38</f>
        <v/>
      </c>
      <c r="D2897">
        <f>IF(Skills!C27=1,60+Inputs!$B$25+Inputs!$B$29,IF(Skills!C27=2,90+Inputs!$B$26+Inputs!$B$29,IF(Skills!C27=3,120+Inputs!$B$27+Inputs!$B$29,MAX(0,(Inputs!$B$3-100)*3)+Inputs!$B$28+Inputs!$B$29)))</f>
        <v/>
      </c>
      <c r="E2897">
        <f>INDEX(FactorTable!$B$2:$Y$301, MATCH(ROUND(MIN(300,MAX(1,D2897)),0), FactorTable!$A$2:$A$301,0), Skills!M27+1)</f>
        <v/>
      </c>
      <c r="F2897">
        <f>IF(Skills!N27=TRUE,(Skills!L27/10)*(E2897/1000),Skills!L27/10)+Skills!O27</f>
        <v/>
      </c>
      <c r="G2897">
        <f>Skills!G27*IF(Skills!H27&gt;0,Skills!I27/Skills!H27,1)</f>
        <v/>
      </c>
      <c r="H2897">
        <f>1-(1-Skills!J27/100)^Skills!K27</f>
        <v/>
      </c>
      <c r="I2897" t="inlineStr">
        <is>
          <t>1</t>
        </is>
      </c>
      <c r="J2897" t="inlineStr"/>
      <c r="K2897" t="inlineStr"/>
      <c r="L2897" t="inlineStr"/>
      <c r="M2897" t="inlineStr"/>
      <c r="N2897" t="inlineStr"/>
      <c r="O2897">
        <f>(1-Summary!$B$11)*T2897+Summary!$B$11*V2897</f>
        <v/>
      </c>
      <c r="P2897">
        <f>IF(B2915=0,0,O2897/B2915)</f>
        <v/>
      </c>
      <c r="Q2897" t="n">
        <v>0</v>
      </c>
      <c r="R2897" t="n">
        <v>0</v>
      </c>
      <c r="S2897">
        <f>IFERROR(O2897/N2897,0)</f>
        <v/>
      </c>
      <c r="T2897" t="n">
        <v>0</v>
      </c>
      <c r="V2897" t="n">
        <v>0</v>
      </c>
    </row>
    <row r="2898">
      <c r="A2898">
        <f>Skills!A28</f>
        <v/>
      </c>
      <c r="B2898">
        <f>Skills!B28</f>
        <v/>
      </c>
      <c r="C2898">
        <f>Inputs!$B$3&gt;=120</f>
        <v/>
      </c>
      <c r="D2898">
        <f>IF(Skills!C28=1,60+Inputs!$B$25+Inputs!$B$29,IF(Skills!C28=2,90+Inputs!$B$26+Inputs!$B$29,IF(Skills!C28=3,120+Inputs!$B$27+Inputs!$B$29,MAX(0,(Inputs!$B$3-100)*3)+Inputs!$B$28+Inputs!$B$29)))</f>
        <v/>
      </c>
      <c r="E2898">
        <f>INDEX(FactorTable!$B$2:$Y$301, MATCH(ROUND(MIN(300,MAX(1,D2898)),0), FactorTable!$A$2:$A$301,0), Skills!M28+1)</f>
        <v/>
      </c>
      <c r="F2898">
        <f>IF(Skills!N28=TRUE,(Skills!L28/10)*(E2898/1000),Skills!L28/10)+Skills!O28</f>
        <v/>
      </c>
      <c r="G2898">
        <f>Skills!G28*IF(Skills!H28&gt;0,Skills!I28/Skills!H28,1)</f>
        <v/>
      </c>
      <c r="H2898">
        <f>1-(1-Skills!J28/100)^Skills!K28</f>
        <v/>
      </c>
      <c r="I2898" t="inlineStr">
        <is>
          <t>1</t>
        </is>
      </c>
      <c r="J2898" t="inlineStr"/>
      <c r="K2898" t="inlineStr"/>
      <c r="L2898" t="inlineStr"/>
      <c r="M2898" t="inlineStr"/>
      <c r="N2898" t="inlineStr"/>
      <c r="O2898">
        <f>(1-Summary!$B$11)*T2898+Summary!$B$11*V2898</f>
        <v/>
      </c>
      <c r="P2898">
        <f>IF(B2915=0,0,O2898/B2915)</f>
        <v/>
      </c>
      <c r="Q2898" t="n">
        <v>0</v>
      </c>
      <c r="R2898" t="n">
        <v>0</v>
      </c>
      <c r="S2898">
        <f>IFERROR(O2898/N2898,0)</f>
        <v/>
      </c>
      <c r="T2898" t="n">
        <v>0</v>
      </c>
      <c r="V2898" t="n">
        <v>0</v>
      </c>
    </row>
    <row r="2899">
      <c r="A2899">
        <f>Skills!A29</f>
        <v/>
      </c>
      <c r="B2899">
        <f>Skills!B29</f>
        <v/>
      </c>
      <c r="C2899">
        <f>Inputs!$B$3&gt;=120</f>
        <v/>
      </c>
      <c r="D2899">
        <f>IF(Skills!C29=1,60+Inputs!$B$25+Inputs!$B$29,IF(Skills!C29=2,90+Inputs!$B$26+Inputs!$B$29,IF(Skills!C29=3,120+Inputs!$B$27+Inputs!$B$29,MAX(0,(Inputs!$B$3-100)*3)+Inputs!$B$28+Inputs!$B$29)))</f>
        <v/>
      </c>
      <c r="E2899">
        <f>INDEX(FactorTable!$B$2:$Y$301, MATCH(ROUND(MIN(300,MAX(1,D2899)),0), FactorTable!$A$2:$A$301,0), Skills!M29+1)</f>
        <v/>
      </c>
      <c r="F2899">
        <f>IF(Skills!N29=TRUE,(Skills!L29/10)*(E2899/1000),Skills!L29/10)+Skills!O29</f>
        <v/>
      </c>
      <c r="G2899">
        <f>Skills!G29*IF(Skills!H29&gt;0,Skills!I29/Skills!H29,1)</f>
        <v/>
      </c>
      <c r="H2899">
        <f>1-(1-Skills!J29/100)^Skills!K29</f>
        <v/>
      </c>
      <c r="I2899" t="inlineStr">
        <is>
          <t>1</t>
        </is>
      </c>
      <c r="J2899" t="inlineStr"/>
      <c r="K2899" t="inlineStr"/>
      <c r="L2899" t="inlineStr"/>
      <c r="M2899" t="inlineStr"/>
      <c r="N2899" t="inlineStr"/>
      <c r="O2899">
        <f>(1-Summary!$B$11)*T2899+Summary!$B$11*V2899</f>
        <v/>
      </c>
      <c r="P2899">
        <f>IF(B2915=0,0,O2899/B2915)</f>
        <v/>
      </c>
      <c r="Q2899" t="n">
        <v>0</v>
      </c>
      <c r="R2899" t="n">
        <v>0</v>
      </c>
      <c r="S2899">
        <f>IFERROR(O2899/N2899,0)</f>
        <v/>
      </c>
      <c r="T2899" t="n">
        <v>0</v>
      </c>
      <c r="V2899" t="n">
        <v>0</v>
      </c>
    </row>
    <row r="2900">
      <c r="A2900">
        <f>Skills!A30</f>
        <v/>
      </c>
      <c r="B2900">
        <f>Skills!B30</f>
        <v/>
      </c>
      <c r="C2900">
        <f>Inputs!$B$3&gt;=125</f>
        <v/>
      </c>
      <c r="D2900">
        <f>IF(Skills!C30=1,60+Inputs!$B$25+Inputs!$B$29,IF(Skills!C30=2,90+Inputs!$B$26+Inputs!$B$29,IF(Skills!C30=3,120+Inputs!$B$27+Inputs!$B$29,MAX(0,(Inputs!$B$3-100)*3)+Inputs!$B$28+Inputs!$B$29)))</f>
        <v/>
      </c>
      <c r="E2900">
        <f>INDEX(FactorTable!$B$2:$Y$301, MATCH(ROUND(MIN(300,MAX(1,D2900)),0), FactorTable!$A$2:$A$301,0), Skills!M30+1)</f>
        <v/>
      </c>
      <c r="F2900">
        <f>IF(Skills!N30=TRUE,(Skills!L30/10)*(E2900/1000),Skills!L30/10)+Skills!O30</f>
        <v/>
      </c>
      <c r="G2900">
        <f>Skills!G30*IF(Skills!H30&gt;0,Skills!I30/Skills!H30,1)</f>
        <v/>
      </c>
      <c r="H2900">
        <f>1-(1-Skills!J30/100)^Skills!K30</f>
        <v/>
      </c>
      <c r="I2900" t="inlineStr">
        <is>
          <t>1</t>
        </is>
      </c>
      <c r="J2900" t="inlineStr"/>
      <c r="K2900" t="inlineStr"/>
      <c r="L2900" t="inlineStr"/>
      <c r="M2900" t="inlineStr"/>
      <c r="N2900" t="inlineStr"/>
      <c r="O2900">
        <f>(1-Summary!$B$11)*T2900+Summary!$B$11*V2900</f>
        <v/>
      </c>
      <c r="P2900">
        <f>IF(B2915=0,0,O2900/B2915)</f>
        <v/>
      </c>
      <c r="Q2900" t="n">
        <v>0</v>
      </c>
      <c r="R2900" t="n">
        <v>0</v>
      </c>
      <c r="S2900">
        <f>IFERROR(O2900/N2900,0)</f>
        <v/>
      </c>
      <c r="T2900" t="n">
        <v>0</v>
      </c>
      <c r="V2900" t="n">
        <v>0</v>
      </c>
    </row>
    <row r="2902">
      <c r="A2902" t="inlineStr">
        <is>
          <t>Average Buff Multiplier</t>
        </is>
      </c>
      <c r="B2902">
        <f>(1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f>
        <v/>
      </c>
    </row>
    <row r="2903">
      <c r="A2903" t="inlineStr">
        <is>
          <t>Global Crit Rate Bonus %</t>
        </is>
      </c>
      <c r="B2903">
        <f>((C2890=TRUE)*F2890*IF(AND(Inputs!$B$39&lt;&gt;"pvp",Inputs!$B$44&gt;0),(((R2890-1)*(Skills!Y20*(1+Inputs!$B$34/100))+MIN((Skills!Y20*(1+Inputs!$B$34/100)),MAX(0,Inputs!$B$44-((R2890-1)*Skills!D20))))/Inputs!$B$44),IF(Inputs!$B$39="pvp",MIN((Skills!Y20*(1+Inputs!$B$34/100)),15)/15,(Skills!Y20*(1+Inputs!$B$34/100))/Skills!D20)))</f>
        <v/>
      </c>
    </row>
    <row r="2904">
      <c r="A2904" t="inlineStr">
        <is>
          <t>Global Monster Damage-Taken Bonus %</t>
        </is>
      </c>
      <c r="B2904">
        <f>IF(Inputs!$B$3&gt;=82,15,0)</f>
        <v/>
      </c>
    </row>
    <row r="2905">
      <c r="A2905" t="inlineStr">
        <is>
          <t>Shadow Partner Average Multiplier</t>
        </is>
      </c>
      <c r="B2905">
        <f>1+((C2877=TRUE)*F2877*(1+3.3333333333333335*IF(C2888=TRUE,F2888,0)/100)*I2877*Skills!J7/100)/100</f>
        <v/>
      </c>
    </row>
    <row r="2906">
      <c r="A2906" t="inlineStr">
        <is>
          <t>Attack Speed Buff Bonus %</t>
        </is>
      </c>
      <c r="B2906">
        <f>((C2889=TRUE)*F2889*IF(AND(Inputs!$B$39&lt;&gt;"pvp",Inputs!$B$44&gt;0),(((R2889-1)*(Skills!Y19*(1+Inputs!$B$34/100))+MIN((Skills!Y19*(1+Inputs!$B$34/100)),MAX(0,Inputs!$B$44-((R2889-1)*Skills!D19))))/Inputs!$B$44),IF(Inputs!$B$39="pvp",MIN((Skills!Y19*(1+Inputs!$B$34/100)),15)/15,(Skills!Y19*(1+Inputs!$B$34/100))/Skills!D19)))+((C2873=TRUE)*F2873*3)</f>
        <v/>
      </c>
    </row>
    <row r="2907">
      <c r="A2907" t="inlineStr">
        <is>
          <t>Actions Per Second</t>
        </is>
      </c>
      <c r="B2907">
        <f>1+MIN(150,150*(1-(1-(Inputs!$B$11+((C2892=TRUE)*(F2892-Calc!F22)))/150)*(1-B2906/150)))/100</f>
        <v/>
      </c>
    </row>
    <row r="2908">
      <c r="A2908" t="inlineStr">
        <is>
          <t>Skill + Buff Cast Rate</t>
        </is>
      </c>
      <c r="B2908">
        <f>IF(AND(Inputs!$B$39&lt;&gt;"pvp",Inputs!$B$44&gt;0),SUMPRODUCT((Skills!E2:E30=TRUE)*(C2872:C2900=TRUE)*R2872:R2900*Skills!F2:F30)/Inputs!$B$44,SUMPRODUCT((Skills!E2:E30=TRUE)*(C2872:C2900=TRUE)*Q2872:Q2900*Skills!F2:F30))</f>
        <v/>
      </c>
    </row>
    <row r="2909">
      <c r="A2909" t="inlineStr">
        <is>
          <t>Cruel Stab Casts Per Second</t>
        </is>
      </c>
      <c r="B2909">
        <f>MAX(0,B2907-B2908)</f>
        <v/>
      </c>
    </row>
    <row r="2910">
      <c r="A2910" t="inlineStr">
        <is>
          <t>Global Critical Damage Bonus % (Smokescreen Mastery Lv.113)</t>
        </is>
      </c>
      <c r="B2910">
        <f>IF(Inputs!$B$3&gt;=113,30,0)*IF(AND(Inputs!$B$39&lt;&gt;"pvp",Inputs!$B$44&gt;0),(((R2885-1)*(Skills!Y15*(1+Inputs!$B$34/100))+MIN((Skills!Y15*(1+Inputs!$B$34/100)),MAX(0,Inputs!$B$44-((R2885-1)*Skills!D15))))/Inputs!$B$44),IF(Inputs!$B$39="pvp",MIN((Skills!Y15*(1+Inputs!$B$34/100)),15)/15,(Skills!Y15*(1+Inputs!$B$34/100))/Skills!D15))</f>
        <v/>
      </c>
    </row>
    <row r="2911">
      <c r="A2911" t="inlineStr">
        <is>
          <t>Meso Explosion average stack count</t>
        </is>
      </c>
      <c r="B2911">
        <f>MIN(10,0.5*B2907*Skills!D4)</f>
        <v/>
      </c>
    </row>
    <row r="2912">
      <c r="A2912" t="inlineStr">
        <is>
          <t>Blood Money average stack count</t>
        </is>
      </c>
      <c r="B2912">
        <f>MIN(5,0.25*B2907*Skills!D4)</f>
        <v/>
      </c>
    </row>
    <row r="2913">
      <c r="A2913" t="inlineStr">
        <is>
          <t>Assassinate Murderous Intent Multiplier</t>
        </is>
      </c>
      <c r="B2913">
        <f>1+IFERROR(MIN(1,Q2884*2/Q2881),0)</f>
        <v/>
      </c>
    </row>
    <row r="2914">
      <c r="A2914" t="inlineStr">
        <is>
          <t>Buff-Casting Startup Delay (s, fixed-duration only)</t>
        </is>
      </c>
      <c r="B2914">
        <f>IF(AND(Inputs!$B$39&lt;&gt;"pvp",Inputs!$B$44&gt;0),SUMPRODUCT((Skills!Y2:Y30&gt;0)*(Skills!E2:E30=TRUE)*(C2872:C2900=TRUE))/B2907,0)</f>
        <v/>
      </c>
    </row>
    <row r="2915">
      <c r="A2915" s="6" t="inlineStr">
        <is>
          <t>TOTAL DPS</t>
        </is>
      </c>
      <c r="B2915" s="6">
        <f>SUM(O2872:O2900)</f>
        <v/>
      </c>
    </row>
    <row r="2916">
      <c r="A2916" t="inlineStr">
        <is>
          <t>Boss-Only Total DPS (this block's swept value)</t>
        </is>
      </c>
      <c r="B2916">
        <f>SUM(T2872:T2900)</f>
        <v/>
      </c>
    </row>
    <row r="2917">
      <c r="A2917" t="inlineStr">
        <is>
          <t>Normal-Only Total DPS (this block's swept value)</t>
        </is>
      </c>
      <c r="B2917">
        <f>SUM(V2872:V2900)</f>
        <v/>
      </c>
    </row>
    <row r="2920">
      <c r="A2920" s="6" t="inlineStr">
        <is>
          <t>Stat: Alliance Badge (Equip)</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2922)</f>
        <v/>
      </c>
      <c r="L2922">
        <f>K2922*(MIN(Inputs!$B$22+((C2944=TRUE)*(F2944-Calc!F24)),(Inputs!$B$23+((C2949=TRUE)*(F2949-Calc!F29))+IF(ArtifactsInput!$M$15,CHOOSE(ArtifactsInput!$N$15+1,25,30,35,40,45,50)/100*(Inputs!$B$11-Inputs!$B$11),0)))/100+(Inputs!$B$23+((C2949=TRUE)*(F2949-Calc!F29))+IF(ArtifactsInput!$M$15,CHOOSE(ArtifactsInput!$N$15+1,25,30,35,40,45,50)/100*(Inputs!$B$11-Inputs!$B$11),0))/100)/2</f>
        <v/>
      </c>
      <c r="M2922">
        <f>L2922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IF(B2965=0,0,O2922/B2965)</f>
        <v/>
      </c>
      <c r="Q2922" t="n">
        <v>0</v>
      </c>
      <c r="R2922" t="n">
        <v>0</v>
      </c>
      <c r="S2922">
        <f>IFERROR(O2922/N2922,0)</f>
        <v/>
      </c>
      <c r="T2922">
        <f>IF(C2922,(Skills!G2*N2922*B2959)*IF(Inputs!$B$39="pvp",1,1+(Inputs!$B$20+0+Skills!P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2922*(1-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2">
        <f>MAX(0,(Inputs!$B$3-100)*3)+Inputs!$B$28+Inputs!$B$29</f>
        <v/>
      </c>
      <c r="V2922">
        <f>IF(C2922,(Skills!G2*N2922*B2959)*IF(Inputs!$B$39="pvp",1,(1+(Inputs!$B$21+Skills!Q2+B2954+(IF(ArtifactsInput!$M$33,CHOOSE(ArtifactsInput!$N$33+1,30,36,42,48,54,60),0))+(IF(AND(ArtifactsInput!$M$35,Inputs!$B$4&lt;&gt;"Chapter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Skills!A3</f>
        <v/>
      </c>
      <c r="B2923">
        <f>Skills!B3</f>
        <v/>
      </c>
      <c r="C2923">
        <f>Inputs!$B$3&gt;=35</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f>Skills!G3*IF(Skills!H3&gt;0,Skills!I3/Skills!H3,1)</f>
        <v/>
      </c>
      <c r="H2923">
        <f>1-(1-Skills!J3/100)^Skills!K3</f>
        <v/>
      </c>
      <c r="I2923" t="inlineStr">
        <is>
          <t>1</t>
        </is>
      </c>
      <c r="J2923" t="inlineStr"/>
      <c r="K2923" t="inlineStr"/>
      <c r="L2923" t="inlineStr"/>
      <c r="M2923" t="inlineStr"/>
      <c r="N2923" t="inlineStr"/>
      <c r="O2923">
        <f>(1-Summary!$B$11)*T2923+Summary!$B$11*V2923</f>
        <v/>
      </c>
      <c r="P2923">
        <f>IF(B2965=0,0,O2923/B2965)</f>
        <v/>
      </c>
      <c r="Q2923" t="n">
        <v>0</v>
      </c>
      <c r="R2923" t="n">
        <v>0</v>
      </c>
      <c r="S2923">
        <f>IFERROR(O2923/N2923,0)</f>
        <v/>
      </c>
      <c r="T2923" t="n">
        <v>0</v>
      </c>
      <c r="U2923">
        <f>INDEX(FactorTable!$B$2:$Y$301, MATCH(ROUND(MIN(300,MAX(1,U2922)),0), FactorTable!$A$2:$A$301,0), 22)</f>
        <v/>
      </c>
      <c r="V2923" t="n">
        <v>0</v>
      </c>
    </row>
    <row r="2924">
      <c r="A2924">
        <f>Skills!A4</f>
        <v/>
      </c>
      <c r="B2924">
        <f>Skills!B4</f>
        <v/>
      </c>
      <c r="C2924">
        <f>Inputs!$B$3&gt;=66</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f>Skills!G4*IF(Skills!H4&gt;0,Skills!I4/Skills!H4,1)</f>
        <v/>
      </c>
      <c r="H2924">
        <f>1-(1-Skills!J4/100)^Skills!K4</f>
        <v/>
      </c>
      <c r="I2924" t="inlineStr">
        <is>
          <t>1</t>
        </is>
      </c>
      <c r="J2924">
        <f>((Inputs!$B$6*(1+Inputs!$B$7/100))+(((Inputs!$B$12*(1+Inputs!$B$13/100))-(Inputs!$B$12*(1+Inputs!$B$13/100)))+0.25*(Inputs!$B$14-Inputs!$B$14))*(1+Inputs!$B$7/100))*(F2924/100)</f>
        <v/>
      </c>
      <c r="K2924">
        <f>J2924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2924)</f>
        <v/>
      </c>
      <c r="L2924">
        <f>K2924*(MIN(Inputs!$B$22+((C2944=TRUE)*(F2944-Calc!F24)),(Inputs!$B$23+((C2949=TRUE)*(F2949-Calc!F29))+IF(ArtifactsInput!$M$15,CHOOSE(ArtifactsInput!$N$15+1,25,30,35,40,45,50)/100*(Inputs!$B$11-Inputs!$B$11),0)))/100+(Inputs!$B$23+((C2949=TRUE)*(F2949-Calc!F29))+IF(ArtifactsInput!$M$15,CHOOSE(ArtifactsInput!$N$15+1,25,30,35,40,45,50)/100*(Inputs!$B$11-Inputs!$B$11),0))/100)/2</f>
        <v/>
      </c>
      <c r="M2924">
        <f>L2924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IF(B2965=0,0,O2924/B2965)</f>
        <v/>
      </c>
      <c r="Q2924">
        <f>IFERROR(1/IF(Inputs!$B$39="pvp",15,MAX(0.1,Skills!D4-IF(Skills!E4=TRUE,Inputs!$B$32,0))),0)</f>
        <v/>
      </c>
      <c r="R2924">
        <f>IF(AND(Inputs!$B$39&lt;&gt;"pvp",Inputs!$B$44&gt;0),IF(MAX(0,Inputs!$B$44-B2964)&lt;=0,0,(INT(MAX(0,Inputs!$B$44-B2964)/IF(Inputs!$B$39="pvp",15,MAX(0.1,Skills!D4-IF(Skills!E4=TRUE,Inputs!$B$32,0))))+1)),0)</f>
        <v/>
      </c>
      <c r="S2924">
        <f>IFERROR(O2924/N2924,0)</f>
        <v/>
      </c>
      <c r="T2924">
        <f>IF(C2924,(H2924*N2924*IF(AND(Inputs!$B$39&lt;&gt;"pvp",Inputs!$B$44&gt;0),((Skills!G4*((R2924-1)*IF(Skills!H4&gt;0,Skills!I4/Skills!H4,1)+IF(Skills!H4&gt;0,MIN(Skills!I4,MAX(0,MAX(0,Inputs!$B$44-B2964)-((R2924-1)*IF(Inputs!$B$39="pvp",15,MAX(0.1,Skills!D4-IF(Skills!E4=TRUE,Inputs!$B$32,0))))))/Skills!H4,1)))/Inputs!$B$44),G2924*Q2924))*IF(Inputs!$B$39="pvp",1,1+(Inputs!$B$20+0+Skills!P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2924*(1-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4">
        <f>290*U2923/1000</f>
        <v/>
      </c>
      <c r="V2924">
        <f>IF(C2924,(H2924*N2924*IF(AND(Inputs!$B$39&lt;&gt;"pvp",Inputs!$B$44&gt;0),((Skills!G4*((R2924-1)*IF(Skills!H4&gt;0,Skills!I4/Skills!H4,1)+IF(Skills!H4&gt;0,MIN(Skills!I4,MAX(0,MAX(0,Inputs!$B$44-B2964)-((R2924-1)*IF(Inputs!$B$39="pvp",15,MAX(0.1,Skills!D4-IF(Skills!E4=TRUE,Inputs!$B$32,0))))))/Skills!H4,1)))/Inputs!$B$44),G2924*Q2924))*IF(Inputs!$B$39="pvp",1,(1+(Inputs!$B$21+Skills!Q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(10,0.5*B2957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Skills!A5</f>
        <v/>
      </c>
      <c r="B2925">
        <f>Skills!B5</f>
        <v/>
      </c>
      <c r="C2925">
        <f>Inputs!$B$3&gt;=63</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2938=TRUE,F2938,0)/100)*(1+(IF(Skills!A5="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2925)</f>
        <v/>
      </c>
      <c r="L2925">
        <f>K2925*(MIN(Inputs!$B$22+((C2944=TRUE)*(F2944-Calc!F24)),(Inputs!$B$23+((C2949=TRUE)*(F2949-Calc!F29))+IF(ArtifactsInput!$M$15,CHOOSE(ArtifactsInput!$N$15+1,25,30,35,40,45,50)/100*(Inputs!$B$11-Inputs!$B$11),0)))/100+(Inputs!$B$23+((C2949=TRUE)*(F2949-Calc!F29))+IF(ArtifactsInput!$M$15,CHOOSE(ArtifactsInput!$N$15+1,25,30,35,40,45,50)/100*(Inputs!$B$11-Inputs!$B$11),0))/100)/2</f>
        <v/>
      </c>
      <c r="M2925">
        <f>L2925*(1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5">
        <f>L2925*(1-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2925*(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5">
        <f>(1-Summary!$B$11)*T2925+Summary!$B$11*V2925</f>
        <v/>
      </c>
      <c r="P2925">
        <f>IF(B2965=0,0,O2925/B2965)</f>
        <v/>
      </c>
      <c r="Q2925">
        <f>IFERROR(1/IF(Inputs!$B$39="pvp",15,MAX(0.1,Skills!D5-IF(Skills!E5=TRUE,Inputs!$B$32,0))),0)</f>
        <v/>
      </c>
      <c r="R2925">
        <f>IF(AND(Inputs!$B$39&lt;&gt;"pvp",Inputs!$B$44&gt;0),IF(MAX(0,Inputs!$B$44-B2964)&lt;=0,0,(INT(MAX(0,Inputs!$B$44-B2964)/IF(Inputs!$B$39="pvp",15,MAX(0.1,Skills!D5-IF(Skills!E5=TRUE,Inputs!$B$32,0))))+1)),0)</f>
        <v/>
      </c>
      <c r="S2925">
        <f>IFERROR(O2925/N2925,0)</f>
        <v/>
      </c>
      <c r="T2925">
        <f>IF(C2925,(H2925*N2925*IF(AND(Inputs!$B$39&lt;&gt;"pvp",Inputs!$B$44&gt;0),((Skills!G5*((R2925-1)*IF(Skills!H5&gt;0,Skills!I5/Skills!H5,1)+IF(Skills!H5&gt;0,MIN(Skills!I5,MAX(0,MAX(0,Inputs!$B$44-B2964)-((R2925-1)*IF(Inputs!$B$39="pvp",15,MAX(0.1,Skills!D5-IF(Skills!E5=TRUE,Inputs!$B$32,0))))))/Skills!H5,1)))/Inputs!$B$44),G2925*Q2925))*IF(Inputs!$B$39="pvp",1,1+(Inputs!$B$20+0+Skills!P5+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2925*(1-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2925*(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2925*(1-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2925*(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5">
        <f>IF(C2925,(H2925*N2925*IF(AND(Inputs!$B$39&lt;&gt;"pvp",Inputs!$B$44&gt;0),((Skills!G5*((R2925-1)*IF(Skills!H5&gt;0,Skills!I5/Skills!H5,1)+IF(Skills!H5&gt;0,MIN(Skills!I5,MAX(0,MAX(0,Inputs!$B$44-B2964)-((R2925-1)*IF(Inputs!$B$39="pvp",15,MAX(0.1,Skills!D5-IF(Skills!E5=TRUE,Inputs!$B$32,0))))))/Skills!H5,1)))/Inputs!$B$44),G2925*Q2925))*IF(Inputs!$B$39="pvp",1,(1+(Inputs!$B$21+Skills!Q5+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6">
      <c r="A2926">
        <f>Skills!A6</f>
        <v/>
      </c>
      <c r="B2926">
        <f>Skills!B6</f>
        <v/>
      </c>
      <c r="C2926">
        <f>Inputs!$B$3&gt;=69</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6="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2926)</f>
        <v/>
      </c>
      <c r="L2926">
        <f>K2926*(MIN(Inputs!$B$22+((C2944=TRUE)*(F2944-Calc!F24)),(Inputs!$B$23+((C2949=TRUE)*(F2949-Calc!F29))+IF(ArtifactsInput!$M$15,CHOOSE(ArtifactsInput!$N$15+1,25,30,35,40,45,50)/100*(Inputs!$B$11-Inputs!$B$11),0)))/100+(Inputs!$B$23+((C2949=TRUE)*(F2949-Calc!F29))+IF(ArtifactsInput!$M$15,CHOOSE(ArtifactsInput!$N$15+1,25,30,35,40,45,50)/100*(Inputs!$B$11-Inputs!$B$11),0))/100)/2</f>
        <v/>
      </c>
      <c r="M2926">
        <f>L2926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IF(B2965=0,0,O2926/B2965)</f>
        <v/>
      </c>
      <c r="Q2926">
        <f>IFERROR(1/IF(Inputs!$B$39="pvp",15,MAX(0.1,Skills!D6-IF(Skills!E6=TRUE,Inputs!$B$32,0))),0)</f>
        <v/>
      </c>
      <c r="R2926">
        <f>IF(AND(Inputs!$B$39&lt;&gt;"pvp",Inputs!$B$44&gt;0),IF(MAX(0,Inputs!$B$44-B2964)&lt;=0,0,(INT(MAX(0,Inputs!$B$44-B2964)/IF(Inputs!$B$39="pvp",15,MAX(0.1,Skills!D6-IF(Skills!E6=TRUE,Inputs!$B$32,0))))+1)),0)</f>
        <v/>
      </c>
      <c r="S2926">
        <f>IFERROR(O2926/N2926,0)</f>
        <v/>
      </c>
      <c r="T2926">
        <f>IF(C2926,(H2926*N2926*IF(AND(Inputs!$B$39&lt;&gt;"pvp",Inputs!$B$44&gt;0),((Skills!G6*((R2926-1)*IF(Skills!H6&gt;0,Skills!I6/Skills!H6,1)+IF(Skills!H6&gt;0,MIN(Skills!I6,MAX(0,MAX(0,Inputs!$B$44-B2964)-((R2926-1)*IF(Inputs!$B$39="pvp",15,MAX(0.1,Skills!D6-IF(Skills!E6=TRUE,Inputs!$B$32,0))))))/Skills!H6,1)))/Inputs!$B$44),G2926*Q2926))*IF(Inputs!$B$39="pvp",1,1+(Inputs!$B$20+0+Skills!P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2926*(1-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6*((R2926-1)*IF(Skills!H6&gt;0,Skills!I6/Skills!H6,1)+IF(Skills!H6&gt;0,MIN(Skills!I6,MAX(0,MAX(0,Inputs!$B$44-B2964)-((R2926-1)*IF(Inputs!$B$39="pvp",15,MAX(0.1,Skills!D6-IF(Skills!E6=TRUE,Inputs!$B$32,0))))))/Skills!H6,1)))/Inputs!$B$44),G2926*Q2926))*IF(Inputs!$B$39="pvp",1,(1+(Inputs!$B$21+Skills!Q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Skills!A7</f>
        <v/>
      </c>
      <c r="B2927">
        <f>Skills!B7</f>
        <v/>
      </c>
      <c r="C2927">
        <f>Inputs!$B$3&gt;=60</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t="inlineStr"/>
      <c r="K2927" t="inlineStr"/>
      <c r="L2927" t="inlineStr"/>
      <c r="M2927" t="inlineStr"/>
      <c r="N2927" t="inlineStr"/>
      <c r="O2927">
        <f>(1-Summary!$B$11)*T2927+Summary!$B$11*V2927</f>
        <v/>
      </c>
      <c r="P2927">
        <f>IF(B2965=0,0,O2927/B2965)</f>
        <v/>
      </c>
      <c r="Q2927" t="n">
        <v>0</v>
      </c>
      <c r="R2927" t="n">
        <v>0</v>
      </c>
      <c r="S2927">
        <f>IFERROR(O2927/N2927,0)</f>
        <v/>
      </c>
      <c r="T2927" t="n">
        <v>0</v>
      </c>
      <c r="V2927" t="n">
        <v>0</v>
      </c>
    </row>
    <row r="2928">
      <c r="A2928">
        <f>Skills!A8</f>
        <v/>
      </c>
      <c r="B2928">
        <f>Skills!B8</f>
        <v/>
      </c>
      <c r="C2928">
        <f>Inputs!$B$3&gt;=72</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f>Skills!G8*IF(Skills!H8&gt;0,Skills!I8/Skills!H8,1)</f>
        <v/>
      </c>
      <c r="H2928">
        <f>1-(1-Skills!J8/100)^Skills!K8</f>
        <v/>
      </c>
      <c r="I2928" t="inlineStr">
        <is>
          <t>1</t>
        </is>
      </c>
      <c r="J2928">
        <f>((Inputs!$B$6*(1+Inputs!$B$7/100))+(((Inputs!$B$12*(1+Inputs!$B$13/100))-(Inputs!$B$12*(1+Inputs!$B$13/100)))+0.25*(Inputs!$B$14-Inputs!$B$14))*(1+Inputs!$B$7/100))*(F2928/100)</f>
        <v/>
      </c>
      <c r="K2928">
        <f>J2928*(1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2938=TRUE,F2938,0)/100)*(1+(IF(Skills!A8="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2928)</f>
        <v/>
      </c>
      <c r="L2928">
        <f>K2928*(MIN(Inputs!$B$22+((C2944=TRUE)*(F2944-Calc!F24)),(Inputs!$B$23+((C2949=TRUE)*(F2949-Calc!F29))+IF(ArtifactsInput!$M$15,CHOOSE(ArtifactsInput!$N$15+1,25,30,35,40,45,50)/100*(Inputs!$B$11-Inputs!$B$11),0)))/100+(Inputs!$B$23+((C2949=TRUE)*(F2949-Calc!F29))+IF(ArtifactsInput!$M$15,CHOOSE(ArtifactsInput!$N$15+1,25,30,35,40,45,50)/100*(Inputs!$B$11-Inputs!$B$11),0))/100)/2</f>
        <v/>
      </c>
      <c r="M2928">
        <f>L2928*(1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IF(B2965=0,0,O2928/B2965)</f>
        <v/>
      </c>
      <c r="Q2928">
        <f>IFERROR(1/IF(Inputs!$B$39="pvp",15,MAX(0.1,Skills!D8-IF(Skills!E8=TRUE,Inputs!$B$32,0))),0)</f>
        <v/>
      </c>
      <c r="R2928">
        <f>IF(AND(Inputs!$B$39&lt;&gt;"pvp",Inputs!$B$44&gt;0),IF(MAX(0,Inputs!$B$44-B2964)&lt;=0,0,(INT(MAX(0,Inputs!$B$44-B2964)/IF(Inputs!$B$39="pvp",15,MAX(0.1,Skills!D8-IF(Skills!E8=TRUE,Inputs!$B$32,0))))+1)),0)</f>
        <v/>
      </c>
      <c r="S2928">
        <f>IFERROR(O2928/N2928,0)</f>
        <v/>
      </c>
      <c r="T2928">
        <f>IF(C2928,(H2928*N2928*IF(AND(Inputs!$B$39&lt;&gt;"pvp",Inputs!$B$44&gt;0),((Skills!G8*((R2928-1)*IF(Skills!H8&gt;0,Skills!I8/Skills!H8,1)+IF(Skills!H8&gt;0,MIN(Skills!I8,MAX(0,MAX(0,Inputs!$B$44-B2964)-((R2928-1)*IF(Inputs!$B$39="pvp",15,MAX(0.1,Skills!D8-IF(Skills!E8=TRUE,Inputs!$B$32,0))))))/Skills!H8,1)))/Inputs!$B$44),G2928*Q2928))*IF(Inputs!$B$39="pvp",1,1+(Inputs!$B$20+0+Skills!P8+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2928*(1-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8*((R2928-1)*IF(Skills!H8&gt;0,Skills!I8/Skills!H8,1)+IF(Skills!H8&gt;0,MIN(Skills!I8,MAX(0,MAX(0,Inputs!$B$44-B2964)-((R2928-1)*IF(Inputs!$B$39="pvp",15,MAX(0.1,Skills!D8-IF(Skills!E8=TRUE,Inputs!$B$32,0))))))/Skills!H8,1)))/Inputs!$B$44),G2928*Q2928))*IF(Inputs!$B$39="pvp",1,(1+(Inputs!$B$21+Skills!Q8+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Skills!A9</f>
        <v/>
      </c>
      <c r="B2929">
        <f>Skills!B9</f>
        <v/>
      </c>
      <c r="C2929">
        <f>Inputs!$B$3&gt;=117</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2929)</f>
        <v/>
      </c>
      <c r="L2929">
        <f>K2929*(MIN(Inputs!$B$22+((C2944=TRUE)*(F2944-Calc!F24)),(Inputs!$B$23+((C2949=TRUE)*(F2949-Calc!F29))+IF(ArtifactsInput!$M$15,CHOOSE(ArtifactsInput!$N$15+1,25,30,35,40,45,50)/100*(Inputs!$B$11-Inputs!$B$11),0)))/100+(Inputs!$B$23+((C2949=TRUE)*(F2949-Calc!F29))+IF(ArtifactsInput!$M$15,CHOOSE(ArtifactsInput!$N$15+1,25,30,35,40,45,50)/100*(Inputs!$B$11-Inputs!$B$11),0))/100)/2</f>
        <v/>
      </c>
      <c r="M2929">
        <f>L2929*(1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9">
        <f>L2929*(1-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(1-Summary!$B$11)*T2929+Summary!$B$11*V2929</f>
        <v/>
      </c>
      <c r="P2929">
        <f>IF(B2965=0,0,O2929/B2965)</f>
        <v/>
      </c>
      <c r="Q2929" t="n">
        <v>0</v>
      </c>
      <c r="R2929" t="n">
        <v>0</v>
      </c>
      <c r="S2929" t="n">
        <v>0</v>
      </c>
      <c r="T2929">
        <f>IF(C2929,(0.2*SUMPRODUCT((Skills!Z2:Z30=TRUE)*(C2922:C2950=TRUE)*S2922:S2950)*N2929)*IF(Inputs!$B$39="pvp",1,1+(Inputs!$B$20+0+Skills!P9+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2929*(1-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9">
        <f>IF(C2929,(0.2*SUMPRODUCT((Skills!Z2:Z30=TRUE)*(C2922:C2950=TRUE)*S2922:S2950)*N2929)*IF(Inputs!$B$39="pvp",1,(1+(Inputs!$B$21+Skills!Q9+B2954+(IF(ArtifactsInput!$M$33,CHOOSE(ArtifactsInput!$N$33+1,30,36,42,48,54,60),0))+(IF(AND(ArtifactsInput!$M$35,Inputs!$B$4&lt;&gt;"Chapter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Skills!A10</f>
        <v/>
      </c>
      <c r="B2930">
        <f>Skills!B10</f>
        <v/>
      </c>
      <c r="C2930">
        <f>Inputs!$B$3&gt;=74</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t="inlineStr"/>
      <c r="K2930" t="inlineStr"/>
      <c r="L2930" t="inlineStr"/>
      <c r="M2930" t="inlineStr"/>
      <c r="N2930" t="inlineStr"/>
      <c r="O2930">
        <f>(1-Summary!$B$11)*T2930+Summary!$B$11*V2930</f>
        <v/>
      </c>
      <c r="P2930">
        <f>IF(B2965=0,0,O2930/B2965)</f>
        <v/>
      </c>
      <c r="Q2930">
        <f>IFERROR(1/IF(Inputs!$B$39="pvp",15,MAX(0.1,Skills!D10-IF(Skills!E10=TRUE,Inputs!$B$32,0))),0)</f>
        <v/>
      </c>
      <c r="R2930">
        <f>IF(AND(Inputs!$B$39&lt;&gt;"pvp",Inputs!$B$44&gt;0),IF(Inputs!$B$44&lt;=0,0,(INT(Inputs!$B$44/IF(Inputs!$B$39="pvp",15,MAX(0.1,Skills!D10-IF(Skills!E10=TRUE,Inputs!$B$32,0))))+1)),0)</f>
        <v/>
      </c>
      <c r="S2930">
        <f>IFERROR(O2930/N2930,0)</f>
        <v/>
      </c>
      <c r="T2930" t="n">
        <v>0</v>
      </c>
      <c r="V2930" t="n">
        <v>0</v>
      </c>
    </row>
    <row r="2931">
      <c r="A2931">
        <f>Skills!A11</f>
        <v/>
      </c>
      <c r="B2931">
        <f>Skills!B11</f>
        <v/>
      </c>
      <c r="C2931">
        <f>Inputs!$B$3&gt;=103</f>
        <v/>
      </c>
      <c r="D2931">
        <f>IF(Skills!C11=1,60+Inputs!$B$25+Inputs!$B$29,IF(Skills!C11=2,90+Inputs!$B$26+Inputs!$B$29,IF(Skills!C11=3,120+Inputs!$B$27+Inputs!$B$29,MAX(0,(Inputs!$B$3-100)*3)+Inputs!$B$28+Inputs!$B$29)))</f>
        <v/>
      </c>
      <c r="E2931">
        <f>INDEX(FactorTable!$B$2:$Y$301, MATCH(ROUND(MIN(300,MAX(1,D2931)),0), FactorTable!$A$2:$A$301,0), Skills!M11+1)</f>
        <v/>
      </c>
      <c r="F2931">
        <f>(Skills!L11/10)*(E2931/1000)+IF(Inputs!$B$3&gt;=134,50,0)+0.5*(30000/10)*(INDEX(FactorTable!$B$2:$Y$301, MATCH(ROUND(MIN(300,MAX(1,D2931)),0), FactorTable!$A$2:$A$301,0), 13)/1000)*B2963</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2931)</f>
        <v/>
      </c>
      <c r="L2931">
        <f>K2931*(MIN(Inputs!$B$22+((C2944=TRUE)*(F2944-Calc!F24)),(Inputs!$B$23+((C2949=TRUE)*(F2949-Calc!F29))+IF(ArtifactsInput!$M$15,CHOOSE(ArtifactsInput!$N$15+1,25,30,35,40,45,50)/100*(Inputs!$B$11-Inputs!$B$11),0)))/100+(Inputs!$B$23+((C2949=TRUE)*(F2949-Calc!F29))+IF(ArtifactsInput!$M$15,CHOOSE(ArtifactsInput!$N$15+1,25,30,35,40,45,50)/100*(Inputs!$B$11-Inputs!$B$11),0))/100)/2</f>
        <v/>
      </c>
      <c r="M2931">
        <f>L2931*(1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IF(B2965=0,0,O2931/B2965)</f>
        <v/>
      </c>
      <c r="Q2931">
        <f>IFERROR(1/IF(Inputs!$B$39="pvp",15,MAX(0.1,Skills!D11-IF(Skills!E11=TRUE,Inputs!$B$32,0))),0)</f>
        <v/>
      </c>
      <c r="R2931">
        <f>IF(AND(Inputs!$B$39&lt;&gt;"pvp",Inputs!$B$44&gt;0),IF(MAX(0,Inputs!$B$44-B2964)&lt;=0,0,(INT(MAX(0,Inputs!$B$44-B2964)/IF(Inputs!$B$39="pvp",15,MAX(0.1,Skills!D11-IF(Skills!E11=TRUE,Inputs!$B$32,0))))+1)),0)</f>
        <v/>
      </c>
      <c r="S2931">
        <f>IFERROR(O2931/N2931,0)</f>
        <v/>
      </c>
      <c r="T2931">
        <f>IF(C2931,(H2931*N2931*IF(AND(Inputs!$B$39&lt;&gt;"pvp",Inputs!$B$44&gt;0),((Skills!G11*((R2931-1)*IF(Skills!H11&gt;0,Skills!I11/Skills!H11,1)+IF(Skills!H11&gt;0,MIN(Skills!I11,MAX(0,MAX(0,Inputs!$B$44-B2964)-((R2931-1)*IF(Inputs!$B$39="pvp",15,MAX(0.1,Skills!D11-IF(Skills!E11=TRUE,Inputs!$B$32,0))))))/Skills!H11,1)))/Inputs!$B$44),G2931*Q2931))*IF(Inputs!$B$39="pvp",1,1+(Inputs!$B$20+0+Skills!P11+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2931*(1-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H2931*N2931*IF(AND(Inputs!$B$39&lt;&gt;"pvp",Inputs!$B$44&gt;0),((Skills!G11*((R2931-1)*IF(Skills!H11&gt;0,Skills!I11/Skills!H11,1)+IF(Skills!H11&gt;0,MIN(Skills!I11,MAX(0,MAX(0,Inputs!$B$44-B2964)-((R2931-1)*IF(Inputs!$B$39="pvp",15,MAX(0.1,Skills!D11-IF(Skills!E11=TRUE,Inputs!$B$32,0))))))/Skills!H11,1)))/Inputs!$B$44),G2931*Q2931))*IF(Inputs!$B$39="pvp",1,(1+(Inputs!$B$21+Skills!Q11+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Skills!A12</f>
        <v/>
      </c>
      <c r="B2932">
        <f>Skills!B12</f>
        <v/>
      </c>
      <c r="C2932">
        <f>Inputs!$B$3&gt;=105</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f>((Inputs!$B$6*(1+Inputs!$B$7/100))+(((Inputs!$B$12*(1+Inputs!$B$13/100))-(Inputs!$B$12*(1+Inputs!$B$13/100)))+0.25*(Inputs!$B$14-Inputs!$B$14))*(1+Inputs!$B$7/100))*(F2932/100)</f>
        <v/>
      </c>
      <c r="K2932">
        <f>J2932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2932)</f>
        <v/>
      </c>
      <c r="L2932">
        <f>K2932*(MIN(Inputs!$B$22+((C2944=TRUE)*(F2944-Calc!F24)),(Inputs!$B$23+((C2949=TRUE)*(F2949-Calc!F29))+IF(ArtifactsInput!$M$15,CHOOSE(ArtifactsInput!$N$15+1,25,30,35,40,45,50)/100*(Inputs!$B$11-Inputs!$B$11),0)))/100+(Inputs!$B$23+((C2949=TRUE)*(F2949-Calc!F29))+IF(ArtifactsInput!$M$15,CHOOSE(ArtifactsInput!$N$15+1,25,30,35,40,45,50)/100*(Inputs!$B$11-Inputs!$B$11),0))/100)/2</f>
        <v/>
      </c>
      <c r="M2932">
        <f>L2932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2">
        <f>L2932*(1-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2932*(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2">
        <f>(1-Summary!$B$11)*T2932+Summary!$B$11*V2932</f>
        <v/>
      </c>
      <c r="P2932">
        <f>IF(B2965=0,0,O2932/B2965)</f>
        <v/>
      </c>
      <c r="Q2932">
        <f>IFERROR(1/IF(Inputs!$B$39="pvp",15,MAX(0.1,Skills!D12-IF(Skills!E12=TRUE,Inputs!$B$32,0))),0)</f>
        <v/>
      </c>
      <c r="R2932">
        <f>IF(AND(Inputs!$B$39&lt;&gt;"pvp",Inputs!$B$44&gt;0),IF(MAX(0,Inputs!$B$44-B2964)&lt;=0,0,(INT(MAX(0,Inputs!$B$44-B2964)/IF(Inputs!$B$39="pvp",15,MAX(0.1,Skills!D12-IF(Skills!E12=TRUE,Inputs!$B$32,0))))+1)),0)</f>
        <v/>
      </c>
      <c r="S2932">
        <f>IFERROR(O2932/N2932,0)</f>
        <v/>
      </c>
      <c r="T2932">
        <f>IF(C2932,(H2932*N2932*IF(AND(Inputs!$B$39&lt;&gt;"pvp",Inputs!$B$44&gt;0),((Skills!G12*((R2932-1)*IF(Skills!H12&gt;0,Skills!I12/Skills!H12,1)+IF(Skills!H12&gt;0,MIN(Skills!I12,MAX(0,MAX(0,Inputs!$B$44-B2964)-((R2932-1)*IF(Inputs!$B$39="pvp",15,MAX(0.1,Skills!D12-IF(Skills!E12=TRUE,Inputs!$B$32,0))))))/Skills!H12,1)))/Inputs!$B$44),G2932*Q2932))*IF(Inputs!$B$39="pvp",1,1+(Inputs!$B$20+0+Skills!P12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2932*(1-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2932*(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2932*(1-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2932*(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2">
        <f>IF(C2932,(H2932*N2932*IF(AND(Inputs!$B$39&lt;&gt;"pvp",Inputs!$B$44&gt;0),((Skills!G12*((R2932-1)*IF(Skills!H12&gt;0,Skills!I12/Skills!H12,1)+IF(Skills!H12&gt;0,MIN(Skills!I12,MAX(0,MAX(0,Inputs!$B$44-B2964)-((R2932-1)*IF(Inputs!$B$39="pvp",15,MAX(0.1,Skills!D12-IF(Skills!E12=TRUE,Inputs!$B$32,0))))))/Skills!H12,1)))/Inputs!$B$44),G2932*Q2932))*IF(Inputs!$B$39="pvp",1,(1+(Inputs!$B$21+Skills!Q12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3">
      <c r="A2933">
        <f>Skills!A13</f>
        <v/>
      </c>
      <c r="B2933">
        <f>Skills!B13</f>
        <v/>
      </c>
      <c r="C2933">
        <f>Inputs!$B$3&gt;=105</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f>((Inputs!$B$6*(1+Inputs!$B$7/100))+(((Inputs!$B$12*(1+Inputs!$B$13/100))-(Inputs!$B$12*(1+Inputs!$B$13/100)))+0.25*(Inputs!$B$14-Inputs!$B$14))*(1+Inputs!$B$7/100))*(F2933/100)</f>
        <v/>
      </c>
      <c r="K2933">
        <f>J2933*(1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2933)</f>
        <v/>
      </c>
      <c r="L2933">
        <f>K2933*(MIN(Inputs!$B$22+((C2944=TRUE)*(F2944-Calc!F24)),(Inputs!$B$23+((C2949=TRUE)*(F2949-Calc!F29))+IF(ArtifactsInput!$M$15,CHOOSE(ArtifactsInput!$N$15+1,25,30,35,40,45,50)/100*(Inputs!$B$11-Inputs!$B$11),0)))/100+(Inputs!$B$23+((C2949=TRUE)*(F2949-Calc!F29))+IF(ArtifactsInput!$M$15,CHOOSE(ArtifactsInput!$N$15+1,25,30,35,40,45,50)/100*(Inputs!$B$11-Inputs!$B$11),0))/100)/2</f>
        <v/>
      </c>
      <c r="M2933">
        <f>L2933*(1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3">
        <f>L2933*(1-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2933*(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3">
        <f>(1-Summary!$B$11)*T2933+Summary!$B$11*V2933</f>
        <v/>
      </c>
      <c r="P2933">
        <f>IF(B2965=0,0,O2933/B2965)</f>
        <v/>
      </c>
      <c r="Q2933">
        <f>IFERROR(1/IF(Inputs!$B$39="pvp",15,MAX(0.1,Skills!D13-IF(Skills!E13=TRUE,Inputs!$B$32,0))),0)</f>
        <v/>
      </c>
      <c r="R2933">
        <f>IF(AND(Inputs!$B$39&lt;&gt;"pvp",Inputs!$B$44&gt;0),IF(MAX(0,Inputs!$B$44-B2964)&lt;=0,0,(INT(MAX(0,Inputs!$B$44-B2964)/IF(Inputs!$B$39="pvp",15,MAX(0.1,Skills!D13-IF(Skills!E13=TRUE,Inputs!$B$32,0))))+1)),0)</f>
        <v/>
      </c>
      <c r="S2933">
        <f>IFERROR(O2933/N2933,0)</f>
        <v/>
      </c>
      <c r="T2933">
        <f>IF(C2933,(H2933*N2933*IF(AND(Inputs!$B$39&lt;&gt;"pvp",Inputs!$B$44&gt;0),((Skills!G13*((R2933-1)*IF(Skills!H13&gt;0,Skills!I13/Skills!H13,1)+IF(Skills!H13&gt;0,MIN(Skills!I13,MAX(0,MAX(0,Inputs!$B$44-B2964)-((R2933-1)*IF(Inputs!$B$39="pvp",15,MAX(0.1,Skills!D13-IF(Skills!E13=TRUE,Inputs!$B$32,0))))))/Skills!H13,1)))/Inputs!$B$44),G2933*Q2933))*IF(Inputs!$B$39="pvp",1,1+(Inputs!$B$20+0+Skills!P13+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2933*(1-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2933*(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2933*(1-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2933*(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3">
        <f>IF(C2933,(H2933*N2933*IF(AND(Inputs!$B$39&lt;&gt;"pvp",Inputs!$B$44&gt;0),((Skills!G13*((R2933-1)*IF(Skills!H13&gt;0,Skills!I13/Skills!H13,1)+IF(Skills!H13&gt;0,MIN(Skills!I13,MAX(0,MAX(0,Inputs!$B$44-B2964)-((R2933-1)*IF(Inputs!$B$39="pvp",15,MAX(0.1,Skills!D13-IF(Skills!E13=TRUE,Inputs!$B$32,0))))))/Skills!H13,1)))/Inputs!$B$44),G2933*Q2933))*IF(Inputs!$B$39="pvp",1,(1+(Inputs!$B$21+Skills!Q13+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4">
      <c r="A2934">
        <f>Skills!A14</f>
        <v/>
      </c>
      <c r="B2934">
        <f>Skills!B14</f>
        <v/>
      </c>
      <c r="C2934">
        <f>Inputs!$B$3&gt;=107</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f>((Inputs!$B$6*(1+Inputs!$B$7/100))+(((Inputs!$B$12*(1+Inputs!$B$13/100))-(Inputs!$B$12*(1+Inputs!$B$13/100)))+0.25*(Inputs!$B$14-Inputs!$B$14))*(1+Inputs!$B$7/100))*(F2934/100)</f>
        <v/>
      </c>
      <c r="K2934">
        <f>J2934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2934)</f>
        <v/>
      </c>
      <c r="L2934">
        <f>K2934*(MIN(Inputs!$B$22+((C2944=TRUE)*(F2944-Calc!F24)),(Inputs!$B$23+((C2949=TRUE)*(F2949-Calc!F29))+IF(ArtifactsInput!$M$15,CHOOSE(ArtifactsInput!$N$15+1,25,30,35,40,45,50)/100*(Inputs!$B$11-Inputs!$B$11),0)))/100+(Inputs!$B$23+((C2949=TRUE)*(F2949-Calc!F29))+IF(ArtifactsInput!$M$15,CHOOSE(ArtifactsInput!$N$15+1,25,30,35,40,45,50)/100*(Inputs!$B$11-Inputs!$B$11),0))/100)/2</f>
        <v/>
      </c>
      <c r="M2934">
        <f>L2934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4">
        <f>L2934*(1-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2934*(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4">
        <f>(1-Summary!$B$11)*T2934+Summary!$B$11*V2934</f>
        <v/>
      </c>
      <c r="P2934">
        <f>IF(B2965=0,0,O2934/B2965)</f>
        <v/>
      </c>
      <c r="Q2934">
        <f>IFERROR(1/IF(Inputs!$B$39="pvp",15,MAX(0.1,Skills!D14-IF(Skills!E14=TRUE,Inputs!$B$32,0))),0)</f>
        <v/>
      </c>
      <c r="R2934">
        <f>IF(AND(Inputs!$B$39&lt;&gt;"pvp",Inputs!$B$44&gt;0),IF(MAX(0,Inputs!$B$44-B2964)&lt;=0,0,(INT(MAX(0,Inputs!$B$44-B2964)/IF(Inputs!$B$39="pvp",15,MAX(0.1,Skills!D14-IF(Skills!E14=TRUE,Inputs!$B$32,0))))+1)),0)</f>
        <v/>
      </c>
      <c r="S2934">
        <f>IFERROR(O2934/N2934,0)</f>
        <v/>
      </c>
      <c r="T2934">
        <f>IF(C2934,(H2934*N2934*IF(AND(Inputs!$B$39&lt;&gt;"pvp",Inputs!$B$44&gt;0),((Skills!G14*((R2934-1)*IF(Skills!H14&gt;0,Skills!I14/Skills!H14,1)+IF(Skills!H14&gt;0,MIN(Skills!I14,MAX(0,MAX(0,Inputs!$B$44-B2964)-((R2934-1)*IF(Inputs!$B$39="pvp",15,MAX(0.1,Skills!D14-IF(Skills!E14=TRUE,Inputs!$B$32,0))))))/Skills!H14,1)))/Inputs!$B$44),G2934*Q2934))*IF(Inputs!$B$39="pvp",1,1+(Inputs!$B$20+0+Skills!P14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2934*(1-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2934*(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2934*(1-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2934*(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4">
        <f>IF(C2934,(H2934*N2934*IF(AND(Inputs!$B$39&lt;&gt;"pvp",Inputs!$B$44&gt;0),((Skills!G14*((R2934-1)*IF(Skills!H14&gt;0,Skills!I14/Skills!H14,1)+IF(Skills!H14&gt;0,MIN(Skills!I14,MAX(0,MAX(0,Inputs!$B$44-B2964)-((R2934-1)*IF(Inputs!$B$39="pvp",15,MAX(0.1,Skills!D14-IF(Skills!E14=TRUE,Inputs!$B$32,0))))))/Skills!H14,1)))/Inputs!$B$44),G2934*Q2934))*IF(Inputs!$B$39="pvp",1,(1+(Inputs!$B$21+Skills!Q14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(5,0.25*B2957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5">
      <c r="A2935">
        <f>Skills!A15</f>
        <v/>
      </c>
      <c r="B2935">
        <f>Skills!B15</f>
        <v/>
      </c>
      <c r="C2935">
        <f>Inputs!$B$3&gt;=110</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IF(B2965=0,0,O2935/B2965)</f>
        <v/>
      </c>
      <c r="Q2935">
        <f>IFERROR(1/IF(Inputs!$B$39="pvp",15,MAX(0.1,Skills!D15-IF(Skills!E15=TRUE,Inputs!$B$32,0))),0)</f>
        <v/>
      </c>
      <c r="R2935">
        <f>IF(AND(Inputs!$B$39&lt;&gt;"pvp",Inputs!$B$44&gt;0),IF(Inputs!$B$44&lt;=0,0,(INT(Inputs!$B$44/IF(Inputs!$B$39="pvp",15,MAX(0.1,Skills!D15-IF(Skills!E15=TRUE,Inputs!$B$32,0))))+1)),0)</f>
        <v/>
      </c>
      <c r="S2935">
        <f>IFERROR(O2935/N2935,0)</f>
        <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f>((Inputs!$B$6*(1+Inputs!$B$7/100))+(((Inputs!$B$12*(1+Inputs!$B$13/100))-(Inputs!$B$12*(1+Inputs!$B$13/100)))+0.25*(Inputs!$B$14-Inputs!$B$14))*(1+Inputs!$B$7/100))*(F2936/100)</f>
        <v/>
      </c>
      <c r="K2936">
        <f>J2936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2947=TRUE)*(F2947-Calc!F27))+((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2936)</f>
        <v/>
      </c>
      <c r="L2936">
        <f>K2936*(MIN(Inputs!$B$22+((C2944=TRUE)*(F2944-Calc!F24)),(Inputs!$B$23+((C2949=TRUE)*(F2949-Calc!F29))+IF(ArtifactsInput!$M$15,CHOOSE(ArtifactsInput!$N$15+1,25,30,35,40,45,50)/100*(Inputs!$B$11-Inputs!$B$11),0)))/100+(Inputs!$B$23+((C2949=TRUE)*(F2949-Calc!F29))+IF(ArtifactsInput!$M$15,CHOOSE(ArtifactsInput!$N$15+1,25,30,35,40,45,50)/100*(Inputs!$B$11-Inputs!$B$11),0))/100)/2</f>
        <v/>
      </c>
      <c r="M2936">
        <f>L2936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6">
        <f>L2936*(1-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(1-Summary!$B$11)*T2936+Summary!$B$11*V2936</f>
        <v/>
      </c>
      <c r="P2936">
        <f>IF(B2965=0,0,O2936/B2965)</f>
        <v/>
      </c>
      <c r="Q2936" t="n">
        <v>0</v>
      </c>
      <c r="R2936" t="n">
        <v>0</v>
      </c>
      <c r="S2936">
        <f>IFERROR(O2936/N2936,0)</f>
        <v/>
      </c>
      <c r="T2936">
        <f>IF(C2936,(Inputs!$B$38*0.2*N2936)*IF(Inputs!$B$39="pvp",1,1+(Inputs!$B$20+0+Skills!P16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2936*(1-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$9+((C2945=TRUE)*(F2945-Calc!F25))+B2953+(ArtifactsInput!$M$24-ArtifactsInput!$M$24)*CHOOSE(ArtifactsInput!$N$24+1,10,12,14,16,18,20)+(IF(AND(Inputs!$B$39&lt;&gt;"pvp",Inputs!$B$44=0),1,IF(IF(Inputs!$B$39="pvp",15,Inputs!$B$44)-(B2964)&lt;=0,1,MAX(0,IF(Inputs!$B$39="pvp",15,Inputs!$B$44)-MAX(5,B2964))/(IF(Inputs!$B$39="pvp",15,Inputs!$B$44)-(B2964))))*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6">
        <f>IF(C2936,(Inputs!$B$38*0.2*N2936)*IF(Inputs!$B$39="pvp",1,(1+(Inputs!$B$21+Skills!Q16+B2954+(IF(ArtifactsInput!$M$33,CHOOSE(ArtifactsInput!$N$33+1,30,36,42,48,54,60),0))+(IF(AND(ArtifactsInput!$M$35,Inputs!$B$4&lt;&gt;"Chapter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Skills!A17</f>
        <v/>
      </c>
      <c r="B2937">
        <f>Skills!B17</f>
        <v/>
      </c>
      <c r="C2937">
        <f>Inputs!$B$3&gt;=115</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IF(B2965=0,0,O2937/B2965)</f>
        <v/>
      </c>
      <c r="Q2937" t="n">
        <v>0</v>
      </c>
      <c r="R2937" t="n">
        <v>0</v>
      </c>
      <c r="S2937">
        <f>IFERROR(O2937/N2937,0)</f>
        <v/>
      </c>
      <c r="T2937" t="n">
        <v>0</v>
      </c>
      <c r="V2937" t="n">
        <v>0</v>
      </c>
    </row>
    <row r="2938">
      <c r="A2938">
        <f>Skills!A18</f>
        <v/>
      </c>
      <c r="B2938">
        <f>Skills!B18</f>
        <v/>
      </c>
      <c r="C2938">
        <f>Inputs!$B$3&gt;=100</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IF(B2965=0,0,O2938/B2965)</f>
        <v/>
      </c>
      <c r="Q2938" t="n">
        <v>0</v>
      </c>
      <c r="R2938" t="n">
        <v>0</v>
      </c>
      <c r="S2938">
        <f>IFERROR(O2938/N2938,0)</f>
        <v/>
      </c>
      <c r="T2938" t="n">
        <v>0</v>
      </c>
      <c r="V2938" t="n">
        <v>0</v>
      </c>
    </row>
    <row r="2939">
      <c r="A2939">
        <f>Skills!A19</f>
        <v/>
      </c>
      <c r="B2939">
        <f>Skills!B19</f>
        <v/>
      </c>
      <c r="C2939">
        <f>TRUE</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IF(B2965=0,0,O2939/B2965)</f>
        <v/>
      </c>
      <c r="Q2939">
        <f>IFERROR(1/IF(Inputs!$B$39="pvp",15,MAX(0.1,Skills!D19-IF(Skills!E19=TRUE,Inputs!$B$32,0))),0)</f>
        <v/>
      </c>
      <c r="R2939">
        <f>IF(AND(Inputs!$B$39&lt;&gt;"pvp",Inputs!$B$44&gt;0),IF(Inputs!$B$44&lt;=0,0,(INT(Inputs!$B$44/IF(Inputs!$B$39="pvp",15,MAX(0.1,Skills!D19-IF(Skills!E19=TRUE,Inputs!$B$32,0))))+1)),0)</f>
        <v/>
      </c>
      <c r="S2939">
        <f>IFERROR(O2939/N2939,0)</f>
        <v/>
      </c>
      <c r="T2939" t="n">
        <v>0</v>
      </c>
      <c r="V2939" t="n">
        <v>0</v>
      </c>
    </row>
    <row r="2940">
      <c r="A2940">
        <f>Skills!A20</f>
        <v/>
      </c>
      <c r="B2940">
        <f>Skills!B20</f>
        <v/>
      </c>
      <c r="C2940">
        <f>Inputs!$B$3&gt;=15</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IF(B2965=0,0,O2940/B2965)</f>
        <v/>
      </c>
      <c r="Q2940">
        <f>IFERROR(1/IF(Inputs!$B$39="pvp",15,MAX(0.1,Skills!D20-IF(Skills!E20=TRUE,Inputs!$B$32,0))),0)</f>
        <v/>
      </c>
      <c r="R2940">
        <f>IF(AND(Inputs!$B$39&lt;&gt;"pvp",Inputs!$B$44&gt;0),IF(Inputs!$B$44&lt;=0,0,(INT(Inputs!$B$44/IF(Inputs!$B$39="pvp",15,MAX(0.1,Skills!D20-IF(Skills!E20=TRUE,Inputs!$B$32,0))))+1)),0)</f>
        <v/>
      </c>
      <c r="S2940">
        <f>IFERROR(O2940/N2940,0)</f>
        <v/>
      </c>
      <c r="T2940" t="n">
        <v>0</v>
      </c>
      <c r="V2940" t="n">
        <v>0</v>
      </c>
    </row>
    <row r="2941">
      <c r="A2941">
        <f>Skills!A21</f>
        <v/>
      </c>
      <c r="B2941">
        <f>Skills!B21</f>
        <v/>
      </c>
      <c r="C2941">
        <f>Inputs!$B$3&gt;=15</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IF(B2965=0,0,O2941/B2965)</f>
        <v/>
      </c>
      <c r="Q2941">
        <f>IFERROR(1/IF(Inputs!$B$39="pvp",15,MAX(0.1,Skills!D21-IF(Skills!E21=TRUE,Inputs!$B$32,0))),0)</f>
        <v/>
      </c>
      <c r="R2941">
        <f>IF(AND(Inputs!$B$39&lt;&gt;"pvp",Inputs!$B$44&gt;0),IF(Inputs!$B$44&lt;=0,0,(INT(Inputs!$B$44/IF(Inputs!$B$39="pvp",15,MAX(0.1,Skills!D21-IF(Skills!E21=TRUE,Inputs!$B$32,0))))+1)),0)</f>
        <v/>
      </c>
      <c r="S2941">
        <f>IFERROR(O2941/N2941,0)</f>
        <v/>
      </c>
      <c r="T2941" t="n">
        <v>0</v>
      </c>
      <c r="V2941" t="n">
        <v>0</v>
      </c>
    </row>
    <row r="2942">
      <c r="A2942">
        <f>Skills!A22</f>
        <v/>
      </c>
      <c r="B2942">
        <f>Skills!B22</f>
        <v/>
      </c>
      <c r="C2942">
        <f>Inputs!$B$3&gt;=33</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IF(B2965=0,0,O2942/B2965)</f>
        <v/>
      </c>
      <c r="Q2942" t="n">
        <v>0</v>
      </c>
      <c r="R2942" t="n">
        <v>0</v>
      </c>
      <c r="S2942">
        <f>IFERROR(O2942/N2942,0)</f>
        <v/>
      </c>
      <c r="T2942" t="n">
        <v>0</v>
      </c>
      <c r="V2942" t="n">
        <v>0</v>
      </c>
    </row>
    <row r="2943">
      <c r="A2943">
        <f>Skills!A23</f>
        <v/>
      </c>
      <c r="B2943">
        <f>Skills!B23</f>
        <v/>
      </c>
      <c r="C2943">
        <f>Inputs!$B$3&gt;=40</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IF(B2965=0,0,O2943/B2965)</f>
        <v/>
      </c>
      <c r="Q2943" t="n">
        <v>0</v>
      </c>
      <c r="R2943" t="n">
        <v>0</v>
      </c>
      <c r="S2943">
        <f>IFERROR(O2943/N2943,0)</f>
        <v/>
      </c>
      <c r="T2943" t="n">
        <v>0</v>
      </c>
      <c r="V2943" t="n">
        <v>0</v>
      </c>
    </row>
    <row r="2944">
      <c r="A2944">
        <f>Skills!A24</f>
        <v/>
      </c>
      <c r="B2944">
        <f>Skills!B24</f>
        <v/>
      </c>
      <c r="C2944">
        <f>Inputs!$B$3&gt;=43</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IF(B2965=0,0,O2944/B2965)</f>
        <v/>
      </c>
      <c r="Q2944" t="n">
        <v>0</v>
      </c>
      <c r="R2944" t="n">
        <v>0</v>
      </c>
      <c r="S2944">
        <f>IFERROR(O2944/N2944,0)</f>
        <v/>
      </c>
      <c r="T2944" t="n">
        <v>0</v>
      </c>
      <c r="V2944" t="n">
        <v>0</v>
      </c>
    </row>
    <row r="2945">
      <c r="A2945">
        <f>Skills!A25</f>
        <v/>
      </c>
      <c r="B2945">
        <f>Skills!B25</f>
        <v/>
      </c>
      <c r="C2945">
        <f>Inputs!$B$3&gt;=50</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IF(B2965=0,0,O2945/B2965)</f>
        <v/>
      </c>
      <c r="Q2945" t="n">
        <v>0</v>
      </c>
      <c r="R2945" t="n">
        <v>0</v>
      </c>
      <c r="S2945">
        <f>IFERROR(O2945/N2945,0)</f>
        <v/>
      </c>
      <c r="T2945" t="n">
        <v>0</v>
      </c>
      <c r="V2945" t="n">
        <v>0</v>
      </c>
    </row>
    <row r="2946">
      <c r="A2946">
        <f>Skills!A26</f>
        <v/>
      </c>
      <c r="B2946">
        <f>Skills!B26</f>
        <v/>
      </c>
      <c r="C2946">
        <f>Inputs!$B$3&gt;=50</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IF(B2965=0,0,O2946/B2965)</f>
        <v/>
      </c>
      <c r="Q2946" t="n">
        <v>0</v>
      </c>
      <c r="R2946" t="n">
        <v>0</v>
      </c>
      <c r="S2946">
        <f>IFERROR(O2946/N2946,0)</f>
        <v/>
      </c>
      <c r="T2946" t="n">
        <v>0</v>
      </c>
      <c r="V2946" t="n">
        <v>0</v>
      </c>
    </row>
    <row r="2947">
      <c r="A2947">
        <f>Skills!A27</f>
        <v/>
      </c>
      <c r="B2947">
        <f>Skills!B27</f>
        <v/>
      </c>
      <c r="C2947">
        <f>Inputs!$B$3&gt;=38</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IF(B2965=0,0,O2947/B2965)</f>
        <v/>
      </c>
      <c r="Q2947" t="n">
        <v>0</v>
      </c>
      <c r="R2947" t="n">
        <v>0</v>
      </c>
      <c r="S2947">
        <f>IFERROR(O2947/N2947,0)</f>
        <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IF(B2965=0,0,O2948/B2965)</f>
        <v/>
      </c>
      <c r="Q2948" t="n">
        <v>0</v>
      </c>
      <c r="R2948" t="n">
        <v>0</v>
      </c>
      <c r="S2948">
        <f>IFERROR(O2948/N2948,0)</f>
        <v/>
      </c>
      <c r="T2948" t="n">
        <v>0</v>
      </c>
      <c r="V2948" t="n">
        <v>0</v>
      </c>
    </row>
    <row r="2949">
      <c r="A2949">
        <f>Skills!A29</f>
        <v/>
      </c>
      <c r="B2949">
        <f>Skills!B29</f>
        <v/>
      </c>
      <c r="C2949">
        <f>Inputs!$B$3&gt;=120</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IF(B2965=0,0,O2949/B2965)</f>
        <v/>
      </c>
      <c r="Q2949" t="n">
        <v>0</v>
      </c>
      <c r="R2949" t="n">
        <v>0</v>
      </c>
      <c r="S2949">
        <f>IFERROR(O2949/N2949,0)</f>
        <v/>
      </c>
      <c r="T2949" t="n">
        <v>0</v>
      </c>
      <c r="V2949" t="n">
        <v>0</v>
      </c>
    </row>
    <row r="2950">
      <c r="A2950">
        <f>Skills!A30</f>
        <v/>
      </c>
      <c r="B2950">
        <f>Skills!B30</f>
        <v/>
      </c>
      <c r="C2950">
        <f>Inputs!$B$3&gt;=125</f>
        <v/>
      </c>
      <c r="D2950">
        <f>IF(Skills!C30=1,60+Inputs!$B$25+Inputs!$B$29,IF(Skills!C30=2,90+Inputs!$B$26+Inputs!$B$29,IF(Skills!C30=3,120+Inputs!$B$27+Inputs!$B$29,MAX(0,(Inputs!$B$3-100)*3)+Inputs!$B$28+Inputs!$B$29)))</f>
        <v/>
      </c>
      <c r="E2950">
        <f>INDEX(FactorTable!$B$2:$Y$301, MATCH(ROUND(MIN(300,MAX(1,D2950)),0), FactorTable!$A$2:$A$301,0), Skills!M30+1)</f>
        <v/>
      </c>
      <c r="F2950">
        <f>IF(Skills!N30=TRUE,(Skills!L30/10)*(E2950/1000),Skills!L30/10)+Skills!O30</f>
        <v/>
      </c>
      <c r="G2950">
        <f>Skills!G30*IF(Skills!H30&gt;0,Skills!I30/Skills!H30,1)</f>
        <v/>
      </c>
      <c r="H2950">
        <f>1-(1-Skills!J30/100)^Skills!K30</f>
        <v/>
      </c>
      <c r="I2950" t="inlineStr">
        <is>
          <t>1</t>
        </is>
      </c>
      <c r="J2950" t="inlineStr"/>
      <c r="K2950" t="inlineStr"/>
      <c r="L2950" t="inlineStr"/>
      <c r="M2950" t="inlineStr"/>
      <c r="N2950" t="inlineStr"/>
      <c r="O2950">
        <f>(1-Summary!$B$11)*T2950+Summary!$B$11*V2950</f>
        <v/>
      </c>
      <c r="P2950">
        <f>IF(B2965=0,0,O2950/B2965)</f>
        <v/>
      </c>
      <c r="Q2950" t="n">
        <v>0</v>
      </c>
      <c r="R2950" t="n">
        <v>0</v>
      </c>
      <c r="S2950">
        <f>IFERROR(O2950/N2950,0)</f>
        <v/>
      </c>
      <c r="T2950" t="n">
        <v>0</v>
      </c>
      <c r="V2950" t="n">
        <v>0</v>
      </c>
    </row>
    <row r="2952">
      <c r="A2952" t="inlineStr">
        <is>
          <t>Average Buff Multiplier</t>
        </is>
      </c>
      <c r="B2952">
        <f>(1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f>
        <v/>
      </c>
    </row>
    <row r="2953">
      <c r="A2953" t="inlineStr">
        <is>
          <t>Global Crit Rate Bonus %</t>
        </is>
      </c>
      <c r="B2953">
        <f>((C2940=TRUE)*F2940*IF(AND(Inputs!$B$39&lt;&gt;"pvp",Inputs!$B$44&gt;0),(((R2940-1)*(Skills!Y20*(1+Inputs!$B$34/100))+MIN((Skills!Y20*(1+Inputs!$B$34/100)),MAX(0,Inputs!$B$44-((R2940-1)*Skills!D20))))/Inputs!$B$44),IF(Inputs!$B$39="pvp",MIN((Skills!Y20*(1+Inputs!$B$34/100)),15)/15,(Skills!Y20*(1+Inputs!$B$34/100))/Skills!D20)))</f>
        <v/>
      </c>
    </row>
    <row r="2954">
      <c r="A2954" t="inlineStr">
        <is>
          <t>Global Monster Damage-Taken Bonus %</t>
        </is>
      </c>
      <c r="B2954">
        <f>IF(Inputs!$B$3&gt;=82,15,0)</f>
        <v/>
      </c>
    </row>
    <row r="2955">
      <c r="A2955" t="inlineStr">
        <is>
          <t>Shadow Partner Average Multiplier</t>
        </is>
      </c>
      <c r="B2955">
        <f>1+((C2927=TRUE)*F2927*(1+3.3333333333333335*IF(C2938=TRUE,F2938,0)/100)*I2927*Skills!J7/100)/100</f>
        <v/>
      </c>
    </row>
    <row r="2956">
      <c r="A2956" t="inlineStr">
        <is>
          <t>Attack Speed Buff Bonus %</t>
        </is>
      </c>
      <c r="B2956">
        <f>((C2939=TRUE)*F2939*IF(AND(Inputs!$B$39&lt;&gt;"pvp",Inputs!$B$44&gt;0),(((R2939-1)*(Skills!Y19*(1+Inputs!$B$34/100))+MIN((Skills!Y19*(1+Inputs!$B$34/100)),MAX(0,Inputs!$B$44-((R2939-1)*Skills!D19))))/Inputs!$B$44),IF(Inputs!$B$39="pvp",MIN((Skills!Y19*(1+Inputs!$B$34/100)),15)/15,(Skills!Y19*(1+Inputs!$B$34/100))/Skills!D19)))+((C2923=TRUE)*F2923*3)</f>
        <v/>
      </c>
    </row>
    <row r="2957">
      <c r="A2957" t="inlineStr">
        <is>
          <t>Actions Per Second</t>
        </is>
      </c>
      <c r="B2957">
        <f>1+MIN(150,150*(1-(1-(Inputs!$B$11+((C2942=TRUE)*(F2942-Calc!F22)))/150)*(1-B2956/150)))/100</f>
        <v/>
      </c>
    </row>
    <row r="2958">
      <c r="A2958" t="inlineStr">
        <is>
          <t>Skill + Buff Cast Rate</t>
        </is>
      </c>
      <c r="B2958">
        <f>IF(AND(Inputs!$B$39&lt;&gt;"pvp",Inputs!$B$44&gt;0),SUMPRODUCT((Skills!E2:E30=TRUE)*(C2922:C2950=TRUE)*R2922:R2950*Skills!F2:F30)/Inputs!$B$44,SUMPRODUCT((Skills!E2:E30=TRUE)*(C2922:C2950=TRUE)*Q2922:Q2950*Skills!F2:F30))</f>
        <v/>
      </c>
    </row>
    <row r="2959">
      <c r="A2959" t="inlineStr">
        <is>
          <t>Cruel Stab Casts Per Second</t>
        </is>
      </c>
      <c r="B2959">
        <f>MAX(0,B2957-B2958)</f>
        <v/>
      </c>
    </row>
    <row r="2960">
      <c r="A2960" t="inlineStr">
        <is>
          <t>Global Critical Damage Bonus % (Smokescreen Mastery Lv.113)</t>
        </is>
      </c>
      <c r="B2960">
        <f>IF(Inputs!$B$3&gt;=113,30,0)*IF(AND(Inputs!$B$39&lt;&gt;"pvp",Inputs!$B$44&gt;0),(((R2935-1)*(Skills!Y15*(1+Inputs!$B$34/100))+MIN((Skills!Y15*(1+Inputs!$B$34/100)),MAX(0,Inputs!$B$44-((R2935-1)*Skills!D15))))/Inputs!$B$44),IF(Inputs!$B$39="pvp",MIN((Skills!Y15*(1+Inputs!$B$34/100)),15)/15,(Skills!Y15*(1+Inputs!$B$34/100))/Skills!D15))</f>
        <v/>
      </c>
    </row>
    <row r="2961">
      <c r="A2961" t="inlineStr">
        <is>
          <t>Meso Explosion average stack count</t>
        </is>
      </c>
      <c r="B2961">
        <f>MIN(10,0.5*B2957*Skills!D4)</f>
        <v/>
      </c>
    </row>
    <row r="2962">
      <c r="A2962" t="inlineStr">
        <is>
          <t>Blood Money average stack count</t>
        </is>
      </c>
      <c r="B2962">
        <f>MIN(5,0.25*B2957*Skills!D4)</f>
        <v/>
      </c>
    </row>
    <row r="2963">
      <c r="A2963" t="inlineStr">
        <is>
          <t>Assassinate Murderous Intent Multiplier</t>
        </is>
      </c>
      <c r="B2963">
        <f>1+IFERROR(MIN(1,Q2934*2/Q2931),0)</f>
        <v/>
      </c>
    </row>
    <row r="2964">
      <c r="A2964" t="inlineStr">
        <is>
          <t>Buff-Casting Startup Delay (s, fixed-duration only)</t>
        </is>
      </c>
      <c r="B2964">
        <f>IF(AND(Inputs!$B$39&lt;&gt;"pvp",Inputs!$B$44&gt;0),SUMPRODUCT((Skills!Y2:Y30&gt;0)*(Skills!E2:E30=TRUE)*(C2922:C2950=TRUE))/B2957,0)</f>
        <v/>
      </c>
    </row>
    <row r="2965">
      <c r="A2965" s="6" t="inlineStr">
        <is>
          <t>TOTAL DPS</t>
        </is>
      </c>
      <c r="B2965" s="6">
        <f>SUM(O2922:O2950)</f>
        <v/>
      </c>
    </row>
    <row r="2966">
      <c r="A2966" t="inlineStr">
        <is>
          <t>Boss-Only Total DPS (this block's swept value)</t>
        </is>
      </c>
      <c r="B2966">
        <f>SUM(T2922:T2950)</f>
        <v/>
      </c>
    </row>
    <row r="2967">
      <c r="A2967" t="inlineStr">
        <is>
          <t>Normal-Only Total DPS (this block's swept value)</t>
        </is>
      </c>
      <c r="B2967">
        <f>SUM(V2922:V2950)</f>
        <v/>
      </c>
    </row>
    <row r="2970">
      <c r="A2970" s="6" t="inlineStr">
        <is>
          <t>Stat: Horn Flute (Equip)</t>
        </is>
      </c>
    </row>
    <row r="2971">
      <c r="A2971" s="5" t="inlineStr">
        <is>
          <t>Key</t>
        </is>
      </c>
      <c r="B2971" s="5" t="inlineStr">
        <is>
          <t>Name</t>
        </is>
      </c>
      <c r="C2971" s="5" t="inlineStr">
        <is>
          <t>Unlocked</t>
        </is>
      </c>
      <c r="D2971" s="5" t="inlineStr">
        <is>
          <t>InputLevel</t>
        </is>
      </c>
      <c r="E2971" s="5" t="inlineStr">
        <is>
          <t>Factor</t>
        </is>
      </c>
      <c r="F2971" s="5" t="inlineStr">
        <is>
          <t>CoefficientPercent</t>
        </is>
      </c>
      <c r="G2971" s="5" t="inlineStr">
        <is>
          <t>EffectiveHits</t>
        </is>
      </c>
      <c r="H2971" s="5" t="inlineStr">
        <is>
          <t>ProcProbability</t>
        </is>
      </c>
      <c r="I2971" s="5" t="inlineStr">
        <is>
          <t>MapleHeroMultiplier</t>
        </is>
      </c>
      <c r="J2971" s="5" t="inlineStr">
        <is>
          <t>BaseDamage</t>
        </is>
      </c>
      <c r="K2971" s="5" t="inlineStr">
        <is>
          <t>BaseHitDamage</t>
        </is>
      </c>
      <c r="L2971" s="5" t="inlineStr">
        <is>
          <t>NonCritAvg</t>
        </is>
      </c>
      <c r="M2971" s="5" t="inlineStr">
        <is>
          <t>CritAvg</t>
        </is>
      </c>
      <c r="N2971" s="5" t="inlineStr">
        <is>
          <t>ExpectedDamage(perHit)</t>
        </is>
      </c>
      <c r="O2971" s="5" t="inlineStr">
        <is>
          <t>DPS</t>
        </is>
      </c>
      <c r="P2971" s="5" t="inlineStr">
        <is>
          <t>% of Total</t>
        </is>
      </c>
      <c r="Q2971" s="5" t="inlineStr">
        <is>
          <t>InvCooldown</t>
        </is>
      </c>
      <c r="R2971" s="5" t="inlineStr">
        <is>
          <t>CastsInFight</t>
        </is>
      </c>
      <c r="S2971" s="5" t="inlineStr">
        <is>
          <t>HitRate(perSec)</t>
        </is>
      </c>
      <c r="U2971" t="inlineStr">
        <is>
          <t>helpers</t>
        </is>
      </c>
    </row>
    <row r="2972">
      <c r="A2972">
        <f>Skills!A2</f>
        <v/>
      </c>
      <c r="B2972">
        <f>Skills!B2</f>
        <v/>
      </c>
      <c r="C2972">
        <f>Inputs!$B$3&gt;=100</f>
        <v/>
      </c>
      <c r="D2972" t="inlineStr"/>
      <c r="E2972" t="inlineStr"/>
      <c r="F2972">
        <f>U2974+Skills!O2</f>
        <v/>
      </c>
      <c r="G2972">
        <f>Skills!G2*IF(Skills!H2&gt;0,Skills!I2/Skills!H2,1)</f>
        <v/>
      </c>
      <c r="H2972">
        <f>1-(1-Skills!J2/100)^Skills!K2</f>
        <v/>
      </c>
      <c r="I2972" t="inlineStr">
        <is>
          <t>1</t>
        </is>
      </c>
      <c r="J2972">
        <f>((Inputs!$B$6*(1+Inputs!$B$7/100))+(((Inputs!$B$12*(1+Inputs!$B$13/100))-(Inputs!$B$12*(1+Inputs!$B$13/100)))+0.25*(Inputs!$B$14-Inputs!$B$14))*(1+Inputs!$B$7/100))*(F2972/100)</f>
        <v/>
      </c>
      <c r="K2972">
        <f>J2972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2972)</f>
        <v/>
      </c>
      <c r="L2972">
        <f>K2972*(MIN(Inputs!$B$22+((C2994=TRUE)*(F2994-Calc!F24)),(Inputs!$B$23+((C2999=TRUE)*(F2999-Calc!F29))+IF(ArtifactsInput!$M$15,CHOOSE(ArtifactsInput!$N$15+1,25,30,35,40,45,50)/100*(Inputs!$B$11-Inputs!$B$11),0)))/100+(Inputs!$B$23+((C2999=TRUE)*(F2999-Calc!F29))+IF(ArtifactsInput!$M$15,CHOOSE(ArtifactsInput!$N$15+1,25,30,35,40,45,50)/100*(Inputs!$B$11-Inputs!$B$11),0))/100)/2</f>
        <v/>
      </c>
      <c r="M2972">
        <f>L2972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IF(B3015=0,0,O2972/B3015)</f>
        <v/>
      </c>
      <c r="Q2972" t="n">
        <v>0</v>
      </c>
      <c r="R2972" t="n">
        <v>0</v>
      </c>
      <c r="S2972">
        <f>IFERROR(O2972/N2972,0)</f>
        <v/>
      </c>
      <c r="T2972">
        <f>IF(C2972,(Skills!G2*N2972*B3009)*IF(Inputs!$B$39="pvp",1,1+(Inputs!$B$20+0+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2972*(1-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MAX(0,(Inputs!$B$3-100)*3)+Inputs!$B$28+Inputs!$B$29</f>
        <v/>
      </c>
      <c r="V2972">
        <f>IF(C2972,(Skills!G2*N2972*B3009)*IF(Inputs!$B$39="pvp",1,(1+(Inputs!$B$21+Skills!Q2+B3004+(IF(ArtifactsInput!$M$33,CHOOSE(ArtifactsInput!$N$33+1,30,36,42,48,54,60),0))+(IF(AND(ArtifactsInput!$M$35,Inputs!$B$4&lt;&gt;"Chapter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Skills!A3</f>
        <v/>
      </c>
      <c r="B2973">
        <f>Skills!B3</f>
        <v/>
      </c>
      <c r="C2973">
        <f>Inputs!$B$3&gt;=35</f>
        <v/>
      </c>
      <c r="D2973">
        <f>IF(Skills!C3=1,60+Inputs!$B$25+Inputs!$B$29,IF(Skills!C3=2,90+Inputs!$B$26+Inputs!$B$29,IF(Skills!C3=3,120+Inputs!$B$27+Inputs!$B$29,MAX(0,(Inputs!$B$3-100)*3)+Inputs!$B$28+Inputs!$B$29)))</f>
        <v/>
      </c>
      <c r="E2973">
        <f>INDEX(FactorTable!$B$2:$Y$301, MATCH(ROUND(MIN(300,MAX(1,D2973)),0), FactorTable!$A$2:$A$301,0), Skills!M3+1)</f>
        <v/>
      </c>
      <c r="F2973">
        <f>IF(Skills!N3=TRUE,(Skills!L3/10)*(E2973/1000),Skills!L3/10)+Skills!O3</f>
        <v/>
      </c>
      <c r="G2973">
        <f>Skills!G3*IF(Skills!H3&gt;0,Skills!I3/Skills!H3,1)</f>
        <v/>
      </c>
      <c r="H2973">
        <f>1-(1-Skills!J3/100)^Skills!K3</f>
        <v/>
      </c>
      <c r="I2973" t="inlineStr">
        <is>
          <t>1</t>
        </is>
      </c>
      <c r="J2973" t="inlineStr"/>
      <c r="K2973" t="inlineStr"/>
      <c r="L2973" t="inlineStr"/>
      <c r="M2973" t="inlineStr"/>
      <c r="N2973" t="inlineStr"/>
      <c r="O2973">
        <f>(1-Summary!$B$11)*T2973+Summary!$B$11*V2973</f>
        <v/>
      </c>
      <c r="P2973">
        <f>IF(B3015=0,0,O2973/B3015)</f>
        <v/>
      </c>
      <c r="Q2973" t="n">
        <v>0</v>
      </c>
      <c r="R2973" t="n">
        <v>0</v>
      </c>
      <c r="S2973">
        <f>IFERROR(O2973/N2973,0)</f>
        <v/>
      </c>
      <c r="T2973" t="n">
        <v>0</v>
      </c>
      <c r="U2973">
        <f>INDEX(FactorTable!$B$2:$Y$301, MATCH(ROUND(MIN(300,MAX(1,U2972)),0), FactorTable!$A$2:$A$301,0), 22)</f>
        <v/>
      </c>
      <c r="V2973" t="n">
        <v>0</v>
      </c>
    </row>
    <row r="2974">
      <c r="A2974">
        <f>Skills!A4</f>
        <v/>
      </c>
      <c r="B2974">
        <f>Skills!B4</f>
        <v/>
      </c>
      <c r="C2974">
        <f>Inputs!$B$3&gt;=66</f>
        <v/>
      </c>
      <c r="D2974">
        <f>IF(Skills!C4=1,60+Inputs!$B$25+Inputs!$B$29,IF(Skills!C4=2,90+Inputs!$B$26+Inputs!$B$29,IF(Skills!C4=3,120+Inputs!$B$27+Inputs!$B$29,MAX(0,(Inputs!$B$3-100)*3)+Inputs!$B$28+Inputs!$B$29)))</f>
        <v/>
      </c>
      <c r="E2974">
        <f>INDEX(FactorTable!$B$2:$Y$301, MATCH(ROUND(MIN(300,MAX(1,D2974)),0), FactorTable!$A$2:$A$301,0), Skills!M4+1)</f>
        <v/>
      </c>
      <c r="F2974">
        <f>IF(Skills!N4=TRUE,(Skills!L4/10)*(E2974/1000),Skills!L4/10)+Skills!O4</f>
        <v/>
      </c>
      <c r="G2974">
        <f>Skills!G4*IF(Skills!H4&gt;0,Skills!I4/Skills!H4,1)</f>
        <v/>
      </c>
      <c r="H2974">
        <f>1-(1-Skills!J4/100)^Skills!K4</f>
        <v/>
      </c>
      <c r="I2974" t="inlineStr">
        <is>
          <t>1</t>
        </is>
      </c>
      <c r="J2974">
        <f>((Inputs!$B$6*(1+Inputs!$B$7/100))+(((Inputs!$B$12*(1+Inputs!$B$13/100))-(Inputs!$B$12*(1+Inputs!$B$13/100)))+0.25*(Inputs!$B$14-Inputs!$B$14))*(1+Inputs!$B$7/100))*(F2974/100)</f>
        <v/>
      </c>
      <c r="K2974">
        <f>J2974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2974)</f>
        <v/>
      </c>
      <c r="L2974">
        <f>K2974*(MIN(Inputs!$B$22+((C2994=TRUE)*(F2994-Calc!F24)),(Inputs!$B$23+((C2999=TRUE)*(F2999-Calc!F29))+IF(ArtifactsInput!$M$15,CHOOSE(ArtifactsInput!$N$15+1,25,30,35,40,45,50)/100*(Inputs!$B$11-Inputs!$B$11),0)))/100+(Inputs!$B$23+((C2999=TRUE)*(F2999-Calc!F29))+IF(ArtifactsInput!$M$15,CHOOSE(ArtifactsInput!$N$15+1,25,30,35,40,45,50)/100*(Inputs!$B$11-Inputs!$B$11),0))/100)/2</f>
        <v/>
      </c>
      <c r="M2974">
        <f>L2974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4">
        <f>L2974*(1-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(1-Summary!$B$11)*T2974+Summary!$B$11*V2974</f>
        <v/>
      </c>
      <c r="P2974">
        <f>IF(B3015=0,0,O2974/B3015)</f>
        <v/>
      </c>
      <c r="Q2974">
        <f>IFERROR(1/IF(Inputs!$B$39="pvp",15,MAX(0.1,Skills!D4-IF(Skills!E4=TRUE,Inputs!$B$32,0))),0)</f>
        <v/>
      </c>
      <c r="R2974">
        <f>IF(AND(Inputs!$B$39&lt;&gt;"pvp",Inputs!$B$44&gt;0),IF(MAX(0,Inputs!$B$44-B3014)&lt;=0,0,(INT(MAX(0,Inputs!$B$44-B3014)/IF(Inputs!$B$39="pvp",15,MAX(0.1,Skills!D4-IF(Skills!E4=TRUE,Inputs!$B$32,0))))+1)),0)</f>
        <v/>
      </c>
      <c r="S2974">
        <f>IFERROR(O2974/N2974,0)</f>
        <v/>
      </c>
      <c r="T2974">
        <f>IF(C2974,(H2974*N2974*IF(AND(Inputs!$B$39&lt;&gt;"pvp",Inputs!$B$44&gt;0),((Skills!G4*((R2974-1)*IF(Skills!H4&gt;0,Skills!I4/Skills!H4,1)+IF(Skills!H4&gt;0,MIN(Skills!I4,MAX(0,MAX(0,Inputs!$B$44-B3014)-((R2974-1)*IF(Inputs!$B$39="pvp",15,MAX(0.1,Skills!D4-IF(Skills!E4=TRUE,Inputs!$B$32,0))))))/Skills!H4,1)))/Inputs!$B$44),G2974*Q2974))*IF(Inputs!$B$39="pvp",1,1+(Inputs!$B$20+0+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2974*(1-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290*U2973/1000</f>
        <v/>
      </c>
      <c r="V2974">
        <f>IF(C2974,(H2974*N2974*IF(AND(Inputs!$B$39&lt;&gt;"pvp",Inputs!$B$44&gt;0),((Skills!G4*((R2974-1)*IF(Skills!H4&gt;0,Skills!I4/Skills!H4,1)+IF(Skills!H4&gt;0,MIN(Skills!I4,MAX(0,MAX(0,Inputs!$B$44-B3014)-((R2974-1)*IF(Inputs!$B$39="pvp",15,MAX(0.1,Skills!D4-IF(Skills!E4=TRUE,Inputs!$B$32,0))))))/Skills!H4,1)))/Inputs!$B$44),G2974*Q2974))*IF(Inputs!$B$39="pvp",1,(1+(Inputs!$B$21+Skills!Q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(10,0.5*B3007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Skills!A5</f>
        <v/>
      </c>
      <c r="B2975">
        <f>Skills!B5</f>
        <v/>
      </c>
      <c r="C2975">
        <f>Inputs!$B$3&gt;=63</f>
        <v/>
      </c>
      <c r="D2975">
        <f>IF(Skills!C5=1,60+Inputs!$B$25+Inputs!$B$29,IF(Skills!C5=2,90+Inputs!$B$26+Inputs!$B$29,IF(Skills!C5=3,120+Inputs!$B$27+Inputs!$B$29,MAX(0,(Inputs!$B$3-100)*3)+Inputs!$B$28+Inputs!$B$29)))</f>
        <v/>
      </c>
      <c r="E2975">
        <f>INDEX(FactorTable!$B$2:$Y$301, MATCH(ROUND(MIN(300,MAX(1,D2975)),0), FactorTable!$A$2:$A$301,0), Skills!M5+1)</f>
        <v/>
      </c>
      <c r="F2975">
        <f>IF(Skills!N5=TRUE,(Skills!L5/10)*(E2975/1000),Skills!L5/10)+Skills!O5</f>
        <v/>
      </c>
      <c r="G2975">
        <f>Skills!G5*IF(Skills!H5&gt;0,Skills!I5/Skills!H5,1)</f>
        <v/>
      </c>
      <c r="H2975">
        <f>1-(1-Skills!J5/100)^Skills!K5</f>
        <v/>
      </c>
      <c r="I2975" t="inlineStr">
        <is>
          <t>1</t>
        </is>
      </c>
      <c r="J2975">
        <f>((Inputs!$B$6*(1+Inputs!$B$7/100))+(((Inputs!$B$12*(1+Inputs!$B$13/100))-(Inputs!$B$12*(1+Inputs!$B$13/100)))+0.25*(Inputs!$B$14-Inputs!$B$14))*(1+Inputs!$B$7/100))*(F2975/100)</f>
        <v/>
      </c>
      <c r="K2975">
        <f>J2975*(1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2988=TRUE,F2988,0)/100)*(1+(IF(Skills!A5="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2975)</f>
        <v/>
      </c>
      <c r="L2975">
        <f>K2975*(MIN(Inputs!$B$22+((C2994=TRUE)*(F2994-Calc!F24)),(Inputs!$B$23+((C2999=TRUE)*(F2999-Calc!F29))+IF(ArtifactsInput!$M$15,CHOOSE(ArtifactsInput!$N$15+1,25,30,35,40,45,50)/100*(Inputs!$B$11-Inputs!$B$11),0)))/100+(Inputs!$B$23+((C2999=TRUE)*(F2999-Calc!F29))+IF(ArtifactsInput!$M$15,CHOOSE(ArtifactsInput!$N$15+1,25,30,35,40,45,50)/100*(Inputs!$B$11-Inputs!$B$11),0))/100)/2</f>
        <v/>
      </c>
      <c r="M2975">
        <f>L2975*(1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IF(B3015=0,0,O2975/B3015)</f>
        <v/>
      </c>
      <c r="Q2975">
        <f>IFERROR(1/IF(Inputs!$B$39="pvp",15,MAX(0.1,Skills!D5-IF(Skills!E5=TRUE,Inputs!$B$32,0))),0)</f>
        <v/>
      </c>
      <c r="R2975">
        <f>IF(AND(Inputs!$B$39&lt;&gt;"pvp",Inputs!$B$44&gt;0),IF(MAX(0,Inputs!$B$44-B3014)&lt;=0,0,(INT(MAX(0,Inputs!$B$44-B3014)/IF(Inputs!$B$39="pvp",15,MAX(0.1,Skills!D5-IF(Skills!E5=TRUE,Inputs!$B$32,0))))+1)),0)</f>
        <v/>
      </c>
      <c r="S2975">
        <f>IFERROR(O2975/N2975,0)</f>
        <v/>
      </c>
      <c r="T2975">
        <f>IF(C2975,(H2975*N2975*IF(AND(Inputs!$B$39&lt;&gt;"pvp",Inputs!$B$44&gt;0),((Skills!G5*((R2975-1)*IF(Skills!H5&gt;0,Skills!I5/Skills!H5,1)+IF(Skills!H5&gt;0,MIN(Skills!I5,MAX(0,MAX(0,Inputs!$B$44-B3014)-((R2975-1)*IF(Inputs!$B$39="pvp",15,MAX(0.1,Skills!D5-IF(Skills!E5=TRUE,Inputs!$B$32,0))))))/Skills!H5,1)))/Inputs!$B$44),G2975*Q2975))*IF(Inputs!$B$39="pvp",1,1+(Inputs!$B$20+0+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2975*(1-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5*((R2975-1)*IF(Skills!H5&gt;0,Skills!I5/Skills!H5,1)+IF(Skills!H5&gt;0,MIN(Skills!I5,MAX(0,MAX(0,Inputs!$B$44-B3014)-((R2975-1)*IF(Inputs!$B$39="pvp",15,MAX(0.1,Skills!D5-IF(Skills!E5=TRUE,Inputs!$B$32,0))))))/Skills!H5,1)))/Inputs!$B$44),G2975*Q2975))*IF(Inputs!$B$39="pvp",1,(1+(Inputs!$B$21+Skills!Q5+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Skills!A6</f>
        <v/>
      </c>
      <c r="B2976">
        <f>Skills!B6</f>
        <v/>
      </c>
      <c r="C2976">
        <f>Inputs!$B$3&gt;=69</f>
        <v/>
      </c>
      <c r="D2976">
        <f>IF(Skills!C6=1,60+Inputs!$B$25+Inputs!$B$29,IF(Skills!C6=2,90+Inputs!$B$26+Inputs!$B$29,IF(Skills!C6=3,120+Inputs!$B$27+Inputs!$B$29,MAX(0,(Inputs!$B$3-100)*3)+Inputs!$B$28+Inputs!$B$29)))</f>
        <v/>
      </c>
      <c r="E2976">
        <f>INDEX(FactorTable!$B$2:$Y$301, MATCH(ROUND(MIN(300,MAX(1,D2976)),0), FactorTable!$A$2:$A$301,0), Skills!M6+1)</f>
        <v/>
      </c>
      <c r="F2976">
        <f>IF(Skills!N6=TRUE,(Skills!L6/10)*(E2976/1000),Skills!L6/10)+Skills!O6</f>
        <v/>
      </c>
      <c r="G2976">
        <f>Skills!G6*IF(Skills!H6&gt;0,Skills!I6/Skills!H6,1)</f>
        <v/>
      </c>
      <c r="H2976">
        <f>1-(1-Skills!J6/100)^Skills!K6</f>
        <v/>
      </c>
      <c r="I2976" t="inlineStr">
        <is>
          <t>1</t>
        </is>
      </c>
      <c r="J2976">
        <f>((Inputs!$B$6*(1+Inputs!$B$7/100))+(((Inputs!$B$12*(1+Inputs!$B$13/100))-(Inputs!$B$12*(1+Inputs!$B$13/100)))+0.25*(Inputs!$B$14-Inputs!$B$14))*(1+Inputs!$B$7/100))*(F2976/100)</f>
        <v/>
      </c>
      <c r="K2976">
        <f>J2976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2988=TRUE,F2988,0)/100)*(1+(IF(Skills!A6="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2976)</f>
        <v/>
      </c>
      <c r="L2976">
        <f>K2976*(MIN(Inputs!$B$22+((C2994=TRUE)*(F2994-Calc!F24)),(Inputs!$B$23+((C2999=TRUE)*(F2999-Calc!F29))+IF(ArtifactsInput!$M$15,CHOOSE(ArtifactsInput!$N$15+1,25,30,35,40,45,50)/100*(Inputs!$B$11-Inputs!$B$11),0)))/100+(Inputs!$B$23+((C2999=TRUE)*(F2999-Calc!F29))+IF(ArtifactsInput!$M$15,CHOOSE(ArtifactsInput!$N$15+1,25,30,35,40,45,50)/100*(Inputs!$B$11-Inputs!$B$11),0))/100)/2</f>
        <v/>
      </c>
      <c r="M2976">
        <f>L2976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IF(B3015=0,0,O2976/B3015)</f>
        <v/>
      </c>
      <c r="Q2976">
        <f>IFERROR(1/IF(Inputs!$B$39="pvp",15,MAX(0.1,Skills!D6-IF(Skills!E6=TRUE,Inputs!$B$32,0))),0)</f>
        <v/>
      </c>
      <c r="R2976">
        <f>IF(AND(Inputs!$B$39&lt;&gt;"pvp",Inputs!$B$44&gt;0),IF(MAX(0,Inputs!$B$44-B3014)&lt;=0,0,(INT(MAX(0,Inputs!$B$44-B3014)/IF(Inputs!$B$39="pvp",15,MAX(0.1,Skills!D6-IF(Skills!E6=TRUE,Inputs!$B$32,0))))+1)),0)</f>
        <v/>
      </c>
      <c r="S2976">
        <f>IFERROR(O2976/N2976,0)</f>
        <v/>
      </c>
      <c r="T2976">
        <f>IF(C2976,(H2976*N2976*IF(AND(Inputs!$B$39&lt;&gt;"pvp",Inputs!$B$44&gt;0),((Skills!G6*((R2976-1)*IF(Skills!H6&gt;0,Skills!I6/Skills!H6,1)+IF(Skills!H6&gt;0,MIN(Skills!I6,MAX(0,MAX(0,Inputs!$B$44-B3014)-((R2976-1)*IF(Inputs!$B$39="pvp",15,MAX(0.1,Skills!D6-IF(Skills!E6=TRUE,Inputs!$B$32,0))))))/Skills!H6,1)))/Inputs!$B$44),G2976*Q2976))*IF(Inputs!$B$39="pvp",1,1+(Inputs!$B$20+0+Skills!P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2976*(1-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6*((R2976-1)*IF(Skills!H6&gt;0,Skills!I6/Skills!H6,1)+IF(Skills!H6&gt;0,MIN(Skills!I6,MAX(0,MAX(0,Inputs!$B$44-B3014)-((R2976-1)*IF(Inputs!$B$39="pvp",15,MAX(0.1,Skills!D6-IF(Skills!E6=TRUE,Inputs!$B$32,0))))))/Skills!H6,1)))/Inputs!$B$44),G2976*Q2976))*IF(Inputs!$B$39="pvp",1,(1+(Inputs!$B$21+Skills!Q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Skills!A7</f>
        <v/>
      </c>
      <c r="B2977">
        <f>Skills!B7</f>
        <v/>
      </c>
      <c r="C2977">
        <f>Inputs!$B$3&gt;=60</f>
        <v/>
      </c>
      <c r="D2977">
        <f>IF(Skills!C7=1,60+Inputs!$B$25+Inputs!$B$29,IF(Skills!C7=2,90+Inputs!$B$26+Inputs!$B$29,IF(Skills!C7=3,120+Inputs!$B$27+Inputs!$B$29,MAX(0,(Inputs!$B$3-100)*3)+Inputs!$B$28+Inputs!$B$29)))</f>
        <v/>
      </c>
      <c r="E2977">
        <f>INDEX(FactorTable!$B$2:$Y$301, MATCH(ROUND(MIN(300,MAX(1,D2977)),0), FactorTable!$A$2:$A$301,0), Skills!M7+1)</f>
        <v/>
      </c>
      <c r="F2977">
        <f>IF(Skills!N7=TRUE,(Skills!L7/10)*(E2977/1000),Skills!L7/10)+Skills!O7</f>
        <v/>
      </c>
      <c r="G2977">
        <f>Skills!G7*IF(Skills!H7&gt;0,Skills!I7/Skills!H7,1)</f>
        <v/>
      </c>
      <c r="H2977">
        <f>1-(1-Skills!J7/100)^Skills!K7</f>
        <v/>
      </c>
      <c r="I2977" t="inlineStr">
        <is>
          <t>1</t>
        </is>
      </c>
      <c r="J2977" t="inlineStr"/>
      <c r="K2977" t="inlineStr"/>
      <c r="L2977" t="inlineStr"/>
      <c r="M2977" t="inlineStr"/>
      <c r="N2977" t="inlineStr"/>
      <c r="O2977">
        <f>(1-Summary!$B$11)*T2977+Summary!$B$11*V2977</f>
        <v/>
      </c>
      <c r="P2977">
        <f>IF(B3015=0,0,O2977/B3015)</f>
        <v/>
      </c>
      <c r="Q2977" t="n">
        <v>0</v>
      </c>
      <c r="R2977" t="n">
        <v>0</v>
      </c>
      <c r="S2977">
        <f>IFERROR(O2977/N2977,0)</f>
        <v/>
      </c>
      <c r="T2977" t="n">
        <v>0</v>
      </c>
      <c r="V2977" t="n">
        <v>0</v>
      </c>
    </row>
    <row r="2978">
      <c r="A2978">
        <f>Skills!A8</f>
        <v/>
      </c>
      <c r="B2978">
        <f>Skills!B8</f>
        <v/>
      </c>
      <c r="C2978">
        <f>Inputs!$B$3&gt;=72</f>
        <v/>
      </c>
      <c r="D2978">
        <f>IF(Skills!C8=1,60+Inputs!$B$25+Inputs!$B$29,IF(Skills!C8=2,90+Inputs!$B$26+Inputs!$B$29,IF(Skills!C8=3,120+Inputs!$B$27+Inputs!$B$29,MAX(0,(Inputs!$B$3-100)*3)+Inputs!$B$28+Inputs!$B$29)))</f>
        <v/>
      </c>
      <c r="E2978">
        <f>INDEX(FactorTable!$B$2:$Y$301, MATCH(ROUND(MIN(300,MAX(1,D2978)),0), FactorTable!$A$2:$A$301,0), Skills!M8+1)</f>
        <v/>
      </c>
      <c r="F2978">
        <f>IF(Skills!N8=TRUE,(Skills!L8/10)*(E2978/1000),Skills!L8/10)+Skills!O8</f>
        <v/>
      </c>
      <c r="G2978">
        <f>Skills!G8*IF(Skills!H8&gt;0,Skills!I8/Skills!H8,1)</f>
        <v/>
      </c>
      <c r="H2978">
        <f>1-(1-Skills!J8/100)^Skills!K8</f>
        <v/>
      </c>
      <c r="I2978" t="inlineStr">
        <is>
          <t>1</t>
        </is>
      </c>
      <c r="J2978">
        <f>((Inputs!$B$6*(1+Inputs!$B$7/100))+(((Inputs!$B$12*(1+Inputs!$B$13/100))-(Inputs!$B$12*(1+Inputs!$B$13/100)))+0.25*(Inputs!$B$14-Inputs!$B$14))*(1+Inputs!$B$7/100))*(F2978/100)</f>
        <v/>
      </c>
      <c r="K2978">
        <f>J2978*(1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2988=TRUE,F2988,0)/100)*(1+(IF(Skills!A8="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2978)</f>
        <v/>
      </c>
      <c r="L2978">
        <f>K2978*(MIN(Inputs!$B$22+((C2994=TRUE)*(F2994-Calc!F24)),(Inputs!$B$23+((C2999=TRUE)*(F2999-Calc!F29))+IF(ArtifactsInput!$M$15,CHOOSE(ArtifactsInput!$N$15+1,25,30,35,40,45,50)/100*(Inputs!$B$11-Inputs!$B$11),0)))/100+(Inputs!$B$23+((C2999=TRUE)*(F2999-Calc!F29))+IF(ArtifactsInput!$M$15,CHOOSE(ArtifactsInput!$N$15+1,25,30,35,40,45,50)/100*(Inputs!$B$11-Inputs!$B$11),0))/100)/2</f>
        <v/>
      </c>
      <c r="M2978">
        <f>L2978*(1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8">
        <f>L2978*(1-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2978*(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8">
        <f>(1-Summary!$B$11)*T2978+Summary!$B$11*V2978</f>
        <v/>
      </c>
      <c r="P2978">
        <f>IF(B3015=0,0,O2978/B3015)</f>
        <v/>
      </c>
      <c r="Q2978">
        <f>IFERROR(1/IF(Inputs!$B$39="pvp",15,MAX(0.1,Skills!D8-IF(Skills!E8=TRUE,Inputs!$B$32,0))),0)</f>
        <v/>
      </c>
      <c r="R2978">
        <f>IF(AND(Inputs!$B$39&lt;&gt;"pvp",Inputs!$B$44&gt;0),IF(MAX(0,Inputs!$B$44-B3014)&lt;=0,0,(INT(MAX(0,Inputs!$B$44-B3014)/IF(Inputs!$B$39="pvp",15,MAX(0.1,Skills!D8-IF(Skills!E8=TRUE,Inputs!$B$32,0))))+1)),0)</f>
        <v/>
      </c>
      <c r="S2978">
        <f>IFERROR(O2978/N2978,0)</f>
        <v/>
      </c>
      <c r="T2978">
        <f>IF(C2978,(H2978*N2978*IF(AND(Inputs!$B$39&lt;&gt;"pvp",Inputs!$B$44&gt;0),((Skills!G8*((R2978-1)*IF(Skills!H8&gt;0,Skills!I8/Skills!H8,1)+IF(Skills!H8&gt;0,MIN(Skills!I8,MAX(0,MAX(0,Inputs!$B$44-B3014)-((R2978-1)*IF(Inputs!$B$39="pvp",15,MAX(0.1,Skills!D8-IF(Skills!E8=TRUE,Inputs!$B$32,0))))))/Skills!H8,1)))/Inputs!$B$44),G2978*Q2978))*IF(Inputs!$B$39="pvp",1,1+(Inputs!$B$20+0+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2978*(1-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2978*(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2978*(1-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2978*(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8">
        <f>IF(C2978,(H2978*N2978*IF(AND(Inputs!$B$39&lt;&gt;"pvp",Inputs!$B$44&gt;0),((Skills!G8*((R2978-1)*IF(Skills!H8&gt;0,Skills!I8/Skills!H8,1)+IF(Skills!H8&gt;0,MIN(Skills!I8,MAX(0,MAX(0,Inputs!$B$44-B3014)-((R2978-1)*IF(Inputs!$B$39="pvp",15,MAX(0.1,Skills!D8-IF(Skills!E8=TRUE,Inputs!$B$32,0))))))/Skills!H8,1)))/Inputs!$B$44),G2978*Q2978))*IF(Inputs!$B$39="pvp",1,(1+(Inputs!$B$21+Skills!Q8+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9">
      <c r="A2979">
        <f>Skills!A9</f>
        <v/>
      </c>
      <c r="B2979">
        <f>Skills!B9</f>
        <v/>
      </c>
      <c r="C2979">
        <f>Inputs!$B$3&gt;=117</f>
        <v/>
      </c>
      <c r="D2979">
        <f>IF(Skills!C9=1,60+Inputs!$B$25+Inputs!$B$29,IF(Skills!C9=2,90+Inputs!$B$26+Inputs!$B$29,IF(Skills!C9=3,120+Inputs!$B$27+Inputs!$B$29,MAX(0,(Inputs!$B$3-100)*3)+Inputs!$B$28+Inputs!$B$29)))</f>
        <v/>
      </c>
      <c r="E2979">
        <f>INDEX(FactorTable!$B$2:$Y$301, MATCH(ROUND(MIN(300,MAX(1,D2979)),0), FactorTable!$A$2:$A$301,0), Skills!M9+1)</f>
        <v/>
      </c>
      <c r="F2979">
        <f>IF(Skills!N9=TRUE,(Skills!L9/10)*(E2979/1000),Skills!L9/10)+Skills!O9</f>
        <v/>
      </c>
      <c r="G2979">
        <f>Skills!G9*IF(Skills!H9&gt;0,Skills!I9/Skills!H9,1)</f>
        <v/>
      </c>
      <c r="H2979">
        <f>1-(1-Skills!J9/100)^Skills!K9</f>
        <v/>
      </c>
      <c r="I2979" t="inlineStr">
        <is>
          <t>1</t>
        </is>
      </c>
      <c r="J2979">
        <f>((Inputs!$B$6*(1+Inputs!$B$7/100))+(((Inputs!$B$12*(1+Inputs!$B$13/100))-(Inputs!$B$12*(1+Inputs!$B$13/100)))+0.25*(Inputs!$B$14-Inputs!$B$14))*(1+Inputs!$B$7/100))*(F2979/100)</f>
        <v/>
      </c>
      <c r="K2979">
        <f>J2979*(1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2979)</f>
        <v/>
      </c>
      <c r="L2979">
        <f>K2979*(MIN(Inputs!$B$22+((C2994=TRUE)*(F2994-Calc!F24)),(Inputs!$B$23+((C2999=TRUE)*(F2999-Calc!F29))+IF(ArtifactsInput!$M$15,CHOOSE(ArtifactsInput!$N$15+1,25,30,35,40,45,50)/100*(Inputs!$B$11-Inputs!$B$11),0)))/100+(Inputs!$B$23+((C2999=TRUE)*(F2999-Calc!F29))+IF(ArtifactsInput!$M$15,CHOOSE(ArtifactsInput!$N$15+1,25,30,35,40,45,50)/100*(Inputs!$B$11-Inputs!$B$11),0))/100)/2</f>
        <v/>
      </c>
      <c r="M2979">
        <f>L2979*(1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9">
        <f>L2979*(1-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2979*(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9">
        <f>(1-Summary!$B$11)*T2979+Summary!$B$11*V2979</f>
        <v/>
      </c>
      <c r="P2979">
        <f>IF(B3015=0,0,O2979/B3015)</f>
        <v/>
      </c>
      <c r="Q2979" t="n">
        <v>0</v>
      </c>
      <c r="R2979" t="n">
        <v>0</v>
      </c>
      <c r="S2979" t="n">
        <v>0</v>
      </c>
      <c r="T2979">
        <f>IF(C2979,(0.2*SUMPRODUCT((Skills!Z2:Z30=TRUE)*(C2972:C3000=TRUE)*S2972:S3000)*N2979)*IF(Inputs!$B$39="pvp",1,1+(Inputs!$B$20+0+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2979*(1-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2979*(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2979*(1-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2979*(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9">
        <f>IF(C2979,(0.2*SUMPRODUCT((Skills!Z2:Z30=TRUE)*(C2972:C3000=TRUE)*S2972:S3000)*N2979)*IF(Inputs!$B$39="pvp",1,(1+(Inputs!$B$21+Skills!Q9+B3004+(IF(ArtifactsInput!$M$33,CHOOSE(ArtifactsInput!$N$33+1,30,36,42,48,54,60),0))+(IF(AND(ArtifactsInput!$M$35,Inputs!$B$4&lt;&gt;"Chapter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0">
      <c r="A2980">
        <f>Skills!A10</f>
        <v/>
      </c>
      <c r="B2980">
        <f>Skills!B10</f>
        <v/>
      </c>
      <c r="C2980">
        <f>Inputs!$B$3&gt;=74</f>
        <v/>
      </c>
      <c r="D2980">
        <f>IF(Skills!C10=1,60+Inputs!$B$25+Inputs!$B$29,IF(Skills!C10=2,90+Inputs!$B$26+Inputs!$B$29,IF(Skills!C10=3,120+Inputs!$B$27+Inputs!$B$29,MAX(0,(Inputs!$B$3-100)*3)+Inputs!$B$28+Inputs!$B$29)))</f>
        <v/>
      </c>
      <c r="E2980">
        <f>INDEX(FactorTable!$B$2:$Y$301, MATCH(ROUND(MIN(300,MAX(1,D2980)),0), FactorTable!$A$2:$A$301,0), Skills!M10+1)</f>
        <v/>
      </c>
      <c r="F2980">
        <f>IF(Skills!N10=TRUE,(Skills!L10/10)*(E2980/1000),Skills!L10/10)+Skills!O10</f>
        <v/>
      </c>
      <c r="G2980">
        <f>Skills!G10*IF(Skills!H10&gt;0,Skills!I10/Skills!H10,1)</f>
        <v/>
      </c>
      <c r="H2980">
        <f>1-(1-Skills!J10/100)^Skills!K10</f>
        <v/>
      </c>
      <c r="I2980" t="inlineStr">
        <is>
          <t>1</t>
        </is>
      </c>
      <c r="J2980" t="inlineStr"/>
      <c r="K2980" t="inlineStr"/>
      <c r="L2980" t="inlineStr"/>
      <c r="M2980" t="inlineStr"/>
      <c r="N2980" t="inlineStr"/>
      <c r="O2980">
        <f>(1-Summary!$B$11)*T2980+Summary!$B$11*V2980</f>
        <v/>
      </c>
      <c r="P2980">
        <f>IF(B3015=0,0,O2980/B3015)</f>
        <v/>
      </c>
      <c r="Q2980">
        <f>IFERROR(1/IF(Inputs!$B$39="pvp",15,MAX(0.1,Skills!D10-IF(Skills!E10=TRUE,Inputs!$B$32,0))),0)</f>
        <v/>
      </c>
      <c r="R2980">
        <f>IF(AND(Inputs!$B$39&lt;&gt;"pvp",Inputs!$B$44&gt;0),IF(Inputs!$B$44&lt;=0,0,(INT(Inputs!$B$44/IF(Inputs!$B$39="pvp",15,MAX(0.1,Skills!D10-IF(Skills!E10=TRUE,Inputs!$B$32,0))))+1)),0)</f>
        <v/>
      </c>
      <c r="S2980">
        <f>IFERROR(O2980/N2980,0)</f>
        <v/>
      </c>
      <c r="T2980" t="n">
        <v>0</v>
      </c>
      <c r="V2980" t="n">
        <v>0</v>
      </c>
    </row>
    <row r="2981">
      <c r="A2981">
        <f>Skills!A11</f>
        <v/>
      </c>
      <c r="B2981">
        <f>Skills!B11</f>
        <v/>
      </c>
      <c r="C2981">
        <f>Inputs!$B$3&gt;=103</f>
        <v/>
      </c>
      <c r="D2981">
        <f>IF(Skills!C11=1,60+Inputs!$B$25+Inputs!$B$29,IF(Skills!C11=2,90+Inputs!$B$26+Inputs!$B$29,IF(Skills!C11=3,120+Inputs!$B$27+Inputs!$B$29,MAX(0,(Inputs!$B$3-100)*3)+Inputs!$B$28+Inputs!$B$29)))</f>
        <v/>
      </c>
      <c r="E2981">
        <f>INDEX(FactorTable!$B$2:$Y$301, MATCH(ROUND(MIN(300,MAX(1,D2981)),0), FactorTable!$A$2:$A$301,0), Skills!M11+1)</f>
        <v/>
      </c>
      <c r="F2981">
        <f>(Skills!L11/10)*(E2981/1000)+IF(Inputs!$B$3&gt;=134,50,0)+0.5*(30000/10)*(INDEX(FactorTable!$B$2:$Y$301, MATCH(ROUND(MIN(300,MAX(1,D2981)),0), FactorTable!$A$2:$A$301,0), 13)/1000)*B3013</f>
        <v/>
      </c>
      <c r="G2981">
        <f>Skills!G11*IF(Skills!H11&gt;0,Skills!I11/Skills!H11,1)</f>
        <v/>
      </c>
      <c r="H2981">
        <f>1-(1-Skills!J11/100)^Skills!K11</f>
        <v/>
      </c>
      <c r="I2981" t="inlineStr">
        <is>
          <t>1</t>
        </is>
      </c>
      <c r="J2981">
        <f>((Inputs!$B$6*(1+Inputs!$B$7/100))+(((Inputs!$B$12*(1+Inputs!$B$13/100))-(Inputs!$B$12*(1+Inputs!$B$13/100)))+0.25*(Inputs!$B$14-Inputs!$B$14))*(1+Inputs!$B$7/100))*(F2981/100)</f>
        <v/>
      </c>
      <c r="K2981">
        <f>J2981*(1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2981)</f>
        <v/>
      </c>
      <c r="L2981">
        <f>K2981*(MIN(Inputs!$B$22+((C2994=TRUE)*(F2994-Calc!F24)),(Inputs!$B$23+((C2999=TRUE)*(F2999-Calc!F29))+IF(ArtifactsInput!$M$15,CHOOSE(ArtifactsInput!$N$15+1,25,30,35,40,45,50)/100*(Inputs!$B$11-Inputs!$B$11),0)))/100+(Inputs!$B$23+((C2999=TRUE)*(F2999-Calc!F29))+IF(ArtifactsInput!$M$15,CHOOSE(ArtifactsInput!$N$15+1,25,30,35,40,45,50)/100*(Inputs!$B$11-Inputs!$B$11),0))/100)/2</f>
        <v/>
      </c>
      <c r="M2981">
        <f>L2981*(1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1">
        <f>L2981*(1-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(1-Summary!$B$11)*T2981+Summary!$B$11*V2981</f>
        <v/>
      </c>
      <c r="P2981">
        <f>IF(B3015=0,0,O2981/B3015)</f>
        <v/>
      </c>
      <c r="Q2981">
        <f>IFERROR(1/IF(Inputs!$B$39="pvp",15,MAX(0.1,Skills!D11-IF(Skills!E11=TRUE,Inputs!$B$32,0))),0)</f>
        <v/>
      </c>
      <c r="R2981">
        <f>IF(AND(Inputs!$B$39&lt;&gt;"pvp",Inputs!$B$44&gt;0),IF(MAX(0,Inputs!$B$44-B3014)&lt;=0,0,(INT(MAX(0,Inputs!$B$44-B3014)/IF(Inputs!$B$39="pvp",15,MAX(0.1,Skills!D11-IF(Skills!E11=TRUE,Inputs!$B$32,0))))+1)),0)</f>
        <v/>
      </c>
      <c r="S2981">
        <f>IFERROR(O2981/N2981,0)</f>
        <v/>
      </c>
      <c r="T2981">
        <f>IF(C2981,(H2981*N2981*IF(AND(Inputs!$B$39&lt;&gt;"pvp",Inputs!$B$44&gt;0),((Skills!G11*((R2981-1)*IF(Skills!H11&gt;0,Skills!I11/Skills!H11,1)+IF(Skills!H11&gt;0,MIN(Skills!I11,MAX(0,MAX(0,Inputs!$B$44-B3014)-((R2981-1)*IF(Inputs!$B$39="pvp",15,MAX(0.1,Skills!D11-IF(Skills!E11=TRUE,Inputs!$B$32,0))))))/Skills!H11,1)))/Inputs!$B$44),G2981*Q2981))*IF(Inputs!$B$39="pvp",1,1+(Inputs!$B$20+0+Skills!P11+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2981*(1-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1">
        <f>IF(C2981,(H2981*N2981*IF(AND(Inputs!$B$39&lt;&gt;"pvp",Inputs!$B$44&gt;0),((Skills!G11*((R2981-1)*IF(Skills!H11&gt;0,Skills!I11/Skills!H11,1)+IF(Skills!H11&gt;0,MIN(Skills!I11,MAX(0,MAX(0,Inputs!$B$44-B3014)-((R2981-1)*IF(Inputs!$B$39="pvp",15,MAX(0.1,Skills!D11-IF(Skills!E11=TRUE,Inputs!$B$32,0))))))/Skills!H11,1)))/Inputs!$B$44),G2981*Q2981))*IF(Inputs!$B$39="pvp",1,(1+(Inputs!$B$21+Skills!Q11+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Skills!A12</f>
        <v/>
      </c>
      <c r="B2982">
        <f>Skills!B12</f>
        <v/>
      </c>
      <c r="C2982">
        <f>Inputs!$B$3&gt;=105</f>
        <v/>
      </c>
      <c r="D2982">
        <f>IF(Skills!C12=1,60+Inputs!$B$25+Inputs!$B$29,IF(Skills!C12=2,90+Inputs!$B$26+Inputs!$B$29,IF(Skills!C12=3,120+Inputs!$B$27+Inputs!$B$29,MAX(0,(Inputs!$B$3-100)*3)+Inputs!$B$28+Inputs!$B$29)))</f>
        <v/>
      </c>
      <c r="E2982">
        <f>INDEX(FactorTable!$B$2:$Y$301, MATCH(ROUND(MIN(300,MAX(1,D2982)),0), FactorTable!$A$2:$A$301,0), Skills!M12+1)</f>
        <v/>
      </c>
      <c r="F2982">
        <f>IF(Skills!N12=TRUE,(Skills!L12/10)*(E2982/1000),Skills!L12/10)+Skills!O12</f>
        <v/>
      </c>
      <c r="G2982">
        <f>Skills!G12*IF(Skills!H12&gt;0,Skills!I12/Skills!H12,1)</f>
        <v/>
      </c>
      <c r="H2982">
        <f>1-(1-Skills!J12/100)^Skills!K12</f>
        <v/>
      </c>
      <c r="I2982" t="inlineStr">
        <is>
          <t>1</t>
        </is>
      </c>
      <c r="J2982">
        <f>((Inputs!$B$6*(1+Inputs!$B$7/100))+(((Inputs!$B$12*(1+Inputs!$B$13/100))-(Inputs!$B$12*(1+Inputs!$B$13/100)))+0.25*(Inputs!$B$14-Inputs!$B$14))*(1+Inputs!$B$7/100))*(F2982/100)</f>
        <v/>
      </c>
      <c r="K2982">
        <f>J2982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2982)</f>
        <v/>
      </c>
      <c r="L2982">
        <f>K2982*(MIN(Inputs!$B$22+((C2994=TRUE)*(F2994-Calc!F24)),(Inputs!$B$23+((C2999=TRUE)*(F2999-Calc!F29))+IF(ArtifactsInput!$M$15,CHOOSE(ArtifactsInput!$N$15+1,25,30,35,40,45,50)/100*(Inputs!$B$11-Inputs!$B$11),0)))/100+(Inputs!$B$23+((C2999=TRUE)*(F2999-Calc!F29))+IF(ArtifactsInput!$M$15,CHOOSE(ArtifactsInput!$N$15+1,25,30,35,40,45,50)/100*(Inputs!$B$11-Inputs!$B$11),0))/100)/2</f>
        <v/>
      </c>
      <c r="M2982">
        <f>L2982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2">
        <f>L2982*(1-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2982*(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2">
        <f>(1-Summary!$B$11)*T2982+Summary!$B$11*V2982</f>
        <v/>
      </c>
      <c r="P2982">
        <f>IF(B3015=0,0,O2982/B3015)</f>
        <v/>
      </c>
      <c r="Q2982">
        <f>IFERROR(1/IF(Inputs!$B$39="pvp",15,MAX(0.1,Skills!D12-IF(Skills!E12=TRUE,Inputs!$B$32,0))),0)</f>
        <v/>
      </c>
      <c r="R2982">
        <f>IF(AND(Inputs!$B$39&lt;&gt;"pvp",Inputs!$B$44&gt;0),IF(MAX(0,Inputs!$B$44-B3014)&lt;=0,0,(INT(MAX(0,Inputs!$B$44-B3014)/IF(Inputs!$B$39="pvp",15,MAX(0.1,Skills!D12-IF(Skills!E12=TRUE,Inputs!$B$32,0))))+1)),0)</f>
        <v/>
      </c>
      <c r="S2982">
        <f>IFERROR(O2982/N2982,0)</f>
        <v/>
      </c>
      <c r="T2982">
        <f>IF(C2982,(H2982*N2982*IF(AND(Inputs!$B$39&lt;&gt;"pvp",Inputs!$B$44&gt;0),((Skills!G12*((R2982-1)*IF(Skills!H12&gt;0,Skills!I12/Skills!H12,1)+IF(Skills!H12&gt;0,MIN(Skills!I12,MAX(0,MAX(0,Inputs!$B$44-B3014)-((R2982-1)*IF(Inputs!$B$39="pvp",15,MAX(0.1,Skills!D12-IF(Skills!E12=TRUE,Inputs!$B$32,0))))))/Skills!H12,1)))/Inputs!$B$44),G2982*Q2982))*IF(Inputs!$B$39="pvp",1,1+(Inputs!$B$20+0+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2982*(1-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2982*(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2982*(1-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2982*(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2">
        <f>IF(C2982,(H2982*N2982*IF(AND(Inputs!$B$39&lt;&gt;"pvp",Inputs!$B$44&gt;0),((Skills!G12*((R2982-1)*IF(Skills!H12&gt;0,Skills!I12/Skills!H12,1)+IF(Skills!H12&gt;0,MIN(Skills!I12,MAX(0,MAX(0,Inputs!$B$44-B3014)-((R2982-1)*IF(Inputs!$B$39="pvp",15,MAX(0.1,Skills!D12-IF(Skills!E12=TRUE,Inputs!$B$32,0))))))/Skills!H12,1)))/Inputs!$B$44),G2982*Q2982))*IF(Inputs!$B$39="pvp",1,(1+(Inputs!$B$21+Skills!Q12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3">
      <c r="A2983">
        <f>Skills!A13</f>
        <v/>
      </c>
      <c r="B2983">
        <f>Skills!B13</f>
        <v/>
      </c>
      <c r="C2983">
        <f>Inputs!$B$3&gt;=105</f>
        <v/>
      </c>
      <c r="D2983">
        <f>IF(Skills!C13=1,60+Inputs!$B$25+Inputs!$B$29,IF(Skills!C13=2,90+Inputs!$B$26+Inputs!$B$29,IF(Skills!C13=3,120+Inputs!$B$27+Inputs!$B$29,MAX(0,(Inputs!$B$3-100)*3)+Inputs!$B$28+Inputs!$B$29)))</f>
        <v/>
      </c>
      <c r="E2983">
        <f>INDEX(FactorTable!$B$2:$Y$301, MATCH(ROUND(MIN(300,MAX(1,D2983)),0), FactorTable!$A$2:$A$301,0), Skills!M13+1)</f>
        <v/>
      </c>
      <c r="F2983">
        <f>IF(Skills!N13=TRUE,(Skills!L13/10)*(E2983/1000),Skills!L13/10)+Skills!O13</f>
        <v/>
      </c>
      <c r="G2983">
        <f>Skills!G13*IF(Skills!H13&gt;0,Skills!I13/Skills!H13,1)</f>
        <v/>
      </c>
      <c r="H2983">
        <f>1-(1-Skills!J13/100)^Skills!K13</f>
        <v/>
      </c>
      <c r="I2983" t="inlineStr">
        <is>
          <t>1</t>
        </is>
      </c>
      <c r="J2983">
        <f>((Inputs!$B$6*(1+Inputs!$B$7/100))+(((Inputs!$B$12*(1+Inputs!$B$13/100))-(Inputs!$B$12*(1+Inputs!$B$13/100)))+0.25*(Inputs!$B$14-Inputs!$B$14))*(1+Inputs!$B$7/100))*(F2983/100)</f>
        <v/>
      </c>
      <c r="K2983">
        <f>J2983*(1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2983)</f>
        <v/>
      </c>
      <c r="L2983">
        <f>K2983*(MIN(Inputs!$B$22+((C2994=TRUE)*(F2994-Calc!F24)),(Inputs!$B$23+((C2999=TRUE)*(F2999-Calc!F29))+IF(ArtifactsInput!$M$15,CHOOSE(ArtifactsInput!$N$15+1,25,30,35,40,45,50)/100*(Inputs!$B$11-Inputs!$B$11),0)))/100+(Inputs!$B$23+((C2999=TRUE)*(F2999-Calc!F29))+IF(ArtifactsInput!$M$15,CHOOSE(ArtifactsInput!$N$15+1,25,30,35,40,45,50)/100*(Inputs!$B$11-Inputs!$B$11),0))/100)/2</f>
        <v/>
      </c>
      <c r="M2983">
        <f>L2983*(1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3">
        <f>L2983*(1-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2983*(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3">
        <f>(1-Summary!$B$11)*T2983+Summary!$B$11*V2983</f>
        <v/>
      </c>
      <c r="P2983">
        <f>IF(B3015=0,0,O2983/B3015)</f>
        <v/>
      </c>
      <c r="Q2983">
        <f>IFERROR(1/IF(Inputs!$B$39="pvp",15,MAX(0.1,Skills!D13-IF(Skills!E13=TRUE,Inputs!$B$32,0))),0)</f>
        <v/>
      </c>
      <c r="R2983">
        <f>IF(AND(Inputs!$B$39&lt;&gt;"pvp",Inputs!$B$44&gt;0),IF(MAX(0,Inputs!$B$44-B3014)&lt;=0,0,(INT(MAX(0,Inputs!$B$44-B3014)/IF(Inputs!$B$39="pvp",15,MAX(0.1,Skills!D13-IF(Skills!E13=TRUE,Inputs!$B$32,0))))+1)),0)</f>
        <v/>
      </c>
      <c r="S2983">
        <f>IFERROR(O2983/N2983,0)</f>
        <v/>
      </c>
      <c r="T2983">
        <f>IF(C2983,(H2983*N2983*IF(AND(Inputs!$B$39&lt;&gt;"pvp",Inputs!$B$44&gt;0),((Skills!G13*((R2983-1)*IF(Skills!H13&gt;0,Skills!I13/Skills!H13,1)+IF(Skills!H13&gt;0,MIN(Skills!I13,MAX(0,MAX(0,Inputs!$B$44-B3014)-((R2983-1)*IF(Inputs!$B$39="pvp",15,MAX(0.1,Skills!D13-IF(Skills!E13=TRUE,Inputs!$B$32,0))))))/Skills!H13,1)))/Inputs!$B$44),G2983*Q2983))*IF(Inputs!$B$39="pvp",1,1+(Inputs!$B$20+0+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2983*(1-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2983*(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2983*(1-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2983*(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3">
        <f>IF(C2983,(H2983*N2983*IF(AND(Inputs!$B$39&lt;&gt;"pvp",Inputs!$B$44&gt;0),((Skills!G13*((R2983-1)*IF(Skills!H13&gt;0,Skills!I13/Skills!H13,1)+IF(Skills!H13&gt;0,MIN(Skills!I13,MAX(0,MAX(0,Inputs!$B$44-B3014)-((R2983-1)*IF(Inputs!$B$39="pvp",15,MAX(0.1,Skills!D13-IF(Skills!E13=TRUE,Inputs!$B$32,0))))))/Skills!H13,1)))/Inputs!$B$44),G2983*Q2983))*IF(Inputs!$B$39="pvp",1,(1+(Inputs!$B$21+Skills!Q13+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4">
      <c r="A2984">
        <f>Skills!A14</f>
        <v/>
      </c>
      <c r="B2984">
        <f>Skills!B14</f>
        <v/>
      </c>
      <c r="C2984">
        <f>Inputs!$B$3&gt;=107</f>
        <v/>
      </c>
      <c r="D2984">
        <f>IF(Skills!C14=1,60+Inputs!$B$25+Inputs!$B$29,IF(Skills!C14=2,90+Inputs!$B$26+Inputs!$B$29,IF(Skills!C14=3,120+Inputs!$B$27+Inputs!$B$29,MAX(0,(Inputs!$B$3-100)*3)+Inputs!$B$28+Inputs!$B$29)))</f>
        <v/>
      </c>
      <c r="E2984">
        <f>INDEX(FactorTable!$B$2:$Y$301, MATCH(ROUND(MIN(300,MAX(1,D2984)),0), FactorTable!$A$2:$A$301,0), Skills!M14+1)</f>
        <v/>
      </c>
      <c r="F2984">
        <f>IF(Skills!N14=TRUE,(Skills!L14/10)*(E2984/1000),Skills!L14/10)+Skills!O14</f>
        <v/>
      </c>
      <c r="G2984">
        <f>Skills!G14*IF(Skills!H14&gt;0,Skills!I14/Skills!H14,1)</f>
        <v/>
      </c>
      <c r="H2984">
        <f>1-(1-Skills!J14/100)^Skills!K14</f>
        <v/>
      </c>
      <c r="I2984" t="inlineStr">
        <is>
          <t>1</t>
        </is>
      </c>
      <c r="J2984">
        <f>((Inputs!$B$6*(1+Inputs!$B$7/100))+(((Inputs!$B$12*(1+Inputs!$B$13/100))-(Inputs!$B$12*(1+Inputs!$B$13/100)))+0.25*(Inputs!$B$14-Inputs!$B$14))*(1+Inputs!$B$7/100))*(F2984/100)</f>
        <v/>
      </c>
      <c r="K2984">
        <f>J2984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2984)</f>
        <v/>
      </c>
      <c r="L2984">
        <f>K2984*(MIN(Inputs!$B$22+((C2994=TRUE)*(F2994-Calc!F24)),(Inputs!$B$23+((C2999=TRUE)*(F2999-Calc!F29))+IF(ArtifactsInput!$M$15,CHOOSE(ArtifactsInput!$N$15+1,25,30,35,40,45,50)/100*(Inputs!$B$11-Inputs!$B$11),0)))/100+(Inputs!$B$23+((C2999=TRUE)*(F2999-Calc!F29))+IF(ArtifactsInput!$M$15,CHOOSE(ArtifactsInput!$N$15+1,25,30,35,40,45,50)/100*(Inputs!$B$11-Inputs!$B$11),0))/100)/2</f>
        <v/>
      </c>
      <c r="M2984">
        <f>L2984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4">
        <f>L2984*(1-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2984*(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4">
        <f>(1-Summary!$B$11)*T2984+Summary!$B$11*V2984</f>
        <v/>
      </c>
      <c r="P2984">
        <f>IF(B3015=0,0,O2984/B3015)</f>
        <v/>
      </c>
      <c r="Q2984">
        <f>IFERROR(1/IF(Inputs!$B$39="pvp",15,MAX(0.1,Skills!D14-IF(Skills!E14=TRUE,Inputs!$B$32,0))),0)</f>
        <v/>
      </c>
      <c r="R2984">
        <f>IF(AND(Inputs!$B$39&lt;&gt;"pvp",Inputs!$B$44&gt;0),IF(MAX(0,Inputs!$B$44-B3014)&lt;=0,0,(INT(MAX(0,Inputs!$B$44-B3014)/IF(Inputs!$B$39="pvp",15,MAX(0.1,Skills!D14-IF(Skills!E14=TRUE,Inputs!$B$32,0))))+1)),0)</f>
        <v/>
      </c>
      <c r="S2984">
        <f>IFERROR(O2984/N2984,0)</f>
        <v/>
      </c>
      <c r="T2984">
        <f>IF(C2984,(H2984*N2984*IF(AND(Inputs!$B$39&lt;&gt;"pvp",Inputs!$B$44&gt;0),((Skills!G14*((R2984-1)*IF(Skills!H14&gt;0,Skills!I14/Skills!H14,1)+IF(Skills!H14&gt;0,MIN(Skills!I14,MAX(0,MAX(0,Inputs!$B$44-B3014)-((R2984-1)*IF(Inputs!$B$39="pvp",15,MAX(0.1,Skills!D14-IF(Skills!E14=TRUE,Inputs!$B$32,0))))))/Skills!H14,1)))/Inputs!$B$44),G2984*Q2984))*IF(Inputs!$B$39="pvp",1,1+(Inputs!$B$20+0+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2984*(1-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2984*(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2984*(1-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2984*(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4">
        <f>IF(C2984,(H2984*N2984*IF(AND(Inputs!$B$39&lt;&gt;"pvp",Inputs!$B$44&gt;0),((Skills!G14*((R2984-1)*IF(Skills!H14&gt;0,Skills!I14/Skills!H14,1)+IF(Skills!H14&gt;0,MIN(Skills!I14,MAX(0,MAX(0,Inputs!$B$44-B3014)-((R2984-1)*IF(Inputs!$B$39="pvp",15,MAX(0.1,Skills!D14-IF(Skills!E14=TRUE,Inputs!$B$32,0))))))/Skills!H14,1)))/Inputs!$B$44),G2984*Q2984))*IF(Inputs!$B$39="pvp",1,(1+(Inputs!$B$21+Skills!Q14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(5,0.25*B3007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5">
      <c r="A2985">
        <f>Skills!A15</f>
        <v/>
      </c>
      <c r="B2985">
        <f>Skills!B15</f>
        <v/>
      </c>
      <c r="C2985">
        <f>Inputs!$B$3&gt;=110</f>
        <v/>
      </c>
      <c r="D2985">
        <f>IF(Skills!C15=1,60+Inputs!$B$25+Inputs!$B$29,IF(Skills!C15=2,90+Inputs!$B$26+Inputs!$B$29,IF(Skills!C15=3,120+Inputs!$B$27+Inputs!$B$29,MAX(0,(Inputs!$B$3-100)*3)+Inputs!$B$28+Inputs!$B$29)))</f>
        <v/>
      </c>
      <c r="E2985">
        <f>INDEX(FactorTable!$B$2:$Y$301, MATCH(ROUND(MIN(300,MAX(1,D2985)),0), FactorTable!$A$2:$A$301,0), Skills!M15+1)</f>
        <v/>
      </c>
      <c r="F2985">
        <f>IF(Skills!N15=TRUE,(Skills!L15/10)*(E2985/1000),Skills!L15/10)+Skills!O15</f>
        <v/>
      </c>
      <c r="G2985">
        <f>Skills!G15*IF(Skills!H15&gt;0,Skills!I15/Skills!H15,1)</f>
        <v/>
      </c>
      <c r="H2985">
        <f>1-(1-Skills!J15/100)^Skills!K15</f>
        <v/>
      </c>
      <c r="I2985" t="inlineStr">
        <is>
          <t>1</t>
        </is>
      </c>
      <c r="J2985" t="inlineStr"/>
      <c r="K2985" t="inlineStr"/>
      <c r="L2985" t="inlineStr"/>
      <c r="M2985" t="inlineStr"/>
      <c r="N2985" t="inlineStr"/>
      <c r="O2985">
        <f>(1-Summary!$B$11)*T2985+Summary!$B$11*V2985</f>
        <v/>
      </c>
      <c r="P2985">
        <f>IF(B3015=0,0,O2985/B3015)</f>
        <v/>
      </c>
      <c r="Q2985">
        <f>IFERROR(1/IF(Inputs!$B$39="pvp",15,MAX(0.1,Skills!D15-IF(Skills!E15=TRUE,Inputs!$B$32,0))),0)</f>
        <v/>
      </c>
      <c r="R2985">
        <f>IF(AND(Inputs!$B$39&lt;&gt;"pvp",Inputs!$B$44&gt;0),IF(Inputs!$B$44&lt;=0,0,(INT(Inputs!$B$44/IF(Inputs!$B$39="pvp",15,MAX(0.1,Skills!D15-IF(Skills!E15=TRUE,Inputs!$B$32,0))))+1)),0)</f>
        <v/>
      </c>
      <c r="S2985">
        <f>IFERROR(O2985/N2985,0)</f>
        <v/>
      </c>
      <c r="T2985" t="n">
        <v>0</v>
      </c>
      <c r="V2985" t="n">
        <v>0</v>
      </c>
    </row>
    <row r="2986">
      <c r="A2986">
        <f>Skills!A16</f>
        <v/>
      </c>
      <c r="B2986">
        <f>Skills!B16</f>
        <v/>
      </c>
      <c r="C2986">
        <f>Inputs!$B$3&gt;=115</f>
        <v/>
      </c>
      <c r="D2986">
        <f>IF(Skills!C16=1,60+Inputs!$B$25+Inputs!$B$29,IF(Skills!C16=2,90+Inputs!$B$26+Inputs!$B$29,IF(Skills!C16=3,120+Inputs!$B$27+Inputs!$B$29,MAX(0,(Inputs!$B$3-100)*3)+Inputs!$B$28+Inputs!$B$29)))</f>
        <v/>
      </c>
      <c r="E2986">
        <f>INDEX(FactorTable!$B$2:$Y$301, MATCH(ROUND(MIN(300,MAX(1,D2986)),0), FactorTable!$A$2:$A$301,0), Skills!M16+1)</f>
        <v/>
      </c>
      <c r="F2986">
        <f>IF(Skills!N16=TRUE,(Skills!L16/10)*(E2986/1000),Skills!L16/10)+Skills!O16</f>
        <v/>
      </c>
      <c r="G2986">
        <f>Skills!G16*IF(Skills!H16&gt;0,Skills!I16/Skills!H16,1)</f>
        <v/>
      </c>
      <c r="H2986">
        <f>1-(1-Skills!J16/100)^Skills!K16</f>
        <v/>
      </c>
      <c r="I2986" t="inlineStr">
        <is>
          <t>1</t>
        </is>
      </c>
      <c r="J2986">
        <f>((Inputs!$B$6*(1+Inputs!$B$7/100))+(((Inputs!$B$12*(1+Inputs!$B$13/100))-(Inputs!$B$12*(1+Inputs!$B$13/100)))+0.25*(Inputs!$B$14-Inputs!$B$14))*(1+Inputs!$B$7/100))*(F2986/100)</f>
        <v/>
      </c>
      <c r="K2986">
        <f>J2986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2997=TRUE)*(F2997-Calc!F27))+((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2986)</f>
        <v/>
      </c>
      <c r="L2986">
        <f>K2986*(MIN(Inputs!$B$22+((C2994=TRUE)*(F2994-Calc!F24)),(Inputs!$B$23+((C2999=TRUE)*(F2999-Calc!F29))+IF(ArtifactsInput!$M$15,CHOOSE(ArtifactsInput!$N$15+1,25,30,35,40,45,50)/100*(Inputs!$B$11-Inputs!$B$11),0)))/100+(Inputs!$B$23+((C2999=TRUE)*(F2999-Calc!F29))+IF(ArtifactsInput!$M$15,CHOOSE(ArtifactsInput!$N$15+1,25,30,35,40,45,50)/100*(Inputs!$B$11-Inputs!$B$11),0))/100)/2</f>
        <v/>
      </c>
      <c r="M2986">
        <f>L2986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6">
        <f>L2986*(1-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2986*(MIN((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6">
        <f>(1-Summary!$B$11)*T2986+Summary!$B$11*V2986</f>
        <v/>
      </c>
      <c r="P2986">
        <f>IF(B3015=0,0,O2986/B3015)</f>
        <v/>
      </c>
      <c r="Q2986" t="n">
        <v>0</v>
      </c>
      <c r="R2986" t="n">
        <v>0</v>
      </c>
      <c r="S2986">
        <f>IFERROR(O2986/N2986,0)</f>
        <v/>
      </c>
      <c r="T2986">
        <f>IF(C2986,(Inputs!$B$38*0.2*N2986)*IF(Inputs!$B$39="pvp",1,1+(Inputs!$B$20+0+Skills!P16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2986*(1-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2986*(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2986*(1-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2986*(MIN(100,(Inputs!$B$9+((C2995=TRUE)*(F2995-Calc!F25))+B3003+(ArtifactsInput!$M$24-ArtifactsInput!$M$24)*CHOOSE(ArtifactsInput!$N$24+1,10,12,14,16,18,20)+(IF(AND(Inputs!$B$39&lt;&gt;"pvp",Inputs!$B$44=0),1,IF(IF(Inputs!$B$39="pvp",15,Inputs!$B$44)-(B3014)&lt;=0,1,MAX(0,IF(Inputs!$B$39="pvp",15,Inputs!$B$44)-MAX(5,B3014))/(IF(Inputs!$B$39="pvp",15,Inputs!$B$44)-(B3014))))*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6">
        <f>IF(C2986,(Inputs!$B$38*0.2*N2986)*IF(Inputs!$B$39="pvp",1,(1+(Inputs!$B$21+Skills!Q16+B3004+(IF(ArtifactsInput!$M$33,CHOOSE(ArtifactsInput!$N$33+1,30,36,42,48,54,60),0))+(IF(AND(ArtifactsInput!$M$35,Inputs!$B$4&lt;&gt;"Chapter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7">
      <c r="A2987">
        <f>Skills!A17</f>
        <v/>
      </c>
      <c r="B2987">
        <f>Skills!B17</f>
        <v/>
      </c>
      <c r="C2987">
        <f>Inputs!$B$3&gt;=115</f>
        <v/>
      </c>
      <c r="D2987">
        <f>IF(Skills!C17=1,60+Inputs!$B$25+Inputs!$B$29,IF(Skills!C17=2,90+Inputs!$B$26+Inputs!$B$29,IF(Skills!C17=3,120+Inputs!$B$27+Inputs!$B$29,MAX(0,(Inputs!$B$3-100)*3)+Inputs!$B$28+Inputs!$B$29)))</f>
        <v/>
      </c>
      <c r="E2987">
        <f>INDEX(FactorTable!$B$2:$Y$301, MATCH(ROUND(MIN(300,MAX(1,D2987)),0), FactorTable!$A$2:$A$301,0), Skills!M17+1)</f>
        <v/>
      </c>
      <c r="F2987">
        <f>IF(Skills!N17=TRUE,(Skills!L17/10)*(E2987/1000),Skills!L17/10)+Skills!O17</f>
        <v/>
      </c>
      <c r="G2987">
        <f>Skills!G17*IF(Skills!H17&gt;0,Skills!I17/Skills!H17,1)</f>
        <v/>
      </c>
      <c r="H2987">
        <f>1-(1-Skills!J17/100)^Skills!K17</f>
        <v/>
      </c>
      <c r="I2987" t="inlineStr">
        <is>
          <t>1</t>
        </is>
      </c>
      <c r="J2987" t="inlineStr"/>
      <c r="K2987" t="inlineStr"/>
      <c r="L2987" t="inlineStr"/>
      <c r="M2987" t="inlineStr"/>
      <c r="N2987" t="inlineStr"/>
      <c r="O2987">
        <f>(1-Summary!$B$11)*T2987+Summary!$B$11*V2987</f>
        <v/>
      </c>
      <c r="P2987">
        <f>IF(B3015=0,0,O2987/B3015)</f>
        <v/>
      </c>
      <c r="Q2987" t="n">
        <v>0</v>
      </c>
      <c r="R2987" t="n">
        <v>0</v>
      </c>
      <c r="S2987">
        <f>IFERROR(O2987/N2987,0)</f>
        <v/>
      </c>
      <c r="T2987" t="n">
        <v>0</v>
      </c>
      <c r="V2987" t="n">
        <v>0</v>
      </c>
    </row>
    <row r="2988">
      <c r="A2988">
        <f>Skills!A18</f>
        <v/>
      </c>
      <c r="B2988">
        <f>Skills!B18</f>
        <v/>
      </c>
      <c r="C2988">
        <f>Inputs!$B$3&gt;=100</f>
        <v/>
      </c>
      <c r="D2988">
        <f>IF(Skills!C18=1,60+Inputs!$B$25+Inputs!$B$29,IF(Skills!C18=2,90+Inputs!$B$26+Inputs!$B$29,IF(Skills!C18=3,120+Inputs!$B$27+Inputs!$B$29,MAX(0,(Inputs!$B$3-100)*3)+Inputs!$B$28+Inputs!$B$29)))</f>
        <v/>
      </c>
      <c r="E2988">
        <f>INDEX(FactorTable!$B$2:$Y$301, MATCH(ROUND(MIN(300,MAX(1,D2988)),0), FactorTable!$A$2:$A$301,0), Skills!M18+1)</f>
        <v/>
      </c>
      <c r="F2988">
        <f>IF(Skills!N18=TRUE,(Skills!L18/10)*(E2988/1000),Skills!L18/10)+Skills!O18</f>
        <v/>
      </c>
      <c r="G2988">
        <f>Skills!G18*IF(Skills!H18&gt;0,Skills!I18/Skills!H18,1)</f>
        <v/>
      </c>
      <c r="H2988">
        <f>1-(1-Skills!J18/100)^Skills!K18</f>
        <v/>
      </c>
      <c r="I2988" t="inlineStr">
        <is>
          <t>1</t>
        </is>
      </c>
      <c r="J2988" t="inlineStr"/>
      <c r="K2988" t="inlineStr"/>
      <c r="L2988" t="inlineStr"/>
      <c r="M2988" t="inlineStr"/>
      <c r="N2988" t="inlineStr"/>
      <c r="O2988">
        <f>(1-Summary!$B$11)*T2988+Summary!$B$11*V2988</f>
        <v/>
      </c>
      <c r="P2988">
        <f>IF(B3015=0,0,O2988/B3015)</f>
        <v/>
      </c>
      <c r="Q2988" t="n">
        <v>0</v>
      </c>
      <c r="R2988" t="n">
        <v>0</v>
      </c>
      <c r="S2988">
        <f>IFERROR(O2988/N2988,0)</f>
        <v/>
      </c>
      <c r="T2988" t="n">
        <v>0</v>
      </c>
      <c r="V2988" t="n">
        <v>0</v>
      </c>
    </row>
    <row r="2989">
      <c r="A2989">
        <f>Skills!A19</f>
        <v/>
      </c>
      <c r="B2989">
        <f>Skills!B19</f>
        <v/>
      </c>
      <c r="C2989">
        <f>TRUE</f>
        <v/>
      </c>
      <c r="D2989">
        <f>IF(Skills!C19=1,60+Inputs!$B$25+Inputs!$B$29,IF(Skills!C19=2,90+Inputs!$B$26+Inputs!$B$29,IF(Skills!C19=3,120+Inputs!$B$27+Inputs!$B$29,MAX(0,(Inputs!$B$3-100)*3)+Inputs!$B$28+Inputs!$B$29)))</f>
        <v/>
      </c>
      <c r="E2989">
        <f>INDEX(FactorTable!$B$2:$Y$301, MATCH(ROUND(MIN(300,MAX(1,D2989)),0), FactorTable!$A$2:$A$301,0), Skills!M19+1)</f>
        <v/>
      </c>
      <c r="F2989">
        <f>IF(Skills!N19=TRUE,(Skills!L19/10)*(E2989/1000),Skills!L19/10)+Skills!O19</f>
        <v/>
      </c>
      <c r="G2989">
        <f>Skills!G19*IF(Skills!H19&gt;0,Skills!I19/Skills!H19,1)</f>
        <v/>
      </c>
      <c r="H2989">
        <f>1-(1-Skills!J19/100)^Skills!K19</f>
        <v/>
      </c>
      <c r="I2989" t="inlineStr">
        <is>
          <t>1</t>
        </is>
      </c>
      <c r="J2989" t="inlineStr"/>
      <c r="K2989" t="inlineStr"/>
      <c r="L2989" t="inlineStr"/>
      <c r="M2989" t="inlineStr"/>
      <c r="N2989" t="inlineStr"/>
      <c r="O2989">
        <f>(1-Summary!$B$11)*T2989+Summary!$B$11*V2989</f>
        <v/>
      </c>
      <c r="P2989">
        <f>IF(B3015=0,0,O2989/B3015)</f>
        <v/>
      </c>
      <c r="Q2989">
        <f>IFERROR(1/IF(Inputs!$B$39="pvp",15,MAX(0.1,Skills!D19-IF(Skills!E19=TRUE,Inputs!$B$32,0))),0)</f>
        <v/>
      </c>
      <c r="R2989">
        <f>IF(AND(Inputs!$B$39&lt;&gt;"pvp",Inputs!$B$44&gt;0),IF(Inputs!$B$44&lt;=0,0,(INT(Inputs!$B$44/IF(Inputs!$B$39="pvp",15,MAX(0.1,Skills!D19-IF(Skills!E19=TRUE,Inputs!$B$32,0))))+1)),0)</f>
        <v/>
      </c>
      <c r="S2989">
        <f>IFERROR(O2989/N2989,0)</f>
        <v/>
      </c>
      <c r="T2989" t="n">
        <v>0</v>
      </c>
      <c r="V2989" t="n">
        <v>0</v>
      </c>
    </row>
    <row r="2990">
      <c r="A2990">
        <f>Skills!A20</f>
        <v/>
      </c>
      <c r="B2990">
        <f>Skills!B20</f>
        <v/>
      </c>
      <c r="C2990">
        <f>Inputs!$B$3&gt;=15</f>
        <v/>
      </c>
      <c r="D2990">
        <f>IF(Skills!C20=1,60+Inputs!$B$25+Inputs!$B$29,IF(Skills!C20=2,90+Inputs!$B$26+Inputs!$B$29,IF(Skills!C20=3,120+Inputs!$B$27+Inputs!$B$29,MAX(0,(Inputs!$B$3-100)*3)+Inputs!$B$28+Inputs!$B$29)))</f>
        <v/>
      </c>
      <c r="E2990">
        <f>INDEX(FactorTable!$B$2:$Y$301, MATCH(ROUND(MIN(300,MAX(1,D2990)),0), FactorTable!$A$2:$A$301,0), Skills!M20+1)</f>
        <v/>
      </c>
      <c r="F2990">
        <f>IF(Skills!N20=TRUE,(Skills!L20/10)*(E2990/1000),Skills!L20/10)+Skills!O20</f>
        <v/>
      </c>
      <c r="G2990">
        <f>Skills!G20*IF(Skills!H20&gt;0,Skills!I20/Skills!H20,1)</f>
        <v/>
      </c>
      <c r="H2990">
        <f>1-(1-Skills!J20/100)^Skills!K20</f>
        <v/>
      </c>
      <c r="I2990" t="inlineStr">
        <is>
          <t>1</t>
        </is>
      </c>
      <c r="J2990" t="inlineStr"/>
      <c r="K2990" t="inlineStr"/>
      <c r="L2990" t="inlineStr"/>
      <c r="M2990" t="inlineStr"/>
      <c r="N2990" t="inlineStr"/>
      <c r="O2990">
        <f>(1-Summary!$B$11)*T2990+Summary!$B$11*V2990</f>
        <v/>
      </c>
      <c r="P2990">
        <f>IF(B3015=0,0,O2990/B3015)</f>
        <v/>
      </c>
      <c r="Q2990">
        <f>IFERROR(1/IF(Inputs!$B$39="pvp",15,MAX(0.1,Skills!D20-IF(Skills!E20=TRUE,Inputs!$B$32,0))),0)</f>
        <v/>
      </c>
      <c r="R2990">
        <f>IF(AND(Inputs!$B$39&lt;&gt;"pvp",Inputs!$B$44&gt;0),IF(Inputs!$B$44&lt;=0,0,(INT(Inputs!$B$44/IF(Inputs!$B$39="pvp",15,MAX(0.1,Skills!D20-IF(Skills!E20=TRUE,Inputs!$B$32,0))))+1)),0)</f>
        <v/>
      </c>
      <c r="S2990">
        <f>IFERROR(O2990/N2990,0)</f>
        <v/>
      </c>
      <c r="T2990" t="n">
        <v>0</v>
      </c>
      <c r="V2990" t="n">
        <v>0</v>
      </c>
    </row>
    <row r="2991">
      <c r="A2991">
        <f>Skills!A21</f>
        <v/>
      </c>
      <c r="B2991">
        <f>Skills!B21</f>
        <v/>
      </c>
      <c r="C2991">
        <f>Inputs!$B$3&gt;=15</f>
        <v/>
      </c>
      <c r="D2991">
        <f>IF(Skills!C21=1,60+Inputs!$B$25+Inputs!$B$29,IF(Skills!C21=2,90+Inputs!$B$26+Inputs!$B$29,IF(Skills!C21=3,120+Inputs!$B$27+Inputs!$B$29,MAX(0,(Inputs!$B$3-100)*3)+Inputs!$B$28+Inputs!$B$29)))</f>
        <v/>
      </c>
      <c r="E2991">
        <f>INDEX(FactorTable!$B$2:$Y$301, MATCH(ROUND(MIN(300,MAX(1,D2991)),0), FactorTable!$A$2:$A$301,0), Skills!M21+1)</f>
        <v/>
      </c>
      <c r="F2991">
        <f>IF(Skills!N21=TRUE,(Skills!L21/10)*(E2991/1000),Skills!L21/10)+Skills!O21</f>
        <v/>
      </c>
      <c r="G2991">
        <f>Skills!G21*IF(Skills!H21&gt;0,Skills!I21/Skills!H21,1)</f>
        <v/>
      </c>
      <c r="H2991">
        <f>1-(1-Skills!J21/100)^Skills!K21</f>
        <v/>
      </c>
      <c r="I2991" t="inlineStr">
        <is>
          <t>1</t>
        </is>
      </c>
      <c r="J2991" t="inlineStr"/>
      <c r="K2991" t="inlineStr"/>
      <c r="L2991" t="inlineStr"/>
      <c r="M2991" t="inlineStr"/>
      <c r="N2991" t="inlineStr"/>
      <c r="O2991">
        <f>(1-Summary!$B$11)*T2991+Summary!$B$11*V2991</f>
        <v/>
      </c>
      <c r="P2991">
        <f>IF(B3015=0,0,O2991/B3015)</f>
        <v/>
      </c>
      <c r="Q2991">
        <f>IFERROR(1/IF(Inputs!$B$39="pvp",15,MAX(0.1,Skills!D21-IF(Skills!E21=TRUE,Inputs!$B$32,0))),0)</f>
        <v/>
      </c>
      <c r="R2991">
        <f>IF(AND(Inputs!$B$39&lt;&gt;"pvp",Inputs!$B$44&gt;0),IF(Inputs!$B$44&lt;=0,0,(INT(Inputs!$B$44/IF(Inputs!$B$39="pvp",15,MAX(0.1,Skills!D21-IF(Skills!E21=TRUE,Inputs!$B$32,0))))+1)),0)</f>
        <v/>
      </c>
      <c r="S2991">
        <f>IFERROR(O2991/N2991,0)</f>
        <v/>
      </c>
      <c r="T2991" t="n">
        <v>0</v>
      </c>
      <c r="V2991" t="n">
        <v>0</v>
      </c>
    </row>
    <row r="2992">
      <c r="A2992">
        <f>Skills!A22</f>
        <v/>
      </c>
      <c r="B2992">
        <f>Skills!B22</f>
        <v/>
      </c>
      <c r="C2992">
        <f>Inputs!$B$3&gt;=33</f>
        <v/>
      </c>
      <c r="D2992">
        <f>IF(Skills!C22=1,60+Inputs!$B$25+Inputs!$B$29,IF(Skills!C22=2,90+Inputs!$B$26+Inputs!$B$29,IF(Skills!C22=3,120+Inputs!$B$27+Inputs!$B$29,MAX(0,(Inputs!$B$3-100)*3)+Inputs!$B$28+Inputs!$B$29)))</f>
        <v/>
      </c>
      <c r="E2992">
        <f>INDEX(FactorTable!$B$2:$Y$301, MATCH(ROUND(MIN(300,MAX(1,D2992)),0), FactorTable!$A$2:$A$301,0), Skills!M22+1)</f>
        <v/>
      </c>
      <c r="F2992">
        <f>IF(Skills!N22=TRUE,(Skills!L22/10)*(E2992/1000),Skills!L22/10)+Skills!O22</f>
        <v/>
      </c>
      <c r="G2992">
        <f>Skills!G22*IF(Skills!H22&gt;0,Skills!I22/Skills!H22,1)</f>
        <v/>
      </c>
      <c r="H2992">
        <f>1-(1-Skills!J22/100)^Skills!K22</f>
        <v/>
      </c>
      <c r="I2992" t="inlineStr">
        <is>
          <t>1</t>
        </is>
      </c>
      <c r="J2992" t="inlineStr"/>
      <c r="K2992" t="inlineStr"/>
      <c r="L2992" t="inlineStr"/>
      <c r="M2992" t="inlineStr"/>
      <c r="N2992" t="inlineStr"/>
      <c r="O2992">
        <f>(1-Summary!$B$11)*T2992+Summary!$B$11*V2992</f>
        <v/>
      </c>
      <c r="P2992">
        <f>IF(B3015=0,0,O2992/B3015)</f>
        <v/>
      </c>
      <c r="Q2992" t="n">
        <v>0</v>
      </c>
      <c r="R2992" t="n">
        <v>0</v>
      </c>
      <c r="S2992">
        <f>IFERROR(O2992/N2992,0)</f>
        <v/>
      </c>
      <c r="T2992" t="n">
        <v>0</v>
      </c>
      <c r="V2992" t="n">
        <v>0</v>
      </c>
    </row>
    <row r="2993">
      <c r="A2993">
        <f>Skills!A23</f>
        <v/>
      </c>
      <c r="B2993">
        <f>Skills!B23</f>
        <v/>
      </c>
      <c r="C2993">
        <f>Inputs!$B$3&gt;=40</f>
        <v/>
      </c>
      <c r="D2993">
        <f>IF(Skills!C23=1,60+Inputs!$B$25+Inputs!$B$29,IF(Skills!C23=2,90+Inputs!$B$26+Inputs!$B$29,IF(Skills!C23=3,120+Inputs!$B$27+Inputs!$B$29,MAX(0,(Inputs!$B$3-100)*3)+Inputs!$B$28+Inputs!$B$29)))</f>
        <v/>
      </c>
      <c r="E2993">
        <f>INDEX(FactorTable!$B$2:$Y$301, MATCH(ROUND(MIN(300,MAX(1,D2993)),0), FactorTable!$A$2:$A$301,0), Skills!M23+1)</f>
        <v/>
      </c>
      <c r="F2993">
        <f>IF(Skills!N23=TRUE,(Skills!L23/10)*(E2993/1000),Skills!L23/10)+Skills!O23</f>
        <v/>
      </c>
      <c r="G2993">
        <f>Skills!G23*IF(Skills!H23&gt;0,Skills!I23/Skills!H23,1)</f>
        <v/>
      </c>
      <c r="H2993">
        <f>1-(1-Skills!J23/100)^Skills!K23</f>
        <v/>
      </c>
      <c r="I2993" t="inlineStr">
        <is>
          <t>1</t>
        </is>
      </c>
      <c r="J2993" t="inlineStr"/>
      <c r="K2993" t="inlineStr"/>
      <c r="L2993" t="inlineStr"/>
      <c r="M2993" t="inlineStr"/>
      <c r="N2993" t="inlineStr"/>
      <c r="O2993">
        <f>(1-Summary!$B$11)*T2993+Summary!$B$11*V2993</f>
        <v/>
      </c>
      <c r="P2993">
        <f>IF(B3015=0,0,O2993/B3015)</f>
        <v/>
      </c>
      <c r="Q2993" t="n">
        <v>0</v>
      </c>
      <c r="R2993" t="n">
        <v>0</v>
      </c>
      <c r="S2993">
        <f>IFERROR(O2993/N2993,0)</f>
        <v/>
      </c>
      <c r="T2993" t="n">
        <v>0</v>
      </c>
      <c r="V2993" t="n">
        <v>0</v>
      </c>
    </row>
    <row r="2994">
      <c r="A2994">
        <f>Skills!A24</f>
        <v/>
      </c>
      <c r="B2994">
        <f>Skills!B24</f>
        <v/>
      </c>
      <c r="C2994">
        <f>Inputs!$B$3&gt;=43</f>
        <v/>
      </c>
      <c r="D2994">
        <f>IF(Skills!C24=1,60+Inputs!$B$25+Inputs!$B$29,IF(Skills!C24=2,90+Inputs!$B$26+Inputs!$B$29,IF(Skills!C24=3,120+Inputs!$B$27+Inputs!$B$29,MAX(0,(Inputs!$B$3-100)*3)+Inputs!$B$28+Inputs!$B$29)))</f>
        <v/>
      </c>
      <c r="E2994">
        <f>INDEX(FactorTable!$B$2:$Y$301, MATCH(ROUND(MIN(300,MAX(1,D2994)),0), FactorTable!$A$2:$A$301,0), Skills!M24+1)</f>
        <v/>
      </c>
      <c r="F2994">
        <f>IF(Skills!N24=TRUE,(Skills!L24/10)*(E2994/1000),Skills!L24/10)+Skills!O24</f>
        <v/>
      </c>
      <c r="G2994">
        <f>Skills!G24*IF(Skills!H24&gt;0,Skills!I24/Skills!H24,1)</f>
        <v/>
      </c>
      <c r="H2994">
        <f>1-(1-Skills!J24/100)^Skills!K24</f>
        <v/>
      </c>
      <c r="I2994" t="inlineStr">
        <is>
          <t>1</t>
        </is>
      </c>
      <c r="J2994" t="inlineStr"/>
      <c r="K2994" t="inlineStr"/>
      <c r="L2994" t="inlineStr"/>
      <c r="M2994" t="inlineStr"/>
      <c r="N2994" t="inlineStr"/>
      <c r="O2994">
        <f>(1-Summary!$B$11)*T2994+Summary!$B$11*V2994</f>
        <v/>
      </c>
      <c r="P2994">
        <f>IF(B3015=0,0,O2994/B3015)</f>
        <v/>
      </c>
      <c r="Q2994" t="n">
        <v>0</v>
      </c>
      <c r="R2994" t="n">
        <v>0</v>
      </c>
      <c r="S2994">
        <f>IFERROR(O2994/N2994,0)</f>
        <v/>
      </c>
      <c r="T2994" t="n">
        <v>0</v>
      </c>
      <c r="V2994" t="n">
        <v>0</v>
      </c>
    </row>
    <row r="2995">
      <c r="A2995">
        <f>Skills!A25</f>
        <v/>
      </c>
      <c r="B2995">
        <f>Skills!B25</f>
        <v/>
      </c>
      <c r="C2995">
        <f>Inputs!$B$3&gt;=50</f>
        <v/>
      </c>
      <c r="D2995">
        <f>IF(Skills!C25=1,60+Inputs!$B$25+Inputs!$B$29,IF(Skills!C25=2,90+Inputs!$B$26+Inputs!$B$29,IF(Skills!C25=3,120+Inputs!$B$27+Inputs!$B$29,MAX(0,(Inputs!$B$3-100)*3)+Inputs!$B$28+Inputs!$B$29)))</f>
        <v/>
      </c>
      <c r="E2995">
        <f>INDEX(FactorTable!$B$2:$Y$301, MATCH(ROUND(MIN(300,MAX(1,D2995)),0), FactorTable!$A$2:$A$301,0), Skills!M25+1)</f>
        <v/>
      </c>
      <c r="F2995">
        <f>IF(Skills!N25=TRUE,(Skills!L25/10)*(E2995/1000),Skills!L25/10)+Skills!O25</f>
        <v/>
      </c>
      <c r="G2995">
        <f>Skills!G25*IF(Skills!H25&gt;0,Skills!I25/Skills!H25,1)</f>
        <v/>
      </c>
      <c r="H2995">
        <f>1-(1-Skills!J25/100)^Skills!K25</f>
        <v/>
      </c>
      <c r="I2995" t="inlineStr">
        <is>
          <t>1</t>
        </is>
      </c>
      <c r="J2995" t="inlineStr"/>
      <c r="K2995" t="inlineStr"/>
      <c r="L2995" t="inlineStr"/>
      <c r="M2995" t="inlineStr"/>
      <c r="N2995" t="inlineStr"/>
      <c r="O2995">
        <f>(1-Summary!$B$11)*T2995+Summary!$B$11*V2995</f>
        <v/>
      </c>
      <c r="P2995">
        <f>IF(B3015=0,0,O2995/B3015)</f>
        <v/>
      </c>
      <c r="Q2995" t="n">
        <v>0</v>
      </c>
      <c r="R2995" t="n">
        <v>0</v>
      </c>
      <c r="S2995">
        <f>IFERROR(O2995/N2995,0)</f>
        <v/>
      </c>
      <c r="T2995" t="n">
        <v>0</v>
      </c>
      <c r="V2995" t="n">
        <v>0</v>
      </c>
    </row>
    <row r="2996">
      <c r="A2996">
        <f>Skills!A26</f>
        <v/>
      </c>
      <c r="B2996">
        <f>Skills!B26</f>
        <v/>
      </c>
      <c r="C2996">
        <f>Inputs!$B$3&gt;=50</f>
        <v/>
      </c>
      <c r="D2996">
        <f>IF(Skills!C26=1,60+Inputs!$B$25+Inputs!$B$29,IF(Skills!C26=2,90+Inputs!$B$26+Inputs!$B$29,IF(Skills!C26=3,120+Inputs!$B$27+Inputs!$B$29,MAX(0,(Inputs!$B$3-100)*3)+Inputs!$B$28+Inputs!$B$29)))</f>
        <v/>
      </c>
      <c r="E2996">
        <f>INDEX(FactorTable!$B$2:$Y$301, MATCH(ROUND(MIN(300,MAX(1,D2996)),0), FactorTable!$A$2:$A$301,0), Skills!M26+1)</f>
        <v/>
      </c>
      <c r="F2996">
        <f>IF(Skills!N26=TRUE,(Skills!L26/10)*(E2996/1000),Skills!L26/10)+Skills!O26</f>
        <v/>
      </c>
      <c r="G2996">
        <f>Skills!G26*IF(Skills!H26&gt;0,Skills!I26/Skills!H26,1)</f>
        <v/>
      </c>
      <c r="H2996">
        <f>1-(1-Skills!J26/100)^Skills!K26</f>
        <v/>
      </c>
      <c r="I2996" t="inlineStr">
        <is>
          <t>1</t>
        </is>
      </c>
      <c r="J2996" t="inlineStr"/>
      <c r="K2996" t="inlineStr"/>
      <c r="L2996" t="inlineStr"/>
      <c r="M2996" t="inlineStr"/>
      <c r="N2996" t="inlineStr"/>
      <c r="O2996">
        <f>(1-Summary!$B$11)*T2996+Summary!$B$11*V2996</f>
        <v/>
      </c>
      <c r="P2996">
        <f>IF(B3015=0,0,O2996/B3015)</f>
        <v/>
      </c>
      <c r="Q2996" t="n">
        <v>0</v>
      </c>
      <c r="R2996" t="n">
        <v>0</v>
      </c>
      <c r="S2996">
        <f>IFERROR(O2996/N2996,0)</f>
        <v/>
      </c>
      <c r="T2996" t="n">
        <v>0</v>
      </c>
      <c r="V2996" t="n">
        <v>0</v>
      </c>
    </row>
    <row r="2997">
      <c r="A2997">
        <f>Skills!A27</f>
        <v/>
      </c>
      <c r="B2997">
        <f>Skills!B27</f>
        <v/>
      </c>
      <c r="C2997">
        <f>Inputs!$B$3&gt;=38</f>
        <v/>
      </c>
      <c r="D2997">
        <f>IF(Skills!C27=1,60+Inputs!$B$25+Inputs!$B$29,IF(Skills!C27=2,90+Inputs!$B$26+Inputs!$B$29,IF(Skills!C27=3,120+Inputs!$B$27+Inputs!$B$29,MAX(0,(Inputs!$B$3-100)*3)+Inputs!$B$28+Inputs!$B$29)))</f>
        <v/>
      </c>
      <c r="E2997">
        <f>INDEX(FactorTable!$B$2:$Y$301, MATCH(ROUND(MIN(300,MAX(1,D2997)),0), FactorTable!$A$2:$A$301,0), Skills!M27+1)</f>
        <v/>
      </c>
      <c r="F2997">
        <f>IF(Skills!N27=TRUE,(Skills!L27/10)*(E2997/1000),Skills!L27/10)+Skills!O27</f>
        <v/>
      </c>
      <c r="G2997">
        <f>Skills!G27*IF(Skills!H27&gt;0,Skills!I27/Skills!H27,1)</f>
        <v/>
      </c>
      <c r="H2997">
        <f>1-(1-Skills!J27/100)^Skills!K27</f>
        <v/>
      </c>
      <c r="I2997" t="inlineStr">
        <is>
          <t>1</t>
        </is>
      </c>
      <c r="J2997" t="inlineStr"/>
      <c r="K2997" t="inlineStr"/>
      <c r="L2997" t="inlineStr"/>
      <c r="M2997" t="inlineStr"/>
      <c r="N2997" t="inlineStr"/>
      <c r="O2997">
        <f>(1-Summary!$B$11)*T2997+Summary!$B$11*V2997</f>
        <v/>
      </c>
      <c r="P2997">
        <f>IF(B3015=0,0,O2997/B3015)</f>
        <v/>
      </c>
      <c r="Q2997" t="n">
        <v>0</v>
      </c>
      <c r="R2997" t="n">
        <v>0</v>
      </c>
      <c r="S2997">
        <f>IFERROR(O2997/N2997,0)</f>
        <v/>
      </c>
      <c r="T2997" t="n">
        <v>0</v>
      </c>
      <c r="V2997" t="n">
        <v>0</v>
      </c>
    </row>
    <row r="2998">
      <c r="A2998">
        <f>Skills!A28</f>
        <v/>
      </c>
      <c r="B2998">
        <f>Skills!B28</f>
        <v/>
      </c>
      <c r="C2998">
        <f>Inputs!$B$3&gt;=120</f>
        <v/>
      </c>
      <c r="D2998">
        <f>IF(Skills!C28=1,60+Inputs!$B$25+Inputs!$B$29,IF(Skills!C28=2,90+Inputs!$B$26+Inputs!$B$29,IF(Skills!C28=3,120+Inputs!$B$27+Inputs!$B$29,MAX(0,(Inputs!$B$3-100)*3)+Inputs!$B$28+Inputs!$B$29)))</f>
        <v/>
      </c>
      <c r="E2998">
        <f>INDEX(FactorTable!$B$2:$Y$301, MATCH(ROUND(MIN(300,MAX(1,D2998)),0), FactorTable!$A$2:$A$301,0), Skills!M28+1)</f>
        <v/>
      </c>
      <c r="F2998">
        <f>IF(Skills!N28=TRUE,(Skills!L28/10)*(E2998/1000),Skills!L28/10)+Skills!O28</f>
        <v/>
      </c>
      <c r="G2998">
        <f>Skills!G28*IF(Skills!H28&gt;0,Skills!I28/Skills!H28,1)</f>
        <v/>
      </c>
      <c r="H2998">
        <f>1-(1-Skills!J28/100)^Skills!K28</f>
        <v/>
      </c>
      <c r="I2998" t="inlineStr">
        <is>
          <t>1</t>
        </is>
      </c>
      <c r="J2998" t="inlineStr"/>
      <c r="K2998" t="inlineStr"/>
      <c r="L2998" t="inlineStr"/>
      <c r="M2998" t="inlineStr"/>
      <c r="N2998" t="inlineStr"/>
      <c r="O2998">
        <f>(1-Summary!$B$11)*T2998+Summary!$B$11*V2998</f>
        <v/>
      </c>
      <c r="P2998">
        <f>IF(B3015=0,0,O2998/B3015)</f>
        <v/>
      </c>
      <c r="Q2998" t="n">
        <v>0</v>
      </c>
      <c r="R2998" t="n">
        <v>0</v>
      </c>
      <c r="S2998">
        <f>IFERROR(O2998/N2998,0)</f>
        <v/>
      </c>
      <c r="T2998" t="n">
        <v>0</v>
      </c>
      <c r="V2998" t="n">
        <v>0</v>
      </c>
    </row>
    <row r="2999">
      <c r="A2999">
        <f>Skills!A29</f>
        <v/>
      </c>
      <c r="B2999">
        <f>Skills!B29</f>
        <v/>
      </c>
      <c r="C2999">
        <f>Inputs!$B$3&gt;=120</f>
        <v/>
      </c>
      <c r="D2999">
        <f>IF(Skills!C29=1,60+Inputs!$B$25+Inputs!$B$29,IF(Skills!C29=2,90+Inputs!$B$26+Inputs!$B$29,IF(Skills!C29=3,120+Inputs!$B$27+Inputs!$B$29,MAX(0,(Inputs!$B$3-100)*3)+Inputs!$B$28+Inputs!$B$29)))</f>
        <v/>
      </c>
      <c r="E2999">
        <f>INDEX(FactorTable!$B$2:$Y$301, MATCH(ROUND(MIN(300,MAX(1,D2999)),0), FactorTable!$A$2:$A$301,0), Skills!M29+1)</f>
        <v/>
      </c>
      <c r="F2999">
        <f>IF(Skills!N29=TRUE,(Skills!L29/10)*(E2999/1000),Skills!L29/10)+Skills!O29</f>
        <v/>
      </c>
      <c r="G2999">
        <f>Skills!G29*IF(Skills!H29&gt;0,Skills!I29/Skills!H29,1)</f>
        <v/>
      </c>
      <c r="H2999">
        <f>1-(1-Skills!J29/100)^Skills!K29</f>
        <v/>
      </c>
      <c r="I2999" t="inlineStr">
        <is>
          <t>1</t>
        </is>
      </c>
      <c r="J2999" t="inlineStr"/>
      <c r="K2999" t="inlineStr"/>
      <c r="L2999" t="inlineStr"/>
      <c r="M2999" t="inlineStr"/>
      <c r="N2999" t="inlineStr"/>
      <c r="O2999">
        <f>(1-Summary!$B$11)*T2999+Summary!$B$11*V2999</f>
        <v/>
      </c>
      <c r="P2999">
        <f>IF(B3015=0,0,O2999/B3015)</f>
        <v/>
      </c>
      <c r="Q2999" t="n">
        <v>0</v>
      </c>
      <c r="R2999" t="n">
        <v>0</v>
      </c>
      <c r="S2999">
        <f>IFERROR(O2999/N2999,0)</f>
        <v/>
      </c>
      <c r="T2999" t="n">
        <v>0</v>
      </c>
      <c r="V2999" t="n">
        <v>0</v>
      </c>
    </row>
    <row r="3000">
      <c r="A3000">
        <f>Skills!A30</f>
        <v/>
      </c>
      <c r="B3000">
        <f>Skills!B30</f>
        <v/>
      </c>
      <c r="C3000">
        <f>Inputs!$B$3&gt;=125</f>
        <v/>
      </c>
      <c r="D3000">
        <f>IF(Skills!C30=1,60+Inputs!$B$25+Inputs!$B$29,IF(Skills!C30=2,90+Inputs!$B$26+Inputs!$B$29,IF(Skills!C30=3,120+Inputs!$B$27+Inputs!$B$29,MAX(0,(Inputs!$B$3-100)*3)+Inputs!$B$28+Inputs!$B$29)))</f>
        <v/>
      </c>
      <c r="E3000">
        <f>INDEX(FactorTable!$B$2:$Y$301, MATCH(ROUND(MIN(300,MAX(1,D3000)),0), FactorTable!$A$2:$A$301,0), Skills!M30+1)</f>
        <v/>
      </c>
      <c r="F3000">
        <f>IF(Skills!N30=TRUE,(Skills!L30/10)*(E3000/1000),Skills!L30/10)+Skills!O30</f>
        <v/>
      </c>
      <c r="G3000">
        <f>Skills!G30*IF(Skills!H30&gt;0,Skills!I30/Skills!H30,1)</f>
        <v/>
      </c>
      <c r="H3000">
        <f>1-(1-Skills!J30/100)^Skills!K30</f>
        <v/>
      </c>
      <c r="I3000" t="inlineStr">
        <is>
          <t>1</t>
        </is>
      </c>
      <c r="J3000" t="inlineStr"/>
      <c r="K3000" t="inlineStr"/>
      <c r="L3000" t="inlineStr"/>
      <c r="M3000" t="inlineStr"/>
      <c r="N3000" t="inlineStr"/>
      <c r="O3000">
        <f>(1-Summary!$B$11)*T3000+Summary!$B$11*V3000</f>
        <v/>
      </c>
      <c r="P3000">
        <f>IF(B3015=0,0,O3000/B3015)</f>
        <v/>
      </c>
      <c r="Q3000" t="n">
        <v>0</v>
      </c>
      <c r="R3000" t="n">
        <v>0</v>
      </c>
      <c r="S3000">
        <f>IFERROR(O3000/N3000,0)</f>
        <v/>
      </c>
      <c r="T3000" t="n">
        <v>0</v>
      </c>
      <c r="V3000" t="n">
        <v>0</v>
      </c>
    </row>
    <row r="3002">
      <c r="A3002" t="inlineStr">
        <is>
          <t>Average Buff Multiplier</t>
        </is>
      </c>
      <c r="B3002">
        <f>(1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f>
        <v/>
      </c>
    </row>
    <row r="3003">
      <c r="A3003" t="inlineStr">
        <is>
          <t>Global Crit Rate Bonus %</t>
        </is>
      </c>
      <c r="B3003">
        <f>((C2990=TRUE)*F2990*IF(AND(Inputs!$B$39&lt;&gt;"pvp",Inputs!$B$44&gt;0),(((R2990-1)*(Skills!Y20*(1+Inputs!$B$34/100))+MIN((Skills!Y20*(1+Inputs!$B$34/100)),MAX(0,Inputs!$B$44-((R2990-1)*Skills!D20))))/Inputs!$B$44),IF(Inputs!$B$39="pvp",MIN((Skills!Y20*(1+Inputs!$B$34/100)),15)/15,(Skills!Y20*(1+Inputs!$B$34/100))/Skills!D20)))</f>
        <v/>
      </c>
    </row>
    <row r="3004">
      <c r="A3004" t="inlineStr">
        <is>
          <t>Global Monster Damage-Taken Bonus %</t>
        </is>
      </c>
      <c r="B3004">
        <f>IF(Inputs!$B$3&gt;=82,15,0)</f>
        <v/>
      </c>
    </row>
    <row r="3005">
      <c r="A3005" t="inlineStr">
        <is>
          <t>Shadow Partner Average Multiplier</t>
        </is>
      </c>
      <c r="B3005">
        <f>1+((C2977=TRUE)*F2977*(1+3.3333333333333335*IF(C2988=TRUE,F2988,0)/100)*I2977*Skills!J7/100)/100</f>
        <v/>
      </c>
    </row>
    <row r="3006">
      <c r="A3006" t="inlineStr">
        <is>
          <t>Attack Speed Buff Bonus %</t>
        </is>
      </c>
      <c r="B3006">
        <f>((C2989=TRUE)*F2989*IF(AND(Inputs!$B$39&lt;&gt;"pvp",Inputs!$B$44&gt;0),(((R2989-1)*(Skills!Y19*(1+Inputs!$B$34/100))+MIN((Skills!Y19*(1+Inputs!$B$34/100)),MAX(0,Inputs!$B$44-((R2989-1)*Skills!D19))))/Inputs!$B$44),IF(Inputs!$B$39="pvp",MIN((Skills!Y19*(1+Inputs!$B$34/100)),15)/15,(Skills!Y19*(1+Inputs!$B$34/100))/Skills!D19)))+((C2973=TRUE)*F2973*3)</f>
        <v/>
      </c>
    </row>
    <row r="3007">
      <c r="A3007" t="inlineStr">
        <is>
          <t>Actions Per Second</t>
        </is>
      </c>
      <c r="B3007">
        <f>1+MIN(150,150*(1-(1-(Inputs!$B$11+((C2992=TRUE)*(F2992-Calc!F22)))/150)*(1-B3006/150)))/100</f>
        <v/>
      </c>
    </row>
    <row r="3008">
      <c r="A3008" t="inlineStr">
        <is>
          <t>Skill + Buff Cast Rate</t>
        </is>
      </c>
      <c r="B3008">
        <f>IF(AND(Inputs!$B$39&lt;&gt;"pvp",Inputs!$B$44&gt;0),SUMPRODUCT((Skills!E2:E30=TRUE)*(C2972:C3000=TRUE)*R2972:R3000*Skills!F2:F30)/Inputs!$B$44,SUMPRODUCT((Skills!E2:E30=TRUE)*(C2972:C3000=TRUE)*Q2972:Q3000*Skills!F2:F30))</f>
        <v/>
      </c>
    </row>
    <row r="3009">
      <c r="A3009" t="inlineStr">
        <is>
          <t>Cruel Stab Casts Per Second</t>
        </is>
      </c>
      <c r="B3009">
        <f>MAX(0,B3007-B3008)</f>
        <v/>
      </c>
    </row>
    <row r="3010">
      <c r="A3010" t="inlineStr">
        <is>
          <t>Global Critical Damage Bonus % (Smokescreen Mastery Lv.113)</t>
        </is>
      </c>
      <c r="B3010">
        <f>IF(Inputs!$B$3&gt;=113,30,0)*IF(AND(Inputs!$B$39&lt;&gt;"pvp",Inputs!$B$44&gt;0),(((R2985-1)*(Skills!Y15*(1+Inputs!$B$34/100))+MIN((Skills!Y15*(1+Inputs!$B$34/100)),MAX(0,Inputs!$B$44-((R2985-1)*Skills!D15))))/Inputs!$B$44),IF(Inputs!$B$39="pvp",MIN((Skills!Y15*(1+Inputs!$B$34/100)),15)/15,(Skills!Y15*(1+Inputs!$B$34/100))/Skills!D15))</f>
        <v/>
      </c>
    </row>
    <row r="3011">
      <c r="A3011" t="inlineStr">
        <is>
          <t>Meso Explosion average stack count</t>
        </is>
      </c>
      <c r="B3011">
        <f>MIN(10,0.5*B3007*Skills!D4)</f>
        <v/>
      </c>
    </row>
    <row r="3012">
      <c r="A3012" t="inlineStr">
        <is>
          <t>Blood Money average stack count</t>
        </is>
      </c>
      <c r="B3012">
        <f>MIN(5,0.25*B3007*Skills!D4)</f>
        <v/>
      </c>
    </row>
    <row r="3013">
      <c r="A3013" t="inlineStr">
        <is>
          <t>Assassinate Murderous Intent Multiplier</t>
        </is>
      </c>
      <c r="B3013">
        <f>1+IFERROR(MIN(1,Q2984*2/Q2981),0)</f>
        <v/>
      </c>
    </row>
    <row r="3014">
      <c r="A3014" t="inlineStr">
        <is>
          <t>Buff-Casting Startup Delay (s, fixed-duration only)</t>
        </is>
      </c>
      <c r="B3014">
        <f>IF(AND(Inputs!$B$39&lt;&gt;"pvp",Inputs!$B$44&gt;0),SUMPRODUCT((Skills!Y2:Y30&gt;0)*(Skills!E2:E30=TRUE)*(C2972:C3000=TRUE))/B3007,0)</f>
        <v/>
      </c>
    </row>
    <row r="3015">
      <c r="A3015" s="6" t="inlineStr">
        <is>
          <t>TOTAL DPS</t>
        </is>
      </c>
      <c r="B3015" s="6">
        <f>SUM(O2972:O3000)</f>
        <v/>
      </c>
    </row>
    <row r="3016">
      <c r="A3016" t="inlineStr">
        <is>
          <t>Boss-Only Total DPS (this block's swept value)</t>
        </is>
      </c>
      <c r="B3016">
        <f>SUM(T2972:T3000)</f>
        <v/>
      </c>
    </row>
    <row r="3017">
      <c r="A3017" t="inlineStr">
        <is>
          <t>Normal-Only Total DPS (this block's swept value)</t>
        </is>
      </c>
      <c r="B3017">
        <f>SUM(V2972:V3000)</f>
        <v/>
      </c>
    </row>
    <row r="3020">
      <c r="A3020" s="6" t="inlineStr">
        <is>
          <t>Stat: Cursed Doll (Equip)</t>
        </is>
      </c>
    </row>
    <row r="3021">
      <c r="A3021" s="5" t="inlineStr">
        <is>
          <t>Key</t>
        </is>
      </c>
      <c r="B3021" s="5" t="inlineStr">
        <is>
          <t>Name</t>
        </is>
      </c>
      <c r="C3021" s="5" t="inlineStr">
        <is>
          <t>Unlocked</t>
        </is>
      </c>
      <c r="D3021" s="5" t="inlineStr">
        <is>
          <t>InputLevel</t>
        </is>
      </c>
      <c r="E3021" s="5" t="inlineStr">
        <is>
          <t>Factor</t>
        </is>
      </c>
      <c r="F3021" s="5" t="inlineStr">
        <is>
          <t>CoefficientPercent</t>
        </is>
      </c>
      <c r="G3021" s="5" t="inlineStr">
        <is>
          <t>EffectiveHits</t>
        </is>
      </c>
      <c r="H3021" s="5" t="inlineStr">
        <is>
          <t>ProcProbability</t>
        </is>
      </c>
      <c r="I3021" s="5" t="inlineStr">
        <is>
          <t>MapleHeroMultiplier</t>
        </is>
      </c>
      <c r="J3021" s="5" t="inlineStr">
        <is>
          <t>BaseDamage</t>
        </is>
      </c>
      <c r="K3021" s="5" t="inlineStr">
        <is>
          <t>BaseHitDamage</t>
        </is>
      </c>
      <c r="L3021" s="5" t="inlineStr">
        <is>
          <t>NonCritAvg</t>
        </is>
      </c>
      <c r="M3021" s="5" t="inlineStr">
        <is>
          <t>CritAvg</t>
        </is>
      </c>
      <c r="N3021" s="5" t="inlineStr">
        <is>
          <t>ExpectedDamage(perHit)</t>
        </is>
      </c>
      <c r="O3021" s="5" t="inlineStr">
        <is>
          <t>DPS</t>
        </is>
      </c>
      <c r="P3021" s="5" t="inlineStr">
        <is>
          <t>% of Total</t>
        </is>
      </c>
      <c r="Q3021" s="5" t="inlineStr">
        <is>
          <t>InvCooldown</t>
        </is>
      </c>
      <c r="R3021" s="5" t="inlineStr">
        <is>
          <t>CastsInFight</t>
        </is>
      </c>
      <c r="S3021" s="5" t="inlineStr">
        <is>
          <t>HitRate(perSec)</t>
        </is>
      </c>
      <c r="U3021" t="inlineStr">
        <is>
          <t>helpers</t>
        </is>
      </c>
    </row>
    <row r="3022">
      <c r="A3022">
        <f>Skills!A2</f>
        <v/>
      </c>
      <c r="B3022">
        <f>Skills!B2</f>
        <v/>
      </c>
      <c r="C3022">
        <f>Inputs!$B$3&gt;=100</f>
        <v/>
      </c>
      <c r="D3022" t="inlineStr"/>
      <c r="E3022" t="inlineStr"/>
      <c r="F3022">
        <f>U3024+Skills!O2</f>
        <v/>
      </c>
      <c r="G3022">
        <f>Skills!G2*IF(Skills!H2&gt;0,Skills!I2/Skills!H2,1)</f>
        <v/>
      </c>
      <c r="H3022">
        <f>1-(1-Skills!J2/100)^Skills!K2</f>
        <v/>
      </c>
      <c r="I3022" t="inlineStr">
        <is>
          <t>1</t>
        </is>
      </c>
      <c r="J3022">
        <f>((Inputs!$B$6*(1+Inputs!$B$7/100))+(((Inputs!$B$12*(1+Inputs!$B$13/100))-(Inputs!$B$12*(1+Inputs!$B$13/100)))+0.25*(Inputs!$B$14-Inputs!$B$14))*(1+Inputs!$B$7/100))*(F3022/100)</f>
        <v/>
      </c>
      <c r="K3022">
        <f>J3022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3022)</f>
        <v/>
      </c>
      <c r="L3022">
        <f>K3022*(MIN(Inputs!$B$22+((C3044=TRUE)*(F3044-Calc!F24)),(Inputs!$B$23+((C3049=TRUE)*(F3049-Calc!F29))+IF(ArtifactsInput!$M$15,CHOOSE(ArtifactsInput!$N$15+1,25,30,35,40,45,50)/100*(Inputs!$B$11-Inputs!$B$11),0)))/100+(Inputs!$B$23+((C3049=TRUE)*(F3049-Calc!F29))+IF(ArtifactsInput!$M$15,CHOOSE(ArtifactsInput!$N$15+1,25,30,35,40,45,50)/100*(Inputs!$B$11-Inputs!$B$11),0))/100)/2</f>
        <v/>
      </c>
      <c r="M3022">
        <f>L3022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IF(B3065=0,0,O3022/B3065)</f>
        <v/>
      </c>
      <c r="Q3022" t="n">
        <v>0</v>
      </c>
      <c r="R3022" t="n">
        <v>0</v>
      </c>
      <c r="S3022">
        <f>IFERROR(O3022/N3022,0)</f>
        <v/>
      </c>
      <c r="T3022">
        <f>IF(C3022,(Skills!G2*N3022*B3059)*IF(Inputs!$B$39="pvp",1,1+(Inputs!$B$20+0+Skills!P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3022*(1-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2">
        <f>MAX(0,(Inputs!$B$3-100)*3)+Inputs!$B$28+Inputs!$B$29</f>
        <v/>
      </c>
      <c r="V3022">
        <f>IF(C3022,(Skills!G2*N3022*B3059)*IF(Inputs!$B$39="pvp",1,(1+(Inputs!$B$21+Skills!Q2+B3054+(IF(ArtifactsInput!$M$33,CHOOSE(ArtifactsInput!$N$33+1,30,36,42,48,54,60),0))+(IF(AND(ArtifactsInput!$M$35,Inputs!$B$4&lt;&gt;"Chapter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Skills!A3</f>
        <v/>
      </c>
      <c r="B3023">
        <f>Skills!B3</f>
        <v/>
      </c>
      <c r="C3023">
        <f>Inputs!$B$3&gt;=35</f>
        <v/>
      </c>
      <c r="D3023">
        <f>IF(Skills!C3=1,60+Inputs!$B$25+Inputs!$B$29,IF(Skills!C3=2,90+Inputs!$B$26+Inputs!$B$29,IF(Skills!C3=3,120+Inputs!$B$27+Inputs!$B$29,MAX(0,(Inputs!$B$3-100)*3)+Inputs!$B$28+Inputs!$B$29)))</f>
        <v/>
      </c>
      <c r="E3023">
        <f>INDEX(FactorTable!$B$2:$Y$301, MATCH(ROUND(MIN(300,MAX(1,D3023)),0), FactorTable!$A$2:$A$301,0), Skills!M3+1)</f>
        <v/>
      </c>
      <c r="F3023">
        <f>IF(Skills!N3=TRUE,(Skills!L3/10)*(E3023/1000),Skills!L3/10)+Skills!O3</f>
        <v/>
      </c>
      <c r="G3023">
        <f>Skills!G3*IF(Skills!H3&gt;0,Skills!I3/Skills!H3,1)</f>
        <v/>
      </c>
      <c r="H3023">
        <f>1-(1-Skills!J3/100)^Skills!K3</f>
        <v/>
      </c>
      <c r="I3023" t="inlineStr">
        <is>
          <t>1</t>
        </is>
      </c>
      <c r="J3023" t="inlineStr"/>
      <c r="K3023" t="inlineStr"/>
      <c r="L3023" t="inlineStr"/>
      <c r="M3023" t="inlineStr"/>
      <c r="N3023" t="inlineStr"/>
      <c r="O3023">
        <f>(1-Summary!$B$11)*T3023+Summary!$B$11*V3023</f>
        <v/>
      </c>
      <c r="P3023">
        <f>IF(B3065=0,0,O3023/B3065)</f>
        <v/>
      </c>
      <c r="Q3023" t="n">
        <v>0</v>
      </c>
      <c r="R3023" t="n">
        <v>0</v>
      </c>
      <c r="S3023">
        <f>IFERROR(O3023/N3023,0)</f>
        <v/>
      </c>
      <c r="T3023" t="n">
        <v>0</v>
      </c>
      <c r="U3023">
        <f>INDEX(FactorTable!$B$2:$Y$301, MATCH(ROUND(MIN(300,MAX(1,U3022)),0), FactorTable!$A$2:$A$301,0), 22)</f>
        <v/>
      </c>
      <c r="V3023" t="n">
        <v>0</v>
      </c>
    </row>
    <row r="3024">
      <c r="A3024">
        <f>Skills!A4</f>
        <v/>
      </c>
      <c r="B3024">
        <f>Skills!B4</f>
        <v/>
      </c>
      <c r="C3024">
        <f>Inputs!$B$3&gt;=66</f>
        <v/>
      </c>
      <c r="D3024">
        <f>IF(Skills!C4=1,60+Inputs!$B$25+Inputs!$B$29,IF(Skills!C4=2,90+Inputs!$B$26+Inputs!$B$29,IF(Skills!C4=3,120+Inputs!$B$27+Inputs!$B$29,MAX(0,(Inputs!$B$3-100)*3)+Inputs!$B$28+Inputs!$B$29)))</f>
        <v/>
      </c>
      <c r="E3024">
        <f>INDEX(FactorTable!$B$2:$Y$301, MATCH(ROUND(MIN(300,MAX(1,D3024)),0), FactorTable!$A$2:$A$301,0), Skills!M4+1)</f>
        <v/>
      </c>
      <c r="F3024">
        <f>IF(Skills!N4=TRUE,(Skills!L4/10)*(E3024/1000),Skills!L4/10)+Skills!O4</f>
        <v/>
      </c>
      <c r="G3024">
        <f>Skills!G4*IF(Skills!H4&gt;0,Skills!I4/Skills!H4,1)</f>
        <v/>
      </c>
      <c r="H3024">
        <f>1-(1-Skills!J4/100)^Skills!K4</f>
        <v/>
      </c>
      <c r="I3024" t="inlineStr">
        <is>
          <t>1</t>
        </is>
      </c>
      <c r="J3024">
        <f>((Inputs!$B$6*(1+Inputs!$B$7/100))+(((Inputs!$B$12*(1+Inputs!$B$13/100))-(Inputs!$B$12*(1+Inputs!$B$13/100)))+0.25*(Inputs!$B$14-Inputs!$B$14))*(1+Inputs!$B$7/100))*(F3024/100)</f>
        <v/>
      </c>
      <c r="K3024">
        <f>J3024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3024)</f>
        <v/>
      </c>
      <c r="L3024">
        <f>K3024*(MIN(Inputs!$B$22+((C3044=TRUE)*(F3044-Calc!F24)),(Inputs!$B$23+((C3049=TRUE)*(F3049-Calc!F29))+IF(ArtifactsInput!$M$15,CHOOSE(ArtifactsInput!$N$15+1,25,30,35,40,45,50)/100*(Inputs!$B$11-Inputs!$B$11),0)))/100+(Inputs!$B$23+((C3049=TRUE)*(F3049-Calc!F29))+IF(ArtifactsInput!$M$15,CHOOSE(ArtifactsInput!$N$15+1,25,30,35,40,45,50)/100*(Inputs!$B$11-Inputs!$B$11),0))/100)/2</f>
        <v/>
      </c>
      <c r="M3024">
        <f>L3024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IF(B3065=0,0,O3024/B3065)</f>
        <v/>
      </c>
      <c r="Q3024">
        <f>IFERROR(1/IF(Inputs!$B$39="pvp",15,MAX(0.1,Skills!D4-IF(Skills!E4=TRUE,Inputs!$B$32,0))),0)</f>
        <v/>
      </c>
      <c r="R3024">
        <f>IF(AND(Inputs!$B$39&lt;&gt;"pvp",Inputs!$B$44&gt;0),IF(MAX(0,Inputs!$B$44-B3064)&lt;=0,0,(INT(MAX(0,Inputs!$B$44-B3064)/IF(Inputs!$B$39="pvp",15,MAX(0.1,Skills!D4-IF(Skills!E4=TRUE,Inputs!$B$32,0))))+1)),0)</f>
        <v/>
      </c>
      <c r="S3024">
        <f>IFERROR(O3024/N3024,0)</f>
        <v/>
      </c>
      <c r="T3024">
        <f>IF(C3024,(H3024*N3024*IF(AND(Inputs!$B$39&lt;&gt;"pvp",Inputs!$B$44&gt;0),((Skills!G4*((R3024-1)*IF(Skills!H4&gt;0,Skills!I4/Skills!H4,1)+IF(Skills!H4&gt;0,MIN(Skills!I4,MAX(0,MAX(0,Inputs!$B$44-B3064)-((R3024-1)*IF(Inputs!$B$39="pvp",15,MAX(0.1,Skills!D4-IF(Skills!E4=TRUE,Inputs!$B$32,0))))))/Skills!H4,1)))/Inputs!$B$44),G3024*Q3024))*IF(Inputs!$B$39="pvp",1,1+(Inputs!$B$20+0+Skills!P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3024*(1-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4">
        <f>290*U3023/1000</f>
        <v/>
      </c>
      <c r="V3024">
        <f>IF(C3024,(H3024*N3024*IF(AND(Inputs!$B$39&lt;&gt;"pvp",Inputs!$B$44&gt;0),((Skills!G4*((R3024-1)*IF(Skills!H4&gt;0,Skills!I4/Skills!H4,1)+IF(Skills!H4&gt;0,MIN(Skills!I4,MAX(0,MAX(0,Inputs!$B$44-B3064)-((R3024-1)*IF(Inputs!$B$39="pvp",15,MAX(0.1,Skills!D4-IF(Skills!E4=TRUE,Inputs!$B$32,0))))))/Skills!H4,1)))/Inputs!$B$44),G3024*Q3024))*IF(Inputs!$B$39="pvp",1,(1+(Inputs!$B$21+Skills!Q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(10,0.5*B3057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Skills!A5</f>
        <v/>
      </c>
      <c r="B3025">
        <f>Skills!B5</f>
        <v/>
      </c>
      <c r="C3025">
        <f>Inputs!$B$3&gt;=63</f>
        <v/>
      </c>
      <c r="D3025">
        <f>IF(Skills!C5=1,60+Inputs!$B$25+Inputs!$B$29,IF(Skills!C5=2,90+Inputs!$B$26+Inputs!$B$29,IF(Skills!C5=3,120+Inputs!$B$27+Inputs!$B$29,MAX(0,(Inputs!$B$3-100)*3)+Inputs!$B$28+Inputs!$B$29)))</f>
        <v/>
      </c>
      <c r="E3025">
        <f>INDEX(FactorTable!$B$2:$Y$301, MATCH(ROUND(MIN(300,MAX(1,D3025)),0), FactorTable!$A$2:$A$301,0), Skills!M5+1)</f>
        <v/>
      </c>
      <c r="F3025">
        <f>IF(Skills!N5=TRUE,(Skills!L5/10)*(E3025/1000),Skills!L5/10)+Skills!O5</f>
        <v/>
      </c>
      <c r="G3025">
        <f>Skills!G5*IF(Skills!H5&gt;0,Skills!I5/Skills!H5,1)</f>
        <v/>
      </c>
      <c r="H3025">
        <f>1-(1-Skills!J5/100)^Skills!K5</f>
        <v/>
      </c>
      <c r="I3025" t="inlineStr">
        <is>
          <t>1</t>
        </is>
      </c>
      <c r="J3025">
        <f>((Inputs!$B$6*(1+Inputs!$B$7/100))+(((Inputs!$B$12*(1+Inputs!$B$13/100))-(Inputs!$B$12*(1+Inputs!$B$13/100)))+0.25*(Inputs!$B$14-Inputs!$B$14))*(1+Inputs!$B$7/100))*(F3025/100)</f>
        <v/>
      </c>
      <c r="K3025">
        <f>J3025*(1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3038=TRUE,F3038,0)/100)*(1+(IF(Skills!A5="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3025)</f>
        <v/>
      </c>
      <c r="L3025">
        <f>K3025*(MIN(Inputs!$B$22+((C3044=TRUE)*(F3044-Calc!F24)),(Inputs!$B$23+((C3049=TRUE)*(F3049-Calc!F29))+IF(ArtifactsInput!$M$15,CHOOSE(ArtifactsInput!$N$15+1,25,30,35,40,45,50)/100*(Inputs!$B$11-Inputs!$B$11),0)))/100+(Inputs!$B$23+((C3049=TRUE)*(F3049-Calc!F29))+IF(ArtifactsInput!$M$15,CHOOSE(ArtifactsInput!$N$15+1,25,30,35,40,45,50)/100*(Inputs!$B$11-Inputs!$B$11),0))/100)/2</f>
        <v/>
      </c>
      <c r="M3025">
        <f>L3025*(1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IF(B3065=0,0,O3025/B3065)</f>
        <v/>
      </c>
      <c r="Q3025">
        <f>IFERROR(1/IF(Inputs!$B$39="pvp",15,MAX(0.1,Skills!D5-IF(Skills!E5=TRUE,Inputs!$B$32,0))),0)</f>
        <v/>
      </c>
      <c r="R3025">
        <f>IF(AND(Inputs!$B$39&lt;&gt;"pvp",Inputs!$B$44&gt;0),IF(MAX(0,Inputs!$B$44-B3064)&lt;=0,0,(INT(MAX(0,Inputs!$B$44-B3064)/IF(Inputs!$B$39="pvp",15,MAX(0.1,Skills!D5-IF(Skills!E5=TRUE,Inputs!$B$32,0))))+1)),0)</f>
        <v/>
      </c>
      <c r="S3025">
        <f>IFERROR(O3025/N3025,0)</f>
        <v/>
      </c>
      <c r="T3025">
        <f>IF(C3025,(H3025*N3025*IF(AND(Inputs!$B$39&lt;&gt;"pvp",Inputs!$B$44&gt;0),((Skills!G5*((R3025-1)*IF(Skills!H5&gt;0,Skills!I5/Skills!H5,1)+IF(Skills!H5&gt;0,MIN(Skills!I5,MAX(0,MAX(0,Inputs!$B$44-B3064)-((R3025-1)*IF(Inputs!$B$39="pvp",15,MAX(0.1,Skills!D5-IF(Skills!E5=TRUE,Inputs!$B$32,0))))))/Skills!H5,1)))/Inputs!$B$44),G3025*Q3025))*IF(Inputs!$B$39="pvp",1,1+(Inputs!$B$20+0+Skills!P5+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3025*(1-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5*((R3025-1)*IF(Skills!H5&gt;0,Skills!I5/Skills!H5,1)+IF(Skills!H5&gt;0,MIN(Skills!I5,MAX(0,MAX(0,Inputs!$B$44-B3064)-((R3025-1)*IF(Inputs!$B$39="pvp",15,MAX(0.1,Skills!D5-IF(Skills!E5=TRUE,Inputs!$B$32,0))))))/Skills!H5,1)))/Inputs!$B$44),G3025*Q3025))*IF(Inputs!$B$39="pvp",1,(1+(Inputs!$B$21+Skills!Q5+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Skills!A6</f>
        <v/>
      </c>
      <c r="B3026">
        <f>Skills!B6</f>
        <v/>
      </c>
      <c r="C3026">
        <f>Inputs!$B$3&gt;=69</f>
        <v/>
      </c>
      <c r="D3026">
        <f>IF(Skills!C6=1,60+Inputs!$B$25+Inputs!$B$29,IF(Skills!C6=2,90+Inputs!$B$26+Inputs!$B$29,IF(Skills!C6=3,120+Inputs!$B$27+Inputs!$B$29,MAX(0,(Inputs!$B$3-100)*3)+Inputs!$B$28+Inputs!$B$29)))</f>
        <v/>
      </c>
      <c r="E3026">
        <f>INDEX(FactorTable!$B$2:$Y$301, MATCH(ROUND(MIN(300,MAX(1,D3026)),0), FactorTable!$A$2:$A$301,0), Skills!M6+1)</f>
        <v/>
      </c>
      <c r="F3026">
        <f>IF(Skills!N6=TRUE,(Skills!L6/10)*(E3026/1000),Skills!L6/10)+Skills!O6</f>
        <v/>
      </c>
      <c r="G3026">
        <f>Skills!G6*IF(Skills!H6&gt;0,Skills!I6/Skills!H6,1)</f>
        <v/>
      </c>
      <c r="H3026">
        <f>1-(1-Skills!J6/100)^Skills!K6</f>
        <v/>
      </c>
      <c r="I3026" t="inlineStr">
        <is>
          <t>1</t>
        </is>
      </c>
      <c r="J3026">
        <f>((Inputs!$B$6*(1+Inputs!$B$7/100))+(((Inputs!$B$12*(1+Inputs!$B$13/100))-(Inputs!$B$12*(1+Inputs!$B$13/100)))+0.25*(Inputs!$B$14-Inputs!$B$14))*(1+Inputs!$B$7/100))*(F3026/100)</f>
        <v/>
      </c>
      <c r="K3026">
        <f>J3026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3038=TRUE,F3038,0)/100)*(1+(IF(Skills!A6="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3026)</f>
        <v/>
      </c>
      <c r="L3026">
        <f>K3026*(MIN(Inputs!$B$22+((C3044=TRUE)*(F3044-Calc!F24)),(Inputs!$B$23+((C3049=TRUE)*(F3049-Calc!F29))+IF(ArtifactsInput!$M$15,CHOOSE(ArtifactsInput!$N$15+1,25,30,35,40,45,50)/100*(Inputs!$B$11-Inputs!$B$11),0)))/100+(Inputs!$B$23+((C3049=TRUE)*(F3049-Calc!F29))+IF(ArtifactsInput!$M$15,CHOOSE(ArtifactsInput!$N$15+1,25,30,35,40,45,50)/100*(Inputs!$B$11-Inputs!$B$11),0))/100)/2</f>
        <v/>
      </c>
      <c r="M3026">
        <f>L3026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IF(B3065=0,0,O3026/B3065)</f>
        <v/>
      </c>
      <c r="Q3026">
        <f>IFERROR(1/IF(Inputs!$B$39="pvp",15,MAX(0.1,Skills!D6-IF(Skills!E6=TRUE,Inputs!$B$32,0))),0)</f>
        <v/>
      </c>
      <c r="R3026">
        <f>IF(AND(Inputs!$B$39&lt;&gt;"pvp",Inputs!$B$44&gt;0),IF(MAX(0,Inputs!$B$44-B3064)&lt;=0,0,(INT(MAX(0,Inputs!$B$44-B3064)/IF(Inputs!$B$39="pvp",15,MAX(0.1,Skills!D6-IF(Skills!E6=TRUE,Inputs!$B$32,0))))+1)),0)</f>
        <v/>
      </c>
      <c r="S3026">
        <f>IFERROR(O3026/N3026,0)</f>
        <v/>
      </c>
      <c r="T3026">
        <f>IF(C3026,(H3026*N3026*IF(AND(Inputs!$B$39&lt;&gt;"pvp",Inputs!$B$44&gt;0),((Skills!G6*((R3026-1)*IF(Skills!H6&gt;0,Skills!I6/Skills!H6,1)+IF(Skills!H6&gt;0,MIN(Skills!I6,MAX(0,MAX(0,Inputs!$B$44-B3064)-((R3026-1)*IF(Inputs!$B$39="pvp",15,MAX(0.1,Skills!D6-IF(Skills!E6=TRUE,Inputs!$B$32,0))))))/Skills!H6,1)))/Inputs!$B$44),G3026*Q3026))*IF(Inputs!$B$39="pvp",1,1+(Inputs!$B$20+0+Skills!P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3026*(1-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6*((R3026-1)*IF(Skills!H6&gt;0,Skills!I6/Skills!H6,1)+IF(Skills!H6&gt;0,MIN(Skills!I6,MAX(0,MAX(0,Inputs!$B$44-B3064)-((R3026-1)*IF(Inputs!$B$39="pvp",15,MAX(0.1,Skills!D6-IF(Skills!E6=TRUE,Inputs!$B$32,0))))))/Skills!H6,1)))/Inputs!$B$44),G3026*Q3026))*IF(Inputs!$B$39="pvp",1,(1+(Inputs!$B$21+Skills!Q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Skills!A7</f>
        <v/>
      </c>
      <c r="B3027">
        <f>Skills!B7</f>
        <v/>
      </c>
      <c r="C3027">
        <f>Inputs!$B$3&gt;=60</f>
        <v/>
      </c>
      <c r="D3027">
        <f>IF(Skills!C7=1,60+Inputs!$B$25+Inputs!$B$29,IF(Skills!C7=2,90+Inputs!$B$26+Inputs!$B$29,IF(Skills!C7=3,120+Inputs!$B$27+Inputs!$B$29,MAX(0,(Inputs!$B$3-100)*3)+Inputs!$B$28+Inputs!$B$29)))</f>
        <v/>
      </c>
      <c r="E3027">
        <f>INDEX(FactorTable!$B$2:$Y$301, MATCH(ROUND(MIN(300,MAX(1,D3027)),0), FactorTable!$A$2:$A$301,0), Skills!M7+1)</f>
        <v/>
      </c>
      <c r="F3027">
        <f>IF(Skills!N7=TRUE,(Skills!L7/10)*(E3027/1000),Skills!L7/10)+Skills!O7</f>
        <v/>
      </c>
      <c r="G3027">
        <f>Skills!G7*IF(Skills!H7&gt;0,Skills!I7/Skills!H7,1)</f>
        <v/>
      </c>
      <c r="H3027">
        <f>1-(1-Skills!J7/100)^Skills!K7</f>
        <v/>
      </c>
      <c r="I3027" t="inlineStr">
        <is>
          <t>1</t>
        </is>
      </c>
      <c r="J3027" t="inlineStr"/>
      <c r="K3027" t="inlineStr"/>
      <c r="L3027" t="inlineStr"/>
      <c r="M3027" t="inlineStr"/>
      <c r="N3027" t="inlineStr"/>
      <c r="O3027">
        <f>(1-Summary!$B$11)*T3027+Summary!$B$11*V3027</f>
        <v/>
      </c>
      <c r="P3027">
        <f>IF(B3065=0,0,O3027/B3065)</f>
        <v/>
      </c>
      <c r="Q3027" t="n">
        <v>0</v>
      </c>
      <c r="R3027" t="n">
        <v>0</v>
      </c>
      <c r="S3027">
        <f>IFERROR(O3027/N3027,0)</f>
        <v/>
      </c>
      <c r="T3027" t="n">
        <v>0</v>
      </c>
      <c r="V3027" t="n">
        <v>0</v>
      </c>
    </row>
    <row r="3028">
      <c r="A3028">
        <f>Skills!A8</f>
        <v/>
      </c>
      <c r="B3028">
        <f>Skills!B8</f>
        <v/>
      </c>
      <c r="C3028">
        <f>Inputs!$B$3&gt;=72</f>
        <v/>
      </c>
      <c r="D3028">
        <f>IF(Skills!C8=1,60+Inputs!$B$25+Inputs!$B$29,IF(Skills!C8=2,90+Inputs!$B$26+Inputs!$B$29,IF(Skills!C8=3,120+Inputs!$B$27+Inputs!$B$29,MAX(0,(Inputs!$B$3-100)*3)+Inputs!$B$28+Inputs!$B$29)))</f>
        <v/>
      </c>
      <c r="E3028">
        <f>INDEX(FactorTable!$B$2:$Y$301, MATCH(ROUND(MIN(300,MAX(1,D3028)),0), FactorTable!$A$2:$A$301,0), Skills!M8+1)</f>
        <v/>
      </c>
      <c r="F3028">
        <f>IF(Skills!N8=TRUE,(Skills!L8/10)*(E3028/1000),Skills!L8/10)+Skills!O8</f>
        <v/>
      </c>
      <c r="G3028">
        <f>Skills!G8*IF(Skills!H8&gt;0,Skills!I8/Skills!H8,1)</f>
        <v/>
      </c>
      <c r="H3028">
        <f>1-(1-Skills!J8/100)^Skills!K8</f>
        <v/>
      </c>
      <c r="I3028" t="inlineStr">
        <is>
          <t>1</t>
        </is>
      </c>
      <c r="J3028">
        <f>((Inputs!$B$6*(1+Inputs!$B$7/100))+(((Inputs!$B$12*(1+Inputs!$B$13/100))-(Inputs!$B$12*(1+Inputs!$B$13/100)))+0.25*(Inputs!$B$14-Inputs!$B$14))*(1+Inputs!$B$7/100))*(F3028/100)</f>
        <v/>
      </c>
      <c r="K3028">
        <f>J3028*(1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3038=TRUE,F3038,0)/100)*(1+(IF(Skills!A8="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3028)</f>
        <v/>
      </c>
      <c r="L3028">
        <f>K3028*(MIN(Inputs!$B$22+((C3044=TRUE)*(F3044-Calc!F24)),(Inputs!$B$23+((C3049=TRUE)*(F3049-Calc!F29))+IF(ArtifactsInput!$M$15,CHOOSE(ArtifactsInput!$N$15+1,25,30,35,40,45,50)/100*(Inputs!$B$11-Inputs!$B$11),0)))/100+(Inputs!$B$23+((C3049=TRUE)*(F3049-Calc!F29))+IF(ArtifactsInput!$M$15,CHOOSE(ArtifactsInput!$N$15+1,25,30,35,40,45,50)/100*(Inputs!$B$11-Inputs!$B$11),0))/100)/2</f>
        <v/>
      </c>
      <c r="M3028">
        <f>L3028*(1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8">
        <f>L3028*(1-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3028*(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8">
        <f>(1-Summary!$B$11)*T3028+Summary!$B$11*V3028</f>
        <v/>
      </c>
      <c r="P3028">
        <f>IF(B3065=0,0,O3028/B3065)</f>
        <v/>
      </c>
      <c r="Q3028">
        <f>IFERROR(1/IF(Inputs!$B$39="pvp",15,MAX(0.1,Skills!D8-IF(Skills!E8=TRUE,Inputs!$B$32,0))),0)</f>
        <v/>
      </c>
      <c r="R3028">
        <f>IF(AND(Inputs!$B$39&lt;&gt;"pvp",Inputs!$B$44&gt;0),IF(MAX(0,Inputs!$B$44-B3064)&lt;=0,0,(INT(MAX(0,Inputs!$B$44-B3064)/IF(Inputs!$B$39="pvp",15,MAX(0.1,Skills!D8-IF(Skills!E8=TRUE,Inputs!$B$32,0))))+1)),0)</f>
        <v/>
      </c>
      <c r="S3028">
        <f>IFERROR(O3028/N3028,0)</f>
        <v/>
      </c>
      <c r="T3028">
        <f>IF(C3028,(H3028*N3028*IF(AND(Inputs!$B$39&lt;&gt;"pvp",Inputs!$B$44&gt;0),((Skills!G8*((R3028-1)*IF(Skills!H8&gt;0,Skills!I8/Skills!H8,1)+IF(Skills!H8&gt;0,MIN(Skills!I8,MAX(0,MAX(0,Inputs!$B$44-B3064)-((R3028-1)*IF(Inputs!$B$39="pvp",15,MAX(0.1,Skills!D8-IF(Skills!E8=TRUE,Inputs!$B$32,0))))))/Skills!H8,1)))/Inputs!$B$44),G3028*Q3028))*IF(Inputs!$B$39="pvp",1,1+(Inputs!$B$20+0+Skills!P8+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3028*(1-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3028*(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3028*(1-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3028*(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8">
        <f>IF(C3028,(H3028*N3028*IF(AND(Inputs!$B$39&lt;&gt;"pvp",Inputs!$B$44&gt;0),((Skills!G8*((R3028-1)*IF(Skills!H8&gt;0,Skills!I8/Skills!H8,1)+IF(Skills!H8&gt;0,MIN(Skills!I8,MAX(0,MAX(0,Inputs!$B$44-B3064)-((R3028-1)*IF(Inputs!$B$39="pvp",15,MAX(0.1,Skills!D8-IF(Skills!E8=TRUE,Inputs!$B$32,0))))))/Skills!H8,1)))/Inputs!$B$44),G3028*Q3028))*IF(Inputs!$B$39="pvp",1,(1+(Inputs!$B$21+Skills!Q8+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9">
      <c r="A3029">
        <f>Skills!A9</f>
        <v/>
      </c>
      <c r="B3029">
        <f>Skills!B9</f>
        <v/>
      </c>
      <c r="C3029">
        <f>Inputs!$B$3&gt;=117</f>
        <v/>
      </c>
      <c r="D3029">
        <f>IF(Skills!C9=1,60+Inputs!$B$25+Inputs!$B$29,IF(Skills!C9=2,90+Inputs!$B$26+Inputs!$B$29,IF(Skills!C9=3,120+Inputs!$B$27+Inputs!$B$29,MAX(0,(Inputs!$B$3-100)*3)+Inputs!$B$28+Inputs!$B$29)))</f>
        <v/>
      </c>
      <c r="E3029">
        <f>INDEX(FactorTable!$B$2:$Y$301, MATCH(ROUND(MIN(300,MAX(1,D3029)),0), FactorTable!$A$2:$A$301,0), Skills!M9+1)</f>
        <v/>
      </c>
      <c r="F3029">
        <f>IF(Skills!N9=TRUE,(Skills!L9/10)*(E3029/1000),Skills!L9/10)+Skills!O9</f>
        <v/>
      </c>
      <c r="G3029">
        <f>Skills!G9*IF(Skills!H9&gt;0,Skills!I9/Skills!H9,1)</f>
        <v/>
      </c>
      <c r="H3029">
        <f>1-(1-Skills!J9/100)^Skills!K9</f>
        <v/>
      </c>
      <c r="I3029" t="inlineStr">
        <is>
          <t>1</t>
        </is>
      </c>
      <c r="J3029">
        <f>((Inputs!$B$6*(1+Inputs!$B$7/100))+(((Inputs!$B$12*(1+Inputs!$B$13/100))-(Inputs!$B$12*(1+Inputs!$B$13/100)))+0.25*(Inputs!$B$14-Inputs!$B$14))*(1+Inputs!$B$7/100))*(F3029/100)</f>
        <v/>
      </c>
      <c r="K3029">
        <f>J3029*(1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3029)</f>
        <v/>
      </c>
      <c r="L3029">
        <f>K3029*(MIN(Inputs!$B$22+((C3044=TRUE)*(F3044-Calc!F24)),(Inputs!$B$23+((C3049=TRUE)*(F3049-Calc!F29))+IF(ArtifactsInput!$M$15,CHOOSE(ArtifactsInput!$N$15+1,25,30,35,40,45,50)/100*(Inputs!$B$11-Inputs!$B$11),0)))/100+(Inputs!$B$23+((C3049=TRUE)*(F3049-Calc!F29))+IF(ArtifactsInput!$M$15,CHOOSE(ArtifactsInput!$N$15+1,25,30,35,40,45,50)/100*(Inputs!$B$11-Inputs!$B$11),0))/100)/2</f>
        <v/>
      </c>
      <c r="M3029">
        <f>L3029*(1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IF(B3065=0,0,O3029/B3065)</f>
        <v/>
      </c>
      <c r="Q3029" t="n">
        <v>0</v>
      </c>
      <c r="R3029" t="n">
        <v>0</v>
      </c>
      <c r="S3029" t="n">
        <v>0</v>
      </c>
      <c r="T3029">
        <f>IF(C3029,(0.2*SUMPRODUCT((Skills!Z2:Z30=TRUE)*(C3022:C3050=TRUE)*S3022:S3050)*N3029)*IF(Inputs!$B$39="pvp",1,1+(Inputs!$B$20+0+Skills!P9+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3029*(1-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IF(C3029,(0.2*SUMPRODUCT((Skills!Z2:Z30=TRUE)*(C3022:C3050=TRUE)*S3022:S3050)*N3029)*IF(Inputs!$B$39="pvp",1,(1+(Inputs!$B$21+Skills!Q9+B3054+(IF(ArtifactsInput!$M$33,CHOOSE(ArtifactsInput!$N$33+1,30,36,42,48,54,60),0))+(IF(AND(ArtifactsInput!$M$35,Inputs!$B$4&lt;&gt;"Chapter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Skills!A10</f>
        <v/>
      </c>
      <c r="B3030">
        <f>Skills!B10</f>
        <v/>
      </c>
      <c r="C3030">
        <f>Inputs!$B$3&gt;=74</f>
        <v/>
      </c>
      <c r="D3030">
        <f>IF(Skills!C10=1,60+Inputs!$B$25+Inputs!$B$29,IF(Skills!C10=2,90+Inputs!$B$26+Inputs!$B$29,IF(Skills!C10=3,120+Inputs!$B$27+Inputs!$B$29,MAX(0,(Inputs!$B$3-100)*3)+Inputs!$B$28+Inputs!$B$29)))</f>
        <v/>
      </c>
      <c r="E3030">
        <f>INDEX(FactorTable!$B$2:$Y$301, MATCH(ROUND(MIN(300,MAX(1,D3030)),0), FactorTable!$A$2:$A$301,0), Skills!M10+1)</f>
        <v/>
      </c>
      <c r="F3030">
        <f>IF(Skills!N10=TRUE,(Skills!L10/10)*(E3030/1000),Skills!L10/10)+Skills!O10</f>
        <v/>
      </c>
      <c r="G3030">
        <f>Skills!G10*IF(Skills!H10&gt;0,Skills!I10/Skills!H10,1)</f>
        <v/>
      </c>
      <c r="H3030">
        <f>1-(1-Skills!J10/100)^Skills!K10</f>
        <v/>
      </c>
      <c r="I3030" t="inlineStr">
        <is>
          <t>1</t>
        </is>
      </c>
      <c r="J3030" t="inlineStr"/>
      <c r="K3030" t="inlineStr"/>
      <c r="L3030" t="inlineStr"/>
      <c r="M3030" t="inlineStr"/>
      <c r="N3030" t="inlineStr"/>
      <c r="O3030">
        <f>(1-Summary!$B$11)*T3030+Summary!$B$11*V3030</f>
        <v/>
      </c>
      <c r="P3030">
        <f>IF(B3065=0,0,O3030/B3065)</f>
        <v/>
      </c>
      <c r="Q3030">
        <f>IFERROR(1/IF(Inputs!$B$39="pvp",15,MAX(0.1,Skills!D10-IF(Skills!E10=TRUE,Inputs!$B$32,0))),0)</f>
        <v/>
      </c>
      <c r="R3030">
        <f>IF(AND(Inputs!$B$39&lt;&gt;"pvp",Inputs!$B$44&gt;0),IF(Inputs!$B$44&lt;=0,0,(INT(Inputs!$B$44/IF(Inputs!$B$39="pvp",15,MAX(0.1,Skills!D10-IF(Skills!E10=TRUE,Inputs!$B$32,0))))+1)),0)</f>
        <v/>
      </c>
      <c r="S3030">
        <f>IFERROR(O3030/N3030,0)</f>
        <v/>
      </c>
      <c r="T3030" t="n">
        <v>0</v>
      </c>
      <c r="V3030" t="n">
        <v>0</v>
      </c>
    </row>
    <row r="3031">
      <c r="A3031">
        <f>Skills!A11</f>
        <v/>
      </c>
      <c r="B3031">
        <f>Skills!B11</f>
        <v/>
      </c>
      <c r="C3031">
        <f>Inputs!$B$3&gt;=103</f>
        <v/>
      </c>
      <c r="D3031">
        <f>IF(Skills!C11=1,60+Inputs!$B$25+Inputs!$B$29,IF(Skills!C11=2,90+Inputs!$B$26+Inputs!$B$29,IF(Skills!C11=3,120+Inputs!$B$27+Inputs!$B$29,MAX(0,(Inputs!$B$3-100)*3)+Inputs!$B$28+Inputs!$B$29)))</f>
        <v/>
      </c>
      <c r="E3031">
        <f>INDEX(FactorTable!$B$2:$Y$301, MATCH(ROUND(MIN(300,MAX(1,D3031)),0), FactorTable!$A$2:$A$301,0), Skills!M11+1)</f>
        <v/>
      </c>
      <c r="F3031">
        <f>(Skills!L11/10)*(E3031/1000)+IF(Inputs!$B$3&gt;=134,50,0)+0.5*(30000/10)*(INDEX(FactorTable!$B$2:$Y$301, MATCH(ROUND(MIN(300,MAX(1,D3031)),0), FactorTable!$A$2:$A$301,0), 13)/1000)*B3063</f>
        <v/>
      </c>
      <c r="G3031">
        <f>Skills!G11*IF(Skills!H11&gt;0,Skills!I11/Skills!H11,1)</f>
        <v/>
      </c>
      <c r="H3031">
        <f>1-(1-Skills!J11/100)^Skills!K11</f>
        <v/>
      </c>
      <c r="I3031" t="inlineStr">
        <is>
          <t>1</t>
        </is>
      </c>
      <c r="J3031">
        <f>((Inputs!$B$6*(1+Inputs!$B$7/100))+(((Inputs!$B$12*(1+Inputs!$B$13/100))-(Inputs!$B$12*(1+Inputs!$B$13/100)))+0.25*(Inputs!$B$14-Inputs!$B$14))*(1+Inputs!$B$7/100))*(F3031/100)</f>
        <v/>
      </c>
      <c r="K3031">
        <f>J3031*(1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3031)</f>
        <v/>
      </c>
      <c r="L3031">
        <f>K3031*(MIN(Inputs!$B$22+((C3044=TRUE)*(F3044-Calc!F24)),(Inputs!$B$23+((C3049=TRUE)*(F3049-Calc!F29))+IF(ArtifactsInput!$M$15,CHOOSE(ArtifactsInput!$N$15+1,25,30,35,40,45,50)/100*(Inputs!$B$11-Inputs!$B$11),0)))/100+(Inputs!$B$23+((C3049=TRUE)*(F3049-Calc!F29))+IF(ArtifactsInput!$M$15,CHOOSE(ArtifactsInput!$N$15+1,25,30,35,40,45,50)/100*(Inputs!$B$11-Inputs!$B$11),0))/100)/2</f>
        <v/>
      </c>
      <c r="M3031">
        <f>L3031*(1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1">
        <f>L3031*(1-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1">
        <f>(1-Summary!$B$11)*T3031+Summary!$B$11*V3031</f>
        <v/>
      </c>
      <c r="P3031">
        <f>IF(B3065=0,0,O3031/B3065)</f>
        <v/>
      </c>
      <c r="Q3031">
        <f>IFERROR(1/IF(Inputs!$B$39="pvp",15,MAX(0.1,Skills!D11-IF(Skills!E11=TRUE,Inputs!$B$32,0))),0)</f>
        <v/>
      </c>
      <c r="R3031">
        <f>IF(AND(Inputs!$B$39&lt;&gt;"pvp",Inputs!$B$44&gt;0),IF(MAX(0,Inputs!$B$44-B3064)&lt;=0,0,(INT(MAX(0,Inputs!$B$44-B3064)/IF(Inputs!$B$39="pvp",15,MAX(0.1,Skills!D11-IF(Skills!E11=TRUE,Inputs!$B$32,0))))+1)),0)</f>
        <v/>
      </c>
      <c r="S3031">
        <f>IFERROR(O3031/N3031,0)</f>
        <v/>
      </c>
      <c r="T3031">
        <f>IF(C3031,(H3031*N3031*IF(AND(Inputs!$B$39&lt;&gt;"pvp",Inputs!$B$44&gt;0),((Skills!G11*((R3031-1)*IF(Skills!H11&gt;0,Skills!I11/Skills!H11,1)+IF(Skills!H11&gt;0,MIN(Skills!I11,MAX(0,MAX(0,Inputs!$B$44-B3064)-((R3031-1)*IF(Inputs!$B$39="pvp",15,MAX(0.1,Skills!D11-IF(Skills!E11=TRUE,Inputs!$B$32,0))))))/Skills!H11,1)))/Inputs!$B$44),G3031*Q3031))*IF(Inputs!$B$39="pvp",1,1+(Inputs!$B$20+0+Skills!P11+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3031*(1-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1">
        <f>IF(C3031,(H3031*N3031*IF(AND(Inputs!$B$39&lt;&gt;"pvp",Inputs!$B$44&gt;0),((Skills!G11*((R3031-1)*IF(Skills!H11&gt;0,Skills!I11/Skills!H11,1)+IF(Skills!H11&gt;0,MIN(Skills!I11,MAX(0,MAX(0,Inputs!$B$44-B3064)-((R3031-1)*IF(Inputs!$B$39="pvp",15,MAX(0.1,Skills!D11-IF(Skills!E11=TRUE,Inputs!$B$32,0))))))/Skills!H11,1)))/Inputs!$B$44),G3031*Q3031))*IF(Inputs!$B$39="pvp",1,(1+(Inputs!$B$21+Skills!Q11+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2">
      <c r="A3032">
        <f>Skills!A12</f>
        <v/>
      </c>
      <c r="B3032">
        <f>Skills!B12</f>
        <v/>
      </c>
      <c r="C3032">
        <f>Inputs!$B$3&gt;=105</f>
        <v/>
      </c>
      <c r="D3032">
        <f>IF(Skills!C12=1,60+Inputs!$B$25+Inputs!$B$29,IF(Skills!C12=2,90+Inputs!$B$26+Inputs!$B$29,IF(Skills!C12=3,120+Inputs!$B$27+Inputs!$B$29,MAX(0,(Inputs!$B$3-100)*3)+Inputs!$B$28+Inputs!$B$29)))</f>
        <v/>
      </c>
      <c r="E3032">
        <f>INDEX(FactorTable!$B$2:$Y$301, MATCH(ROUND(MIN(300,MAX(1,D3032)),0), FactorTable!$A$2:$A$301,0), Skills!M12+1)</f>
        <v/>
      </c>
      <c r="F3032">
        <f>IF(Skills!N12=TRUE,(Skills!L12/10)*(E3032/1000),Skills!L12/10)+Skills!O12</f>
        <v/>
      </c>
      <c r="G3032">
        <f>Skills!G12*IF(Skills!H12&gt;0,Skills!I12/Skills!H12,1)</f>
        <v/>
      </c>
      <c r="H3032">
        <f>1-(1-Skills!J12/100)^Skills!K12</f>
        <v/>
      </c>
      <c r="I3032" t="inlineStr">
        <is>
          <t>1</t>
        </is>
      </c>
      <c r="J3032">
        <f>((Inputs!$B$6*(1+Inputs!$B$7/100))+(((Inputs!$B$12*(1+Inputs!$B$13/100))-(Inputs!$B$12*(1+Inputs!$B$13/100)))+0.25*(Inputs!$B$14-Inputs!$B$14))*(1+Inputs!$B$7/100))*(F3032/100)</f>
        <v/>
      </c>
      <c r="K3032">
        <f>J3032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3032)</f>
        <v/>
      </c>
      <c r="L3032">
        <f>K3032*(MIN(Inputs!$B$22+((C3044=TRUE)*(F3044-Calc!F24)),(Inputs!$B$23+((C3049=TRUE)*(F3049-Calc!F29))+IF(ArtifactsInput!$M$15,CHOOSE(ArtifactsInput!$N$15+1,25,30,35,40,45,50)/100*(Inputs!$B$11-Inputs!$B$11),0)))/100+(Inputs!$B$23+((C3049=TRUE)*(F3049-Calc!F29))+IF(ArtifactsInput!$M$15,CHOOSE(ArtifactsInput!$N$15+1,25,30,35,40,45,50)/100*(Inputs!$B$11-Inputs!$B$11),0))/100)/2</f>
        <v/>
      </c>
      <c r="M3032">
        <f>L3032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2">
        <f>L3032*(1-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IF(B3065=0,0,O3032/B3065)</f>
        <v/>
      </c>
      <c r="Q3032">
        <f>IFERROR(1/IF(Inputs!$B$39="pvp",15,MAX(0.1,Skills!D12-IF(Skills!E12=TRUE,Inputs!$B$32,0))),0)</f>
        <v/>
      </c>
      <c r="R3032">
        <f>IF(AND(Inputs!$B$39&lt;&gt;"pvp",Inputs!$B$44&gt;0),IF(MAX(0,Inputs!$B$44-B3064)&lt;=0,0,(INT(MAX(0,Inputs!$B$44-B3064)/IF(Inputs!$B$39="pvp",15,MAX(0.1,Skills!D12-IF(Skills!E12=TRUE,Inputs!$B$32,0))))+1)),0)</f>
        <v/>
      </c>
      <c r="S3032">
        <f>IFERROR(O3032/N3032,0)</f>
        <v/>
      </c>
      <c r="T3032">
        <f>IF(C3032,(H3032*N3032*IF(AND(Inputs!$B$39&lt;&gt;"pvp",Inputs!$B$44&gt;0),((Skills!G12*((R3032-1)*IF(Skills!H12&gt;0,Skills!I12/Skills!H12,1)+IF(Skills!H12&gt;0,MIN(Skills!I12,MAX(0,MAX(0,Inputs!$B$44-B3064)-((R3032-1)*IF(Inputs!$B$39="pvp",15,MAX(0.1,Skills!D12-IF(Skills!E12=TRUE,Inputs!$B$32,0))))))/Skills!H12,1)))/Inputs!$B$44),G3032*Q3032))*IF(Inputs!$B$39="pvp",1,1+(Inputs!$B$20+0+Skills!P12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3032*(1-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12*((R3032-1)*IF(Skills!H12&gt;0,Skills!I12/Skills!H12,1)+IF(Skills!H12&gt;0,MIN(Skills!I12,MAX(0,MAX(0,Inputs!$B$44-B3064)-((R3032-1)*IF(Inputs!$B$39="pvp",15,MAX(0.1,Skills!D12-IF(Skills!E12=TRUE,Inputs!$B$32,0))))))/Skills!H12,1)))/Inputs!$B$44),G3032*Q3032))*IF(Inputs!$B$39="pvp",1,(1+(Inputs!$B$21+Skills!Q12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Skills!A13</f>
        <v/>
      </c>
      <c r="B3033">
        <f>Skills!B13</f>
        <v/>
      </c>
      <c r="C3033">
        <f>Inputs!$B$3&gt;=105</f>
        <v/>
      </c>
      <c r="D3033">
        <f>IF(Skills!C13=1,60+Inputs!$B$25+Inputs!$B$29,IF(Skills!C13=2,90+Inputs!$B$26+Inputs!$B$29,IF(Skills!C13=3,120+Inputs!$B$27+Inputs!$B$29,MAX(0,(Inputs!$B$3-100)*3)+Inputs!$B$28+Inputs!$B$29)))</f>
        <v/>
      </c>
      <c r="E3033">
        <f>INDEX(FactorTable!$B$2:$Y$301, MATCH(ROUND(MIN(300,MAX(1,D3033)),0), FactorTable!$A$2:$A$301,0), Skills!M13+1)</f>
        <v/>
      </c>
      <c r="F3033">
        <f>IF(Skills!N13=TRUE,(Skills!L13/10)*(E3033/1000),Skills!L13/10)+Skills!O13</f>
        <v/>
      </c>
      <c r="G3033">
        <f>Skills!G13*IF(Skills!H13&gt;0,Skills!I13/Skills!H13,1)</f>
        <v/>
      </c>
      <c r="H3033">
        <f>1-(1-Skills!J13/100)^Skills!K13</f>
        <v/>
      </c>
      <c r="I3033" t="inlineStr">
        <is>
          <t>1</t>
        </is>
      </c>
      <c r="J3033">
        <f>((Inputs!$B$6*(1+Inputs!$B$7/100))+(((Inputs!$B$12*(1+Inputs!$B$13/100))-(Inputs!$B$12*(1+Inputs!$B$13/100)))+0.25*(Inputs!$B$14-Inputs!$B$14))*(1+Inputs!$B$7/100))*(F3033/100)</f>
        <v/>
      </c>
      <c r="K3033">
        <f>J3033*(1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3033)</f>
        <v/>
      </c>
      <c r="L3033">
        <f>K3033*(MIN(Inputs!$B$22+((C3044=TRUE)*(F3044-Calc!F24)),(Inputs!$B$23+((C3049=TRUE)*(F3049-Calc!F29))+IF(ArtifactsInput!$M$15,CHOOSE(ArtifactsInput!$N$15+1,25,30,35,40,45,50)/100*(Inputs!$B$11-Inputs!$B$11),0)))/100+(Inputs!$B$23+((C3049=TRUE)*(F3049-Calc!F29))+IF(ArtifactsInput!$M$15,CHOOSE(ArtifactsInput!$N$15+1,25,30,35,40,45,50)/100*(Inputs!$B$11-Inputs!$B$11),0))/100)/2</f>
        <v/>
      </c>
      <c r="M3033">
        <f>L3033*(1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3">
        <f>L3033*(1-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IF(B3065=0,0,O3033/B3065)</f>
        <v/>
      </c>
      <c r="Q3033">
        <f>IFERROR(1/IF(Inputs!$B$39="pvp",15,MAX(0.1,Skills!D13-IF(Skills!E13=TRUE,Inputs!$B$32,0))),0)</f>
        <v/>
      </c>
      <c r="R3033">
        <f>IF(AND(Inputs!$B$39&lt;&gt;"pvp",Inputs!$B$44&gt;0),IF(MAX(0,Inputs!$B$44-B3064)&lt;=0,0,(INT(MAX(0,Inputs!$B$44-B3064)/IF(Inputs!$B$39="pvp",15,MAX(0.1,Skills!D13-IF(Skills!E13=TRUE,Inputs!$B$32,0))))+1)),0)</f>
        <v/>
      </c>
      <c r="S3033">
        <f>IFERROR(O3033/N3033,0)</f>
        <v/>
      </c>
      <c r="T3033">
        <f>IF(C3033,(H3033*N3033*IF(AND(Inputs!$B$39&lt;&gt;"pvp",Inputs!$B$44&gt;0),((Skills!G13*((R3033-1)*IF(Skills!H13&gt;0,Skills!I13/Skills!H13,1)+IF(Skills!H13&gt;0,MIN(Skills!I13,MAX(0,MAX(0,Inputs!$B$44-B3064)-((R3033-1)*IF(Inputs!$B$39="pvp",15,MAX(0.1,Skills!D13-IF(Skills!E13=TRUE,Inputs!$B$32,0))))))/Skills!H13,1)))/Inputs!$B$44),G3033*Q3033))*IF(Inputs!$B$39="pvp",1,1+(Inputs!$B$20+0+Skills!P13+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3033*(1-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13*((R3033-1)*IF(Skills!H13&gt;0,Skills!I13/Skills!H13,1)+IF(Skills!H13&gt;0,MIN(Skills!I13,MAX(0,MAX(0,Inputs!$B$44-B3064)-((R3033-1)*IF(Inputs!$B$39="pvp",15,MAX(0.1,Skills!D13-IF(Skills!E13=TRUE,Inputs!$B$32,0))))))/Skills!H13,1)))/Inputs!$B$44),G3033*Q3033))*IF(Inputs!$B$39="pvp",1,(1+(Inputs!$B$21+Skills!Q13+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Skills!A14</f>
        <v/>
      </c>
      <c r="B3034">
        <f>Skills!B14</f>
        <v/>
      </c>
      <c r="C3034">
        <f>Inputs!$B$3&gt;=107</f>
        <v/>
      </c>
      <c r="D3034">
        <f>IF(Skills!C14=1,60+Inputs!$B$25+Inputs!$B$29,IF(Skills!C14=2,90+Inputs!$B$26+Inputs!$B$29,IF(Skills!C14=3,120+Inputs!$B$27+Inputs!$B$29,MAX(0,(Inputs!$B$3-100)*3)+Inputs!$B$28+Inputs!$B$29)))</f>
        <v/>
      </c>
      <c r="E3034">
        <f>INDEX(FactorTable!$B$2:$Y$301, MATCH(ROUND(MIN(300,MAX(1,D3034)),0), FactorTable!$A$2:$A$301,0), Skills!M14+1)</f>
        <v/>
      </c>
      <c r="F3034">
        <f>IF(Skills!N14=TRUE,(Skills!L14/10)*(E3034/1000),Skills!L14/10)+Skills!O14</f>
        <v/>
      </c>
      <c r="G3034">
        <f>Skills!G14*IF(Skills!H14&gt;0,Skills!I14/Skills!H14,1)</f>
        <v/>
      </c>
      <c r="H3034">
        <f>1-(1-Skills!J14/100)^Skills!K14</f>
        <v/>
      </c>
      <c r="I3034" t="inlineStr">
        <is>
          <t>1</t>
        </is>
      </c>
      <c r="J3034">
        <f>((Inputs!$B$6*(1+Inputs!$B$7/100))+(((Inputs!$B$12*(1+Inputs!$B$13/100))-(Inputs!$B$12*(1+Inputs!$B$13/100)))+0.25*(Inputs!$B$14-Inputs!$B$14))*(1+Inputs!$B$7/100))*(F3034/100)</f>
        <v/>
      </c>
      <c r="K3034">
        <f>J3034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3034)</f>
        <v/>
      </c>
      <c r="L3034">
        <f>K3034*(MIN(Inputs!$B$22+((C3044=TRUE)*(F3044-Calc!F24)),(Inputs!$B$23+((C3049=TRUE)*(F3049-Calc!F29))+IF(ArtifactsInput!$M$15,CHOOSE(ArtifactsInput!$N$15+1,25,30,35,40,45,50)/100*(Inputs!$B$11-Inputs!$B$11),0)))/100+(Inputs!$B$23+((C3049=TRUE)*(F3049-Calc!F29))+IF(ArtifactsInput!$M$15,CHOOSE(ArtifactsInput!$N$15+1,25,30,35,40,45,50)/100*(Inputs!$B$11-Inputs!$B$11),0))/100)/2</f>
        <v/>
      </c>
      <c r="M3034">
        <f>L3034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4">
        <f>L3034*(1-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IF(B3065=0,0,O3034/B3065)</f>
        <v/>
      </c>
      <c r="Q3034">
        <f>IFERROR(1/IF(Inputs!$B$39="pvp",15,MAX(0.1,Skills!D14-IF(Skills!E14=TRUE,Inputs!$B$32,0))),0)</f>
        <v/>
      </c>
      <c r="R3034">
        <f>IF(AND(Inputs!$B$39&lt;&gt;"pvp",Inputs!$B$44&gt;0),IF(MAX(0,Inputs!$B$44-B3064)&lt;=0,0,(INT(MAX(0,Inputs!$B$44-B3064)/IF(Inputs!$B$39="pvp",15,MAX(0.1,Skills!D14-IF(Skills!E14=TRUE,Inputs!$B$32,0))))+1)),0)</f>
        <v/>
      </c>
      <c r="S3034">
        <f>IFERROR(O3034/N3034,0)</f>
        <v/>
      </c>
      <c r="T3034">
        <f>IF(C3034,(H3034*N3034*IF(AND(Inputs!$B$39&lt;&gt;"pvp",Inputs!$B$44&gt;0),((Skills!G14*((R3034-1)*IF(Skills!H14&gt;0,Skills!I14/Skills!H14,1)+IF(Skills!H14&gt;0,MIN(Skills!I14,MAX(0,MAX(0,Inputs!$B$44-B3064)-((R3034-1)*IF(Inputs!$B$39="pvp",15,MAX(0.1,Skills!D14-IF(Skills!E14=TRUE,Inputs!$B$32,0))))))/Skills!H14,1)))/Inputs!$B$44),G3034*Q3034))*IF(Inputs!$B$39="pvp",1,1+(Inputs!$B$20+0+Skills!P14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3034*(1-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14*((R3034-1)*IF(Skills!H14&gt;0,Skills!I14/Skills!H14,1)+IF(Skills!H14&gt;0,MIN(Skills!I14,MAX(0,MAX(0,Inputs!$B$44-B3064)-((R3034-1)*IF(Inputs!$B$39="pvp",15,MAX(0.1,Skills!D14-IF(Skills!E14=TRUE,Inputs!$B$32,0))))))/Skills!H14,1)))/Inputs!$B$44),G3034*Q3034))*IF(Inputs!$B$39="pvp",1,(1+(Inputs!$B$21+Skills!Q14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(5,0.25*B3057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Skills!A15</f>
        <v/>
      </c>
      <c r="B3035">
        <f>Skills!B15</f>
        <v/>
      </c>
      <c r="C3035">
        <f>Inputs!$B$3&gt;=110</f>
        <v/>
      </c>
      <c r="D3035">
        <f>IF(Skills!C15=1,60+Inputs!$B$25+Inputs!$B$29,IF(Skills!C15=2,90+Inputs!$B$26+Inputs!$B$29,IF(Skills!C15=3,120+Inputs!$B$27+Inputs!$B$29,MAX(0,(Inputs!$B$3-100)*3)+Inputs!$B$28+Inputs!$B$29)))</f>
        <v/>
      </c>
      <c r="E3035">
        <f>INDEX(FactorTable!$B$2:$Y$301, MATCH(ROUND(MIN(300,MAX(1,D3035)),0), FactorTable!$A$2:$A$301,0), Skills!M15+1)</f>
        <v/>
      </c>
      <c r="F3035">
        <f>IF(Skills!N15=TRUE,(Skills!L15/10)*(E3035/1000),Skills!L15/10)+Skills!O15</f>
        <v/>
      </c>
      <c r="G3035">
        <f>Skills!G15*IF(Skills!H15&gt;0,Skills!I15/Skills!H15,1)</f>
        <v/>
      </c>
      <c r="H3035">
        <f>1-(1-Skills!J15/100)^Skills!K15</f>
        <v/>
      </c>
      <c r="I3035" t="inlineStr">
        <is>
          <t>1</t>
        </is>
      </c>
      <c r="J3035" t="inlineStr"/>
      <c r="K3035" t="inlineStr"/>
      <c r="L3035" t="inlineStr"/>
      <c r="M3035" t="inlineStr"/>
      <c r="N3035" t="inlineStr"/>
      <c r="O3035">
        <f>(1-Summary!$B$11)*T3035+Summary!$B$11*V3035</f>
        <v/>
      </c>
      <c r="P3035">
        <f>IF(B3065=0,0,O3035/B3065)</f>
        <v/>
      </c>
      <c r="Q3035">
        <f>IFERROR(1/IF(Inputs!$B$39="pvp",15,MAX(0.1,Skills!D15-IF(Skills!E15=TRUE,Inputs!$B$32,0))),0)</f>
        <v/>
      </c>
      <c r="R3035">
        <f>IF(AND(Inputs!$B$39&lt;&gt;"pvp",Inputs!$B$44&gt;0),IF(Inputs!$B$44&lt;=0,0,(INT(Inputs!$B$44/IF(Inputs!$B$39="pvp",15,MAX(0.1,Skills!D15-IF(Skills!E15=TRUE,Inputs!$B$32,0))))+1)),0)</f>
        <v/>
      </c>
      <c r="S3035">
        <f>IFERROR(O3035/N3035,0)</f>
        <v/>
      </c>
      <c r="T3035" t="n">
        <v>0</v>
      </c>
      <c r="V3035" t="n">
        <v>0</v>
      </c>
    </row>
    <row r="3036">
      <c r="A3036">
        <f>Skills!A16</f>
        <v/>
      </c>
      <c r="B3036">
        <f>Skills!B16</f>
        <v/>
      </c>
      <c r="C3036">
        <f>Inputs!$B$3&gt;=115</f>
        <v/>
      </c>
      <c r="D3036">
        <f>IF(Skills!C16=1,60+Inputs!$B$25+Inputs!$B$29,IF(Skills!C16=2,90+Inputs!$B$26+Inputs!$B$29,IF(Skills!C16=3,120+Inputs!$B$27+Inputs!$B$29,MAX(0,(Inputs!$B$3-100)*3)+Inputs!$B$28+Inputs!$B$29)))</f>
        <v/>
      </c>
      <c r="E3036">
        <f>INDEX(FactorTable!$B$2:$Y$301, MATCH(ROUND(MIN(300,MAX(1,D3036)),0), FactorTable!$A$2:$A$301,0), Skills!M16+1)</f>
        <v/>
      </c>
      <c r="F3036">
        <f>IF(Skills!N16=TRUE,(Skills!L16/10)*(E3036/1000),Skills!L16/10)+Skills!O16</f>
        <v/>
      </c>
      <c r="G3036">
        <f>Skills!G16*IF(Skills!H16&gt;0,Skills!I16/Skills!H16,1)</f>
        <v/>
      </c>
      <c r="H3036">
        <f>1-(1-Skills!J16/100)^Skills!K16</f>
        <v/>
      </c>
      <c r="I3036" t="inlineStr">
        <is>
          <t>1</t>
        </is>
      </c>
      <c r="J3036">
        <f>((Inputs!$B$6*(1+Inputs!$B$7/100))+(((Inputs!$B$12*(1+Inputs!$B$13/100))-(Inputs!$B$12*(1+Inputs!$B$13/100)))+0.25*(Inputs!$B$14-Inputs!$B$14))*(1+Inputs!$B$7/100))*(F3036/100)</f>
        <v/>
      </c>
      <c r="K3036">
        <f>J3036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3047=TRUE)*(F3047-Calc!F27))+((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3036)</f>
        <v/>
      </c>
      <c r="L3036">
        <f>K3036*(MIN(Inputs!$B$22+((C3044=TRUE)*(F3044-Calc!F24)),(Inputs!$B$23+((C3049=TRUE)*(F3049-Calc!F29))+IF(ArtifactsInput!$M$15,CHOOSE(ArtifactsInput!$N$15+1,25,30,35,40,45,50)/100*(Inputs!$B$11-Inputs!$B$11),0)))/100+(Inputs!$B$23+((C3049=TRUE)*(F3049-Calc!F29))+IF(ArtifactsInput!$M$15,CHOOSE(ArtifactsInput!$N$15+1,25,30,35,40,45,50)/100*(Inputs!$B$11-Inputs!$B$11),0))/100)/2</f>
        <v/>
      </c>
      <c r="M3036">
        <f>L3036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6">
        <f>L3036*(1-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IF(B3065=0,0,O3036/B3065)</f>
        <v/>
      </c>
      <c r="Q3036" t="n">
        <v>0</v>
      </c>
      <c r="R3036" t="n">
        <v>0</v>
      </c>
      <c r="S3036">
        <f>IFERROR(O3036/N3036,0)</f>
        <v/>
      </c>
      <c r="T3036">
        <f>IF(C3036,(Inputs!$B$38*0.2*N3036)*IF(Inputs!$B$39="pvp",1,1+(Inputs!$B$20+0+Skills!P16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3036*(1-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$9+((C3045=TRUE)*(F3045-Calc!F25))+B3053+(ArtifactsInput!$M$24-ArtifactsInput!$M$24)*CHOOSE(ArtifactsInput!$N$24+1,10,12,14,16,18,20)+(IF(AND(Inputs!$B$39&lt;&gt;"pvp",Inputs!$B$44=0),1,IF(IF(Inputs!$B$39="pvp",15,Inputs!$B$44)-(B3064)&lt;=0,1,MAX(0,IF(Inputs!$B$39="pvp",15,Inputs!$B$44)-MAX(5,B3064))/(IF(Inputs!$B$39="pvp",15,Inputs!$B$44)-(B3064))))*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IF(C3036,(Inputs!$B$38*0.2*N3036)*IF(Inputs!$B$39="pvp",1,(1+(Inputs!$B$21+Skills!Q16+B3054+(IF(ArtifactsInput!$M$33,CHOOSE(ArtifactsInput!$N$33+1,30,36,42,48,54,60),0))+(IF(AND(ArtifactsInput!$M$35,Inputs!$B$4&lt;&gt;"Chapter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Skills!A17</f>
        <v/>
      </c>
      <c r="B3037">
        <f>Skills!B17</f>
        <v/>
      </c>
      <c r="C3037">
        <f>Inputs!$B$3&gt;=115</f>
        <v/>
      </c>
      <c r="D3037">
        <f>IF(Skills!C17=1,60+Inputs!$B$25+Inputs!$B$29,IF(Skills!C17=2,90+Inputs!$B$26+Inputs!$B$29,IF(Skills!C17=3,120+Inputs!$B$27+Inputs!$B$29,MAX(0,(Inputs!$B$3-100)*3)+Inputs!$B$28+Inputs!$B$29)))</f>
        <v/>
      </c>
      <c r="E3037">
        <f>INDEX(FactorTable!$B$2:$Y$301, MATCH(ROUND(MIN(300,MAX(1,D3037)),0), FactorTable!$A$2:$A$301,0), Skills!M17+1)</f>
        <v/>
      </c>
      <c r="F3037">
        <f>IF(Skills!N17=TRUE,(Skills!L17/10)*(E3037/1000),Skills!L17/10)+Skills!O17</f>
        <v/>
      </c>
      <c r="G3037">
        <f>Skills!G17*IF(Skills!H17&gt;0,Skills!I17/Skills!H17,1)</f>
        <v/>
      </c>
      <c r="H3037">
        <f>1-(1-Skills!J17/100)^Skills!K17</f>
        <v/>
      </c>
      <c r="I3037" t="inlineStr">
        <is>
          <t>1</t>
        </is>
      </c>
      <c r="J3037" t="inlineStr"/>
      <c r="K3037" t="inlineStr"/>
      <c r="L3037" t="inlineStr"/>
      <c r="M3037" t="inlineStr"/>
      <c r="N3037" t="inlineStr"/>
      <c r="O3037">
        <f>(1-Summary!$B$11)*T3037+Summary!$B$11*V3037</f>
        <v/>
      </c>
      <c r="P3037">
        <f>IF(B3065=0,0,O3037/B3065)</f>
        <v/>
      </c>
      <c r="Q3037" t="n">
        <v>0</v>
      </c>
      <c r="R3037" t="n">
        <v>0</v>
      </c>
      <c r="S3037">
        <f>IFERROR(O3037/N3037,0)</f>
        <v/>
      </c>
      <c r="T3037" t="n">
        <v>0</v>
      </c>
      <c r="V3037" t="n">
        <v>0</v>
      </c>
    </row>
    <row r="3038">
      <c r="A3038">
        <f>Skills!A18</f>
        <v/>
      </c>
      <c r="B3038">
        <f>Skills!B18</f>
        <v/>
      </c>
      <c r="C3038">
        <f>Inputs!$B$3&gt;=100</f>
        <v/>
      </c>
      <c r="D3038">
        <f>IF(Skills!C18=1,60+Inputs!$B$25+Inputs!$B$29,IF(Skills!C18=2,90+Inputs!$B$26+Inputs!$B$29,IF(Skills!C18=3,120+Inputs!$B$27+Inputs!$B$29,MAX(0,(Inputs!$B$3-100)*3)+Inputs!$B$28+Inputs!$B$29)))</f>
        <v/>
      </c>
      <c r="E3038">
        <f>INDEX(FactorTable!$B$2:$Y$301, MATCH(ROUND(MIN(300,MAX(1,D3038)),0), FactorTable!$A$2:$A$301,0), Skills!M18+1)</f>
        <v/>
      </c>
      <c r="F3038">
        <f>IF(Skills!N18=TRUE,(Skills!L18/10)*(E3038/1000),Skills!L18/10)+Skills!O18</f>
        <v/>
      </c>
      <c r="G3038">
        <f>Skills!G18*IF(Skills!H18&gt;0,Skills!I18/Skills!H18,1)</f>
        <v/>
      </c>
      <c r="H3038">
        <f>1-(1-Skills!J18/100)^Skills!K18</f>
        <v/>
      </c>
      <c r="I3038" t="inlineStr">
        <is>
          <t>1</t>
        </is>
      </c>
      <c r="J3038" t="inlineStr"/>
      <c r="K3038" t="inlineStr"/>
      <c r="L3038" t="inlineStr"/>
      <c r="M3038" t="inlineStr"/>
      <c r="N3038" t="inlineStr"/>
      <c r="O3038">
        <f>(1-Summary!$B$11)*T3038+Summary!$B$11*V3038</f>
        <v/>
      </c>
      <c r="P3038">
        <f>IF(B3065=0,0,O3038/B3065)</f>
        <v/>
      </c>
      <c r="Q3038" t="n">
        <v>0</v>
      </c>
      <c r="R3038" t="n">
        <v>0</v>
      </c>
      <c r="S3038">
        <f>IFERROR(O3038/N3038,0)</f>
        <v/>
      </c>
      <c r="T3038" t="n">
        <v>0</v>
      </c>
      <c r="V3038" t="n">
        <v>0</v>
      </c>
    </row>
    <row r="3039">
      <c r="A3039">
        <f>Skills!A19</f>
        <v/>
      </c>
      <c r="B3039">
        <f>Skills!B19</f>
        <v/>
      </c>
      <c r="C3039">
        <f>TRUE</f>
        <v/>
      </c>
      <c r="D3039">
        <f>IF(Skills!C19=1,60+Inputs!$B$25+Inputs!$B$29,IF(Skills!C19=2,90+Inputs!$B$26+Inputs!$B$29,IF(Skills!C19=3,120+Inputs!$B$27+Inputs!$B$29,MAX(0,(Inputs!$B$3-100)*3)+Inputs!$B$28+Inputs!$B$29)))</f>
        <v/>
      </c>
      <c r="E3039">
        <f>INDEX(FactorTable!$B$2:$Y$301, MATCH(ROUND(MIN(300,MAX(1,D3039)),0), FactorTable!$A$2:$A$301,0), Skills!M19+1)</f>
        <v/>
      </c>
      <c r="F3039">
        <f>IF(Skills!N19=TRUE,(Skills!L19/10)*(E3039/1000),Skills!L19/10)+Skills!O19</f>
        <v/>
      </c>
      <c r="G3039">
        <f>Skills!G19*IF(Skills!H19&gt;0,Skills!I19/Skills!H19,1)</f>
        <v/>
      </c>
      <c r="H3039">
        <f>1-(1-Skills!J19/100)^Skills!K19</f>
        <v/>
      </c>
      <c r="I3039" t="inlineStr">
        <is>
          <t>1</t>
        </is>
      </c>
      <c r="J3039" t="inlineStr"/>
      <c r="K3039" t="inlineStr"/>
      <c r="L3039" t="inlineStr"/>
      <c r="M3039" t="inlineStr"/>
      <c r="N3039" t="inlineStr"/>
      <c r="O3039">
        <f>(1-Summary!$B$11)*T3039+Summary!$B$11*V3039</f>
        <v/>
      </c>
      <c r="P3039">
        <f>IF(B3065=0,0,O3039/B3065)</f>
        <v/>
      </c>
      <c r="Q3039">
        <f>IFERROR(1/IF(Inputs!$B$39="pvp",15,MAX(0.1,Skills!D19-IF(Skills!E19=TRUE,Inputs!$B$32,0))),0)</f>
        <v/>
      </c>
      <c r="R3039">
        <f>IF(AND(Inputs!$B$39&lt;&gt;"pvp",Inputs!$B$44&gt;0),IF(Inputs!$B$44&lt;=0,0,(INT(Inputs!$B$44/IF(Inputs!$B$39="pvp",15,MAX(0.1,Skills!D19-IF(Skills!E19=TRUE,Inputs!$B$32,0))))+1)),0)</f>
        <v/>
      </c>
      <c r="S3039">
        <f>IFERROR(O3039/N3039,0)</f>
        <v/>
      </c>
      <c r="T3039" t="n">
        <v>0</v>
      </c>
      <c r="V3039" t="n">
        <v>0</v>
      </c>
    </row>
    <row r="3040">
      <c r="A3040">
        <f>Skills!A20</f>
        <v/>
      </c>
      <c r="B3040">
        <f>Skills!B20</f>
        <v/>
      </c>
      <c r="C3040">
        <f>Inputs!$B$3&gt;=15</f>
        <v/>
      </c>
      <c r="D3040">
        <f>IF(Skills!C20=1,60+Inputs!$B$25+Inputs!$B$29,IF(Skills!C20=2,90+Inputs!$B$26+Inputs!$B$29,IF(Skills!C20=3,120+Inputs!$B$27+Inputs!$B$29,MAX(0,(Inputs!$B$3-100)*3)+Inputs!$B$28+Inputs!$B$29)))</f>
        <v/>
      </c>
      <c r="E3040">
        <f>INDEX(FactorTable!$B$2:$Y$301, MATCH(ROUND(MIN(300,MAX(1,D3040)),0), FactorTable!$A$2:$A$301,0), Skills!M20+1)</f>
        <v/>
      </c>
      <c r="F3040">
        <f>IF(Skills!N20=TRUE,(Skills!L20/10)*(E3040/1000),Skills!L20/10)+Skills!O20</f>
        <v/>
      </c>
      <c r="G3040">
        <f>Skills!G20*IF(Skills!H20&gt;0,Skills!I20/Skills!H20,1)</f>
        <v/>
      </c>
      <c r="H3040">
        <f>1-(1-Skills!J20/100)^Skills!K20</f>
        <v/>
      </c>
      <c r="I3040" t="inlineStr">
        <is>
          <t>1</t>
        </is>
      </c>
      <c r="J3040" t="inlineStr"/>
      <c r="K3040" t="inlineStr"/>
      <c r="L3040" t="inlineStr"/>
      <c r="M3040" t="inlineStr"/>
      <c r="N3040" t="inlineStr"/>
      <c r="O3040">
        <f>(1-Summary!$B$11)*T3040+Summary!$B$11*V3040</f>
        <v/>
      </c>
      <c r="P3040">
        <f>IF(B3065=0,0,O3040/B3065)</f>
        <v/>
      </c>
      <c r="Q3040">
        <f>IFERROR(1/IF(Inputs!$B$39="pvp",15,MAX(0.1,Skills!D20-IF(Skills!E20=TRUE,Inputs!$B$32,0))),0)</f>
        <v/>
      </c>
      <c r="R3040">
        <f>IF(AND(Inputs!$B$39&lt;&gt;"pvp",Inputs!$B$44&gt;0),IF(Inputs!$B$44&lt;=0,0,(INT(Inputs!$B$44/IF(Inputs!$B$39="pvp",15,MAX(0.1,Skills!D20-IF(Skills!E20=TRUE,Inputs!$B$32,0))))+1)),0)</f>
        <v/>
      </c>
      <c r="S3040">
        <f>IFERROR(O3040/N3040,0)</f>
        <v/>
      </c>
      <c r="T3040" t="n">
        <v>0</v>
      </c>
      <c r="V3040" t="n">
        <v>0</v>
      </c>
    </row>
    <row r="3041">
      <c r="A3041">
        <f>Skills!A21</f>
        <v/>
      </c>
      <c r="B3041">
        <f>Skills!B21</f>
        <v/>
      </c>
      <c r="C3041">
        <f>Inputs!$B$3&gt;=15</f>
        <v/>
      </c>
      <c r="D3041">
        <f>IF(Skills!C21=1,60+Inputs!$B$25+Inputs!$B$29,IF(Skills!C21=2,90+Inputs!$B$26+Inputs!$B$29,IF(Skills!C21=3,120+Inputs!$B$27+Inputs!$B$29,MAX(0,(Inputs!$B$3-100)*3)+Inputs!$B$28+Inputs!$B$29)))</f>
        <v/>
      </c>
      <c r="E3041">
        <f>INDEX(FactorTable!$B$2:$Y$301, MATCH(ROUND(MIN(300,MAX(1,D3041)),0), FactorTable!$A$2:$A$301,0), Skills!M21+1)</f>
        <v/>
      </c>
      <c r="F3041">
        <f>IF(Skills!N21=TRUE,(Skills!L21/10)*(E3041/1000),Skills!L21/10)+Skills!O21</f>
        <v/>
      </c>
      <c r="G3041">
        <f>Skills!G21*IF(Skills!H21&gt;0,Skills!I21/Skills!H21,1)</f>
        <v/>
      </c>
      <c r="H3041">
        <f>1-(1-Skills!J21/100)^Skills!K21</f>
        <v/>
      </c>
      <c r="I3041" t="inlineStr">
        <is>
          <t>1</t>
        </is>
      </c>
      <c r="J3041" t="inlineStr"/>
      <c r="K3041" t="inlineStr"/>
      <c r="L3041" t="inlineStr"/>
      <c r="M3041" t="inlineStr"/>
      <c r="N3041" t="inlineStr"/>
      <c r="O3041">
        <f>(1-Summary!$B$11)*T3041+Summary!$B$11*V3041</f>
        <v/>
      </c>
      <c r="P3041">
        <f>IF(B3065=0,0,O3041/B3065)</f>
        <v/>
      </c>
      <c r="Q3041">
        <f>IFERROR(1/IF(Inputs!$B$39="pvp",15,MAX(0.1,Skills!D21-IF(Skills!E21=TRUE,Inputs!$B$32,0))),0)</f>
        <v/>
      </c>
      <c r="R3041">
        <f>IF(AND(Inputs!$B$39&lt;&gt;"pvp",Inputs!$B$44&gt;0),IF(Inputs!$B$44&lt;=0,0,(INT(Inputs!$B$44/IF(Inputs!$B$39="pvp",15,MAX(0.1,Skills!D21-IF(Skills!E21=TRUE,Inputs!$B$32,0))))+1)),0)</f>
        <v/>
      </c>
      <c r="S3041">
        <f>IFERROR(O3041/N3041,0)</f>
        <v/>
      </c>
      <c r="T3041" t="n">
        <v>0</v>
      </c>
      <c r="V3041" t="n">
        <v>0</v>
      </c>
    </row>
    <row r="3042">
      <c r="A3042">
        <f>Skills!A22</f>
        <v/>
      </c>
      <c r="B3042">
        <f>Skills!B22</f>
        <v/>
      </c>
      <c r="C3042">
        <f>Inputs!$B$3&gt;=33</f>
        <v/>
      </c>
      <c r="D3042">
        <f>IF(Skills!C22=1,60+Inputs!$B$25+Inputs!$B$29,IF(Skills!C22=2,90+Inputs!$B$26+Inputs!$B$29,IF(Skills!C22=3,120+Inputs!$B$27+Inputs!$B$29,MAX(0,(Inputs!$B$3-100)*3)+Inputs!$B$28+Inputs!$B$29)))</f>
        <v/>
      </c>
      <c r="E3042">
        <f>INDEX(FactorTable!$B$2:$Y$301, MATCH(ROUND(MIN(300,MAX(1,D3042)),0), FactorTable!$A$2:$A$301,0), Skills!M22+1)</f>
        <v/>
      </c>
      <c r="F3042">
        <f>IF(Skills!N22=TRUE,(Skills!L22/10)*(E3042/1000),Skills!L22/10)+Skills!O22</f>
        <v/>
      </c>
      <c r="G3042">
        <f>Skills!G22*IF(Skills!H22&gt;0,Skills!I22/Skills!H22,1)</f>
        <v/>
      </c>
      <c r="H3042">
        <f>1-(1-Skills!J22/100)^Skills!K22</f>
        <v/>
      </c>
      <c r="I3042" t="inlineStr">
        <is>
          <t>1</t>
        </is>
      </c>
      <c r="J3042" t="inlineStr"/>
      <c r="K3042" t="inlineStr"/>
      <c r="L3042" t="inlineStr"/>
      <c r="M3042" t="inlineStr"/>
      <c r="N3042" t="inlineStr"/>
      <c r="O3042">
        <f>(1-Summary!$B$11)*T3042+Summary!$B$11*V3042</f>
        <v/>
      </c>
      <c r="P3042">
        <f>IF(B3065=0,0,O3042/B3065)</f>
        <v/>
      </c>
      <c r="Q3042" t="n">
        <v>0</v>
      </c>
      <c r="R3042" t="n">
        <v>0</v>
      </c>
      <c r="S3042">
        <f>IFERROR(O3042/N3042,0)</f>
        <v/>
      </c>
      <c r="T3042" t="n">
        <v>0</v>
      </c>
      <c r="V3042" t="n">
        <v>0</v>
      </c>
    </row>
    <row r="3043">
      <c r="A3043">
        <f>Skills!A23</f>
        <v/>
      </c>
      <c r="B3043">
        <f>Skills!B23</f>
        <v/>
      </c>
      <c r="C3043">
        <f>Inputs!$B$3&gt;=40</f>
        <v/>
      </c>
      <c r="D3043">
        <f>IF(Skills!C23=1,60+Inputs!$B$25+Inputs!$B$29,IF(Skills!C23=2,90+Inputs!$B$26+Inputs!$B$29,IF(Skills!C23=3,120+Inputs!$B$27+Inputs!$B$29,MAX(0,(Inputs!$B$3-100)*3)+Inputs!$B$28+Inputs!$B$29)))</f>
        <v/>
      </c>
      <c r="E3043">
        <f>INDEX(FactorTable!$B$2:$Y$301, MATCH(ROUND(MIN(300,MAX(1,D3043)),0), FactorTable!$A$2:$A$301,0), Skills!M23+1)</f>
        <v/>
      </c>
      <c r="F3043">
        <f>IF(Skills!N23=TRUE,(Skills!L23/10)*(E3043/1000),Skills!L23/10)+Skills!O23</f>
        <v/>
      </c>
      <c r="G3043">
        <f>Skills!G23*IF(Skills!H23&gt;0,Skills!I23/Skills!H23,1)</f>
        <v/>
      </c>
      <c r="H3043">
        <f>1-(1-Skills!J23/100)^Skills!K23</f>
        <v/>
      </c>
      <c r="I3043" t="inlineStr">
        <is>
          <t>1</t>
        </is>
      </c>
      <c r="J3043" t="inlineStr"/>
      <c r="K3043" t="inlineStr"/>
      <c r="L3043" t="inlineStr"/>
      <c r="M3043" t="inlineStr"/>
      <c r="N3043" t="inlineStr"/>
      <c r="O3043">
        <f>(1-Summary!$B$11)*T3043+Summary!$B$11*V3043</f>
        <v/>
      </c>
      <c r="P3043">
        <f>IF(B3065=0,0,O3043/B3065)</f>
        <v/>
      </c>
      <c r="Q3043" t="n">
        <v>0</v>
      </c>
      <c r="R3043" t="n">
        <v>0</v>
      </c>
      <c r="S3043">
        <f>IFERROR(O3043/N3043,0)</f>
        <v/>
      </c>
      <c r="T3043" t="n">
        <v>0</v>
      </c>
      <c r="V3043" t="n">
        <v>0</v>
      </c>
    </row>
    <row r="3044">
      <c r="A3044">
        <f>Skills!A24</f>
        <v/>
      </c>
      <c r="B3044">
        <f>Skills!B24</f>
        <v/>
      </c>
      <c r="C3044">
        <f>Inputs!$B$3&gt;=43</f>
        <v/>
      </c>
      <c r="D3044">
        <f>IF(Skills!C24=1,60+Inputs!$B$25+Inputs!$B$29,IF(Skills!C24=2,90+Inputs!$B$26+Inputs!$B$29,IF(Skills!C24=3,120+Inputs!$B$27+Inputs!$B$29,MAX(0,(Inputs!$B$3-100)*3)+Inputs!$B$28+Inputs!$B$29)))</f>
        <v/>
      </c>
      <c r="E3044">
        <f>INDEX(FactorTable!$B$2:$Y$301, MATCH(ROUND(MIN(300,MAX(1,D3044)),0), FactorTable!$A$2:$A$301,0), Skills!M24+1)</f>
        <v/>
      </c>
      <c r="F3044">
        <f>IF(Skills!N24=TRUE,(Skills!L24/10)*(E3044/1000),Skills!L24/10)+Skills!O24</f>
        <v/>
      </c>
      <c r="G3044">
        <f>Skills!G24*IF(Skills!H24&gt;0,Skills!I24/Skills!H24,1)</f>
        <v/>
      </c>
      <c r="H3044">
        <f>1-(1-Skills!J24/100)^Skills!K24</f>
        <v/>
      </c>
      <c r="I3044" t="inlineStr">
        <is>
          <t>1</t>
        </is>
      </c>
      <c r="J3044" t="inlineStr"/>
      <c r="K3044" t="inlineStr"/>
      <c r="L3044" t="inlineStr"/>
      <c r="M3044" t="inlineStr"/>
      <c r="N3044" t="inlineStr"/>
      <c r="O3044">
        <f>(1-Summary!$B$11)*T3044+Summary!$B$11*V3044</f>
        <v/>
      </c>
      <c r="P3044">
        <f>IF(B3065=0,0,O3044/B3065)</f>
        <v/>
      </c>
      <c r="Q3044" t="n">
        <v>0</v>
      </c>
      <c r="R3044" t="n">
        <v>0</v>
      </c>
      <c r="S3044">
        <f>IFERROR(O3044/N3044,0)</f>
        <v/>
      </c>
      <c r="T3044" t="n">
        <v>0</v>
      </c>
      <c r="V3044" t="n">
        <v>0</v>
      </c>
    </row>
    <row r="3045">
      <c r="A3045">
        <f>Skills!A25</f>
        <v/>
      </c>
      <c r="B3045">
        <f>Skills!B25</f>
        <v/>
      </c>
      <c r="C3045">
        <f>Inputs!$B$3&gt;=50</f>
        <v/>
      </c>
      <c r="D3045">
        <f>IF(Skills!C25=1,60+Inputs!$B$25+Inputs!$B$29,IF(Skills!C25=2,90+Inputs!$B$26+Inputs!$B$29,IF(Skills!C25=3,120+Inputs!$B$27+Inputs!$B$29,MAX(0,(Inputs!$B$3-100)*3)+Inputs!$B$28+Inputs!$B$29)))</f>
        <v/>
      </c>
      <c r="E3045">
        <f>INDEX(FactorTable!$B$2:$Y$301, MATCH(ROUND(MIN(300,MAX(1,D3045)),0), FactorTable!$A$2:$A$301,0), Skills!M25+1)</f>
        <v/>
      </c>
      <c r="F3045">
        <f>IF(Skills!N25=TRUE,(Skills!L25/10)*(E3045/1000),Skills!L25/10)+Skills!O25</f>
        <v/>
      </c>
      <c r="G3045">
        <f>Skills!G25*IF(Skills!H25&gt;0,Skills!I25/Skills!H25,1)</f>
        <v/>
      </c>
      <c r="H3045">
        <f>1-(1-Skills!J25/100)^Skills!K25</f>
        <v/>
      </c>
      <c r="I3045" t="inlineStr">
        <is>
          <t>1</t>
        </is>
      </c>
      <c r="J3045" t="inlineStr"/>
      <c r="K3045" t="inlineStr"/>
      <c r="L3045" t="inlineStr"/>
      <c r="M3045" t="inlineStr"/>
      <c r="N3045" t="inlineStr"/>
      <c r="O3045">
        <f>(1-Summary!$B$11)*T3045+Summary!$B$11*V3045</f>
        <v/>
      </c>
      <c r="P3045">
        <f>IF(B3065=0,0,O3045/B3065)</f>
        <v/>
      </c>
      <c r="Q3045" t="n">
        <v>0</v>
      </c>
      <c r="R3045" t="n">
        <v>0</v>
      </c>
      <c r="S3045">
        <f>IFERROR(O3045/N3045,0)</f>
        <v/>
      </c>
      <c r="T3045" t="n">
        <v>0</v>
      </c>
      <c r="V3045" t="n">
        <v>0</v>
      </c>
    </row>
    <row r="3046">
      <c r="A3046">
        <f>Skills!A26</f>
        <v/>
      </c>
      <c r="B3046">
        <f>Skills!B26</f>
        <v/>
      </c>
      <c r="C3046">
        <f>Inputs!$B$3&gt;=50</f>
        <v/>
      </c>
      <c r="D3046">
        <f>IF(Skills!C26=1,60+Inputs!$B$25+Inputs!$B$29,IF(Skills!C26=2,90+Inputs!$B$26+Inputs!$B$29,IF(Skills!C26=3,120+Inputs!$B$27+Inputs!$B$29,MAX(0,(Inputs!$B$3-100)*3)+Inputs!$B$28+Inputs!$B$29)))</f>
        <v/>
      </c>
      <c r="E3046">
        <f>INDEX(FactorTable!$B$2:$Y$301, MATCH(ROUND(MIN(300,MAX(1,D3046)),0), FactorTable!$A$2:$A$301,0), Skills!M26+1)</f>
        <v/>
      </c>
      <c r="F3046">
        <f>IF(Skills!N26=TRUE,(Skills!L26/10)*(E3046/1000),Skills!L26/10)+Skills!O26</f>
        <v/>
      </c>
      <c r="G3046">
        <f>Skills!G26*IF(Skills!H26&gt;0,Skills!I26/Skills!H26,1)</f>
        <v/>
      </c>
      <c r="H3046">
        <f>1-(1-Skills!J26/100)^Skills!K26</f>
        <v/>
      </c>
      <c r="I3046" t="inlineStr">
        <is>
          <t>1</t>
        </is>
      </c>
      <c r="J3046" t="inlineStr"/>
      <c r="K3046" t="inlineStr"/>
      <c r="L3046" t="inlineStr"/>
      <c r="M3046" t="inlineStr"/>
      <c r="N3046" t="inlineStr"/>
      <c r="O3046">
        <f>(1-Summary!$B$11)*T3046+Summary!$B$11*V3046</f>
        <v/>
      </c>
      <c r="P3046">
        <f>IF(B3065=0,0,O3046/B3065)</f>
        <v/>
      </c>
      <c r="Q3046" t="n">
        <v>0</v>
      </c>
      <c r="R3046" t="n">
        <v>0</v>
      </c>
      <c r="S3046">
        <f>IFERROR(O3046/N3046,0)</f>
        <v/>
      </c>
      <c r="T3046" t="n">
        <v>0</v>
      </c>
      <c r="V3046" t="n">
        <v>0</v>
      </c>
    </row>
    <row r="3047">
      <c r="A3047">
        <f>Skills!A27</f>
        <v/>
      </c>
      <c r="B3047">
        <f>Skills!B27</f>
        <v/>
      </c>
      <c r="C3047">
        <f>Inputs!$B$3&gt;=38</f>
        <v/>
      </c>
      <c r="D3047">
        <f>IF(Skills!C27=1,60+Inputs!$B$25+Inputs!$B$29,IF(Skills!C27=2,90+Inputs!$B$26+Inputs!$B$29,IF(Skills!C27=3,120+Inputs!$B$27+Inputs!$B$29,MAX(0,(Inputs!$B$3-100)*3)+Inputs!$B$28+Inputs!$B$29)))</f>
        <v/>
      </c>
      <c r="E3047">
        <f>INDEX(FactorTable!$B$2:$Y$301, MATCH(ROUND(MIN(300,MAX(1,D3047)),0), FactorTable!$A$2:$A$301,0), Skills!M27+1)</f>
        <v/>
      </c>
      <c r="F3047">
        <f>IF(Skills!N27=TRUE,(Skills!L27/10)*(E3047/1000),Skills!L27/10)+Skills!O27</f>
        <v/>
      </c>
      <c r="G3047">
        <f>Skills!G27*IF(Skills!H27&gt;0,Skills!I27/Skills!H27,1)</f>
        <v/>
      </c>
      <c r="H3047">
        <f>1-(1-Skills!J27/100)^Skills!K27</f>
        <v/>
      </c>
      <c r="I3047" t="inlineStr">
        <is>
          <t>1</t>
        </is>
      </c>
      <c r="J3047" t="inlineStr"/>
      <c r="K3047" t="inlineStr"/>
      <c r="L3047" t="inlineStr"/>
      <c r="M3047" t="inlineStr"/>
      <c r="N3047" t="inlineStr"/>
      <c r="O3047">
        <f>(1-Summary!$B$11)*T3047+Summary!$B$11*V3047</f>
        <v/>
      </c>
      <c r="P3047">
        <f>IF(B3065=0,0,O3047/B3065)</f>
        <v/>
      </c>
      <c r="Q3047" t="n">
        <v>0</v>
      </c>
      <c r="R3047" t="n">
        <v>0</v>
      </c>
      <c r="S3047">
        <f>IFERROR(O3047/N3047,0)</f>
        <v/>
      </c>
      <c r="T3047" t="n">
        <v>0</v>
      </c>
      <c r="V3047" t="n">
        <v>0</v>
      </c>
    </row>
    <row r="3048">
      <c r="A3048">
        <f>Skills!A28</f>
        <v/>
      </c>
      <c r="B3048">
        <f>Skills!B28</f>
        <v/>
      </c>
      <c r="C3048">
        <f>Inputs!$B$3&gt;=120</f>
        <v/>
      </c>
      <c r="D3048">
        <f>IF(Skills!C28=1,60+Inputs!$B$25+Inputs!$B$29,IF(Skills!C28=2,90+Inputs!$B$26+Inputs!$B$29,IF(Skills!C28=3,120+Inputs!$B$27+Inputs!$B$29,MAX(0,(Inputs!$B$3-100)*3)+Inputs!$B$28+Inputs!$B$29)))</f>
        <v/>
      </c>
      <c r="E3048">
        <f>INDEX(FactorTable!$B$2:$Y$301, MATCH(ROUND(MIN(300,MAX(1,D3048)),0), FactorTable!$A$2:$A$301,0), Skills!M28+1)</f>
        <v/>
      </c>
      <c r="F3048">
        <f>IF(Skills!N28=TRUE,(Skills!L28/10)*(E3048/1000),Skills!L28/10)+Skills!O28</f>
        <v/>
      </c>
      <c r="G3048">
        <f>Skills!G28*IF(Skills!H28&gt;0,Skills!I28/Skills!H28,1)</f>
        <v/>
      </c>
      <c r="H3048">
        <f>1-(1-Skills!J28/100)^Skills!K28</f>
        <v/>
      </c>
      <c r="I3048" t="inlineStr">
        <is>
          <t>1</t>
        </is>
      </c>
      <c r="J3048" t="inlineStr"/>
      <c r="K3048" t="inlineStr"/>
      <c r="L3048" t="inlineStr"/>
      <c r="M3048" t="inlineStr"/>
      <c r="N3048" t="inlineStr"/>
      <c r="O3048">
        <f>(1-Summary!$B$11)*T3048+Summary!$B$11*V3048</f>
        <v/>
      </c>
      <c r="P3048">
        <f>IF(B3065=0,0,O3048/B3065)</f>
        <v/>
      </c>
      <c r="Q3048" t="n">
        <v>0</v>
      </c>
      <c r="R3048" t="n">
        <v>0</v>
      </c>
      <c r="S3048">
        <f>IFERROR(O3048/N3048,0)</f>
        <v/>
      </c>
      <c r="T3048" t="n">
        <v>0</v>
      </c>
      <c r="V3048" t="n">
        <v>0</v>
      </c>
    </row>
    <row r="3049">
      <c r="A3049">
        <f>Skills!A29</f>
        <v/>
      </c>
      <c r="B3049">
        <f>Skills!B29</f>
        <v/>
      </c>
      <c r="C3049">
        <f>Inputs!$B$3&gt;=120</f>
        <v/>
      </c>
      <c r="D3049">
        <f>IF(Skills!C29=1,60+Inputs!$B$25+Inputs!$B$29,IF(Skills!C29=2,90+Inputs!$B$26+Inputs!$B$29,IF(Skills!C29=3,120+Inputs!$B$27+Inputs!$B$29,MAX(0,(Inputs!$B$3-100)*3)+Inputs!$B$28+Inputs!$B$29)))</f>
        <v/>
      </c>
      <c r="E3049">
        <f>INDEX(FactorTable!$B$2:$Y$301, MATCH(ROUND(MIN(300,MAX(1,D3049)),0), FactorTable!$A$2:$A$301,0), Skills!M29+1)</f>
        <v/>
      </c>
      <c r="F3049">
        <f>IF(Skills!N29=TRUE,(Skills!L29/10)*(E3049/1000),Skills!L29/10)+Skills!O29</f>
        <v/>
      </c>
      <c r="G3049">
        <f>Skills!G29*IF(Skills!H29&gt;0,Skills!I29/Skills!H29,1)</f>
        <v/>
      </c>
      <c r="H3049">
        <f>1-(1-Skills!J29/100)^Skills!K29</f>
        <v/>
      </c>
      <c r="I3049" t="inlineStr">
        <is>
          <t>1</t>
        </is>
      </c>
      <c r="J3049" t="inlineStr"/>
      <c r="K3049" t="inlineStr"/>
      <c r="L3049" t="inlineStr"/>
      <c r="M3049" t="inlineStr"/>
      <c r="N3049" t="inlineStr"/>
      <c r="O3049">
        <f>(1-Summary!$B$11)*T3049+Summary!$B$11*V3049</f>
        <v/>
      </c>
      <c r="P3049">
        <f>IF(B3065=0,0,O3049/B3065)</f>
        <v/>
      </c>
      <c r="Q3049" t="n">
        <v>0</v>
      </c>
      <c r="R3049" t="n">
        <v>0</v>
      </c>
      <c r="S3049">
        <f>IFERROR(O3049/N3049,0)</f>
        <v/>
      </c>
      <c r="T3049" t="n">
        <v>0</v>
      </c>
      <c r="V3049" t="n">
        <v>0</v>
      </c>
    </row>
    <row r="3050">
      <c r="A3050">
        <f>Skills!A30</f>
        <v/>
      </c>
      <c r="B3050">
        <f>Skills!B30</f>
        <v/>
      </c>
      <c r="C3050">
        <f>Inputs!$B$3&gt;=125</f>
        <v/>
      </c>
      <c r="D3050">
        <f>IF(Skills!C30=1,60+Inputs!$B$25+Inputs!$B$29,IF(Skills!C30=2,90+Inputs!$B$26+Inputs!$B$29,IF(Skills!C30=3,120+Inputs!$B$27+Inputs!$B$29,MAX(0,(Inputs!$B$3-100)*3)+Inputs!$B$28+Inputs!$B$29)))</f>
        <v/>
      </c>
      <c r="E3050">
        <f>INDEX(FactorTable!$B$2:$Y$301, MATCH(ROUND(MIN(300,MAX(1,D3050)),0), FactorTable!$A$2:$A$301,0), Skills!M30+1)</f>
        <v/>
      </c>
      <c r="F3050">
        <f>IF(Skills!N30=TRUE,(Skills!L30/10)*(E3050/1000),Skills!L30/10)+Skills!O30</f>
        <v/>
      </c>
      <c r="G3050">
        <f>Skills!G30*IF(Skills!H30&gt;0,Skills!I30/Skills!H30,1)</f>
        <v/>
      </c>
      <c r="H3050">
        <f>1-(1-Skills!J30/100)^Skills!K30</f>
        <v/>
      </c>
      <c r="I3050" t="inlineStr">
        <is>
          <t>1</t>
        </is>
      </c>
      <c r="J3050" t="inlineStr"/>
      <c r="K3050" t="inlineStr"/>
      <c r="L3050" t="inlineStr"/>
      <c r="M3050" t="inlineStr"/>
      <c r="N3050" t="inlineStr"/>
      <c r="O3050">
        <f>(1-Summary!$B$11)*T3050+Summary!$B$11*V3050</f>
        <v/>
      </c>
      <c r="P3050">
        <f>IF(B3065=0,0,O3050/B3065)</f>
        <v/>
      </c>
      <c r="Q3050" t="n">
        <v>0</v>
      </c>
      <c r="R3050" t="n">
        <v>0</v>
      </c>
      <c r="S3050">
        <f>IFERROR(O3050/N3050,0)</f>
        <v/>
      </c>
      <c r="T3050" t="n">
        <v>0</v>
      </c>
      <c r="V3050" t="n">
        <v>0</v>
      </c>
    </row>
    <row r="3052">
      <c r="A3052" t="inlineStr">
        <is>
          <t>Average Buff Multiplier</t>
        </is>
      </c>
      <c r="B3052">
        <f>(1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f>
        <v/>
      </c>
    </row>
    <row r="3053">
      <c r="A3053" t="inlineStr">
        <is>
          <t>Global Crit Rate Bonus %</t>
        </is>
      </c>
      <c r="B3053">
        <f>((C3040=TRUE)*F3040*IF(AND(Inputs!$B$39&lt;&gt;"pvp",Inputs!$B$44&gt;0),(((R3040-1)*(Skills!Y20*(1+Inputs!$B$34/100))+MIN((Skills!Y20*(1+Inputs!$B$34/100)),MAX(0,Inputs!$B$44-((R3040-1)*Skills!D20))))/Inputs!$B$44),IF(Inputs!$B$39="pvp",MIN((Skills!Y20*(1+Inputs!$B$34/100)),15)/15,(Skills!Y20*(1+Inputs!$B$34/100))/Skills!D20)))</f>
        <v/>
      </c>
    </row>
    <row r="3054">
      <c r="A3054" t="inlineStr">
        <is>
          <t>Global Monster Damage-Taken Bonus %</t>
        </is>
      </c>
      <c r="B3054">
        <f>IF(Inputs!$B$3&gt;=82,15,0)</f>
        <v/>
      </c>
    </row>
    <row r="3055">
      <c r="A3055" t="inlineStr">
        <is>
          <t>Shadow Partner Average Multiplier</t>
        </is>
      </c>
      <c r="B3055">
        <f>1+((C3027=TRUE)*F3027*(1+3.3333333333333335*IF(C3038=TRUE,F3038,0)/100)*I3027*Skills!J7/100)/100</f>
        <v/>
      </c>
    </row>
    <row r="3056">
      <c r="A3056" t="inlineStr">
        <is>
          <t>Attack Speed Buff Bonus %</t>
        </is>
      </c>
      <c r="B3056">
        <f>((C3039=TRUE)*F3039*IF(AND(Inputs!$B$39&lt;&gt;"pvp",Inputs!$B$44&gt;0),(((R3039-1)*(Skills!Y19*(1+Inputs!$B$34/100))+MIN((Skills!Y19*(1+Inputs!$B$34/100)),MAX(0,Inputs!$B$44-((R3039-1)*Skills!D19))))/Inputs!$B$44),IF(Inputs!$B$39="pvp",MIN((Skills!Y19*(1+Inputs!$B$34/100)),15)/15,(Skills!Y19*(1+Inputs!$B$34/100))/Skills!D19)))+((C3023=TRUE)*F3023*3)</f>
        <v/>
      </c>
    </row>
    <row r="3057">
      <c r="A3057" t="inlineStr">
        <is>
          <t>Actions Per Second</t>
        </is>
      </c>
      <c r="B3057">
        <f>1+MIN(150,150*(1-(1-(Inputs!$B$11+((C3042=TRUE)*(F3042-Calc!F22)))/150)*(1-B3056/150)))/100</f>
        <v/>
      </c>
    </row>
    <row r="3058">
      <c r="A3058" t="inlineStr">
        <is>
          <t>Skill + Buff Cast Rate</t>
        </is>
      </c>
      <c r="B3058">
        <f>IF(AND(Inputs!$B$39&lt;&gt;"pvp",Inputs!$B$44&gt;0),SUMPRODUCT((Skills!E2:E30=TRUE)*(C3022:C3050=TRUE)*R3022:R3050*Skills!F2:F30)/Inputs!$B$44,SUMPRODUCT((Skills!E2:E30=TRUE)*(C3022:C3050=TRUE)*Q3022:Q3050*Skills!F2:F30))</f>
        <v/>
      </c>
    </row>
    <row r="3059">
      <c r="A3059" t="inlineStr">
        <is>
          <t>Cruel Stab Casts Per Second</t>
        </is>
      </c>
      <c r="B3059">
        <f>MAX(0,B3057-B3058)</f>
        <v/>
      </c>
    </row>
    <row r="3060">
      <c r="A3060" t="inlineStr">
        <is>
          <t>Global Critical Damage Bonus % (Smokescreen Mastery Lv.113)</t>
        </is>
      </c>
      <c r="B3060">
        <f>IF(Inputs!$B$3&gt;=113,30,0)*IF(AND(Inputs!$B$39&lt;&gt;"pvp",Inputs!$B$44&gt;0),(((R3035-1)*(Skills!Y15*(1+Inputs!$B$34/100))+MIN((Skills!Y15*(1+Inputs!$B$34/100)),MAX(0,Inputs!$B$44-((R3035-1)*Skills!D15))))/Inputs!$B$44),IF(Inputs!$B$39="pvp",MIN((Skills!Y15*(1+Inputs!$B$34/100)),15)/15,(Skills!Y15*(1+Inputs!$B$34/100))/Skills!D15))</f>
        <v/>
      </c>
    </row>
    <row r="3061">
      <c r="A3061" t="inlineStr">
        <is>
          <t>Meso Explosion average stack count</t>
        </is>
      </c>
      <c r="B3061">
        <f>MIN(10,0.5*B3057*Skills!D4)</f>
        <v/>
      </c>
    </row>
    <row r="3062">
      <c r="A3062" t="inlineStr">
        <is>
          <t>Blood Money average stack count</t>
        </is>
      </c>
      <c r="B3062">
        <f>MIN(5,0.25*B3057*Skills!D4)</f>
        <v/>
      </c>
    </row>
    <row r="3063">
      <c r="A3063" t="inlineStr">
        <is>
          <t>Assassinate Murderous Intent Multiplier</t>
        </is>
      </c>
      <c r="B3063">
        <f>1+IFERROR(MIN(1,Q3034*2/Q3031),0)</f>
        <v/>
      </c>
    </row>
    <row r="3064">
      <c r="A3064" t="inlineStr">
        <is>
          <t>Buff-Casting Startup Delay (s, fixed-duration only)</t>
        </is>
      </c>
      <c r="B3064">
        <f>IF(AND(Inputs!$B$39&lt;&gt;"pvp",Inputs!$B$44&gt;0),SUMPRODUCT((Skills!Y2:Y30&gt;0)*(Skills!E2:E30=TRUE)*(C3022:C3050=TRUE))/B3057,0)</f>
        <v/>
      </c>
    </row>
    <row r="3065">
      <c r="A3065" s="6" t="inlineStr">
        <is>
          <t>TOTAL DPS</t>
        </is>
      </c>
      <c r="B3065" s="6">
        <f>SUM(O3022:O3050)</f>
        <v/>
      </c>
    </row>
    <row r="3066">
      <c r="A3066" t="inlineStr">
        <is>
          <t>Boss-Only Total DPS (this block's swept value)</t>
        </is>
      </c>
      <c r="B3066">
        <f>SUM(T3022:T3050)</f>
        <v/>
      </c>
    </row>
    <row r="3067">
      <c r="A3067" t="inlineStr">
        <is>
          <t>Normal-Only Total DPS (this block's swept value)</t>
        </is>
      </c>
      <c r="B3067">
        <f>SUM(V3022:V3050)</f>
        <v/>
      </c>
    </row>
    <row r="3070">
      <c r="A3070" s="6" t="inlineStr">
        <is>
          <t>Stat: Reindeer's Spear (Equip)</t>
        </is>
      </c>
    </row>
    <row r="3071">
      <c r="A3071" s="5" t="inlineStr">
        <is>
          <t>Key</t>
        </is>
      </c>
      <c r="B3071" s="5" t="inlineStr">
        <is>
          <t>Name</t>
        </is>
      </c>
      <c r="C3071" s="5" t="inlineStr">
        <is>
          <t>Unlocked</t>
        </is>
      </c>
      <c r="D3071" s="5" t="inlineStr">
        <is>
          <t>InputLevel</t>
        </is>
      </c>
      <c r="E3071" s="5" t="inlineStr">
        <is>
          <t>Factor</t>
        </is>
      </c>
      <c r="F3071" s="5" t="inlineStr">
        <is>
          <t>CoefficientPercent</t>
        </is>
      </c>
      <c r="G3071" s="5" t="inlineStr">
        <is>
          <t>EffectiveHits</t>
        </is>
      </c>
      <c r="H3071" s="5" t="inlineStr">
        <is>
          <t>ProcProbability</t>
        </is>
      </c>
      <c r="I3071" s="5" t="inlineStr">
        <is>
          <t>MapleHeroMultiplier</t>
        </is>
      </c>
      <c r="J3071" s="5" t="inlineStr">
        <is>
          <t>BaseDamage</t>
        </is>
      </c>
      <c r="K3071" s="5" t="inlineStr">
        <is>
          <t>BaseHitDamage</t>
        </is>
      </c>
      <c r="L3071" s="5" t="inlineStr">
        <is>
          <t>NonCritAvg</t>
        </is>
      </c>
      <c r="M3071" s="5" t="inlineStr">
        <is>
          <t>CritAvg</t>
        </is>
      </c>
      <c r="N3071" s="5" t="inlineStr">
        <is>
          <t>ExpectedDamage(perHit)</t>
        </is>
      </c>
      <c r="O3071" s="5" t="inlineStr">
        <is>
          <t>DPS</t>
        </is>
      </c>
      <c r="P3071" s="5" t="inlineStr">
        <is>
          <t>% of Total</t>
        </is>
      </c>
      <c r="Q3071" s="5" t="inlineStr">
        <is>
          <t>InvCooldown</t>
        </is>
      </c>
      <c r="R3071" s="5" t="inlineStr">
        <is>
          <t>CastsInFight</t>
        </is>
      </c>
      <c r="S3071" s="5" t="inlineStr">
        <is>
          <t>HitRate(perSec)</t>
        </is>
      </c>
      <c r="U3071" t="inlineStr">
        <is>
          <t>helpers</t>
        </is>
      </c>
    </row>
    <row r="3072">
      <c r="A3072">
        <f>Skills!A2</f>
        <v/>
      </c>
      <c r="B3072">
        <f>Skills!B2</f>
        <v/>
      </c>
      <c r="C3072">
        <f>Inputs!$B$3&gt;=100</f>
        <v/>
      </c>
      <c r="D3072" t="inlineStr"/>
      <c r="E3072" t="inlineStr"/>
      <c r="F3072">
        <f>U3074+Skills!O2</f>
        <v/>
      </c>
      <c r="G3072">
        <f>Skills!G2*IF(Skills!H2&gt;0,Skills!I2/Skills!H2,1)</f>
        <v/>
      </c>
      <c r="H3072">
        <f>1-(1-Skills!J2/100)^Skills!K2</f>
        <v/>
      </c>
      <c r="I3072" t="inlineStr">
        <is>
          <t>1</t>
        </is>
      </c>
      <c r="J3072">
        <f>((Inputs!$B$6*(1+Inputs!$B$7/100))+(((Inputs!$B$12*(1+Inputs!$B$13/100))-(Inputs!$B$12*(1+Inputs!$B$13/100)))+0.25*(Inputs!$B$14-Inputs!$B$14))*(1+Inputs!$B$7/100))*(F3072/100)</f>
        <v/>
      </c>
      <c r="K3072">
        <f>J3072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3072)</f>
        <v/>
      </c>
      <c r="L3072">
        <f>K3072*(MIN(Inputs!$B$22+((C3094=TRUE)*(F3094-Calc!F24)),(Inputs!$B$23+((C3099=TRUE)*(F3099-Calc!F29))+IF(ArtifactsInput!$M$15,CHOOSE(ArtifactsInput!$N$15+1,25,30,35,40,45,50)/100*(Inputs!$B$11-Inputs!$B$11),0)))/100+(Inputs!$B$23+((C3099=TRUE)*(F3099-Calc!F29))+IF(ArtifactsInput!$M$15,CHOOSE(ArtifactsInput!$N$15+1,25,30,35,40,45,50)/100*(Inputs!$B$11-Inputs!$B$11),0))/100)/2</f>
        <v/>
      </c>
      <c r="M3072">
        <f>L3072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2">
        <f>L3072*(1-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3072*(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2">
        <f>(1-Summary!$B$11)*T3072+Summary!$B$11*V3072</f>
        <v/>
      </c>
      <c r="P3072">
        <f>IF(B3115=0,0,O3072/B3115)</f>
        <v/>
      </c>
      <c r="Q3072" t="n">
        <v>0</v>
      </c>
      <c r="R3072" t="n">
        <v>0</v>
      </c>
      <c r="S3072">
        <f>IFERROR(O3072/N3072,0)</f>
        <v/>
      </c>
      <c r="T3072">
        <f>IF(C3072,(Skills!G2*N3072*B3109)*IF(Inputs!$B$39="pvp",1,1+(Inputs!$B$20+0+Skills!P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3072*(1-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3072*(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3072*(1-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3072*(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2">
        <f>MAX(0,(Inputs!$B$3-100)*3)+Inputs!$B$28+Inputs!$B$29</f>
        <v/>
      </c>
      <c r="V3072">
        <f>IF(C3072,(Skills!G2*N3072*B3109)*IF(Inputs!$B$39="pvp",1,(1+(Inputs!$B$21+Skills!Q2+B3104+(IF(ArtifactsInput!$M$33,CHOOSE(ArtifactsInput!$N$33+1,30,36,42,48,54,60),0))+(IF(AND(ArtifactsInput!$M$35,Inputs!$B$4&lt;&gt;"Chapter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3">
      <c r="A3073">
        <f>Skills!A3</f>
        <v/>
      </c>
      <c r="B3073">
        <f>Skills!B3</f>
        <v/>
      </c>
      <c r="C3073">
        <f>Inputs!$B$3&gt;=35</f>
        <v/>
      </c>
      <c r="D3073">
        <f>IF(Skills!C3=1,60+Inputs!$B$25+Inputs!$B$29,IF(Skills!C3=2,90+Inputs!$B$26+Inputs!$B$29,IF(Skills!C3=3,120+Inputs!$B$27+Inputs!$B$29,MAX(0,(Inputs!$B$3-100)*3)+Inputs!$B$28+Inputs!$B$29)))</f>
        <v/>
      </c>
      <c r="E3073">
        <f>INDEX(FactorTable!$B$2:$Y$301, MATCH(ROUND(MIN(300,MAX(1,D3073)),0), FactorTable!$A$2:$A$301,0), Skills!M3+1)</f>
        <v/>
      </c>
      <c r="F3073">
        <f>IF(Skills!N3=TRUE,(Skills!L3/10)*(E3073/1000),Skills!L3/10)+Skills!O3</f>
        <v/>
      </c>
      <c r="G3073">
        <f>Skills!G3*IF(Skills!H3&gt;0,Skills!I3/Skills!H3,1)</f>
        <v/>
      </c>
      <c r="H3073">
        <f>1-(1-Skills!J3/100)^Skills!K3</f>
        <v/>
      </c>
      <c r="I3073" t="inlineStr">
        <is>
          <t>1</t>
        </is>
      </c>
      <c r="J3073" t="inlineStr"/>
      <c r="K3073" t="inlineStr"/>
      <c r="L3073" t="inlineStr"/>
      <c r="M3073" t="inlineStr"/>
      <c r="N3073" t="inlineStr"/>
      <c r="O3073">
        <f>(1-Summary!$B$11)*T3073+Summary!$B$11*V3073</f>
        <v/>
      </c>
      <c r="P3073">
        <f>IF(B3115=0,0,O3073/B3115)</f>
        <v/>
      </c>
      <c r="Q3073" t="n">
        <v>0</v>
      </c>
      <c r="R3073" t="n">
        <v>0</v>
      </c>
      <c r="S3073">
        <f>IFERROR(O3073/N3073,0)</f>
        <v/>
      </c>
      <c r="T3073" t="n">
        <v>0</v>
      </c>
      <c r="U3073">
        <f>INDEX(FactorTable!$B$2:$Y$301, MATCH(ROUND(MIN(300,MAX(1,U3072)),0), FactorTable!$A$2:$A$301,0), 22)</f>
        <v/>
      </c>
      <c r="V3073" t="n">
        <v>0</v>
      </c>
    </row>
    <row r="3074">
      <c r="A3074">
        <f>Skills!A4</f>
        <v/>
      </c>
      <c r="B3074">
        <f>Skills!B4</f>
        <v/>
      </c>
      <c r="C3074">
        <f>Inputs!$B$3&gt;=66</f>
        <v/>
      </c>
      <c r="D3074">
        <f>IF(Skills!C4=1,60+Inputs!$B$25+Inputs!$B$29,IF(Skills!C4=2,90+Inputs!$B$26+Inputs!$B$29,IF(Skills!C4=3,120+Inputs!$B$27+Inputs!$B$29,MAX(0,(Inputs!$B$3-100)*3)+Inputs!$B$28+Inputs!$B$29)))</f>
        <v/>
      </c>
      <c r="E3074">
        <f>INDEX(FactorTable!$B$2:$Y$301, MATCH(ROUND(MIN(300,MAX(1,D3074)),0), FactorTable!$A$2:$A$301,0), Skills!M4+1)</f>
        <v/>
      </c>
      <c r="F3074">
        <f>IF(Skills!N4=TRUE,(Skills!L4/10)*(E3074/1000),Skills!L4/10)+Skills!O4</f>
        <v/>
      </c>
      <c r="G3074">
        <f>Skills!G4*IF(Skills!H4&gt;0,Skills!I4/Skills!H4,1)</f>
        <v/>
      </c>
      <c r="H3074">
        <f>1-(1-Skills!J4/100)^Skills!K4</f>
        <v/>
      </c>
      <c r="I3074" t="inlineStr">
        <is>
          <t>1</t>
        </is>
      </c>
      <c r="J3074">
        <f>((Inputs!$B$6*(1+Inputs!$B$7/100))+(((Inputs!$B$12*(1+Inputs!$B$13/100))-(Inputs!$B$12*(1+Inputs!$B$13/100)))+0.25*(Inputs!$B$14-Inputs!$B$14))*(1+Inputs!$B$7/100))*(F3074/100)</f>
        <v/>
      </c>
      <c r="K3074">
        <f>J3074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3074)</f>
        <v/>
      </c>
      <c r="L3074">
        <f>K3074*(MIN(Inputs!$B$22+((C3094=TRUE)*(F3094-Calc!F24)),(Inputs!$B$23+((C3099=TRUE)*(F3099-Calc!F29))+IF(ArtifactsInput!$M$15,CHOOSE(ArtifactsInput!$N$15+1,25,30,35,40,45,50)/100*(Inputs!$B$11-Inputs!$B$11),0)))/100+(Inputs!$B$23+((C3099=TRUE)*(F3099-Calc!F29))+IF(ArtifactsInput!$M$15,CHOOSE(ArtifactsInput!$N$15+1,25,30,35,40,45,50)/100*(Inputs!$B$11-Inputs!$B$11),0))/100)/2</f>
        <v/>
      </c>
      <c r="M3074">
        <f>L3074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IF(B3115=0,0,O3074/B3115)</f>
        <v/>
      </c>
      <c r="Q3074">
        <f>IFERROR(1/IF(Inputs!$B$39="pvp",15,MAX(0.1,Skills!D4-IF(Skills!E4=TRUE,Inputs!$B$32,0))),0)</f>
        <v/>
      </c>
      <c r="R3074">
        <f>IF(AND(Inputs!$B$39&lt;&gt;"pvp",Inputs!$B$44&gt;0),IF(MAX(0,Inputs!$B$44-B3114)&lt;=0,0,(INT(MAX(0,Inputs!$B$44-B3114)/IF(Inputs!$B$39="pvp",15,MAX(0.1,Skills!D4-IF(Skills!E4=TRUE,Inputs!$B$32,0))))+1)),0)</f>
        <v/>
      </c>
      <c r="S3074">
        <f>IFERROR(O3074/N3074,0)</f>
        <v/>
      </c>
      <c r="T3074">
        <f>IF(C3074,(H3074*N3074*IF(AND(Inputs!$B$39&lt;&gt;"pvp",Inputs!$B$44&gt;0),((Skills!G4*((R3074-1)*IF(Skills!H4&gt;0,Skills!I4/Skills!H4,1)+IF(Skills!H4&gt;0,MIN(Skills!I4,MAX(0,MAX(0,Inputs!$B$44-B3114)-((R3074-1)*IF(Inputs!$B$39="pvp",15,MAX(0.1,Skills!D4-IF(Skills!E4=TRUE,Inputs!$B$32,0))))))/Skills!H4,1)))/Inputs!$B$44),G3074*Q3074))*IF(Inputs!$B$39="pvp",1,1+(Inputs!$B$20+0+Skills!P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3074*(1-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4">
        <f>290*U3073/1000</f>
        <v/>
      </c>
      <c r="V3074">
        <f>IF(C3074,(H3074*N3074*IF(AND(Inputs!$B$39&lt;&gt;"pvp",Inputs!$B$44&gt;0),((Skills!G4*((R3074-1)*IF(Skills!H4&gt;0,Skills!I4/Skills!H4,1)+IF(Skills!H4&gt;0,MIN(Skills!I4,MAX(0,MAX(0,Inputs!$B$44-B3114)-((R3074-1)*IF(Inputs!$B$39="pvp",15,MAX(0.1,Skills!D4-IF(Skills!E4=TRUE,Inputs!$B$32,0))))))/Skills!H4,1)))/Inputs!$B$44),G3074*Q3074))*IF(Inputs!$B$39="pvp",1,(1+(Inputs!$B$21+Skills!Q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(10,0.5*B3107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Skills!A5</f>
        <v/>
      </c>
      <c r="B3075">
        <f>Skills!B5</f>
        <v/>
      </c>
      <c r="C3075">
        <f>Inputs!$B$3&gt;=63</f>
        <v/>
      </c>
      <c r="D3075">
        <f>IF(Skills!C5=1,60+Inputs!$B$25+Inputs!$B$29,IF(Skills!C5=2,90+Inputs!$B$26+Inputs!$B$29,IF(Skills!C5=3,120+Inputs!$B$27+Inputs!$B$29,MAX(0,(Inputs!$B$3-100)*3)+Inputs!$B$28+Inputs!$B$29)))</f>
        <v/>
      </c>
      <c r="E3075">
        <f>INDEX(FactorTable!$B$2:$Y$301, MATCH(ROUND(MIN(300,MAX(1,D3075)),0), FactorTable!$A$2:$A$301,0), Skills!M5+1)</f>
        <v/>
      </c>
      <c r="F3075">
        <f>IF(Skills!N5=TRUE,(Skills!L5/10)*(E3075/1000),Skills!L5/10)+Skills!O5</f>
        <v/>
      </c>
      <c r="G3075">
        <f>Skills!G5*IF(Skills!H5&gt;0,Skills!I5/Skills!H5,1)</f>
        <v/>
      </c>
      <c r="H3075">
        <f>1-(1-Skills!J5/100)^Skills!K5</f>
        <v/>
      </c>
      <c r="I3075" t="inlineStr">
        <is>
          <t>1</t>
        </is>
      </c>
      <c r="J3075">
        <f>((Inputs!$B$6*(1+Inputs!$B$7/100))+(((Inputs!$B$12*(1+Inputs!$B$13/100))-(Inputs!$B$12*(1+Inputs!$B$13/100)))+0.25*(Inputs!$B$14-Inputs!$B$14))*(1+Inputs!$B$7/100))*(F3075/100)</f>
        <v/>
      </c>
      <c r="K3075">
        <f>J3075*(1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3088=TRUE,F3088,0)/100)*(1+(IF(Skills!A5="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3075)</f>
        <v/>
      </c>
      <c r="L3075">
        <f>K3075*(MIN(Inputs!$B$22+((C3094=TRUE)*(F3094-Calc!F24)),(Inputs!$B$23+((C3099=TRUE)*(F3099-Calc!F29))+IF(ArtifactsInput!$M$15,CHOOSE(ArtifactsInput!$N$15+1,25,30,35,40,45,50)/100*(Inputs!$B$11-Inputs!$B$11),0)))/100+(Inputs!$B$23+((C3099=TRUE)*(F3099-Calc!F29))+IF(ArtifactsInput!$M$15,CHOOSE(ArtifactsInput!$N$15+1,25,30,35,40,45,50)/100*(Inputs!$B$11-Inputs!$B$11),0))/100)/2</f>
        <v/>
      </c>
      <c r="M3075">
        <f>L3075*(1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IF(B3115=0,0,O3075/B3115)</f>
        <v/>
      </c>
      <c r="Q3075">
        <f>IFERROR(1/IF(Inputs!$B$39="pvp",15,MAX(0.1,Skills!D5-IF(Skills!E5=TRUE,Inputs!$B$32,0))),0)</f>
        <v/>
      </c>
      <c r="R3075">
        <f>IF(AND(Inputs!$B$39&lt;&gt;"pvp",Inputs!$B$44&gt;0),IF(MAX(0,Inputs!$B$44-B3114)&lt;=0,0,(INT(MAX(0,Inputs!$B$44-B3114)/IF(Inputs!$B$39="pvp",15,MAX(0.1,Skills!D5-IF(Skills!E5=TRUE,Inputs!$B$32,0))))+1)),0)</f>
        <v/>
      </c>
      <c r="S3075">
        <f>IFERROR(O3075/N3075,0)</f>
        <v/>
      </c>
      <c r="T3075">
        <f>IF(C3075,(H3075*N3075*IF(AND(Inputs!$B$39&lt;&gt;"pvp",Inputs!$B$44&gt;0),((Skills!G5*((R3075-1)*IF(Skills!H5&gt;0,Skills!I5/Skills!H5,1)+IF(Skills!H5&gt;0,MIN(Skills!I5,MAX(0,MAX(0,Inputs!$B$44-B3114)-((R3075-1)*IF(Inputs!$B$39="pvp",15,MAX(0.1,Skills!D5-IF(Skills!E5=TRUE,Inputs!$B$32,0))))))/Skills!H5,1)))/Inputs!$B$44),G3075*Q3075))*IF(Inputs!$B$39="pvp",1,1+(Inputs!$B$20+0+Skills!P5+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3075*(1-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5*((R3075-1)*IF(Skills!H5&gt;0,Skills!I5/Skills!H5,1)+IF(Skills!H5&gt;0,MIN(Skills!I5,MAX(0,MAX(0,Inputs!$B$44-B3114)-((R3075-1)*IF(Inputs!$B$39="pvp",15,MAX(0.1,Skills!D5-IF(Skills!E5=TRUE,Inputs!$B$32,0))))))/Skills!H5,1)))/Inputs!$B$44),G3075*Q3075))*IF(Inputs!$B$39="pvp",1,(1+(Inputs!$B$21+Skills!Q5+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Skills!A6</f>
        <v/>
      </c>
      <c r="B3076">
        <f>Skills!B6</f>
        <v/>
      </c>
      <c r="C3076">
        <f>Inputs!$B$3&gt;=69</f>
        <v/>
      </c>
      <c r="D3076">
        <f>IF(Skills!C6=1,60+Inputs!$B$25+Inputs!$B$29,IF(Skills!C6=2,90+Inputs!$B$26+Inputs!$B$29,IF(Skills!C6=3,120+Inputs!$B$27+Inputs!$B$29,MAX(0,(Inputs!$B$3-100)*3)+Inputs!$B$28+Inputs!$B$29)))</f>
        <v/>
      </c>
      <c r="E3076">
        <f>INDEX(FactorTable!$B$2:$Y$301, MATCH(ROUND(MIN(300,MAX(1,D3076)),0), FactorTable!$A$2:$A$301,0), Skills!M6+1)</f>
        <v/>
      </c>
      <c r="F3076">
        <f>IF(Skills!N6=TRUE,(Skills!L6/10)*(E3076/1000),Skills!L6/10)+Skills!O6</f>
        <v/>
      </c>
      <c r="G3076">
        <f>Skills!G6*IF(Skills!H6&gt;0,Skills!I6/Skills!H6,1)</f>
        <v/>
      </c>
      <c r="H3076">
        <f>1-(1-Skills!J6/100)^Skills!K6</f>
        <v/>
      </c>
      <c r="I3076" t="inlineStr">
        <is>
          <t>1</t>
        </is>
      </c>
      <c r="J3076">
        <f>((Inputs!$B$6*(1+Inputs!$B$7/100))+(((Inputs!$B$12*(1+Inputs!$B$13/100))-(Inputs!$B$12*(1+Inputs!$B$13/100)))+0.25*(Inputs!$B$14-Inputs!$B$14))*(1+Inputs!$B$7/100))*(F3076/100)</f>
        <v/>
      </c>
      <c r="K3076">
        <f>J3076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3088=TRUE,F3088,0)/100)*(1+(IF(Skills!A6="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3076)</f>
        <v/>
      </c>
      <c r="L3076">
        <f>K3076*(MIN(Inputs!$B$22+((C3094=TRUE)*(F3094-Calc!F24)),(Inputs!$B$23+((C3099=TRUE)*(F3099-Calc!F29))+IF(ArtifactsInput!$M$15,CHOOSE(ArtifactsInput!$N$15+1,25,30,35,40,45,50)/100*(Inputs!$B$11-Inputs!$B$11),0)))/100+(Inputs!$B$23+((C3099=TRUE)*(F3099-Calc!F29))+IF(ArtifactsInput!$M$15,CHOOSE(ArtifactsInput!$N$15+1,25,30,35,40,45,50)/100*(Inputs!$B$11-Inputs!$B$11),0))/100)/2</f>
        <v/>
      </c>
      <c r="M3076">
        <f>L3076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6">
        <f>L3076*(1-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IF(B3115=0,0,O3076/B3115)</f>
        <v/>
      </c>
      <c r="Q3076">
        <f>IFERROR(1/IF(Inputs!$B$39="pvp",15,MAX(0.1,Skills!D6-IF(Skills!E6=TRUE,Inputs!$B$32,0))),0)</f>
        <v/>
      </c>
      <c r="R3076">
        <f>IF(AND(Inputs!$B$39&lt;&gt;"pvp",Inputs!$B$44&gt;0),IF(MAX(0,Inputs!$B$44-B3114)&lt;=0,0,(INT(MAX(0,Inputs!$B$44-B3114)/IF(Inputs!$B$39="pvp",15,MAX(0.1,Skills!D6-IF(Skills!E6=TRUE,Inputs!$B$32,0))))+1)),0)</f>
        <v/>
      </c>
      <c r="S3076">
        <f>IFERROR(O3076/N3076,0)</f>
        <v/>
      </c>
      <c r="T3076">
        <f>IF(C3076,(H3076*N3076*IF(AND(Inputs!$B$39&lt;&gt;"pvp",Inputs!$B$44&gt;0),((Skills!G6*((R3076-1)*IF(Skills!H6&gt;0,Skills!I6/Skills!H6,1)+IF(Skills!H6&gt;0,MIN(Skills!I6,MAX(0,MAX(0,Inputs!$B$44-B3114)-((R3076-1)*IF(Inputs!$B$39="pvp",15,MAX(0.1,Skills!D6-IF(Skills!E6=TRUE,Inputs!$B$32,0))))))/Skills!H6,1)))/Inputs!$B$44),G3076*Q3076))*IF(Inputs!$B$39="pvp",1,1+(Inputs!$B$20+0+Skills!P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3076*(1-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6*((R3076-1)*IF(Skills!H6&gt;0,Skills!I6/Skills!H6,1)+IF(Skills!H6&gt;0,MIN(Skills!I6,MAX(0,MAX(0,Inputs!$B$44-B3114)-((R3076-1)*IF(Inputs!$B$39="pvp",15,MAX(0.1,Skills!D6-IF(Skills!E6=TRUE,Inputs!$B$32,0))))))/Skills!H6,1)))/Inputs!$B$44),G3076*Q3076))*IF(Inputs!$B$39="pvp",1,(1+(Inputs!$B$21+Skills!Q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Skills!A7</f>
        <v/>
      </c>
      <c r="B3077">
        <f>Skills!B7</f>
        <v/>
      </c>
      <c r="C3077">
        <f>Inputs!$B$3&gt;=60</f>
        <v/>
      </c>
      <c r="D3077">
        <f>IF(Skills!C7=1,60+Inputs!$B$25+Inputs!$B$29,IF(Skills!C7=2,90+Inputs!$B$26+Inputs!$B$29,IF(Skills!C7=3,120+Inputs!$B$27+Inputs!$B$29,MAX(0,(Inputs!$B$3-100)*3)+Inputs!$B$28+Inputs!$B$29)))</f>
        <v/>
      </c>
      <c r="E3077">
        <f>INDEX(FactorTable!$B$2:$Y$301, MATCH(ROUND(MIN(300,MAX(1,D3077)),0), FactorTable!$A$2:$A$301,0), Skills!M7+1)</f>
        <v/>
      </c>
      <c r="F3077">
        <f>IF(Skills!N7=TRUE,(Skills!L7/10)*(E3077/1000),Skills!L7/10)+Skills!O7</f>
        <v/>
      </c>
      <c r="G3077">
        <f>Skills!G7*IF(Skills!H7&gt;0,Skills!I7/Skills!H7,1)</f>
        <v/>
      </c>
      <c r="H3077">
        <f>1-(1-Skills!J7/100)^Skills!K7</f>
        <v/>
      </c>
      <c r="I3077" t="inlineStr">
        <is>
          <t>1</t>
        </is>
      </c>
      <c r="J3077" t="inlineStr"/>
      <c r="K3077" t="inlineStr"/>
      <c r="L3077" t="inlineStr"/>
      <c r="M3077" t="inlineStr"/>
      <c r="N3077" t="inlineStr"/>
      <c r="O3077">
        <f>(1-Summary!$B$11)*T3077+Summary!$B$11*V3077</f>
        <v/>
      </c>
      <c r="P3077">
        <f>IF(B3115=0,0,O3077/B3115)</f>
        <v/>
      </c>
      <c r="Q3077" t="n">
        <v>0</v>
      </c>
      <c r="R3077" t="n">
        <v>0</v>
      </c>
      <c r="S3077">
        <f>IFERROR(O3077/N3077,0)</f>
        <v/>
      </c>
      <c r="T3077" t="n">
        <v>0</v>
      </c>
      <c r="V3077" t="n">
        <v>0</v>
      </c>
    </row>
    <row r="3078">
      <c r="A3078">
        <f>Skills!A8</f>
        <v/>
      </c>
      <c r="B3078">
        <f>Skills!B8</f>
        <v/>
      </c>
      <c r="C3078">
        <f>Inputs!$B$3&gt;=72</f>
        <v/>
      </c>
      <c r="D3078">
        <f>IF(Skills!C8=1,60+Inputs!$B$25+Inputs!$B$29,IF(Skills!C8=2,90+Inputs!$B$26+Inputs!$B$29,IF(Skills!C8=3,120+Inputs!$B$27+Inputs!$B$29,MAX(0,(Inputs!$B$3-100)*3)+Inputs!$B$28+Inputs!$B$29)))</f>
        <v/>
      </c>
      <c r="E3078">
        <f>INDEX(FactorTable!$B$2:$Y$301, MATCH(ROUND(MIN(300,MAX(1,D3078)),0), FactorTable!$A$2:$A$301,0), Skills!M8+1)</f>
        <v/>
      </c>
      <c r="F3078">
        <f>IF(Skills!N8=TRUE,(Skills!L8/10)*(E3078/1000),Skills!L8/10)+Skills!O8</f>
        <v/>
      </c>
      <c r="G3078">
        <f>Skills!G8*IF(Skills!H8&gt;0,Skills!I8/Skills!H8,1)</f>
        <v/>
      </c>
      <c r="H3078">
        <f>1-(1-Skills!J8/100)^Skills!K8</f>
        <v/>
      </c>
      <c r="I3078" t="inlineStr">
        <is>
          <t>1</t>
        </is>
      </c>
      <c r="J3078">
        <f>((Inputs!$B$6*(1+Inputs!$B$7/100))+(((Inputs!$B$12*(1+Inputs!$B$13/100))-(Inputs!$B$12*(1+Inputs!$B$13/100)))+0.25*(Inputs!$B$14-Inputs!$B$14))*(1+Inputs!$B$7/100))*(F3078/100)</f>
        <v/>
      </c>
      <c r="K3078">
        <f>J3078*(1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3088=TRUE,F3088,0)/100)*(1+(IF(Skills!A8="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3078)</f>
        <v/>
      </c>
      <c r="L3078">
        <f>K3078*(MIN(Inputs!$B$22+((C3094=TRUE)*(F3094-Calc!F24)),(Inputs!$B$23+((C3099=TRUE)*(F3099-Calc!F29))+IF(ArtifactsInput!$M$15,CHOOSE(ArtifactsInput!$N$15+1,25,30,35,40,45,50)/100*(Inputs!$B$11-Inputs!$B$11),0)))/100+(Inputs!$B$23+((C3099=TRUE)*(F3099-Calc!F29))+IF(ArtifactsInput!$M$15,CHOOSE(ArtifactsInput!$N$15+1,25,30,35,40,45,50)/100*(Inputs!$B$11-Inputs!$B$11),0))/100)/2</f>
        <v/>
      </c>
      <c r="M3078">
        <f>L3078*(1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IF(B3115=0,0,O3078/B3115)</f>
        <v/>
      </c>
      <c r="Q3078">
        <f>IFERROR(1/IF(Inputs!$B$39="pvp",15,MAX(0.1,Skills!D8-IF(Skills!E8=TRUE,Inputs!$B$32,0))),0)</f>
        <v/>
      </c>
      <c r="R3078">
        <f>IF(AND(Inputs!$B$39&lt;&gt;"pvp",Inputs!$B$44&gt;0),IF(MAX(0,Inputs!$B$44-B3114)&lt;=0,0,(INT(MAX(0,Inputs!$B$44-B3114)/IF(Inputs!$B$39="pvp",15,MAX(0.1,Skills!D8-IF(Skills!E8=TRUE,Inputs!$B$32,0))))+1)),0)</f>
        <v/>
      </c>
      <c r="S3078">
        <f>IFERROR(O3078/N3078,0)</f>
        <v/>
      </c>
      <c r="T3078">
        <f>IF(C3078,(H3078*N3078*IF(AND(Inputs!$B$39&lt;&gt;"pvp",Inputs!$B$44&gt;0),((Skills!G8*((R3078-1)*IF(Skills!H8&gt;0,Skills!I8/Skills!H8,1)+IF(Skills!H8&gt;0,MIN(Skills!I8,MAX(0,MAX(0,Inputs!$B$44-B3114)-((R3078-1)*IF(Inputs!$B$39="pvp",15,MAX(0.1,Skills!D8-IF(Skills!E8=TRUE,Inputs!$B$32,0))))))/Skills!H8,1)))/Inputs!$B$44),G3078*Q3078))*IF(Inputs!$B$39="pvp",1,1+(Inputs!$B$20+0+Skills!P8+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3078*(1-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8*((R3078-1)*IF(Skills!H8&gt;0,Skills!I8/Skills!H8,1)+IF(Skills!H8&gt;0,MIN(Skills!I8,MAX(0,MAX(0,Inputs!$B$44-B3114)-((R3078-1)*IF(Inputs!$B$39="pvp",15,MAX(0.1,Skills!D8-IF(Skills!E8=TRUE,Inputs!$B$32,0))))))/Skills!H8,1)))/Inputs!$B$44),G3078*Q3078))*IF(Inputs!$B$39="pvp",1,(1+(Inputs!$B$21+Skills!Q8+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Skills!A9</f>
        <v/>
      </c>
      <c r="B3079">
        <f>Skills!B9</f>
        <v/>
      </c>
      <c r="C3079">
        <f>Inputs!$B$3&gt;=117</f>
        <v/>
      </c>
      <c r="D3079">
        <f>IF(Skills!C9=1,60+Inputs!$B$25+Inputs!$B$29,IF(Skills!C9=2,90+Inputs!$B$26+Inputs!$B$29,IF(Skills!C9=3,120+Inputs!$B$27+Inputs!$B$29,MAX(0,(Inputs!$B$3-100)*3)+Inputs!$B$28+Inputs!$B$29)))</f>
        <v/>
      </c>
      <c r="E3079">
        <f>INDEX(FactorTable!$B$2:$Y$301, MATCH(ROUND(MIN(300,MAX(1,D3079)),0), FactorTable!$A$2:$A$301,0), Skills!M9+1)</f>
        <v/>
      </c>
      <c r="F3079">
        <f>IF(Skills!N9=TRUE,(Skills!L9/10)*(E3079/1000),Skills!L9/10)+Skills!O9</f>
        <v/>
      </c>
      <c r="G3079">
        <f>Skills!G9*IF(Skills!H9&gt;0,Skills!I9/Skills!H9,1)</f>
        <v/>
      </c>
      <c r="H3079">
        <f>1-(1-Skills!J9/100)^Skills!K9</f>
        <v/>
      </c>
      <c r="I3079" t="inlineStr">
        <is>
          <t>1</t>
        </is>
      </c>
      <c r="J3079">
        <f>((Inputs!$B$6*(1+Inputs!$B$7/100))+(((Inputs!$B$12*(1+Inputs!$B$13/100))-(Inputs!$B$12*(1+Inputs!$B$13/100)))+0.25*(Inputs!$B$14-Inputs!$B$14))*(1+Inputs!$B$7/100))*(F3079/100)</f>
        <v/>
      </c>
      <c r="K3079">
        <f>J3079*(1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3079)</f>
        <v/>
      </c>
      <c r="L3079">
        <f>K3079*(MIN(Inputs!$B$22+((C3094=TRUE)*(F3094-Calc!F24)),(Inputs!$B$23+((C3099=TRUE)*(F3099-Calc!F29))+IF(ArtifactsInput!$M$15,CHOOSE(ArtifactsInput!$N$15+1,25,30,35,40,45,50)/100*(Inputs!$B$11-Inputs!$B$11),0)))/100+(Inputs!$B$23+((C3099=TRUE)*(F3099-Calc!F29))+IF(ArtifactsInput!$M$15,CHOOSE(ArtifactsInput!$N$15+1,25,30,35,40,45,50)/100*(Inputs!$B$11-Inputs!$B$11),0))/100)/2</f>
        <v/>
      </c>
      <c r="M3079">
        <f>L3079*(1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9">
        <f>L3079*(1-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IF(B3115=0,0,O3079/B3115)</f>
        <v/>
      </c>
      <c r="Q3079" t="n">
        <v>0</v>
      </c>
      <c r="R3079" t="n">
        <v>0</v>
      </c>
      <c r="S3079" t="n">
        <v>0</v>
      </c>
      <c r="T3079">
        <f>IF(C3079,(0.2*SUMPRODUCT((Skills!Z2:Z30=TRUE)*(C3072:C3100=TRUE)*S3072:S3100)*N3079)*IF(Inputs!$B$39="pvp",1,1+(Inputs!$B$20+0+Skills!P9+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3079*(1-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IF(C3079,(0.2*SUMPRODUCT((Skills!Z2:Z30=TRUE)*(C3072:C3100=TRUE)*S3072:S3100)*N3079)*IF(Inputs!$B$39="pvp",1,(1+(Inputs!$B$21+Skills!Q9+B3104+(IF(ArtifactsInput!$M$33,CHOOSE(ArtifactsInput!$N$33+1,30,36,42,48,54,60),0))+(IF(AND(ArtifactsInput!$M$35,Inputs!$B$4&lt;&gt;"Chapter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Skills!A10</f>
        <v/>
      </c>
      <c r="B3080">
        <f>Skills!B10</f>
        <v/>
      </c>
      <c r="C3080">
        <f>Inputs!$B$3&gt;=74</f>
        <v/>
      </c>
      <c r="D3080">
        <f>IF(Skills!C10=1,60+Inputs!$B$25+Inputs!$B$29,IF(Skills!C10=2,90+Inputs!$B$26+Inputs!$B$29,IF(Skills!C10=3,120+Inputs!$B$27+Inputs!$B$29,MAX(0,(Inputs!$B$3-100)*3)+Inputs!$B$28+Inputs!$B$29)))</f>
        <v/>
      </c>
      <c r="E3080">
        <f>INDEX(FactorTable!$B$2:$Y$301, MATCH(ROUND(MIN(300,MAX(1,D3080)),0), FactorTable!$A$2:$A$301,0), Skills!M10+1)</f>
        <v/>
      </c>
      <c r="F3080">
        <f>IF(Skills!N10=TRUE,(Skills!L10/10)*(E3080/1000),Skills!L10/10)+Skills!O10</f>
        <v/>
      </c>
      <c r="G3080">
        <f>Skills!G10*IF(Skills!H10&gt;0,Skills!I10/Skills!H10,1)</f>
        <v/>
      </c>
      <c r="H3080">
        <f>1-(1-Skills!J10/100)^Skills!K10</f>
        <v/>
      </c>
      <c r="I3080" t="inlineStr">
        <is>
          <t>1</t>
        </is>
      </c>
      <c r="J3080" t="inlineStr"/>
      <c r="K3080" t="inlineStr"/>
      <c r="L3080" t="inlineStr"/>
      <c r="M3080" t="inlineStr"/>
      <c r="N3080" t="inlineStr"/>
      <c r="O3080">
        <f>(1-Summary!$B$11)*T3080+Summary!$B$11*V3080</f>
        <v/>
      </c>
      <c r="P3080">
        <f>IF(B3115=0,0,O3080/B3115)</f>
        <v/>
      </c>
      <c r="Q3080">
        <f>IFERROR(1/IF(Inputs!$B$39="pvp",15,MAX(0.1,Skills!D10-IF(Skills!E10=TRUE,Inputs!$B$32,0))),0)</f>
        <v/>
      </c>
      <c r="R3080">
        <f>IF(AND(Inputs!$B$39&lt;&gt;"pvp",Inputs!$B$44&gt;0),IF(Inputs!$B$44&lt;=0,0,(INT(Inputs!$B$44/IF(Inputs!$B$39="pvp",15,MAX(0.1,Skills!D10-IF(Skills!E10=TRUE,Inputs!$B$32,0))))+1)),0)</f>
        <v/>
      </c>
      <c r="S3080">
        <f>IFERROR(O3080/N3080,0)</f>
        <v/>
      </c>
      <c r="T3080" t="n">
        <v>0</v>
      </c>
      <c r="V3080" t="n">
        <v>0</v>
      </c>
    </row>
    <row r="3081">
      <c r="A3081">
        <f>Skills!A11</f>
        <v/>
      </c>
      <c r="B3081">
        <f>Skills!B11</f>
        <v/>
      </c>
      <c r="C3081">
        <f>Inputs!$B$3&gt;=103</f>
        <v/>
      </c>
      <c r="D3081">
        <f>IF(Skills!C11=1,60+Inputs!$B$25+Inputs!$B$29,IF(Skills!C11=2,90+Inputs!$B$26+Inputs!$B$29,IF(Skills!C11=3,120+Inputs!$B$27+Inputs!$B$29,MAX(0,(Inputs!$B$3-100)*3)+Inputs!$B$28+Inputs!$B$29)))</f>
        <v/>
      </c>
      <c r="E3081">
        <f>INDEX(FactorTable!$B$2:$Y$301, MATCH(ROUND(MIN(300,MAX(1,D3081)),0), FactorTable!$A$2:$A$301,0), Skills!M11+1)</f>
        <v/>
      </c>
      <c r="F3081">
        <f>(Skills!L11/10)*(E3081/1000)+IF(Inputs!$B$3&gt;=134,50,0)+0.5*(30000/10)*(INDEX(FactorTable!$B$2:$Y$301, MATCH(ROUND(MIN(300,MAX(1,D3081)),0), FactorTable!$A$2:$A$301,0), 13)/1000)*B3113</f>
        <v/>
      </c>
      <c r="G3081">
        <f>Skills!G11*IF(Skills!H11&gt;0,Skills!I11/Skills!H11,1)</f>
        <v/>
      </c>
      <c r="H3081">
        <f>1-(1-Skills!J11/100)^Skills!K11</f>
        <v/>
      </c>
      <c r="I3081" t="inlineStr">
        <is>
          <t>1</t>
        </is>
      </c>
      <c r="J3081">
        <f>((Inputs!$B$6*(1+Inputs!$B$7/100))+(((Inputs!$B$12*(1+Inputs!$B$13/100))-(Inputs!$B$12*(1+Inputs!$B$13/100)))+0.25*(Inputs!$B$14-Inputs!$B$14))*(1+Inputs!$B$7/100))*(F3081/100)</f>
        <v/>
      </c>
      <c r="K3081">
        <f>J3081*(1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3081)</f>
        <v/>
      </c>
      <c r="L3081">
        <f>K3081*(MIN(Inputs!$B$22+((C3094=TRUE)*(F3094-Calc!F24)),(Inputs!$B$23+((C3099=TRUE)*(F3099-Calc!F29))+IF(ArtifactsInput!$M$15,CHOOSE(ArtifactsInput!$N$15+1,25,30,35,40,45,50)/100*(Inputs!$B$11-Inputs!$B$11),0)))/100+(Inputs!$B$23+((C3099=TRUE)*(F3099-Calc!F29))+IF(ArtifactsInput!$M$15,CHOOSE(ArtifactsInput!$N$15+1,25,30,35,40,45,50)/100*(Inputs!$B$11-Inputs!$B$11),0))/100)/2</f>
        <v/>
      </c>
      <c r="M3081">
        <f>L3081*(1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1">
        <f>L3081*(1-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IF(B3115=0,0,O3081/B3115)</f>
        <v/>
      </c>
      <c r="Q3081">
        <f>IFERROR(1/IF(Inputs!$B$39="pvp",15,MAX(0.1,Skills!D11-IF(Skills!E11=TRUE,Inputs!$B$32,0))),0)</f>
        <v/>
      </c>
      <c r="R3081">
        <f>IF(AND(Inputs!$B$39&lt;&gt;"pvp",Inputs!$B$44&gt;0),IF(MAX(0,Inputs!$B$44-B3114)&lt;=0,0,(INT(MAX(0,Inputs!$B$44-B3114)/IF(Inputs!$B$39="pvp",15,MAX(0.1,Skills!D11-IF(Skills!E11=TRUE,Inputs!$B$32,0))))+1)),0)</f>
        <v/>
      </c>
      <c r="S3081">
        <f>IFERROR(O3081/N3081,0)</f>
        <v/>
      </c>
      <c r="T3081">
        <f>IF(C3081,(H3081*N3081*IF(AND(Inputs!$B$39&lt;&gt;"pvp",Inputs!$B$44&gt;0),((Skills!G11*((R3081-1)*IF(Skills!H11&gt;0,Skills!I11/Skills!H11,1)+IF(Skills!H11&gt;0,MIN(Skills!I11,MAX(0,MAX(0,Inputs!$B$44-B3114)-((R3081-1)*IF(Inputs!$B$39="pvp",15,MAX(0.1,Skills!D11-IF(Skills!E11=TRUE,Inputs!$B$32,0))))))/Skills!H11,1)))/Inputs!$B$44),G3081*Q3081))*IF(Inputs!$B$39="pvp",1,1+(Inputs!$B$20+0+Skills!P11+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3081*(1-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11*((R3081-1)*IF(Skills!H11&gt;0,Skills!I11/Skills!H11,1)+IF(Skills!H11&gt;0,MIN(Skills!I11,MAX(0,MAX(0,Inputs!$B$44-B3114)-((R3081-1)*IF(Inputs!$B$39="pvp",15,MAX(0.1,Skills!D11-IF(Skills!E11=TRUE,Inputs!$B$32,0))))))/Skills!H11,1)))/Inputs!$B$44),G3081*Q3081))*IF(Inputs!$B$39="pvp",1,(1+(Inputs!$B$21+Skills!Q11+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Skills!A12</f>
        <v/>
      </c>
      <c r="B3082">
        <f>Skills!B12</f>
        <v/>
      </c>
      <c r="C3082">
        <f>Inputs!$B$3&gt;=105</f>
        <v/>
      </c>
      <c r="D3082">
        <f>IF(Skills!C12=1,60+Inputs!$B$25+Inputs!$B$29,IF(Skills!C12=2,90+Inputs!$B$26+Inputs!$B$29,IF(Skills!C12=3,120+Inputs!$B$27+Inputs!$B$29,MAX(0,(Inputs!$B$3-100)*3)+Inputs!$B$28+Inputs!$B$29)))</f>
        <v/>
      </c>
      <c r="E3082">
        <f>INDEX(FactorTable!$B$2:$Y$301, MATCH(ROUND(MIN(300,MAX(1,D3082)),0), FactorTable!$A$2:$A$301,0), Skills!M12+1)</f>
        <v/>
      </c>
      <c r="F3082">
        <f>IF(Skills!N12=TRUE,(Skills!L12/10)*(E3082/1000),Skills!L12/10)+Skills!O12</f>
        <v/>
      </c>
      <c r="G3082">
        <f>Skills!G12*IF(Skills!H12&gt;0,Skills!I12/Skills!H12,1)</f>
        <v/>
      </c>
      <c r="H3082">
        <f>1-(1-Skills!J12/100)^Skills!K12</f>
        <v/>
      </c>
      <c r="I3082" t="inlineStr">
        <is>
          <t>1</t>
        </is>
      </c>
      <c r="J3082">
        <f>((Inputs!$B$6*(1+Inputs!$B$7/100))+(((Inputs!$B$12*(1+Inputs!$B$13/100))-(Inputs!$B$12*(1+Inputs!$B$13/100)))+0.25*(Inputs!$B$14-Inputs!$B$14))*(1+Inputs!$B$7/100))*(F3082/100)</f>
        <v/>
      </c>
      <c r="K3082">
        <f>J3082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3082)</f>
        <v/>
      </c>
      <c r="L3082">
        <f>K3082*(MIN(Inputs!$B$22+((C3094=TRUE)*(F3094-Calc!F24)),(Inputs!$B$23+((C3099=TRUE)*(F3099-Calc!F29))+IF(ArtifactsInput!$M$15,CHOOSE(ArtifactsInput!$N$15+1,25,30,35,40,45,50)/100*(Inputs!$B$11-Inputs!$B$11),0)))/100+(Inputs!$B$23+((C3099=TRUE)*(F3099-Calc!F29))+IF(ArtifactsInput!$M$15,CHOOSE(ArtifactsInput!$N$15+1,25,30,35,40,45,50)/100*(Inputs!$B$11-Inputs!$B$11),0))/100)/2</f>
        <v/>
      </c>
      <c r="M3082">
        <f>L3082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2">
        <f>L3082*(1-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3082*(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2">
        <f>(1-Summary!$B$11)*T3082+Summary!$B$11*V3082</f>
        <v/>
      </c>
      <c r="P3082">
        <f>IF(B3115=0,0,O3082/B3115)</f>
        <v/>
      </c>
      <c r="Q3082">
        <f>IFERROR(1/IF(Inputs!$B$39="pvp",15,MAX(0.1,Skills!D12-IF(Skills!E12=TRUE,Inputs!$B$32,0))),0)</f>
        <v/>
      </c>
      <c r="R3082">
        <f>IF(AND(Inputs!$B$39&lt;&gt;"pvp",Inputs!$B$44&gt;0),IF(MAX(0,Inputs!$B$44-B3114)&lt;=0,0,(INT(MAX(0,Inputs!$B$44-B3114)/IF(Inputs!$B$39="pvp",15,MAX(0.1,Skills!D12-IF(Skills!E12=TRUE,Inputs!$B$32,0))))+1)),0)</f>
        <v/>
      </c>
      <c r="S3082">
        <f>IFERROR(O3082/N3082,0)</f>
        <v/>
      </c>
      <c r="T3082">
        <f>IF(C3082,(H3082*N3082*IF(AND(Inputs!$B$39&lt;&gt;"pvp",Inputs!$B$44&gt;0),((Skills!G12*((R3082-1)*IF(Skills!H12&gt;0,Skills!I12/Skills!H12,1)+IF(Skills!H12&gt;0,MIN(Skills!I12,MAX(0,MAX(0,Inputs!$B$44-B3114)-((R3082-1)*IF(Inputs!$B$39="pvp",15,MAX(0.1,Skills!D12-IF(Skills!E12=TRUE,Inputs!$B$32,0))))))/Skills!H12,1)))/Inputs!$B$44),G3082*Q3082))*IF(Inputs!$B$39="pvp",1,1+(Inputs!$B$20+0+Skills!P12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3082*(1-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3082*(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3082*(1-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3082*(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2">
        <f>IF(C3082,(H3082*N3082*IF(AND(Inputs!$B$39&lt;&gt;"pvp",Inputs!$B$44&gt;0),((Skills!G12*((R3082-1)*IF(Skills!H12&gt;0,Skills!I12/Skills!H12,1)+IF(Skills!H12&gt;0,MIN(Skills!I12,MAX(0,MAX(0,Inputs!$B$44-B3114)-((R3082-1)*IF(Inputs!$B$39="pvp",15,MAX(0.1,Skills!D12-IF(Skills!E12=TRUE,Inputs!$B$32,0))))))/Skills!H12,1)))/Inputs!$B$44),G3082*Q3082))*IF(Inputs!$B$39="pvp",1,(1+(Inputs!$B$21+Skills!Q12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3">
      <c r="A3083">
        <f>Skills!A13</f>
        <v/>
      </c>
      <c r="B3083">
        <f>Skills!B13</f>
        <v/>
      </c>
      <c r="C3083">
        <f>Inputs!$B$3&gt;=105</f>
        <v/>
      </c>
      <c r="D3083">
        <f>IF(Skills!C13=1,60+Inputs!$B$25+Inputs!$B$29,IF(Skills!C13=2,90+Inputs!$B$26+Inputs!$B$29,IF(Skills!C13=3,120+Inputs!$B$27+Inputs!$B$29,MAX(0,(Inputs!$B$3-100)*3)+Inputs!$B$28+Inputs!$B$29)))</f>
        <v/>
      </c>
      <c r="E3083">
        <f>INDEX(FactorTable!$B$2:$Y$301, MATCH(ROUND(MIN(300,MAX(1,D3083)),0), FactorTable!$A$2:$A$301,0), Skills!M13+1)</f>
        <v/>
      </c>
      <c r="F3083">
        <f>IF(Skills!N13=TRUE,(Skills!L13/10)*(E3083/1000),Skills!L13/10)+Skills!O13</f>
        <v/>
      </c>
      <c r="G3083">
        <f>Skills!G13*IF(Skills!H13&gt;0,Skills!I13/Skills!H13,1)</f>
        <v/>
      </c>
      <c r="H3083">
        <f>1-(1-Skills!J13/100)^Skills!K13</f>
        <v/>
      </c>
      <c r="I3083" t="inlineStr">
        <is>
          <t>1</t>
        </is>
      </c>
      <c r="J3083">
        <f>((Inputs!$B$6*(1+Inputs!$B$7/100))+(((Inputs!$B$12*(1+Inputs!$B$13/100))-(Inputs!$B$12*(1+Inputs!$B$13/100)))+0.25*(Inputs!$B$14-Inputs!$B$14))*(1+Inputs!$B$7/100))*(F3083/100)</f>
        <v/>
      </c>
      <c r="K3083">
        <f>J3083*(1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3083)</f>
        <v/>
      </c>
      <c r="L3083">
        <f>K3083*(MIN(Inputs!$B$22+((C3094=TRUE)*(F3094-Calc!F24)),(Inputs!$B$23+((C3099=TRUE)*(F3099-Calc!F29))+IF(ArtifactsInput!$M$15,CHOOSE(ArtifactsInput!$N$15+1,25,30,35,40,45,50)/100*(Inputs!$B$11-Inputs!$B$11),0)))/100+(Inputs!$B$23+((C3099=TRUE)*(F3099-Calc!F29))+IF(ArtifactsInput!$M$15,CHOOSE(ArtifactsInput!$N$15+1,25,30,35,40,45,50)/100*(Inputs!$B$11-Inputs!$B$11),0))/100)/2</f>
        <v/>
      </c>
      <c r="M3083">
        <f>L3083*(1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3">
        <f>L3083*(1-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3083*(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3">
        <f>(1-Summary!$B$11)*T3083+Summary!$B$11*V3083</f>
        <v/>
      </c>
      <c r="P3083">
        <f>IF(B3115=0,0,O3083/B3115)</f>
        <v/>
      </c>
      <c r="Q3083">
        <f>IFERROR(1/IF(Inputs!$B$39="pvp",15,MAX(0.1,Skills!D13-IF(Skills!E13=TRUE,Inputs!$B$32,0))),0)</f>
        <v/>
      </c>
      <c r="R3083">
        <f>IF(AND(Inputs!$B$39&lt;&gt;"pvp",Inputs!$B$44&gt;0),IF(MAX(0,Inputs!$B$44-B3114)&lt;=0,0,(INT(MAX(0,Inputs!$B$44-B3114)/IF(Inputs!$B$39="pvp",15,MAX(0.1,Skills!D13-IF(Skills!E13=TRUE,Inputs!$B$32,0))))+1)),0)</f>
        <v/>
      </c>
      <c r="S3083">
        <f>IFERROR(O3083/N3083,0)</f>
        <v/>
      </c>
      <c r="T3083">
        <f>IF(C3083,(H3083*N3083*IF(AND(Inputs!$B$39&lt;&gt;"pvp",Inputs!$B$44&gt;0),((Skills!G13*((R3083-1)*IF(Skills!H13&gt;0,Skills!I13/Skills!H13,1)+IF(Skills!H13&gt;0,MIN(Skills!I13,MAX(0,MAX(0,Inputs!$B$44-B3114)-((R3083-1)*IF(Inputs!$B$39="pvp",15,MAX(0.1,Skills!D13-IF(Skills!E13=TRUE,Inputs!$B$32,0))))))/Skills!H13,1)))/Inputs!$B$44),G3083*Q3083))*IF(Inputs!$B$39="pvp",1,1+(Inputs!$B$20+0+Skills!P13+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3083*(1-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3083*(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3083*(1-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3083*(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3">
        <f>IF(C3083,(H3083*N3083*IF(AND(Inputs!$B$39&lt;&gt;"pvp",Inputs!$B$44&gt;0),((Skills!G13*((R3083-1)*IF(Skills!H13&gt;0,Skills!I13/Skills!H13,1)+IF(Skills!H13&gt;0,MIN(Skills!I13,MAX(0,MAX(0,Inputs!$B$44-B3114)-((R3083-1)*IF(Inputs!$B$39="pvp",15,MAX(0.1,Skills!D13-IF(Skills!E13=TRUE,Inputs!$B$32,0))))))/Skills!H13,1)))/Inputs!$B$44),G3083*Q3083))*IF(Inputs!$B$39="pvp",1,(1+(Inputs!$B$21+Skills!Q13+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4">
      <c r="A3084">
        <f>Skills!A14</f>
        <v/>
      </c>
      <c r="B3084">
        <f>Skills!B14</f>
        <v/>
      </c>
      <c r="C3084">
        <f>Inputs!$B$3&gt;=107</f>
        <v/>
      </c>
      <c r="D3084">
        <f>IF(Skills!C14=1,60+Inputs!$B$25+Inputs!$B$29,IF(Skills!C14=2,90+Inputs!$B$26+Inputs!$B$29,IF(Skills!C14=3,120+Inputs!$B$27+Inputs!$B$29,MAX(0,(Inputs!$B$3-100)*3)+Inputs!$B$28+Inputs!$B$29)))</f>
        <v/>
      </c>
      <c r="E3084">
        <f>INDEX(FactorTable!$B$2:$Y$301, MATCH(ROUND(MIN(300,MAX(1,D3084)),0), FactorTable!$A$2:$A$301,0), Skills!M14+1)</f>
        <v/>
      </c>
      <c r="F3084">
        <f>IF(Skills!N14=TRUE,(Skills!L14/10)*(E3084/1000),Skills!L14/10)+Skills!O14</f>
        <v/>
      </c>
      <c r="G3084">
        <f>Skills!G14*IF(Skills!H14&gt;0,Skills!I14/Skills!H14,1)</f>
        <v/>
      </c>
      <c r="H3084">
        <f>1-(1-Skills!J14/100)^Skills!K14</f>
        <v/>
      </c>
      <c r="I3084" t="inlineStr">
        <is>
          <t>1</t>
        </is>
      </c>
      <c r="J3084">
        <f>((Inputs!$B$6*(1+Inputs!$B$7/100))+(((Inputs!$B$12*(1+Inputs!$B$13/100))-(Inputs!$B$12*(1+Inputs!$B$13/100)))+0.25*(Inputs!$B$14-Inputs!$B$14))*(1+Inputs!$B$7/100))*(F3084/100)</f>
        <v/>
      </c>
      <c r="K3084">
        <f>J3084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3084)</f>
        <v/>
      </c>
      <c r="L3084">
        <f>K3084*(MIN(Inputs!$B$22+((C3094=TRUE)*(F3094-Calc!F24)),(Inputs!$B$23+((C3099=TRUE)*(F3099-Calc!F29))+IF(ArtifactsInput!$M$15,CHOOSE(ArtifactsInput!$N$15+1,25,30,35,40,45,50)/100*(Inputs!$B$11-Inputs!$B$11),0)))/100+(Inputs!$B$23+((C3099=TRUE)*(F3099-Calc!F29))+IF(ArtifactsInput!$M$15,CHOOSE(ArtifactsInput!$N$15+1,25,30,35,40,45,50)/100*(Inputs!$B$11-Inputs!$B$11),0))/100)/2</f>
        <v/>
      </c>
      <c r="M3084">
        <f>L3084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4">
        <f>L3084*(1-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3084*(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4">
        <f>(1-Summary!$B$11)*T3084+Summary!$B$11*V3084</f>
        <v/>
      </c>
      <c r="P3084">
        <f>IF(B3115=0,0,O3084/B3115)</f>
        <v/>
      </c>
      <c r="Q3084">
        <f>IFERROR(1/IF(Inputs!$B$39="pvp",15,MAX(0.1,Skills!D14-IF(Skills!E14=TRUE,Inputs!$B$32,0))),0)</f>
        <v/>
      </c>
      <c r="R3084">
        <f>IF(AND(Inputs!$B$39&lt;&gt;"pvp",Inputs!$B$44&gt;0),IF(MAX(0,Inputs!$B$44-B3114)&lt;=0,0,(INT(MAX(0,Inputs!$B$44-B3114)/IF(Inputs!$B$39="pvp",15,MAX(0.1,Skills!D14-IF(Skills!E14=TRUE,Inputs!$B$32,0))))+1)),0)</f>
        <v/>
      </c>
      <c r="S3084">
        <f>IFERROR(O3084/N3084,0)</f>
        <v/>
      </c>
      <c r="T3084">
        <f>IF(C3084,(H3084*N3084*IF(AND(Inputs!$B$39&lt;&gt;"pvp",Inputs!$B$44&gt;0),((Skills!G14*((R3084-1)*IF(Skills!H14&gt;0,Skills!I14/Skills!H14,1)+IF(Skills!H14&gt;0,MIN(Skills!I14,MAX(0,MAX(0,Inputs!$B$44-B3114)-((R3084-1)*IF(Inputs!$B$39="pvp",15,MAX(0.1,Skills!D14-IF(Skills!E14=TRUE,Inputs!$B$32,0))))))/Skills!H14,1)))/Inputs!$B$44),G3084*Q3084))*IF(Inputs!$B$39="pvp",1,1+(Inputs!$B$20+0+Skills!P14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3084*(1-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3084*(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3084*(1-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3084*(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4">
        <f>IF(C3084,(H3084*N3084*IF(AND(Inputs!$B$39&lt;&gt;"pvp",Inputs!$B$44&gt;0),((Skills!G14*((R3084-1)*IF(Skills!H14&gt;0,Skills!I14/Skills!H14,1)+IF(Skills!H14&gt;0,MIN(Skills!I14,MAX(0,MAX(0,Inputs!$B$44-B3114)-((R3084-1)*IF(Inputs!$B$39="pvp",15,MAX(0.1,Skills!D14-IF(Skills!E14=TRUE,Inputs!$B$32,0))))))/Skills!H14,1)))/Inputs!$B$44),G3084*Q3084))*IF(Inputs!$B$39="pvp",1,(1+(Inputs!$B$21+Skills!Q14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(5,0.25*B3107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5">
      <c r="A3085">
        <f>Skills!A15</f>
        <v/>
      </c>
      <c r="B3085">
        <f>Skills!B15</f>
        <v/>
      </c>
      <c r="C3085">
        <f>Inputs!$B$3&gt;=110</f>
        <v/>
      </c>
      <c r="D3085">
        <f>IF(Skills!C15=1,60+Inputs!$B$25+Inputs!$B$29,IF(Skills!C15=2,90+Inputs!$B$26+Inputs!$B$29,IF(Skills!C15=3,120+Inputs!$B$27+Inputs!$B$29,MAX(0,(Inputs!$B$3-100)*3)+Inputs!$B$28+Inputs!$B$29)))</f>
        <v/>
      </c>
      <c r="E3085">
        <f>INDEX(FactorTable!$B$2:$Y$301, MATCH(ROUND(MIN(300,MAX(1,D3085)),0), FactorTable!$A$2:$A$301,0), Skills!M15+1)</f>
        <v/>
      </c>
      <c r="F3085">
        <f>IF(Skills!N15=TRUE,(Skills!L15/10)*(E3085/1000),Skills!L15/10)+Skills!O15</f>
        <v/>
      </c>
      <c r="G3085">
        <f>Skills!G15*IF(Skills!H15&gt;0,Skills!I15/Skills!H15,1)</f>
        <v/>
      </c>
      <c r="H3085">
        <f>1-(1-Skills!J15/100)^Skills!K15</f>
        <v/>
      </c>
      <c r="I3085" t="inlineStr">
        <is>
          <t>1</t>
        </is>
      </c>
      <c r="J3085" t="inlineStr"/>
      <c r="K3085" t="inlineStr"/>
      <c r="L3085" t="inlineStr"/>
      <c r="M3085" t="inlineStr"/>
      <c r="N3085" t="inlineStr"/>
      <c r="O3085">
        <f>(1-Summary!$B$11)*T3085+Summary!$B$11*V3085</f>
        <v/>
      </c>
      <c r="P3085">
        <f>IF(B3115=0,0,O3085/B3115)</f>
        <v/>
      </c>
      <c r="Q3085">
        <f>IFERROR(1/IF(Inputs!$B$39="pvp",15,MAX(0.1,Skills!D15-IF(Skills!E15=TRUE,Inputs!$B$32,0))),0)</f>
        <v/>
      </c>
      <c r="R3085">
        <f>IF(AND(Inputs!$B$39&lt;&gt;"pvp",Inputs!$B$44&gt;0),IF(Inputs!$B$44&lt;=0,0,(INT(Inputs!$B$44/IF(Inputs!$B$39="pvp",15,MAX(0.1,Skills!D15-IF(Skills!E15=TRUE,Inputs!$B$32,0))))+1)),0)</f>
        <v/>
      </c>
      <c r="S3085">
        <f>IFERROR(O3085/N3085,0)</f>
        <v/>
      </c>
      <c r="T3085" t="n">
        <v>0</v>
      </c>
      <c r="V3085" t="n">
        <v>0</v>
      </c>
    </row>
    <row r="3086">
      <c r="A3086">
        <f>Skills!A16</f>
        <v/>
      </c>
      <c r="B3086">
        <f>Skills!B16</f>
        <v/>
      </c>
      <c r="C3086">
        <f>Inputs!$B$3&gt;=115</f>
        <v/>
      </c>
      <c r="D3086">
        <f>IF(Skills!C16=1,60+Inputs!$B$25+Inputs!$B$29,IF(Skills!C16=2,90+Inputs!$B$26+Inputs!$B$29,IF(Skills!C16=3,120+Inputs!$B$27+Inputs!$B$29,MAX(0,(Inputs!$B$3-100)*3)+Inputs!$B$28+Inputs!$B$29)))</f>
        <v/>
      </c>
      <c r="E3086">
        <f>INDEX(FactorTable!$B$2:$Y$301, MATCH(ROUND(MIN(300,MAX(1,D3086)),0), FactorTable!$A$2:$A$301,0), Skills!M16+1)</f>
        <v/>
      </c>
      <c r="F3086">
        <f>IF(Skills!N16=TRUE,(Skills!L16/10)*(E3086/1000),Skills!L16/10)+Skills!O16</f>
        <v/>
      </c>
      <c r="G3086">
        <f>Skills!G16*IF(Skills!H16&gt;0,Skills!I16/Skills!H16,1)</f>
        <v/>
      </c>
      <c r="H3086">
        <f>1-(1-Skills!J16/100)^Skills!K16</f>
        <v/>
      </c>
      <c r="I3086" t="inlineStr">
        <is>
          <t>1</t>
        </is>
      </c>
      <c r="J3086">
        <f>((Inputs!$B$6*(1+Inputs!$B$7/100))+(((Inputs!$B$12*(1+Inputs!$B$13/100))-(Inputs!$B$12*(1+Inputs!$B$13/100)))+0.25*(Inputs!$B$14-Inputs!$B$14))*(1+Inputs!$B$7/100))*(F3086/100)</f>
        <v/>
      </c>
      <c r="K3086">
        <f>J3086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3097=TRUE)*(F3097-Calc!F27))+((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3086)</f>
        <v/>
      </c>
      <c r="L3086">
        <f>K3086*(MIN(Inputs!$B$22+((C3094=TRUE)*(F3094-Calc!F24)),(Inputs!$B$23+((C3099=TRUE)*(F3099-Calc!F29))+IF(ArtifactsInput!$M$15,CHOOSE(ArtifactsInput!$N$15+1,25,30,35,40,45,50)/100*(Inputs!$B$11-Inputs!$B$11),0)))/100+(Inputs!$B$23+((C3099=TRUE)*(F3099-Calc!F29))+IF(ArtifactsInput!$M$15,CHOOSE(ArtifactsInput!$N$15+1,25,30,35,40,45,50)/100*(Inputs!$B$11-Inputs!$B$11),0))/100)/2</f>
        <v/>
      </c>
      <c r="M3086">
        <f>L3086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6">
        <f>L3086*(1-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(1-Summary!$B$11)*T3086+Summary!$B$11*V3086</f>
        <v/>
      </c>
      <c r="P3086">
        <f>IF(B3115=0,0,O3086/B3115)</f>
        <v/>
      </c>
      <c r="Q3086" t="n">
        <v>0</v>
      </c>
      <c r="R3086" t="n">
        <v>0</v>
      </c>
      <c r="S3086">
        <f>IFERROR(O3086/N3086,0)</f>
        <v/>
      </c>
      <c r="T3086">
        <f>IF(C3086,(Inputs!$B$38*0.2*N3086)*IF(Inputs!$B$39="pvp",1,1+(Inputs!$B$20+0+Skills!P16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3086*(1-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$9+((C3095=TRUE)*(F3095-Calc!F25))+B3103+(ArtifactsInput!$M$24-ArtifactsInput!$M$24)*CHOOSE(ArtifactsInput!$N$24+1,10,12,14,16,18,20)+(IF(AND(Inputs!$B$39&lt;&gt;"pvp",Inputs!$B$44=0),1,IF(IF(Inputs!$B$39="pvp",15,Inputs!$B$44)-(B3114)&lt;=0,1,MAX(0,IF(Inputs!$B$39="pvp",15,Inputs!$B$44)-MAX(5,B3114))/(IF(Inputs!$B$39="pvp",15,Inputs!$B$44)-(B3114))))*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6">
        <f>IF(C3086,(Inputs!$B$38*0.2*N3086)*IF(Inputs!$B$39="pvp",1,(1+(Inputs!$B$21+Skills!Q16+B3104+(IF(ArtifactsInput!$M$33,CHOOSE(ArtifactsInput!$N$33+1,30,36,42,48,54,60),0))+(IF(AND(ArtifactsInput!$M$35,Inputs!$B$4&lt;&gt;"Chapter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Skills!A17</f>
        <v/>
      </c>
      <c r="B3087">
        <f>Skills!B17</f>
        <v/>
      </c>
      <c r="C3087">
        <f>Inputs!$B$3&gt;=115</f>
        <v/>
      </c>
      <c r="D3087">
        <f>IF(Skills!C17=1,60+Inputs!$B$25+Inputs!$B$29,IF(Skills!C17=2,90+Inputs!$B$26+Inputs!$B$29,IF(Skills!C17=3,120+Inputs!$B$27+Inputs!$B$29,MAX(0,(Inputs!$B$3-100)*3)+Inputs!$B$28+Inputs!$B$29)))</f>
        <v/>
      </c>
      <c r="E3087">
        <f>INDEX(FactorTable!$B$2:$Y$301, MATCH(ROUND(MIN(300,MAX(1,D3087)),0), FactorTable!$A$2:$A$301,0), Skills!M17+1)</f>
        <v/>
      </c>
      <c r="F3087">
        <f>IF(Skills!N17=TRUE,(Skills!L17/10)*(E3087/1000),Skills!L17/10)+Skills!O17</f>
        <v/>
      </c>
      <c r="G3087">
        <f>Skills!G17*IF(Skills!H17&gt;0,Skills!I17/Skills!H17,1)</f>
        <v/>
      </c>
      <c r="H3087">
        <f>1-(1-Skills!J17/100)^Skills!K17</f>
        <v/>
      </c>
      <c r="I3087" t="inlineStr">
        <is>
          <t>1</t>
        </is>
      </c>
      <c r="J3087" t="inlineStr"/>
      <c r="K3087" t="inlineStr"/>
      <c r="L3087" t="inlineStr"/>
      <c r="M3087" t="inlineStr"/>
      <c r="N3087" t="inlineStr"/>
      <c r="O3087">
        <f>(1-Summary!$B$11)*T3087+Summary!$B$11*V3087</f>
        <v/>
      </c>
      <c r="P3087">
        <f>IF(B3115=0,0,O3087/B3115)</f>
        <v/>
      </c>
      <c r="Q3087" t="n">
        <v>0</v>
      </c>
      <c r="R3087" t="n">
        <v>0</v>
      </c>
      <c r="S3087">
        <f>IFERROR(O3087/N3087,0)</f>
        <v/>
      </c>
      <c r="T3087" t="n">
        <v>0</v>
      </c>
      <c r="V3087" t="n">
        <v>0</v>
      </c>
    </row>
    <row r="3088">
      <c r="A3088">
        <f>Skills!A18</f>
        <v/>
      </c>
      <c r="B3088">
        <f>Skills!B18</f>
        <v/>
      </c>
      <c r="C3088">
        <f>Inputs!$B$3&gt;=100</f>
        <v/>
      </c>
      <c r="D3088">
        <f>IF(Skills!C18=1,60+Inputs!$B$25+Inputs!$B$29,IF(Skills!C18=2,90+Inputs!$B$26+Inputs!$B$29,IF(Skills!C18=3,120+Inputs!$B$27+Inputs!$B$29,MAX(0,(Inputs!$B$3-100)*3)+Inputs!$B$28+Inputs!$B$29)))</f>
        <v/>
      </c>
      <c r="E3088">
        <f>INDEX(FactorTable!$B$2:$Y$301, MATCH(ROUND(MIN(300,MAX(1,D3088)),0), FactorTable!$A$2:$A$301,0), Skills!M18+1)</f>
        <v/>
      </c>
      <c r="F3088">
        <f>IF(Skills!N18=TRUE,(Skills!L18/10)*(E3088/1000),Skills!L18/10)+Skills!O18</f>
        <v/>
      </c>
      <c r="G3088">
        <f>Skills!G18*IF(Skills!H18&gt;0,Skills!I18/Skills!H18,1)</f>
        <v/>
      </c>
      <c r="H3088">
        <f>1-(1-Skills!J18/100)^Skills!K18</f>
        <v/>
      </c>
      <c r="I3088" t="inlineStr">
        <is>
          <t>1</t>
        </is>
      </c>
      <c r="J3088" t="inlineStr"/>
      <c r="K3088" t="inlineStr"/>
      <c r="L3088" t="inlineStr"/>
      <c r="M3088" t="inlineStr"/>
      <c r="N3088" t="inlineStr"/>
      <c r="O3088">
        <f>(1-Summary!$B$11)*T3088+Summary!$B$11*V3088</f>
        <v/>
      </c>
      <c r="P3088">
        <f>IF(B3115=0,0,O3088/B3115)</f>
        <v/>
      </c>
      <c r="Q3088" t="n">
        <v>0</v>
      </c>
      <c r="R3088" t="n">
        <v>0</v>
      </c>
      <c r="S3088">
        <f>IFERROR(O3088/N3088,0)</f>
        <v/>
      </c>
      <c r="T3088" t="n">
        <v>0</v>
      </c>
      <c r="V3088" t="n">
        <v>0</v>
      </c>
    </row>
    <row r="3089">
      <c r="A3089">
        <f>Skills!A19</f>
        <v/>
      </c>
      <c r="B3089">
        <f>Skills!B19</f>
        <v/>
      </c>
      <c r="C3089">
        <f>TRUE</f>
        <v/>
      </c>
      <c r="D3089">
        <f>IF(Skills!C19=1,60+Inputs!$B$25+Inputs!$B$29,IF(Skills!C19=2,90+Inputs!$B$26+Inputs!$B$29,IF(Skills!C19=3,120+Inputs!$B$27+Inputs!$B$29,MAX(0,(Inputs!$B$3-100)*3)+Inputs!$B$28+Inputs!$B$29)))</f>
        <v/>
      </c>
      <c r="E3089">
        <f>INDEX(FactorTable!$B$2:$Y$301, MATCH(ROUND(MIN(300,MAX(1,D3089)),0), FactorTable!$A$2:$A$301,0), Skills!M19+1)</f>
        <v/>
      </c>
      <c r="F3089">
        <f>IF(Skills!N19=TRUE,(Skills!L19/10)*(E3089/1000),Skills!L19/10)+Skills!O19</f>
        <v/>
      </c>
      <c r="G3089">
        <f>Skills!G19*IF(Skills!H19&gt;0,Skills!I19/Skills!H19,1)</f>
        <v/>
      </c>
      <c r="H3089">
        <f>1-(1-Skills!J19/100)^Skills!K19</f>
        <v/>
      </c>
      <c r="I3089" t="inlineStr">
        <is>
          <t>1</t>
        </is>
      </c>
      <c r="J3089" t="inlineStr"/>
      <c r="K3089" t="inlineStr"/>
      <c r="L3089" t="inlineStr"/>
      <c r="M3089" t="inlineStr"/>
      <c r="N3089" t="inlineStr"/>
      <c r="O3089">
        <f>(1-Summary!$B$11)*T3089+Summary!$B$11*V3089</f>
        <v/>
      </c>
      <c r="P3089">
        <f>IF(B3115=0,0,O3089/B3115)</f>
        <v/>
      </c>
      <c r="Q3089">
        <f>IFERROR(1/IF(Inputs!$B$39="pvp",15,MAX(0.1,Skills!D19-IF(Skills!E19=TRUE,Inputs!$B$32,0))),0)</f>
        <v/>
      </c>
      <c r="R3089">
        <f>IF(AND(Inputs!$B$39&lt;&gt;"pvp",Inputs!$B$44&gt;0),IF(Inputs!$B$44&lt;=0,0,(INT(Inputs!$B$44/IF(Inputs!$B$39="pvp",15,MAX(0.1,Skills!D19-IF(Skills!E19=TRUE,Inputs!$B$32,0))))+1)),0)</f>
        <v/>
      </c>
      <c r="S3089">
        <f>IFERROR(O3089/N3089,0)</f>
        <v/>
      </c>
      <c r="T3089" t="n">
        <v>0</v>
      </c>
      <c r="V3089" t="n">
        <v>0</v>
      </c>
    </row>
    <row r="3090">
      <c r="A3090">
        <f>Skills!A20</f>
        <v/>
      </c>
      <c r="B3090">
        <f>Skills!B20</f>
        <v/>
      </c>
      <c r="C3090">
        <f>Inputs!$B$3&gt;=15</f>
        <v/>
      </c>
      <c r="D3090">
        <f>IF(Skills!C20=1,60+Inputs!$B$25+Inputs!$B$29,IF(Skills!C20=2,90+Inputs!$B$26+Inputs!$B$29,IF(Skills!C20=3,120+Inputs!$B$27+Inputs!$B$29,MAX(0,(Inputs!$B$3-100)*3)+Inputs!$B$28+Inputs!$B$29)))</f>
        <v/>
      </c>
      <c r="E3090">
        <f>INDEX(FactorTable!$B$2:$Y$301, MATCH(ROUND(MIN(300,MAX(1,D3090)),0), FactorTable!$A$2:$A$301,0), Skills!M20+1)</f>
        <v/>
      </c>
      <c r="F3090">
        <f>IF(Skills!N20=TRUE,(Skills!L20/10)*(E3090/1000),Skills!L20/10)+Skills!O20</f>
        <v/>
      </c>
      <c r="G3090">
        <f>Skills!G20*IF(Skills!H20&gt;0,Skills!I20/Skills!H20,1)</f>
        <v/>
      </c>
      <c r="H3090">
        <f>1-(1-Skills!J20/100)^Skills!K20</f>
        <v/>
      </c>
      <c r="I3090" t="inlineStr">
        <is>
          <t>1</t>
        </is>
      </c>
      <c r="J3090" t="inlineStr"/>
      <c r="K3090" t="inlineStr"/>
      <c r="L3090" t="inlineStr"/>
      <c r="M3090" t="inlineStr"/>
      <c r="N3090" t="inlineStr"/>
      <c r="O3090">
        <f>(1-Summary!$B$11)*T3090+Summary!$B$11*V3090</f>
        <v/>
      </c>
      <c r="P3090">
        <f>IF(B3115=0,0,O3090/B3115)</f>
        <v/>
      </c>
      <c r="Q3090">
        <f>IFERROR(1/IF(Inputs!$B$39="pvp",15,MAX(0.1,Skills!D20-IF(Skills!E20=TRUE,Inputs!$B$32,0))),0)</f>
        <v/>
      </c>
      <c r="R3090">
        <f>IF(AND(Inputs!$B$39&lt;&gt;"pvp",Inputs!$B$44&gt;0),IF(Inputs!$B$44&lt;=0,0,(INT(Inputs!$B$44/IF(Inputs!$B$39="pvp",15,MAX(0.1,Skills!D20-IF(Skills!E20=TRUE,Inputs!$B$32,0))))+1)),0)</f>
        <v/>
      </c>
      <c r="S3090">
        <f>IFERROR(O3090/N3090,0)</f>
        <v/>
      </c>
      <c r="T3090" t="n">
        <v>0</v>
      </c>
      <c r="V3090" t="n">
        <v>0</v>
      </c>
    </row>
    <row r="3091">
      <c r="A3091">
        <f>Skills!A21</f>
        <v/>
      </c>
      <c r="B3091">
        <f>Skills!B21</f>
        <v/>
      </c>
      <c r="C3091">
        <f>Inputs!$B$3&gt;=15</f>
        <v/>
      </c>
      <c r="D3091">
        <f>IF(Skills!C21=1,60+Inputs!$B$25+Inputs!$B$29,IF(Skills!C21=2,90+Inputs!$B$26+Inputs!$B$29,IF(Skills!C21=3,120+Inputs!$B$27+Inputs!$B$29,MAX(0,(Inputs!$B$3-100)*3)+Inputs!$B$28+Inputs!$B$29)))</f>
        <v/>
      </c>
      <c r="E3091">
        <f>INDEX(FactorTable!$B$2:$Y$301, MATCH(ROUND(MIN(300,MAX(1,D3091)),0), FactorTable!$A$2:$A$301,0), Skills!M21+1)</f>
        <v/>
      </c>
      <c r="F3091">
        <f>IF(Skills!N21=TRUE,(Skills!L21/10)*(E3091/1000),Skills!L21/10)+Skills!O21</f>
        <v/>
      </c>
      <c r="G3091">
        <f>Skills!G21*IF(Skills!H21&gt;0,Skills!I21/Skills!H21,1)</f>
        <v/>
      </c>
      <c r="H3091">
        <f>1-(1-Skills!J21/100)^Skills!K21</f>
        <v/>
      </c>
      <c r="I3091" t="inlineStr">
        <is>
          <t>1</t>
        </is>
      </c>
      <c r="J3091" t="inlineStr"/>
      <c r="K3091" t="inlineStr"/>
      <c r="L3091" t="inlineStr"/>
      <c r="M3091" t="inlineStr"/>
      <c r="N3091" t="inlineStr"/>
      <c r="O3091">
        <f>(1-Summary!$B$11)*T3091+Summary!$B$11*V3091</f>
        <v/>
      </c>
      <c r="P3091">
        <f>IF(B3115=0,0,O3091/B3115)</f>
        <v/>
      </c>
      <c r="Q3091">
        <f>IFERROR(1/IF(Inputs!$B$39="pvp",15,MAX(0.1,Skills!D21-IF(Skills!E21=TRUE,Inputs!$B$32,0))),0)</f>
        <v/>
      </c>
      <c r="R3091">
        <f>IF(AND(Inputs!$B$39&lt;&gt;"pvp",Inputs!$B$44&gt;0),IF(Inputs!$B$44&lt;=0,0,(INT(Inputs!$B$44/IF(Inputs!$B$39="pvp",15,MAX(0.1,Skills!D21-IF(Skills!E21=TRUE,Inputs!$B$32,0))))+1)),0)</f>
        <v/>
      </c>
      <c r="S3091">
        <f>IFERROR(O3091/N3091,0)</f>
        <v/>
      </c>
      <c r="T3091" t="n">
        <v>0</v>
      </c>
      <c r="V3091" t="n">
        <v>0</v>
      </c>
    </row>
    <row r="3092">
      <c r="A3092">
        <f>Skills!A22</f>
        <v/>
      </c>
      <c r="B3092">
        <f>Skills!B22</f>
        <v/>
      </c>
      <c r="C3092">
        <f>Inputs!$B$3&gt;=33</f>
        <v/>
      </c>
      <c r="D3092">
        <f>IF(Skills!C22=1,60+Inputs!$B$25+Inputs!$B$29,IF(Skills!C22=2,90+Inputs!$B$26+Inputs!$B$29,IF(Skills!C22=3,120+Inputs!$B$27+Inputs!$B$29,MAX(0,(Inputs!$B$3-100)*3)+Inputs!$B$28+Inputs!$B$29)))</f>
        <v/>
      </c>
      <c r="E3092">
        <f>INDEX(FactorTable!$B$2:$Y$301, MATCH(ROUND(MIN(300,MAX(1,D3092)),0), FactorTable!$A$2:$A$301,0), Skills!M22+1)</f>
        <v/>
      </c>
      <c r="F3092">
        <f>IF(Skills!N22=TRUE,(Skills!L22/10)*(E3092/1000),Skills!L22/10)+Skills!O22</f>
        <v/>
      </c>
      <c r="G3092">
        <f>Skills!G22*IF(Skills!H22&gt;0,Skills!I22/Skills!H22,1)</f>
        <v/>
      </c>
      <c r="H3092">
        <f>1-(1-Skills!J22/100)^Skills!K22</f>
        <v/>
      </c>
      <c r="I3092" t="inlineStr">
        <is>
          <t>1</t>
        </is>
      </c>
      <c r="J3092" t="inlineStr"/>
      <c r="K3092" t="inlineStr"/>
      <c r="L3092" t="inlineStr"/>
      <c r="M3092" t="inlineStr"/>
      <c r="N3092" t="inlineStr"/>
      <c r="O3092">
        <f>(1-Summary!$B$11)*T3092+Summary!$B$11*V3092</f>
        <v/>
      </c>
      <c r="P3092">
        <f>IF(B3115=0,0,O3092/B3115)</f>
        <v/>
      </c>
      <c r="Q3092" t="n">
        <v>0</v>
      </c>
      <c r="R3092" t="n">
        <v>0</v>
      </c>
      <c r="S3092">
        <f>IFERROR(O3092/N3092,0)</f>
        <v/>
      </c>
      <c r="T3092" t="n">
        <v>0</v>
      </c>
      <c r="V3092" t="n">
        <v>0</v>
      </c>
    </row>
    <row r="3093">
      <c r="A3093">
        <f>Skills!A23</f>
        <v/>
      </c>
      <c r="B3093">
        <f>Skills!B23</f>
        <v/>
      </c>
      <c r="C3093">
        <f>Inputs!$B$3&gt;=40</f>
        <v/>
      </c>
      <c r="D3093">
        <f>IF(Skills!C23=1,60+Inputs!$B$25+Inputs!$B$29,IF(Skills!C23=2,90+Inputs!$B$26+Inputs!$B$29,IF(Skills!C23=3,120+Inputs!$B$27+Inputs!$B$29,MAX(0,(Inputs!$B$3-100)*3)+Inputs!$B$28+Inputs!$B$29)))</f>
        <v/>
      </c>
      <c r="E3093">
        <f>INDEX(FactorTable!$B$2:$Y$301, MATCH(ROUND(MIN(300,MAX(1,D3093)),0), FactorTable!$A$2:$A$301,0), Skills!M23+1)</f>
        <v/>
      </c>
      <c r="F3093">
        <f>IF(Skills!N23=TRUE,(Skills!L23/10)*(E3093/1000),Skills!L23/10)+Skills!O23</f>
        <v/>
      </c>
      <c r="G3093">
        <f>Skills!G23*IF(Skills!H23&gt;0,Skills!I23/Skills!H23,1)</f>
        <v/>
      </c>
      <c r="H3093">
        <f>1-(1-Skills!J23/100)^Skills!K23</f>
        <v/>
      </c>
      <c r="I3093" t="inlineStr">
        <is>
          <t>1</t>
        </is>
      </c>
      <c r="J3093" t="inlineStr"/>
      <c r="K3093" t="inlineStr"/>
      <c r="L3093" t="inlineStr"/>
      <c r="M3093" t="inlineStr"/>
      <c r="N3093" t="inlineStr"/>
      <c r="O3093">
        <f>(1-Summary!$B$11)*T3093+Summary!$B$11*V3093</f>
        <v/>
      </c>
      <c r="P3093">
        <f>IF(B3115=0,0,O3093/B3115)</f>
        <v/>
      </c>
      <c r="Q3093" t="n">
        <v>0</v>
      </c>
      <c r="R3093" t="n">
        <v>0</v>
      </c>
      <c r="S3093">
        <f>IFERROR(O3093/N3093,0)</f>
        <v/>
      </c>
      <c r="T3093" t="n">
        <v>0</v>
      </c>
      <c r="V3093" t="n">
        <v>0</v>
      </c>
    </row>
    <row r="3094">
      <c r="A3094">
        <f>Skills!A24</f>
        <v/>
      </c>
      <c r="B3094">
        <f>Skills!B24</f>
        <v/>
      </c>
      <c r="C3094">
        <f>Inputs!$B$3&gt;=43</f>
        <v/>
      </c>
      <c r="D3094">
        <f>IF(Skills!C24=1,60+Inputs!$B$25+Inputs!$B$29,IF(Skills!C24=2,90+Inputs!$B$26+Inputs!$B$29,IF(Skills!C24=3,120+Inputs!$B$27+Inputs!$B$29,MAX(0,(Inputs!$B$3-100)*3)+Inputs!$B$28+Inputs!$B$29)))</f>
        <v/>
      </c>
      <c r="E3094">
        <f>INDEX(FactorTable!$B$2:$Y$301, MATCH(ROUND(MIN(300,MAX(1,D3094)),0), FactorTable!$A$2:$A$301,0), Skills!M24+1)</f>
        <v/>
      </c>
      <c r="F3094">
        <f>IF(Skills!N24=TRUE,(Skills!L24/10)*(E3094/1000),Skills!L24/10)+Skills!O24</f>
        <v/>
      </c>
      <c r="G3094">
        <f>Skills!G24*IF(Skills!H24&gt;0,Skills!I24/Skills!H24,1)</f>
        <v/>
      </c>
      <c r="H3094">
        <f>1-(1-Skills!J24/100)^Skills!K24</f>
        <v/>
      </c>
      <c r="I3094" t="inlineStr">
        <is>
          <t>1</t>
        </is>
      </c>
      <c r="J3094" t="inlineStr"/>
      <c r="K3094" t="inlineStr"/>
      <c r="L3094" t="inlineStr"/>
      <c r="M3094" t="inlineStr"/>
      <c r="N3094" t="inlineStr"/>
      <c r="O3094">
        <f>(1-Summary!$B$11)*T3094+Summary!$B$11*V3094</f>
        <v/>
      </c>
      <c r="P3094">
        <f>IF(B3115=0,0,O3094/B3115)</f>
        <v/>
      </c>
      <c r="Q3094" t="n">
        <v>0</v>
      </c>
      <c r="R3094" t="n">
        <v>0</v>
      </c>
      <c r="S3094">
        <f>IFERROR(O3094/N3094,0)</f>
        <v/>
      </c>
      <c r="T3094" t="n">
        <v>0</v>
      </c>
      <c r="V3094" t="n">
        <v>0</v>
      </c>
    </row>
    <row r="3095">
      <c r="A3095">
        <f>Skills!A25</f>
        <v/>
      </c>
      <c r="B3095">
        <f>Skills!B25</f>
        <v/>
      </c>
      <c r="C3095">
        <f>Inputs!$B$3&gt;=50</f>
        <v/>
      </c>
      <c r="D3095">
        <f>IF(Skills!C25=1,60+Inputs!$B$25+Inputs!$B$29,IF(Skills!C25=2,90+Inputs!$B$26+Inputs!$B$29,IF(Skills!C25=3,120+Inputs!$B$27+Inputs!$B$29,MAX(0,(Inputs!$B$3-100)*3)+Inputs!$B$28+Inputs!$B$29)))</f>
        <v/>
      </c>
      <c r="E3095">
        <f>INDEX(FactorTable!$B$2:$Y$301, MATCH(ROUND(MIN(300,MAX(1,D3095)),0), FactorTable!$A$2:$A$301,0), Skills!M25+1)</f>
        <v/>
      </c>
      <c r="F3095">
        <f>IF(Skills!N25=TRUE,(Skills!L25/10)*(E3095/1000),Skills!L25/10)+Skills!O25</f>
        <v/>
      </c>
      <c r="G3095">
        <f>Skills!G25*IF(Skills!H25&gt;0,Skills!I25/Skills!H25,1)</f>
        <v/>
      </c>
      <c r="H3095">
        <f>1-(1-Skills!J25/100)^Skills!K25</f>
        <v/>
      </c>
      <c r="I3095" t="inlineStr">
        <is>
          <t>1</t>
        </is>
      </c>
      <c r="J3095" t="inlineStr"/>
      <c r="K3095" t="inlineStr"/>
      <c r="L3095" t="inlineStr"/>
      <c r="M3095" t="inlineStr"/>
      <c r="N3095" t="inlineStr"/>
      <c r="O3095">
        <f>(1-Summary!$B$11)*T3095+Summary!$B$11*V3095</f>
        <v/>
      </c>
      <c r="P3095">
        <f>IF(B3115=0,0,O3095/B3115)</f>
        <v/>
      </c>
      <c r="Q3095" t="n">
        <v>0</v>
      </c>
      <c r="R3095" t="n">
        <v>0</v>
      </c>
      <c r="S3095">
        <f>IFERROR(O3095/N3095,0)</f>
        <v/>
      </c>
      <c r="T3095" t="n">
        <v>0</v>
      </c>
      <c r="V3095" t="n">
        <v>0</v>
      </c>
    </row>
    <row r="3096">
      <c r="A3096">
        <f>Skills!A26</f>
        <v/>
      </c>
      <c r="B3096">
        <f>Skills!B26</f>
        <v/>
      </c>
      <c r="C3096">
        <f>Inputs!$B$3&gt;=50</f>
        <v/>
      </c>
      <c r="D3096">
        <f>IF(Skills!C26=1,60+Inputs!$B$25+Inputs!$B$29,IF(Skills!C26=2,90+Inputs!$B$26+Inputs!$B$29,IF(Skills!C26=3,120+Inputs!$B$27+Inputs!$B$29,MAX(0,(Inputs!$B$3-100)*3)+Inputs!$B$28+Inputs!$B$29)))</f>
        <v/>
      </c>
      <c r="E3096">
        <f>INDEX(FactorTable!$B$2:$Y$301, MATCH(ROUND(MIN(300,MAX(1,D3096)),0), FactorTable!$A$2:$A$301,0), Skills!M26+1)</f>
        <v/>
      </c>
      <c r="F3096">
        <f>IF(Skills!N26=TRUE,(Skills!L26/10)*(E3096/1000),Skills!L26/10)+Skills!O26</f>
        <v/>
      </c>
      <c r="G3096">
        <f>Skills!G26*IF(Skills!H26&gt;0,Skills!I26/Skills!H26,1)</f>
        <v/>
      </c>
      <c r="H3096">
        <f>1-(1-Skills!J26/100)^Skills!K26</f>
        <v/>
      </c>
      <c r="I3096" t="inlineStr">
        <is>
          <t>1</t>
        </is>
      </c>
      <c r="J3096" t="inlineStr"/>
      <c r="K3096" t="inlineStr"/>
      <c r="L3096" t="inlineStr"/>
      <c r="M3096" t="inlineStr"/>
      <c r="N3096" t="inlineStr"/>
      <c r="O3096">
        <f>(1-Summary!$B$11)*T3096+Summary!$B$11*V3096</f>
        <v/>
      </c>
      <c r="P3096">
        <f>IF(B3115=0,0,O3096/B3115)</f>
        <v/>
      </c>
      <c r="Q3096" t="n">
        <v>0</v>
      </c>
      <c r="R3096" t="n">
        <v>0</v>
      </c>
      <c r="S3096">
        <f>IFERROR(O3096/N3096,0)</f>
        <v/>
      </c>
      <c r="T3096" t="n">
        <v>0</v>
      </c>
      <c r="V3096" t="n">
        <v>0</v>
      </c>
    </row>
    <row r="3097">
      <c r="A3097">
        <f>Skills!A27</f>
        <v/>
      </c>
      <c r="B3097">
        <f>Skills!B27</f>
        <v/>
      </c>
      <c r="C3097">
        <f>Inputs!$B$3&gt;=38</f>
        <v/>
      </c>
      <c r="D3097">
        <f>IF(Skills!C27=1,60+Inputs!$B$25+Inputs!$B$29,IF(Skills!C27=2,90+Inputs!$B$26+Inputs!$B$29,IF(Skills!C27=3,120+Inputs!$B$27+Inputs!$B$29,MAX(0,(Inputs!$B$3-100)*3)+Inputs!$B$28+Inputs!$B$29)))</f>
        <v/>
      </c>
      <c r="E3097">
        <f>INDEX(FactorTable!$B$2:$Y$301, MATCH(ROUND(MIN(300,MAX(1,D3097)),0), FactorTable!$A$2:$A$301,0), Skills!M27+1)</f>
        <v/>
      </c>
      <c r="F3097">
        <f>IF(Skills!N27=TRUE,(Skills!L27/10)*(E3097/1000),Skills!L27/10)+Skills!O27</f>
        <v/>
      </c>
      <c r="G3097">
        <f>Skills!G27*IF(Skills!H27&gt;0,Skills!I27/Skills!H27,1)</f>
        <v/>
      </c>
      <c r="H3097">
        <f>1-(1-Skills!J27/100)^Skills!K27</f>
        <v/>
      </c>
      <c r="I3097" t="inlineStr">
        <is>
          <t>1</t>
        </is>
      </c>
      <c r="J3097" t="inlineStr"/>
      <c r="K3097" t="inlineStr"/>
      <c r="L3097" t="inlineStr"/>
      <c r="M3097" t="inlineStr"/>
      <c r="N3097" t="inlineStr"/>
      <c r="O3097">
        <f>(1-Summary!$B$11)*T3097+Summary!$B$11*V3097</f>
        <v/>
      </c>
      <c r="P3097">
        <f>IF(B3115=0,0,O3097/B3115)</f>
        <v/>
      </c>
      <c r="Q3097" t="n">
        <v>0</v>
      </c>
      <c r="R3097" t="n">
        <v>0</v>
      </c>
      <c r="S3097">
        <f>IFERROR(O3097/N3097,0)</f>
        <v/>
      </c>
      <c r="T3097" t="n">
        <v>0</v>
      </c>
      <c r="V3097" t="n">
        <v>0</v>
      </c>
    </row>
    <row r="3098">
      <c r="A3098">
        <f>Skills!A28</f>
        <v/>
      </c>
      <c r="B3098">
        <f>Skills!B28</f>
        <v/>
      </c>
      <c r="C3098">
        <f>Inputs!$B$3&gt;=120</f>
        <v/>
      </c>
      <c r="D3098">
        <f>IF(Skills!C28=1,60+Inputs!$B$25+Inputs!$B$29,IF(Skills!C28=2,90+Inputs!$B$26+Inputs!$B$29,IF(Skills!C28=3,120+Inputs!$B$27+Inputs!$B$29,MAX(0,(Inputs!$B$3-100)*3)+Inputs!$B$28+Inputs!$B$29)))</f>
        <v/>
      </c>
      <c r="E3098">
        <f>INDEX(FactorTable!$B$2:$Y$301, MATCH(ROUND(MIN(300,MAX(1,D3098)),0), FactorTable!$A$2:$A$301,0), Skills!M28+1)</f>
        <v/>
      </c>
      <c r="F3098">
        <f>IF(Skills!N28=TRUE,(Skills!L28/10)*(E3098/1000),Skills!L28/10)+Skills!O28</f>
        <v/>
      </c>
      <c r="G3098">
        <f>Skills!G28*IF(Skills!H28&gt;0,Skills!I28/Skills!H28,1)</f>
        <v/>
      </c>
      <c r="H3098">
        <f>1-(1-Skills!J28/100)^Skills!K28</f>
        <v/>
      </c>
      <c r="I3098" t="inlineStr">
        <is>
          <t>1</t>
        </is>
      </c>
      <c r="J3098" t="inlineStr"/>
      <c r="K3098" t="inlineStr"/>
      <c r="L3098" t="inlineStr"/>
      <c r="M3098" t="inlineStr"/>
      <c r="N3098" t="inlineStr"/>
      <c r="O3098">
        <f>(1-Summary!$B$11)*T3098+Summary!$B$11*V3098</f>
        <v/>
      </c>
      <c r="P3098">
        <f>IF(B3115=0,0,O3098/B3115)</f>
        <v/>
      </c>
      <c r="Q3098" t="n">
        <v>0</v>
      </c>
      <c r="R3098" t="n">
        <v>0</v>
      </c>
      <c r="S3098">
        <f>IFERROR(O3098/N3098,0)</f>
        <v/>
      </c>
      <c r="T3098" t="n">
        <v>0</v>
      </c>
      <c r="V3098" t="n">
        <v>0</v>
      </c>
    </row>
    <row r="3099">
      <c r="A3099">
        <f>Skills!A29</f>
        <v/>
      </c>
      <c r="B3099">
        <f>Skills!B29</f>
        <v/>
      </c>
      <c r="C3099">
        <f>Inputs!$B$3&gt;=120</f>
        <v/>
      </c>
      <c r="D3099">
        <f>IF(Skills!C29=1,60+Inputs!$B$25+Inputs!$B$29,IF(Skills!C29=2,90+Inputs!$B$26+Inputs!$B$29,IF(Skills!C29=3,120+Inputs!$B$27+Inputs!$B$29,MAX(0,(Inputs!$B$3-100)*3)+Inputs!$B$28+Inputs!$B$29)))</f>
        <v/>
      </c>
      <c r="E3099">
        <f>INDEX(FactorTable!$B$2:$Y$301, MATCH(ROUND(MIN(300,MAX(1,D3099)),0), FactorTable!$A$2:$A$301,0), Skills!M29+1)</f>
        <v/>
      </c>
      <c r="F3099">
        <f>IF(Skills!N29=TRUE,(Skills!L29/10)*(E3099/1000),Skills!L29/10)+Skills!O29</f>
        <v/>
      </c>
      <c r="G3099">
        <f>Skills!G29*IF(Skills!H29&gt;0,Skills!I29/Skills!H29,1)</f>
        <v/>
      </c>
      <c r="H3099">
        <f>1-(1-Skills!J29/100)^Skills!K29</f>
        <v/>
      </c>
      <c r="I3099" t="inlineStr">
        <is>
          <t>1</t>
        </is>
      </c>
      <c r="J3099" t="inlineStr"/>
      <c r="K3099" t="inlineStr"/>
      <c r="L3099" t="inlineStr"/>
      <c r="M3099" t="inlineStr"/>
      <c r="N3099" t="inlineStr"/>
      <c r="O3099">
        <f>(1-Summary!$B$11)*T3099+Summary!$B$11*V3099</f>
        <v/>
      </c>
      <c r="P3099">
        <f>IF(B3115=0,0,O3099/B3115)</f>
        <v/>
      </c>
      <c r="Q3099" t="n">
        <v>0</v>
      </c>
      <c r="R3099" t="n">
        <v>0</v>
      </c>
      <c r="S3099">
        <f>IFERROR(O3099/N3099,0)</f>
        <v/>
      </c>
      <c r="T3099" t="n">
        <v>0</v>
      </c>
      <c r="V3099" t="n">
        <v>0</v>
      </c>
    </row>
    <row r="3100">
      <c r="A3100">
        <f>Skills!A30</f>
        <v/>
      </c>
      <c r="B3100">
        <f>Skills!B30</f>
        <v/>
      </c>
      <c r="C3100">
        <f>Inputs!$B$3&gt;=125</f>
        <v/>
      </c>
      <c r="D3100">
        <f>IF(Skills!C30=1,60+Inputs!$B$25+Inputs!$B$29,IF(Skills!C30=2,90+Inputs!$B$26+Inputs!$B$29,IF(Skills!C30=3,120+Inputs!$B$27+Inputs!$B$29,MAX(0,(Inputs!$B$3-100)*3)+Inputs!$B$28+Inputs!$B$29)))</f>
        <v/>
      </c>
      <c r="E3100">
        <f>INDEX(FactorTable!$B$2:$Y$301, MATCH(ROUND(MIN(300,MAX(1,D3100)),0), FactorTable!$A$2:$A$301,0), Skills!M30+1)</f>
        <v/>
      </c>
      <c r="F3100">
        <f>IF(Skills!N30=TRUE,(Skills!L30/10)*(E3100/1000),Skills!L30/10)+Skills!O30</f>
        <v/>
      </c>
      <c r="G3100">
        <f>Skills!G30*IF(Skills!H30&gt;0,Skills!I30/Skills!H30,1)</f>
        <v/>
      </c>
      <c r="H3100">
        <f>1-(1-Skills!J30/100)^Skills!K30</f>
        <v/>
      </c>
      <c r="I3100" t="inlineStr">
        <is>
          <t>1</t>
        </is>
      </c>
      <c r="J3100" t="inlineStr"/>
      <c r="K3100" t="inlineStr"/>
      <c r="L3100" t="inlineStr"/>
      <c r="M3100" t="inlineStr"/>
      <c r="N3100" t="inlineStr"/>
      <c r="O3100">
        <f>(1-Summary!$B$11)*T3100+Summary!$B$11*V3100</f>
        <v/>
      </c>
      <c r="P3100">
        <f>IF(B3115=0,0,O3100/B3115)</f>
        <v/>
      </c>
      <c r="Q3100" t="n">
        <v>0</v>
      </c>
      <c r="R3100" t="n">
        <v>0</v>
      </c>
      <c r="S3100">
        <f>IFERROR(O3100/N3100,0)</f>
        <v/>
      </c>
      <c r="T3100" t="n">
        <v>0</v>
      </c>
      <c r="V3100" t="n">
        <v>0</v>
      </c>
    </row>
    <row r="3102">
      <c r="A3102" t="inlineStr">
        <is>
          <t>Average Buff Multiplier</t>
        </is>
      </c>
      <c r="B3102">
        <f>(1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f>
        <v/>
      </c>
    </row>
    <row r="3103">
      <c r="A3103" t="inlineStr">
        <is>
          <t>Global Crit Rate Bonus %</t>
        </is>
      </c>
      <c r="B3103">
        <f>((C3090=TRUE)*F3090*IF(AND(Inputs!$B$39&lt;&gt;"pvp",Inputs!$B$44&gt;0),(((R3090-1)*(Skills!Y20*(1+Inputs!$B$34/100))+MIN((Skills!Y20*(1+Inputs!$B$34/100)),MAX(0,Inputs!$B$44-((R3090-1)*Skills!D20))))/Inputs!$B$44),IF(Inputs!$B$39="pvp",MIN((Skills!Y20*(1+Inputs!$B$34/100)),15)/15,(Skills!Y20*(1+Inputs!$B$34/100))/Skills!D20)))</f>
        <v/>
      </c>
    </row>
    <row r="3104">
      <c r="A3104" t="inlineStr">
        <is>
          <t>Global Monster Damage-Taken Bonus %</t>
        </is>
      </c>
      <c r="B3104">
        <f>IF(Inputs!$B$3&gt;=82,15,0)</f>
        <v/>
      </c>
    </row>
    <row r="3105">
      <c r="A3105" t="inlineStr">
        <is>
          <t>Shadow Partner Average Multiplier</t>
        </is>
      </c>
      <c r="B3105">
        <f>1+((C3077=TRUE)*F3077*(1+3.3333333333333335*IF(C3088=TRUE,F3088,0)/100)*I3077*Skills!J7/100)/100</f>
        <v/>
      </c>
    </row>
    <row r="3106">
      <c r="A3106" t="inlineStr">
        <is>
          <t>Attack Speed Buff Bonus %</t>
        </is>
      </c>
      <c r="B3106">
        <f>((C3089=TRUE)*F3089*IF(AND(Inputs!$B$39&lt;&gt;"pvp",Inputs!$B$44&gt;0),(((R3089-1)*(Skills!Y19*(1+Inputs!$B$34/100))+MIN((Skills!Y19*(1+Inputs!$B$34/100)),MAX(0,Inputs!$B$44-((R3089-1)*Skills!D19))))/Inputs!$B$44),IF(Inputs!$B$39="pvp",MIN((Skills!Y19*(1+Inputs!$B$34/100)),15)/15,(Skills!Y19*(1+Inputs!$B$34/100))/Skills!D19)))+((C3073=TRUE)*F3073*3)</f>
        <v/>
      </c>
    </row>
    <row r="3107">
      <c r="A3107" t="inlineStr">
        <is>
          <t>Actions Per Second</t>
        </is>
      </c>
      <c r="B3107">
        <f>1+MIN(150,150*(1-(1-(Inputs!$B$11+((C3092=TRUE)*(F3092-Calc!F22)))/150)*(1-B3106/150)))/100</f>
        <v/>
      </c>
    </row>
    <row r="3108">
      <c r="A3108" t="inlineStr">
        <is>
          <t>Skill + Buff Cast Rate</t>
        </is>
      </c>
      <c r="B3108">
        <f>IF(AND(Inputs!$B$39&lt;&gt;"pvp",Inputs!$B$44&gt;0),SUMPRODUCT((Skills!E2:E30=TRUE)*(C3072:C3100=TRUE)*R3072:R3100*Skills!F2:F30)/Inputs!$B$44,SUMPRODUCT((Skills!E2:E30=TRUE)*(C3072:C3100=TRUE)*Q3072:Q3100*Skills!F2:F30))</f>
        <v/>
      </c>
    </row>
    <row r="3109">
      <c r="A3109" t="inlineStr">
        <is>
          <t>Cruel Stab Casts Per Second</t>
        </is>
      </c>
      <c r="B3109">
        <f>MAX(0,B3107-B3108)</f>
        <v/>
      </c>
    </row>
    <row r="3110">
      <c r="A3110" t="inlineStr">
        <is>
          <t>Global Critical Damage Bonus % (Smokescreen Mastery Lv.113)</t>
        </is>
      </c>
      <c r="B3110">
        <f>IF(Inputs!$B$3&gt;=113,30,0)*IF(AND(Inputs!$B$39&lt;&gt;"pvp",Inputs!$B$44&gt;0),(((R3085-1)*(Skills!Y15*(1+Inputs!$B$34/100))+MIN((Skills!Y15*(1+Inputs!$B$34/100)),MAX(0,Inputs!$B$44-((R3085-1)*Skills!D15))))/Inputs!$B$44),IF(Inputs!$B$39="pvp",MIN((Skills!Y15*(1+Inputs!$B$34/100)),15)/15,(Skills!Y15*(1+Inputs!$B$34/100))/Skills!D15))</f>
        <v/>
      </c>
    </row>
    <row r="3111">
      <c r="A3111" t="inlineStr">
        <is>
          <t>Meso Explosion average stack count</t>
        </is>
      </c>
      <c r="B3111">
        <f>MIN(10,0.5*B3107*Skills!D4)</f>
        <v/>
      </c>
    </row>
    <row r="3112">
      <c r="A3112" t="inlineStr">
        <is>
          <t>Blood Money average stack count</t>
        </is>
      </c>
      <c r="B3112">
        <f>MIN(5,0.25*B3107*Skills!D4)</f>
        <v/>
      </c>
    </row>
    <row r="3113">
      <c r="A3113" t="inlineStr">
        <is>
          <t>Assassinate Murderous Intent Multiplier</t>
        </is>
      </c>
      <c r="B3113">
        <f>1+IFERROR(MIN(1,Q3084*2/Q3081),0)</f>
        <v/>
      </c>
    </row>
    <row r="3114">
      <c r="A3114" t="inlineStr">
        <is>
          <t>Buff-Casting Startup Delay (s, fixed-duration only)</t>
        </is>
      </c>
      <c r="B3114">
        <f>IF(AND(Inputs!$B$39&lt;&gt;"pvp",Inputs!$B$44&gt;0),SUMPRODUCT((Skills!Y2:Y30&gt;0)*(Skills!E2:E30=TRUE)*(C3072:C3100=TRUE))/B3107,0)</f>
        <v/>
      </c>
    </row>
    <row r="3115">
      <c r="A3115" s="6" t="inlineStr">
        <is>
          <t>TOTAL DPS</t>
        </is>
      </c>
      <c r="B3115" s="6">
        <f>SUM(O3072:O3100)</f>
        <v/>
      </c>
    </row>
    <row r="3116">
      <c r="A3116" t="inlineStr">
        <is>
          <t>Boss-Only Total DPS (this block's swept value)</t>
        </is>
      </c>
      <c r="B3116">
        <f>SUM(T3072:T3100)</f>
        <v/>
      </c>
    </row>
    <row r="3117">
      <c r="A3117" t="inlineStr">
        <is>
          <t>Normal-Only Total DPS (this block's swept value)</t>
        </is>
      </c>
      <c r="B3117">
        <f>SUM(V3072:V3100)</f>
        <v/>
      </c>
    </row>
    <row r="3120">
      <c r="A3120" s="6" t="inlineStr">
        <is>
          <t>Stat: Secret Map (Equip)</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Q3121" s="5" t="inlineStr">
        <is>
          <t>InvCooldown</t>
        </is>
      </c>
      <c r="R3121" s="5" t="inlineStr">
        <is>
          <t>CastsInFight</t>
        </is>
      </c>
      <c r="S3121" s="5" t="inlineStr">
        <is>
          <t>HitRate(perSec)</t>
        </is>
      </c>
      <c r="U3121" t="inlineStr">
        <is>
          <t>helpers</t>
        </is>
      </c>
    </row>
    <row r="3122">
      <c r="A3122">
        <f>Skills!A2</f>
        <v/>
      </c>
      <c r="B3122">
        <f>Skills!B2</f>
        <v/>
      </c>
      <c r="C3122">
        <f>Inputs!$B$3&gt;=100</f>
        <v/>
      </c>
      <c r="D3122" t="inlineStr"/>
      <c r="E3122" t="inlineStr"/>
      <c r="F3122">
        <f>U3124+Skills!O2</f>
        <v/>
      </c>
      <c r="G3122">
        <f>Skills!G2*IF(Skills!H2&gt;0,Skills!I2/Skills!H2,1)</f>
        <v/>
      </c>
      <c r="H3122">
        <f>1-(1-Skills!J2/100)^Skills!K2</f>
        <v/>
      </c>
      <c r="I3122" t="inlineStr">
        <is>
          <t>1</t>
        </is>
      </c>
      <c r="J3122">
        <f>((Inputs!$B$6*(1+Inputs!$B$7/100))+(((Inputs!$B$12*(1+Inputs!$B$13/100))-(Inputs!$B$12*(1+Inputs!$B$13/100)))+0.25*(Inputs!$B$14-Inputs!$B$14))*(1+Inputs!$B$7/100))*(F3122/100)</f>
        <v/>
      </c>
      <c r="K3122">
        <f>J3122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3122)</f>
        <v/>
      </c>
      <c r="L3122">
        <f>K3122*(MIN(Inputs!$B$22+((C3144=TRUE)*(F3144-Calc!F24)),(Inputs!$B$23+((C3149=TRUE)*(F3149-Calc!F29))+IF(ArtifactsInput!$M$15,CHOOSE(ArtifactsInput!$N$15+1,25,30,35,40,45,50)/100*(Inputs!$B$11-Inputs!$B$11),0)))/100+(Inputs!$B$23+((C3149=TRUE)*(F3149-Calc!F29))+IF(ArtifactsInput!$M$15,CHOOSE(ArtifactsInput!$N$15+1,25,30,35,40,45,50)/100*(Inputs!$B$11-Inputs!$B$11),0))/100)/2</f>
        <v/>
      </c>
      <c r="M3122">
        <f>L3122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IF(B3165=0,0,O3122/B3165)</f>
        <v/>
      </c>
      <c r="Q3122" t="n">
        <v>0</v>
      </c>
      <c r="R3122" t="n">
        <v>0</v>
      </c>
      <c r="S3122">
        <f>IFERROR(O3122/N3122,0)</f>
        <v/>
      </c>
      <c r="T3122">
        <f>IF(C3122,(Skills!G2*N3122*B3159)*IF(Inputs!$B$39="pvp",1,1+(Inputs!$B$20+0+Skills!P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3122*(1-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2">
        <f>MAX(0,(Inputs!$B$3-100)*3)+Inputs!$B$28+Inputs!$B$29</f>
        <v/>
      </c>
      <c r="V3122">
        <f>IF(C3122,(Skills!G2*N3122*B3159)*IF(Inputs!$B$39="pvp",1,(1+(Inputs!$B$21+Skills!Q2+B3154+(IF(ArtifactsInput!$M$33,CHOOSE(ArtifactsInput!$N$33+1,30,36,42,48,54,60),0))+(IF(AND(ArtifactsInput!$M$35,Inputs!$B$4&lt;&gt;"Chapter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Skills!A3</f>
        <v/>
      </c>
      <c r="B3123">
        <f>Skills!B3</f>
        <v/>
      </c>
      <c r="C3123">
        <f>Inputs!$B$3&gt;=35</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Skills!G3*IF(Skills!H3&gt;0,Skills!I3/Skills!H3,1)</f>
        <v/>
      </c>
      <c r="H3123">
        <f>1-(1-Skills!J3/100)^Skills!K3</f>
        <v/>
      </c>
      <c r="I3123" t="inlineStr">
        <is>
          <t>1</t>
        </is>
      </c>
      <c r="J3123" t="inlineStr"/>
      <c r="K3123" t="inlineStr"/>
      <c r="L3123" t="inlineStr"/>
      <c r="M3123" t="inlineStr"/>
      <c r="N3123" t="inlineStr"/>
      <c r="O3123">
        <f>(1-Summary!$B$11)*T3123+Summary!$B$11*V3123</f>
        <v/>
      </c>
      <c r="P3123">
        <f>IF(B3165=0,0,O3123/B3165)</f>
        <v/>
      </c>
      <c r="Q3123" t="n">
        <v>0</v>
      </c>
      <c r="R3123" t="n">
        <v>0</v>
      </c>
      <c r="S3123">
        <f>IFERROR(O3123/N3123,0)</f>
        <v/>
      </c>
      <c r="T3123" t="n">
        <v>0</v>
      </c>
      <c r="U3123">
        <f>INDEX(FactorTable!$B$2:$Y$301, MATCH(ROUND(MIN(300,MAX(1,U3122)),0), FactorTable!$A$2:$A$301,0), 22)</f>
        <v/>
      </c>
      <c r="V3123" t="n">
        <v>0</v>
      </c>
    </row>
    <row r="3124">
      <c r="A3124">
        <f>Skills!A4</f>
        <v/>
      </c>
      <c r="B3124">
        <f>Skills!B4</f>
        <v/>
      </c>
      <c r="C3124">
        <f>Inputs!$B$3&gt;=66</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Skills!G4*IF(Skills!H4&gt;0,Skills!I4/Skills!H4,1)</f>
        <v/>
      </c>
      <c r="H3124">
        <f>1-(1-Skills!J4/100)^Skills!K4</f>
        <v/>
      </c>
      <c r="I3124" t="inlineStr">
        <is>
          <t>1</t>
        </is>
      </c>
      <c r="J3124">
        <f>((Inputs!$B$6*(1+Inputs!$B$7/100))+(((Inputs!$B$12*(1+Inputs!$B$13/100))-(Inputs!$B$12*(1+Inputs!$B$13/100)))+0.25*(Inputs!$B$14-Inputs!$B$14))*(1+Inputs!$B$7/100))*(F3124/100)</f>
        <v/>
      </c>
      <c r="K3124">
        <f>J3124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3124)</f>
        <v/>
      </c>
      <c r="L3124">
        <f>K3124*(MIN(Inputs!$B$22+((C3144=TRUE)*(F3144-Calc!F24)),(Inputs!$B$23+((C3149=TRUE)*(F3149-Calc!F29))+IF(ArtifactsInput!$M$15,CHOOSE(ArtifactsInput!$N$15+1,25,30,35,40,45,50)/100*(Inputs!$B$11-Inputs!$B$11),0)))/100+(Inputs!$B$23+((C3149=TRUE)*(F3149-Calc!F29))+IF(ArtifactsInput!$M$15,CHOOSE(ArtifactsInput!$N$15+1,25,30,35,40,45,50)/100*(Inputs!$B$11-Inputs!$B$11),0))/100)/2</f>
        <v/>
      </c>
      <c r="M3124">
        <f>L3124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IF(B3165=0,0,O3124/B3165)</f>
        <v/>
      </c>
      <c r="Q3124">
        <f>IFERROR(1/IF(Inputs!$B$39="pvp",15,MAX(0.1,Skills!D4-IF(Skills!E4=TRUE,Inputs!$B$32,0))),0)</f>
        <v/>
      </c>
      <c r="R3124">
        <f>IF(AND(Inputs!$B$39&lt;&gt;"pvp",Inputs!$B$44&gt;0),IF(MAX(0,Inputs!$B$44-B3164)&lt;=0,0,(INT(MAX(0,Inputs!$B$44-B3164)/IF(Inputs!$B$39="pvp",15,MAX(0.1,Skills!D4-IF(Skills!E4=TRUE,Inputs!$B$32,0))))+1)),0)</f>
        <v/>
      </c>
      <c r="S3124">
        <f>IFERROR(O3124/N3124,0)</f>
        <v/>
      </c>
      <c r="T3124">
        <f>IF(C3124,(H3124*N3124*IF(AND(Inputs!$B$39&lt;&gt;"pvp",Inputs!$B$44&gt;0),((Skills!G4*((R3124-1)*IF(Skills!H4&gt;0,Skills!I4/Skills!H4,1)+IF(Skills!H4&gt;0,MIN(Skills!I4,MAX(0,MAX(0,Inputs!$B$44-B3164)-((R3124-1)*IF(Inputs!$B$39="pvp",15,MAX(0.1,Skills!D4-IF(Skills!E4=TRUE,Inputs!$B$32,0))))))/Skills!H4,1)))/Inputs!$B$44),G3124*Q3124))*IF(Inputs!$B$39="pvp",1,1+(Inputs!$B$20+0+Skills!P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3124*(1-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4">
        <f>290*U3123/1000</f>
        <v/>
      </c>
      <c r="V3124">
        <f>IF(C3124,(H3124*N3124*IF(AND(Inputs!$B$39&lt;&gt;"pvp",Inputs!$B$44&gt;0),((Skills!G4*((R3124-1)*IF(Skills!H4&gt;0,Skills!I4/Skills!H4,1)+IF(Skills!H4&gt;0,MIN(Skills!I4,MAX(0,MAX(0,Inputs!$B$44-B3164)-((R3124-1)*IF(Inputs!$B$39="pvp",15,MAX(0.1,Skills!D4-IF(Skills!E4=TRUE,Inputs!$B$32,0))))))/Skills!H4,1)))/Inputs!$B$44),G3124*Q3124))*IF(Inputs!$B$39="pvp",1,(1+(Inputs!$B$21+Skills!Q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(10,0.5*B3157*Skills!D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Skills!A5</f>
        <v/>
      </c>
      <c r="B3125">
        <f>Skills!B5</f>
        <v/>
      </c>
      <c r="C3125">
        <f>Inputs!$B$3&gt;=63</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Skills!G5*IF(Skills!H5&gt;0,Skills!I5/Skills!H5,1)</f>
        <v/>
      </c>
      <c r="H3125">
        <f>1-(1-Skills!J5/100)^Skills!K5</f>
        <v/>
      </c>
      <c r="I3125" t="inlineStr">
        <is>
          <t>1</t>
        </is>
      </c>
      <c r="J3125">
        <f>((Inputs!$B$6*(1+Inputs!$B$7/100))+(((Inputs!$B$12*(1+Inputs!$B$13/100))-(Inputs!$B$12*(1+Inputs!$B$13/100)))+0.25*(Inputs!$B$14-Inputs!$B$14))*(1+Inputs!$B$7/100))*(F3125/100)</f>
        <v/>
      </c>
      <c r="K3125">
        <f>J3125*(1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3138=TRUE,F3138,0)/100)*(1+(IF(Skills!A5="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3125)</f>
        <v/>
      </c>
      <c r="L3125">
        <f>K3125*(MIN(Inputs!$B$22+((C3144=TRUE)*(F3144-Calc!F24)),(Inputs!$B$23+((C3149=TRUE)*(F3149-Calc!F29))+IF(ArtifactsInput!$M$15,CHOOSE(ArtifactsInput!$N$15+1,25,30,35,40,45,50)/100*(Inputs!$B$11-Inputs!$B$11),0)))/100+(Inputs!$B$23+((C3149=TRUE)*(F3149-Calc!F29))+IF(ArtifactsInput!$M$15,CHOOSE(ArtifactsInput!$N$15+1,25,30,35,40,45,50)/100*(Inputs!$B$11-Inputs!$B$11),0))/100)/2</f>
        <v/>
      </c>
      <c r="M3125">
        <f>L3125*(1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5">
        <f>L3125*(1-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3125*(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5">
        <f>(1-Summary!$B$11)*T3125+Summary!$B$11*V3125</f>
        <v/>
      </c>
      <c r="P3125">
        <f>IF(B3165=0,0,O3125/B3165)</f>
        <v/>
      </c>
      <c r="Q3125">
        <f>IFERROR(1/IF(Inputs!$B$39="pvp",15,MAX(0.1,Skills!D5-IF(Skills!E5=TRUE,Inputs!$B$32,0))),0)</f>
        <v/>
      </c>
      <c r="R3125">
        <f>IF(AND(Inputs!$B$39&lt;&gt;"pvp",Inputs!$B$44&gt;0),IF(MAX(0,Inputs!$B$44-B3164)&lt;=0,0,(INT(MAX(0,Inputs!$B$44-B3164)/IF(Inputs!$B$39="pvp",15,MAX(0.1,Skills!D5-IF(Skills!E5=TRUE,Inputs!$B$32,0))))+1)),0)</f>
        <v/>
      </c>
      <c r="S3125">
        <f>IFERROR(O3125/N3125,0)</f>
        <v/>
      </c>
      <c r="T3125">
        <f>IF(C3125,(H3125*N3125*IF(AND(Inputs!$B$39&lt;&gt;"pvp",Inputs!$B$44&gt;0),((Skills!G5*((R3125-1)*IF(Skills!H5&gt;0,Skills!I5/Skills!H5,1)+IF(Skills!H5&gt;0,MIN(Skills!I5,MAX(0,MAX(0,Inputs!$B$44-B3164)-((R3125-1)*IF(Inputs!$B$39="pvp",15,MAX(0.1,Skills!D5-IF(Skills!E5=TRUE,Inputs!$B$32,0))))))/Skills!H5,1)))/Inputs!$B$44),G3125*Q3125))*IF(Inputs!$B$39="pvp",1,1+(Inputs!$B$20+0+Skills!P5+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3125*(1-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3125*(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3125*(1-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3125*(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5">
        <f>IF(C3125,(H3125*N3125*IF(AND(Inputs!$B$39&lt;&gt;"pvp",Inputs!$B$44&gt;0),((Skills!G5*((R3125-1)*IF(Skills!H5&gt;0,Skills!I5/Skills!H5,1)+IF(Skills!H5&gt;0,MIN(Skills!I5,MAX(0,MAX(0,Inputs!$B$44-B3164)-((R3125-1)*IF(Inputs!$B$39="pvp",15,MAX(0.1,Skills!D5-IF(Skills!E5=TRUE,Inputs!$B$32,0))))))/Skills!H5,1)))/Inputs!$B$44),G3125*Q3125))*IF(Inputs!$B$39="pvp",1,(1+(Inputs!$B$21+Skills!Q5+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6">
      <c r="A3126">
        <f>Skills!A6</f>
        <v/>
      </c>
      <c r="B3126">
        <f>Skills!B6</f>
        <v/>
      </c>
      <c r="C3126">
        <f>Inputs!$B$3&gt;=69</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Skills!G6*IF(Skills!H6&gt;0,Skills!I6/Skills!H6,1)</f>
        <v/>
      </c>
      <c r="H3126">
        <f>1-(1-Skills!J6/100)^Skills!K6</f>
        <v/>
      </c>
      <c r="I3126" t="inlineStr">
        <is>
          <t>1</t>
        </is>
      </c>
      <c r="J3126">
        <f>((Inputs!$B$6*(1+Inputs!$B$7/100))+(((Inputs!$B$12*(1+Inputs!$B$13/100))-(Inputs!$B$12*(1+Inputs!$B$13/100)))+0.25*(Inputs!$B$14-Inputs!$B$14))*(1+Inputs!$B$7/100))*(F3126/100)</f>
        <v/>
      </c>
      <c r="K3126">
        <f>J3126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3138=TRUE,F3138,0)/100)*(1+(IF(Skills!A6="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3126)</f>
        <v/>
      </c>
      <c r="L3126">
        <f>K3126*(MIN(Inputs!$B$22+((C3144=TRUE)*(F3144-Calc!F24)),(Inputs!$B$23+((C3149=TRUE)*(F3149-Calc!F29))+IF(ArtifactsInput!$M$15,CHOOSE(ArtifactsInput!$N$15+1,25,30,35,40,45,50)/100*(Inputs!$B$11-Inputs!$B$11),0)))/100+(Inputs!$B$23+((C3149=TRUE)*(F3149-Calc!F29))+IF(ArtifactsInput!$M$15,CHOOSE(ArtifactsInput!$N$15+1,25,30,35,40,45,50)/100*(Inputs!$B$11-Inputs!$B$11),0))/100)/2</f>
        <v/>
      </c>
      <c r="M3126">
        <f>L3126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6">
        <f>L3126*(1-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3126*(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6">
        <f>(1-Summary!$B$11)*T3126+Summary!$B$11*V3126</f>
        <v/>
      </c>
      <c r="P3126">
        <f>IF(B3165=0,0,O3126/B3165)</f>
        <v/>
      </c>
      <c r="Q3126">
        <f>IFERROR(1/IF(Inputs!$B$39="pvp",15,MAX(0.1,Skills!D6-IF(Skills!E6=TRUE,Inputs!$B$32,0))),0)</f>
        <v/>
      </c>
      <c r="R3126">
        <f>IF(AND(Inputs!$B$39&lt;&gt;"pvp",Inputs!$B$44&gt;0),IF(MAX(0,Inputs!$B$44-B3164)&lt;=0,0,(INT(MAX(0,Inputs!$B$44-B3164)/IF(Inputs!$B$39="pvp",15,MAX(0.1,Skills!D6-IF(Skills!E6=TRUE,Inputs!$B$32,0))))+1)),0)</f>
        <v/>
      </c>
      <c r="S3126">
        <f>IFERROR(O3126/N3126,0)</f>
        <v/>
      </c>
      <c r="T3126">
        <f>IF(C3126,(H3126*N3126*IF(AND(Inputs!$B$39&lt;&gt;"pvp",Inputs!$B$44&gt;0),((Skills!G6*((R3126-1)*IF(Skills!H6&gt;0,Skills!I6/Skills!H6,1)+IF(Skills!H6&gt;0,MIN(Skills!I6,MAX(0,MAX(0,Inputs!$B$44-B3164)-((R3126-1)*IF(Inputs!$B$39="pvp",15,MAX(0.1,Skills!D6-IF(Skills!E6=TRUE,Inputs!$B$32,0))))))/Skills!H6,1)))/Inputs!$B$44),G3126*Q3126))*IF(Inputs!$B$39="pvp",1,1+(Inputs!$B$20+0+Skills!P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3126*(1-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3126*(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3126*(1-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3126*(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6">
        <f>IF(C3126,(H3126*N3126*IF(AND(Inputs!$B$39&lt;&gt;"pvp",Inputs!$B$44&gt;0),((Skills!G6*((R3126-1)*IF(Skills!H6&gt;0,Skills!I6/Skills!H6,1)+IF(Skills!H6&gt;0,MIN(Skills!I6,MAX(0,MAX(0,Inputs!$B$44-B3164)-((R3126-1)*IF(Inputs!$B$39="pvp",15,MAX(0.1,Skills!D6-IF(Skills!E6=TRUE,Inputs!$B$32,0))))))/Skills!H6,1)))/Inputs!$B$44),G3126*Q3126))*IF(Inputs!$B$39="pvp",1,(1+(Inputs!$B$21+Skills!Q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7">
      <c r="A3127">
        <f>Skills!A7</f>
        <v/>
      </c>
      <c r="B3127">
        <f>Skills!B7</f>
        <v/>
      </c>
      <c r="C3127">
        <f>Inputs!$B$3&gt;=60</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Skills!G7*IF(Skills!H7&gt;0,Skills!I7/Skills!H7,1)</f>
        <v/>
      </c>
      <c r="H3127">
        <f>1-(1-Skills!J7/100)^Skills!K7</f>
        <v/>
      </c>
      <c r="I3127" t="inlineStr">
        <is>
          <t>1</t>
        </is>
      </c>
      <c r="J3127" t="inlineStr"/>
      <c r="K3127" t="inlineStr"/>
      <c r="L3127" t="inlineStr"/>
      <c r="M3127" t="inlineStr"/>
      <c r="N3127" t="inlineStr"/>
      <c r="O3127">
        <f>(1-Summary!$B$11)*T3127+Summary!$B$11*V3127</f>
        <v/>
      </c>
      <c r="P3127">
        <f>IF(B3165=0,0,O3127/B3165)</f>
        <v/>
      </c>
      <c r="Q3127" t="n">
        <v>0</v>
      </c>
      <c r="R3127" t="n">
        <v>0</v>
      </c>
      <c r="S3127">
        <f>IFERROR(O3127/N3127,0)</f>
        <v/>
      </c>
      <c r="T3127" t="n">
        <v>0</v>
      </c>
      <c r="V3127" t="n">
        <v>0</v>
      </c>
    </row>
    <row r="3128">
      <c r="A3128">
        <f>Skills!A8</f>
        <v/>
      </c>
      <c r="B3128">
        <f>Skills!B8</f>
        <v/>
      </c>
      <c r="C3128">
        <f>Inputs!$B$3&gt;=72</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Skills!G8*IF(Skills!H8&gt;0,Skills!I8/Skills!H8,1)</f>
        <v/>
      </c>
      <c r="H3128">
        <f>1-(1-Skills!J8/100)^Skills!K8</f>
        <v/>
      </c>
      <c r="I3128" t="inlineStr">
        <is>
          <t>1</t>
        </is>
      </c>
      <c r="J3128">
        <f>((Inputs!$B$6*(1+Inputs!$B$7/100))+(((Inputs!$B$12*(1+Inputs!$B$13/100))-(Inputs!$B$12*(1+Inputs!$B$13/100)))+0.25*(Inputs!$B$14-Inputs!$B$14))*(1+Inputs!$B$7/100))*(F3128/100)</f>
        <v/>
      </c>
      <c r="K3128">
        <f>J3128*(1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3138=TRUE,F3138,0)/100)*(1+(IF(Skills!A8="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3128)</f>
        <v/>
      </c>
      <c r="L3128">
        <f>K3128*(MIN(Inputs!$B$22+((C3144=TRUE)*(F3144-Calc!F24)),(Inputs!$B$23+((C3149=TRUE)*(F3149-Calc!F29))+IF(ArtifactsInput!$M$15,CHOOSE(ArtifactsInput!$N$15+1,25,30,35,40,45,50)/100*(Inputs!$B$11-Inputs!$B$11),0)))/100+(Inputs!$B$23+((C3149=TRUE)*(F3149-Calc!F29))+IF(ArtifactsInput!$M$15,CHOOSE(ArtifactsInput!$N$15+1,25,30,35,40,45,50)/100*(Inputs!$B$11-Inputs!$B$11),0))/100)/2</f>
        <v/>
      </c>
      <c r="M3128">
        <f>L3128*(1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8">
        <f>L3128*(1-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3128*(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8">
        <f>(1-Summary!$B$11)*T3128+Summary!$B$11*V3128</f>
        <v/>
      </c>
      <c r="P3128">
        <f>IF(B3165=0,0,O3128/B3165)</f>
        <v/>
      </c>
      <c r="Q3128">
        <f>IFERROR(1/IF(Inputs!$B$39="pvp",15,MAX(0.1,Skills!D8-IF(Skills!E8=TRUE,Inputs!$B$32,0))),0)</f>
        <v/>
      </c>
      <c r="R3128">
        <f>IF(AND(Inputs!$B$39&lt;&gt;"pvp",Inputs!$B$44&gt;0),IF(MAX(0,Inputs!$B$44-B3164)&lt;=0,0,(INT(MAX(0,Inputs!$B$44-B3164)/IF(Inputs!$B$39="pvp",15,MAX(0.1,Skills!D8-IF(Skills!E8=TRUE,Inputs!$B$32,0))))+1)),0)</f>
        <v/>
      </c>
      <c r="S3128">
        <f>IFERROR(O3128/N3128,0)</f>
        <v/>
      </c>
      <c r="T3128">
        <f>IF(C3128,(H3128*N3128*IF(AND(Inputs!$B$39&lt;&gt;"pvp",Inputs!$B$44&gt;0),((Skills!G8*((R3128-1)*IF(Skills!H8&gt;0,Skills!I8/Skills!H8,1)+IF(Skills!H8&gt;0,MIN(Skills!I8,MAX(0,MAX(0,Inputs!$B$44-B3164)-((R3128-1)*IF(Inputs!$B$39="pvp",15,MAX(0.1,Skills!D8-IF(Skills!E8=TRUE,Inputs!$B$32,0))))))/Skills!H8,1)))/Inputs!$B$44),G3128*Q3128))*IF(Inputs!$B$39="pvp",1,1+(Inputs!$B$20+0+Skills!P8+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3128*(1-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3128*(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3128*(1-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3128*(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8">
        <f>IF(C3128,(H3128*N3128*IF(AND(Inputs!$B$39&lt;&gt;"pvp",Inputs!$B$44&gt;0),((Skills!G8*((R3128-1)*IF(Skills!H8&gt;0,Skills!I8/Skills!H8,1)+IF(Skills!H8&gt;0,MIN(Skills!I8,MAX(0,MAX(0,Inputs!$B$44-B3164)-((R3128-1)*IF(Inputs!$B$39="pvp",15,MAX(0.1,Skills!D8-IF(Skills!E8=TRUE,Inputs!$B$32,0))))))/Skills!H8,1)))/Inputs!$B$44),G3128*Q3128))*IF(Inputs!$B$39="pvp",1,(1+(Inputs!$B$21+Skills!Q8+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9">
      <c r="A3129">
        <f>Skills!A9</f>
        <v/>
      </c>
      <c r="B3129">
        <f>Skills!B9</f>
        <v/>
      </c>
      <c r="C3129">
        <f>Inputs!$B$3&gt;=117</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Skills!G9*IF(Skills!H9&gt;0,Skills!I9/Skills!H9,1)</f>
        <v/>
      </c>
      <c r="H3129">
        <f>1-(1-Skills!J9/100)^Skills!K9</f>
        <v/>
      </c>
      <c r="I3129" t="inlineStr">
        <is>
          <t>1</t>
        </is>
      </c>
      <c r="J3129">
        <f>((Inputs!$B$6*(1+Inputs!$B$7/100))+(((Inputs!$B$12*(1+Inputs!$B$13/100))-(Inputs!$B$12*(1+Inputs!$B$13/100)))+0.25*(Inputs!$B$14-Inputs!$B$14))*(1+Inputs!$B$7/100))*(F3129/100)</f>
        <v/>
      </c>
      <c r="K3129">
        <f>J3129*(1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3129)</f>
        <v/>
      </c>
      <c r="L3129">
        <f>K3129*(MIN(Inputs!$B$22+((C3144=TRUE)*(F3144-Calc!F24)),(Inputs!$B$23+((C3149=TRUE)*(F3149-Calc!F29))+IF(ArtifactsInput!$M$15,CHOOSE(ArtifactsInput!$N$15+1,25,30,35,40,45,50)/100*(Inputs!$B$11-Inputs!$B$11),0)))/100+(Inputs!$B$23+((C3149=TRUE)*(F3149-Calc!F29))+IF(ArtifactsInput!$M$15,CHOOSE(ArtifactsInput!$N$15+1,25,30,35,40,45,50)/100*(Inputs!$B$11-Inputs!$B$11),0))/100)/2</f>
        <v/>
      </c>
      <c r="M3129">
        <f>L3129*(1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9">
        <f>L3129*(1-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3129*(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9">
        <f>(1-Summary!$B$11)*T3129+Summary!$B$11*V3129</f>
        <v/>
      </c>
      <c r="P3129">
        <f>IF(B3165=0,0,O3129/B3165)</f>
        <v/>
      </c>
      <c r="Q3129" t="n">
        <v>0</v>
      </c>
      <c r="R3129" t="n">
        <v>0</v>
      </c>
      <c r="S3129" t="n">
        <v>0</v>
      </c>
      <c r="T3129">
        <f>IF(C3129,(0.2*SUMPRODUCT((Skills!Z2:Z30=TRUE)*(C3122:C3150=TRUE)*S3122:S3150)*N3129)*IF(Inputs!$B$39="pvp",1,1+(Inputs!$B$20+0+Skills!P9+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3129*(1-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3129*(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3129*(1-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3129*(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9">
        <f>IF(C3129,(0.2*SUMPRODUCT((Skills!Z2:Z30=TRUE)*(C3122:C3150=TRUE)*S3122:S3150)*N3129)*IF(Inputs!$B$39="pvp",1,(1+(Inputs!$B$21+Skills!Q9+B3154+(IF(ArtifactsInput!$M$33,CHOOSE(ArtifactsInput!$N$33+1,30,36,42,48,54,60),0))+(IF(AND(ArtifactsInput!$M$35,Inputs!$B$4&lt;&gt;"Chapter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0">
      <c r="A3130">
        <f>Skills!A10</f>
        <v/>
      </c>
      <c r="B3130">
        <f>Skills!B10</f>
        <v/>
      </c>
      <c r="C3130">
        <f>Inputs!$B$3&gt;=74</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Skills!G10*IF(Skills!H10&gt;0,Skills!I10/Skills!H10,1)</f>
        <v/>
      </c>
      <c r="H3130">
        <f>1-(1-Skills!J10/100)^Skills!K10</f>
        <v/>
      </c>
      <c r="I3130" t="inlineStr">
        <is>
          <t>1</t>
        </is>
      </c>
      <c r="J3130" t="inlineStr"/>
      <c r="K3130" t="inlineStr"/>
      <c r="L3130" t="inlineStr"/>
      <c r="M3130" t="inlineStr"/>
      <c r="N3130" t="inlineStr"/>
      <c r="O3130">
        <f>(1-Summary!$B$11)*T3130+Summary!$B$11*V3130</f>
        <v/>
      </c>
      <c r="P3130">
        <f>IF(B3165=0,0,O3130/B3165)</f>
        <v/>
      </c>
      <c r="Q3130">
        <f>IFERROR(1/IF(Inputs!$B$39="pvp",15,MAX(0.1,Skills!D10-IF(Skills!E10=TRUE,Inputs!$B$32,0))),0)</f>
        <v/>
      </c>
      <c r="R3130">
        <f>IF(AND(Inputs!$B$39&lt;&gt;"pvp",Inputs!$B$44&gt;0),IF(Inputs!$B$44&lt;=0,0,(INT(Inputs!$B$44/IF(Inputs!$B$39="pvp",15,MAX(0.1,Skills!D10-IF(Skills!E10=TRUE,Inputs!$B$32,0))))+1)),0)</f>
        <v/>
      </c>
      <c r="S3130">
        <f>IFERROR(O3130/N3130,0)</f>
        <v/>
      </c>
      <c r="T3130" t="n">
        <v>0</v>
      </c>
      <c r="V3130" t="n">
        <v>0</v>
      </c>
    </row>
    <row r="3131">
      <c r="A3131">
        <f>Skills!A11</f>
        <v/>
      </c>
      <c r="B3131">
        <f>Skills!B11</f>
        <v/>
      </c>
      <c r="C3131">
        <f>Inputs!$B$3&gt;=103</f>
        <v/>
      </c>
      <c r="D3131">
        <f>IF(Skills!C11=1,60+Inputs!$B$25+Inputs!$B$29,IF(Skills!C11=2,90+Inputs!$B$26+Inputs!$B$29,IF(Skills!C11=3,120+Inputs!$B$27+Inputs!$B$29,MAX(0,(Inputs!$B$3-100)*3)+Inputs!$B$28+Inputs!$B$29)))</f>
        <v/>
      </c>
      <c r="E3131">
        <f>INDEX(FactorTable!$B$2:$Y$301, MATCH(ROUND(MIN(300,MAX(1,D3131)),0), FactorTable!$A$2:$A$301,0), Skills!M11+1)</f>
        <v/>
      </c>
      <c r="F3131">
        <f>(Skills!L11/10)*(E3131/1000)+IF(Inputs!$B$3&gt;=134,50,0)+0.5*(30000/10)*(INDEX(FactorTable!$B$2:$Y$301, MATCH(ROUND(MIN(300,MAX(1,D3131)),0), FactorTable!$A$2:$A$301,0), 13)/1000)*B3163</f>
        <v/>
      </c>
      <c r="G3131">
        <f>Skills!G11*IF(Skills!H11&gt;0,Skills!I11/Skills!H11,1)</f>
        <v/>
      </c>
      <c r="H3131">
        <f>1-(1-Skills!J11/100)^Skills!K11</f>
        <v/>
      </c>
      <c r="I3131" t="inlineStr">
        <is>
          <t>1</t>
        </is>
      </c>
      <c r="J3131">
        <f>((Inputs!$B$6*(1+Inputs!$B$7/100))+(((Inputs!$B$12*(1+Inputs!$B$13/100))-(Inputs!$B$12*(1+Inputs!$B$13/100)))+0.25*(Inputs!$B$14-Inputs!$B$14))*(1+Inputs!$B$7/100))*(F3131/100)</f>
        <v/>
      </c>
      <c r="K3131">
        <f>J3131*(1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3131)</f>
        <v/>
      </c>
      <c r="L3131">
        <f>K3131*(MIN(Inputs!$B$22+((C3144=TRUE)*(F3144-Calc!F24)),(Inputs!$B$23+((C3149=TRUE)*(F3149-Calc!F29))+IF(ArtifactsInput!$M$15,CHOOSE(ArtifactsInput!$N$15+1,25,30,35,40,45,50)/100*(Inputs!$B$11-Inputs!$B$11),0)))/100+(Inputs!$B$23+((C3149=TRUE)*(F3149-Calc!F29))+IF(ArtifactsInput!$M$15,CHOOSE(ArtifactsInput!$N$15+1,25,30,35,40,45,50)/100*(Inputs!$B$11-Inputs!$B$11),0))/100)/2</f>
        <v/>
      </c>
      <c r="M3131">
        <f>L3131*(1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1">
        <f>L3131*(1-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1">
        <f>(1-Summary!$B$11)*T3131+Summary!$B$11*V3131</f>
        <v/>
      </c>
      <c r="P3131">
        <f>IF(B3165=0,0,O3131/B3165)</f>
        <v/>
      </c>
      <c r="Q3131">
        <f>IFERROR(1/IF(Inputs!$B$39="pvp",15,MAX(0.1,Skills!D11-IF(Skills!E11=TRUE,Inputs!$B$32,0))),0)</f>
        <v/>
      </c>
      <c r="R3131">
        <f>IF(AND(Inputs!$B$39&lt;&gt;"pvp",Inputs!$B$44&gt;0),IF(MAX(0,Inputs!$B$44-B3164)&lt;=0,0,(INT(MAX(0,Inputs!$B$44-B3164)/IF(Inputs!$B$39="pvp",15,MAX(0.1,Skills!D11-IF(Skills!E11=TRUE,Inputs!$B$32,0))))+1)),0)</f>
        <v/>
      </c>
      <c r="S3131">
        <f>IFERROR(O3131/N3131,0)</f>
        <v/>
      </c>
      <c r="T3131">
        <f>IF(C3131,(H3131*N3131*IF(AND(Inputs!$B$39&lt;&gt;"pvp",Inputs!$B$44&gt;0),((Skills!G11*((R3131-1)*IF(Skills!H11&gt;0,Skills!I11/Skills!H11,1)+IF(Skills!H11&gt;0,MIN(Skills!I11,MAX(0,MAX(0,Inputs!$B$44-B3164)-((R3131-1)*IF(Inputs!$B$39="pvp",15,MAX(0.1,Skills!D11-IF(Skills!E11=TRUE,Inputs!$B$32,0))))))/Skills!H11,1)))/Inputs!$B$44),G3131*Q3131))*IF(Inputs!$B$39="pvp",1,1+(Inputs!$B$20+0+Skills!P11+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3131*(1-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3131*(1-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1">
        <f>IF(C3131,(H3131*N3131*IF(AND(Inputs!$B$39&lt;&gt;"pvp",Inputs!$B$44&gt;0),((Skills!G11*((R3131-1)*IF(Skills!H11&gt;0,Skills!I11/Skills!H11,1)+IF(Skills!H11&gt;0,MIN(Skills!I11,MAX(0,MAX(0,Inputs!$B$44-B3164)-((R3131-1)*IF(Inputs!$B$39="pvp",15,MAX(0.1,Skills!D11-IF(Skills!E11=TRUE,Inputs!$B$32,0))))))/Skills!H11,1)))/Inputs!$B$44),G3131*Q3131))*IF(Inputs!$B$39="pvp",1,(1+(Inputs!$B$21+Skills!Q11+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11,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2">
      <c r="A3132">
        <f>Skills!A12</f>
        <v/>
      </c>
      <c r="B3132">
        <f>Skills!B12</f>
        <v/>
      </c>
      <c r="C3132">
        <f>Inputs!$B$3&gt;=105</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Skills!G12*IF(Skills!H12&gt;0,Skills!I12/Skills!H12,1)</f>
        <v/>
      </c>
      <c r="H3132">
        <f>1-(1-Skills!J12/100)^Skills!K12</f>
        <v/>
      </c>
      <c r="I3132" t="inlineStr">
        <is>
          <t>1</t>
        </is>
      </c>
      <c r="J3132">
        <f>((Inputs!$B$6*(1+Inputs!$B$7/100))+(((Inputs!$B$12*(1+Inputs!$B$13/100))-(Inputs!$B$12*(1+Inputs!$B$13/100)))+0.25*(Inputs!$B$14-Inputs!$B$14))*(1+Inputs!$B$7/100))*(F3132/100)</f>
        <v/>
      </c>
      <c r="K3132">
        <f>J3132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3132)</f>
        <v/>
      </c>
      <c r="L3132">
        <f>K3132*(MIN(Inputs!$B$22+((C3144=TRUE)*(F3144-Calc!F24)),(Inputs!$B$23+((C3149=TRUE)*(F3149-Calc!F29))+IF(ArtifactsInput!$M$15,CHOOSE(ArtifactsInput!$N$15+1,25,30,35,40,45,50)/100*(Inputs!$B$11-Inputs!$B$11),0)))/100+(Inputs!$B$23+((C3149=TRUE)*(F3149-Calc!F29))+IF(ArtifactsInput!$M$15,CHOOSE(ArtifactsInput!$N$15+1,25,30,35,40,45,50)/100*(Inputs!$B$11-Inputs!$B$11),0))/100)/2</f>
        <v/>
      </c>
      <c r="M3132">
        <f>L3132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2">
        <f>L3132*(1-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3132*(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2">
        <f>(1-Summary!$B$11)*T3132+Summary!$B$11*V3132</f>
        <v/>
      </c>
      <c r="P3132">
        <f>IF(B3165=0,0,O3132/B3165)</f>
        <v/>
      </c>
      <c r="Q3132">
        <f>IFERROR(1/IF(Inputs!$B$39="pvp",15,MAX(0.1,Skills!D12-IF(Skills!E12=TRUE,Inputs!$B$32,0))),0)</f>
        <v/>
      </c>
      <c r="R3132">
        <f>IF(AND(Inputs!$B$39&lt;&gt;"pvp",Inputs!$B$44&gt;0),IF(MAX(0,Inputs!$B$44-B3164)&lt;=0,0,(INT(MAX(0,Inputs!$B$44-B3164)/IF(Inputs!$B$39="pvp",15,MAX(0.1,Skills!D12-IF(Skills!E12=TRUE,Inputs!$B$32,0))))+1)),0)</f>
        <v/>
      </c>
      <c r="S3132">
        <f>IFERROR(O3132/N3132,0)</f>
        <v/>
      </c>
      <c r="T3132">
        <f>IF(C3132,(H3132*N3132*IF(AND(Inputs!$B$39&lt;&gt;"pvp",Inputs!$B$44&gt;0),((Skills!G12*((R3132-1)*IF(Skills!H12&gt;0,Skills!I12/Skills!H12,1)+IF(Skills!H12&gt;0,MIN(Skills!I12,MAX(0,MAX(0,Inputs!$B$44-B3164)-((R3132-1)*IF(Inputs!$B$39="pvp",15,MAX(0.1,Skills!D12-IF(Skills!E12=TRUE,Inputs!$B$32,0))))))/Skills!H12,1)))/Inputs!$B$44),G3132*Q3132))*IF(Inputs!$B$39="pvp",1,1+(Inputs!$B$20+0+Skills!P12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3132*(1-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3132*(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3132*(1-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3132*(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2">
        <f>IF(C3132,(H3132*N3132*IF(AND(Inputs!$B$39&lt;&gt;"pvp",Inputs!$B$44&gt;0),((Skills!G12*((R3132-1)*IF(Skills!H12&gt;0,Skills!I12/Skills!H12,1)+IF(Skills!H12&gt;0,MIN(Skills!I12,MAX(0,MAX(0,Inputs!$B$44-B3164)-((R3132-1)*IF(Inputs!$B$39="pvp",15,MAX(0.1,Skills!D12-IF(Skills!E12=TRUE,Inputs!$B$32,0))))))/Skills!H12,1)))/Inputs!$B$44),G3132*Q3132))*IF(Inputs!$B$39="pvp",1,(1+(Inputs!$B$21+Skills!Q12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Skills!G13*IF(Skills!H13&gt;0,Skills!I13/Skills!H13,1)</f>
        <v/>
      </c>
      <c r="H3133">
        <f>1-(1-Skills!J13/100)^Skills!K13</f>
        <v/>
      </c>
      <c r="I3133" t="inlineStr">
        <is>
          <t>1</t>
        </is>
      </c>
      <c r="J3133">
        <f>((Inputs!$B$6*(1+Inputs!$B$7/100))+(((Inputs!$B$12*(1+Inputs!$B$13/100))-(Inputs!$B$12*(1+Inputs!$B$13/100)))+0.25*(Inputs!$B$14-Inputs!$B$14))*(1+Inputs!$B$7/100))*(F3133/100)</f>
        <v/>
      </c>
      <c r="K3133">
        <f>J3133*(1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3133)</f>
        <v/>
      </c>
      <c r="L3133">
        <f>K3133*(MIN(Inputs!$B$22+((C3144=TRUE)*(F3144-Calc!F24)),(Inputs!$B$23+((C3149=TRUE)*(F3149-Calc!F29))+IF(ArtifactsInput!$M$15,CHOOSE(ArtifactsInput!$N$15+1,25,30,35,40,45,50)/100*(Inputs!$B$11-Inputs!$B$11),0)))/100+(Inputs!$B$23+((C3149=TRUE)*(F3149-Calc!F29))+IF(ArtifactsInput!$M$15,CHOOSE(ArtifactsInput!$N$15+1,25,30,35,40,45,50)/100*(Inputs!$B$11-Inputs!$B$11),0))/100)/2</f>
        <v/>
      </c>
      <c r="M3133">
        <f>L3133*(1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3">
        <f>L3133*(1-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3133*(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3">
        <f>(1-Summary!$B$11)*T3133+Summary!$B$11*V3133</f>
        <v/>
      </c>
      <c r="P3133">
        <f>IF(B3165=0,0,O3133/B3165)</f>
        <v/>
      </c>
      <c r="Q3133">
        <f>IFERROR(1/IF(Inputs!$B$39="pvp",15,MAX(0.1,Skills!D13-IF(Skills!E13=TRUE,Inputs!$B$32,0))),0)</f>
        <v/>
      </c>
      <c r="R3133">
        <f>IF(AND(Inputs!$B$39&lt;&gt;"pvp",Inputs!$B$44&gt;0),IF(MAX(0,Inputs!$B$44-B3164)&lt;=0,0,(INT(MAX(0,Inputs!$B$44-B3164)/IF(Inputs!$B$39="pvp",15,MAX(0.1,Skills!D13-IF(Skills!E13=TRUE,Inputs!$B$32,0))))+1)),0)</f>
        <v/>
      </c>
      <c r="S3133">
        <f>IFERROR(O3133/N3133,0)</f>
        <v/>
      </c>
      <c r="T3133">
        <f>IF(C3133,(H3133*N3133*IF(AND(Inputs!$B$39&lt;&gt;"pvp",Inputs!$B$44&gt;0),((Skills!G13*((R3133-1)*IF(Skills!H13&gt;0,Skills!I13/Skills!H13,1)+IF(Skills!H13&gt;0,MIN(Skills!I13,MAX(0,MAX(0,Inputs!$B$44-B3164)-((R3133-1)*IF(Inputs!$B$39="pvp",15,MAX(0.1,Skills!D13-IF(Skills!E13=TRUE,Inputs!$B$32,0))))))/Skills!H13,1)))/Inputs!$B$44),G3133*Q3133))*IF(Inputs!$B$39="pvp",1,1+(Inputs!$B$20+0+Skills!P13+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3133*(1-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3133*(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3133*(1-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3133*(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3">
        <f>IF(C3133,(H3133*N3133*IF(AND(Inputs!$B$39&lt;&gt;"pvp",Inputs!$B$44&gt;0),((Skills!G13*((R3133-1)*IF(Skills!H13&gt;0,Skills!I13/Skills!H13,1)+IF(Skills!H13&gt;0,MIN(Skills!I13,MAX(0,MAX(0,Inputs!$B$44-B3164)-((R3133-1)*IF(Inputs!$B$39="pvp",15,MAX(0.1,Skills!D13-IF(Skills!E13=TRUE,Inputs!$B$32,0))))))/Skills!H13,1)))/Inputs!$B$44),G3133*Q3133))*IF(Inputs!$B$39="pvp",1,(1+(Inputs!$B$21+Skills!Q13+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4">
      <c r="A3134">
        <f>Skills!A14</f>
        <v/>
      </c>
      <c r="B3134">
        <f>Skills!B14</f>
        <v/>
      </c>
      <c r="C3134">
        <f>Inputs!$B$3&gt;=107</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Skills!G14*IF(Skills!H14&gt;0,Skills!I14/Skills!H14,1)</f>
        <v/>
      </c>
      <c r="H3134">
        <f>1-(1-Skills!J14/100)^Skills!K14</f>
        <v/>
      </c>
      <c r="I3134" t="inlineStr">
        <is>
          <t>1</t>
        </is>
      </c>
      <c r="J3134">
        <f>((Inputs!$B$6*(1+Inputs!$B$7/100))+(((Inputs!$B$12*(1+Inputs!$B$13/100))-(Inputs!$B$12*(1+Inputs!$B$13/100)))+0.25*(Inputs!$B$14-Inputs!$B$14))*(1+Inputs!$B$7/100))*(F3134/100)</f>
        <v/>
      </c>
      <c r="K3134">
        <f>J3134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3134)</f>
        <v/>
      </c>
      <c r="L3134">
        <f>K3134*(MIN(Inputs!$B$22+((C3144=TRUE)*(F3144-Calc!F24)),(Inputs!$B$23+((C3149=TRUE)*(F3149-Calc!F29))+IF(ArtifactsInput!$M$15,CHOOSE(ArtifactsInput!$N$15+1,25,30,35,40,45,50)/100*(Inputs!$B$11-Inputs!$B$11),0)))/100+(Inputs!$B$23+((C3149=TRUE)*(F3149-Calc!F29))+IF(ArtifactsInput!$M$15,CHOOSE(ArtifactsInput!$N$15+1,25,30,35,40,45,50)/100*(Inputs!$B$11-Inputs!$B$11),0))/100)/2</f>
        <v/>
      </c>
      <c r="M3134">
        <f>L3134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4">
        <f>L3134*(1-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3134*(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4">
        <f>(1-Summary!$B$11)*T3134+Summary!$B$11*V3134</f>
        <v/>
      </c>
      <c r="P3134">
        <f>IF(B3165=0,0,O3134/B3165)</f>
        <v/>
      </c>
      <c r="Q3134">
        <f>IFERROR(1/IF(Inputs!$B$39="pvp",15,MAX(0.1,Skills!D14-IF(Skills!E14=TRUE,Inputs!$B$32,0))),0)</f>
        <v/>
      </c>
      <c r="R3134">
        <f>IF(AND(Inputs!$B$39&lt;&gt;"pvp",Inputs!$B$44&gt;0),IF(MAX(0,Inputs!$B$44-B3164)&lt;=0,0,(INT(MAX(0,Inputs!$B$44-B3164)/IF(Inputs!$B$39="pvp",15,MAX(0.1,Skills!D14-IF(Skills!E14=TRUE,Inputs!$B$32,0))))+1)),0)</f>
        <v/>
      </c>
      <c r="S3134">
        <f>IFERROR(O3134/N3134,0)</f>
        <v/>
      </c>
      <c r="T3134">
        <f>IF(C3134,(H3134*N3134*IF(AND(Inputs!$B$39&lt;&gt;"pvp",Inputs!$B$44&gt;0),((Skills!G14*((R3134-1)*IF(Skills!H14&gt;0,Skills!I14/Skills!H14,1)+IF(Skills!H14&gt;0,MIN(Skills!I14,MAX(0,MAX(0,Inputs!$B$44-B3164)-((R3134-1)*IF(Inputs!$B$39="pvp",15,MAX(0.1,Skills!D14-IF(Skills!E14=TRUE,Inputs!$B$32,0))))))/Skills!H14,1)))/Inputs!$B$44),G3134*Q3134))*IF(Inputs!$B$39="pvp",1,1+(Inputs!$B$20+0+Skills!P14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3134*(1-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3134*(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3134*(1-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3134*(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4">
        <f>IF(C3134,(H3134*N3134*IF(AND(Inputs!$B$39&lt;&gt;"pvp",Inputs!$B$44&gt;0),((Skills!G14*((R3134-1)*IF(Skills!H14&gt;0,Skills!I14/Skills!H14,1)+IF(Skills!H14&gt;0,MIN(Skills!I14,MAX(0,MAX(0,Inputs!$B$44-B3164)-((R3134-1)*IF(Inputs!$B$39="pvp",15,MAX(0.1,Skills!D14-IF(Skills!E14=TRUE,Inputs!$B$32,0))))))/Skills!H14,1)))/Inputs!$B$44),G3134*Q3134))*IF(Inputs!$B$39="pvp",1,(1+(Inputs!$B$21+Skills!Q14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(5,0.25*B3157*Skills!D4)*Skills!V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5">
      <c r="A3135">
        <f>Skills!A15</f>
        <v/>
      </c>
      <c r="B3135">
        <f>Skills!B15</f>
        <v/>
      </c>
      <c r="C3135">
        <f>Inputs!$B$3&gt;=110</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Skills!G15*IF(Skills!H15&gt;0,Skills!I15/Skills!H15,1)</f>
        <v/>
      </c>
      <c r="H3135">
        <f>1-(1-Skills!J15/100)^Skills!K15</f>
        <v/>
      </c>
      <c r="I3135" t="inlineStr">
        <is>
          <t>1</t>
        </is>
      </c>
      <c r="J3135" t="inlineStr"/>
      <c r="K3135" t="inlineStr"/>
      <c r="L3135" t="inlineStr"/>
      <c r="M3135" t="inlineStr"/>
      <c r="N3135" t="inlineStr"/>
      <c r="O3135">
        <f>(1-Summary!$B$11)*T3135+Summary!$B$11*V3135</f>
        <v/>
      </c>
      <c r="P3135">
        <f>IF(B3165=0,0,O3135/B3165)</f>
        <v/>
      </c>
      <c r="Q3135">
        <f>IFERROR(1/IF(Inputs!$B$39="pvp",15,MAX(0.1,Skills!D15-IF(Skills!E15=TRUE,Inputs!$B$32,0))),0)</f>
        <v/>
      </c>
      <c r="R3135">
        <f>IF(AND(Inputs!$B$39&lt;&gt;"pvp",Inputs!$B$44&gt;0),IF(Inputs!$B$44&lt;=0,0,(INT(Inputs!$B$44/IF(Inputs!$B$39="pvp",15,MAX(0.1,Skills!D15-IF(Skills!E15=TRUE,Inputs!$B$32,0))))+1)),0)</f>
        <v/>
      </c>
      <c r="S3135">
        <f>IFERROR(O3135/N3135,0)</f>
        <v/>
      </c>
      <c r="T3135" t="n">
        <v>0</v>
      </c>
      <c r="V3135" t="n">
        <v>0</v>
      </c>
    </row>
    <row r="3136">
      <c r="A3136">
        <f>Skills!A16</f>
        <v/>
      </c>
      <c r="B3136">
        <f>Skills!B16</f>
        <v/>
      </c>
      <c r="C3136">
        <f>Inputs!$B$3&gt;=115</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Skills!G16*IF(Skills!H16&gt;0,Skills!I16/Skills!H16,1)</f>
        <v/>
      </c>
      <c r="H3136">
        <f>1-(1-Skills!J16/100)^Skills!K16</f>
        <v/>
      </c>
      <c r="I3136" t="inlineStr">
        <is>
          <t>1</t>
        </is>
      </c>
      <c r="J3136">
        <f>((Inputs!$B$6*(1+Inputs!$B$7/100))+(((Inputs!$B$12*(1+Inputs!$B$13/100))-(Inputs!$B$12*(1+Inputs!$B$13/100)))+0.25*(Inputs!$B$14-Inputs!$B$14))*(1+Inputs!$B$7/100))*(F3136/100)</f>
        <v/>
      </c>
      <c r="K3136">
        <f>J3136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3147=TRUE)*(F3147-Calc!F27))+((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3136)</f>
        <v/>
      </c>
      <c r="L3136">
        <f>K3136*(MIN(Inputs!$B$22+((C3144=TRUE)*(F3144-Calc!F24)),(Inputs!$B$23+((C3149=TRUE)*(F3149-Calc!F29))+IF(ArtifactsInput!$M$15,CHOOSE(ArtifactsInput!$N$15+1,25,30,35,40,45,50)/100*(Inputs!$B$11-Inputs!$B$11),0)))/100+(Inputs!$B$23+((C3149=TRUE)*(F3149-Calc!F29))+IF(ArtifactsInput!$M$15,CHOOSE(ArtifactsInput!$N$15+1,25,30,35,40,45,50)/100*(Inputs!$B$11-Inputs!$B$11),0))/100)/2</f>
        <v/>
      </c>
      <c r="M3136">
        <f>L3136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6">
        <f>L3136*(1-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3136*(MIN((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6">
        <f>(1-Summary!$B$11)*T3136+Summary!$B$11*V3136</f>
        <v/>
      </c>
      <c r="P3136">
        <f>IF(B3165=0,0,O3136/B3165)</f>
        <v/>
      </c>
      <c r="Q3136" t="n">
        <v>0</v>
      </c>
      <c r="R3136" t="n">
        <v>0</v>
      </c>
      <c r="S3136">
        <f>IFERROR(O3136/N3136,0)</f>
        <v/>
      </c>
      <c r="T3136">
        <f>IF(C3136,(Inputs!$B$38*0.2*N3136)*IF(Inputs!$B$39="pvp",1,1+(Inputs!$B$20+0+Skills!P16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3136*(1-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3136*(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3136*(1-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3136*(MIN(100,(Inputs!$B$9+((C3145=TRUE)*(F3145-Calc!F25))+B3153+(ArtifactsInput!$M$24-ArtifactsInput!$M$24)*CHOOSE(ArtifactsInput!$N$24+1,10,12,14,16,18,20)+(IF(AND(Inputs!$B$39&lt;&gt;"pvp",Inputs!$B$44=0),1,IF(IF(Inputs!$B$39="pvp",15,Inputs!$B$44)-(B3164)&lt;=0,1,MAX(0,IF(Inputs!$B$39="pvp",15,Inputs!$B$44)-MAX(5,B3164))/(IF(Inputs!$B$39="pvp",15,Inputs!$B$44)-(B3164))))*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6">
        <f>IF(C3136,(Inputs!$B$38*0.2*N3136)*IF(Inputs!$B$39="pvp",1,(1+(Inputs!$B$21+Skills!Q16+B3154+(IF(ArtifactsInput!$M$33,CHOOSE(ArtifactsInput!$N$33+1,30,36,42,48,54,60),0))+(IF(AND(ArtifactsInput!$M$35,Inputs!$B$4&lt;&gt;"Chapter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7">
      <c r="A3137">
        <f>Skills!A17</f>
        <v/>
      </c>
      <c r="B3137">
        <f>Skills!B17</f>
        <v/>
      </c>
      <c r="C3137">
        <f>Inputs!$B$3&gt;=115</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Skills!G17*IF(Skills!H17&gt;0,Skills!I17/Skills!H17,1)</f>
        <v/>
      </c>
      <c r="H3137">
        <f>1-(1-Skills!J17/100)^Skills!K17</f>
        <v/>
      </c>
      <c r="I3137" t="inlineStr">
        <is>
          <t>1</t>
        </is>
      </c>
      <c r="J3137" t="inlineStr"/>
      <c r="K3137" t="inlineStr"/>
      <c r="L3137" t="inlineStr"/>
      <c r="M3137" t="inlineStr"/>
      <c r="N3137" t="inlineStr"/>
      <c r="O3137">
        <f>(1-Summary!$B$11)*T3137+Summary!$B$11*V3137</f>
        <v/>
      </c>
      <c r="P3137">
        <f>IF(B3165=0,0,O3137/B3165)</f>
        <v/>
      </c>
      <c r="Q3137" t="n">
        <v>0</v>
      </c>
      <c r="R3137" t="n">
        <v>0</v>
      </c>
      <c r="S3137">
        <f>IFERROR(O3137/N3137,0)</f>
        <v/>
      </c>
      <c r="T3137" t="n">
        <v>0</v>
      </c>
      <c r="V3137" t="n">
        <v>0</v>
      </c>
    </row>
    <row r="3138">
      <c r="A3138">
        <f>Skills!A18</f>
        <v/>
      </c>
      <c r="B3138">
        <f>Skills!B18</f>
        <v/>
      </c>
      <c r="C3138">
        <f>Inputs!$B$3&gt;=100</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Skills!G18*IF(Skills!H18&gt;0,Skills!I18/Skills!H18,1)</f>
        <v/>
      </c>
      <c r="H3138">
        <f>1-(1-Skills!J18/100)^Skills!K18</f>
        <v/>
      </c>
      <c r="I3138" t="inlineStr">
        <is>
          <t>1</t>
        </is>
      </c>
      <c r="J3138" t="inlineStr"/>
      <c r="K3138" t="inlineStr"/>
      <c r="L3138" t="inlineStr"/>
      <c r="M3138" t="inlineStr"/>
      <c r="N3138" t="inlineStr"/>
      <c r="O3138">
        <f>(1-Summary!$B$11)*T3138+Summary!$B$11*V3138</f>
        <v/>
      </c>
      <c r="P3138">
        <f>IF(B3165=0,0,O3138/B3165)</f>
        <v/>
      </c>
      <c r="Q3138" t="n">
        <v>0</v>
      </c>
      <c r="R3138" t="n">
        <v>0</v>
      </c>
      <c r="S3138">
        <f>IFERROR(O3138/N3138,0)</f>
        <v/>
      </c>
      <c r="T3138" t="n">
        <v>0</v>
      </c>
      <c r="V3138" t="n">
        <v>0</v>
      </c>
    </row>
    <row r="3139">
      <c r="A3139">
        <f>Skills!A19</f>
        <v/>
      </c>
      <c r="B3139">
        <f>Skills!B19</f>
        <v/>
      </c>
      <c r="C3139">
        <f>TRUE</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Skills!G19*IF(Skills!H19&gt;0,Skills!I19/Skills!H19,1)</f>
        <v/>
      </c>
      <c r="H3139">
        <f>1-(1-Skills!J19/100)^Skills!K19</f>
        <v/>
      </c>
      <c r="I3139" t="inlineStr">
        <is>
          <t>1</t>
        </is>
      </c>
      <c r="J3139" t="inlineStr"/>
      <c r="K3139" t="inlineStr"/>
      <c r="L3139" t="inlineStr"/>
      <c r="M3139" t="inlineStr"/>
      <c r="N3139" t="inlineStr"/>
      <c r="O3139">
        <f>(1-Summary!$B$11)*T3139+Summary!$B$11*V3139</f>
        <v/>
      </c>
      <c r="P3139">
        <f>IF(B3165=0,0,O3139/B3165)</f>
        <v/>
      </c>
      <c r="Q3139">
        <f>IFERROR(1/IF(Inputs!$B$39="pvp",15,MAX(0.1,Skills!D19-IF(Skills!E19=TRUE,Inputs!$B$32,0))),0)</f>
        <v/>
      </c>
      <c r="R3139">
        <f>IF(AND(Inputs!$B$39&lt;&gt;"pvp",Inputs!$B$44&gt;0),IF(Inputs!$B$44&lt;=0,0,(INT(Inputs!$B$44/IF(Inputs!$B$39="pvp",15,MAX(0.1,Skills!D19-IF(Skills!E19=TRUE,Inputs!$B$32,0))))+1)),0)</f>
        <v/>
      </c>
      <c r="S3139">
        <f>IFERROR(O3139/N3139,0)</f>
        <v/>
      </c>
      <c r="T3139" t="n">
        <v>0</v>
      </c>
      <c r="V3139" t="n">
        <v>0</v>
      </c>
    </row>
    <row r="3140">
      <c r="A3140">
        <f>Skills!A20</f>
        <v/>
      </c>
      <c r="B3140">
        <f>Skills!B20</f>
        <v/>
      </c>
      <c r="C3140">
        <f>Inputs!$B$3&gt;=15</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Skills!G20*IF(Skills!H20&gt;0,Skills!I20/Skills!H20,1)</f>
        <v/>
      </c>
      <c r="H3140">
        <f>1-(1-Skills!J20/100)^Skills!K20</f>
        <v/>
      </c>
      <c r="I3140" t="inlineStr">
        <is>
          <t>1</t>
        </is>
      </c>
      <c r="J3140" t="inlineStr"/>
      <c r="K3140" t="inlineStr"/>
      <c r="L3140" t="inlineStr"/>
      <c r="M3140" t="inlineStr"/>
      <c r="N3140" t="inlineStr"/>
      <c r="O3140">
        <f>(1-Summary!$B$11)*T3140+Summary!$B$11*V3140</f>
        <v/>
      </c>
      <c r="P3140">
        <f>IF(B3165=0,0,O3140/B3165)</f>
        <v/>
      </c>
      <c r="Q3140">
        <f>IFERROR(1/IF(Inputs!$B$39="pvp",15,MAX(0.1,Skills!D20-IF(Skills!E20=TRUE,Inputs!$B$32,0))),0)</f>
        <v/>
      </c>
      <c r="R3140">
        <f>IF(AND(Inputs!$B$39&lt;&gt;"pvp",Inputs!$B$44&gt;0),IF(Inputs!$B$44&lt;=0,0,(INT(Inputs!$B$44/IF(Inputs!$B$39="pvp",15,MAX(0.1,Skills!D20-IF(Skills!E20=TRUE,Inputs!$B$32,0))))+1)),0)</f>
        <v/>
      </c>
      <c r="S3140">
        <f>IFERROR(O3140/N3140,0)</f>
        <v/>
      </c>
      <c r="T3140" t="n">
        <v>0</v>
      </c>
      <c r="V3140" t="n">
        <v>0</v>
      </c>
    </row>
    <row r="3141">
      <c r="A3141">
        <f>Skills!A21</f>
        <v/>
      </c>
      <c r="B3141">
        <f>Skills!B21</f>
        <v/>
      </c>
      <c r="C3141">
        <f>Inputs!$B$3&gt;=15</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Skills!G21*IF(Skills!H21&gt;0,Skills!I21/Skills!H21,1)</f>
        <v/>
      </c>
      <c r="H3141">
        <f>1-(1-Skills!J21/100)^Skills!K21</f>
        <v/>
      </c>
      <c r="I3141" t="inlineStr">
        <is>
          <t>1</t>
        </is>
      </c>
      <c r="J3141" t="inlineStr"/>
      <c r="K3141" t="inlineStr"/>
      <c r="L3141" t="inlineStr"/>
      <c r="M3141" t="inlineStr"/>
      <c r="N3141" t="inlineStr"/>
      <c r="O3141">
        <f>(1-Summary!$B$11)*T3141+Summary!$B$11*V3141</f>
        <v/>
      </c>
      <c r="P3141">
        <f>IF(B3165=0,0,O3141/B3165)</f>
        <v/>
      </c>
      <c r="Q3141">
        <f>IFERROR(1/IF(Inputs!$B$39="pvp",15,MAX(0.1,Skills!D21-IF(Skills!E21=TRUE,Inputs!$B$32,0))),0)</f>
        <v/>
      </c>
      <c r="R3141">
        <f>IF(AND(Inputs!$B$39&lt;&gt;"pvp",Inputs!$B$44&gt;0),IF(Inputs!$B$44&lt;=0,0,(INT(Inputs!$B$44/IF(Inputs!$B$39="pvp",15,MAX(0.1,Skills!D21-IF(Skills!E21=TRUE,Inputs!$B$32,0))))+1)),0)</f>
        <v/>
      </c>
      <c r="S3141">
        <f>IFERROR(O3141/N3141,0)</f>
        <v/>
      </c>
      <c r="T3141" t="n">
        <v>0</v>
      </c>
      <c r="V3141" t="n">
        <v>0</v>
      </c>
    </row>
    <row r="3142">
      <c r="A3142">
        <f>Skills!A22</f>
        <v/>
      </c>
      <c r="B3142">
        <f>Skills!B22</f>
        <v/>
      </c>
      <c r="C3142">
        <f>Inputs!$B$3&gt;=33</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Skills!G22*IF(Skills!H22&gt;0,Skills!I22/Skills!H22,1)</f>
        <v/>
      </c>
      <c r="H3142">
        <f>1-(1-Skills!J22/100)^Skills!K22</f>
        <v/>
      </c>
      <c r="I3142" t="inlineStr">
        <is>
          <t>1</t>
        </is>
      </c>
      <c r="J3142" t="inlineStr"/>
      <c r="K3142" t="inlineStr"/>
      <c r="L3142" t="inlineStr"/>
      <c r="M3142" t="inlineStr"/>
      <c r="N3142" t="inlineStr"/>
      <c r="O3142">
        <f>(1-Summary!$B$11)*T3142+Summary!$B$11*V3142</f>
        <v/>
      </c>
      <c r="P3142">
        <f>IF(B3165=0,0,O3142/B3165)</f>
        <v/>
      </c>
      <c r="Q3142" t="n">
        <v>0</v>
      </c>
      <c r="R3142" t="n">
        <v>0</v>
      </c>
      <c r="S3142">
        <f>IFERROR(O3142/N3142,0)</f>
        <v/>
      </c>
      <c r="T3142" t="n">
        <v>0</v>
      </c>
      <c r="V3142" t="n">
        <v>0</v>
      </c>
    </row>
    <row r="3143">
      <c r="A3143">
        <f>Skills!A23</f>
        <v/>
      </c>
      <c r="B3143">
        <f>Skills!B23</f>
        <v/>
      </c>
      <c r="C3143">
        <f>Inputs!$B$3&gt;=40</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Skills!G23*IF(Skills!H23&gt;0,Skills!I23/Skills!H23,1)</f>
        <v/>
      </c>
      <c r="H3143">
        <f>1-(1-Skills!J23/100)^Skills!K23</f>
        <v/>
      </c>
      <c r="I3143" t="inlineStr">
        <is>
          <t>1</t>
        </is>
      </c>
      <c r="J3143" t="inlineStr"/>
      <c r="K3143" t="inlineStr"/>
      <c r="L3143" t="inlineStr"/>
      <c r="M3143" t="inlineStr"/>
      <c r="N3143" t="inlineStr"/>
      <c r="O3143">
        <f>(1-Summary!$B$11)*T3143+Summary!$B$11*V3143</f>
        <v/>
      </c>
      <c r="P3143">
        <f>IF(B3165=0,0,O3143/B3165)</f>
        <v/>
      </c>
      <c r="Q3143" t="n">
        <v>0</v>
      </c>
      <c r="R3143" t="n">
        <v>0</v>
      </c>
      <c r="S3143">
        <f>IFERROR(O3143/N3143,0)</f>
        <v/>
      </c>
      <c r="T3143" t="n">
        <v>0</v>
      </c>
      <c r="V3143" t="n">
        <v>0</v>
      </c>
    </row>
    <row r="3144">
      <c r="A3144">
        <f>Skills!A24</f>
        <v/>
      </c>
      <c r="B3144">
        <f>Skills!B24</f>
        <v/>
      </c>
      <c r="C3144">
        <f>Inputs!$B$3&gt;=43</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Skills!G24*IF(Skills!H24&gt;0,Skills!I24/Skills!H24,1)</f>
        <v/>
      </c>
      <c r="H3144">
        <f>1-(1-Skills!J24/100)^Skills!K24</f>
        <v/>
      </c>
      <c r="I3144" t="inlineStr">
        <is>
          <t>1</t>
        </is>
      </c>
      <c r="J3144" t="inlineStr"/>
      <c r="K3144" t="inlineStr"/>
      <c r="L3144" t="inlineStr"/>
      <c r="M3144" t="inlineStr"/>
      <c r="N3144" t="inlineStr"/>
      <c r="O3144">
        <f>(1-Summary!$B$11)*T3144+Summary!$B$11*V3144</f>
        <v/>
      </c>
      <c r="P3144">
        <f>IF(B3165=0,0,O3144/B3165)</f>
        <v/>
      </c>
      <c r="Q3144" t="n">
        <v>0</v>
      </c>
      <c r="R3144" t="n">
        <v>0</v>
      </c>
      <c r="S3144">
        <f>IFERROR(O3144/N3144,0)</f>
        <v/>
      </c>
      <c r="T3144" t="n">
        <v>0</v>
      </c>
      <c r="V3144" t="n">
        <v>0</v>
      </c>
    </row>
    <row r="3145">
      <c r="A3145">
        <f>Skills!A25</f>
        <v/>
      </c>
      <c r="B3145">
        <f>Skills!B25</f>
        <v/>
      </c>
      <c r="C3145">
        <f>Inputs!$B$3&gt;=50</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Skills!G25*IF(Skills!H25&gt;0,Skills!I25/Skills!H25,1)</f>
        <v/>
      </c>
      <c r="H3145">
        <f>1-(1-Skills!J25/100)^Skills!K25</f>
        <v/>
      </c>
      <c r="I3145" t="inlineStr">
        <is>
          <t>1</t>
        </is>
      </c>
      <c r="J3145" t="inlineStr"/>
      <c r="K3145" t="inlineStr"/>
      <c r="L3145" t="inlineStr"/>
      <c r="M3145" t="inlineStr"/>
      <c r="N3145" t="inlineStr"/>
      <c r="O3145">
        <f>(1-Summary!$B$11)*T3145+Summary!$B$11*V3145</f>
        <v/>
      </c>
      <c r="P3145">
        <f>IF(B3165=0,0,O3145/B3165)</f>
        <v/>
      </c>
      <c r="Q3145" t="n">
        <v>0</v>
      </c>
      <c r="R3145" t="n">
        <v>0</v>
      </c>
      <c r="S3145">
        <f>IFERROR(O3145/N3145,0)</f>
        <v/>
      </c>
      <c r="T3145" t="n">
        <v>0</v>
      </c>
      <c r="V3145" t="n">
        <v>0</v>
      </c>
    </row>
    <row r="3146">
      <c r="A3146">
        <f>Skills!A26</f>
        <v/>
      </c>
      <c r="B3146">
        <f>Skills!B26</f>
        <v/>
      </c>
      <c r="C3146">
        <f>Inputs!$B$3&gt;=50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Skills!G26*IF(Skills!H26&gt;0,Skills!I26/Skills!H26,1)</f>
        <v/>
      </c>
      <c r="H3146">
        <f>1-(1-Skills!J26/100)^Skills!K26</f>
        <v/>
      </c>
      <c r="I3146" t="inlineStr">
        <is>
          <t>1</t>
        </is>
      </c>
      <c r="J3146" t="inlineStr"/>
      <c r="K3146" t="inlineStr"/>
      <c r="L3146" t="inlineStr"/>
      <c r="M3146" t="inlineStr"/>
      <c r="N3146" t="inlineStr"/>
      <c r="O3146">
        <f>(1-Summary!$B$11)*T3146+Summary!$B$11*V3146</f>
        <v/>
      </c>
      <c r="P3146">
        <f>IF(B3165=0,0,O3146/B3165)</f>
        <v/>
      </c>
      <c r="Q3146" t="n">
        <v>0</v>
      </c>
      <c r="R3146" t="n">
        <v>0</v>
      </c>
      <c r="S3146">
        <f>IFERROR(O3146/N3146,0)</f>
        <v/>
      </c>
      <c r="T3146" t="n">
        <v>0</v>
      </c>
      <c r="V3146" t="n">
        <v>0</v>
      </c>
    </row>
    <row r="3147">
      <c r="A3147">
        <f>Skills!A27</f>
        <v/>
      </c>
      <c r="B3147">
        <f>Skills!B27</f>
        <v/>
      </c>
      <c r="C3147">
        <f>Inputs!$B$3&gt;=38</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Skills!G27*IF(Skills!H27&gt;0,Skills!I27/Skills!H27,1)</f>
        <v/>
      </c>
      <c r="H3147">
        <f>1-(1-Skills!J27/100)^Skills!K27</f>
        <v/>
      </c>
      <c r="I3147" t="inlineStr">
        <is>
          <t>1</t>
        </is>
      </c>
      <c r="J3147" t="inlineStr"/>
      <c r="K3147" t="inlineStr"/>
      <c r="L3147" t="inlineStr"/>
      <c r="M3147" t="inlineStr"/>
      <c r="N3147" t="inlineStr"/>
      <c r="O3147">
        <f>(1-Summary!$B$11)*T3147+Summary!$B$11*V3147</f>
        <v/>
      </c>
      <c r="P3147">
        <f>IF(B3165=0,0,O3147/B3165)</f>
        <v/>
      </c>
      <c r="Q3147" t="n">
        <v>0</v>
      </c>
      <c r="R3147" t="n">
        <v>0</v>
      </c>
      <c r="S3147">
        <f>IFERROR(O3147/N3147,0)</f>
        <v/>
      </c>
      <c r="T3147" t="n">
        <v>0</v>
      </c>
      <c r="V3147" t="n">
        <v>0</v>
      </c>
    </row>
    <row r="3148">
      <c r="A3148">
        <f>Skills!A28</f>
        <v/>
      </c>
      <c r="B3148">
        <f>Skills!B28</f>
        <v/>
      </c>
      <c r="C3148">
        <f>Inputs!$B$3&gt;=120</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Skills!G28*IF(Skills!H28&gt;0,Skills!I28/Skills!H28,1)</f>
        <v/>
      </c>
      <c r="H3148">
        <f>1-(1-Skills!J28/100)^Skills!K28</f>
        <v/>
      </c>
      <c r="I3148" t="inlineStr">
        <is>
          <t>1</t>
        </is>
      </c>
      <c r="J3148" t="inlineStr"/>
      <c r="K3148" t="inlineStr"/>
      <c r="L3148" t="inlineStr"/>
      <c r="M3148" t="inlineStr"/>
      <c r="N3148" t="inlineStr"/>
      <c r="O3148">
        <f>(1-Summary!$B$11)*T3148+Summary!$B$11*V3148</f>
        <v/>
      </c>
      <c r="P3148">
        <f>IF(B3165=0,0,O3148/B3165)</f>
        <v/>
      </c>
      <c r="Q3148" t="n">
        <v>0</v>
      </c>
      <c r="R3148" t="n">
        <v>0</v>
      </c>
      <c r="S3148">
        <f>IFERROR(O3148/N3148,0)</f>
        <v/>
      </c>
      <c r="T3148" t="n">
        <v>0</v>
      </c>
      <c r="V3148" t="n">
        <v>0</v>
      </c>
    </row>
    <row r="3149">
      <c r="A3149">
        <f>Skills!A29</f>
        <v/>
      </c>
      <c r="B3149">
        <f>Skills!B29</f>
        <v/>
      </c>
      <c r="C3149">
        <f>Inputs!$B$3&gt;=120</f>
        <v/>
      </c>
      <c r="D3149">
        <f>IF(Skills!C29=1,60+Inputs!$B$25+Inputs!$B$29,IF(Skills!C29=2,90+Inputs!$B$26+Inputs!$B$29,IF(Skills!C29=3,120+Inputs!$B$27+Inputs!$B$29,MAX(0,(Inputs!$B$3-100)*3)+Inputs!$B$28+Inputs!$B$29)))</f>
        <v/>
      </c>
      <c r="E3149">
        <f>INDEX(FactorTable!$B$2:$Y$301, MATCH(ROUND(MIN(300,MAX(1,D3149)),0), FactorTable!$A$2:$A$301,0), Skills!M29+1)</f>
        <v/>
      </c>
      <c r="F3149">
        <f>IF(Skills!N29=TRUE,(Skills!L29/10)*(E3149/1000),Skills!L29/10)+Skills!O29</f>
        <v/>
      </c>
      <c r="G3149">
        <f>Skills!G29*IF(Skills!H29&gt;0,Skills!I29/Skills!H29,1)</f>
        <v/>
      </c>
      <c r="H3149">
        <f>1-(1-Skills!J29/100)^Skills!K29</f>
        <v/>
      </c>
      <c r="I3149" t="inlineStr">
        <is>
          <t>1</t>
        </is>
      </c>
      <c r="J3149" t="inlineStr"/>
      <c r="K3149" t="inlineStr"/>
      <c r="L3149" t="inlineStr"/>
      <c r="M3149" t="inlineStr"/>
      <c r="N3149" t="inlineStr"/>
      <c r="O3149">
        <f>(1-Summary!$B$11)*T3149+Summary!$B$11*V3149</f>
        <v/>
      </c>
      <c r="P3149">
        <f>IF(B3165=0,0,O3149/B3165)</f>
        <v/>
      </c>
      <c r="Q3149" t="n">
        <v>0</v>
      </c>
      <c r="R3149" t="n">
        <v>0</v>
      </c>
      <c r="S3149">
        <f>IFERROR(O3149/N3149,0)</f>
        <v/>
      </c>
      <c r="T3149" t="n">
        <v>0</v>
      </c>
      <c r="V3149" t="n">
        <v>0</v>
      </c>
    </row>
    <row r="3150">
      <c r="A3150">
        <f>Skills!A30</f>
        <v/>
      </c>
      <c r="B3150">
        <f>Skills!B30</f>
        <v/>
      </c>
      <c r="C3150">
        <f>Inputs!$B$3&gt;=125</f>
        <v/>
      </c>
      <c r="D3150">
        <f>IF(Skills!C30=1,60+Inputs!$B$25+Inputs!$B$29,IF(Skills!C30=2,90+Inputs!$B$26+Inputs!$B$29,IF(Skills!C30=3,120+Inputs!$B$27+Inputs!$B$29,MAX(0,(Inputs!$B$3-100)*3)+Inputs!$B$28+Inputs!$B$29)))</f>
        <v/>
      </c>
      <c r="E3150">
        <f>INDEX(FactorTable!$B$2:$Y$301, MATCH(ROUND(MIN(300,MAX(1,D3150)),0), FactorTable!$A$2:$A$301,0), Skills!M30+1)</f>
        <v/>
      </c>
      <c r="F3150">
        <f>IF(Skills!N30=TRUE,(Skills!L30/10)*(E3150/1000),Skills!L30/10)+Skills!O30</f>
        <v/>
      </c>
      <c r="G3150">
        <f>Skills!G30*IF(Skills!H30&gt;0,Skills!I30/Skills!H30,1)</f>
        <v/>
      </c>
      <c r="H3150">
        <f>1-(1-Skills!J30/100)^Skills!K30</f>
        <v/>
      </c>
      <c r="I3150" t="inlineStr">
        <is>
          <t>1</t>
        </is>
      </c>
      <c r="J3150" t="inlineStr"/>
      <c r="K3150" t="inlineStr"/>
      <c r="L3150" t="inlineStr"/>
      <c r="M3150" t="inlineStr"/>
      <c r="N3150" t="inlineStr"/>
      <c r="O3150">
        <f>(1-Summary!$B$11)*T3150+Summary!$B$11*V3150</f>
        <v/>
      </c>
      <c r="P3150">
        <f>IF(B3165=0,0,O3150/B3165)</f>
        <v/>
      </c>
      <c r="Q3150" t="n">
        <v>0</v>
      </c>
      <c r="R3150" t="n">
        <v>0</v>
      </c>
      <c r="S3150">
        <f>IFERROR(O3150/N3150,0)</f>
        <v/>
      </c>
      <c r="T3150" t="n">
        <v>0</v>
      </c>
      <c r="V3150" t="n">
        <v>0</v>
      </c>
    </row>
    <row r="3152">
      <c r="A3152" t="inlineStr">
        <is>
          <t>Average Buff Multiplier</t>
        </is>
      </c>
      <c r="B3152">
        <f>(1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f>
        <v/>
      </c>
    </row>
    <row r="3153">
      <c r="A3153" t="inlineStr">
        <is>
          <t>Global Crit Rate Bonus %</t>
        </is>
      </c>
      <c r="B3153">
        <f>((C3140=TRUE)*F3140*IF(AND(Inputs!$B$39&lt;&gt;"pvp",Inputs!$B$44&gt;0),(((R3140-1)*(Skills!Y20*(1+Inputs!$B$34/100))+MIN((Skills!Y20*(1+Inputs!$B$34/100)),MAX(0,Inputs!$B$44-((R3140-1)*Skills!D20))))/Inputs!$B$44),IF(Inputs!$B$39="pvp",MIN((Skills!Y20*(1+Inputs!$B$34/100)),15)/15,(Skills!Y20*(1+Inputs!$B$34/100))/Skills!D20)))</f>
        <v/>
      </c>
    </row>
    <row r="3154">
      <c r="A3154" t="inlineStr">
        <is>
          <t>Global Monster Damage-Taken Bonus %</t>
        </is>
      </c>
      <c r="B3154">
        <f>IF(Inputs!$B$3&gt;=82,15,0)</f>
        <v/>
      </c>
    </row>
    <row r="3155">
      <c r="A3155" t="inlineStr">
        <is>
          <t>Shadow Partner Average Multiplier</t>
        </is>
      </c>
      <c r="B3155">
        <f>1+((C3127=TRUE)*F3127*(1+3.3333333333333335*IF(C3138=TRUE,F3138,0)/100)*I3127*Skills!J7/100)/100</f>
        <v/>
      </c>
    </row>
    <row r="3156">
      <c r="A3156" t="inlineStr">
        <is>
          <t>Attack Speed Buff Bonus %</t>
        </is>
      </c>
      <c r="B3156">
        <f>((C3139=TRUE)*F3139*IF(AND(Inputs!$B$39&lt;&gt;"pvp",Inputs!$B$44&gt;0),(((R3139-1)*(Skills!Y19*(1+Inputs!$B$34/100))+MIN((Skills!Y19*(1+Inputs!$B$34/100)),MAX(0,Inputs!$B$44-((R3139-1)*Skills!D19))))/Inputs!$B$44),IF(Inputs!$B$39="pvp",MIN((Skills!Y19*(1+Inputs!$B$34/100)),15)/15,(Skills!Y19*(1+Inputs!$B$34/100))/Skills!D19)))+((C3123=TRUE)*F3123*3)</f>
        <v/>
      </c>
    </row>
    <row r="3157">
      <c r="A3157" t="inlineStr">
        <is>
          <t>Actions Per Second</t>
        </is>
      </c>
      <c r="B3157">
        <f>1+MIN(150,150*(1-(1-(Inputs!$B$11+((C3142=TRUE)*(F3142-Calc!F22)))/150)*(1-B3156/150)))/100</f>
        <v/>
      </c>
    </row>
    <row r="3158">
      <c r="A3158" t="inlineStr">
        <is>
          <t>Skill + Buff Cast Rate</t>
        </is>
      </c>
      <c r="B3158">
        <f>IF(AND(Inputs!$B$39&lt;&gt;"pvp",Inputs!$B$44&gt;0),SUMPRODUCT((Skills!E2:E30=TRUE)*(C3122:C3150=TRUE)*R3122:R3150*Skills!F2:F30)/Inputs!$B$44,SUMPRODUCT((Skills!E2:E30=TRUE)*(C3122:C3150=TRUE)*Q3122:Q3150*Skills!F2:F30))</f>
        <v/>
      </c>
    </row>
    <row r="3159">
      <c r="A3159" t="inlineStr">
        <is>
          <t>Cruel Stab Casts Per Second</t>
        </is>
      </c>
      <c r="B3159">
        <f>MAX(0,B3157-B3158)</f>
        <v/>
      </c>
    </row>
    <row r="3160">
      <c r="A3160" t="inlineStr">
        <is>
          <t>Global Critical Damage Bonus % (Smokescreen Mastery Lv.113)</t>
        </is>
      </c>
      <c r="B3160">
        <f>IF(Inputs!$B$3&gt;=113,30,0)*IF(AND(Inputs!$B$39&lt;&gt;"pvp",Inputs!$B$44&gt;0),(((R3135-1)*(Skills!Y15*(1+Inputs!$B$34/100))+MIN((Skills!Y15*(1+Inputs!$B$34/100)),MAX(0,Inputs!$B$44-((R3135-1)*Skills!D15))))/Inputs!$B$44),IF(Inputs!$B$39="pvp",MIN((Skills!Y15*(1+Inputs!$B$34/100)),15)/15,(Skills!Y15*(1+Inputs!$B$34/100))/Skills!D15))</f>
        <v/>
      </c>
    </row>
    <row r="3161">
      <c r="A3161" t="inlineStr">
        <is>
          <t>Meso Explosion average stack count</t>
        </is>
      </c>
      <c r="B3161">
        <f>MIN(10,0.5*B3157*Skills!D4)</f>
        <v/>
      </c>
    </row>
    <row r="3162">
      <c r="A3162" t="inlineStr">
        <is>
          <t>Blood Money average stack count</t>
        </is>
      </c>
      <c r="B3162">
        <f>MIN(5,0.25*B3157*Skills!D4)</f>
        <v/>
      </c>
    </row>
    <row r="3163">
      <c r="A3163" t="inlineStr">
        <is>
          <t>Assassinate Murderous Intent Multiplier</t>
        </is>
      </c>
      <c r="B3163">
        <f>1+IFERROR(MIN(1,Q3134*2/Q3131),0)</f>
        <v/>
      </c>
    </row>
    <row r="3164">
      <c r="A3164" t="inlineStr">
        <is>
          <t>Buff-Casting Startup Delay (s, fixed-duration only)</t>
        </is>
      </c>
      <c r="B3164">
        <f>IF(AND(Inputs!$B$39&lt;&gt;"pvp",Inputs!$B$44&gt;0),SUMPRODUCT((Skills!Y2:Y30&gt;0)*(Skills!E2:E30=TRUE)*(C3122:C3150=TRUE))/B3157,0)</f>
        <v/>
      </c>
    </row>
    <row r="3165">
      <c r="A3165" s="6" t="inlineStr">
        <is>
          <t>TOTAL DPS</t>
        </is>
      </c>
      <c r="B3165" s="6">
        <f>SUM(O3122:O3150)</f>
        <v/>
      </c>
    </row>
    <row r="3166">
      <c r="A3166" t="inlineStr">
        <is>
          <t>Boss-Only Total DPS (this block's swept value)</t>
        </is>
      </c>
      <c r="B3166">
        <f>SUM(T3122:T3150)</f>
        <v/>
      </c>
    </row>
    <row r="3167">
      <c r="A3167" t="inlineStr">
        <is>
          <t>Normal-Only Total DPS (this block's swept value)</t>
        </is>
      </c>
      <c r="B3167">
        <f>SUM(V3122:V3150)</f>
        <v/>
      </c>
    </row>
    <row r="3170">
      <c r="A3170" s="6" t="inlineStr">
        <is>
          <t>Stat: Ring of Cycles (Equip)</t>
        </is>
      </c>
    </row>
    <row r="3171">
      <c r="A3171" s="5" t="inlineStr">
        <is>
          <t>Key</t>
        </is>
      </c>
      <c r="B3171" s="5" t="inlineStr">
        <is>
          <t>Name</t>
        </is>
      </c>
      <c r="C3171" s="5" t="inlineStr">
        <is>
          <t>Unlocked</t>
        </is>
      </c>
      <c r="D3171" s="5" t="inlineStr">
        <is>
          <t>InputLevel</t>
        </is>
      </c>
      <c r="E3171" s="5" t="inlineStr">
        <is>
          <t>Factor</t>
        </is>
      </c>
      <c r="F3171" s="5" t="inlineStr">
        <is>
          <t>CoefficientPercent</t>
        </is>
      </c>
      <c r="G3171" s="5" t="inlineStr">
        <is>
          <t>EffectiveHits</t>
        </is>
      </c>
      <c r="H3171" s="5" t="inlineStr">
        <is>
          <t>ProcProbability</t>
        </is>
      </c>
      <c r="I3171" s="5" t="inlineStr">
        <is>
          <t>MapleHeroMultiplier</t>
        </is>
      </c>
      <c r="J3171" s="5" t="inlineStr">
        <is>
          <t>BaseDamage</t>
        </is>
      </c>
      <c r="K3171" s="5" t="inlineStr">
        <is>
          <t>BaseHitDamage</t>
        </is>
      </c>
      <c r="L3171" s="5" t="inlineStr">
        <is>
          <t>NonCritAvg</t>
        </is>
      </c>
      <c r="M3171" s="5" t="inlineStr">
        <is>
          <t>CritAvg</t>
        </is>
      </c>
      <c r="N3171" s="5" t="inlineStr">
        <is>
          <t>ExpectedDamage(perHit)</t>
        </is>
      </c>
      <c r="O3171" s="5" t="inlineStr">
        <is>
          <t>DPS</t>
        </is>
      </c>
      <c r="P3171" s="5" t="inlineStr">
        <is>
          <t>% of Total</t>
        </is>
      </c>
      <c r="Q3171" s="5" t="inlineStr">
        <is>
          <t>InvCooldown</t>
        </is>
      </c>
      <c r="R3171" s="5" t="inlineStr">
        <is>
          <t>CastsInFight</t>
        </is>
      </c>
      <c r="S3171" s="5" t="inlineStr">
        <is>
          <t>HitRate(perSec)</t>
        </is>
      </c>
      <c r="U3171" t="inlineStr">
        <is>
          <t>helpers</t>
        </is>
      </c>
    </row>
    <row r="3172">
      <c r="A3172">
        <f>Skills!A2</f>
        <v/>
      </c>
      <c r="B3172">
        <f>Skills!B2</f>
        <v/>
      </c>
      <c r="C3172">
        <f>Inputs!$B$3&gt;=100</f>
        <v/>
      </c>
      <c r="D3172" t="inlineStr"/>
      <c r="E3172" t="inlineStr"/>
      <c r="F3172">
        <f>U3174+Skills!O2</f>
        <v/>
      </c>
      <c r="G3172">
        <f>Skills!G2*IF(Skills!H2&gt;0,Skills!I2/Skills!H2,1)</f>
        <v/>
      </c>
      <c r="H3172">
        <f>1-(1-Skills!J2/100)^Skills!K2</f>
        <v/>
      </c>
      <c r="I3172" t="inlineStr">
        <is>
          <t>1</t>
        </is>
      </c>
      <c r="J3172">
        <f>((Inputs!$B$6*(1+Inputs!$B$7/100))+(((Inputs!$B$12*(1+Inputs!$B$13/100))-(Inputs!$B$12*(1+Inputs!$B$13/100)))+0.25*(Inputs!$B$14-Inputs!$B$14))*(1+Inputs!$B$7/100))*(F3172/100)</f>
        <v/>
      </c>
      <c r="K3172">
        <f>J3172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3172)</f>
        <v/>
      </c>
      <c r="L3172">
        <f>K3172*(MIN(Inputs!$B$22+((C3194=TRUE)*(F3194-Calc!F24)),(Inputs!$B$23+((C3199=TRUE)*(F3199-Calc!F29))+IF(ArtifactsInput!$M$15,CHOOSE(ArtifactsInput!$N$15+1,25,30,35,40,45,50)/100*(Inputs!$B$11-Inputs!$B$11),0)))/100+(Inputs!$B$23+((C3199=TRUE)*(F3199-Calc!F29))+IF(ArtifactsInput!$M$15,CHOOSE(ArtifactsInput!$N$15+1,25,30,35,40,45,50)/100*(Inputs!$B$11-Inputs!$B$11),0))/100)/2</f>
        <v/>
      </c>
      <c r="M3172">
        <f>L3172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2">
        <f>L3172*(1-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3172*(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2">
        <f>(1-Summary!$B$11)*T3172+Summary!$B$11*V3172</f>
        <v/>
      </c>
      <c r="P3172">
        <f>IF(B3215=0,0,O3172/B3215)</f>
        <v/>
      </c>
      <c r="Q3172" t="n">
        <v>0</v>
      </c>
      <c r="R3172" t="n">
        <v>0</v>
      </c>
      <c r="S3172">
        <f>IFERROR(O3172/N3172,0)</f>
        <v/>
      </c>
      <c r="T3172">
        <f>IF(C3172,(Skills!G2*N3172*B3209)*IF(Inputs!$B$39="pvp",1,1+(Inputs!$B$20+0+Skills!P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3172*(1-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3172*(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3172*(1-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3172*(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2">
        <f>MAX(0,(Inputs!$B$3-100)*3)+Inputs!$B$28+Inputs!$B$29</f>
        <v/>
      </c>
      <c r="V3172">
        <f>IF(C3172,(Skills!G2*N3172*B3209)*IF(Inputs!$B$39="pvp",1,(1+(Inputs!$B$21+Skills!Q2+B3204+(IF(ArtifactsInput!$M$33,CHOOSE(ArtifactsInput!$N$33+1,30,36,42,48,54,60),0))+(IF(AND(ArtifactsInput!$M$35,Inputs!$B$4&lt;&gt;"Chapter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3">
      <c r="A3173">
        <f>Skills!A3</f>
        <v/>
      </c>
      <c r="B3173">
        <f>Skills!B3</f>
        <v/>
      </c>
      <c r="C3173">
        <f>Inputs!$B$3&gt;=35</f>
        <v/>
      </c>
      <c r="D3173">
        <f>IF(Skills!C3=1,60+Inputs!$B$25+Inputs!$B$29,IF(Skills!C3=2,90+Inputs!$B$26+Inputs!$B$29,IF(Skills!C3=3,120+Inputs!$B$27+Inputs!$B$29,MAX(0,(Inputs!$B$3-100)*3)+Inputs!$B$28+Inputs!$B$29)))</f>
        <v/>
      </c>
      <c r="E3173">
        <f>INDEX(FactorTable!$B$2:$Y$301, MATCH(ROUND(MIN(300,MAX(1,D3173)),0), FactorTable!$A$2:$A$301,0), Skills!M3+1)</f>
        <v/>
      </c>
      <c r="F3173">
        <f>IF(Skills!N3=TRUE,(Skills!L3/10)*(E3173/1000),Skills!L3/10)+Skills!O3</f>
        <v/>
      </c>
      <c r="G3173">
        <f>Skills!G3*IF(Skills!H3&gt;0,Skills!I3/Skills!H3,1)</f>
        <v/>
      </c>
      <c r="H3173">
        <f>1-(1-Skills!J3/100)^Skills!K3</f>
        <v/>
      </c>
      <c r="I3173" t="inlineStr">
        <is>
          <t>1</t>
        </is>
      </c>
      <c r="J3173" t="inlineStr"/>
      <c r="K3173" t="inlineStr"/>
      <c r="L3173" t="inlineStr"/>
      <c r="M3173" t="inlineStr"/>
      <c r="N3173" t="inlineStr"/>
      <c r="O3173">
        <f>(1-Summary!$B$11)*T3173+Summary!$B$11*V3173</f>
        <v/>
      </c>
      <c r="P3173">
        <f>IF(B3215=0,0,O3173/B3215)</f>
        <v/>
      </c>
      <c r="Q3173" t="n">
        <v>0</v>
      </c>
      <c r="R3173" t="n">
        <v>0</v>
      </c>
      <c r="S3173">
        <f>IFERROR(O3173/N3173,0)</f>
        <v/>
      </c>
      <c r="T3173" t="n">
        <v>0</v>
      </c>
      <c r="U3173">
        <f>INDEX(FactorTable!$B$2:$Y$301, MATCH(ROUND(MIN(300,MAX(1,U3172)),0), FactorTable!$A$2:$A$301,0), 22)</f>
        <v/>
      </c>
      <c r="V3173" t="n">
        <v>0</v>
      </c>
    </row>
    <row r="3174">
      <c r="A3174">
        <f>Skills!A4</f>
        <v/>
      </c>
      <c r="B3174">
        <f>Skills!B4</f>
        <v/>
      </c>
      <c r="C3174">
        <f>Inputs!$B$3&gt;=66</f>
        <v/>
      </c>
      <c r="D3174">
        <f>IF(Skills!C4=1,60+Inputs!$B$25+Inputs!$B$29,IF(Skills!C4=2,90+Inputs!$B$26+Inputs!$B$29,IF(Skills!C4=3,120+Inputs!$B$27+Inputs!$B$29,MAX(0,(Inputs!$B$3-100)*3)+Inputs!$B$28+Inputs!$B$29)))</f>
        <v/>
      </c>
      <c r="E3174">
        <f>INDEX(FactorTable!$B$2:$Y$301, MATCH(ROUND(MIN(300,MAX(1,D3174)),0), FactorTable!$A$2:$A$301,0), Skills!M4+1)</f>
        <v/>
      </c>
      <c r="F3174">
        <f>IF(Skills!N4=TRUE,(Skills!L4/10)*(E3174/1000),Skills!L4/10)+Skills!O4</f>
        <v/>
      </c>
      <c r="G3174">
        <f>Skills!G4*IF(Skills!H4&gt;0,Skills!I4/Skills!H4,1)</f>
        <v/>
      </c>
      <c r="H3174">
        <f>1-(1-Skills!J4/100)^Skills!K4</f>
        <v/>
      </c>
      <c r="I3174" t="inlineStr">
        <is>
          <t>1</t>
        </is>
      </c>
      <c r="J3174">
        <f>((Inputs!$B$6*(1+Inputs!$B$7/100))+(((Inputs!$B$12*(1+Inputs!$B$13/100))-(Inputs!$B$12*(1+Inputs!$B$13/100)))+0.25*(Inputs!$B$14-Inputs!$B$14))*(1+Inputs!$B$7/100))*(F3174/100)</f>
        <v/>
      </c>
      <c r="K3174">
        <f>J3174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3174)</f>
        <v/>
      </c>
      <c r="L3174">
        <f>K3174*(MIN(Inputs!$B$22+((C3194=TRUE)*(F3194-Calc!F24)),(Inputs!$B$23+((C3199=TRUE)*(F3199-Calc!F29))+IF(ArtifactsInput!$M$15,CHOOSE(ArtifactsInput!$N$15+1,25,30,35,40,45,50)/100*(Inputs!$B$11-Inputs!$B$11),0)))/100+(Inputs!$B$23+((C3199=TRUE)*(F3199-Calc!F29))+IF(ArtifactsInput!$M$15,CHOOSE(ArtifactsInput!$N$15+1,25,30,35,40,45,50)/100*(Inputs!$B$11-Inputs!$B$11),0))/100)/2</f>
        <v/>
      </c>
      <c r="M3174">
        <f>L3174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4">
        <f>L3174*(1-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3174*(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4">
        <f>(1-Summary!$B$11)*T3174+Summary!$B$11*V3174</f>
        <v/>
      </c>
      <c r="P3174">
        <f>IF(B3215=0,0,O3174/B3215)</f>
        <v/>
      </c>
      <c r="Q3174">
        <f>IFERROR(1/IF(Inputs!$B$39="pvp",15,MAX(0.1,Skills!D4-IF(Skills!E4=TRUE,Inputs!$B$32,0))),0)</f>
        <v/>
      </c>
      <c r="R3174">
        <f>IF(AND(Inputs!$B$39&lt;&gt;"pvp",Inputs!$B$44&gt;0),IF(MAX(0,Inputs!$B$44-B3214)&lt;=0,0,(INT(MAX(0,Inputs!$B$44-B3214)/IF(Inputs!$B$39="pvp",15,MAX(0.1,Skills!D4-IF(Skills!E4=TRUE,Inputs!$B$32,0))))+1)),0)</f>
        <v/>
      </c>
      <c r="S3174">
        <f>IFERROR(O3174/N3174,0)</f>
        <v/>
      </c>
      <c r="T3174">
        <f>IF(C3174,(H3174*N3174*IF(AND(Inputs!$B$39&lt;&gt;"pvp",Inputs!$B$44&gt;0),((Skills!G4*((R3174-1)*IF(Skills!H4&gt;0,Skills!I4/Skills!H4,1)+IF(Skills!H4&gt;0,MIN(Skills!I4,MAX(0,MAX(0,Inputs!$B$44-B3214)-((R3174-1)*IF(Inputs!$B$39="pvp",15,MAX(0.1,Skills!D4-IF(Skills!E4=TRUE,Inputs!$B$32,0))))))/Skills!H4,1)))/Inputs!$B$44),G3174*Q3174))*IF(Inputs!$B$39="pvp",1,1+(Inputs!$B$20+0+Skills!P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3174*(1-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3174*(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3174*(1-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3174*(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4">
        <f>290*U3173/1000</f>
        <v/>
      </c>
      <c r="V3174">
        <f>IF(C3174,(H3174*N3174*IF(AND(Inputs!$B$39&lt;&gt;"pvp",Inputs!$B$44&gt;0),((Skills!G4*((R3174-1)*IF(Skills!H4&gt;0,Skills!I4/Skills!H4,1)+IF(Skills!H4&gt;0,MIN(Skills!I4,MAX(0,MAX(0,Inputs!$B$44-B3214)-((R3174-1)*IF(Inputs!$B$39="pvp",15,MAX(0.1,Skills!D4-IF(Skills!E4=TRUE,Inputs!$B$32,0))))))/Skills!H4,1)))/Inputs!$B$44),G3174*Q3174))*IF(Inputs!$B$39="pvp",1,(1+(Inputs!$B$21+Skills!Q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(10,0.5*B3207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5">
      <c r="A3175">
        <f>Skills!A5</f>
        <v/>
      </c>
      <c r="B3175">
        <f>Skills!B5</f>
        <v/>
      </c>
      <c r="C3175">
        <f>Inputs!$B$3&gt;=63</f>
        <v/>
      </c>
      <c r="D3175">
        <f>IF(Skills!C5=1,60+Inputs!$B$25+Inputs!$B$29,IF(Skills!C5=2,90+Inputs!$B$26+Inputs!$B$29,IF(Skills!C5=3,120+Inputs!$B$27+Inputs!$B$29,MAX(0,(Inputs!$B$3-100)*3)+Inputs!$B$28+Inputs!$B$29)))</f>
        <v/>
      </c>
      <c r="E3175">
        <f>INDEX(FactorTable!$B$2:$Y$301, MATCH(ROUND(MIN(300,MAX(1,D3175)),0), FactorTable!$A$2:$A$301,0), Skills!M5+1)</f>
        <v/>
      </c>
      <c r="F3175">
        <f>IF(Skills!N5=TRUE,(Skills!L5/10)*(E3175/1000),Skills!L5/10)+Skills!O5</f>
        <v/>
      </c>
      <c r="G3175">
        <f>Skills!G5*IF(Skills!H5&gt;0,Skills!I5/Skills!H5,1)</f>
        <v/>
      </c>
      <c r="H3175">
        <f>1-(1-Skills!J5/100)^Skills!K5</f>
        <v/>
      </c>
      <c r="I3175" t="inlineStr">
        <is>
          <t>1</t>
        </is>
      </c>
      <c r="J3175">
        <f>((Inputs!$B$6*(1+Inputs!$B$7/100))+(((Inputs!$B$12*(1+Inputs!$B$13/100))-(Inputs!$B$12*(1+Inputs!$B$13/100)))+0.25*(Inputs!$B$14-Inputs!$B$14))*(1+Inputs!$B$7/100))*(F3175/100)</f>
        <v/>
      </c>
      <c r="K3175">
        <f>J3175*(1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3188=TRUE,F3188,0)/100)*(1+(IF(Skills!A5="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3175)</f>
        <v/>
      </c>
      <c r="L3175">
        <f>K3175*(MIN(Inputs!$B$22+((C3194=TRUE)*(F3194-Calc!F24)),(Inputs!$B$23+((C3199=TRUE)*(F3199-Calc!F29))+IF(ArtifactsInput!$M$15,CHOOSE(ArtifactsInput!$N$15+1,25,30,35,40,45,50)/100*(Inputs!$B$11-Inputs!$B$11),0)))/100+(Inputs!$B$23+((C3199=TRUE)*(F3199-Calc!F29))+IF(ArtifactsInput!$M$15,CHOOSE(ArtifactsInput!$N$15+1,25,30,35,40,45,50)/100*(Inputs!$B$11-Inputs!$B$11),0))/100)/2</f>
        <v/>
      </c>
      <c r="M3175">
        <f>L3175*(1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IF(B3215=0,0,O3175/B3215)</f>
        <v/>
      </c>
      <c r="Q3175">
        <f>IFERROR(1/IF(Inputs!$B$39="pvp",15,MAX(0.1,Skills!D5-IF(Skills!E5=TRUE,Inputs!$B$32,0))),0)</f>
        <v/>
      </c>
      <c r="R3175">
        <f>IF(AND(Inputs!$B$39&lt;&gt;"pvp",Inputs!$B$44&gt;0),IF(MAX(0,Inputs!$B$44-B3214)&lt;=0,0,(INT(MAX(0,Inputs!$B$44-B3214)/IF(Inputs!$B$39="pvp",15,MAX(0.1,Skills!D5-IF(Skills!E5=TRUE,Inputs!$B$32,0))))+1)),0)</f>
        <v/>
      </c>
      <c r="S3175">
        <f>IFERROR(O3175/N3175,0)</f>
        <v/>
      </c>
      <c r="T3175">
        <f>IF(C3175,(H3175*N3175*IF(AND(Inputs!$B$39&lt;&gt;"pvp",Inputs!$B$44&gt;0),((Skills!G5*((R3175-1)*IF(Skills!H5&gt;0,Skills!I5/Skills!H5,1)+IF(Skills!H5&gt;0,MIN(Skills!I5,MAX(0,MAX(0,Inputs!$B$44-B3214)-((R3175-1)*IF(Inputs!$B$39="pvp",15,MAX(0.1,Skills!D5-IF(Skills!E5=TRUE,Inputs!$B$32,0))))))/Skills!H5,1)))/Inputs!$B$44),G3175*Q3175))*IF(Inputs!$B$39="pvp",1,1+(Inputs!$B$20+0+Skills!P5+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3175*(1-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5">
        <f>IF(C3175,(H3175*N3175*IF(AND(Inputs!$B$39&lt;&gt;"pvp",Inputs!$B$44&gt;0),((Skills!G5*((R3175-1)*IF(Skills!H5&gt;0,Skills!I5/Skills!H5,1)+IF(Skills!H5&gt;0,MIN(Skills!I5,MAX(0,MAX(0,Inputs!$B$44-B3214)-((R3175-1)*IF(Inputs!$B$39="pvp",15,MAX(0.1,Skills!D5-IF(Skills!E5=TRUE,Inputs!$B$32,0))))))/Skills!H5,1)))/Inputs!$B$44),G3175*Q3175))*IF(Inputs!$B$39="pvp",1,(1+(Inputs!$B$21+Skills!Q5+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Skills!A6</f>
        <v/>
      </c>
      <c r="B3176">
        <f>Skills!B6</f>
        <v/>
      </c>
      <c r="C3176">
        <f>Inputs!$B$3&gt;=69</f>
        <v/>
      </c>
      <c r="D3176">
        <f>IF(Skills!C6=1,60+Inputs!$B$25+Inputs!$B$29,IF(Skills!C6=2,90+Inputs!$B$26+Inputs!$B$29,IF(Skills!C6=3,120+Inputs!$B$27+Inputs!$B$29,MAX(0,(Inputs!$B$3-100)*3)+Inputs!$B$28+Inputs!$B$29)))</f>
        <v/>
      </c>
      <c r="E3176">
        <f>INDEX(FactorTable!$B$2:$Y$301, MATCH(ROUND(MIN(300,MAX(1,D3176)),0), FactorTable!$A$2:$A$301,0), Skills!M6+1)</f>
        <v/>
      </c>
      <c r="F3176">
        <f>IF(Skills!N6=TRUE,(Skills!L6/10)*(E3176/1000),Skills!L6/10)+Skills!O6</f>
        <v/>
      </c>
      <c r="G3176">
        <f>Skills!G6*IF(Skills!H6&gt;0,Skills!I6/Skills!H6,1)</f>
        <v/>
      </c>
      <c r="H3176">
        <f>1-(1-Skills!J6/100)^Skills!K6</f>
        <v/>
      </c>
      <c r="I3176" t="inlineStr">
        <is>
          <t>1</t>
        </is>
      </c>
      <c r="J3176">
        <f>((Inputs!$B$6*(1+Inputs!$B$7/100))+(((Inputs!$B$12*(1+Inputs!$B$13/100))-(Inputs!$B$12*(1+Inputs!$B$13/100)))+0.25*(Inputs!$B$14-Inputs!$B$14))*(1+Inputs!$B$7/100))*(F3176/100)</f>
        <v/>
      </c>
      <c r="K3176">
        <f>J3176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3188=TRUE,F3188,0)/100)*(1+(IF(Skills!A6="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3176)</f>
        <v/>
      </c>
      <c r="L3176">
        <f>K3176*(MIN(Inputs!$B$22+((C3194=TRUE)*(F3194-Calc!F24)),(Inputs!$B$23+((C3199=TRUE)*(F3199-Calc!F29))+IF(ArtifactsInput!$M$15,CHOOSE(ArtifactsInput!$N$15+1,25,30,35,40,45,50)/100*(Inputs!$B$11-Inputs!$B$11),0)))/100+(Inputs!$B$23+((C3199=TRUE)*(F3199-Calc!F29))+IF(ArtifactsInput!$M$15,CHOOSE(ArtifactsInput!$N$15+1,25,30,35,40,45,50)/100*(Inputs!$B$11-Inputs!$B$11),0))/100)/2</f>
        <v/>
      </c>
      <c r="M3176">
        <f>L3176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IF(B3215=0,0,O3176/B3215)</f>
        <v/>
      </c>
      <c r="Q3176">
        <f>IFERROR(1/IF(Inputs!$B$39="pvp",15,MAX(0.1,Skills!D6-IF(Skills!E6=TRUE,Inputs!$B$32,0))),0)</f>
        <v/>
      </c>
      <c r="R3176">
        <f>IF(AND(Inputs!$B$39&lt;&gt;"pvp",Inputs!$B$44&gt;0),IF(MAX(0,Inputs!$B$44-B3214)&lt;=0,0,(INT(MAX(0,Inputs!$B$44-B3214)/IF(Inputs!$B$39="pvp",15,MAX(0.1,Skills!D6-IF(Skills!E6=TRUE,Inputs!$B$32,0))))+1)),0)</f>
        <v/>
      </c>
      <c r="S3176">
        <f>IFERROR(O3176/N3176,0)</f>
        <v/>
      </c>
      <c r="T3176">
        <f>IF(C3176,(H3176*N3176*IF(AND(Inputs!$B$39&lt;&gt;"pvp",Inputs!$B$44&gt;0),((Skills!G6*((R3176-1)*IF(Skills!H6&gt;0,Skills!I6/Skills!H6,1)+IF(Skills!H6&gt;0,MIN(Skills!I6,MAX(0,MAX(0,Inputs!$B$44-B3214)-((R3176-1)*IF(Inputs!$B$39="pvp",15,MAX(0.1,Skills!D6-IF(Skills!E6=TRUE,Inputs!$B$32,0))))))/Skills!H6,1)))/Inputs!$B$44),G3176*Q3176))*IF(Inputs!$B$39="pvp",1,1+(Inputs!$B$20+0+Skills!P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3176*(1-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6">
        <f>IF(C3176,(H3176*N3176*IF(AND(Inputs!$B$39&lt;&gt;"pvp",Inputs!$B$44&gt;0),((Skills!G6*((R3176-1)*IF(Skills!H6&gt;0,Skills!I6/Skills!H6,1)+IF(Skills!H6&gt;0,MIN(Skills!I6,MAX(0,MAX(0,Inputs!$B$44-B3214)-((R3176-1)*IF(Inputs!$B$39="pvp",15,MAX(0.1,Skills!D6-IF(Skills!E6=TRUE,Inputs!$B$32,0))))))/Skills!H6,1)))/Inputs!$B$44),G3176*Q3176))*IF(Inputs!$B$39="pvp",1,(1+(Inputs!$B$21+Skills!Q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Skills!A7</f>
        <v/>
      </c>
      <c r="B3177">
        <f>Skills!B7</f>
        <v/>
      </c>
      <c r="C3177">
        <f>Inputs!$B$3&gt;=60</f>
        <v/>
      </c>
      <c r="D3177">
        <f>IF(Skills!C7=1,60+Inputs!$B$25+Inputs!$B$29,IF(Skills!C7=2,90+Inputs!$B$26+Inputs!$B$29,IF(Skills!C7=3,120+Inputs!$B$27+Inputs!$B$29,MAX(0,(Inputs!$B$3-100)*3)+Inputs!$B$28+Inputs!$B$29)))</f>
        <v/>
      </c>
      <c r="E3177">
        <f>INDEX(FactorTable!$B$2:$Y$301, MATCH(ROUND(MIN(300,MAX(1,D3177)),0), FactorTable!$A$2:$A$301,0), Skills!M7+1)</f>
        <v/>
      </c>
      <c r="F3177">
        <f>IF(Skills!N7=TRUE,(Skills!L7/10)*(E3177/1000),Skills!L7/10)+Skills!O7</f>
        <v/>
      </c>
      <c r="G3177">
        <f>Skills!G7*IF(Skills!H7&gt;0,Skills!I7/Skills!H7,1)</f>
        <v/>
      </c>
      <c r="H3177">
        <f>1-(1-Skills!J7/100)^Skills!K7</f>
        <v/>
      </c>
      <c r="I3177" t="inlineStr">
        <is>
          <t>1</t>
        </is>
      </c>
      <c r="J3177" t="inlineStr"/>
      <c r="K3177" t="inlineStr"/>
      <c r="L3177" t="inlineStr"/>
      <c r="M3177" t="inlineStr"/>
      <c r="N3177" t="inlineStr"/>
      <c r="O3177">
        <f>(1-Summary!$B$11)*T3177+Summary!$B$11*V3177</f>
        <v/>
      </c>
      <c r="P3177">
        <f>IF(B3215=0,0,O3177/B3215)</f>
        <v/>
      </c>
      <c r="Q3177" t="n">
        <v>0</v>
      </c>
      <c r="R3177" t="n">
        <v>0</v>
      </c>
      <c r="S3177">
        <f>IFERROR(O3177/N3177,0)</f>
        <v/>
      </c>
      <c r="T3177" t="n">
        <v>0</v>
      </c>
      <c r="V3177" t="n">
        <v>0</v>
      </c>
    </row>
    <row r="3178">
      <c r="A3178">
        <f>Skills!A8</f>
        <v/>
      </c>
      <c r="B3178">
        <f>Skills!B8</f>
        <v/>
      </c>
      <c r="C3178">
        <f>Inputs!$B$3&gt;=72</f>
        <v/>
      </c>
      <c r="D3178">
        <f>IF(Skills!C8=1,60+Inputs!$B$25+Inputs!$B$29,IF(Skills!C8=2,90+Inputs!$B$26+Inputs!$B$29,IF(Skills!C8=3,120+Inputs!$B$27+Inputs!$B$29,MAX(0,(Inputs!$B$3-100)*3)+Inputs!$B$28+Inputs!$B$29)))</f>
        <v/>
      </c>
      <c r="E3178">
        <f>INDEX(FactorTable!$B$2:$Y$301, MATCH(ROUND(MIN(300,MAX(1,D3178)),0), FactorTable!$A$2:$A$301,0), Skills!M8+1)</f>
        <v/>
      </c>
      <c r="F3178">
        <f>IF(Skills!N8=TRUE,(Skills!L8/10)*(E3178/1000),Skills!L8/10)+Skills!O8</f>
        <v/>
      </c>
      <c r="G3178">
        <f>Skills!G8*IF(Skills!H8&gt;0,Skills!I8/Skills!H8,1)</f>
        <v/>
      </c>
      <c r="H3178">
        <f>1-(1-Skills!J8/100)^Skills!K8</f>
        <v/>
      </c>
      <c r="I3178" t="inlineStr">
        <is>
          <t>1</t>
        </is>
      </c>
      <c r="J3178">
        <f>((Inputs!$B$6*(1+Inputs!$B$7/100))+(((Inputs!$B$12*(1+Inputs!$B$13/100))-(Inputs!$B$12*(1+Inputs!$B$13/100)))+0.25*(Inputs!$B$14-Inputs!$B$14))*(1+Inputs!$B$7/100))*(F3178/100)</f>
        <v/>
      </c>
      <c r="K3178">
        <f>J3178*(1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3188=TRUE,F3188,0)/100)*(1+(IF(Skills!A8="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3178)</f>
        <v/>
      </c>
      <c r="L3178">
        <f>K3178*(MIN(Inputs!$B$22+((C3194=TRUE)*(F3194-Calc!F24)),(Inputs!$B$23+((C3199=TRUE)*(F3199-Calc!F29))+IF(ArtifactsInput!$M$15,CHOOSE(ArtifactsInput!$N$15+1,25,30,35,40,45,50)/100*(Inputs!$B$11-Inputs!$B$11),0)))/100+(Inputs!$B$23+((C3199=TRUE)*(F3199-Calc!F29))+IF(ArtifactsInput!$M$15,CHOOSE(ArtifactsInput!$N$15+1,25,30,35,40,45,50)/100*(Inputs!$B$11-Inputs!$B$11),0))/100)/2</f>
        <v/>
      </c>
      <c r="M3178">
        <f>L3178*(1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IF(B3215=0,0,O3178/B3215)</f>
        <v/>
      </c>
      <c r="Q3178">
        <f>IFERROR(1/IF(Inputs!$B$39="pvp",15,MAX(0.1,Skills!D8-IF(Skills!E8=TRUE,Inputs!$B$32,0))),0)</f>
        <v/>
      </c>
      <c r="R3178">
        <f>IF(AND(Inputs!$B$39&lt;&gt;"pvp",Inputs!$B$44&gt;0),IF(MAX(0,Inputs!$B$44-B3214)&lt;=0,0,(INT(MAX(0,Inputs!$B$44-B3214)/IF(Inputs!$B$39="pvp",15,MAX(0.1,Skills!D8-IF(Skills!E8=TRUE,Inputs!$B$32,0))))+1)),0)</f>
        <v/>
      </c>
      <c r="S3178">
        <f>IFERROR(O3178/N3178,0)</f>
        <v/>
      </c>
      <c r="T3178">
        <f>IF(C3178,(H3178*N3178*IF(AND(Inputs!$B$39&lt;&gt;"pvp",Inputs!$B$44&gt;0),((Skills!G8*((R3178-1)*IF(Skills!H8&gt;0,Skills!I8/Skills!H8,1)+IF(Skills!H8&gt;0,MIN(Skills!I8,MAX(0,MAX(0,Inputs!$B$44-B3214)-((R3178-1)*IF(Inputs!$B$39="pvp",15,MAX(0.1,Skills!D8-IF(Skills!E8=TRUE,Inputs!$B$32,0))))))/Skills!H8,1)))/Inputs!$B$44),G3178*Q3178))*IF(Inputs!$B$39="pvp",1,1+(Inputs!$B$20+0+Skills!P8+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3178*(1-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8">
        <f>IF(C3178,(H3178*N3178*IF(AND(Inputs!$B$39&lt;&gt;"pvp",Inputs!$B$44&gt;0),((Skills!G8*((R3178-1)*IF(Skills!H8&gt;0,Skills!I8/Skills!H8,1)+IF(Skills!H8&gt;0,MIN(Skills!I8,MAX(0,MAX(0,Inputs!$B$44-B3214)-((R3178-1)*IF(Inputs!$B$39="pvp",15,MAX(0.1,Skills!D8-IF(Skills!E8=TRUE,Inputs!$B$32,0))))))/Skills!H8,1)))/Inputs!$B$44),G3178*Q3178))*IF(Inputs!$B$39="pvp",1,(1+(Inputs!$B$21+Skills!Q8+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Skills!A9</f>
        <v/>
      </c>
      <c r="B3179">
        <f>Skills!B9</f>
        <v/>
      </c>
      <c r="C3179">
        <f>Inputs!$B$3&gt;=117</f>
        <v/>
      </c>
      <c r="D3179">
        <f>IF(Skills!C9=1,60+Inputs!$B$25+Inputs!$B$29,IF(Skills!C9=2,90+Inputs!$B$26+Inputs!$B$29,IF(Skills!C9=3,120+Inputs!$B$27+Inputs!$B$29,MAX(0,(Inputs!$B$3-100)*3)+Inputs!$B$28+Inputs!$B$29)))</f>
        <v/>
      </c>
      <c r="E3179">
        <f>INDEX(FactorTable!$B$2:$Y$301, MATCH(ROUND(MIN(300,MAX(1,D3179)),0), FactorTable!$A$2:$A$301,0), Skills!M9+1)</f>
        <v/>
      </c>
      <c r="F3179">
        <f>IF(Skills!N9=TRUE,(Skills!L9/10)*(E3179/1000),Skills!L9/10)+Skills!O9</f>
        <v/>
      </c>
      <c r="G3179">
        <f>Skills!G9*IF(Skills!H9&gt;0,Skills!I9/Skills!H9,1)</f>
        <v/>
      </c>
      <c r="H3179">
        <f>1-(1-Skills!J9/100)^Skills!K9</f>
        <v/>
      </c>
      <c r="I3179" t="inlineStr">
        <is>
          <t>1</t>
        </is>
      </c>
      <c r="J3179">
        <f>((Inputs!$B$6*(1+Inputs!$B$7/100))+(((Inputs!$B$12*(1+Inputs!$B$13/100))-(Inputs!$B$12*(1+Inputs!$B$13/100)))+0.25*(Inputs!$B$14-Inputs!$B$14))*(1+Inputs!$B$7/100))*(F3179/100)</f>
        <v/>
      </c>
      <c r="K3179">
        <f>J3179*(1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3179)</f>
        <v/>
      </c>
      <c r="L3179">
        <f>K3179*(MIN(Inputs!$B$22+((C3194=TRUE)*(F3194-Calc!F24)),(Inputs!$B$23+((C3199=TRUE)*(F3199-Calc!F29))+IF(ArtifactsInput!$M$15,CHOOSE(ArtifactsInput!$N$15+1,25,30,35,40,45,50)/100*(Inputs!$B$11-Inputs!$B$11),0)))/100+(Inputs!$B$23+((C3199=TRUE)*(F3199-Calc!F29))+IF(ArtifactsInput!$M$15,CHOOSE(ArtifactsInput!$N$15+1,25,30,35,40,45,50)/100*(Inputs!$B$11-Inputs!$B$11),0))/100)/2</f>
        <v/>
      </c>
      <c r="M3179">
        <f>L3179*(1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9">
        <f>L3179*(1-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3179*(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9">
        <f>(1-Summary!$B$11)*T3179+Summary!$B$11*V3179</f>
        <v/>
      </c>
      <c r="P3179">
        <f>IF(B3215=0,0,O3179/B3215)</f>
        <v/>
      </c>
      <c r="Q3179" t="n">
        <v>0</v>
      </c>
      <c r="R3179" t="n">
        <v>0</v>
      </c>
      <c r="S3179" t="n">
        <v>0</v>
      </c>
      <c r="T3179">
        <f>IF(C3179,(0.2*SUMPRODUCT((Skills!Z2:Z30=TRUE)*(C3172:C3200=TRUE)*S3172:S3200)*N3179)*IF(Inputs!$B$39="pvp",1,1+(Inputs!$B$20+0+Skills!P9+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3179*(1-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3179*(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3179*(1-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3179*(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9">
        <f>IF(C3179,(0.2*SUMPRODUCT((Skills!Z2:Z30=TRUE)*(C3172:C3200=TRUE)*S3172:S3200)*N3179)*IF(Inputs!$B$39="pvp",1,(1+(Inputs!$B$21+Skills!Q9+B3204+(IF(ArtifactsInput!$M$33,CHOOSE(ArtifactsInput!$N$33+1,30,36,42,48,54,60),0))+(IF(AND(ArtifactsInput!$M$35,Inputs!$B$4&lt;&gt;"Chapter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0">
      <c r="A3180">
        <f>Skills!A10</f>
        <v/>
      </c>
      <c r="B3180">
        <f>Skills!B10</f>
        <v/>
      </c>
      <c r="C3180">
        <f>Inputs!$B$3&gt;=74</f>
        <v/>
      </c>
      <c r="D3180">
        <f>IF(Skills!C10=1,60+Inputs!$B$25+Inputs!$B$29,IF(Skills!C10=2,90+Inputs!$B$26+Inputs!$B$29,IF(Skills!C10=3,120+Inputs!$B$27+Inputs!$B$29,MAX(0,(Inputs!$B$3-100)*3)+Inputs!$B$28+Inputs!$B$29)))</f>
        <v/>
      </c>
      <c r="E3180">
        <f>INDEX(FactorTable!$B$2:$Y$301, MATCH(ROUND(MIN(300,MAX(1,D3180)),0), FactorTable!$A$2:$A$301,0), Skills!M10+1)</f>
        <v/>
      </c>
      <c r="F3180">
        <f>IF(Skills!N10=TRUE,(Skills!L10/10)*(E3180/1000),Skills!L10/10)+Skills!O10</f>
        <v/>
      </c>
      <c r="G3180">
        <f>Skills!G10*IF(Skills!H10&gt;0,Skills!I10/Skills!H10,1)</f>
        <v/>
      </c>
      <c r="H3180">
        <f>1-(1-Skills!J10/100)^Skills!K10</f>
        <v/>
      </c>
      <c r="I3180" t="inlineStr">
        <is>
          <t>1</t>
        </is>
      </c>
      <c r="J3180" t="inlineStr"/>
      <c r="K3180" t="inlineStr"/>
      <c r="L3180" t="inlineStr"/>
      <c r="M3180" t="inlineStr"/>
      <c r="N3180" t="inlineStr"/>
      <c r="O3180">
        <f>(1-Summary!$B$11)*T3180+Summary!$B$11*V3180</f>
        <v/>
      </c>
      <c r="P3180">
        <f>IF(B3215=0,0,O3180/B3215)</f>
        <v/>
      </c>
      <c r="Q3180">
        <f>IFERROR(1/IF(Inputs!$B$39="pvp",15,MAX(0.1,Skills!D10-IF(Skills!E10=TRUE,Inputs!$B$32,0))),0)</f>
        <v/>
      </c>
      <c r="R3180">
        <f>IF(AND(Inputs!$B$39&lt;&gt;"pvp",Inputs!$B$44&gt;0),IF(Inputs!$B$44&lt;=0,0,(INT(Inputs!$B$44/IF(Inputs!$B$39="pvp",15,MAX(0.1,Skills!D10-IF(Skills!E10=TRUE,Inputs!$B$32,0))))+1)),0)</f>
        <v/>
      </c>
      <c r="S3180">
        <f>IFERROR(O3180/N3180,0)</f>
        <v/>
      </c>
      <c r="T3180" t="n">
        <v>0</v>
      </c>
      <c r="V3180" t="n">
        <v>0</v>
      </c>
    </row>
    <row r="3181">
      <c r="A3181">
        <f>Skills!A11</f>
        <v/>
      </c>
      <c r="B3181">
        <f>Skills!B11</f>
        <v/>
      </c>
      <c r="C3181">
        <f>Inputs!$B$3&gt;=103</f>
        <v/>
      </c>
      <c r="D3181">
        <f>IF(Skills!C11=1,60+Inputs!$B$25+Inputs!$B$29,IF(Skills!C11=2,90+Inputs!$B$26+Inputs!$B$29,IF(Skills!C11=3,120+Inputs!$B$27+Inputs!$B$29,MAX(0,(Inputs!$B$3-100)*3)+Inputs!$B$28+Inputs!$B$29)))</f>
        <v/>
      </c>
      <c r="E3181">
        <f>INDEX(FactorTable!$B$2:$Y$301, MATCH(ROUND(MIN(300,MAX(1,D3181)),0), FactorTable!$A$2:$A$301,0), Skills!M11+1)</f>
        <v/>
      </c>
      <c r="F3181">
        <f>(Skills!L11/10)*(E3181/1000)+IF(Inputs!$B$3&gt;=134,50,0)+0.5*(30000/10)*(INDEX(FactorTable!$B$2:$Y$301, MATCH(ROUND(MIN(300,MAX(1,D3181)),0), FactorTable!$A$2:$A$301,0), 13)/1000)*B3213</f>
        <v/>
      </c>
      <c r="G3181">
        <f>Skills!G11*IF(Skills!H11&gt;0,Skills!I11/Skills!H11,1)</f>
        <v/>
      </c>
      <c r="H3181">
        <f>1-(1-Skills!J11/100)^Skills!K11</f>
        <v/>
      </c>
      <c r="I3181" t="inlineStr">
        <is>
          <t>1</t>
        </is>
      </c>
      <c r="J3181">
        <f>((Inputs!$B$6*(1+Inputs!$B$7/100))+(((Inputs!$B$12*(1+Inputs!$B$13/100))-(Inputs!$B$12*(1+Inputs!$B$13/100)))+0.25*(Inputs!$B$14-Inputs!$B$14))*(1+Inputs!$B$7/100))*(F3181/100)</f>
        <v/>
      </c>
      <c r="K3181">
        <f>J3181*(1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3181)</f>
        <v/>
      </c>
      <c r="L3181">
        <f>K3181*(MIN(Inputs!$B$22+((C3194=TRUE)*(F3194-Calc!F24)),(Inputs!$B$23+((C3199=TRUE)*(F3199-Calc!F29))+IF(ArtifactsInput!$M$15,CHOOSE(ArtifactsInput!$N$15+1,25,30,35,40,45,50)/100*(Inputs!$B$11-Inputs!$B$11),0)))/100+(Inputs!$B$23+((C3199=TRUE)*(F3199-Calc!F29))+IF(ArtifactsInput!$M$15,CHOOSE(ArtifactsInput!$N$15+1,25,30,35,40,45,50)/100*(Inputs!$B$11-Inputs!$B$11),0))/100)/2</f>
        <v/>
      </c>
      <c r="M3181">
        <f>L3181*(1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IF(B3215=0,0,O3181/B3215)</f>
        <v/>
      </c>
      <c r="Q3181">
        <f>IFERROR(1/IF(Inputs!$B$39="pvp",15,MAX(0.1,Skills!D11-IF(Skills!E11=TRUE,Inputs!$B$32,0))),0)</f>
        <v/>
      </c>
      <c r="R3181">
        <f>IF(AND(Inputs!$B$39&lt;&gt;"pvp",Inputs!$B$44&gt;0),IF(MAX(0,Inputs!$B$44-B3214)&lt;=0,0,(INT(MAX(0,Inputs!$B$44-B3214)/IF(Inputs!$B$39="pvp",15,MAX(0.1,Skills!D11-IF(Skills!E11=TRUE,Inputs!$B$32,0))))+1)),0)</f>
        <v/>
      </c>
      <c r="S3181">
        <f>IFERROR(O3181/N3181,0)</f>
        <v/>
      </c>
      <c r="T3181">
        <f>IF(C3181,(H3181*N3181*IF(AND(Inputs!$B$39&lt;&gt;"pvp",Inputs!$B$44&gt;0),((Skills!G11*((R3181-1)*IF(Skills!H11&gt;0,Skills!I11/Skills!H11,1)+IF(Skills!H11&gt;0,MIN(Skills!I11,MAX(0,MAX(0,Inputs!$B$44-B3214)-((R3181-1)*IF(Inputs!$B$39="pvp",15,MAX(0.1,Skills!D11-IF(Skills!E11=TRUE,Inputs!$B$32,0))))))/Skills!H11,1)))/Inputs!$B$44),G3181*Q3181))*IF(Inputs!$B$39="pvp",1,1+(Inputs!$B$20+0+Skills!P11+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3181*(1-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11*((R3181-1)*IF(Skills!H11&gt;0,Skills!I11/Skills!H11,1)+IF(Skills!H11&gt;0,MIN(Skills!I11,MAX(0,MAX(0,Inputs!$B$44-B3214)-((R3181-1)*IF(Inputs!$B$39="pvp",15,MAX(0.1,Skills!D11-IF(Skills!E11=TRUE,Inputs!$B$32,0))))))/Skills!H11,1)))/Inputs!$B$44),G3181*Q3181))*IF(Inputs!$B$39="pvp",1,(1+(Inputs!$B$21+Skills!Q11+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Skills!A12</f>
        <v/>
      </c>
      <c r="B3182">
        <f>Skills!B12</f>
        <v/>
      </c>
      <c r="C3182">
        <f>Inputs!$B$3&gt;=105</f>
        <v/>
      </c>
      <c r="D3182">
        <f>IF(Skills!C12=1,60+Inputs!$B$25+Inputs!$B$29,IF(Skills!C12=2,90+Inputs!$B$26+Inputs!$B$29,IF(Skills!C12=3,120+Inputs!$B$27+Inputs!$B$29,MAX(0,(Inputs!$B$3-100)*3)+Inputs!$B$28+Inputs!$B$29)))</f>
        <v/>
      </c>
      <c r="E3182">
        <f>INDEX(FactorTable!$B$2:$Y$301, MATCH(ROUND(MIN(300,MAX(1,D3182)),0), FactorTable!$A$2:$A$301,0), Skills!M12+1)</f>
        <v/>
      </c>
      <c r="F3182">
        <f>IF(Skills!N12=TRUE,(Skills!L12/10)*(E3182/1000),Skills!L12/10)+Skills!O12</f>
        <v/>
      </c>
      <c r="G3182">
        <f>Skills!G12*IF(Skills!H12&gt;0,Skills!I12/Skills!H12,1)</f>
        <v/>
      </c>
      <c r="H3182">
        <f>1-(1-Skills!J12/100)^Skills!K12</f>
        <v/>
      </c>
      <c r="I3182" t="inlineStr">
        <is>
          <t>1</t>
        </is>
      </c>
      <c r="J3182">
        <f>((Inputs!$B$6*(1+Inputs!$B$7/100))+(((Inputs!$B$12*(1+Inputs!$B$13/100))-(Inputs!$B$12*(1+Inputs!$B$13/100)))+0.25*(Inputs!$B$14-Inputs!$B$14))*(1+Inputs!$B$7/100))*(F3182/100)</f>
        <v/>
      </c>
      <c r="K3182">
        <f>J3182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3182)</f>
        <v/>
      </c>
      <c r="L3182">
        <f>K3182*(MIN(Inputs!$B$22+((C3194=TRUE)*(F3194-Calc!F24)),(Inputs!$B$23+((C3199=TRUE)*(F3199-Calc!F29))+IF(ArtifactsInput!$M$15,CHOOSE(ArtifactsInput!$N$15+1,25,30,35,40,45,50)/100*(Inputs!$B$11-Inputs!$B$11),0)))/100+(Inputs!$B$23+((C3199=TRUE)*(F3199-Calc!F29))+IF(ArtifactsInput!$M$15,CHOOSE(ArtifactsInput!$N$15+1,25,30,35,40,45,50)/100*(Inputs!$B$11-Inputs!$B$11),0))/100)/2</f>
        <v/>
      </c>
      <c r="M3182">
        <f>L3182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IF(B3215=0,0,O3182/B3215)</f>
        <v/>
      </c>
      <c r="Q3182">
        <f>IFERROR(1/IF(Inputs!$B$39="pvp",15,MAX(0.1,Skills!D12-IF(Skills!E12=TRUE,Inputs!$B$32,0))),0)</f>
        <v/>
      </c>
      <c r="R3182">
        <f>IF(AND(Inputs!$B$39&lt;&gt;"pvp",Inputs!$B$44&gt;0),IF(MAX(0,Inputs!$B$44-B3214)&lt;=0,0,(INT(MAX(0,Inputs!$B$44-B3214)/IF(Inputs!$B$39="pvp",15,MAX(0.1,Skills!D12-IF(Skills!E12=TRUE,Inputs!$B$32,0))))+1)),0)</f>
        <v/>
      </c>
      <c r="S3182">
        <f>IFERROR(O3182/N3182,0)</f>
        <v/>
      </c>
      <c r="T3182">
        <f>IF(C3182,(H3182*N3182*IF(AND(Inputs!$B$39&lt;&gt;"pvp",Inputs!$B$44&gt;0),((Skills!G12*((R3182-1)*IF(Skills!H12&gt;0,Skills!I12/Skills!H12,1)+IF(Skills!H12&gt;0,MIN(Skills!I12,MAX(0,MAX(0,Inputs!$B$44-B3214)-((R3182-1)*IF(Inputs!$B$39="pvp",15,MAX(0.1,Skills!D12-IF(Skills!E12=TRUE,Inputs!$B$32,0))))))/Skills!H12,1)))/Inputs!$B$44),G3182*Q3182))*IF(Inputs!$B$39="pvp",1,1+(Inputs!$B$20+0+Skills!P12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3182*(1-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12*((R3182-1)*IF(Skills!H12&gt;0,Skills!I12/Skills!H12,1)+IF(Skills!H12&gt;0,MIN(Skills!I12,MAX(0,MAX(0,Inputs!$B$44-B3214)-((R3182-1)*IF(Inputs!$B$39="pvp",15,MAX(0.1,Skills!D12-IF(Skills!E12=TRUE,Inputs!$B$32,0))))))/Skills!H12,1)))/Inputs!$B$44),G3182*Q3182))*IF(Inputs!$B$39="pvp",1,(1+(Inputs!$B$21+Skills!Q12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Skills!A13</f>
        <v/>
      </c>
      <c r="B3183">
        <f>Skills!B13</f>
        <v/>
      </c>
      <c r="C3183">
        <f>Inputs!$B$3&gt;=105</f>
        <v/>
      </c>
      <c r="D3183">
        <f>IF(Skills!C13=1,60+Inputs!$B$25+Inputs!$B$29,IF(Skills!C13=2,90+Inputs!$B$26+Inputs!$B$29,IF(Skills!C13=3,120+Inputs!$B$27+Inputs!$B$29,MAX(0,(Inputs!$B$3-100)*3)+Inputs!$B$28+Inputs!$B$29)))</f>
        <v/>
      </c>
      <c r="E3183">
        <f>INDEX(FactorTable!$B$2:$Y$301, MATCH(ROUND(MIN(300,MAX(1,D3183)),0), FactorTable!$A$2:$A$301,0), Skills!M13+1)</f>
        <v/>
      </c>
      <c r="F3183">
        <f>IF(Skills!N13=TRUE,(Skills!L13/10)*(E3183/1000),Skills!L13/10)+Skills!O13</f>
        <v/>
      </c>
      <c r="G3183">
        <f>Skills!G13*IF(Skills!H13&gt;0,Skills!I13/Skills!H13,1)</f>
        <v/>
      </c>
      <c r="H3183">
        <f>1-(1-Skills!J13/100)^Skills!K13</f>
        <v/>
      </c>
      <c r="I3183" t="inlineStr">
        <is>
          <t>1</t>
        </is>
      </c>
      <c r="J3183">
        <f>((Inputs!$B$6*(1+Inputs!$B$7/100))+(((Inputs!$B$12*(1+Inputs!$B$13/100))-(Inputs!$B$12*(1+Inputs!$B$13/100)))+0.25*(Inputs!$B$14-Inputs!$B$14))*(1+Inputs!$B$7/100))*(F3183/100)</f>
        <v/>
      </c>
      <c r="K3183">
        <f>J3183*(1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3183)</f>
        <v/>
      </c>
      <c r="L3183">
        <f>K3183*(MIN(Inputs!$B$22+((C3194=TRUE)*(F3194-Calc!F24)),(Inputs!$B$23+((C3199=TRUE)*(F3199-Calc!F29))+IF(ArtifactsInput!$M$15,CHOOSE(ArtifactsInput!$N$15+1,25,30,35,40,45,50)/100*(Inputs!$B$11-Inputs!$B$11),0)))/100+(Inputs!$B$23+((C3199=TRUE)*(F3199-Calc!F29))+IF(ArtifactsInput!$M$15,CHOOSE(ArtifactsInput!$N$15+1,25,30,35,40,45,50)/100*(Inputs!$B$11-Inputs!$B$11),0))/100)/2</f>
        <v/>
      </c>
      <c r="M3183">
        <f>L3183*(1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IF(B3215=0,0,O3183/B3215)</f>
        <v/>
      </c>
      <c r="Q3183">
        <f>IFERROR(1/IF(Inputs!$B$39="pvp",15,MAX(0.1,Skills!D13-IF(Skills!E13=TRUE,Inputs!$B$32,0))),0)</f>
        <v/>
      </c>
      <c r="R3183">
        <f>IF(AND(Inputs!$B$39&lt;&gt;"pvp",Inputs!$B$44&gt;0),IF(MAX(0,Inputs!$B$44-B3214)&lt;=0,0,(INT(MAX(0,Inputs!$B$44-B3214)/IF(Inputs!$B$39="pvp",15,MAX(0.1,Skills!D13-IF(Skills!E13=TRUE,Inputs!$B$32,0))))+1)),0)</f>
        <v/>
      </c>
      <c r="S3183">
        <f>IFERROR(O3183/N3183,0)</f>
        <v/>
      </c>
      <c r="T3183">
        <f>IF(C3183,(H3183*N3183*IF(AND(Inputs!$B$39&lt;&gt;"pvp",Inputs!$B$44&gt;0),((Skills!G13*((R3183-1)*IF(Skills!H13&gt;0,Skills!I13/Skills!H13,1)+IF(Skills!H13&gt;0,MIN(Skills!I13,MAX(0,MAX(0,Inputs!$B$44-B3214)-((R3183-1)*IF(Inputs!$B$39="pvp",15,MAX(0.1,Skills!D13-IF(Skills!E13=TRUE,Inputs!$B$32,0))))))/Skills!H13,1)))/Inputs!$B$44),G3183*Q3183))*IF(Inputs!$B$39="pvp",1,1+(Inputs!$B$20+0+Skills!P13+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3183*(1-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H3183*N3183*IF(AND(Inputs!$B$39&lt;&gt;"pvp",Inputs!$B$44&gt;0),((Skills!G13*((R3183-1)*IF(Skills!H13&gt;0,Skills!I13/Skills!H13,1)+IF(Skills!H13&gt;0,MIN(Skills!I13,MAX(0,MAX(0,Inputs!$B$44-B3214)-((R3183-1)*IF(Inputs!$B$39="pvp",15,MAX(0.1,Skills!D13-IF(Skills!E13=TRUE,Inputs!$B$32,0))))))/Skills!H13,1)))/Inputs!$B$44),G3183*Q3183))*IF(Inputs!$B$39="pvp",1,(1+(Inputs!$B$21+Skills!Q13+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Skills!A14</f>
        <v/>
      </c>
      <c r="B3184">
        <f>Skills!B14</f>
        <v/>
      </c>
      <c r="C3184">
        <f>Inputs!$B$3&gt;=107</f>
        <v/>
      </c>
      <c r="D3184">
        <f>IF(Skills!C14=1,60+Inputs!$B$25+Inputs!$B$29,IF(Skills!C14=2,90+Inputs!$B$26+Inputs!$B$29,IF(Skills!C14=3,120+Inputs!$B$27+Inputs!$B$29,MAX(0,(Inputs!$B$3-100)*3)+Inputs!$B$28+Inputs!$B$29)))</f>
        <v/>
      </c>
      <c r="E3184">
        <f>INDEX(FactorTable!$B$2:$Y$301, MATCH(ROUND(MIN(300,MAX(1,D3184)),0), FactorTable!$A$2:$A$301,0), Skills!M14+1)</f>
        <v/>
      </c>
      <c r="F3184">
        <f>IF(Skills!N14=TRUE,(Skills!L14/10)*(E3184/1000),Skills!L14/10)+Skills!O14</f>
        <v/>
      </c>
      <c r="G3184">
        <f>Skills!G14*IF(Skills!H14&gt;0,Skills!I14/Skills!H14,1)</f>
        <v/>
      </c>
      <c r="H3184">
        <f>1-(1-Skills!J14/100)^Skills!K14</f>
        <v/>
      </c>
      <c r="I3184" t="inlineStr">
        <is>
          <t>1</t>
        </is>
      </c>
      <c r="J3184">
        <f>((Inputs!$B$6*(1+Inputs!$B$7/100))+(((Inputs!$B$12*(1+Inputs!$B$13/100))-(Inputs!$B$12*(1+Inputs!$B$13/100)))+0.25*(Inputs!$B$14-Inputs!$B$14))*(1+Inputs!$B$7/100))*(F3184/100)</f>
        <v/>
      </c>
      <c r="K3184">
        <f>J3184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3184)</f>
        <v/>
      </c>
      <c r="L3184">
        <f>K3184*(MIN(Inputs!$B$22+((C3194=TRUE)*(F3194-Calc!F24)),(Inputs!$B$23+((C3199=TRUE)*(F3199-Calc!F29))+IF(ArtifactsInput!$M$15,CHOOSE(ArtifactsInput!$N$15+1,25,30,35,40,45,50)/100*(Inputs!$B$11-Inputs!$B$11),0)))/100+(Inputs!$B$23+((C3199=TRUE)*(F3199-Calc!F29))+IF(ArtifactsInput!$M$15,CHOOSE(ArtifactsInput!$N$15+1,25,30,35,40,45,50)/100*(Inputs!$B$11-Inputs!$B$11),0))/100)/2</f>
        <v/>
      </c>
      <c r="M3184">
        <f>L3184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4">
        <f>L3184*(1-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3184*(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4">
        <f>(1-Summary!$B$11)*T3184+Summary!$B$11*V3184</f>
        <v/>
      </c>
      <c r="P3184">
        <f>IF(B3215=0,0,O3184/B3215)</f>
        <v/>
      </c>
      <c r="Q3184">
        <f>IFERROR(1/IF(Inputs!$B$39="pvp",15,MAX(0.1,Skills!D14-IF(Skills!E14=TRUE,Inputs!$B$32,0))),0)</f>
        <v/>
      </c>
      <c r="R3184">
        <f>IF(AND(Inputs!$B$39&lt;&gt;"pvp",Inputs!$B$44&gt;0),IF(MAX(0,Inputs!$B$44-B3214)&lt;=0,0,(INT(MAX(0,Inputs!$B$44-B3214)/IF(Inputs!$B$39="pvp",15,MAX(0.1,Skills!D14-IF(Skills!E14=TRUE,Inputs!$B$32,0))))+1)),0)</f>
        <v/>
      </c>
      <c r="S3184">
        <f>IFERROR(O3184/N3184,0)</f>
        <v/>
      </c>
      <c r="T3184">
        <f>IF(C3184,(H3184*N3184*IF(AND(Inputs!$B$39&lt;&gt;"pvp",Inputs!$B$44&gt;0),((Skills!G14*((R3184-1)*IF(Skills!H14&gt;0,Skills!I14/Skills!H14,1)+IF(Skills!H14&gt;0,MIN(Skills!I14,MAX(0,MAX(0,Inputs!$B$44-B3214)-((R3184-1)*IF(Inputs!$B$39="pvp",15,MAX(0.1,Skills!D14-IF(Skills!E14=TRUE,Inputs!$B$32,0))))))/Skills!H14,1)))/Inputs!$B$44),G3184*Q3184))*IF(Inputs!$B$39="pvp",1,1+(Inputs!$B$20+0+Skills!P14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3184*(1-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3184*(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3184*(1-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3184*(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4">
        <f>IF(C3184,(H3184*N3184*IF(AND(Inputs!$B$39&lt;&gt;"pvp",Inputs!$B$44&gt;0),((Skills!G14*((R3184-1)*IF(Skills!H14&gt;0,Skills!I14/Skills!H14,1)+IF(Skills!H14&gt;0,MIN(Skills!I14,MAX(0,MAX(0,Inputs!$B$44-B3214)-((R3184-1)*IF(Inputs!$B$39="pvp",15,MAX(0.1,Skills!D14-IF(Skills!E14=TRUE,Inputs!$B$32,0))))))/Skills!H14,1)))/Inputs!$B$44),G3184*Q3184))*IF(Inputs!$B$39="pvp",1,(1+(Inputs!$B$21+Skills!Q14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(5,0.25*B3207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5">
      <c r="A3185">
        <f>Skills!A15</f>
        <v/>
      </c>
      <c r="B3185">
        <f>Skills!B15</f>
        <v/>
      </c>
      <c r="C3185">
        <f>Inputs!$B$3&gt;=110</f>
        <v/>
      </c>
      <c r="D3185">
        <f>IF(Skills!C15=1,60+Inputs!$B$25+Inputs!$B$29,IF(Skills!C15=2,90+Inputs!$B$26+Inputs!$B$29,IF(Skills!C15=3,120+Inputs!$B$27+Inputs!$B$29,MAX(0,(Inputs!$B$3-100)*3)+Inputs!$B$28+Inputs!$B$29)))</f>
        <v/>
      </c>
      <c r="E3185">
        <f>INDEX(FactorTable!$B$2:$Y$301, MATCH(ROUND(MIN(300,MAX(1,D3185)),0), FactorTable!$A$2:$A$301,0), Skills!M15+1)</f>
        <v/>
      </c>
      <c r="F3185">
        <f>IF(Skills!N15=TRUE,(Skills!L15/10)*(E3185/1000),Skills!L15/10)+Skills!O15</f>
        <v/>
      </c>
      <c r="G3185">
        <f>Skills!G15*IF(Skills!H15&gt;0,Skills!I15/Skills!H15,1)</f>
        <v/>
      </c>
      <c r="H3185">
        <f>1-(1-Skills!J15/100)^Skills!K15</f>
        <v/>
      </c>
      <c r="I3185" t="inlineStr">
        <is>
          <t>1</t>
        </is>
      </c>
      <c r="J3185" t="inlineStr"/>
      <c r="K3185" t="inlineStr"/>
      <c r="L3185" t="inlineStr"/>
      <c r="M3185" t="inlineStr"/>
      <c r="N3185" t="inlineStr"/>
      <c r="O3185">
        <f>(1-Summary!$B$11)*T3185+Summary!$B$11*V3185</f>
        <v/>
      </c>
      <c r="P3185">
        <f>IF(B3215=0,0,O3185/B3215)</f>
        <v/>
      </c>
      <c r="Q3185">
        <f>IFERROR(1/IF(Inputs!$B$39="pvp",15,MAX(0.1,Skills!D15-IF(Skills!E15=TRUE,Inputs!$B$32,0))),0)</f>
        <v/>
      </c>
      <c r="R3185">
        <f>IF(AND(Inputs!$B$39&lt;&gt;"pvp",Inputs!$B$44&gt;0),IF(Inputs!$B$44&lt;=0,0,(INT(Inputs!$B$44/IF(Inputs!$B$39="pvp",15,MAX(0.1,Skills!D15-IF(Skills!E15=TRUE,Inputs!$B$32,0))))+1)),0)</f>
        <v/>
      </c>
      <c r="S3185">
        <f>IFERROR(O3185/N3185,0)</f>
        <v/>
      </c>
      <c r="T3185" t="n">
        <v>0</v>
      </c>
      <c r="V3185" t="n">
        <v>0</v>
      </c>
    </row>
    <row r="3186">
      <c r="A3186">
        <f>Skills!A16</f>
        <v/>
      </c>
      <c r="B3186">
        <f>Skills!B16</f>
        <v/>
      </c>
      <c r="C3186">
        <f>Inputs!$B$3&gt;=115</f>
        <v/>
      </c>
      <c r="D3186">
        <f>IF(Skills!C16=1,60+Inputs!$B$25+Inputs!$B$29,IF(Skills!C16=2,90+Inputs!$B$26+Inputs!$B$29,IF(Skills!C16=3,120+Inputs!$B$27+Inputs!$B$29,MAX(0,(Inputs!$B$3-100)*3)+Inputs!$B$28+Inputs!$B$29)))</f>
        <v/>
      </c>
      <c r="E3186">
        <f>INDEX(FactorTable!$B$2:$Y$301, MATCH(ROUND(MIN(300,MAX(1,D3186)),0), FactorTable!$A$2:$A$301,0), Skills!M16+1)</f>
        <v/>
      </c>
      <c r="F3186">
        <f>IF(Skills!N16=TRUE,(Skills!L16/10)*(E3186/1000),Skills!L16/10)+Skills!O16</f>
        <v/>
      </c>
      <c r="G3186">
        <f>Skills!G16*IF(Skills!H16&gt;0,Skills!I16/Skills!H16,1)</f>
        <v/>
      </c>
      <c r="H3186">
        <f>1-(1-Skills!J16/100)^Skills!K16</f>
        <v/>
      </c>
      <c r="I3186" t="inlineStr">
        <is>
          <t>1</t>
        </is>
      </c>
      <c r="J3186">
        <f>((Inputs!$B$6*(1+Inputs!$B$7/100))+(((Inputs!$B$12*(1+Inputs!$B$13/100))-(Inputs!$B$12*(1+Inputs!$B$13/100)))+0.25*(Inputs!$B$14-Inputs!$B$14))*(1+Inputs!$B$7/100))*(F3186/100)</f>
        <v/>
      </c>
      <c r="K3186">
        <f>J3186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3197=TRUE)*(F3197-Calc!F27))+((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3186)</f>
        <v/>
      </c>
      <c r="L3186">
        <f>K3186*(MIN(Inputs!$B$22+((C3194=TRUE)*(F3194-Calc!F24)),(Inputs!$B$23+((C3199=TRUE)*(F3199-Calc!F29))+IF(ArtifactsInput!$M$15,CHOOSE(ArtifactsInput!$N$15+1,25,30,35,40,45,50)/100*(Inputs!$B$11-Inputs!$B$11),0)))/100+(Inputs!$B$23+((C3199=TRUE)*(F3199-Calc!F29))+IF(ArtifactsInput!$M$15,CHOOSE(ArtifactsInput!$N$15+1,25,30,35,40,45,50)/100*(Inputs!$B$11-Inputs!$B$11),0))/100)/2</f>
        <v/>
      </c>
      <c r="M3186">
        <f>L3186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IF(B3215=0,0,O3186/B3215)</f>
        <v/>
      </c>
      <c r="Q3186" t="n">
        <v>0</v>
      </c>
      <c r="R3186" t="n">
        <v>0</v>
      </c>
      <c r="S3186">
        <f>IFERROR(O3186/N3186,0)</f>
        <v/>
      </c>
      <c r="T3186">
        <f>IF(C3186,(Inputs!$B$38*0.2*N3186)*IF(Inputs!$B$39="pvp",1,1+(Inputs!$B$20+0+Skills!P16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3186*(1-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3195=TRUE)*(F3195-Calc!F25))+B3203+(ArtifactsInput!$M$24-ArtifactsInput!$M$24)*CHOOSE(ArtifactsInput!$N$24+1,10,12,14,16,18,20)+(IF(AND(Inputs!$B$39&lt;&gt;"pvp",Inputs!$B$44=0),1,IF(IF(Inputs!$B$39="pvp",15,Inputs!$B$44)-(B3214)&lt;=0,1,MAX(0,IF(Inputs!$B$39="pvp",15,Inputs!$B$44)-MAX(5,B3214))/(IF(Inputs!$B$39="pvp",15,Inputs!$B$44)-(B3214))))*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IF(C3186,(Inputs!$B$38*0.2*N3186)*IF(Inputs!$B$39="pvp",1,(1+(Inputs!$B$21+Skills!Q16+B3204+(IF(ArtifactsInput!$M$33,CHOOSE(ArtifactsInput!$N$33+1,30,36,42,48,54,60),0))+(IF(AND(ArtifactsInput!$M$35,Inputs!$B$4&lt;&gt;"Chapter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Skills!A17</f>
        <v/>
      </c>
      <c r="B3187">
        <f>Skills!B17</f>
        <v/>
      </c>
      <c r="C3187">
        <f>Inputs!$B$3&gt;=115</f>
        <v/>
      </c>
      <c r="D3187">
        <f>IF(Skills!C17=1,60+Inputs!$B$25+Inputs!$B$29,IF(Skills!C17=2,90+Inputs!$B$26+Inputs!$B$29,IF(Skills!C17=3,120+Inputs!$B$27+Inputs!$B$29,MAX(0,(Inputs!$B$3-100)*3)+Inputs!$B$28+Inputs!$B$29)))</f>
        <v/>
      </c>
      <c r="E3187">
        <f>INDEX(FactorTable!$B$2:$Y$301, MATCH(ROUND(MIN(300,MAX(1,D3187)),0), FactorTable!$A$2:$A$301,0), Skills!M17+1)</f>
        <v/>
      </c>
      <c r="F3187">
        <f>IF(Skills!N17=TRUE,(Skills!L17/10)*(E3187/1000),Skills!L17/10)+Skills!O17</f>
        <v/>
      </c>
      <c r="G3187">
        <f>Skills!G17*IF(Skills!H17&gt;0,Skills!I17/Skills!H17,1)</f>
        <v/>
      </c>
      <c r="H3187">
        <f>1-(1-Skills!J17/100)^Skills!K17</f>
        <v/>
      </c>
      <c r="I3187" t="inlineStr">
        <is>
          <t>1</t>
        </is>
      </c>
      <c r="J3187" t="inlineStr"/>
      <c r="K3187" t="inlineStr"/>
      <c r="L3187" t="inlineStr"/>
      <c r="M3187" t="inlineStr"/>
      <c r="N3187" t="inlineStr"/>
      <c r="O3187">
        <f>(1-Summary!$B$11)*T3187+Summary!$B$11*V3187</f>
        <v/>
      </c>
      <c r="P3187">
        <f>IF(B3215=0,0,O3187/B3215)</f>
        <v/>
      </c>
      <c r="Q3187" t="n">
        <v>0</v>
      </c>
      <c r="R3187" t="n">
        <v>0</v>
      </c>
      <c r="S3187">
        <f>IFERROR(O3187/N3187,0)</f>
        <v/>
      </c>
      <c r="T3187" t="n">
        <v>0</v>
      </c>
      <c r="V3187" t="n">
        <v>0</v>
      </c>
    </row>
    <row r="3188">
      <c r="A3188">
        <f>Skills!A18</f>
        <v/>
      </c>
      <c r="B3188">
        <f>Skills!B18</f>
        <v/>
      </c>
      <c r="C3188">
        <f>Inputs!$B$3&gt;=100</f>
        <v/>
      </c>
      <c r="D3188">
        <f>IF(Skills!C18=1,60+Inputs!$B$25+Inputs!$B$29,IF(Skills!C18=2,90+Inputs!$B$26+Inputs!$B$29,IF(Skills!C18=3,120+Inputs!$B$27+Inputs!$B$29,MAX(0,(Inputs!$B$3-100)*3)+Inputs!$B$28+Inputs!$B$29)))</f>
        <v/>
      </c>
      <c r="E3188">
        <f>INDEX(FactorTable!$B$2:$Y$301, MATCH(ROUND(MIN(300,MAX(1,D3188)),0), FactorTable!$A$2:$A$301,0), Skills!M18+1)</f>
        <v/>
      </c>
      <c r="F3188">
        <f>IF(Skills!N18=TRUE,(Skills!L18/10)*(E3188/1000),Skills!L18/10)+Skills!O18</f>
        <v/>
      </c>
      <c r="G3188">
        <f>Skills!G18*IF(Skills!H18&gt;0,Skills!I18/Skills!H18,1)</f>
        <v/>
      </c>
      <c r="H3188">
        <f>1-(1-Skills!J18/100)^Skills!K18</f>
        <v/>
      </c>
      <c r="I3188" t="inlineStr">
        <is>
          <t>1</t>
        </is>
      </c>
      <c r="J3188" t="inlineStr"/>
      <c r="K3188" t="inlineStr"/>
      <c r="L3188" t="inlineStr"/>
      <c r="M3188" t="inlineStr"/>
      <c r="N3188" t="inlineStr"/>
      <c r="O3188">
        <f>(1-Summary!$B$11)*T3188+Summary!$B$11*V3188</f>
        <v/>
      </c>
      <c r="P3188">
        <f>IF(B3215=0,0,O3188/B3215)</f>
        <v/>
      </c>
      <c r="Q3188" t="n">
        <v>0</v>
      </c>
      <c r="R3188" t="n">
        <v>0</v>
      </c>
      <c r="S3188">
        <f>IFERROR(O3188/N3188,0)</f>
        <v/>
      </c>
      <c r="T3188" t="n">
        <v>0</v>
      </c>
      <c r="V3188" t="n">
        <v>0</v>
      </c>
    </row>
    <row r="3189">
      <c r="A3189">
        <f>Skills!A19</f>
        <v/>
      </c>
      <c r="B3189">
        <f>Skills!B19</f>
        <v/>
      </c>
      <c r="C3189">
        <f>TRUE</f>
        <v/>
      </c>
      <c r="D3189">
        <f>IF(Skills!C19=1,60+Inputs!$B$25+Inputs!$B$29,IF(Skills!C19=2,90+Inputs!$B$26+Inputs!$B$29,IF(Skills!C19=3,120+Inputs!$B$27+Inputs!$B$29,MAX(0,(Inputs!$B$3-100)*3)+Inputs!$B$28+Inputs!$B$29)))</f>
        <v/>
      </c>
      <c r="E3189">
        <f>INDEX(FactorTable!$B$2:$Y$301, MATCH(ROUND(MIN(300,MAX(1,D3189)),0), FactorTable!$A$2:$A$301,0), Skills!M19+1)</f>
        <v/>
      </c>
      <c r="F3189">
        <f>IF(Skills!N19=TRUE,(Skills!L19/10)*(E3189/1000),Skills!L19/10)+Skills!O19</f>
        <v/>
      </c>
      <c r="G3189">
        <f>Skills!G19*IF(Skills!H19&gt;0,Skills!I19/Skills!H19,1)</f>
        <v/>
      </c>
      <c r="H3189">
        <f>1-(1-Skills!J19/100)^Skills!K19</f>
        <v/>
      </c>
      <c r="I3189" t="inlineStr">
        <is>
          <t>1</t>
        </is>
      </c>
      <c r="J3189" t="inlineStr"/>
      <c r="K3189" t="inlineStr"/>
      <c r="L3189" t="inlineStr"/>
      <c r="M3189" t="inlineStr"/>
      <c r="N3189" t="inlineStr"/>
      <c r="O3189">
        <f>(1-Summary!$B$11)*T3189+Summary!$B$11*V3189</f>
        <v/>
      </c>
      <c r="P3189">
        <f>IF(B3215=0,0,O3189/B3215)</f>
        <v/>
      </c>
      <c r="Q3189">
        <f>IFERROR(1/IF(Inputs!$B$39="pvp",15,MAX(0.1,Skills!D19-IF(Skills!E19=TRUE,Inputs!$B$32,0))),0)</f>
        <v/>
      </c>
      <c r="R3189">
        <f>IF(AND(Inputs!$B$39&lt;&gt;"pvp",Inputs!$B$44&gt;0),IF(Inputs!$B$44&lt;=0,0,(INT(Inputs!$B$44/IF(Inputs!$B$39="pvp",15,MAX(0.1,Skills!D19-IF(Skills!E19=TRUE,Inputs!$B$32,0))))+1)),0)</f>
        <v/>
      </c>
      <c r="S3189">
        <f>IFERROR(O3189/N3189,0)</f>
        <v/>
      </c>
      <c r="T3189" t="n">
        <v>0</v>
      </c>
      <c r="V3189" t="n">
        <v>0</v>
      </c>
    </row>
    <row r="3190">
      <c r="A3190">
        <f>Skills!A20</f>
        <v/>
      </c>
      <c r="B3190">
        <f>Skills!B20</f>
        <v/>
      </c>
      <c r="C3190">
        <f>Inputs!$B$3&gt;=15</f>
        <v/>
      </c>
      <c r="D3190">
        <f>IF(Skills!C20=1,60+Inputs!$B$25+Inputs!$B$29,IF(Skills!C20=2,90+Inputs!$B$26+Inputs!$B$29,IF(Skills!C20=3,120+Inputs!$B$27+Inputs!$B$29,MAX(0,(Inputs!$B$3-100)*3)+Inputs!$B$28+Inputs!$B$29)))</f>
        <v/>
      </c>
      <c r="E3190">
        <f>INDEX(FactorTable!$B$2:$Y$301, MATCH(ROUND(MIN(300,MAX(1,D3190)),0), FactorTable!$A$2:$A$301,0), Skills!M20+1)</f>
        <v/>
      </c>
      <c r="F3190">
        <f>IF(Skills!N20=TRUE,(Skills!L20/10)*(E3190/1000),Skills!L20/10)+Skills!O20</f>
        <v/>
      </c>
      <c r="G3190">
        <f>Skills!G20*IF(Skills!H20&gt;0,Skills!I20/Skills!H20,1)</f>
        <v/>
      </c>
      <c r="H3190">
        <f>1-(1-Skills!J20/100)^Skills!K20</f>
        <v/>
      </c>
      <c r="I3190" t="inlineStr">
        <is>
          <t>1</t>
        </is>
      </c>
      <c r="J3190" t="inlineStr"/>
      <c r="K3190" t="inlineStr"/>
      <c r="L3190" t="inlineStr"/>
      <c r="M3190" t="inlineStr"/>
      <c r="N3190" t="inlineStr"/>
      <c r="O3190">
        <f>(1-Summary!$B$11)*T3190+Summary!$B$11*V3190</f>
        <v/>
      </c>
      <c r="P3190">
        <f>IF(B3215=0,0,O3190/B3215)</f>
        <v/>
      </c>
      <c r="Q3190">
        <f>IFERROR(1/IF(Inputs!$B$39="pvp",15,MAX(0.1,Skills!D20-IF(Skills!E20=TRUE,Inputs!$B$32,0))),0)</f>
        <v/>
      </c>
      <c r="R3190">
        <f>IF(AND(Inputs!$B$39&lt;&gt;"pvp",Inputs!$B$44&gt;0),IF(Inputs!$B$44&lt;=0,0,(INT(Inputs!$B$44/IF(Inputs!$B$39="pvp",15,MAX(0.1,Skills!D20-IF(Skills!E20=TRUE,Inputs!$B$32,0))))+1)),0)</f>
        <v/>
      </c>
      <c r="S3190">
        <f>IFERROR(O3190/N3190,0)</f>
        <v/>
      </c>
      <c r="T3190" t="n">
        <v>0</v>
      </c>
      <c r="V3190" t="n">
        <v>0</v>
      </c>
    </row>
    <row r="3191">
      <c r="A3191">
        <f>Skills!A21</f>
        <v/>
      </c>
      <c r="B3191">
        <f>Skills!B21</f>
        <v/>
      </c>
      <c r="C3191">
        <f>Inputs!$B$3&gt;=15</f>
        <v/>
      </c>
      <c r="D3191">
        <f>IF(Skills!C21=1,60+Inputs!$B$25+Inputs!$B$29,IF(Skills!C21=2,90+Inputs!$B$26+Inputs!$B$29,IF(Skills!C21=3,120+Inputs!$B$27+Inputs!$B$29,MAX(0,(Inputs!$B$3-100)*3)+Inputs!$B$28+Inputs!$B$29)))</f>
        <v/>
      </c>
      <c r="E3191">
        <f>INDEX(FactorTable!$B$2:$Y$301, MATCH(ROUND(MIN(300,MAX(1,D3191)),0), FactorTable!$A$2:$A$301,0), Skills!M21+1)</f>
        <v/>
      </c>
      <c r="F3191">
        <f>IF(Skills!N21=TRUE,(Skills!L21/10)*(E3191/1000),Skills!L21/10)+Skills!O21</f>
        <v/>
      </c>
      <c r="G3191">
        <f>Skills!G21*IF(Skills!H21&gt;0,Skills!I21/Skills!H21,1)</f>
        <v/>
      </c>
      <c r="H3191">
        <f>1-(1-Skills!J21/100)^Skills!K21</f>
        <v/>
      </c>
      <c r="I3191" t="inlineStr">
        <is>
          <t>1</t>
        </is>
      </c>
      <c r="J3191" t="inlineStr"/>
      <c r="K3191" t="inlineStr"/>
      <c r="L3191" t="inlineStr"/>
      <c r="M3191" t="inlineStr"/>
      <c r="N3191" t="inlineStr"/>
      <c r="O3191">
        <f>(1-Summary!$B$11)*T3191+Summary!$B$11*V3191</f>
        <v/>
      </c>
      <c r="P3191">
        <f>IF(B3215=0,0,O3191/B3215)</f>
        <v/>
      </c>
      <c r="Q3191">
        <f>IFERROR(1/IF(Inputs!$B$39="pvp",15,MAX(0.1,Skills!D21-IF(Skills!E21=TRUE,Inputs!$B$32,0))),0)</f>
        <v/>
      </c>
      <c r="R3191">
        <f>IF(AND(Inputs!$B$39&lt;&gt;"pvp",Inputs!$B$44&gt;0),IF(Inputs!$B$44&lt;=0,0,(INT(Inputs!$B$44/IF(Inputs!$B$39="pvp",15,MAX(0.1,Skills!D21-IF(Skills!E21=TRUE,Inputs!$B$32,0))))+1)),0)</f>
        <v/>
      </c>
      <c r="S3191">
        <f>IFERROR(O3191/N3191,0)</f>
        <v/>
      </c>
      <c r="T3191" t="n">
        <v>0</v>
      </c>
      <c r="V3191" t="n">
        <v>0</v>
      </c>
    </row>
    <row r="3192">
      <c r="A3192">
        <f>Skills!A22</f>
        <v/>
      </c>
      <c r="B3192">
        <f>Skills!B22</f>
        <v/>
      </c>
      <c r="C3192">
        <f>Inputs!$B$3&gt;=33</f>
        <v/>
      </c>
      <c r="D3192">
        <f>IF(Skills!C22=1,60+Inputs!$B$25+Inputs!$B$29,IF(Skills!C22=2,90+Inputs!$B$26+Inputs!$B$29,IF(Skills!C22=3,120+Inputs!$B$27+Inputs!$B$29,MAX(0,(Inputs!$B$3-100)*3)+Inputs!$B$28+Inputs!$B$29)))</f>
        <v/>
      </c>
      <c r="E3192">
        <f>INDEX(FactorTable!$B$2:$Y$301, MATCH(ROUND(MIN(300,MAX(1,D3192)),0), FactorTable!$A$2:$A$301,0), Skills!M22+1)</f>
        <v/>
      </c>
      <c r="F3192">
        <f>IF(Skills!N22=TRUE,(Skills!L22/10)*(E3192/1000),Skills!L22/10)+Skills!O22</f>
        <v/>
      </c>
      <c r="G3192">
        <f>Skills!G22*IF(Skills!H22&gt;0,Skills!I22/Skills!H22,1)</f>
        <v/>
      </c>
      <c r="H3192">
        <f>1-(1-Skills!J22/100)^Skills!K22</f>
        <v/>
      </c>
      <c r="I3192" t="inlineStr">
        <is>
          <t>1</t>
        </is>
      </c>
      <c r="J3192" t="inlineStr"/>
      <c r="K3192" t="inlineStr"/>
      <c r="L3192" t="inlineStr"/>
      <c r="M3192" t="inlineStr"/>
      <c r="N3192" t="inlineStr"/>
      <c r="O3192">
        <f>(1-Summary!$B$11)*T3192+Summary!$B$11*V3192</f>
        <v/>
      </c>
      <c r="P3192">
        <f>IF(B3215=0,0,O3192/B3215)</f>
        <v/>
      </c>
      <c r="Q3192" t="n">
        <v>0</v>
      </c>
      <c r="R3192" t="n">
        <v>0</v>
      </c>
      <c r="S3192">
        <f>IFERROR(O3192/N3192,0)</f>
        <v/>
      </c>
      <c r="T3192" t="n">
        <v>0</v>
      </c>
      <c r="V3192" t="n">
        <v>0</v>
      </c>
    </row>
    <row r="3193">
      <c r="A3193">
        <f>Skills!A23</f>
        <v/>
      </c>
      <c r="B3193">
        <f>Skills!B23</f>
        <v/>
      </c>
      <c r="C3193">
        <f>Inputs!$B$3&gt;=40</f>
        <v/>
      </c>
      <c r="D3193">
        <f>IF(Skills!C23=1,60+Inputs!$B$25+Inputs!$B$29,IF(Skills!C23=2,90+Inputs!$B$26+Inputs!$B$29,IF(Skills!C23=3,120+Inputs!$B$27+Inputs!$B$29,MAX(0,(Inputs!$B$3-100)*3)+Inputs!$B$28+Inputs!$B$29)))</f>
        <v/>
      </c>
      <c r="E3193">
        <f>INDEX(FactorTable!$B$2:$Y$301, MATCH(ROUND(MIN(300,MAX(1,D3193)),0), FactorTable!$A$2:$A$301,0), Skills!M23+1)</f>
        <v/>
      </c>
      <c r="F3193">
        <f>IF(Skills!N23=TRUE,(Skills!L23/10)*(E3193/1000),Skills!L23/10)+Skills!O23</f>
        <v/>
      </c>
      <c r="G3193">
        <f>Skills!G23*IF(Skills!H23&gt;0,Skills!I23/Skills!H23,1)</f>
        <v/>
      </c>
      <c r="H3193">
        <f>1-(1-Skills!J23/100)^Skills!K23</f>
        <v/>
      </c>
      <c r="I3193" t="inlineStr">
        <is>
          <t>1</t>
        </is>
      </c>
      <c r="J3193" t="inlineStr"/>
      <c r="K3193" t="inlineStr"/>
      <c r="L3193" t="inlineStr"/>
      <c r="M3193" t="inlineStr"/>
      <c r="N3193" t="inlineStr"/>
      <c r="O3193">
        <f>(1-Summary!$B$11)*T3193+Summary!$B$11*V3193</f>
        <v/>
      </c>
      <c r="P3193">
        <f>IF(B3215=0,0,O3193/B3215)</f>
        <v/>
      </c>
      <c r="Q3193" t="n">
        <v>0</v>
      </c>
      <c r="R3193" t="n">
        <v>0</v>
      </c>
      <c r="S3193">
        <f>IFERROR(O3193/N3193,0)</f>
        <v/>
      </c>
      <c r="T3193" t="n">
        <v>0</v>
      </c>
      <c r="V3193" t="n">
        <v>0</v>
      </c>
    </row>
    <row r="3194">
      <c r="A3194">
        <f>Skills!A24</f>
        <v/>
      </c>
      <c r="B3194">
        <f>Skills!B24</f>
        <v/>
      </c>
      <c r="C3194">
        <f>Inputs!$B$3&gt;=43</f>
        <v/>
      </c>
      <c r="D3194">
        <f>IF(Skills!C24=1,60+Inputs!$B$25+Inputs!$B$29,IF(Skills!C24=2,90+Inputs!$B$26+Inputs!$B$29,IF(Skills!C24=3,120+Inputs!$B$27+Inputs!$B$29,MAX(0,(Inputs!$B$3-100)*3)+Inputs!$B$28+Inputs!$B$29)))</f>
        <v/>
      </c>
      <c r="E3194">
        <f>INDEX(FactorTable!$B$2:$Y$301, MATCH(ROUND(MIN(300,MAX(1,D3194)),0), FactorTable!$A$2:$A$301,0), Skills!M24+1)</f>
        <v/>
      </c>
      <c r="F3194">
        <f>IF(Skills!N24=TRUE,(Skills!L24/10)*(E3194/1000),Skills!L24/10)+Skills!O24</f>
        <v/>
      </c>
      <c r="G3194">
        <f>Skills!G24*IF(Skills!H24&gt;0,Skills!I24/Skills!H24,1)</f>
        <v/>
      </c>
      <c r="H3194">
        <f>1-(1-Skills!J24/100)^Skills!K24</f>
        <v/>
      </c>
      <c r="I3194" t="inlineStr">
        <is>
          <t>1</t>
        </is>
      </c>
      <c r="J3194" t="inlineStr"/>
      <c r="K3194" t="inlineStr"/>
      <c r="L3194" t="inlineStr"/>
      <c r="M3194" t="inlineStr"/>
      <c r="N3194" t="inlineStr"/>
      <c r="O3194">
        <f>(1-Summary!$B$11)*T3194+Summary!$B$11*V3194</f>
        <v/>
      </c>
      <c r="P3194">
        <f>IF(B3215=0,0,O3194/B3215)</f>
        <v/>
      </c>
      <c r="Q3194" t="n">
        <v>0</v>
      </c>
      <c r="R3194" t="n">
        <v>0</v>
      </c>
      <c r="S3194">
        <f>IFERROR(O3194/N3194,0)</f>
        <v/>
      </c>
      <c r="T3194" t="n">
        <v>0</v>
      </c>
      <c r="V3194" t="n">
        <v>0</v>
      </c>
    </row>
    <row r="3195">
      <c r="A3195">
        <f>Skills!A25</f>
        <v/>
      </c>
      <c r="B3195">
        <f>Skills!B25</f>
        <v/>
      </c>
      <c r="C3195">
        <f>Inputs!$B$3&gt;=50</f>
        <v/>
      </c>
      <c r="D3195">
        <f>IF(Skills!C25=1,60+Inputs!$B$25+Inputs!$B$29,IF(Skills!C25=2,90+Inputs!$B$26+Inputs!$B$29,IF(Skills!C25=3,120+Inputs!$B$27+Inputs!$B$29,MAX(0,(Inputs!$B$3-100)*3)+Inputs!$B$28+Inputs!$B$29)))</f>
        <v/>
      </c>
      <c r="E3195">
        <f>INDEX(FactorTable!$B$2:$Y$301, MATCH(ROUND(MIN(300,MAX(1,D3195)),0), FactorTable!$A$2:$A$301,0), Skills!M25+1)</f>
        <v/>
      </c>
      <c r="F3195">
        <f>IF(Skills!N25=TRUE,(Skills!L25/10)*(E3195/1000),Skills!L25/10)+Skills!O25</f>
        <v/>
      </c>
      <c r="G3195">
        <f>Skills!G25*IF(Skills!H25&gt;0,Skills!I25/Skills!H25,1)</f>
        <v/>
      </c>
      <c r="H3195">
        <f>1-(1-Skills!J25/100)^Skills!K25</f>
        <v/>
      </c>
      <c r="I3195" t="inlineStr">
        <is>
          <t>1</t>
        </is>
      </c>
      <c r="J3195" t="inlineStr"/>
      <c r="K3195" t="inlineStr"/>
      <c r="L3195" t="inlineStr"/>
      <c r="M3195" t="inlineStr"/>
      <c r="N3195" t="inlineStr"/>
      <c r="O3195">
        <f>(1-Summary!$B$11)*T3195+Summary!$B$11*V3195</f>
        <v/>
      </c>
      <c r="P3195">
        <f>IF(B3215=0,0,O3195/B3215)</f>
        <v/>
      </c>
      <c r="Q3195" t="n">
        <v>0</v>
      </c>
      <c r="R3195" t="n">
        <v>0</v>
      </c>
      <c r="S3195">
        <f>IFERROR(O3195/N3195,0)</f>
        <v/>
      </c>
      <c r="T3195" t="n">
        <v>0</v>
      </c>
      <c r="V3195" t="n">
        <v>0</v>
      </c>
    </row>
    <row r="3196">
      <c r="A3196">
        <f>Skills!A26</f>
        <v/>
      </c>
      <c r="B3196">
        <f>Skills!B26</f>
        <v/>
      </c>
      <c r="C3196">
        <f>Inputs!$B$3&gt;=50</f>
        <v/>
      </c>
      <c r="D3196">
        <f>IF(Skills!C26=1,60+Inputs!$B$25+Inputs!$B$29,IF(Skills!C26=2,90+Inputs!$B$26+Inputs!$B$29,IF(Skills!C26=3,120+Inputs!$B$27+Inputs!$B$29,MAX(0,(Inputs!$B$3-100)*3)+Inputs!$B$28+Inputs!$B$29)))</f>
        <v/>
      </c>
      <c r="E3196">
        <f>INDEX(FactorTable!$B$2:$Y$301, MATCH(ROUND(MIN(300,MAX(1,D3196)),0), FactorTable!$A$2:$A$301,0), Skills!M26+1)</f>
        <v/>
      </c>
      <c r="F3196">
        <f>IF(Skills!N26=TRUE,(Skills!L26/10)*(E3196/1000),Skills!L26/10)+Skills!O26</f>
        <v/>
      </c>
      <c r="G3196">
        <f>Skills!G26*IF(Skills!H26&gt;0,Skills!I26/Skills!H26,1)</f>
        <v/>
      </c>
      <c r="H3196">
        <f>1-(1-Skills!J26/100)^Skills!K26</f>
        <v/>
      </c>
      <c r="I3196" t="inlineStr">
        <is>
          <t>1</t>
        </is>
      </c>
      <c r="J3196" t="inlineStr"/>
      <c r="K3196" t="inlineStr"/>
      <c r="L3196" t="inlineStr"/>
      <c r="M3196" t="inlineStr"/>
      <c r="N3196" t="inlineStr"/>
      <c r="O3196">
        <f>(1-Summary!$B$11)*T3196+Summary!$B$11*V3196</f>
        <v/>
      </c>
      <c r="P3196">
        <f>IF(B3215=0,0,O3196/B3215)</f>
        <v/>
      </c>
      <c r="Q3196" t="n">
        <v>0</v>
      </c>
      <c r="R3196" t="n">
        <v>0</v>
      </c>
      <c r="S3196">
        <f>IFERROR(O3196/N3196,0)</f>
        <v/>
      </c>
      <c r="T3196" t="n">
        <v>0</v>
      </c>
      <c r="V3196" t="n">
        <v>0</v>
      </c>
    </row>
    <row r="3197">
      <c r="A3197">
        <f>Skills!A27</f>
        <v/>
      </c>
      <c r="B3197">
        <f>Skills!B27</f>
        <v/>
      </c>
      <c r="C3197">
        <f>Inputs!$B$3&gt;=38</f>
        <v/>
      </c>
      <c r="D3197">
        <f>IF(Skills!C27=1,60+Inputs!$B$25+Inputs!$B$29,IF(Skills!C27=2,90+Inputs!$B$26+Inputs!$B$29,IF(Skills!C27=3,120+Inputs!$B$27+Inputs!$B$29,MAX(0,(Inputs!$B$3-100)*3)+Inputs!$B$28+Inputs!$B$29)))</f>
        <v/>
      </c>
      <c r="E3197">
        <f>INDEX(FactorTable!$B$2:$Y$301, MATCH(ROUND(MIN(300,MAX(1,D3197)),0), FactorTable!$A$2:$A$301,0), Skills!M27+1)</f>
        <v/>
      </c>
      <c r="F3197">
        <f>IF(Skills!N27=TRUE,(Skills!L27/10)*(E3197/1000),Skills!L27/10)+Skills!O27</f>
        <v/>
      </c>
      <c r="G3197">
        <f>Skills!G27*IF(Skills!H27&gt;0,Skills!I27/Skills!H27,1)</f>
        <v/>
      </c>
      <c r="H3197">
        <f>1-(1-Skills!J27/100)^Skills!K27</f>
        <v/>
      </c>
      <c r="I3197" t="inlineStr">
        <is>
          <t>1</t>
        </is>
      </c>
      <c r="J3197" t="inlineStr"/>
      <c r="K3197" t="inlineStr"/>
      <c r="L3197" t="inlineStr"/>
      <c r="M3197" t="inlineStr"/>
      <c r="N3197" t="inlineStr"/>
      <c r="O3197">
        <f>(1-Summary!$B$11)*T3197+Summary!$B$11*V3197</f>
        <v/>
      </c>
      <c r="P3197">
        <f>IF(B3215=0,0,O3197/B3215)</f>
        <v/>
      </c>
      <c r="Q3197" t="n">
        <v>0</v>
      </c>
      <c r="R3197" t="n">
        <v>0</v>
      </c>
      <c r="S3197">
        <f>IFERROR(O3197/N3197,0)</f>
        <v/>
      </c>
      <c r="T3197" t="n">
        <v>0</v>
      </c>
      <c r="V3197" t="n">
        <v>0</v>
      </c>
    </row>
    <row r="3198">
      <c r="A3198">
        <f>Skills!A28</f>
        <v/>
      </c>
      <c r="B3198">
        <f>Skills!B28</f>
        <v/>
      </c>
      <c r="C3198">
        <f>Inputs!$B$3&gt;=120</f>
        <v/>
      </c>
      <c r="D3198">
        <f>IF(Skills!C28=1,60+Inputs!$B$25+Inputs!$B$29,IF(Skills!C28=2,90+Inputs!$B$26+Inputs!$B$29,IF(Skills!C28=3,120+Inputs!$B$27+Inputs!$B$29,MAX(0,(Inputs!$B$3-100)*3)+Inputs!$B$28+Inputs!$B$29)))</f>
        <v/>
      </c>
      <c r="E3198">
        <f>INDEX(FactorTable!$B$2:$Y$301, MATCH(ROUND(MIN(300,MAX(1,D3198)),0), FactorTable!$A$2:$A$301,0), Skills!M28+1)</f>
        <v/>
      </c>
      <c r="F3198">
        <f>IF(Skills!N28=TRUE,(Skills!L28/10)*(E3198/1000),Skills!L28/10)+Skills!O28</f>
        <v/>
      </c>
      <c r="G3198">
        <f>Skills!G28*IF(Skills!H28&gt;0,Skills!I28/Skills!H28,1)</f>
        <v/>
      </c>
      <c r="H3198">
        <f>1-(1-Skills!J28/100)^Skills!K28</f>
        <v/>
      </c>
      <c r="I3198" t="inlineStr">
        <is>
          <t>1</t>
        </is>
      </c>
      <c r="J3198" t="inlineStr"/>
      <c r="K3198" t="inlineStr"/>
      <c r="L3198" t="inlineStr"/>
      <c r="M3198" t="inlineStr"/>
      <c r="N3198" t="inlineStr"/>
      <c r="O3198">
        <f>(1-Summary!$B$11)*T3198+Summary!$B$11*V3198</f>
        <v/>
      </c>
      <c r="P3198">
        <f>IF(B3215=0,0,O3198/B3215)</f>
        <v/>
      </c>
      <c r="Q3198" t="n">
        <v>0</v>
      </c>
      <c r="R3198" t="n">
        <v>0</v>
      </c>
      <c r="S3198">
        <f>IFERROR(O3198/N3198,0)</f>
        <v/>
      </c>
      <c r="T3198" t="n">
        <v>0</v>
      </c>
      <c r="V3198" t="n">
        <v>0</v>
      </c>
    </row>
    <row r="3199">
      <c r="A3199">
        <f>Skills!A29</f>
        <v/>
      </c>
      <c r="B3199">
        <f>Skills!B29</f>
        <v/>
      </c>
      <c r="C3199">
        <f>Inputs!$B$3&gt;=120</f>
        <v/>
      </c>
      <c r="D3199">
        <f>IF(Skills!C29=1,60+Inputs!$B$25+Inputs!$B$29,IF(Skills!C29=2,90+Inputs!$B$26+Inputs!$B$29,IF(Skills!C29=3,120+Inputs!$B$27+Inputs!$B$29,MAX(0,(Inputs!$B$3-100)*3)+Inputs!$B$28+Inputs!$B$29)))</f>
        <v/>
      </c>
      <c r="E3199">
        <f>INDEX(FactorTable!$B$2:$Y$301, MATCH(ROUND(MIN(300,MAX(1,D3199)),0), FactorTable!$A$2:$A$301,0), Skills!M29+1)</f>
        <v/>
      </c>
      <c r="F3199">
        <f>IF(Skills!N29=TRUE,(Skills!L29/10)*(E3199/1000),Skills!L29/10)+Skills!O29</f>
        <v/>
      </c>
      <c r="G3199">
        <f>Skills!G29*IF(Skills!H29&gt;0,Skills!I29/Skills!H29,1)</f>
        <v/>
      </c>
      <c r="H3199">
        <f>1-(1-Skills!J29/100)^Skills!K29</f>
        <v/>
      </c>
      <c r="I3199" t="inlineStr">
        <is>
          <t>1</t>
        </is>
      </c>
      <c r="J3199" t="inlineStr"/>
      <c r="K3199" t="inlineStr"/>
      <c r="L3199" t="inlineStr"/>
      <c r="M3199" t="inlineStr"/>
      <c r="N3199" t="inlineStr"/>
      <c r="O3199">
        <f>(1-Summary!$B$11)*T3199+Summary!$B$11*V3199</f>
        <v/>
      </c>
      <c r="P3199">
        <f>IF(B3215=0,0,O3199/B3215)</f>
        <v/>
      </c>
      <c r="Q3199" t="n">
        <v>0</v>
      </c>
      <c r="R3199" t="n">
        <v>0</v>
      </c>
      <c r="S3199">
        <f>IFERROR(O3199/N3199,0)</f>
        <v/>
      </c>
      <c r="T3199" t="n">
        <v>0</v>
      </c>
      <c r="V3199" t="n">
        <v>0</v>
      </c>
    </row>
    <row r="3200">
      <c r="A3200">
        <f>Skills!A30</f>
        <v/>
      </c>
      <c r="B3200">
        <f>Skills!B30</f>
        <v/>
      </c>
      <c r="C3200">
        <f>Inputs!$B$3&gt;=125</f>
        <v/>
      </c>
      <c r="D3200">
        <f>IF(Skills!C30=1,60+Inputs!$B$25+Inputs!$B$29,IF(Skills!C30=2,90+Inputs!$B$26+Inputs!$B$29,IF(Skills!C30=3,120+Inputs!$B$27+Inputs!$B$29,MAX(0,(Inputs!$B$3-100)*3)+Inputs!$B$28+Inputs!$B$29)))</f>
        <v/>
      </c>
      <c r="E3200">
        <f>INDEX(FactorTable!$B$2:$Y$301, MATCH(ROUND(MIN(300,MAX(1,D3200)),0), FactorTable!$A$2:$A$301,0), Skills!M30+1)</f>
        <v/>
      </c>
      <c r="F3200">
        <f>IF(Skills!N30=TRUE,(Skills!L30/10)*(E3200/1000),Skills!L30/10)+Skills!O30</f>
        <v/>
      </c>
      <c r="G3200">
        <f>Skills!G30*IF(Skills!H30&gt;0,Skills!I30/Skills!H30,1)</f>
        <v/>
      </c>
      <c r="H3200">
        <f>1-(1-Skills!J30/100)^Skills!K30</f>
        <v/>
      </c>
      <c r="I3200" t="inlineStr">
        <is>
          <t>1</t>
        </is>
      </c>
      <c r="J3200" t="inlineStr"/>
      <c r="K3200" t="inlineStr"/>
      <c r="L3200" t="inlineStr"/>
      <c r="M3200" t="inlineStr"/>
      <c r="N3200" t="inlineStr"/>
      <c r="O3200">
        <f>(1-Summary!$B$11)*T3200+Summary!$B$11*V3200</f>
        <v/>
      </c>
      <c r="P3200">
        <f>IF(B3215=0,0,O3200/B3215)</f>
        <v/>
      </c>
      <c r="Q3200" t="n">
        <v>0</v>
      </c>
      <c r="R3200" t="n">
        <v>0</v>
      </c>
      <c r="S3200">
        <f>IFERROR(O3200/N3200,0)</f>
        <v/>
      </c>
      <c r="T3200" t="n">
        <v>0</v>
      </c>
      <c r="V3200" t="n">
        <v>0</v>
      </c>
    </row>
    <row r="3202">
      <c r="A3202" t="inlineStr">
        <is>
          <t>Average Buff Multiplier</t>
        </is>
      </c>
      <c r="B3202">
        <f>(1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f>
        <v/>
      </c>
    </row>
    <row r="3203">
      <c r="A3203" t="inlineStr">
        <is>
          <t>Global Crit Rate Bonus %</t>
        </is>
      </c>
      <c r="B3203">
        <f>((C3190=TRUE)*F3190*IF(AND(Inputs!$B$39&lt;&gt;"pvp",Inputs!$B$44&gt;0),(((R3190-1)*(Skills!Y20*(1+Inputs!$B$34/100))+MIN((Skills!Y20*(1+Inputs!$B$34/100)),MAX(0,Inputs!$B$44-((R3190-1)*Skills!D20))))/Inputs!$B$44),IF(Inputs!$B$39="pvp",MIN((Skills!Y20*(1+Inputs!$B$34/100)),15)/15,(Skills!Y20*(1+Inputs!$B$34/100))/Skills!D20)))</f>
        <v/>
      </c>
    </row>
    <row r="3204">
      <c r="A3204" t="inlineStr">
        <is>
          <t>Global Monster Damage-Taken Bonus %</t>
        </is>
      </c>
      <c r="B3204">
        <f>IF(Inputs!$B$3&gt;=82,15,0)</f>
        <v/>
      </c>
    </row>
    <row r="3205">
      <c r="A3205" t="inlineStr">
        <is>
          <t>Shadow Partner Average Multiplier</t>
        </is>
      </c>
      <c r="B3205">
        <f>1+((C3177=TRUE)*F3177*(1+3.3333333333333335*IF(C3188=TRUE,F3188,0)/100)*I3177*Skills!J7/100)/100</f>
        <v/>
      </c>
    </row>
    <row r="3206">
      <c r="A3206" t="inlineStr">
        <is>
          <t>Attack Speed Buff Bonus %</t>
        </is>
      </c>
      <c r="B3206">
        <f>((C3189=TRUE)*F3189*IF(AND(Inputs!$B$39&lt;&gt;"pvp",Inputs!$B$44&gt;0),(((R3189-1)*(Skills!Y19*(1+Inputs!$B$34/100))+MIN((Skills!Y19*(1+Inputs!$B$34/100)),MAX(0,Inputs!$B$44-((R3189-1)*Skills!D19))))/Inputs!$B$44),IF(Inputs!$B$39="pvp",MIN((Skills!Y19*(1+Inputs!$B$34/100)),15)/15,(Skills!Y19*(1+Inputs!$B$34/100))/Skills!D19)))+((C3173=TRUE)*F3173*3)</f>
        <v/>
      </c>
    </row>
    <row r="3207">
      <c r="A3207" t="inlineStr">
        <is>
          <t>Actions Per Second</t>
        </is>
      </c>
      <c r="B3207">
        <f>1+MIN(150,150*(1-(1-(Inputs!$B$11+((C3192=TRUE)*(F3192-Calc!F22)))/150)*(1-B3206/150)))/100</f>
        <v/>
      </c>
    </row>
    <row r="3208">
      <c r="A3208" t="inlineStr">
        <is>
          <t>Skill + Buff Cast Rate</t>
        </is>
      </c>
      <c r="B3208">
        <f>IF(AND(Inputs!$B$39&lt;&gt;"pvp",Inputs!$B$44&gt;0),SUMPRODUCT((Skills!E2:E30=TRUE)*(C3172:C3200=TRUE)*R3172:R3200*Skills!F2:F30)/Inputs!$B$44,SUMPRODUCT((Skills!E2:E30=TRUE)*(C3172:C3200=TRUE)*Q3172:Q3200*Skills!F2:F30))</f>
        <v/>
      </c>
    </row>
    <row r="3209">
      <c r="A3209" t="inlineStr">
        <is>
          <t>Cruel Stab Casts Per Second</t>
        </is>
      </c>
      <c r="B3209">
        <f>MAX(0,B3207-B3208)</f>
        <v/>
      </c>
    </row>
    <row r="3210">
      <c r="A3210" t="inlineStr">
        <is>
          <t>Global Critical Damage Bonus % (Smokescreen Mastery Lv.113)</t>
        </is>
      </c>
      <c r="B3210">
        <f>IF(Inputs!$B$3&gt;=113,30,0)*IF(AND(Inputs!$B$39&lt;&gt;"pvp",Inputs!$B$44&gt;0),(((R3185-1)*(Skills!Y15*(1+Inputs!$B$34/100))+MIN((Skills!Y15*(1+Inputs!$B$34/100)),MAX(0,Inputs!$B$44-((R3185-1)*Skills!D15))))/Inputs!$B$44),IF(Inputs!$B$39="pvp",MIN((Skills!Y15*(1+Inputs!$B$34/100)),15)/15,(Skills!Y15*(1+Inputs!$B$34/100))/Skills!D15))</f>
        <v/>
      </c>
    </row>
    <row r="3211">
      <c r="A3211" t="inlineStr">
        <is>
          <t>Meso Explosion average stack count</t>
        </is>
      </c>
      <c r="B3211">
        <f>MIN(10,0.5*B3207*Skills!D4)</f>
        <v/>
      </c>
    </row>
    <row r="3212">
      <c r="A3212" t="inlineStr">
        <is>
          <t>Blood Money average stack count</t>
        </is>
      </c>
      <c r="B3212">
        <f>MIN(5,0.25*B3207*Skills!D4)</f>
        <v/>
      </c>
    </row>
    <row r="3213">
      <c r="A3213" t="inlineStr">
        <is>
          <t>Assassinate Murderous Intent Multiplier</t>
        </is>
      </c>
      <c r="B3213">
        <f>1+IFERROR(MIN(1,Q3184*2/Q3181),0)</f>
        <v/>
      </c>
    </row>
    <row r="3214">
      <c r="A3214" t="inlineStr">
        <is>
          <t>Buff-Casting Startup Delay (s, fixed-duration only)</t>
        </is>
      </c>
      <c r="B3214">
        <f>IF(AND(Inputs!$B$39&lt;&gt;"pvp",Inputs!$B$44&gt;0),SUMPRODUCT((Skills!Y2:Y30&gt;0)*(Skills!E2:E30=TRUE)*(C3172:C3200=TRUE))/B3207,0)</f>
        <v/>
      </c>
    </row>
    <row r="3215">
      <c r="A3215" s="6" t="inlineStr">
        <is>
          <t>TOTAL DPS</t>
        </is>
      </c>
      <c r="B3215" s="6">
        <f>SUM(O3172:O3200)</f>
        <v/>
      </c>
    </row>
    <row r="3216">
      <c r="A3216" t="inlineStr">
        <is>
          <t>Boss-Only Total DPS (this block's swept value)</t>
        </is>
      </c>
      <c r="B3216">
        <f>SUM(T3172:T3200)</f>
        <v/>
      </c>
    </row>
    <row r="3217">
      <c r="A3217" t="inlineStr">
        <is>
          <t>Normal-Only Total DPS (this block's swept value)</t>
        </is>
      </c>
      <c r="B3217">
        <f>SUM(V3172:V3200)</f>
        <v/>
      </c>
    </row>
    <row r="3220">
      <c r="A3220" s="9" t="inlineStr">
        <is>
          <t>Cooldown Reduction Milestone Sweep (absolute CDR seconds, fixed-duration content only)</t>
        </is>
      </c>
    </row>
    <row r="3221">
      <c r="A3221" s="5" t="inlineStr">
        <is>
          <t>CDR (s)</t>
        </is>
      </c>
      <c r="B3221" s="5" t="inlineStr">
        <is>
          <t>Total DPS</t>
        </is>
      </c>
      <c r="C3221" s="5" t="inlineStr">
        <is>
          <t>DPS Gain (vs prior step)</t>
        </is>
      </c>
      <c r="D3221" s="5" t="inlineStr">
        <is>
          <t>% Gain (vs current CDR)</t>
        </is>
      </c>
    </row>
    <row r="3222">
      <c r="A3222" t="n">
        <v>0.5</v>
      </c>
      <c r="B3222">
        <f>B3279</f>
        <v/>
      </c>
      <c r="C3222" t="n">
        <v>0</v>
      </c>
      <c r="D3222">
        <f>IF(Summary!$B$3=0,0,(B3222-Summary!$B$3)/Summary!$B$3*100)</f>
        <v/>
      </c>
    </row>
    <row r="3223">
      <c r="A3223" t="n">
        <v>1</v>
      </c>
      <c r="B3223">
        <f>B3329</f>
        <v/>
      </c>
      <c r="C3223">
        <f>B3223-B3222</f>
        <v/>
      </c>
      <c r="D3223">
        <f>IF(Summary!$B$3=0,0,(B3223-Summary!$B$3)/Summary!$B$3*100)</f>
        <v/>
      </c>
    </row>
    <row r="3224">
      <c r="A3224" t="n">
        <v>1.5</v>
      </c>
      <c r="B3224">
        <f>B3379</f>
        <v/>
      </c>
      <c r="C3224">
        <f>B3224-B3223</f>
        <v/>
      </c>
      <c r="D3224">
        <f>IF(Summary!$B$3=0,0,(B3224-Summary!$B$3)/Summary!$B$3*100)</f>
        <v/>
      </c>
    </row>
    <row r="3225">
      <c r="A3225" t="n">
        <v>2</v>
      </c>
      <c r="B3225">
        <f>B3429</f>
        <v/>
      </c>
      <c r="C3225">
        <f>B3225-B3224</f>
        <v/>
      </c>
      <c r="D3225">
        <f>IF(Summary!$B$3=0,0,(B3225-Summary!$B$3)/Summary!$B$3*100)</f>
        <v/>
      </c>
    </row>
    <row r="3226">
      <c r="A3226" t="n">
        <v>2.5</v>
      </c>
      <c r="B3226">
        <f>B3479</f>
        <v/>
      </c>
      <c r="C3226">
        <f>B3226-B3225</f>
        <v/>
      </c>
      <c r="D3226">
        <f>IF(Summary!$B$3=0,0,(B3226-Summary!$B$3)/Summary!$B$3*100)</f>
        <v/>
      </c>
    </row>
    <row r="3227">
      <c r="A3227" t="n">
        <v>3</v>
      </c>
      <c r="B3227">
        <f>B3529</f>
        <v/>
      </c>
      <c r="C3227">
        <f>B3227-B3226</f>
        <v/>
      </c>
      <c r="D3227">
        <f>IF(Summary!$B$3=0,0,(B3227-Summary!$B$3)/Summary!$B$3*100)</f>
        <v/>
      </c>
    </row>
    <row r="3228">
      <c r="A3228" t="n">
        <v>3.5</v>
      </c>
      <c r="B3228">
        <f>B3579</f>
        <v/>
      </c>
      <c r="C3228">
        <f>B3228-B3227</f>
        <v/>
      </c>
      <c r="D3228">
        <f>IF(Summary!$B$3=0,0,(B3228-Summary!$B$3)/Summary!$B$3*100)</f>
        <v/>
      </c>
    </row>
    <row r="3229">
      <c r="A3229" t="n">
        <v>4</v>
      </c>
      <c r="B3229">
        <f>B3629</f>
        <v/>
      </c>
      <c r="C3229">
        <f>B3229-B3228</f>
        <v/>
      </c>
      <c r="D3229">
        <f>IF(Summary!$B$3=0,0,(B3229-Summary!$B$3)/Summary!$B$3*100)</f>
        <v/>
      </c>
    </row>
    <row r="3230">
      <c r="A3230" t="n">
        <v>4.5</v>
      </c>
      <c r="B3230">
        <f>B3679</f>
        <v/>
      </c>
      <c r="C3230">
        <f>B3230-B3229</f>
        <v/>
      </c>
      <c r="D3230">
        <f>IF(Summary!$B$3=0,0,(B3230-Summary!$B$3)/Summary!$B$3*100)</f>
        <v/>
      </c>
    </row>
    <row r="3231">
      <c r="A3231" t="n">
        <v>5</v>
      </c>
      <c r="B3231">
        <f>B3729</f>
        <v/>
      </c>
      <c r="C3231">
        <f>B3231-B3230</f>
        <v/>
      </c>
      <c r="D3231">
        <f>IF(Summary!$B$3=0,0,(B3231-Summary!$B$3)/Summary!$B$3*100)</f>
        <v/>
      </c>
    </row>
    <row r="3234">
      <c r="A3234" s="6" t="inlineStr">
        <is>
          <t>Stat: CDR = 0.5s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3236)</f>
        <v/>
      </c>
      <c r="L3236">
        <f>K3236*(MIN(Inputs!$B$22+((C3258=TRUE)*(F3258-Calc!F24)),(Inputs!$B$23+((C3263=TRUE)*(F3263-Calc!F29))+IF(ArtifactsInput!$M$15,CHOOSE(ArtifactsInput!$N$15+1,25,30,35,40,45,50)/100*(Inputs!$B$11-Inputs!$B$11),0)))/100+(Inputs!$B$23+((C3263=TRUE)*(F3263-Calc!F29))+IF(ArtifactsInput!$M$15,CHOOSE(ArtifactsInput!$N$15+1,25,30,35,40,45,50)/100*(Inputs!$B$11-Inputs!$B$11),0))/100)/2</f>
        <v/>
      </c>
      <c r="M3236">
        <f>L3236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IF(B3279=0,0,O3236/B3279)</f>
        <v/>
      </c>
      <c r="Q3236" t="n">
        <v>0</v>
      </c>
      <c r="R3236" t="n">
        <v>0</v>
      </c>
      <c r="S3236">
        <f>IFERROR(O3236/N3236,0)</f>
        <v/>
      </c>
      <c r="T3236">
        <f>IF(C3236,(Skills!G2*N3236*B3273)*IF(Inputs!$B$39="pvp",1,1+(Inputs!$B$20+0+Skills!P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3236*(1-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6">
        <f>MAX(0,(Inputs!$B$3-100)*3)+Inputs!$B$28+Inputs!$B$29</f>
        <v/>
      </c>
      <c r="V3236">
        <f>IF(C3236,(Skills!G2*N3236*B3273)*IF(Inputs!$B$39="pvp",1,(1+(Inputs!$B$21+Skills!Q2+B3268+(IF(ArtifactsInput!$M$33,CHOOSE(ArtifactsInput!$N$33+1,30,36,42,48,54,60),0))+(IF(AND(ArtifactsInput!$M$35,Inputs!$B$4&lt;&gt;"Chapter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Skills!A3</f>
        <v/>
      </c>
      <c r="B3237">
        <f>Skills!B3</f>
        <v/>
      </c>
      <c r="C3237">
        <f>Inputs!$B$3&gt;=35</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t="inlineStr"/>
      <c r="K3237" t="inlineStr"/>
      <c r="L3237" t="inlineStr"/>
      <c r="M3237" t="inlineStr"/>
      <c r="N3237" t="inlineStr"/>
      <c r="O3237">
        <f>(1-Summary!$B$11)*T3237+Summary!$B$11*V3237</f>
        <v/>
      </c>
      <c r="P3237">
        <f>IF(B3279=0,0,O3237/B3279)</f>
        <v/>
      </c>
      <c r="Q3237" t="n">
        <v>0</v>
      </c>
      <c r="R3237" t="n">
        <v>0</v>
      </c>
      <c r="S3237">
        <f>IFERROR(O3237/N3237,0)</f>
        <v/>
      </c>
      <c r="T3237" t="n">
        <v>0</v>
      </c>
      <c r="U3237">
        <f>INDEX(FactorTable!$B$2:$Y$301, MATCH(ROUND(MIN(300,MAX(1,U3236)),0), FactorTable!$A$2:$A$301,0), 22)</f>
        <v/>
      </c>
      <c r="V3237" t="n">
        <v>0</v>
      </c>
    </row>
    <row r="3238">
      <c r="A3238">
        <f>Skills!A4</f>
        <v/>
      </c>
      <c r="B3238">
        <f>Skills!B4</f>
        <v/>
      </c>
      <c r="C3238">
        <f>Inputs!$B$3&gt;=66</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f>Skills!G4*IF(Skills!H4&gt;0,Skills!I4/Skills!H4,1)</f>
        <v/>
      </c>
      <c r="H3238">
        <f>1-(1-Skills!J4/100)^Skills!K4</f>
        <v/>
      </c>
      <c r="I3238" t="inlineStr">
        <is>
          <t>1</t>
        </is>
      </c>
      <c r="J3238">
        <f>((Inputs!$B$6*(1+Inputs!$B$7/100))+(((Inputs!$B$12*(1+Inputs!$B$13/100))-(Inputs!$B$12*(1+Inputs!$B$13/100)))+0.25*(Inputs!$B$14-Inputs!$B$14))*(1+Inputs!$B$7/100))*(F3238/100)</f>
        <v/>
      </c>
      <c r="K3238">
        <f>J3238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3238)</f>
        <v/>
      </c>
      <c r="L3238">
        <f>K3238*(MIN(Inputs!$B$22+((C3258=TRUE)*(F3258-Calc!F24)),(Inputs!$B$23+((C3263=TRUE)*(F3263-Calc!F29))+IF(ArtifactsInput!$M$15,CHOOSE(ArtifactsInput!$N$15+1,25,30,35,40,45,50)/100*(Inputs!$B$11-Inputs!$B$11),0)))/100+(Inputs!$B$23+((C3263=TRUE)*(F3263-Calc!F29))+IF(ArtifactsInput!$M$15,CHOOSE(ArtifactsInput!$N$15+1,25,30,35,40,45,50)/100*(Inputs!$B$11-Inputs!$B$11),0))/100)/2</f>
        <v/>
      </c>
      <c r="M3238">
        <f>L3238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8">
        <f>L3238*(1-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(1-Summary!$B$11)*T3238+Summary!$B$11*V3238</f>
        <v/>
      </c>
      <c r="P3238">
        <f>IF(B3279=0,0,O3238/B3279)</f>
        <v/>
      </c>
      <c r="Q3238">
        <f>IFERROR(1/IF(Inputs!$B$39="pvp",15,MAX(0.1,Skills!D4-IF(Skills!E4=TRUE,0.5,0))),0)</f>
        <v/>
      </c>
      <c r="R3238">
        <f>IF(AND(Inputs!$B$39&lt;&gt;"pvp",Inputs!$B$44&gt;0),IF(MAX(0,Inputs!$B$44-B3278)&lt;=0,0,(INT(MAX(0,Inputs!$B$44-B3278)/IF(Inputs!$B$39="pvp",15,MAX(0.1,Skills!D4-IF(Skills!E4=TRUE,0.5,0))))+1)),0)</f>
        <v/>
      </c>
      <c r="S3238">
        <f>IFERROR(O3238/N3238,0)</f>
        <v/>
      </c>
      <c r="T3238">
        <f>IF(C3238,(H3238*N3238*IF(AND(Inputs!$B$39&lt;&gt;"pvp",Inputs!$B$44&gt;0),((Skills!G4*((R3238-1)*IF(Skills!H4&gt;0,Skills!I4/Skills!H4,1)+IF(Skills!H4&gt;0,MIN(Skills!I4,MAX(0,MAX(0,Inputs!$B$44-B3278)-((R3238-1)*IF(Inputs!$B$39="pvp",15,MAX(0.1,Skills!D4-IF(Skills!E4=TRUE,0.5,0))))))/Skills!H4,1)))/Inputs!$B$44),G3238*Q3238))*IF(Inputs!$B$39="pvp",1,1+(Inputs!$B$20+0+Skills!P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3238*(1-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8">
        <f>290*U3237/1000</f>
        <v/>
      </c>
      <c r="V3238">
        <f>IF(C3238,(H3238*N3238*IF(AND(Inputs!$B$39&lt;&gt;"pvp",Inputs!$B$44&gt;0),((Skills!G4*((R3238-1)*IF(Skills!H4&gt;0,Skills!I4/Skills!H4,1)+IF(Skills!H4&gt;0,MIN(Skills!I4,MAX(0,MAX(0,Inputs!$B$44-B3278)-((R3238-1)*IF(Inputs!$B$39="pvp",15,MAX(0.1,Skills!D4-IF(Skills!E4=TRUE,0.5,0))))))/Skills!H4,1)))/Inputs!$B$44),G3238*Q3238))*IF(Inputs!$B$39="pvp",1,(1+(Inputs!$B$21+Skills!Q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(10,0.5*B3271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Skills!A5</f>
        <v/>
      </c>
      <c r="B3239">
        <f>Skills!B5</f>
        <v/>
      </c>
      <c r="C3239">
        <f>Inputs!$B$3&gt;=63</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3252=TRUE,F3252,0)/100)*(1+(IF(Skills!A5="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3239)</f>
        <v/>
      </c>
      <c r="L3239">
        <f>K3239*(MIN(Inputs!$B$22+((C3258=TRUE)*(F3258-Calc!F24)),(Inputs!$B$23+((C3263=TRUE)*(F3263-Calc!F29))+IF(ArtifactsInput!$M$15,CHOOSE(ArtifactsInput!$N$15+1,25,30,35,40,45,50)/100*(Inputs!$B$11-Inputs!$B$11),0)))/100+(Inputs!$B$23+((C3263=TRUE)*(F3263-Calc!F29))+IF(ArtifactsInput!$M$15,CHOOSE(ArtifactsInput!$N$15+1,25,30,35,40,45,50)/100*(Inputs!$B$11-Inputs!$B$11),0))/100)/2</f>
        <v/>
      </c>
      <c r="M3239">
        <f>L3239*(1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IF(B3279=0,0,O3239/B3279)</f>
        <v/>
      </c>
      <c r="Q3239">
        <f>IFERROR(1/IF(Inputs!$B$39="pvp",15,MAX(0.1,Skills!D5-IF(Skills!E5=TRUE,0.5,0))),0)</f>
        <v/>
      </c>
      <c r="R3239">
        <f>IF(AND(Inputs!$B$39&lt;&gt;"pvp",Inputs!$B$44&gt;0),IF(MAX(0,Inputs!$B$44-B3278)&lt;=0,0,(INT(MAX(0,Inputs!$B$44-B3278)/IF(Inputs!$B$39="pvp",15,MAX(0.1,Skills!D5-IF(Skills!E5=TRUE,0.5,0))))+1)),0)</f>
        <v/>
      </c>
      <c r="S3239">
        <f>IFERROR(O3239/N3239,0)</f>
        <v/>
      </c>
      <c r="T3239">
        <f>IF(C3239,(H3239*N3239*IF(AND(Inputs!$B$39&lt;&gt;"pvp",Inputs!$B$44&gt;0),((Skills!G5*((R3239-1)*IF(Skills!H5&gt;0,Skills!I5/Skills!H5,1)+IF(Skills!H5&gt;0,MIN(Skills!I5,MAX(0,MAX(0,Inputs!$B$44-B3278)-((R3239-1)*IF(Inputs!$B$39="pvp",15,MAX(0.1,Skills!D5-IF(Skills!E5=TRUE,0.5,0))))))/Skills!H5,1)))/Inputs!$B$44),G3239*Q3239))*IF(Inputs!$B$39="pvp",1,1+(Inputs!$B$20+0+Skills!P5+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3239*(1-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H3239*N3239*IF(AND(Inputs!$B$39&lt;&gt;"pvp",Inputs!$B$44&gt;0),((Skills!G5*((R3239-1)*IF(Skills!H5&gt;0,Skills!I5/Skills!H5,1)+IF(Skills!H5&gt;0,MIN(Skills!I5,MAX(0,MAX(0,Inputs!$B$44-B3278)-((R3239-1)*IF(Inputs!$B$39="pvp",15,MAX(0.1,Skills!D5-IF(Skills!E5=TRUE,0.5,0))))))/Skills!H5,1)))/Inputs!$B$44),G3239*Q3239))*IF(Inputs!$B$39="pvp",1,(1+(Inputs!$B$21+Skills!Q5+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Skills!A6</f>
        <v/>
      </c>
      <c r="B3240">
        <f>Skills!B6</f>
        <v/>
      </c>
      <c r="C3240">
        <f>Inputs!$B$3&gt;=69</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3252=TRUE,F3252,0)/100)*(1+(IF(Skills!A6="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3240)</f>
        <v/>
      </c>
      <c r="L3240">
        <f>K3240*(MIN(Inputs!$B$22+((C3258=TRUE)*(F3258-Calc!F24)),(Inputs!$B$23+((C3263=TRUE)*(F3263-Calc!F29))+IF(ArtifactsInput!$M$15,CHOOSE(ArtifactsInput!$N$15+1,25,30,35,40,45,50)/100*(Inputs!$B$11-Inputs!$B$11),0)))/100+(Inputs!$B$23+((C3263=TRUE)*(F3263-Calc!F29))+IF(ArtifactsInput!$M$15,CHOOSE(ArtifactsInput!$N$15+1,25,30,35,40,45,50)/100*(Inputs!$B$11-Inputs!$B$11),0))/100)/2</f>
        <v/>
      </c>
      <c r="M3240">
        <f>L3240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0">
        <f>L3240*(1-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3240*(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0">
        <f>(1-Summary!$B$11)*T3240+Summary!$B$11*V3240</f>
        <v/>
      </c>
      <c r="P3240">
        <f>IF(B3279=0,0,O3240/B3279)</f>
        <v/>
      </c>
      <c r="Q3240">
        <f>IFERROR(1/IF(Inputs!$B$39="pvp",15,MAX(0.1,Skills!D6-IF(Skills!E6=TRUE,0.5,0))),0)</f>
        <v/>
      </c>
      <c r="R3240">
        <f>IF(AND(Inputs!$B$39&lt;&gt;"pvp",Inputs!$B$44&gt;0),IF(MAX(0,Inputs!$B$44-B3278)&lt;=0,0,(INT(MAX(0,Inputs!$B$44-B3278)/IF(Inputs!$B$39="pvp",15,MAX(0.1,Skills!D6-IF(Skills!E6=TRUE,0.5,0))))+1)),0)</f>
        <v/>
      </c>
      <c r="S3240">
        <f>IFERROR(O3240/N3240,0)</f>
        <v/>
      </c>
      <c r="T3240">
        <f>IF(C3240,(H3240*N3240*IF(AND(Inputs!$B$39&lt;&gt;"pvp",Inputs!$B$44&gt;0),((Skills!G6*((R3240-1)*IF(Skills!H6&gt;0,Skills!I6/Skills!H6,1)+IF(Skills!H6&gt;0,MIN(Skills!I6,MAX(0,MAX(0,Inputs!$B$44-B3278)-((R3240-1)*IF(Inputs!$B$39="pvp",15,MAX(0.1,Skills!D6-IF(Skills!E6=TRUE,0.5,0))))))/Skills!H6,1)))/Inputs!$B$44),G3240*Q3240))*IF(Inputs!$B$39="pvp",1,1+(Inputs!$B$20+0+Skills!P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3240*(1-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3240*(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3240*(1-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3240*(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0">
        <f>IF(C3240,(H3240*N3240*IF(AND(Inputs!$B$39&lt;&gt;"pvp",Inputs!$B$44&gt;0),((Skills!G6*((R3240-1)*IF(Skills!H6&gt;0,Skills!I6/Skills!H6,1)+IF(Skills!H6&gt;0,MIN(Skills!I6,MAX(0,MAX(0,Inputs!$B$44-B3278)-((R3240-1)*IF(Inputs!$B$39="pvp",15,MAX(0.1,Skills!D6-IF(Skills!E6=TRUE,0.5,0))))))/Skills!H6,1)))/Inputs!$B$44),G3240*Q3240))*IF(Inputs!$B$39="pvp",1,(1+(Inputs!$B$21+Skills!Q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1">
      <c r="A3241">
        <f>Skills!A7</f>
        <v/>
      </c>
      <c r="B3241">
        <f>Skills!B7</f>
        <v/>
      </c>
      <c r="C3241">
        <f>Inputs!$B$3&gt;=60</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f>Skills!G7*IF(Skills!H7&gt;0,Skills!I7/Skills!H7,1)</f>
        <v/>
      </c>
      <c r="H3241">
        <f>1-(1-Skills!J7/100)^Skills!K7</f>
        <v/>
      </c>
      <c r="I3241" t="inlineStr">
        <is>
          <t>1</t>
        </is>
      </c>
      <c r="J3241" t="inlineStr"/>
      <c r="K3241" t="inlineStr"/>
      <c r="L3241" t="inlineStr"/>
      <c r="M3241" t="inlineStr"/>
      <c r="N3241" t="inlineStr"/>
      <c r="O3241">
        <f>(1-Summary!$B$11)*T3241+Summary!$B$11*V3241</f>
        <v/>
      </c>
      <c r="P3241">
        <f>IF(B3279=0,0,O3241/B3279)</f>
        <v/>
      </c>
      <c r="Q3241" t="n">
        <v>0</v>
      </c>
      <c r="R3241" t="n">
        <v>0</v>
      </c>
      <c r="S3241">
        <f>IFERROR(O3241/N3241,0)</f>
        <v/>
      </c>
      <c r="T3241" t="n">
        <v>0</v>
      </c>
      <c r="V3241" t="n">
        <v>0</v>
      </c>
    </row>
    <row r="3242">
      <c r="A3242">
        <f>Skills!A8</f>
        <v/>
      </c>
      <c r="B3242">
        <f>Skills!B8</f>
        <v/>
      </c>
      <c r="C3242">
        <f>Inputs!$B$3&gt;=72</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3252=TRUE,F3252,0)/100)*(1+(IF(Skills!A8="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3242)</f>
        <v/>
      </c>
      <c r="L3242">
        <f>K3242*(MIN(Inputs!$B$22+((C3258=TRUE)*(F3258-Calc!F24)),(Inputs!$B$23+((C3263=TRUE)*(F3263-Calc!F29))+IF(ArtifactsInput!$M$15,CHOOSE(ArtifactsInput!$N$15+1,25,30,35,40,45,50)/100*(Inputs!$B$11-Inputs!$B$11),0)))/100+(Inputs!$B$23+((C3263=TRUE)*(F3263-Calc!F29))+IF(ArtifactsInput!$M$15,CHOOSE(ArtifactsInput!$N$15+1,25,30,35,40,45,50)/100*(Inputs!$B$11-Inputs!$B$11),0))/100)/2</f>
        <v/>
      </c>
      <c r="M3242">
        <f>L3242*(1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2">
        <f>L3242*(1-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(1-Summary!$B$11)*T3242+Summary!$B$11*V3242</f>
        <v/>
      </c>
      <c r="P3242">
        <f>IF(B3279=0,0,O3242/B3279)</f>
        <v/>
      </c>
      <c r="Q3242">
        <f>IFERROR(1/IF(Inputs!$B$39="pvp",15,MAX(0.1,Skills!D8-IF(Skills!E8=TRUE,0.5,0))),0)</f>
        <v/>
      </c>
      <c r="R3242">
        <f>IF(AND(Inputs!$B$39&lt;&gt;"pvp",Inputs!$B$44&gt;0),IF(MAX(0,Inputs!$B$44-B3278)&lt;=0,0,(INT(MAX(0,Inputs!$B$44-B3278)/IF(Inputs!$B$39="pvp",15,MAX(0.1,Skills!D8-IF(Skills!E8=TRUE,0.5,0))))+1)),0)</f>
        <v/>
      </c>
      <c r="S3242">
        <f>IFERROR(O3242/N3242,0)</f>
        <v/>
      </c>
      <c r="T3242">
        <f>IF(C3242,(H3242*N3242*IF(AND(Inputs!$B$39&lt;&gt;"pvp",Inputs!$B$44&gt;0),((Skills!G8*((R3242-1)*IF(Skills!H8&gt;0,Skills!I8/Skills!H8,1)+IF(Skills!H8&gt;0,MIN(Skills!I8,MAX(0,MAX(0,Inputs!$B$44-B3278)-((R3242-1)*IF(Inputs!$B$39="pvp",15,MAX(0.1,Skills!D8-IF(Skills!E8=TRUE,0.5,0))))))/Skills!H8,1)))/Inputs!$B$44),G3242*Q3242))*IF(Inputs!$B$39="pvp",1,1+(Inputs!$B$20+0+Skills!P8+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3242*(1-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2">
        <f>IF(C3242,(H3242*N3242*IF(AND(Inputs!$B$39&lt;&gt;"pvp",Inputs!$B$44&gt;0),((Skills!G8*((R3242-1)*IF(Skills!H8&gt;0,Skills!I8/Skills!H8,1)+IF(Skills!H8&gt;0,MIN(Skills!I8,MAX(0,MAX(0,Inputs!$B$44-B3278)-((R3242-1)*IF(Inputs!$B$39="pvp",15,MAX(0.1,Skills!D8-IF(Skills!E8=TRUE,0.5,0))))))/Skills!H8,1)))/Inputs!$B$44),G3242*Q3242))*IF(Inputs!$B$39="pvp",1,(1+(Inputs!$B$21+Skills!Q8+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Skills!A9</f>
        <v/>
      </c>
      <c r="B3243">
        <f>Skills!B9</f>
        <v/>
      </c>
      <c r="C3243">
        <f>Inputs!$B$3&gt;=117</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3243)</f>
        <v/>
      </c>
      <c r="L3243">
        <f>K3243*(MIN(Inputs!$B$22+((C3258=TRUE)*(F3258-Calc!F24)),(Inputs!$B$23+((C3263=TRUE)*(F3263-Calc!F29))+IF(ArtifactsInput!$M$15,CHOOSE(ArtifactsInput!$N$15+1,25,30,35,40,45,50)/100*(Inputs!$B$11-Inputs!$B$11),0)))/100+(Inputs!$B$23+((C3263=TRUE)*(F3263-Calc!F29))+IF(ArtifactsInput!$M$15,CHOOSE(ArtifactsInput!$N$15+1,25,30,35,40,45,50)/100*(Inputs!$B$11-Inputs!$B$11),0))/100)/2</f>
        <v/>
      </c>
      <c r="M3243">
        <f>L3243*(1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3">
        <f>L3243*(1-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(1-Summary!$B$11)*T3243+Summary!$B$11*V3243</f>
        <v/>
      </c>
      <c r="P3243">
        <f>IF(B3279=0,0,O3243/B3279)</f>
        <v/>
      </c>
      <c r="Q3243" t="n">
        <v>0</v>
      </c>
      <c r="R3243" t="n">
        <v>0</v>
      </c>
      <c r="S3243" t="n">
        <v>0</v>
      </c>
      <c r="T3243">
        <f>IF(C3243,(0.2*SUMPRODUCT((Skills!Z2:Z30=TRUE)*(C3236:C3264=TRUE)*S3236:S3264)*N3243)*IF(Inputs!$B$39="pvp",1,1+(Inputs!$B$20+0+Skills!P9+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3243*(1-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3">
        <f>IF(C3243,(0.2*SUMPRODUCT((Skills!Z2:Z30=TRUE)*(C3236:C3264=TRUE)*S3236:S3264)*N3243)*IF(Inputs!$B$39="pvp",1,(1+(Inputs!$B$21+Skills!Q9+B3268+(IF(ArtifactsInput!$M$33,CHOOSE(ArtifactsInput!$N$33+1,30,36,42,48,54,60),0))+(IF(AND(ArtifactsInput!$M$35,Inputs!$B$4&lt;&gt;"Chapter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4">
      <c r="A3244">
        <f>Skills!A10</f>
        <v/>
      </c>
      <c r="B3244">
        <f>Skills!B10</f>
        <v/>
      </c>
      <c r="C3244">
        <f>Inputs!$B$3&gt;=74</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t="inlineStr"/>
      <c r="K3244" t="inlineStr"/>
      <c r="L3244" t="inlineStr"/>
      <c r="M3244" t="inlineStr"/>
      <c r="N3244" t="inlineStr"/>
      <c r="O3244">
        <f>(1-Summary!$B$11)*T3244+Summary!$B$11*V3244</f>
        <v/>
      </c>
      <c r="P3244">
        <f>IF(B3279=0,0,O3244/B3279)</f>
        <v/>
      </c>
      <c r="Q3244">
        <f>IFERROR(1/IF(Inputs!$B$39="pvp",15,MAX(0.1,Skills!D10-IF(Skills!E10=TRUE,0.5,0))),0)</f>
        <v/>
      </c>
      <c r="R3244">
        <f>IF(AND(Inputs!$B$39&lt;&gt;"pvp",Inputs!$B$44&gt;0),IF(Inputs!$B$44&lt;=0,0,(INT(Inputs!$B$44/IF(Inputs!$B$39="pvp",15,MAX(0.1,Skills!D10-IF(Skills!E10=TRUE,0.5,0))))+1)),0)</f>
        <v/>
      </c>
      <c r="S3244">
        <f>IFERROR(O3244/N3244,0)</f>
        <v/>
      </c>
      <c r="T3244" t="n">
        <v>0</v>
      </c>
      <c r="V3244" t="n">
        <v>0</v>
      </c>
    </row>
    <row r="3245">
      <c r="A3245">
        <f>Skills!A11</f>
        <v/>
      </c>
      <c r="B3245">
        <f>Skills!B11</f>
        <v/>
      </c>
      <c r="C3245">
        <f>Inputs!$B$3&gt;=103</f>
        <v/>
      </c>
      <c r="D3245">
        <f>IF(Skills!C11=1,60+Inputs!$B$25+Inputs!$B$29,IF(Skills!C11=2,90+Inputs!$B$26+Inputs!$B$29,IF(Skills!C11=3,120+Inputs!$B$27+Inputs!$B$29,MAX(0,(Inputs!$B$3-100)*3)+Inputs!$B$28+Inputs!$B$29)))</f>
        <v/>
      </c>
      <c r="E3245">
        <f>INDEX(FactorTable!$B$2:$Y$301, MATCH(ROUND(MIN(300,MAX(1,D3245)),0), FactorTable!$A$2:$A$301,0), Skills!M11+1)</f>
        <v/>
      </c>
      <c r="F3245">
        <f>(Skills!L11/10)*(E3245/1000)+IF(Inputs!$B$3&gt;=134,50,0)+0.5*(30000/10)*(INDEX(FactorTable!$B$2:$Y$301, MATCH(ROUND(MIN(300,MAX(1,D3245)),0), FactorTable!$A$2:$A$301,0), 13)/1000)*B3277</f>
        <v/>
      </c>
      <c r="G3245">
        <f>Skills!G11*IF(Skills!H11&gt;0,Skills!I11/Skills!H11,1)</f>
        <v/>
      </c>
      <c r="H3245">
        <f>1-(1-Skills!J11/100)^Skills!K11</f>
        <v/>
      </c>
      <c r="I3245" t="inlineStr">
        <is>
          <t>1</t>
        </is>
      </c>
      <c r="J3245">
        <f>((Inputs!$B$6*(1+Inputs!$B$7/100))+(((Inputs!$B$12*(1+Inputs!$B$13/100))-(Inputs!$B$12*(1+Inputs!$B$13/100)))+0.25*(Inputs!$B$14-Inputs!$B$14))*(1+Inputs!$B$7/100))*(F3245/100)</f>
        <v/>
      </c>
      <c r="K3245">
        <f>J3245*(1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3245)</f>
        <v/>
      </c>
      <c r="L3245">
        <f>K3245*(MIN(Inputs!$B$22+((C3258=TRUE)*(F3258-Calc!F24)),(Inputs!$B$23+((C3263=TRUE)*(F3263-Calc!F29))+IF(ArtifactsInput!$M$15,CHOOSE(ArtifactsInput!$N$15+1,25,30,35,40,45,50)/100*(Inputs!$B$11-Inputs!$B$11),0)))/100+(Inputs!$B$23+((C3263=TRUE)*(F3263-Calc!F29))+IF(ArtifactsInput!$M$15,CHOOSE(ArtifactsInput!$N$15+1,25,30,35,40,45,50)/100*(Inputs!$B$11-Inputs!$B$11),0))/100)/2</f>
        <v/>
      </c>
      <c r="M3245">
        <f>L3245*(1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5">
        <f>L3245*(1-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(1-Summary!$B$11)*T3245+Summary!$B$11*V3245</f>
        <v/>
      </c>
      <c r="P3245">
        <f>IF(B3279=0,0,O3245/B3279)</f>
        <v/>
      </c>
      <c r="Q3245">
        <f>IFERROR(1/IF(Inputs!$B$39="pvp",15,MAX(0.1,Skills!D11-IF(Skills!E11=TRUE,0.5,0))),0)</f>
        <v/>
      </c>
      <c r="R3245">
        <f>IF(AND(Inputs!$B$39&lt;&gt;"pvp",Inputs!$B$44&gt;0),IF(MAX(0,Inputs!$B$44-B3278)&lt;=0,0,(INT(MAX(0,Inputs!$B$44-B3278)/IF(Inputs!$B$39="pvp",15,MAX(0.1,Skills!D11-IF(Skills!E11=TRUE,0.5,0))))+1)),0)</f>
        <v/>
      </c>
      <c r="S3245">
        <f>IFERROR(O3245/N3245,0)</f>
        <v/>
      </c>
      <c r="T3245">
        <f>IF(C3245,(H3245*N3245*IF(AND(Inputs!$B$39&lt;&gt;"pvp",Inputs!$B$44&gt;0),((Skills!G11*((R3245-1)*IF(Skills!H11&gt;0,Skills!I11/Skills!H11,1)+IF(Skills!H11&gt;0,MIN(Skills!I11,MAX(0,MAX(0,Inputs!$B$44-B3278)-((R3245-1)*IF(Inputs!$B$39="pvp",15,MAX(0.1,Skills!D11-IF(Skills!E11=TRUE,0.5,0))))))/Skills!H11,1)))/Inputs!$B$44),G3245*Q3245))*IF(Inputs!$B$39="pvp",1,1+(Inputs!$B$20+0+Skills!P11+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3245*(1-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5">
        <f>IF(C3245,(H3245*N3245*IF(AND(Inputs!$B$39&lt;&gt;"pvp",Inputs!$B$44&gt;0),((Skills!G11*((R3245-1)*IF(Skills!H11&gt;0,Skills!I11/Skills!H11,1)+IF(Skills!H11&gt;0,MIN(Skills!I11,MAX(0,MAX(0,Inputs!$B$44-B3278)-((R3245-1)*IF(Inputs!$B$39="pvp",15,MAX(0.1,Skills!D11-IF(Skills!E11=TRUE,0.5,0))))))/Skills!H11,1)))/Inputs!$B$44),G3245*Q3245))*IF(Inputs!$B$39="pvp",1,(1+(Inputs!$B$21+Skills!Q11+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Skills!A12</f>
        <v/>
      </c>
      <c r="B3246">
        <f>Skills!B12</f>
        <v/>
      </c>
      <c r="C3246">
        <f>Inputs!$B$3&gt;=105</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3246)</f>
        <v/>
      </c>
      <c r="L3246">
        <f>K3246*(MIN(Inputs!$B$22+((C3258=TRUE)*(F3258-Calc!F24)),(Inputs!$B$23+((C3263=TRUE)*(F3263-Calc!F29))+IF(ArtifactsInput!$M$15,CHOOSE(ArtifactsInput!$N$15+1,25,30,35,40,45,50)/100*(Inputs!$B$11-Inputs!$B$11),0)))/100+(Inputs!$B$23+((C3263=TRUE)*(F3263-Calc!F29))+IF(ArtifactsInput!$M$15,CHOOSE(ArtifactsInput!$N$15+1,25,30,35,40,45,50)/100*(Inputs!$B$11-Inputs!$B$11),0))/100)/2</f>
        <v/>
      </c>
      <c r="M3246">
        <f>L3246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6">
        <f>L3246*(1-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3246*(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6">
        <f>(1-Summary!$B$11)*T3246+Summary!$B$11*V3246</f>
        <v/>
      </c>
      <c r="P3246">
        <f>IF(B3279=0,0,O3246/B3279)</f>
        <v/>
      </c>
      <c r="Q3246">
        <f>IFERROR(1/IF(Inputs!$B$39="pvp",15,MAX(0.1,Skills!D12-IF(Skills!E12=TRUE,0.5,0))),0)</f>
        <v/>
      </c>
      <c r="R3246">
        <f>IF(AND(Inputs!$B$39&lt;&gt;"pvp",Inputs!$B$44&gt;0),IF(MAX(0,Inputs!$B$44-B3278)&lt;=0,0,(INT(MAX(0,Inputs!$B$44-B3278)/IF(Inputs!$B$39="pvp",15,MAX(0.1,Skills!D12-IF(Skills!E12=TRUE,0.5,0))))+1)),0)</f>
        <v/>
      </c>
      <c r="S3246">
        <f>IFERROR(O3246/N3246,0)</f>
        <v/>
      </c>
      <c r="T3246">
        <f>IF(C3246,(H3246*N3246*IF(AND(Inputs!$B$39&lt;&gt;"pvp",Inputs!$B$44&gt;0),((Skills!G12*((R3246-1)*IF(Skills!H12&gt;0,Skills!I12/Skills!H12,1)+IF(Skills!H12&gt;0,MIN(Skills!I12,MAX(0,MAX(0,Inputs!$B$44-B3278)-((R3246-1)*IF(Inputs!$B$39="pvp",15,MAX(0.1,Skills!D12-IF(Skills!E12=TRUE,0.5,0))))))/Skills!H12,1)))/Inputs!$B$44),G3246*Q3246))*IF(Inputs!$B$39="pvp",1,1+(Inputs!$B$20+0+Skills!P12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3246*(1-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3246*(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3246*(1-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3246*(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6">
        <f>IF(C3246,(H3246*N3246*IF(AND(Inputs!$B$39&lt;&gt;"pvp",Inputs!$B$44&gt;0),((Skills!G12*((R3246-1)*IF(Skills!H12&gt;0,Skills!I12/Skills!H12,1)+IF(Skills!H12&gt;0,MIN(Skills!I12,MAX(0,MAX(0,Inputs!$B$44-B3278)-((R3246-1)*IF(Inputs!$B$39="pvp",15,MAX(0.1,Skills!D12-IF(Skills!E12=TRUE,0.5,0))))))/Skills!H12,1)))/Inputs!$B$44),G3246*Q3246))*IF(Inputs!$B$39="pvp",1,(1+(Inputs!$B$21+Skills!Q12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7">
      <c r="A3247">
        <f>Skills!A13</f>
        <v/>
      </c>
      <c r="B3247">
        <f>Skills!B13</f>
        <v/>
      </c>
      <c r="C3247">
        <f>Inputs!$B$3&gt;=105</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f>Skills!G13*IF(Skills!H13&gt;0,Skills!I13/Skills!H13,1)</f>
        <v/>
      </c>
      <c r="H3247">
        <f>1-(1-Skills!J13/100)^Skills!K13</f>
        <v/>
      </c>
      <c r="I3247" t="inlineStr">
        <is>
          <t>1</t>
        </is>
      </c>
      <c r="J3247">
        <f>((Inputs!$B$6*(1+Inputs!$B$7/100))+(((Inputs!$B$12*(1+Inputs!$B$13/100))-(Inputs!$B$12*(1+Inputs!$B$13/100)))+0.25*(Inputs!$B$14-Inputs!$B$14))*(1+Inputs!$B$7/100))*(F3247/100)</f>
        <v/>
      </c>
      <c r="K3247">
        <f>J3247*(1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3247)</f>
        <v/>
      </c>
      <c r="L3247">
        <f>K3247*(MIN(Inputs!$B$22+((C3258=TRUE)*(F3258-Calc!F24)),(Inputs!$B$23+((C3263=TRUE)*(F3263-Calc!F29))+IF(ArtifactsInput!$M$15,CHOOSE(ArtifactsInput!$N$15+1,25,30,35,40,45,50)/100*(Inputs!$B$11-Inputs!$B$11),0)))/100+(Inputs!$B$23+((C3263=TRUE)*(F3263-Calc!F29))+IF(ArtifactsInput!$M$15,CHOOSE(ArtifactsInput!$N$15+1,25,30,35,40,45,50)/100*(Inputs!$B$11-Inputs!$B$11),0))/100)/2</f>
        <v/>
      </c>
      <c r="M3247">
        <f>L3247*(1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7">
        <f>L3247*(1-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3247*(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7">
        <f>(1-Summary!$B$11)*T3247+Summary!$B$11*V3247</f>
        <v/>
      </c>
      <c r="P3247">
        <f>IF(B3279=0,0,O3247/B3279)</f>
        <v/>
      </c>
      <c r="Q3247">
        <f>IFERROR(1/IF(Inputs!$B$39="pvp",15,MAX(0.1,Skills!D13-IF(Skills!E13=TRUE,0.5,0))),0)</f>
        <v/>
      </c>
      <c r="R3247">
        <f>IF(AND(Inputs!$B$39&lt;&gt;"pvp",Inputs!$B$44&gt;0),IF(MAX(0,Inputs!$B$44-B3278)&lt;=0,0,(INT(MAX(0,Inputs!$B$44-B3278)/IF(Inputs!$B$39="pvp",15,MAX(0.1,Skills!D13-IF(Skills!E13=TRUE,0.5,0))))+1)),0)</f>
        <v/>
      </c>
      <c r="S3247">
        <f>IFERROR(O3247/N3247,0)</f>
        <v/>
      </c>
      <c r="T3247">
        <f>IF(C3247,(H3247*N3247*IF(AND(Inputs!$B$39&lt;&gt;"pvp",Inputs!$B$44&gt;0),((Skills!G13*((R3247-1)*IF(Skills!H13&gt;0,Skills!I13/Skills!H13,1)+IF(Skills!H13&gt;0,MIN(Skills!I13,MAX(0,MAX(0,Inputs!$B$44-B3278)-((R3247-1)*IF(Inputs!$B$39="pvp",15,MAX(0.1,Skills!D13-IF(Skills!E13=TRUE,0.5,0))))))/Skills!H13,1)))/Inputs!$B$44),G3247*Q3247))*IF(Inputs!$B$39="pvp",1,1+(Inputs!$B$20+0+Skills!P13+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3247*(1-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3247*(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3247*(1-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3247*(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7">
        <f>IF(C3247,(H3247*N3247*IF(AND(Inputs!$B$39&lt;&gt;"pvp",Inputs!$B$44&gt;0),((Skills!G13*((R3247-1)*IF(Skills!H13&gt;0,Skills!I13/Skills!H13,1)+IF(Skills!H13&gt;0,MIN(Skills!I13,MAX(0,MAX(0,Inputs!$B$44-B3278)-((R3247-1)*IF(Inputs!$B$39="pvp",15,MAX(0.1,Skills!D13-IF(Skills!E13=TRUE,0.5,0))))))/Skills!H13,1)))/Inputs!$B$44),G3247*Q3247))*IF(Inputs!$B$39="pvp",1,(1+(Inputs!$B$21+Skills!Q13+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8">
      <c r="A3248">
        <f>Skills!A14</f>
        <v/>
      </c>
      <c r="B3248">
        <f>Skills!B14</f>
        <v/>
      </c>
      <c r="C3248">
        <f>Inputs!$B$3&gt;=107</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f>((Inputs!$B$6*(1+Inputs!$B$7/100))+(((Inputs!$B$12*(1+Inputs!$B$13/100))-(Inputs!$B$12*(1+Inputs!$B$13/100)))+0.25*(Inputs!$B$14-Inputs!$B$14))*(1+Inputs!$B$7/100))*(F3248/100)</f>
        <v/>
      </c>
      <c r="K3248">
        <f>J3248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3248)</f>
        <v/>
      </c>
      <c r="L3248">
        <f>K3248*(MIN(Inputs!$B$22+((C3258=TRUE)*(F3258-Calc!F24)),(Inputs!$B$23+((C3263=TRUE)*(F3263-Calc!F29))+IF(ArtifactsInput!$M$15,CHOOSE(ArtifactsInput!$N$15+1,25,30,35,40,45,50)/100*(Inputs!$B$11-Inputs!$B$11),0)))/100+(Inputs!$B$23+((C3263=TRUE)*(F3263-Calc!F29))+IF(ArtifactsInput!$M$15,CHOOSE(ArtifactsInput!$N$15+1,25,30,35,40,45,50)/100*(Inputs!$B$11-Inputs!$B$11),0))/100)/2</f>
        <v/>
      </c>
      <c r="M3248">
        <f>L3248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8">
        <f>L3248*(1-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3248*(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8">
        <f>(1-Summary!$B$11)*T3248+Summary!$B$11*V3248</f>
        <v/>
      </c>
      <c r="P3248">
        <f>IF(B3279=0,0,O3248/B3279)</f>
        <v/>
      </c>
      <c r="Q3248">
        <f>IFERROR(1/IF(Inputs!$B$39="pvp",15,MAX(0.1,Skills!D14-IF(Skills!E14=TRUE,0.5,0))),0)</f>
        <v/>
      </c>
      <c r="R3248">
        <f>IF(AND(Inputs!$B$39&lt;&gt;"pvp",Inputs!$B$44&gt;0),IF(MAX(0,Inputs!$B$44-B3278)&lt;=0,0,(INT(MAX(0,Inputs!$B$44-B3278)/IF(Inputs!$B$39="pvp",15,MAX(0.1,Skills!D14-IF(Skills!E14=TRUE,0.5,0))))+1)),0)</f>
        <v/>
      </c>
      <c r="S3248">
        <f>IFERROR(O3248/N3248,0)</f>
        <v/>
      </c>
      <c r="T3248">
        <f>IF(C3248,(H3248*N3248*IF(AND(Inputs!$B$39&lt;&gt;"pvp",Inputs!$B$44&gt;0),((Skills!G14*((R3248-1)*IF(Skills!H14&gt;0,Skills!I14/Skills!H14,1)+IF(Skills!H14&gt;0,MIN(Skills!I14,MAX(0,MAX(0,Inputs!$B$44-B3278)-((R3248-1)*IF(Inputs!$B$39="pvp",15,MAX(0.1,Skills!D14-IF(Skills!E14=TRUE,0.5,0))))))/Skills!H14,1)))/Inputs!$B$44),G3248*Q3248))*IF(Inputs!$B$39="pvp",1,1+(Inputs!$B$20+0+Skills!P14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3248*(1-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3248*(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3248*(1-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3248*(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8">
        <f>IF(C3248,(H3248*N3248*IF(AND(Inputs!$B$39&lt;&gt;"pvp",Inputs!$B$44&gt;0),((Skills!G14*((R3248-1)*IF(Skills!H14&gt;0,Skills!I14/Skills!H14,1)+IF(Skills!H14&gt;0,MIN(Skills!I14,MAX(0,MAX(0,Inputs!$B$44-B3278)-((R3248-1)*IF(Inputs!$B$39="pvp",15,MAX(0.1,Skills!D14-IF(Skills!E14=TRUE,0.5,0))))))/Skills!H14,1)))/Inputs!$B$44),G3248*Q3248))*IF(Inputs!$B$39="pvp",1,(1+(Inputs!$B$21+Skills!Q14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(5,0.25*B3271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9">
      <c r="A3249">
        <f>Skills!A15</f>
        <v/>
      </c>
      <c r="B3249">
        <f>Skills!B15</f>
        <v/>
      </c>
      <c r="C3249">
        <f>Inputs!$B$3&gt;=110</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IF(B3279=0,0,O3249/B3279)</f>
        <v/>
      </c>
      <c r="Q3249">
        <f>IFERROR(1/IF(Inputs!$B$39="pvp",15,MAX(0.1,Skills!D15-IF(Skills!E15=TRUE,0.5,0))),0)</f>
        <v/>
      </c>
      <c r="R3249">
        <f>IF(AND(Inputs!$B$39&lt;&gt;"pvp",Inputs!$B$44&gt;0),IF(Inputs!$B$44&lt;=0,0,(INT(Inputs!$B$44/IF(Inputs!$B$39="pvp",15,MAX(0.1,Skills!D15-IF(Skills!E15=TRUE,0.5,0))))+1)),0)</f>
        <v/>
      </c>
      <c r="S3249">
        <f>IFERROR(O3249/N3249,0)</f>
        <v/>
      </c>
      <c r="T3249" t="n">
        <v>0</v>
      </c>
      <c r="V3249" t="n">
        <v>0</v>
      </c>
    </row>
    <row r="3250">
      <c r="A3250">
        <f>Skills!A16</f>
        <v/>
      </c>
      <c r="B3250">
        <f>Skills!B16</f>
        <v/>
      </c>
      <c r="C3250">
        <f>Inputs!$B$3&gt;=115</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f>((Inputs!$B$6*(1+Inputs!$B$7/100))+(((Inputs!$B$12*(1+Inputs!$B$13/100))-(Inputs!$B$12*(1+Inputs!$B$13/100)))+0.25*(Inputs!$B$14-Inputs!$B$14))*(1+Inputs!$B$7/100))*(F3250/100)</f>
        <v/>
      </c>
      <c r="K3250">
        <f>J3250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3261=TRUE)*(F3261-Calc!F27))+((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3250)</f>
        <v/>
      </c>
      <c r="L3250">
        <f>K3250*(MIN(Inputs!$B$22+((C3258=TRUE)*(F3258-Calc!F24)),(Inputs!$B$23+((C3263=TRUE)*(F3263-Calc!F29))+IF(ArtifactsInput!$M$15,CHOOSE(ArtifactsInput!$N$15+1,25,30,35,40,45,50)/100*(Inputs!$B$11-Inputs!$B$11),0)))/100+(Inputs!$B$23+((C3263=TRUE)*(F3263-Calc!F29))+IF(ArtifactsInput!$M$15,CHOOSE(ArtifactsInput!$N$15+1,25,30,35,40,45,50)/100*(Inputs!$B$11-Inputs!$B$11),0))/100)/2</f>
        <v/>
      </c>
      <c r="M3250">
        <f>L3250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0">
        <f>L3250*(1-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3250*(MIN((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0">
        <f>(1-Summary!$B$11)*T3250+Summary!$B$11*V3250</f>
        <v/>
      </c>
      <c r="P3250">
        <f>IF(B3279=0,0,O3250/B3279)</f>
        <v/>
      </c>
      <c r="Q3250" t="n">
        <v>0</v>
      </c>
      <c r="R3250" t="n">
        <v>0</v>
      </c>
      <c r="S3250">
        <f>IFERROR(O3250/N3250,0)</f>
        <v/>
      </c>
      <c r="T3250">
        <f>IF(C3250,(Inputs!$B$38*0.2*N3250)*IF(Inputs!$B$39="pvp",1,1+(Inputs!$B$20+0+Skills!P16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3250*(1-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3250*(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3250*(1-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3250*(MIN(100,(Inputs!$B$9+((C3259=TRUE)*(F3259-Calc!F25))+B3267+(ArtifactsInput!$M$24-ArtifactsInput!$M$24)*CHOOSE(ArtifactsInput!$N$24+1,10,12,14,16,18,20)+(IF(AND(Inputs!$B$39&lt;&gt;"pvp",Inputs!$B$44=0),1,IF(IF(Inputs!$B$39="pvp",15,Inputs!$B$44)-(B3278)&lt;=0,1,MAX(0,IF(Inputs!$B$39="pvp",15,Inputs!$B$44)-MAX(5,B3278))/(IF(Inputs!$B$39="pvp",15,Inputs!$B$44)-(B3278))))*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0">
        <f>IF(C3250,(Inputs!$B$38*0.2*N3250)*IF(Inputs!$B$39="pvp",1,(1+(Inputs!$B$21+Skills!Q16+B3268+(IF(ArtifactsInput!$M$33,CHOOSE(ArtifactsInput!$N$33+1,30,36,42,48,54,60),0))+(IF(AND(ArtifactsInput!$M$35,Inputs!$B$4&lt;&gt;"Chapter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IF(B3279=0,0,O3251/B3279)</f>
        <v/>
      </c>
      <c r="Q3251" t="n">
        <v>0</v>
      </c>
      <c r="R3251" t="n">
        <v>0</v>
      </c>
      <c r="S3251">
        <f>IFERROR(O3251/N3251,0)</f>
        <v/>
      </c>
      <c r="T3251" t="n">
        <v>0</v>
      </c>
      <c r="V3251" t="n">
        <v>0</v>
      </c>
    </row>
    <row r="3252">
      <c r="A3252">
        <f>Skills!A18</f>
        <v/>
      </c>
      <c r="B3252">
        <f>Skills!B18</f>
        <v/>
      </c>
      <c r="C3252">
        <f>Inputs!$B$3&gt;=100</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IF(B3279=0,0,O3252/B3279)</f>
        <v/>
      </c>
      <c r="Q3252" t="n">
        <v>0</v>
      </c>
      <c r="R3252" t="n">
        <v>0</v>
      </c>
      <c r="S3252">
        <f>IFERROR(O3252/N3252,0)</f>
        <v/>
      </c>
      <c r="T3252" t="n">
        <v>0</v>
      </c>
      <c r="V3252" t="n">
        <v>0</v>
      </c>
    </row>
    <row r="3253">
      <c r="A3253">
        <f>Skills!A19</f>
        <v/>
      </c>
      <c r="B3253">
        <f>Skills!B19</f>
        <v/>
      </c>
      <c r="C3253">
        <f>TRUE</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IF(B3279=0,0,O3253/B3279)</f>
        <v/>
      </c>
      <c r="Q3253">
        <f>IFERROR(1/IF(Inputs!$B$39="pvp",15,MAX(0.1,Skills!D19-IF(Skills!E19=TRUE,0.5,0))),0)</f>
        <v/>
      </c>
      <c r="R3253">
        <f>IF(AND(Inputs!$B$39&lt;&gt;"pvp",Inputs!$B$44&gt;0),IF(Inputs!$B$44&lt;=0,0,(INT(Inputs!$B$44/IF(Inputs!$B$39="pvp",15,MAX(0.1,Skills!D19-IF(Skills!E19=TRUE,0.5,0))))+1)),0)</f>
        <v/>
      </c>
      <c r="S3253">
        <f>IFERROR(O3253/N3253,0)</f>
        <v/>
      </c>
      <c r="T3253" t="n">
        <v>0</v>
      </c>
      <c r="V3253" t="n">
        <v>0</v>
      </c>
    </row>
    <row r="3254">
      <c r="A3254">
        <f>Skills!A20</f>
        <v/>
      </c>
      <c r="B3254">
        <f>Skills!B20</f>
        <v/>
      </c>
      <c r="C3254">
        <f>Inputs!$B$3&gt;=15</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IF(B3279=0,0,O3254/B3279)</f>
        <v/>
      </c>
      <c r="Q3254">
        <f>IFERROR(1/IF(Inputs!$B$39="pvp",15,MAX(0.1,Skills!D20-IF(Skills!E20=TRUE,0.5,0))),0)</f>
        <v/>
      </c>
      <c r="R3254">
        <f>IF(AND(Inputs!$B$39&lt;&gt;"pvp",Inputs!$B$44&gt;0),IF(Inputs!$B$44&lt;=0,0,(INT(Inputs!$B$44/IF(Inputs!$B$39="pvp",15,MAX(0.1,Skills!D20-IF(Skills!E20=TRUE,0.5,0))))+1)),0)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IF(B3279=0,0,O3255/B3279)</f>
        <v/>
      </c>
      <c r="Q3255">
        <f>IFERROR(1/IF(Inputs!$B$39="pvp",15,MAX(0.1,Skills!D21-IF(Skills!E21=TRUE,0.5,0))),0)</f>
        <v/>
      </c>
      <c r="R3255">
        <f>IF(AND(Inputs!$B$39&lt;&gt;"pvp",Inputs!$B$44&gt;0),IF(Inputs!$B$44&lt;=0,0,(INT(Inputs!$B$44/IF(Inputs!$B$39="pvp",15,MAX(0.1,Skills!D21-IF(Skills!E21=TRUE,0.5,0))))+1)),0)</f>
        <v/>
      </c>
      <c r="S3255">
        <f>IFERROR(O3255/N3255,0)</f>
        <v/>
      </c>
      <c r="T3255" t="n">
        <v>0</v>
      </c>
      <c r="V3255" t="n">
        <v>0</v>
      </c>
    </row>
    <row r="3256">
      <c r="A3256">
        <f>Skills!A22</f>
        <v/>
      </c>
      <c r="B3256">
        <f>Skills!B22</f>
        <v/>
      </c>
      <c r="C3256">
        <f>Inputs!$B$3&gt;=33</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IF(B3279=0,0,O3256/B3279)</f>
        <v/>
      </c>
      <c r="Q3256" t="n">
        <v>0</v>
      </c>
      <c r="R3256" t="n">
        <v>0</v>
      </c>
      <c r="S3256">
        <f>IFERROR(O3256/N3256,0)</f>
        <v/>
      </c>
      <c r="T3256" t="n">
        <v>0</v>
      </c>
      <c r="V3256" t="n">
        <v>0</v>
      </c>
    </row>
    <row r="3257">
      <c r="A3257">
        <f>Skills!A23</f>
        <v/>
      </c>
      <c r="B3257">
        <f>Skills!B23</f>
        <v/>
      </c>
      <c r="C3257">
        <f>Inputs!$B$3&gt;=40</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IF(B3279=0,0,O3257/B3279)</f>
        <v/>
      </c>
      <c r="Q3257" t="n">
        <v>0</v>
      </c>
      <c r="R3257" t="n">
        <v>0</v>
      </c>
      <c r="S3257">
        <f>IFERROR(O3257/N3257,0)</f>
        <v/>
      </c>
      <c r="T3257" t="n">
        <v>0</v>
      </c>
      <c r="V3257" t="n">
        <v>0</v>
      </c>
    </row>
    <row r="3258">
      <c r="A3258">
        <f>Skills!A24</f>
        <v/>
      </c>
      <c r="B3258">
        <f>Skills!B24</f>
        <v/>
      </c>
      <c r="C3258">
        <f>Inputs!$B$3&gt;=43</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IF(B3279=0,0,O3258/B3279)</f>
        <v/>
      </c>
      <c r="Q3258" t="n">
        <v>0</v>
      </c>
      <c r="R3258" t="n">
        <v>0</v>
      </c>
      <c r="S3258">
        <f>IFERROR(O3258/N3258,0)</f>
        <v/>
      </c>
      <c r="T3258" t="n">
        <v>0</v>
      </c>
      <c r="V3258" t="n">
        <v>0</v>
      </c>
    </row>
    <row r="3259">
      <c r="A3259">
        <f>Skills!A25</f>
        <v/>
      </c>
      <c r="B3259">
        <f>Skills!B25</f>
        <v/>
      </c>
      <c r="C3259">
        <f>Inputs!$B$3&gt;=50</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IF(B3279=0,0,O3259/B3279)</f>
        <v/>
      </c>
      <c r="Q3259" t="n">
        <v>0</v>
      </c>
      <c r="R3259" t="n">
        <v>0</v>
      </c>
      <c r="S3259">
        <f>IFERROR(O3259/N3259,0)</f>
        <v/>
      </c>
      <c r="T3259" t="n">
        <v>0</v>
      </c>
      <c r="V3259" t="n">
        <v>0</v>
      </c>
    </row>
    <row r="3260">
      <c r="A3260">
        <f>Skills!A26</f>
        <v/>
      </c>
      <c r="B3260">
        <f>Skills!B26</f>
        <v/>
      </c>
      <c r="C3260">
        <f>Inputs!$B$3&gt;=50</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IF(B3279=0,0,O3260/B3279)</f>
        <v/>
      </c>
      <c r="Q3260" t="n">
        <v>0</v>
      </c>
      <c r="R3260" t="n">
        <v>0</v>
      </c>
      <c r="S3260">
        <f>IFERROR(O3260/N3260,0)</f>
        <v/>
      </c>
      <c r="T3260" t="n">
        <v>0</v>
      </c>
      <c r="V3260" t="n">
        <v>0</v>
      </c>
    </row>
    <row r="3261">
      <c r="A3261">
        <f>Skills!A27</f>
        <v/>
      </c>
      <c r="B3261">
        <f>Skills!B27</f>
        <v/>
      </c>
      <c r="C3261">
        <f>Inputs!$B$3&gt;=38</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IF(B3279=0,0,O3261/B3279)</f>
        <v/>
      </c>
      <c r="Q3261" t="n">
        <v>0</v>
      </c>
      <c r="R3261" t="n">
        <v>0</v>
      </c>
      <c r="S3261">
        <f>IFERROR(O3261/N3261,0)</f>
        <v/>
      </c>
      <c r="T3261" t="n">
        <v>0</v>
      </c>
      <c r="V3261" t="n">
        <v>0</v>
      </c>
    </row>
    <row r="3262">
      <c r="A3262">
        <f>Skills!A28</f>
        <v/>
      </c>
      <c r="B3262">
        <f>Skills!B28</f>
        <v/>
      </c>
      <c r="C3262">
        <f>Inputs!$B$3&gt;=120</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IF(B3279=0,0,O3262/B3279)</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IF(B3279=0,0,O3263/B3279)</f>
        <v/>
      </c>
      <c r="Q3263" t="n">
        <v>0</v>
      </c>
      <c r="R3263" t="n">
        <v>0</v>
      </c>
      <c r="S3263">
        <f>IFERROR(O3263/N3263,0)</f>
        <v/>
      </c>
      <c r="T3263" t="n">
        <v>0</v>
      </c>
      <c r="V3263" t="n">
        <v>0</v>
      </c>
    </row>
    <row r="3264">
      <c r="A3264">
        <f>Skills!A30</f>
        <v/>
      </c>
      <c r="B3264">
        <f>Skills!B30</f>
        <v/>
      </c>
      <c r="C3264">
        <f>Inputs!$B$3&gt;=125</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IF(B3279=0,0,O3264/B3279)</f>
        <v/>
      </c>
      <c r="Q3264" t="n">
        <v>0</v>
      </c>
      <c r="R3264" t="n">
        <v>0</v>
      </c>
      <c r="S3264">
        <f>IFERROR(O3264/N3264,0)</f>
        <v/>
      </c>
      <c r="T3264" t="n">
        <v>0</v>
      </c>
      <c r="V3264" t="n">
        <v>0</v>
      </c>
    </row>
    <row r="3266">
      <c r="A3266" t="inlineStr">
        <is>
          <t>Average Buff Multiplier</t>
        </is>
      </c>
      <c r="B3266">
        <f>(1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f>
        <v/>
      </c>
    </row>
    <row r="3267">
      <c r="A3267" t="inlineStr">
        <is>
          <t>Global Crit Rate Bonus %</t>
        </is>
      </c>
      <c r="B3267">
        <f>((C3254=TRUE)*F3254*IF(AND(Inputs!$B$39&lt;&gt;"pvp",Inputs!$B$44&gt;0),(((R3254-1)*(Skills!Y20*(1+Inputs!$B$34/100))+MIN((Skills!Y20*(1+Inputs!$B$34/100)),MAX(0,Inputs!$B$44-((R3254-1)*Skills!D20))))/Inputs!$B$44),IF(Inputs!$B$39="pvp",MIN((Skills!Y20*(1+Inputs!$B$34/100)),15)/15,(Skills!Y20*(1+Inputs!$B$34/100))/Skills!D20)))</f>
        <v/>
      </c>
    </row>
    <row r="3268">
      <c r="A3268" t="inlineStr">
        <is>
          <t>Global Monster Damage-Taken Bonus %</t>
        </is>
      </c>
      <c r="B3268">
        <f>IF(Inputs!$B$3&gt;=82,15,0)</f>
        <v/>
      </c>
    </row>
    <row r="3269">
      <c r="A3269" t="inlineStr">
        <is>
          <t>Shadow Partner Average Multiplier</t>
        </is>
      </c>
      <c r="B3269">
        <f>1+((C3241=TRUE)*F3241*(1+3.3333333333333335*IF(C3252=TRUE,F3252,0)/100)*I3241*Skills!J7/100)/100</f>
        <v/>
      </c>
    </row>
    <row r="3270">
      <c r="A3270" t="inlineStr">
        <is>
          <t>Attack Speed Buff Bonus %</t>
        </is>
      </c>
      <c r="B3270">
        <f>((C3253=TRUE)*F3253*IF(AND(Inputs!$B$39&lt;&gt;"pvp",Inputs!$B$44&gt;0),(((R3253-1)*(Skills!Y19*(1+Inputs!$B$34/100))+MIN((Skills!Y19*(1+Inputs!$B$34/100)),MAX(0,Inputs!$B$44-((R3253-1)*Skills!D19))))/Inputs!$B$44),IF(Inputs!$B$39="pvp",MIN((Skills!Y19*(1+Inputs!$B$34/100)),15)/15,(Skills!Y19*(1+Inputs!$B$34/100))/Skills!D19)))+((C3237=TRUE)*F3237*3)</f>
        <v/>
      </c>
    </row>
    <row r="3271">
      <c r="A3271" t="inlineStr">
        <is>
          <t>Actions Per Second</t>
        </is>
      </c>
      <c r="B3271">
        <f>1+MIN(150,150*(1-(1-(Inputs!$B$11+((C3256=TRUE)*(F3256-Calc!F22)))/150)*(1-B3270/150)))/100</f>
        <v/>
      </c>
    </row>
    <row r="3272">
      <c r="A3272" t="inlineStr">
        <is>
          <t>Skill + Buff Cast Rate</t>
        </is>
      </c>
      <c r="B3272">
        <f>IF(AND(Inputs!$B$39&lt;&gt;"pvp",Inputs!$B$44&gt;0),SUMPRODUCT((Skills!E2:E30=TRUE)*(C3236:C3264=TRUE)*R3236:R3264*Skills!F2:F30)/Inputs!$B$44,SUMPRODUCT((Skills!E2:E30=TRUE)*(C3236:C3264=TRUE)*Q3236:Q3264*Skills!F2:F30))</f>
        <v/>
      </c>
    </row>
    <row r="3273">
      <c r="A3273" t="inlineStr">
        <is>
          <t>Cruel Stab Casts Per Second</t>
        </is>
      </c>
      <c r="B3273">
        <f>MAX(0,B3271-B3272)</f>
        <v/>
      </c>
    </row>
    <row r="3274">
      <c r="A3274" t="inlineStr">
        <is>
          <t>Global Critical Damage Bonus % (Smokescreen Mastery Lv.113)</t>
        </is>
      </c>
      <c r="B3274">
        <f>IF(Inputs!$B$3&gt;=113,30,0)*IF(AND(Inputs!$B$39&lt;&gt;"pvp",Inputs!$B$44&gt;0),(((R3249-1)*(Skills!Y15*(1+Inputs!$B$34/100))+MIN((Skills!Y15*(1+Inputs!$B$34/100)),MAX(0,Inputs!$B$44-((R3249-1)*Skills!D15))))/Inputs!$B$44),IF(Inputs!$B$39="pvp",MIN((Skills!Y15*(1+Inputs!$B$34/100)),15)/15,(Skills!Y15*(1+Inputs!$B$34/100))/Skills!D15))</f>
        <v/>
      </c>
    </row>
    <row r="3275">
      <c r="A3275" t="inlineStr">
        <is>
          <t>Meso Explosion average stack count</t>
        </is>
      </c>
      <c r="B3275">
        <f>MIN(10,0.5*B3271*Skills!D4)</f>
        <v/>
      </c>
    </row>
    <row r="3276">
      <c r="A3276" t="inlineStr">
        <is>
          <t>Blood Money average stack count</t>
        </is>
      </c>
      <c r="B3276">
        <f>MIN(5,0.25*B3271*Skills!D4)</f>
        <v/>
      </c>
    </row>
    <row r="3277">
      <c r="A3277" t="inlineStr">
        <is>
          <t>Assassinate Murderous Intent Multiplier</t>
        </is>
      </c>
      <c r="B3277">
        <f>1+IFERROR(MIN(1,Q3248*2/Q3245),0)</f>
        <v/>
      </c>
    </row>
    <row r="3278">
      <c r="A3278" t="inlineStr">
        <is>
          <t>Buff-Casting Startup Delay (s, fixed-duration only)</t>
        </is>
      </c>
      <c r="B3278">
        <f>IF(AND(Inputs!$B$39&lt;&gt;"pvp",Inputs!$B$44&gt;0),SUMPRODUCT((Skills!Y2:Y30&gt;0)*(Skills!E2:E30=TRUE)*(C3236:C3264=TRUE))/B3271,0)</f>
        <v/>
      </c>
    </row>
    <row r="3279">
      <c r="A3279" s="6" t="inlineStr">
        <is>
          <t>TOTAL DPS</t>
        </is>
      </c>
      <c r="B3279" s="6">
        <f>SUM(O3236:O3264)</f>
        <v/>
      </c>
    </row>
    <row r="3280">
      <c r="A3280" t="inlineStr">
        <is>
          <t>Boss-Only Total DPS (this block's swept value)</t>
        </is>
      </c>
      <c r="B3280">
        <f>SUM(T3236:T3264)</f>
        <v/>
      </c>
    </row>
    <row r="3281">
      <c r="A3281" t="inlineStr">
        <is>
          <t>Normal-Only Total DPS (this block's swept value)</t>
        </is>
      </c>
      <c r="B3281">
        <f>SUM(V3236:V3264)</f>
        <v/>
      </c>
    </row>
    <row r="3284">
      <c r="A3284" s="6" t="inlineStr">
        <is>
          <t>Stat: CDR = 1.0s</t>
        </is>
      </c>
    </row>
    <row r="3285">
      <c r="A3285" s="5" t="inlineStr">
        <is>
          <t>Key</t>
        </is>
      </c>
      <c r="B3285" s="5" t="inlineStr">
        <is>
          <t>Name</t>
        </is>
      </c>
      <c r="C3285" s="5" t="inlineStr">
        <is>
          <t>Unlocked</t>
        </is>
      </c>
      <c r="D3285" s="5" t="inlineStr">
        <is>
          <t>InputLevel</t>
        </is>
      </c>
      <c r="E3285" s="5" t="inlineStr">
        <is>
          <t>Factor</t>
        </is>
      </c>
      <c r="F3285" s="5" t="inlineStr">
        <is>
          <t>CoefficientPercent</t>
        </is>
      </c>
      <c r="G3285" s="5" t="inlineStr">
        <is>
          <t>EffectiveHits</t>
        </is>
      </c>
      <c r="H3285" s="5" t="inlineStr">
        <is>
          <t>ProcProbability</t>
        </is>
      </c>
      <c r="I3285" s="5" t="inlineStr">
        <is>
          <t>MapleHeroMultiplier</t>
        </is>
      </c>
      <c r="J3285" s="5" t="inlineStr">
        <is>
          <t>BaseDamage</t>
        </is>
      </c>
      <c r="K3285" s="5" t="inlineStr">
        <is>
          <t>BaseHitDamage</t>
        </is>
      </c>
      <c r="L3285" s="5" t="inlineStr">
        <is>
          <t>NonCritAvg</t>
        </is>
      </c>
      <c r="M3285" s="5" t="inlineStr">
        <is>
          <t>CritAvg</t>
        </is>
      </c>
      <c r="N3285" s="5" t="inlineStr">
        <is>
          <t>ExpectedDamage(perHit)</t>
        </is>
      </c>
      <c r="O3285" s="5" t="inlineStr">
        <is>
          <t>DPS</t>
        </is>
      </c>
      <c r="P3285" s="5" t="inlineStr">
        <is>
          <t>% of Total</t>
        </is>
      </c>
      <c r="Q3285" s="5" t="inlineStr">
        <is>
          <t>InvCooldown</t>
        </is>
      </c>
      <c r="R3285" s="5" t="inlineStr">
        <is>
          <t>CastsInFight</t>
        </is>
      </c>
      <c r="S3285" s="5" t="inlineStr">
        <is>
          <t>HitRate(perSec)</t>
        </is>
      </c>
      <c r="U3285" t="inlineStr">
        <is>
          <t>helpers</t>
        </is>
      </c>
    </row>
    <row r="3286">
      <c r="A3286">
        <f>Skills!A2</f>
        <v/>
      </c>
      <c r="B3286">
        <f>Skills!B2</f>
        <v/>
      </c>
      <c r="C3286">
        <f>Inputs!$B$3&gt;=100</f>
        <v/>
      </c>
      <c r="D3286" t="inlineStr"/>
      <c r="E3286" t="inlineStr"/>
      <c r="F3286">
        <f>U3288+Skills!O2</f>
        <v/>
      </c>
      <c r="G3286">
        <f>Skills!G2*IF(Skills!H2&gt;0,Skills!I2/Skills!H2,1)</f>
        <v/>
      </c>
      <c r="H3286">
        <f>1-(1-Skills!J2/100)^Skills!K2</f>
        <v/>
      </c>
      <c r="I3286" t="inlineStr">
        <is>
          <t>1</t>
        </is>
      </c>
      <c r="J3286">
        <f>((Inputs!$B$6*(1+Inputs!$B$7/100))+(((Inputs!$B$12*(1+Inputs!$B$13/100))-(Inputs!$B$12*(1+Inputs!$B$13/100)))+0.25*(Inputs!$B$14-Inputs!$B$14))*(1+Inputs!$B$7/100))*(F3286/100)</f>
        <v/>
      </c>
      <c r="K3286">
        <f>J3286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3286)</f>
        <v/>
      </c>
      <c r="L3286">
        <f>K3286*(MIN(Inputs!$B$22+((C3308=TRUE)*(F3308-Calc!F24)),(Inputs!$B$23+((C3313=TRUE)*(F3313-Calc!F29))+IF(ArtifactsInput!$M$15,CHOOSE(ArtifactsInput!$N$15+1,25,30,35,40,45,50)/100*(Inputs!$B$11-Inputs!$B$11),0)))/100+(Inputs!$B$23+((C3313=TRUE)*(F3313-Calc!F29))+IF(ArtifactsInput!$M$15,CHOOSE(ArtifactsInput!$N$15+1,25,30,35,40,45,50)/100*(Inputs!$B$11-Inputs!$B$11),0))/100)/2</f>
        <v/>
      </c>
      <c r="M3286">
        <f>L3286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6">
        <f>L3286*(1-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3286*(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6">
        <f>(1-Summary!$B$11)*T3286+Summary!$B$11*V3286</f>
        <v/>
      </c>
      <c r="P3286">
        <f>IF(B3329=0,0,O3286/B3329)</f>
        <v/>
      </c>
      <c r="Q3286" t="n">
        <v>0</v>
      </c>
      <c r="R3286" t="n">
        <v>0</v>
      </c>
      <c r="S3286">
        <f>IFERROR(O3286/N3286,0)</f>
        <v/>
      </c>
      <c r="T3286">
        <f>IF(C3286,(Skills!G2*N3286*B3323)*IF(Inputs!$B$39="pvp",1,1+(Inputs!$B$20+0+Skills!P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3286*(1-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3286*(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3286*(1-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3286*(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6">
        <f>MAX(0,(Inputs!$B$3-100)*3)+Inputs!$B$28+Inputs!$B$29</f>
        <v/>
      </c>
      <c r="V3286">
        <f>IF(C3286,(Skills!G2*N3286*B3323)*IF(Inputs!$B$39="pvp",1,(1+(Inputs!$B$21+Skills!Q2+B3318+(IF(ArtifactsInput!$M$33,CHOOSE(ArtifactsInput!$N$33+1,30,36,42,48,54,60),0))+(IF(AND(ArtifactsInput!$M$35,Inputs!$B$4&lt;&gt;"Chapter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7">
      <c r="A3287">
        <f>Skills!A3</f>
        <v/>
      </c>
      <c r="B3287">
        <f>Skills!B3</f>
        <v/>
      </c>
      <c r="C3287">
        <f>Inputs!$B$3&gt;=35</f>
        <v/>
      </c>
      <c r="D3287">
        <f>IF(Skills!C3=1,60+Inputs!$B$25+Inputs!$B$29,IF(Skills!C3=2,90+Inputs!$B$26+Inputs!$B$29,IF(Skills!C3=3,120+Inputs!$B$27+Inputs!$B$29,MAX(0,(Inputs!$B$3-100)*3)+Inputs!$B$28+Inputs!$B$29)))</f>
        <v/>
      </c>
      <c r="E3287">
        <f>INDEX(FactorTable!$B$2:$Y$301, MATCH(ROUND(MIN(300,MAX(1,D3287)),0), FactorTable!$A$2:$A$301,0), Skills!M3+1)</f>
        <v/>
      </c>
      <c r="F3287">
        <f>IF(Skills!N3=TRUE,(Skills!L3/10)*(E3287/1000),Skills!L3/10)+Skills!O3</f>
        <v/>
      </c>
      <c r="G3287">
        <f>Skills!G3*IF(Skills!H3&gt;0,Skills!I3/Skills!H3,1)</f>
        <v/>
      </c>
      <c r="H3287">
        <f>1-(1-Skills!J3/100)^Skills!K3</f>
        <v/>
      </c>
      <c r="I3287" t="inlineStr">
        <is>
          <t>1</t>
        </is>
      </c>
      <c r="J3287" t="inlineStr"/>
      <c r="K3287" t="inlineStr"/>
      <c r="L3287" t="inlineStr"/>
      <c r="M3287" t="inlineStr"/>
      <c r="N3287" t="inlineStr"/>
      <c r="O3287">
        <f>(1-Summary!$B$11)*T3287+Summary!$B$11*V3287</f>
        <v/>
      </c>
      <c r="P3287">
        <f>IF(B3329=0,0,O3287/B3329)</f>
        <v/>
      </c>
      <c r="Q3287" t="n">
        <v>0</v>
      </c>
      <c r="R3287" t="n">
        <v>0</v>
      </c>
      <c r="S3287">
        <f>IFERROR(O3287/N3287,0)</f>
        <v/>
      </c>
      <c r="T3287" t="n">
        <v>0</v>
      </c>
      <c r="U3287">
        <f>INDEX(FactorTable!$B$2:$Y$301, MATCH(ROUND(MIN(300,MAX(1,U3286)),0), FactorTable!$A$2:$A$301,0), 22)</f>
        <v/>
      </c>
      <c r="V3287" t="n">
        <v>0</v>
      </c>
    </row>
    <row r="3288">
      <c r="A3288">
        <f>Skills!A4</f>
        <v/>
      </c>
      <c r="B3288">
        <f>Skills!B4</f>
        <v/>
      </c>
      <c r="C3288">
        <f>Inputs!$B$3&gt;=66</f>
        <v/>
      </c>
      <c r="D3288">
        <f>IF(Skills!C4=1,60+Inputs!$B$25+Inputs!$B$29,IF(Skills!C4=2,90+Inputs!$B$26+Inputs!$B$29,IF(Skills!C4=3,120+Inputs!$B$27+Inputs!$B$29,MAX(0,(Inputs!$B$3-100)*3)+Inputs!$B$28+Inputs!$B$29)))</f>
        <v/>
      </c>
      <c r="E3288">
        <f>INDEX(FactorTable!$B$2:$Y$301, MATCH(ROUND(MIN(300,MAX(1,D3288)),0), FactorTable!$A$2:$A$301,0), Skills!M4+1)</f>
        <v/>
      </c>
      <c r="F3288">
        <f>IF(Skills!N4=TRUE,(Skills!L4/10)*(E3288/1000),Skills!L4/10)+Skills!O4</f>
        <v/>
      </c>
      <c r="G3288">
        <f>Skills!G4*IF(Skills!H4&gt;0,Skills!I4/Skills!H4,1)</f>
        <v/>
      </c>
      <c r="H3288">
        <f>1-(1-Skills!J4/100)^Skills!K4</f>
        <v/>
      </c>
      <c r="I3288" t="inlineStr">
        <is>
          <t>1</t>
        </is>
      </c>
      <c r="J3288">
        <f>((Inputs!$B$6*(1+Inputs!$B$7/100))+(((Inputs!$B$12*(1+Inputs!$B$13/100))-(Inputs!$B$12*(1+Inputs!$B$13/100)))+0.25*(Inputs!$B$14-Inputs!$B$14))*(1+Inputs!$B$7/100))*(F3288/100)</f>
        <v/>
      </c>
      <c r="K3288">
        <f>J3288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3288)</f>
        <v/>
      </c>
      <c r="L3288">
        <f>K3288*(MIN(Inputs!$B$22+((C3308=TRUE)*(F3308-Calc!F24)),(Inputs!$B$23+((C3313=TRUE)*(F3313-Calc!F29))+IF(ArtifactsInput!$M$15,CHOOSE(ArtifactsInput!$N$15+1,25,30,35,40,45,50)/100*(Inputs!$B$11-Inputs!$B$11),0)))/100+(Inputs!$B$23+((C3313=TRUE)*(F3313-Calc!F29))+IF(ArtifactsInput!$M$15,CHOOSE(ArtifactsInput!$N$15+1,25,30,35,40,45,50)/100*(Inputs!$B$11-Inputs!$B$11),0))/100)/2</f>
        <v/>
      </c>
      <c r="M3288">
        <f>L3288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IF(B3329=0,0,O3288/B3329)</f>
        <v/>
      </c>
      <c r="Q3288">
        <f>IFERROR(1/IF(Inputs!$B$39="pvp",15,MAX(0.1,Skills!D4-IF(Skills!E4=TRUE,1.0,0))),0)</f>
        <v/>
      </c>
      <c r="R3288">
        <f>IF(AND(Inputs!$B$39&lt;&gt;"pvp",Inputs!$B$44&gt;0),IF(MAX(0,Inputs!$B$44-B3328)&lt;=0,0,(INT(MAX(0,Inputs!$B$44-B3328)/IF(Inputs!$B$39="pvp",15,MAX(0.1,Skills!D4-IF(Skills!E4=TRUE,1.0,0))))+1)),0)</f>
        <v/>
      </c>
      <c r="S3288">
        <f>IFERROR(O3288/N3288,0)</f>
        <v/>
      </c>
      <c r="T3288">
        <f>IF(C3288,(H3288*N3288*IF(AND(Inputs!$B$39&lt;&gt;"pvp",Inputs!$B$44&gt;0),((Skills!G4*((R3288-1)*IF(Skills!H4&gt;0,Skills!I4/Skills!H4,1)+IF(Skills!H4&gt;0,MIN(Skills!I4,MAX(0,MAX(0,Inputs!$B$44-B3328)-((R3288-1)*IF(Inputs!$B$39="pvp",15,MAX(0.1,Skills!D4-IF(Skills!E4=TRUE,1.0,0))))))/Skills!H4,1)))/Inputs!$B$44),G3288*Q3288))*IF(Inputs!$B$39="pvp",1,1+(Inputs!$B$20+0+Skills!P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3288*(1-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f>290*U3287/1000</f>
        <v/>
      </c>
      <c r="V3288">
        <f>IF(C3288,(H3288*N3288*IF(AND(Inputs!$B$39&lt;&gt;"pvp",Inputs!$B$44&gt;0),((Skills!G4*((R3288-1)*IF(Skills!H4&gt;0,Skills!I4/Skills!H4,1)+IF(Skills!H4&gt;0,MIN(Skills!I4,MAX(0,MAX(0,Inputs!$B$44-B3328)-((R3288-1)*IF(Inputs!$B$39="pvp",15,MAX(0.1,Skills!D4-IF(Skills!E4=TRUE,1.0,0))))))/Skills!H4,1)))/Inputs!$B$44),G3288*Q3288))*IF(Inputs!$B$39="pvp",1,(1+(Inputs!$B$21+Skills!Q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(10,0.5*B3321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Skills!A5</f>
        <v/>
      </c>
      <c r="B3289">
        <f>Skills!B5</f>
        <v/>
      </c>
      <c r="C3289">
        <f>Inputs!$B$3&gt;=63</f>
        <v/>
      </c>
      <c r="D3289">
        <f>IF(Skills!C5=1,60+Inputs!$B$25+Inputs!$B$29,IF(Skills!C5=2,90+Inputs!$B$26+Inputs!$B$29,IF(Skills!C5=3,120+Inputs!$B$27+Inputs!$B$29,MAX(0,(Inputs!$B$3-100)*3)+Inputs!$B$28+Inputs!$B$29)))</f>
        <v/>
      </c>
      <c r="E3289">
        <f>INDEX(FactorTable!$B$2:$Y$301, MATCH(ROUND(MIN(300,MAX(1,D3289)),0), FactorTable!$A$2:$A$301,0), Skills!M5+1)</f>
        <v/>
      </c>
      <c r="F3289">
        <f>IF(Skills!N5=TRUE,(Skills!L5/10)*(E3289/1000),Skills!L5/10)+Skills!O5</f>
        <v/>
      </c>
      <c r="G3289">
        <f>Skills!G5*IF(Skills!H5&gt;0,Skills!I5/Skills!H5,1)</f>
        <v/>
      </c>
      <c r="H3289">
        <f>1-(1-Skills!J5/100)^Skills!K5</f>
        <v/>
      </c>
      <c r="I3289" t="inlineStr">
        <is>
          <t>1</t>
        </is>
      </c>
      <c r="J3289">
        <f>((Inputs!$B$6*(1+Inputs!$B$7/100))+(((Inputs!$B$12*(1+Inputs!$B$13/100))-(Inputs!$B$12*(1+Inputs!$B$13/100)))+0.25*(Inputs!$B$14-Inputs!$B$14))*(1+Inputs!$B$7/100))*(F3289/100)</f>
        <v/>
      </c>
      <c r="K3289">
        <f>J3289*(1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3302=TRUE,F3302,0)/100)*(1+(IF(Skills!A5="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3289)</f>
        <v/>
      </c>
      <c r="L3289">
        <f>K3289*(MIN(Inputs!$B$22+((C3308=TRUE)*(F3308-Calc!F24)),(Inputs!$B$23+((C3313=TRUE)*(F3313-Calc!F29))+IF(ArtifactsInput!$M$15,CHOOSE(ArtifactsInput!$N$15+1,25,30,35,40,45,50)/100*(Inputs!$B$11-Inputs!$B$11),0)))/100+(Inputs!$B$23+((C3313=TRUE)*(F3313-Calc!F29))+IF(ArtifactsInput!$M$15,CHOOSE(ArtifactsInput!$N$15+1,25,30,35,40,45,50)/100*(Inputs!$B$11-Inputs!$B$11),0))/100)/2</f>
        <v/>
      </c>
      <c r="M3289">
        <f>L3289*(1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9">
        <f>L3289*(1-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(1-Summary!$B$11)*T3289+Summary!$B$11*V3289</f>
        <v/>
      </c>
      <c r="P3289">
        <f>IF(B3329=0,0,O3289/B3329)</f>
        <v/>
      </c>
      <c r="Q3289">
        <f>IFERROR(1/IF(Inputs!$B$39="pvp",15,MAX(0.1,Skills!D5-IF(Skills!E5=TRUE,1.0,0))),0)</f>
        <v/>
      </c>
      <c r="R3289">
        <f>IF(AND(Inputs!$B$39&lt;&gt;"pvp",Inputs!$B$44&gt;0),IF(MAX(0,Inputs!$B$44-B3328)&lt;=0,0,(INT(MAX(0,Inputs!$B$44-B3328)/IF(Inputs!$B$39="pvp",15,MAX(0.1,Skills!D5-IF(Skills!E5=TRUE,1.0,0))))+1)),0)</f>
        <v/>
      </c>
      <c r="S3289">
        <f>IFERROR(O3289/N3289,0)</f>
        <v/>
      </c>
      <c r="T3289">
        <f>IF(C3289,(H3289*N3289*IF(AND(Inputs!$B$39&lt;&gt;"pvp",Inputs!$B$44&gt;0),((Skills!G5*((R3289-1)*IF(Skills!H5&gt;0,Skills!I5/Skills!H5,1)+IF(Skills!H5&gt;0,MIN(Skills!I5,MAX(0,MAX(0,Inputs!$B$44-B3328)-((R3289-1)*IF(Inputs!$B$39="pvp",15,MAX(0.1,Skills!D5-IF(Skills!E5=TRUE,1.0,0))))))/Skills!H5,1)))/Inputs!$B$44),G3289*Q3289))*IF(Inputs!$B$39="pvp",1,1+(Inputs!$B$20+0+Skills!P5+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3289*(1-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9">
        <f>IF(C3289,(H3289*N3289*IF(AND(Inputs!$B$39&lt;&gt;"pvp",Inputs!$B$44&gt;0),((Skills!G5*((R3289-1)*IF(Skills!H5&gt;0,Skills!I5/Skills!H5,1)+IF(Skills!H5&gt;0,MIN(Skills!I5,MAX(0,MAX(0,Inputs!$B$44-B3328)-((R3289-1)*IF(Inputs!$B$39="pvp",15,MAX(0.1,Skills!D5-IF(Skills!E5=TRUE,1.0,0))))))/Skills!H5,1)))/Inputs!$B$44),G3289*Q3289))*IF(Inputs!$B$39="pvp",1,(1+(Inputs!$B$21+Skills!Q5+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Skills!A6</f>
        <v/>
      </c>
      <c r="B3290">
        <f>Skills!B6</f>
        <v/>
      </c>
      <c r="C3290">
        <f>Inputs!$B$3&gt;=69</f>
        <v/>
      </c>
      <c r="D3290">
        <f>IF(Skills!C6=1,60+Inputs!$B$25+Inputs!$B$29,IF(Skills!C6=2,90+Inputs!$B$26+Inputs!$B$29,IF(Skills!C6=3,120+Inputs!$B$27+Inputs!$B$29,MAX(0,(Inputs!$B$3-100)*3)+Inputs!$B$28+Inputs!$B$29)))</f>
        <v/>
      </c>
      <c r="E3290">
        <f>INDEX(FactorTable!$B$2:$Y$301, MATCH(ROUND(MIN(300,MAX(1,D3290)),0), FactorTable!$A$2:$A$301,0), Skills!M6+1)</f>
        <v/>
      </c>
      <c r="F3290">
        <f>IF(Skills!N6=TRUE,(Skills!L6/10)*(E3290/1000),Skills!L6/10)+Skills!O6</f>
        <v/>
      </c>
      <c r="G3290">
        <f>Skills!G6*IF(Skills!H6&gt;0,Skills!I6/Skills!H6,1)</f>
        <v/>
      </c>
      <c r="H3290">
        <f>1-(1-Skills!J6/100)^Skills!K6</f>
        <v/>
      </c>
      <c r="I3290" t="inlineStr">
        <is>
          <t>1</t>
        </is>
      </c>
      <c r="J3290">
        <f>((Inputs!$B$6*(1+Inputs!$B$7/100))+(((Inputs!$B$12*(1+Inputs!$B$13/100))-(Inputs!$B$12*(1+Inputs!$B$13/100)))+0.25*(Inputs!$B$14-Inputs!$B$14))*(1+Inputs!$B$7/100))*(F3290/100)</f>
        <v/>
      </c>
      <c r="K3290">
        <f>J3290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3302=TRUE,F3302,0)/100)*(1+(IF(Skills!A6="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3290)</f>
        <v/>
      </c>
      <c r="L3290">
        <f>K3290*(MIN(Inputs!$B$22+((C3308=TRUE)*(F3308-Calc!F24)),(Inputs!$B$23+((C3313=TRUE)*(F3313-Calc!F29))+IF(ArtifactsInput!$M$15,CHOOSE(ArtifactsInput!$N$15+1,25,30,35,40,45,50)/100*(Inputs!$B$11-Inputs!$B$11),0)))/100+(Inputs!$B$23+((C3313=TRUE)*(F3313-Calc!F29))+IF(ArtifactsInput!$M$15,CHOOSE(ArtifactsInput!$N$15+1,25,30,35,40,45,50)/100*(Inputs!$B$11-Inputs!$B$11),0))/100)/2</f>
        <v/>
      </c>
      <c r="M3290">
        <f>L3290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0">
        <f>L3290*(1-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(1-Summary!$B$11)*T3290+Summary!$B$11*V3290</f>
        <v/>
      </c>
      <c r="P3290">
        <f>IF(B3329=0,0,O3290/B3329)</f>
        <v/>
      </c>
      <c r="Q3290">
        <f>IFERROR(1/IF(Inputs!$B$39="pvp",15,MAX(0.1,Skills!D6-IF(Skills!E6=TRUE,1.0,0))),0)</f>
        <v/>
      </c>
      <c r="R3290">
        <f>IF(AND(Inputs!$B$39&lt;&gt;"pvp",Inputs!$B$44&gt;0),IF(MAX(0,Inputs!$B$44-B3328)&lt;=0,0,(INT(MAX(0,Inputs!$B$44-B3328)/IF(Inputs!$B$39="pvp",15,MAX(0.1,Skills!D6-IF(Skills!E6=TRUE,1.0,0))))+1)),0)</f>
        <v/>
      </c>
      <c r="S3290">
        <f>IFERROR(O3290/N3290,0)</f>
        <v/>
      </c>
      <c r="T3290">
        <f>IF(C3290,(H3290*N3290*IF(AND(Inputs!$B$39&lt;&gt;"pvp",Inputs!$B$44&gt;0),((Skills!G6*((R3290-1)*IF(Skills!H6&gt;0,Skills!I6/Skills!H6,1)+IF(Skills!H6&gt;0,MIN(Skills!I6,MAX(0,MAX(0,Inputs!$B$44-B3328)-((R3290-1)*IF(Inputs!$B$39="pvp",15,MAX(0.1,Skills!D6-IF(Skills!E6=TRUE,1.0,0))))))/Skills!H6,1)))/Inputs!$B$44),G3290*Q3290))*IF(Inputs!$B$39="pvp",1,1+(Inputs!$B$20+0+Skills!P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3290*(1-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0">
        <f>IF(C3290,(H3290*N3290*IF(AND(Inputs!$B$39&lt;&gt;"pvp",Inputs!$B$44&gt;0),((Skills!G6*((R3290-1)*IF(Skills!H6&gt;0,Skills!I6/Skills!H6,1)+IF(Skills!H6&gt;0,MIN(Skills!I6,MAX(0,MAX(0,Inputs!$B$44-B3328)-((R3290-1)*IF(Inputs!$B$39="pvp",15,MAX(0.1,Skills!D6-IF(Skills!E6=TRUE,1.0,0))))))/Skills!H6,1)))/Inputs!$B$44),G3290*Q3290))*IF(Inputs!$B$39="pvp",1,(1+(Inputs!$B$21+Skills!Q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Skills!A7</f>
        <v/>
      </c>
      <c r="B3291">
        <f>Skills!B7</f>
        <v/>
      </c>
      <c r="C3291">
        <f>Inputs!$B$3&gt;=60</f>
        <v/>
      </c>
      <c r="D3291">
        <f>IF(Skills!C7=1,60+Inputs!$B$25+Inputs!$B$29,IF(Skills!C7=2,90+Inputs!$B$26+Inputs!$B$29,IF(Skills!C7=3,120+Inputs!$B$27+Inputs!$B$29,MAX(0,(Inputs!$B$3-100)*3)+Inputs!$B$28+Inputs!$B$29)))</f>
        <v/>
      </c>
      <c r="E3291">
        <f>INDEX(FactorTable!$B$2:$Y$301, MATCH(ROUND(MIN(300,MAX(1,D3291)),0), FactorTable!$A$2:$A$301,0), Skills!M7+1)</f>
        <v/>
      </c>
      <c r="F3291">
        <f>IF(Skills!N7=TRUE,(Skills!L7/10)*(E3291/1000),Skills!L7/10)+Skills!O7</f>
        <v/>
      </c>
      <c r="G3291">
        <f>Skills!G7*IF(Skills!H7&gt;0,Skills!I7/Skills!H7,1)</f>
        <v/>
      </c>
      <c r="H3291">
        <f>1-(1-Skills!J7/100)^Skills!K7</f>
        <v/>
      </c>
      <c r="I3291" t="inlineStr">
        <is>
          <t>1</t>
        </is>
      </c>
      <c r="J3291" t="inlineStr"/>
      <c r="K3291" t="inlineStr"/>
      <c r="L3291" t="inlineStr"/>
      <c r="M3291" t="inlineStr"/>
      <c r="N3291" t="inlineStr"/>
      <c r="O3291">
        <f>(1-Summary!$B$11)*T3291+Summary!$B$11*V3291</f>
        <v/>
      </c>
      <c r="P3291">
        <f>IF(B3329=0,0,O3291/B3329)</f>
        <v/>
      </c>
      <c r="Q3291" t="n">
        <v>0</v>
      </c>
      <c r="R3291" t="n">
        <v>0</v>
      </c>
      <c r="S3291">
        <f>IFERROR(O3291/N3291,0)</f>
        <v/>
      </c>
      <c r="T3291" t="n">
        <v>0</v>
      </c>
      <c r="V3291" t="n">
        <v>0</v>
      </c>
    </row>
    <row r="3292">
      <c r="A3292">
        <f>Skills!A8</f>
        <v/>
      </c>
      <c r="B3292">
        <f>Skills!B8</f>
        <v/>
      </c>
      <c r="C3292">
        <f>Inputs!$B$3&gt;=72</f>
        <v/>
      </c>
      <c r="D3292">
        <f>IF(Skills!C8=1,60+Inputs!$B$25+Inputs!$B$29,IF(Skills!C8=2,90+Inputs!$B$26+Inputs!$B$29,IF(Skills!C8=3,120+Inputs!$B$27+Inputs!$B$29,MAX(0,(Inputs!$B$3-100)*3)+Inputs!$B$28+Inputs!$B$29)))</f>
        <v/>
      </c>
      <c r="E3292">
        <f>INDEX(FactorTable!$B$2:$Y$301, MATCH(ROUND(MIN(300,MAX(1,D3292)),0), FactorTable!$A$2:$A$301,0), Skills!M8+1)</f>
        <v/>
      </c>
      <c r="F3292">
        <f>IF(Skills!N8=TRUE,(Skills!L8/10)*(E3292/1000),Skills!L8/10)+Skills!O8</f>
        <v/>
      </c>
      <c r="G3292">
        <f>Skills!G8*IF(Skills!H8&gt;0,Skills!I8/Skills!H8,1)</f>
        <v/>
      </c>
      <c r="H3292">
        <f>1-(1-Skills!J8/100)^Skills!K8</f>
        <v/>
      </c>
      <c r="I3292" t="inlineStr">
        <is>
          <t>1</t>
        </is>
      </c>
      <c r="J3292">
        <f>((Inputs!$B$6*(1+Inputs!$B$7/100))+(((Inputs!$B$12*(1+Inputs!$B$13/100))-(Inputs!$B$12*(1+Inputs!$B$13/100)))+0.25*(Inputs!$B$14-Inputs!$B$14))*(1+Inputs!$B$7/100))*(F3292/100)</f>
        <v/>
      </c>
      <c r="K3292">
        <f>J3292*(1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3302=TRUE,F3302,0)/100)*(1+(IF(Skills!A8="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3292)</f>
        <v/>
      </c>
      <c r="L3292">
        <f>K3292*(MIN(Inputs!$B$22+((C3308=TRUE)*(F3308-Calc!F24)),(Inputs!$B$23+((C3313=TRUE)*(F3313-Calc!F29))+IF(ArtifactsInput!$M$15,CHOOSE(ArtifactsInput!$N$15+1,25,30,35,40,45,50)/100*(Inputs!$B$11-Inputs!$B$11),0)))/100+(Inputs!$B$23+((C3313=TRUE)*(F3313-Calc!F29))+IF(ArtifactsInput!$M$15,CHOOSE(ArtifactsInput!$N$15+1,25,30,35,40,45,50)/100*(Inputs!$B$11-Inputs!$B$11),0))/100)/2</f>
        <v/>
      </c>
      <c r="M3292">
        <f>L3292*(1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2">
        <f>L3292*(1-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3292*(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2">
        <f>(1-Summary!$B$11)*T3292+Summary!$B$11*V3292</f>
        <v/>
      </c>
      <c r="P3292">
        <f>IF(B3329=0,0,O3292/B3329)</f>
        <v/>
      </c>
      <c r="Q3292">
        <f>IFERROR(1/IF(Inputs!$B$39="pvp",15,MAX(0.1,Skills!D8-IF(Skills!E8=TRUE,1.0,0))),0)</f>
        <v/>
      </c>
      <c r="R3292">
        <f>IF(AND(Inputs!$B$39&lt;&gt;"pvp",Inputs!$B$44&gt;0),IF(MAX(0,Inputs!$B$44-B3328)&lt;=0,0,(INT(MAX(0,Inputs!$B$44-B3328)/IF(Inputs!$B$39="pvp",15,MAX(0.1,Skills!D8-IF(Skills!E8=TRUE,1.0,0))))+1)),0)</f>
        <v/>
      </c>
      <c r="S3292">
        <f>IFERROR(O3292/N3292,0)</f>
        <v/>
      </c>
      <c r="T3292">
        <f>IF(C3292,(H3292*N3292*IF(AND(Inputs!$B$39&lt;&gt;"pvp",Inputs!$B$44&gt;0),((Skills!G8*((R3292-1)*IF(Skills!H8&gt;0,Skills!I8/Skills!H8,1)+IF(Skills!H8&gt;0,MIN(Skills!I8,MAX(0,MAX(0,Inputs!$B$44-B3328)-((R3292-1)*IF(Inputs!$B$39="pvp",15,MAX(0.1,Skills!D8-IF(Skills!E8=TRUE,1.0,0))))))/Skills!H8,1)))/Inputs!$B$44),G3292*Q3292))*IF(Inputs!$B$39="pvp",1,1+(Inputs!$B$20+0+Skills!P8+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3292*(1-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3292*(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3292*(1-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3292*(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2">
        <f>IF(C3292,(H3292*N3292*IF(AND(Inputs!$B$39&lt;&gt;"pvp",Inputs!$B$44&gt;0),((Skills!G8*((R3292-1)*IF(Skills!H8&gt;0,Skills!I8/Skills!H8,1)+IF(Skills!H8&gt;0,MIN(Skills!I8,MAX(0,MAX(0,Inputs!$B$44-B3328)-((R3292-1)*IF(Inputs!$B$39="pvp",15,MAX(0.1,Skills!D8-IF(Skills!E8=TRUE,1.0,0))))))/Skills!H8,1)))/Inputs!$B$44),G3292*Q3292))*IF(Inputs!$B$39="pvp",1,(1+(Inputs!$B$21+Skills!Q8+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3">
      <c r="A3293">
        <f>Skills!A9</f>
        <v/>
      </c>
      <c r="B3293">
        <f>Skills!B9</f>
        <v/>
      </c>
      <c r="C3293">
        <f>Inputs!$B$3&gt;=117</f>
        <v/>
      </c>
      <c r="D3293">
        <f>IF(Skills!C9=1,60+Inputs!$B$25+Inputs!$B$29,IF(Skills!C9=2,90+Inputs!$B$26+Inputs!$B$29,IF(Skills!C9=3,120+Inputs!$B$27+Inputs!$B$29,MAX(0,(Inputs!$B$3-100)*3)+Inputs!$B$28+Inputs!$B$29)))</f>
        <v/>
      </c>
      <c r="E3293">
        <f>INDEX(FactorTable!$B$2:$Y$301, MATCH(ROUND(MIN(300,MAX(1,D3293)),0), FactorTable!$A$2:$A$301,0), Skills!M9+1)</f>
        <v/>
      </c>
      <c r="F3293">
        <f>IF(Skills!N9=TRUE,(Skills!L9/10)*(E3293/1000),Skills!L9/10)+Skills!O9</f>
        <v/>
      </c>
      <c r="G3293">
        <f>Skills!G9*IF(Skills!H9&gt;0,Skills!I9/Skills!H9,1)</f>
        <v/>
      </c>
      <c r="H3293">
        <f>1-(1-Skills!J9/100)^Skills!K9</f>
        <v/>
      </c>
      <c r="I3293" t="inlineStr">
        <is>
          <t>1</t>
        </is>
      </c>
      <c r="J3293">
        <f>((Inputs!$B$6*(1+Inputs!$B$7/100))+(((Inputs!$B$12*(1+Inputs!$B$13/100))-(Inputs!$B$12*(1+Inputs!$B$13/100)))+0.25*(Inputs!$B$14-Inputs!$B$14))*(1+Inputs!$B$7/100))*(F3293/100)</f>
        <v/>
      </c>
      <c r="K3293">
        <f>J3293*(1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3293)</f>
        <v/>
      </c>
      <c r="L3293">
        <f>K3293*(MIN(Inputs!$B$22+((C3308=TRUE)*(F3308-Calc!F24)),(Inputs!$B$23+((C3313=TRUE)*(F3313-Calc!F29))+IF(ArtifactsInput!$M$15,CHOOSE(ArtifactsInput!$N$15+1,25,30,35,40,45,50)/100*(Inputs!$B$11-Inputs!$B$11),0)))/100+(Inputs!$B$23+((C3313=TRUE)*(F3313-Calc!F29))+IF(ArtifactsInput!$M$15,CHOOSE(ArtifactsInput!$N$15+1,25,30,35,40,45,50)/100*(Inputs!$B$11-Inputs!$B$11),0))/100)/2</f>
        <v/>
      </c>
      <c r="M3293">
        <f>L3293*(1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3">
        <f>L3293*(1-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3293*(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3">
        <f>(1-Summary!$B$11)*T3293+Summary!$B$11*V3293</f>
        <v/>
      </c>
      <c r="P3293">
        <f>IF(B3329=0,0,O3293/B3329)</f>
        <v/>
      </c>
      <c r="Q3293" t="n">
        <v>0</v>
      </c>
      <c r="R3293" t="n">
        <v>0</v>
      </c>
      <c r="S3293" t="n">
        <v>0</v>
      </c>
      <c r="T3293">
        <f>IF(C3293,(0.2*SUMPRODUCT((Skills!Z2:Z30=TRUE)*(C3286:C3314=TRUE)*S3286:S3314)*N3293)*IF(Inputs!$B$39="pvp",1,1+(Inputs!$B$20+0+Skills!P9+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3293*(1-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3293*(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3293*(1-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3293*(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3">
        <f>IF(C3293,(0.2*SUMPRODUCT((Skills!Z2:Z30=TRUE)*(C3286:C3314=TRUE)*S3286:S3314)*N3293)*IF(Inputs!$B$39="pvp",1,(1+(Inputs!$B$21+Skills!Q9+B3318+(IF(ArtifactsInput!$M$33,CHOOSE(ArtifactsInput!$N$33+1,30,36,42,48,54,60),0))+(IF(AND(ArtifactsInput!$M$35,Inputs!$B$4&lt;&gt;"Chapter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4">
      <c r="A3294">
        <f>Skills!A10</f>
        <v/>
      </c>
      <c r="B3294">
        <f>Skills!B10</f>
        <v/>
      </c>
      <c r="C3294">
        <f>Inputs!$B$3&gt;=74</f>
        <v/>
      </c>
      <c r="D3294">
        <f>IF(Skills!C10=1,60+Inputs!$B$25+Inputs!$B$29,IF(Skills!C10=2,90+Inputs!$B$26+Inputs!$B$29,IF(Skills!C10=3,120+Inputs!$B$27+Inputs!$B$29,MAX(0,(Inputs!$B$3-100)*3)+Inputs!$B$28+Inputs!$B$29)))</f>
        <v/>
      </c>
      <c r="E3294">
        <f>INDEX(FactorTable!$B$2:$Y$301, MATCH(ROUND(MIN(300,MAX(1,D3294)),0), FactorTable!$A$2:$A$301,0), Skills!M10+1)</f>
        <v/>
      </c>
      <c r="F3294">
        <f>IF(Skills!N10=TRUE,(Skills!L10/10)*(E3294/1000),Skills!L10/10)+Skills!O10</f>
        <v/>
      </c>
      <c r="G3294">
        <f>Skills!G10*IF(Skills!H10&gt;0,Skills!I10/Skills!H10,1)</f>
        <v/>
      </c>
      <c r="H3294">
        <f>1-(1-Skills!J10/100)^Skills!K10</f>
        <v/>
      </c>
      <c r="I3294" t="inlineStr">
        <is>
          <t>1</t>
        </is>
      </c>
      <c r="J3294" t="inlineStr"/>
      <c r="K3294" t="inlineStr"/>
      <c r="L3294" t="inlineStr"/>
      <c r="M3294" t="inlineStr"/>
      <c r="N3294" t="inlineStr"/>
      <c r="O3294">
        <f>(1-Summary!$B$11)*T3294+Summary!$B$11*V3294</f>
        <v/>
      </c>
      <c r="P3294">
        <f>IF(B3329=0,0,O3294/B3329)</f>
        <v/>
      </c>
      <c r="Q3294">
        <f>IFERROR(1/IF(Inputs!$B$39="pvp",15,MAX(0.1,Skills!D10-IF(Skills!E10=TRUE,1.0,0))),0)</f>
        <v/>
      </c>
      <c r="R3294">
        <f>IF(AND(Inputs!$B$39&lt;&gt;"pvp",Inputs!$B$44&gt;0),IF(Inputs!$B$44&lt;=0,0,(INT(Inputs!$B$44/IF(Inputs!$B$39="pvp",15,MAX(0.1,Skills!D10-IF(Skills!E10=TRUE,1.0,0))))+1)),0)</f>
        <v/>
      </c>
      <c r="S3294">
        <f>IFERROR(O3294/N3294,0)</f>
        <v/>
      </c>
      <c r="T3294" t="n">
        <v>0</v>
      </c>
      <c r="V3294" t="n">
        <v>0</v>
      </c>
    </row>
    <row r="3295">
      <c r="A3295">
        <f>Skills!A11</f>
        <v/>
      </c>
      <c r="B3295">
        <f>Skills!B11</f>
        <v/>
      </c>
      <c r="C3295">
        <f>Inputs!$B$3&gt;=103</f>
        <v/>
      </c>
      <c r="D3295">
        <f>IF(Skills!C11=1,60+Inputs!$B$25+Inputs!$B$29,IF(Skills!C11=2,90+Inputs!$B$26+Inputs!$B$29,IF(Skills!C11=3,120+Inputs!$B$27+Inputs!$B$29,MAX(0,(Inputs!$B$3-100)*3)+Inputs!$B$28+Inputs!$B$29)))</f>
        <v/>
      </c>
      <c r="E3295">
        <f>INDEX(FactorTable!$B$2:$Y$301, MATCH(ROUND(MIN(300,MAX(1,D3295)),0), FactorTable!$A$2:$A$301,0), Skills!M11+1)</f>
        <v/>
      </c>
      <c r="F3295">
        <f>(Skills!L11/10)*(E3295/1000)+IF(Inputs!$B$3&gt;=134,50,0)+0.5*(30000/10)*(INDEX(FactorTable!$B$2:$Y$301, MATCH(ROUND(MIN(300,MAX(1,D3295)),0), FactorTable!$A$2:$A$301,0), 13)/1000)*B3327</f>
        <v/>
      </c>
      <c r="G3295">
        <f>Skills!G11*IF(Skills!H11&gt;0,Skills!I11/Skills!H11,1)</f>
        <v/>
      </c>
      <c r="H3295">
        <f>1-(1-Skills!J11/100)^Skills!K11</f>
        <v/>
      </c>
      <c r="I3295" t="inlineStr">
        <is>
          <t>1</t>
        </is>
      </c>
      <c r="J3295">
        <f>((Inputs!$B$6*(1+Inputs!$B$7/100))+(((Inputs!$B$12*(1+Inputs!$B$13/100))-(Inputs!$B$12*(1+Inputs!$B$13/100)))+0.25*(Inputs!$B$14-Inputs!$B$14))*(1+Inputs!$B$7/100))*(F3295/100)</f>
        <v/>
      </c>
      <c r="K3295">
        <f>J3295*(1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3295)</f>
        <v/>
      </c>
      <c r="L3295">
        <f>K3295*(MIN(Inputs!$B$22+((C3308=TRUE)*(F3308-Calc!F24)),(Inputs!$B$23+((C3313=TRUE)*(F3313-Calc!F29))+IF(ArtifactsInput!$M$15,CHOOSE(ArtifactsInput!$N$15+1,25,30,35,40,45,50)/100*(Inputs!$B$11-Inputs!$B$11),0)))/100+(Inputs!$B$23+((C3313=TRUE)*(F3313-Calc!F29))+IF(ArtifactsInput!$M$15,CHOOSE(ArtifactsInput!$N$15+1,25,30,35,40,45,50)/100*(Inputs!$B$11-Inputs!$B$11),0))/100)/2</f>
        <v/>
      </c>
      <c r="M3295">
        <f>L3295*(1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5">
        <f>L3295*(1-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3295*(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5">
        <f>(1-Summary!$B$11)*T3295+Summary!$B$11*V3295</f>
        <v/>
      </c>
      <c r="P3295">
        <f>IF(B3329=0,0,O3295/B3329)</f>
        <v/>
      </c>
      <c r="Q3295">
        <f>IFERROR(1/IF(Inputs!$B$39="pvp",15,MAX(0.1,Skills!D11-IF(Skills!E11=TRUE,1.0,0))),0)</f>
        <v/>
      </c>
      <c r="R3295">
        <f>IF(AND(Inputs!$B$39&lt;&gt;"pvp",Inputs!$B$44&gt;0),IF(MAX(0,Inputs!$B$44-B3328)&lt;=0,0,(INT(MAX(0,Inputs!$B$44-B3328)/IF(Inputs!$B$39="pvp",15,MAX(0.1,Skills!D11-IF(Skills!E11=TRUE,1.0,0))))+1)),0)</f>
        <v/>
      </c>
      <c r="S3295">
        <f>IFERROR(O3295/N3295,0)</f>
        <v/>
      </c>
      <c r="T3295">
        <f>IF(C3295,(H3295*N3295*IF(AND(Inputs!$B$39&lt;&gt;"pvp",Inputs!$B$44&gt;0),((Skills!G11*((R3295-1)*IF(Skills!H11&gt;0,Skills!I11/Skills!H11,1)+IF(Skills!H11&gt;0,MIN(Skills!I11,MAX(0,MAX(0,Inputs!$B$44-B3328)-((R3295-1)*IF(Inputs!$B$39="pvp",15,MAX(0.1,Skills!D11-IF(Skills!E11=TRUE,1.0,0))))))/Skills!H11,1)))/Inputs!$B$44),G3295*Q3295))*IF(Inputs!$B$39="pvp",1,1+(Inputs!$B$20+0+Skills!P11+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3295*(1-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3295*(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3295*(1-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3295*(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5">
        <f>IF(C3295,(H3295*N3295*IF(AND(Inputs!$B$39&lt;&gt;"pvp",Inputs!$B$44&gt;0),((Skills!G11*((R3295-1)*IF(Skills!H11&gt;0,Skills!I11/Skills!H11,1)+IF(Skills!H11&gt;0,MIN(Skills!I11,MAX(0,MAX(0,Inputs!$B$44-B3328)-((R3295-1)*IF(Inputs!$B$39="pvp",15,MAX(0.1,Skills!D11-IF(Skills!E11=TRUE,1.0,0))))))/Skills!H11,1)))/Inputs!$B$44),G3295*Q3295))*IF(Inputs!$B$39="pvp",1,(1+(Inputs!$B$21+Skills!Q11+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6">
      <c r="A3296">
        <f>Skills!A12</f>
        <v/>
      </c>
      <c r="B3296">
        <f>Skills!B12</f>
        <v/>
      </c>
      <c r="C3296">
        <f>Inputs!$B$3&gt;=105</f>
        <v/>
      </c>
      <c r="D3296">
        <f>IF(Skills!C12=1,60+Inputs!$B$25+Inputs!$B$29,IF(Skills!C12=2,90+Inputs!$B$26+Inputs!$B$29,IF(Skills!C12=3,120+Inputs!$B$27+Inputs!$B$29,MAX(0,(Inputs!$B$3-100)*3)+Inputs!$B$28+Inputs!$B$29)))</f>
        <v/>
      </c>
      <c r="E3296">
        <f>INDEX(FactorTable!$B$2:$Y$301, MATCH(ROUND(MIN(300,MAX(1,D3296)),0), FactorTable!$A$2:$A$301,0), Skills!M12+1)</f>
        <v/>
      </c>
      <c r="F3296">
        <f>IF(Skills!N12=TRUE,(Skills!L12/10)*(E3296/1000),Skills!L12/10)+Skills!O12</f>
        <v/>
      </c>
      <c r="G3296">
        <f>Skills!G12*IF(Skills!H12&gt;0,Skills!I12/Skills!H12,1)</f>
        <v/>
      </c>
      <c r="H3296">
        <f>1-(1-Skills!J12/100)^Skills!K12</f>
        <v/>
      </c>
      <c r="I3296" t="inlineStr">
        <is>
          <t>1</t>
        </is>
      </c>
      <c r="J3296">
        <f>((Inputs!$B$6*(1+Inputs!$B$7/100))+(((Inputs!$B$12*(1+Inputs!$B$13/100))-(Inputs!$B$12*(1+Inputs!$B$13/100)))+0.25*(Inputs!$B$14-Inputs!$B$14))*(1+Inputs!$B$7/100))*(F3296/100)</f>
        <v/>
      </c>
      <c r="K3296">
        <f>J3296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3296)</f>
        <v/>
      </c>
      <c r="L3296">
        <f>K3296*(MIN(Inputs!$B$22+((C3308=TRUE)*(F3308-Calc!F24)),(Inputs!$B$23+((C3313=TRUE)*(F3313-Calc!F29))+IF(ArtifactsInput!$M$15,CHOOSE(ArtifactsInput!$N$15+1,25,30,35,40,45,50)/100*(Inputs!$B$11-Inputs!$B$11),0)))/100+(Inputs!$B$23+((C3313=TRUE)*(F3313-Calc!F29))+IF(ArtifactsInput!$M$15,CHOOSE(ArtifactsInput!$N$15+1,25,30,35,40,45,50)/100*(Inputs!$B$11-Inputs!$B$11),0))/100)/2</f>
        <v/>
      </c>
      <c r="M3296">
        <f>L3296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6">
        <f>L3296*(1-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(1-Summary!$B$11)*T3296+Summary!$B$11*V3296</f>
        <v/>
      </c>
      <c r="P3296">
        <f>IF(B3329=0,0,O3296/B3329)</f>
        <v/>
      </c>
      <c r="Q3296">
        <f>IFERROR(1/IF(Inputs!$B$39="pvp",15,MAX(0.1,Skills!D12-IF(Skills!E12=TRUE,1.0,0))),0)</f>
        <v/>
      </c>
      <c r="R3296">
        <f>IF(AND(Inputs!$B$39&lt;&gt;"pvp",Inputs!$B$44&gt;0),IF(MAX(0,Inputs!$B$44-B3328)&lt;=0,0,(INT(MAX(0,Inputs!$B$44-B3328)/IF(Inputs!$B$39="pvp",15,MAX(0.1,Skills!D12-IF(Skills!E12=TRUE,1.0,0))))+1)),0)</f>
        <v/>
      </c>
      <c r="S3296">
        <f>IFERROR(O3296/N3296,0)</f>
        <v/>
      </c>
      <c r="T3296">
        <f>IF(C3296,(H3296*N3296*IF(AND(Inputs!$B$39&lt;&gt;"pvp",Inputs!$B$44&gt;0),((Skills!G12*((R3296-1)*IF(Skills!H12&gt;0,Skills!I12/Skills!H12,1)+IF(Skills!H12&gt;0,MIN(Skills!I12,MAX(0,MAX(0,Inputs!$B$44-B3328)-((R3296-1)*IF(Inputs!$B$39="pvp",15,MAX(0.1,Skills!D12-IF(Skills!E12=TRUE,1.0,0))))))/Skills!H12,1)))/Inputs!$B$44),G3296*Q3296))*IF(Inputs!$B$39="pvp",1,1+(Inputs!$B$20+0+Skills!P12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3296*(1-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6">
        <f>IF(C3296,(H3296*N3296*IF(AND(Inputs!$B$39&lt;&gt;"pvp",Inputs!$B$44&gt;0),((Skills!G12*((R3296-1)*IF(Skills!H12&gt;0,Skills!I12/Skills!H12,1)+IF(Skills!H12&gt;0,MIN(Skills!I12,MAX(0,MAX(0,Inputs!$B$44-B3328)-((R3296-1)*IF(Inputs!$B$39="pvp",15,MAX(0.1,Skills!D12-IF(Skills!E12=TRUE,1.0,0))))))/Skills!H12,1)))/Inputs!$B$44),G3296*Q3296))*IF(Inputs!$B$39="pvp",1,(1+(Inputs!$B$21+Skills!Q12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Skills!A13</f>
        <v/>
      </c>
      <c r="B3297">
        <f>Skills!B13</f>
        <v/>
      </c>
      <c r="C3297">
        <f>Inputs!$B$3&gt;=105</f>
        <v/>
      </c>
      <c r="D3297">
        <f>IF(Skills!C13=1,60+Inputs!$B$25+Inputs!$B$29,IF(Skills!C13=2,90+Inputs!$B$26+Inputs!$B$29,IF(Skills!C13=3,120+Inputs!$B$27+Inputs!$B$29,MAX(0,(Inputs!$B$3-100)*3)+Inputs!$B$28+Inputs!$B$29)))</f>
        <v/>
      </c>
      <c r="E3297">
        <f>INDEX(FactorTable!$B$2:$Y$301, MATCH(ROUND(MIN(300,MAX(1,D3297)),0), FactorTable!$A$2:$A$301,0), Skills!M13+1)</f>
        <v/>
      </c>
      <c r="F3297">
        <f>IF(Skills!N13=TRUE,(Skills!L13/10)*(E3297/1000),Skills!L13/10)+Skills!O13</f>
        <v/>
      </c>
      <c r="G3297">
        <f>Skills!G13*IF(Skills!H13&gt;0,Skills!I13/Skills!H13,1)</f>
        <v/>
      </c>
      <c r="H3297">
        <f>1-(1-Skills!J13/100)^Skills!K13</f>
        <v/>
      </c>
      <c r="I3297" t="inlineStr">
        <is>
          <t>1</t>
        </is>
      </c>
      <c r="J3297">
        <f>((Inputs!$B$6*(1+Inputs!$B$7/100))+(((Inputs!$B$12*(1+Inputs!$B$13/100))-(Inputs!$B$12*(1+Inputs!$B$13/100)))+0.25*(Inputs!$B$14-Inputs!$B$14))*(1+Inputs!$B$7/100))*(F3297/100)</f>
        <v/>
      </c>
      <c r="K3297">
        <f>J3297*(1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3297)</f>
        <v/>
      </c>
      <c r="L3297">
        <f>K3297*(MIN(Inputs!$B$22+((C3308=TRUE)*(F3308-Calc!F24)),(Inputs!$B$23+((C3313=TRUE)*(F3313-Calc!F29))+IF(ArtifactsInput!$M$15,CHOOSE(ArtifactsInput!$N$15+1,25,30,35,40,45,50)/100*(Inputs!$B$11-Inputs!$B$11),0)))/100+(Inputs!$B$23+((C3313=TRUE)*(F3313-Calc!F29))+IF(ArtifactsInput!$M$15,CHOOSE(ArtifactsInput!$N$15+1,25,30,35,40,45,50)/100*(Inputs!$B$11-Inputs!$B$11),0))/100)/2</f>
        <v/>
      </c>
      <c r="M3297">
        <f>L3297*(1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7">
        <f>L3297*(1-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3297*(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7">
        <f>(1-Summary!$B$11)*T3297+Summary!$B$11*V3297</f>
        <v/>
      </c>
      <c r="P3297">
        <f>IF(B3329=0,0,O3297/B3329)</f>
        <v/>
      </c>
      <c r="Q3297">
        <f>IFERROR(1/IF(Inputs!$B$39="pvp",15,MAX(0.1,Skills!D13-IF(Skills!E13=TRUE,1.0,0))),0)</f>
        <v/>
      </c>
      <c r="R3297">
        <f>IF(AND(Inputs!$B$39&lt;&gt;"pvp",Inputs!$B$44&gt;0),IF(MAX(0,Inputs!$B$44-B3328)&lt;=0,0,(INT(MAX(0,Inputs!$B$44-B3328)/IF(Inputs!$B$39="pvp",15,MAX(0.1,Skills!D13-IF(Skills!E13=TRUE,1.0,0))))+1)),0)</f>
        <v/>
      </c>
      <c r="S3297">
        <f>IFERROR(O3297/N3297,0)</f>
        <v/>
      </c>
      <c r="T3297">
        <f>IF(C3297,(H3297*N3297*IF(AND(Inputs!$B$39&lt;&gt;"pvp",Inputs!$B$44&gt;0),((Skills!G13*((R3297-1)*IF(Skills!H13&gt;0,Skills!I13/Skills!H13,1)+IF(Skills!H13&gt;0,MIN(Skills!I13,MAX(0,MAX(0,Inputs!$B$44-B3328)-((R3297-1)*IF(Inputs!$B$39="pvp",15,MAX(0.1,Skills!D13-IF(Skills!E13=TRUE,1.0,0))))))/Skills!H13,1)))/Inputs!$B$44),G3297*Q3297))*IF(Inputs!$B$39="pvp",1,1+(Inputs!$B$20+0+Skills!P13+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3297*(1-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3297*(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3297*(1-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3297*(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7">
        <f>IF(C3297,(H3297*N3297*IF(AND(Inputs!$B$39&lt;&gt;"pvp",Inputs!$B$44&gt;0),((Skills!G13*((R3297-1)*IF(Skills!H13&gt;0,Skills!I13/Skills!H13,1)+IF(Skills!H13&gt;0,MIN(Skills!I13,MAX(0,MAX(0,Inputs!$B$44-B3328)-((R3297-1)*IF(Inputs!$B$39="pvp",15,MAX(0.1,Skills!D13-IF(Skills!E13=TRUE,1.0,0))))))/Skills!H13,1)))/Inputs!$B$44),G3297*Q3297))*IF(Inputs!$B$39="pvp",1,(1+(Inputs!$B$21+Skills!Q13+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8">
      <c r="A3298">
        <f>Skills!A14</f>
        <v/>
      </c>
      <c r="B3298">
        <f>Skills!B14</f>
        <v/>
      </c>
      <c r="C3298">
        <f>Inputs!$B$3&gt;=107</f>
        <v/>
      </c>
      <c r="D3298">
        <f>IF(Skills!C14=1,60+Inputs!$B$25+Inputs!$B$29,IF(Skills!C14=2,90+Inputs!$B$26+Inputs!$B$29,IF(Skills!C14=3,120+Inputs!$B$27+Inputs!$B$29,MAX(0,(Inputs!$B$3-100)*3)+Inputs!$B$28+Inputs!$B$29)))</f>
        <v/>
      </c>
      <c r="E3298">
        <f>INDEX(FactorTable!$B$2:$Y$301, MATCH(ROUND(MIN(300,MAX(1,D3298)),0), FactorTable!$A$2:$A$301,0), Skills!M14+1)</f>
        <v/>
      </c>
      <c r="F3298">
        <f>IF(Skills!N14=TRUE,(Skills!L14/10)*(E3298/1000),Skills!L14/10)+Skills!O14</f>
        <v/>
      </c>
      <c r="G3298">
        <f>Skills!G14*IF(Skills!H14&gt;0,Skills!I14/Skills!H14,1)</f>
        <v/>
      </c>
      <c r="H3298">
        <f>1-(1-Skills!J14/100)^Skills!K14</f>
        <v/>
      </c>
      <c r="I3298" t="inlineStr">
        <is>
          <t>1</t>
        </is>
      </c>
      <c r="J3298">
        <f>((Inputs!$B$6*(1+Inputs!$B$7/100))+(((Inputs!$B$12*(1+Inputs!$B$13/100))-(Inputs!$B$12*(1+Inputs!$B$13/100)))+0.25*(Inputs!$B$14-Inputs!$B$14))*(1+Inputs!$B$7/100))*(F3298/100)</f>
        <v/>
      </c>
      <c r="K3298">
        <f>J3298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3298)</f>
        <v/>
      </c>
      <c r="L3298">
        <f>K3298*(MIN(Inputs!$B$22+((C3308=TRUE)*(F3308-Calc!F24)),(Inputs!$B$23+((C3313=TRUE)*(F3313-Calc!F29))+IF(ArtifactsInput!$M$15,CHOOSE(ArtifactsInput!$N$15+1,25,30,35,40,45,50)/100*(Inputs!$B$11-Inputs!$B$11),0)))/100+(Inputs!$B$23+((C3313=TRUE)*(F3313-Calc!F29))+IF(ArtifactsInput!$M$15,CHOOSE(ArtifactsInput!$N$15+1,25,30,35,40,45,50)/100*(Inputs!$B$11-Inputs!$B$11),0))/100)/2</f>
        <v/>
      </c>
      <c r="M3298">
        <f>L3298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8">
        <f>L3298*(1-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3298*(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8">
        <f>(1-Summary!$B$11)*T3298+Summary!$B$11*V3298</f>
        <v/>
      </c>
      <c r="P3298">
        <f>IF(B3329=0,0,O3298/B3329)</f>
        <v/>
      </c>
      <c r="Q3298">
        <f>IFERROR(1/IF(Inputs!$B$39="pvp",15,MAX(0.1,Skills!D14-IF(Skills!E14=TRUE,1.0,0))),0)</f>
        <v/>
      </c>
      <c r="R3298">
        <f>IF(AND(Inputs!$B$39&lt;&gt;"pvp",Inputs!$B$44&gt;0),IF(MAX(0,Inputs!$B$44-B3328)&lt;=0,0,(INT(MAX(0,Inputs!$B$44-B3328)/IF(Inputs!$B$39="pvp",15,MAX(0.1,Skills!D14-IF(Skills!E14=TRUE,1.0,0))))+1)),0)</f>
        <v/>
      </c>
      <c r="S3298">
        <f>IFERROR(O3298/N3298,0)</f>
        <v/>
      </c>
      <c r="T3298">
        <f>IF(C3298,(H3298*N3298*IF(AND(Inputs!$B$39&lt;&gt;"pvp",Inputs!$B$44&gt;0),((Skills!G14*((R3298-1)*IF(Skills!H14&gt;0,Skills!I14/Skills!H14,1)+IF(Skills!H14&gt;0,MIN(Skills!I14,MAX(0,MAX(0,Inputs!$B$44-B3328)-((R3298-1)*IF(Inputs!$B$39="pvp",15,MAX(0.1,Skills!D14-IF(Skills!E14=TRUE,1.0,0))))))/Skills!H14,1)))/Inputs!$B$44),G3298*Q3298))*IF(Inputs!$B$39="pvp",1,1+(Inputs!$B$20+0+Skills!P14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3298*(1-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3298*(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3298*(1-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3298*(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8">
        <f>IF(C3298,(H3298*N3298*IF(AND(Inputs!$B$39&lt;&gt;"pvp",Inputs!$B$44&gt;0),((Skills!G14*((R3298-1)*IF(Skills!H14&gt;0,Skills!I14/Skills!H14,1)+IF(Skills!H14&gt;0,MIN(Skills!I14,MAX(0,MAX(0,Inputs!$B$44-B3328)-((R3298-1)*IF(Inputs!$B$39="pvp",15,MAX(0.1,Skills!D14-IF(Skills!E14=TRUE,1.0,0))))))/Skills!H14,1)))/Inputs!$B$44),G3298*Q3298))*IF(Inputs!$B$39="pvp",1,(1+(Inputs!$B$21+Skills!Q14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(5,0.25*B3321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9">
      <c r="A3299">
        <f>Skills!A15</f>
        <v/>
      </c>
      <c r="B3299">
        <f>Skills!B15</f>
        <v/>
      </c>
      <c r="C3299">
        <f>Inputs!$B$3&gt;=110</f>
        <v/>
      </c>
      <c r="D3299">
        <f>IF(Skills!C15=1,60+Inputs!$B$25+Inputs!$B$29,IF(Skills!C15=2,90+Inputs!$B$26+Inputs!$B$29,IF(Skills!C15=3,120+Inputs!$B$27+Inputs!$B$29,MAX(0,(Inputs!$B$3-100)*3)+Inputs!$B$28+Inputs!$B$29)))</f>
        <v/>
      </c>
      <c r="E3299">
        <f>INDEX(FactorTable!$B$2:$Y$301, MATCH(ROUND(MIN(300,MAX(1,D3299)),0), FactorTable!$A$2:$A$301,0), Skills!M15+1)</f>
        <v/>
      </c>
      <c r="F3299">
        <f>IF(Skills!N15=TRUE,(Skills!L15/10)*(E3299/1000),Skills!L15/10)+Skills!O15</f>
        <v/>
      </c>
      <c r="G3299">
        <f>Skills!G15*IF(Skills!H15&gt;0,Skills!I15/Skills!H15,1)</f>
        <v/>
      </c>
      <c r="H3299">
        <f>1-(1-Skills!J15/100)^Skills!K15</f>
        <v/>
      </c>
      <c r="I3299" t="inlineStr">
        <is>
          <t>1</t>
        </is>
      </c>
      <c r="J3299" t="inlineStr"/>
      <c r="K3299" t="inlineStr"/>
      <c r="L3299" t="inlineStr"/>
      <c r="M3299" t="inlineStr"/>
      <c r="N3299" t="inlineStr"/>
      <c r="O3299">
        <f>(1-Summary!$B$11)*T3299+Summary!$B$11*V3299</f>
        <v/>
      </c>
      <c r="P3299">
        <f>IF(B3329=0,0,O3299/B3329)</f>
        <v/>
      </c>
      <c r="Q3299">
        <f>IFERROR(1/IF(Inputs!$B$39="pvp",15,MAX(0.1,Skills!D15-IF(Skills!E15=TRUE,1.0,0))),0)</f>
        <v/>
      </c>
      <c r="R3299">
        <f>IF(AND(Inputs!$B$39&lt;&gt;"pvp",Inputs!$B$44&gt;0),IF(Inputs!$B$44&lt;=0,0,(INT(Inputs!$B$44/IF(Inputs!$B$39="pvp",15,MAX(0.1,Skills!D15-IF(Skills!E15=TRUE,1.0,0))))+1)),0)</f>
        <v/>
      </c>
      <c r="S3299">
        <f>IFERROR(O3299/N3299,0)</f>
        <v/>
      </c>
      <c r="T3299" t="n">
        <v>0</v>
      </c>
      <c r="V3299" t="n">
        <v>0</v>
      </c>
    </row>
    <row r="3300">
      <c r="A3300">
        <f>Skills!A16</f>
        <v/>
      </c>
      <c r="B3300">
        <f>Skills!B16</f>
        <v/>
      </c>
      <c r="C3300">
        <f>Inputs!$B$3&gt;=115</f>
        <v/>
      </c>
      <c r="D3300">
        <f>IF(Skills!C16=1,60+Inputs!$B$25+Inputs!$B$29,IF(Skills!C16=2,90+Inputs!$B$26+Inputs!$B$29,IF(Skills!C16=3,120+Inputs!$B$27+Inputs!$B$29,MAX(0,(Inputs!$B$3-100)*3)+Inputs!$B$28+Inputs!$B$29)))</f>
        <v/>
      </c>
      <c r="E3300">
        <f>INDEX(FactorTable!$B$2:$Y$301, MATCH(ROUND(MIN(300,MAX(1,D3300)),0), FactorTable!$A$2:$A$301,0), Skills!M16+1)</f>
        <v/>
      </c>
      <c r="F3300">
        <f>IF(Skills!N16=TRUE,(Skills!L16/10)*(E3300/1000),Skills!L16/10)+Skills!O16</f>
        <v/>
      </c>
      <c r="G3300">
        <f>Skills!G16*IF(Skills!H16&gt;0,Skills!I16/Skills!H16,1)</f>
        <v/>
      </c>
      <c r="H3300">
        <f>1-(1-Skills!J16/100)^Skills!K16</f>
        <v/>
      </c>
      <c r="I3300" t="inlineStr">
        <is>
          <t>1</t>
        </is>
      </c>
      <c r="J3300">
        <f>((Inputs!$B$6*(1+Inputs!$B$7/100))+(((Inputs!$B$12*(1+Inputs!$B$13/100))-(Inputs!$B$12*(1+Inputs!$B$13/100)))+0.25*(Inputs!$B$14-Inputs!$B$14))*(1+Inputs!$B$7/100))*(F3300/100)</f>
        <v/>
      </c>
      <c r="K3300">
        <f>J3300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3311=TRUE)*(F3311-Calc!F27))+((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3300)</f>
        <v/>
      </c>
      <c r="L3300">
        <f>K3300*(MIN(Inputs!$B$22+((C3308=TRUE)*(F3308-Calc!F24)),(Inputs!$B$23+((C3313=TRUE)*(F3313-Calc!F29))+IF(ArtifactsInput!$M$15,CHOOSE(ArtifactsInput!$N$15+1,25,30,35,40,45,50)/100*(Inputs!$B$11-Inputs!$B$11),0)))/100+(Inputs!$B$23+((C3313=TRUE)*(F3313-Calc!F29))+IF(ArtifactsInput!$M$15,CHOOSE(ArtifactsInput!$N$15+1,25,30,35,40,45,50)/100*(Inputs!$B$11-Inputs!$B$11),0))/100)/2</f>
        <v/>
      </c>
      <c r="M3300">
        <f>L3300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0">
        <f>L3300*(1-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3300*(MIN((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0">
        <f>(1-Summary!$B$11)*T3300+Summary!$B$11*V3300</f>
        <v/>
      </c>
      <c r="P3300">
        <f>IF(B3329=0,0,O3300/B3329)</f>
        <v/>
      </c>
      <c r="Q3300" t="n">
        <v>0</v>
      </c>
      <c r="R3300" t="n">
        <v>0</v>
      </c>
      <c r="S3300">
        <f>IFERROR(O3300/N3300,0)</f>
        <v/>
      </c>
      <c r="T3300">
        <f>IF(C3300,(Inputs!$B$38*0.2*N3300)*IF(Inputs!$B$39="pvp",1,1+(Inputs!$B$20+0+Skills!P16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3300*(1-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3300*(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3300*(1-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3300*(MIN(100,(Inputs!$B$9+((C3309=TRUE)*(F3309-Calc!F25))+B3317+(ArtifactsInput!$M$24-ArtifactsInput!$M$24)*CHOOSE(ArtifactsInput!$N$24+1,10,12,14,16,18,20)+(IF(AND(Inputs!$B$39&lt;&gt;"pvp",Inputs!$B$44=0),1,IF(IF(Inputs!$B$39="pvp",15,Inputs!$B$44)-(B3328)&lt;=0,1,MAX(0,IF(Inputs!$B$39="pvp",15,Inputs!$B$44)-MAX(5,B3328))/(IF(Inputs!$B$39="pvp",15,Inputs!$B$44)-(B3328))))*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0">
        <f>IF(C3300,(Inputs!$B$38*0.2*N3300)*IF(Inputs!$B$39="pvp",1,(1+(Inputs!$B$21+Skills!Q16+B3318+(IF(ArtifactsInput!$M$33,CHOOSE(ArtifactsInput!$N$33+1,30,36,42,48,54,60),0))+(IF(AND(ArtifactsInput!$M$35,Inputs!$B$4&lt;&gt;"Chapter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1">
      <c r="A3301">
        <f>Skills!A17</f>
        <v/>
      </c>
      <c r="B3301">
        <f>Skills!B17</f>
        <v/>
      </c>
      <c r="C3301">
        <f>Inputs!$B$3&gt;=115</f>
        <v/>
      </c>
      <c r="D3301">
        <f>IF(Skills!C17=1,60+Inputs!$B$25+Inputs!$B$29,IF(Skills!C17=2,90+Inputs!$B$26+Inputs!$B$29,IF(Skills!C17=3,120+Inputs!$B$27+Inputs!$B$29,MAX(0,(Inputs!$B$3-100)*3)+Inputs!$B$28+Inputs!$B$29)))</f>
        <v/>
      </c>
      <c r="E3301">
        <f>INDEX(FactorTable!$B$2:$Y$301, MATCH(ROUND(MIN(300,MAX(1,D3301)),0), FactorTable!$A$2:$A$301,0), Skills!M17+1)</f>
        <v/>
      </c>
      <c r="F3301">
        <f>IF(Skills!N17=TRUE,(Skills!L17/10)*(E3301/1000),Skills!L17/10)+Skills!O17</f>
        <v/>
      </c>
      <c r="G3301">
        <f>Skills!G17*IF(Skills!H17&gt;0,Skills!I17/Skills!H17,1)</f>
        <v/>
      </c>
      <c r="H3301">
        <f>1-(1-Skills!J17/100)^Skills!K17</f>
        <v/>
      </c>
      <c r="I3301" t="inlineStr">
        <is>
          <t>1</t>
        </is>
      </c>
      <c r="J3301" t="inlineStr"/>
      <c r="K3301" t="inlineStr"/>
      <c r="L3301" t="inlineStr"/>
      <c r="M3301" t="inlineStr"/>
      <c r="N3301" t="inlineStr"/>
      <c r="O3301">
        <f>(1-Summary!$B$11)*T3301+Summary!$B$11*V3301</f>
        <v/>
      </c>
      <c r="P3301">
        <f>IF(B3329=0,0,O3301/B3329)</f>
        <v/>
      </c>
      <c r="Q3301" t="n">
        <v>0</v>
      </c>
      <c r="R3301" t="n">
        <v>0</v>
      </c>
      <c r="S3301">
        <f>IFERROR(O3301/N3301,0)</f>
        <v/>
      </c>
      <c r="T3301" t="n">
        <v>0</v>
      </c>
      <c r="V3301" t="n">
        <v>0</v>
      </c>
    </row>
    <row r="3302">
      <c r="A3302">
        <f>Skills!A18</f>
        <v/>
      </c>
      <c r="B3302">
        <f>Skills!B18</f>
        <v/>
      </c>
      <c r="C3302">
        <f>Inputs!$B$3&gt;=100</f>
        <v/>
      </c>
      <c r="D3302">
        <f>IF(Skills!C18=1,60+Inputs!$B$25+Inputs!$B$29,IF(Skills!C18=2,90+Inputs!$B$26+Inputs!$B$29,IF(Skills!C18=3,120+Inputs!$B$27+Inputs!$B$29,MAX(0,(Inputs!$B$3-100)*3)+Inputs!$B$28+Inputs!$B$29)))</f>
        <v/>
      </c>
      <c r="E3302">
        <f>INDEX(FactorTable!$B$2:$Y$301, MATCH(ROUND(MIN(300,MAX(1,D3302)),0), FactorTable!$A$2:$A$301,0), Skills!M18+1)</f>
        <v/>
      </c>
      <c r="F3302">
        <f>IF(Skills!N18=TRUE,(Skills!L18/10)*(E3302/1000),Skills!L18/10)+Skills!O18</f>
        <v/>
      </c>
      <c r="G3302">
        <f>Skills!G18*IF(Skills!H18&gt;0,Skills!I18/Skills!H18,1)</f>
        <v/>
      </c>
      <c r="H3302">
        <f>1-(1-Skills!J18/100)^Skills!K18</f>
        <v/>
      </c>
      <c r="I3302" t="inlineStr">
        <is>
          <t>1</t>
        </is>
      </c>
      <c r="J3302" t="inlineStr"/>
      <c r="K3302" t="inlineStr"/>
      <c r="L3302" t="inlineStr"/>
      <c r="M3302" t="inlineStr"/>
      <c r="N3302" t="inlineStr"/>
      <c r="O3302">
        <f>(1-Summary!$B$11)*T3302+Summary!$B$11*V3302</f>
        <v/>
      </c>
      <c r="P3302">
        <f>IF(B3329=0,0,O3302/B3329)</f>
        <v/>
      </c>
      <c r="Q3302" t="n">
        <v>0</v>
      </c>
      <c r="R3302" t="n">
        <v>0</v>
      </c>
      <c r="S3302">
        <f>IFERROR(O3302/N3302,0)</f>
        <v/>
      </c>
      <c r="T3302" t="n">
        <v>0</v>
      </c>
      <c r="V3302" t="n">
        <v>0</v>
      </c>
    </row>
    <row r="3303">
      <c r="A3303">
        <f>Skills!A19</f>
        <v/>
      </c>
      <c r="B3303">
        <f>Skills!B19</f>
        <v/>
      </c>
      <c r="C3303">
        <f>TRUE</f>
        <v/>
      </c>
      <c r="D3303">
        <f>IF(Skills!C19=1,60+Inputs!$B$25+Inputs!$B$29,IF(Skills!C19=2,90+Inputs!$B$26+Inputs!$B$29,IF(Skills!C19=3,120+Inputs!$B$27+Inputs!$B$29,MAX(0,(Inputs!$B$3-100)*3)+Inputs!$B$28+Inputs!$B$29)))</f>
        <v/>
      </c>
      <c r="E3303">
        <f>INDEX(FactorTable!$B$2:$Y$301, MATCH(ROUND(MIN(300,MAX(1,D3303)),0), FactorTable!$A$2:$A$301,0), Skills!M19+1)</f>
        <v/>
      </c>
      <c r="F3303">
        <f>IF(Skills!N19=TRUE,(Skills!L19/10)*(E3303/1000),Skills!L19/10)+Skills!O19</f>
        <v/>
      </c>
      <c r="G3303">
        <f>Skills!G19*IF(Skills!H19&gt;0,Skills!I19/Skills!H19,1)</f>
        <v/>
      </c>
      <c r="H3303">
        <f>1-(1-Skills!J19/100)^Skills!K19</f>
        <v/>
      </c>
      <c r="I3303" t="inlineStr">
        <is>
          <t>1</t>
        </is>
      </c>
      <c r="J3303" t="inlineStr"/>
      <c r="K3303" t="inlineStr"/>
      <c r="L3303" t="inlineStr"/>
      <c r="M3303" t="inlineStr"/>
      <c r="N3303" t="inlineStr"/>
      <c r="O3303">
        <f>(1-Summary!$B$11)*T3303+Summary!$B$11*V3303</f>
        <v/>
      </c>
      <c r="P3303">
        <f>IF(B3329=0,0,O3303/B3329)</f>
        <v/>
      </c>
      <c r="Q3303">
        <f>IFERROR(1/IF(Inputs!$B$39="pvp",15,MAX(0.1,Skills!D19-IF(Skills!E19=TRUE,1.0,0))),0)</f>
        <v/>
      </c>
      <c r="R3303">
        <f>IF(AND(Inputs!$B$39&lt;&gt;"pvp",Inputs!$B$44&gt;0),IF(Inputs!$B$44&lt;=0,0,(INT(Inputs!$B$44/IF(Inputs!$B$39="pvp",15,MAX(0.1,Skills!D19-IF(Skills!E19=TRUE,1.0,0))))+1)),0)</f>
        <v/>
      </c>
      <c r="S3303">
        <f>IFERROR(O3303/N3303,0)</f>
        <v/>
      </c>
      <c r="T3303" t="n">
        <v>0</v>
      </c>
      <c r="V3303" t="n">
        <v>0</v>
      </c>
    </row>
    <row r="3304">
      <c r="A3304">
        <f>Skills!A20</f>
        <v/>
      </c>
      <c r="B3304">
        <f>Skills!B20</f>
        <v/>
      </c>
      <c r="C3304">
        <f>Inputs!$B$3&gt;=15</f>
        <v/>
      </c>
      <c r="D3304">
        <f>IF(Skills!C20=1,60+Inputs!$B$25+Inputs!$B$29,IF(Skills!C20=2,90+Inputs!$B$26+Inputs!$B$29,IF(Skills!C20=3,120+Inputs!$B$27+Inputs!$B$29,MAX(0,(Inputs!$B$3-100)*3)+Inputs!$B$28+Inputs!$B$29)))</f>
        <v/>
      </c>
      <c r="E3304">
        <f>INDEX(FactorTable!$B$2:$Y$301, MATCH(ROUND(MIN(300,MAX(1,D3304)),0), FactorTable!$A$2:$A$301,0), Skills!M20+1)</f>
        <v/>
      </c>
      <c r="F3304">
        <f>IF(Skills!N20=TRUE,(Skills!L20/10)*(E3304/1000),Skills!L20/10)+Skills!O20</f>
        <v/>
      </c>
      <c r="G3304">
        <f>Skills!G20*IF(Skills!H20&gt;0,Skills!I20/Skills!H20,1)</f>
        <v/>
      </c>
      <c r="H3304">
        <f>1-(1-Skills!J20/100)^Skills!K20</f>
        <v/>
      </c>
      <c r="I3304" t="inlineStr">
        <is>
          <t>1</t>
        </is>
      </c>
      <c r="J3304" t="inlineStr"/>
      <c r="K3304" t="inlineStr"/>
      <c r="L3304" t="inlineStr"/>
      <c r="M3304" t="inlineStr"/>
      <c r="N3304" t="inlineStr"/>
      <c r="O3304">
        <f>(1-Summary!$B$11)*T3304+Summary!$B$11*V3304</f>
        <v/>
      </c>
      <c r="P3304">
        <f>IF(B3329=0,0,O3304/B3329)</f>
        <v/>
      </c>
      <c r="Q3304">
        <f>IFERROR(1/IF(Inputs!$B$39="pvp",15,MAX(0.1,Skills!D20-IF(Skills!E20=TRUE,1.0,0))),0)</f>
        <v/>
      </c>
      <c r="R3304">
        <f>IF(AND(Inputs!$B$39&lt;&gt;"pvp",Inputs!$B$44&gt;0),IF(Inputs!$B$44&lt;=0,0,(INT(Inputs!$B$44/IF(Inputs!$B$39="pvp",15,MAX(0.1,Skills!D20-IF(Skills!E20=TRUE,1.0,0))))+1)),0)</f>
        <v/>
      </c>
      <c r="S3304">
        <f>IFERROR(O3304/N3304,0)</f>
        <v/>
      </c>
      <c r="T3304" t="n">
        <v>0</v>
      </c>
      <c r="V3304" t="n">
        <v>0</v>
      </c>
    </row>
    <row r="3305">
      <c r="A3305">
        <f>Skills!A21</f>
        <v/>
      </c>
      <c r="B3305">
        <f>Skills!B21</f>
        <v/>
      </c>
      <c r="C3305">
        <f>Inputs!$B$3&gt;=15</f>
        <v/>
      </c>
      <c r="D3305">
        <f>IF(Skills!C21=1,60+Inputs!$B$25+Inputs!$B$29,IF(Skills!C21=2,90+Inputs!$B$26+Inputs!$B$29,IF(Skills!C21=3,120+Inputs!$B$27+Inputs!$B$29,MAX(0,(Inputs!$B$3-100)*3)+Inputs!$B$28+Inputs!$B$29)))</f>
        <v/>
      </c>
      <c r="E3305">
        <f>INDEX(FactorTable!$B$2:$Y$301, MATCH(ROUND(MIN(300,MAX(1,D3305)),0), FactorTable!$A$2:$A$301,0), Skills!M21+1)</f>
        <v/>
      </c>
      <c r="F3305">
        <f>IF(Skills!N21=TRUE,(Skills!L21/10)*(E3305/1000),Skills!L21/10)+Skills!O21</f>
        <v/>
      </c>
      <c r="G3305">
        <f>Skills!G21*IF(Skills!H21&gt;0,Skills!I21/Skills!H21,1)</f>
        <v/>
      </c>
      <c r="H3305">
        <f>1-(1-Skills!J21/100)^Skills!K21</f>
        <v/>
      </c>
      <c r="I3305" t="inlineStr">
        <is>
          <t>1</t>
        </is>
      </c>
      <c r="J3305" t="inlineStr"/>
      <c r="K3305" t="inlineStr"/>
      <c r="L3305" t="inlineStr"/>
      <c r="M3305" t="inlineStr"/>
      <c r="N3305" t="inlineStr"/>
      <c r="O3305">
        <f>(1-Summary!$B$11)*T3305+Summary!$B$11*V3305</f>
        <v/>
      </c>
      <c r="P3305">
        <f>IF(B3329=0,0,O3305/B3329)</f>
        <v/>
      </c>
      <c r="Q3305">
        <f>IFERROR(1/IF(Inputs!$B$39="pvp",15,MAX(0.1,Skills!D21-IF(Skills!E21=TRUE,1.0,0))),0)</f>
        <v/>
      </c>
      <c r="R3305">
        <f>IF(AND(Inputs!$B$39&lt;&gt;"pvp",Inputs!$B$44&gt;0),IF(Inputs!$B$44&lt;=0,0,(INT(Inputs!$B$44/IF(Inputs!$B$39="pvp",15,MAX(0.1,Skills!D21-IF(Skills!E21=TRUE,1.0,0))))+1)),0)</f>
        <v/>
      </c>
      <c r="S3305">
        <f>IFERROR(O3305/N3305,0)</f>
        <v/>
      </c>
      <c r="T3305" t="n">
        <v>0</v>
      </c>
      <c r="V3305" t="n">
        <v>0</v>
      </c>
    </row>
    <row r="3306">
      <c r="A3306">
        <f>Skills!A22</f>
        <v/>
      </c>
      <c r="B3306">
        <f>Skills!B22</f>
        <v/>
      </c>
      <c r="C3306">
        <f>Inputs!$B$3&gt;=33</f>
        <v/>
      </c>
      <c r="D3306">
        <f>IF(Skills!C22=1,60+Inputs!$B$25+Inputs!$B$29,IF(Skills!C22=2,90+Inputs!$B$26+Inputs!$B$29,IF(Skills!C22=3,120+Inputs!$B$27+Inputs!$B$29,MAX(0,(Inputs!$B$3-100)*3)+Inputs!$B$28+Inputs!$B$29)))</f>
        <v/>
      </c>
      <c r="E3306">
        <f>INDEX(FactorTable!$B$2:$Y$301, MATCH(ROUND(MIN(300,MAX(1,D3306)),0), FactorTable!$A$2:$A$301,0), Skills!M22+1)</f>
        <v/>
      </c>
      <c r="F3306">
        <f>IF(Skills!N22=TRUE,(Skills!L22/10)*(E3306/1000),Skills!L22/10)+Skills!O22</f>
        <v/>
      </c>
      <c r="G3306">
        <f>Skills!G22*IF(Skills!H22&gt;0,Skills!I22/Skills!H22,1)</f>
        <v/>
      </c>
      <c r="H3306">
        <f>1-(1-Skills!J22/100)^Skills!K22</f>
        <v/>
      </c>
      <c r="I3306" t="inlineStr">
        <is>
          <t>1</t>
        </is>
      </c>
      <c r="J3306" t="inlineStr"/>
      <c r="K3306" t="inlineStr"/>
      <c r="L3306" t="inlineStr"/>
      <c r="M3306" t="inlineStr"/>
      <c r="N3306" t="inlineStr"/>
      <c r="O3306">
        <f>(1-Summary!$B$11)*T3306+Summary!$B$11*V3306</f>
        <v/>
      </c>
      <c r="P3306">
        <f>IF(B3329=0,0,O3306/B3329)</f>
        <v/>
      </c>
      <c r="Q3306" t="n">
        <v>0</v>
      </c>
      <c r="R3306" t="n">
        <v>0</v>
      </c>
      <c r="S3306">
        <f>IFERROR(O3306/N3306,0)</f>
        <v/>
      </c>
      <c r="T3306" t="n">
        <v>0</v>
      </c>
      <c r="V3306" t="n">
        <v>0</v>
      </c>
    </row>
    <row r="3307">
      <c r="A3307">
        <f>Skills!A23</f>
        <v/>
      </c>
      <c r="B3307">
        <f>Skills!B23</f>
        <v/>
      </c>
      <c r="C3307">
        <f>Inputs!$B$3&gt;=40</f>
        <v/>
      </c>
      <c r="D3307">
        <f>IF(Skills!C23=1,60+Inputs!$B$25+Inputs!$B$29,IF(Skills!C23=2,90+Inputs!$B$26+Inputs!$B$29,IF(Skills!C23=3,120+Inputs!$B$27+Inputs!$B$29,MAX(0,(Inputs!$B$3-100)*3)+Inputs!$B$28+Inputs!$B$29)))</f>
        <v/>
      </c>
      <c r="E3307">
        <f>INDEX(FactorTable!$B$2:$Y$301, MATCH(ROUND(MIN(300,MAX(1,D3307)),0), FactorTable!$A$2:$A$301,0), Skills!M23+1)</f>
        <v/>
      </c>
      <c r="F3307">
        <f>IF(Skills!N23=TRUE,(Skills!L23/10)*(E3307/1000),Skills!L23/10)+Skills!O23</f>
        <v/>
      </c>
      <c r="G3307">
        <f>Skills!G23*IF(Skills!H23&gt;0,Skills!I23/Skills!H23,1)</f>
        <v/>
      </c>
      <c r="H3307">
        <f>1-(1-Skills!J23/100)^Skills!K23</f>
        <v/>
      </c>
      <c r="I3307" t="inlineStr">
        <is>
          <t>1</t>
        </is>
      </c>
      <c r="J3307" t="inlineStr"/>
      <c r="K3307" t="inlineStr"/>
      <c r="L3307" t="inlineStr"/>
      <c r="M3307" t="inlineStr"/>
      <c r="N3307" t="inlineStr"/>
      <c r="O3307">
        <f>(1-Summary!$B$11)*T3307+Summary!$B$11*V3307</f>
        <v/>
      </c>
      <c r="P3307">
        <f>IF(B3329=0,0,O3307/B3329)</f>
        <v/>
      </c>
      <c r="Q3307" t="n">
        <v>0</v>
      </c>
      <c r="R3307" t="n">
        <v>0</v>
      </c>
      <c r="S3307">
        <f>IFERROR(O3307/N3307,0)</f>
        <v/>
      </c>
      <c r="T3307" t="n">
        <v>0</v>
      </c>
      <c r="V3307" t="n">
        <v>0</v>
      </c>
    </row>
    <row r="3308">
      <c r="A3308">
        <f>Skills!A24</f>
        <v/>
      </c>
      <c r="B3308">
        <f>Skills!B24</f>
        <v/>
      </c>
      <c r="C3308">
        <f>Inputs!$B$3&gt;=43</f>
        <v/>
      </c>
      <c r="D3308">
        <f>IF(Skills!C24=1,60+Inputs!$B$25+Inputs!$B$29,IF(Skills!C24=2,90+Inputs!$B$26+Inputs!$B$29,IF(Skills!C24=3,120+Inputs!$B$27+Inputs!$B$29,MAX(0,(Inputs!$B$3-100)*3)+Inputs!$B$28+Inputs!$B$29)))</f>
        <v/>
      </c>
      <c r="E3308">
        <f>INDEX(FactorTable!$B$2:$Y$301, MATCH(ROUND(MIN(300,MAX(1,D3308)),0), FactorTable!$A$2:$A$301,0), Skills!M24+1)</f>
        <v/>
      </c>
      <c r="F3308">
        <f>IF(Skills!N24=TRUE,(Skills!L24/10)*(E3308/1000),Skills!L24/10)+Skills!O24</f>
        <v/>
      </c>
      <c r="G3308">
        <f>Skills!G24*IF(Skills!H24&gt;0,Skills!I24/Skills!H24,1)</f>
        <v/>
      </c>
      <c r="H3308">
        <f>1-(1-Skills!J24/100)^Skills!K24</f>
        <v/>
      </c>
      <c r="I3308" t="inlineStr">
        <is>
          <t>1</t>
        </is>
      </c>
      <c r="J3308" t="inlineStr"/>
      <c r="K3308" t="inlineStr"/>
      <c r="L3308" t="inlineStr"/>
      <c r="M3308" t="inlineStr"/>
      <c r="N3308" t="inlineStr"/>
      <c r="O3308">
        <f>(1-Summary!$B$11)*T3308+Summary!$B$11*V3308</f>
        <v/>
      </c>
      <c r="P3308">
        <f>IF(B3329=0,0,O3308/B3329)</f>
        <v/>
      </c>
      <c r="Q3308" t="n">
        <v>0</v>
      </c>
      <c r="R3308" t="n">
        <v>0</v>
      </c>
      <c r="S3308">
        <f>IFERROR(O3308/N3308,0)</f>
        <v/>
      </c>
      <c r="T3308" t="n">
        <v>0</v>
      </c>
      <c r="V3308" t="n">
        <v>0</v>
      </c>
    </row>
    <row r="3309">
      <c r="A3309">
        <f>Skills!A25</f>
        <v/>
      </c>
      <c r="B3309">
        <f>Skills!B25</f>
        <v/>
      </c>
      <c r="C3309">
        <f>Inputs!$B$3&gt;=50</f>
        <v/>
      </c>
      <c r="D3309">
        <f>IF(Skills!C25=1,60+Inputs!$B$25+Inputs!$B$29,IF(Skills!C25=2,90+Inputs!$B$26+Inputs!$B$29,IF(Skills!C25=3,120+Inputs!$B$27+Inputs!$B$29,MAX(0,(Inputs!$B$3-100)*3)+Inputs!$B$28+Inputs!$B$29)))</f>
        <v/>
      </c>
      <c r="E3309">
        <f>INDEX(FactorTable!$B$2:$Y$301, MATCH(ROUND(MIN(300,MAX(1,D3309)),0), FactorTable!$A$2:$A$301,0), Skills!M25+1)</f>
        <v/>
      </c>
      <c r="F3309">
        <f>IF(Skills!N25=TRUE,(Skills!L25/10)*(E3309/1000),Skills!L25/10)+Skills!O25</f>
        <v/>
      </c>
      <c r="G3309">
        <f>Skills!G25*IF(Skills!H25&gt;0,Skills!I25/Skills!H25,1)</f>
        <v/>
      </c>
      <c r="H3309">
        <f>1-(1-Skills!J25/100)^Skills!K25</f>
        <v/>
      </c>
      <c r="I3309" t="inlineStr">
        <is>
          <t>1</t>
        </is>
      </c>
      <c r="J3309" t="inlineStr"/>
      <c r="K3309" t="inlineStr"/>
      <c r="L3309" t="inlineStr"/>
      <c r="M3309" t="inlineStr"/>
      <c r="N3309" t="inlineStr"/>
      <c r="O3309">
        <f>(1-Summary!$B$11)*T3309+Summary!$B$11*V3309</f>
        <v/>
      </c>
      <c r="P3309">
        <f>IF(B3329=0,0,O3309/B3329)</f>
        <v/>
      </c>
      <c r="Q3309" t="n">
        <v>0</v>
      </c>
      <c r="R3309" t="n">
        <v>0</v>
      </c>
      <c r="S3309">
        <f>IFERROR(O3309/N3309,0)</f>
        <v/>
      </c>
      <c r="T3309" t="n">
        <v>0</v>
      </c>
      <c r="V3309" t="n">
        <v>0</v>
      </c>
    </row>
    <row r="3310">
      <c r="A3310">
        <f>Skills!A26</f>
        <v/>
      </c>
      <c r="B3310">
        <f>Skills!B26</f>
        <v/>
      </c>
      <c r="C3310">
        <f>Inputs!$B$3&gt;=50</f>
        <v/>
      </c>
      <c r="D3310">
        <f>IF(Skills!C26=1,60+Inputs!$B$25+Inputs!$B$29,IF(Skills!C26=2,90+Inputs!$B$26+Inputs!$B$29,IF(Skills!C26=3,120+Inputs!$B$27+Inputs!$B$29,MAX(0,(Inputs!$B$3-100)*3)+Inputs!$B$28+Inputs!$B$29)))</f>
        <v/>
      </c>
      <c r="E3310">
        <f>INDEX(FactorTable!$B$2:$Y$301, MATCH(ROUND(MIN(300,MAX(1,D3310)),0), FactorTable!$A$2:$A$301,0), Skills!M26+1)</f>
        <v/>
      </c>
      <c r="F3310">
        <f>IF(Skills!N26=TRUE,(Skills!L26/10)*(E3310/1000),Skills!L26/10)+Skills!O26</f>
        <v/>
      </c>
      <c r="G3310">
        <f>Skills!G26*IF(Skills!H26&gt;0,Skills!I26/Skills!H26,1)</f>
        <v/>
      </c>
      <c r="H3310">
        <f>1-(1-Skills!J26/100)^Skills!K26</f>
        <v/>
      </c>
      <c r="I3310" t="inlineStr">
        <is>
          <t>1</t>
        </is>
      </c>
      <c r="J3310" t="inlineStr"/>
      <c r="K3310" t="inlineStr"/>
      <c r="L3310" t="inlineStr"/>
      <c r="M3310" t="inlineStr"/>
      <c r="N3310" t="inlineStr"/>
      <c r="O3310">
        <f>(1-Summary!$B$11)*T3310+Summary!$B$11*V3310</f>
        <v/>
      </c>
      <c r="P3310">
        <f>IF(B3329=0,0,O3310/B3329)</f>
        <v/>
      </c>
      <c r="Q3310" t="n">
        <v>0</v>
      </c>
      <c r="R3310" t="n">
        <v>0</v>
      </c>
      <c r="S3310">
        <f>IFERROR(O3310/N3310,0)</f>
        <v/>
      </c>
      <c r="T3310" t="n">
        <v>0</v>
      </c>
      <c r="V3310" t="n">
        <v>0</v>
      </c>
    </row>
    <row r="3311">
      <c r="A3311">
        <f>Skills!A27</f>
        <v/>
      </c>
      <c r="B3311">
        <f>Skills!B27</f>
        <v/>
      </c>
      <c r="C3311">
        <f>Inputs!$B$3&gt;=38</f>
        <v/>
      </c>
      <c r="D3311">
        <f>IF(Skills!C27=1,60+Inputs!$B$25+Inputs!$B$29,IF(Skills!C27=2,90+Inputs!$B$26+Inputs!$B$29,IF(Skills!C27=3,120+Inputs!$B$27+Inputs!$B$29,MAX(0,(Inputs!$B$3-100)*3)+Inputs!$B$28+Inputs!$B$29)))</f>
        <v/>
      </c>
      <c r="E3311">
        <f>INDEX(FactorTable!$B$2:$Y$301, MATCH(ROUND(MIN(300,MAX(1,D3311)),0), FactorTable!$A$2:$A$301,0), Skills!M27+1)</f>
        <v/>
      </c>
      <c r="F3311">
        <f>IF(Skills!N27=TRUE,(Skills!L27/10)*(E3311/1000),Skills!L27/10)+Skills!O27</f>
        <v/>
      </c>
      <c r="G3311">
        <f>Skills!G27*IF(Skills!H27&gt;0,Skills!I27/Skills!H27,1)</f>
        <v/>
      </c>
      <c r="H3311">
        <f>1-(1-Skills!J27/100)^Skills!K27</f>
        <v/>
      </c>
      <c r="I3311" t="inlineStr">
        <is>
          <t>1</t>
        </is>
      </c>
      <c r="J3311" t="inlineStr"/>
      <c r="K3311" t="inlineStr"/>
      <c r="L3311" t="inlineStr"/>
      <c r="M3311" t="inlineStr"/>
      <c r="N3311" t="inlineStr"/>
      <c r="O3311">
        <f>(1-Summary!$B$11)*T3311+Summary!$B$11*V3311</f>
        <v/>
      </c>
      <c r="P3311">
        <f>IF(B3329=0,0,O3311/B3329)</f>
        <v/>
      </c>
      <c r="Q3311" t="n">
        <v>0</v>
      </c>
      <c r="R3311" t="n">
        <v>0</v>
      </c>
      <c r="S3311">
        <f>IFERROR(O3311/N3311,0)</f>
        <v/>
      </c>
      <c r="T3311" t="n">
        <v>0</v>
      </c>
      <c r="V3311" t="n">
        <v>0</v>
      </c>
    </row>
    <row r="3312">
      <c r="A3312">
        <f>Skills!A28</f>
        <v/>
      </c>
      <c r="B3312">
        <f>Skills!B28</f>
        <v/>
      </c>
      <c r="C3312">
        <f>Inputs!$B$3&gt;=120</f>
        <v/>
      </c>
      <c r="D3312">
        <f>IF(Skills!C28=1,60+Inputs!$B$25+Inputs!$B$29,IF(Skills!C28=2,90+Inputs!$B$26+Inputs!$B$29,IF(Skills!C28=3,120+Inputs!$B$27+Inputs!$B$29,MAX(0,(Inputs!$B$3-100)*3)+Inputs!$B$28+Inputs!$B$29)))</f>
        <v/>
      </c>
      <c r="E3312">
        <f>INDEX(FactorTable!$B$2:$Y$301, MATCH(ROUND(MIN(300,MAX(1,D3312)),0), FactorTable!$A$2:$A$301,0), Skills!M28+1)</f>
        <v/>
      </c>
      <c r="F3312">
        <f>IF(Skills!N28=TRUE,(Skills!L28/10)*(E3312/1000),Skills!L28/10)+Skills!O28</f>
        <v/>
      </c>
      <c r="G3312">
        <f>Skills!G28*IF(Skills!H28&gt;0,Skills!I28/Skills!H28,1)</f>
        <v/>
      </c>
      <c r="H3312">
        <f>1-(1-Skills!J28/100)^Skills!K28</f>
        <v/>
      </c>
      <c r="I3312" t="inlineStr">
        <is>
          <t>1</t>
        </is>
      </c>
      <c r="J3312" t="inlineStr"/>
      <c r="K3312" t="inlineStr"/>
      <c r="L3312" t="inlineStr"/>
      <c r="M3312" t="inlineStr"/>
      <c r="N3312" t="inlineStr"/>
      <c r="O3312">
        <f>(1-Summary!$B$11)*T3312+Summary!$B$11*V3312</f>
        <v/>
      </c>
      <c r="P3312">
        <f>IF(B3329=0,0,O3312/B3329)</f>
        <v/>
      </c>
      <c r="Q3312" t="n">
        <v>0</v>
      </c>
      <c r="R3312" t="n">
        <v>0</v>
      </c>
      <c r="S3312">
        <f>IFERROR(O3312/N3312,0)</f>
        <v/>
      </c>
      <c r="T3312" t="n">
        <v>0</v>
      </c>
      <c r="V3312" t="n">
        <v>0</v>
      </c>
    </row>
    <row r="3313">
      <c r="A3313">
        <f>Skills!A29</f>
        <v/>
      </c>
      <c r="B3313">
        <f>Skills!B29</f>
        <v/>
      </c>
      <c r="C3313">
        <f>Inputs!$B$3&gt;=120</f>
        <v/>
      </c>
      <c r="D3313">
        <f>IF(Skills!C29=1,60+Inputs!$B$25+Inputs!$B$29,IF(Skills!C29=2,90+Inputs!$B$26+Inputs!$B$29,IF(Skills!C29=3,120+Inputs!$B$27+Inputs!$B$29,MAX(0,(Inputs!$B$3-100)*3)+Inputs!$B$28+Inputs!$B$29)))</f>
        <v/>
      </c>
      <c r="E3313">
        <f>INDEX(FactorTable!$B$2:$Y$301, MATCH(ROUND(MIN(300,MAX(1,D3313)),0), FactorTable!$A$2:$A$301,0), Skills!M29+1)</f>
        <v/>
      </c>
      <c r="F3313">
        <f>IF(Skills!N29=TRUE,(Skills!L29/10)*(E3313/1000),Skills!L29/10)+Skills!O29</f>
        <v/>
      </c>
      <c r="G3313">
        <f>Skills!G29*IF(Skills!H29&gt;0,Skills!I29/Skills!H29,1)</f>
        <v/>
      </c>
      <c r="H3313">
        <f>1-(1-Skills!J29/100)^Skills!K29</f>
        <v/>
      </c>
      <c r="I3313" t="inlineStr">
        <is>
          <t>1</t>
        </is>
      </c>
      <c r="J3313" t="inlineStr"/>
      <c r="K3313" t="inlineStr"/>
      <c r="L3313" t="inlineStr"/>
      <c r="M3313" t="inlineStr"/>
      <c r="N3313" t="inlineStr"/>
      <c r="O3313">
        <f>(1-Summary!$B$11)*T3313+Summary!$B$11*V3313</f>
        <v/>
      </c>
      <c r="P3313">
        <f>IF(B3329=0,0,O3313/B3329)</f>
        <v/>
      </c>
      <c r="Q3313" t="n">
        <v>0</v>
      </c>
      <c r="R3313" t="n">
        <v>0</v>
      </c>
      <c r="S3313">
        <f>IFERROR(O3313/N3313,0)</f>
        <v/>
      </c>
      <c r="T3313" t="n">
        <v>0</v>
      </c>
      <c r="V3313" t="n">
        <v>0</v>
      </c>
    </row>
    <row r="3314">
      <c r="A3314">
        <f>Skills!A30</f>
        <v/>
      </c>
      <c r="B3314">
        <f>Skills!B30</f>
        <v/>
      </c>
      <c r="C3314">
        <f>Inputs!$B$3&gt;=125</f>
        <v/>
      </c>
      <c r="D3314">
        <f>IF(Skills!C30=1,60+Inputs!$B$25+Inputs!$B$29,IF(Skills!C30=2,90+Inputs!$B$26+Inputs!$B$29,IF(Skills!C30=3,120+Inputs!$B$27+Inputs!$B$29,MAX(0,(Inputs!$B$3-100)*3)+Inputs!$B$28+Inputs!$B$29)))</f>
        <v/>
      </c>
      <c r="E3314">
        <f>INDEX(FactorTable!$B$2:$Y$301, MATCH(ROUND(MIN(300,MAX(1,D3314)),0), FactorTable!$A$2:$A$301,0), Skills!M30+1)</f>
        <v/>
      </c>
      <c r="F3314">
        <f>IF(Skills!N30=TRUE,(Skills!L30/10)*(E3314/1000),Skills!L30/10)+Skills!O30</f>
        <v/>
      </c>
      <c r="G3314">
        <f>Skills!G30*IF(Skills!H30&gt;0,Skills!I30/Skills!H30,1)</f>
        <v/>
      </c>
      <c r="H3314">
        <f>1-(1-Skills!J30/100)^Skills!K30</f>
        <v/>
      </c>
      <c r="I3314" t="inlineStr">
        <is>
          <t>1</t>
        </is>
      </c>
      <c r="J3314" t="inlineStr"/>
      <c r="K3314" t="inlineStr"/>
      <c r="L3314" t="inlineStr"/>
      <c r="M3314" t="inlineStr"/>
      <c r="N3314" t="inlineStr"/>
      <c r="O3314">
        <f>(1-Summary!$B$11)*T3314+Summary!$B$11*V3314</f>
        <v/>
      </c>
      <c r="P3314">
        <f>IF(B3329=0,0,O3314/B3329)</f>
        <v/>
      </c>
      <c r="Q3314" t="n">
        <v>0</v>
      </c>
      <c r="R3314" t="n">
        <v>0</v>
      </c>
      <c r="S3314">
        <f>IFERROR(O3314/N3314,0)</f>
        <v/>
      </c>
      <c r="T3314" t="n">
        <v>0</v>
      </c>
      <c r="V3314" t="n">
        <v>0</v>
      </c>
    </row>
    <row r="3316">
      <c r="A3316" t="inlineStr">
        <is>
          <t>Average Buff Multiplier</t>
        </is>
      </c>
      <c r="B3316">
        <f>(1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f>
        <v/>
      </c>
    </row>
    <row r="3317">
      <c r="A3317" t="inlineStr">
        <is>
          <t>Global Crit Rate Bonus %</t>
        </is>
      </c>
      <c r="B3317">
        <f>((C3304=TRUE)*F3304*IF(AND(Inputs!$B$39&lt;&gt;"pvp",Inputs!$B$44&gt;0),(((R3304-1)*(Skills!Y20*(1+Inputs!$B$34/100))+MIN((Skills!Y20*(1+Inputs!$B$34/100)),MAX(0,Inputs!$B$44-((R3304-1)*Skills!D20))))/Inputs!$B$44),IF(Inputs!$B$39="pvp",MIN((Skills!Y20*(1+Inputs!$B$34/100)),15)/15,(Skills!Y20*(1+Inputs!$B$34/100))/Skills!D20)))</f>
        <v/>
      </c>
    </row>
    <row r="3318">
      <c r="A3318" t="inlineStr">
        <is>
          <t>Global Monster Damage-Taken Bonus %</t>
        </is>
      </c>
      <c r="B3318">
        <f>IF(Inputs!$B$3&gt;=82,15,0)</f>
        <v/>
      </c>
    </row>
    <row r="3319">
      <c r="A3319" t="inlineStr">
        <is>
          <t>Shadow Partner Average Multiplier</t>
        </is>
      </c>
      <c r="B3319">
        <f>1+((C3291=TRUE)*F3291*(1+3.3333333333333335*IF(C3302=TRUE,F3302,0)/100)*I3291*Skills!J7/100)/100</f>
        <v/>
      </c>
    </row>
    <row r="3320">
      <c r="A3320" t="inlineStr">
        <is>
          <t>Attack Speed Buff Bonus %</t>
        </is>
      </c>
      <c r="B3320">
        <f>((C3303=TRUE)*F3303*IF(AND(Inputs!$B$39&lt;&gt;"pvp",Inputs!$B$44&gt;0),(((R3303-1)*(Skills!Y19*(1+Inputs!$B$34/100))+MIN((Skills!Y19*(1+Inputs!$B$34/100)),MAX(0,Inputs!$B$44-((R3303-1)*Skills!D19))))/Inputs!$B$44),IF(Inputs!$B$39="pvp",MIN((Skills!Y19*(1+Inputs!$B$34/100)),15)/15,(Skills!Y19*(1+Inputs!$B$34/100))/Skills!D19)))+((C3287=TRUE)*F3287*3)</f>
        <v/>
      </c>
    </row>
    <row r="3321">
      <c r="A3321" t="inlineStr">
        <is>
          <t>Actions Per Second</t>
        </is>
      </c>
      <c r="B3321">
        <f>1+MIN(150,150*(1-(1-(Inputs!$B$11+((C3306=TRUE)*(F3306-Calc!F22)))/150)*(1-B3320/150)))/100</f>
        <v/>
      </c>
    </row>
    <row r="3322">
      <c r="A3322" t="inlineStr">
        <is>
          <t>Skill + Buff Cast Rate</t>
        </is>
      </c>
      <c r="B3322">
        <f>IF(AND(Inputs!$B$39&lt;&gt;"pvp",Inputs!$B$44&gt;0),SUMPRODUCT((Skills!E2:E30=TRUE)*(C3286:C3314=TRUE)*R3286:R3314*Skills!F2:F30)/Inputs!$B$44,SUMPRODUCT((Skills!E2:E30=TRUE)*(C3286:C3314=TRUE)*Q3286:Q3314*Skills!F2:F30))</f>
        <v/>
      </c>
    </row>
    <row r="3323">
      <c r="A3323" t="inlineStr">
        <is>
          <t>Cruel Stab Casts Per Second</t>
        </is>
      </c>
      <c r="B3323">
        <f>MAX(0,B3321-B3322)</f>
        <v/>
      </c>
    </row>
    <row r="3324">
      <c r="A3324" t="inlineStr">
        <is>
          <t>Global Critical Damage Bonus % (Smokescreen Mastery Lv.113)</t>
        </is>
      </c>
      <c r="B3324">
        <f>IF(Inputs!$B$3&gt;=113,30,0)*IF(AND(Inputs!$B$39&lt;&gt;"pvp",Inputs!$B$44&gt;0),(((R3299-1)*(Skills!Y15*(1+Inputs!$B$34/100))+MIN((Skills!Y15*(1+Inputs!$B$34/100)),MAX(0,Inputs!$B$44-((R3299-1)*Skills!D15))))/Inputs!$B$44),IF(Inputs!$B$39="pvp",MIN((Skills!Y15*(1+Inputs!$B$34/100)),15)/15,(Skills!Y15*(1+Inputs!$B$34/100))/Skills!D15))</f>
        <v/>
      </c>
    </row>
    <row r="3325">
      <c r="A3325" t="inlineStr">
        <is>
          <t>Meso Explosion average stack count</t>
        </is>
      </c>
      <c r="B3325">
        <f>MIN(10,0.5*B3321*Skills!D4)</f>
        <v/>
      </c>
    </row>
    <row r="3326">
      <c r="A3326" t="inlineStr">
        <is>
          <t>Blood Money average stack count</t>
        </is>
      </c>
      <c r="B3326">
        <f>MIN(5,0.25*B3321*Skills!D4)</f>
        <v/>
      </c>
    </row>
    <row r="3327">
      <c r="A3327" t="inlineStr">
        <is>
          <t>Assassinate Murderous Intent Multiplier</t>
        </is>
      </c>
      <c r="B3327">
        <f>1+IFERROR(MIN(1,Q3298*2/Q3295),0)</f>
        <v/>
      </c>
    </row>
    <row r="3328">
      <c r="A3328" t="inlineStr">
        <is>
          <t>Buff-Casting Startup Delay (s, fixed-duration only)</t>
        </is>
      </c>
      <c r="B3328">
        <f>IF(AND(Inputs!$B$39&lt;&gt;"pvp",Inputs!$B$44&gt;0),SUMPRODUCT((Skills!Y2:Y30&gt;0)*(Skills!E2:E30=TRUE)*(C3286:C3314=TRUE))/B3321,0)</f>
        <v/>
      </c>
    </row>
    <row r="3329">
      <c r="A3329" s="6" t="inlineStr">
        <is>
          <t>TOTAL DPS</t>
        </is>
      </c>
      <c r="B3329" s="6">
        <f>SUM(O3286:O3314)</f>
        <v/>
      </c>
    </row>
    <row r="3330">
      <c r="A3330" t="inlineStr">
        <is>
          <t>Boss-Only Total DPS (this block's swept value)</t>
        </is>
      </c>
      <c r="B3330">
        <f>SUM(T3286:T3314)</f>
        <v/>
      </c>
    </row>
    <row r="3331">
      <c r="A3331" t="inlineStr">
        <is>
          <t>Normal-Only Total DPS (this block's swept value)</t>
        </is>
      </c>
      <c r="B3331">
        <f>SUM(V3286:V3314)</f>
        <v/>
      </c>
    </row>
    <row r="3334">
      <c r="A3334" s="6" t="inlineStr">
        <is>
          <t>Stat: CDR = 1.5s</t>
        </is>
      </c>
    </row>
    <row r="3335">
      <c r="A3335" s="5" t="inlineStr">
        <is>
          <t>Key</t>
        </is>
      </c>
      <c r="B3335" s="5" t="inlineStr">
        <is>
          <t>Name</t>
        </is>
      </c>
      <c r="C3335" s="5" t="inlineStr">
        <is>
          <t>Unlocked</t>
        </is>
      </c>
      <c r="D3335" s="5" t="inlineStr">
        <is>
          <t>InputLevel</t>
        </is>
      </c>
      <c r="E3335" s="5" t="inlineStr">
        <is>
          <t>Factor</t>
        </is>
      </c>
      <c r="F3335" s="5" t="inlineStr">
        <is>
          <t>CoefficientPercent</t>
        </is>
      </c>
      <c r="G3335" s="5" t="inlineStr">
        <is>
          <t>EffectiveHits</t>
        </is>
      </c>
      <c r="H3335" s="5" t="inlineStr">
        <is>
          <t>ProcProbability</t>
        </is>
      </c>
      <c r="I3335" s="5" t="inlineStr">
        <is>
          <t>MapleHeroMultiplier</t>
        </is>
      </c>
      <c r="J3335" s="5" t="inlineStr">
        <is>
          <t>BaseDamage</t>
        </is>
      </c>
      <c r="K3335" s="5" t="inlineStr">
        <is>
          <t>BaseHitDamage</t>
        </is>
      </c>
      <c r="L3335" s="5" t="inlineStr">
        <is>
          <t>NonCritAvg</t>
        </is>
      </c>
      <c r="M3335" s="5" t="inlineStr">
        <is>
          <t>CritAvg</t>
        </is>
      </c>
      <c r="N3335" s="5" t="inlineStr">
        <is>
          <t>ExpectedDamage(perHit)</t>
        </is>
      </c>
      <c r="O3335" s="5" t="inlineStr">
        <is>
          <t>DPS</t>
        </is>
      </c>
      <c r="P3335" s="5" t="inlineStr">
        <is>
          <t>% of Total</t>
        </is>
      </c>
      <c r="Q3335" s="5" t="inlineStr">
        <is>
          <t>InvCooldown</t>
        </is>
      </c>
      <c r="R3335" s="5" t="inlineStr">
        <is>
          <t>CastsInFight</t>
        </is>
      </c>
      <c r="S3335" s="5" t="inlineStr">
        <is>
          <t>HitRate(perSec)</t>
        </is>
      </c>
      <c r="U3335" t="inlineStr">
        <is>
          <t>helpers</t>
        </is>
      </c>
    </row>
    <row r="3336">
      <c r="A3336">
        <f>Skills!A2</f>
        <v/>
      </c>
      <c r="B3336">
        <f>Skills!B2</f>
        <v/>
      </c>
      <c r="C3336">
        <f>Inputs!$B$3&gt;=100</f>
        <v/>
      </c>
      <c r="D3336" t="inlineStr"/>
      <c r="E3336" t="inlineStr"/>
      <c r="F3336">
        <f>U3338+Skills!O2</f>
        <v/>
      </c>
      <c r="G3336">
        <f>Skills!G2*IF(Skills!H2&gt;0,Skills!I2/Skills!H2,1)</f>
        <v/>
      </c>
      <c r="H3336">
        <f>1-(1-Skills!J2/100)^Skills!K2</f>
        <v/>
      </c>
      <c r="I3336" t="inlineStr">
        <is>
          <t>1</t>
        </is>
      </c>
      <c r="J3336">
        <f>((Inputs!$B$6*(1+Inputs!$B$7/100))+(((Inputs!$B$12*(1+Inputs!$B$13/100))-(Inputs!$B$12*(1+Inputs!$B$13/100)))+0.25*(Inputs!$B$14-Inputs!$B$14))*(1+Inputs!$B$7/100))*(F3336/100)</f>
        <v/>
      </c>
      <c r="K3336">
        <f>J3336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3336)</f>
        <v/>
      </c>
      <c r="L3336">
        <f>K3336*(MIN(Inputs!$B$22+((C3358=TRUE)*(F3358-Calc!F24)),(Inputs!$B$23+((C3363=TRUE)*(F3363-Calc!F29))+IF(ArtifactsInput!$M$15,CHOOSE(ArtifactsInput!$N$15+1,25,30,35,40,45,50)/100*(Inputs!$B$11-Inputs!$B$11),0)))/100+(Inputs!$B$23+((C3363=TRUE)*(F3363-Calc!F29))+IF(ArtifactsInput!$M$15,CHOOSE(ArtifactsInput!$N$15+1,25,30,35,40,45,50)/100*(Inputs!$B$11-Inputs!$B$11),0))/100)/2</f>
        <v/>
      </c>
      <c r="M3336">
        <f>L3336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6">
        <f>L3336*(1-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3336*(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6">
        <f>(1-Summary!$B$11)*T3336+Summary!$B$11*V3336</f>
        <v/>
      </c>
      <c r="P3336">
        <f>IF(B3379=0,0,O3336/B3379)</f>
        <v/>
      </c>
      <c r="Q3336" t="n">
        <v>0</v>
      </c>
      <c r="R3336" t="n">
        <v>0</v>
      </c>
      <c r="S3336">
        <f>IFERROR(O3336/N3336,0)</f>
        <v/>
      </c>
      <c r="T3336">
        <f>IF(C3336,(Skills!G2*N3336*B3373)*IF(Inputs!$B$39="pvp",1,1+(Inputs!$B$20+0+Skills!P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3336*(1-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3336*(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3336*(1-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3336*(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6">
        <f>MAX(0,(Inputs!$B$3-100)*3)+Inputs!$B$28+Inputs!$B$29</f>
        <v/>
      </c>
      <c r="V3336">
        <f>IF(C3336,(Skills!G2*N3336*B3373)*IF(Inputs!$B$39="pvp",1,(1+(Inputs!$B$21+Skills!Q2+B3368+(IF(ArtifactsInput!$M$33,CHOOSE(ArtifactsInput!$N$33+1,30,36,42,48,54,60),0))+(IF(AND(ArtifactsInput!$M$35,Inputs!$B$4&lt;&gt;"Chapter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7">
      <c r="A3337">
        <f>Skills!A3</f>
        <v/>
      </c>
      <c r="B3337">
        <f>Skills!B3</f>
        <v/>
      </c>
      <c r="C3337">
        <f>Inputs!$B$3&gt;=35</f>
        <v/>
      </c>
      <c r="D3337">
        <f>IF(Skills!C3=1,60+Inputs!$B$25+Inputs!$B$29,IF(Skills!C3=2,90+Inputs!$B$26+Inputs!$B$29,IF(Skills!C3=3,120+Inputs!$B$27+Inputs!$B$29,MAX(0,(Inputs!$B$3-100)*3)+Inputs!$B$28+Inputs!$B$29)))</f>
        <v/>
      </c>
      <c r="E3337">
        <f>INDEX(FactorTable!$B$2:$Y$301, MATCH(ROUND(MIN(300,MAX(1,D3337)),0), FactorTable!$A$2:$A$301,0), Skills!M3+1)</f>
        <v/>
      </c>
      <c r="F3337">
        <f>IF(Skills!N3=TRUE,(Skills!L3/10)*(E3337/1000),Skills!L3/10)+Skills!O3</f>
        <v/>
      </c>
      <c r="G3337">
        <f>Skills!G3*IF(Skills!H3&gt;0,Skills!I3/Skills!H3,1)</f>
        <v/>
      </c>
      <c r="H3337">
        <f>1-(1-Skills!J3/100)^Skills!K3</f>
        <v/>
      </c>
      <c r="I3337" t="inlineStr">
        <is>
          <t>1</t>
        </is>
      </c>
      <c r="J3337" t="inlineStr"/>
      <c r="K3337" t="inlineStr"/>
      <c r="L3337" t="inlineStr"/>
      <c r="M3337" t="inlineStr"/>
      <c r="N3337" t="inlineStr"/>
      <c r="O3337">
        <f>(1-Summary!$B$11)*T3337+Summary!$B$11*V3337</f>
        <v/>
      </c>
      <c r="P3337">
        <f>IF(B3379=0,0,O3337/B3379)</f>
        <v/>
      </c>
      <c r="Q3337" t="n">
        <v>0</v>
      </c>
      <c r="R3337" t="n">
        <v>0</v>
      </c>
      <c r="S3337">
        <f>IFERROR(O3337/N3337,0)</f>
        <v/>
      </c>
      <c r="T3337" t="n">
        <v>0</v>
      </c>
      <c r="U3337">
        <f>INDEX(FactorTable!$B$2:$Y$301, MATCH(ROUND(MIN(300,MAX(1,U3336)),0), FactorTable!$A$2:$A$301,0), 22)</f>
        <v/>
      </c>
      <c r="V3337" t="n">
        <v>0</v>
      </c>
    </row>
    <row r="3338">
      <c r="A3338">
        <f>Skills!A4</f>
        <v/>
      </c>
      <c r="B3338">
        <f>Skills!B4</f>
        <v/>
      </c>
      <c r="C3338">
        <f>Inputs!$B$3&gt;=66</f>
        <v/>
      </c>
      <c r="D3338">
        <f>IF(Skills!C4=1,60+Inputs!$B$25+Inputs!$B$29,IF(Skills!C4=2,90+Inputs!$B$26+Inputs!$B$29,IF(Skills!C4=3,120+Inputs!$B$27+Inputs!$B$29,MAX(0,(Inputs!$B$3-100)*3)+Inputs!$B$28+Inputs!$B$29)))</f>
        <v/>
      </c>
      <c r="E3338">
        <f>INDEX(FactorTable!$B$2:$Y$301, MATCH(ROUND(MIN(300,MAX(1,D3338)),0), FactorTable!$A$2:$A$301,0), Skills!M4+1)</f>
        <v/>
      </c>
      <c r="F3338">
        <f>IF(Skills!N4=TRUE,(Skills!L4/10)*(E3338/1000),Skills!L4/10)+Skills!O4</f>
        <v/>
      </c>
      <c r="G3338">
        <f>Skills!G4*IF(Skills!H4&gt;0,Skills!I4/Skills!H4,1)</f>
        <v/>
      </c>
      <c r="H3338">
        <f>1-(1-Skills!J4/100)^Skills!K4</f>
        <v/>
      </c>
      <c r="I3338" t="inlineStr">
        <is>
          <t>1</t>
        </is>
      </c>
      <c r="J3338">
        <f>((Inputs!$B$6*(1+Inputs!$B$7/100))+(((Inputs!$B$12*(1+Inputs!$B$13/100))-(Inputs!$B$12*(1+Inputs!$B$13/100)))+0.25*(Inputs!$B$14-Inputs!$B$14))*(1+Inputs!$B$7/100))*(F3338/100)</f>
        <v/>
      </c>
      <c r="K3338">
        <f>J3338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3338)</f>
        <v/>
      </c>
      <c r="L3338">
        <f>K3338*(MIN(Inputs!$B$22+((C3358=TRUE)*(F3358-Calc!F24)),(Inputs!$B$23+((C3363=TRUE)*(F3363-Calc!F29))+IF(ArtifactsInput!$M$15,CHOOSE(ArtifactsInput!$N$15+1,25,30,35,40,45,50)/100*(Inputs!$B$11-Inputs!$B$11),0)))/100+(Inputs!$B$23+((C3363=TRUE)*(F3363-Calc!F29))+IF(ArtifactsInput!$M$15,CHOOSE(ArtifactsInput!$N$15+1,25,30,35,40,45,50)/100*(Inputs!$B$11-Inputs!$B$11),0))/100)/2</f>
        <v/>
      </c>
      <c r="M3338">
        <f>L3338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8">
        <f>L3338*(1-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3338*(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8">
        <f>(1-Summary!$B$11)*T3338+Summary!$B$11*V3338</f>
        <v/>
      </c>
      <c r="P3338">
        <f>IF(B3379=0,0,O3338/B3379)</f>
        <v/>
      </c>
      <c r="Q3338">
        <f>IFERROR(1/IF(Inputs!$B$39="pvp",15,MAX(0.1,Skills!D4-IF(Skills!E4=TRUE,1.5,0))),0)</f>
        <v/>
      </c>
      <c r="R3338">
        <f>IF(AND(Inputs!$B$39&lt;&gt;"pvp",Inputs!$B$44&gt;0),IF(MAX(0,Inputs!$B$44-B3378)&lt;=0,0,(INT(MAX(0,Inputs!$B$44-B3378)/IF(Inputs!$B$39="pvp",15,MAX(0.1,Skills!D4-IF(Skills!E4=TRUE,1.5,0))))+1)),0)</f>
        <v/>
      </c>
      <c r="S3338">
        <f>IFERROR(O3338/N3338,0)</f>
        <v/>
      </c>
      <c r="T3338">
        <f>IF(C3338,(H3338*N3338*IF(AND(Inputs!$B$39&lt;&gt;"pvp",Inputs!$B$44&gt;0),((Skills!G4*((R3338-1)*IF(Skills!H4&gt;0,Skills!I4/Skills!H4,1)+IF(Skills!H4&gt;0,MIN(Skills!I4,MAX(0,MAX(0,Inputs!$B$44-B3378)-((R3338-1)*IF(Inputs!$B$39="pvp",15,MAX(0.1,Skills!D4-IF(Skills!E4=TRUE,1.5,0))))))/Skills!H4,1)))/Inputs!$B$44),G3338*Q3338))*IF(Inputs!$B$39="pvp",1,1+(Inputs!$B$20+0+Skills!P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3338*(1-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3338*(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3338*(1-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3338*(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8">
        <f>290*U3337/1000</f>
        <v/>
      </c>
      <c r="V3338">
        <f>IF(C3338,(H3338*N3338*IF(AND(Inputs!$B$39&lt;&gt;"pvp",Inputs!$B$44&gt;0),((Skills!G4*((R3338-1)*IF(Skills!H4&gt;0,Skills!I4/Skills!H4,1)+IF(Skills!H4&gt;0,MIN(Skills!I4,MAX(0,MAX(0,Inputs!$B$44-B3378)-((R3338-1)*IF(Inputs!$B$39="pvp",15,MAX(0.1,Skills!D4-IF(Skills!E4=TRUE,1.5,0))))))/Skills!H4,1)))/Inputs!$B$44),G3338*Q3338))*IF(Inputs!$B$39="pvp",1,(1+(Inputs!$B$21+Skills!Q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(10,0.5*B3371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9">
      <c r="A3339">
        <f>Skills!A5</f>
        <v/>
      </c>
      <c r="B3339">
        <f>Skills!B5</f>
        <v/>
      </c>
      <c r="C3339">
        <f>Inputs!$B$3&gt;=63</f>
        <v/>
      </c>
      <c r="D3339">
        <f>IF(Skills!C5=1,60+Inputs!$B$25+Inputs!$B$29,IF(Skills!C5=2,90+Inputs!$B$26+Inputs!$B$29,IF(Skills!C5=3,120+Inputs!$B$27+Inputs!$B$29,MAX(0,(Inputs!$B$3-100)*3)+Inputs!$B$28+Inputs!$B$29)))</f>
        <v/>
      </c>
      <c r="E3339">
        <f>INDEX(FactorTable!$B$2:$Y$301, MATCH(ROUND(MIN(300,MAX(1,D3339)),0), FactorTable!$A$2:$A$301,0), Skills!M5+1)</f>
        <v/>
      </c>
      <c r="F3339">
        <f>IF(Skills!N5=TRUE,(Skills!L5/10)*(E3339/1000),Skills!L5/10)+Skills!O5</f>
        <v/>
      </c>
      <c r="G3339">
        <f>Skills!G5*IF(Skills!H5&gt;0,Skills!I5/Skills!H5,1)</f>
        <v/>
      </c>
      <c r="H3339">
        <f>1-(1-Skills!J5/100)^Skills!K5</f>
        <v/>
      </c>
      <c r="I3339" t="inlineStr">
        <is>
          <t>1</t>
        </is>
      </c>
      <c r="J3339">
        <f>((Inputs!$B$6*(1+Inputs!$B$7/100))+(((Inputs!$B$12*(1+Inputs!$B$13/100))-(Inputs!$B$12*(1+Inputs!$B$13/100)))+0.25*(Inputs!$B$14-Inputs!$B$14))*(1+Inputs!$B$7/100))*(F3339/100)</f>
        <v/>
      </c>
      <c r="K3339">
        <f>J3339*(1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3352=TRUE,F3352,0)/100)*(1+(IF(Skills!A5="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3339)</f>
        <v/>
      </c>
      <c r="L3339">
        <f>K3339*(MIN(Inputs!$B$22+((C3358=TRUE)*(F3358-Calc!F24)),(Inputs!$B$23+((C3363=TRUE)*(F3363-Calc!F29))+IF(ArtifactsInput!$M$15,CHOOSE(ArtifactsInput!$N$15+1,25,30,35,40,45,50)/100*(Inputs!$B$11-Inputs!$B$11),0)))/100+(Inputs!$B$23+((C3363=TRUE)*(F3363-Calc!F29))+IF(ArtifactsInput!$M$15,CHOOSE(ArtifactsInput!$N$15+1,25,30,35,40,45,50)/100*(Inputs!$B$11-Inputs!$B$11),0))/100)/2</f>
        <v/>
      </c>
      <c r="M3339">
        <f>L3339*(1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9">
        <f>L3339*(1-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3339*(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9">
        <f>(1-Summary!$B$11)*T3339+Summary!$B$11*V3339</f>
        <v/>
      </c>
      <c r="P3339">
        <f>IF(B3379=0,0,O3339/B3379)</f>
        <v/>
      </c>
      <c r="Q3339">
        <f>IFERROR(1/IF(Inputs!$B$39="pvp",15,MAX(0.1,Skills!D5-IF(Skills!E5=TRUE,1.5,0))),0)</f>
        <v/>
      </c>
      <c r="R3339">
        <f>IF(AND(Inputs!$B$39&lt;&gt;"pvp",Inputs!$B$44&gt;0),IF(MAX(0,Inputs!$B$44-B3378)&lt;=0,0,(INT(MAX(0,Inputs!$B$44-B3378)/IF(Inputs!$B$39="pvp",15,MAX(0.1,Skills!D5-IF(Skills!E5=TRUE,1.5,0))))+1)),0)</f>
        <v/>
      </c>
      <c r="S3339">
        <f>IFERROR(O3339/N3339,0)</f>
        <v/>
      </c>
      <c r="T3339">
        <f>IF(C3339,(H3339*N3339*IF(AND(Inputs!$B$39&lt;&gt;"pvp",Inputs!$B$44&gt;0),((Skills!G5*((R3339-1)*IF(Skills!H5&gt;0,Skills!I5/Skills!H5,1)+IF(Skills!H5&gt;0,MIN(Skills!I5,MAX(0,MAX(0,Inputs!$B$44-B3378)-((R3339-1)*IF(Inputs!$B$39="pvp",15,MAX(0.1,Skills!D5-IF(Skills!E5=TRUE,1.5,0))))))/Skills!H5,1)))/Inputs!$B$44),G3339*Q3339))*IF(Inputs!$B$39="pvp",1,1+(Inputs!$B$20+0+Skills!P5+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3339*(1-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3339*(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3339*(1-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3339*(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9">
        <f>IF(C3339,(H3339*N3339*IF(AND(Inputs!$B$39&lt;&gt;"pvp",Inputs!$B$44&gt;0),((Skills!G5*((R3339-1)*IF(Skills!H5&gt;0,Skills!I5/Skills!H5,1)+IF(Skills!H5&gt;0,MIN(Skills!I5,MAX(0,MAX(0,Inputs!$B$44-B3378)-((R3339-1)*IF(Inputs!$B$39="pvp",15,MAX(0.1,Skills!D5-IF(Skills!E5=TRUE,1.5,0))))))/Skills!H5,1)))/Inputs!$B$44),G3339*Q3339))*IF(Inputs!$B$39="pvp",1,(1+(Inputs!$B$21+Skills!Q5+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0">
      <c r="A3340">
        <f>Skills!A6</f>
        <v/>
      </c>
      <c r="B3340">
        <f>Skills!B6</f>
        <v/>
      </c>
      <c r="C3340">
        <f>Inputs!$B$3&gt;=69</f>
        <v/>
      </c>
      <c r="D3340">
        <f>IF(Skills!C6=1,60+Inputs!$B$25+Inputs!$B$29,IF(Skills!C6=2,90+Inputs!$B$26+Inputs!$B$29,IF(Skills!C6=3,120+Inputs!$B$27+Inputs!$B$29,MAX(0,(Inputs!$B$3-100)*3)+Inputs!$B$28+Inputs!$B$29)))</f>
        <v/>
      </c>
      <c r="E3340">
        <f>INDEX(FactorTable!$B$2:$Y$301, MATCH(ROUND(MIN(300,MAX(1,D3340)),0), FactorTable!$A$2:$A$301,0), Skills!M6+1)</f>
        <v/>
      </c>
      <c r="F3340">
        <f>IF(Skills!N6=TRUE,(Skills!L6/10)*(E3340/1000),Skills!L6/10)+Skills!O6</f>
        <v/>
      </c>
      <c r="G3340">
        <f>Skills!G6*IF(Skills!H6&gt;0,Skills!I6/Skills!H6,1)</f>
        <v/>
      </c>
      <c r="H3340">
        <f>1-(1-Skills!J6/100)^Skills!K6</f>
        <v/>
      </c>
      <c r="I3340" t="inlineStr">
        <is>
          <t>1</t>
        </is>
      </c>
      <c r="J3340">
        <f>((Inputs!$B$6*(1+Inputs!$B$7/100))+(((Inputs!$B$12*(1+Inputs!$B$13/100))-(Inputs!$B$12*(1+Inputs!$B$13/100)))+0.25*(Inputs!$B$14-Inputs!$B$14))*(1+Inputs!$B$7/100))*(F3340/100)</f>
        <v/>
      </c>
      <c r="K3340">
        <f>J3340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3352=TRUE,F3352,0)/100)*(1+(IF(Skills!A6="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3340)</f>
        <v/>
      </c>
      <c r="L3340">
        <f>K3340*(MIN(Inputs!$B$22+((C3358=TRUE)*(F3358-Calc!F24)),(Inputs!$B$23+((C3363=TRUE)*(F3363-Calc!F29))+IF(ArtifactsInput!$M$15,CHOOSE(ArtifactsInput!$N$15+1,25,30,35,40,45,50)/100*(Inputs!$B$11-Inputs!$B$11),0)))/100+(Inputs!$B$23+((C3363=TRUE)*(F3363-Calc!F29))+IF(ArtifactsInput!$M$15,CHOOSE(ArtifactsInput!$N$15+1,25,30,35,40,45,50)/100*(Inputs!$B$11-Inputs!$B$11),0))/100)/2</f>
        <v/>
      </c>
      <c r="M3340">
        <f>L3340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0">
        <f>L3340*(1-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3340*(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0">
        <f>(1-Summary!$B$11)*T3340+Summary!$B$11*V3340</f>
        <v/>
      </c>
      <c r="P3340">
        <f>IF(B3379=0,0,O3340/B3379)</f>
        <v/>
      </c>
      <c r="Q3340">
        <f>IFERROR(1/IF(Inputs!$B$39="pvp",15,MAX(0.1,Skills!D6-IF(Skills!E6=TRUE,1.5,0))),0)</f>
        <v/>
      </c>
      <c r="R3340">
        <f>IF(AND(Inputs!$B$39&lt;&gt;"pvp",Inputs!$B$44&gt;0),IF(MAX(0,Inputs!$B$44-B3378)&lt;=0,0,(INT(MAX(0,Inputs!$B$44-B3378)/IF(Inputs!$B$39="pvp",15,MAX(0.1,Skills!D6-IF(Skills!E6=TRUE,1.5,0))))+1)),0)</f>
        <v/>
      </c>
      <c r="S3340">
        <f>IFERROR(O3340/N3340,0)</f>
        <v/>
      </c>
      <c r="T3340">
        <f>IF(C3340,(H3340*N3340*IF(AND(Inputs!$B$39&lt;&gt;"pvp",Inputs!$B$44&gt;0),((Skills!G6*((R3340-1)*IF(Skills!H6&gt;0,Skills!I6/Skills!H6,1)+IF(Skills!H6&gt;0,MIN(Skills!I6,MAX(0,MAX(0,Inputs!$B$44-B3378)-((R3340-1)*IF(Inputs!$B$39="pvp",15,MAX(0.1,Skills!D6-IF(Skills!E6=TRUE,1.5,0))))))/Skills!H6,1)))/Inputs!$B$44),G3340*Q3340))*IF(Inputs!$B$39="pvp",1,1+(Inputs!$B$20+0+Skills!P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3340*(1-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3340*(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3340*(1-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3340*(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0">
        <f>IF(C3340,(H3340*N3340*IF(AND(Inputs!$B$39&lt;&gt;"pvp",Inputs!$B$44&gt;0),((Skills!G6*((R3340-1)*IF(Skills!H6&gt;0,Skills!I6/Skills!H6,1)+IF(Skills!H6&gt;0,MIN(Skills!I6,MAX(0,MAX(0,Inputs!$B$44-B3378)-((R3340-1)*IF(Inputs!$B$39="pvp",15,MAX(0.1,Skills!D6-IF(Skills!E6=TRUE,1.5,0))))))/Skills!H6,1)))/Inputs!$B$44),G3340*Q3340))*IF(Inputs!$B$39="pvp",1,(1+(Inputs!$B$21+Skills!Q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1">
      <c r="A3341">
        <f>Skills!A7</f>
        <v/>
      </c>
      <c r="B3341">
        <f>Skills!B7</f>
        <v/>
      </c>
      <c r="C3341">
        <f>Inputs!$B$3&gt;=60</f>
        <v/>
      </c>
      <c r="D3341">
        <f>IF(Skills!C7=1,60+Inputs!$B$25+Inputs!$B$29,IF(Skills!C7=2,90+Inputs!$B$26+Inputs!$B$29,IF(Skills!C7=3,120+Inputs!$B$27+Inputs!$B$29,MAX(0,(Inputs!$B$3-100)*3)+Inputs!$B$28+Inputs!$B$29)))</f>
        <v/>
      </c>
      <c r="E3341">
        <f>INDEX(FactorTable!$B$2:$Y$301, MATCH(ROUND(MIN(300,MAX(1,D3341)),0), FactorTable!$A$2:$A$301,0), Skills!M7+1)</f>
        <v/>
      </c>
      <c r="F3341">
        <f>IF(Skills!N7=TRUE,(Skills!L7/10)*(E3341/1000),Skills!L7/10)+Skills!O7</f>
        <v/>
      </c>
      <c r="G3341">
        <f>Skills!G7*IF(Skills!H7&gt;0,Skills!I7/Skills!H7,1)</f>
        <v/>
      </c>
      <c r="H3341">
        <f>1-(1-Skills!J7/100)^Skills!K7</f>
        <v/>
      </c>
      <c r="I3341" t="inlineStr">
        <is>
          <t>1</t>
        </is>
      </c>
      <c r="J3341" t="inlineStr"/>
      <c r="K3341" t="inlineStr"/>
      <c r="L3341" t="inlineStr"/>
      <c r="M3341" t="inlineStr"/>
      <c r="N3341" t="inlineStr"/>
      <c r="O3341">
        <f>(1-Summary!$B$11)*T3341+Summary!$B$11*V3341</f>
        <v/>
      </c>
      <c r="P3341">
        <f>IF(B3379=0,0,O3341/B3379)</f>
        <v/>
      </c>
      <c r="Q3341" t="n">
        <v>0</v>
      </c>
      <c r="R3341" t="n">
        <v>0</v>
      </c>
      <c r="S3341">
        <f>IFERROR(O3341/N3341,0)</f>
        <v/>
      </c>
      <c r="T3341" t="n">
        <v>0</v>
      </c>
      <c r="V3341" t="n">
        <v>0</v>
      </c>
    </row>
    <row r="3342">
      <c r="A3342">
        <f>Skills!A8</f>
        <v/>
      </c>
      <c r="B3342">
        <f>Skills!B8</f>
        <v/>
      </c>
      <c r="C3342">
        <f>Inputs!$B$3&gt;=72</f>
        <v/>
      </c>
      <c r="D3342">
        <f>IF(Skills!C8=1,60+Inputs!$B$25+Inputs!$B$29,IF(Skills!C8=2,90+Inputs!$B$26+Inputs!$B$29,IF(Skills!C8=3,120+Inputs!$B$27+Inputs!$B$29,MAX(0,(Inputs!$B$3-100)*3)+Inputs!$B$28+Inputs!$B$29)))</f>
        <v/>
      </c>
      <c r="E3342">
        <f>INDEX(FactorTable!$B$2:$Y$301, MATCH(ROUND(MIN(300,MAX(1,D3342)),0), FactorTable!$A$2:$A$301,0), Skills!M8+1)</f>
        <v/>
      </c>
      <c r="F3342">
        <f>IF(Skills!N8=TRUE,(Skills!L8/10)*(E3342/1000),Skills!L8/10)+Skills!O8</f>
        <v/>
      </c>
      <c r="G3342">
        <f>Skills!G8*IF(Skills!H8&gt;0,Skills!I8/Skills!H8,1)</f>
        <v/>
      </c>
      <c r="H3342">
        <f>1-(1-Skills!J8/100)^Skills!K8</f>
        <v/>
      </c>
      <c r="I3342" t="inlineStr">
        <is>
          <t>1</t>
        </is>
      </c>
      <c r="J3342">
        <f>((Inputs!$B$6*(1+Inputs!$B$7/100))+(((Inputs!$B$12*(1+Inputs!$B$13/100))-(Inputs!$B$12*(1+Inputs!$B$13/100)))+0.25*(Inputs!$B$14-Inputs!$B$14))*(1+Inputs!$B$7/100))*(F3342/100)</f>
        <v/>
      </c>
      <c r="K3342">
        <f>J3342*(1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3352=TRUE,F3352,0)/100)*(1+(IF(Skills!A8="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3342)</f>
        <v/>
      </c>
      <c r="L3342">
        <f>K3342*(MIN(Inputs!$B$22+((C3358=TRUE)*(F3358-Calc!F24)),(Inputs!$B$23+((C3363=TRUE)*(F3363-Calc!F29))+IF(ArtifactsInput!$M$15,CHOOSE(ArtifactsInput!$N$15+1,25,30,35,40,45,50)/100*(Inputs!$B$11-Inputs!$B$11),0)))/100+(Inputs!$B$23+((C3363=TRUE)*(F3363-Calc!F29))+IF(ArtifactsInput!$M$15,CHOOSE(ArtifactsInput!$N$15+1,25,30,35,40,45,50)/100*(Inputs!$B$11-Inputs!$B$11),0))/100)/2</f>
        <v/>
      </c>
      <c r="M3342">
        <f>L3342*(1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2">
        <f>L3342*(1-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3342*(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2">
        <f>(1-Summary!$B$11)*T3342+Summary!$B$11*V3342</f>
        <v/>
      </c>
      <c r="P3342">
        <f>IF(B3379=0,0,O3342/B3379)</f>
        <v/>
      </c>
      <c r="Q3342">
        <f>IFERROR(1/IF(Inputs!$B$39="pvp",15,MAX(0.1,Skills!D8-IF(Skills!E8=TRUE,1.5,0))),0)</f>
        <v/>
      </c>
      <c r="R3342">
        <f>IF(AND(Inputs!$B$39&lt;&gt;"pvp",Inputs!$B$44&gt;0),IF(MAX(0,Inputs!$B$44-B3378)&lt;=0,0,(INT(MAX(0,Inputs!$B$44-B3378)/IF(Inputs!$B$39="pvp",15,MAX(0.1,Skills!D8-IF(Skills!E8=TRUE,1.5,0))))+1)),0)</f>
        <v/>
      </c>
      <c r="S3342">
        <f>IFERROR(O3342/N3342,0)</f>
        <v/>
      </c>
      <c r="T3342">
        <f>IF(C3342,(H3342*N3342*IF(AND(Inputs!$B$39&lt;&gt;"pvp",Inputs!$B$44&gt;0),((Skills!G8*((R3342-1)*IF(Skills!H8&gt;0,Skills!I8/Skills!H8,1)+IF(Skills!H8&gt;0,MIN(Skills!I8,MAX(0,MAX(0,Inputs!$B$44-B3378)-((R3342-1)*IF(Inputs!$B$39="pvp",15,MAX(0.1,Skills!D8-IF(Skills!E8=TRUE,1.5,0))))))/Skills!H8,1)))/Inputs!$B$44),G3342*Q3342))*IF(Inputs!$B$39="pvp",1,1+(Inputs!$B$20+0+Skills!P8+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3342*(1-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3342*(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3342*(1-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3342*(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2">
        <f>IF(C3342,(H3342*N3342*IF(AND(Inputs!$B$39&lt;&gt;"pvp",Inputs!$B$44&gt;0),((Skills!G8*((R3342-1)*IF(Skills!H8&gt;0,Skills!I8/Skills!H8,1)+IF(Skills!H8&gt;0,MIN(Skills!I8,MAX(0,MAX(0,Inputs!$B$44-B3378)-((R3342-1)*IF(Inputs!$B$39="pvp",15,MAX(0.1,Skills!D8-IF(Skills!E8=TRUE,1.5,0))))))/Skills!H8,1)))/Inputs!$B$44),G3342*Q3342))*IF(Inputs!$B$39="pvp",1,(1+(Inputs!$B$21+Skills!Q8+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3">
      <c r="A3343">
        <f>Skills!A9</f>
        <v/>
      </c>
      <c r="B3343">
        <f>Skills!B9</f>
        <v/>
      </c>
      <c r="C3343">
        <f>Inputs!$B$3&gt;=117</f>
        <v/>
      </c>
      <c r="D3343">
        <f>IF(Skills!C9=1,60+Inputs!$B$25+Inputs!$B$29,IF(Skills!C9=2,90+Inputs!$B$26+Inputs!$B$29,IF(Skills!C9=3,120+Inputs!$B$27+Inputs!$B$29,MAX(0,(Inputs!$B$3-100)*3)+Inputs!$B$28+Inputs!$B$29)))</f>
        <v/>
      </c>
      <c r="E3343">
        <f>INDEX(FactorTable!$B$2:$Y$301, MATCH(ROUND(MIN(300,MAX(1,D3343)),0), FactorTable!$A$2:$A$301,0), Skills!M9+1)</f>
        <v/>
      </c>
      <c r="F3343">
        <f>IF(Skills!N9=TRUE,(Skills!L9/10)*(E3343/1000),Skills!L9/10)+Skills!O9</f>
        <v/>
      </c>
      <c r="G3343">
        <f>Skills!G9*IF(Skills!H9&gt;0,Skills!I9/Skills!H9,1)</f>
        <v/>
      </c>
      <c r="H3343">
        <f>1-(1-Skills!J9/100)^Skills!K9</f>
        <v/>
      </c>
      <c r="I3343" t="inlineStr">
        <is>
          <t>1</t>
        </is>
      </c>
      <c r="J3343">
        <f>((Inputs!$B$6*(1+Inputs!$B$7/100))+(((Inputs!$B$12*(1+Inputs!$B$13/100))-(Inputs!$B$12*(1+Inputs!$B$13/100)))+0.25*(Inputs!$B$14-Inputs!$B$14))*(1+Inputs!$B$7/100))*(F3343/100)</f>
        <v/>
      </c>
      <c r="K3343">
        <f>J3343*(1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3343)</f>
        <v/>
      </c>
      <c r="L3343">
        <f>K3343*(MIN(Inputs!$B$22+((C3358=TRUE)*(F3358-Calc!F24)),(Inputs!$B$23+((C3363=TRUE)*(F3363-Calc!F29))+IF(ArtifactsInput!$M$15,CHOOSE(ArtifactsInput!$N$15+1,25,30,35,40,45,50)/100*(Inputs!$B$11-Inputs!$B$11),0)))/100+(Inputs!$B$23+((C3363=TRUE)*(F3363-Calc!F29))+IF(ArtifactsInput!$M$15,CHOOSE(ArtifactsInput!$N$15+1,25,30,35,40,45,50)/100*(Inputs!$B$11-Inputs!$B$11),0))/100)/2</f>
        <v/>
      </c>
      <c r="M3343">
        <f>L3343*(1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3">
        <f>L3343*(1-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3343*(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3">
        <f>(1-Summary!$B$11)*T3343+Summary!$B$11*V3343</f>
        <v/>
      </c>
      <c r="P3343">
        <f>IF(B3379=0,0,O3343/B3379)</f>
        <v/>
      </c>
      <c r="Q3343" t="n">
        <v>0</v>
      </c>
      <c r="R3343" t="n">
        <v>0</v>
      </c>
      <c r="S3343" t="n">
        <v>0</v>
      </c>
      <c r="T3343">
        <f>IF(C3343,(0.2*SUMPRODUCT((Skills!Z2:Z30=TRUE)*(C3336:C3364=TRUE)*S3336:S3364)*N3343)*IF(Inputs!$B$39="pvp",1,1+(Inputs!$B$20+0+Skills!P9+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3343*(1-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3343*(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3343*(1-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3343*(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3">
        <f>IF(C3343,(0.2*SUMPRODUCT((Skills!Z2:Z30=TRUE)*(C3336:C3364=TRUE)*S3336:S3364)*N3343)*IF(Inputs!$B$39="pvp",1,(1+(Inputs!$B$21+Skills!Q9+B3368+(IF(ArtifactsInput!$M$33,CHOOSE(ArtifactsInput!$N$33+1,30,36,42,48,54,60),0))+(IF(AND(ArtifactsInput!$M$35,Inputs!$B$4&lt;&gt;"Chapter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4">
      <c r="A3344">
        <f>Skills!A10</f>
        <v/>
      </c>
      <c r="B3344">
        <f>Skills!B10</f>
        <v/>
      </c>
      <c r="C3344">
        <f>Inputs!$B$3&gt;=74</f>
        <v/>
      </c>
      <c r="D3344">
        <f>IF(Skills!C10=1,60+Inputs!$B$25+Inputs!$B$29,IF(Skills!C10=2,90+Inputs!$B$26+Inputs!$B$29,IF(Skills!C10=3,120+Inputs!$B$27+Inputs!$B$29,MAX(0,(Inputs!$B$3-100)*3)+Inputs!$B$28+Inputs!$B$29)))</f>
        <v/>
      </c>
      <c r="E3344">
        <f>INDEX(FactorTable!$B$2:$Y$301, MATCH(ROUND(MIN(300,MAX(1,D3344)),0), FactorTable!$A$2:$A$301,0), Skills!M10+1)</f>
        <v/>
      </c>
      <c r="F3344">
        <f>IF(Skills!N10=TRUE,(Skills!L10/10)*(E3344/1000),Skills!L10/10)+Skills!O10</f>
        <v/>
      </c>
      <c r="G3344">
        <f>Skills!G10*IF(Skills!H10&gt;0,Skills!I10/Skills!H10,1)</f>
        <v/>
      </c>
      <c r="H3344">
        <f>1-(1-Skills!J10/100)^Skills!K10</f>
        <v/>
      </c>
      <c r="I3344" t="inlineStr">
        <is>
          <t>1</t>
        </is>
      </c>
      <c r="J3344" t="inlineStr"/>
      <c r="K3344" t="inlineStr"/>
      <c r="L3344" t="inlineStr"/>
      <c r="M3344" t="inlineStr"/>
      <c r="N3344" t="inlineStr"/>
      <c r="O3344">
        <f>(1-Summary!$B$11)*T3344+Summary!$B$11*V3344</f>
        <v/>
      </c>
      <c r="P3344">
        <f>IF(B3379=0,0,O3344/B3379)</f>
        <v/>
      </c>
      <c r="Q3344">
        <f>IFERROR(1/IF(Inputs!$B$39="pvp",15,MAX(0.1,Skills!D10-IF(Skills!E10=TRUE,1.5,0))),0)</f>
        <v/>
      </c>
      <c r="R3344">
        <f>IF(AND(Inputs!$B$39&lt;&gt;"pvp",Inputs!$B$44&gt;0),IF(Inputs!$B$44&lt;=0,0,(INT(Inputs!$B$44/IF(Inputs!$B$39="pvp",15,MAX(0.1,Skills!D10-IF(Skills!E10=TRUE,1.5,0))))+1)),0)</f>
        <v/>
      </c>
      <c r="S3344">
        <f>IFERROR(O3344/N3344,0)</f>
        <v/>
      </c>
      <c r="T3344" t="n">
        <v>0</v>
      </c>
      <c r="V3344" t="n">
        <v>0</v>
      </c>
    </row>
    <row r="3345">
      <c r="A3345">
        <f>Skills!A11</f>
        <v/>
      </c>
      <c r="B3345">
        <f>Skills!B11</f>
        <v/>
      </c>
      <c r="C3345">
        <f>Inputs!$B$3&gt;=103</f>
        <v/>
      </c>
      <c r="D3345">
        <f>IF(Skills!C11=1,60+Inputs!$B$25+Inputs!$B$29,IF(Skills!C11=2,90+Inputs!$B$26+Inputs!$B$29,IF(Skills!C11=3,120+Inputs!$B$27+Inputs!$B$29,MAX(0,(Inputs!$B$3-100)*3)+Inputs!$B$28+Inputs!$B$29)))</f>
        <v/>
      </c>
      <c r="E3345">
        <f>INDEX(FactorTable!$B$2:$Y$301, MATCH(ROUND(MIN(300,MAX(1,D3345)),0), FactorTable!$A$2:$A$301,0), Skills!M11+1)</f>
        <v/>
      </c>
      <c r="F3345">
        <f>(Skills!L11/10)*(E3345/1000)+IF(Inputs!$B$3&gt;=134,50,0)+0.5*(30000/10)*(INDEX(FactorTable!$B$2:$Y$301, MATCH(ROUND(MIN(300,MAX(1,D3345)),0), FactorTable!$A$2:$A$301,0), 13)/1000)*B3377</f>
        <v/>
      </c>
      <c r="G3345">
        <f>Skills!G11*IF(Skills!H11&gt;0,Skills!I11/Skills!H11,1)</f>
        <v/>
      </c>
      <c r="H3345">
        <f>1-(1-Skills!J11/100)^Skills!K11</f>
        <v/>
      </c>
      <c r="I3345" t="inlineStr">
        <is>
          <t>1</t>
        </is>
      </c>
      <c r="J3345">
        <f>((Inputs!$B$6*(1+Inputs!$B$7/100))+(((Inputs!$B$12*(1+Inputs!$B$13/100))-(Inputs!$B$12*(1+Inputs!$B$13/100)))+0.25*(Inputs!$B$14-Inputs!$B$14))*(1+Inputs!$B$7/100))*(F3345/100)</f>
        <v/>
      </c>
      <c r="K3345">
        <f>J3345*(1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3345)</f>
        <v/>
      </c>
      <c r="L3345">
        <f>K3345*(MIN(Inputs!$B$22+((C3358=TRUE)*(F3358-Calc!F24)),(Inputs!$B$23+((C3363=TRUE)*(F3363-Calc!F29))+IF(ArtifactsInput!$M$15,CHOOSE(ArtifactsInput!$N$15+1,25,30,35,40,45,50)/100*(Inputs!$B$11-Inputs!$B$11),0)))/100+(Inputs!$B$23+((C3363=TRUE)*(F3363-Calc!F29))+IF(ArtifactsInput!$M$15,CHOOSE(ArtifactsInput!$N$15+1,25,30,35,40,45,50)/100*(Inputs!$B$11-Inputs!$B$11),0))/100)/2</f>
        <v/>
      </c>
      <c r="M3345">
        <f>L3345*(1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5">
        <f>L3345*(1-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3345*(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5">
        <f>(1-Summary!$B$11)*T3345+Summary!$B$11*V3345</f>
        <v/>
      </c>
      <c r="P3345">
        <f>IF(B3379=0,0,O3345/B3379)</f>
        <v/>
      </c>
      <c r="Q3345">
        <f>IFERROR(1/IF(Inputs!$B$39="pvp",15,MAX(0.1,Skills!D11-IF(Skills!E11=TRUE,1.5,0))),0)</f>
        <v/>
      </c>
      <c r="R3345">
        <f>IF(AND(Inputs!$B$39&lt;&gt;"pvp",Inputs!$B$44&gt;0),IF(MAX(0,Inputs!$B$44-B3378)&lt;=0,0,(INT(MAX(0,Inputs!$B$44-B3378)/IF(Inputs!$B$39="pvp",15,MAX(0.1,Skills!D11-IF(Skills!E11=TRUE,1.5,0))))+1)),0)</f>
        <v/>
      </c>
      <c r="S3345">
        <f>IFERROR(O3345/N3345,0)</f>
        <v/>
      </c>
      <c r="T3345">
        <f>IF(C3345,(H3345*N3345*IF(AND(Inputs!$B$39&lt;&gt;"pvp",Inputs!$B$44&gt;0),((Skills!G11*((R3345-1)*IF(Skills!H11&gt;0,Skills!I11/Skills!H11,1)+IF(Skills!H11&gt;0,MIN(Skills!I11,MAX(0,MAX(0,Inputs!$B$44-B3378)-((R3345-1)*IF(Inputs!$B$39="pvp",15,MAX(0.1,Skills!D11-IF(Skills!E11=TRUE,1.5,0))))))/Skills!H11,1)))/Inputs!$B$44),G3345*Q3345))*IF(Inputs!$B$39="pvp",1,1+(Inputs!$B$20+0+Skills!P11+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3345*(1-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3345*(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3345*(1-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3345*(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5">
        <f>IF(C3345,(H3345*N3345*IF(AND(Inputs!$B$39&lt;&gt;"pvp",Inputs!$B$44&gt;0),((Skills!G11*((R3345-1)*IF(Skills!H11&gt;0,Skills!I11/Skills!H11,1)+IF(Skills!H11&gt;0,MIN(Skills!I11,MAX(0,MAX(0,Inputs!$B$44-B3378)-((R3345-1)*IF(Inputs!$B$39="pvp",15,MAX(0.1,Skills!D11-IF(Skills!E11=TRUE,1.5,0))))))/Skills!H11,1)))/Inputs!$B$44),G3345*Q3345))*IF(Inputs!$B$39="pvp",1,(1+(Inputs!$B$21+Skills!Q11+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6">
      <c r="A3346">
        <f>Skills!A12</f>
        <v/>
      </c>
      <c r="B3346">
        <f>Skills!B12</f>
        <v/>
      </c>
      <c r="C3346">
        <f>Inputs!$B$3&gt;=105</f>
        <v/>
      </c>
      <c r="D3346">
        <f>IF(Skills!C12=1,60+Inputs!$B$25+Inputs!$B$29,IF(Skills!C12=2,90+Inputs!$B$26+Inputs!$B$29,IF(Skills!C12=3,120+Inputs!$B$27+Inputs!$B$29,MAX(0,(Inputs!$B$3-100)*3)+Inputs!$B$28+Inputs!$B$29)))</f>
        <v/>
      </c>
      <c r="E3346">
        <f>INDEX(FactorTable!$B$2:$Y$301, MATCH(ROUND(MIN(300,MAX(1,D3346)),0), FactorTable!$A$2:$A$301,0), Skills!M12+1)</f>
        <v/>
      </c>
      <c r="F3346">
        <f>IF(Skills!N12=TRUE,(Skills!L12/10)*(E3346/1000),Skills!L12/10)+Skills!O12</f>
        <v/>
      </c>
      <c r="G3346">
        <f>Skills!G12*IF(Skills!H12&gt;0,Skills!I12/Skills!H12,1)</f>
        <v/>
      </c>
      <c r="H3346">
        <f>1-(1-Skills!J12/100)^Skills!K12</f>
        <v/>
      </c>
      <c r="I3346" t="inlineStr">
        <is>
          <t>1</t>
        </is>
      </c>
      <c r="J3346">
        <f>((Inputs!$B$6*(1+Inputs!$B$7/100))+(((Inputs!$B$12*(1+Inputs!$B$13/100))-(Inputs!$B$12*(1+Inputs!$B$13/100)))+0.25*(Inputs!$B$14-Inputs!$B$14))*(1+Inputs!$B$7/100))*(F3346/100)</f>
        <v/>
      </c>
      <c r="K3346">
        <f>J3346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3346)</f>
        <v/>
      </c>
      <c r="L3346">
        <f>K3346*(MIN(Inputs!$B$22+((C3358=TRUE)*(F3358-Calc!F24)),(Inputs!$B$23+((C3363=TRUE)*(F3363-Calc!F29))+IF(ArtifactsInput!$M$15,CHOOSE(ArtifactsInput!$N$15+1,25,30,35,40,45,50)/100*(Inputs!$B$11-Inputs!$B$11),0)))/100+(Inputs!$B$23+((C3363=TRUE)*(F3363-Calc!F29))+IF(ArtifactsInput!$M$15,CHOOSE(ArtifactsInput!$N$15+1,25,30,35,40,45,50)/100*(Inputs!$B$11-Inputs!$B$11),0))/100)/2</f>
        <v/>
      </c>
      <c r="M3346">
        <f>L3346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6">
        <f>L3346*(1-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3346*(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6">
        <f>(1-Summary!$B$11)*T3346+Summary!$B$11*V3346</f>
        <v/>
      </c>
      <c r="P3346">
        <f>IF(B3379=0,0,O3346/B3379)</f>
        <v/>
      </c>
      <c r="Q3346">
        <f>IFERROR(1/IF(Inputs!$B$39="pvp",15,MAX(0.1,Skills!D12-IF(Skills!E12=TRUE,1.5,0))),0)</f>
        <v/>
      </c>
      <c r="R3346">
        <f>IF(AND(Inputs!$B$39&lt;&gt;"pvp",Inputs!$B$44&gt;0),IF(MAX(0,Inputs!$B$44-B3378)&lt;=0,0,(INT(MAX(0,Inputs!$B$44-B3378)/IF(Inputs!$B$39="pvp",15,MAX(0.1,Skills!D12-IF(Skills!E12=TRUE,1.5,0))))+1)),0)</f>
        <v/>
      </c>
      <c r="S3346">
        <f>IFERROR(O3346/N3346,0)</f>
        <v/>
      </c>
      <c r="T3346">
        <f>IF(C3346,(H3346*N3346*IF(AND(Inputs!$B$39&lt;&gt;"pvp",Inputs!$B$44&gt;0),((Skills!G12*((R3346-1)*IF(Skills!H12&gt;0,Skills!I12/Skills!H12,1)+IF(Skills!H12&gt;0,MIN(Skills!I12,MAX(0,MAX(0,Inputs!$B$44-B3378)-((R3346-1)*IF(Inputs!$B$39="pvp",15,MAX(0.1,Skills!D12-IF(Skills!E12=TRUE,1.5,0))))))/Skills!H12,1)))/Inputs!$B$44),G3346*Q3346))*IF(Inputs!$B$39="pvp",1,1+(Inputs!$B$20+0+Skills!P12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3346*(1-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3346*(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3346*(1-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3346*(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6">
        <f>IF(C3346,(H3346*N3346*IF(AND(Inputs!$B$39&lt;&gt;"pvp",Inputs!$B$44&gt;0),((Skills!G12*((R3346-1)*IF(Skills!H12&gt;0,Skills!I12/Skills!H12,1)+IF(Skills!H12&gt;0,MIN(Skills!I12,MAX(0,MAX(0,Inputs!$B$44-B3378)-((R3346-1)*IF(Inputs!$B$39="pvp",15,MAX(0.1,Skills!D12-IF(Skills!E12=TRUE,1.5,0))))))/Skills!H12,1)))/Inputs!$B$44),G3346*Q3346))*IF(Inputs!$B$39="pvp",1,(1+(Inputs!$B$21+Skills!Q12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7">
      <c r="A3347">
        <f>Skills!A13</f>
        <v/>
      </c>
      <c r="B3347">
        <f>Skills!B13</f>
        <v/>
      </c>
      <c r="C3347">
        <f>Inputs!$B$3&gt;=105</f>
        <v/>
      </c>
      <c r="D3347">
        <f>IF(Skills!C13=1,60+Inputs!$B$25+Inputs!$B$29,IF(Skills!C13=2,90+Inputs!$B$26+Inputs!$B$29,IF(Skills!C13=3,120+Inputs!$B$27+Inputs!$B$29,MAX(0,(Inputs!$B$3-100)*3)+Inputs!$B$28+Inputs!$B$29)))</f>
        <v/>
      </c>
      <c r="E3347">
        <f>INDEX(FactorTable!$B$2:$Y$301, MATCH(ROUND(MIN(300,MAX(1,D3347)),0), FactorTable!$A$2:$A$301,0), Skills!M13+1)</f>
        <v/>
      </c>
      <c r="F3347">
        <f>IF(Skills!N13=TRUE,(Skills!L13/10)*(E3347/1000),Skills!L13/10)+Skills!O13</f>
        <v/>
      </c>
      <c r="G3347">
        <f>Skills!G13*IF(Skills!H13&gt;0,Skills!I13/Skills!H13,1)</f>
        <v/>
      </c>
      <c r="H3347">
        <f>1-(1-Skills!J13/100)^Skills!K13</f>
        <v/>
      </c>
      <c r="I3347" t="inlineStr">
        <is>
          <t>1</t>
        </is>
      </c>
      <c r="J3347">
        <f>((Inputs!$B$6*(1+Inputs!$B$7/100))+(((Inputs!$B$12*(1+Inputs!$B$13/100))-(Inputs!$B$12*(1+Inputs!$B$13/100)))+0.25*(Inputs!$B$14-Inputs!$B$14))*(1+Inputs!$B$7/100))*(F3347/100)</f>
        <v/>
      </c>
      <c r="K3347">
        <f>J3347*(1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3347)</f>
        <v/>
      </c>
      <c r="L3347">
        <f>K3347*(MIN(Inputs!$B$22+((C3358=TRUE)*(F3358-Calc!F24)),(Inputs!$B$23+((C3363=TRUE)*(F3363-Calc!F29))+IF(ArtifactsInput!$M$15,CHOOSE(ArtifactsInput!$N$15+1,25,30,35,40,45,50)/100*(Inputs!$B$11-Inputs!$B$11),0)))/100+(Inputs!$B$23+((C3363=TRUE)*(F3363-Calc!F29))+IF(ArtifactsInput!$M$15,CHOOSE(ArtifactsInput!$N$15+1,25,30,35,40,45,50)/100*(Inputs!$B$11-Inputs!$B$11),0))/100)/2</f>
        <v/>
      </c>
      <c r="M3347">
        <f>L3347*(1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7">
        <f>L3347*(1-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3347*(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7">
        <f>(1-Summary!$B$11)*T3347+Summary!$B$11*V3347</f>
        <v/>
      </c>
      <c r="P3347">
        <f>IF(B3379=0,0,O3347/B3379)</f>
        <v/>
      </c>
      <c r="Q3347">
        <f>IFERROR(1/IF(Inputs!$B$39="pvp",15,MAX(0.1,Skills!D13-IF(Skills!E13=TRUE,1.5,0))),0)</f>
        <v/>
      </c>
      <c r="R3347">
        <f>IF(AND(Inputs!$B$39&lt;&gt;"pvp",Inputs!$B$44&gt;0),IF(MAX(0,Inputs!$B$44-B3378)&lt;=0,0,(INT(MAX(0,Inputs!$B$44-B3378)/IF(Inputs!$B$39="pvp",15,MAX(0.1,Skills!D13-IF(Skills!E13=TRUE,1.5,0))))+1)),0)</f>
        <v/>
      </c>
      <c r="S3347">
        <f>IFERROR(O3347/N3347,0)</f>
        <v/>
      </c>
      <c r="T3347">
        <f>IF(C3347,(H3347*N3347*IF(AND(Inputs!$B$39&lt;&gt;"pvp",Inputs!$B$44&gt;0),((Skills!G13*((R3347-1)*IF(Skills!H13&gt;0,Skills!I13/Skills!H13,1)+IF(Skills!H13&gt;0,MIN(Skills!I13,MAX(0,MAX(0,Inputs!$B$44-B3378)-((R3347-1)*IF(Inputs!$B$39="pvp",15,MAX(0.1,Skills!D13-IF(Skills!E13=TRUE,1.5,0))))))/Skills!H13,1)))/Inputs!$B$44),G3347*Q3347))*IF(Inputs!$B$39="pvp",1,1+(Inputs!$B$20+0+Skills!P13+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3347*(1-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3347*(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3347*(1-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3347*(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7">
        <f>IF(C3347,(H3347*N3347*IF(AND(Inputs!$B$39&lt;&gt;"pvp",Inputs!$B$44&gt;0),((Skills!G13*((R3347-1)*IF(Skills!H13&gt;0,Skills!I13/Skills!H13,1)+IF(Skills!H13&gt;0,MIN(Skills!I13,MAX(0,MAX(0,Inputs!$B$44-B3378)-((R3347-1)*IF(Inputs!$B$39="pvp",15,MAX(0.1,Skills!D13-IF(Skills!E13=TRUE,1.5,0))))))/Skills!H13,1)))/Inputs!$B$44),G3347*Q3347))*IF(Inputs!$B$39="pvp",1,(1+(Inputs!$B$21+Skills!Q13+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8">
      <c r="A3348">
        <f>Skills!A14</f>
        <v/>
      </c>
      <c r="B3348">
        <f>Skills!B14</f>
        <v/>
      </c>
      <c r="C3348">
        <f>Inputs!$B$3&gt;=107</f>
        <v/>
      </c>
      <c r="D3348">
        <f>IF(Skills!C14=1,60+Inputs!$B$25+Inputs!$B$29,IF(Skills!C14=2,90+Inputs!$B$26+Inputs!$B$29,IF(Skills!C14=3,120+Inputs!$B$27+Inputs!$B$29,MAX(0,(Inputs!$B$3-100)*3)+Inputs!$B$28+Inputs!$B$29)))</f>
        <v/>
      </c>
      <c r="E3348">
        <f>INDEX(FactorTable!$B$2:$Y$301, MATCH(ROUND(MIN(300,MAX(1,D3348)),0), FactorTable!$A$2:$A$301,0), Skills!M14+1)</f>
        <v/>
      </c>
      <c r="F3348">
        <f>IF(Skills!N14=TRUE,(Skills!L14/10)*(E3348/1000),Skills!L14/10)+Skills!O14</f>
        <v/>
      </c>
      <c r="G3348">
        <f>Skills!G14*IF(Skills!H14&gt;0,Skills!I14/Skills!H14,1)</f>
        <v/>
      </c>
      <c r="H3348">
        <f>1-(1-Skills!J14/100)^Skills!K14</f>
        <v/>
      </c>
      <c r="I3348" t="inlineStr">
        <is>
          <t>1</t>
        </is>
      </c>
      <c r="J3348">
        <f>((Inputs!$B$6*(1+Inputs!$B$7/100))+(((Inputs!$B$12*(1+Inputs!$B$13/100))-(Inputs!$B$12*(1+Inputs!$B$13/100)))+0.25*(Inputs!$B$14-Inputs!$B$14))*(1+Inputs!$B$7/100))*(F3348/100)</f>
        <v/>
      </c>
      <c r="K3348">
        <f>J3348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3348)</f>
        <v/>
      </c>
      <c r="L3348">
        <f>K3348*(MIN(Inputs!$B$22+((C3358=TRUE)*(F3358-Calc!F24)),(Inputs!$B$23+((C3363=TRUE)*(F3363-Calc!F29))+IF(ArtifactsInput!$M$15,CHOOSE(ArtifactsInput!$N$15+1,25,30,35,40,45,50)/100*(Inputs!$B$11-Inputs!$B$11),0)))/100+(Inputs!$B$23+((C3363=TRUE)*(F3363-Calc!F29))+IF(ArtifactsInput!$M$15,CHOOSE(ArtifactsInput!$N$15+1,25,30,35,40,45,50)/100*(Inputs!$B$11-Inputs!$B$11),0))/100)/2</f>
        <v/>
      </c>
      <c r="M3348">
        <f>L3348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8">
        <f>L3348*(1-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3348*(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8">
        <f>(1-Summary!$B$11)*T3348+Summary!$B$11*V3348</f>
        <v/>
      </c>
      <c r="P3348">
        <f>IF(B3379=0,0,O3348/B3379)</f>
        <v/>
      </c>
      <c r="Q3348">
        <f>IFERROR(1/IF(Inputs!$B$39="pvp",15,MAX(0.1,Skills!D14-IF(Skills!E14=TRUE,1.5,0))),0)</f>
        <v/>
      </c>
      <c r="R3348">
        <f>IF(AND(Inputs!$B$39&lt;&gt;"pvp",Inputs!$B$44&gt;0),IF(MAX(0,Inputs!$B$44-B3378)&lt;=0,0,(INT(MAX(0,Inputs!$B$44-B3378)/IF(Inputs!$B$39="pvp",15,MAX(0.1,Skills!D14-IF(Skills!E14=TRUE,1.5,0))))+1)),0)</f>
        <v/>
      </c>
      <c r="S3348">
        <f>IFERROR(O3348/N3348,0)</f>
        <v/>
      </c>
      <c r="T3348">
        <f>IF(C3348,(H3348*N3348*IF(AND(Inputs!$B$39&lt;&gt;"pvp",Inputs!$B$44&gt;0),((Skills!G14*((R3348-1)*IF(Skills!H14&gt;0,Skills!I14/Skills!H14,1)+IF(Skills!H14&gt;0,MIN(Skills!I14,MAX(0,MAX(0,Inputs!$B$44-B3378)-((R3348-1)*IF(Inputs!$B$39="pvp",15,MAX(0.1,Skills!D14-IF(Skills!E14=TRUE,1.5,0))))))/Skills!H14,1)))/Inputs!$B$44),G3348*Q3348))*IF(Inputs!$B$39="pvp",1,1+(Inputs!$B$20+0+Skills!P14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3348*(1-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3348*(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3348*(1-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3348*(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8">
        <f>IF(C3348,(H3348*N3348*IF(AND(Inputs!$B$39&lt;&gt;"pvp",Inputs!$B$44&gt;0),((Skills!G14*((R3348-1)*IF(Skills!H14&gt;0,Skills!I14/Skills!H14,1)+IF(Skills!H14&gt;0,MIN(Skills!I14,MAX(0,MAX(0,Inputs!$B$44-B3378)-((R3348-1)*IF(Inputs!$B$39="pvp",15,MAX(0.1,Skills!D14-IF(Skills!E14=TRUE,1.5,0))))))/Skills!H14,1)))/Inputs!$B$44),G3348*Q3348))*IF(Inputs!$B$39="pvp",1,(1+(Inputs!$B$21+Skills!Q14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(5,0.25*B3371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9">
      <c r="A3349">
        <f>Skills!A15</f>
        <v/>
      </c>
      <c r="B3349">
        <f>Skills!B15</f>
        <v/>
      </c>
      <c r="C3349">
        <f>Inputs!$B$3&gt;=110</f>
        <v/>
      </c>
      <c r="D3349">
        <f>IF(Skills!C15=1,60+Inputs!$B$25+Inputs!$B$29,IF(Skills!C15=2,90+Inputs!$B$26+Inputs!$B$29,IF(Skills!C15=3,120+Inputs!$B$27+Inputs!$B$29,MAX(0,(Inputs!$B$3-100)*3)+Inputs!$B$28+Inputs!$B$29)))</f>
        <v/>
      </c>
      <c r="E3349">
        <f>INDEX(FactorTable!$B$2:$Y$301, MATCH(ROUND(MIN(300,MAX(1,D3349)),0), FactorTable!$A$2:$A$301,0), Skills!M15+1)</f>
        <v/>
      </c>
      <c r="F3349">
        <f>IF(Skills!N15=TRUE,(Skills!L15/10)*(E3349/1000),Skills!L15/10)+Skills!O15</f>
        <v/>
      </c>
      <c r="G3349">
        <f>Skills!G15*IF(Skills!H15&gt;0,Skills!I15/Skills!H15,1)</f>
        <v/>
      </c>
      <c r="H3349">
        <f>1-(1-Skills!J15/100)^Skills!K15</f>
        <v/>
      </c>
      <c r="I3349" t="inlineStr">
        <is>
          <t>1</t>
        </is>
      </c>
      <c r="J3349" t="inlineStr"/>
      <c r="K3349" t="inlineStr"/>
      <c r="L3349" t="inlineStr"/>
      <c r="M3349" t="inlineStr"/>
      <c r="N3349" t="inlineStr"/>
      <c r="O3349">
        <f>(1-Summary!$B$11)*T3349+Summary!$B$11*V3349</f>
        <v/>
      </c>
      <c r="P3349">
        <f>IF(B3379=0,0,O3349/B3379)</f>
        <v/>
      </c>
      <c r="Q3349">
        <f>IFERROR(1/IF(Inputs!$B$39="pvp",15,MAX(0.1,Skills!D15-IF(Skills!E15=TRUE,1.5,0))),0)</f>
        <v/>
      </c>
      <c r="R3349">
        <f>IF(AND(Inputs!$B$39&lt;&gt;"pvp",Inputs!$B$44&gt;0),IF(Inputs!$B$44&lt;=0,0,(INT(Inputs!$B$44/IF(Inputs!$B$39="pvp",15,MAX(0.1,Skills!D15-IF(Skills!E15=TRUE,1.5,0))))+1)),0)</f>
        <v/>
      </c>
      <c r="S3349">
        <f>IFERROR(O3349/N3349,0)</f>
        <v/>
      </c>
      <c r="T3349" t="n">
        <v>0</v>
      </c>
      <c r="V3349" t="n">
        <v>0</v>
      </c>
    </row>
    <row r="3350">
      <c r="A3350">
        <f>Skills!A16</f>
        <v/>
      </c>
      <c r="B3350">
        <f>Skills!B16</f>
        <v/>
      </c>
      <c r="C3350">
        <f>Inputs!$B$3&gt;=115</f>
        <v/>
      </c>
      <c r="D3350">
        <f>IF(Skills!C16=1,60+Inputs!$B$25+Inputs!$B$29,IF(Skills!C16=2,90+Inputs!$B$26+Inputs!$B$29,IF(Skills!C16=3,120+Inputs!$B$27+Inputs!$B$29,MAX(0,(Inputs!$B$3-100)*3)+Inputs!$B$28+Inputs!$B$29)))</f>
        <v/>
      </c>
      <c r="E3350">
        <f>INDEX(FactorTable!$B$2:$Y$301, MATCH(ROUND(MIN(300,MAX(1,D3350)),0), FactorTable!$A$2:$A$301,0), Skills!M16+1)</f>
        <v/>
      </c>
      <c r="F3350">
        <f>IF(Skills!N16=TRUE,(Skills!L16/10)*(E3350/1000),Skills!L16/10)+Skills!O16</f>
        <v/>
      </c>
      <c r="G3350">
        <f>Skills!G16*IF(Skills!H16&gt;0,Skills!I16/Skills!H16,1)</f>
        <v/>
      </c>
      <c r="H3350">
        <f>1-(1-Skills!J16/100)^Skills!K16</f>
        <v/>
      </c>
      <c r="I3350" t="inlineStr">
        <is>
          <t>1</t>
        </is>
      </c>
      <c r="J3350">
        <f>((Inputs!$B$6*(1+Inputs!$B$7/100))+(((Inputs!$B$12*(1+Inputs!$B$13/100))-(Inputs!$B$12*(1+Inputs!$B$13/100)))+0.25*(Inputs!$B$14-Inputs!$B$14))*(1+Inputs!$B$7/100))*(F3350/100)</f>
        <v/>
      </c>
      <c r="K3350">
        <f>J3350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3361=TRUE)*(F3361-Calc!F27))+((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3350)</f>
        <v/>
      </c>
      <c r="L3350">
        <f>K3350*(MIN(Inputs!$B$22+((C3358=TRUE)*(F3358-Calc!F24)),(Inputs!$B$23+((C3363=TRUE)*(F3363-Calc!F29))+IF(ArtifactsInput!$M$15,CHOOSE(ArtifactsInput!$N$15+1,25,30,35,40,45,50)/100*(Inputs!$B$11-Inputs!$B$11),0)))/100+(Inputs!$B$23+((C3363=TRUE)*(F3363-Calc!F29))+IF(ArtifactsInput!$M$15,CHOOSE(ArtifactsInput!$N$15+1,25,30,35,40,45,50)/100*(Inputs!$B$11-Inputs!$B$11),0))/100)/2</f>
        <v/>
      </c>
      <c r="M3350">
        <f>L3350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0">
        <f>L3350*(1-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3350*(MIN((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0">
        <f>(1-Summary!$B$11)*T3350+Summary!$B$11*V3350</f>
        <v/>
      </c>
      <c r="P3350">
        <f>IF(B3379=0,0,O3350/B3379)</f>
        <v/>
      </c>
      <c r="Q3350" t="n">
        <v>0</v>
      </c>
      <c r="R3350" t="n">
        <v>0</v>
      </c>
      <c r="S3350">
        <f>IFERROR(O3350/N3350,0)</f>
        <v/>
      </c>
      <c r="T3350">
        <f>IF(C3350,(Inputs!$B$38*0.2*N3350)*IF(Inputs!$B$39="pvp",1,1+(Inputs!$B$20+0+Skills!P16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3350*(1-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3350*(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3350*(1-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3350*(MIN(100,(Inputs!$B$9+((C3359=TRUE)*(F3359-Calc!F25))+B3367+(ArtifactsInput!$M$24-ArtifactsInput!$M$24)*CHOOSE(ArtifactsInput!$N$24+1,10,12,14,16,18,20)+(IF(AND(Inputs!$B$39&lt;&gt;"pvp",Inputs!$B$44=0),1,IF(IF(Inputs!$B$39="pvp",15,Inputs!$B$44)-(B3378)&lt;=0,1,MAX(0,IF(Inputs!$B$39="pvp",15,Inputs!$B$44)-MAX(5,B3378))/(IF(Inputs!$B$39="pvp",15,Inputs!$B$44)-(B3378))))*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0">
        <f>IF(C3350,(Inputs!$B$38*0.2*N3350)*IF(Inputs!$B$39="pvp",1,(1+(Inputs!$B$21+Skills!Q16+B3368+(IF(ArtifactsInput!$M$33,CHOOSE(ArtifactsInput!$N$33+1,30,36,42,48,54,60),0))+(IF(AND(ArtifactsInput!$M$35,Inputs!$B$4&lt;&gt;"Chapter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1">
      <c r="A3351">
        <f>Skills!A17</f>
        <v/>
      </c>
      <c r="B3351">
        <f>Skills!B17</f>
        <v/>
      </c>
      <c r="C3351">
        <f>Inputs!$B$3&gt;=115</f>
        <v/>
      </c>
      <c r="D3351">
        <f>IF(Skills!C17=1,60+Inputs!$B$25+Inputs!$B$29,IF(Skills!C17=2,90+Inputs!$B$26+Inputs!$B$29,IF(Skills!C17=3,120+Inputs!$B$27+Inputs!$B$29,MAX(0,(Inputs!$B$3-100)*3)+Inputs!$B$28+Inputs!$B$29)))</f>
        <v/>
      </c>
      <c r="E3351">
        <f>INDEX(FactorTable!$B$2:$Y$301, MATCH(ROUND(MIN(300,MAX(1,D3351)),0), FactorTable!$A$2:$A$301,0), Skills!M17+1)</f>
        <v/>
      </c>
      <c r="F3351">
        <f>IF(Skills!N17=TRUE,(Skills!L17/10)*(E3351/1000),Skills!L17/10)+Skills!O17</f>
        <v/>
      </c>
      <c r="G3351">
        <f>Skills!G17*IF(Skills!H17&gt;0,Skills!I17/Skills!H17,1)</f>
        <v/>
      </c>
      <c r="H3351">
        <f>1-(1-Skills!J17/100)^Skills!K17</f>
        <v/>
      </c>
      <c r="I3351" t="inlineStr">
        <is>
          <t>1</t>
        </is>
      </c>
      <c r="J3351" t="inlineStr"/>
      <c r="K3351" t="inlineStr"/>
      <c r="L3351" t="inlineStr"/>
      <c r="M3351" t="inlineStr"/>
      <c r="N3351" t="inlineStr"/>
      <c r="O3351">
        <f>(1-Summary!$B$11)*T3351+Summary!$B$11*V3351</f>
        <v/>
      </c>
      <c r="P3351">
        <f>IF(B3379=0,0,O3351/B3379)</f>
        <v/>
      </c>
      <c r="Q3351" t="n">
        <v>0</v>
      </c>
      <c r="R3351" t="n">
        <v>0</v>
      </c>
      <c r="S3351">
        <f>IFERROR(O3351/N3351,0)</f>
        <v/>
      </c>
      <c r="T3351" t="n">
        <v>0</v>
      </c>
      <c r="V3351" t="n">
        <v>0</v>
      </c>
    </row>
    <row r="3352">
      <c r="A3352">
        <f>Skills!A18</f>
        <v/>
      </c>
      <c r="B3352">
        <f>Skills!B18</f>
        <v/>
      </c>
      <c r="C3352">
        <f>Inputs!$B$3&gt;=100</f>
        <v/>
      </c>
      <c r="D3352">
        <f>IF(Skills!C18=1,60+Inputs!$B$25+Inputs!$B$29,IF(Skills!C18=2,90+Inputs!$B$26+Inputs!$B$29,IF(Skills!C18=3,120+Inputs!$B$27+Inputs!$B$29,MAX(0,(Inputs!$B$3-100)*3)+Inputs!$B$28+Inputs!$B$29)))</f>
        <v/>
      </c>
      <c r="E3352">
        <f>INDEX(FactorTable!$B$2:$Y$301, MATCH(ROUND(MIN(300,MAX(1,D3352)),0), FactorTable!$A$2:$A$301,0), Skills!M18+1)</f>
        <v/>
      </c>
      <c r="F3352">
        <f>IF(Skills!N18=TRUE,(Skills!L18/10)*(E3352/1000),Skills!L18/10)+Skills!O18</f>
        <v/>
      </c>
      <c r="G3352">
        <f>Skills!G18*IF(Skills!H18&gt;0,Skills!I18/Skills!H18,1)</f>
        <v/>
      </c>
      <c r="H3352">
        <f>1-(1-Skills!J18/100)^Skills!K18</f>
        <v/>
      </c>
      <c r="I3352" t="inlineStr">
        <is>
          <t>1</t>
        </is>
      </c>
      <c r="J3352" t="inlineStr"/>
      <c r="K3352" t="inlineStr"/>
      <c r="L3352" t="inlineStr"/>
      <c r="M3352" t="inlineStr"/>
      <c r="N3352" t="inlineStr"/>
      <c r="O3352">
        <f>(1-Summary!$B$11)*T3352+Summary!$B$11*V3352</f>
        <v/>
      </c>
      <c r="P3352">
        <f>IF(B3379=0,0,O3352/B3379)</f>
        <v/>
      </c>
      <c r="Q3352" t="n">
        <v>0</v>
      </c>
      <c r="R3352" t="n">
        <v>0</v>
      </c>
      <c r="S3352">
        <f>IFERROR(O3352/N3352,0)</f>
        <v/>
      </c>
      <c r="T3352" t="n">
        <v>0</v>
      </c>
      <c r="V3352" t="n">
        <v>0</v>
      </c>
    </row>
    <row r="3353">
      <c r="A3353">
        <f>Skills!A19</f>
        <v/>
      </c>
      <c r="B3353">
        <f>Skills!B19</f>
        <v/>
      </c>
      <c r="C3353">
        <f>TRUE</f>
        <v/>
      </c>
      <c r="D3353">
        <f>IF(Skills!C19=1,60+Inputs!$B$25+Inputs!$B$29,IF(Skills!C19=2,90+Inputs!$B$26+Inputs!$B$29,IF(Skills!C19=3,120+Inputs!$B$27+Inputs!$B$29,MAX(0,(Inputs!$B$3-100)*3)+Inputs!$B$28+Inputs!$B$29)))</f>
        <v/>
      </c>
      <c r="E3353">
        <f>INDEX(FactorTable!$B$2:$Y$301, MATCH(ROUND(MIN(300,MAX(1,D3353)),0), FactorTable!$A$2:$A$301,0), Skills!M19+1)</f>
        <v/>
      </c>
      <c r="F3353">
        <f>IF(Skills!N19=TRUE,(Skills!L19/10)*(E3353/1000),Skills!L19/10)+Skills!O19</f>
        <v/>
      </c>
      <c r="G3353">
        <f>Skills!G19*IF(Skills!H19&gt;0,Skills!I19/Skills!H19,1)</f>
        <v/>
      </c>
      <c r="H3353">
        <f>1-(1-Skills!J19/100)^Skills!K19</f>
        <v/>
      </c>
      <c r="I3353" t="inlineStr">
        <is>
          <t>1</t>
        </is>
      </c>
      <c r="J3353" t="inlineStr"/>
      <c r="K3353" t="inlineStr"/>
      <c r="L3353" t="inlineStr"/>
      <c r="M3353" t="inlineStr"/>
      <c r="N3353" t="inlineStr"/>
      <c r="O3353">
        <f>(1-Summary!$B$11)*T3353+Summary!$B$11*V3353</f>
        <v/>
      </c>
      <c r="P3353">
        <f>IF(B3379=0,0,O3353/B3379)</f>
        <v/>
      </c>
      <c r="Q3353">
        <f>IFERROR(1/IF(Inputs!$B$39="pvp",15,MAX(0.1,Skills!D19-IF(Skills!E19=TRUE,1.5,0))),0)</f>
        <v/>
      </c>
      <c r="R3353">
        <f>IF(AND(Inputs!$B$39&lt;&gt;"pvp",Inputs!$B$44&gt;0),IF(Inputs!$B$44&lt;=0,0,(INT(Inputs!$B$44/IF(Inputs!$B$39="pvp",15,MAX(0.1,Skills!D19-IF(Skills!E19=TRUE,1.5,0))))+1)),0)</f>
        <v/>
      </c>
      <c r="S3353">
        <f>IFERROR(O3353/N3353,0)</f>
        <v/>
      </c>
      <c r="T3353" t="n">
        <v>0</v>
      </c>
      <c r="V3353" t="n">
        <v>0</v>
      </c>
    </row>
    <row r="3354">
      <c r="A3354">
        <f>Skills!A20</f>
        <v/>
      </c>
      <c r="B3354">
        <f>Skills!B20</f>
        <v/>
      </c>
      <c r="C3354">
        <f>Inputs!$B$3&gt;=15</f>
        <v/>
      </c>
      <c r="D3354">
        <f>IF(Skills!C20=1,60+Inputs!$B$25+Inputs!$B$29,IF(Skills!C20=2,90+Inputs!$B$26+Inputs!$B$29,IF(Skills!C20=3,120+Inputs!$B$27+Inputs!$B$29,MAX(0,(Inputs!$B$3-100)*3)+Inputs!$B$28+Inputs!$B$29)))</f>
        <v/>
      </c>
      <c r="E3354">
        <f>INDEX(FactorTable!$B$2:$Y$301, MATCH(ROUND(MIN(300,MAX(1,D3354)),0), FactorTable!$A$2:$A$301,0), Skills!M20+1)</f>
        <v/>
      </c>
      <c r="F3354">
        <f>IF(Skills!N20=TRUE,(Skills!L20/10)*(E3354/1000),Skills!L20/10)+Skills!O20</f>
        <v/>
      </c>
      <c r="G3354">
        <f>Skills!G20*IF(Skills!H20&gt;0,Skills!I20/Skills!H20,1)</f>
        <v/>
      </c>
      <c r="H3354">
        <f>1-(1-Skills!J20/100)^Skills!K20</f>
        <v/>
      </c>
      <c r="I3354" t="inlineStr">
        <is>
          <t>1</t>
        </is>
      </c>
      <c r="J3354" t="inlineStr"/>
      <c r="K3354" t="inlineStr"/>
      <c r="L3354" t="inlineStr"/>
      <c r="M3354" t="inlineStr"/>
      <c r="N3354" t="inlineStr"/>
      <c r="O3354">
        <f>(1-Summary!$B$11)*T3354+Summary!$B$11*V3354</f>
        <v/>
      </c>
      <c r="P3354">
        <f>IF(B3379=0,0,O3354/B3379)</f>
        <v/>
      </c>
      <c r="Q3354">
        <f>IFERROR(1/IF(Inputs!$B$39="pvp",15,MAX(0.1,Skills!D20-IF(Skills!E20=TRUE,1.5,0))),0)</f>
        <v/>
      </c>
      <c r="R3354">
        <f>IF(AND(Inputs!$B$39&lt;&gt;"pvp",Inputs!$B$44&gt;0),IF(Inputs!$B$44&lt;=0,0,(INT(Inputs!$B$44/IF(Inputs!$B$39="pvp",15,MAX(0.1,Skills!D20-IF(Skills!E20=TRUE,1.5,0))))+1)),0)</f>
        <v/>
      </c>
      <c r="S3354">
        <f>IFERROR(O3354/N3354,0)</f>
        <v/>
      </c>
      <c r="T3354" t="n">
        <v>0</v>
      </c>
      <c r="V3354" t="n">
        <v>0</v>
      </c>
    </row>
    <row r="3355">
      <c r="A3355">
        <f>Skills!A21</f>
        <v/>
      </c>
      <c r="B3355">
        <f>Skills!B21</f>
        <v/>
      </c>
      <c r="C3355">
        <f>Inputs!$B$3&gt;=15</f>
        <v/>
      </c>
      <c r="D3355">
        <f>IF(Skills!C21=1,60+Inputs!$B$25+Inputs!$B$29,IF(Skills!C21=2,90+Inputs!$B$26+Inputs!$B$29,IF(Skills!C21=3,120+Inputs!$B$27+Inputs!$B$29,MAX(0,(Inputs!$B$3-100)*3)+Inputs!$B$28+Inputs!$B$29)))</f>
        <v/>
      </c>
      <c r="E3355">
        <f>INDEX(FactorTable!$B$2:$Y$301, MATCH(ROUND(MIN(300,MAX(1,D3355)),0), FactorTable!$A$2:$A$301,0), Skills!M21+1)</f>
        <v/>
      </c>
      <c r="F3355">
        <f>IF(Skills!N21=TRUE,(Skills!L21/10)*(E3355/1000),Skills!L21/10)+Skills!O21</f>
        <v/>
      </c>
      <c r="G3355">
        <f>Skills!G21*IF(Skills!H21&gt;0,Skills!I21/Skills!H21,1)</f>
        <v/>
      </c>
      <c r="H3355">
        <f>1-(1-Skills!J21/100)^Skills!K21</f>
        <v/>
      </c>
      <c r="I3355" t="inlineStr">
        <is>
          <t>1</t>
        </is>
      </c>
      <c r="J3355" t="inlineStr"/>
      <c r="K3355" t="inlineStr"/>
      <c r="L3355" t="inlineStr"/>
      <c r="M3355" t="inlineStr"/>
      <c r="N3355" t="inlineStr"/>
      <c r="O3355">
        <f>(1-Summary!$B$11)*T3355+Summary!$B$11*V3355</f>
        <v/>
      </c>
      <c r="P3355">
        <f>IF(B3379=0,0,O3355/B3379)</f>
        <v/>
      </c>
      <c r="Q3355">
        <f>IFERROR(1/IF(Inputs!$B$39="pvp",15,MAX(0.1,Skills!D21-IF(Skills!E21=TRUE,1.5,0))),0)</f>
        <v/>
      </c>
      <c r="R3355">
        <f>IF(AND(Inputs!$B$39&lt;&gt;"pvp",Inputs!$B$44&gt;0),IF(Inputs!$B$44&lt;=0,0,(INT(Inputs!$B$44/IF(Inputs!$B$39="pvp",15,MAX(0.1,Skills!D21-IF(Skills!E21=TRUE,1.5,0))))+1)),0)</f>
        <v/>
      </c>
      <c r="S3355">
        <f>IFERROR(O3355/N3355,0)</f>
        <v/>
      </c>
      <c r="T3355" t="n">
        <v>0</v>
      </c>
      <c r="V3355" t="n">
        <v>0</v>
      </c>
    </row>
    <row r="3356">
      <c r="A3356">
        <f>Skills!A22</f>
        <v/>
      </c>
      <c r="B3356">
        <f>Skills!B22</f>
        <v/>
      </c>
      <c r="C3356">
        <f>Inputs!$B$3&gt;=33</f>
        <v/>
      </c>
      <c r="D3356">
        <f>IF(Skills!C22=1,60+Inputs!$B$25+Inputs!$B$29,IF(Skills!C22=2,90+Inputs!$B$26+Inputs!$B$29,IF(Skills!C22=3,120+Inputs!$B$27+Inputs!$B$29,MAX(0,(Inputs!$B$3-100)*3)+Inputs!$B$28+Inputs!$B$29)))</f>
        <v/>
      </c>
      <c r="E3356">
        <f>INDEX(FactorTable!$B$2:$Y$301, MATCH(ROUND(MIN(300,MAX(1,D3356)),0), FactorTable!$A$2:$A$301,0), Skills!M22+1)</f>
        <v/>
      </c>
      <c r="F3356">
        <f>IF(Skills!N22=TRUE,(Skills!L22/10)*(E3356/1000),Skills!L22/10)+Skills!O22</f>
        <v/>
      </c>
      <c r="G3356">
        <f>Skills!G22*IF(Skills!H22&gt;0,Skills!I22/Skills!H22,1)</f>
        <v/>
      </c>
      <c r="H3356">
        <f>1-(1-Skills!J22/100)^Skills!K22</f>
        <v/>
      </c>
      <c r="I3356" t="inlineStr">
        <is>
          <t>1</t>
        </is>
      </c>
      <c r="J3356" t="inlineStr"/>
      <c r="K3356" t="inlineStr"/>
      <c r="L3356" t="inlineStr"/>
      <c r="M3356" t="inlineStr"/>
      <c r="N3356" t="inlineStr"/>
      <c r="O3356">
        <f>(1-Summary!$B$11)*T3356+Summary!$B$11*V3356</f>
        <v/>
      </c>
      <c r="P3356">
        <f>IF(B3379=0,0,O3356/B3379)</f>
        <v/>
      </c>
      <c r="Q3356" t="n">
        <v>0</v>
      </c>
      <c r="R3356" t="n">
        <v>0</v>
      </c>
      <c r="S3356">
        <f>IFERROR(O3356/N3356,0)</f>
        <v/>
      </c>
      <c r="T3356" t="n">
        <v>0</v>
      </c>
      <c r="V3356" t="n">
        <v>0</v>
      </c>
    </row>
    <row r="3357">
      <c r="A3357">
        <f>Skills!A23</f>
        <v/>
      </c>
      <c r="B3357">
        <f>Skills!B23</f>
        <v/>
      </c>
      <c r="C3357">
        <f>Inputs!$B$3&gt;=40</f>
        <v/>
      </c>
      <c r="D3357">
        <f>IF(Skills!C23=1,60+Inputs!$B$25+Inputs!$B$29,IF(Skills!C23=2,90+Inputs!$B$26+Inputs!$B$29,IF(Skills!C23=3,120+Inputs!$B$27+Inputs!$B$29,MAX(0,(Inputs!$B$3-100)*3)+Inputs!$B$28+Inputs!$B$29)))</f>
        <v/>
      </c>
      <c r="E3357">
        <f>INDEX(FactorTable!$B$2:$Y$301, MATCH(ROUND(MIN(300,MAX(1,D3357)),0), FactorTable!$A$2:$A$301,0), Skills!M23+1)</f>
        <v/>
      </c>
      <c r="F3357">
        <f>IF(Skills!N23=TRUE,(Skills!L23/10)*(E3357/1000),Skills!L23/10)+Skills!O23</f>
        <v/>
      </c>
      <c r="G3357">
        <f>Skills!G23*IF(Skills!H23&gt;0,Skills!I23/Skills!H23,1)</f>
        <v/>
      </c>
      <c r="H3357">
        <f>1-(1-Skills!J23/100)^Skills!K23</f>
        <v/>
      </c>
      <c r="I3357" t="inlineStr">
        <is>
          <t>1</t>
        </is>
      </c>
      <c r="J3357" t="inlineStr"/>
      <c r="K3357" t="inlineStr"/>
      <c r="L3357" t="inlineStr"/>
      <c r="M3357" t="inlineStr"/>
      <c r="N3357" t="inlineStr"/>
      <c r="O3357">
        <f>(1-Summary!$B$11)*T3357+Summary!$B$11*V3357</f>
        <v/>
      </c>
      <c r="P3357">
        <f>IF(B3379=0,0,O3357/B3379)</f>
        <v/>
      </c>
      <c r="Q3357" t="n">
        <v>0</v>
      </c>
      <c r="R3357" t="n">
        <v>0</v>
      </c>
      <c r="S3357">
        <f>IFERROR(O3357/N3357,0)</f>
        <v/>
      </c>
      <c r="T3357" t="n">
        <v>0</v>
      </c>
      <c r="V3357" t="n">
        <v>0</v>
      </c>
    </row>
    <row r="3358">
      <c r="A3358">
        <f>Skills!A24</f>
        <v/>
      </c>
      <c r="B3358">
        <f>Skills!B24</f>
        <v/>
      </c>
      <c r="C3358">
        <f>Inputs!$B$3&gt;=43</f>
        <v/>
      </c>
      <c r="D3358">
        <f>IF(Skills!C24=1,60+Inputs!$B$25+Inputs!$B$29,IF(Skills!C24=2,90+Inputs!$B$26+Inputs!$B$29,IF(Skills!C24=3,120+Inputs!$B$27+Inputs!$B$29,MAX(0,(Inputs!$B$3-100)*3)+Inputs!$B$28+Inputs!$B$29)))</f>
        <v/>
      </c>
      <c r="E3358">
        <f>INDEX(FactorTable!$B$2:$Y$301, MATCH(ROUND(MIN(300,MAX(1,D3358)),0), FactorTable!$A$2:$A$301,0), Skills!M24+1)</f>
        <v/>
      </c>
      <c r="F3358">
        <f>IF(Skills!N24=TRUE,(Skills!L24/10)*(E3358/1000),Skills!L24/10)+Skills!O24</f>
        <v/>
      </c>
      <c r="G3358">
        <f>Skills!G24*IF(Skills!H24&gt;0,Skills!I24/Skills!H24,1)</f>
        <v/>
      </c>
      <c r="H3358">
        <f>1-(1-Skills!J24/100)^Skills!K24</f>
        <v/>
      </c>
      <c r="I3358" t="inlineStr">
        <is>
          <t>1</t>
        </is>
      </c>
      <c r="J3358" t="inlineStr"/>
      <c r="K3358" t="inlineStr"/>
      <c r="L3358" t="inlineStr"/>
      <c r="M3358" t="inlineStr"/>
      <c r="N3358" t="inlineStr"/>
      <c r="O3358">
        <f>(1-Summary!$B$11)*T3358+Summary!$B$11*V3358</f>
        <v/>
      </c>
      <c r="P3358">
        <f>IF(B3379=0,0,O3358/B3379)</f>
        <v/>
      </c>
      <c r="Q3358" t="n">
        <v>0</v>
      </c>
      <c r="R3358" t="n">
        <v>0</v>
      </c>
      <c r="S3358">
        <f>IFERROR(O3358/N3358,0)</f>
        <v/>
      </c>
      <c r="T3358" t="n">
        <v>0</v>
      </c>
      <c r="V3358" t="n">
        <v>0</v>
      </c>
    </row>
    <row r="3359">
      <c r="A3359">
        <f>Skills!A25</f>
        <v/>
      </c>
      <c r="B3359">
        <f>Skills!B25</f>
        <v/>
      </c>
      <c r="C3359">
        <f>Inputs!$B$3&gt;=50</f>
        <v/>
      </c>
      <c r="D3359">
        <f>IF(Skills!C25=1,60+Inputs!$B$25+Inputs!$B$29,IF(Skills!C25=2,90+Inputs!$B$26+Inputs!$B$29,IF(Skills!C25=3,120+Inputs!$B$27+Inputs!$B$29,MAX(0,(Inputs!$B$3-100)*3)+Inputs!$B$28+Inputs!$B$29)))</f>
        <v/>
      </c>
      <c r="E3359">
        <f>INDEX(FactorTable!$B$2:$Y$301, MATCH(ROUND(MIN(300,MAX(1,D3359)),0), FactorTable!$A$2:$A$301,0), Skills!M25+1)</f>
        <v/>
      </c>
      <c r="F3359">
        <f>IF(Skills!N25=TRUE,(Skills!L25/10)*(E3359/1000),Skills!L25/10)+Skills!O25</f>
        <v/>
      </c>
      <c r="G3359">
        <f>Skills!G25*IF(Skills!H25&gt;0,Skills!I25/Skills!H25,1)</f>
        <v/>
      </c>
      <c r="H3359">
        <f>1-(1-Skills!J25/100)^Skills!K25</f>
        <v/>
      </c>
      <c r="I3359" t="inlineStr">
        <is>
          <t>1</t>
        </is>
      </c>
      <c r="J3359" t="inlineStr"/>
      <c r="K3359" t="inlineStr"/>
      <c r="L3359" t="inlineStr"/>
      <c r="M3359" t="inlineStr"/>
      <c r="N3359" t="inlineStr"/>
      <c r="O3359">
        <f>(1-Summary!$B$11)*T3359+Summary!$B$11*V3359</f>
        <v/>
      </c>
      <c r="P3359">
        <f>IF(B3379=0,0,O3359/B3379)</f>
        <v/>
      </c>
      <c r="Q3359" t="n">
        <v>0</v>
      </c>
      <c r="R3359" t="n">
        <v>0</v>
      </c>
      <c r="S3359">
        <f>IFERROR(O3359/N3359,0)</f>
        <v/>
      </c>
      <c r="T3359" t="n">
        <v>0</v>
      </c>
      <c r="V3359" t="n">
        <v>0</v>
      </c>
    </row>
    <row r="3360">
      <c r="A3360">
        <f>Skills!A26</f>
        <v/>
      </c>
      <c r="B3360">
        <f>Skills!B26</f>
        <v/>
      </c>
      <c r="C3360">
        <f>Inputs!$B$3&gt;=50</f>
        <v/>
      </c>
      <c r="D3360">
        <f>IF(Skills!C26=1,60+Inputs!$B$25+Inputs!$B$29,IF(Skills!C26=2,90+Inputs!$B$26+Inputs!$B$29,IF(Skills!C26=3,120+Inputs!$B$27+Inputs!$B$29,MAX(0,(Inputs!$B$3-100)*3)+Inputs!$B$28+Inputs!$B$29)))</f>
        <v/>
      </c>
      <c r="E3360">
        <f>INDEX(FactorTable!$B$2:$Y$301, MATCH(ROUND(MIN(300,MAX(1,D3360)),0), FactorTable!$A$2:$A$301,0), Skills!M26+1)</f>
        <v/>
      </c>
      <c r="F3360">
        <f>IF(Skills!N26=TRUE,(Skills!L26/10)*(E3360/1000),Skills!L26/10)+Skills!O26</f>
        <v/>
      </c>
      <c r="G3360">
        <f>Skills!G26*IF(Skills!H26&gt;0,Skills!I26/Skills!H26,1)</f>
        <v/>
      </c>
      <c r="H3360">
        <f>1-(1-Skills!J26/100)^Skills!K26</f>
        <v/>
      </c>
      <c r="I3360" t="inlineStr">
        <is>
          <t>1</t>
        </is>
      </c>
      <c r="J3360" t="inlineStr"/>
      <c r="K3360" t="inlineStr"/>
      <c r="L3360" t="inlineStr"/>
      <c r="M3360" t="inlineStr"/>
      <c r="N3360" t="inlineStr"/>
      <c r="O3360">
        <f>(1-Summary!$B$11)*T3360+Summary!$B$11*V3360</f>
        <v/>
      </c>
      <c r="P3360">
        <f>IF(B3379=0,0,O3360/B3379)</f>
        <v/>
      </c>
      <c r="Q3360" t="n">
        <v>0</v>
      </c>
      <c r="R3360" t="n">
        <v>0</v>
      </c>
      <c r="S3360">
        <f>IFERROR(O3360/N3360,0)</f>
        <v/>
      </c>
      <c r="T3360" t="n">
        <v>0</v>
      </c>
      <c r="V3360" t="n">
        <v>0</v>
      </c>
    </row>
    <row r="3361">
      <c r="A3361">
        <f>Skills!A27</f>
        <v/>
      </c>
      <c r="B3361">
        <f>Skills!B27</f>
        <v/>
      </c>
      <c r="C3361">
        <f>Inputs!$B$3&gt;=38</f>
        <v/>
      </c>
      <c r="D3361">
        <f>IF(Skills!C27=1,60+Inputs!$B$25+Inputs!$B$29,IF(Skills!C27=2,90+Inputs!$B$26+Inputs!$B$29,IF(Skills!C27=3,120+Inputs!$B$27+Inputs!$B$29,MAX(0,(Inputs!$B$3-100)*3)+Inputs!$B$28+Inputs!$B$29)))</f>
        <v/>
      </c>
      <c r="E3361">
        <f>INDEX(FactorTable!$B$2:$Y$301, MATCH(ROUND(MIN(300,MAX(1,D3361)),0), FactorTable!$A$2:$A$301,0), Skills!M27+1)</f>
        <v/>
      </c>
      <c r="F3361">
        <f>IF(Skills!N27=TRUE,(Skills!L27/10)*(E3361/1000),Skills!L27/10)+Skills!O27</f>
        <v/>
      </c>
      <c r="G3361">
        <f>Skills!G27*IF(Skills!H27&gt;0,Skills!I27/Skills!H27,1)</f>
        <v/>
      </c>
      <c r="H3361">
        <f>1-(1-Skills!J27/100)^Skills!K27</f>
        <v/>
      </c>
      <c r="I3361" t="inlineStr">
        <is>
          <t>1</t>
        </is>
      </c>
      <c r="J3361" t="inlineStr"/>
      <c r="K3361" t="inlineStr"/>
      <c r="L3361" t="inlineStr"/>
      <c r="M3361" t="inlineStr"/>
      <c r="N3361" t="inlineStr"/>
      <c r="O3361">
        <f>(1-Summary!$B$11)*T3361+Summary!$B$11*V3361</f>
        <v/>
      </c>
      <c r="P3361">
        <f>IF(B3379=0,0,O3361/B3379)</f>
        <v/>
      </c>
      <c r="Q3361" t="n">
        <v>0</v>
      </c>
      <c r="R3361" t="n">
        <v>0</v>
      </c>
      <c r="S3361">
        <f>IFERROR(O3361/N3361,0)</f>
        <v/>
      </c>
      <c r="T3361" t="n">
        <v>0</v>
      </c>
      <c r="V3361" t="n">
        <v>0</v>
      </c>
    </row>
    <row r="3362">
      <c r="A3362">
        <f>Skills!A28</f>
        <v/>
      </c>
      <c r="B3362">
        <f>Skills!B28</f>
        <v/>
      </c>
      <c r="C3362">
        <f>Inputs!$B$3&gt;=120</f>
        <v/>
      </c>
      <c r="D3362">
        <f>IF(Skills!C28=1,60+Inputs!$B$25+Inputs!$B$29,IF(Skills!C28=2,90+Inputs!$B$26+Inputs!$B$29,IF(Skills!C28=3,120+Inputs!$B$27+Inputs!$B$29,MAX(0,(Inputs!$B$3-100)*3)+Inputs!$B$28+Inputs!$B$29)))</f>
        <v/>
      </c>
      <c r="E3362">
        <f>INDEX(FactorTable!$B$2:$Y$301, MATCH(ROUND(MIN(300,MAX(1,D3362)),0), FactorTable!$A$2:$A$301,0), Skills!M28+1)</f>
        <v/>
      </c>
      <c r="F3362">
        <f>IF(Skills!N28=TRUE,(Skills!L28/10)*(E3362/1000),Skills!L28/10)+Skills!O28</f>
        <v/>
      </c>
      <c r="G3362">
        <f>Skills!G28*IF(Skills!H28&gt;0,Skills!I28/Skills!H28,1)</f>
        <v/>
      </c>
      <c r="H3362">
        <f>1-(1-Skills!J28/100)^Skills!K28</f>
        <v/>
      </c>
      <c r="I3362" t="inlineStr">
        <is>
          <t>1</t>
        </is>
      </c>
      <c r="J3362" t="inlineStr"/>
      <c r="K3362" t="inlineStr"/>
      <c r="L3362" t="inlineStr"/>
      <c r="M3362" t="inlineStr"/>
      <c r="N3362" t="inlineStr"/>
      <c r="O3362">
        <f>(1-Summary!$B$11)*T3362+Summary!$B$11*V3362</f>
        <v/>
      </c>
      <c r="P3362">
        <f>IF(B3379=0,0,O3362/B3379)</f>
        <v/>
      </c>
      <c r="Q3362" t="n">
        <v>0</v>
      </c>
      <c r="R3362" t="n">
        <v>0</v>
      </c>
      <c r="S3362">
        <f>IFERROR(O3362/N3362,0)</f>
        <v/>
      </c>
      <c r="T3362" t="n">
        <v>0</v>
      </c>
      <c r="V3362" t="n">
        <v>0</v>
      </c>
    </row>
    <row r="3363">
      <c r="A3363">
        <f>Skills!A29</f>
        <v/>
      </c>
      <c r="B3363">
        <f>Skills!B29</f>
        <v/>
      </c>
      <c r="C3363">
        <f>Inputs!$B$3&gt;=120</f>
        <v/>
      </c>
      <c r="D3363">
        <f>IF(Skills!C29=1,60+Inputs!$B$25+Inputs!$B$29,IF(Skills!C29=2,90+Inputs!$B$26+Inputs!$B$29,IF(Skills!C29=3,120+Inputs!$B$27+Inputs!$B$29,MAX(0,(Inputs!$B$3-100)*3)+Inputs!$B$28+Inputs!$B$29)))</f>
        <v/>
      </c>
      <c r="E3363">
        <f>INDEX(FactorTable!$B$2:$Y$301, MATCH(ROUND(MIN(300,MAX(1,D3363)),0), FactorTable!$A$2:$A$301,0), Skills!M29+1)</f>
        <v/>
      </c>
      <c r="F3363">
        <f>IF(Skills!N29=TRUE,(Skills!L29/10)*(E3363/1000),Skills!L29/10)+Skills!O29</f>
        <v/>
      </c>
      <c r="G3363">
        <f>Skills!G29*IF(Skills!H29&gt;0,Skills!I29/Skills!H29,1)</f>
        <v/>
      </c>
      <c r="H3363">
        <f>1-(1-Skills!J29/100)^Skills!K29</f>
        <v/>
      </c>
      <c r="I3363" t="inlineStr">
        <is>
          <t>1</t>
        </is>
      </c>
      <c r="J3363" t="inlineStr"/>
      <c r="K3363" t="inlineStr"/>
      <c r="L3363" t="inlineStr"/>
      <c r="M3363" t="inlineStr"/>
      <c r="N3363" t="inlineStr"/>
      <c r="O3363">
        <f>(1-Summary!$B$11)*T3363+Summary!$B$11*V3363</f>
        <v/>
      </c>
      <c r="P3363">
        <f>IF(B3379=0,0,O3363/B3379)</f>
        <v/>
      </c>
      <c r="Q3363" t="n">
        <v>0</v>
      </c>
      <c r="R3363" t="n">
        <v>0</v>
      </c>
      <c r="S3363">
        <f>IFERROR(O3363/N3363,0)</f>
        <v/>
      </c>
      <c r="T3363" t="n">
        <v>0</v>
      </c>
      <c r="V3363" t="n">
        <v>0</v>
      </c>
    </row>
    <row r="3364">
      <c r="A3364">
        <f>Skills!A30</f>
        <v/>
      </c>
      <c r="B3364">
        <f>Skills!B30</f>
        <v/>
      </c>
      <c r="C3364">
        <f>Inputs!$B$3&gt;=125</f>
        <v/>
      </c>
      <c r="D3364">
        <f>IF(Skills!C30=1,60+Inputs!$B$25+Inputs!$B$29,IF(Skills!C30=2,90+Inputs!$B$26+Inputs!$B$29,IF(Skills!C30=3,120+Inputs!$B$27+Inputs!$B$29,MAX(0,(Inputs!$B$3-100)*3)+Inputs!$B$28+Inputs!$B$29)))</f>
        <v/>
      </c>
      <c r="E3364">
        <f>INDEX(FactorTable!$B$2:$Y$301, MATCH(ROUND(MIN(300,MAX(1,D3364)),0), FactorTable!$A$2:$A$301,0), Skills!M30+1)</f>
        <v/>
      </c>
      <c r="F3364">
        <f>IF(Skills!N30=TRUE,(Skills!L30/10)*(E3364/1000),Skills!L30/10)+Skills!O30</f>
        <v/>
      </c>
      <c r="G3364">
        <f>Skills!G30*IF(Skills!H30&gt;0,Skills!I30/Skills!H30,1)</f>
        <v/>
      </c>
      <c r="H3364">
        <f>1-(1-Skills!J30/100)^Skills!K30</f>
        <v/>
      </c>
      <c r="I3364" t="inlineStr">
        <is>
          <t>1</t>
        </is>
      </c>
      <c r="J3364" t="inlineStr"/>
      <c r="K3364" t="inlineStr"/>
      <c r="L3364" t="inlineStr"/>
      <c r="M3364" t="inlineStr"/>
      <c r="N3364" t="inlineStr"/>
      <c r="O3364">
        <f>(1-Summary!$B$11)*T3364+Summary!$B$11*V3364</f>
        <v/>
      </c>
      <c r="P3364">
        <f>IF(B3379=0,0,O3364/B3379)</f>
        <v/>
      </c>
      <c r="Q3364" t="n">
        <v>0</v>
      </c>
      <c r="R3364" t="n">
        <v>0</v>
      </c>
      <c r="S3364">
        <f>IFERROR(O3364/N3364,0)</f>
        <v/>
      </c>
      <c r="T3364" t="n">
        <v>0</v>
      </c>
      <c r="V3364" t="n">
        <v>0</v>
      </c>
    </row>
    <row r="3366">
      <c r="A3366" t="inlineStr">
        <is>
          <t>Average Buff Multiplier</t>
        </is>
      </c>
      <c r="B3366">
        <f>(1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f>
        <v/>
      </c>
    </row>
    <row r="3367">
      <c r="A3367" t="inlineStr">
        <is>
          <t>Global Crit Rate Bonus %</t>
        </is>
      </c>
      <c r="B3367">
        <f>((C3354=TRUE)*F3354*IF(AND(Inputs!$B$39&lt;&gt;"pvp",Inputs!$B$44&gt;0),(((R3354-1)*(Skills!Y20*(1+Inputs!$B$34/100))+MIN((Skills!Y20*(1+Inputs!$B$34/100)),MAX(0,Inputs!$B$44-((R3354-1)*Skills!D20))))/Inputs!$B$44),IF(Inputs!$B$39="pvp",MIN((Skills!Y20*(1+Inputs!$B$34/100)),15)/15,(Skills!Y20*(1+Inputs!$B$34/100))/Skills!D20)))</f>
        <v/>
      </c>
    </row>
    <row r="3368">
      <c r="A3368" t="inlineStr">
        <is>
          <t>Global Monster Damage-Taken Bonus %</t>
        </is>
      </c>
      <c r="B3368">
        <f>IF(Inputs!$B$3&gt;=82,15,0)</f>
        <v/>
      </c>
    </row>
    <row r="3369">
      <c r="A3369" t="inlineStr">
        <is>
          <t>Shadow Partner Average Multiplier</t>
        </is>
      </c>
      <c r="B3369">
        <f>1+((C3341=TRUE)*F3341*(1+3.3333333333333335*IF(C3352=TRUE,F3352,0)/100)*I3341*Skills!J7/100)/100</f>
        <v/>
      </c>
    </row>
    <row r="3370">
      <c r="A3370" t="inlineStr">
        <is>
          <t>Attack Speed Buff Bonus %</t>
        </is>
      </c>
      <c r="B3370">
        <f>((C3353=TRUE)*F3353*IF(AND(Inputs!$B$39&lt;&gt;"pvp",Inputs!$B$44&gt;0),(((R3353-1)*(Skills!Y19*(1+Inputs!$B$34/100))+MIN((Skills!Y19*(1+Inputs!$B$34/100)),MAX(0,Inputs!$B$44-((R3353-1)*Skills!D19))))/Inputs!$B$44),IF(Inputs!$B$39="pvp",MIN((Skills!Y19*(1+Inputs!$B$34/100)),15)/15,(Skills!Y19*(1+Inputs!$B$34/100))/Skills!D19)))+((C3337=TRUE)*F3337*3)</f>
        <v/>
      </c>
    </row>
    <row r="3371">
      <c r="A3371" t="inlineStr">
        <is>
          <t>Actions Per Second</t>
        </is>
      </c>
      <c r="B3371">
        <f>1+MIN(150,150*(1-(1-(Inputs!$B$11+((C3356=TRUE)*(F3356-Calc!F22)))/150)*(1-B3370/150)))/100</f>
        <v/>
      </c>
    </row>
    <row r="3372">
      <c r="A3372" t="inlineStr">
        <is>
          <t>Skill + Buff Cast Rate</t>
        </is>
      </c>
      <c r="B3372">
        <f>IF(AND(Inputs!$B$39&lt;&gt;"pvp",Inputs!$B$44&gt;0),SUMPRODUCT((Skills!E2:E30=TRUE)*(C3336:C3364=TRUE)*R3336:R3364*Skills!F2:F30)/Inputs!$B$44,SUMPRODUCT((Skills!E2:E30=TRUE)*(C3336:C3364=TRUE)*Q3336:Q3364*Skills!F2:F30))</f>
        <v/>
      </c>
    </row>
    <row r="3373">
      <c r="A3373" t="inlineStr">
        <is>
          <t>Cruel Stab Casts Per Second</t>
        </is>
      </c>
      <c r="B3373">
        <f>MAX(0,B3371-B3372)</f>
        <v/>
      </c>
    </row>
    <row r="3374">
      <c r="A3374" t="inlineStr">
        <is>
          <t>Global Critical Damage Bonus % (Smokescreen Mastery Lv.113)</t>
        </is>
      </c>
      <c r="B3374">
        <f>IF(Inputs!$B$3&gt;=113,30,0)*IF(AND(Inputs!$B$39&lt;&gt;"pvp",Inputs!$B$44&gt;0),(((R3349-1)*(Skills!Y15*(1+Inputs!$B$34/100))+MIN((Skills!Y15*(1+Inputs!$B$34/100)),MAX(0,Inputs!$B$44-((R3349-1)*Skills!D15))))/Inputs!$B$44),IF(Inputs!$B$39="pvp",MIN((Skills!Y15*(1+Inputs!$B$34/100)),15)/15,(Skills!Y15*(1+Inputs!$B$34/100))/Skills!D15))</f>
        <v/>
      </c>
    </row>
    <row r="3375">
      <c r="A3375" t="inlineStr">
        <is>
          <t>Meso Explosion average stack count</t>
        </is>
      </c>
      <c r="B3375">
        <f>MIN(10,0.5*B3371*Skills!D4)</f>
        <v/>
      </c>
    </row>
    <row r="3376">
      <c r="A3376" t="inlineStr">
        <is>
          <t>Blood Money average stack count</t>
        </is>
      </c>
      <c r="B3376">
        <f>MIN(5,0.25*B3371*Skills!D4)</f>
        <v/>
      </c>
    </row>
    <row r="3377">
      <c r="A3377" t="inlineStr">
        <is>
          <t>Assassinate Murderous Intent Multiplier</t>
        </is>
      </c>
      <c r="B3377">
        <f>1+IFERROR(MIN(1,Q3348*2/Q3345),0)</f>
        <v/>
      </c>
    </row>
    <row r="3378">
      <c r="A3378" t="inlineStr">
        <is>
          <t>Buff-Casting Startup Delay (s, fixed-duration only)</t>
        </is>
      </c>
      <c r="B3378">
        <f>IF(AND(Inputs!$B$39&lt;&gt;"pvp",Inputs!$B$44&gt;0),SUMPRODUCT((Skills!Y2:Y30&gt;0)*(Skills!E2:E30=TRUE)*(C3336:C3364=TRUE))/B3371,0)</f>
        <v/>
      </c>
    </row>
    <row r="3379">
      <c r="A3379" s="6" t="inlineStr">
        <is>
          <t>TOTAL DPS</t>
        </is>
      </c>
      <c r="B3379" s="6">
        <f>SUM(O3336:O3364)</f>
        <v/>
      </c>
    </row>
    <row r="3380">
      <c r="A3380" t="inlineStr">
        <is>
          <t>Boss-Only Total DPS (this block's swept value)</t>
        </is>
      </c>
      <c r="B3380">
        <f>SUM(T3336:T3364)</f>
        <v/>
      </c>
    </row>
    <row r="3381">
      <c r="A3381" t="inlineStr">
        <is>
          <t>Normal-Only Total DPS (this block's swept value)</t>
        </is>
      </c>
      <c r="B3381">
        <f>SUM(V3336:V3364)</f>
        <v/>
      </c>
    </row>
    <row r="3384">
      <c r="A3384" s="6" t="inlineStr">
        <is>
          <t>Stat: CDR = 2.0s</t>
        </is>
      </c>
    </row>
    <row r="3385">
      <c r="A3385" s="5" t="inlineStr">
        <is>
          <t>Key</t>
        </is>
      </c>
      <c r="B3385" s="5" t="inlineStr">
        <is>
          <t>Name</t>
        </is>
      </c>
      <c r="C3385" s="5" t="inlineStr">
        <is>
          <t>Unlocked</t>
        </is>
      </c>
      <c r="D3385" s="5" t="inlineStr">
        <is>
          <t>InputLevel</t>
        </is>
      </c>
      <c r="E3385" s="5" t="inlineStr">
        <is>
          <t>Factor</t>
        </is>
      </c>
      <c r="F3385" s="5" t="inlineStr">
        <is>
          <t>CoefficientPercent</t>
        </is>
      </c>
      <c r="G3385" s="5" t="inlineStr">
        <is>
          <t>EffectiveHits</t>
        </is>
      </c>
      <c r="H3385" s="5" t="inlineStr">
        <is>
          <t>ProcProbability</t>
        </is>
      </c>
      <c r="I3385" s="5" t="inlineStr">
        <is>
          <t>MapleHeroMultiplier</t>
        </is>
      </c>
      <c r="J3385" s="5" t="inlineStr">
        <is>
          <t>BaseDamage</t>
        </is>
      </c>
      <c r="K3385" s="5" t="inlineStr">
        <is>
          <t>BaseHitDamage</t>
        </is>
      </c>
      <c r="L3385" s="5" t="inlineStr">
        <is>
          <t>NonCritAvg</t>
        </is>
      </c>
      <c r="M3385" s="5" t="inlineStr">
        <is>
          <t>CritAvg</t>
        </is>
      </c>
      <c r="N3385" s="5" t="inlineStr">
        <is>
          <t>ExpectedDamage(perHit)</t>
        </is>
      </c>
      <c r="O3385" s="5" t="inlineStr">
        <is>
          <t>DPS</t>
        </is>
      </c>
      <c r="P3385" s="5" t="inlineStr">
        <is>
          <t>% of Total</t>
        </is>
      </c>
      <c r="Q3385" s="5" t="inlineStr">
        <is>
          <t>InvCooldown</t>
        </is>
      </c>
      <c r="R3385" s="5" t="inlineStr">
        <is>
          <t>CastsInFight</t>
        </is>
      </c>
      <c r="S3385" s="5" t="inlineStr">
        <is>
          <t>HitRate(perSec)</t>
        </is>
      </c>
      <c r="U3385" t="inlineStr">
        <is>
          <t>helpers</t>
        </is>
      </c>
    </row>
    <row r="3386">
      <c r="A3386">
        <f>Skills!A2</f>
        <v/>
      </c>
      <c r="B3386">
        <f>Skills!B2</f>
        <v/>
      </c>
      <c r="C3386">
        <f>Inputs!$B$3&gt;=100</f>
        <v/>
      </c>
      <c r="D3386" t="inlineStr"/>
      <c r="E3386" t="inlineStr"/>
      <c r="F3386">
        <f>U3388+Skills!O2</f>
        <v/>
      </c>
      <c r="G3386">
        <f>Skills!G2*IF(Skills!H2&gt;0,Skills!I2/Skills!H2,1)</f>
        <v/>
      </c>
      <c r="H3386">
        <f>1-(1-Skills!J2/100)^Skills!K2</f>
        <v/>
      </c>
      <c r="I3386" t="inlineStr">
        <is>
          <t>1</t>
        </is>
      </c>
      <c r="J3386">
        <f>((Inputs!$B$6*(1+Inputs!$B$7/100))+(((Inputs!$B$12*(1+Inputs!$B$13/100))-(Inputs!$B$12*(1+Inputs!$B$13/100)))+0.25*(Inputs!$B$14-Inputs!$B$14))*(1+Inputs!$B$7/100))*(F3386/100)</f>
        <v/>
      </c>
      <c r="K3386">
        <f>J3386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3386)</f>
        <v/>
      </c>
      <c r="L3386">
        <f>K3386*(MIN(Inputs!$B$22+((C3408=TRUE)*(F3408-Calc!F24)),(Inputs!$B$23+((C3413=TRUE)*(F3413-Calc!F29))+IF(ArtifactsInput!$M$15,CHOOSE(ArtifactsInput!$N$15+1,25,30,35,40,45,50)/100*(Inputs!$B$11-Inputs!$B$11),0)))/100+(Inputs!$B$23+((C3413=TRUE)*(F3413-Calc!F29))+IF(ArtifactsInput!$M$15,CHOOSE(ArtifactsInput!$N$15+1,25,30,35,40,45,50)/100*(Inputs!$B$11-Inputs!$B$11),0))/100)/2</f>
        <v/>
      </c>
      <c r="M3386">
        <f>L3386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IF(B3429=0,0,O3386/B3429)</f>
        <v/>
      </c>
      <c r="Q3386" t="n">
        <v>0</v>
      </c>
      <c r="R3386" t="n">
        <v>0</v>
      </c>
      <c r="S3386">
        <f>IFERROR(O3386/N3386,0)</f>
        <v/>
      </c>
      <c r="T3386">
        <f>IF(C3386,(Skills!G2*N3386*B3423)*IF(Inputs!$B$39="pvp",1,1+(Inputs!$B$20+0+Skills!P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3386*(1-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6">
        <f>MAX(0,(Inputs!$B$3-100)*3)+Inputs!$B$28+Inputs!$B$29</f>
        <v/>
      </c>
      <c r="V3386">
        <f>IF(C3386,(Skills!G2*N3386*B3423)*IF(Inputs!$B$39="pvp",1,(1+(Inputs!$B$21+Skills!Q2+B3418+(IF(ArtifactsInput!$M$33,CHOOSE(ArtifactsInput!$N$33+1,30,36,42,48,54,60),0))+(IF(AND(ArtifactsInput!$M$35,Inputs!$B$4&lt;&gt;"Chapter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Skills!A3</f>
        <v/>
      </c>
      <c r="B3387">
        <f>Skills!B3</f>
        <v/>
      </c>
      <c r="C3387">
        <f>Inputs!$B$3&gt;=35</f>
        <v/>
      </c>
      <c r="D3387">
        <f>IF(Skills!C3=1,60+Inputs!$B$25+Inputs!$B$29,IF(Skills!C3=2,90+Inputs!$B$26+Inputs!$B$29,IF(Skills!C3=3,120+Inputs!$B$27+Inputs!$B$29,MAX(0,(Inputs!$B$3-100)*3)+Inputs!$B$28+Inputs!$B$29)))</f>
        <v/>
      </c>
      <c r="E3387">
        <f>INDEX(FactorTable!$B$2:$Y$301, MATCH(ROUND(MIN(300,MAX(1,D3387)),0), FactorTable!$A$2:$A$301,0), Skills!M3+1)</f>
        <v/>
      </c>
      <c r="F3387">
        <f>IF(Skills!N3=TRUE,(Skills!L3/10)*(E3387/1000),Skills!L3/10)+Skills!O3</f>
        <v/>
      </c>
      <c r="G3387">
        <f>Skills!G3*IF(Skills!H3&gt;0,Skills!I3/Skills!H3,1)</f>
        <v/>
      </c>
      <c r="H3387">
        <f>1-(1-Skills!J3/100)^Skills!K3</f>
        <v/>
      </c>
      <c r="I3387" t="inlineStr">
        <is>
          <t>1</t>
        </is>
      </c>
      <c r="J3387" t="inlineStr"/>
      <c r="K3387" t="inlineStr"/>
      <c r="L3387" t="inlineStr"/>
      <c r="M3387" t="inlineStr"/>
      <c r="N3387" t="inlineStr"/>
      <c r="O3387">
        <f>(1-Summary!$B$11)*T3387+Summary!$B$11*V3387</f>
        <v/>
      </c>
      <c r="P3387">
        <f>IF(B3429=0,0,O3387/B3429)</f>
        <v/>
      </c>
      <c r="Q3387" t="n">
        <v>0</v>
      </c>
      <c r="R3387" t="n">
        <v>0</v>
      </c>
      <c r="S3387">
        <f>IFERROR(O3387/N3387,0)</f>
        <v/>
      </c>
      <c r="T3387" t="n">
        <v>0</v>
      </c>
      <c r="U3387">
        <f>INDEX(FactorTable!$B$2:$Y$301, MATCH(ROUND(MIN(300,MAX(1,U3386)),0), FactorTable!$A$2:$A$301,0), 22)</f>
        <v/>
      </c>
      <c r="V3387" t="n">
        <v>0</v>
      </c>
    </row>
    <row r="3388">
      <c r="A3388">
        <f>Skills!A4</f>
        <v/>
      </c>
      <c r="B3388">
        <f>Skills!B4</f>
        <v/>
      </c>
      <c r="C3388">
        <f>Inputs!$B$3&gt;=66</f>
        <v/>
      </c>
      <c r="D3388">
        <f>IF(Skills!C4=1,60+Inputs!$B$25+Inputs!$B$29,IF(Skills!C4=2,90+Inputs!$B$26+Inputs!$B$29,IF(Skills!C4=3,120+Inputs!$B$27+Inputs!$B$29,MAX(0,(Inputs!$B$3-100)*3)+Inputs!$B$28+Inputs!$B$29)))</f>
        <v/>
      </c>
      <c r="E3388">
        <f>INDEX(FactorTable!$B$2:$Y$301, MATCH(ROUND(MIN(300,MAX(1,D3388)),0), FactorTable!$A$2:$A$301,0), Skills!M4+1)</f>
        <v/>
      </c>
      <c r="F3388">
        <f>IF(Skills!N4=TRUE,(Skills!L4/10)*(E3388/1000),Skills!L4/10)+Skills!O4</f>
        <v/>
      </c>
      <c r="G3388">
        <f>Skills!G4*IF(Skills!H4&gt;0,Skills!I4/Skills!H4,1)</f>
        <v/>
      </c>
      <c r="H3388">
        <f>1-(1-Skills!J4/100)^Skills!K4</f>
        <v/>
      </c>
      <c r="I3388" t="inlineStr">
        <is>
          <t>1</t>
        </is>
      </c>
      <c r="J3388">
        <f>((Inputs!$B$6*(1+Inputs!$B$7/100))+(((Inputs!$B$12*(1+Inputs!$B$13/100))-(Inputs!$B$12*(1+Inputs!$B$13/100)))+0.25*(Inputs!$B$14-Inputs!$B$14))*(1+Inputs!$B$7/100))*(F3388/100)</f>
        <v/>
      </c>
      <c r="K3388">
        <f>J3388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3388)</f>
        <v/>
      </c>
      <c r="L3388">
        <f>K3388*(MIN(Inputs!$B$22+((C3408=TRUE)*(F3408-Calc!F24)),(Inputs!$B$23+((C3413=TRUE)*(F3413-Calc!F29))+IF(ArtifactsInput!$M$15,CHOOSE(ArtifactsInput!$N$15+1,25,30,35,40,45,50)/100*(Inputs!$B$11-Inputs!$B$11),0)))/100+(Inputs!$B$23+((C3413=TRUE)*(F3413-Calc!F29))+IF(ArtifactsInput!$M$15,CHOOSE(ArtifactsInput!$N$15+1,25,30,35,40,45,50)/100*(Inputs!$B$11-Inputs!$B$11),0))/100)/2</f>
        <v/>
      </c>
      <c r="M3388">
        <f>L3388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8">
        <f>L3388*(1-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3388*(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8">
        <f>(1-Summary!$B$11)*T3388+Summary!$B$11*V3388</f>
        <v/>
      </c>
      <c r="P3388">
        <f>IF(B3429=0,0,O3388/B3429)</f>
        <v/>
      </c>
      <c r="Q3388">
        <f>IFERROR(1/IF(Inputs!$B$39="pvp",15,MAX(0.1,Skills!D4-IF(Skills!E4=TRUE,2.0,0))),0)</f>
        <v/>
      </c>
      <c r="R3388">
        <f>IF(AND(Inputs!$B$39&lt;&gt;"pvp",Inputs!$B$44&gt;0),IF(MAX(0,Inputs!$B$44-B3428)&lt;=0,0,(INT(MAX(0,Inputs!$B$44-B3428)/IF(Inputs!$B$39="pvp",15,MAX(0.1,Skills!D4-IF(Skills!E4=TRUE,2.0,0))))+1)),0)</f>
        <v/>
      </c>
      <c r="S3388">
        <f>IFERROR(O3388/N3388,0)</f>
        <v/>
      </c>
      <c r="T3388">
        <f>IF(C3388,(H3388*N3388*IF(AND(Inputs!$B$39&lt;&gt;"pvp",Inputs!$B$44&gt;0),((Skills!G4*((R3388-1)*IF(Skills!H4&gt;0,Skills!I4/Skills!H4,1)+IF(Skills!H4&gt;0,MIN(Skills!I4,MAX(0,MAX(0,Inputs!$B$44-B3428)-((R3388-1)*IF(Inputs!$B$39="pvp",15,MAX(0.1,Skills!D4-IF(Skills!E4=TRUE,2.0,0))))))/Skills!H4,1)))/Inputs!$B$44),G3388*Q3388))*IF(Inputs!$B$39="pvp",1,1+(Inputs!$B$20+0+Skills!P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3388*(1-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3388*(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3388*(1-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3388*(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8">
        <f>290*U3387/1000</f>
        <v/>
      </c>
      <c r="V3388">
        <f>IF(C3388,(H3388*N3388*IF(AND(Inputs!$B$39&lt;&gt;"pvp",Inputs!$B$44&gt;0),((Skills!G4*((R3388-1)*IF(Skills!H4&gt;0,Skills!I4/Skills!H4,1)+IF(Skills!H4&gt;0,MIN(Skills!I4,MAX(0,MAX(0,Inputs!$B$44-B3428)-((R3388-1)*IF(Inputs!$B$39="pvp",15,MAX(0.1,Skills!D4-IF(Skills!E4=TRUE,2.0,0))))))/Skills!H4,1)))/Inputs!$B$44),G3388*Q3388))*IF(Inputs!$B$39="pvp",1,(1+(Inputs!$B$21+Skills!Q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(10,0.5*B3421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9">
      <c r="A3389">
        <f>Skills!A5</f>
        <v/>
      </c>
      <c r="B3389">
        <f>Skills!B5</f>
        <v/>
      </c>
      <c r="C3389">
        <f>Inputs!$B$3&gt;=63</f>
        <v/>
      </c>
      <c r="D3389">
        <f>IF(Skills!C5=1,60+Inputs!$B$25+Inputs!$B$29,IF(Skills!C5=2,90+Inputs!$B$26+Inputs!$B$29,IF(Skills!C5=3,120+Inputs!$B$27+Inputs!$B$29,MAX(0,(Inputs!$B$3-100)*3)+Inputs!$B$28+Inputs!$B$29)))</f>
        <v/>
      </c>
      <c r="E3389">
        <f>INDEX(FactorTable!$B$2:$Y$301, MATCH(ROUND(MIN(300,MAX(1,D3389)),0), FactorTable!$A$2:$A$301,0), Skills!M5+1)</f>
        <v/>
      </c>
      <c r="F3389">
        <f>IF(Skills!N5=TRUE,(Skills!L5/10)*(E3389/1000),Skills!L5/10)+Skills!O5</f>
        <v/>
      </c>
      <c r="G3389">
        <f>Skills!G5*IF(Skills!H5&gt;0,Skills!I5/Skills!H5,1)</f>
        <v/>
      </c>
      <c r="H3389">
        <f>1-(1-Skills!J5/100)^Skills!K5</f>
        <v/>
      </c>
      <c r="I3389" t="inlineStr">
        <is>
          <t>1</t>
        </is>
      </c>
      <c r="J3389">
        <f>((Inputs!$B$6*(1+Inputs!$B$7/100))+(((Inputs!$B$12*(1+Inputs!$B$13/100))-(Inputs!$B$12*(1+Inputs!$B$13/100)))+0.25*(Inputs!$B$14-Inputs!$B$14))*(1+Inputs!$B$7/100))*(F3389/100)</f>
        <v/>
      </c>
      <c r="K3389">
        <f>J3389*(1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3402=TRUE,F3402,0)/100)*(1+(IF(Skills!A5="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3389)</f>
        <v/>
      </c>
      <c r="L3389">
        <f>K3389*(MIN(Inputs!$B$22+((C3408=TRUE)*(F3408-Calc!F24)),(Inputs!$B$23+((C3413=TRUE)*(F3413-Calc!F29))+IF(ArtifactsInput!$M$15,CHOOSE(ArtifactsInput!$N$15+1,25,30,35,40,45,50)/100*(Inputs!$B$11-Inputs!$B$11),0)))/100+(Inputs!$B$23+((C3413=TRUE)*(F3413-Calc!F29))+IF(ArtifactsInput!$M$15,CHOOSE(ArtifactsInput!$N$15+1,25,30,35,40,45,50)/100*(Inputs!$B$11-Inputs!$B$11),0))/100)/2</f>
        <v/>
      </c>
      <c r="M3389">
        <f>L3389*(1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9">
        <f>L3389*(1-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3389*(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9">
        <f>(1-Summary!$B$11)*T3389+Summary!$B$11*V3389</f>
        <v/>
      </c>
      <c r="P3389">
        <f>IF(B3429=0,0,O3389/B3429)</f>
        <v/>
      </c>
      <c r="Q3389">
        <f>IFERROR(1/IF(Inputs!$B$39="pvp",15,MAX(0.1,Skills!D5-IF(Skills!E5=TRUE,2.0,0))),0)</f>
        <v/>
      </c>
      <c r="R3389">
        <f>IF(AND(Inputs!$B$39&lt;&gt;"pvp",Inputs!$B$44&gt;0),IF(MAX(0,Inputs!$B$44-B3428)&lt;=0,0,(INT(MAX(0,Inputs!$B$44-B3428)/IF(Inputs!$B$39="pvp",15,MAX(0.1,Skills!D5-IF(Skills!E5=TRUE,2.0,0))))+1)),0)</f>
        <v/>
      </c>
      <c r="S3389">
        <f>IFERROR(O3389/N3389,0)</f>
        <v/>
      </c>
      <c r="T3389">
        <f>IF(C3389,(H3389*N3389*IF(AND(Inputs!$B$39&lt;&gt;"pvp",Inputs!$B$44&gt;0),((Skills!G5*((R3389-1)*IF(Skills!H5&gt;0,Skills!I5/Skills!H5,1)+IF(Skills!H5&gt;0,MIN(Skills!I5,MAX(0,MAX(0,Inputs!$B$44-B3428)-((R3389-1)*IF(Inputs!$B$39="pvp",15,MAX(0.1,Skills!D5-IF(Skills!E5=TRUE,2.0,0))))))/Skills!H5,1)))/Inputs!$B$44),G3389*Q3389))*IF(Inputs!$B$39="pvp",1,1+(Inputs!$B$20+0+Skills!P5+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3389*(1-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3389*(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3389*(1-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3389*(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9">
        <f>IF(C3389,(H3389*N3389*IF(AND(Inputs!$B$39&lt;&gt;"pvp",Inputs!$B$44&gt;0),((Skills!G5*((R3389-1)*IF(Skills!H5&gt;0,Skills!I5/Skills!H5,1)+IF(Skills!H5&gt;0,MIN(Skills!I5,MAX(0,MAX(0,Inputs!$B$44-B3428)-((R3389-1)*IF(Inputs!$B$39="pvp",15,MAX(0.1,Skills!D5-IF(Skills!E5=TRUE,2.0,0))))))/Skills!H5,1)))/Inputs!$B$44),G3389*Q3389))*IF(Inputs!$B$39="pvp",1,(1+(Inputs!$B$21+Skills!Q5+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0">
      <c r="A3390">
        <f>Skills!A6</f>
        <v/>
      </c>
      <c r="B3390">
        <f>Skills!B6</f>
        <v/>
      </c>
      <c r="C3390">
        <f>Inputs!$B$3&gt;=69</f>
        <v/>
      </c>
      <c r="D3390">
        <f>IF(Skills!C6=1,60+Inputs!$B$25+Inputs!$B$29,IF(Skills!C6=2,90+Inputs!$B$26+Inputs!$B$29,IF(Skills!C6=3,120+Inputs!$B$27+Inputs!$B$29,MAX(0,(Inputs!$B$3-100)*3)+Inputs!$B$28+Inputs!$B$29)))</f>
        <v/>
      </c>
      <c r="E3390">
        <f>INDEX(FactorTable!$B$2:$Y$301, MATCH(ROUND(MIN(300,MAX(1,D3390)),0), FactorTable!$A$2:$A$301,0), Skills!M6+1)</f>
        <v/>
      </c>
      <c r="F3390">
        <f>IF(Skills!N6=TRUE,(Skills!L6/10)*(E3390/1000),Skills!L6/10)+Skills!O6</f>
        <v/>
      </c>
      <c r="G3390">
        <f>Skills!G6*IF(Skills!H6&gt;0,Skills!I6/Skills!H6,1)</f>
        <v/>
      </c>
      <c r="H3390">
        <f>1-(1-Skills!J6/100)^Skills!K6</f>
        <v/>
      </c>
      <c r="I3390" t="inlineStr">
        <is>
          <t>1</t>
        </is>
      </c>
      <c r="J3390">
        <f>((Inputs!$B$6*(1+Inputs!$B$7/100))+(((Inputs!$B$12*(1+Inputs!$B$13/100))-(Inputs!$B$12*(1+Inputs!$B$13/100)))+0.25*(Inputs!$B$14-Inputs!$B$14))*(1+Inputs!$B$7/100))*(F3390/100)</f>
        <v/>
      </c>
      <c r="K3390">
        <f>J3390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3402=TRUE,F3402,0)/100)*(1+(IF(Skills!A6="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3390)</f>
        <v/>
      </c>
      <c r="L3390">
        <f>K3390*(MIN(Inputs!$B$22+((C3408=TRUE)*(F3408-Calc!F24)),(Inputs!$B$23+((C3413=TRUE)*(F3413-Calc!F29))+IF(ArtifactsInput!$M$15,CHOOSE(ArtifactsInput!$N$15+1,25,30,35,40,45,50)/100*(Inputs!$B$11-Inputs!$B$11),0)))/100+(Inputs!$B$23+((C3413=TRUE)*(F3413-Calc!F29))+IF(ArtifactsInput!$M$15,CHOOSE(ArtifactsInput!$N$15+1,25,30,35,40,45,50)/100*(Inputs!$B$11-Inputs!$B$11),0))/100)/2</f>
        <v/>
      </c>
      <c r="M3390">
        <f>L3390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0">
        <f>L3390*(1-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3390*(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0">
        <f>(1-Summary!$B$11)*T3390+Summary!$B$11*V3390</f>
        <v/>
      </c>
      <c r="P3390">
        <f>IF(B3429=0,0,O3390/B3429)</f>
        <v/>
      </c>
      <c r="Q3390">
        <f>IFERROR(1/IF(Inputs!$B$39="pvp",15,MAX(0.1,Skills!D6-IF(Skills!E6=TRUE,2.0,0))),0)</f>
        <v/>
      </c>
      <c r="R3390">
        <f>IF(AND(Inputs!$B$39&lt;&gt;"pvp",Inputs!$B$44&gt;0),IF(MAX(0,Inputs!$B$44-B3428)&lt;=0,0,(INT(MAX(0,Inputs!$B$44-B3428)/IF(Inputs!$B$39="pvp",15,MAX(0.1,Skills!D6-IF(Skills!E6=TRUE,2.0,0))))+1)),0)</f>
        <v/>
      </c>
      <c r="S3390">
        <f>IFERROR(O3390/N3390,0)</f>
        <v/>
      </c>
      <c r="T3390">
        <f>IF(C3390,(H3390*N3390*IF(AND(Inputs!$B$39&lt;&gt;"pvp",Inputs!$B$44&gt;0),((Skills!G6*((R3390-1)*IF(Skills!H6&gt;0,Skills!I6/Skills!H6,1)+IF(Skills!H6&gt;0,MIN(Skills!I6,MAX(0,MAX(0,Inputs!$B$44-B3428)-((R3390-1)*IF(Inputs!$B$39="pvp",15,MAX(0.1,Skills!D6-IF(Skills!E6=TRUE,2.0,0))))))/Skills!H6,1)))/Inputs!$B$44),G3390*Q3390))*IF(Inputs!$B$39="pvp",1,1+(Inputs!$B$20+0+Skills!P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3390*(1-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3390*(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3390*(1-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3390*(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0">
        <f>IF(C3390,(H3390*N3390*IF(AND(Inputs!$B$39&lt;&gt;"pvp",Inputs!$B$44&gt;0),((Skills!G6*((R3390-1)*IF(Skills!H6&gt;0,Skills!I6/Skills!H6,1)+IF(Skills!H6&gt;0,MIN(Skills!I6,MAX(0,MAX(0,Inputs!$B$44-B3428)-((R3390-1)*IF(Inputs!$B$39="pvp",15,MAX(0.1,Skills!D6-IF(Skills!E6=TRUE,2.0,0))))))/Skills!H6,1)))/Inputs!$B$44),G3390*Q3390))*IF(Inputs!$B$39="pvp",1,(1+(Inputs!$B$21+Skills!Q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1">
      <c r="A3391">
        <f>Skills!A7</f>
        <v/>
      </c>
      <c r="B3391">
        <f>Skills!B7</f>
        <v/>
      </c>
      <c r="C3391">
        <f>Inputs!$B$3&gt;=60</f>
        <v/>
      </c>
      <c r="D3391">
        <f>IF(Skills!C7=1,60+Inputs!$B$25+Inputs!$B$29,IF(Skills!C7=2,90+Inputs!$B$26+Inputs!$B$29,IF(Skills!C7=3,120+Inputs!$B$27+Inputs!$B$29,MAX(0,(Inputs!$B$3-100)*3)+Inputs!$B$28+Inputs!$B$29)))</f>
        <v/>
      </c>
      <c r="E3391">
        <f>INDEX(FactorTable!$B$2:$Y$301, MATCH(ROUND(MIN(300,MAX(1,D3391)),0), FactorTable!$A$2:$A$301,0), Skills!M7+1)</f>
        <v/>
      </c>
      <c r="F3391">
        <f>IF(Skills!N7=TRUE,(Skills!L7/10)*(E3391/1000),Skills!L7/10)+Skills!O7</f>
        <v/>
      </c>
      <c r="G3391">
        <f>Skills!G7*IF(Skills!H7&gt;0,Skills!I7/Skills!H7,1)</f>
        <v/>
      </c>
      <c r="H3391">
        <f>1-(1-Skills!J7/100)^Skills!K7</f>
        <v/>
      </c>
      <c r="I3391" t="inlineStr">
        <is>
          <t>1</t>
        </is>
      </c>
      <c r="J3391" t="inlineStr"/>
      <c r="K3391" t="inlineStr"/>
      <c r="L3391" t="inlineStr"/>
      <c r="M3391" t="inlineStr"/>
      <c r="N3391" t="inlineStr"/>
      <c r="O3391">
        <f>(1-Summary!$B$11)*T3391+Summary!$B$11*V3391</f>
        <v/>
      </c>
      <c r="P3391">
        <f>IF(B3429=0,0,O3391/B3429)</f>
        <v/>
      </c>
      <c r="Q3391" t="n">
        <v>0</v>
      </c>
      <c r="R3391" t="n">
        <v>0</v>
      </c>
      <c r="S3391">
        <f>IFERROR(O3391/N3391,0)</f>
        <v/>
      </c>
      <c r="T3391" t="n">
        <v>0</v>
      </c>
      <c r="V3391" t="n">
        <v>0</v>
      </c>
    </row>
    <row r="3392">
      <c r="A3392">
        <f>Skills!A8</f>
        <v/>
      </c>
      <c r="B3392">
        <f>Skills!B8</f>
        <v/>
      </c>
      <c r="C3392">
        <f>Inputs!$B$3&gt;=72</f>
        <v/>
      </c>
      <c r="D3392">
        <f>IF(Skills!C8=1,60+Inputs!$B$25+Inputs!$B$29,IF(Skills!C8=2,90+Inputs!$B$26+Inputs!$B$29,IF(Skills!C8=3,120+Inputs!$B$27+Inputs!$B$29,MAX(0,(Inputs!$B$3-100)*3)+Inputs!$B$28+Inputs!$B$29)))</f>
        <v/>
      </c>
      <c r="E3392">
        <f>INDEX(FactorTable!$B$2:$Y$301, MATCH(ROUND(MIN(300,MAX(1,D3392)),0), FactorTable!$A$2:$A$301,0), Skills!M8+1)</f>
        <v/>
      </c>
      <c r="F3392">
        <f>IF(Skills!N8=TRUE,(Skills!L8/10)*(E3392/1000),Skills!L8/10)+Skills!O8</f>
        <v/>
      </c>
      <c r="G3392">
        <f>Skills!G8*IF(Skills!H8&gt;0,Skills!I8/Skills!H8,1)</f>
        <v/>
      </c>
      <c r="H3392">
        <f>1-(1-Skills!J8/100)^Skills!K8</f>
        <v/>
      </c>
      <c r="I3392" t="inlineStr">
        <is>
          <t>1</t>
        </is>
      </c>
      <c r="J3392">
        <f>((Inputs!$B$6*(1+Inputs!$B$7/100))+(((Inputs!$B$12*(1+Inputs!$B$13/100))-(Inputs!$B$12*(1+Inputs!$B$13/100)))+0.25*(Inputs!$B$14-Inputs!$B$14))*(1+Inputs!$B$7/100))*(F3392/100)</f>
        <v/>
      </c>
      <c r="K3392">
        <f>J3392*(1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3402=TRUE,F3402,0)/100)*(1+(IF(Skills!A8="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3392)</f>
        <v/>
      </c>
      <c r="L3392">
        <f>K3392*(MIN(Inputs!$B$22+((C3408=TRUE)*(F3408-Calc!F24)),(Inputs!$B$23+((C3413=TRUE)*(F3413-Calc!F29))+IF(ArtifactsInput!$M$15,CHOOSE(ArtifactsInput!$N$15+1,25,30,35,40,45,50)/100*(Inputs!$B$11-Inputs!$B$11),0)))/100+(Inputs!$B$23+((C3413=TRUE)*(F3413-Calc!F29))+IF(ArtifactsInput!$M$15,CHOOSE(ArtifactsInput!$N$15+1,25,30,35,40,45,50)/100*(Inputs!$B$11-Inputs!$B$11),0))/100)/2</f>
        <v/>
      </c>
      <c r="M3392">
        <f>L3392*(1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2">
        <f>L3392*(1-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3392*(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2">
        <f>(1-Summary!$B$11)*T3392+Summary!$B$11*V3392</f>
        <v/>
      </c>
      <c r="P3392">
        <f>IF(B3429=0,0,O3392/B3429)</f>
        <v/>
      </c>
      <c r="Q3392">
        <f>IFERROR(1/IF(Inputs!$B$39="pvp",15,MAX(0.1,Skills!D8-IF(Skills!E8=TRUE,2.0,0))),0)</f>
        <v/>
      </c>
      <c r="R3392">
        <f>IF(AND(Inputs!$B$39&lt;&gt;"pvp",Inputs!$B$44&gt;0),IF(MAX(0,Inputs!$B$44-B3428)&lt;=0,0,(INT(MAX(0,Inputs!$B$44-B3428)/IF(Inputs!$B$39="pvp",15,MAX(0.1,Skills!D8-IF(Skills!E8=TRUE,2.0,0))))+1)),0)</f>
        <v/>
      </c>
      <c r="S3392">
        <f>IFERROR(O3392/N3392,0)</f>
        <v/>
      </c>
      <c r="T3392">
        <f>IF(C3392,(H3392*N3392*IF(AND(Inputs!$B$39&lt;&gt;"pvp",Inputs!$B$44&gt;0),((Skills!G8*((R3392-1)*IF(Skills!H8&gt;0,Skills!I8/Skills!H8,1)+IF(Skills!H8&gt;0,MIN(Skills!I8,MAX(0,MAX(0,Inputs!$B$44-B3428)-((R3392-1)*IF(Inputs!$B$39="pvp",15,MAX(0.1,Skills!D8-IF(Skills!E8=TRUE,2.0,0))))))/Skills!H8,1)))/Inputs!$B$44),G3392*Q3392))*IF(Inputs!$B$39="pvp",1,1+(Inputs!$B$20+0+Skills!P8+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3392*(1-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3392*(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3392*(1-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3392*(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2">
        <f>IF(C3392,(H3392*N3392*IF(AND(Inputs!$B$39&lt;&gt;"pvp",Inputs!$B$44&gt;0),((Skills!G8*((R3392-1)*IF(Skills!H8&gt;0,Skills!I8/Skills!H8,1)+IF(Skills!H8&gt;0,MIN(Skills!I8,MAX(0,MAX(0,Inputs!$B$44-B3428)-((R3392-1)*IF(Inputs!$B$39="pvp",15,MAX(0.1,Skills!D8-IF(Skills!E8=TRUE,2.0,0))))))/Skills!H8,1)))/Inputs!$B$44),G3392*Q3392))*IF(Inputs!$B$39="pvp",1,(1+(Inputs!$B$21+Skills!Q8+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3">
      <c r="A3393">
        <f>Skills!A9</f>
        <v/>
      </c>
      <c r="B3393">
        <f>Skills!B9</f>
        <v/>
      </c>
      <c r="C3393">
        <f>Inputs!$B$3&gt;=117</f>
        <v/>
      </c>
      <c r="D3393">
        <f>IF(Skills!C9=1,60+Inputs!$B$25+Inputs!$B$29,IF(Skills!C9=2,90+Inputs!$B$26+Inputs!$B$29,IF(Skills!C9=3,120+Inputs!$B$27+Inputs!$B$29,MAX(0,(Inputs!$B$3-100)*3)+Inputs!$B$28+Inputs!$B$29)))</f>
        <v/>
      </c>
      <c r="E3393">
        <f>INDEX(FactorTable!$B$2:$Y$301, MATCH(ROUND(MIN(300,MAX(1,D3393)),0), FactorTable!$A$2:$A$301,0), Skills!M9+1)</f>
        <v/>
      </c>
      <c r="F3393">
        <f>IF(Skills!N9=TRUE,(Skills!L9/10)*(E3393/1000),Skills!L9/10)+Skills!O9</f>
        <v/>
      </c>
      <c r="G3393">
        <f>Skills!G9*IF(Skills!H9&gt;0,Skills!I9/Skills!H9,1)</f>
        <v/>
      </c>
      <c r="H3393">
        <f>1-(1-Skills!J9/100)^Skills!K9</f>
        <v/>
      </c>
      <c r="I3393" t="inlineStr">
        <is>
          <t>1</t>
        </is>
      </c>
      <c r="J3393">
        <f>((Inputs!$B$6*(1+Inputs!$B$7/100))+(((Inputs!$B$12*(1+Inputs!$B$13/100))-(Inputs!$B$12*(1+Inputs!$B$13/100)))+0.25*(Inputs!$B$14-Inputs!$B$14))*(1+Inputs!$B$7/100))*(F3393/100)</f>
        <v/>
      </c>
      <c r="K3393">
        <f>J3393*(1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3393)</f>
        <v/>
      </c>
      <c r="L3393">
        <f>K3393*(MIN(Inputs!$B$22+((C3408=TRUE)*(F3408-Calc!F24)),(Inputs!$B$23+((C3413=TRUE)*(F3413-Calc!F29))+IF(ArtifactsInput!$M$15,CHOOSE(ArtifactsInput!$N$15+1,25,30,35,40,45,50)/100*(Inputs!$B$11-Inputs!$B$11),0)))/100+(Inputs!$B$23+((C3413=TRUE)*(F3413-Calc!F29))+IF(ArtifactsInput!$M$15,CHOOSE(ArtifactsInput!$N$15+1,25,30,35,40,45,50)/100*(Inputs!$B$11-Inputs!$B$11),0))/100)/2</f>
        <v/>
      </c>
      <c r="M3393">
        <f>L3393*(1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3">
        <f>L3393*(1-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3393*(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3">
        <f>(1-Summary!$B$11)*T3393+Summary!$B$11*V3393</f>
        <v/>
      </c>
      <c r="P3393">
        <f>IF(B3429=0,0,O3393/B3429)</f>
        <v/>
      </c>
      <c r="Q3393" t="n">
        <v>0</v>
      </c>
      <c r="R3393" t="n">
        <v>0</v>
      </c>
      <c r="S3393" t="n">
        <v>0</v>
      </c>
      <c r="T3393">
        <f>IF(C3393,(0.2*SUMPRODUCT((Skills!Z2:Z30=TRUE)*(C3386:C3414=TRUE)*S3386:S3414)*N3393)*IF(Inputs!$B$39="pvp",1,1+(Inputs!$B$20+0+Skills!P9+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3393*(1-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3393*(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3393*(1-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3393*(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3">
        <f>IF(C3393,(0.2*SUMPRODUCT((Skills!Z2:Z30=TRUE)*(C3386:C3414=TRUE)*S3386:S3414)*N3393)*IF(Inputs!$B$39="pvp",1,(1+(Inputs!$B$21+Skills!Q9+B3418+(IF(ArtifactsInput!$M$33,CHOOSE(ArtifactsInput!$N$33+1,30,36,42,48,54,60),0))+(IF(AND(ArtifactsInput!$M$35,Inputs!$B$4&lt;&gt;"Chapter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4">
      <c r="A3394">
        <f>Skills!A10</f>
        <v/>
      </c>
      <c r="B3394">
        <f>Skills!B10</f>
        <v/>
      </c>
      <c r="C3394">
        <f>Inputs!$B$3&gt;=74</f>
        <v/>
      </c>
      <c r="D3394">
        <f>IF(Skills!C10=1,60+Inputs!$B$25+Inputs!$B$29,IF(Skills!C10=2,90+Inputs!$B$26+Inputs!$B$29,IF(Skills!C10=3,120+Inputs!$B$27+Inputs!$B$29,MAX(0,(Inputs!$B$3-100)*3)+Inputs!$B$28+Inputs!$B$29)))</f>
        <v/>
      </c>
      <c r="E3394">
        <f>INDEX(FactorTable!$B$2:$Y$301, MATCH(ROUND(MIN(300,MAX(1,D3394)),0), FactorTable!$A$2:$A$301,0), Skills!M10+1)</f>
        <v/>
      </c>
      <c r="F3394">
        <f>IF(Skills!N10=TRUE,(Skills!L10/10)*(E3394/1000),Skills!L10/10)+Skills!O10</f>
        <v/>
      </c>
      <c r="G3394">
        <f>Skills!G10*IF(Skills!H10&gt;0,Skills!I10/Skills!H10,1)</f>
        <v/>
      </c>
      <c r="H3394">
        <f>1-(1-Skills!J10/100)^Skills!K10</f>
        <v/>
      </c>
      <c r="I3394" t="inlineStr">
        <is>
          <t>1</t>
        </is>
      </c>
      <c r="J3394" t="inlineStr"/>
      <c r="K3394" t="inlineStr"/>
      <c r="L3394" t="inlineStr"/>
      <c r="M3394" t="inlineStr"/>
      <c r="N3394" t="inlineStr"/>
      <c r="O3394">
        <f>(1-Summary!$B$11)*T3394+Summary!$B$11*V3394</f>
        <v/>
      </c>
      <c r="P3394">
        <f>IF(B3429=0,0,O3394/B3429)</f>
        <v/>
      </c>
      <c r="Q3394">
        <f>IFERROR(1/IF(Inputs!$B$39="pvp",15,MAX(0.1,Skills!D10-IF(Skills!E10=TRUE,2.0,0))),0)</f>
        <v/>
      </c>
      <c r="R3394">
        <f>IF(AND(Inputs!$B$39&lt;&gt;"pvp",Inputs!$B$44&gt;0),IF(Inputs!$B$44&lt;=0,0,(INT(Inputs!$B$44/IF(Inputs!$B$39="pvp",15,MAX(0.1,Skills!D10-IF(Skills!E10=TRUE,2.0,0))))+1)),0)</f>
        <v/>
      </c>
      <c r="S3394">
        <f>IFERROR(O3394/N3394,0)</f>
        <v/>
      </c>
      <c r="T3394" t="n">
        <v>0</v>
      </c>
      <c r="V3394" t="n">
        <v>0</v>
      </c>
    </row>
    <row r="3395">
      <c r="A3395">
        <f>Skills!A11</f>
        <v/>
      </c>
      <c r="B3395">
        <f>Skills!B11</f>
        <v/>
      </c>
      <c r="C3395">
        <f>Inputs!$B$3&gt;=103</f>
        <v/>
      </c>
      <c r="D3395">
        <f>IF(Skills!C11=1,60+Inputs!$B$25+Inputs!$B$29,IF(Skills!C11=2,90+Inputs!$B$26+Inputs!$B$29,IF(Skills!C11=3,120+Inputs!$B$27+Inputs!$B$29,MAX(0,(Inputs!$B$3-100)*3)+Inputs!$B$28+Inputs!$B$29)))</f>
        <v/>
      </c>
      <c r="E3395">
        <f>INDEX(FactorTable!$B$2:$Y$301, MATCH(ROUND(MIN(300,MAX(1,D3395)),0), FactorTable!$A$2:$A$301,0), Skills!M11+1)</f>
        <v/>
      </c>
      <c r="F3395">
        <f>(Skills!L11/10)*(E3395/1000)+IF(Inputs!$B$3&gt;=134,50,0)+0.5*(30000/10)*(INDEX(FactorTable!$B$2:$Y$301, MATCH(ROUND(MIN(300,MAX(1,D3395)),0), FactorTable!$A$2:$A$301,0), 13)/1000)*B3427</f>
        <v/>
      </c>
      <c r="G3395">
        <f>Skills!G11*IF(Skills!H11&gt;0,Skills!I11/Skills!H11,1)</f>
        <v/>
      </c>
      <c r="H3395">
        <f>1-(1-Skills!J11/100)^Skills!K11</f>
        <v/>
      </c>
      <c r="I3395" t="inlineStr">
        <is>
          <t>1</t>
        </is>
      </c>
      <c r="J3395">
        <f>((Inputs!$B$6*(1+Inputs!$B$7/100))+(((Inputs!$B$12*(1+Inputs!$B$13/100))-(Inputs!$B$12*(1+Inputs!$B$13/100)))+0.25*(Inputs!$B$14-Inputs!$B$14))*(1+Inputs!$B$7/100))*(F3395/100)</f>
        <v/>
      </c>
      <c r="K3395">
        <f>J3395*(1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3395)</f>
        <v/>
      </c>
      <c r="L3395">
        <f>K3395*(MIN(Inputs!$B$22+((C3408=TRUE)*(F3408-Calc!F24)),(Inputs!$B$23+((C3413=TRUE)*(F3413-Calc!F29))+IF(ArtifactsInput!$M$15,CHOOSE(ArtifactsInput!$N$15+1,25,30,35,40,45,50)/100*(Inputs!$B$11-Inputs!$B$11),0)))/100+(Inputs!$B$23+((C3413=TRUE)*(F3413-Calc!F29))+IF(ArtifactsInput!$M$15,CHOOSE(ArtifactsInput!$N$15+1,25,30,35,40,45,50)/100*(Inputs!$B$11-Inputs!$B$11),0))/100)/2</f>
        <v/>
      </c>
      <c r="M3395">
        <f>L3395*(1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5">
        <f>L3395*(1-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3395*(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5">
        <f>(1-Summary!$B$11)*T3395+Summary!$B$11*V3395</f>
        <v/>
      </c>
      <c r="P3395">
        <f>IF(B3429=0,0,O3395/B3429)</f>
        <v/>
      </c>
      <c r="Q3395">
        <f>IFERROR(1/IF(Inputs!$B$39="pvp",15,MAX(0.1,Skills!D11-IF(Skills!E11=TRUE,2.0,0))),0)</f>
        <v/>
      </c>
      <c r="R3395">
        <f>IF(AND(Inputs!$B$39&lt;&gt;"pvp",Inputs!$B$44&gt;0),IF(MAX(0,Inputs!$B$44-B3428)&lt;=0,0,(INT(MAX(0,Inputs!$B$44-B3428)/IF(Inputs!$B$39="pvp",15,MAX(0.1,Skills!D11-IF(Skills!E11=TRUE,2.0,0))))+1)),0)</f>
        <v/>
      </c>
      <c r="S3395">
        <f>IFERROR(O3395/N3395,0)</f>
        <v/>
      </c>
      <c r="T3395">
        <f>IF(C3395,(H3395*N3395*IF(AND(Inputs!$B$39&lt;&gt;"pvp",Inputs!$B$44&gt;0),((Skills!G11*((R3395-1)*IF(Skills!H11&gt;0,Skills!I11/Skills!H11,1)+IF(Skills!H11&gt;0,MIN(Skills!I11,MAX(0,MAX(0,Inputs!$B$44-B3428)-((R3395-1)*IF(Inputs!$B$39="pvp",15,MAX(0.1,Skills!D11-IF(Skills!E11=TRUE,2.0,0))))))/Skills!H11,1)))/Inputs!$B$44),G3395*Q3395))*IF(Inputs!$B$39="pvp",1,1+(Inputs!$B$20+0+Skills!P11+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3395*(1-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3395*(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3395*(1-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3395*(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5">
        <f>IF(C3395,(H3395*N3395*IF(AND(Inputs!$B$39&lt;&gt;"pvp",Inputs!$B$44&gt;0),((Skills!G11*((R3395-1)*IF(Skills!H11&gt;0,Skills!I11/Skills!H11,1)+IF(Skills!H11&gt;0,MIN(Skills!I11,MAX(0,MAX(0,Inputs!$B$44-B3428)-((R3395-1)*IF(Inputs!$B$39="pvp",15,MAX(0.1,Skills!D11-IF(Skills!E11=TRUE,2.0,0))))))/Skills!H11,1)))/Inputs!$B$44),G3395*Q3395))*IF(Inputs!$B$39="pvp",1,(1+(Inputs!$B$21+Skills!Q11+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6">
      <c r="A3396">
        <f>Skills!A12</f>
        <v/>
      </c>
      <c r="B3396">
        <f>Skills!B12</f>
        <v/>
      </c>
      <c r="C3396">
        <f>Inputs!$B$3&gt;=105</f>
        <v/>
      </c>
      <c r="D3396">
        <f>IF(Skills!C12=1,60+Inputs!$B$25+Inputs!$B$29,IF(Skills!C12=2,90+Inputs!$B$26+Inputs!$B$29,IF(Skills!C12=3,120+Inputs!$B$27+Inputs!$B$29,MAX(0,(Inputs!$B$3-100)*3)+Inputs!$B$28+Inputs!$B$29)))</f>
        <v/>
      </c>
      <c r="E3396">
        <f>INDEX(FactorTable!$B$2:$Y$301, MATCH(ROUND(MIN(300,MAX(1,D3396)),0), FactorTable!$A$2:$A$301,0), Skills!M12+1)</f>
        <v/>
      </c>
      <c r="F3396">
        <f>IF(Skills!N12=TRUE,(Skills!L12/10)*(E3396/1000),Skills!L12/10)+Skills!O12</f>
        <v/>
      </c>
      <c r="G3396">
        <f>Skills!G12*IF(Skills!H12&gt;0,Skills!I12/Skills!H12,1)</f>
        <v/>
      </c>
      <c r="H3396">
        <f>1-(1-Skills!J12/100)^Skills!K12</f>
        <v/>
      </c>
      <c r="I3396" t="inlineStr">
        <is>
          <t>1</t>
        </is>
      </c>
      <c r="J3396">
        <f>((Inputs!$B$6*(1+Inputs!$B$7/100))+(((Inputs!$B$12*(1+Inputs!$B$13/100))-(Inputs!$B$12*(1+Inputs!$B$13/100)))+0.25*(Inputs!$B$14-Inputs!$B$14))*(1+Inputs!$B$7/100))*(F3396/100)</f>
        <v/>
      </c>
      <c r="K3396">
        <f>J3396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3396)</f>
        <v/>
      </c>
      <c r="L3396">
        <f>K3396*(MIN(Inputs!$B$22+((C3408=TRUE)*(F3408-Calc!F24)),(Inputs!$B$23+((C3413=TRUE)*(F3413-Calc!F29))+IF(ArtifactsInput!$M$15,CHOOSE(ArtifactsInput!$N$15+1,25,30,35,40,45,50)/100*(Inputs!$B$11-Inputs!$B$11),0)))/100+(Inputs!$B$23+((C3413=TRUE)*(F3413-Calc!F29))+IF(ArtifactsInput!$M$15,CHOOSE(ArtifactsInput!$N$15+1,25,30,35,40,45,50)/100*(Inputs!$B$11-Inputs!$B$11),0))/100)/2</f>
        <v/>
      </c>
      <c r="M3396">
        <f>L3396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6">
        <f>L3396*(1-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3396*(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6">
        <f>(1-Summary!$B$11)*T3396+Summary!$B$11*V3396</f>
        <v/>
      </c>
      <c r="P3396">
        <f>IF(B3429=0,0,O3396/B3429)</f>
        <v/>
      </c>
      <c r="Q3396">
        <f>IFERROR(1/IF(Inputs!$B$39="pvp",15,MAX(0.1,Skills!D12-IF(Skills!E12=TRUE,2.0,0))),0)</f>
        <v/>
      </c>
      <c r="R3396">
        <f>IF(AND(Inputs!$B$39&lt;&gt;"pvp",Inputs!$B$44&gt;0),IF(MAX(0,Inputs!$B$44-B3428)&lt;=0,0,(INT(MAX(0,Inputs!$B$44-B3428)/IF(Inputs!$B$39="pvp",15,MAX(0.1,Skills!D12-IF(Skills!E12=TRUE,2.0,0))))+1)),0)</f>
        <v/>
      </c>
      <c r="S3396">
        <f>IFERROR(O3396/N3396,0)</f>
        <v/>
      </c>
      <c r="T3396">
        <f>IF(C3396,(H3396*N3396*IF(AND(Inputs!$B$39&lt;&gt;"pvp",Inputs!$B$44&gt;0),((Skills!G12*((R3396-1)*IF(Skills!H12&gt;0,Skills!I12/Skills!H12,1)+IF(Skills!H12&gt;0,MIN(Skills!I12,MAX(0,MAX(0,Inputs!$B$44-B3428)-((R3396-1)*IF(Inputs!$B$39="pvp",15,MAX(0.1,Skills!D12-IF(Skills!E12=TRUE,2.0,0))))))/Skills!H12,1)))/Inputs!$B$44),G3396*Q3396))*IF(Inputs!$B$39="pvp",1,1+(Inputs!$B$20+0+Skills!P12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3396*(1-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3396*(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3396*(1-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3396*(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6">
        <f>IF(C3396,(H3396*N3396*IF(AND(Inputs!$B$39&lt;&gt;"pvp",Inputs!$B$44&gt;0),((Skills!G12*((R3396-1)*IF(Skills!H12&gt;0,Skills!I12/Skills!H12,1)+IF(Skills!H12&gt;0,MIN(Skills!I12,MAX(0,MAX(0,Inputs!$B$44-B3428)-((R3396-1)*IF(Inputs!$B$39="pvp",15,MAX(0.1,Skills!D12-IF(Skills!E12=TRUE,2.0,0))))))/Skills!H12,1)))/Inputs!$B$44),G3396*Q3396))*IF(Inputs!$B$39="pvp",1,(1+(Inputs!$B$21+Skills!Q12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7">
      <c r="A3397">
        <f>Skills!A13</f>
        <v/>
      </c>
      <c r="B3397">
        <f>Skills!B13</f>
        <v/>
      </c>
      <c r="C3397">
        <f>Inputs!$B$3&gt;=105</f>
        <v/>
      </c>
      <c r="D3397">
        <f>IF(Skills!C13=1,60+Inputs!$B$25+Inputs!$B$29,IF(Skills!C13=2,90+Inputs!$B$26+Inputs!$B$29,IF(Skills!C13=3,120+Inputs!$B$27+Inputs!$B$29,MAX(0,(Inputs!$B$3-100)*3)+Inputs!$B$28+Inputs!$B$29)))</f>
        <v/>
      </c>
      <c r="E3397">
        <f>INDEX(FactorTable!$B$2:$Y$301, MATCH(ROUND(MIN(300,MAX(1,D3397)),0), FactorTable!$A$2:$A$301,0), Skills!M13+1)</f>
        <v/>
      </c>
      <c r="F3397">
        <f>IF(Skills!N13=TRUE,(Skills!L13/10)*(E3397/1000),Skills!L13/10)+Skills!O13</f>
        <v/>
      </c>
      <c r="G3397">
        <f>Skills!G13*IF(Skills!H13&gt;0,Skills!I13/Skills!H13,1)</f>
        <v/>
      </c>
      <c r="H3397">
        <f>1-(1-Skills!J13/100)^Skills!K13</f>
        <v/>
      </c>
      <c r="I3397" t="inlineStr">
        <is>
          <t>1</t>
        </is>
      </c>
      <c r="J3397">
        <f>((Inputs!$B$6*(1+Inputs!$B$7/100))+(((Inputs!$B$12*(1+Inputs!$B$13/100))-(Inputs!$B$12*(1+Inputs!$B$13/100)))+0.25*(Inputs!$B$14-Inputs!$B$14))*(1+Inputs!$B$7/100))*(F3397/100)</f>
        <v/>
      </c>
      <c r="K3397">
        <f>J3397*(1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3397)</f>
        <v/>
      </c>
      <c r="L3397">
        <f>K3397*(MIN(Inputs!$B$22+((C3408=TRUE)*(F3408-Calc!F24)),(Inputs!$B$23+((C3413=TRUE)*(F3413-Calc!F29))+IF(ArtifactsInput!$M$15,CHOOSE(ArtifactsInput!$N$15+1,25,30,35,40,45,50)/100*(Inputs!$B$11-Inputs!$B$11),0)))/100+(Inputs!$B$23+((C3413=TRUE)*(F3413-Calc!F29))+IF(ArtifactsInput!$M$15,CHOOSE(ArtifactsInput!$N$15+1,25,30,35,40,45,50)/100*(Inputs!$B$11-Inputs!$B$11),0))/100)/2</f>
        <v/>
      </c>
      <c r="M3397">
        <f>L3397*(1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7">
        <f>L3397*(1-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3397*(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7">
        <f>(1-Summary!$B$11)*T3397+Summary!$B$11*V3397</f>
        <v/>
      </c>
      <c r="P3397">
        <f>IF(B3429=0,0,O3397/B3429)</f>
        <v/>
      </c>
      <c r="Q3397">
        <f>IFERROR(1/IF(Inputs!$B$39="pvp",15,MAX(0.1,Skills!D13-IF(Skills!E13=TRUE,2.0,0))),0)</f>
        <v/>
      </c>
      <c r="R3397">
        <f>IF(AND(Inputs!$B$39&lt;&gt;"pvp",Inputs!$B$44&gt;0),IF(MAX(0,Inputs!$B$44-B3428)&lt;=0,0,(INT(MAX(0,Inputs!$B$44-B3428)/IF(Inputs!$B$39="pvp",15,MAX(0.1,Skills!D13-IF(Skills!E13=TRUE,2.0,0))))+1)),0)</f>
        <v/>
      </c>
      <c r="S3397">
        <f>IFERROR(O3397/N3397,0)</f>
        <v/>
      </c>
      <c r="T3397">
        <f>IF(C3397,(H3397*N3397*IF(AND(Inputs!$B$39&lt;&gt;"pvp",Inputs!$B$44&gt;0),((Skills!G13*((R3397-1)*IF(Skills!H13&gt;0,Skills!I13/Skills!H13,1)+IF(Skills!H13&gt;0,MIN(Skills!I13,MAX(0,MAX(0,Inputs!$B$44-B3428)-((R3397-1)*IF(Inputs!$B$39="pvp",15,MAX(0.1,Skills!D13-IF(Skills!E13=TRUE,2.0,0))))))/Skills!H13,1)))/Inputs!$B$44),G3397*Q3397))*IF(Inputs!$B$39="pvp",1,1+(Inputs!$B$20+0+Skills!P13+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3397*(1-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3397*(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3397*(1-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3397*(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7">
        <f>IF(C3397,(H3397*N3397*IF(AND(Inputs!$B$39&lt;&gt;"pvp",Inputs!$B$44&gt;0),((Skills!G13*((R3397-1)*IF(Skills!H13&gt;0,Skills!I13/Skills!H13,1)+IF(Skills!H13&gt;0,MIN(Skills!I13,MAX(0,MAX(0,Inputs!$B$44-B3428)-((R3397-1)*IF(Inputs!$B$39="pvp",15,MAX(0.1,Skills!D13-IF(Skills!E13=TRUE,2.0,0))))))/Skills!H13,1)))/Inputs!$B$44),G3397*Q3397))*IF(Inputs!$B$39="pvp",1,(1+(Inputs!$B$21+Skills!Q13+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8">
      <c r="A3398">
        <f>Skills!A14</f>
        <v/>
      </c>
      <c r="B3398">
        <f>Skills!B14</f>
        <v/>
      </c>
      <c r="C3398">
        <f>Inputs!$B$3&gt;=107</f>
        <v/>
      </c>
      <c r="D3398">
        <f>IF(Skills!C14=1,60+Inputs!$B$25+Inputs!$B$29,IF(Skills!C14=2,90+Inputs!$B$26+Inputs!$B$29,IF(Skills!C14=3,120+Inputs!$B$27+Inputs!$B$29,MAX(0,(Inputs!$B$3-100)*3)+Inputs!$B$28+Inputs!$B$29)))</f>
        <v/>
      </c>
      <c r="E3398">
        <f>INDEX(FactorTable!$B$2:$Y$301, MATCH(ROUND(MIN(300,MAX(1,D3398)),0), FactorTable!$A$2:$A$301,0), Skills!M14+1)</f>
        <v/>
      </c>
      <c r="F3398">
        <f>IF(Skills!N14=TRUE,(Skills!L14/10)*(E3398/1000),Skills!L14/10)+Skills!O14</f>
        <v/>
      </c>
      <c r="G3398">
        <f>Skills!G14*IF(Skills!H14&gt;0,Skills!I14/Skills!H14,1)</f>
        <v/>
      </c>
      <c r="H3398">
        <f>1-(1-Skills!J14/100)^Skills!K14</f>
        <v/>
      </c>
      <c r="I3398" t="inlineStr">
        <is>
          <t>1</t>
        </is>
      </c>
      <c r="J3398">
        <f>((Inputs!$B$6*(1+Inputs!$B$7/100))+(((Inputs!$B$12*(1+Inputs!$B$13/100))-(Inputs!$B$12*(1+Inputs!$B$13/100)))+0.25*(Inputs!$B$14-Inputs!$B$14))*(1+Inputs!$B$7/100))*(F3398/100)</f>
        <v/>
      </c>
      <c r="K3398">
        <f>J3398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3398)</f>
        <v/>
      </c>
      <c r="L3398">
        <f>K3398*(MIN(Inputs!$B$22+((C3408=TRUE)*(F3408-Calc!F24)),(Inputs!$B$23+((C3413=TRUE)*(F3413-Calc!F29))+IF(ArtifactsInput!$M$15,CHOOSE(ArtifactsInput!$N$15+1,25,30,35,40,45,50)/100*(Inputs!$B$11-Inputs!$B$11),0)))/100+(Inputs!$B$23+((C3413=TRUE)*(F3413-Calc!F29))+IF(ArtifactsInput!$M$15,CHOOSE(ArtifactsInput!$N$15+1,25,30,35,40,45,50)/100*(Inputs!$B$11-Inputs!$B$11),0))/100)/2</f>
        <v/>
      </c>
      <c r="M3398">
        <f>L3398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8">
        <f>L3398*(1-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3398*(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8">
        <f>(1-Summary!$B$11)*T3398+Summary!$B$11*V3398</f>
        <v/>
      </c>
      <c r="P3398">
        <f>IF(B3429=0,0,O3398/B3429)</f>
        <v/>
      </c>
      <c r="Q3398">
        <f>IFERROR(1/IF(Inputs!$B$39="pvp",15,MAX(0.1,Skills!D14-IF(Skills!E14=TRUE,2.0,0))),0)</f>
        <v/>
      </c>
      <c r="R3398">
        <f>IF(AND(Inputs!$B$39&lt;&gt;"pvp",Inputs!$B$44&gt;0),IF(MAX(0,Inputs!$B$44-B3428)&lt;=0,0,(INT(MAX(0,Inputs!$B$44-B3428)/IF(Inputs!$B$39="pvp",15,MAX(0.1,Skills!D14-IF(Skills!E14=TRUE,2.0,0))))+1)),0)</f>
        <v/>
      </c>
      <c r="S3398">
        <f>IFERROR(O3398/N3398,0)</f>
        <v/>
      </c>
      <c r="T3398">
        <f>IF(C3398,(H3398*N3398*IF(AND(Inputs!$B$39&lt;&gt;"pvp",Inputs!$B$44&gt;0),((Skills!G14*((R3398-1)*IF(Skills!H14&gt;0,Skills!I14/Skills!H14,1)+IF(Skills!H14&gt;0,MIN(Skills!I14,MAX(0,MAX(0,Inputs!$B$44-B3428)-((R3398-1)*IF(Inputs!$B$39="pvp",15,MAX(0.1,Skills!D14-IF(Skills!E14=TRUE,2.0,0))))))/Skills!H14,1)))/Inputs!$B$44),G3398*Q3398))*IF(Inputs!$B$39="pvp",1,1+(Inputs!$B$20+0+Skills!P14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3398*(1-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3398*(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3398*(1-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3398*(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8">
        <f>IF(C3398,(H3398*N3398*IF(AND(Inputs!$B$39&lt;&gt;"pvp",Inputs!$B$44&gt;0),((Skills!G14*((R3398-1)*IF(Skills!H14&gt;0,Skills!I14/Skills!H14,1)+IF(Skills!H14&gt;0,MIN(Skills!I14,MAX(0,MAX(0,Inputs!$B$44-B3428)-((R3398-1)*IF(Inputs!$B$39="pvp",15,MAX(0.1,Skills!D14-IF(Skills!E14=TRUE,2.0,0))))))/Skills!H14,1)))/Inputs!$B$44),G3398*Q3398))*IF(Inputs!$B$39="pvp",1,(1+(Inputs!$B$21+Skills!Q14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(5,0.25*B3421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9">
      <c r="A3399">
        <f>Skills!A15</f>
        <v/>
      </c>
      <c r="B3399">
        <f>Skills!B15</f>
        <v/>
      </c>
      <c r="C3399">
        <f>Inputs!$B$3&gt;=110</f>
        <v/>
      </c>
      <c r="D3399">
        <f>IF(Skills!C15=1,60+Inputs!$B$25+Inputs!$B$29,IF(Skills!C15=2,90+Inputs!$B$26+Inputs!$B$29,IF(Skills!C15=3,120+Inputs!$B$27+Inputs!$B$29,MAX(0,(Inputs!$B$3-100)*3)+Inputs!$B$28+Inputs!$B$29)))</f>
        <v/>
      </c>
      <c r="E3399">
        <f>INDEX(FactorTable!$B$2:$Y$301, MATCH(ROUND(MIN(300,MAX(1,D3399)),0), FactorTable!$A$2:$A$301,0), Skills!M15+1)</f>
        <v/>
      </c>
      <c r="F3399">
        <f>IF(Skills!N15=TRUE,(Skills!L15/10)*(E3399/1000),Skills!L15/10)+Skills!O15</f>
        <v/>
      </c>
      <c r="G3399">
        <f>Skills!G15*IF(Skills!H15&gt;0,Skills!I15/Skills!H15,1)</f>
        <v/>
      </c>
      <c r="H3399">
        <f>1-(1-Skills!J15/100)^Skills!K15</f>
        <v/>
      </c>
      <c r="I3399" t="inlineStr">
        <is>
          <t>1</t>
        </is>
      </c>
      <c r="J3399" t="inlineStr"/>
      <c r="K3399" t="inlineStr"/>
      <c r="L3399" t="inlineStr"/>
      <c r="M3399" t="inlineStr"/>
      <c r="N3399" t="inlineStr"/>
      <c r="O3399">
        <f>(1-Summary!$B$11)*T3399+Summary!$B$11*V3399</f>
        <v/>
      </c>
      <c r="P3399">
        <f>IF(B3429=0,0,O3399/B3429)</f>
        <v/>
      </c>
      <c r="Q3399">
        <f>IFERROR(1/IF(Inputs!$B$39="pvp",15,MAX(0.1,Skills!D15-IF(Skills!E15=TRUE,2.0,0))),0)</f>
        <v/>
      </c>
      <c r="R3399">
        <f>IF(AND(Inputs!$B$39&lt;&gt;"pvp",Inputs!$B$44&gt;0),IF(Inputs!$B$44&lt;=0,0,(INT(Inputs!$B$44/IF(Inputs!$B$39="pvp",15,MAX(0.1,Skills!D15-IF(Skills!E15=TRUE,2.0,0))))+1)),0)</f>
        <v/>
      </c>
      <c r="S3399">
        <f>IFERROR(O3399/N3399,0)</f>
        <v/>
      </c>
      <c r="T3399" t="n">
        <v>0</v>
      </c>
      <c r="V3399" t="n">
        <v>0</v>
      </c>
    </row>
    <row r="3400">
      <c r="A3400">
        <f>Skills!A16</f>
        <v/>
      </c>
      <c r="B3400">
        <f>Skills!B16</f>
        <v/>
      </c>
      <c r="C3400">
        <f>Inputs!$B$3&gt;=115</f>
        <v/>
      </c>
      <c r="D3400">
        <f>IF(Skills!C16=1,60+Inputs!$B$25+Inputs!$B$29,IF(Skills!C16=2,90+Inputs!$B$26+Inputs!$B$29,IF(Skills!C16=3,120+Inputs!$B$27+Inputs!$B$29,MAX(0,(Inputs!$B$3-100)*3)+Inputs!$B$28+Inputs!$B$29)))</f>
        <v/>
      </c>
      <c r="E3400">
        <f>INDEX(FactorTable!$B$2:$Y$301, MATCH(ROUND(MIN(300,MAX(1,D3400)),0), FactorTable!$A$2:$A$301,0), Skills!M16+1)</f>
        <v/>
      </c>
      <c r="F3400">
        <f>IF(Skills!N16=TRUE,(Skills!L16/10)*(E3400/1000),Skills!L16/10)+Skills!O16</f>
        <v/>
      </c>
      <c r="G3400">
        <f>Skills!G16*IF(Skills!H16&gt;0,Skills!I16/Skills!H16,1)</f>
        <v/>
      </c>
      <c r="H3400">
        <f>1-(1-Skills!J16/100)^Skills!K16</f>
        <v/>
      </c>
      <c r="I3400" t="inlineStr">
        <is>
          <t>1</t>
        </is>
      </c>
      <c r="J3400">
        <f>((Inputs!$B$6*(1+Inputs!$B$7/100))+(((Inputs!$B$12*(1+Inputs!$B$13/100))-(Inputs!$B$12*(1+Inputs!$B$13/100)))+0.25*(Inputs!$B$14-Inputs!$B$14))*(1+Inputs!$B$7/100))*(F3400/100)</f>
        <v/>
      </c>
      <c r="K3400">
        <f>J3400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3411=TRUE)*(F3411-Calc!F27))+((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3400)</f>
        <v/>
      </c>
      <c r="L3400">
        <f>K3400*(MIN(Inputs!$B$22+((C3408=TRUE)*(F3408-Calc!F24)),(Inputs!$B$23+((C3413=TRUE)*(F3413-Calc!F29))+IF(ArtifactsInput!$M$15,CHOOSE(ArtifactsInput!$N$15+1,25,30,35,40,45,50)/100*(Inputs!$B$11-Inputs!$B$11),0)))/100+(Inputs!$B$23+((C3413=TRUE)*(F3413-Calc!F29))+IF(ArtifactsInput!$M$15,CHOOSE(ArtifactsInput!$N$15+1,25,30,35,40,45,50)/100*(Inputs!$B$11-Inputs!$B$11),0))/100)/2</f>
        <v/>
      </c>
      <c r="M3400">
        <f>L3400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0">
        <f>L3400*(1-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3400*(MIN((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0">
        <f>(1-Summary!$B$11)*T3400+Summary!$B$11*V3400</f>
        <v/>
      </c>
      <c r="P3400">
        <f>IF(B3429=0,0,O3400/B3429)</f>
        <v/>
      </c>
      <c r="Q3400" t="n">
        <v>0</v>
      </c>
      <c r="R3400" t="n">
        <v>0</v>
      </c>
      <c r="S3400">
        <f>IFERROR(O3400/N3400,0)</f>
        <v/>
      </c>
      <c r="T3400">
        <f>IF(C3400,(Inputs!$B$38*0.2*N3400)*IF(Inputs!$B$39="pvp",1,1+(Inputs!$B$20+0+Skills!P16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3400*(1-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3400*(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3400*(1-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3400*(MIN(100,(Inputs!$B$9+((C3409=TRUE)*(F3409-Calc!F25))+B3417+(ArtifactsInput!$M$24-ArtifactsInput!$M$24)*CHOOSE(ArtifactsInput!$N$24+1,10,12,14,16,18,20)+(IF(AND(Inputs!$B$39&lt;&gt;"pvp",Inputs!$B$44=0),1,IF(IF(Inputs!$B$39="pvp",15,Inputs!$B$44)-(B3428)&lt;=0,1,MAX(0,IF(Inputs!$B$39="pvp",15,Inputs!$B$44)-MAX(5,B3428))/(IF(Inputs!$B$39="pvp",15,Inputs!$B$44)-(B3428))))*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0">
        <f>IF(C3400,(Inputs!$B$38*0.2*N3400)*IF(Inputs!$B$39="pvp",1,(1+(Inputs!$B$21+Skills!Q16+B3418+(IF(ArtifactsInput!$M$33,CHOOSE(ArtifactsInput!$N$33+1,30,36,42,48,54,60),0))+(IF(AND(ArtifactsInput!$M$35,Inputs!$B$4&lt;&gt;"Chapter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1">
      <c r="A3401">
        <f>Skills!A17</f>
        <v/>
      </c>
      <c r="B3401">
        <f>Skills!B17</f>
        <v/>
      </c>
      <c r="C3401">
        <f>Inputs!$B$3&gt;=115</f>
        <v/>
      </c>
      <c r="D3401">
        <f>IF(Skills!C17=1,60+Inputs!$B$25+Inputs!$B$29,IF(Skills!C17=2,90+Inputs!$B$26+Inputs!$B$29,IF(Skills!C17=3,120+Inputs!$B$27+Inputs!$B$29,MAX(0,(Inputs!$B$3-100)*3)+Inputs!$B$28+Inputs!$B$29)))</f>
        <v/>
      </c>
      <c r="E3401">
        <f>INDEX(FactorTable!$B$2:$Y$301, MATCH(ROUND(MIN(300,MAX(1,D3401)),0), FactorTable!$A$2:$A$301,0), Skills!M17+1)</f>
        <v/>
      </c>
      <c r="F3401">
        <f>IF(Skills!N17=TRUE,(Skills!L17/10)*(E3401/1000),Skills!L17/10)+Skills!O17</f>
        <v/>
      </c>
      <c r="G3401">
        <f>Skills!G17*IF(Skills!H17&gt;0,Skills!I17/Skills!H17,1)</f>
        <v/>
      </c>
      <c r="H3401">
        <f>1-(1-Skills!J17/100)^Skills!K17</f>
        <v/>
      </c>
      <c r="I3401" t="inlineStr">
        <is>
          <t>1</t>
        </is>
      </c>
      <c r="J3401" t="inlineStr"/>
      <c r="K3401" t="inlineStr"/>
      <c r="L3401" t="inlineStr"/>
      <c r="M3401" t="inlineStr"/>
      <c r="N3401" t="inlineStr"/>
      <c r="O3401">
        <f>(1-Summary!$B$11)*T3401+Summary!$B$11*V3401</f>
        <v/>
      </c>
      <c r="P3401">
        <f>IF(B3429=0,0,O3401/B3429)</f>
        <v/>
      </c>
      <c r="Q3401" t="n">
        <v>0</v>
      </c>
      <c r="R3401" t="n">
        <v>0</v>
      </c>
      <c r="S3401">
        <f>IFERROR(O3401/N3401,0)</f>
        <v/>
      </c>
      <c r="T3401" t="n">
        <v>0</v>
      </c>
      <c r="V3401" t="n">
        <v>0</v>
      </c>
    </row>
    <row r="3402">
      <c r="A3402">
        <f>Skills!A18</f>
        <v/>
      </c>
      <c r="B3402">
        <f>Skills!B18</f>
        <v/>
      </c>
      <c r="C3402">
        <f>Inputs!$B$3&gt;=100</f>
        <v/>
      </c>
      <c r="D3402">
        <f>IF(Skills!C18=1,60+Inputs!$B$25+Inputs!$B$29,IF(Skills!C18=2,90+Inputs!$B$26+Inputs!$B$29,IF(Skills!C18=3,120+Inputs!$B$27+Inputs!$B$29,MAX(0,(Inputs!$B$3-100)*3)+Inputs!$B$28+Inputs!$B$29)))</f>
        <v/>
      </c>
      <c r="E3402">
        <f>INDEX(FactorTable!$B$2:$Y$301, MATCH(ROUND(MIN(300,MAX(1,D3402)),0), FactorTable!$A$2:$A$301,0), Skills!M18+1)</f>
        <v/>
      </c>
      <c r="F3402">
        <f>IF(Skills!N18=TRUE,(Skills!L18/10)*(E3402/1000),Skills!L18/10)+Skills!O18</f>
        <v/>
      </c>
      <c r="G3402">
        <f>Skills!G18*IF(Skills!H18&gt;0,Skills!I18/Skills!H18,1)</f>
        <v/>
      </c>
      <c r="H3402">
        <f>1-(1-Skills!J18/100)^Skills!K18</f>
        <v/>
      </c>
      <c r="I3402" t="inlineStr">
        <is>
          <t>1</t>
        </is>
      </c>
      <c r="J3402" t="inlineStr"/>
      <c r="K3402" t="inlineStr"/>
      <c r="L3402" t="inlineStr"/>
      <c r="M3402" t="inlineStr"/>
      <c r="N3402" t="inlineStr"/>
      <c r="O3402">
        <f>(1-Summary!$B$11)*T3402+Summary!$B$11*V3402</f>
        <v/>
      </c>
      <c r="P3402">
        <f>IF(B3429=0,0,O3402/B3429)</f>
        <v/>
      </c>
      <c r="Q3402" t="n">
        <v>0</v>
      </c>
      <c r="R3402" t="n">
        <v>0</v>
      </c>
      <c r="S3402">
        <f>IFERROR(O3402/N3402,0)</f>
        <v/>
      </c>
      <c r="T3402" t="n">
        <v>0</v>
      </c>
      <c r="V3402" t="n">
        <v>0</v>
      </c>
    </row>
    <row r="3403">
      <c r="A3403">
        <f>Skills!A19</f>
        <v/>
      </c>
      <c r="B3403">
        <f>Skills!B19</f>
        <v/>
      </c>
      <c r="C3403">
        <f>TRUE</f>
        <v/>
      </c>
      <c r="D3403">
        <f>IF(Skills!C19=1,60+Inputs!$B$25+Inputs!$B$29,IF(Skills!C19=2,90+Inputs!$B$26+Inputs!$B$29,IF(Skills!C19=3,120+Inputs!$B$27+Inputs!$B$29,MAX(0,(Inputs!$B$3-100)*3)+Inputs!$B$28+Inputs!$B$29)))</f>
        <v/>
      </c>
      <c r="E3403">
        <f>INDEX(FactorTable!$B$2:$Y$301, MATCH(ROUND(MIN(300,MAX(1,D3403)),0), FactorTable!$A$2:$A$301,0), Skills!M19+1)</f>
        <v/>
      </c>
      <c r="F3403">
        <f>IF(Skills!N19=TRUE,(Skills!L19/10)*(E3403/1000),Skills!L19/10)+Skills!O19</f>
        <v/>
      </c>
      <c r="G3403">
        <f>Skills!G19*IF(Skills!H19&gt;0,Skills!I19/Skills!H19,1)</f>
        <v/>
      </c>
      <c r="H3403">
        <f>1-(1-Skills!J19/100)^Skills!K19</f>
        <v/>
      </c>
      <c r="I3403" t="inlineStr">
        <is>
          <t>1</t>
        </is>
      </c>
      <c r="J3403" t="inlineStr"/>
      <c r="K3403" t="inlineStr"/>
      <c r="L3403" t="inlineStr"/>
      <c r="M3403" t="inlineStr"/>
      <c r="N3403" t="inlineStr"/>
      <c r="O3403">
        <f>(1-Summary!$B$11)*T3403+Summary!$B$11*V3403</f>
        <v/>
      </c>
      <c r="P3403">
        <f>IF(B3429=0,0,O3403/B3429)</f>
        <v/>
      </c>
      <c r="Q3403">
        <f>IFERROR(1/IF(Inputs!$B$39="pvp",15,MAX(0.1,Skills!D19-IF(Skills!E19=TRUE,2.0,0))),0)</f>
        <v/>
      </c>
      <c r="R3403">
        <f>IF(AND(Inputs!$B$39&lt;&gt;"pvp",Inputs!$B$44&gt;0),IF(Inputs!$B$44&lt;=0,0,(INT(Inputs!$B$44/IF(Inputs!$B$39="pvp",15,MAX(0.1,Skills!D19-IF(Skills!E19=TRUE,2.0,0))))+1)),0)</f>
        <v/>
      </c>
      <c r="S3403">
        <f>IFERROR(O3403/N3403,0)</f>
        <v/>
      </c>
      <c r="T3403" t="n">
        <v>0</v>
      </c>
      <c r="V3403" t="n">
        <v>0</v>
      </c>
    </row>
    <row r="3404">
      <c r="A3404">
        <f>Skills!A20</f>
        <v/>
      </c>
      <c r="B3404">
        <f>Skills!B20</f>
        <v/>
      </c>
      <c r="C3404">
        <f>Inputs!$B$3&gt;=15</f>
        <v/>
      </c>
      <c r="D3404">
        <f>IF(Skills!C20=1,60+Inputs!$B$25+Inputs!$B$29,IF(Skills!C20=2,90+Inputs!$B$26+Inputs!$B$29,IF(Skills!C20=3,120+Inputs!$B$27+Inputs!$B$29,MAX(0,(Inputs!$B$3-100)*3)+Inputs!$B$28+Inputs!$B$29)))</f>
        <v/>
      </c>
      <c r="E3404">
        <f>INDEX(FactorTable!$B$2:$Y$301, MATCH(ROUND(MIN(300,MAX(1,D3404)),0), FactorTable!$A$2:$A$301,0), Skills!M20+1)</f>
        <v/>
      </c>
      <c r="F3404">
        <f>IF(Skills!N20=TRUE,(Skills!L20/10)*(E3404/1000),Skills!L20/10)+Skills!O20</f>
        <v/>
      </c>
      <c r="G3404">
        <f>Skills!G20*IF(Skills!H20&gt;0,Skills!I20/Skills!H20,1)</f>
        <v/>
      </c>
      <c r="H3404">
        <f>1-(1-Skills!J20/100)^Skills!K20</f>
        <v/>
      </c>
      <c r="I3404" t="inlineStr">
        <is>
          <t>1</t>
        </is>
      </c>
      <c r="J3404" t="inlineStr"/>
      <c r="K3404" t="inlineStr"/>
      <c r="L3404" t="inlineStr"/>
      <c r="M3404" t="inlineStr"/>
      <c r="N3404" t="inlineStr"/>
      <c r="O3404">
        <f>(1-Summary!$B$11)*T3404+Summary!$B$11*V3404</f>
        <v/>
      </c>
      <c r="P3404">
        <f>IF(B3429=0,0,O3404/B3429)</f>
        <v/>
      </c>
      <c r="Q3404">
        <f>IFERROR(1/IF(Inputs!$B$39="pvp",15,MAX(0.1,Skills!D20-IF(Skills!E20=TRUE,2.0,0))),0)</f>
        <v/>
      </c>
      <c r="R3404">
        <f>IF(AND(Inputs!$B$39&lt;&gt;"pvp",Inputs!$B$44&gt;0),IF(Inputs!$B$44&lt;=0,0,(INT(Inputs!$B$44/IF(Inputs!$B$39="pvp",15,MAX(0.1,Skills!D20-IF(Skills!E20=TRUE,2.0,0))))+1)),0)</f>
        <v/>
      </c>
      <c r="S3404">
        <f>IFERROR(O3404/N3404,0)</f>
        <v/>
      </c>
      <c r="T3404" t="n">
        <v>0</v>
      </c>
      <c r="V3404" t="n">
        <v>0</v>
      </c>
    </row>
    <row r="3405">
      <c r="A3405">
        <f>Skills!A21</f>
        <v/>
      </c>
      <c r="B3405">
        <f>Skills!B21</f>
        <v/>
      </c>
      <c r="C3405">
        <f>Inputs!$B$3&gt;=15</f>
        <v/>
      </c>
      <c r="D3405">
        <f>IF(Skills!C21=1,60+Inputs!$B$25+Inputs!$B$29,IF(Skills!C21=2,90+Inputs!$B$26+Inputs!$B$29,IF(Skills!C21=3,120+Inputs!$B$27+Inputs!$B$29,MAX(0,(Inputs!$B$3-100)*3)+Inputs!$B$28+Inputs!$B$29)))</f>
        <v/>
      </c>
      <c r="E3405">
        <f>INDEX(FactorTable!$B$2:$Y$301, MATCH(ROUND(MIN(300,MAX(1,D3405)),0), FactorTable!$A$2:$A$301,0), Skills!M21+1)</f>
        <v/>
      </c>
      <c r="F3405">
        <f>IF(Skills!N21=TRUE,(Skills!L21/10)*(E3405/1000),Skills!L21/10)+Skills!O21</f>
        <v/>
      </c>
      <c r="G3405">
        <f>Skills!G21*IF(Skills!H21&gt;0,Skills!I21/Skills!H21,1)</f>
        <v/>
      </c>
      <c r="H3405">
        <f>1-(1-Skills!J21/100)^Skills!K21</f>
        <v/>
      </c>
      <c r="I3405" t="inlineStr">
        <is>
          <t>1</t>
        </is>
      </c>
      <c r="J3405" t="inlineStr"/>
      <c r="K3405" t="inlineStr"/>
      <c r="L3405" t="inlineStr"/>
      <c r="M3405" t="inlineStr"/>
      <c r="N3405" t="inlineStr"/>
      <c r="O3405">
        <f>(1-Summary!$B$11)*T3405+Summary!$B$11*V3405</f>
        <v/>
      </c>
      <c r="P3405">
        <f>IF(B3429=0,0,O3405/B3429)</f>
        <v/>
      </c>
      <c r="Q3405">
        <f>IFERROR(1/IF(Inputs!$B$39="pvp",15,MAX(0.1,Skills!D21-IF(Skills!E21=TRUE,2.0,0))),0)</f>
        <v/>
      </c>
      <c r="R3405">
        <f>IF(AND(Inputs!$B$39&lt;&gt;"pvp",Inputs!$B$44&gt;0),IF(Inputs!$B$44&lt;=0,0,(INT(Inputs!$B$44/IF(Inputs!$B$39="pvp",15,MAX(0.1,Skills!D21-IF(Skills!E21=TRUE,2.0,0))))+1)),0)</f>
        <v/>
      </c>
      <c r="S3405">
        <f>IFERROR(O3405/N3405,0)</f>
        <v/>
      </c>
      <c r="T3405" t="n">
        <v>0</v>
      </c>
      <c r="V3405" t="n">
        <v>0</v>
      </c>
    </row>
    <row r="3406">
      <c r="A3406">
        <f>Skills!A22</f>
        <v/>
      </c>
      <c r="B3406">
        <f>Skills!B22</f>
        <v/>
      </c>
      <c r="C3406">
        <f>Inputs!$B$3&gt;=33</f>
        <v/>
      </c>
      <c r="D3406">
        <f>IF(Skills!C22=1,60+Inputs!$B$25+Inputs!$B$29,IF(Skills!C22=2,90+Inputs!$B$26+Inputs!$B$29,IF(Skills!C22=3,120+Inputs!$B$27+Inputs!$B$29,MAX(0,(Inputs!$B$3-100)*3)+Inputs!$B$28+Inputs!$B$29)))</f>
        <v/>
      </c>
      <c r="E3406">
        <f>INDEX(FactorTable!$B$2:$Y$301, MATCH(ROUND(MIN(300,MAX(1,D3406)),0), FactorTable!$A$2:$A$301,0), Skills!M22+1)</f>
        <v/>
      </c>
      <c r="F3406">
        <f>IF(Skills!N22=TRUE,(Skills!L22/10)*(E3406/1000),Skills!L22/10)+Skills!O22</f>
        <v/>
      </c>
      <c r="G3406">
        <f>Skills!G22*IF(Skills!H22&gt;0,Skills!I22/Skills!H22,1)</f>
        <v/>
      </c>
      <c r="H3406">
        <f>1-(1-Skills!J22/100)^Skills!K22</f>
        <v/>
      </c>
      <c r="I3406" t="inlineStr">
        <is>
          <t>1</t>
        </is>
      </c>
      <c r="J3406" t="inlineStr"/>
      <c r="K3406" t="inlineStr"/>
      <c r="L3406" t="inlineStr"/>
      <c r="M3406" t="inlineStr"/>
      <c r="N3406" t="inlineStr"/>
      <c r="O3406">
        <f>(1-Summary!$B$11)*T3406+Summary!$B$11*V3406</f>
        <v/>
      </c>
      <c r="P3406">
        <f>IF(B3429=0,0,O3406/B3429)</f>
        <v/>
      </c>
      <c r="Q3406" t="n">
        <v>0</v>
      </c>
      <c r="R3406" t="n">
        <v>0</v>
      </c>
      <c r="S3406">
        <f>IFERROR(O3406/N3406,0)</f>
        <v/>
      </c>
      <c r="T3406" t="n">
        <v>0</v>
      </c>
      <c r="V3406" t="n">
        <v>0</v>
      </c>
    </row>
    <row r="3407">
      <c r="A3407">
        <f>Skills!A23</f>
        <v/>
      </c>
      <c r="B3407">
        <f>Skills!B23</f>
        <v/>
      </c>
      <c r="C3407">
        <f>Inputs!$B$3&gt;=40</f>
        <v/>
      </c>
      <c r="D3407">
        <f>IF(Skills!C23=1,60+Inputs!$B$25+Inputs!$B$29,IF(Skills!C23=2,90+Inputs!$B$26+Inputs!$B$29,IF(Skills!C23=3,120+Inputs!$B$27+Inputs!$B$29,MAX(0,(Inputs!$B$3-100)*3)+Inputs!$B$28+Inputs!$B$29)))</f>
        <v/>
      </c>
      <c r="E3407">
        <f>INDEX(FactorTable!$B$2:$Y$301, MATCH(ROUND(MIN(300,MAX(1,D3407)),0), FactorTable!$A$2:$A$301,0), Skills!M23+1)</f>
        <v/>
      </c>
      <c r="F3407">
        <f>IF(Skills!N23=TRUE,(Skills!L23/10)*(E3407/1000),Skills!L23/10)+Skills!O23</f>
        <v/>
      </c>
      <c r="G3407">
        <f>Skills!G23*IF(Skills!H23&gt;0,Skills!I23/Skills!H23,1)</f>
        <v/>
      </c>
      <c r="H3407">
        <f>1-(1-Skills!J23/100)^Skills!K23</f>
        <v/>
      </c>
      <c r="I3407" t="inlineStr">
        <is>
          <t>1</t>
        </is>
      </c>
      <c r="J3407" t="inlineStr"/>
      <c r="K3407" t="inlineStr"/>
      <c r="L3407" t="inlineStr"/>
      <c r="M3407" t="inlineStr"/>
      <c r="N3407" t="inlineStr"/>
      <c r="O3407">
        <f>(1-Summary!$B$11)*T3407+Summary!$B$11*V3407</f>
        <v/>
      </c>
      <c r="P3407">
        <f>IF(B3429=0,0,O3407/B3429)</f>
        <v/>
      </c>
      <c r="Q3407" t="n">
        <v>0</v>
      </c>
      <c r="R3407" t="n">
        <v>0</v>
      </c>
      <c r="S3407">
        <f>IFERROR(O3407/N3407,0)</f>
        <v/>
      </c>
      <c r="T3407" t="n">
        <v>0</v>
      </c>
      <c r="V3407" t="n">
        <v>0</v>
      </c>
    </row>
    <row r="3408">
      <c r="A3408">
        <f>Skills!A24</f>
        <v/>
      </c>
      <c r="B3408">
        <f>Skills!B24</f>
        <v/>
      </c>
      <c r="C3408">
        <f>Inputs!$B$3&gt;=43</f>
        <v/>
      </c>
      <c r="D3408">
        <f>IF(Skills!C24=1,60+Inputs!$B$25+Inputs!$B$29,IF(Skills!C24=2,90+Inputs!$B$26+Inputs!$B$29,IF(Skills!C24=3,120+Inputs!$B$27+Inputs!$B$29,MAX(0,(Inputs!$B$3-100)*3)+Inputs!$B$28+Inputs!$B$29)))</f>
        <v/>
      </c>
      <c r="E3408">
        <f>INDEX(FactorTable!$B$2:$Y$301, MATCH(ROUND(MIN(300,MAX(1,D3408)),0), FactorTable!$A$2:$A$301,0), Skills!M24+1)</f>
        <v/>
      </c>
      <c r="F3408">
        <f>IF(Skills!N24=TRUE,(Skills!L24/10)*(E3408/1000),Skills!L24/10)+Skills!O24</f>
        <v/>
      </c>
      <c r="G3408">
        <f>Skills!G24*IF(Skills!H24&gt;0,Skills!I24/Skills!H24,1)</f>
        <v/>
      </c>
      <c r="H3408">
        <f>1-(1-Skills!J24/100)^Skills!K24</f>
        <v/>
      </c>
      <c r="I3408" t="inlineStr">
        <is>
          <t>1</t>
        </is>
      </c>
      <c r="J3408" t="inlineStr"/>
      <c r="K3408" t="inlineStr"/>
      <c r="L3408" t="inlineStr"/>
      <c r="M3408" t="inlineStr"/>
      <c r="N3408" t="inlineStr"/>
      <c r="O3408">
        <f>(1-Summary!$B$11)*T3408+Summary!$B$11*V3408</f>
        <v/>
      </c>
      <c r="P3408">
        <f>IF(B3429=0,0,O3408/B3429)</f>
        <v/>
      </c>
      <c r="Q3408" t="n">
        <v>0</v>
      </c>
      <c r="R3408" t="n">
        <v>0</v>
      </c>
      <c r="S3408">
        <f>IFERROR(O3408/N3408,0)</f>
        <v/>
      </c>
      <c r="T3408" t="n">
        <v>0</v>
      </c>
      <c r="V3408" t="n">
        <v>0</v>
      </c>
    </row>
    <row r="3409">
      <c r="A3409">
        <f>Skills!A25</f>
        <v/>
      </c>
      <c r="B3409">
        <f>Skills!B25</f>
        <v/>
      </c>
      <c r="C3409">
        <f>Inputs!$B$3&gt;=50</f>
        <v/>
      </c>
      <c r="D3409">
        <f>IF(Skills!C25=1,60+Inputs!$B$25+Inputs!$B$29,IF(Skills!C25=2,90+Inputs!$B$26+Inputs!$B$29,IF(Skills!C25=3,120+Inputs!$B$27+Inputs!$B$29,MAX(0,(Inputs!$B$3-100)*3)+Inputs!$B$28+Inputs!$B$29)))</f>
        <v/>
      </c>
      <c r="E3409">
        <f>INDEX(FactorTable!$B$2:$Y$301, MATCH(ROUND(MIN(300,MAX(1,D3409)),0), FactorTable!$A$2:$A$301,0), Skills!M25+1)</f>
        <v/>
      </c>
      <c r="F3409">
        <f>IF(Skills!N25=TRUE,(Skills!L25/10)*(E3409/1000),Skills!L25/10)+Skills!O25</f>
        <v/>
      </c>
      <c r="G3409">
        <f>Skills!G25*IF(Skills!H25&gt;0,Skills!I25/Skills!H25,1)</f>
        <v/>
      </c>
      <c r="H3409">
        <f>1-(1-Skills!J25/100)^Skills!K25</f>
        <v/>
      </c>
      <c r="I3409" t="inlineStr">
        <is>
          <t>1</t>
        </is>
      </c>
      <c r="J3409" t="inlineStr"/>
      <c r="K3409" t="inlineStr"/>
      <c r="L3409" t="inlineStr"/>
      <c r="M3409" t="inlineStr"/>
      <c r="N3409" t="inlineStr"/>
      <c r="O3409">
        <f>(1-Summary!$B$11)*T3409+Summary!$B$11*V3409</f>
        <v/>
      </c>
      <c r="P3409">
        <f>IF(B3429=0,0,O3409/B3429)</f>
        <v/>
      </c>
      <c r="Q3409" t="n">
        <v>0</v>
      </c>
      <c r="R3409" t="n">
        <v>0</v>
      </c>
      <c r="S3409">
        <f>IFERROR(O3409/N3409,0)</f>
        <v/>
      </c>
      <c r="T3409" t="n">
        <v>0</v>
      </c>
      <c r="V3409" t="n">
        <v>0</v>
      </c>
    </row>
    <row r="3410">
      <c r="A3410">
        <f>Skills!A26</f>
        <v/>
      </c>
      <c r="B3410">
        <f>Skills!B26</f>
        <v/>
      </c>
      <c r="C3410">
        <f>Inputs!$B$3&gt;=50</f>
        <v/>
      </c>
      <c r="D3410">
        <f>IF(Skills!C26=1,60+Inputs!$B$25+Inputs!$B$29,IF(Skills!C26=2,90+Inputs!$B$26+Inputs!$B$29,IF(Skills!C26=3,120+Inputs!$B$27+Inputs!$B$29,MAX(0,(Inputs!$B$3-100)*3)+Inputs!$B$28+Inputs!$B$29)))</f>
        <v/>
      </c>
      <c r="E3410">
        <f>INDEX(FactorTable!$B$2:$Y$301, MATCH(ROUND(MIN(300,MAX(1,D3410)),0), FactorTable!$A$2:$A$301,0), Skills!M26+1)</f>
        <v/>
      </c>
      <c r="F3410">
        <f>IF(Skills!N26=TRUE,(Skills!L26/10)*(E3410/1000),Skills!L26/10)+Skills!O26</f>
        <v/>
      </c>
      <c r="G3410">
        <f>Skills!G26*IF(Skills!H26&gt;0,Skills!I26/Skills!H26,1)</f>
        <v/>
      </c>
      <c r="H3410">
        <f>1-(1-Skills!J26/100)^Skills!K26</f>
        <v/>
      </c>
      <c r="I3410" t="inlineStr">
        <is>
          <t>1</t>
        </is>
      </c>
      <c r="J3410" t="inlineStr"/>
      <c r="K3410" t="inlineStr"/>
      <c r="L3410" t="inlineStr"/>
      <c r="M3410" t="inlineStr"/>
      <c r="N3410" t="inlineStr"/>
      <c r="O3410">
        <f>(1-Summary!$B$11)*T3410+Summary!$B$11*V3410</f>
        <v/>
      </c>
      <c r="P3410">
        <f>IF(B3429=0,0,O3410/B3429)</f>
        <v/>
      </c>
      <c r="Q3410" t="n">
        <v>0</v>
      </c>
      <c r="R3410" t="n">
        <v>0</v>
      </c>
      <c r="S3410">
        <f>IFERROR(O3410/N3410,0)</f>
        <v/>
      </c>
      <c r="T3410" t="n">
        <v>0</v>
      </c>
      <c r="V3410" t="n">
        <v>0</v>
      </c>
    </row>
    <row r="3411">
      <c r="A3411">
        <f>Skills!A27</f>
        <v/>
      </c>
      <c r="B3411">
        <f>Skills!B27</f>
        <v/>
      </c>
      <c r="C3411">
        <f>Inputs!$B$3&gt;=38</f>
        <v/>
      </c>
      <c r="D3411">
        <f>IF(Skills!C27=1,60+Inputs!$B$25+Inputs!$B$29,IF(Skills!C27=2,90+Inputs!$B$26+Inputs!$B$29,IF(Skills!C27=3,120+Inputs!$B$27+Inputs!$B$29,MAX(0,(Inputs!$B$3-100)*3)+Inputs!$B$28+Inputs!$B$29)))</f>
        <v/>
      </c>
      <c r="E3411">
        <f>INDEX(FactorTable!$B$2:$Y$301, MATCH(ROUND(MIN(300,MAX(1,D3411)),0), FactorTable!$A$2:$A$301,0), Skills!M27+1)</f>
        <v/>
      </c>
      <c r="F3411">
        <f>IF(Skills!N27=TRUE,(Skills!L27/10)*(E3411/1000),Skills!L27/10)+Skills!O27</f>
        <v/>
      </c>
      <c r="G3411">
        <f>Skills!G27*IF(Skills!H27&gt;0,Skills!I27/Skills!H27,1)</f>
        <v/>
      </c>
      <c r="H3411">
        <f>1-(1-Skills!J27/100)^Skills!K27</f>
        <v/>
      </c>
      <c r="I3411" t="inlineStr">
        <is>
          <t>1</t>
        </is>
      </c>
      <c r="J3411" t="inlineStr"/>
      <c r="K3411" t="inlineStr"/>
      <c r="L3411" t="inlineStr"/>
      <c r="M3411" t="inlineStr"/>
      <c r="N3411" t="inlineStr"/>
      <c r="O3411">
        <f>(1-Summary!$B$11)*T3411+Summary!$B$11*V3411</f>
        <v/>
      </c>
      <c r="P3411">
        <f>IF(B3429=0,0,O3411/B3429)</f>
        <v/>
      </c>
      <c r="Q3411" t="n">
        <v>0</v>
      </c>
      <c r="R3411" t="n">
        <v>0</v>
      </c>
      <c r="S3411">
        <f>IFERROR(O3411/N3411,0)</f>
        <v/>
      </c>
      <c r="T3411" t="n">
        <v>0</v>
      </c>
      <c r="V3411" t="n">
        <v>0</v>
      </c>
    </row>
    <row r="3412">
      <c r="A3412">
        <f>Skills!A28</f>
        <v/>
      </c>
      <c r="B3412">
        <f>Skills!B28</f>
        <v/>
      </c>
      <c r="C3412">
        <f>Inputs!$B$3&gt;=120</f>
        <v/>
      </c>
      <c r="D3412">
        <f>IF(Skills!C28=1,60+Inputs!$B$25+Inputs!$B$29,IF(Skills!C28=2,90+Inputs!$B$26+Inputs!$B$29,IF(Skills!C28=3,120+Inputs!$B$27+Inputs!$B$29,MAX(0,(Inputs!$B$3-100)*3)+Inputs!$B$28+Inputs!$B$29)))</f>
        <v/>
      </c>
      <c r="E3412">
        <f>INDEX(FactorTable!$B$2:$Y$301, MATCH(ROUND(MIN(300,MAX(1,D3412)),0), FactorTable!$A$2:$A$301,0), Skills!M28+1)</f>
        <v/>
      </c>
      <c r="F3412">
        <f>IF(Skills!N28=TRUE,(Skills!L28/10)*(E3412/1000),Skills!L28/10)+Skills!O28</f>
        <v/>
      </c>
      <c r="G3412">
        <f>Skills!G28*IF(Skills!H28&gt;0,Skills!I28/Skills!H28,1)</f>
        <v/>
      </c>
      <c r="H3412">
        <f>1-(1-Skills!J28/100)^Skills!K28</f>
        <v/>
      </c>
      <c r="I3412" t="inlineStr">
        <is>
          <t>1</t>
        </is>
      </c>
      <c r="J3412" t="inlineStr"/>
      <c r="K3412" t="inlineStr"/>
      <c r="L3412" t="inlineStr"/>
      <c r="M3412" t="inlineStr"/>
      <c r="N3412" t="inlineStr"/>
      <c r="O3412">
        <f>(1-Summary!$B$11)*T3412+Summary!$B$11*V3412</f>
        <v/>
      </c>
      <c r="P3412">
        <f>IF(B3429=0,0,O3412/B3429)</f>
        <v/>
      </c>
      <c r="Q3412" t="n">
        <v>0</v>
      </c>
      <c r="R3412" t="n">
        <v>0</v>
      </c>
      <c r="S3412">
        <f>IFERROR(O3412/N3412,0)</f>
        <v/>
      </c>
      <c r="T3412" t="n">
        <v>0</v>
      </c>
      <c r="V3412" t="n">
        <v>0</v>
      </c>
    </row>
    <row r="3413">
      <c r="A3413">
        <f>Skills!A29</f>
        <v/>
      </c>
      <c r="B3413">
        <f>Skills!B29</f>
        <v/>
      </c>
      <c r="C3413">
        <f>Inputs!$B$3&gt;=120</f>
        <v/>
      </c>
      <c r="D3413">
        <f>IF(Skills!C29=1,60+Inputs!$B$25+Inputs!$B$29,IF(Skills!C29=2,90+Inputs!$B$26+Inputs!$B$29,IF(Skills!C29=3,120+Inputs!$B$27+Inputs!$B$29,MAX(0,(Inputs!$B$3-100)*3)+Inputs!$B$28+Inputs!$B$29)))</f>
        <v/>
      </c>
      <c r="E3413">
        <f>INDEX(FactorTable!$B$2:$Y$301, MATCH(ROUND(MIN(300,MAX(1,D3413)),0), FactorTable!$A$2:$A$301,0), Skills!M29+1)</f>
        <v/>
      </c>
      <c r="F3413">
        <f>IF(Skills!N29=TRUE,(Skills!L29/10)*(E3413/1000),Skills!L29/10)+Skills!O29</f>
        <v/>
      </c>
      <c r="G3413">
        <f>Skills!G29*IF(Skills!H29&gt;0,Skills!I29/Skills!H29,1)</f>
        <v/>
      </c>
      <c r="H3413">
        <f>1-(1-Skills!J29/100)^Skills!K29</f>
        <v/>
      </c>
      <c r="I3413" t="inlineStr">
        <is>
          <t>1</t>
        </is>
      </c>
      <c r="J3413" t="inlineStr"/>
      <c r="K3413" t="inlineStr"/>
      <c r="L3413" t="inlineStr"/>
      <c r="M3413" t="inlineStr"/>
      <c r="N3413" t="inlineStr"/>
      <c r="O3413">
        <f>(1-Summary!$B$11)*T3413+Summary!$B$11*V3413</f>
        <v/>
      </c>
      <c r="P3413">
        <f>IF(B3429=0,0,O3413/B3429)</f>
        <v/>
      </c>
      <c r="Q3413" t="n">
        <v>0</v>
      </c>
      <c r="R3413" t="n">
        <v>0</v>
      </c>
      <c r="S3413">
        <f>IFERROR(O3413/N3413,0)</f>
        <v/>
      </c>
      <c r="T3413" t="n">
        <v>0</v>
      </c>
      <c r="V3413" t="n">
        <v>0</v>
      </c>
    </row>
    <row r="3414">
      <c r="A3414">
        <f>Skills!A30</f>
        <v/>
      </c>
      <c r="B3414">
        <f>Skills!B30</f>
        <v/>
      </c>
      <c r="C3414">
        <f>Inputs!$B$3&gt;=125</f>
        <v/>
      </c>
      <c r="D3414">
        <f>IF(Skills!C30=1,60+Inputs!$B$25+Inputs!$B$29,IF(Skills!C30=2,90+Inputs!$B$26+Inputs!$B$29,IF(Skills!C30=3,120+Inputs!$B$27+Inputs!$B$29,MAX(0,(Inputs!$B$3-100)*3)+Inputs!$B$28+Inputs!$B$29)))</f>
        <v/>
      </c>
      <c r="E3414">
        <f>INDEX(FactorTable!$B$2:$Y$301, MATCH(ROUND(MIN(300,MAX(1,D3414)),0), FactorTable!$A$2:$A$301,0), Skills!M30+1)</f>
        <v/>
      </c>
      <c r="F3414">
        <f>IF(Skills!N30=TRUE,(Skills!L30/10)*(E3414/1000),Skills!L30/10)+Skills!O30</f>
        <v/>
      </c>
      <c r="G3414">
        <f>Skills!G30*IF(Skills!H30&gt;0,Skills!I30/Skills!H30,1)</f>
        <v/>
      </c>
      <c r="H3414">
        <f>1-(1-Skills!J30/100)^Skills!K30</f>
        <v/>
      </c>
      <c r="I3414" t="inlineStr">
        <is>
          <t>1</t>
        </is>
      </c>
      <c r="J3414" t="inlineStr"/>
      <c r="K3414" t="inlineStr"/>
      <c r="L3414" t="inlineStr"/>
      <c r="M3414" t="inlineStr"/>
      <c r="N3414" t="inlineStr"/>
      <c r="O3414">
        <f>(1-Summary!$B$11)*T3414+Summary!$B$11*V3414</f>
        <v/>
      </c>
      <c r="P3414">
        <f>IF(B3429=0,0,O3414/B3429)</f>
        <v/>
      </c>
      <c r="Q3414" t="n">
        <v>0</v>
      </c>
      <c r="R3414" t="n">
        <v>0</v>
      </c>
      <c r="S3414">
        <f>IFERROR(O3414/N3414,0)</f>
        <v/>
      </c>
      <c r="T3414" t="n">
        <v>0</v>
      </c>
      <c r="V3414" t="n">
        <v>0</v>
      </c>
    </row>
    <row r="3416">
      <c r="A3416" t="inlineStr">
        <is>
          <t>Average Buff Multiplier</t>
        </is>
      </c>
      <c r="B3416">
        <f>(1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f>
        <v/>
      </c>
    </row>
    <row r="3417">
      <c r="A3417" t="inlineStr">
        <is>
          <t>Global Crit Rate Bonus %</t>
        </is>
      </c>
      <c r="B3417">
        <f>((C3404=TRUE)*F3404*IF(AND(Inputs!$B$39&lt;&gt;"pvp",Inputs!$B$44&gt;0),(((R3404-1)*(Skills!Y20*(1+Inputs!$B$34/100))+MIN((Skills!Y20*(1+Inputs!$B$34/100)),MAX(0,Inputs!$B$44-((R3404-1)*Skills!D20))))/Inputs!$B$44),IF(Inputs!$B$39="pvp",MIN((Skills!Y20*(1+Inputs!$B$34/100)),15)/15,(Skills!Y20*(1+Inputs!$B$34/100))/Skills!D20)))</f>
        <v/>
      </c>
    </row>
    <row r="3418">
      <c r="A3418" t="inlineStr">
        <is>
          <t>Global Monster Damage-Taken Bonus %</t>
        </is>
      </c>
      <c r="B3418">
        <f>IF(Inputs!$B$3&gt;=82,15,0)</f>
        <v/>
      </c>
    </row>
    <row r="3419">
      <c r="A3419" t="inlineStr">
        <is>
          <t>Shadow Partner Average Multiplier</t>
        </is>
      </c>
      <c r="B3419">
        <f>1+((C3391=TRUE)*F3391*(1+3.3333333333333335*IF(C3402=TRUE,F3402,0)/100)*I3391*Skills!J7/100)/100</f>
        <v/>
      </c>
    </row>
    <row r="3420">
      <c r="A3420" t="inlineStr">
        <is>
          <t>Attack Speed Buff Bonus %</t>
        </is>
      </c>
      <c r="B3420">
        <f>((C3403=TRUE)*F3403*IF(AND(Inputs!$B$39&lt;&gt;"pvp",Inputs!$B$44&gt;0),(((R3403-1)*(Skills!Y19*(1+Inputs!$B$34/100))+MIN((Skills!Y19*(1+Inputs!$B$34/100)),MAX(0,Inputs!$B$44-((R3403-1)*Skills!D19))))/Inputs!$B$44),IF(Inputs!$B$39="pvp",MIN((Skills!Y19*(1+Inputs!$B$34/100)),15)/15,(Skills!Y19*(1+Inputs!$B$34/100))/Skills!D19)))+((C3387=TRUE)*F3387*3)</f>
        <v/>
      </c>
    </row>
    <row r="3421">
      <c r="A3421" t="inlineStr">
        <is>
          <t>Actions Per Second</t>
        </is>
      </c>
      <c r="B3421">
        <f>1+MIN(150,150*(1-(1-(Inputs!$B$11+((C3406=TRUE)*(F3406-Calc!F22)))/150)*(1-B3420/150)))/100</f>
        <v/>
      </c>
    </row>
    <row r="3422">
      <c r="A3422" t="inlineStr">
        <is>
          <t>Skill + Buff Cast Rate</t>
        </is>
      </c>
      <c r="B3422">
        <f>IF(AND(Inputs!$B$39&lt;&gt;"pvp",Inputs!$B$44&gt;0),SUMPRODUCT((Skills!E2:E30=TRUE)*(C3386:C3414=TRUE)*R3386:R3414*Skills!F2:F30)/Inputs!$B$44,SUMPRODUCT((Skills!E2:E30=TRUE)*(C3386:C3414=TRUE)*Q3386:Q3414*Skills!F2:F30))</f>
        <v/>
      </c>
    </row>
    <row r="3423">
      <c r="A3423" t="inlineStr">
        <is>
          <t>Cruel Stab Casts Per Second</t>
        </is>
      </c>
      <c r="B3423">
        <f>MAX(0,B3421-B3422)</f>
        <v/>
      </c>
    </row>
    <row r="3424">
      <c r="A3424" t="inlineStr">
        <is>
          <t>Global Critical Damage Bonus % (Smokescreen Mastery Lv.113)</t>
        </is>
      </c>
      <c r="B3424">
        <f>IF(Inputs!$B$3&gt;=113,30,0)*IF(AND(Inputs!$B$39&lt;&gt;"pvp",Inputs!$B$44&gt;0),(((R3399-1)*(Skills!Y15*(1+Inputs!$B$34/100))+MIN((Skills!Y15*(1+Inputs!$B$34/100)),MAX(0,Inputs!$B$44-((R3399-1)*Skills!D15))))/Inputs!$B$44),IF(Inputs!$B$39="pvp",MIN((Skills!Y15*(1+Inputs!$B$34/100)),15)/15,(Skills!Y15*(1+Inputs!$B$34/100))/Skills!D15))</f>
        <v/>
      </c>
    </row>
    <row r="3425">
      <c r="A3425" t="inlineStr">
        <is>
          <t>Meso Explosion average stack count</t>
        </is>
      </c>
      <c r="B3425">
        <f>MIN(10,0.5*B3421*Skills!D4)</f>
        <v/>
      </c>
    </row>
    <row r="3426">
      <c r="A3426" t="inlineStr">
        <is>
          <t>Blood Money average stack count</t>
        </is>
      </c>
      <c r="B3426">
        <f>MIN(5,0.25*B3421*Skills!D4)</f>
        <v/>
      </c>
    </row>
    <row r="3427">
      <c r="A3427" t="inlineStr">
        <is>
          <t>Assassinate Murderous Intent Multiplier</t>
        </is>
      </c>
      <c r="B3427">
        <f>1+IFERROR(MIN(1,Q3398*2/Q3395),0)</f>
        <v/>
      </c>
    </row>
    <row r="3428">
      <c r="A3428" t="inlineStr">
        <is>
          <t>Buff-Casting Startup Delay (s, fixed-duration only)</t>
        </is>
      </c>
      <c r="B3428">
        <f>IF(AND(Inputs!$B$39&lt;&gt;"pvp",Inputs!$B$44&gt;0),SUMPRODUCT((Skills!Y2:Y30&gt;0)*(Skills!E2:E30=TRUE)*(C3386:C3414=TRUE))/B3421,0)</f>
        <v/>
      </c>
    </row>
    <row r="3429">
      <c r="A3429" s="6" t="inlineStr">
        <is>
          <t>TOTAL DPS</t>
        </is>
      </c>
      <c r="B3429" s="6">
        <f>SUM(O3386:O3414)</f>
        <v/>
      </c>
    </row>
    <row r="3430">
      <c r="A3430" t="inlineStr">
        <is>
          <t>Boss-Only Total DPS (this block's swept value)</t>
        </is>
      </c>
      <c r="B3430">
        <f>SUM(T3386:T3414)</f>
        <v/>
      </c>
    </row>
    <row r="3431">
      <c r="A3431" t="inlineStr">
        <is>
          <t>Normal-Only Total DPS (this block's swept value)</t>
        </is>
      </c>
      <c r="B3431">
        <f>SUM(V3386:V3414)</f>
        <v/>
      </c>
    </row>
    <row r="3434">
      <c r="A3434" s="6" t="inlineStr">
        <is>
          <t>Stat: CDR = 2.5s</t>
        </is>
      </c>
    </row>
    <row r="3435">
      <c r="A3435" s="5" t="inlineStr">
        <is>
          <t>Key</t>
        </is>
      </c>
      <c r="B3435" s="5" t="inlineStr">
        <is>
          <t>Name</t>
        </is>
      </c>
      <c r="C3435" s="5" t="inlineStr">
        <is>
          <t>Unlocked</t>
        </is>
      </c>
      <c r="D3435" s="5" t="inlineStr">
        <is>
          <t>InputLevel</t>
        </is>
      </c>
      <c r="E3435" s="5" t="inlineStr">
        <is>
          <t>Factor</t>
        </is>
      </c>
      <c r="F3435" s="5" t="inlineStr">
        <is>
          <t>CoefficientPercent</t>
        </is>
      </c>
      <c r="G3435" s="5" t="inlineStr">
        <is>
          <t>EffectiveHits</t>
        </is>
      </c>
      <c r="H3435" s="5" t="inlineStr">
        <is>
          <t>ProcProbability</t>
        </is>
      </c>
      <c r="I3435" s="5" t="inlineStr">
        <is>
          <t>MapleHeroMultiplier</t>
        </is>
      </c>
      <c r="J3435" s="5" t="inlineStr">
        <is>
          <t>BaseDamage</t>
        </is>
      </c>
      <c r="K3435" s="5" t="inlineStr">
        <is>
          <t>BaseHitDamage</t>
        </is>
      </c>
      <c r="L3435" s="5" t="inlineStr">
        <is>
          <t>NonCritAvg</t>
        </is>
      </c>
      <c r="M3435" s="5" t="inlineStr">
        <is>
          <t>CritAvg</t>
        </is>
      </c>
      <c r="N3435" s="5" t="inlineStr">
        <is>
          <t>ExpectedDamage(perHit)</t>
        </is>
      </c>
      <c r="O3435" s="5" t="inlineStr">
        <is>
          <t>DPS</t>
        </is>
      </c>
      <c r="P3435" s="5" t="inlineStr">
        <is>
          <t>% of Total</t>
        </is>
      </c>
      <c r="Q3435" s="5" t="inlineStr">
        <is>
          <t>InvCooldown</t>
        </is>
      </c>
      <c r="R3435" s="5" t="inlineStr">
        <is>
          <t>CastsInFight</t>
        </is>
      </c>
      <c r="S3435" s="5" t="inlineStr">
        <is>
          <t>HitRate(perSec)</t>
        </is>
      </c>
      <c r="U3435" t="inlineStr">
        <is>
          <t>helpers</t>
        </is>
      </c>
    </row>
    <row r="3436">
      <c r="A3436">
        <f>Skills!A2</f>
        <v/>
      </c>
      <c r="B3436">
        <f>Skills!B2</f>
        <v/>
      </c>
      <c r="C3436">
        <f>Inputs!$B$3&gt;=100</f>
        <v/>
      </c>
      <c r="D3436" t="inlineStr"/>
      <c r="E3436" t="inlineStr"/>
      <c r="F3436">
        <f>U3438+Skills!O2</f>
        <v/>
      </c>
      <c r="G3436">
        <f>Skills!G2*IF(Skills!H2&gt;0,Skills!I2/Skills!H2,1)</f>
        <v/>
      </c>
      <c r="H3436">
        <f>1-(1-Skills!J2/100)^Skills!K2</f>
        <v/>
      </c>
      <c r="I3436" t="inlineStr">
        <is>
          <t>1</t>
        </is>
      </c>
      <c r="J3436">
        <f>((Inputs!$B$6*(1+Inputs!$B$7/100))+(((Inputs!$B$12*(1+Inputs!$B$13/100))-(Inputs!$B$12*(1+Inputs!$B$13/100)))+0.25*(Inputs!$B$14-Inputs!$B$14))*(1+Inputs!$B$7/100))*(F3436/100)</f>
        <v/>
      </c>
      <c r="K3436">
        <f>J3436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3436)</f>
        <v/>
      </c>
      <c r="L3436">
        <f>K3436*(MIN(Inputs!$B$22+((C3458=TRUE)*(F3458-Calc!F24)),(Inputs!$B$23+((C3463=TRUE)*(F3463-Calc!F29))+IF(ArtifactsInput!$M$15,CHOOSE(ArtifactsInput!$N$15+1,25,30,35,40,45,50)/100*(Inputs!$B$11-Inputs!$B$11),0)))/100+(Inputs!$B$23+((C3463=TRUE)*(F3463-Calc!F29))+IF(ArtifactsInput!$M$15,CHOOSE(ArtifactsInput!$N$15+1,25,30,35,40,45,50)/100*(Inputs!$B$11-Inputs!$B$11),0))/100)/2</f>
        <v/>
      </c>
      <c r="M3436">
        <f>L3436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6">
        <f>L3436*(1-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3436*(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6">
        <f>(1-Summary!$B$11)*T3436+Summary!$B$11*V3436</f>
        <v/>
      </c>
      <c r="P3436">
        <f>IF(B3479=0,0,O3436/B3479)</f>
        <v/>
      </c>
      <c r="Q3436" t="n">
        <v>0</v>
      </c>
      <c r="R3436" t="n">
        <v>0</v>
      </c>
      <c r="S3436">
        <f>IFERROR(O3436/N3436,0)</f>
        <v/>
      </c>
      <c r="T3436">
        <f>IF(C3436,(Skills!G2*N3436*B3473)*IF(Inputs!$B$39="pvp",1,1+(Inputs!$B$20+0+Skills!P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3436*(1-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3436*(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3436*(1-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3436*(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6">
        <f>MAX(0,(Inputs!$B$3-100)*3)+Inputs!$B$28+Inputs!$B$29</f>
        <v/>
      </c>
      <c r="V3436">
        <f>IF(C3436,(Skills!G2*N3436*B3473)*IF(Inputs!$B$39="pvp",1,(1+(Inputs!$B$21+Skills!Q2+B3468+(IF(ArtifactsInput!$M$33,CHOOSE(ArtifactsInput!$N$33+1,30,36,42,48,54,60),0))+(IF(AND(ArtifactsInput!$M$35,Inputs!$B$4&lt;&gt;"Chapter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7">
      <c r="A3437">
        <f>Skills!A3</f>
        <v/>
      </c>
      <c r="B3437">
        <f>Skills!B3</f>
        <v/>
      </c>
      <c r="C3437">
        <f>Inputs!$B$3&gt;=35</f>
        <v/>
      </c>
      <c r="D3437">
        <f>IF(Skills!C3=1,60+Inputs!$B$25+Inputs!$B$29,IF(Skills!C3=2,90+Inputs!$B$26+Inputs!$B$29,IF(Skills!C3=3,120+Inputs!$B$27+Inputs!$B$29,MAX(0,(Inputs!$B$3-100)*3)+Inputs!$B$28+Inputs!$B$29)))</f>
        <v/>
      </c>
      <c r="E3437">
        <f>INDEX(FactorTable!$B$2:$Y$301, MATCH(ROUND(MIN(300,MAX(1,D3437)),0), FactorTable!$A$2:$A$301,0), Skills!M3+1)</f>
        <v/>
      </c>
      <c r="F3437">
        <f>IF(Skills!N3=TRUE,(Skills!L3/10)*(E3437/1000),Skills!L3/10)+Skills!O3</f>
        <v/>
      </c>
      <c r="G3437">
        <f>Skills!G3*IF(Skills!H3&gt;0,Skills!I3/Skills!H3,1)</f>
        <v/>
      </c>
      <c r="H3437">
        <f>1-(1-Skills!J3/100)^Skills!K3</f>
        <v/>
      </c>
      <c r="I3437" t="inlineStr">
        <is>
          <t>1</t>
        </is>
      </c>
      <c r="J3437" t="inlineStr"/>
      <c r="K3437" t="inlineStr"/>
      <c r="L3437" t="inlineStr"/>
      <c r="M3437" t="inlineStr"/>
      <c r="N3437" t="inlineStr"/>
      <c r="O3437">
        <f>(1-Summary!$B$11)*T3437+Summary!$B$11*V3437</f>
        <v/>
      </c>
      <c r="P3437">
        <f>IF(B3479=0,0,O3437/B3479)</f>
        <v/>
      </c>
      <c r="Q3437" t="n">
        <v>0</v>
      </c>
      <c r="R3437" t="n">
        <v>0</v>
      </c>
      <c r="S3437">
        <f>IFERROR(O3437/N3437,0)</f>
        <v/>
      </c>
      <c r="T3437" t="n">
        <v>0</v>
      </c>
      <c r="U3437">
        <f>INDEX(FactorTable!$B$2:$Y$301, MATCH(ROUND(MIN(300,MAX(1,U3436)),0), FactorTable!$A$2:$A$301,0), 22)</f>
        <v/>
      </c>
      <c r="V3437" t="n">
        <v>0</v>
      </c>
    </row>
    <row r="3438">
      <c r="A3438">
        <f>Skills!A4</f>
        <v/>
      </c>
      <c r="B3438">
        <f>Skills!B4</f>
        <v/>
      </c>
      <c r="C3438">
        <f>Inputs!$B$3&gt;=66</f>
        <v/>
      </c>
      <c r="D3438">
        <f>IF(Skills!C4=1,60+Inputs!$B$25+Inputs!$B$29,IF(Skills!C4=2,90+Inputs!$B$26+Inputs!$B$29,IF(Skills!C4=3,120+Inputs!$B$27+Inputs!$B$29,MAX(0,(Inputs!$B$3-100)*3)+Inputs!$B$28+Inputs!$B$29)))</f>
        <v/>
      </c>
      <c r="E3438">
        <f>INDEX(FactorTable!$B$2:$Y$301, MATCH(ROUND(MIN(300,MAX(1,D3438)),0), FactorTable!$A$2:$A$301,0), Skills!M4+1)</f>
        <v/>
      </c>
      <c r="F3438">
        <f>IF(Skills!N4=TRUE,(Skills!L4/10)*(E3438/1000),Skills!L4/10)+Skills!O4</f>
        <v/>
      </c>
      <c r="G3438">
        <f>Skills!G4*IF(Skills!H4&gt;0,Skills!I4/Skills!H4,1)</f>
        <v/>
      </c>
      <c r="H3438">
        <f>1-(1-Skills!J4/100)^Skills!K4</f>
        <v/>
      </c>
      <c r="I3438" t="inlineStr">
        <is>
          <t>1</t>
        </is>
      </c>
      <c r="J3438">
        <f>((Inputs!$B$6*(1+Inputs!$B$7/100))+(((Inputs!$B$12*(1+Inputs!$B$13/100))-(Inputs!$B$12*(1+Inputs!$B$13/100)))+0.25*(Inputs!$B$14-Inputs!$B$14))*(1+Inputs!$B$7/100))*(F3438/100)</f>
        <v/>
      </c>
      <c r="K3438">
        <f>J3438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3438)</f>
        <v/>
      </c>
      <c r="L3438">
        <f>K3438*(MIN(Inputs!$B$22+((C3458=TRUE)*(F3458-Calc!F24)),(Inputs!$B$23+((C3463=TRUE)*(F3463-Calc!F29))+IF(ArtifactsInput!$M$15,CHOOSE(ArtifactsInput!$N$15+1,25,30,35,40,45,50)/100*(Inputs!$B$11-Inputs!$B$11),0)))/100+(Inputs!$B$23+((C3463=TRUE)*(F3463-Calc!F29))+IF(ArtifactsInput!$M$15,CHOOSE(ArtifactsInput!$N$15+1,25,30,35,40,45,50)/100*(Inputs!$B$11-Inputs!$B$11),0))/100)/2</f>
        <v/>
      </c>
      <c r="M3438">
        <f>L3438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8">
        <f>L3438*(1-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3438*(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8">
        <f>(1-Summary!$B$11)*T3438+Summary!$B$11*V3438</f>
        <v/>
      </c>
      <c r="P3438">
        <f>IF(B3479=0,0,O3438/B3479)</f>
        <v/>
      </c>
      <c r="Q3438">
        <f>IFERROR(1/IF(Inputs!$B$39="pvp",15,MAX(0.1,Skills!D4-IF(Skills!E4=TRUE,2.5,0))),0)</f>
        <v/>
      </c>
      <c r="R3438">
        <f>IF(AND(Inputs!$B$39&lt;&gt;"pvp",Inputs!$B$44&gt;0),IF(MAX(0,Inputs!$B$44-B3478)&lt;=0,0,(INT(MAX(0,Inputs!$B$44-B3478)/IF(Inputs!$B$39="pvp",15,MAX(0.1,Skills!D4-IF(Skills!E4=TRUE,2.5,0))))+1)),0)</f>
        <v/>
      </c>
      <c r="S3438">
        <f>IFERROR(O3438/N3438,0)</f>
        <v/>
      </c>
      <c r="T3438">
        <f>IF(C3438,(H3438*N3438*IF(AND(Inputs!$B$39&lt;&gt;"pvp",Inputs!$B$44&gt;0),((Skills!G4*((R3438-1)*IF(Skills!H4&gt;0,Skills!I4/Skills!H4,1)+IF(Skills!H4&gt;0,MIN(Skills!I4,MAX(0,MAX(0,Inputs!$B$44-B3478)-((R3438-1)*IF(Inputs!$B$39="pvp",15,MAX(0.1,Skills!D4-IF(Skills!E4=TRUE,2.5,0))))))/Skills!H4,1)))/Inputs!$B$44),G3438*Q3438))*IF(Inputs!$B$39="pvp",1,1+(Inputs!$B$20+0+Skills!P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3438*(1-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3438*(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3438*(1-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3438*(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8">
        <f>290*U3437/1000</f>
        <v/>
      </c>
      <c r="V3438">
        <f>IF(C3438,(H3438*N3438*IF(AND(Inputs!$B$39&lt;&gt;"pvp",Inputs!$B$44&gt;0),((Skills!G4*((R3438-1)*IF(Skills!H4&gt;0,Skills!I4/Skills!H4,1)+IF(Skills!H4&gt;0,MIN(Skills!I4,MAX(0,MAX(0,Inputs!$B$44-B3478)-((R3438-1)*IF(Inputs!$B$39="pvp",15,MAX(0.1,Skills!D4-IF(Skills!E4=TRUE,2.5,0))))))/Skills!H4,1)))/Inputs!$B$44),G3438*Q3438))*IF(Inputs!$B$39="pvp",1,(1+(Inputs!$B$21+Skills!Q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(10,0.5*B3471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9">
      <c r="A3439">
        <f>Skills!A5</f>
        <v/>
      </c>
      <c r="B3439">
        <f>Skills!B5</f>
        <v/>
      </c>
      <c r="C3439">
        <f>Inputs!$B$3&gt;=63</f>
        <v/>
      </c>
      <c r="D3439">
        <f>IF(Skills!C5=1,60+Inputs!$B$25+Inputs!$B$29,IF(Skills!C5=2,90+Inputs!$B$26+Inputs!$B$29,IF(Skills!C5=3,120+Inputs!$B$27+Inputs!$B$29,MAX(0,(Inputs!$B$3-100)*3)+Inputs!$B$28+Inputs!$B$29)))</f>
        <v/>
      </c>
      <c r="E3439">
        <f>INDEX(FactorTable!$B$2:$Y$301, MATCH(ROUND(MIN(300,MAX(1,D3439)),0), FactorTable!$A$2:$A$301,0), Skills!M5+1)</f>
        <v/>
      </c>
      <c r="F3439">
        <f>IF(Skills!N5=TRUE,(Skills!L5/10)*(E3439/1000),Skills!L5/10)+Skills!O5</f>
        <v/>
      </c>
      <c r="G3439">
        <f>Skills!G5*IF(Skills!H5&gt;0,Skills!I5/Skills!H5,1)</f>
        <v/>
      </c>
      <c r="H3439">
        <f>1-(1-Skills!J5/100)^Skills!K5</f>
        <v/>
      </c>
      <c r="I3439" t="inlineStr">
        <is>
          <t>1</t>
        </is>
      </c>
      <c r="J3439">
        <f>((Inputs!$B$6*(1+Inputs!$B$7/100))+(((Inputs!$B$12*(1+Inputs!$B$13/100))-(Inputs!$B$12*(1+Inputs!$B$13/100)))+0.25*(Inputs!$B$14-Inputs!$B$14))*(1+Inputs!$B$7/100))*(F3439/100)</f>
        <v/>
      </c>
      <c r="K3439">
        <f>J3439*(1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3452=TRUE,F3452,0)/100)*(1+(IF(Skills!A5="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3439)</f>
        <v/>
      </c>
      <c r="L3439">
        <f>K3439*(MIN(Inputs!$B$22+((C3458=TRUE)*(F3458-Calc!F24)),(Inputs!$B$23+((C3463=TRUE)*(F3463-Calc!F29))+IF(ArtifactsInput!$M$15,CHOOSE(ArtifactsInput!$N$15+1,25,30,35,40,45,50)/100*(Inputs!$B$11-Inputs!$B$11),0)))/100+(Inputs!$B$23+((C3463=TRUE)*(F3463-Calc!F29))+IF(ArtifactsInput!$M$15,CHOOSE(ArtifactsInput!$N$15+1,25,30,35,40,45,50)/100*(Inputs!$B$11-Inputs!$B$11),0))/100)/2</f>
        <v/>
      </c>
      <c r="M3439">
        <f>L3439*(1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9">
        <f>L3439*(1-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3439*(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9">
        <f>(1-Summary!$B$11)*T3439+Summary!$B$11*V3439</f>
        <v/>
      </c>
      <c r="P3439">
        <f>IF(B3479=0,0,O3439/B3479)</f>
        <v/>
      </c>
      <c r="Q3439">
        <f>IFERROR(1/IF(Inputs!$B$39="pvp",15,MAX(0.1,Skills!D5-IF(Skills!E5=TRUE,2.5,0))),0)</f>
        <v/>
      </c>
      <c r="R3439">
        <f>IF(AND(Inputs!$B$39&lt;&gt;"pvp",Inputs!$B$44&gt;0),IF(MAX(0,Inputs!$B$44-B3478)&lt;=0,0,(INT(MAX(0,Inputs!$B$44-B3478)/IF(Inputs!$B$39="pvp",15,MAX(0.1,Skills!D5-IF(Skills!E5=TRUE,2.5,0))))+1)),0)</f>
        <v/>
      </c>
      <c r="S3439">
        <f>IFERROR(O3439/N3439,0)</f>
        <v/>
      </c>
      <c r="T3439">
        <f>IF(C3439,(H3439*N3439*IF(AND(Inputs!$B$39&lt;&gt;"pvp",Inputs!$B$44&gt;0),((Skills!G5*((R3439-1)*IF(Skills!H5&gt;0,Skills!I5/Skills!H5,1)+IF(Skills!H5&gt;0,MIN(Skills!I5,MAX(0,MAX(0,Inputs!$B$44-B3478)-((R3439-1)*IF(Inputs!$B$39="pvp",15,MAX(0.1,Skills!D5-IF(Skills!E5=TRUE,2.5,0))))))/Skills!H5,1)))/Inputs!$B$44),G3439*Q3439))*IF(Inputs!$B$39="pvp",1,1+(Inputs!$B$20+0+Skills!P5+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3439*(1-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3439*(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3439*(1-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3439*(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9">
        <f>IF(C3439,(H3439*N3439*IF(AND(Inputs!$B$39&lt;&gt;"pvp",Inputs!$B$44&gt;0),((Skills!G5*((R3439-1)*IF(Skills!H5&gt;0,Skills!I5/Skills!H5,1)+IF(Skills!H5&gt;0,MIN(Skills!I5,MAX(0,MAX(0,Inputs!$B$44-B3478)-((R3439-1)*IF(Inputs!$B$39="pvp",15,MAX(0.1,Skills!D5-IF(Skills!E5=TRUE,2.5,0))))))/Skills!H5,1)))/Inputs!$B$44),G3439*Q3439))*IF(Inputs!$B$39="pvp",1,(1+(Inputs!$B$21+Skills!Q5+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0">
      <c r="A3440">
        <f>Skills!A6</f>
        <v/>
      </c>
      <c r="B3440">
        <f>Skills!B6</f>
        <v/>
      </c>
      <c r="C3440">
        <f>Inputs!$B$3&gt;=69</f>
        <v/>
      </c>
      <c r="D3440">
        <f>IF(Skills!C6=1,60+Inputs!$B$25+Inputs!$B$29,IF(Skills!C6=2,90+Inputs!$B$26+Inputs!$B$29,IF(Skills!C6=3,120+Inputs!$B$27+Inputs!$B$29,MAX(0,(Inputs!$B$3-100)*3)+Inputs!$B$28+Inputs!$B$29)))</f>
        <v/>
      </c>
      <c r="E3440">
        <f>INDEX(FactorTable!$B$2:$Y$301, MATCH(ROUND(MIN(300,MAX(1,D3440)),0), FactorTable!$A$2:$A$301,0), Skills!M6+1)</f>
        <v/>
      </c>
      <c r="F3440">
        <f>IF(Skills!N6=TRUE,(Skills!L6/10)*(E3440/1000),Skills!L6/10)+Skills!O6</f>
        <v/>
      </c>
      <c r="G3440">
        <f>Skills!G6*IF(Skills!H6&gt;0,Skills!I6/Skills!H6,1)</f>
        <v/>
      </c>
      <c r="H3440">
        <f>1-(1-Skills!J6/100)^Skills!K6</f>
        <v/>
      </c>
      <c r="I3440" t="inlineStr">
        <is>
          <t>1</t>
        </is>
      </c>
      <c r="J3440">
        <f>((Inputs!$B$6*(1+Inputs!$B$7/100))+(((Inputs!$B$12*(1+Inputs!$B$13/100))-(Inputs!$B$12*(1+Inputs!$B$13/100)))+0.25*(Inputs!$B$14-Inputs!$B$14))*(1+Inputs!$B$7/100))*(F3440/100)</f>
        <v/>
      </c>
      <c r="K3440">
        <f>J3440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3452=TRUE,F3452,0)/100)*(1+(IF(Skills!A6="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3440)</f>
        <v/>
      </c>
      <c r="L3440">
        <f>K3440*(MIN(Inputs!$B$22+((C3458=TRUE)*(F3458-Calc!F24)),(Inputs!$B$23+((C3463=TRUE)*(F3463-Calc!F29))+IF(ArtifactsInput!$M$15,CHOOSE(ArtifactsInput!$N$15+1,25,30,35,40,45,50)/100*(Inputs!$B$11-Inputs!$B$11),0)))/100+(Inputs!$B$23+((C3463=TRUE)*(F3463-Calc!F29))+IF(ArtifactsInput!$M$15,CHOOSE(ArtifactsInput!$N$15+1,25,30,35,40,45,50)/100*(Inputs!$B$11-Inputs!$B$11),0))/100)/2</f>
        <v/>
      </c>
      <c r="M3440">
        <f>L3440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0">
        <f>L3440*(1-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3440*(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0">
        <f>(1-Summary!$B$11)*T3440+Summary!$B$11*V3440</f>
        <v/>
      </c>
      <c r="P3440">
        <f>IF(B3479=0,0,O3440/B3479)</f>
        <v/>
      </c>
      <c r="Q3440">
        <f>IFERROR(1/IF(Inputs!$B$39="pvp",15,MAX(0.1,Skills!D6-IF(Skills!E6=TRUE,2.5,0))),0)</f>
        <v/>
      </c>
      <c r="R3440">
        <f>IF(AND(Inputs!$B$39&lt;&gt;"pvp",Inputs!$B$44&gt;0),IF(MAX(0,Inputs!$B$44-B3478)&lt;=0,0,(INT(MAX(0,Inputs!$B$44-B3478)/IF(Inputs!$B$39="pvp",15,MAX(0.1,Skills!D6-IF(Skills!E6=TRUE,2.5,0))))+1)),0)</f>
        <v/>
      </c>
      <c r="S3440">
        <f>IFERROR(O3440/N3440,0)</f>
        <v/>
      </c>
      <c r="T3440">
        <f>IF(C3440,(H3440*N3440*IF(AND(Inputs!$B$39&lt;&gt;"pvp",Inputs!$B$44&gt;0),((Skills!G6*((R3440-1)*IF(Skills!H6&gt;0,Skills!I6/Skills!H6,1)+IF(Skills!H6&gt;0,MIN(Skills!I6,MAX(0,MAX(0,Inputs!$B$44-B3478)-((R3440-1)*IF(Inputs!$B$39="pvp",15,MAX(0.1,Skills!D6-IF(Skills!E6=TRUE,2.5,0))))))/Skills!H6,1)))/Inputs!$B$44),G3440*Q3440))*IF(Inputs!$B$39="pvp",1,1+(Inputs!$B$20+0+Skills!P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3440*(1-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3440*(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3440*(1-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3440*(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0">
        <f>IF(C3440,(H3440*N3440*IF(AND(Inputs!$B$39&lt;&gt;"pvp",Inputs!$B$44&gt;0),((Skills!G6*((R3440-1)*IF(Skills!H6&gt;0,Skills!I6/Skills!H6,1)+IF(Skills!H6&gt;0,MIN(Skills!I6,MAX(0,MAX(0,Inputs!$B$44-B3478)-((R3440-1)*IF(Inputs!$B$39="pvp",15,MAX(0.1,Skills!D6-IF(Skills!E6=TRUE,2.5,0))))))/Skills!H6,1)))/Inputs!$B$44),G3440*Q3440))*IF(Inputs!$B$39="pvp",1,(1+(Inputs!$B$21+Skills!Q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1">
      <c r="A3441">
        <f>Skills!A7</f>
        <v/>
      </c>
      <c r="B3441">
        <f>Skills!B7</f>
        <v/>
      </c>
      <c r="C3441">
        <f>Inputs!$B$3&gt;=60</f>
        <v/>
      </c>
      <c r="D3441">
        <f>IF(Skills!C7=1,60+Inputs!$B$25+Inputs!$B$29,IF(Skills!C7=2,90+Inputs!$B$26+Inputs!$B$29,IF(Skills!C7=3,120+Inputs!$B$27+Inputs!$B$29,MAX(0,(Inputs!$B$3-100)*3)+Inputs!$B$28+Inputs!$B$29)))</f>
        <v/>
      </c>
      <c r="E3441">
        <f>INDEX(FactorTable!$B$2:$Y$301, MATCH(ROUND(MIN(300,MAX(1,D3441)),0), FactorTable!$A$2:$A$301,0), Skills!M7+1)</f>
        <v/>
      </c>
      <c r="F3441">
        <f>IF(Skills!N7=TRUE,(Skills!L7/10)*(E3441/1000),Skills!L7/10)+Skills!O7</f>
        <v/>
      </c>
      <c r="G3441">
        <f>Skills!G7*IF(Skills!H7&gt;0,Skills!I7/Skills!H7,1)</f>
        <v/>
      </c>
      <c r="H3441">
        <f>1-(1-Skills!J7/100)^Skills!K7</f>
        <v/>
      </c>
      <c r="I3441" t="inlineStr">
        <is>
          <t>1</t>
        </is>
      </c>
      <c r="J3441" t="inlineStr"/>
      <c r="K3441" t="inlineStr"/>
      <c r="L3441" t="inlineStr"/>
      <c r="M3441" t="inlineStr"/>
      <c r="N3441" t="inlineStr"/>
      <c r="O3441">
        <f>(1-Summary!$B$11)*T3441+Summary!$B$11*V3441</f>
        <v/>
      </c>
      <c r="P3441">
        <f>IF(B3479=0,0,O3441/B3479)</f>
        <v/>
      </c>
      <c r="Q3441" t="n">
        <v>0</v>
      </c>
      <c r="R3441" t="n">
        <v>0</v>
      </c>
      <c r="S3441">
        <f>IFERROR(O3441/N3441,0)</f>
        <v/>
      </c>
      <c r="T3441" t="n">
        <v>0</v>
      </c>
      <c r="V3441" t="n">
        <v>0</v>
      </c>
    </row>
    <row r="3442">
      <c r="A3442">
        <f>Skills!A8</f>
        <v/>
      </c>
      <c r="B3442">
        <f>Skills!B8</f>
        <v/>
      </c>
      <c r="C3442">
        <f>Inputs!$B$3&gt;=72</f>
        <v/>
      </c>
      <c r="D3442">
        <f>IF(Skills!C8=1,60+Inputs!$B$25+Inputs!$B$29,IF(Skills!C8=2,90+Inputs!$B$26+Inputs!$B$29,IF(Skills!C8=3,120+Inputs!$B$27+Inputs!$B$29,MAX(0,(Inputs!$B$3-100)*3)+Inputs!$B$28+Inputs!$B$29)))</f>
        <v/>
      </c>
      <c r="E3442">
        <f>INDEX(FactorTable!$B$2:$Y$301, MATCH(ROUND(MIN(300,MAX(1,D3442)),0), FactorTable!$A$2:$A$301,0), Skills!M8+1)</f>
        <v/>
      </c>
      <c r="F3442">
        <f>IF(Skills!N8=TRUE,(Skills!L8/10)*(E3442/1000),Skills!L8/10)+Skills!O8</f>
        <v/>
      </c>
      <c r="G3442">
        <f>Skills!G8*IF(Skills!H8&gt;0,Skills!I8/Skills!H8,1)</f>
        <v/>
      </c>
      <c r="H3442">
        <f>1-(1-Skills!J8/100)^Skills!K8</f>
        <v/>
      </c>
      <c r="I3442" t="inlineStr">
        <is>
          <t>1</t>
        </is>
      </c>
      <c r="J3442">
        <f>((Inputs!$B$6*(1+Inputs!$B$7/100))+(((Inputs!$B$12*(1+Inputs!$B$13/100))-(Inputs!$B$12*(1+Inputs!$B$13/100)))+0.25*(Inputs!$B$14-Inputs!$B$14))*(1+Inputs!$B$7/100))*(F3442/100)</f>
        <v/>
      </c>
      <c r="K3442">
        <f>J3442*(1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3452=TRUE,F3452,0)/100)*(1+(IF(Skills!A8="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3442)</f>
        <v/>
      </c>
      <c r="L3442">
        <f>K3442*(MIN(Inputs!$B$22+((C3458=TRUE)*(F3458-Calc!F24)),(Inputs!$B$23+((C3463=TRUE)*(F3463-Calc!F29))+IF(ArtifactsInput!$M$15,CHOOSE(ArtifactsInput!$N$15+1,25,30,35,40,45,50)/100*(Inputs!$B$11-Inputs!$B$11),0)))/100+(Inputs!$B$23+((C3463=TRUE)*(F3463-Calc!F29))+IF(ArtifactsInput!$M$15,CHOOSE(ArtifactsInput!$N$15+1,25,30,35,40,45,50)/100*(Inputs!$B$11-Inputs!$B$11),0))/100)/2</f>
        <v/>
      </c>
      <c r="M3442">
        <f>L3442*(1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2">
        <f>L3442*(1-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3442*(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2">
        <f>(1-Summary!$B$11)*T3442+Summary!$B$11*V3442</f>
        <v/>
      </c>
      <c r="P3442">
        <f>IF(B3479=0,0,O3442/B3479)</f>
        <v/>
      </c>
      <c r="Q3442">
        <f>IFERROR(1/IF(Inputs!$B$39="pvp",15,MAX(0.1,Skills!D8-IF(Skills!E8=TRUE,2.5,0))),0)</f>
        <v/>
      </c>
      <c r="R3442">
        <f>IF(AND(Inputs!$B$39&lt;&gt;"pvp",Inputs!$B$44&gt;0),IF(MAX(0,Inputs!$B$44-B3478)&lt;=0,0,(INT(MAX(0,Inputs!$B$44-B3478)/IF(Inputs!$B$39="pvp",15,MAX(0.1,Skills!D8-IF(Skills!E8=TRUE,2.5,0))))+1)),0)</f>
        <v/>
      </c>
      <c r="S3442">
        <f>IFERROR(O3442/N3442,0)</f>
        <v/>
      </c>
      <c r="T3442">
        <f>IF(C3442,(H3442*N3442*IF(AND(Inputs!$B$39&lt;&gt;"pvp",Inputs!$B$44&gt;0),((Skills!G8*((R3442-1)*IF(Skills!H8&gt;0,Skills!I8/Skills!H8,1)+IF(Skills!H8&gt;0,MIN(Skills!I8,MAX(0,MAX(0,Inputs!$B$44-B3478)-((R3442-1)*IF(Inputs!$B$39="pvp",15,MAX(0.1,Skills!D8-IF(Skills!E8=TRUE,2.5,0))))))/Skills!H8,1)))/Inputs!$B$44),G3442*Q3442))*IF(Inputs!$B$39="pvp",1,1+(Inputs!$B$20+0+Skills!P8+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3442*(1-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3442*(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3442*(1-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3442*(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2">
        <f>IF(C3442,(H3442*N3442*IF(AND(Inputs!$B$39&lt;&gt;"pvp",Inputs!$B$44&gt;0),((Skills!G8*((R3442-1)*IF(Skills!H8&gt;0,Skills!I8/Skills!H8,1)+IF(Skills!H8&gt;0,MIN(Skills!I8,MAX(0,MAX(0,Inputs!$B$44-B3478)-((R3442-1)*IF(Inputs!$B$39="pvp",15,MAX(0.1,Skills!D8-IF(Skills!E8=TRUE,2.5,0))))))/Skills!H8,1)))/Inputs!$B$44),G3442*Q3442))*IF(Inputs!$B$39="pvp",1,(1+(Inputs!$B$21+Skills!Q8+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3">
      <c r="A3443">
        <f>Skills!A9</f>
        <v/>
      </c>
      <c r="B3443">
        <f>Skills!B9</f>
        <v/>
      </c>
      <c r="C3443">
        <f>Inputs!$B$3&gt;=117</f>
        <v/>
      </c>
      <c r="D3443">
        <f>IF(Skills!C9=1,60+Inputs!$B$25+Inputs!$B$29,IF(Skills!C9=2,90+Inputs!$B$26+Inputs!$B$29,IF(Skills!C9=3,120+Inputs!$B$27+Inputs!$B$29,MAX(0,(Inputs!$B$3-100)*3)+Inputs!$B$28+Inputs!$B$29)))</f>
        <v/>
      </c>
      <c r="E3443">
        <f>INDEX(FactorTable!$B$2:$Y$301, MATCH(ROUND(MIN(300,MAX(1,D3443)),0), FactorTable!$A$2:$A$301,0), Skills!M9+1)</f>
        <v/>
      </c>
      <c r="F3443">
        <f>IF(Skills!N9=TRUE,(Skills!L9/10)*(E3443/1000),Skills!L9/10)+Skills!O9</f>
        <v/>
      </c>
      <c r="G3443">
        <f>Skills!G9*IF(Skills!H9&gt;0,Skills!I9/Skills!H9,1)</f>
        <v/>
      </c>
      <c r="H3443">
        <f>1-(1-Skills!J9/100)^Skills!K9</f>
        <v/>
      </c>
      <c r="I3443" t="inlineStr">
        <is>
          <t>1</t>
        </is>
      </c>
      <c r="J3443">
        <f>((Inputs!$B$6*(1+Inputs!$B$7/100))+(((Inputs!$B$12*(1+Inputs!$B$13/100))-(Inputs!$B$12*(1+Inputs!$B$13/100)))+0.25*(Inputs!$B$14-Inputs!$B$14))*(1+Inputs!$B$7/100))*(F3443/100)</f>
        <v/>
      </c>
      <c r="K3443">
        <f>J3443*(1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3443)</f>
        <v/>
      </c>
      <c r="L3443">
        <f>K3443*(MIN(Inputs!$B$22+((C3458=TRUE)*(F3458-Calc!F24)),(Inputs!$B$23+((C3463=TRUE)*(F3463-Calc!F29))+IF(ArtifactsInput!$M$15,CHOOSE(ArtifactsInput!$N$15+1,25,30,35,40,45,50)/100*(Inputs!$B$11-Inputs!$B$11),0)))/100+(Inputs!$B$23+((C3463=TRUE)*(F3463-Calc!F29))+IF(ArtifactsInput!$M$15,CHOOSE(ArtifactsInput!$N$15+1,25,30,35,40,45,50)/100*(Inputs!$B$11-Inputs!$B$11),0))/100)/2</f>
        <v/>
      </c>
      <c r="M3443">
        <f>L3443*(1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3">
        <f>L3443*(1-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3443*(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3">
        <f>(1-Summary!$B$11)*T3443+Summary!$B$11*V3443</f>
        <v/>
      </c>
      <c r="P3443">
        <f>IF(B3479=0,0,O3443/B3479)</f>
        <v/>
      </c>
      <c r="Q3443" t="n">
        <v>0</v>
      </c>
      <c r="R3443" t="n">
        <v>0</v>
      </c>
      <c r="S3443" t="n">
        <v>0</v>
      </c>
      <c r="T3443">
        <f>IF(C3443,(0.2*SUMPRODUCT((Skills!Z2:Z30=TRUE)*(C3436:C3464=TRUE)*S3436:S3464)*N3443)*IF(Inputs!$B$39="pvp",1,1+(Inputs!$B$20+0+Skills!P9+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3443*(1-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3443*(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3443*(1-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3443*(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3">
        <f>IF(C3443,(0.2*SUMPRODUCT((Skills!Z2:Z30=TRUE)*(C3436:C3464=TRUE)*S3436:S3464)*N3443)*IF(Inputs!$B$39="pvp",1,(1+(Inputs!$B$21+Skills!Q9+B3468+(IF(ArtifactsInput!$M$33,CHOOSE(ArtifactsInput!$N$33+1,30,36,42,48,54,60),0))+(IF(AND(ArtifactsInput!$M$35,Inputs!$B$4&lt;&gt;"Chapter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4">
      <c r="A3444">
        <f>Skills!A10</f>
        <v/>
      </c>
      <c r="B3444">
        <f>Skills!B10</f>
        <v/>
      </c>
      <c r="C3444">
        <f>Inputs!$B$3&gt;=74</f>
        <v/>
      </c>
      <c r="D3444">
        <f>IF(Skills!C10=1,60+Inputs!$B$25+Inputs!$B$29,IF(Skills!C10=2,90+Inputs!$B$26+Inputs!$B$29,IF(Skills!C10=3,120+Inputs!$B$27+Inputs!$B$29,MAX(0,(Inputs!$B$3-100)*3)+Inputs!$B$28+Inputs!$B$29)))</f>
        <v/>
      </c>
      <c r="E3444">
        <f>INDEX(FactorTable!$B$2:$Y$301, MATCH(ROUND(MIN(300,MAX(1,D3444)),0), FactorTable!$A$2:$A$301,0), Skills!M10+1)</f>
        <v/>
      </c>
      <c r="F3444">
        <f>IF(Skills!N10=TRUE,(Skills!L10/10)*(E3444/1000),Skills!L10/10)+Skills!O10</f>
        <v/>
      </c>
      <c r="G3444">
        <f>Skills!G10*IF(Skills!H10&gt;0,Skills!I10/Skills!H10,1)</f>
        <v/>
      </c>
      <c r="H3444">
        <f>1-(1-Skills!J10/100)^Skills!K10</f>
        <v/>
      </c>
      <c r="I3444" t="inlineStr">
        <is>
          <t>1</t>
        </is>
      </c>
      <c r="J3444" t="inlineStr"/>
      <c r="K3444" t="inlineStr"/>
      <c r="L3444" t="inlineStr"/>
      <c r="M3444" t="inlineStr"/>
      <c r="N3444" t="inlineStr"/>
      <c r="O3444">
        <f>(1-Summary!$B$11)*T3444+Summary!$B$11*V3444</f>
        <v/>
      </c>
      <c r="P3444">
        <f>IF(B3479=0,0,O3444/B3479)</f>
        <v/>
      </c>
      <c r="Q3444">
        <f>IFERROR(1/IF(Inputs!$B$39="pvp",15,MAX(0.1,Skills!D10-IF(Skills!E10=TRUE,2.5,0))),0)</f>
        <v/>
      </c>
      <c r="R3444">
        <f>IF(AND(Inputs!$B$39&lt;&gt;"pvp",Inputs!$B$44&gt;0),IF(Inputs!$B$44&lt;=0,0,(INT(Inputs!$B$44/IF(Inputs!$B$39="pvp",15,MAX(0.1,Skills!D10-IF(Skills!E10=TRUE,2.5,0))))+1)),0)</f>
        <v/>
      </c>
      <c r="S3444">
        <f>IFERROR(O3444/N3444,0)</f>
        <v/>
      </c>
      <c r="T3444" t="n">
        <v>0</v>
      </c>
      <c r="V3444" t="n">
        <v>0</v>
      </c>
    </row>
    <row r="3445">
      <c r="A3445">
        <f>Skills!A11</f>
        <v/>
      </c>
      <c r="B3445">
        <f>Skills!B11</f>
        <v/>
      </c>
      <c r="C3445">
        <f>Inputs!$B$3&gt;=103</f>
        <v/>
      </c>
      <c r="D3445">
        <f>IF(Skills!C11=1,60+Inputs!$B$25+Inputs!$B$29,IF(Skills!C11=2,90+Inputs!$B$26+Inputs!$B$29,IF(Skills!C11=3,120+Inputs!$B$27+Inputs!$B$29,MAX(0,(Inputs!$B$3-100)*3)+Inputs!$B$28+Inputs!$B$29)))</f>
        <v/>
      </c>
      <c r="E3445">
        <f>INDEX(FactorTable!$B$2:$Y$301, MATCH(ROUND(MIN(300,MAX(1,D3445)),0), FactorTable!$A$2:$A$301,0), Skills!M11+1)</f>
        <v/>
      </c>
      <c r="F3445">
        <f>(Skills!L11/10)*(E3445/1000)+IF(Inputs!$B$3&gt;=134,50,0)+0.5*(30000/10)*(INDEX(FactorTable!$B$2:$Y$301, MATCH(ROUND(MIN(300,MAX(1,D3445)),0), FactorTable!$A$2:$A$301,0), 13)/1000)*B3477</f>
        <v/>
      </c>
      <c r="G3445">
        <f>Skills!G11*IF(Skills!H11&gt;0,Skills!I11/Skills!H11,1)</f>
        <v/>
      </c>
      <c r="H3445">
        <f>1-(1-Skills!J11/100)^Skills!K11</f>
        <v/>
      </c>
      <c r="I3445" t="inlineStr">
        <is>
          <t>1</t>
        </is>
      </c>
      <c r="J3445">
        <f>((Inputs!$B$6*(1+Inputs!$B$7/100))+(((Inputs!$B$12*(1+Inputs!$B$13/100))-(Inputs!$B$12*(1+Inputs!$B$13/100)))+0.25*(Inputs!$B$14-Inputs!$B$14))*(1+Inputs!$B$7/100))*(F3445/100)</f>
        <v/>
      </c>
      <c r="K3445">
        <f>J3445*(1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3445)</f>
        <v/>
      </c>
      <c r="L3445">
        <f>K3445*(MIN(Inputs!$B$22+((C3458=TRUE)*(F3458-Calc!F24)),(Inputs!$B$23+((C3463=TRUE)*(F3463-Calc!F29))+IF(ArtifactsInput!$M$15,CHOOSE(ArtifactsInput!$N$15+1,25,30,35,40,45,50)/100*(Inputs!$B$11-Inputs!$B$11),0)))/100+(Inputs!$B$23+((C3463=TRUE)*(F3463-Calc!F29))+IF(ArtifactsInput!$M$15,CHOOSE(ArtifactsInput!$N$15+1,25,30,35,40,45,50)/100*(Inputs!$B$11-Inputs!$B$11),0))/100)/2</f>
        <v/>
      </c>
      <c r="M3445">
        <f>L3445*(1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5">
        <f>L3445*(1-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3445*(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5">
        <f>(1-Summary!$B$11)*T3445+Summary!$B$11*V3445</f>
        <v/>
      </c>
      <c r="P3445">
        <f>IF(B3479=0,0,O3445/B3479)</f>
        <v/>
      </c>
      <c r="Q3445">
        <f>IFERROR(1/IF(Inputs!$B$39="pvp",15,MAX(0.1,Skills!D11-IF(Skills!E11=TRUE,2.5,0))),0)</f>
        <v/>
      </c>
      <c r="R3445">
        <f>IF(AND(Inputs!$B$39&lt;&gt;"pvp",Inputs!$B$44&gt;0),IF(MAX(0,Inputs!$B$44-B3478)&lt;=0,0,(INT(MAX(0,Inputs!$B$44-B3478)/IF(Inputs!$B$39="pvp",15,MAX(0.1,Skills!D11-IF(Skills!E11=TRUE,2.5,0))))+1)),0)</f>
        <v/>
      </c>
      <c r="S3445">
        <f>IFERROR(O3445/N3445,0)</f>
        <v/>
      </c>
      <c r="T3445">
        <f>IF(C3445,(H3445*N3445*IF(AND(Inputs!$B$39&lt;&gt;"pvp",Inputs!$B$44&gt;0),((Skills!G11*((R3445-1)*IF(Skills!H11&gt;0,Skills!I11/Skills!H11,1)+IF(Skills!H11&gt;0,MIN(Skills!I11,MAX(0,MAX(0,Inputs!$B$44-B3478)-((R3445-1)*IF(Inputs!$B$39="pvp",15,MAX(0.1,Skills!D11-IF(Skills!E11=TRUE,2.5,0))))))/Skills!H11,1)))/Inputs!$B$44),G3445*Q3445))*IF(Inputs!$B$39="pvp",1,1+(Inputs!$B$20+0+Skills!P11+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3445*(1-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3445*(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3445*(1-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3445*(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5">
        <f>IF(C3445,(H3445*N3445*IF(AND(Inputs!$B$39&lt;&gt;"pvp",Inputs!$B$44&gt;0),((Skills!G11*((R3445-1)*IF(Skills!H11&gt;0,Skills!I11/Skills!H11,1)+IF(Skills!H11&gt;0,MIN(Skills!I11,MAX(0,MAX(0,Inputs!$B$44-B3478)-((R3445-1)*IF(Inputs!$B$39="pvp",15,MAX(0.1,Skills!D11-IF(Skills!E11=TRUE,2.5,0))))))/Skills!H11,1)))/Inputs!$B$44),G3445*Q3445))*IF(Inputs!$B$39="pvp",1,(1+(Inputs!$B$21+Skills!Q11+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6">
      <c r="A3446">
        <f>Skills!A12</f>
        <v/>
      </c>
      <c r="B3446">
        <f>Skills!B12</f>
        <v/>
      </c>
      <c r="C3446">
        <f>Inputs!$B$3&gt;=105</f>
        <v/>
      </c>
      <c r="D3446">
        <f>IF(Skills!C12=1,60+Inputs!$B$25+Inputs!$B$29,IF(Skills!C12=2,90+Inputs!$B$26+Inputs!$B$29,IF(Skills!C12=3,120+Inputs!$B$27+Inputs!$B$29,MAX(0,(Inputs!$B$3-100)*3)+Inputs!$B$28+Inputs!$B$29)))</f>
        <v/>
      </c>
      <c r="E3446">
        <f>INDEX(FactorTable!$B$2:$Y$301, MATCH(ROUND(MIN(300,MAX(1,D3446)),0), FactorTable!$A$2:$A$301,0), Skills!M12+1)</f>
        <v/>
      </c>
      <c r="F3446">
        <f>IF(Skills!N12=TRUE,(Skills!L12/10)*(E3446/1000),Skills!L12/10)+Skills!O12</f>
        <v/>
      </c>
      <c r="G3446">
        <f>Skills!G12*IF(Skills!H12&gt;0,Skills!I12/Skills!H12,1)</f>
        <v/>
      </c>
      <c r="H3446">
        <f>1-(1-Skills!J12/100)^Skills!K12</f>
        <v/>
      </c>
      <c r="I3446" t="inlineStr">
        <is>
          <t>1</t>
        </is>
      </c>
      <c r="J3446">
        <f>((Inputs!$B$6*(1+Inputs!$B$7/100))+(((Inputs!$B$12*(1+Inputs!$B$13/100))-(Inputs!$B$12*(1+Inputs!$B$13/100)))+0.25*(Inputs!$B$14-Inputs!$B$14))*(1+Inputs!$B$7/100))*(F3446/100)</f>
        <v/>
      </c>
      <c r="K3446">
        <f>J3446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3446)</f>
        <v/>
      </c>
      <c r="L3446">
        <f>K3446*(MIN(Inputs!$B$22+((C3458=TRUE)*(F3458-Calc!F24)),(Inputs!$B$23+((C3463=TRUE)*(F3463-Calc!F29))+IF(ArtifactsInput!$M$15,CHOOSE(ArtifactsInput!$N$15+1,25,30,35,40,45,50)/100*(Inputs!$B$11-Inputs!$B$11),0)))/100+(Inputs!$B$23+((C3463=TRUE)*(F3463-Calc!F29))+IF(ArtifactsInput!$M$15,CHOOSE(ArtifactsInput!$N$15+1,25,30,35,40,45,50)/100*(Inputs!$B$11-Inputs!$B$11),0))/100)/2</f>
        <v/>
      </c>
      <c r="M3446">
        <f>L3446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6">
        <f>L3446*(1-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3446*(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6">
        <f>(1-Summary!$B$11)*T3446+Summary!$B$11*V3446</f>
        <v/>
      </c>
      <c r="P3446">
        <f>IF(B3479=0,0,O3446/B3479)</f>
        <v/>
      </c>
      <c r="Q3446">
        <f>IFERROR(1/IF(Inputs!$B$39="pvp",15,MAX(0.1,Skills!D12-IF(Skills!E12=TRUE,2.5,0))),0)</f>
        <v/>
      </c>
      <c r="R3446">
        <f>IF(AND(Inputs!$B$39&lt;&gt;"pvp",Inputs!$B$44&gt;0),IF(MAX(0,Inputs!$B$44-B3478)&lt;=0,0,(INT(MAX(0,Inputs!$B$44-B3478)/IF(Inputs!$B$39="pvp",15,MAX(0.1,Skills!D12-IF(Skills!E12=TRUE,2.5,0))))+1)),0)</f>
        <v/>
      </c>
      <c r="S3446">
        <f>IFERROR(O3446/N3446,0)</f>
        <v/>
      </c>
      <c r="T3446">
        <f>IF(C3446,(H3446*N3446*IF(AND(Inputs!$B$39&lt;&gt;"pvp",Inputs!$B$44&gt;0),((Skills!G12*((R3446-1)*IF(Skills!H12&gt;0,Skills!I12/Skills!H12,1)+IF(Skills!H12&gt;0,MIN(Skills!I12,MAX(0,MAX(0,Inputs!$B$44-B3478)-((R3446-1)*IF(Inputs!$B$39="pvp",15,MAX(0.1,Skills!D12-IF(Skills!E12=TRUE,2.5,0))))))/Skills!H12,1)))/Inputs!$B$44),G3446*Q3446))*IF(Inputs!$B$39="pvp",1,1+(Inputs!$B$20+0+Skills!P12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3446*(1-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3446*(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3446*(1-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3446*(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6">
        <f>IF(C3446,(H3446*N3446*IF(AND(Inputs!$B$39&lt;&gt;"pvp",Inputs!$B$44&gt;0),((Skills!G12*((R3446-1)*IF(Skills!H12&gt;0,Skills!I12/Skills!H12,1)+IF(Skills!H12&gt;0,MIN(Skills!I12,MAX(0,MAX(0,Inputs!$B$44-B3478)-((R3446-1)*IF(Inputs!$B$39="pvp",15,MAX(0.1,Skills!D12-IF(Skills!E12=TRUE,2.5,0))))))/Skills!H12,1)))/Inputs!$B$44),G3446*Q3446))*IF(Inputs!$B$39="pvp",1,(1+(Inputs!$B$21+Skills!Q12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7">
      <c r="A3447">
        <f>Skills!A13</f>
        <v/>
      </c>
      <c r="B3447">
        <f>Skills!B13</f>
        <v/>
      </c>
      <c r="C3447">
        <f>Inputs!$B$3&gt;=105</f>
        <v/>
      </c>
      <c r="D3447">
        <f>IF(Skills!C13=1,60+Inputs!$B$25+Inputs!$B$29,IF(Skills!C13=2,90+Inputs!$B$26+Inputs!$B$29,IF(Skills!C13=3,120+Inputs!$B$27+Inputs!$B$29,MAX(0,(Inputs!$B$3-100)*3)+Inputs!$B$28+Inputs!$B$29)))</f>
        <v/>
      </c>
      <c r="E3447">
        <f>INDEX(FactorTable!$B$2:$Y$301, MATCH(ROUND(MIN(300,MAX(1,D3447)),0), FactorTable!$A$2:$A$301,0), Skills!M13+1)</f>
        <v/>
      </c>
      <c r="F3447">
        <f>IF(Skills!N13=TRUE,(Skills!L13/10)*(E3447/1000),Skills!L13/10)+Skills!O13</f>
        <v/>
      </c>
      <c r="G3447">
        <f>Skills!G13*IF(Skills!H13&gt;0,Skills!I13/Skills!H13,1)</f>
        <v/>
      </c>
      <c r="H3447">
        <f>1-(1-Skills!J13/100)^Skills!K13</f>
        <v/>
      </c>
      <c r="I3447" t="inlineStr">
        <is>
          <t>1</t>
        </is>
      </c>
      <c r="J3447">
        <f>((Inputs!$B$6*(1+Inputs!$B$7/100))+(((Inputs!$B$12*(1+Inputs!$B$13/100))-(Inputs!$B$12*(1+Inputs!$B$13/100)))+0.25*(Inputs!$B$14-Inputs!$B$14))*(1+Inputs!$B$7/100))*(F3447/100)</f>
        <v/>
      </c>
      <c r="K3447">
        <f>J3447*(1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3447)</f>
        <v/>
      </c>
      <c r="L3447">
        <f>K3447*(MIN(Inputs!$B$22+((C3458=TRUE)*(F3458-Calc!F24)),(Inputs!$B$23+((C3463=TRUE)*(F3463-Calc!F29))+IF(ArtifactsInput!$M$15,CHOOSE(ArtifactsInput!$N$15+1,25,30,35,40,45,50)/100*(Inputs!$B$11-Inputs!$B$11),0)))/100+(Inputs!$B$23+((C3463=TRUE)*(F3463-Calc!F29))+IF(ArtifactsInput!$M$15,CHOOSE(ArtifactsInput!$N$15+1,25,30,35,40,45,50)/100*(Inputs!$B$11-Inputs!$B$11),0))/100)/2</f>
        <v/>
      </c>
      <c r="M3447">
        <f>L3447*(1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7">
        <f>L3447*(1-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3447*(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7">
        <f>(1-Summary!$B$11)*T3447+Summary!$B$11*V3447</f>
        <v/>
      </c>
      <c r="P3447">
        <f>IF(B3479=0,0,O3447/B3479)</f>
        <v/>
      </c>
      <c r="Q3447">
        <f>IFERROR(1/IF(Inputs!$B$39="pvp",15,MAX(0.1,Skills!D13-IF(Skills!E13=TRUE,2.5,0))),0)</f>
        <v/>
      </c>
      <c r="R3447">
        <f>IF(AND(Inputs!$B$39&lt;&gt;"pvp",Inputs!$B$44&gt;0),IF(MAX(0,Inputs!$B$44-B3478)&lt;=0,0,(INT(MAX(0,Inputs!$B$44-B3478)/IF(Inputs!$B$39="pvp",15,MAX(0.1,Skills!D13-IF(Skills!E13=TRUE,2.5,0))))+1)),0)</f>
        <v/>
      </c>
      <c r="S3447">
        <f>IFERROR(O3447/N3447,0)</f>
        <v/>
      </c>
      <c r="T3447">
        <f>IF(C3447,(H3447*N3447*IF(AND(Inputs!$B$39&lt;&gt;"pvp",Inputs!$B$44&gt;0),((Skills!G13*((R3447-1)*IF(Skills!H13&gt;0,Skills!I13/Skills!H13,1)+IF(Skills!H13&gt;0,MIN(Skills!I13,MAX(0,MAX(0,Inputs!$B$44-B3478)-((R3447-1)*IF(Inputs!$B$39="pvp",15,MAX(0.1,Skills!D13-IF(Skills!E13=TRUE,2.5,0))))))/Skills!H13,1)))/Inputs!$B$44),G3447*Q3447))*IF(Inputs!$B$39="pvp",1,1+(Inputs!$B$20+0+Skills!P13+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3447*(1-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3447*(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3447*(1-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3447*(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7">
        <f>IF(C3447,(H3447*N3447*IF(AND(Inputs!$B$39&lt;&gt;"pvp",Inputs!$B$44&gt;0),((Skills!G13*((R3447-1)*IF(Skills!H13&gt;0,Skills!I13/Skills!H13,1)+IF(Skills!H13&gt;0,MIN(Skills!I13,MAX(0,MAX(0,Inputs!$B$44-B3478)-((R3447-1)*IF(Inputs!$B$39="pvp",15,MAX(0.1,Skills!D13-IF(Skills!E13=TRUE,2.5,0))))))/Skills!H13,1)))/Inputs!$B$44),G3447*Q3447))*IF(Inputs!$B$39="pvp",1,(1+(Inputs!$B$21+Skills!Q13+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8">
      <c r="A3448">
        <f>Skills!A14</f>
        <v/>
      </c>
      <c r="B3448">
        <f>Skills!B14</f>
        <v/>
      </c>
      <c r="C3448">
        <f>Inputs!$B$3&gt;=107</f>
        <v/>
      </c>
      <c r="D3448">
        <f>IF(Skills!C14=1,60+Inputs!$B$25+Inputs!$B$29,IF(Skills!C14=2,90+Inputs!$B$26+Inputs!$B$29,IF(Skills!C14=3,120+Inputs!$B$27+Inputs!$B$29,MAX(0,(Inputs!$B$3-100)*3)+Inputs!$B$28+Inputs!$B$29)))</f>
        <v/>
      </c>
      <c r="E3448">
        <f>INDEX(FactorTable!$B$2:$Y$301, MATCH(ROUND(MIN(300,MAX(1,D3448)),0), FactorTable!$A$2:$A$301,0), Skills!M14+1)</f>
        <v/>
      </c>
      <c r="F3448">
        <f>IF(Skills!N14=TRUE,(Skills!L14/10)*(E3448/1000),Skills!L14/10)+Skills!O14</f>
        <v/>
      </c>
      <c r="G3448">
        <f>Skills!G14*IF(Skills!H14&gt;0,Skills!I14/Skills!H14,1)</f>
        <v/>
      </c>
      <c r="H3448">
        <f>1-(1-Skills!J14/100)^Skills!K14</f>
        <v/>
      </c>
      <c r="I3448" t="inlineStr">
        <is>
          <t>1</t>
        </is>
      </c>
      <c r="J3448">
        <f>((Inputs!$B$6*(1+Inputs!$B$7/100))+(((Inputs!$B$12*(1+Inputs!$B$13/100))-(Inputs!$B$12*(1+Inputs!$B$13/100)))+0.25*(Inputs!$B$14-Inputs!$B$14))*(1+Inputs!$B$7/100))*(F3448/100)</f>
        <v/>
      </c>
      <c r="K3448">
        <f>J3448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3448)</f>
        <v/>
      </c>
      <c r="L3448">
        <f>K3448*(MIN(Inputs!$B$22+((C3458=TRUE)*(F3458-Calc!F24)),(Inputs!$B$23+((C3463=TRUE)*(F3463-Calc!F29))+IF(ArtifactsInput!$M$15,CHOOSE(ArtifactsInput!$N$15+1,25,30,35,40,45,50)/100*(Inputs!$B$11-Inputs!$B$11),0)))/100+(Inputs!$B$23+((C3463=TRUE)*(F3463-Calc!F29))+IF(ArtifactsInput!$M$15,CHOOSE(ArtifactsInput!$N$15+1,25,30,35,40,45,50)/100*(Inputs!$B$11-Inputs!$B$11),0))/100)/2</f>
        <v/>
      </c>
      <c r="M3448">
        <f>L3448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8">
        <f>L3448*(1-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3448*(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8">
        <f>(1-Summary!$B$11)*T3448+Summary!$B$11*V3448</f>
        <v/>
      </c>
      <c r="P3448">
        <f>IF(B3479=0,0,O3448/B3479)</f>
        <v/>
      </c>
      <c r="Q3448">
        <f>IFERROR(1/IF(Inputs!$B$39="pvp",15,MAX(0.1,Skills!D14-IF(Skills!E14=TRUE,2.5,0))),0)</f>
        <v/>
      </c>
      <c r="R3448">
        <f>IF(AND(Inputs!$B$39&lt;&gt;"pvp",Inputs!$B$44&gt;0),IF(MAX(0,Inputs!$B$44-B3478)&lt;=0,0,(INT(MAX(0,Inputs!$B$44-B3478)/IF(Inputs!$B$39="pvp",15,MAX(0.1,Skills!D14-IF(Skills!E14=TRUE,2.5,0))))+1)),0)</f>
        <v/>
      </c>
      <c r="S3448">
        <f>IFERROR(O3448/N3448,0)</f>
        <v/>
      </c>
      <c r="T3448">
        <f>IF(C3448,(H3448*N3448*IF(AND(Inputs!$B$39&lt;&gt;"pvp",Inputs!$B$44&gt;0),((Skills!G14*((R3448-1)*IF(Skills!H14&gt;0,Skills!I14/Skills!H14,1)+IF(Skills!H14&gt;0,MIN(Skills!I14,MAX(0,MAX(0,Inputs!$B$44-B3478)-((R3448-1)*IF(Inputs!$B$39="pvp",15,MAX(0.1,Skills!D14-IF(Skills!E14=TRUE,2.5,0))))))/Skills!H14,1)))/Inputs!$B$44),G3448*Q3448))*IF(Inputs!$B$39="pvp",1,1+(Inputs!$B$20+0+Skills!P14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3448*(1-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3448*(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3448*(1-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3448*(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8">
        <f>IF(C3448,(H3448*N3448*IF(AND(Inputs!$B$39&lt;&gt;"pvp",Inputs!$B$44&gt;0),((Skills!G14*((R3448-1)*IF(Skills!H14&gt;0,Skills!I14/Skills!H14,1)+IF(Skills!H14&gt;0,MIN(Skills!I14,MAX(0,MAX(0,Inputs!$B$44-B3478)-((R3448-1)*IF(Inputs!$B$39="pvp",15,MAX(0.1,Skills!D14-IF(Skills!E14=TRUE,2.5,0))))))/Skills!H14,1)))/Inputs!$B$44),G3448*Q3448))*IF(Inputs!$B$39="pvp",1,(1+(Inputs!$B$21+Skills!Q14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(5,0.25*B3471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9">
      <c r="A3449">
        <f>Skills!A15</f>
        <v/>
      </c>
      <c r="B3449">
        <f>Skills!B15</f>
        <v/>
      </c>
      <c r="C3449">
        <f>Inputs!$B$3&gt;=110</f>
        <v/>
      </c>
      <c r="D3449">
        <f>IF(Skills!C15=1,60+Inputs!$B$25+Inputs!$B$29,IF(Skills!C15=2,90+Inputs!$B$26+Inputs!$B$29,IF(Skills!C15=3,120+Inputs!$B$27+Inputs!$B$29,MAX(0,(Inputs!$B$3-100)*3)+Inputs!$B$28+Inputs!$B$29)))</f>
        <v/>
      </c>
      <c r="E3449">
        <f>INDEX(FactorTable!$B$2:$Y$301, MATCH(ROUND(MIN(300,MAX(1,D3449)),0), FactorTable!$A$2:$A$301,0), Skills!M15+1)</f>
        <v/>
      </c>
      <c r="F3449">
        <f>IF(Skills!N15=TRUE,(Skills!L15/10)*(E3449/1000),Skills!L15/10)+Skills!O15</f>
        <v/>
      </c>
      <c r="G3449">
        <f>Skills!G15*IF(Skills!H15&gt;0,Skills!I15/Skills!H15,1)</f>
        <v/>
      </c>
      <c r="H3449">
        <f>1-(1-Skills!J15/100)^Skills!K15</f>
        <v/>
      </c>
      <c r="I3449" t="inlineStr">
        <is>
          <t>1</t>
        </is>
      </c>
      <c r="J3449" t="inlineStr"/>
      <c r="K3449" t="inlineStr"/>
      <c r="L3449" t="inlineStr"/>
      <c r="M3449" t="inlineStr"/>
      <c r="N3449" t="inlineStr"/>
      <c r="O3449">
        <f>(1-Summary!$B$11)*T3449+Summary!$B$11*V3449</f>
        <v/>
      </c>
      <c r="P3449">
        <f>IF(B3479=0,0,O3449/B3479)</f>
        <v/>
      </c>
      <c r="Q3449">
        <f>IFERROR(1/IF(Inputs!$B$39="pvp",15,MAX(0.1,Skills!D15-IF(Skills!E15=TRUE,2.5,0))),0)</f>
        <v/>
      </c>
      <c r="R3449">
        <f>IF(AND(Inputs!$B$39&lt;&gt;"pvp",Inputs!$B$44&gt;0),IF(Inputs!$B$44&lt;=0,0,(INT(Inputs!$B$44/IF(Inputs!$B$39="pvp",15,MAX(0.1,Skills!D15-IF(Skills!E15=TRUE,2.5,0))))+1)),0)</f>
        <v/>
      </c>
      <c r="S3449">
        <f>IFERROR(O3449/N3449,0)</f>
        <v/>
      </c>
      <c r="T3449" t="n">
        <v>0</v>
      </c>
      <c r="V3449" t="n">
        <v>0</v>
      </c>
    </row>
    <row r="3450">
      <c r="A3450">
        <f>Skills!A16</f>
        <v/>
      </c>
      <c r="B3450">
        <f>Skills!B16</f>
        <v/>
      </c>
      <c r="C3450">
        <f>Inputs!$B$3&gt;=115</f>
        <v/>
      </c>
      <c r="D3450">
        <f>IF(Skills!C16=1,60+Inputs!$B$25+Inputs!$B$29,IF(Skills!C16=2,90+Inputs!$B$26+Inputs!$B$29,IF(Skills!C16=3,120+Inputs!$B$27+Inputs!$B$29,MAX(0,(Inputs!$B$3-100)*3)+Inputs!$B$28+Inputs!$B$29)))</f>
        <v/>
      </c>
      <c r="E3450">
        <f>INDEX(FactorTable!$B$2:$Y$301, MATCH(ROUND(MIN(300,MAX(1,D3450)),0), FactorTable!$A$2:$A$301,0), Skills!M16+1)</f>
        <v/>
      </c>
      <c r="F3450">
        <f>IF(Skills!N16=TRUE,(Skills!L16/10)*(E3450/1000),Skills!L16/10)+Skills!O16</f>
        <v/>
      </c>
      <c r="G3450">
        <f>Skills!G16*IF(Skills!H16&gt;0,Skills!I16/Skills!H16,1)</f>
        <v/>
      </c>
      <c r="H3450">
        <f>1-(1-Skills!J16/100)^Skills!K16</f>
        <v/>
      </c>
      <c r="I3450" t="inlineStr">
        <is>
          <t>1</t>
        </is>
      </c>
      <c r="J3450">
        <f>((Inputs!$B$6*(1+Inputs!$B$7/100))+(((Inputs!$B$12*(1+Inputs!$B$13/100))-(Inputs!$B$12*(1+Inputs!$B$13/100)))+0.25*(Inputs!$B$14-Inputs!$B$14))*(1+Inputs!$B$7/100))*(F3450/100)</f>
        <v/>
      </c>
      <c r="K3450">
        <f>J3450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3461=TRUE)*(F3461-Calc!F27))+((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3450)</f>
        <v/>
      </c>
      <c r="L3450">
        <f>K3450*(MIN(Inputs!$B$22+((C3458=TRUE)*(F3458-Calc!F24)),(Inputs!$B$23+((C3463=TRUE)*(F3463-Calc!F29))+IF(ArtifactsInput!$M$15,CHOOSE(ArtifactsInput!$N$15+1,25,30,35,40,45,50)/100*(Inputs!$B$11-Inputs!$B$11),0)))/100+(Inputs!$B$23+((C3463=TRUE)*(F3463-Calc!F29))+IF(ArtifactsInput!$M$15,CHOOSE(ArtifactsInput!$N$15+1,25,30,35,40,45,50)/100*(Inputs!$B$11-Inputs!$B$11),0))/100)/2</f>
        <v/>
      </c>
      <c r="M3450">
        <f>L3450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0">
        <f>L3450*(1-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3450*(MIN((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0">
        <f>(1-Summary!$B$11)*T3450+Summary!$B$11*V3450</f>
        <v/>
      </c>
      <c r="P3450">
        <f>IF(B3479=0,0,O3450/B3479)</f>
        <v/>
      </c>
      <c r="Q3450" t="n">
        <v>0</v>
      </c>
      <c r="R3450" t="n">
        <v>0</v>
      </c>
      <c r="S3450">
        <f>IFERROR(O3450/N3450,0)</f>
        <v/>
      </c>
      <c r="T3450">
        <f>IF(C3450,(Inputs!$B$38*0.2*N3450)*IF(Inputs!$B$39="pvp",1,1+(Inputs!$B$20+0+Skills!P16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3450*(1-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3450*(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3450*(1-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3450*(MIN(100,(Inputs!$B$9+((C3459=TRUE)*(F3459-Calc!F25))+B3467+(ArtifactsInput!$M$24-ArtifactsInput!$M$24)*CHOOSE(ArtifactsInput!$N$24+1,10,12,14,16,18,20)+(IF(AND(Inputs!$B$39&lt;&gt;"pvp",Inputs!$B$44=0),1,IF(IF(Inputs!$B$39="pvp",15,Inputs!$B$44)-(B3478)&lt;=0,1,MAX(0,IF(Inputs!$B$39="pvp",15,Inputs!$B$44)-MAX(5,B3478))/(IF(Inputs!$B$39="pvp",15,Inputs!$B$44)-(B3478))))*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0">
        <f>IF(C3450,(Inputs!$B$38*0.2*N3450)*IF(Inputs!$B$39="pvp",1,(1+(Inputs!$B$21+Skills!Q16+B3468+(IF(ArtifactsInput!$M$33,CHOOSE(ArtifactsInput!$N$33+1,30,36,42,48,54,60),0))+(IF(AND(ArtifactsInput!$M$35,Inputs!$B$4&lt;&gt;"Chapter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1">
      <c r="A3451">
        <f>Skills!A17</f>
        <v/>
      </c>
      <c r="B3451">
        <f>Skills!B17</f>
        <v/>
      </c>
      <c r="C3451">
        <f>Inputs!$B$3&gt;=115</f>
        <v/>
      </c>
      <c r="D3451">
        <f>IF(Skills!C17=1,60+Inputs!$B$25+Inputs!$B$29,IF(Skills!C17=2,90+Inputs!$B$26+Inputs!$B$29,IF(Skills!C17=3,120+Inputs!$B$27+Inputs!$B$29,MAX(0,(Inputs!$B$3-100)*3)+Inputs!$B$28+Inputs!$B$29)))</f>
        <v/>
      </c>
      <c r="E3451">
        <f>INDEX(FactorTable!$B$2:$Y$301, MATCH(ROUND(MIN(300,MAX(1,D3451)),0), FactorTable!$A$2:$A$301,0), Skills!M17+1)</f>
        <v/>
      </c>
      <c r="F3451">
        <f>IF(Skills!N17=TRUE,(Skills!L17/10)*(E3451/1000),Skills!L17/10)+Skills!O17</f>
        <v/>
      </c>
      <c r="G3451">
        <f>Skills!G17*IF(Skills!H17&gt;0,Skills!I17/Skills!H17,1)</f>
        <v/>
      </c>
      <c r="H3451">
        <f>1-(1-Skills!J17/100)^Skills!K17</f>
        <v/>
      </c>
      <c r="I3451" t="inlineStr">
        <is>
          <t>1</t>
        </is>
      </c>
      <c r="J3451" t="inlineStr"/>
      <c r="K3451" t="inlineStr"/>
      <c r="L3451" t="inlineStr"/>
      <c r="M3451" t="inlineStr"/>
      <c r="N3451" t="inlineStr"/>
      <c r="O3451">
        <f>(1-Summary!$B$11)*T3451+Summary!$B$11*V3451</f>
        <v/>
      </c>
      <c r="P3451">
        <f>IF(B3479=0,0,O3451/B3479)</f>
        <v/>
      </c>
      <c r="Q3451" t="n">
        <v>0</v>
      </c>
      <c r="R3451" t="n">
        <v>0</v>
      </c>
      <c r="S3451">
        <f>IFERROR(O3451/N3451,0)</f>
        <v/>
      </c>
      <c r="T3451" t="n">
        <v>0</v>
      </c>
      <c r="V3451" t="n">
        <v>0</v>
      </c>
    </row>
    <row r="3452">
      <c r="A3452">
        <f>Skills!A18</f>
        <v/>
      </c>
      <c r="B3452">
        <f>Skills!B18</f>
        <v/>
      </c>
      <c r="C3452">
        <f>Inputs!$B$3&gt;=100</f>
        <v/>
      </c>
      <c r="D3452">
        <f>IF(Skills!C18=1,60+Inputs!$B$25+Inputs!$B$29,IF(Skills!C18=2,90+Inputs!$B$26+Inputs!$B$29,IF(Skills!C18=3,120+Inputs!$B$27+Inputs!$B$29,MAX(0,(Inputs!$B$3-100)*3)+Inputs!$B$28+Inputs!$B$29)))</f>
        <v/>
      </c>
      <c r="E3452">
        <f>INDEX(FactorTable!$B$2:$Y$301, MATCH(ROUND(MIN(300,MAX(1,D3452)),0), FactorTable!$A$2:$A$301,0), Skills!M18+1)</f>
        <v/>
      </c>
      <c r="F3452">
        <f>IF(Skills!N18=TRUE,(Skills!L18/10)*(E3452/1000),Skills!L18/10)+Skills!O18</f>
        <v/>
      </c>
      <c r="G3452">
        <f>Skills!G18*IF(Skills!H18&gt;0,Skills!I18/Skills!H18,1)</f>
        <v/>
      </c>
      <c r="H3452">
        <f>1-(1-Skills!J18/100)^Skills!K18</f>
        <v/>
      </c>
      <c r="I3452" t="inlineStr">
        <is>
          <t>1</t>
        </is>
      </c>
      <c r="J3452" t="inlineStr"/>
      <c r="K3452" t="inlineStr"/>
      <c r="L3452" t="inlineStr"/>
      <c r="M3452" t="inlineStr"/>
      <c r="N3452" t="inlineStr"/>
      <c r="O3452">
        <f>(1-Summary!$B$11)*T3452+Summary!$B$11*V3452</f>
        <v/>
      </c>
      <c r="P3452">
        <f>IF(B3479=0,0,O3452/B3479)</f>
        <v/>
      </c>
      <c r="Q3452" t="n">
        <v>0</v>
      </c>
      <c r="R3452" t="n">
        <v>0</v>
      </c>
      <c r="S3452">
        <f>IFERROR(O3452/N3452,0)</f>
        <v/>
      </c>
      <c r="T3452" t="n">
        <v>0</v>
      </c>
      <c r="V3452" t="n">
        <v>0</v>
      </c>
    </row>
    <row r="3453">
      <c r="A3453">
        <f>Skills!A19</f>
        <v/>
      </c>
      <c r="B3453">
        <f>Skills!B19</f>
        <v/>
      </c>
      <c r="C3453">
        <f>TRUE</f>
        <v/>
      </c>
      <c r="D3453">
        <f>IF(Skills!C19=1,60+Inputs!$B$25+Inputs!$B$29,IF(Skills!C19=2,90+Inputs!$B$26+Inputs!$B$29,IF(Skills!C19=3,120+Inputs!$B$27+Inputs!$B$29,MAX(0,(Inputs!$B$3-100)*3)+Inputs!$B$28+Inputs!$B$29)))</f>
        <v/>
      </c>
      <c r="E3453">
        <f>INDEX(FactorTable!$B$2:$Y$301, MATCH(ROUND(MIN(300,MAX(1,D3453)),0), FactorTable!$A$2:$A$301,0), Skills!M19+1)</f>
        <v/>
      </c>
      <c r="F3453">
        <f>IF(Skills!N19=TRUE,(Skills!L19/10)*(E3453/1000),Skills!L19/10)+Skills!O19</f>
        <v/>
      </c>
      <c r="G3453">
        <f>Skills!G19*IF(Skills!H19&gt;0,Skills!I19/Skills!H19,1)</f>
        <v/>
      </c>
      <c r="H3453">
        <f>1-(1-Skills!J19/100)^Skills!K19</f>
        <v/>
      </c>
      <c r="I3453" t="inlineStr">
        <is>
          <t>1</t>
        </is>
      </c>
      <c r="J3453" t="inlineStr"/>
      <c r="K3453" t="inlineStr"/>
      <c r="L3453" t="inlineStr"/>
      <c r="M3453" t="inlineStr"/>
      <c r="N3453" t="inlineStr"/>
      <c r="O3453">
        <f>(1-Summary!$B$11)*T3453+Summary!$B$11*V3453</f>
        <v/>
      </c>
      <c r="P3453">
        <f>IF(B3479=0,0,O3453/B3479)</f>
        <v/>
      </c>
      <c r="Q3453">
        <f>IFERROR(1/IF(Inputs!$B$39="pvp",15,MAX(0.1,Skills!D19-IF(Skills!E19=TRUE,2.5,0))),0)</f>
        <v/>
      </c>
      <c r="R3453">
        <f>IF(AND(Inputs!$B$39&lt;&gt;"pvp",Inputs!$B$44&gt;0),IF(Inputs!$B$44&lt;=0,0,(INT(Inputs!$B$44/IF(Inputs!$B$39="pvp",15,MAX(0.1,Skills!D19-IF(Skills!E19=TRUE,2.5,0))))+1)),0)</f>
        <v/>
      </c>
      <c r="S3453">
        <f>IFERROR(O3453/N3453,0)</f>
        <v/>
      </c>
      <c r="T3453" t="n">
        <v>0</v>
      </c>
      <c r="V3453" t="n">
        <v>0</v>
      </c>
    </row>
    <row r="3454">
      <c r="A3454">
        <f>Skills!A20</f>
        <v/>
      </c>
      <c r="B3454">
        <f>Skills!B20</f>
        <v/>
      </c>
      <c r="C3454">
        <f>Inputs!$B$3&gt;=15</f>
        <v/>
      </c>
      <c r="D3454">
        <f>IF(Skills!C20=1,60+Inputs!$B$25+Inputs!$B$29,IF(Skills!C20=2,90+Inputs!$B$26+Inputs!$B$29,IF(Skills!C20=3,120+Inputs!$B$27+Inputs!$B$29,MAX(0,(Inputs!$B$3-100)*3)+Inputs!$B$28+Inputs!$B$29)))</f>
        <v/>
      </c>
      <c r="E3454">
        <f>INDEX(FactorTable!$B$2:$Y$301, MATCH(ROUND(MIN(300,MAX(1,D3454)),0), FactorTable!$A$2:$A$301,0), Skills!M20+1)</f>
        <v/>
      </c>
      <c r="F3454">
        <f>IF(Skills!N20=TRUE,(Skills!L20/10)*(E3454/1000),Skills!L20/10)+Skills!O20</f>
        <v/>
      </c>
      <c r="G3454">
        <f>Skills!G20*IF(Skills!H20&gt;0,Skills!I20/Skills!H20,1)</f>
        <v/>
      </c>
      <c r="H3454">
        <f>1-(1-Skills!J20/100)^Skills!K20</f>
        <v/>
      </c>
      <c r="I3454" t="inlineStr">
        <is>
          <t>1</t>
        </is>
      </c>
      <c r="J3454" t="inlineStr"/>
      <c r="K3454" t="inlineStr"/>
      <c r="L3454" t="inlineStr"/>
      <c r="M3454" t="inlineStr"/>
      <c r="N3454" t="inlineStr"/>
      <c r="O3454">
        <f>(1-Summary!$B$11)*T3454+Summary!$B$11*V3454</f>
        <v/>
      </c>
      <c r="P3454">
        <f>IF(B3479=0,0,O3454/B3479)</f>
        <v/>
      </c>
      <c r="Q3454">
        <f>IFERROR(1/IF(Inputs!$B$39="pvp",15,MAX(0.1,Skills!D20-IF(Skills!E20=TRUE,2.5,0))),0)</f>
        <v/>
      </c>
      <c r="R3454">
        <f>IF(AND(Inputs!$B$39&lt;&gt;"pvp",Inputs!$B$44&gt;0),IF(Inputs!$B$44&lt;=0,0,(INT(Inputs!$B$44/IF(Inputs!$B$39="pvp",15,MAX(0.1,Skills!D20-IF(Skills!E20=TRUE,2.5,0))))+1)),0)</f>
        <v/>
      </c>
      <c r="S3454">
        <f>IFERROR(O3454/N3454,0)</f>
        <v/>
      </c>
      <c r="T3454" t="n">
        <v>0</v>
      </c>
      <c r="V3454" t="n">
        <v>0</v>
      </c>
    </row>
    <row r="3455">
      <c r="A3455">
        <f>Skills!A21</f>
        <v/>
      </c>
      <c r="B3455">
        <f>Skills!B21</f>
        <v/>
      </c>
      <c r="C3455">
        <f>Inputs!$B$3&gt;=15</f>
        <v/>
      </c>
      <c r="D3455">
        <f>IF(Skills!C21=1,60+Inputs!$B$25+Inputs!$B$29,IF(Skills!C21=2,90+Inputs!$B$26+Inputs!$B$29,IF(Skills!C21=3,120+Inputs!$B$27+Inputs!$B$29,MAX(0,(Inputs!$B$3-100)*3)+Inputs!$B$28+Inputs!$B$29)))</f>
        <v/>
      </c>
      <c r="E3455">
        <f>INDEX(FactorTable!$B$2:$Y$301, MATCH(ROUND(MIN(300,MAX(1,D3455)),0), FactorTable!$A$2:$A$301,0), Skills!M21+1)</f>
        <v/>
      </c>
      <c r="F3455">
        <f>IF(Skills!N21=TRUE,(Skills!L21/10)*(E3455/1000),Skills!L21/10)+Skills!O21</f>
        <v/>
      </c>
      <c r="G3455">
        <f>Skills!G21*IF(Skills!H21&gt;0,Skills!I21/Skills!H21,1)</f>
        <v/>
      </c>
      <c r="H3455">
        <f>1-(1-Skills!J21/100)^Skills!K21</f>
        <v/>
      </c>
      <c r="I3455" t="inlineStr">
        <is>
          <t>1</t>
        </is>
      </c>
      <c r="J3455" t="inlineStr"/>
      <c r="K3455" t="inlineStr"/>
      <c r="L3455" t="inlineStr"/>
      <c r="M3455" t="inlineStr"/>
      <c r="N3455" t="inlineStr"/>
      <c r="O3455">
        <f>(1-Summary!$B$11)*T3455+Summary!$B$11*V3455</f>
        <v/>
      </c>
      <c r="P3455">
        <f>IF(B3479=0,0,O3455/B3479)</f>
        <v/>
      </c>
      <c r="Q3455">
        <f>IFERROR(1/IF(Inputs!$B$39="pvp",15,MAX(0.1,Skills!D21-IF(Skills!E21=TRUE,2.5,0))),0)</f>
        <v/>
      </c>
      <c r="R3455">
        <f>IF(AND(Inputs!$B$39&lt;&gt;"pvp",Inputs!$B$44&gt;0),IF(Inputs!$B$44&lt;=0,0,(INT(Inputs!$B$44/IF(Inputs!$B$39="pvp",15,MAX(0.1,Skills!D21-IF(Skills!E21=TRUE,2.5,0))))+1)),0)</f>
        <v/>
      </c>
      <c r="S3455">
        <f>IFERROR(O3455/N3455,0)</f>
        <v/>
      </c>
      <c r="T3455" t="n">
        <v>0</v>
      </c>
      <c r="V3455" t="n">
        <v>0</v>
      </c>
    </row>
    <row r="3456">
      <c r="A3456">
        <f>Skills!A22</f>
        <v/>
      </c>
      <c r="B3456">
        <f>Skills!B22</f>
        <v/>
      </c>
      <c r="C3456">
        <f>Inputs!$B$3&gt;=33</f>
        <v/>
      </c>
      <c r="D3456">
        <f>IF(Skills!C22=1,60+Inputs!$B$25+Inputs!$B$29,IF(Skills!C22=2,90+Inputs!$B$26+Inputs!$B$29,IF(Skills!C22=3,120+Inputs!$B$27+Inputs!$B$29,MAX(0,(Inputs!$B$3-100)*3)+Inputs!$B$28+Inputs!$B$29)))</f>
        <v/>
      </c>
      <c r="E3456">
        <f>INDEX(FactorTable!$B$2:$Y$301, MATCH(ROUND(MIN(300,MAX(1,D3456)),0), FactorTable!$A$2:$A$301,0), Skills!M22+1)</f>
        <v/>
      </c>
      <c r="F3456">
        <f>IF(Skills!N22=TRUE,(Skills!L22/10)*(E3456/1000),Skills!L22/10)+Skills!O22</f>
        <v/>
      </c>
      <c r="G3456">
        <f>Skills!G22*IF(Skills!H22&gt;0,Skills!I22/Skills!H22,1)</f>
        <v/>
      </c>
      <c r="H3456">
        <f>1-(1-Skills!J22/100)^Skills!K22</f>
        <v/>
      </c>
      <c r="I3456" t="inlineStr">
        <is>
          <t>1</t>
        </is>
      </c>
      <c r="J3456" t="inlineStr"/>
      <c r="K3456" t="inlineStr"/>
      <c r="L3456" t="inlineStr"/>
      <c r="M3456" t="inlineStr"/>
      <c r="N3456" t="inlineStr"/>
      <c r="O3456">
        <f>(1-Summary!$B$11)*T3456+Summary!$B$11*V3456</f>
        <v/>
      </c>
      <c r="P3456">
        <f>IF(B3479=0,0,O3456/B3479)</f>
        <v/>
      </c>
      <c r="Q3456" t="n">
        <v>0</v>
      </c>
      <c r="R3456" t="n">
        <v>0</v>
      </c>
      <c r="S3456">
        <f>IFERROR(O3456/N3456,0)</f>
        <v/>
      </c>
      <c r="T3456" t="n">
        <v>0</v>
      </c>
      <c r="V3456" t="n">
        <v>0</v>
      </c>
    </row>
    <row r="3457">
      <c r="A3457">
        <f>Skills!A23</f>
        <v/>
      </c>
      <c r="B3457">
        <f>Skills!B23</f>
        <v/>
      </c>
      <c r="C3457">
        <f>Inputs!$B$3&gt;=40</f>
        <v/>
      </c>
      <c r="D3457">
        <f>IF(Skills!C23=1,60+Inputs!$B$25+Inputs!$B$29,IF(Skills!C23=2,90+Inputs!$B$26+Inputs!$B$29,IF(Skills!C23=3,120+Inputs!$B$27+Inputs!$B$29,MAX(0,(Inputs!$B$3-100)*3)+Inputs!$B$28+Inputs!$B$29)))</f>
        <v/>
      </c>
      <c r="E3457">
        <f>INDEX(FactorTable!$B$2:$Y$301, MATCH(ROUND(MIN(300,MAX(1,D3457)),0), FactorTable!$A$2:$A$301,0), Skills!M23+1)</f>
        <v/>
      </c>
      <c r="F3457">
        <f>IF(Skills!N23=TRUE,(Skills!L23/10)*(E3457/1000),Skills!L23/10)+Skills!O23</f>
        <v/>
      </c>
      <c r="G3457">
        <f>Skills!G23*IF(Skills!H23&gt;0,Skills!I23/Skills!H23,1)</f>
        <v/>
      </c>
      <c r="H3457">
        <f>1-(1-Skills!J23/100)^Skills!K23</f>
        <v/>
      </c>
      <c r="I3457" t="inlineStr">
        <is>
          <t>1</t>
        </is>
      </c>
      <c r="J3457" t="inlineStr"/>
      <c r="K3457" t="inlineStr"/>
      <c r="L3457" t="inlineStr"/>
      <c r="M3457" t="inlineStr"/>
      <c r="N3457" t="inlineStr"/>
      <c r="O3457">
        <f>(1-Summary!$B$11)*T3457+Summary!$B$11*V3457</f>
        <v/>
      </c>
      <c r="P3457">
        <f>IF(B3479=0,0,O3457/B3479)</f>
        <v/>
      </c>
      <c r="Q3457" t="n">
        <v>0</v>
      </c>
      <c r="R3457" t="n">
        <v>0</v>
      </c>
      <c r="S3457">
        <f>IFERROR(O3457/N3457,0)</f>
        <v/>
      </c>
      <c r="T3457" t="n">
        <v>0</v>
      </c>
      <c r="V3457" t="n">
        <v>0</v>
      </c>
    </row>
    <row r="3458">
      <c r="A3458">
        <f>Skills!A24</f>
        <v/>
      </c>
      <c r="B3458">
        <f>Skills!B24</f>
        <v/>
      </c>
      <c r="C3458">
        <f>Inputs!$B$3&gt;=43</f>
        <v/>
      </c>
      <c r="D3458">
        <f>IF(Skills!C24=1,60+Inputs!$B$25+Inputs!$B$29,IF(Skills!C24=2,90+Inputs!$B$26+Inputs!$B$29,IF(Skills!C24=3,120+Inputs!$B$27+Inputs!$B$29,MAX(0,(Inputs!$B$3-100)*3)+Inputs!$B$28+Inputs!$B$29)))</f>
        <v/>
      </c>
      <c r="E3458">
        <f>INDEX(FactorTable!$B$2:$Y$301, MATCH(ROUND(MIN(300,MAX(1,D3458)),0), FactorTable!$A$2:$A$301,0), Skills!M24+1)</f>
        <v/>
      </c>
      <c r="F3458">
        <f>IF(Skills!N24=TRUE,(Skills!L24/10)*(E3458/1000),Skills!L24/10)+Skills!O24</f>
        <v/>
      </c>
      <c r="G3458">
        <f>Skills!G24*IF(Skills!H24&gt;0,Skills!I24/Skills!H24,1)</f>
        <v/>
      </c>
      <c r="H3458">
        <f>1-(1-Skills!J24/100)^Skills!K24</f>
        <v/>
      </c>
      <c r="I3458" t="inlineStr">
        <is>
          <t>1</t>
        </is>
      </c>
      <c r="J3458" t="inlineStr"/>
      <c r="K3458" t="inlineStr"/>
      <c r="L3458" t="inlineStr"/>
      <c r="M3458" t="inlineStr"/>
      <c r="N3458" t="inlineStr"/>
      <c r="O3458">
        <f>(1-Summary!$B$11)*T3458+Summary!$B$11*V3458</f>
        <v/>
      </c>
      <c r="P3458">
        <f>IF(B3479=0,0,O3458/B3479)</f>
        <v/>
      </c>
      <c r="Q3458" t="n">
        <v>0</v>
      </c>
      <c r="R3458" t="n">
        <v>0</v>
      </c>
      <c r="S3458">
        <f>IFERROR(O3458/N3458,0)</f>
        <v/>
      </c>
      <c r="T3458" t="n">
        <v>0</v>
      </c>
      <c r="V3458" t="n">
        <v>0</v>
      </c>
    </row>
    <row r="3459">
      <c r="A3459">
        <f>Skills!A25</f>
        <v/>
      </c>
      <c r="B3459">
        <f>Skills!B25</f>
        <v/>
      </c>
      <c r="C3459">
        <f>Inputs!$B$3&gt;=50</f>
        <v/>
      </c>
      <c r="D3459">
        <f>IF(Skills!C25=1,60+Inputs!$B$25+Inputs!$B$29,IF(Skills!C25=2,90+Inputs!$B$26+Inputs!$B$29,IF(Skills!C25=3,120+Inputs!$B$27+Inputs!$B$29,MAX(0,(Inputs!$B$3-100)*3)+Inputs!$B$28+Inputs!$B$29)))</f>
        <v/>
      </c>
      <c r="E3459">
        <f>INDEX(FactorTable!$B$2:$Y$301, MATCH(ROUND(MIN(300,MAX(1,D3459)),0), FactorTable!$A$2:$A$301,0), Skills!M25+1)</f>
        <v/>
      </c>
      <c r="F3459">
        <f>IF(Skills!N25=TRUE,(Skills!L25/10)*(E3459/1000),Skills!L25/10)+Skills!O25</f>
        <v/>
      </c>
      <c r="G3459">
        <f>Skills!G25*IF(Skills!H25&gt;0,Skills!I25/Skills!H25,1)</f>
        <v/>
      </c>
      <c r="H3459">
        <f>1-(1-Skills!J25/100)^Skills!K25</f>
        <v/>
      </c>
      <c r="I3459" t="inlineStr">
        <is>
          <t>1</t>
        </is>
      </c>
      <c r="J3459" t="inlineStr"/>
      <c r="K3459" t="inlineStr"/>
      <c r="L3459" t="inlineStr"/>
      <c r="M3459" t="inlineStr"/>
      <c r="N3459" t="inlineStr"/>
      <c r="O3459">
        <f>(1-Summary!$B$11)*T3459+Summary!$B$11*V3459</f>
        <v/>
      </c>
      <c r="P3459">
        <f>IF(B3479=0,0,O3459/B3479)</f>
        <v/>
      </c>
      <c r="Q3459" t="n">
        <v>0</v>
      </c>
      <c r="R3459" t="n">
        <v>0</v>
      </c>
      <c r="S3459">
        <f>IFERROR(O3459/N3459,0)</f>
        <v/>
      </c>
      <c r="T3459" t="n">
        <v>0</v>
      </c>
      <c r="V3459" t="n">
        <v>0</v>
      </c>
    </row>
    <row r="3460">
      <c r="A3460">
        <f>Skills!A26</f>
        <v/>
      </c>
      <c r="B3460">
        <f>Skills!B26</f>
        <v/>
      </c>
      <c r="C3460">
        <f>Inputs!$B$3&gt;=50</f>
        <v/>
      </c>
      <c r="D3460">
        <f>IF(Skills!C26=1,60+Inputs!$B$25+Inputs!$B$29,IF(Skills!C26=2,90+Inputs!$B$26+Inputs!$B$29,IF(Skills!C26=3,120+Inputs!$B$27+Inputs!$B$29,MAX(0,(Inputs!$B$3-100)*3)+Inputs!$B$28+Inputs!$B$29)))</f>
        <v/>
      </c>
      <c r="E3460">
        <f>INDEX(FactorTable!$B$2:$Y$301, MATCH(ROUND(MIN(300,MAX(1,D3460)),0), FactorTable!$A$2:$A$301,0), Skills!M26+1)</f>
        <v/>
      </c>
      <c r="F3460">
        <f>IF(Skills!N26=TRUE,(Skills!L26/10)*(E3460/1000),Skills!L26/10)+Skills!O26</f>
        <v/>
      </c>
      <c r="G3460">
        <f>Skills!G26*IF(Skills!H26&gt;0,Skills!I26/Skills!H26,1)</f>
        <v/>
      </c>
      <c r="H3460">
        <f>1-(1-Skills!J26/100)^Skills!K26</f>
        <v/>
      </c>
      <c r="I3460" t="inlineStr">
        <is>
          <t>1</t>
        </is>
      </c>
      <c r="J3460" t="inlineStr"/>
      <c r="K3460" t="inlineStr"/>
      <c r="L3460" t="inlineStr"/>
      <c r="M3460" t="inlineStr"/>
      <c r="N3460" t="inlineStr"/>
      <c r="O3460">
        <f>(1-Summary!$B$11)*T3460+Summary!$B$11*V3460</f>
        <v/>
      </c>
      <c r="P3460">
        <f>IF(B3479=0,0,O3460/B3479)</f>
        <v/>
      </c>
      <c r="Q3460" t="n">
        <v>0</v>
      </c>
      <c r="R3460" t="n">
        <v>0</v>
      </c>
      <c r="S3460">
        <f>IFERROR(O3460/N3460,0)</f>
        <v/>
      </c>
      <c r="T3460" t="n">
        <v>0</v>
      </c>
      <c r="V3460" t="n">
        <v>0</v>
      </c>
    </row>
    <row r="3461">
      <c r="A3461">
        <f>Skills!A27</f>
        <v/>
      </c>
      <c r="B3461">
        <f>Skills!B27</f>
        <v/>
      </c>
      <c r="C3461">
        <f>Inputs!$B$3&gt;=38</f>
        <v/>
      </c>
      <c r="D3461">
        <f>IF(Skills!C27=1,60+Inputs!$B$25+Inputs!$B$29,IF(Skills!C27=2,90+Inputs!$B$26+Inputs!$B$29,IF(Skills!C27=3,120+Inputs!$B$27+Inputs!$B$29,MAX(0,(Inputs!$B$3-100)*3)+Inputs!$B$28+Inputs!$B$29)))</f>
        <v/>
      </c>
      <c r="E3461">
        <f>INDEX(FactorTable!$B$2:$Y$301, MATCH(ROUND(MIN(300,MAX(1,D3461)),0), FactorTable!$A$2:$A$301,0), Skills!M27+1)</f>
        <v/>
      </c>
      <c r="F3461">
        <f>IF(Skills!N27=TRUE,(Skills!L27/10)*(E3461/1000),Skills!L27/10)+Skills!O27</f>
        <v/>
      </c>
      <c r="G3461">
        <f>Skills!G27*IF(Skills!H27&gt;0,Skills!I27/Skills!H27,1)</f>
        <v/>
      </c>
      <c r="H3461">
        <f>1-(1-Skills!J27/100)^Skills!K27</f>
        <v/>
      </c>
      <c r="I3461" t="inlineStr">
        <is>
          <t>1</t>
        </is>
      </c>
      <c r="J3461" t="inlineStr"/>
      <c r="K3461" t="inlineStr"/>
      <c r="L3461" t="inlineStr"/>
      <c r="M3461" t="inlineStr"/>
      <c r="N3461" t="inlineStr"/>
      <c r="O3461">
        <f>(1-Summary!$B$11)*T3461+Summary!$B$11*V3461</f>
        <v/>
      </c>
      <c r="P3461">
        <f>IF(B3479=0,0,O3461/B3479)</f>
        <v/>
      </c>
      <c r="Q3461" t="n">
        <v>0</v>
      </c>
      <c r="R3461" t="n">
        <v>0</v>
      </c>
      <c r="S3461">
        <f>IFERROR(O3461/N3461,0)</f>
        <v/>
      </c>
      <c r="T3461" t="n">
        <v>0</v>
      </c>
      <c r="V3461" t="n">
        <v>0</v>
      </c>
    </row>
    <row r="3462">
      <c r="A3462">
        <f>Skills!A28</f>
        <v/>
      </c>
      <c r="B3462">
        <f>Skills!B28</f>
        <v/>
      </c>
      <c r="C3462">
        <f>Inputs!$B$3&gt;=120</f>
        <v/>
      </c>
      <c r="D3462">
        <f>IF(Skills!C28=1,60+Inputs!$B$25+Inputs!$B$29,IF(Skills!C28=2,90+Inputs!$B$26+Inputs!$B$29,IF(Skills!C28=3,120+Inputs!$B$27+Inputs!$B$29,MAX(0,(Inputs!$B$3-100)*3)+Inputs!$B$28+Inputs!$B$29)))</f>
        <v/>
      </c>
      <c r="E3462">
        <f>INDEX(FactorTable!$B$2:$Y$301, MATCH(ROUND(MIN(300,MAX(1,D3462)),0), FactorTable!$A$2:$A$301,0), Skills!M28+1)</f>
        <v/>
      </c>
      <c r="F3462">
        <f>IF(Skills!N28=TRUE,(Skills!L28/10)*(E3462/1000),Skills!L28/10)+Skills!O28</f>
        <v/>
      </c>
      <c r="G3462">
        <f>Skills!G28*IF(Skills!H28&gt;0,Skills!I28/Skills!H28,1)</f>
        <v/>
      </c>
      <c r="H3462">
        <f>1-(1-Skills!J28/100)^Skills!K28</f>
        <v/>
      </c>
      <c r="I3462" t="inlineStr">
        <is>
          <t>1</t>
        </is>
      </c>
      <c r="J3462" t="inlineStr"/>
      <c r="K3462" t="inlineStr"/>
      <c r="L3462" t="inlineStr"/>
      <c r="M3462" t="inlineStr"/>
      <c r="N3462" t="inlineStr"/>
      <c r="O3462">
        <f>(1-Summary!$B$11)*T3462+Summary!$B$11*V3462</f>
        <v/>
      </c>
      <c r="P3462">
        <f>IF(B3479=0,0,O3462/B3479)</f>
        <v/>
      </c>
      <c r="Q3462" t="n">
        <v>0</v>
      </c>
      <c r="R3462" t="n">
        <v>0</v>
      </c>
      <c r="S3462">
        <f>IFERROR(O3462/N3462,0)</f>
        <v/>
      </c>
      <c r="T3462" t="n">
        <v>0</v>
      </c>
      <c r="V3462" t="n">
        <v>0</v>
      </c>
    </row>
    <row r="3463">
      <c r="A3463">
        <f>Skills!A29</f>
        <v/>
      </c>
      <c r="B3463">
        <f>Skills!B29</f>
        <v/>
      </c>
      <c r="C3463">
        <f>Inputs!$B$3&gt;=120</f>
        <v/>
      </c>
      <c r="D3463">
        <f>IF(Skills!C29=1,60+Inputs!$B$25+Inputs!$B$29,IF(Skills!C29=2,90+Inputs!$B$26+Inputs!$B$29,IF(Skills!C29=3,120+Inputs!$B$27+Inputs!$B$29,MAX(0,(Inputs!$B$3-100)*3)+Inputs!$B$28+Inputs!$B$29)))</f>
        <v/>
      </c>
      <c r="E3463">
        <f>INDEX(FactorTable!$B$2:$Y$301, MATCH(ROUND(MIN(300,MAX(1,D3463)),0), FactorTable!$A$2:$A$301,0), Skills!M29+1)</f>
        <v/>
      </c>
      <c r="F3463">
        <f>IF(Skills!N29=TRUE,(Skills!L29/10)*(E3463/1000),Skills!L29/10)+Skills!O29</f>
        <v/>
      </c>
      <c r="G3463">
        <f>Skills!G29*IF(Skills!H29&gt;0,Skills!I29/Skills!H29,1)</f>
        <v/>
      </c>
      <c r="H3463">
        <f>1-(1-Skills!J29/100)^Skills!K29</f>
        <v/>
      </c>
      <c r="I3463" t="inlineStr">
        <is>
          <t>1</t>
        </is>
      </c>
      <c r="J3463" t="inlineStr"/>
      <c r="K3463" t="inlineStr"/>
      <c r="L3463" t="inlineStr"/>
      <c r="M3463" t="inlineStr"/>
      <c r="N3463" t="inlineStr"/>
      <c r="O3463">
        <f>(1-Summary!$B$11)*T3463+Summary!$B$11*V3463</f>
        <v/>
      </c>
      <c r="P3463">
        <f>IF(B3479=0,0,O3463/B3479)</f>
        <v/>
      </c>
      <c r="Q3463" t="n">
        <v>0</v>
      </c>
      <c r="R3463" t="n">
        <v>0</v>
      </c>
      <c r="S3463">
        <f>IFERROR(O3463/N3463,0)</f>
        <v/>
      </c>
      <c r="T3463" t="n">
        <v>0</v>
      </c>
      <c r="V3463" t="n">
        <v>0</v>
      </c>
    </row>
    <row r="3464">
      <c r="A3464">
        <f>Skills!A30</f>
        <v/>
      </c>
      <c r="B3464">
        <f>Skills!B30</f>
        <v/>
      </c>
      <c r="C3464">
        <f>Inputs!$B$3&gt;=125</f>
        <v/>
      </c>
      <c r="D3464">
        <f>IF(Skills!C30=1,60+Inputs!$B$25+Inputs!$B$29,IF(Skills!C30=2,90+Inputs!$B$26+Inputs!$B$29,IF(Skills!C30=3,120+Inputs!$B$27+Inputs!$B$29,MAX(0,(Inputs!$B$3-100)*3)+Inputs!$B$28+Inputs!$B$29)))</f>
        <v/>
      </c>
      <c r="E3464">
        <f>INDEX(FactorTable!$B$2:$Y$301, MATCH(ROUND(MIN(300,MAX(1,D3464)),0), FactorTable!$A$2:$A$301,0), Skills!M30+1)</f>
        <v/>
      </c>
      <c r="F3464">
        <f>IF(Skills!N30=TRUE,(Skills!L30/10)*(E3464/1000),Skills!L30/10)+Skills!O30</f>
        <v/>
      </c>
      <c r="G3464">
        <f>Skills!G30*IF(Skills!H30&gt;0,Skills!I30/Skills!H30,1)</f>
        <v/>
      </c>
      <c r="H3464">
        <f>1-(1-Skills!J30/100)^Skills!K30</f>
        <v/>
      </c>
      <c r="I3464" t="inlineStr">
        <is>
          <t>1</t>
        </is>
      </c>
      <c r="J3464" t="inlineStr"/>
      <c r="K3464" t="inlineStr"/>
      <c r="L3464" t="inlineStr"/>
      <c r="M3464" t="inlineStr"/>
      <c r="N3464" t="inlineStr"/>
      <c r="O3464">
        <f>(1-Summary!$B$11)*T3464+Summary!$B$11*V3464</f>
        <v/>
      </c>
      <c r="P3464">
        <f>IF(B3479=0,0,O3464/B3479)</f>
        <v/>
      </c>
      <c r="Q3464" t="n">
        <v>0</v>
      </c>
      <c r="R3464" t="n">
        <v>0</v>
      </c>
      <c r="S3464">
        <f>IFERROR(O3464/N3464,0)</f>
        <v/>
      </c>
      <c r="T3464" t="n">
        <v>0</v>
      </c>
      <c r="V3464" t="n">
        <v>0</v>
      </c>
    </row>
    <row r="3466">
      <c r="A3466" t="inlineStr">
        <is>
          <t>Average Buff Multiplier</t>
        </is>
      </c>
      <c r="B3466">
        <f>(1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f>
        <v/>
      </c>
    </row>
    <row r="3467">
      <c r="A3467" t="inlineStr">
        <is>
          <t>Global Crit Rate Bonus %</t>
        </is>
      </c>
      <c r="B3467">
        <f>((C3454=TRUE)*F3454*IF(AND(Inputs!$B$39&lt;&gt;"pvp",Inputs!$B$44&gt;0),(((R3454-1)*(Skills!Y20*(1+Inputs!$B$34/100))+MIN((Skills!Y20*(1+Inputs!$B$34/100)),MAX(0,Inputs!$B$44-((R3454-1)*Skills!D20))))/Inputs!$B$44),IF(Inputs!$B$39="pvp",MIN((Skills!Y20*(1+Inputs!$B$34/100)),15)/15,(Skills!Y20*(1+Inputs!$B$34/100))/Skills!D20)))</f>
        <v/>
      </c>
    </row>
    <row r="3468">
      <c r="A3468" t="inlineStr">
        <is>
          <t>Global Monster Damage-Taken Bonus %</t>
        </is>
      </c>
      <c r="B3468">
        <f>IF(Inputs!$B$3&gt;=82,15,0)</f>
        <v/>
      </c>
    </row>
    <row r="3469">
      <c r="A3469" t="inlineStr">
        <is>
          <t>Shadow Partner Average Multiplier</t>
        </is>
      </c>
      <c r="B3469">
        <f>1+((C3441=TRUE)*F3441*(1+3.3333333333333335*IF(C3452=TRUE,F3452,0)/100)*I3441*Skills!J7/100)/100</f>
        <v/>
      </c>
    </row>
    <row r="3470">
      <c r="A3470" t="inlineStr">
        <is>
          <t>Attack Speed Buff Bonus %</t>
        </is>
      </c>
      <c r="B3470">
        <f>((C3453=TRUE)*F3453*IF(AND(Inputs!$B$39&lt;&gt;"pvp",Inputs!$B$44&gt;0),(((R3453-1)*(Skills!Y19*(1+Inputs!$B$34/100))+MIN((Skills!Y19*(1+Inputs!$B$34/100)),MAX(0,Inputs!$B$44-((R3453-1)*Skills!D19))))/Inputs!$B$44),IF(Inputs!$B$39="pvp",MIN((Skills!Y19*(1+Inputs!$B$34/100)),15)/15,(Skills!Y19*(1+Inputs!$B$34/100))/Skills!D19)))+((C3437=TRUE)*F3437*3)</f>
        <v/>
      </c>
    </row>
    <row r="3471">
      <c r="A3471" t="inlineStr">
        <is>
          <t>Actions Per Second</t>
        </is>
      </c>
      <c r="B3471">
        <f>1+MIN(150,150*(1-(1-(Inputs!$B$11+((C3456=TRUE)*(F3456-Calc!F22)))/150)*(1-B3470/150)))/100</f>
        <v/>
      </c>
    </row>
    <row r="3472">
      <c r="A3472" t="inlineStr">
        <is>
          <t>Skill + Buff Cast Rate</t>
        </is>
      </c>
      <c r="B3472">
        <f>IF(AND(Inputs!$B$39&lt;&gt;"pvp",Inputs!$B$44&gt;0),SUMPRODUCT((Skills!E2:E30=TRUE)*(C3436:C3464=TRUE)*R3436:R3464*Skills!F2:F30)/Inputs!$B$44,SUMPRODUCT((Skills!E2:E30=TRUE)*(C3436:C3464=TRUE)*Q3436:Q3464*Skills!F2:F30))</f>
        <v/>
      </c>
    </row>
    <row r="3473">
      <c r="A3473" t="inlineStr">
        <is>
          <t>Cruel Stab Casts Per Second</t>
        </is>
      </c>
      <c r="B3473">
        <f>MAX(0,B3471-B3472)</f>
        <v/>
      </c>
    </row>
    <row r="3474">
      <c r="A3474" t="inlineStr">
        <is>
          <t>Global Critical Damage Bonus % (Smokescreen Mastery Lv.113)</t>
        </is>
      </c>
      <c r="B3474">
        <f>IF(Inputs!$B$3&gt;=113,30,0)*IF(AND(Inputs!$B$39&lt;&gt;"pvp",Inputs!$B$44&gt;0),(((R3449-1)*(Skills!Y15*(1+Inputs!$B$34/100))+MIN((Skills!Y15*(1+Inputs!$B$34/100)),MAX(0,Inputs!$B$44-((R3449-1)*Skills!D15))))/Inputs!$B$44),IF(Inputs!$B$39="pvp",MIN((Skills!Y15*(1+Inputs!$B$34/100)),15)/15,(Skills!Y15*(1+Inputs!$B$34/100))/Skills!D15))</f>
        <v/>
      </c>
    </row>
    <row r="3475">
      <c r="A3475" t="inlineStr">
        <is>
          <t>Meso Explosion average stack count</t>
        </is>
      </c>
      <c r="B3475">
        <f>MIN(10,0.5*B3471*Skills!D4)</f>
        <v/>
      </c>
    </row>
    <row r="3476">
      <c r="A3476" t="inlineStr">
        <is>
          <t>Blood Money average stack count</t>
        </is>
      </c>
      <c r="B3476">
        <f>MIN(5,0.25*B3471*Skills!D4)</f>
        <v/>
      </c>
    </row>
    <row r="3477">
      <c r="A3477" t="inlineStr">
        <is>
          <t>Assassinate Murderous Intent Multiplier</t>
        </is>
      </c>
      <c r="B3477">
        <f>1+IFERROR(MIN(1,Q3448*2/Q3445),0)</f>
        <v/>
      </c>
    </row>
    <row r="3478">
      <c r="A3478" t="inlineStr">
        <is>
          <t>Buff-Casting Startup Delay (s, fixed-duration only)</t>
        </is>
      </c>
      <c r="B3478">
        <f>IF(AND(Inputs!$B$39&lt;&gt;"pvp",Inputs!$B$44&gt;0),SUMPRODUCT((Skills!Y2:Y30&gt;0)*(Skills!E2:E30=TRUE)*(C3436:C3464=TRUE))/B3471,0)</f>
        <v/>
      </c>
    </row>
    <row r="3479">
      <c r="A3479" s="6" t="inlineStr">
        <is>
          <t>TOTAL DPS</t>
        </is>
      </c>
      <c r="B3479" s="6">
        <f>SUM(O3436:O3464)</f>
        <v/>
      </c>
    </row>
    <row r="3480">
      <c r="A3480" t="inlineStr">
        <is>
          <t>Boss-Only Total DPS (this block's swept value)</t>
        </is>
      </c>
      <c r="B3480">
        <f>SUM(T3436:T3464)</f>
        <v/>
      </c>
    </row>
    <row r="3481">
      <c r="A3481" t="inlineStr">
        <is>
          <t>Normal-Only Total DPS (this block's swept value)</t>
        </is>
      </c>
      <c r="B3481">
        <f>SUM(V3436:V3464)</f>
        <v/>
      </c>
    </row>
    <row r="3484">
      <c r="A3484" s="6" t="inlineStr">
        <is>
          <t>Stat: CDR = 3.0s</t>
        </is>
      </c>
    </row>
    <row r="3485">
      <c r="A3485" s="5" t="inlineStr">
        <is>
          <t>Key</t>
        </is>
      </c>
      <c r="B3485" s="5" t="inlineStr">
        <is>
          <t>Name</t>
        </is>
      </c>
      <c r="C3485" s="5" t="inlineStr">
        <is>
          <t>Unlocked</t>
        </is>
      </c>
      <c r="D3485" s="5" t="inlineStr">
        <is>
          <t>InputLevel</t>
        </is>
      </c>
      <c r="E3485" s="5" t="inlineStr">
        <is>
          <t>Factor</t>
        </is>
      </c>
      <c r="F3485" s="5" t="inlineStr">
        <is>
          <t>CoefficientPercent</t>
        </is>
      </c>
      <c r="G3485" s="5" t="inlineStr">
        <is>
          <t>EffectiveHits</t>
        </is>
      </c>
      <c r="H3485" s="5" t="inlineStr">
        <is>
          <t>ProcProbability</t>
        </is>
      </c>
      <c r="I3485" s="5" t="inlineStr">
        <is>
          <t>MapleHeroMultiplier</t>
        </is>
      </c>
      <c r="J3485" s="5" t="inlineStr">
        <is>
          <t>BaseDamage</t>
        </is>
      </c>
      <c r="K3485" s="5" t="inlineStr">
        <is>
          <t>BaseHitDamage</t>
        </is>
      </c>
      <c r="L3485" s="5" t="inlineStr">
        <is>
          <t>NonCritAvg</t>
        </is>
      </c>
      <c r="M3485" s="5" t="inlineStr">
        <is>
          <t>CritAvg</t>
        </is>
      </c>
      <c r="N3485" s="5" t="inlineStr">
        <is>
          <t>ExpectedDamage(perHit)</t>
        </is>
      </c>
      <c r="O3485" s="5" t="inlineStr">
        <is>
          <t>DPS</t>
        </is>
      </c>
      <c r="P3485" s="5" t="inlineStr">
        <is>
          <t>% of Total</t>
        </is>
      </c>
      <c r="Q3485" s="5" t="inlineStr">
        <is>
          <t>InvCooldown</t>
        </is>
      </c>
      <c r="R3485" s="5" t="inlineStr">
        <is>
          <t>CastsInFight</t>
        </is>
      </c>
      <c r="S3485" s="5" t="inlineStr">
        <is>
          <t>HitRate(perSec)</t>
        </is>
      </c>
      <c r="U3485" t="inlineStr">
        <is>
          <t>helpers</t>
        </is>
      </c>
    </row>
    <row r="3486">
      <c r="A3486">
        <f>Skills!A2</f>
        <v/>
      </c>
      <c r="B3486">
        <f>Skills!B2</f>
        <v/>
      </c>
      <c r="C3486">
        <f>Inputs!$B$3&gt;=100</f>
        <v/>
      </c>
      <c r="D3486" t="inlineStr"/>
      <c r="E3486" t="inlineStr"/>
      <c r="F3486">
        <f>U3488+Skills!O2</f>
        <v/>
      </c>
      <c r="G3486">
        <f>Skills!G2*IF(Skills!H2&gt;0,Skills!I2/Skills!H2,1)</f>
        <v/>
      </c>
      <c r="H3486">
        <f>1-(1-Skills!J2/100)^Skills!K2</f>
        <v/>
      </c>
      <c r="I3486" t="inlineStr">
        <is>
          <t>1</t>
        </is>
      </c>
      <c r="J3486">
        <f>((Inputs!$B$6*(1+Inputs!$B$7/100))+(((Inputs!$B$12*(1+Inputs!$B$13/100))-(Inputs!$B$12*(1+Inputs!$B$13/100)))+0.25*(Inputs!$B$14-Inputs!$B$14))*(1+Inputs!$B$7/100))*(F3486/100)</f>
        <v/>
      </c>
      <c r="K3486">
        <f>J3486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3486)</f>
        <v/>
      </c>
      <c r="L3486">
        <f>K3486*(MIN(Inputs!$B$22+((C3508=TRUE)*(F3508-Calc!F24)),(Inputs!$B$23+((C3513=TRUE)*(F3513-Calc!F29))+IF(ArtifactsInput!$M$15,CHOOSE(ArtifactsInput!$N$15+1,25,30,35,40,45,50)/100*(Inputs!$B$11-Inputs!$B$11),0)))/100+(Inputs!$B$23+((C3513=TRUE)*(F3513-Calc!F29))+IF(ArtifactsInput!$M$15,CHOOSE(ArtifactsInput!$N$15+1,25,30,35,40,45,50)/100*(Inputs!$B$11-Inputs!$B$11),0))/100)/2</f>
        <v/>
      </c>
      <c r="M3486">
        <f>L3486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6">
        <f>L3486*(1-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3486*(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6">
        <f>(1-Summary!$B$11)*T3486+Summary!$B$11*V3486</f>
        <v/>
      </c>
      <c r="P3486">
        <f>IF(B3529=0,0,O3486/B3529)</f>
        <v/>
      </c>
      <c r="Q3486" t="n">
        <v>0</v>
      </c>
      <c r="R3486" t="n">
        <v>0</v>
      </c>
      <c r="S3486">
        <f>IFERROR(O3486/N3486,0)</f>
        <v/>
      </c>
      <c r="T3486">
        <f>IF(C3486,(Skills!G2*N3486*B3523)*IF(Inputs!$B$39="pvp",1,1+(Inputs!$B$20+0+Skills!P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3486*(1-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3486*(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3486*(1-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3486*(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6">
        <f>MAX(0,(Inputs!$B$3-100)*3)+Inputs!$B$28+Inputs!$B$29</f>
        <v/>
      </c>
      <c r="V3486">
        <f>IF(C3486,(Skills!G2*N3486*B3523)*IF(Inputs!$B$39="pvp",1,(1+(Inputs!$B$21+Skills!Q2+B3518+(IF(ArtifactsInput!$M$33,CHOOSE(ArtifactsInput!$N$33+1,30,36,42,48,54,60),0))+(IF(AND(ArtifactsInput!$M$35,Inputs!$B$4&lt;&gt;"Chapter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7">
      <c r="A3487">
        <f>Skills!A3</f>
        <v/>
      </c>
      <c r="B3487">
        <f>Skills!B3</f>
        <v/>
      </c>
      <c r="C3487">
        <f>Inputs!$B$3&gt;=35</f>
        <v/>
      </c>
      <c r="D3487">
        <f>IF(Skills!C3=1,60+Inputs!$B$25+Inputs!$B$29,IF(Skills!C3=2,90+Inputs!$B$26+Inputs!$B$29,IF(Skills!C3=3,120+Inputs!$B$27+Inputs!$B$29,MAX(0,(Inputs!$B$3-100)*3)+Inputs!$B$28+Inputs!$B$29)))</f>
        <v/>
      </c>
      <c r="E3487">
        <f>INDEX(FactorTable!$B$2:$Y$301, MATCH(ROUND(MIN(300,MAX(1,D3487)),0), FactorTable!$A$2:$A$301,0), Skills!M3+1)</f>
        <v/>
      </c>
      <c r="F3487">
        <f>IF(Skills!N3=TRUE,(Skills!L3/10)*(E3487/1000),Skills!L3/10)+Skills!O3</f>
        <v/>
      </c>
      <c r="G3487">
        <f>Skills!G3*IF(Skills!H3&gt;0,Skills!I3/Skills!H3,1)</f>
        <v/>
      </c>
      <c r="H3487">
        <f>1-(1-Skills!J3/100)^Skills!K3</f>
        <v/>
      </c>
      <c r="I3487" t="inlineStr">
        <is>
          <t>1</t>
        </is>
      </c>
      <c r="J3487" t="inlineStr"/>
      <c r="K3487" t="inlineStr"/>
      <c r="L3487" t="inlineStr"/>
      <c r="M3487" t="inlineStr"/>
      <c r="N3487" t="inlineStr"/>
      <c r="O3487">
        <f>(1-Summary!$B$11)*T3487+Summary!$B$11*V3487</f>
        <v/>
      </c>
      <c r="P3487">
        <f>IF(B3529=0,0,O3487/B3529)</f>
        <v/>
      </c>
      <c r="Q3487" t="n">
        <v>0</v>
      </c>
      <c r="R3487" t="n">
        <v>0</v>
      </c>
      <c r="S3487">
        <f>IFERROR(O3487/N3487,0)</f>
        <v/>
      </c>
      <c r="T3487" t="n">
        <v>0</v>
      </c>
      <c r="U3487">
        <f>INDEX(FactorTable!$B$2:$Y$301, MATCH(ROUND(MIN(300,MAX(1,U3486)),0), FactorTable!$A$2:$A$301,0), 22)</f>
        <v/>
      </c>
      <c r="V3487" t="n">
        <v>0</v>
      </c>
    </row>
    <row r="3488">
      <c r="A3488">
        <f>Skills!A4</f>
        <v/>
      </c>
      <c r="B3488">
        <f>Skills!B4</f>
        <v/>
      </c>
      <c r="C3488">
        <f>Inputs!$B$3&gt;=66</f>
        <v/>
      </c>
      <c r="D3488">
        <f>IF(Skills!C4=1,60+Inputs!$B$25+Inputs!$B$29,IF(Skills!C4=2,90+Inputs!$B$26+Inputs!$B$29,IF(Skills!C4=3,120+Inputs!$B$27+Inputs!$B$29,MAX(0,(Inputs!$B$3-100)*3)+Inputs!$B$28+Inputs!$B$29)))</f>
        <v/>
      </c>
      <c r="E3488">
        <f>INDEX(FactorTable!$B$2:$Y$301, MATCH(ROUND(MIN(300,MAX(1,D3488)),0), FactorTable!$A$2:$A$301,0), Skills!M4+1)</f>
        <v/>
      </c>
      <c r="F3488">
        <f>IF(Skills!N4=TRUE,(Skills!L4/10)*(E3488/1000),Skills!L4/10)+Skills!O4</f>
        <v/>
      </c>
      <c r="G3488">
        <f>Skills!G4*IF(Skills!H4&gt;0,Skills!I4/Skills!H4,1)</f>
        <v/>
      </c>
      <c r="H3488">
        <f>1-(1-Skills!J4/100)^Skills!K4</f>
        <v/>
      </c>
      <c r="I3488" t="inlineStr">
        <is>
          <t>1</t>
        </is>
      </c>
      <c r="J3488">
        <f>((Inputs!$B$6*(1+Inputs!$B$7/100))+(((Inputs!$B$12*(1+Inputs!$B$13/100))-(Inputs!$B$12*(1+Inputs!$B$13/100)))+0.25*(Inputs!$B$14-Inputs!$B$14))*(1+Inputs!$B$7/100))*(F3488/100)</f>
        <v/>
      </c>
      <c r="K3488">
        <f>J3488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3488)</f>
        <v/>
      </c>
      <c r="L3488">
        <f>K3488*(MIN(Inputs!$B$22+((C3508=TRUE)*(F3508-Calc!F24)),(Inputs!$B$23+((C3513=TRUE)*(F3513-Calc!F29))+IF(ArtifactsInput!$M$15,CHOOSE(ArtifactsInput!$N$15+1,25,30,35,40,45,50)/100*(Inputs!$B$11-Inputs!$B$11),0)))/100+(Inputs!$B$23+((C3513=TRUE)*(F3513-Calc!F29))+IF(ArtifactsInput!$M$15,CHOOSE(ArtifactsInput!$N$15+1,25,30,35,40,45,50)/100*(Inputs!$B$11-Inputs!$B$11),0))/100)/2</f>
        <v/>
      </c>
      <c r="M3488">
        <f>L3488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8">
        <f>L3488*(1-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3488*(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8">
        <f>(1-Summary!$B$11)*T3488+Summary!$B$11*V3488</f>
        <v/>
      </c>
      <c r="P3488">
        <f>IF(B3529=0,0,O3488/B3529)</f>
        <v/>
      </c>
      <c r="Q3488">
        <f>IFERROR(1/IF(Inputs!$B$39="pvp",15,MAX(0.1,Skills!D4-IF(Skills!E4=TRUE,3.0,0))),0)</f>
        <v/>
      </c>
      <c r="R3488">
        <f>IF(AND(Inputs!$B$39&lt;&gt;"pvp",Inputs!$B$44&gt;0),IF(MAX(0,Inputs!$B$44-B3528)&lt;=0,0,(INT(MAX(0,Inputs!$B$44-B3528)/IF(Inputs!$B$39="pvp",15,MAX(0.1,Skills!D4-IF(Skills!E4=TRUE,3.0,0))))+1)),0)</f>
        <v/>
      </c>
      <c r="S3488">
        <f>IFERROR(O3488/N3488,0)</f>
        <v/>
      </c>
      <c r="T3488">
        <f>IF(C3488,(H3488*N3488*IF(AND(Inputs!$B$39&lt;&gt;"pvp",Inputs!$B$44&gt;0),((Skills!G4*((R3488-1)*IF(Skills!H4&gt;0,Skills!I4/Skills!H4,1)+IF(Skills!H4&gt;0,MIN(Skills!I4,MAX(0,MAX(0,Inputs!$B$44-B3528)-((R3488-1)*IF(Inputs!$B$39="pvp",15,MAX(0.1,Skills!D4-IF(Skills!E4=TRUE,3.0,0))))))/Skills!H4,1)))/Inputs!$B$44),G3488*Q3488))*IF(Inputs!$B$39="pvp",1,1+(Inputs!$B$20+0+Skills!P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3488*(1-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3488*(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3488*(1-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3488*(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8">
        <f>290*U3487/1000</f>
        <v/>
      </c>
      <c r="V3488">
        <f>IF(C3488,(H3488*N3488*IF(AND(Inputs!$B$39&lt;&gt;"pvp",Inputs!$B$44&gt;0),((Skills!G4*((R3488-1)*IF(Skills!H4&gt;0,Skills!I4/Skills!H4,1)+IF(Skills!H4&gt;0,MIN(Skills!I4,MAX(0,MAX(0,Inputs!$B$44-B3528)-((R3488-1)*IF(Inputs!$B$39="pvp",15,MAX(0.1,Skills!D4-IF(Skills!E4=TRUE,3.0,0))))))/Skills!H4,1)))/Inputs!$B$44),G3488*Q3488))*IF(Inputs!$B$39="pvp",1,(1+(Inputs!$B$21+Skills!Q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(10,0.5*B3521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9">
      <c r="A3489">
        <f>Skills!A5</f>
        <v/>
      </c>
      <c r="B3489">
        <f>Skills!B5</f>
        <v/>
      </c>
      <c r="C3489">
        <f>Inputs!$B$3&gt;=63</f>
        <v/>
      </c>
      <c r="D3489">
        <f>IF(Skills!C5=1,60+Inputs!$B$25+Inputs!$B$29,IF(Skills!C5=2,90+Inputs!$B$26+Inputs!$B$29,IF(Skills!C5=3,120+Inputs!$B$27+Inputs!$B$29,MAX(0,(Inputs!$B$3-100)*3)+Inputs!$B$28+Inputs!$B$29)))</f>
        <v/>
      </c>
      <c r="E3489">
        <f>INDEX(FactorTable!$B$2:$Y$301, MATCH(ROUND(MIN(300,MAX(1,D3489)),0), FactorTable!$A$2:$A$301,0), Skills!M5+1)</f>
        <v/>
      </c>
      <c r="F3489">
        <f>IF(Skills!N5=TRUE,(Skills!L5/10)*(E3489/1000),Skills!L5/10)+Skills!O5</f>
        <v/>
      </c>
      <c r="G3489">
        <f>Skills!G5*IF(Skills!H5&gt;0,Skills!I5/Skills!H5,1)</f>
        <v/>
      </c>
      <c r="H3489">
        <f>1-(1-Skills!J5/100)^Skills!K5</f>
        <v/>
      </c>
      <c r="I3489" t="inlineStr">
        <is>
          <t>1</t>
        </is>
      </c>
      <c r="J3489">
        <f>((Inputs!$B$6*(1+Inputs!$B$7/100))+(((Inputs!$B$12*(1+Inputs!$B$13/100))-(Inputs!$B$12*(1+Inputs!$B$13/100)))+0.25*(Inputs!$B$14-Inputs!$B$14))*(1+Inputs!$B$7/100))*(F3489/100)</f>
        <v/>
      </c>
      <c r="K3489">
        <f>J3489*(1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3502=TRUE,F3502,0)/100)*(1+(IF(Skills!A5="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3489)</f>
        <v/>
      </c>
      <c r="L3489">
        <f>K3489*(MIN(Inputs!$B$22+((C3508=TRUE)*(F3508-Calc!F24)),(Inputs!$B$23+((C3513=TRUE)*(F3513-Calc!F29))+IF(ArtifactsInput!$M$15,CHOOSE(ArtifactsInput!$N$15+1,25,30,35,40,45,50)/100*(Inputs!$B$11-Inputs!$B$11),0)))/100+(Inputs!$B$23+((C3513=TRUE)*(F3513-Calc!F29))+IF(ArtifactsInput!$M$15,CHOOSE(ArtifactsInput!$N$15+1,25,30,35,40,45,50)/100*(Inputs!$B$11-Inputs!$B$11),0))/100)/2</f>
        <v/>
      </c>
      <c r="M3489">
        <f>L3489*(1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9">
        <f>L3489*(1-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3489*(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9">
        <f>(1-Summary!$B$11)*T3489+Summary!$B$11*V3489</f>
        <v/>
      </c>
      <c r="P3489">
        <f>IF(B3529=0,0,O3489/B3529)</f>
        <v/>
      </c>
      <c r="Q3489">
        <f>IFERROR(1/IF(Inputs!$B$39="pvp",15,MAX(0.1,Skills!D5-IF(Skills!E5=TRUE,3.0,0))),0)</f>
        <v/>
      </c>
      <c r="R3489">
        <f>IF(AND(Inputs!$B$39&lt;&gt;"pvp",Inputs!$B$44&gt;0),IF(MAX(0,Inputs!$B$44-B3528)&lt;=0,0,(INT(MAX(0,Inputs!$B$44-B3528)/IF(Inputs!$B$39="pvp",15,MAX(0.1,Skills!D5-IF(Skills!E5=TRUE,3.0,0))))+1)),0)</f>
        <v/>
      </c>
      <c r="S3489">
        <f>IFERROR(O3489/N3489,0)</f>
        <v/>
      </c>
      <c r="T3489">
        <f>IF(C3489,(H3489*N3489*IF(AND(Inputs!$B$39&lt;&gt;"pvp",Inputs!$B$44&gt;0),((Skills!G5*((R3489-1)*IF(Skills!H5&gt;0,Skills!I5/Skills!H5,1)+IF(Skills!H5&gt;0,MIN(Skills!I5,MAX(0,MAX(0,Inputs!$B$44-B3528)-((R3489-1)*IF(Inputs!$B$39="pvp",15,MAX(0.1,Skills!D5-IF(Skills!E5=TRUE,3.0,0))))))/Skills!H5,1)))/Inputs!$B$44),G3489*Q3489))*IF(Inputs!$B$39="pvp",1,1+(Inputs!$B$20+0+Skills!P5+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3489*(1-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3489*(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3489*(1-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3489*(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9">
        <f>IF(C3489,(H3489*N3489*IF(AND(Inputs!$B$39&lt;&gt;"pvp",Inputs!$B$44&gt;0),((Skills!G5*((R3489-1)*IF(Skills!H5&gt;0,Skills!I5/Skills!H5,1)+IF(Skills!H5&gt;0,MIN(Skills!I5,MAX(0,MAX(0,Inputs!$B$44-B3528)-((R3489-1)*IF(Inputs!$B$39="pvp",15,MAX(0.1,Skills!D5-IF(Skills!E5=TRUE,3.0,0))))))/Skills!H5,1)))/Inputs!$B$44),G3489*Q3489))*IF(Inputs!$B$39="pvp",1,(1+(Inputs!$B$21+Skills!Q5+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0">
      <c r="A3490">
        <f>Skills!A6</f>
        <v/>
      </c>
      <c r="B3490">
        <f>Skills!B6</f>
        <v/>
      </c>
      <c r="C3490">
        <f>Inputs!$B$3&gt;=69</f>
        <v/>
      </c>
      <c r="D3490">
        <f>IF(Skills!C6=1,60+Inputs!$B$25+Inputs!$B$29,IF(Skills!C6=2,90+Inputs!$B$26+Inputs!$B$29,IF(Skills!C6=3,120+Inputs!$B$27+Inputs!$B$29,MAX(0,(Inputs!$B$3-100)*3)+Inputs!$B$28+Inputs!$B$29)))</f>
        <v/>
      </c>
      <c r="E3490">
        <f>INDEX(FactorTable!$B$2:$Y$301, MATCH(ROUND(MIN(300,MAX(1,D3490)),0), FactorTable!$A$2:$A$301,0), Skills!M6+1)</f>
        <v/>
      </c>
      <c r="F3490">
        <f>IF(Skills!N6=TRUE,(Skills!L6/10)*(E3490/1000),Skills!L6/10)+Skills!O6</f>
        <v/>
      </c>
      <c r="G3490">
        <f>Skills!G6*IF(Skills!H6&gt;0,Skills!I6/Skills!H6,1)</f>
        <v/>
      </c>
      <c r="H3490">
        <f>1-(1-Skills!J6/100)^Skills!K6</f>
        <v/>
      </c>
      <c r="I3490" t="inlineStr">
        <is>
          <t>1</t>
        </is>
      </c>
      <c r="J3490">
        <f>((Inputs!$B$6*(1+Inputs!$B$7/100))+(((Inputs!$B$12*(1+Inputs!$B$13/100))-(Inputs!$B$12*(1+Inputs!$B$13/100)))+0.25*(Inputs!$B$14-Inputs!$B$14))*(1+Inputs!$B$7/100))*(F3490/100)</f>
        <v/>
      </c>
      <c r="K3490">
        <f>J3490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3502=TRUE,F3502,0)/100)*(1+(IF(Skills!A6="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3490)</f>
        <v/>
      </c>
      <c r="L3490">
        <f>K3490*(MIN(Inputs!$B$22+((C3508=TRUE)*(F3508-Calc!F24)),(Inputs!$B$23+((C3513=TRUE)*(F3513-Calc!F29))+IF(ArtifactsInput!$M$15,CHOOSE(ArtifactsInput!$N$15+1,25,30,35,40,45,50)/100*(Inputs!$B$11-Inputs!$B$11),0)))/100+(Inputs!$B$23+((C3513=TRUE)*(F3513-Calc!F29))+IF(ArtifactsInput!$M$15,CHOOSE(ArtifactsInput!$N$15+1,25,30,35,40,45,50)/100*(Inputs!$B$11-Inputs!$B$11),0))/100)/2</f>
        <v/>
      </c>
      <c r="M3490">
        <f>L3490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0">
        <f>L3490*(1-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3490*(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0">
        <f>(1-Summary!$B$11)*T3490+Summary!$B$11*V3490</f>
        <v/>
      </c>
      <c r="P3490">
        <f>IF(B3529=0,0,O3490/B3529)</f>
        <v/>
      </c>
      <c r="Q3490">
        <f>IFERROR(1/IF(Inputs!$B$39="pvp",15,MAX(0.1,Skills!D6-IF(Skills!E6=TRUE,3.0,0))),0)</f>
        <v/>
      </c>
      <c r="R3490">
        <f>IF(AND(Inputs!$B$39&lt;&gt;"pvp",Inputs!$B$44&gt;0),IF(MAX(0,Inputs!$B$44-B3528)&lt;=0,0,(INT(MAX(0,Inputs!$B$44-B3528)/IF(Inputs!$B$39="pvp",15,MAX(0.1,Skills!D6-IF(Skills!E6=TRUE,3.0,0))))+1)),0)</f>
        <v/>
      </c>
      <c r="S3490">
        <f>IFERROR(O3490/N3490,0)</f>
        <v/>
      </c>
      <c r="T3490">
        <f>IF(C3490,(H3490*N3490*IF(AND(Inputs!$B$39&lt;&gt;"pvp",Inputs!$B$44&gt;0),((Skills!G6*((R3490-1)*IF(Skills!H6&gt;0,Skills!I6/Skills!H6,1)+IF(Skills!H6&gt;0,MIN(Skills!I6,MAX(0,MAX(0,Inputs!$B$44-B3528)-((R3490-1)*IF(Inputs!$B$39="pvp",15,MAX(0.1,Skills!D6-IF(Skills!E6=TRUE,3.0,0))))))/Skills!H6,1)))/Inputs!$B$44),G3490*Q3490))*IF(Inputs!$B$39="pvp",1,1+(Inputs!$B$20+0+Skills!P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3490*(1-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3490*(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3490*(1-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3490*(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0">
        <f>IF(C3490,(H3490*N3490*IF(AND(Inputs!$B$39&lt;&gt;"pvp",Inputs!$B$44&gt;0),((Skills!G6*((R3490-1)*IF(Skills!H6&gt;0,Skills!I6/Skills!H6,1)+IF(Skills!H6&gt;0,MIN(Skills!I6,MAX(0,MAX(0,Inputs!$B$44-B3528)-((R3490-1)*IF(Inputs!$B$39="pvp",15,MAX(0.1,Skills!D6-IF(Skills!E6=TRUE,3.0,0))))))/Skills!H6,1)))/Inputs!$B$44),G3490*Q3490))*IF(Inputs!$B$39="pvp",1,(1+(Inputs!$B$21+Skills!Q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1">
      <c r="A3491">
        <f>Skills!A7</f>
        <v/>
      </c>
      <c r="B3491">
        <f>Skills!B7</f>
        <v/>
      </c>
      <c r="C3491">
        <f>Inputs!$B$3&gt;=60</f>
        <v/>
      </c>
      <c r="D3491">
        <f>IF(Skills!C7=1,60+Inputs!$B$25+Inputs!$B$29,IF(Skills!C7=2,90+Inputs!$B$26+Inputs!$B$29,IF(Skills!C7=3,120+Inputs!$B$27+Inputs!$B$29,MAX(0,(Inputs!$B$3-100)*3)+Inputs!$B$28+Inputs!$B$29)))</f>
        <v/>
      </c>
      <c r="E3491">
        <f>INDEX(FactorTable!$B$2:$Y$301, MATCH(ROUND(MIN(300,MAX(1,D3491)),0), FactorTable!$A$2:$A$301,0), Skills!M7+1)</f>
        <v/>
      </c>
      <c r="F3491">
        <f>IF(Skills!N7=TRUE,(Skills!L7/10)*(E3491/1000),Skills!L7/10)+Skills!O7</f>
        <v/>
      </c>
      <c r="G3491">
        <f>Skills!G7*IF(Skills!H7&gt;0,Skills!I7/Skills!H7,1)</f>
        <v/>
      </c>
      <c r="H3491">
        <f>1-(1-Skills!J7/100)^Skills!K7</f>
        <v/>
      </c>
      <c r="I3491" t="inlineStr">
        <is>
          <t>1</t>
        </is>
      </c>
      <c r="J3491" t="inlineStr"/>
      <c r="K3491" t="inlineStr"/>
      <c r="L3491" t="inlineStr"/>
      <c r="M3491" t="inlineStr"/>
      <c r="N3491" t="inlineStr"/>
      <c r="O3491">
        <f>(1-Summary!$B$11)*T3491+Summary!$B$11*V3491</f>
        <v/>
      </c>
      <c r="P3491">
        <f>IF(B3529=0,0,O3491/B3529)</f>
        <v/>
      </c>
      <c r="Q3491" t="n">
        <v>0</v>
      </c>
      <c r="R3491" t="n">
        <v>0</v>
      </c>
      <c r="S3491">
        <f>IFERROR(O3491/N3491,0)</f>
        <v/>
      </c>
      <c r="T3491" t="n">
        <v>0</v>
      </c>
      <c r="V3491" t="n">
        <v>0</v>
      </c>
    </row>
    <row r="3492">
      <c r="A3492">
        <f>Skills!A8</f>
        <v/>
      </c>
      <c r="B3492">
        <f>Skills!B8</f>
        <v/>
      </c>
      <c r="C3492">
        <f>Inputs!$B$3&gt;=72</f>
        <v/>
      </c>
      <c r="D3492">
        <f>IF(Skills!C8=1,60+Inputs!$B$25+Inputs!$B$29,IF(Skills!C8=2,90+Inputs!$B$26+Inputs!$B$29,IF(Skills!C8=3,120+Inputs!$B$27+Inputs!$B$29,MAX(0,(Inputs!$B$3-100)*3)+Inputs!$B$28+Inputs!$B$29)))</f>
        <v/>
      </c>
      <c r="E3492">
        <f>INDEX(FactorTable!$B$2:$Y$301, MATCH(ROUND(MIN(300,MAX(1,D3492)),0), FactorTable!$A$2:$A$301,0), Skills!M8+1)</f>
        <v/>
      </c>
      <c r="F3492">
        <f>IF(Skills!N8=TRUE,(Skills!L8/10)*(E3492/1000),Skills!L8/10)+Skills!O8</f>
        <v/>
      </c>
      <c r="G3492">
        <f>Skills!G8*IF(Skills!H8&gt;0,Skills!I8/Skills!H8,1)</f>
        <v/>
      </c>
      <c r="H3492">
        <f>1-(1-Skills!J8/100)^Skills!K8</f>
        <v/>
      </c>
      <c r="I3492" t="inlineStr">
        <is>
          <t>1</t>
        </is>
      </c>
      <c r="J3492">
        <f>((Inputs!$B$6*(1+Inputs!$B$7/100))+(((Inputs!$B$12*(1+Inputs!$B$13/100))-(Inputs!$B$12*(1+Inputs!$B$13/100)))+0.25*(Inputs!$B$14-Inputs!$B$14))*(1+Inputs!$B$7/100))*(F3492/100)</f>
        <v/>
      </c>
      <c r="K3492">
        <f>J3492*(1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3502=TRUE,F3502,0)/100)*(1+(IF(Skills!A8="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3492)</f>
        <v/>
      </c>
      <c r="L3492">
        <f>K3492*(MIN(Inputs!$B$22+((C3508=TRUE)*(F3508-Calc!F24)),(Inputs!$B$23+((C3513=TRUE)*(F3513-Calc!F29))+IF(ArtifactsInput!$M$15,CHOOSE(ArtifactsInput!$N$15+1,25,30,35,40,45,50)/100*(Inputs!$B$11-Inputs!$B$11),0)))/100+(Inputs!$B$23+((C3513=TRUE)*(F3513-Calc!F29))+IF(ArtifactsInput!$M$15,CHOOSE(ArtifactsInput!$N$15+1,25,30,35,40,45,50)/100*(Inputs!$B$11-Inputs!$B$11),0))/100)/2</f>
        <v/>
      </c>
      <c r="M3492">
        <f>L3492*(1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2">
        <f>L3492*(1-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3492*(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2">
        <f>(1-Summary!$B$11)*T3492+Summary!$B$11*V3492</f>
        <v/>
      </c>
      <c r="P3492">
        <f>IF(B3529=0,0,O3492/B3529)</f>
        <v/>
      </c>
      <c r="Q3492">
        <f>IFERROR(1/IF(Inputs!$B$39="pvp",15,MAX(0.1,Skills!D8-IF(Skills!E8=TRUE,3.0,0))),0)</f>
        <v/>
      </c>
      <c r="R3492">
        <f>IF(AND(Inputs!$B$39&lt;&gt;"pvp",Inputs!$B$44&gt;0),IF(MAX(0,Inputs!$B$44-B3528)&lt;=0,0,(INT(MAX(0,Inputs!$B$44-B3528)/IF(Inputs!$B$39="pvp",15,MAX(0.1,Skills!D8-IF(Skills!E8=TRUE,3.0,0))))+1)),0)</f>
        <v/>
      </c>
      <c r="S3492">
        <f>IFERROR(O3492/N3492,0)</f>
        <v/>
      </c>
      <c r="T3492">
        <f>IF(C3492,(H3492*N3492*IF(AND(Inputs!$B$39&lt;&gt;"pvp",Inputs!$B$44&gt;0),((Skills!G8*((R3492-1)*IF(Skills!H8&gt;0,Skills!I8/Skills!H8,1)+IF(Skills!H8&gt;0,MIN(Skills!I8,MAX(0,MAX(0,Inputs!$B$44-B3528)-((R3492-1)*IF(Inputs!$B$39="pvp",15,MAX(0.1,Skills!D8-IF(Skills!E8=TRUE,3.0,0))))))/Skills!H8,1)))/Inputs!$B$44),G3492*Q3492))*IF(Inputs!$B$39="pvp",1,1+(Inputs!$B$20+0+Skills!P8+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3492*(1-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3492*(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3492*(1-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3492*(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2">
        <f>IF(C3492,(H3492*N3492*IF(AND(Inputs!$B$39&lt;&gt;"pvp",Inputs!$B$44&gt;0),((Skills!G8*((R3492-1)*IF(Skills!H8&gt;0,Skills!I8/Skills!H8,1)+IF(Skills!H8&gt;0,MIN(Skills!I8,MAX(0,MAX(0,Inputs!$B$44-B3528)-((R3492-1)*IF(Inputs!$B$39="pvp",15,MAX(0.1,Skills!D8-IF(Skills!E8=TRUE,3.0,0))))))/Skills!H8,1)))/Inputs!$B$44),G3492*Q3492))*IF(Inputs!$B$39="pvp",1,(1+(Inputs!$B$21+Skills!Q8+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3">
      <c r="A3493">
        <f>Skills!A9</f>
        <v/>
      </c>
      <c r="B3493">
        <f>Skills!B9</f>
        <v/>
      </c>
      <c r="C3493">
        <f>Inputs!$B$3&gt;=117</f>
        <v/>
      </c>
      <c r="D3493">
        <f>IF(Skills!C9=1,60+Inputs!$B$25+Inputs!$B$29,IF(Skills!C9=2,90+Inputs!$B$26+Inputs!$B$29,IF(Skills!C9=3,120+Inputs!$B$27+Inputs!$B$29,MAX(0,(Inputs!$B$3-100)*3)+Inputs!$B$28+Inputs!$B$29)))</f>
        <v/>
      </c>
      <c r="E3493">
        <f>INDEX(FactorTable!$B$2:$Y$301, MATCH(ROUND(MIN(300,MAX(1,D3493)),0), FactorTable!$A$2:$A$301,0), Skills!M9+1)</f>
        <v/>
      </c>
      <c r="F3493">
        <f>IF(Skills!N9=TRUE,(Skills!L9/10)*(E3493/1000),Skills!L9/10)+Skills!O9</f>
        <v/>
      </c>
      <c r="G3493">
        <f>Skills!G9*IF(Skills!H9&gt;0,Skills!I9/Skills!H9,1)</f>
        <v/>
      </c>
      <c r="H3493">
        <f>1-(1-Skills!J9/100)^Skills!K9</f>
        <v/>
      </c>
      <c r="I3493" t="inlineStr">
        <is>
          <t>1</t>
        </is>
      </c>
      <c r="J3493">
        <f>((Inputs!$B$6*(1+Inputs!$B$7/100))+(((Inputs!$B$12*(1+Inputs!$B$13/100))-(Inputs!$B$12*(1+Inputs!$B$13/100)))+0.25*(Inputs!$B$14-Inputs!$B$14))*(1+Inputs!$B$7/100))*(F3493/100)</f>
        <v/>
      </c>
      <c r="K3493">
        <f>J3493*(1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3493)</f>
        <v/>
      </c>
      <c r="L3493">
        <f>K3493*(MIN(Inputs!$B$22+((C3508=TRUE)*(F3508-Calc!F24)),(Inputs!$B$23+((C3513=TRUE)*(F3513-Calc!F29))+IF(ArtifactsInput!$M$15,CHOOSE(ArtifactsInput!$N$15+1,25,30,35,40,45,50)/100*(Inputs!$B$11-Inputs!$B$11),0)))/100+(Inputs!$B$23+((C3513=TRUE)*(F3513-Calc!F29))+IF(ArtifactsInput!$M$15,CHOOSE(ArtifactsInput!$N$15+1,25,30,35,40,45,50)/100*(Inputs!$B$11-Inputs!$B$11),0))/100)/2</f>
        <v/>
      </c>
      <c r="M3493">
        <f>L3493*(1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3">
        <f>L3493*(1-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3493*(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3">
        <f>(1-Summary!$B$11)*T3493+Summary!$B$11*V3493</f>
        <v/>
      </c>
      <c r="P3493">
        <f>IF(B3529=0,0,O3493/B3529)</f>
        <v/>
      </c>
      <c r="Q3493" t="n">
        <v>0</v>
      </c>
      <c r="R3493" t="n">
        <v>0</v>
      </c>
      <c r="S3493" t="n">
        <v>0</v>
      </c>
      <c r="T3493">
        <f>IF(C3493,(0.2*SUMPRODUCT((Skills!Z2:Z30=TRUE)*(C3486:C3514=TRUE)*S3486:S3514)*N3493)*IF(Inputs!$B$39="pvp",1,1+(Inputs!$B$20+0+Skills!P9+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3493*(1-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3493*(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3493*(1-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3493*(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3">
        <f>IF(C3493,(0.2*SUMPRODUCT((Skills!Z2:Z30=TRUE)*(C3486:C3514=TRUE)*S3486:S3514)*N3493)*IF(Inputs!$B$39="pvp",1,(1+(Inputs!$B$21+Skills!Q9+B3518+(IF(ArtifactsInput!$M$33,CHOOSE(ArtifactsInput!$N$33+1,30,36,42,48,54,60),0))+(IF(AND(ArtifactsInput!$M$35,Inputs!$B$4&lt;&gt;"Chapter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4">
      <c r="A3494">
        <f>Skills!A10</f>
        <v/>
      </c>
      <c r="B3494">
        <f>Skills!B10</f>
        <v/>
      </c>
      <c r="C3494">
        <f>Inputs!$B$3&gt;=74</f>
        <v/>
      </c>
      <c r="D3494">
        <f>IF(Skills!C10=1,60+Inputs!$B$25+Inputs!$B$29,IF(Skills!C10=2,90+Inputs!$B$26+Inputs!$B$29,IF(Skills!C10=3,120+Inputs!$B$27+Inputs!$B$29,MAX(0,(Inputs!$B$3-100)*3)+Inputs!$B$28+Inputs!$B$29)))</f>
        <v/>
      </c>
      <c r="E3494">
        <f>INDEX(FactorTable!$B$2:$Y$301, MATCH(ROUND(MIN(300,MAX(1,D3494)),0), FactorTable!$A$2:$A$301,0), Skills!M10+1)</f>
        <v/>
      </c>
      <c r="F3494">
        <f>IF(Skills!N10=TRUE,(Skills!L10/10)*(E3494/1000),Skills!L10/10)+Skills!O10</f>
        <v/>
      </c>
      <c r="G3494">
        <f>Skills!G10*IF(Skills!H10&gt;0,Skills!I10/Skills!H10,1)</f>
        <v/>
      </c>
      <c r="H3494">
        <f>1-(1-Skills!J10/100)^Skills!K10</f>
        <v/>
      </c>
      <c r="I3494" t="inlineStr">
        <is>
          <t>1</t>
        </is>
      </c>
      <c r="J3494" t="inlineStr"/>
      <c r="K3494" t="inlineStr"/>
      <c r="L3494" t="inlineStr"/>
      <c r="M3494" t="inlineStr"/>
      <c r="N3494" t="inlineStr"/>
      <c r="O3494">
        <f>(1-Summary!$B$11)*T3494+Summary!$B$11*V3494</f>
        <v/>
      </c>
      <c r="P3494">
        <f>IF(B3529=0,0,O3494/B3529)</f>
        <v/>
      </c>
      <c r="Q3494">
        <f>IFERROR(1/IF(Inputs!$B$39="pvp",15,MAX(0.1,Skills!D10-IF(Skills!E10=TRUE,3.0,0))),0)</f>
        <v/>
      </c>
      <c r="R3494">
        <f>IF(AND(Inputs!$B$39&lt;&gt;"pvp",Inputs!$B$44&gt;0),IF(Inputs!$B$44&lt;=0,0,(INT(Inputs!$B$44/IF(Inputs!$B$39="pvp",15,MAX(0.1,Skills!D10-IF(Skills!E10=TRUE,3.0,0))))+1)),0)</f>
        <v/>
      </c>
      <c r="S3494">
        <f>IFERROR(O3494/N3494,0)</f>
        <v/>
      </c>
      <c r="T3494" t="n">
        <v>0</v>
      </c>
      <c r="V3494" t="n">
        <v>0</v>
      </c>
    </row>
    <row r="3495">
      <c r="A3495">
        <f>Skills!A11</f>
        <v/>
      </c>
      <c r="B3495">
        <f>Skills!B11</f>
        <v/>
      </c>
      <c r="C3495">
        <f>Inputs!$B$3&gt;=103</f>
        <v/>
      </c>
      <c r="D3495">
        <f>IF(Skills!C11=1,60+Inputs!$B$25+Inputs!$B$29,IF(Skills!C11=2,90+Inputs!$B$26+Inputs!$B$29,IF(Skills!C11=3,120+Inputs!$B$27+Inputs!$B$29,MAX(0,(Inputs!$B$3-100)*3)+Inputs!$B$28+Inputs!$B$29)))</f>
        <v/>
      </c>
      <c r="E3495">
        <f>INDEX(FactorTable!$B$2:$Y$301, MATCH(ROUND(MIN(300,MAX(1,D3495)),0), FactorTable!$A$2:$A$301,0), Skills!M11+1)</f>
        <v/>
      </c>
      <c r="F3495">
        <f>(Skills!L11/10)*(E3495/1000)+IF(Inputs!$B$3&gt;=134,50,0)+0.5*(30000/10)*(INDEX(FactorTable!$B$2:$Y$301, MATCH(ROUND(MIN(300,MAX(1,D3495)),0), FactorTable!$A$2:$A$301,0), 13)/1000)*B3527</f>
        <v/>
      </c>
      <c r="G3495">
        <f>Skills!G11*IF(Skills!H11&gt;0,Skills!I11/Skills!H11,1)</f>
        <v/>
      </c>
      <c r="H3495">
        <f>1-(1-Skills!J11/100)^Skills!K11</f>
        <v/>
      </c>
      <c r="I3495" t="inlineStr">
        <is>
          <t>1</t>
        </is>
      </c>
      <c r="J3495">
        <f>((Inputs!$B$6*(1+Inputs!$B$7/100))+(((Inputs!$B$12*(1+Inputs!$B$13/100))-(Inputs!$B$12*(1+Inputs!$B$13/100)))+0.25*(Inputs!$B$14-Inputs!$B$14))*(1+Inputs!$B$7/100))*(F3495/100)</f>
        <v/>
      </c>
      <c r="K3495">
        <f>J3495*(1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3495)</f>
        <v/>
      </c>
      <c r="L3495">
        <f>K3495*(MIN(Inputs!$B$22+((C3508=TRUE)*(F3508-Calc!F24)),(Inputs!$B$23+((C3513=TRUE)*(F3513-Calc!F29))+IF(ArtifactsInput!$M$15,CHOOSE(ArtifactsInput!$N$15+1,25,30,35,40,45,50)/100*(Inputs!$B$11-Inputs!$B$11),0)))/100+(Inputs!$B$23+((C3513=TRUE)*(F3513-Calc!F29))+IF(ArtifactsInput!$M$15,CHOOSE(ArtifactsInput!$N$15+1,25,30,35,40,45,50)/100*(Inputs!$B$11-Inputs!$B$11),0))/100)/2</f>
        <v/>
      </c>
      <c r="M3495">
        <f>L3495*(1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5">
        <f>L3495*(1-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3495*(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5">
        <f>(1-Summary!$B$11)*T3495+Summary!$B$11*V3495</f>
        <v/>
      </c>
      <c r="P3495">
        <f>IF(B3529=0,0,O3495/B3529)</f>
        <v/>
      </c>
      <c r="Q3495">
        <f>IFERROR(1/IF(Inputs!$B$39="pvp",15,MAX(0.1,Skills!D11-IF(Skills!E11=TRUE,3.0,0))),0)</f>
        <v/>
      </c>
      <c r="R3495">
        <f>IF(AND(Inputs!$B$39&lt;&gt;"pvp",Inputs!$B$44&gt;0),IF(MAX(0,Inputs!$B$44-B3528)&lt;=0,0,(INT(MAX(0,Inputs!$B$44-B3528)/IF(Inputs!$B$39="pvp",15,MAX(0.1,Skills!D11-IF(Skills!E11=TRUE,3.0,0))))+1)),0)</f>
        <v/>
      </c>
      <c r="S3495">
        <f>IFERROR(O3495/N3495,0)</f>
        <v/>
      </c>
      <c r="T3495">
        <f>IF(C3495,(H3495*N3495*IF(AND(Inputs!$B$39&lt;&gt;"pvp",Inputs!$B$44&gt;0),((Skills!G11*((R3495-1)*IF(Skills!H11&gt;0,Skills!I11/Skills!H11,1)+IF(Skills!H11&gt;0,MIN(Skills!I11,MAX(0,MAX(0,Inputs!$B$44-B3528)-((R3495-1)*IF(Inputs!$B$39="pvp",15,MAX(0.1,Skills!D11-IF(Skills!E11=TRUE,3.0,0))))))/Skills!H11,1)))/Inputs!$B$44),G3495*Q3495))*IF(Inputs!$B$39="pvp",1,1+(Inputs!$B$20+0+Skills!P11+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3495*(1-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3495*(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3495*(1-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3495*(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5">
        <f>IF(C3495,(H3495*N3495*IF(AND(Inputs!$B$39&lt;&gt;"pvp",Inputs!$B$44&gt;0),((Skills!G11*((R3495-1)*IF(Skills!H11&gt;0,Skills!I11/Skills!H11,1)+IF(Skills!H11&gt;0,MIN(Skills!I11,MAX(0,MAX(0,Inputs!$B$44-B3528)-((R3495-1)*IF(Inputs!$B$39="pvp",15,MAX(0.1,Skills!D11-IF(Skills!E11=TRUE,3.0,0))))))/Skills!H11,1)))/Inputs!$B$44),G3495*Q3495))*IF(Inputs!$B$39="pvp",1,(1+(Inputs!$B$21+Skills!Q11+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6">
      <c r="A3496">
        <f>Skills!A12</f>
        <v/>
      </c>
      <c r="B3496">
        <f>Skills!B12</f>
        <v/>
      </c>
      <c r="C3496">
        <f>Inputs!$B$3&gt;=105</f>
        <v/>
      </c>
      <c r="D3496">
        <f>IF(Skills!C12=1,60+Inputs!$B$25+Inputs!$B$29,IF(Skills!C12=2,90+Inputs!$B$26+Inputs!$B$29,IF(Skills!C12=3,120+Inputs!$B$27+Inputs!$B$29,MAX(0,(Inputs!$B$3-100)*3)+Inputs!$B$28+Inputs!$B$29)))</f>
        <v/>
      </c>
      <c r="E3496">
        <f>INDEX(FactorTable!$B$2:$Y$301, MATCH(ROUND(MIN(300,MAX(1,D3496)),0), FactorTable!$A$2:$A$301,0), Skills!M12+1)</f>
        <v/>
      </c>
      <c r="F3496">
        <f>IF(Skills!N12=TRUE,(Skills!L12/10)*(E3496/1000),Skills!L12/10)+Skills!O12</f>
        <v/>
      </c>
      <c r="G3496">
        <f>Skills!G12*IF(Skills!H12&gt;0,Skills!I12/Skills!H12,1)</f>
        <v/>
      </c>
      <c r="H3496">
        <f>1-(1-Skills!J12/100)^Skills!K12</f>
        <v/>
      </c>
      <c r="I3496" t="inlineStr">
        <is>
          <t>1</t>
        </is>
      </c>
      <c r="J3496">
        <f>((Inputs!$B$6*(1+Inputs!$B$7/100))+(((Inputs!$B$12*(1+Inputs!$B$13/100))-(Inputs!$B$12*(1+Inputs!$B$13/100)))+0.25*(Inputs!$B$14-Inputs!$B$14))*(1+Inputs!$B$7/100))*(F3496/100)</f>
        <v/>
      </c>
      <c r="K3496">
        <f>J3496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3496)</f>
        <v/>
      </c>
      <c r="L3496">
        <f>K3496*(MIN(Inputs!$B$22+((C3508=TRUE)*(F3508-Calc!F24)),(Inputs!$B$23+((C3513=TRUE)*(F3513-Calc!F29))+IF(ArtifactsInput!$M$15,CHOOSE(ArtifactsInput!$N$15+1,25,30,35,40,45,50)/100*(Inputs!$B$11-Inputs!$B$11),0)))/100+(Inputs!$B$23+((C3513=TRUE)*(F3513-Calc!F29))+IF(ArtifactsInput!$M$15,CHOOSE(ArtifactsInput!$N$15+1,25,30,35,40,45,50)/100*(Inputs!$B$11-Inputs!$B$11),0))/100)/2</f>
        <v/>
      </c>
      <c r="M3496">
        <f>L3496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6">
        <f>L3496*(1-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3496*(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6">
        <f>(1-Summary!$B$11)*T3496+Summary!$B$11*V3496</f>
        <v/>
      </c>
      <c r="P3496">
        <f>IF(B3529=0,0,O3496/B3529)</f>
        <v/>
      </c>
      <c r="Q3496">
        <f>IFERROR(1/IF(Inputs!$B$39="pvp",15,MAX(0.1,Skills!D12-IF(Skills!E12=TRUE,3.0,0))),0)</f>
        <v/>
      </c>
      <c r="R3496">
        <f>IF(AND(Inputs!$B$39&lt;&gt;"pvp",Inputs!$B$44&gt;0),IF(MAX(0,Inputs!$B$44-B3528)&lt;=0,0,(INT(MAX(0,Inputs!$B$44-B3528)/IF(Inputs!$B$39="pvp",15,MAX(0.1,Skills!D12-IF(Skills!E12=TRUE,3.0,0))))+1)),0)</f>
        <v/>
      </c>
      <c r="S3496">
        <f>IFERROR(O3496/N3496,0)</f>
        <v/>
      </c>
      <c r="T3496">
        <f>IF(C3496,(H3496*N3496*IF(AND(Inputs!$B$39&lt;&gt;"pvp",Inputs!$B$44&gt;0),((Skills!G12*((R3496-1)*IF(Skills!H12&gt;0,Skills!I12/Skills!H12,1)+IF(Skills!H12&gt;0,MIN(Skills!I12,MAX(0,MAX(0,Inputs!$B$44-B3528)-((R3496-1)*IF(Inputs!$B$39="pvp",15,MAX(0.1,Skills!D12-IF(Skills!E12=TRUE,3.0,0))))))/Skills!H12,1)))/Inputs!$B$44),G3496*Q3496))*IF(Inputs!$B$39="pvp",1,1+(Inputs!$B$20+0+Skills!P12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3496*(1-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3496*(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3496*(1-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3496*(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6">
        <f>IF(C3496,(H3496*N3496*IF(AND(Inputs!$B$39&lt;&gt;"pvp",Inputs!$B$44&gt;0),((Skills!G12*((R3496-1)*IF(Skills!H12&gt;0,Skills!I12/Skills!H12,1)+IF(Skills!H12&gt;0,MIN(Skills!I12,MAX(0,MAX(0,Inputs!$B$44-B3528)-((R3496-1)*IF(Inputs!$B$39="pvp",15,MAX(0.1,Skills!D12-IF(Skills!E12=TRUE,3.0,0))))))/Skills!H12,1)))/Inputs!$B$44),G3496*Q3496))*IF(Inputs!$B$39="pvp",1,(1+(Inputs!$B$21+Skills!Q12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7">
      <c r="A3497">
        <f>Skills!A13</f>
        <v/>
      </c>
      <c r="B3497">
        <f>Skills!B13</f>
        <v/>
      </c>
      <c r="C3497">
        <f>Inputs!$B$3&gt;=105</f>
        <v/>
      </c>
      <c r="D3497">
        <f>IF(Skills!C13=1,60+Inputs!$B$25+Inputs!$B$29,IF(Skills!C13=2,90+Inputs!$B$26+Inputs!$B$29,IF(Skills!C13=3,120+Inputs!$B$27+Inputs!$B$29,MAX(0,(Inputs!$B$3-100)*3)+Inputs!$B$28+Inputs!$B$29)))</f>
        <v/>
      </c>
      <c r="E3497">
        <f>INDEX(FactorTable!$B$2:$Y$301, MATCH(ROUND(MIN(300,MAX(1,D3497)),0), FactorTable!$A$2:$A$301,0), Skills!M13+1)</f>
        <v/>
      </c>
      <c r="F3497">
        <f>IF(Skills!N13=TRUE,(Skills!L13/10)*(E3497/1000),Skills!L13/10)+Skills!O13</f>
        <v/>
      </c>
      <c r="G3497">
        <f>Skills!G13*IF(Skills!H13&gt;0,Skills!I13/Skills!H13,1)</f>
        <v/>
      </c>
      <c r="H3497">
        <f>1-(1-Skills!J13/100)^Skills!K13</f>
        <v/>
      </c>
      <c r="I3497" t="inlineStr">
        <is>
          <t>1</t>
        </is>
      </c>
      <c r="J3497">
        <f>((Inputs!$B$6*(1+Inputs!$B$7/100))+(((Inputs!$B$12*(1+Inputs!$B$13/100))-(Inputs!$B$12*(1+Inputs!$B$13/100)))+0.25*(Inputs!$B$14-Inputs!$B$14))*(1+Inputs!$B$7/100))*(F3497/100)</f>
        <v/>
      </c>
      <c r="K3497">
        <f>J3497*(1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3497)</f>
        <v/>
      </c>
      <c r="L3497">
        <f>K3497*(MIN(Inputs!$B$22+((C3508=TRUE)*(F3508-Calc!F24)),(Inputs!$B$23+((C3513=TRUE)*(F3513-Calc!F29))+IF(ArtifactsInput!$M$15,CHOOSE(ArtifactsInput!$N$15+1,25,30,35,40,45,50)/100*(Inputs!$B$11-Inputs!$B$11),0)))/100+(Inputs!$B$23+((C3513=TRUE)*(F3513-Calc!F29))+IF(ArtifactsInput!$M$15,CHOOSE(ArtifactsInput!$N$15+1,25,30,35,40,45,50)/100*(Inputs!$B$11-Inputs!$B$11),0))/100)/2</f>
        <v/>
      </c>
      <c r="M3497">
        <f>L3497*(1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7">
        <f>L3497*(1-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3497*(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7">
        <f>(1-Summary!$B$11)*T3497+Summary!$B$11*V3497</f>
        <v/>
      </c>
      <c r="P3497">
        <f>IF(B3529=0,0,O3497/B3529)</f>
        <v/>
      </c>
      <c r="Q3497">
        <f>IFERROR(1/IF(Inputs!$B$39="pvp",15,MAX(0.1,Skills!D13-IF(Skills!E13=TRUE,3.0,0))),0)</f>
        <v/>
      </c>
      <c r="R3497">
        <f>IF(AND(Inputs!$B$39&lt;&gt;"pvp",Inputs!$B$44&gt;0),IF(MAX(0,Inputs!$B$44-B3528)&lt;=0,0,(INT(MAX(0,Inputs!$B$44-B3528)/IF(Inputs!$B$39="pvp",15,MAX(0.1,Skills!D13-IF(Skills!E13=TRUE,3.0,0))))+1)),0)</f>
        <v/>
      </c>
      <c r="S3497">
        <f>IFERROR(O3497/N3497,0)</f>
        <v/>
      </c>
      <c r="T3497">
        <f>IF(C3497,(H3497*N3497*IF(AND(Inputs!$B$39&lt;&gt;"pvp",Inputs!$B$44&gt;0),((Skills!G13*((R3497-1)*IF(Skills!H13&gt;0,Skills!I13/Skills!H13,1)+IF(Skills!H13&gt;0,MIN(Skills!I13,MAX(0,MAX(0,Inputs!$B$44-B3528)-((R3497-1)*IF(Inputs!$B$39="pvp",15,MAX(0.1,Skills!D13-IF(Skills!E13=TRUE,3.0,0))))))/Skills!H13,1)))/Inputs!$B$44),G3497*Q3497))*IF(Inputs!$B$39="pvp",1,1+(Inputs!$B$20+0+Skills!P13+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3497*(1-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3497*(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3497*(1-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3497*(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7">
        <f>IF(C3497,(H3497*N3497*IF(AND(Inputs!$B$39&lt;&gt;"pvp",Inputs!$B$44&gt;0),((Skills!G13*((R3497-1)*IF(Skills!H13&gt;0,Skills!I13/Skills!H13,1)+IF(Skills!H13&gt;0,MIN(Skills!I13,MAX(0,MAX(0,Inputs!$B$44-B3528)-((R3497-1)*IF(Inputs!$B$39="pvp",15,MAX(0.1,Skills!D13-IF(Skills!E13=TRUE,3.0,0))))))/Skills!H13,1)))/Inputs!$B$44),G3497*Q3497))*IF(Inputs!$B$39="pvp",1,(1+(Inputs!$B$21+Skills!Q13+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8">
      <c r="A3498">
        <f>Skills!A14</f>
        <v/>
      </c>
      <c r="B3498">
        <f>Skills!B14</f>
        <v/>
      </c>
      <c r="C3498">
        <f>Inputs!$B$3&gt;=107</f>
        <v/>
      </c>
      <c r="D3498">
        <f>IF(Skills!C14=1,60+Inputs!$B$25+Inputs!$B$29,IF(Skills!C14=2,90+Inputs!$B$26+Inputs!$B$29,IF(Skills!C14=3,120+Inputs!$B$27+Inputs!$B$29,MAX(0,(Inputs!$B$3-100)*3)+Inputs!$B$28+Inputs!$B$29)))</f>
        <v/>
      </c>
      <c r="E3498">
        <f>INDEX(FactorTable!$B$2:$Y$301, MATCH(ROUND(MIN(300,MAX(1,D3498)),0), FactorTable!$A$2:$A$301,0), Skills!M14+1)</f>
        <v/>
      </c>
      <c r="F3498">
        <f>IF(Skills!N14=TRUE,(Skills!L14/10)*(E3498/1000),Skills!L14/10)+Skills!O14</f>
        <v/>
      </c>
      <c r="G3498">
        <f>Skills!G14*IF(Skills!H14&gt;0,Skills!I14/Skills!H14,1)</f>
        <v/>
      </c>
      <c r="H3498">
        <f>1-(1-Skills!J14/100)^Skills!K14</f>
        <v/>
      </c>
      <c r="I3498" t="inlineStr">
        <is>
          <t>1</t>
        </is>
      </c>
      <c r="J3498">
        <f>((Inputs!$B$6*(1+Inputs!$B$7/100))+(((Inputs!$B$12*(1+Inputs!$B$13/100))-(Inputs!$B$12*(1+Inputs!$B$13/100)))+0.25*(Inputs!$B$14-Inputs!$B$14))*(1+Inputs!$B$7/100))*(F3498/100)</f>
        <v/>
      </c>
      <c r="K3498">
        <f>J3498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3498)</f>
        <v/>
      </c>
      <c r="L3498">
        <f>K3498*(MIN(Inputs!$B$22+((C3508=TRUE)*(F3508-Calc!F24)),(Inputs!$B$23+((C3513=TRUE)*(F3513-Calc!F29))+IF(ArtifactsInput!$M$15,CHOOSE(ArtifactsInput!$N$15+1,25,30,35,40,45,50)/100*(Inputs!$B$11-Inputs!$B$11),0)))/100+(Inputs!$B$23+((C3513=TRUE)*(F3513-Calc!F29))+IF(ArtifactsInput!$M$15,CHOOSE(ArtifactsInput!$N$15+1,25,30,35,40,45,50)/100*(Inputs!$B$11-Inputs!$B$11),0))/100)/2</f>
        <v/>
      </c>
      <c r="M3498">
        <f>L3498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8">
        <f>L3498*(1-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3498*(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8">
        <f>(1-Summary!$B$11)*T3498+Summary!$B$11*V3498</f>
        <v/>
      </c>
      <c r="P3498">
        <f>IF(B3529=0,0,O3498/B3529)</f>
        <v/>
      </c>
      <c r="Q3498">
        <f>IFERROR(1/IF(Inputs!$B$39="pvp",15,MAX(0.1,Skills!D14-IF(Skills!E14=TRUE,3.0,0))),0)</f>
        <v/>
      </c>
      <c r="R3498">
        <f>IF(AND(Inputs!$B$39&lt;&gt;"pvp",Inputs!$B$44&gt;0),IF(MAX(0,Inputs!$B$44-B3528)&lt;=0,0,(INT(MAX(0,Inputs!$B$44-B3528)/IF(Inputs!$B$39="pvp",15,MAX(0.1,Skills!D14-IF(Skills!E14=TRUE,3.0,0))))+1)),0)</f>
        <v/>
      </c>
      <c r="S3498">
        <f>IFERROR(O3498/N3498,0)</f>
        <v/>
      </c>
      <c r="T3498">
        <f>IF(C3498,(H3498*N3498*IF(AND(Inputs!$B$39&lt;&gt;"pvp",Inputs!$B$44&gt;0),((Skills!G14*((R3498-1)*IF(Skills!H14&gt;0,Skills!I14/Skills!H14,1)+IF(Skills!H14&gt;0,MIN(Skills!I14,MAX(0,MAX(0,Inputs!$B$44-B3528)-((R3498-1)*IF(Inputs!$B$39="pvp",15,MAX(0.1,Skills!D14-IF(Skills!E14=TRUE,3.0,0))))))/Skills!H14,1)))/Inputs!$B$44),G3498*Q3498))*IF(Inputs!$B$39="pvp",1,1+(Inputs!$B$20+0+Skills!P14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3498*(1-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3498*(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3498*(1-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3498*(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8">
        <f>IF(C3498,(H3498*N3498*IF(AND(Inputs!$B$39&lt;&gt;"pvp",Inputs!$B$44&gt;0),((Skills!G14*((R3498-1)*IF(Skills!H14&gt;0,Skills!I14/Skills!H14,1)+IF(Skills!H14&gt;0,MIN(Skills!I14,MAX(0,MAX(0,Inputs!$B$44-B3528)-((R3498-1)*IF(Inputs!$B$39="pvp",15,MAX(0.1,Skills!D14-IF(Skills!E14=TRUE,3.0,0))))))/Skills!H14,1)))/Inputs!$B$44),G3498*Q3498))*IF(Inputs!$B$39="pvp",1,(1+(Inputs!$B$21+Skills!Q14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(5,0.25*B3521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9">
      <c r="A3499">
        <f>Skills!A15</f>
        <v/>
      </c>
      <c r="B3499">
        <f>Skills!B15</f>
        <v/>
      </c>
      <c r="C3499">
        <f>Inputs!$B$3&gt;=110</f>
        <v/>
      </c>
      <c r="D3499">
        <f>IF(Skills!C15=1,60+Inputs!$B$25+Inputs!$B$29,IF(Skills!C15=2,90+Inputs!$B$26+Inputs!$B$29,IF(Skills!C15=3,120+Inputs!$B$27+Inputs!$B$29,MAX(0,(Inputs!$B$3-100)*3)+Inputs!$B$28+Inputs!$B$29)))</f>
        <v/>
      </c>
      <c r="E3499">
        <f>INDEX(FactorTable!$B$2:$Y$301, MATCH(ROUND(MIN(300,MAX(1,D3499)),0), FactorTable!$A$2:$A$301,0), Skills!M15+1)</f>
        <v/>
      </c>
      <c r="F3499">
        <f>IF(Skills!N15=TRUE,(Skills!L15/10)*(E3499/1000),Skills!L15/10)+Skills!O15</f>
        <v/>
      </c>
      <c r="G3499">
        <f>Skills!G15*IF(Skills!H15&gt;0,Skills!I15/Skills!H15,1)</f>
        <v/>
      </c>
      <c r="H3499">
        <f>1-(1-Skills!J15/100)^Skills!K15</f>
        <v/>
      </c>
      <c r="I3499" t="inlineStr">
        <is>
          <t>1</t>
        </is>
      </c>
      <c r="J3499" t="inlineStr"/>
      <c r="K3499" t="inlineStr"/>
      <c r="L3499" t="inlineStr"/>
      <c r="M3499" t="inlineStr"/>
      <c r="N3499" t="inlineStr"/>
      <c r="O3499">
        <f>(1-Summary!$B$11)*T3499+Summary!$B$11*V3499</f>
        <v/>
      </c>
      <c r="P3499">
        <f>IF(B3529=0,0,O3499/B3529)</f>
        <v/>
      </c>
      <c r="Q3499">
        <f>IFERROR(1/IF(Inputs!$B$39="pvp",15,MAX(0.1,Skills!D15-IF(Skills!E15=TRUE,3.0,0))),0)</f>
        <v/>
      </c>
      <c r="R3499">
        <f>IF(AND(Inputs!$B$39&lt;&gt;"pvp",Inputs!$B$44&gt;0),IF(Inputs!$B$44&lt;=0,0,(INT(Inputs!$B$44/IF(Inputs!$B$39="pvp",15,MAX(0.1,Skills!D15-IF(Skills!E15=TRUE,3.0,0))))+1)),0)</f>
        <v/>
      </c>
      <c r="S3499">
        <f>IFERROR(O3499/N3499,0)</f>
        <v/>
      </c>
      <c r="T3499" t="n">
        <v>0</v>
      </c>
      <c r="V3499" t="n">
        <v>0</v>
      </c>
    </row>
    <row r="3500">
      <c r="A3500">
        <f>Skills!A16</f>
        <v/>
      </c>
      <c r="B3500">
        <f>Skills!B16</f>
        <v/>
      </c>
      <c r="C3500">
        <f>Inputs!$B$3&gt;=115</f>
        <v/>
      </c>
      <c r="D3500">
        <f>IF(Skills!C16=1,60+Inputs!$B$25+Inputs!$B$29,IF(Skills!C16=2,90+Inputs!$B$26+Inputs!$B$29,IF(Skills!C16=3,120+Inputs!$B$27+Inputs!$B$29,MAX(0,(Inputs!$B$3-100)*3)+Inputs!$B$28+Inputs!$B$29)))</f>
        <v/>
      </c>
      <c r="E3500">
        <f>INDEX(FactorTable!$B$2:$Y$301, MATCH(ROUND(MIN(300,MAX(1,D3500)),0), FactorTable!$A$2:$A$301,0), Skills!M16+1)</f>
        <v/>
      </c>
      <c r="F3500">
        <f>IF(Skills!N16=TRUE,(Skills!L16/10)*(E3500/1000),Skills!L16/10)+Skills!O16</f>
        <v/>
      </c>
      <c r="G3500">
        <f>Skills!G16*IF(Skills!H16&gt;0,Skills!I16/Skills!H16,1)</f>
        <v/>
      </c>
      <c r="H3500">
        <f>1-(1-Skills!J16/100)^Skills!K16</f>
        <v/>
      </c>
      <c r="I3500" t="inlineStr">
        <is>
          <t>1</t>
        </is>
      </c>
      <c r="J3500">
        <f>((Inputs!$B$6*(1+Inputs!$B$7/100))+(((Inputs!$B$12*(1+Inputs!$B$13/100))-(Inputs!$B$12*(1+Inputs!$B$13/100)))+0.25*(Inputs!$B$14-Inputs!$B$14))*(1+Inputs!$B$7/100))*(F3500/100)</f>
        <v/>
      </c>
      <c r="K3500">
        <f>J3500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3511=TRUE)*(F3511-Calc!F27))+((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3500)</f>
        <v/>
      </c>
      <c r="L3500">
        <f>K3500*(MIN(Inputs!$B$22+((C3508=TRUE)*(F3508-Calc!F24)),(Inputs!$B$23+((C3513=TRUE)*(F3513-Calc!F29))+IF(ArtifactsInput!$M$15,CHOOSE(ArtifactsInput!$N$15+1,25,30,35,40,45,50)/100*(Inputs!$B$11-Inputs!$B$11),0)))/100+(Inputs!$B$23+((C3513=TRUE)*(F3513-Calc!F29))+IF(ArtifactsInput!$M$15,CHOOSE(ArtifactsInput!$N$15+1,25,30,35,40,45,50)/100*(Inputs!$B$11-Inputs!$B$11),0))/100)/2</f>
        <v/>
      </c>
      <c r="M3500">
        <f>L3500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0">
        <f>L3500*(1-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3500*(MIN((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0">
        <f>(1-Summary!$B$11)*T3500+Summary!$B$11*V3500</f>
        <v/>
      </c>
      <c r="P3500">
        <f>IF(B3529=0,0,O3500/B3529)</f>
        <v/>
      </c>
      <c r="Q3500" t="n">
        <v>0</v>
      </c>
      <c r="R3500" t="n">
        <v>0</v>
      </c>
      <c r="S3500">
        <f>IFERROR(O3500/N3500,0)</f>
        <v/>
      </c>
      <c r="T3500">
        <f>IF(C3500,(Inputs!$B$38*0.2*N3500)*IF(Inputs!$B$39="pvp",1,1+(Inputs!$B$20+0+Skills!P16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3500*(1-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3500*(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3500*(1-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3500*(MIN(100,(Inputs!$B$9+((C3509=TRUE)*(F3509-Calc!F25))+B3517+(ArtifactsInput!$M$24-ArtifactsInput!$M$24)*CHOOSE(ArtifactsInput!$N$24+1,10,12,14,16,18,20)+(IF(AND(Inputs!$B$39&lt;&gt;"pvp",Inputs!$B$44=0),1,IF(IF(Inputs!$B$39="pvp",15,Inputs!$B$44)-(B3528)&lt;=0,1,MAX(0,IF(Inputs!$B$39="pvp",15,Inputs!$B$44)-MAX(5,B3528))/(IF(Inputs!$B$39="pvp",15,Inputs!$B$44)-(B3528))))*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0">
        <f>IF(C3500,(Inputs!$B$38*0.2*N3500)*IF(Inputs!$B$39="pvp",1,(1+(Inputs!$B$21+Skills!Q16+B3518+(IF(ArtifactsInput!$M$33,CHOOSE(ArtifactsInput!$N$33+1,30,36,42,48,54,60),0))+(IF(AND(ArtifactsInput!$M$35,Inputs!$B$4&lt;&gt;"Chapter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1">
      <c r="A3501">
        <f>Skills!A17</f>
        <v/>
      </c>
      <c r="B3501">
        <f>Skills!B17</f>
        <v/>
      </c>
      <c r="C3501">
        <f>Inputs!$B$3&gt;=115</f>
        <v/>
      </c>
      <c r="D3501">
        <f>IF(Skills!C17=1,60+Inputs!$B$25+Inputs!$B$29,IF(Skills!C17=2,90+Inputs!$B$26+Inputs!$B$29,IF(Skills!C17=3,120+Inputs!$B$27+Inputs!$B$29,MAX(0,(Inputs!$B$3-100)*3)+Inputs!$B$28+Inputs!$B$29)))</f>
        <v/>
      </c>
      <c r="E3501">
        <f>INDEX(FactorTable!$B$2:$Y$301, MATCH(ROUND(MIN(300,MAX(1,D3501)),0), FactorTable!$A$2:$A$301,0), Skills!M17+1)</f>
        <v/>
      </c>
      <c r="F3501">
        <f>IF(Skills!N17=TRUE,(Skills!L17/10)*(E3501/1000),Skills!L17/10)+Skills!O17</f>
        <v/>
      </c>
      <c r="G3501">
        <f>Skills!G17*IF(Skills!H17&gt;0,Skills!I17/Skills!H17,1)</f>
        <v/>
      </c>
      <c r="H3501">
        <f>1-(1-Skills!J17/100)^Skills!K17</f>
        <v/>
      </c>
      <c r="I3501" t="inlineStr">
        <is>
          <t>1</t>
        </is>
      </c>
      <c r="J3501" t="inlineStr"/>
      <c r="K3501" t="inlineStr"/>
      <c r="L3501" t="inlineStr"/>
      <c r="M3501" t="inlineStr"/>
      <c r="N3501" t="inlineStr"/>
      <c r="O3501">
        <f>(1-Summary!$B$11)*T3501+Summary!$B$11*V3501</f>
        <v/>
      </c>
      <c r="P3501">
        <f>IF(B3529=0,0,O3501/B3529)</f>
        <v/>
      </c>
      <c r="Q3501" t="n">
        <v>0</v>
      </c>
      <c r="R3501" t="n">
        <v>0</v>
      </c>
      <c r="S3501">
        <f>IFERROR(O3501/N3501,0)</f>
        <v/>
      </c>
      <c r="T3501" t="n">
        <v>0</v>
      </c>
      <c r="V3501" t="n">
        <v>0</v>
      </c>
    </row>
    <row r="3502">
      <c r="A3502">
        <f>Skills!A18</f>
        <v/>
      </c>
      <c r="B3502">
        <f>Skills!B18</f>
        <v/>
      </c>
      <c r="C3502">
        <f>Inputs!$B$3&gt;=100</f>
        <v/>
      </c>
      <c r="D3502">
        <f>IF(Skills!C18=1,60+Inputs!$B$25+Inputs!$B$29,IF(Skills!C18=2,90+Inputs!$B$26+Inputs!$B$29,IF(Skills!C18=3,120+Inputs!$B$27+Inputs!$B$29,MAX(0,(Inputs!$B$3-100)*3)+Inputs!$B$28+Inputs!$B$29)))</f>
        <v/>
      </c>
      <c r="E3502">
        <f>INDEX(FactorTable!$B$2:$Y$301, MATCH(ROUND(MIN(300,MAX(1,D3502)),0), FactorTable!$A$2:$A$301,0), Skills!M18+1)</f>
        <v/>
      </c>
      <c r="F3502">
        <f>IF(Skills!N18=TRUE,(Skills!L18/10)*(E3502/1000),Skills!L18/10)+Skills!O18</f>
        <v/>
      </c>
      <c r="G3502">
        <f>Skills!G18*IF(Skills!H18&gt;0,Skills!I18/Skills!H18,1)</f>
        <v/>
      </c>
      <c r="H3502">
        <f>1-(1-Skills!J18/100)^Skills!K18</f>
        <v/>
      </c>
      <c r="I3502" t="inlineStr">
        <is>
          <t>1</t>
        </is>
      </c>
      <c r="J3502" t="inlineStr"/>
      <c r="K3502" t="inlineStr"/>
      <c r="L3502" t="inlineStr"/>
      <c r="M3502" t="inlineStr"/>
      <c r="N3502" t="inlineStr"/>
      <c r="O3502">
        <f>(1-Summary!$B$11)*T3502+Summary!$B$11*V3502</f>
        <v/>
      </c>
      <c r="P3502">
        <f>IF(B3529=0,0,O3502/B3529)</f>
        <v/>
      </c>
      <c r="Q3502" t="n">
        <v>0</v>
      </c>
      <c r="R3502" t="n">
        <v>0</v>
      </c>
      <c r="S3502">
        <f>IFERROR(O3502/N3502,0)</f>
        <v/>
      </c>
      <c r="T3502" t="n">
        <v>0</v>
      </c>
      <c r="V3502" t="n">
        <v>0</v>
      </c>
    </row>
    <row r="3503">
      <c r="A3503">
        <f>Skills!A19</f>
        <v/>
      </c>
      <c r="B3503">
        <f>Skills!B19</f>
        <v/>
      </c>
      <c r="C3503">
        <f>TRUE</f>
        <v/>
      </c>
      <c r="D3503">
        <f>IF(Skills!C19=1,60+Inputs!$B$25+Inputs!$B$29,IF(Skills!C19=2,90+Inputs!$B$26+Inputs!$B$29,IF(Skills!C19=3,120+Inputs!$B$27+Inputs!$B$29,MAX(0,(Inputs!$B$3-100)*3)+Inputs!$B$28+Inputs!$B$29)))</f>
        <v/>
      </c>
      <c r="E3503">
        <f>INDEX(FactorTable!$B$2:$Y$301, MATCH(ROUND(MIN(300,MAX(1,D3503)),0), FactorTable!$A$2:$A$301,0), Skills!M19+1)</f>
        <v/>
      </c>
      <c r="F3503">
        <f>IF(Skills!N19=TRUE,(Skills!L19/10)*(E3503/1000),Skills!L19/10)+Skills!O19</f>
        <v/>
      </c>
      <c r="G3503">
        <f>Skills!G19*IF(Skills!H19&gt;0,Skills!I19/Skills!H19,1)</f>
        <v/>
      </c>
      <c r="H3503">
        <f>1-(1-Skills!J19/100)^Skills!K19</f>
        <v/>
      </c>
      <c r="I3503" t="inlineStr">
        <is>
          <t>1</t>
        </is>
      </c>
      <c r="J3503" t="inlineStr"/>
      <c r="K3503" t="inlineStr"/>
      <c r="L3503" t="inlineStr"/>
      <c r="M3503" t="inlineStr"/>
      <c r="N3503" t="inlineStr"/>
      <c r="O3503">
        <f>(1-Summary!$B$11)*T3503+Summary!$B$11*V3503</f>
        <v/>
      </c>
      <c r="P3503">
        <f>IF(B3529=0,0,O3503/B3529)</f>
        <v/>
      </c>
      <c r="Q3503">
        <f>IFERROR(1/IF(Inputs!$B$39="pvp",15,MAX(0.1,Skills!D19-IF(Skills!E19=TRUE,3.0,0))),0)</f>
        <v/>
      </c>
      <c r="R3503">
        <f>IF(AND(Inputs!$B$39&lt;&gt;"pvp",Inputs!$B$44&gt;0),IF(Inputs!$B$44&lt;=0,0,(INT(Inputs!$B$44/IF(Inputs!$B$39="pvp",15,MAX(0.1,Skills!D19-IF(Skills!E19=TRUE,3.0,0))))+1)),0)</f>
        <v/>
      </c>
      <c r="S3503">
        <f>IFERROR(O3503/N3503,0)</f>
        <v/>
      </c>
      <c r="T3503" t="n">
        <v>0</v>
      </c>
      <c r="V3503" t="n">
        <v>0</v>
      </c>
    </row>
    <row r="3504">
      <c r="A3504">
        <f>Skills!A20</f>
        <v/>
      </c>
      <c r="B3504">
        <f>Skills!B20</f>
        <v/>
      </c>
      <c r="C3504">
        <f>Inputs!$B$3&gt;=15</f>
        <v/>
      </c>
      <c r="D3504">
        <f>IF(Skills!C20=1,60+Inputs!$B$25+Inputs!$B$29,IF(Skills!C20=2,90+Inputs!$B$26+Inputs!$B$29,IF(Skills!C20=3,120+Inputs!$B$27+Inputs!$B$29,MAX(0,(Inputs!$B$3-100)*3)+Inputs!$B$28+Inputs!$B$29)))</f>
        <v/>
      </c>
      <c r="E3504">
        <f>INDEX(FactorTable!$B$2:$Y$301, MATCH(ROUND(MIN(300,MAX(1,D3504)),0), FactorTable!$A$2:$A$301,0), Skills!M20+1)</f>
        <v/>
      </c>
      <c r="F3504">
        <f>IF(Skills!N20=TRUE,(Skills!L20/10)*(E3504/1000),Skills!L20/10)+Skills!O20</f>
        <v/>
      </c>
      <c r="G3504">
        <f>Skills!G20*IF(Skills!H20&gt;0,Skills!I20/Skills!H20,1)</f>
        <v/>
      </c>
      <c r="H3504">
        <f>1-(1-Skills!J20/100)^Skills!K20</f>
        <v/>
      </c>
      <c r="I3504" t="inlineStr">
        <is>
          <t>1</t>
        </is>
      </c>
      <c r="J3504" t="inlineStr"/>
      <c r="K3504" t="inlineStr"/>
      <c r="L3504" t="inlineStr"/>
      <c r="M3504" t="inlineStr"/>
      <c r="N3504" t="inlineStr"/>
      <c r="O3504">
        <f>(1-Summary!$B$11)*T3504+Summary!$B$11*V3504</f>
        <v/>
      </c>
      <c r="P3504">
        <f>IF(B3529=0,0,O3504/B3529)</f>
        <v/>
      </c>
      <c r="Q3504">
        <f>IFERROR(1/IF(Inputs!$B$39="pvp",15,MAX(0.1,Skills!D20-IF(Skills!E20=TRUE,3.0,0))),0)</f>
        <v/>
      </c>
      <c r="R3504">
        <f>IF(AND(Inputs!$B$39&lt;&gt;"pvp",Inputs!$B$44&gt;0),IF(Inputs!$B$44&lt;=0,0,(INT(Inputs!$B$44/IF(Inputs!$B$39="pvp",15,MAX(0.1,Skills!D20-IF(Skills!E20=TRUE,3.0,0))))+1)),0)</f>
        <v/>
      </c>
      <c r="S3504">
        <f>IFERROR(O3504/N3504,0)</f>
        <v/>
      </c>
      <c r="T3504" t="n">
        <v>0</v>
      </c>
      <c r="V3504" t="n">
        <v>0</v>
      </c>
    </row>
    <row r="3505">
      <c r="A3505">
        <f>Skills!A21</f>
        <v/>
      </c>
      <c r="B3505">
        <f>Skills!B21</f>
        <v/>
      </c>
      <c r="C3505">
        <f>Inputs!$B$3&gt;=15</f>
        <v/>
      </c>
      <c r="D3505">
        <f>IF(Skills!C21=1,60+Inputs!$B$25+Inputs!$B$29,IF(Skills!C21=2,90+Inputs!$B$26+Inputs!$B$29,IF(Skills!C21=3,120+Inputs!$B$27+Inputs!$B$29,MAX(0,(Inputs!$B$3-100)*3)+Inputs!$B$28+Inputs!$B$29)))</f>
        <v/>
      </c>
      <c r="E3505">
        <f>INDEX(FactorTable!$B$2:$Y$301, MATCH(ROUND(MIN(300,MAX(1,D3505)),0), FactorTable!$A$2:$A$301,0), Skills!M21+1)</f>
        <v/>
      </c>
      <c r="F3505">
        <f>IF(Skills!N21=TRUE,(Skills!L21/10)*(E3505/1000),Skills!L21/10)+Skills!O21</f>
        <v/>
      </c>
      <c r="G3505">
        <f>Skills!G21*IF(Skills!H21&gt;0,Skills!I21/Skills!H21,1)</f>
        <v/>
      </c>
      <c r="H3505">
        <f>1-(1-Skills!J21/100)^Skills!K21</f>
        <v/>
      </c>
      <c r="I3505" t="inlineStr">
        <is>
          <t>1</t>
        </is>
      </c>
      <c r="J3505" t="inlineStr"/>
      <c r="K3505" t="inlineStr"/>
      <c r="L3505" t="inlineStr"/>
      <c r="M3505" t="inlineStr"/>
      <c r="N3505" t="inlineStr"/>
      <c r="O3505">
        <f>(1-Summary!$B$11)*T3505+Summary!$B$11*V3505</f>
        <v/>
      </c>
      <c r="P3505">
        <f>IF(B3529=0,0,O3505/B3529)</f>
        <v/>
      </c>
      <c r="Q3505">
        <f>IFERROR(1/IF(Inputs!$B$39="pvp",15,MAX(0.1,Skills!D21-IF(Skills!E21=TRUE,3.0,0))),0)</f>
        <v/>
      </c>
      <c r="R3505">
        <f>IF(AND(Inputs!$B$39&lt;&gt;"pvp",Inputs!$B$44&gt;0),IF(Inputs!$B$44&lt;=0,0,(INT(Inputs!$B$44/IF(Inputs!$B$39="pvp",15,MAX(0.1,Skills!D21-IF(Skills!E21=TRUE,3.0,0))))+1)),0)</f>
        <v/>
      </c>
      <c r="S3505">
        <f>IFERROR(O3505/N3505,0)</f>
        <v/>
      </c>
      <c r="T3505" t="n">
        <v>0</v>
      </c>
      <c r="V3505" t="n">
        <v>0</v>
      </c>
    </row>
    <row r="3506">
      <c r="A3506">
        <f>Skills!A22</f>
        <v/>
      </c>
      <c r="B3506">
        <f>Skills!B22</f>
        <v/>
      </c>
      <c r="C3506">
        <f>Inputs!$B$3&gt;=33</f>
        <v/>
      </c>
      <c r="D3506">
        <f>IF(Skills!C22=1,60+Inputs!$B$25+Inputs!$B$29,IF(Skills!C22=2,90+Inputs!$B$26+Inputs!$B$29,IF(Skills!C22=3,120+Inputs!$B$27+Inputs!$B$29,MAX(0,(Inputs!$B$3-100)*3)+Inputs!$B$28+Inputs!$B$29)))</f>
        <v/>
      </c>
      <c r="E3506">
        <f>INDEX(FactorTable!$B$2:$Y$301, MATCH(ROUND(MIN(300,MAX(1,D3506)),0), FactorTable!$A$2:$A$301,0), Skills!M22+1)</f>
        <v/>
      </c>
      <c r="F3506">
        <f>IF(Skills!N22=TRUE,(Skills!L22/10)*(E3506/1000),Skills!L22/10)+Skills!O22</f>
        <v/>
      </c>
      <c r="G3506">
        <f>Skills!G22*IF(Skills!H22&gt;0,Skills!I22/Skills!H22,1)</f>
        <v/>
      </c>
      <c r="H3506">
        <f>1-(1-Skills!J22/100)^Skills!K22</f>
        <v/>
      </c>
      <c r="I3506" t="inlineStr">
        <is>
          <t>1</t>
        </is>
      </c>
      <c r="J3506" t="inlineStr"/>
      <c r="K3506" t="inlineStr"/>
      <c r="L3506" t="inlineStr"/>
      <c r="M3506" t="inlineStr"/>
      <c r="N3506" t="inlineStr"/>
      <c r="O3506">
        <f>(1-Summary!$B$11)*T3506+Summary!$B$11*V3506</f>
        <v/>
      </c>
      <c r="P3506">
        <f>IF(B3529=0,0,O3506/B3529)</f>
        <v/>
      </c>
      <c r="Q3506" t="n">
        <v>0</v>
      </c>
      <c r="R3506" t="n">
        <v>0</v>
      </c>
      <c r="S3506">
        <f>IFERROR(O3506/N3506,0)</f>
        <v/>
      </c>
      <c r="T3506" t="n">
        <v>0</v>
      </c>
      <c r="V3506" t="n">
        <v>0</v>
      </c>
    </row>
    <row r="3507">
      <c r="A3507">
        <f>Skills!A23</f>
        <v/>
      </c>
      <c r="B3507">
        <f>Skills!B23</f>
        <v/>
      </c>
      <c r="C3507">
        <f>Inputs!$B$3&gt;=40</f>
        <v/>
      </c>
      <c r="D3507">
        <f>IF(Skills!C23=1,60+Inputs!$B$25+Inputs!$B$29,IF(Skills!C23=2,90+Inputs!$B$26+Inputs!$B$29,IF(Skills!C23=3,120+Inputs!$B$27+Inputs!$B$29,MAX(0,(Inputs!$B$3-100)*3)+Inputs!$B$28+Inputs!$B$29)))</f>
        <v/>
      </c>
      <c r="E3507">
        <f>INDEX(FactorTable!$B$2:$Y$301, MATCH(ROUND(MIN(300,MAX(1,D3507)),0), FactorTable!$A$2:$A$301,0), Skills!M23+1)</f>
        <v/>
      </c>
      <c r="F3507">
        <f>IF(Skills!N23=TRUE,(Skills!L23/10)*(E3507/1000),Skills!L23/10)+Skills!O23</f>
        <v/>
      </c>
      <c r="G3507">
        <f>Skills!G23*IF(Skills!H23&gt;0,Skills!I23/Skills!H23,1)</f>
        <v/>
      </c>
      <c r="H3507">
        <f>1-(1-Skills!J23/100)^Skills!K23</f>
        <v/>
      </c>
      <c r="I3507" t="inlineStr">
        <is>
          <t>1</t>
        </is>
      </c>
      <c r="J3507" t="inlineStr"/>
      <c r="K3507" t="inlineStr"/>
      <c r="L3507" t="inlineStr"/>
      <c r="M3507" t="inlineStr"/>
      <c r="N3507" t="inlineStr"/>
      <c r="O3507">
        <f>(1-Summary!$B$11)*T3507+Summary!$B$11*V3507</f>
        <v/>
      </c>
      <c r="P3507">
        <f>IF(B3529=0,0,O3507/B3529)</f>
        <v/>
      </c>
      <c r="Q3507" t="n">
        <v>0</v>
      </c>
      <c r="R3507" t="n">
        <v>0</v>
      </c>
      <c r="S3507">
        <f>IFERROR(O3507/N3507,0)</f>
        <v/>
      </c>
      <c r="T3507" t="n">
        <v>0</v>
      </c>
      <c r="V3507" t="n">
        <v>0</v>
      </c>
    </row>
    <row r="3508">
      <c r="A3508">
        <f>Skills!A24</f>
        <v/>
      </c>
      <c r="B3508">
        <f>Skills!B24</f>
        <v/>
      </c>
      <c r="C3508">
        <f>Inputs!$B$3&gt;=43</f>
        <v/>
      </c>
      <c r="D3508">
        <f>IF(Skills!C24=1,60+Inputs!$B$25+Inputs!$B$29,IF(Skills!C24=2,90+Inputs!$B$26+Inputs!$B$29,IF(Skills!C24=3,120+Inputs!$B$27+Inputs!$B$29,MAX(0,(Inputs!$B$3-100)*3)+Inputs!$B$28+Inputs!$B$29)))</f>
        <v/>
      </c>
      <c r="E3508">
        <f>INDEX(FactorTable!$B$2:$Y$301, MATCH(ROUND(MIN(300,MAX(1,D3508)),0), FactorTable!$A$2:$A$301,0), Skills!M24+1)</f>
        <v/>
      </c>
      <c r="F3508">
        <f>IF(Skills!N24=TRUE,(Skills!L24/10)*(E3508/1000),Skills!L24/10)+Skills!O24</f>
        <v/>
      </c>
      <c r="G3508">
        <f>Skills!G24*IF(Skills!H24&gt;0,Skills!I24/Skills!H24,1)</f>
        <v/>
      </c>
      <c r="H3508">
        <f>1-(1-Skills!J24/100)^Skills!K24</f>
        <v/>
      </c>
      <c r="I3508" t="inlineStr">
        <is>
          <t>1</t>
        </is>
      </c>
      <c r="J3508" t="inlineStr"/>
      <c r="K3508" t="inlineStr"/>
      <c r="L3508" t="inlineStr"/>
      <c r="M3508" t="inlineStr"/>
      <c r="N3508" t="inlineStr"/>
      <c r="O3508">
        <f>(1-Summary!$B$11)*T3508+Summary!$B$11*V3508</f>
        <v/>
      </c>
      <c r="P3508">
        <f>IF(B3529=0,0,O3508/B3529)</f>
        <v/>
      </c>
      <c r="Q3508" t="n">
        <v>0</v>
      </c>
      <c r="R3508" t="n">
        <v>0</v>
      </c>
      <c r="S3508">
        <f>IFERROR(O3508/N3508,0)</f>
        <v/>
      </c>
      <c r="T3508" t="n">
        <v>0</v>
      </c>
      <c r="V3508" t="n">
        <v>0</v>
      </c>
    </row>
    <row r="3509">
      <c r="A3509">
        <f>Skills!A25</f>
        <v/>
      </c>
      <c r="B3509">
        <f>Skills!B25</f>
        <v/>
      </c>
      <c r="C3509">
        <f>Inputs!$B$3&gt;=50</f>
        <v/>
      </c>
      <c r="D3509">
        <f>IF(Skills!C25=1,60+Inputs!$B$25+Inputs!$B$29,IF(Skills!C25=2,90+Inputs!$B$26+Inputs!$B$29,IF(Skills!C25=3,120+Inputs!$B$27+Inputs!$B$29,MAX(0,(Inputs!$B$3-100)*3)+Inputs!$B$28+Inputs!$B$29)))</f>
        <v/>
      </c>
      <c r="E3509">
        <f>INDEX(FactorTable!$B$2:$Y$301, MATCH(ROUND(MIN(300,MAX(1,D3509)),0), FactorTable!$A$2:$A$301,0), Skills!M25+1)</f>
        <v/>
      </c>
      <c r="F3509">
        <f>IF(Skills!N25=TRUE,(Skills!L25/10)*(E3509/1000),Skills!L25/10)+Skills!O25</f>
        <v/>
      </c>
      <c r="G3509">
        <f>Skills!G25*IF(Skills!H25&gt;0,Skills!I25/Skills!H25,1)</f>
        <v/>
      </c>
      <c r="H3509">
        <f>1-(1-Skills!J25/100)^Skills!K25</f>
        <v/>
      </c>
      <c r="I3509" t="inlineStr">
        <is>
          <t>1</t>
        </is>
      </c>
      <c r="J3509" t="inlineStr"/>
      <c r="K3509" t="inlineStr"/>
      <c r="L3509" t="inlineStr"/>
      <c r="M3509" t="inlineStr"/>
      <c r="N3509" t="inlineStr"/>
      <c r="O3509">
        <f>(1-Summary!$B$11)*T3509+Summary!$B$11*V3509</f>
        <v/>
      </c>
      <c r="P3509">
        <f>IF(B3529=0,0,O3509/B3529)</f>
        <v/>
      </c>
      <c r="Q3509" t="n">
        <v>0</v>
      </c>
      <c r="R3509" t="n">
        <v>0</v>
      </c>
      <c r="S3509">
        <f>IFERROR(O3509/N3509,0)</f>
        <v/>
      </c>
      <c r="T3509" t="n">
        <v>0</v>
      </c>
      <c r="V3509" t="n">
        <v>0</v>
      </c>
    </row>
    <row r="3510">
      <c r="A3510">
        <f>Skills!A26</f>
        <v/>
      </c>
      <c r="B3510">
        <f>Skills!B26</f>
        <v/>
      </c>
      <c r="C3510">
        <f>Inputs!$B$3&gt;=50</f>
        <v/>
      </c>
      <c r="D3510">
        <f>IF(Skills!C26=1,60+Inputs!$B$25+Inputs!$B$29,IF(Skills!C26=2,90+Inputs!$B$26+Inputs!$B$29,IF(Skills!C26=3,120+Inputs!$B$27+Inputs!$B$29,MAX(0,(Inputs!$B$3-100)*3)+Inputs!$B$28+Inputs!$B$29)))</f>
        <v/>
      </c>
      <c r="E3510">
        <f>INDEX(FactorTable!$B$2:$Y$301, MATCH(ROUND(MIN(300,MAX(1,D3510)),0), FactorTable!$A$2:$A$301,0), Skills!M26+1)</f>
        <v/>
      </c>
      <c r="F3510">
        <f>IF(Skills!N26=TRUE,(Skills!L26/10)*(E3510/1000),Skills!L26/10)+Skills!O26</f>
        <v/>
      </c>
      <c r="G3510">
        <f>Skills!G26*IF(Skills!H26&gt;0,Skills!I26/Skills!H26,1)</f>
        <v/>
      </c>
      <c r="H3510">
        <f>1-(1-Skills!J26/100)^Skills!K26</f>
        <v/>
      </c>
      <c r="I3510" t="inlineStr">
        <is>
          <t>1</t>
        </is>
      </c>
      <c r="J3510" t="inlineStr"/>
      <c r="K3510" t="inlineStr"/>
      <c r="L3510" t="inlineStr"/>
      <c r="M3510" t="inlineStr"/>
      <c r="N3510" t="inlineStr"/>
      <c r="O3510">
        <f>(1-Summary!$B$11)*T3510+Summary!$B$11*V3510</f>
        <v/>
      </c>
      <c r="P3510">
        <f>IF(B3529=0,0,O3510/B3529)</f>
        <v/>
      </c>
      <c r="Q3510" t="n">
        <v>0</v>
      </c>
      <c r="R3510" t="n">
        <v>0</v>
      </c>
      <c r="S3510">
        <f>IFERROR(O3510/N3510,0)</f>
        <v/>
      </c>
      <c r="T3510" t="n">
        <v>0</v>
      </c>
      <c r="V3510" t="n">
        <v>0</v>
      </c>
    </row>
    <row r="3511">
      <c r="A3511">
        <f>Skills!A27</f>
        <v/>
      </c>
      <c r="B3511">
        <f>Skills!B27</f>
        <v/>
      </c>
      <c r="C3511">
        <f>Inputs!$B$3&gt;=38</f>
        <v/>
      </c>
      <c r="D3511">
        <f>IF(Skills!C27=1,60+Inputs!$B$25+Inputs!$B$29,IF(Skills!C27=2,90+Inputs!$B$26+Inputs!$B$29,IF(Skills!C27=3,120+Inputs!$B$27+Inputs!$B$29,MAX(0,(Inputs!$B$3-100)*3)+Inputs!$B$28+Inputs!$B$29)))</f>
        <v/>
      </c>
      <c r="E3511">
        <f>INDEX(FactorTable!$B$2:$Y$301, MATCH(ROUND(MIN(300,MAX(1,D3511)),0), FactorTable!$A$2:$A$301,0), Skills!M27+1)</f>
        <v/>
      </c>
      <c r="F3511">
        <f>IF(Skills!N27=TRUE,(Skills!L27/10)*(E3511/1000),Skills!L27/10)+Skills!O27</f>
        <v/>
      </c>
      <c r="G3511">
        <f>Skills!G27*IF(Skills!H27&gt;0,Skills!I27/Skills!H27,1)</f>
        <v/>
      </c>
      <c r="H3511">
        <f>1-(1-Skills!J27/100)^Skills!K27</f>
        <v/>
      </c>
      <c r="I3511" t="inlineStr">
        <is>
          <t>1</t>
        </is>
      </c>
      <c r="J3511" t="inlineStr"/>
      <c r="K3511" t="inlineStr"/>
      <c r="L3511" t="inlineStr"/>
      <c r="M3511" t="inlineStr"/>
      <c r="N3511" t="inlineStr"/>
      <c r="O3511">
        <f>(1-Summary!$B$11)*T3511+Summary!$B$11*V3511</f>
        <v/>
      </c>
      <c r="P3511">
        <f>IF(B3529=0,0,O3511/B3529)</f>
        <v/>
      </c>
      <c r="Q3511" t="n">
        <v>0</v>
      </c>
      <c r="R3511" t="n">
        <v>0</v>
      </c>
      <c r="S3511">
        <f>IFERROR(O3511/N3511,0)</f>
        <v/>
      </c>
      <c r="T3511" t="n">
        <v>0</v>
      </c>
      <c r="V3511" t="n">
        <v>0</v>
      </c>
    </row>
    <row r="3512">
      <c r="A3512">
        <f>Skills!A28</f>
        <v/>
      </c>
      <c r="B3512">
        <f>Skills!B28</f>
        <v/>
      </c>
      <c r="C3512">
        <f>Inputs!$B$3&gt;=120</f>
        <v/>
      </c>
      <c r="D3512">
        <f>IF(Skills!C28=1,60+Inputs!$B$25+Inputs!$B$29,IF(Skills!C28=2,90+Inputs!$B$26+Inputs!$B$29,IF(Skills!C28=3,120+Inputs!$B$27+Inputs!$B$29,MAX(0,(Inputs!$B$3-100)*3)+Inputs!$B$28+Inputs!$B$29)))</f>
        <v/>
      </c>
      <c r="E3512">
        <f>INDEX(FactorTable!$B$2:$Y$301, MATCH(ROUND(MIN(300,MAX(1,D3512)),0), FactorTable!$A$2:$A$301,0), Skills!M28+1)</f>
        <v/>
      </c>
      <c r="F3512">
        <f>IF(Skills!N28=TRUE,(Skills!L28/10)*(E3512/1000),Skills!L28/10)+Skills!O28</f>
        <v/>
      </c>
      <c r="G3512">
        <f>Skills!G28*IF(Skills!H28&gt;0,Skills!I28/Skills!H28,1)</f>
        <v/>
      </c>
      <c r="H3512">
        <f>1-(1-Skills!J28/100)^Skills!K28</f>
        <v/>
      </c>
      <c r="I3512" t="inlineStr">
        <is>
          <t>1</t>
        </is>
      </c>
      <c r="J3512" t="inlineStr"/>
      <c r="K3512" t="inlineStr"/>
      <c r="L3512" t="inlineStr"/>
      <c r="M3512" t="inlineStr"/>
      <c r="N3512" t="inlineStr"/>
      <c r="O3512">
        <f>(1-Summary!$B$11)*T3512+Summary!$B$11*V3512</f>
        <v/>
      </c>
      <c r="P3512">
        <f>IF(B3529=0,0,O3512/B3529)</f>
        <v/>
      </c>
      <c r="Q3512" t="n">
        <v>0</v>
      </c>
      <c r="R3512" t="n">
        <v>0</v>
      </c>
      <c r="S3512">
        <f>IFERROR(O3512/N3512,0)</f>
        <v/>
      </c>
      <c r="T3512" t="n">
        <v>0</v>
      </c>
      <c r="V3512" t="n">
        <v>0</v>
      </c>
    </row>
    <row r="3513">
      <c r="A3513">
        <f>Skills!A29</f>
        <v/>
      </c>
      <c r="B3513">
        <f>Skills!B29</f>
        <v/>
      </c>
      <c r="C3513">
        <f>Inputs!$B$3&gt;=120</f>
        <v/>
      </c>
      <c r="D3513">
        <f>IF(Skills!C29=1,60+Inputs!$B$25+Inputs!$B$29,IF(Skills!C29=2,90+Inputs!$B$26+Inputs!$B$29,IF(Skills!C29=3,120+Inputs!$B$27+Inputs!$B$29,MAX(0,(Inputs!$B$3-100)*3)+Inputs!$B$28+Inputs!$B$29)))</f>
        <v/>
      </c>
      <c r="E3513">
        <f>INDEX(FactorTable!$B$2:$Y$301, MATCH(ROUND(MIN(300,MAX(1,D3513)),0), FactorTable!$A$2:$A$301,0), Skills!M29+1)</f>
        <v/>
      </c>
      <c r="F3513">
        <f>IF(Skills!N29=TRUE,(Skills!L29/10)*(E3513/1000),Skills!L29/10)+Skills!O29</f>
        <v/>
      </c>
      <c r="G3513">
        <f>Skills!G29*IF(Skills!H29&gt;0,Skills!I29/Skills!H29,1)</f>
        <v/>
      </c>
      <c r="H3513">
        <f>1-(1-Skills!J29/100)^Skills!K29</f>
        <v/>
      </c>
      <c r="I3513" t="inlineStr">
        <is>
          <t>1</t>
        </is>
      </c>
      <c r="J3513" t="inlineStr"/>
      <c r="K3513" t="inlineStr"/>
      <c r="L3513" t="inlineStr"/>
      <c r="M3513" t="inlineStr"/>
      <c r="N3513" t="inlineStr"/>
      <c r="O3513">
        <f>(1-Summary!$B$11)*T3513+Summary!$B$11*V3513</f>
        <v/>
      </c>
      <c r="P3513">
        <f>IF(B3529=0,0,O3513/B3529)</f>
        <v/>
      </c>
      <c r="Q3513" t="n">
        <v>0</v>
      </c>
      <c r="R3513" t="n">
        <v>0</v>
      </c>
      <c r="S3513">
        <f>IFERROR(O3513/N3513,0)</f>
        <v/>
      </c>
      <c r="T3513" t="n">
        <v>0</v>
      </c>
      <c r="V3513" t="n">
        <v>0</v>
      </c>
    </row>
    <row r="3514">
      <c r="A3514">
        <f>Skills!A30</f>
        <v/>
      </c>
      <c r="B3514">
        <f>Skills!B30</f>
        <v/>
      </c>
      <c r="C3514">
        <f>Inputs!$B$3&gt;=125</f>
        <v/>
      </c>
      <c r="D3514">
        <f>IF(Skills!C30=1,60+Inputs!$B$25+Inputs!$B$29,IF(Skills!C30=2,90+Inputs!$B$26+Inputs!$B$29,IF(Skills!C30=3,120+Inputs!$B$27+Inputs!$B$29,MAX(0,(Inputs!$B$3-100)*3)+Inputs!$B$28+Inputs!$B$29)))</f>
        <v/>
      </c>
      <c r="E3514">
        <f>INDEX(FactorTable!$B$2:$Y$301, MATCH(ROUND(MIN(300,MAX(1,D3514)),0), FactorTable!$A$2:$A$301,0), Skills!M30+1)</f>
        <v/>
      </c>
      <c r="F3514">
        <f>IF(Skills!N30=TRUE,(Skills!L30/10)*(E3514/1000),Skills!L30/10)+Skills!O30</f>
        <v/>
      </c>
      <c r="G3514">
        <f>Skills!G30*IF(Skills!H30&gt;0,Skills!I30/Skills!H30,1)</f>
        <v/>
      </c>
      <c r="H3514">
        <f>1-(1-Skills!J30/100)^Skills!K30</f>
        <v/>
      </c>
      <c r="I3514" t="inlineStr">
        <is>
          <t>1</t>
        </is>
      </c>
      <c r="J3514" t="inlineStr"/>
      <c r="K3514" t="inlineStr"/>
      <c r="L3514" t="inlineStr"/>
      <c r="M3514" t="inlineStr"/>
      <c r="N3514" t="inlineStr"/>
      <c r="O3514">
        <f>(1-Summary!$B$11)*T3514+Summary!$B$11*V3514</f>
        <v/>
      </c>
      <c r="P3514">
        <f>IF(B3529=0,0,O3514/B3529)</f>
        <v/>
      </c>
      <c r="Q3514" t="n">
        <v>0</v>
      </c>
      <c r="R3514" t="n">
        <v>0</v>
      </c>
      <c r="S3514">
        <f>IFERROR(O3514/N3514,0)</f>
        <v/>
      </c>
      <c r="T3514" t="n">
        <v>0</v>
      </c>
      <c r="V3514" t="n">
        <v>0</v>
      </c>
    </row>
    <row r="3516">
      <c r="A3516" t="inlineStr">
        <is>
          <t>Average Buff Multiplier</t>
        </is>
      </c>
      <c r="B3516">
        <f>(1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f>
        <v/>
      </c>
    </row>
    <row r="3517">
      <c r="A3517" t="inlineStr">
        <is>
          <t>Global Crit Rate Bonus %</t>
        </is>
      </c>
      <c r="B3517">
        <f>((C3504=TRUE)*F3504*IF(AND(Inputs!$B$39&lt;&gt;"pvp",Inputs!$B$44&gt;0),(((R3504-1)*(Skills!Y20*(1+Inputs!$B$34/100))+MIN((Skills!Y20*(1+Inputs!$B$34/100)),MAX(0,Inputs!$B$44-((R3504-1)*Skills!D20))))/Inputs!$B$44),IF(Inputs!$B$39="pvp",MIN((Skills!Y20*(1+Inputs!$B$34/100)),15)/15,(Skills!Y20*(1+Inputs!$B$34/100))/Skills!D20)))</f>
        <v/>
      </c>
    </row>
    <row r="3518">
      <c r="A3518" t="inlineStr">
        <is>
          <t>Global Monster Damage-Taken Bonus %</t>
        </is>
      </c>
      <c r="B3518">
        <f>IF(Inputs!$B$3&gt;=82,15,0)</f>
        <v/>
      </c>
    </row>
    <row r="3519">
      <c r="A3519" t="inlineStr">
        <is>
          <t>Shadow Partner Average Multiplier</t>
        </is>
      </c>
      <c r="B3519">
        <f>1+((C3491=TRUE)*F3491*(1+3.3333333333333335*IF(C3502=TRUE,F3502,0)/100)*I3491*Skills!J7/100)/100</f>
        <v/>
      </c>
    </row>
    <row r="3520">
      <c r="A3520" t="inlineStr">
        <is>
          <t>Attack Speed Buff Bonus %</t>
        </is>
      </c>
      <c r="B3520">
        <f>((C3503=TRUE)*F3503*IF(AND(Inputs!$B$39&lt;&gt;"pvp",Inputs!$B$44&gt;0),(((R3503-1)*(Skills!Y19*(1+Inputs!$B$34/100))+MIN((Skills!Y19*(1+Inputs!$B$34/100)),MAX(0,Inputs!$B$44-((R3503-1)*Skills!D19))))/Inputs!$B$44),IF(Inputs!$B$39="pvp",MIN((Skills!Y19*(1+Inputs!$B$34/100)),15)/15,(Skills!Y19*(1+Inputs!$B$34/100))/Skills!D19)))+((C3487=TRUE)*F3487*3)</f>
        <v/>
      </c>
    </row>
    <row r="3521">
      <c r="A3521" t="inlineStr">
        <is>
          <t>Actions Per Second</t>
        </is>
      </c>
      <c r="B3521">
        <f>1+MIN(150,150*(1-(1-(Inputs!$B$11+((C3506=TRUE)*(F3506-Calc!F22)))/150)*(1-B3520/150)))/100</f>
        <v/>
      </c>
    </row>
    <row r="3522">
      <c r="A3522" t="inlineStr">
        <is>
          <t>Skill + Buff Cast Rate</t>
        </is>
      </c>
      <c r="B3522">
        <f>IF(AND(Inputs!$B$39&lt;&gt;"pvp",Inputs!$B$44&gt;0),SUMPRODUCT((Skills!E2:E30=TRUE)*(C3486:C3514=TRUE)*R3486:R3514*Skills!F2:F30)/Inputs!$B$44,SUMPRODUCT((Skills!E2:E30=TRUE)*(C3486:C3514=TRUE)*Q3486:Q3514*Skills!F2:F30))</f>
        <v/>
      </c>
    </row>
    <row r="3523">
      <c r="A3523" t="inlineStr">
        <is>
          <t>Cruel Stab Casts Per Second</t>
        </is>
      </c>
      <c r="B3523">
        <f>MAX(0,B3521-B3522)</f>
        <v/>
      </c>
    </row>
    <row r="3524">
      <c r="A3524" t="inlineStr">
        <is>
          <t>Global Critical Damage Bonus % (Smokescreen Mastery Lv.113)</t>
        </is>
      </c>
      <c r="B3524">
        <f>IF(Inputs!$B$3&gt;=113,30,0)*IF(AND(Inputs!$B$39&lt;&gt;"pvp",Inputs!$B$44&gt;0),(((R3499-1)*(Skills!Y15*(1+Inputs!$B$34/100))+MIN((Skills!Y15*(1+Inputs!$B$34/100)),MAX(0,Inputs!$B$44-((R3499-1)*Skills!D15))))/Inputs!$B$44),IF(Inputs!$B$39="pvp",MIN((Skills!Y15*(1+Inputs!$B$34/100)),15)/15,(Skills!Y15*(1+Inputs!$B$34/100))/Skills!D15))</f>
        <v/>
      </c>
    </row>
    <row r="3525">
      <c r="A3525" t="inlineStr">
        <is>
          <t>Meso Explosion average stack count</t>
        </is>
      </c>
      <c r="B3525">
        <f>MIN(10,0.5*B3521*Skills!D4)</f>
        <v/>
      </c>
    </row>
    <row r="3526">
      <c r="A3526" t="inlineStr">
        <is>
          <t>Blood Money average stack count</t>
        </is>
      </c>
      <c r="B3526">
        <f>MIN(5,0.25*B3521*Skills!D4)</f>
        <v/>
      </c>
    </row>
    <row r="3527">
      <c r="A3527" t="inlineStr">
        <is>
          <t>Assassinate Murderous Intent Multiplier</t>
        </is>
      </c>
      <c r="B3527">
        <f>1+IFERROR(MIN(1,Q3498*2/Q3495),0)</f>
        <v/>
      </c>
    </row>
    <row r="3528">
      <c r="A3528" t="inlineStr">
        <is>
          <t>Buff-Casting Startup Delay (s, fixed-duration only)</t>
        </is>
      </c>
      <c r="B3528">
        <f>IF(AND(Inputs!$B$39&lt;&gt;"pvp",Inputs!$B$44&gt;0),SUMPRODUCT((Skills!Y2:Y30&gt;0)*(Skills!E2:E30=TRUE)*(C3486:C3514=TRUE))/B3521,0)</f>
        <v/>
      </c>
    </row>
    <row r="3529">
      <c r="A3529" s="6" t="inlineStr">
        <is>
          <t>TOTAL DPS</t>
        </is>
      </c>
      <c r="B3529" s="6">
        <f>SUM(O3486:O3514)</f>
        <v/>
      </c>
    </row>
    <row r="3530">
      <c r="A3530" t="inlineStr">
        <is>
          <t>Boss-Only Total DPS (this block's swept value)</t>
        </is>
      </c>
      <c r="B3530">
        <f>SUM(T3486:T3514)</f>
        <v/>
      </c>
    </row>
    <row r="3531">
      <c r="A3531" t="inlineStr">
        <is>
          <t>Normal-Only Total DPS (this block's swept value)</t>
        </is>
      </c>
      <c r="B3531">
        <f>SUM(V3486:V3514)</f>
        <v/>
      </c>
    </row>
    <row r="3534">
      <c r="A3534" s="6" t="inlineStr">
        <is>
          <t>Stat: CDR = 3.5s</t>
        </is>
      </c>
    </row>
    <row r="3535">
      <c r="A3535" s="5" t="inlineStr">
        <is>
          <t>Key</t>
        </is>
      </c>
      <c r="B3535" s="5" t="inlineStr">
        <is>
          <t>Name</t>
        </is>
      </c>
      <c r="C3535" s="5" t="inlineStr">
        <is>
          <t>Unlocked</t>
        </is>
      </c>
      <c r="D3535" s="5" t="inlineStr">
        <is>
          <t>InputLevel</t>
        </is>
      </c>
      <c r="E3535" s="5" t="inlineStr">
        <is>
          <t>Factor</t>
        </is>
      </c>
      <c r="F3535" s="5" t="inlineStr">
        <is>
          <t>CoefficientPercent</t>
        </is>
      </c>
      <c r="G3535" s="5" t="inlineStr">
        <is>
          <t>EffectiveHits</t>
        </is>
      </c>
      <c r="H3535" s="5" t="inlineStr">
        <is>
          <t>ProcProbability</t>
        </is>
      </c>
      <c r="I3535" s="5" t="inlineStr">
        <is>
          <t>MapleHeroMultiplier</t>
        </is>
      </c>
      <c r="J3535" s="5" t="inlineStr">
        <is>
          <t>BaseDamage</t>
        </is>
      </c>
      <c r="K3535" s="5" t="inlineStr">
        <is>
          <t>BaseHitDamage</t>
        </is>
      </c>
      <c r="L3535" s="5" t="inlineStr">
        <is>
          <t>NonCritAvg</t>
        </is>
      </c>
      <c r="M3535" s="5" t="inlineStr">
        <is>
          <t>CritAvg</t>
        </is>
      </c>
      <c r="N3535" s="5" t="inlineStr">
        <is>
          <t>ExpectedDamage(perHit)</t>
        </is>
      </c>
      <c r="O3535" s="5" t="inlineStr">
        <is>
          <t>DPS</t>
        </is>
      </c>
      <c r="P3535" s="5" t="inlineStr">
        <is>
          <t>% of Total</t>
        </is>
      </c>
      <c r="Q3535" s="5" t="inlineStr">
        <is>
          <t>InvCooldown</t>
        </is>
      </c>
      <c r="R3535" s="5" t="inlineStr">
        <is>
          <t>CastsInFight</t>
        </is>
      </c>
      <c r="S3535" s="5" t="inlineStr">
        <is>
          <t>HitRate(perSec)</t>
        </is>
      </c>
      <c r="U3535" t="inlineStr">
        <is>
          <t>helpers</t>
        </is>
      </c>
    </row>
    <row r="3536">
      <c r="A3536">
        <f>Skills!A2</f>
        <v/>
      </c>
      <c r="B3536">
        <f>Skills!B2</f>
        <v/>
      </c>
      <c r="C3536">
        <f>Inputs!$B$3&gt;=100</f>
        <v/>
      </c>
      <c r="D3536" t="inlineStr"/>
      <c r="E3536" t="inlineStr"/>
      <c r="F3536">
        <f>U3538+Skills!O2</f>
        <v/>
      </c>
      <c r="G3536">
        <f>Skills!G2*IF(Skills!H2&gt;0,Skills!I2/Skills!H2,1)</f>
        <v/>
      </c>
      <c r="H3536">
        <f>1-(1-Skills!J2/100)^Skills!K2</f>
        <v/>
      </c>
      <c r="I3536" t="inlineStr">
        <is>
          <t>1</t>
        </is>
      </c>
      <c r="J3536">
        <f>((Inputs!$B$6*(1+Inputs!$B$7/100))+(((Inputs!$B$12*(1+Inputs!$B$13/100))-(Inputs!$B$12*(1+Inputs!$B$13/100)))+0.25*(Inputs!$B$14-Inputs!$B$14))*(1+Inputs!$B$7/100))*(F3536/100)</f>
        <v/>
      </c>
      <c r="K3536">
        <f>J3536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3536)</f>
        <v/>
      </c>
      <c r="L3536">
        <f>K3536*(MIN(Inputs!$B$22+((C3558=TRUE)*(F3558-Calc!F24)),(Inputs!$B$23+((C3563=TRUE)*(F3563-Calc!F29))+IF(ArtifactsInput!$M$15,CHOOSE(ArtifactsInput!$N$15+1,25,30,35,40,45,50)/100*(Inputs!$B$11-Inputs!$B$11),0)))/100+(Inputs!$B$23+((C3563=TRUE)*(F3563-Calc!F29))+IF(ArtifactsInput!$M$15,CHOOSE(ArtifactsInput!$N$15+1,25,30,35,40,45,50)/100*(Inputs!$B$11-Inputs!$B$11),0))/100)/2</f>
        <v/>
      </c>
      <c r="M3536">
        <f>L3536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6">
        <f>L3536*(1-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3536*(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6">
        <f>(1-Summary!$B$11)*T3536+Summary!$B$11*V3536</f>
        <v/>
      </c>
      <c r="P3536">
        <f>IF(B3579=0,0,O3536/B3579)</f>
        <v/>
      </c>
      <c r="Q3536" t="n">
        <v>0</v>
      </c>
      <c r="R3536" t="n">
        <v>0</v>
      </c>
      <c r="S3536">
        <f>IFERROR(O3536/N3536,0)</f>
        <v/>
      </c>
      <c r="T3536">
        <f>IF(C3536,(Skills!G2*N3536*B3573)*IF(Inputs!$B$39="pvp",1,1+(Inputs!$B$20+0+Skills!P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3536*(1-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3536*(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3536*(1-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3536*(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6">
        <f>MAX(0,(Inputs!$B$3-100)*3)+Inputs!$B$28+Inputs!$B$29</f>
        <v/>
      </c>
      <c r="V3536">
        <f>IF(C3536,(Skills!G2*N3536*B3573)*IF(Inputs!$B$39="pvp",1,(1+(Inputs!$B$21+Skills!Q2+B3568+(IF(ArtifactsInput!$M$33,CHOOSE(ArtifactsInput!$N$33+1,30,36,42,48,54,60),0))+(IF(AND(ArtifactsInput!$M$35,Inputs!$B$4&lt;&gt;"Chapter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7">
      <c r="A3537">
        <f>Skills!A3</f>
        <v/>
      </c>
      <c r="B3537">
        <f>Skills!B3</f>
        <v/>
      </c>
      <c r="C3537">
        <f>Inputs!$B$3&gt;=35</f>
        <v/>
      </c>
      <c r="D3537">
        <f>IF(Skills!C3=1,60+Inputs!$B$25+Inputs!$B$29,IF(Skills!C3=2,90+Inputs!$B$26+Inputs!$B$29,IF(Skills!C3=3,120+Inputs!$B$27+Inputs!$B$29,MAX(0,(Inputs!$B$3-100)*3)+Inputs!$B$28+Inputs!$B$29)))</f>
        <v/>
      </c>
      <c r="E3537">
        <f>INDEX(FactorTable!$B$2:$Y$301, MATCH(ROUND(MIN(300,MAX(1,D3537)),0), FactorTable!$A$2:$A$301,0), Skills!M3+1)</f>
        <v/>
      </c>
      <c r="F3537">
        <f>IF(Skills!N3=TRUE,(Skills!L3/10)*(E3537/1000),Skills!L3/10)+Skills!O3</f>
        <v/>
      </c>
      <c r="G3537">
        <f>Skills!G3*IF(Skills!H3&gt;0,Skills!I3/Skills!H3,1)</f>
        <v/>
      </c>
      <c r="H3537">
        <f>1-(1-Skills!J3/100)^Skills!K3</f>
        <v/>
      </c>
      <c r="I3537" t="inlineStr">
        <is>
          <t>1</t>
        </is>
      </c>
      <c r="J3537" t="inlineStr"/>
      <c r="K3537" t="inlineStr"/>
      <c r="L3537" t="inlineStr"/>
      <c r="M3537" t="inlineStr"/>
      <c r="N3537" t="inlineStr"/>
      <c r="O3537">
        <f>(1-Summary!$B$11)*T3537+Summary!$B$11*V3537</f>
        <v/>
      </c>
      <c r="P3537">
        <f>IF(B3579=0,0,O3537/B3579)</f>
        <v/>
      </c>
      <c r="Q3537" t="n">
        <v>0</v>
      </c>
      <c r="R3537" t="n">
        <v>0</v>
      </c>
      <c r="S3537">
        <f>IFERROR(O3537/N3537,0)</f>
        <v/>
      </c>
      <c r="T3537" t="n">
        <v>0</v>
      </c>
      <c r="U3537">
        <f>INDEX(FactorTable!$B$2:$Y$301, MATCH(ROUND(MIN(300,MAX(1,U3536)),0), FactorTable!$A$2:$A$301,0), 22)</f>
        <v/>
      </c>
      <c r="V3537" t="n">
        <v>0</v>
      </c>
    </row>
    <row r="3538">
      <c r="A3538">
        <f>Skills!A4</f>
        <v/>
      </c>
      <c r="B3538">
        <f>Skills!B4</f>
        <v/>
      </c>
      <c r="C3538">
        <f>Inputs!$B$3&gt;=66</f>
        <v/>
      </c>
      <c r="D3538">
        <f>IF(Skills!C4=1,60+Inputs!$B$25+Inputs!$B$29,IF(Skills!C4=2,90+Inputs!$B$26+Inputs!$B$29,IF(Skills!C4=3,120+Inputs!$B$27+Inputs!$B$29,MAX(0,(Inputs!$B$3-100)*3)+Inputs!$B$28+Inputs!$B$29)))</f>
        <v/>
      </c>
      <c r="E3538">
        <f>INDEX(FactorTable!$B$2:$Y$301, MATCH(ROUND(MIN(300,MAX(1,D3538)),0), FactorTable!$A$2:$A$301,0), Skills!M4+1)</f>
        <v/>
      </c>
      <c r="F3538">
        <f>IF(Skills!N4=TRUE,(Skills!L4/10)*(E3538/1000),Skills!L4/10)+Skills!O4</f>
        <v/>
      </c>
      <c r="G3538">
        <f>Skills!G4*IF(Skills!H4&gt;0,Skills!I4/Skills!H4,1)</f>
        <v/>
      </c>
      <c r="H3538">
        <f>1-(1-Skills!J4/100)^Skills!K4</f>
        <v/>
      </c>
      <c r="I3538" t="inlineStr">
        <is>
          <t>1</t>
        </is>
      </c>
      <c r="J3538">
        <f>((Inputs!$B$6*(1+Inputs!$B$7/100))+(((Inputs!$B$12*(1+Inputs!$B$13/100))-(Inputs!$B$12*(1+Inputs!$B$13/100)))+0.25*(Inputs!$B$14-Inputs!$B$14))*(1+Inputs!$B$7/100))*(F3538/100)</f>
        <v/>
      </c>
      <c r="K3538">
        <f>J3538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3538)</f>
        <v/>
      </c>
      <c r="L3538">
        <f>K3538*(MIN(Inputs!$B$22+((C3558=TRUE)*(F3558-Calc!F24)),(Inputs!$B$23+((C3563=TRUE)*(F3563-Calc!F29))+IF(ArtifactsInput!$M$15,CHOOSE(ArtifactsInput!$N$15+1,25,30,35,40,45,50)/100*(Inputs!$B$11-Inputs!$B$11),0)))/100+(Inputs!$B$23+((C3563=TRUE)*(F3563-Calc!F29))+IF(ArtifactsInput!$M$15,CHOOSE(ArtifactsInput!$N$15+1,25,30,35,40,45,50)/100*(Inputs!$B$11-Inputs!$B$11),0))/100)/2</f>
        <v/>
      </c>
      <c r="M3538">
        <f>L3538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8">
        <f>L3538*(1-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3538*(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8">
        <f>(1-Summary!$B$11)*T3538+Summary!$B$11*V3538</f>
        <v/>
      </c>
      <c r="P3538">
        <f>IF(B3579=0,0,O3538/B3579)</f>
        <v/>
      </c>
      <c r="Q3538">
        <f>IFERROR(1/IF(Inputs!$B$39="pvp",15,MAX(0.1,Skills!D4-IF(Skills!E4=TRUE,3.5,0))),0)</f>
        <v/>
      </c>
      <c r="R3538">
        <f>IF(AND(Inputs!$B$39&lt;&gt;"pvp",Inputs!$B$44&gt;0),IF(MAX(0,Inputs!$B$44-B3578)&lt;=0,0,(INT(MAX(0,Inputs!$B$44-B3578)/IF(Inputs!$B$39="pvp",15,MAX(0.1,Skills!D4-IF(Skills!E4=TRUE,3.5,0))))+1)),0)</f>
        <v/>
      </c>
      <c r="S3538">
        <f>IFERROR(O3538/N3538,0)</f>
        <v/>
      </c>
      <c r="T3538">
        <f>IF(C3538,(H3538*N3538*IF(AND(Inputs!$B$39&lt;&gt;"pvp",Inputs!$B$44&gt;0),((Skills!G4*((R3538-1)*IF(Skills!H4&gt;0,Skills!I4/Skills!H4,1)+IF(Skills!H4&gt;0,MIN(Skills!I4,MAX(0,MAX(0,Inputs!$B$44-B3578)-((R3538-1)*IF(Inputs!$B$39="pvp",15,MAX(0.1,Skills!D4-IF(Skills!E4=TRUE,3.5,0))))))/Skills!H4,1)))/Inputs!$B$44),G3538*Q3538))*IF(Inputs!$B$39="pvp",1,1+(Inputs!$B$20+0+Skills!P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3538*(1-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3538*(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3538*(1-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3538*(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8">
        <f>290*U3537/1000</f>
        <v/>
      </c>
      <c r="V3538">
        <f>IF(C3538,(H3538*N3538*IF(AND(Inputs!$B$39&lt;&gt;"pvp",Inputs!$B$44&gt;0),((Skills!G4*((R3538-1)*IF(Skills!H4&gt;0,Skills!I4/Skills!H4,1)+IF(Skills!H4&gt;0,MIN(Skills!I4,MAX(0,MAX(0,Inputs!$B$44-B3578)-((R3538-1)*IF(Inputs!$B$39="pvp",15,MAX(0.1,Skills!D4-IF(Skills!E4=TRUE,3.5,0))))))/Skills!H4,1)))/Inputs!$B$44),G3538*Q3538))*IF(Inputs!$B$39="pvp",1,(1+(Inputs!$B$21+Skills!Q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(10,0.5*B3571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9">
      <c r="A3539">
        <f>Skills!A5</f>
        <v/>
      </c>
      <c r="B3539">
        <f>Skills!B5</f>
        <v/>
      </c>
      <c r="C3539">
        <f>Inputs!$B$3&gt;=63</f>
        <v/>
      </c>
      <c r="D3539">
        <f>IF(Skills!C5=1,60+Inputs!$B$25+Inputs!$B$29,IF(Skills!C5=2,90+Inputs!$B$26+Inputs!$B$29,IF(Skills!C5=3,120+Inputs!$B$27+Inputs!$B$29,MAX(0,(Inputs!$B$3-100)*3)+Inputs!$B$28+Inputs!$B$29)))</f>
        <v/>
      </c>
      <c r="E3539">
        <f>INDEX(FactorTable!$B$2:$Y$301, MATCH(ROUND(MIN(300,MAX(1,D3539)),0), FactorTable!$A$2:$A$301,0), Skills!M5+1)</f>
        <v/>
      </c>
      <c r="F3539">
        <f>IF(Skills!N5=TRUE,(Skills!L5/10)*(E3539/1000),Skills!L5/10)+Skills!O5</f>
        <v/>
      </c>
      <c r="G3539">
        <f>Skills!G5*IF(Skills!H5&gt;0,Skills!I5/Skills!H5,1)</f>
        <v/>
      </c>
      <c r="H3539">
        <f>1-(1-Skills!J5/100)^Skills!K5</f>
        <v/>
      </c>
      <c r="I3539" t="inlineStr">
        <is>
          <t>1</t>
        </is>
      </c>
      <c r="J3539">
        <f>((Inputs!$B$6*(1+Inputs!$B$7/100))+(((Inputs!$B$12*(1+Inputs!$B$13/100))-(Inputs!$B$12*(1+Inputs!$B$13/100)))+0.25*(Inputs!$B$14-Inputs!$B$14))*(1+Inputs!$B$7/100))*(F3539/100)</f>
        <v/>
      </c>
      <c r="K3539">
        <f>J3539*(1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3552=TRUE,F3552,0)/100)*(1+(IF(Skills!A5="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3539)</f>
        <v/>
      </c>
      <c r="L3539">
        <f>K3539*(MIN(Inputs!$B$22+((C3558=TRUE)*(F3558-Calc!F24)),(Inputs!$B$23+((C3563=TRUE)*(F3563-Calc!F29))+IF(ArtifactsInput!$M$15,CHOOSE(ArtifactsInput!$N$15+1,25,30,35,40,45,50)/100*(Inputs!$B$11-Inputs!$B$11),0)))/100+(Inputs!$B$23+((C3563=TRUE)*(F3563-Calc!F29))+IF(ArtifactsInput!$M$15,CHOOSE(ArtifactsInput!$N$15+1,25,30,35,40,45,50)/100*(Inputs!$B$11-Inputs!$B$11),0))/100)/2</f>
        <v/>
      </c>
      <c r="M3539">
        <f>L3539*(1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9">
        <f>L3539*(1-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3539*(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9">
        <f>(1-Summary!$B$11)*T3539+Summary!$B$11*V3539</f>
        <v/>
      </c>
      <c r="P3539">
        <f>IF(B3579=0,0,O3539/B3579)</f>
        <v/>
      </c>
      <c r="Q3539">
        <f>IFERROR(1/IF(Inputs!$B$39="pvp",15,MAX(0.1,Skills!D5-IF(Skills!E5=TRUE,3.5,0))),0)</f>
        <v/>
      </c>
      <c r="R3539">
        <f>IF(AND(Inputs!$B$39&lt;&gt;"pvp",Inputs!$B$44&gt;0),IF(MAX(0,Inputs!$B$44-B3578)&lt;=0,0,(INT(MAX(0,Inputs!$B$44-B3578)/IF(Inputs!$B$39="pvp",15,MAX(0.1,Skills!D5-IF(Skills!E5=TRUE,3.5,0))))+1)),0)</f>
        <v/>
      </c>
      <c r="S3539">
        <f>IFERROR(O3539/N3539,0)</f>
        <v/>
      </c>
      <c r="T3539">
        <f>IF(C3539,(H3539*N3539*IF(AND(Inputs!$B$39&lt;&gt;"pvp",Inputs!$B$44&gt;0),((Skills!G5*((R3539-1)*IF(Skills!H5&gt;0,Skills!I5/Skills!H5,1)+IF(Skills!H5&gt;0,MIN(Skills!I5,MAX(0,MAX(0,Inputs!$B$44-B3578)-((R3539-1)*IF(Inputs!$B$39="pvp",15,MAX(0.1,Skills!D5-IF(Skills!E5=TRUE,3.5,0))))))/Skills!H5,1)))/Inputs!$B$44),G3539*Q3539))*IF(Inputs!$B$39="pvp",1,1+(Inputs!$B$20+0+Skills!P5+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3539*(1-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3539*(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3539*(1-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3539*(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9">
        <f>IF(C3539,(H3539*N3539*IF(AND(Inputs!$B$39&lt;&gt;"pvp",Inputs!$B$44&gt;0),((Skills!G5*((R3539-1)*IF(Skills!H5&gt;0,Skills!I5/Skills!H5,1)+IF(Skills!H5&gt;0,MIN(Skills!I5,MAX(0,MAX(0,Inputs!$B$44-B3578)-((R3539-1)*IF(Inputs!$B$39="pvp",15,MAX(0.1,Skills!D5-IF(Skills!E5=TRUE,3.5,0))))))/Skills!H5,1)))/Inputs!$B$44),G3539*Q3539))*IF(Inputs!$B$39="pvp",1,(1+(Inputs!$B$21+Skills!Q5+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0">
      <c r="A3540">
        <f>Skills!A6</f>
        <v/>
      </c>
      <c r="B3540">
        <f>Skills!B6</f>
        <v/>
      </c>
      <c r="C3540">
        <f>Inputs!$B$3&gt;=69</f>
        <v/>
      </c>
      <c r="D3540">
        <f>IF(Skills!C6=1,60+Inputs!$B$25+Inputs!$B$29,IF(Skills!C6=2,90+Inputs!$B$26+Inputs!$B$29,IF(Skills!C6=3,120+Inputs!$B$27+Inputs!$B$29,MAX(0,(Inputs!$B$3-100)*3)+Inputs!$B$28+Inputs!$B$29)))</f>
        <v/>
      </c>
      <c r="E3540">
        <f>INDEX(FactorTable!$B$2:$Y$301, MATCH(ROUND(MIN(300,MAX(1,D3540)),0), FactorTable!$A$2:$A$301,0), Skills!M6+1)</f>
        <v/>
      </c>
      <c r="F3540">
        <f>IF(Skills!N6=TRUE,(Skills!L6/10)*(E3540/1000),Skills!L6/10)+Skills!O6</f>
        <v/>
      </c>
      <c r="G3540">
        <f>Skills!G6*IF(Skills!H6&gt;0,Skills!I6/Skills!H6,1)</f>
        <v/>
      </c>
      <c r="H3540">
        <f>1-(1-Skills!J6/100)^Skills!K6</f>
        <v/>
      </c>
      <c r="I3540" t="inlineStr">
        <is>
          <t>1</t>
        </is>
      </c>
      <c r="J3540">
        <f>((Inputs!$B$6*(1+Inputs!$B$7/100))+(((Inputs!$B$12*(1+Inputs!$B$13/100))-(Inputs!$B$12*(1+Inputs!$B$13/100)))+0.25*(Inputs!$B$14-Inputs!$B$14))*(1+Inputs!$B$7/100))*(F3540/100)</f>
        <v/>
      </c>
      <c r="K3540">
        <f>J3540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3552=TRUE,F3552,0)/100)*(1+(IF(Skills!A6="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3540)</f>
        <v/>
      </c>
      <c r="L3540">
        <f>K3540*(MIN(Inputs!$B$22+((C3558=TRUE)*(F3558-Calc!F24)),(Inputs!$B$23+((C3563=TRUE)*(F3563-Calc!F29))+IF(ArtifactsInput!$M$15,CHOOSE(ArtifactsInput!$N$15+1,25,30,35,40,45,50)/100*(Inputs!$B$11-Inputs!$B$11),0)))/100+(Inputs!$B$23+((C3563=TRUE)*(F3563-Calc!F29))+IF(ArtifactsInput!$M$15,CHOOSE(ArtifactsInput!$N$15+1,25,30,35,40,45,50)/100*(Inputs!$B$11-Inputs!$B$11),0))/100)/2</f>
        <v/>
      </c>
      <c r="M3540">
        <f>L3540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0">
        <f>L3540*(1-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3540*(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0">
        <f>(1-Summary!$B$11)*T3540+Summary!$B$11*V3540</f>
        <v/>
      </c>
      <c r="P3540">
        <f>IF(B3579=0,0,O3540/B3579)</f>
        <v/>
      </c>
      <c r="Q3540">
        <f>IFERROR(1/IF(Inputs!$B$39="pvp",15,MAX(0.1,Skills!D6-IF(Skills!E6=TRUE,3.5,0))),0)</f>
        <v/>
      </c>
      <c r="R3540">
        <f>IF(AND(Inputs!$B$39&lt;&gt;"pvp",Inputs!$B$44&gt;0),IF(MAX(0,Inputs!$B$44-B3578)&lt;=0,0,(INT(MAX(0,Inputs!$B$44-B3578)/IF(Inputs!$B$39="pvp",15,MAX(0.1,Skills!D6-IF(Skills!E6=TRUE,3.5,0))))+1)),0)</f>
        <v/>
      </c>
      <c r="S3540">
        <f>IFERROR(O3540/N3540,0)</f>
        <v/>
      </c>
      <c r="T3540">
        <f>IF(C3540,(H3540*N3540*IF(AND(Inputs!$B$39&lt;&gt;"pvp",Inputs!$B$44&gt;0),((Skills!G6*((R3540-1)*IF(Skills!H6&gt;0,Skills!I6/Skills!H6,1)+IF(Skills!H6&gt;0,MIN(Skills!I6,MAX(0,MAX(0,Inputs!$B$44-B3578)-((R3540-1)*IF(Inputs!$B$39="pvp",15,MAX(0.1,Skills!D6-IF(Skills!E6=TRUE,3.5,0))))))/Skills!H6,1)))/Inputs!$B$44),G3540*Q3540))*IF(Inputs!$B$39="pvp",1,1+(Inputs!$B$20+0+Skills!P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3540*(1-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3540*(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3540*(1-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3540*(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0">
        <f>IF(C3540,(H3540*N3540*IF(AND(Inputs!$B$39&lt;&gt;"pvp",Inputs!$B$44&gt;0),((Skills!G6*((R3540-1)*IF(Skills!H6&gt;0,Skills!I6/Skills!H6,1)+IF(Skills!H6&gt;0,MIN(Skills!I6,MAX(0,MAX(0,Inputs!$B$44-B3578)-((R3540-1)*IF(Inputs!$B$39="pvp",15,MAX(0.1,Skills!D6-IF(Skills!E6=TRUE,3.5,0))))))/Skills!H6,1)))/Inputs!$B$44),G3540*Q3540))*IF(Inputs!$B$39="pvp",1,(1+(Inputs!$B$21+Skills!Q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1">
      <c r="A3541">
        <f>Skills!A7</f>
        <v/>
      </c>
      <c r="B3541">
        <f>Skills!B7</f>
        <v/>
      </c>
      <c r="C3541">
        <f>Inputs!$B$3&gt;=60</f>
        <v/>
      </c>
      <c r="D3541">
        <f>IF(Skills!C7=1,60+Inputs!$B$25+Inputs!$B$29,IF(Skills!C7=2,90+Inputs!$B$26+Inputs!$B$29,IF(Skills!C7=3,120+Inputs!$B$27+Inputs!$B$29,MAX(0,(Inputs!$B$3-100)*3)+Inputs!$B$28+Inputs!$B$29)))</f>
        <v/>
      </c>
      <c r="E3541">
        <f>INDEX(FactorTable!$B$2:$Y$301, MATCH(ROUND(MIN(300,MAX(1,D3541)),0), FactorTable!$A$2:$A$301,0), Skills!M7+1)</f>
        <v/>
      </c>
      <c r="F3541">
        <f>IF(Skills!N7=TRUE,(Skills!L7/10)*(E3541/1000),Skills!L7/10)+Skills!O7</f>
        <v/>
      </c>
      <c r="G3541">
        <f>Skills!G7*IF(Skills!H7&gt;0,Skills!I7/Skills!H7,1)</f>
        <v/>
      </c>
      <c r="H3541">
        <f>1-(1-Skills!J7/100)^Skills!K7</f>
        <v/>
      </c>
      <c r="I3541" t="inlineStr">
        <is>
          <t>1</t>
        </is>
      </c>
      <c r="J3541" t="inlineStr"/>
      <c r="K3541" t="inlineStr"/>
      <c r="L3541" t="inlineStr"/>
      <c r="M3541" t="inlineStr"/>
      <c r="N3541" t="inlineStr"/>
      <c r="O3541">
        <f>(1-Summary!$B$11)*T3541+Summary!$B$11*V3541</f>
        <v/>
      </c>
      <c r="P3541">
        <f>IF(B3579=0,0,O3541/B3579)</f>
        <v/>
      </c>
      <c r="Q3541" t="n">
        <v>0</v>
      </c>
      <c r="R3541" t="n">
        <v>0</v>
      </c>
      <c r="S3541">
        <f>IFERROR(O3541/N3541,0)</f>
        <v/>
      </c>
      <c r="T3541" t="n">
        <v>0</v>
      </c>
      <c r="V3541" t="n">
        <v>0</v>
      </c>
    </row>
    <row r="3542">
      <c r="A3542">
        <f>Skills!A8</f>
        <v/>
      </c>
      <c r="B3542">
        <f>Skills!B8</f>
        <v/>
      </c>
      <c r="C3542">
        <f>Inputs!$B$3&gt;=72</f>
        <v/>
      </c>
      <c r="D3542">
        <f>IF(Skills!C8=1,60+Inputs!$B$25+Inputs!$B$29,IF(Skills!C8=2,90+Inputs!$B$26+Inputs!$B$29,IF(Skills!C8=3,120+Inputs!$B$27+Inputs!$B$29,MAX(0,(Inputs!$B$3-100)*3)+Inputs!$B$28+Inputs!$B$29)))</f>
        <v/>
      </c>
      <c r="E3542">
        <f>INDEX(FactorTable!$B$2:$Y$301, MATCH(ROUND(MIN(300,MAX(1,D3542)),0), FactorTable!$A$2:$A$301,0), Skills!M8+1)</f>
        <v/>
      </c>
      <c r="F3542">
        <f>IF(Skills!N8=TRUE,(Skills!L8/10)*(E3542/1000),Skills!L8/10)+Skills!O8</f>
        <v/>
      </c>
      <c r="G3542">
        <f>Skills!G8*IF(Skills!H8&gt;0,Skills!I8/Skills!H8,1)</f>
        <v/>
      </c>
      <c r="H3542">
        <f>1-(1-Skills!J8/100)^Skills!K8</f>
        <v/>
      </c>
      <c r="I3542" t="inlineStr">
        <is>
          <t>1</t>
        </is>
      </c>
      <c r="J3542">
        <f>((Inputs!$B$6*(1+Inputs!$B$7/100))+(((Inputs!$B$12*(1+Inputs!$B$13/100))-(Inputs!$B$12*(1+Inputs!$B$13/100)))+0.25*(Inputs!$B$14-Inputs!$B$14))*(1+Inputs!$B$7/100))*(F3542/100)</f>
        <v/>
      </c>
      <c r="K3542">
        <f>J3542*(1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3552=TRUE,F3552,0)/100)*(1+(IF(Skills!A8="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3542)</f>
        <v/>
      </c>
      <c r="L3542">
        <f>K3542*(MIN(Inputs!$B$22+((C3558=TRUE)*(F3558-Calc!F24)),(Inputs!$B$23+((C3563=TRUE)*(F3563-Calc!F29))+IF(ArtifactsInput!$M$15,CHOOSE(ArtifactsInput!$N$15+1,25,30,35,40,45,50)/100*(Inputs!$B$11-Inputs!$B$11),0)))/100+(Inputs!$B$23+((C3563=TRUE)*(F3563-Calc!F29))+IF(ArtifactsInput!$M$15,CHOOSE(ArtifactsInput!$N$15+1,25,30,35,40,45,50)/100*(Inputs!$B$11-Inputs!$B$11),0))/100)/2</f>
        <v/>
      </c>
      <c r="M3542">
        <f>L3542*(1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2">
        <f>L3542*(1-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3542*(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2">
        <f>(1-Summary!$B$11)*T3542+Summary!$B$11*V3542</f>
        <v/>
      </c>
      <c r="P3542">
        <f>IF(B3579=0,0,O3542/B3579)</f>
        <v/>
      </c>
      <c r="Q3542">
        <f>IFERROR(1/IF(Inputs!$B$39="pvp",15,MAX(0.1,Skills!D8-IF(Skills!E8=TRUE,3.5,0))),0)</f>
        <v/>
      </c>
      <c r="R3542">
        <f>IF(AND(Inputs!$B$39&lt;&gt;"pvp",Inputs!$B$44&gt;0),IF(MAX(0,Inputs!$B$44-B3578)&lt;=0,0,(INT(MAX(0,Inputs!$B$44-B3578)/IF(Inputs!$B$39="pvp",15,MAX(0.1,Skills!D8-IF(Skills!E8=TRUE,3.5,0))))+1)),0)</f>
        <v/>
      </c>
      <c r="S3542">
        <f>IFERROR(O3542/N3542,0)</f>
        <v/>
      </c>
      <c r="T3542">
        <f>IF(C3542,(H3542*N3542*IF(AND(Inputs!$B$39&lt;&gt;"pvp",Inputs!$B$44&gt;0),((Skills!G8*((R3542-1)*IF(Skills!H8&gt;0,Skills!I8/Skills!H8,1)+IF(Skills!H8&gt;0,MIN(Skills!I8,MAX(0,MAX(0,Inputs!$B$44-B3578)-((R3542-1)*IF(Inputs!$B$39="pvp",15,MAX(0.1,Skills!D8-IF(Skills!E8=TRUE,3.5,0))))))/Skills!H8,1)))/Inputs!$B$44),G3542*Q3542))*IF(Inputs!$B$39="pvp",1,1+(Inputs!$B$20+0+Skills!P8+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3542*(1-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3542*(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3542*(1-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3542*(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2">
        <f>IF(C3542,(H3542*N3542*IF(AND(Inputs!$B$39&lt;&gt;"pvp",Inputs!$B$44&gt;0),((Skills!G8*((R3542-1)*IF(Skills!H8&gt;0,Skills!I8/Skills!H8,1)+IF(Skills!H8&gt;0,MIN(Skills!I8,MAX(0,MAX(0,Inputs!$B$44-B3578)-((R3542-1)*IF(Inputs!$B$39="pvp",15,MAX(0.1,Skills!D8-IF(Skills!E8=TRUE,3.5,0))))))/Skills!H8,1)))/Inputs!$B$44),G3542*Q3542))*IF(Inputs!$B$39="pvp",1,(1+(Inputs!$B$21+Skills!Q8+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3">
      <c r="A3543">
        <f>Skills!A9</f>
        <v/>
      </c>
      <c r="B3543">
        <f>Skills!B9</f>
        <v/>
      </c>
      <c r="C3543">
        <f>Inputs!$B$3&gt;=117</f>
        <v/>
      </c>
      <c r="D3543">
        <f>IF(Skills!C9=1,60+Inputs!$B$25+Inputs!$B$29,IF(Skills!C9=2,90+Inputs!$B$26+Inputs!$B$29,IF(Skills!C9=3,120+Inputs!$B$27+Inputs!$B$29,MAX(0,(Inputs!$B$3-100)*3)+Inputs!$B$28+Inputs!$B$29)))</f>
        <v/>
      </c>
      <c r="E3543">
        <f>INDEX(FactorTable!$B$2:$Y$301, MATCH(ROUND(MIN(300,MAX(1,D3543)),0), FactorTable!$A$2:$A$301,0), Skills!M9+1)</f>
        <v/>
      </c>
      <c r="F3543">
        <f>IF(Skills!N9=TRUE,(Skills!L9/10)*(E3543/1000),Skills!L9/10)+Skills!O9</f>
        <v/>
      </c>
      <c r="G3543">
        <f>Skills!G9*IF(Skills!H9&gt;0,Skills!I9/Skills!H9,1)</f>
        <v/>
      </c>
      <c r="H3543">
        <f>1-(1-Skills!J9/100)^Skills!K9</f>
        <v/>
      </c>
      <c r="I3543" t="inlineStr">
        <is>
          <t>1</t>
        </is>
      </c>
      <c r="J3543">
        <f>((Inputs!$B$6*(1+Inputs!$B$7/100))+(((Inputs!$B$12*(1+Inputs!$B$13/100))-(Inputs!$B$12*(1+Inputs!$B$13/100)))+0.25*(Inputs!$B$14-Inputs!$B$14))*(1+Inputs!$B$7/100))*(F3543/100)</f>
        <v/>
      </c>
      <c r="K3543">
        <f>J3543*(1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3543)</f>
        <v/>
      </c>
      <c r="L3543">
        <f>K3543*(MIN(Inputs!$B$22+((C3558=TRUE)*(F3558-Calc!F24)),(Inputs!$B$23+((C3563=TRUE)*(F3563-Calc!F29))+IF(ArtifactsInput!$M$15,CHOOSE(ArtifactsInput!$N$15+1,25,30,35,40,45,50)/100*(Inputs!$B$11-Inputs!$B$11),0)))/100+(Inputs!$B$23+((C3563=TRUE)*(F3563-Calc!F29))+IF(ArtifactsInput!$M$15,CHOOSE(ArtifactsInput!$N$15+1,25,30,35,40,45,50)/100*(Inputs!$B$11-Inputs!$B$11),0))/100)/2</f>
        <v/>
      </c>
      <c r="M3543">
        <f>L3543*(1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3">
        <f>L3543*(1-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3543*(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3">
        <f>(1-Summary!$B$11)*T3543+Summary!$B$11*V3543</f>
        <v/>
      </c>
      <c r="P3543">
        <f>IF(B3579=0,0,O3543/B3579)</f>
        <v/>
      </c>
      <c r="Q3543" t="n">
        <v>0</v>
      </c>
      <c r="R3543" t="n">
        <v>0</v>
      </c>
      <c r="S3543" t="n">
        <v>0</v>
      </c>
      <c r="T3543">
        <f>IF(C3543,(0.2*SUMPRODUCT((Skills!Z2:Z30=TRUE)*(C3536:C3564=TRUE)*S3536:S3564)*N3543)*IF(Inputs!$B$39="pvp",1,1+(Inputs!$B$20+0+Skills!P9+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3543*(1-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3543*(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3543*(1-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3543*(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3">
        <f>IF(C3543,(0.2*SUMPRODUCT((Skills!Z2:Z30=TRUE)*(C3536:C3564=TRUE)*S3536:S3564)*N3543)*IF(Inputs!$B$39="pvp",1,(1+(Inputs!$B$21+Skills!Q9+B3568+(IF(ArtifactsInput!$M$33,CHOOSE(ArtifactsInput!$N$33+1,30,36,42,48,54,60),0))+(IF(AND(ArtifactsInput!$M$35,Inputs!$B$4&lt;&gt;"Chapter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4">
      <c r="A3544">
        <f>Skills!A10</f>
        <v/>
      </c>
      <c r="B3544">
        <f>Skills!B10</f>
        <v/>
      </c>
      <c r="C3544">
        <f>Inputs!$B$3&gt;=74</f>
        <v/>
      </c>
      <c r="D3544">
        <f>IF(Skills!C10=1,60+Inputs!$B$25+Inputs!$B$29,IF(Skills!C10=2,90+Inputs!$B$26+Inputs!$B$29,IF(Skills!C10=3,120+Inputs!$B$27+Inputs!$B$29,MAX(0,(Inputs!$B$3-100)*3)+Inputs!$B$28+Inputs!$B$29)))</f>
        <v/>
      </c>
      <c r="E3544">
        <f>INDEX(FactorTable!$B$2:$Y$301, MATCH(ROUND(MIN(300,MAX(1,D3544)),0), FactorTable!$A$2:$A$301,0), Skills!M10+1)</f>
        <v/>
      </c>
      <c r="F3544">
        <f>IF(Skills!N10=TRUE,(Skills!L10/10)*(E3544/1000),Skills!L10/10)+Skills!O10</f>
        <v/>
      </c>
      <c r="G3544">
        <f>Skills!G10*IF(Skills!H10&gt;0,Skills!I10/Skills!H10,1)</f>
        <v/>
      </c>
      <c r="H3544">
        <f>1-(1-Skills!J10/100)^Skills!K10</f>
        <v/>
      </c>
      <c r="I3544" t="inlineStr">
        <is>
          <t>1</t>
        </is>
      </c>
      <c r="J3544" t="inlineStr"/>
      <c r="K3544" t="inlineStr"/>
      <c r="L3544" t="inlineStr"/>
      <c r="M3544" t="inlineStr"/>
      <c r="N3544" t="inlineStr"/>
      <c r="O3544">
        <f>(1-Summary!$B$11)*T3544+Summary!$B$11*V3544</f>
        <v/>
      </c>
      <c r="P3544">
        <f>IF(B3579=0,0,O3544/B3579)</f>
        <v/>
      </c>
      <c r="Q3544">
        <f>IFERROR(1/IF(Inputs!$B$39="pvp",15,MAX(0.1,Skills!D10-IF(Skills!E10=TRUE,3.5,0))),0)</f>
        <v/>
      </c>
      <c r="R3544">
        <f>IF(AND(Inputs!$B$39&lt;&gt;"pvp",Inputs!$B$44&gt;0),IF(Inputs!$B$44&lt;=0,0,(INT(Inputs!$B$44/IF(Inputs!$B$39="pvp",15,MAX(0.1,Skills!D10-IF(Skills!E10=TRUE,3.5,0))))+1)),0)</f>
        <v/>
      </c>
      <c r="S3544">
        <f>IFERROR(O3544/N3544,0)</f>
        <v/>
      </c>
      <c r="T3544" t="n">
        <v>0</v>
      </c>
      <c r="V3544" t="n">
        <v>0</v>
      </c>
    </row>
    <row r="3545">
      <c r="A3545">
        <f>Skills!A11</f>
        <v/>
      </c>
      <c r="B3545">
        <f>Skills!B11</f>
        <v/>
      </c>
      <c r="C3545">
        <f>Inputs!$B$3&gt;=103</f>
        <v/>
      </c>
      <c r="D3545">
        <f>IF(Skills!C11=1,60+Inputs!$B$25+Inputs!$B$29,IF(Skills!C11=2,90+Inputs!$B$26+Inputs!$B$29,IF(Skills!C11=3,120+Inputs!$B$27+Inputs!$B$29,MAX(0,(Inputs!$B$3-100)*3)+Inputs!$B$28+Inputs!$B$29)))</f>
        <v/>
      </c>
      <c r="E3545">
        <f>INDEX(FactorTable!$B$2:$Y$301, MATCH(ROUND(MIN(300,MAX(1,D3545)),0), FactorTable!$A$2:$A$301,0), Skills!M11+1)</f>
        <v/>
      </c>
      <c r="F3545">
        <f>(Skills!L11/10)*(E3545/1000)+IF(Inputs!$B$3&gt;=134,50,0)+0.5*(30000/10)*(INDEX(FactorTable!$B$2:$Y$301, MATCH(ROUND(MIN(300,MAX(1,D3545)),0), FactorTable!$A$2:$A$301,0), 13)/1000)*B3577</f>
        <v/>
      </c>
      <c r="G3545">
        <f>Skills!G11*IF(Skills!H11&gt;0,Skills!I11/Skills!H11,1)</f>
        <v/>
      </c>
      <c r="H3545">
        <f>1-(1-Skills!J11/100)^Skills!K11</f>
        <v/>
      </c>
      <c r="I3545" t="inlineStr">
        <is>
          <t>1</t>
        </is>
      </c>
      <c r="J3545">
        <f>((Inputs!$B$6*(1+Inputs!$B$7/100))+(((Inputs!$B$12*(1+Inputs!$B$13/100))-(Inputs!$B$12*(1+Inputs!$B$13/100)))+0.25*(Inputs!$B$14-Inputs!$B$14))*(1+Inputs!$B$7/100))*(F3545/100)</f>
        <v/>
      </c>
      <c r="K3545">
        <f>J3545*(1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3545)</f>
        <v/>
      </c>
      <c r="L3545">
        <f>K3545*(MIN(Inputs!$B$22+((C3558=TRUE)*(F3558-Calc!F24)),(Inputs!$B$23+((C3563=TRUE)*(F3563-Calc!F29))+IF(ArtifactsInput!$M$15,CHOOSE(ArtifactsInput!$N$15+1,25,30,35,40,45,50)/100*(Inputs!$B$11-Inputs!$B$11),0)))/100+(Inputs!$B$23+((C3563=TRUE)*(F3563-Calc!F29))+IF(ArtifactsInput!$M$15,CHOOSE(ArtifactsInput!$N$15+1,25,30,35,40,45,50)/100*(Inputs!$B$11-Inputs!$B$11),0))/100)/2</f>
        <v/>
      </c>
      <c r="M3545">
        <f>L3545*(1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5">
        <f>L3545*(1-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3545*(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5">
        <f>(1-Summary!$B$11)*T3545+Summary!$B$11*V3545</f>
        <v/>
      </c>
      <c r="P3545">
        <f>IF(B3579=0,0,O3545/B3579)</f>
        <v/>
      </c>
      <c r="Q3545">
        <f>IFERROR(1/IF(Inputs!$B$39="pvp",15,MAX(0.1,Skills!D11-IF(Skills!E11=TRUE,3.5,0))),0)</f>
        <v/>
      </c>
      <c r="R3545">
        <f>IF(AND(Inputs!$B$39&lt;&gt;"pvp",Inputs!$B$44&gt;0),IF(MAX(0,Inputs!$B$44-B3578)&lt;=0,0,(INT(MAX(0,Inputs!$B$44-B3578)/IF(Inputs!$B$39="pvp",15,MAX(0.1,Skills!D11-IF(Skills!E11=TRUE,3.5,0))))+1)),0)</f>
        <v/>
      </c>
      <c r="S3545">
        <f>IFERROR(O3545/N3545,0)</f>
        <v/>
      </c>
      <c r="T3545">
        <f>IF(C3545,(H3545*N3545*IF(AND(Inputs!$B$39&lt;&gt;"pvp",Inputs!$B$44&gt;0),((Skills!G11*((R3545-1)*IF(Skills!H11&gt;0,Skills!I11/Skills!H11,1)+IF(Skills!H11&gt;0,MIN(Skills!I11,MAX(0,MAX(0,Inputs!$B$44-B3578)-((R3545-1)*IF(Inputs!$B$39="pvp",15,MAX(0.1,Skills!D11-IF(Skills!E11=TRUE,3.5,0))))))/Skills!H11,1)))/Inputs!$B$44),G3545*Q3545))*IF(Inputs!$B$39="pvp",1,1+(Inputs!$B$20+0+Skills!P11+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3545*(1-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3545*(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3545*(1-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3545*(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5">
        <f>IF(C3545,(H3545*N3545*IF(AND(Inputs!$B$39&lt;&gt;"pvp",Inputs!$B$44&gt;0),((Skills!G11*((R3545-1)*IF(Skills!H11&gt;0,Skills!I11/Skills!H11,1)+IF(Skills!H11&gt;0,MIN(Skills!I11,MAX(0,MAX(0,Inputs!$B$44-B3578)-((R3545-1)*IF(Inputs!$B$39="pvp",15,MAX(0.1,Skills!D11-IF(Skills!E11=TRUE,3.5,0))))))/Skills!H11,1)))/Inputs!$B$44),G3545*Q3545))*IF(Inputs!$B$39="pvp",1,(1+(Inputs!$B$21+Skills!Q11+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6">
      <c r="A3546">
        <f>Skills!A12</f>
        <v/>
      </c>
      <c r="B3546">
        <f>Skills!B12</f>
        <v/>
      </c>
      <c r="C3546">
        <f>Inputs!$B$3&gt;=105</f>
        <v/>
      </c>
      <c r="D3546">
        <f>IF(Skills!C12=1,60+Inputs!$B$25+Inputs!$B$29,IF(Skills!C12=2,90+Inputs!$B$26+Inputs!$B$29,IF(Skills!C12=3,120+Inputs!$B$27+Inputs!$B$29,MAX(0,(Inputs!$B$3-100)*3)+Inputs!$B$28+Inputs!$B$29)))</f>
        <v/>
      </c>
      <c r="E3546">
        <f>INDEX(FactorTable!$B$2:$Y$301, MATCH(ROUND(MIN(300,MAX(1,D3546)),0), FactorTable!$A$2:$A$301,0), Skills!M12+1)</f>
        <v/>
      </c>
      <c r="F3546">
        <f>IF(Skills!N12=TRUE,(Skills!L12/10)*(E3546/1000),Skills!L12/10)+Skills!O12</f>
        <v/>
      </c>
      <c r="G3546">
        <f>Skills!G12*IF(Skills!H12&gt;0,Skills!I12/Skills!H12,1)</f>
        <v/>
      </c>
      <c r="H3546">
        <f>1-(1-Skills!J12/100)^Skills!K12</f>
        <v/>
      </c>
      <c r="I3546" t="inlineStr">
        <is>
          <t>1</t>
        </is>
      </c>
      <c r="J3546">
        <f>((Inputs!$B$6*(1+Inputs!$B$7/100))+(((Inputs!$B$12*(1+Inputs!$B$13/100))-(Inputs!$B$12*(1+Inputs!$B$13/100)))+0.25*(Inputs!$B$14-Inputs!$B$14))*(1+Inputs!$B$7/100))*(F3546/100)</f>
        <v/>
      </c>
      <c r="K3546">
        <f>J3546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3546)</f>
        <v/>
      </c>
      <c r="L3546">
        <f>K3546*(MIN(Inputs!$B$22+((C3558=TRUE)*(F3558-Calc!F24)),(Inputs!$B$23+((C3563=TRUE)*(F3563-Calc!F29))+IF(ArtifactsInput!$M$15,CHOOSE(ArtifactsInput!$N$15+1,25,30,35,40,45,50)/100*(Inputs!$B$11-Inputs!$B$11),0)))/100+(Inputs!$B$23+((C3563=TRUE)*(F3563-Calc!F29))+IF(ArtifactsInput!$M$15,CHOOSE(ArtifactsInput!$N$15+1,25,30,35,40,45,50)/100*(Inputs!$B$11-Inputs!$B$11),0))/100)/2</f>
        <v/>
      </c>
      <c r="M3546">
        <f>L3546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6">
        <f>L3546*(1-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3546*(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6">
        <f>(1-Summary!$B$11)*T3546+Summary!$B$11*V3546</f>
        <v/>
      </c>
      <c r="P3546">
        <f>IF(B3579=0,0,O3546/B3579)</f>
        <v/>
      </c>
      <c r="Q3546">
        <f>IFERROR(1/IF(Inputs!$B$39="pvp",15,MAX(0.1,Skills!D12-IF(Skills!E12=TRUE,3.5,0))),0)</f>
        <v/>
      </c>
      <c r="R3546">
        <f>IF(AND(Inputs!$B$39&lt;&gt;"pvp",Inputs!$B$44&gt;0),IF(MAX(0,Inputs!$B$44-B3578)&lt;=0,0,(INT(MAX(0,Inputs!$B$44-B3578)/IF(Inputs!$B$39="pvp",15,MAX(0.1,Skills!D12-IF(Skills!E12=TRUE,3.5,0))))+1)),0)</f>
        <v/>
      </c>
      <c r="S3546">
        <f>IFERROR(O3546/N3546,0)</f>
        <v/>
      </c>
      <c r="T3546">
        <f>IF(C3546,(H3546*N3546*IF(AND(Inputs!$B$39&lt;&gt;"pvp",Inputs!$B$44&gt;0),((Skills!G12*((R3546-1)*IF(Skills!H12&gt;0,Skills!I12/Skills!H12,1)+IF(Skills!H12&gt;0,MIN(Skills!I12,MAX(0,MAX(0,Inputs!$B$44-B3578)-((R3546-1)*IF(Inputs!$B$39="pvp",15,MAX(0.1,Skills!D12-IF(Skills!E12=TRUE,3.5,0))))))/Skills!H12,1)))/Inputs!$B$44),G3546*Q3546))*IF(Inputs!$B$39="pvp",1,1+(Inputs!$B$20+0+Skills!P12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3546*(1-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3546*(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3546*(1-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3546*(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6">
        <f>IF(C3546,(H3546*N3546*IF(AND(Inputs!$B$39&lt;&gt;"pvp",Inputs!$B$44&gt;0),((Skills!G12*((R3546-1)*IF(Skills!H12&gt;0,Skills!I12/Skills!H12,1)+IF(Skills!H12&gt;0,MIN(Skills!I12,MAX(0,MAX(0,Inputs!$B$44-B3578)-((R3546-1)*IF(Inputs!$B$39="pvp",15,MAX(0.1,Skills!D12-IF(Skills!E12=TRUE,3.5,0))))))/Skills!H12,1)))/Inputs!$B$44),G3546*Q3546))*IF(Inputs!$B$39="pvp",1,(1+(Inputs!$B$21+Skills!Q12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7">
      <c r="A3547">
        <f>Skills!A13</f>
        <v/>
      </c>
      <c r="B3547">
        <f>Skills!B13</f>
        <v/>
      </c>
      <c r="C3547">
        <f>Inputs!$B$3&gt;=105</f>
        <v/>
      </c>
      <c r="D3547">
        <f>IF(Skills!C13=1,60+Inputs!$B$25+Inputs!$B$29,IF(Skills!C13=2,90+Inputs!$B$26+Inputs!$B$29,IF(Skills!C13=3,120+Inputs!$B$27+Inputs!$B$29,MAX(0,(Inputs!$B$3-100)*3)+Inputs!$B$28+Inputs!$B$29)))</f>
        <v/>
      </c>
      <c r="E3547">
        <f>INDEX(FactorTable!$B$2:$Y$301, MATCH(ROUND(MIN(300,MAX(1,D3547)),0), FactorTable!$A$2:$A$301,0), Skills!M13+1)</f>
        <v/>
      </c>
      <c r="F3547">
        <f>IF(Skills!N13=TRUE,(Skills!L13/10)*(E3547/1000),Skills!L13/10)+Skills!O13</f>
        <v/>
      </c>
      <c r="G3547">
        <f>Skills!G13*IF(Skills!H13&gt;0,Skills!I13/Skills!H13,1)</f>
        <v/>
      </c>
      <c r="H3547">
        <f>1-(1-Skills!J13/100)^Skills!K13</f>
        <v/>
      </c>
      <c r="I3547" t="inlineStr">
        <is>
          <t>1</t>
        </is>
      </c>
      <c r="J3547">
        <f>((Inputs!$B$6*(1+Inputs!$B$7/100))+(((Inputs!$B$12*(1+Inputs!$B$13/100))-(Inputs!$B$12*(1+Inputs!$B$13/100)))+0.25*(Inputs!$B$14-Inputs!$B$14))*(1+Inputs!$B$7/100))*(F3547/100)</f>
        <v/>
      </c>
      <c r="K3547">
        <f>J3547*(1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3547)</f>
        <v/>
      </c>
      <c r="L3547">
        <f>K3547*(MIN(Inputs!$B$22+((C3558=TRUE)*(F3558-Calc!F24)),(Inputs!$B$23+((C3563=TRUE)*(F3563-Calc!F29))+IF(ArtifactsInput!$M$15,CHOOSE(ArtifactsInput!$N$15+1,25,30,35,40,45,50)/100*(Inputs!$B$11-Inputs!$B$11),0)))/100+(Inputs!$B$23+((C3563=TRUE)*(F3563-Calc!F29))+IF(ArtifactsInput!$M$15,CHOOSE(ArtifactsInput!$N$15+1,25,30,35,40,45,50)/100*(Inputs!$B$11-Inputs!$B$11),0))/100)/2</f>
        <v/>
      </c>
      <c r="M3547">
        <f>L3547*(1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7">
        <f>L3547*(1-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3547*(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7">
        <f>(1-Summary!$B$11)*T3547+Summary!$B$11*V3547</f>
        <v/>
      </c>
      <c r="P3547">
        <f>IF(B3579=0,0,O3547/B3579)</f>
        <v/>
      </c>
      <c r="Q3547">
        <f>IFERROR(1/IF(Inputs!$B$39="pvp",15,MAX(0.1,Skills!D13-IF(Skills!E13=TRUE,3.5,0))),0)</f>
        <v/>
      </c>
      <c r="R3547">
        <f>IF(AND(Inputs!$B$39&lt;&gt;"pvp",Inputs!$B$44&gt;0),IF(MAX(0,Inputs!$B$44-B3578)&lt;=0,0,(INT(MAX(0,Inputs!$B$44-B3578)/IF(Inputs!$B$39="pvp",15,MAX(0.1,Skills!D13-IF(Skills!E13=TRUE,3.5,0))))+1)),0)</f>
        <v/>
      </c>
      <c r="S3547">
        <f>IFERROR(O3547/N3547,0)</f>
        <v/>
      </c>
      <c r="T3547">
        <f>IF(C3547,(H3547*N3547*IF(AND(Inputs!$B$39&lt;&gt;"pvp",Inputs!$B$44&gt;0),((Skills!G13*((R3547-1)*IF(Skills!H13&gt;0,Skills!I13/Skills!H13,1)+IF(Skills!H13&gt;0,MIN(Skills!I13,MAX(0,MAX(0,Inputs!$B$44-B3578)-((R3547-1)*IF(Inputs!$B$39="pvp",15,MAX(0.1,Skills!D13-IF(Skills!E13=TRUE,3.5,0))))))/Skills!H13,1)))/Inputs!$B$44),G3547*Q3547))*IF(Inputs!$B$39="pvp",1,1+(Inputs!$B$20+0+Skills!P13+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3547*(1-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3547*(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3547*(1-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3547*(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7">
        <f>IF(C3547,(H3547*N3547*IF(AND(Inputs!$B$39&lt;&gt;"pvp",Inputs!$B$44&gt;0),((Skills!G13*((R3547-1)*IF(Skills!H13&gt;0,Skills!I13/Skills!H13,1)+IF(Skills!H13&gt;0,MIN(Skills!I13,MAX(0,MAX(0,Inputs!$B$44-B3578)-((R3547-1)*IF(Inputs!$B$39="pvp",15,MAX(0.1,Skills!D13-IF(Skills!E13=TRUE,3.5,0))))))/Skills!H13,1)))/Inputs!$B$44),G3547*Q3547))*IF(Inputs!$B$39="pvp",1,(1+(Inputs!$B$21+Skills!Q13+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8">
      <c r="A3548">
        <f>Skills!A14</f>
        <v/>
      </c>
      <c r="B3548">
        <f>Skills!B14</f>
        <v/>
      </c>
      <c r="C3548">
        <f>Inputs!$B$3&gt;=107</f>
        <v/>
      </c>
      <c r="D3548">
        <f>IF(Skills!C14=1,60+Inputs!$B$25+Inputs!$B$29,IF(Skills!C14=2,90+Inputs!$B$26+Inputs!$B$29,IF(Skills!C14=3,120+Inputs!$B$27+Inputs!$B$29,MAX(0,(Inputs!$B$3-100)*3)+Inputs!$B$28+Inputs!$B$29)))</f>
        <v/>
      </c>
      <c r="E3548">
        <f>INDEX(FactorTable!$B$2:$Y$301, MATCH(ROUND(MIN(300,MAX(1,D3548)),0), FactorTable!$A$2:$A$301,0), Skills!M14+1)</f>
        <v/>
      </c>
      <c r="F3548">
        <f>IF(Skills!N14=TRUE,(Skills!L14/10)*(E3548/1000),Skills!L14/10)+Skills!O14</f>
        <v/>
      </c>
      <c r="G3548">
        <f>Skills!G14*IF(Skills!H14&gt;0,Skills!I14/Skills!H14,1)</f>
        <v/>
      </c>
      <c r="H3548">
        <f>1-(1-Skills!J14/100)^Skills!K14</f>
        <v/>
      </c>
      <c r="I3548" t="inlineStr">
        <is>
          <t>1</t>
        </is>
      </c>
      <c r="J3548">
        <f>((Inputs!$B$6*(1+Inputs!$B$7/100))+(((Inputs!$B$12*(1+Inputs!$B$13/100))-(Inputs!$B$12*(1+Inputs!$B$13/100)))+0.25*(Inputs!$B$14-Inputs!$B$14))*(1+Inputs!$B$7/100))*(F3548/100)</f>
        <v/>
      </c>
      <c r="K3548">
        <f>J3548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3548)</f>
        <v/>
      </c>
      <c r="L3548">
        <f>K3548*(MIN(Inputs!$B$22+((C3558=TRUE)*(F3558-Calc!F24)),(Inputs!$B$23+((C3563=TRUE)*(F3563-Calc!F29))+IF(ArtifactsInput!$M$15,CHOOSE(ArtifactsInput!$N$15+1,25,30,35,40,45,50)/100*(Inputs!$B$11-Inputs!$B$11),0)))/100+(Inputs!$B$23+((C3563=TRUE)*(F3563-Calc!F29))+IF(ArtifactsInput!$M$15,CHOOSE(ArtifactsInput!$N$15+1,25,30,35,40,45,50)/100*(Inputs!$B$11-Inputs!$B$11),0))/100)/2</f>
        <v/>
      </c>
      <c r="M3548">
        <f>L3548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8">
        <f>L3548*(1-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3548*(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8">
        <f>(1-Summary!$B$11)*T3548+Summary!$B$11*V3548</f>
        <v/>
      </c>
      <c r="P3548">
        <f>IF(B3579=0,0,O3548/B3579)</f>
        <v/>
      </c>
      <c r="Q3548">
        <f>IFERROR(1/IF(Inputs!$B$39="pvp",15,MAX(0.1,Skills!D14-IF(Skills!E14=TRUE,3.5,0))),0)</f>
        <v/>
      </c>
      <c r="R3548">
        <f>IF(AND(Inputs!$B$39&lt;&gt;"pvp",Inputs!$B$44&gt;0),IF(MAX(0,Inputs!$B$44-B3578)&lt;=0,0,(INT(MAX(0,Inputs!$B$44-B3578)/IF(Inputs!$B$39="pvp",15,MAX(0.1,Skills!D14-IF(Skills!E14=TRUE,3.5,0))))+1)),0)</f>
        <v/>
      </c>
      <c r="S3548">
        <f>IFERROR(O3548/N3548,0)</f>
        <v/>
      </c>
      <c r="T3548">
        <f>IF(C3548,(H3548*N3548*IF(AND(Inputs!$B$39&lt;&gt;"pvp",Inputs!$B$44&gt;0),((Skills!G14*((R3548-1)*IF(Skills!H14&gt;0,Skills!I14/Skills!H14,1)+IF(Skills!H14&gt;0,MIN(Skills!I14,MAX(0,MAX(0,Inputs!$B$44-B3578)-((R3548-1)*IF(Inputs!$B$39="pvp",15,MAX(0.1,Skills!D14-IF(Skills!E14=TRUE,3.5,0))))))/Skills!H14,1)))/Inputs!$B$44),G3548*Q3548))*IF(Inputs!$B$39="pvp",1,1+(Inputs!$B$20+0+Skills!P14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3548*(1-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3548*(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3548*(1-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3548*(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8">
        <f>IF(C3548,(H3548*N3548*IF(AND(Inputs!$B$39&lt;&gt;"pvp",Inputs!$B$44&gt;0),((Skills!G14*((R3548-1)*IF(Skills!H14&gt;0,Skills!I14/Skills!H14,1)+IF(Skills!H14&gt;0,MIN(Skills!I14,MAX(0,MAX(0,Inputs!$B$44-B3578)-((R3548-1)*IF(Inputs!$B$39="pvp",15,MAX(0.1,Skills!D14-IF(Skills!E14=TRUE,3.5,0))))))/Skills!H14,1)))/Inputs!$B$44),G3548*Q3548))*IF(Inputs!$B$39="pvp",1,(1+(Inputs!$B$21+Skills!Q14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(5,0.25*B3571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9">
      <c r="A3549">
        <f>Skills!A15</f>
        <v/>
      </c>
      <c r="B3549">
        <f>Skills!B15</f>
        <v/>
      </c>
      <c r="C3549">
        <f>Inputs!$B$3&gt;=110</f>
        <v/>
      </c>
      <c r="D3549">
        <f>IF(Skills!C15=1,60+Inputs!$B$25+Inputs!$B$29,IF(Skills!C15=2,90+Inputs!$B$26+Inputs!$B$29,IF(Skills!C15=3,120+Inputs!$B$27+Inputs!$B$29,MAX(0,(Inputs!$B$3-100)*3)+Inputs!$B$28+Inputs!$B$29)))</f>
        <v/>
      </c>
      <c r="E3549">
        <f>INDEX(FactorTable!$B$2:$Y$301, MATCH(ROUND(MIN(300,MAX(1,D3549)),0), FactorTable!$A$2:$A$301,0), Skills!M15+1)</f>
        <v/>
      </c>
      <c r="F3549">
        <f>IF(Skills!N15=TRUE,(Skills!L15/10)*(E3549/1000),Skills!L15/10)+Skills!O15</f>
        <v/>
      </c>
      <c r="G3549">
        <f>Skills!G15*IF(Skills!H15&gt;0,Skills!I15/Skills!H15,1)</f>
        <v/>
      </c>
      <c r="H3549">
        <f>1-(1-Skills!J15/100)^Skills!K15</f>
        <v/>
      </c>
      <c r="I3549" t="inlineStr">
        <is>
          <t>1</t>
        </is>
      </c>
      <c r="J3549" t="inlineStr"/>
      <c r="K3549" t="inlineStr"/>
      <c r="L3549" t="inlineStr"/>
      <c r="M3549" t="inlineStr"/>
      <c r="N3549" t="inlineStr"/>
      <c r="O3549">
        <f>(1-Summary!$B$11)*T3549+Summary!$B$11*V3549</f>
        <v/>
      </c>
      <c r="P3549">
        <f>IF(B3579=0,0,O3549/B3579)</f>
        <v/>
      </c>
      <c r="Q3549">
        <f>IFERROR(1/IF(Inputs!$B$39="pvp",15,MAX(0.1,Skills!D15-IF(Skills!E15=TRUE,3.5,0))),0)</f>
        <v/>
      </c>
      <c r="R3549">
        <f>IF(AND(Inputs!$B$39&lt;&gt;"pvp",Inputs!$B$44&gt;0),IF(Inputs!$B$44&lt;=0,0,(INT(Inputs!$B$44/IF(Inputs!$B$39="pvp",15,MAX(0.1,Skills!D15-IF(Skills!E15=TRUE,3.5,0))))+1)),0)</f>
        <v/>
      </c>
      <c r="S3549">
        <f>IFERROR(O3549/N3549,0)</f>
        <v/>
      </c>
      <c r="T3549" t="n">
        <v>0</v>
      </c>
      <c r="V3549" t="n">
        <v>0</v>
      </c>
    </row>
    <row r="3550">
      <c r="A3550">
        <f>Skills!A16</f>
        <v/>
      </c>
      <c r="B3550">
        <f>Skills!B16</f>
        <v/>
      </c>
      <c r="C3550">
        <f>Inputs!$B$3&gt;=115</f>
        <v/>
      </c>
      <c r="D3550">
        <f>IF(Skills!C16=1,60+Inputs!$B$25+Inputs!$B$29,IF(Skills!C16=2,90+Inputs!$B$26+Inputs!$B$29,IF(Skills!C16=3,120+Inputs!$B$27+Inputs!$B$29,MAX(0,(Inputs!$B$3-100)*3)+Inputs!$B$28+Inputs!$B$29)))</f>
        <v/>
      </c>
      <c r="E3550">
        <f>INDEX(FactorTable!$B$2:$Y$301, MATCH(ROUND(MIN(300,MAX(1,D3550)),0), FactorTable!$A$2:$A$301,0), Skills!M16+1)</f>
        <v/>
      </c>
      <c r="F3550">
        <f>IF(Skills!N16=TRUE,(Skills!L16/10)*(E3550/1000),Skills!L16/10)+Skills!O16</f>
        <v/>
      </c>
      <c r="G3550">
        <f>Skills!G16*IF(Skills!H16&gt;0,Skills!I16/Skills!H16,1)</f>
        <v/>
      </c>
      <c r="H3550">
        <f>1-(1-Skills!J16/100)^Skills!K16</f>
        <v/>
      </c>
      <c r="I3550" t="inlineStr">
        <is>
          <t>1</t>
        </is>
      </c>
      <c r="J3550">
        <f>((Inputs!$B$6*(1+Inputs!$B$7/100))+(((Inputs!$B$12*(1+Inputs!$B$13/100))-(Inputs!$B$12*(1+Inputs!$B$13/100)))+0.25*(Inputs!$B$14-Inputs!$B$14))*(1+Inputs!$B$7/100))*(F3550/100)</f>
        <v/>
      </c>
      <c r="K3550">
        <f>J3550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3561=TRUE)*(F3561-Calc!F27))+((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3550)</f>
        <v/>
      </c>
      <c r="L3550">
        <f>K3550*(MIN(Inputs!$B$22+((C3558=TRUE)*(F3558-Calc!F24)),(Inputs!$B$23+((C3563=TRUE)*(F3563-Calc!F29))+IF(ArtifactsInput!$M$15,CHOOSE(ArtifactsInput!$N$15+1,25,30,35,40,45,50)/100*(Inputs!$B$11-Inputs!$B$11),0)))/100+(Inputs!$B$23+((C3563=TRUE)*(F3563-Calc!F29))+IF(ArtifactsInput!$M$15,CHOOSE(ArtifactsInput!$N$15+1,25,30,35,40,45,50)/100*(Inputs!$B$11-Inputs!$B$11),0))/100)/2</f>
        <v/>
      </c>
      <c r="M3550">
        <f>L3550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0">
        <f>L3550*(1-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3550*(MIN((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0">
        <f>(1-Summary!$B$11)*T3550+Summary!$B$11*V3550</f>
        <v/>
      </c>
      <c r="P3550">
        <f>IF(B3579=0,0,O3550/B3579)</f>
        <v/>
      </c>
      <c r="Q3550" t="n">
        <v>0</v>
      </c>
      <c r="R3550" t="n">
        <v>0</v>
      </c>
      <c r="S3550">
        <f>IFERROR(O3550/N3550,0)</f>
        <v/>
      </c>
      <c r="T3550">
        <f>IF(C3550,(Inputs!$B$38*0.2*N3550)*IF(Inputs!$B$39="pvp",1,1+(Inputs!$B$20+0+Skills!P16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3550*(1-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3550*(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3550*(1-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3550*(MIN(100,(Inputs!$B$9+((C3559=TRUE)*(F3559-Calc!F25))+B3567+(ArtifactsInput!$M$24-ArtifactsInput!$M$24)*CHOOSE(ArtifactsInput!$N$24+1,10,12,14,16,18,20)+(IF(AND(Inputs!$B$39&lt;&gt;"pvp",Inputs!$B$44=0),1,IF(IF(Inputs!$B$39="pvp",15,Inputs!$B$44)-(B3578)&lt;=0,1,MAX(0,IF(Inputs!$B$39="pvp",15,Inputs!$B$44)-MAX(5,B3578))/(IF(Inputs!$B$39="pvp",15,Inputs!$B$44)-(B3578))))*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0">
        <f>IF(C3550,(Inputs!$B$38*0.2*N3550)*IF(Inputs!$B$39="pvp",1,(1+(Inputs!$B$21+Skills!Q16+B3568+(IF(ArtifactsInput!$M$33,CHOOSE(ArtifactsInput!$N$33+1,30,36,42,48,54,60),0))+(IF(AND(ArtifactsInput!$M$35,Inputs!$B$4&lt;&gt;"Chapter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1">
      <c r="A3551">
        <f>Skills!A17</f>
        <v/>
      </c>
      <c r="B3551">
        <f>Skills!B17</f>
        <v/>
      </c>
      <c r="C3551">
        <f>Inputs!$B$3&gt;=115</f>
        <v/>
      </c>
      <c r="D3551">
        <f>IF(Skills!C17=1,60+Inputs!$B$25+Inputs!$B$29,IF(Skills!C17=2,90+Inputs!$B$26+Inputs!$B$29,IF(Skills!C17=3,120+Inputs!$B$27+Inputs!$B$29,MAX(0,(Inputs!$B$3-100)*3)+Inputs!$B$28+Inputs!$B$29)))</f>
        <v/>
      </c>
      <c r="E3551">
        <f>INDEX(FactorTable!$B$2:$Y$301, MATCH(ROUND(MIN(300,MAX(1,D3551)),0), FactorTable!$A$2:$A$301,0), Skills!M17+1)</f>
        <v/>
      </c>
      <c r="F3551">
        <f>IF(Skills!N17=TRUE,(Skills!L17/10)*(E3551/1000),Skills!L17/10)+Skills!O17</f>
        <v/>
      </c>
      <c r="G3551">
        <f>Skills!G17*IF(Skills!H17&gt;0,Skills!I17/Skills!H17,1)</f>
        <v/>
      </c>
      <c r="H3551">
        <f>1-(1-Skills!J17/100)^Skills!K17</f>
        <v/>
      </c>
      <c r="I3551" t="inlineStr">
        <is>
          <t>1</t>
        </is>
      </c>
      <c r="J3551" t="inlineStr"/>
      <c r="K3551" t="inlineStr"/>
      <c r="L3551" t="inlineStr"/>
      <c r="M3551" t="inlineStr"/>
      <c r="N3551" t="inlineStr"/>
      <c r="O3551">
        <f>(1-Summary!$B$11)*T3551+Summary!$B$11*V3551</f>
        <v/>
      </c>
      <c r="P3551">
        <f>IF(B3579=0,0,O3551/B3579)</f>
        <v/>
      </c>
      <c r="Q3551" t="n">
        <v>0</v>
      </c>
      <c r="R3551" t="n">
        <v>0</v>
      </c>
      <c r="S3551">
        <f>IFERROR(O3551/N3551,0)</f>
        <v/>
      </c>
      <c r="T3551" t="n">
        <v>0</v>
      </c>
      <c r="V3551" t="n">
        <v>0</v>
      </c>
    </row>
    <row r="3552">
      <c r="A3552">
        <f>Skills!A18</f>
        <v/>
      </c>
      <c r="B3552">
        <f>Skills!B18</f>
        <v/>
      </c>
      <c r="C3552">
        <f>Inputs!$B$3&gt;=100</f>
        <v/>
      </c>
      <c r="D3552">
        <f>IF(Skills!C18=1,60+Inputs!$B$25+Inputs!$B$29,IF(Skills!C18=2,90+Inputs!$B$26+Inputs!$B$29,IF(Skills!C18=3,120+Inputs!$B$27+Inputs!$B$29,MAX(0,(Inputs!$B$3-100)*3)+Inputs!$B$28+Inputs!$B$29)))</f>
        <v/>
      </c>
      <c r="E3552">
        <f>INDEX(FactorTable!$B$2:$Y$301, MATCH(ROUND(MIN(300,MAX(1,D3552)),0), FactorTable!$A$2:$A$301,0), Skills!M18+1)</f>
        <v/>
      </c>
      <c r="F3552">
        <f>IF(Skills!N18=TRUE,(Skills!L18/10)*(E3552/1000),Skills!L18/10)+Skills!O18</f>
        <v/>
      </c>
      <c r="G3552">
        <f>Skills!G18*IF(Skills!H18&gt;0,Skills!I18/Skills!H18,1)</f>
        <v/>
      </c>
      <c r="H3552">
        <f>1-(1-Skills!J18/100)^Skills!K18</f>
        <v/>
      </c>
      <c r="I3552" t="inlineStr">
        <is>
          <t>1</t>
        </is>
      </c>
      <c r="J3552" t="inlineStr"/>
      <c r="K3552" t="inlineStr"/>
      <c r="L3552" t="inlineStr"/>
      <c r="M3552" t="inlineStr"/>
      <c r="N3552" t="inlineStr"/>
      <c r="O3552">
        <f>(1-Summary!$B$11)*T3552+Summary!$B$11*V3552</f>
        <v/>
      </c>
      <c r="P3552">
        <f>IF(B3579=0,0,O3552/B3579)</f>
        <v/>
      </c>
      <c r="Q3552" t="n">
        <v>0</v>
      </c>
      <c r="R3552" t="n">
        <v>0</v>
      </c>
      <c r="S3552">
        <f>IFERROR(O3552/N3552,0)</f>
        <v/>
      </c>
      <c r="T3552" t="n">
        <v>0</v>
      </c>
      <c r="V3552" t="n">
        <v>0</v>
      </c>
    </row>
    <row r="3553">
      <c r="A3553">
        <f>Skills!A19</f>
        <v/>
      </c>
      <c r="B3553">
        <f>Skills!B19</f>
        <v/>
      </c>
      <c r="C3553">
        <f>TRUE</f>
        <v/>
      </c>
      <c r="D3553">
        <f>IF(Skills!C19=1,60+Inputs!$B$25+Inputs!$B$29,IF(Skills!C19=2,90+Inputs!$B$26+Inputs!$B$29,IF(Skills!C19=3,120+Inputs!$B$27+Inputs!$B$29,MAX(0,(Inputs!$B$3-100)*3)+Inputs!$B$28+Inputs!$B$29)))</f>
        <v/>
      </c>
      <c r="E3553">
        <f>INDEX(FactorTable!$B$2:$Y$301, MATCH(ROUND(MIN(300,MAX(1,D3553)),0), FactorTable!$A$2:$A$301,0), Skills!M19+1)</f>
        <v/>
      </c>
      <c r="F3553">
        <f>IF(Skills!N19=TRUE,(Skills!L19/10)*(E3553/1000),Skills!L19/10)+Skills!O19</f>
        <v/>
      </c>
      <c r="G3553">
        <f>Skills!G19*IF(Skills!H19&gt;0,Skills!I19/Skills!H19,1)</f>
        <v/>
      </c>
      <c r="H3553">
        <f>1-(1-Skills!J19/100)^Skills!K19</f>
        <v/>
      </c>
      <c r="I3553" t="inlineStr">
        <is>
          <t>1</t>
        </is>
      </c>
      <c r="J3553" t="inlineStr"/>
      <c r="K3553" t="inlineStr"/>
      <c r="L3553" t="inlineStr"/>
      <c r="M3553" t="inlineStr"/>
      <c r="N3553" t="inlineStr"/>
      <c r="O3553">
        <f>(1-Summary!$B$11)*T3553+Summary!$B$11*V3553</f>
        <v/>
      </c>
      <c r="P3553">
        <f>IF(B3579=0,0,O3553/B3579)</f>
        <v/>
      </c>
      <c r="Q3553">
        <f>IFERROR(1/IF(Inputs!$B$39="pvp",15,MAX(0.1,Skills!D19-IF(Skills!E19=TRUE,3.5,0))),0)</f>
        <v/>
      </c>
      <c r="R3553">
        <f>IF(AND(Inputs!$B$39&lt;&gt;"pvp",Inputs!$B$44&gt;0),IF(Inputs!$B$44&lt;=0,0,(INT(Inputs!$B$44/IF(Inputs!$B$39="pvp",15,MAX(0.1,Skills!D19-IF(Skills!E19=TRUE,3.5,0))))+1)),0)</f>
        <v/>
      </c>
      <c r="S3553">
        <f>IFERROR(O3553/N3553,0)</f>
        <v/>
      </c>
      <c r="T3553" t="n">
        <v>0</v>
      </c>
      <c r="V3553" t="n">
        <v>0</v>
      </c>
    </row>
    <row r="3554">
      <c r="A3554">
        <f>Skills!A20</f>
        <v/>
      </c>
      <c r="B3554">
        <f>Skills!B20</f>
        <v/>
      </c>
      <c r="C3554">
        <f>Inputs!$B$3&gt;=15</f>
        <v/>
      </c>
      <c r="D3554">
        <f>IF(Skills!C20=1,60+Inputs!$B$25+Inputs!$B$29,IF(Skills!C20=2,90+Inputs!$B$26+Inputs!$B$29,IF(Skills!C20=3,120+Inputs!$B$27+Inputs!$B$29,MAX(0,(Inputs!$B$3-100)*3)+Inputs!$B$28+Inputs!$B$29)))</f>
        <v/>
      </c>
      <c r="E3554">
        <f>INDEX(FactorTable!$B$2:$Y$301, MATCH(ROUND(MIN(300,MAX(1,D3554)),0), FactorTable!$A$2:$A$301,0), Skills!M20+1)</f>
        <v/>
      </c>
      <c r="F3554">
        <f>IF(Skills!N20=TRUE,(Skills!L20/10)*(E3554/1000),Skills!L20/10)+Skills!O20</f>
        <v/>
      </c>
      <c r="G3554">
        <f>Skills!G20*IF(Skills!H20&gt;0,Skills!I20/Skills!H20,1)</f>
        <v/>
      </c>
      <c r="H3554">
        <f>1-(1-Skills!J20/100)^Skills!K20</f>
        <v/>
      </c>
      <c r="I3554" t="inlineStr">
        <is>
          <t>1</t>
        </is>
      </c>
      <c r="J3554" t="inlineStr"/>
      <c r="K3554" t="inlineStr"/>
      <c r="L3554" t="inlineStr"/>
      <c r="M3554" t="inlineStr"/>
      <c r="N3554" t="inlineStr"/>
      <c r="O3554">
        <f>(1-Summary!$B$11)*T3554+Summary!$B$11*V3554</f>
        <v/>
      </c>
      <c r="P3554">
        <f>IF(B3579=0,0,O3554/B3579)</f>
        <v/>
      </c>
      <c r="Q3554">
        <f>IFERROR(1/IF(Inputs!$B$39="pvp",15,MAX(0.1,Skills!D20-IF(Skills!E20=TRUE,3.5,0))),0)</f>
        <v/>
      </c>
      <c r="R3554">
        <f>IF(AND(Inputs!$B$39&lt;&gt;"pvp",Inputs!$B$44&gt;0),IF(Inputs!$B$44&lt;=0,0,(INT(Inputs!$B$44/IF(Inputs!$B$39="pvp",15,MAX(0.1,Skills!D20-IF(Skills!E20=TRUE,3.5,0))))+1)),0)</f>
        <v/>
      </c>
      <c r="S3554">
        <f>IFERROR(O3554/N3554,0)</f>
        <v/>
      </c>
      <c r="T3554" t="n">
        <v>0</v>
      </c>
      <c r="V3554" t="n">
        <v>0</v>
      </c>
    </row>
    <row r="3555">
      <c r="A3555">
        <f>Skills!A21</f>
        <v/>
      </c>
      <c r="B3555">
        <f>Skills!B21</f>
        <v/>
      </c>
      <c r="C3555">
        <f>Inputs!$B$3&gt;=15</f>
        <v/>
      </c>
      <c r="D3555">
        <f>IF(Skills!C21=1,60+Inputs!$B$25+Inputs!$B$29,IF(Skills!C21=2,90+Inputs!$B$26+Inputs!$B$29,IF(Skills!C21=3,120+Inputs!$B$27+Inputs!$B$29,MAX(0,(Inputs!$B$3-100)*3)+Inputs!$B$28+Inputs!$B$29)))</f>
        <v/>
      </c>
      <c r="E3555">
        <f>INDEX(FactorTable!$B$2:$Y$301, MATCH(ROUND(MIN(300,MAX(1,D3555)),0), FactorTable!$A$2:$A$301,0), Skills!M21+1)</f>
        <v/>
      </c>
      <c r="F3555">
        <f>IF(Skills!N21=TRUE,(Skills!L21/10)*(E3555/1000),Skills!L21/10)+Skills!O21</f>
        <v/>
      </c>
      <c r="G3555">
        <f>Skills!G21*IF(Skills!H21&gt;0,Skills!I21/Skills!H21,1)</f>
        <v/>
      </c>
      <c r="H3555">
        <f>1-(1-Skills!J21/100)^Skills!K21</f>
        <v/>
      </c>
      <c r="I3555" t="inlineStr">
        <is>
          <t>1</t>
        </is>
      </c>
      <c r="J3555" t="inlineStr"/>
      <c r="K3555" t="inlineStr"/>
      <c r="L3555" t="inlineStr"/>
      <c r="M3555" t="inlineStr"/>
      <c r="N3555" t="inlineStr"/>
      <c r="O3555">
        <f>(1-Summary!$B$11)*T3555+Summary!$B$11*V3555</f>
        <v/>
      </c>
      <c r="P3555">
        <f>IF(B3579=0,0,O3555/B3579)</f>
        <v/>
      </c>
      <c r="Q3555">
        <f>IFERROR(1/IF(Inputs!$B$39="pvp",15,MAX(0.1,Skills!D21-IF(Skills!E21=TRUE,3.5,0))),0)</f>
        <v/>
      </c>
      <c r="R3555">
        <f>IF(AND(Inputs!$B$39&lt;&gt;"pvp",Inputs!$B$44&gt;0),IF(Inputs!$B$44&lt;=0,0,(INT(Inputs!$B$44/IF(Inputs!$B$39="pvp",15,MAX(0.1,Skills!D21-IF(Skills!E21=TRUE,3.5,0))))+1)),0)</f>
        <v/>
      </c>
      <c r="S3555">
        <f>IFERROR(O3555/N3555,0)</f>
        <v/>
      </c>
      <c r="T3555" t="n">
        <v>0</v>
      </c>
      <c r="V3555" t="n">
        <v>0</v>
      </c>
    </row>
    <row r="3556">
      <c r="A3556">
        <f>Skills!A22</f>
        <v/>
      </c>
      <c r="B3556">
        <f>Skills!B22</f>
        <v/>
      </c>
      <c r="C3556">
        <f>Inputs!$B$3&gt;=33</f>
        <v/>
      </c>
      <c r="D3556">
        <f>IF(Skills!C22=1,60+Inputs!$B$25+Inputs!$B$29,IF(Skills!C22=2,90+Inputs!$B$26+Inputs!$B$29,IF(Skills!C22=3,120+Inputs!$B$27+Inputs!$B$29,MAX(0,(Inputs!$B$3-100)*3)+Inputs!$B$28+Inputs!$B$29)))</f>
        <v/>
      </c>
      <c r="E3556">
        <f>INDEX(FactorTable!$B$2:$Y$301, MATCH(ROUND(MIN(300,MAX(1,D3556)),0), FactorTable!$A$2:$A$301,0), Skills!M22+1)</f>
        <v/>
      </c>
      <c r="F3556">
        <f>IF(Skills!N22=TRUE,(Skills!L22/10)*(E3556/1000),Skills!L22/10)+Skills!O22</f>
        <v/>
      </c>
      <c r="G3556">
        <f>Skills!G22*IF(Skills!H22&gt;0,Skills!I22/Skills!H22,1)</f>
        <v/>
      </c>
      <c r="H3556">
        <f>1-(1-Skills!J22/100)^Skills!K22</f>
        <v/>
      </c>
      <c r="I3556" t="inlineStr">
        <is>
          <t>1</t>
        </is>
      </c>
      <c r="J3556" t="inlineStr"/>
      <c r="K3556" t="inlineStr"/>
      <c r="L3556" t="inlineStr"/>
      <c r="M3556" t="inlineStr"/>
      <c r="N3556" t="inlineStr"/>
      <c r="O3556">
        <f>(1-Summary!$B$11)*T3556+Summary!$B$11*V3556</f>
        <v/>
      </c>
      <c r="P3556">
        <f>IF(B3579=0,0,O3556/B3579)</f>
        <v/>
      </c>
      <c r="Q3556" t="n">
        <v>0</v>
      </c>
      <c r="R3556" t="n">
        <v>0</v>
      </c>
      <c r="S3556">
        <f>IFERROR(O3556/N3556,0)</f>
        <v/>
      </c>
      <c r="T3556" t="n">
        <v>0</v>
      </c>
      <c r="V3556" t="n">
        <v>0</v>
      </c>
    </row>
    <row r="3557">
      <c r="A3557">
        <f>Skills!A23</f>
        <v/>
      </c>
      <c r="B3557">
        <f>Skills!B23</f>
        <v/>
      </c>
      <c r="C3557">
        <f>Inputs!$B$3&gt;=40</f>
        <v/>
      </c>
      <c r="D3557">
        <f>IF(Skills!C23=1,60+Inputs!$B$25+Inputs!$B$29,IF(Skills!C23=2,90+Inputs!$B$26+Inputs!$B$29,IF(Skills!C23=3,120+Inputs!$B$27+Inputs!$B$29,MAX(0,(Inputs!$B$3-100)*3)+Inputs!$B$28+Inputs!$B$29)))</f>
        <v/>
      </c>
      <c r="E3557">
        <f>INDEX(FactorTable!$B$2:$Y$301, MATCH(ROUND(MIN(300,MAX(1,D3557)),0), FactorTable!$A$2:$A$301,0), Skills!M23+1)</f>
        <v/>
      </c>
      <c r="F3557">
        <f>IF(Skills!N23=TRUE,(Skills!L23/10)*(E3557/1000),Skills!L23/10)+Skills!O23</f>
        <v/>
      </c>
      <c r="G3557">
        <f>Skills!G23*IF(Skills!H23&gt;0,Skills!I23/Skills!H23,1)</f>
        <v/>
      </c>
      <c r="H3557">
        <f>1-(1-Skills!J23/100)^Skills!K23</f>
        <v/>
      </c>
      <c r="I3557" t="inlineStr">
        <is>
          <t>1</t>
        </is>
      </c>
      <c r="J3557" t="inlineStr"/>
      <c r="K3557" t="inlineStr"/>
      <c r="L3557" t="inlineStr"/>
      <c r="M3557" t="inlineStr"/>
      <c r="N3557" t="inlineStr"/>
      <c r="O3557">
        <f>(1-Summary!$B$11)*T3557+Summary!$B$11*V3557</f>
        <v/>
      </c>
      <c r="P3557">
        <f>IF(B3579=0,0,O3557/B3579)</f>
        <v/>
      </c>
      <c r="Q3557" t="n">
        <v>0</v>
      </c>
      <c r="R3557" t="n">
        <v>0</v>
      </c>
      <c r="S3557">
        <f>IFERROR(O3557/N3557,0)</f>
        <v/>
      </c>
      <c r="T3557" t="n">
        <v>0</v>
      </c>
      <c r="V3557" t="n">
        <v>0</v>
      </c>
    </row>
    <row r="3558">
      <c r="A3558">
        <f>Skills!A24</f>
        <v/>
      </c>
      <c r="B3558">
        <f>Skills!B24</f>
        <v/>
      </c>
      <c r="C3558">
        <f>Inputs!$B$3&gt;=43</f>
        <v/>
      </c>
      <c r="D3558">
        <f>IF(Skills!C24=1,60+Inputs!$B$25+Inputs!$B$29,IF(Skills!C24=2,90+Inputs!$B$26+Inputs!$B$29,IF(Skills!C24=3,120+Inputs!$B$27+Inputs!$B$29,MAX(0,(Inputs!$B$3-100)*3)+Inputs!$B$28+Inputs!$B$29)))</f>
        <v/>
      </c>
      <c r="E3558">
        <f>INDEX(FactorTable!$B$2:$Y$301, MATCH(ROUND(MIN(300,MAX(1,D3558)),0), FactorTable!$A$2:$A$301,0), Skills!M24+1)</f>
        <v/>
      </c>
      <c r="F3558">
        <f>IF(Skills!N24=TRUE,(Skills!L24/10)*(E3558/1000),Skills!L24/10)+Skills!O24</f>
        <v/>
      </c>
      <c r="G3558">
        <f>Skills!G24*IF(Skills!H24&gt;0,Skills!I24/Skills!H24,1)</f>
        <v/>
      </c>
      <c r="H3558">
        <f>1-(1-Skills!J24/100)^Skills!K24</f>
        <v/>
      </c>
      <c r="I3558" t="inlineStr">
        <is>
          <t>1</t>
        </is>
      </c>
      <c r="J3558" t="inlineStr"/>
      <c r="K3558" t="inlineStr"/>
      <c r="L3558" t="inlineStr"/>
      <c r="M3558" t="inlineStr"/>
      <c r="N3558" t="inlineStr"/>
      <c r="O3558">
        <f>(1-Summary!$B$11)*T3558+Summary!$B$11*V3558</f>
        <v/>
      </c>
      <c r="P3558">
        <f>IF(B3579=0,0,O3558/B3579)</f>
        <v/>
      </c>
      <c r="Q3558" t="n">
        <v>0</v>
      </c>
      <c r="R3558" t="n">
        <v>0</v>
      </c>
      <c r="S3558">
        <f>IFERROR(O3558/N3558,0)</f>
        <v/>
      </c>
      <c r="T3558" t="n">
        <v>0</v>
      </c>
      <c r="V3558" t="n">
        <v>0</v>
      </c>
    </row>
    <row r="3559">
      <c r="A3559">
        <f>Skills!A25</f>
        <v/>
      </c>
      <c r="B3559">
        <f>Skills!B25</f>
        <v/>
      </c>
      <c r="C3559">
        <f>Inputs!$B$3&gt;=50</f>
        <v/>
      </c>
      <c r="D3559">
        <f>IF(Skills!C25=1,60+Inputs!$B$25+Inputs!$B$29,IF(Skills!C25=2,90+Inputs!$B$26+Inputs!$B$29,IF(Skills!C25=3,120+Inputs!$B$27+Inputs!$B$29,MAX(0,(Inputs!$B$3-100)*3)+Inputs!$B$28+Inputs!$B$29)))</f>
        <v/>
      </c>
      <c r="E3559">
        <f>INDEX(FactorTable!$B$2:$Y$301, MATCH(ROUND(MIN(300,MAX(1,D3559)),0), FactorTable!$A$2:$A$301,0), Skills!M25+1)</f>
        <v/>
      </c>
      <c r="F3559">
        <f>IF(Skills!N25=TRUE,(Skills!L25/10)*(E3559/1000),Skills!L25/10)+Skills!O25</f>
        <v/>
      </c>
      <c r="G3559">
        <f>Skills!G25*IF(Skills!H25&gt;0,Skills!I25/Skills!H25,1)</f>
        <v/>
      </c>
      <c r="H3559">
        <f>1-(1-Skills!J25/100)^Skills!K25</f>
        <v/>
      </c>
      <c r="I3559" t="inlineStr">
        <is>
          <t>1</t>
        </is>
      </c>
      <c r="J3559" t="inlineStr"/>
      <c r="K3559" t="inlineStr"/>
      <c r="L3559" t="inlineStr"/>
      <c r="M3559" t="inlineStr"/>
      <c r="N3559" t="inlineStr"/>
      <c r="O3559">
        <f>(1-Summary!$B$11)*T3559+Summary!$B$11*V3559</f>
        <v/>
      </c>
      <c r="P3559">
        <f>IF(B3579=0,0,O3559/B3579)</f>
        <v/>
      </c>
      <c r="Q3559" t="n">
        <v>0</v>
      </c>
      <c r="R3559" t="n">
        <v>0</v>
      </c>
      <c r="S3559">
        <f>IFERROR(O3559/N3559,0)</f>
        <v/>
      </c>
      <c r="T3559" t="n">
        <v>0</v>
      </c>
      <c r="V3559" t="n">
        <v>0</v>
      </c>
    </row>
    <row r="3560">
      <c r="A3560">
        <f>Skills!A26</f>
        <v/>
      </c>
      <c r="B3560">
        <f>Skills!B26</f>
        <v/>
      </c>
      <c r="C3560">
        <f>Inputs!$B$3&gt;=50</f>
        <v/>
      </c>
      <c r="D3560">
        <f>IF(Skills!C26=1,60+Inputs!$B$25+Inputs!$B$29,IF(Skills!C26=2,90+Inputs!$B$26+Inputs!$B$29,IF(Skills!C26=3,120+Inputs!$B$27+Inputs!$B$29,MAX(0,(Inputs!$B$3-100)*3)+Inputs!$B$28+Inputs!$B$29)))</f>
        <v/>
      </c>
      <c r="E3560">
        <f>INDEX(FactorTable!$B$2:$Y$301, MATCH(ROUND(MIN(300,MAX(1,D3560)),0), FactorTable!$A$2:$A$301,0), Skills!M26+1)</f>
        <v/>
      </c>
      <c r="F3560">
        <f>IF(Skills!N26=TRUE,(Skills!L26/10)*(E3560/1000),Skills!L26/10)+Skills!O26</f>
        <v/>
      </c>
      <c r="G3560">
        <f>Skills!G26*IF(Skills!H26&gt;0,Skills!I26/Skills!H26,1)</f>
        <v/>
      </c>
      <c r="H3560">
        <f>1-(1-Skills!J26/100)^Skills!K26</f>
        <v/>
      </c>
      <c r="I3560" t="inlineStr">
        <is>
          <t>1</t>
        </is>
      </c>
      <c r="J3560" t="inlineStr"/>
      <c r="K3560" t="inlineStr"/>
      <c r="L3560" t="inlineStr"/>
      <c r="M3560" t="inlineStr"/>
      <c r="N3560" t="inlineStr"/>
      <c r="O3560">
        <f>(1-Summary!$B$11)*T3560+Summary!$B$11*V3560</f>
        <v/>
      </c>
      <c r="P3560">
        <f>IF(B3579=0,0,O3560/B3579)</f>
        <v/>
      </c>
      <c r="Q3560" t="n">
        <v>0</v>
      </c>
      <c r="R3560" t="n">
        <v>0</v>
      </c>
      <c r="S3560">
        <f>IFERROR(O3560/N3560,0)</f>
        <v/>
      </c>
      <c r="T3560" t="n">
        <v>0</v>
      </c>
      <c r="V3560" t="n">
        <v>0</v>
      </c>
    </row>
    <row r="3561">
      <c r="A3561">
        <f>Skills!A27</f>
        <v/>
      </c>
      <c r="B3561">
        <f>Skills!B27</f>
        <v/>
      </c>
      <c r="C3561">
        <f>Inputs!$B$3&gt;=38</f>
        <v/>
      </c>
      <c r="D3561">
        <f>IF(Skills!C27=1,60+Inputs!$B$25+Inputs!$B$29,IF(Skills!C27=2,90+Inputs!$B$26+Inputs!$B$29,IF(Skills!C27=3,120+Inputs!$B$27+Inputs!$B$29,MAX(0,(Inputs!$B$3-100)*3)+Inputs!$B$28+Inputs!$B$29)))</f>
        <v/>
      </c>
      <c r="E3561">
        <f>INDEX(FactorTable!$B$2:$Y$301, MATCH(ROUND(MIN(300,MAX(1,D3561)),0), FactorTable!$A$2:$A$301,0), Skills!M27+1)</f>
        <v/>
      </c>
      <c r="F3561">
        <f>IF(Skills!N27=TRUE,(Skills!L27/10)*(E3561/1000),Skills!L27/10)+Skills!O27</f>
        <v/>
      </c>
      <c r="G3561">
        <f>Skills!G27*IF(Skills!H27&gt;0,Skills!I27/Skills!H27,1)</f>
        <v/>
      </c>
      <c r="H3561">
        <f>1-(1-Skills!J27/100)^Skills!K27</f>
        <v/>
      </c>
      <c r="I3561" t="inlineStr">
        <is>
          <t>1</t>
        </is>
      </c>
      <c r="J3561" t="inlineStr"/>
      <c r="K3561" t="inlineStr"/>
      <c r="L3561" t="inlineStr"/>
      <c r="M3561" t="inlineStr"/>
      <c r="N3561" t="inlineStr"/>
      <c r="O3561">
        <f>(1-Summary!$B$11)*T3561+Summary!$B$11*V3561</f>
        <v/>
      </c>
      <c r="P3561">
        <f>IF(B3579=0,0,O3561/B3579)</f>
        <v/>
      </c>
      <c r="Q3561" t="n">
        <v>0</v>
      </c>
      <c r="R3561" t="n">
        <v>0</v>
      </c>
      <c r="S3561">
        <f>IFERROR(O3561/N3561,0)</f>
        <v/>
      </c>
      <c r="T3561" t="n">
        <v>0</v>
      </c>
      <c r="V3561" t="n">
        <v>0</v>
      </c>
    </row>
    <row r="3562">
      <c r="A3562">
        <f>Skills!A28</f>
        <v/>
      </c>
      <c r="B3562">
        <f>Skills!B28</f>
        <v/>
      </c>
      <c r="C3562">
        <f>Inputs!$B$3&gt;=120</f>
        <v/>
      </c>
      <c r="D3562">
        <f>IF(Skills!C28=1,60+Inputs!$B$25+Inputs!$B$29,IF(Skills!C28=2,90+Inputs!$B$26+Inputs!$B$29,IF(Skills!C28=3,120+Inputs!$B$27+Inputs!$B$29,MAX(0,(Inputs!$B$3-100)*3)+Inputs!$B$28+Inputs!$B$29)))</f>
        <v/>
      </c>
      <c r="E3562">
        <f>INDEX(FactorTable!$B$2:$Y$301, MATCH(ROUND(MIN(300,MAX(1,D3562)),0), FactorTable!$A$2:$A$301,0), Skills!M28+1)</f>
        <v/>
      </c>
      <c r="F3562">
        <f>IF(Skills!N28=TRUE,(Skills!L28/10)*(E3562/1000),Skills!L28/10)+Skills!O28</f>
        <v/>
      </c>
      <c r="G3562">
        <f>Skills!G28*IF(Skills!H28&gt;0,Skills!I28/Skills!H28,1)</f>
        <v/>
      </c>
      <c r="H3562">
        <f>1-(1-Skills!J28/100)^Skills!K28</f>
        <v/>
      </c>
      <c r="I3562" t="inlineStr">
        <is>
          <t>1</t>
        </is>
      </c>
      <c r="J3562" t="inlineStr"/>
      <c r="K3562" t="inlineStr"/>
      <c r="L3562" t="inlineStr"/>
      <c r="M3562" t="inlineStr"/>
      <c r="N3562" t="inlineStr"/>
      <c r="O3562">
        <f>(1-Summary!$B$11)*T3562+Summary!$B$11*V3562</f>
        <v/>
      </c>
      <c r="P3562">
        <f>IF(B3579=0,0,O3562/B3579)</f>
        <v/>
      </c>
      <c r="Q3562" t="n">
        <v>0</v>
      </c>
      <c r="R3562" t="n">
        <v>0</v>
      </c>
      <c r="S3562">
        <f>IFERROR(O3562/N3562,0)</f>
        <v/>
      </c>
      <c r="T3562" t="n">
        <v>0</v>
      </c>
      <c r="V3562" t="n">
        <v>0</v>
      </c>
    </row>
    <row r="3563">
      <c r="A3563">
        <f>Skills!A29</f>
        <v/>
      </c>
      <c r="B3563">
        <f>Skills!B29</f>
        <v/>
      </c>
      <c r="C3563">
        <f>Inputs!$B$3&gt;=120</f>
        <v/>
      </c>
      <c r="D3563">
        <f>IF(Skills!C29=1,60+Inputs!$B$25+Inputs!$B$29,IF(Skills!C29=2,90+Inputs!$B$26+Inputs!$B$29,IF(Skills!C29=3,120+Inputs!$B$27+Inputs!$B$29,MAX(0,(Inputs!$B$3-100)*3)+Inputs!$B$28+Inputs!$B$29)))</f>
        <v/>
      </c>
      <c r="E3563">
        <f>INDEX(FactorTable!$B$2:$Y$301, MATCH(ROUND(MIN(300,MAX(1,D3563)),0), FactorTable!$A$2:$A$301,0), Skills!M29+1)</f>
        <v/>
      </c>
      <c r="F3563">
        <f>IF(Skills!N29=TRUE,(Skills!L29/10)*(E3563/1000),Skills!L29/10)+Skills!O29</f>
        <v/>
      </c>
      <c r="G3563">
        <f>Skills!G29*IF(Skills!H29&gt;0,Skills!I29/Skills!H29,1)</f>
        <v/>
      </c>
      <c r="H3563">
        <f>1-(1-Skills!J29/100)^Skills!K29</f>
        <v/>
      </c>
      <c r="I3563" t="inlineStr">
        <is>
          <t>1</t>
        </is>
      </c>
      <c r="J3563" t="inlineStr"/>
      <c r="K3563" t="inlineStr"/>
      <c r="L3563" t="inlineStr"/>
      <c r="M3563" t="inlineStr"/>
      <c r="N3563" t="inlineStr"/>
      <c r="O3563">
        <f>(1-Summary!$B$11)*T3563+Summary!$B$11*V3563</f>
        <v/>
      </c>
      <c r="P3563">
        <f>IF(B3579=0,0,O3563/B3579)</f>
        <v/>
      </c>
      <c r="Q3563" t="n">
        <v>0</v>
      </c>
      <c r="R3563" t="n">
        <v>0</v>
      </c>
      <c r="S3563">
        <f>IFERROR(O3563/N3563,0)</f>
        <v/>
      </c>
      <c r="T3563" t="n">
        <v>0</v>
      </c>
      <c r="V3563" t="n">
        <v>0</v>
      </c>
    </row>
    <row r="3564">
      <c r="A3564">
        <f>Skills!A30</f>
        <v/>
      </c>
      <c r="B3564">
        <f>Skills!B30</f>
        <v/>
      </c>
      <c r="C3564">
        <f>Inputs!$B$3&gt;=125</f>
        <v/>
      </c>
      <c r="D3564">
        <f>IF(Skills!C30=1,60+Inputs!$B$25+Inputs!$B$29,IF(Skills!C30=2,90+Inputs!$B$26+Inputs!$B$29,IF(Skills!C30=3,120+Inputs!$B$27+Inputs!$B$29,MAX(0,(Inputs!$B$3-100)*3)+Inputs!$B$28+Inputs!$B$29)))</f>
        <v/>
      </c>
      <c r="E3564">
        <f>INDEX(FactorTable!$B$2:$Y$301, MATCH(ROUND(MIN(300,MAX(1,D3564)),0), FactorTable!$A$2:$A$301,0), Skills!M30+1)</f>
        <v/>
      </c>
      <c r="F3564">
        <f>IF(Skills!N30=TRUE,(Skills!L30/10)*(E3564/1000),Skills!L30/10)+Skills!O30</f>
        <v/>
      </c>
      <c r="G3564">
        <f>Skills!G30*IF(Skills!H30&gt;0,Skills!I30/Skills!H30,1)</f>
        <v/>
      </c>
      <c r="H3564">
        <f>1-(1-Skills!J30/100)^Skills!K30</f>
        <v/>
      </c>
      <c r="I3564" t="inlineStr">
        <is>
          <t>1</t>
        </is>
      </c>
      <c r="J3564" t="inlineStr"/>
      <c r="K3564" t="inlineStr"/>
      <c r="L3564" t="inlineStr"/>
      <c r="M3564" t="inlineStr"/>
      <c r="N3564" t="inlineStr"/>
      <c r="O3564">
        <f>(1-Summary!$B$11)*T3564+Summary!$B$11*V3564</f>
        <v/>
      </c>
      <c r="P3564">
        <f>IF(B3579=0,0,O3564/B3579)</f>
        <v/>
      </c>
      <c r="Q3564" t="n">
        <v>0</v>
      </c>
      <c r="R3564" t="n">
        <v>0</v>
      </c>
      <c r="S3564">
        <f>IFERROR(O3564/N3564,0)</f>
        <v/>
      </c>
      <c r="T3564" t="n">
        <v>0</v>
      </c>
      <c r="V3564" t="n">
        <v>0</v>
      </c>
    </row>
    <row r="3566">
      <c r="A3566" t="inlineStr">
        <is>
          <t>Average Buff Multiplier</t>
        </is>
      </c>
      <c r="B3566">
        <f>(1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f>
        <v/>
      </c>
    </row>
    <row r="3567">
      <c r="A3567" t="inlineStr">
        <is>
          <t>Global Crit Rate Bonus %</t>
        </is>
      </c>
      <c r="B3567">
        <f>((C3554=TRUE)*F3554*IF(AND(Inputs!$B$39&lt;&gt;"pvp",Inputs!$B$44&gt;0),(((R3554-1)*(Skills!Y20*(1+Inputs!$B$34/100))+MIN((Skills!Y20*(1+Inputs!$B$34/100)),MAX(0,Inputs!$B$44-((R3554-1)*Skills!D20))))/Inputs!$B$44),IF(Inputs!$B$39="pvp",MIN((Skills!Y20*(1+Inputs!$B$34/100)),15)/15,(Skills!Y20*(1+Inputs!$B$34/100))/Skills!D20)))</f>
        <v/>
      </c>
    </row>
    <row r="3568">
      <c r="A3568" t="inlineStr">
        <is>
          <t>Global Monster Damage-Taken Bonus %</t>
        </is>
      </c>
      <c r="B3568">
        <f>IF(Inputs!$B$3&gt;=82,15,0)</f>
        <v/>
      </c>
    </row>
    <row r="3569">
      <c r="A3569" t="inlineStr">
        <is>
          <t>Shadow Partner Average Multiplier</t>
        </is>
      </c>
      <c r="B3569">
        <f>1+((C3541=TRUE)*F3541*(1+3.3333333333333335*IF(C3552=TRUE,F3552,0)/100)*I3541*Skills!J7/100)/100</f>
        <v/>
      </c>
    </row>
    <row r="3570">
      <c r="A3570" t="inlineStr">
        <is>
          <t>Attack Speed Buff Bonus %</t>
        </is>
      </c>
      <c r="B3570">
        <f>((C3553=TRUE)*F3553*IF(AND(Inputs!$B$39&lt;&gt;"pvp",Inputs!$B$44&gt;0),(((R3553-1)*(Skills!Y19*(1+Inputs!$B$34/100))+MIN((Skills!Y19*(1+Inputs!$B$34/100)),MAX(0,Inputs!$B$44-((R3553-1)*Skills!D19))))/Inputs!$B$44),IF(Inputs!$B$39="pvp",MIN((Skills!Y19*(1+Inputs!$B$34/100)),15)/15,(Skills!Y19*(1+Inputs!$B$34/100))/Skills!D19)))+((C3537=TRUE)*F3537*3)</f>
        <v/>
      </c>
    </row>
    <row r="3571">
      <c r="A3571" t="inlineStr">
        <is>
          <t>Actions Per Second</t>
        </is>
      </c>
      <c r="B3571">
        <f>1+MIN(150,150*(1-(1-(Inputs!$B$11+((C3556=TRUE)*(F3556-Calc!F22)))/150)*(1-B3570/150)))/100</f>
        <v/>
      </c>
    </row>
    <row r="3572">
      <c r="A3572" t="inlineStr">
        <is>
          <t>Skill + Buff Cast Rate</t>
        </is>
      </c>
      <c r="B3572">
        <f>IF(AND(Inputs!$B$39&lt;&gt;"pvp",Inputs!$B$44&gt;0),SUMPRODUCT((Skills!E2:E30=TRUE)*(C3536:C3564=TRUE)*R3536:R3564*Skills!F2:F30)/Inputs!$B$44,SUMPRODUCT((Skills!E2:E30=TRUE)*(C3536:C3564=TRUE)*Q3536:Q3564*Skills!F2:F30))</f>
        <v/>
      </c>
    </row>
    <row r="3573">
      <c r="A3573" t="inlineStr">
        <is>
          <t>Cruel Stab Casts Per Second</t>
        </is>
      </c>
      <c r="B3573">
        <f>MAX(0,B3571-B3572)</f>
        <v/>
      </c>
    </row>
    <row r="3574">
      <c r="A3574" t="inlineStr">
        <is>
          <t>Global Critical Damage Bonus % (Smokescreen Mastery Lv.113)</t>
        </is>
      </c>
      <c r="B3574">
        <f>IF(Inputs!$B$3&gt;=113,30,0)*IF(AND(Inputs!$B$39&lt;&gt;"pvp",Inputs!$B$44&gt;0),(((R3549-1)*(Skills!Y15*(1+Inputs!$B$34/100))+MIN((Skills!Y15*(1+Inputs!$B$34/100)),MAX(0,Inputs!$B$44-((R3549-1)*Skills!D15))))/Inputs!$B$44),IF(Inputs!$B$39="pvp",MIN((Skills!Y15*(1+Inputs!$B$34/100)),15)/15,(Skills!Y15*(1+Inputs!$B$34/100))/Skills!D15))</f>
        <v/>
      </c>
    </row>
    <row r="3575">
      <c r="A3575" t="inlineStr">
        <is>
          <t>Meso Explosion average stack count</t>
        </is>
      </c>
      <c r="B3575">
        <f>MIN(10,0.5*B3571*Skills!D4)</f>
        <v/>
      </c>
    </row>
    <row r="3576">
      <c r="A3576" t="inlineStr">
        <is>
          <t>Blood Money average stack count</t>
        </is>
      </c>
      <c r="B3576">
        <f>MIN(5,0.25*B3571*Skills!D4)</f>
        <v/>
      </c>
    </row>
    <row r="3577">
      <c r="A3577" t="inlineStr">
        <is>
          <t>Assassinate Murderous Intent Multiplier</t>
        </is>
      </c>
      <c r="B3577">
        <f>1+IFERROR(MIN(1,Q3548*2/Q3545),0)</f>
        <v/>
      </c>
    </row>
    <row r="3578">
      <c r="A3578" t="inlineStr">
        <is>
          <t>Buff-Casting Startup Delay (s, fixed-duration only)</t>
        </is>
      </c>
      <c r="B3578">
        <f>IF(AND(Inputs!$B$39&lt;&gt;"pvp",Inputs!$B$44&gt;0),SUMPRODUCT((Skills!Y2:Y30&gt;0)*(Skills!E2:E30=TRUE)*(C3536:C3564=TRUE))/B3571,0)</f>
        <v/>
      </c>
    </row>
    <row r="3579">
      <c r="A3579" s="6" t="inlineStr">
        <is>
          <t>TOTAL DPS</t>
        </is>
      </c>
      <c r="B3579" s="6">
        <f>SUM(O3536:O3564)</f>
        <v/>
      </c>
    </row>
    <row r="3580">
      <c r="A3580" t="inlineStr">
        <is>
          <t>Boss-Only Total DPS (this block's swept value)</t>
        </is>
      </c>
      <c r="B3580">
        <f>SUM(T3536:T3564)</f>
        <v/>
      </c>
    </row>
    <row r="3581">
      <c r="A3581" t="inlineStr">
        <is>
          <t>Normal-Only Total DPS (this block's swept value)</t>
        </is>
      </c>
      <c r="B3581">
        <f>SUM(V3536:V3564)</f>
        <v/>
      </c>
    </row>
    <row r="3584">
      <c r="A3584" s="6" t="inlineStr">
        <is>
          <t>Stat: CDR = 4.0s</t>
        </is>
      </c>
    </row>
    <row r="3585">
      <c r="A3585" s="5" t="inlineStr">
        <is>
          <t>Key</t>
        </is>
      </c>
      <c r="B3585" s="5" t="inlineStr">
        <is>
          <t>Name</t>
        </is>
      </c>
      <c r="C3585" s="5" t="inlineStr">
        <is>
          <t>Unlocked</t>
        </is>
      </c>
      <c r="D3585" s="5" t="inlineStr">
        <is>
          <t>InputLevel</t>
        </is>
      </c>
      <c r="E3585" s="5" t="inlineStr">
        <is>
          <t>Factor</t>
        </is>
      </c>
      <c r="F3585" s="5" t="inlineStr">
        <is>
          <t>CoefficientPercent</t>
        </is>
      </c>
      <c r="G3585" s="5" t="inlineStr">
        <is>
          <t>EffectiveHits</t>
        </is>
      </c>
      <c r="H3585" s="5" t="inlineStr">
        <is>
          <t>ProcProbability</t>
        </is>
      </c>
      <c r="I3585" s="5" t="inlineStr">
        <is>
          <t>MapleHeroMultiplier</t>
        </is>
      </c>
      <c r="J3585" s="5" t="inlineStr">
        <is>
          <t>BaseDamage</t>
        </is>
      </c>
      <c r="K3585" s="5" t="inlineStr">
        <is>
          <t>BaseHitDamage</t>
        </is>
      </c>
      <c r="L3585" s="5" t="inlineStr">
        <is>
          <t>NonCritAvg</t>
        </is>
      </c>
      <c r="M3585" s="5" t="inlineStr">
        <is>
          <t>CritAvg</t>
        </is>
      </c>
      <c r="N3585" s="5" t="inlineStr">
        <is>
          <t>ExpectedDamage(perHit)</t>
        </is>
      </c>
      <c r="O3585" s="5" t="inlineStr">
        <is>
          <t>DPS</t>
        </is>
      </c>
      <c r="P3585" s="5" t="inlineStr">
        <is>
          <t>% of Total</t>
        </is>
      </c>
      <c r="Q3585" s="5" t="inlineStr">
        <is>
          <t>InvCooldown</t>
        </is>
      </c>
      <c r="R3585" s="5" t="inlineStr">
        <is>
          <t>CastsInFight</t>
        </is>
      </c>
      <c r="S3585" s="5" t="inlineStr">
        <is>
          <t>HitRate(perSec)</t>
        </is>
      </c>
      <c r="U3585" t="inlineStr">
        <is>
          <t>helpers</t>
        </is>
      </c>
    </row>
    <row r="3586">
      <c r="A3586">
        <f>Skills!A2</f>
        <v/>
      </c>
      <c r="B3586">
        <f>Skills!B2</f>
        <v/>
      </c>
      <c r="C3586">
        <f>Inputs!$B$3&gt;=100</f>
        <v/>
      </c>
      <c r="D3586" t="inlineStr"/>
      <c r="E3586" t="inlineStr"/>
      <c r="F3586">
        <f>U3588+Skills!O2</f>
        <v/>
      </c>
      <c r="G3586">
        <f>Skills!G2*IF(Skills!H2&gt;0,Skills!I2/Skills!H2,1)</f>
        <v/>
      </c>
      <c r="H3586">
        <f>1-(1-Skills!J2/100)^Skills!K2</f>
        <v/>
      </c>
      <c r="I3586" t="inlineStr">
        <is>
          <t>1</t>
        </is>
      </c>
      <c r="J3586">
        <f>((Inputs!$B$6*(1+Inputs!$B$7/100))+(((Inputs!$B$12*(1+Inputs!$B$13/100))-(Inputs!$B$12*(1+Inputs!$B$13/100)))+0.25*(Inputs!$B$14-Inputs!$B$14))*(1+Inputs!$B$7/100))*(F3586/100)</f>
        <v/>
      </c>
      <c r="K3586">
        <f>J3586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3586)</f>
        <v/>
      </c>
      <c r="L3586">
        <f>K3586*(MIN(Inputs!$B$22+((C3608=TRUE)*(F3608-Calc!F24)),(Inputs!$B$23+((C3613=TRUE)*(F3613-Calc!F29))+IF(ArtifactsInput!$M$15,CHOOSE(ArtifactsInput!$N$15+1,25,30,35,40,45,50)/100*(Inputs!$B$11-Inputs!$B$11),0)))/100+(Inputs!$B$23+((C3613=TRUE)*(F3613-Calc!F29))+IF(ArtifactsInput!$M$15,CHOOSE(ArtifactsInput!$N$15+1,25,30,35,40,45,50)/100*(Inputs!$B$11-Inputs!$B$11),0))/100)/2</f>
        <v/>
      </c>
      <c r="M3586">
        <f>L3586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6">
        <f>L3586*(1-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3586*(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6">
        <f>(1-Summary!$B$11)*T3586+Summary!$B$11*V3586</f>
        <v/>
      </c>
      <c r="P3586">
        <f>IF(B3629=0,0,O3586/B3629)</f>
        <v/>
      </c>
      <c r="Q3586" t="n">
        <v>0</v>
      </c>
      <c r="R3586" t="n">
        <v>0</v>
      </c>
      <c r="S3586">
        <f>IFERROR(O3586/N3586,0)</f>
        <v/>
      </c>
      <c r="T3586">
        <f>IF(C3586,(Skills!G2*N3586*B3623)*IF(Inputs!$B$39="pvp",1,1+(Inputs!$B$20+0+Skills!P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3586*(1-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3586*(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3586*(1-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3586*(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6">
        <f>MAX(0,(Inputs!$B$3-100)*3)+Inputs!$B$28+Inputs!$B$29</f>
        <v/>
      </c>
      <c r="V3586">
        <f>IF(C3586,(Skills!G2*N3586*B3623)*IF(Inputs!$B$39="pvp",1,(1+(Inputs!$B$21+Skills!Q2+B3618+(IF(ArtifactsInput!$M$33,CHOOSE(ArtifactsInput!$N$33+1,30,36,42,48,54,60),0))+(IF(AND(ArtifactsInput!$M$35,Inputs!$B$4&lt;&gt;"Chapter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7">
      <c r="A3587">
        <f>Skills!A3</f>
        <v/>
      </c>
      <c r="B3587">
        <f>Skills!B3</f>
        <v/>
      </c>
      <c r="C3587">
        <f>Inputs!$B$3&gt;=35</f>
        <v/>
      </c>
      <c r="D3587">
        <f>IF(Skills!C3=1,60+Inputs!$B$25+Inputs!$B$29,IF(Skills!C3=2,90+Inputs!$B$26+Inputs!$B$29,IF(Skills!C3=3,120+Inputs!$B$27+Inputs!$B$29,MAX(0,(Inputs!$B$3-100)*3)+Inputs!$B$28+Inputs!$B$29)))</f>
        <v/>
      </c>
      <c r="E3587">
        <f>INDEX(FactorTable!$B$2:$Y$301, MATCH(ROUND(MIN(300,MAX(1,D3587)),0), FactorTable!$A$2:$A$301,0), Skills!M3+1)</f>
        <v/>
      </c>
      <c r="F3587">
        <f>IF(Skills!N3=TRUE,(Skills!L3/10)*(E3587/1000),Skills!L3/10)+Skills!O3</f>
        <v/>
      </c>
      <c r="G3587">
        <f>Skills!G3*IF(Skills!H3&gt;0,Skills!I3/Skills!H3,1)</f>
        <v/>
      </c>
      <c r="H3587">
        <f>1-(1-Skills!J3/100)^Skills!K3</f>
        <v/>
      </c>
      <c r="I3587" t="inlineStr">
        <is>
          <t>1</t>
        </is>
      </c>
      <c r="J3587" t="inlineStr"/>
      <c r="K3587" t="inlineStr"/>
      <c r="L3587" t="inlineStr"/>
      <c r="M3587" t="inlineStr"/>
      <c r="N3587" t="inlineStr"/>
      <c r="O3587">
        <f>(1-Summary!$B$11)*T3587+Summary!$B$11*V3587</f>
        <v/>
      </c>
      <c r="P3587">
        <f>IF(B3629=0,0,O3587/B3629)</f>
        <v/>
      </c>
      <c r="Q3587" t="n">
        <v>0</v>
      </c>
      <c r="R3587" t="n">
        <v>0</v>
      </c>
      <c r="S3587">
        <f>IFERROR(O3587/N3587,0)</f>
        <v/>
      </c>
      <c r="T3587" t="n">
        <v>0</v>
      </c>
      <c r="U3587">
        <f>INDEX(FactorTable!$B$2:$Y$301, MATCH(ROUND(MIN(300,MAX(1,U3586)),0), FactorTable!$A$2:$A$301,0), 22)</f>
        <v/>
      </c>
      <c r="V3587" t="n">
        <v>0</v>
      </c>
    </row>
    <row r="3588">
      <c r="A3588">
        <f>Skills!A4</f>
        <v/>
      </c>
      <c r="B3588">
        <f>Skills!B4</f>
        <v/>
      </c>
      <c r="C3588">
        <f>Inputs!$B$3&gt;=66</f>
        <v/>
      </c>
      <c r="D3588">
        <f>IF(Skills!C4=1,60+Inputs!$B$25+Inputs!$B$29,IF(Skills!C4=2,90+Inputs!$B$26+Inputs!$B$29,IF(Skills!C4=3,120+Inputs!$B$27+Inputs!$B$29,MAX(0,(Inputs!$B$3-100)*3)+Inputs!$B$28+Inputs!$B$29)))</f>
        <v/>
      </c>
      <c r="E3588">
        <f>INDEX(FactorTable!$B$2:$Y$301, MATCH(ROUND(MIN(300,MAX(1,D3588)),0), FactorTable!$A$2:$A$301,0), Skills!M4+1)</f>
        <v/>
      </c>
      <c r="F3588">
        <f>IF(Skills!N4=TRUE,(Skills!L4/10)*(E3588/1000),Skills!L4/10)+Skills!O4</f>
        <v/>
      </c>
      <c r="G3588">
        <f>Skills!G4*IF(Skills!H4&gt;0,Skills!I4/Skills!H4,1)</f>
        <v/>
      </c>
      <c r="H3588">
        <f>1-(1-Skills!J4/100)^Skills!K4</f>
        <v/>
      </c>
      <c r="I3588" t="inlineStr">
        <is>
          <t>1</t>
        </is>
      </c>
      <c r="J3588">
        <f>((Inputs!$B$6*(1+Inputs!$B$7/100))+(((Inputs!$B$12*(1+Inputs!$B$13/100))-(Inputs!$B$12*(1+Inputs!$B$13/100)))+0.25*(Inputs!$B$14-Inputs!$B$14))*(1+Inputs!$B$7/100))*(F3588/100)</f>
        <v/>
      </c>
      <c r="K3588">
        <f>J3588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3588)</f>
        <v/>
      </c>
      <c r="L3588">
        <f>K3588*(MIN(Inputs!$B$22+((C3608=TRUE)*(F3608-Calc!F24)),(Inputs!$B$23+((C3613=TRUE)*(F3613-Calc!F29))+IF(ArtifactsInput!$M$15,CHOOSE(ArtifactsInput!$N$15+1,25,30,35,40,45,50)/100*(Inputs!$B$11-Inputs!$B$11),0)))/100+(Inputs!$B$23+((C3613=TRUE)*(F3613-Calc!F29))+IF(ArtifactsInput!$M$15,CHOOSE(ArtifactsInput!$N$15+1,25,30,35,40,45,50)/100*(Inputs!$B$11-Inputs!$B$11),0))/100)/2</f>
        <v/>
      </c>
      <c r="M3588">
        <f>L3588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8">
        <f>L3588*(1-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3588*(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8">
        <f>(1-Summary!$B$11)*T3588+Summary!$B$11*V3588</f>
        <v/>
      </c>
      <c r="P3588">
        <f>IF(B3629=0,0,O3588/B3629)</f>
        <v/>
      </c>
      <c r="Q3588">
        <f>IFERROR(1/IF(Inputs!$B$39="pvp",15,MAX(0.1,Skills!D4-IF(Skills!E4=TRUE,4.0,0))),0)</f>
        <v/>
      </c>
      <c r="R3588">
        <f>IF(AND(Inputs!$B$39&lt;&gt;"pvp",Inputs!$B$44&gt;0),IF(MAX(0,Inputs!$B$44-B3628)&lt;=0,0,(INT(MAX(0,Inputs!$B$44-B3628)/IF(Inputs!$B$39="pvp",15,MAX(0.1,Skills!D4-IF(Skills!E4=TRUE,4.0,0))))+1)),0)</f>
        <v/>
      </c>
      <c r="S3588">
        <f>IFERROR(O3588/N3588,0)</f>
        <v/>
      </c>
      <c r="T3588">
        <f>IF(C3588,(H3588*N3588*IF(AND(Inputs!$B$39&lt;&gt;"pvp",Inputs!$B$44&gt;0),((Skills!G4*((R3588-1)*IF(Skills!H4&gt;0,Skills!I4/Skills!H4,1)+IF(Skills!H4&gt;0,MIN(Skills!I4,MAX(0,MAX(0,Inputs!$B$44-B3628)-((R3588-1)*IF(Inputs!$B$39="pvp",15,MAX(0.1,Skills!D4-IF(Skills!E4=TRUE,4.0,0))))))/Skills!H4,1)))/Inputs!$B$44),G3588*Q3588))*IF(Inputs!$B$39="pvp",1,1+(Inputs!$B$20+0+Skills!P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3588*(1-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3588*(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3588*(1-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3588*(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8">
        <f>290*U3587/1000</f>
        <v/>
      </c>
      <c r="V3588">
        <f>IF(C3588,(H3588*N3588*IF(AND(Inputs!$B$39&lt;&gt;"pvp",Inputs!$B$44&gt;0),((Skills!G4*((R3588-1)*IF(Skills!H4&gt;0,Skills!I4/Skills!H4,1)+IF(Skills!H4&gt;0,MIN(Skills!I4,MAX(0,MAX(0,Inputs!$B$44-B3628)-((R3588-1)*IF(Inputs!$B$39="pvp",15,MAX(0.1,Skills!D4-IF(Skills!E4=TRUE,4.0,0))))))/Skills!H4,1)))/Inputs!$B$44),G3588*Q3588))*IF(Inputs!$B$39="pvp",1,(1+(Inputs!$B$21+Skills!Q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(10,0.5*B3621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9">
      <c r="A3589">
        <f>Skills!A5</f>
        <v/>
      </c>
      <c r="B3589">
        <f>Skills!B5</f>
        <v/>
      </c>
      <c r="C3589">
        <f>Inputs!$B$3&gt;=63</f>
        <v/>
      </c>
      <c r="D3589">
        <f>IF(Skills!C5=1,60+Inputs!$B$25+Inputs!$B$29,IF(Skills!C5=2,90+Inputs!$B$26+Inputs!$B$29,IF(Skills!C5=3,120+Inputs!$B$27+Inputs!$B$29,MAX(0,(Inputs!$B$3-100)*3)+Inputs!$B$28+Inputs!$B$29)))</f>
        <v/>
      </c>
      <c r="E3589">
        <f>INDEX(FactorTable!$B$2:$Y$301, MATCH(ROUND(MIN(300,MAX(1,D3589)),0), FactorTable!$A$2:$A$301,0), Skills!M5+1)</f>
        <v/>
      </c>
      <c r="F3589">
        <f>IF(Skills!N5=TRUE,(Skills!L5/10)*(E3589/1000),Skills!L5/10)+Skills!O5</f>
        <v/>
      </c>
      <c r="G3589">
        <f>Skills!G5*IF(Skills!H5&gt;0,Skills!I5/Skills!H5,1)</f>
        <v/>
      </c>
      <c r="H3589">
        <f>1-(1-Skills!J5/100)^Skills!K5</f>
        <v/>
      </c>
      <c r="I3589" t="inlineStr">
        <is>
          <t>1</t>
        </is>
      </c>
      <c r="J3589">
        <f>((Inputs!$B$6*(1+Inputs!$B$7/100))+(((Inputs!$B$12*(1+Inputs!$B$13/100))-(Inputs!$B$12*(1+Inputs!$B$13/100)))+0.25*(Inputs!$B$14-Inputs!$B$14))*(1+Inputs!$B$7/100))*(F3589/100)</f>
        <v/>
      </c>
      <c r="K3589">
        <f>J3589*(1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3602=TRUE,F3602,0)/100)*(1+(IF(Skills!A5="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3589)</f>
        <v/>
      </c>
      <c r="L3589">
        <f>K3589*(MIN(Inputs!$B$22+((C3608=TRUE)*(F3608-Calc!F24)),(Inputs!$B$23+((C3613=TRUE)*(F3613-Calc!F29))+IF(ArtifactsInput!$M$15,CHOOSE(ArtifactsInput!$N$15+1,25,30,35,40,45,50)/100*(Inputs!$B$11-Inputs!$B$11),0)))/100+(Inputs!$B$23+((C3613=TRUE)*(F3613-Calc!F29))+IF(ArtifactsInput!$M$15,CHOOSE(ArtifactsInput!$N$15+1,25,30,35,40,45,50)/100*(Inputs!$B$11-Inputs!$B$11),0))/100)/2</f>
        <v/>
      </c>
      <c r="M3589">
        <f>L3589*(1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9">
        <f>L3589*(1-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3589*(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9">
        <f>(1-Summary!$B$11)*T3589+Summary!$B$11*V3589</f>
        <v/>
      </c>
      <c r="P3589">
        <f>IF(B3629=0,0,O3589/B3629)</f>
        <v/>
      </c>
      <c r="Q3589">
        <f>IFERROR(1/IF(Inputs!$B$39="pvp",15,MAX(0.1,Skills!D5-IF(Skills!E5=TRUE,4.0,0))),0)</f>
        <v/>
      </c>
      <c r="R3589">
        <f>IF(AND(Inputs!$B$39&lt;&gt;"pvp",Inputs!$B$44&gt;0),IF(MAX(0,Inputs!$B$44-B3628)&lt;=0,0,(INT(MAX(0,Inputs!$B$44-B3628)/IF(Inputs!$B$39="pvp",15,MAX(0.1,Skills!D5-IF(Skills!E5=TRUE,4.0,0))))+1)),0)</f>
        <v/>
      </c>
      <c r="S3589">
        <f>IFERROR(O3589/N3589,0)</f>
        <v/>
      </c>
      <c r="T3589">
        <f>IF(C3589,(H3589*N3589*IF(AND(Inputs!$B$39&lt;&gt;"pvp",Inputs!$B$44&gt;0),((Skills!G5*((R3589-1)*IF(Skills!H5&gt;0,Skills!I5/Skills!H5,1)+IF(Skills!H5&gt;0,MIN(Skills!I5,MAX(0,MAX(0,Inputs!$B$44-B3628)-((R3589-1)*IF(Inputs!$B$39="pvp",15,MAX(0.1,Skills!D5-IF(Skills!E5=TRUE,4.0,0))))))/Skills!H5,1)))/Inputs!$B$44),G3589*Q3589))*IF(Inputs!$B$39="pvp",1,1+(Inputs!$B$20+0+Skills!P5+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3589*(1-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3589*(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3589*(1-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3589*(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9">
        <f>IF(C3589,(H3589*N3589*IF(AND(Inputs!$B$39&lt;&gt;"pvp",Inputs!$B$44&gt;0),((Skills!G5*((R3589-1)*IF(Skills!H5&gt;0,Skills!I5/Skills!H5,1)+IF(Skills!H5&gt;0,MIN(Skills!I5,MAX(0,MAX(0,Inputs!$B$44-B3628)-((R3589-1)*IF(Inputs!$B$39="pvp",15,MAX(0.1,Skills!D5-IF(Skills!E5=TRUE,4.0,0))))))/Skills!H5,1)))/Inputs!$B$44),G3589*Q3589))*IF(Inputs!$B$39="pvp",1,(1+(Inputs!$B$21+Skills!Q5+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0">
      <c r="A3590">
        <f>Skills!A6</f>
        <v/>
      </c>
      <c r="B3590">
        <f>Skills!B6</f>
        <v/>
      </c>
      <c r="C3590">
        <f>Inputs!$B$3&gt;=69</f>
        <v/>
      </c>
      <c r="D3590">
        <f>IF(Skills!C6=1,60+Inputs!$B$25+Inputs!$B$29,IF(Skills!C6=2,90+Inputs!$B$26+Inputs!$B$29,IF(Skills!C6=3,120+Inputs!$B$27+Inputs!$B$29,MAX(0,(Inputs!$B$3-100)*3)+Inputs!$B$28+Inputs!$B$29)))</f>
        <v/>
      </c>
      <c r="E3590">
        <f>INDEX(FactorTable!$B$2:$Y$301, MATCH(ROUND(MIN(300,MAX(1,D3590)),0), FactorTable!$A$2:$A$301,0), Skills!M6+1)</f>
        <v/>
      </c>
      <c r="F3590">
        <f>IF(Skills!N6=TRUE,(Skills!L6/10)*(E3590/1000),Skills!L6/10)+Skills!O6</f>
        <v/>
      </c>
      <c r="G3590">
        <f>Skills!G6*IF(Skills!H6&gt;0,Skills!I6/Skills!H6,1)</f>
        <v/>
      </c>
      <c r="H3590">
        <f>1-(1-Skills!J6/100)^Skills!K6</f>
        <v/>
      </c>
      <c r="I3590" t="inlineStr">
        <is>
          <t>1</t>
        </is>
      </c>
      <c r="J3590">
        <f>((Inputs!$B$6*(1+Inputs!$B$7/100))+(((Inputs!$B$12*(1+Inputs!$B$13/100))-(Inputs!$B$12*(1+Inputs!$B$13/100)))+0.25*(Inputs!$B$14-Inputs!$B$14))*(1+Inputs!$B$7/100))*(F3590/100)</f>
        <v/>
      </c>
      <c r="K3590">
        <f>J3590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3602=TRUE,F3602,0)/100)*(1+(IF(Skills!A6="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3590)</f>
        <v/>
      </c>
      <c r="L3590">
        <f>K3590*(MIN(Inputs!$B$22+((C3608=TRUE)*(F3608-Calc!F24)),(Inputs!$B$23+((C3613=TRUE)*(F3613-Calc!F29))+IF(ArtifactsInput!$M$15,CHOOSE(ArtifactsInput!$N$15+1,25,30,35,40,45,50)/100*(Inputs!$B$11-Inputs!$B$11),0)))/100+(Inputs!$B$23+((C3613=TRUE)*(F3613-Calc!F29))+IF(ArtifactsInput!$M$15,CHOOSE(ArtifactsInput!$N$15+1,25,30,35,40,45,50)/100*(Inputs!$B$11-Inputs!$B$11),0))/100)/2</f>
        <v/>
      </c>
      <c r="M3590">
        <f>L3590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0">
        <f>L3590*(1-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3590*(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0">
        <f>(1-Summary!$B$11)*T3590+Summary!$B$11*V3590</f>
        <v/>
      </c>
      <c r="P3590">
        <f>IF(B3629=0,0,O3590/B3629)</f>
        <v/>
      </c>
      <c r="Q3590">
        <f>IFERROR(1/IF(Inputs!$B$39="pvp",15,MAX(0.1,Skills!D6-IF(Skills!E6=TRUE,4.0,0))),0)</f>
        <v/>
      </c>
      <c r="R3590">
        <f>IF(AND(Inputs!$B$39&lt;&gt;"pvp",Inputs!$B$44&gt;0),IF(MAX(0,Inputs!$B$44-B3628)&lt;=0,0,(INT(MAX(0,Inputs!$B$44-B3628)/IF(Inputs!$B$39="pvp",15,MAX(0.1,Skills!D6-IF(Skills!E6=TRUE,4.0,0))))+1)),0)</f>
        <v/>
      </c>
      <c r="S3590">
        <f>IFERROR(O3590/N3590,0)</f>
        <v/>
      </c>
      <c r="T3590">
        <f>IF(C3590,(H3590*N3590*IF(AND(Inputs!$B$39&lt;&gt;"pvp",Inputs!$B$44&gt;0),((Skills!G6*((R3590-1)*IF(Skills!H6&gt;0,Skills!I6/Skills!H6,1)+IF(Skills!H6&gt;0,MIN(Skills!I6,MAX(0,MAX(0,Inputs!$B$44-B3628)-((R3590-1)*IF(Inputs!$B$39="pvp",15,MAX(0.1,Skills!D6-IF(Skills!E6=TRUE,4.0,0))))))/Skills!H6,1)))/Inputs!$B$44),G3590*Q3590))*IF(Inputs!$B$39="pvp",1,1+(Inputs!$B$20+0+Skills!P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3590*(1-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3590*(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3590*(1-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3590*(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0">
        <f>IF(C3590,(H3590*N3590*IF(AND(Inputs!$B$39&lt;&gt;"pvp",Inputs!$B$44&gt;0),((Skills!G6*((R3590-1)*IF(Skills!H6&gt;0,Skills!I6/Skills!H6,1)+IF(Skills!H6&gt;0,MIN(Skills!I6,MAX(0,MAX(0,Inputs!$B$44-B3628)-((R3590-1)*IF(Inputs!$B$39="pvp",15,MAX(0.1,Skills!D6-IF(Skills!E6=TRUE,4.0,0))))))/Skills!H6,1)))/Inputs!$B$44),G3590*Q3590))*IF(Inputs!$B$39="pvp",1,(1+(Inputs!$B$21+Skills!Q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1">
      <c r="A3591">
        <f>Skills!A7</f>
        <v/>
      </c>
      <c r="B3591">
        <f>Skills!B7</f>
        <v/>
      </c>
      <c r="C3591">
        <f>Inputs!$B$3&gt;=60</f>
        <v/>
      </c>
      <c r="D3591">
        <f>IF(Skills!C7=1,60+Inputs!$B$25+Inputs!$B$29,IF(Skills!C7=2,90+Inputs!$B$26+Inputs!$B$29,IF(Skills!C7=3,120+Inputs!$B$27+Inputs!$B$29,MAX(0,(Inputs!$B$3-100)*3)+Inputs!$B$28+Inputs!$B$29)))</f>
        <v/>
      </c>
      <c r="E3591">
        <f>INDEX(FactorTable!$B$2:$Y$301, MATCH(ROUND(MIN(300,MAX(1,D3591)),0), FactorTable!$A$2:$A$301,0), Skills!M7+1)</f>
        <v/>
      </c>
      <c r="F3591">
        <f>IF(Skills!N7=TRUE,(Skills!L7/10)*(E3591/1000),Skills!L7/10)+Skills!O7</f>
        <v/>
      </c>
      <c r="G3591">
        <f>Skills!G7*IF(Skills!H7&gt;0,Skills!I7/Skills!H7,1)</f>
        <v/>
      </c>
      <c r="H3591">
        <f>1-(1-Skills!J7/100)^Skills!K7</f>
        <v/>
      </c>
      <c r="I3591" t="inlineStr">
        <is>
          <t>1</t>
        </is>
      </c>
      <c r="J3591" t="inlineStr"/>
      <c r="K3591" t="inlineStr"/>
      <c r="L3591" t="inlineStr"/>
      <c r="M3591" t="inlineStr"/>
      <c r="N3591" t="inlineStr"/>
      <c r="O3591">
        <f>(1-Summary!$B$11)*T3591+Summary!$B$11*V3591</f>
        <v/>
      </c>
      <c r="P3591">
        <f>IF(B3629=0,0,O3591/B3629)</f>
        <v/>
      </c>
      <c r="Q3591" t="n">
        <v>0</v>
      </c>
      <c r="R3591" t="n">
        <v>0</v>
      </c>
      <c r="S3591">
        <f>IFERROR(O3591/N3591,0)</f>
        <v/>
      </c>
      <c r="T3591" t="n">
        <v>0</v>
      </c>
      <c r="V3591" t="n">
        <v>0</v>
      </c>
    </row>
    <row r="3592">
      <c r="A3592">
        <f>Skills!A8</f>
        <v/>
      </c>
      <c r="B3592">
        <f>Skills!B8</f>
        <v/>
      </c>
      <c r="C3592">
        <f>Inputs!$B$3&gt;=72</f>
        <v/>
      </c>
      <c r="D3592">
        <f>IF(Skills!C8=1,60+Inputs!$B$25+Inputs!$B$29,IF(Skills!C8=2,90+Inputs!$B$26+Inputs!$B$29,IF(Skills!C8=3,120+Inputs!$B$27+Inputs!$B$29,MAX(0,(Inputs!$B$3-100)*3)+Inputs!$B$28+Inputs!$B$29)))</f>
        <v/>
      </c>
      <c r="E3592">
        <f>INDEX(FactorTable!$B$2:$Y$301, MATCH(ROUND(MIN(300,MAX(1,D3592)),0), FactorTable!$A$2:$A$301,0), Skills!M8+1)</f>
        <v/>
      </c>
      <c r="F3592">
        <f>IF(Skills!N8=TRUE,(Skills!L8/10)*(E3592/1000),Skills!L8/10)+Skills!O8</f>
        <v/>
      </c>
      <c r="G3592">
        <f>Skills!G8*IF(Skills!H8&gt;0,Skills!I8/Skills!H8,1)</f>
        <v/>
      </c>
      <c r="H3592">
        <f>1-(1-Skills!J8/100)^Skills!K8</f>
        <v/>
      </c>
      <c r="I3592" t="inlineStr">
        <is>
          <t>1</t>
        </is>
      </c>
      <c r="J3592">
        <f>((Inputs!$B$6*(1+Inputs!$B$7/100))+(((Inputs!$B$12*(1+Inputs!$B$13/100))-(Inputs!$B$12*(1+Inputs!$B$13/100)))+0.25*(Inputs!$B$14-Inputs!$B$14))*(1+Inputs!$B$7/100))*(F3592/100)</f>
        <v/>
      </c>
      <c r="K3592">
        <f>J3592*(1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3602=TRUE,F3602,0)/100)*(1+(IF(Skills!A8="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3592)</f>
        <v/>
      </c>
      <c r="L3592">
        <f>K3592*(MIN(Inputs!$B$22+((C3608=TRUE)*(F3608-Calc!F24)),(Inputs!$B$23+((C3613=TRUE)*(F3613-Calc!F29))+IF(ArtifactsInput!$M$15,CHOOSE(ArtifactsInput!$N$15+1,25,30,35,40,45,50)/100*(Inputs!$B$11-Inputs!$B$11),0)))/100+(Inputs!$B$23+((C3613=TRUE)*(F3613-Calc!F29))+IF(ArtifactsInput!$M$15,CHOOSE(ArtifactsInput!$N$15+1,25,30,35,40,45,50)/100*(Inputs!$B$11-Inputs!$B$11),0))/100)/2</f>
        <v/>
      </c>
      <c r="M3592">
        <f>L3592*(1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2">
        <f>L3592*(1-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3592*(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2">
        <f>(1-Summary!$B$11)*T3592+Summary!$B$11*V3592</f>
        <v/>
      </c>
      <c r="P3592">
        <f>IF(B3629=0,0,O3592/B3629)</f>
        <v/>
      </c>
      <c r="Q3592">
        <f>IFERROR(1/IF(Inputs!$B$39="pvp",15,MAX(0.1,Skills!D8-IF(Skills!E8=TRUE,4.0,0))),0)</f>
        <v/>
      </c>
      <c r="R3592">
        <f>IF(AND(Inputs!$B$39&lt;&gt;"pvp",Inputs!$B$44&gt;0),IF(MAX(0,Inputs!$B$44-B3628)&lt;=0,0,(INT(MAX(0,Inputs!$B$44-B3628)/IF(Inputs!$B$39="pvp",15,MAX(0.1,Skills!D8-IF(Skills!E8=TRUE,4.0,0))))+1)),0)</f>
        <v/>
      </c>
      <c r="S3592">
        <f>IFERROR(O3592/N3592,0)</f>
        <v/>
      </c>
      <c r="T3592">
        <f>IF(C3592,(H3592*N3592*IF(AND(Inputs!$B$39&lt;&gt;"pvp",Inputs!$B$44&gt;0),((Skills!G8*((R3592-1)*IF(Skills!H8&gt;0,Skills!I8/Skills!H8,1)+IF(Skills!H8&gt;0,MIN(Skills!I8,MAX(0,MAX(0,Inputs!$B$44-B3628)-((R3592-1)*IF(Inputs!$B$39="pvp",15,MAX(0.1,Skills!D8-IF(Skills!E8=TRUE,4.0,0))))))/Skills!H8,1)))/Inputs!$B$44),G3592*Q3592))*IF(Inputs!$B$39="pvp",1,1+(Inputs!$B$20+0+Skills!P8+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3592*(1-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3592*(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3592*(1-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3592*(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2">
        <f>IF(C3592,(H3592*N3592*IF(AND(Inputs!$B$39&lt;&gt;"pvp",Inputs!$B$44&gt;0),((Skills!G8*((R3592-1)*IF(Skills!H8&gt;0,Skills!I8/Skills!H8,1)+IF(Skills!H8&gt;0,MIN(Skills!I8,MAX(0,MAX(0,Inputs!$B$44-B3628)-((R3592-1)*IF(Inputs!$B$39="pvp",15,MAX(0.1,Skills!D8-IF(Skills!E8=TRUE,4.0,0))))))/Skills!H8,1)))/Inputs!$B$44),G3592*Q3592))*IF(Inputs!$B$39="pvp",1,(1+(Inputs!$B$21+Skills!Q8+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3">
      <c r="A3593">
        <f>Skills!A9</f>
        <v/>
      </c>
      <c r="B3593">
        <f>Skills!B9</f>
        <v/>
      </c>
      <c r="C3593">
        <f>Inputs!$B$3&gt;=117</f>
        <v/>
      </c>
      <c r="D3593">
        <f>IF(Skills!C9=1,60+Inputs!$B$25+Inputs!$B$29,IF(Skills!C9=2,90+Inputs!$B$26+Inputs!$B$29,IF(Skills!C9=3,120+Inputs!$B$27+Inputs!$B$29,MAX(0,(Inputs!$B$3-100)*3)+Inputs!$B$28+Inputs!$B$29)))</f>
        <v/>
      </c>
      <c r="E3593">
        <f>INDEX(FactorTable!$B$2:$Y$301, MATCH(ROUND(MIN(300,MAX(1,D3593)),0), FactorTable!$A$2:$A$301,0), Skills!M9+1)</f>
        <v/>
      </c>
      <c r="F3593">
        <f>IF(Skills!N9=TRUE,(Skills!L9/10)*(E3593/1000),Skills!L9/10)+Skills!O9</f>
        <v/>
      </c>
      <c r="G3593">
        <f>Skills!G9*IF(Skills!H9&gt;0,Skills!I9/Skills!H9,1)</f>
        <v/>
      </c>
      <c r="H3593">
        <f>1-(1-Skills!J9/100)^Skills!K9</f>
        <v/>
      </c>
      <c r="I3593" t="inlineStr">
        <is>
          <t>1</t>
        </is>
      </c>
      <c r="J3593">
        <f>((Inputs!$B$6*(1+Inputs!$B$7/100))+(((Inputs!$B$12*(1+Inputs!$B$13/100))-(Inputs!$B$12*(1+Inputs!$B$13/100)))+0.25*(Inputs!$B$14-Inputs!$B$14))*(1+Inputs!$B$7/100))*(F3593/100)</f>
        <v/>
      </c>
      <c r="K3593">
        <f>J3593*(1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3593)</f>
        <v/>
      </c>
      <c r="L3593">
        <f>K3593*(MIN(Inputs!$B$22+((C3608=TRUE)*(F3608-Calc!F24)),(Inputs!$B$23+((C3613=TRUE)*(F3613-Calc!F29))+IF(ArtifactsInput!$M$15,CHOOSE(ArtifactsInput!$N$15+1,25,30,35,40,45,50)/100*(Inputs!$B$11-Inputs!$B$11),0)))/100+(Inputs!$B$23+((C3613=TRUE)*(F3613-Calc!F29))+IF(ArtifactsInput!$M$15,CHOOSE(ArtifactsInput!$N$15+1,25,30,35,40,45,50)/100*(Inputs!$B$11-Inputs!$B$11),0))/100)/2</f>
        <v/>
      </c>
      <c r="M3593">
        <f>L3593*(1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3">
        <f>L3593*(1-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3593*(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3">
        <f>(1-Summary!$B$11)*T3593+Summary!$B$11*V3593</f>
        <v/>
      </c>
      <c r="P3593">
        <f>IF(B3629=0,0,O3593/B3629)</f>
        <v/>
      </c>
      <c r="Q3593" t="n">
        <v>0</v>
      </c>
      <c r="R3593" t="n">
        <v>0</v>
      </c>
      <c r="S3593" t="n">
        <v>0</v>
      </c>
      <c r="T3593">
        <f>IF(C3593,(0.2*SUMPRODUCT((Skills!Z2:Z30=TRUE)*(C3586:C3614=TRUE)*S3586:S3614)*N3593)*IF(Inputs!$B$39="pvp",1,1+(Inputs!$B$20+0+Skills!P9+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3593*(1-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3593*(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3593*(1-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3593*(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3">
        <f>IF(C3593,(0.2*SUMPRODUCT((Skills!Z2:Z30=TRUE)*(C3586:C3614=TRUE)*S3586:S3614)*N3593)*IF(Inputs!$B$39="pvp",1,(1+(Inputs!$B$21+Skills!Q9+B3618+(IF(ArtifactsInput!$M$33,CHOOSE(ArtifactsInput!$N$33+1,30,36,42,48,54,60),0))+(IF(AND(ArtifactsInput!$M$35,Inputs!$B$4&lt;&gt;"Chapter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4">
      <c r="A3594">
        <f>Skills!A10</f>
        <v/>
      </c>
      <c r="B3594">
        <f>Skills!B10</f>
        <v/>
      </c>
      <c r="C3594">
        <f>Inputs!$B$3&gt;=74</f>
        <v/>
      </c>
      <c r="D3594">
        <f>IF(Skills!C10=1,60+Inputs!$B$25+Inputs!$B$29,IF(Skills!C10=2,90+Inputs!$B$26+Inputs!$B$29,IF(Skills!C10=3,120+Inputs!$B$27+Inputs!$B$29,MAX(0,(Inputs!$B$3-100)*3)+Inputs!$B$28+Inputs!$B$29)))</f>
        <v/>
      </c>
      <c r="E3594">
        <f>INDEX(FactorTable!$B$2:$Y$301, MATCH(ROUND(MIN(300,MAX(1,D3594)),0), FactorTable!$A$2:$A$301,0), Skills!M10+1)</f>
        <v/>
      </c>
      <c r="F3594">
        <f>IF(Skills!N10=TRUE,(Skills!L10/10)*(E3594/1000),Skills!L10/10)+Skills!O10</f>
        <v/>
      </c>
      <c r="G3594">
        <f>Skills!G10*IF(Skills!H10&gt;0,Skills!I10/Skills!H10,1)</f>
        <v/>
      </c>
      <c r="H3594">
        <f>1-(1-Skills!J10/100)^Skills!K10</f>
        <v/>
      </c>
      <c r="I3594" t="inlineStr">
        <is>
          <t>1</t>
        </is>
      </c>
      <c r="J3594" t="inlineStr"/>
      <c r="K3594" t="inlineStr"/>
      <c r="L3594" t="inlineStr"/>
      <c r="M3594" t="inlineStr"/>
      <c r="N3594" t="inlineStr"/>
      <c r="O3594">
        <f>(1-Summary!$B$11)*T3594+Summary!$B$11*V3594</f>
        <v/>
      </c>
      <c r="P3594">
        <f>IF(B3629=0,0,O3594/B3629)</f>
        <v/>
      </c>
      <c r="Q3594">
        <f>IFERROR(1/IF(Inputs!$B$39="pvp",15,MAX(0.1,Skills!D10-IF(Skills!E10=TRUE,4.0,0))),0)</f>
        <v/>
      </c>
      <c r="R3594">
        <f>IF(AND(Inputs!$B$39&lt;&gt;"pvp",Inputs!$B$44&gt;0),IF(Inputs!$B$44&lt;=0,0,(INT(Inputs!$B$44/IF(Inputs!$B$39="pvp",15,MAX(0.1,Skills!D10-IF(Skills!E10=TRUE,4.0,0))))+1)),0)</f>
        <v/>
      </c>
      <c r="S3594">
        <f>IFERROR(O3594/N3594,0)</f>
        <v/>
      </c>
      <c r="T3594" t="n">
        <v>0</v>
      </c>
      <c r="V3594" t="n">
        <v>0</v>
      </c>
    </row>
    <row r="3595">
      <c r="A3595">
        <f>Skills!A11</f>
        <v/>
      </c>
      <c r="B3595">
        <f>Skills!B11</f>
        <v/>
      </c>
      <c r="C3595">
        <f>Inputs!$B$3&gt;=103</f>
        <v/>
      </c>
      <c r="D3595">
        <f>IF(Skills!C11=1,60+Inputs!$B$25+Inputs!$B$29,IF(Skills!C11=2,90+Inputs!$B$26+Inputs!$B$29,IF(Skills!C11=3,120+Inputs!$B$27+Inputs!$B$29,MAX(0,(Inputs!$B$3-100)*3)+Inputs!$B$28+Inputs!$B$29)))</f>
        <v/>
      </c>
      <c r="E3595">
        <f>INDEX(FactorTable!$B$2:$Y$301, MATCH(ROUND(MIN(300,MAX(1,D3595)),0), FactorTable!$A$2:$A$301,0), Skills!M11+1)</f>
        <v/>
      </c>
      <c r="F3595">
        <f>(Skills!L11/10)*(E3595/1000)+IF(Inputs!$B$3&gt;=134,50,0)+0.5*(30000/10)*(INDEX(FactorTable!$B$2:$Y$301, MATCH(ROUND(MIN(300,MAX(1,D3595)),0), FactorTable!$A$2:$A$301,0), 13)/1000)*B3627</f>
        <v/>
      </c>
      <c r="G3595">
        <f>Skills!G11*IF(Skills!H11&gt;0,Skills!I11/Skills!H11,1)</f>
        <v/>
      </c>
      <c r="H3595">
        <f>1-(1-Skills!J11/100)^Skills!K11</f>
        <v/>
      </c>
      <c r="I3595" t="inlineStr">
        <is>
          <t>1</t>
        </is>
      </c>
      <c r="J3595">
        <f>((Inputs!$B$6*(1+Inputs!$B$7/100))+(((Inputs!$B$12*(1+Inputs!$B$13/100))-(Inputs!$B$12*(1+Inputs!$B$13/100)))+0.25*(Inputs!$B$14-Inputs!$B$14))*(1+Inputs!$B$7/100))*(F3595/100)</f>
        <v/>
      </c>
      <c r="K3595">
        <f>J3595*(1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3595)</f>
        <v/>
      </c>
      <c r="L3595">
        <f>K3595*(MIN(Inputs!$B$22+((C3608=TRUE)*(F3608-Calc!F24)),(Inputs!$B$23+((C3613=TRUE)*(F3613-Calc!F29))+IF(ArtifactsInput!$M$15,CHOOSE(ArtifactsInput!$N$15+1,25,30,35,40,45,50)/100*(Inputs!$B$11-Inputs!$B$11),0)))/100+(Inputs!$B$23+((C3613=TRUE)*(F3613-Calc!F29))+IF(ArtifactsInput!$M$15,CHOOSE(ArtifactsInput!$N$15+1,25,30,35,40,45,50)/100*(Inputs!$B$11-Inputs!$B$11),0))/100)/2</f>
        <v/>
      </c>
      <c r="M3595">
        <f>L3595*(1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5">
        <f>L3595*(1-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3595*(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5">
        <f>(1-Summary!$B$11)*T3595+Summary!$B$11*V3595</f>
        <v/>
      </c>
      <c r="P3595">
        <f>IF(B3629=0,0,O3595/B3629)</f>
        <v/>
      </c>
      <c r="Q3595">
        <f>IFERROR(1/IF(Inputs!$B$39="pvp",15,MAX(0.1,Skills!D11-IF(Skills!E11=TRUE,4.0,0))),0)</f>
        <v/>
      </c>
      <c r="R3595">
        <f>IF(AND(Inputs!$B$39&lt;&gt;"pvp",Inputs!$B$44&gt;0),IF(MAX(0,Inputs!$B$44-B3628)&lt;=0,0,(INT(MAX(0,Inputs!$B$44-B3628)/IF(Inputs!$B$39="pvp",15,MAX(0.1,Skills!D11-IF(Skills!E11=TRUE,4.0,0))))+1)),0)</f>
        <v/>
      </c>
      <c r="S3595">
        <f>IFERROR(O3595/N3595,0)</f>
        <v/>
      </c>
      <c r="T3595">
        <f>IF(C3595,(H3595*N3595*IF(AND(Inputs!$B$39&lt;&gt;"pvp",Inputs!$B$44&gt;0),((Skills!G11*((R3595-1)*IF(Skills!H11&gt;0,Skills!I11/Skills!H11,1)+IF(Skills!H11&gt;0,MIN(Skills!I11,MAX(0,MAX(0,Inputs!$B$44-B3628)-((R3595-1)*IF(Inputs!$B$39="pvp",15,MAX(0.1,Skills!D11-IF(Skills!E11=TRUE,4.0,0))))))/Skills!H11,1)))/Inputs!$B$44),G3595*Q3595))*IF(Inputs!$B$39="pvp",1,1+(Inputs!$B$20+0+Skills!P11+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3595*(1-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3595*(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3595*(1-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3595*(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5">
        <f>IF(C3595,(H3595*N3595*IF(AND(Inputs!$B$39&lt;&gt;"pvp",Inputs!$B$44&gt;0),((Skills!G11*((R3595-1)*IF(Skills!H11&gt;0,Skills!I11/Skills!H11,1)+IF(Skills!H11&gt;0,MIN(Skills!I11,MAX(0,MAX(0,Inputs!$B$44-B3628)-((R3595-1)*IF(Inputs!$B$39="pvp",15,MAX(0.1,Skills!D11-IF(Skills!E11=TRUE,4.0,0))))))/Skills!H11,1)))/Inputs!$B$44),G3595*Q3595))*IF(Inputs!$B$39="pvp",1,(1+(Inputs!$B$21+Skills!Q11+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6">
      <c r="A3596">
        <f>Skills!A12</f>
        <v/>
      </c>
      <c r="B3596">
        <f>Skills!B12</f>
        <v/>
      </c>
      <c r="C3596">
        <f>Inputs!$B$3&gt;=105</f>
        <v/>
      </c>
      <c r="D3596">
        <f>IF(Skills!C12=1,60+Inputs!$B$25+Inputs!$B$29,IF(Skills!C12=2,90+Inputs!$B$26+Inputs!$B$29,IF(Skills!C12=3,120+Inputs!$B$27+Inputs!$B$29,MAX(0,(Inputs!$B$3-100)*3)+Inputs!$B$28+Inputs!$B$29)))</f>
        <v/>
      </c>
      <c r="E3596">
        <f>INDEX(FactorTable!$B$2:$Y$301, MATCH(ROUND(MIN(300,MAX(1,D3596)),0), FactorTable!$A$2:$A$301,0), Skills!M12+1)</f>
        <v/>
      </c>
      <c r="F3596">
        <f>IF(Skills!N12=TRUE,(Skills!L12/10)*(E3596/1000),Skills!L12/10)+Skills!O12</f>
        <v/>
      </c>
      <c r="G3596">
        <f>Skills!G12*IF(Skills!H12&gt;0,Skills!I12/Skills!H12,1)</f>
        <v/>
      </c>
      <c r="H3596">
        <f>1-(1-Skills!J12/100)^Skills!K12</f>
        <v/>
      </c>
      <c r="I3596" t="inlineStr">
        <is>
          <t>1</t>
        </is>
      </c>
      <c r="J3596">
        <f>((Inputs!$B$6*(1+Inputs!$B$7/100))+(((Inputs!$B$12*(1+Inputs!$B$13/100))-(Inputs!$B$12*(1+Inputs!$B$13/100)))+0.25*(Inputs!$B$14-Inputs!$B$14))*(1+Inputs!$B$7/100))*(F3596/100)</f>
        <v/>
      </c>
      <c r="K3596">
        <f>J3596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3596)</f>
        <v/>
      </c>
      <c r="L3596">
        <f>K3596*(MIN(Inputs!$B$22+((C3608=TRUE)*(F3608-Calc!F24)),(Inputs!$B$23+((C3613=TRUE)*(F3613-Calc!F29))+IF(ArtifactsInput!$M$15,CHOOSE(ArtifactsInput!$N$15+1,25,30,35,40,45,50)/100*(Inputs!$B$11-Inputs!$B$11),0)))/100+(Inputs!$B$23+((C3613=TRUE)*(F3613-Calc!F29))+IF(ArtifactsInput!$M$15,CHOOSE(ArtifactsInput!$N$15+1,25,30,35,40,45,50)/100*(Inputs!$B$11-Inputs!$B$11),0))/100)/2</f>
        <v/>
      </c>
      <c r="M3596">
        <f>L3596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6">
        <f>L3596*(1-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3596*(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6">
        <f>(1-Summary!$B$11)*T3596+Summary!$B$11*V3596</f>
        <v/>
      </c>
      <c r="P3596">
        <f>IF(B3629=0,0,O3596/B3629)</f>
        <v/>
      </c>
      <c r="Q3596">
        <f>IFERROR(1/IF(Inputs!$B$39="pvp",15,MAX(0.1,Skills!D12-IF(Skills!E12=TRUE,4.0,0))),0)</f>
        <v/>
      </c>
      <c r="R3596">
        <f>IF(AND(Inputs!$B$39&lt;&gt;"pvp",Inputs!$B$44&gt;0),IF(MAX(0,Inputs!$B$44-B3628)&lt;=0,0,(INT(MAX(0,Inputs!$B$44-B3628)/IF(Inputs!$B$39="pvp",15,MAX(0.1,Skills!D12-IF(Skills!E12=TRUE,4.0,0))))+1)),0)</f>
        <v/>
      </c>
      <c r="S3596">
        <f>IFERROR(O3596/N3596,0)</f>
        <v/>
      </c>
      <c r="T3596">
        <f>IF(C3596,(H3596*N3596*IF(AND(Inputs!$B$39&lt;&gt;"pvp",Inputs!$B$44&gt;0),((Skills!G12*((R3596-1)*IF(Skills!H12&gt;0,Skills!I12/Skills!H12,1)+IF(Skills!H12&gt;0,MIN(Skills!I12,MAX(0,MAX(0,Inputs!$B$44-B3628)-((R3596-1)*IF(Inputs!$B$39="pvp",15,MAX(0.1,Skills!D12-IF(Skills!E12=TRUE,4.0,0))))))/Skills!H12,1)))/Inputs!$B$44),G3596*Q3596))*IF(Inputs!$B$39="pvp",1,1+(Inputs!$B$20+0+Skills!P12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3596*(1-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3596*(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3596*(1-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3596*(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6">
        <f>IF(C3596,(H3596*N3596*IF(AND(Inputs!$B$39&lt;&gt;"pvp",Inputs!$B$44&gt;0),((Skills!G12*((R3596-1)*IF(Skills!H12&gt;0,Skills!I12/Skills!H12,1)+IF(Skills!H12&gt;0,MIN(Skills!I12,MAX(0,MAX(0,Inputs!$B$44-B3628)-((R3596-1)*IF(Inputs!$B$39="pvp",15,MAX(0.1,Skills!D12-IF(Skills!E12=TRUE,4.0,0))))))/Skills!H12,1)))/Inputs!$B$44),G3596*Q3596))*IF(Inputs!$B$39="pvp",1,(1+(Inputs!$B$21+Skills!Q12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7">
      <c r="A3597">
        <f>Skills!A13</f>
        <v/>
      </c>
      <c r="B3597">
        <f>Skills!B13</f>
        <v/>
      </c>
      <c r="C3597">
        <f>Inputs!$B$3&gt;=105</f>
        <v/>
      </c>
      <c r="D3597">
        <f>IF(Skills!C13=1,60+Inputs!$B$25+Inputs!$B$29,IF(Skills!C13=2,90+Inputs!$B$26+Inputs!$B$29,IF(Skills!C13=3,120+Inputs!$B$27+Inputs!$B$29,MAX(0,(Inputs!$B$3-100)*3)+Inputs!$B$28+Inputs!$B$29)))</f>
        <v/>
      </c>
      <c r="E3597">
        <f>INDEX(FactorTable!$B$2:$Y$301, MATCH(ROUND(MIN(300,MAX(1,D3597)),0), FactorTable!$A$2:$A$301,0), Skills!M13+1)</f>
        <v/>
      </c>
      <c r="F3597">
        <f>IF(Skills!N13=TRUE,(Skills!L13/10)*(E3597/1000),Skills!L13/10)+Skills!O13</f>
        <v/>
      </c>
      <c r="G3597">
        <f>Skills!G13*IF(Skills!H13&gt;0,Skills!I13/Skills!H13,1)</f>
        <v/>
      </c>
      <c r="H3597">
        <f>1-(1-Skills!J13/100)^Skills!K13</f>
        <v/>
      </c>
      <c r="I3597" t="inlineStr">
        <is>
          <t>1</t>
        </is>
      </c>
      <c r="J3597">
        <f>((Inputs!$B$6*(1+Inputs!$B$7/100))+(((Inputs!$B$12*(1+Inputs!$B$13/100))-(Inputs!$B$12*(1+Inputs!$B$13/100)))+0.25*(Inputs!$B$14-Inputs!$B$14))*(1+Inputs!$B$7/100))*(F3597/100)</f>
        <v/>
      </c>
      <c r="K3597">
        <f>J3597*(1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3597)</f>
        <v/>
      </c>
      <c r="L3597">
        <f>K3597*(MIN(Inputs!$B$22+((C3608=TRUE)*(F3608-Calc!F24)),(Inputs!$B$23+((C3613=TRUE)*(F3613-Calc!F29))+IF(ArtifactsInput!$M$15,CHOOSE(ArtifactsInput!$N$15+1,25,30,35,40,45,50)/100*(Inputs!$B$11-Inputs!$B$11),0)))/100+(Inputs!$B$23+((C3613=TRUE)*(F3613-Calc!F29))+IF(ArtifactsInput!$M$15,CHOOSE(ArtifactsInput!$N$15+1,25,30,35,40,45,50)/100*(Inputs!$B$11-Inputs!$B$11),0))/100)/2</f>
        <v/>
      </c>
      <c r="M3597">
        <f>L3597*(1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7">
        <f>L3597*(1-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3597*(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7">
        <f>(1-Summary!$B$11)*T3597+Summary!$B$11*V3597</f>
        <v/>
      </c>
      <c r="P3597">
        <f>IF(B3629=0,0,O3597/B3629)</f>
        <v/>
      </c>
      <c r="Q3597">
        <f>IFERROR(1/IF(Inputs!$B$39="pvp",15,MAX(0.1,Skills!D13-IF(Skills!E13=TRUE,4.0,0))),0)</f>
        <v/>
      </c>
      <c r="R3597">
        <f>IF(AND(Inputs!$B$39&lt;&gt;"pvp",Inputs!$B$44&gt;0),IF(MAX(0,Inputs!$B$44-B3628)&lt;=0,0,(INT(MAX(0,Inputs!$B$44-B3628)/IF(Inputs!$B$39="pvp",15,MAX(0.1,Skills!D13-IF(Skills!E13=TRUE,4.0,0))))+1)),0)</f>
        <v/>
      </c>
      <c r="S3597">
        <f>IFERROR(O3597/N3597,0)</f>
        <v/>
      </c>
      <c r="T3597">
        <f>IF(C3597,(H3597*N3597*IF(AND(Inputs!$B$39&lt;&gt;"pvp",Inputs!$B$44&gt;0),((Skills!G13*((R3597-1)*IF(Skills!H13&gt;0,Skills!I13/Skills!H13,1)+IF(Skills!H13&gt;0,MIN(Skills!I13,MAX(0,MAX(0,Inputs!$B$44-B3628)-((R3597-1)*IF(Inputs!$B$39="pvp",15,MAX(0.1,Skills!D13-IF(Skills!E13=TRUE,4.0,0))))))/Skills!H13,1)))/Inputs!$B$44),G3597*Q3597))*IF(Inputs!$B$39="pvp",1,1+(Inputs!$B$20+0+Skills!P13+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3597*(1-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3597*(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3597*(1-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3597*(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7">
        <f>IF(C3597,(H3597*N3597*IF(AND(Inputs!$B$39&lt;&gt;"pvp",Inputs!$B$44&gt;0),((Skills!G13*((R3597-1)*IF(Skills!H13&gt;0,Skills!I13/Skills!H13,1)+IF(Skills!H13&gt;0,MIN(Skills!I13,MAX(0,MAX(0,Inputs!$B$44-B3628)-((R3597-1)*IF(Inputs!$B$39="pvp",15,MAX(0.1,Skills!D13-IF(Skills!E13=TRUE,4.0,0))))))/Skills!H13,1)))/Inputs!$B$44),G3597*Q3597))*IF(Inputs!$B$39="pvp",1,(1+(Inputs!$B$21+Skills!Q13+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8">
      <c r="A3598">
        <f>Skills!A14</f>
        <v/>
      </c>
      <c r="B3598">
        <f>Skills!B14</f>
        <v/>
      </c>
      <c r="C3598">
        <f>Inputs!$B$3&gt;=107</f>
        <v/>
      </c>
      <c r="D3598">
        <f>IF(Skills!C14=1,60+Inputs!$B$25+Inputs!$B$29,IF(Skills!C14=2,90+Inputs!$B$26+Inputs!$B$29,IF(Skills!C14=3,120+Inputs!$B$27+Inputs!$B$29,MAX(0,(Inputs!$B$3-100)*3)+Inputs!$B$28+Inputs!$B$29)))</f>
        <v/>
      </c>
      <c r="E3598">
        <f>INDEX(FactorTable!$B$2:$Y$301, MATCH(ROUND(MIN(300,MAX(1,D3598)),0), FactorTable!$A$2:$A$301,0), Skills!M14+1)</f>
        <v/>
      </c>
      <c r="F3598">
        <f>IF(Skills!N14=TRUE,(Skills!L14/10)*(E3598/1000),Skills!L14/10)+Skills!O14</f>
        <v/>
      </c>
      <c r="G3598">
        <f>Skills!G14*IF(Skills!H14&gt;0,Skills!I14/Skills!H14,1)</f>
        <v/>
      </c>
      <c r="H3598">
        <f>1-(1-Skills!J14/100)^Skills!K14</f>
        <v/>
      </c>
      <c r="I3598" t="inlineStr">
        <is>
          <t>1</t>
        </is>
      </c>
      <c r="J3598">
        <f>((Inputs!$B$6*(1+Inputs!$B$7/100))+(((Inputs!$B$12*(1+Inputs!$B$13/100))-(Inputs!$B$12*(1+Inputs!$B$13/100)))+0.25*(Inputs!$B$14-Inputs!$B$14))*(1+Inputs!$B$7/100))*(F3598/100)</f>
        <v/>
      </c>
      <c r="K3598">
        <f>J3598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3598)</f>
        <v/>
      </c>
      <c r="L3598">
        <f>K3598*(MIN(Inputs!$B$22+((C3608=TRUE)*(F3608-Calc!F24)),(Inputs!$B$23+((C3613=TRUE)*(F3613-Calc!F29))+IF(ArtifactsInput!$M$15,CHOOSE(ArtifactsInput!$N$15+1,25,30,35,40,45,50)/100*(Inputs!$B$11-Inputs!$B$11),0)))/100+(Inputs!$B$23+((C3613=TRUE)*(F3613-Calc!F29))+IF(ArtifactsInput!$M$15,CHOOSE(ArtifactsInput!$N$15+1,25,30,35,40,45,50)/100*(Inputs!$B$11-Inputs!$B$11),0))/100)/2</f>
        <v/>
      </c>
      <c r="M3598">
        <f>L3598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8">
        <f>L3598*(1-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3598*(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8">
        <f>(1-Summary!$B$11)*T3598+Summary!$B$11*V3598</f>
        <v/>
      </c>
      <c r="P3598">
        <f>IF(B3629=0,0,O3598/B3629)</f>
        <v/>
      </c>
      <c r="Q3598">
        <f>IFERROR(1/IF(Inputs!$B$39="pvp",15,MAX(0.1,Skills!D14-IF(Skills!E14=TRUE,4.0,0))),0)</f>
        <v/>
      </c>
      <c r="R3598">
        <f>IF(AND(Inputs!$B$39&lt;&gt;"pvp",Inputs!$B$44&gt;0),IF(MAX(0,Inputs!$B$44-B3628)&lt;=0,0,(INT(MAX(0,Inputs!$B$44-B3628)/IF(Inputs!$B$39="pvp",15,MAX(0.1,Skills!D14-IF(Skills!E14=TRUE,4.0,0))))+1)),0)</f>
        <v/>
      </c>
      <c r="S3598">
        <f>IFERROR(O3598/N3598,0)</f>
        <v/>
      </c>
      <c r="T3598">
        <f>IF(C3598,(H3598*N3598*IF(AND(Inputs!$B$39&lt;&gt;"pvp",Inputs!$B$44&gt;0),((Skills!G14*((R3598-1)*IF(Skills!H14&gt;0,Skills!I14/Skills!H14,1)+IF(Skills!H14&gt;0,MIN(Skills!I14,MAX(0,MAX(0,Inputs!$B$44-B3628)-((R3598-1)*IF(Inputs!$B$39="pvp",15,MAX(0.1,Skills!D14-IF(Skills!E14=TRUE,4.0,0))))))/Skills!H14,1)))/Inputs!$B$44),G3598*Q3598))*IF(Inputs!$B$39="pvp",1,1+(Inputs!$B$20+0+Skills!P14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3598*(1-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3598*(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3598*(1-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3598*(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8">
        <f>IF(C3598,(H3598*N3598*IF(AND(Inputs!$B$39&lt;&gt;"pvp",Inputs!$B$44&gt;0),((Skills!G14*((R3598-1)*IF(Skills!H14&gt;0,Skills!I14/Skills!H14,1)+IF(Skills!H14&gt;0,MIN(Skills!I14,MAX(0,MAX(0,Inputs!$B$44-B3628)-((R3598-1)*IF(Inputs!$B$39="pvp",15,MAX(0.1,Skills!D14-IF(Skills!E14=TRUE,4.0,0))))))/Skills!H14,1)))/Inputs!$B$44),G3598*Q3598))*IF(Inputs!$B$39="pvp",1,(1+(Inputs!$B$21+Skills!Q14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(5,0.25*B3621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9">
      <c r="A3599">
        <f>Skills!A15</f>
        <v/>
      </c>
      <c r="B3599">
        <f>Skills!B15</f>
        <v/>
      </c>
      <c r="C3599">
        <f>Inputs!$B$3&gt;=110</f>
        <v/>
      </c>
      <c r="D3599">
        <f>IF(Skills!C15=1,60+Inputs!$B$25+Inputs!$B$29,IF(Skills!C15=2,90+Inputs!$B$26+Inputs!$B$29,IF(Skills!C15=3,120+Inputs!$B$27+Inputs!$B$29,MAX(0,(Inputs!$B$3-100)*3)+Inputs!$B$28+Inputs!$B$29)))</f>
        <v/>
      </c>
      <c r="E3599">
        <f>INDEX(FactorTable!$B$2:$Y$301, MATCH(ROUND(MIN(300,MAX(1,D3599)),0), FactorTable!$A$2:$A$301,0), Skills!M15+1)</f>
        <v/>
      </c>
      <c r="F3599">
        <f>IF(Skills!N15=TRUE,(Skills!L15/10)*(E3599/1000),Skills!L15/10)+Skills!O15</f>
        <v/>
      </c>
      <c r="G3599">
        <f>Skills!G15*IF(Skills!H15&gt;0,Skills!I15/Skills!H15,1)</f>
        <v/>
      </c>
      <c r="H3599">
        <f>1-(1-Skills!J15/100)^Skills!K15</f>
        <v/>
      </c>
      <c r="I3599" t="inlineStr">
        <is>
          <t>1</t>
        </is>
      </c>
      <c r="J3599" t="inlineStr"/>
      <c r="K3599" t="inlineStr"/>
      <c r="L3599" t="inlineStr"/>
      <c r="M3599" t="inlineStr"/>
      <c r="N3599" t="inlineStr"/>
      <c r="O3599">
        <f>(1-Summary!$B$11)*T3599+Summary!$B$11*V3599</f>
        <v/>
      </c>
      <c r="P3599">
        <f>IF(B3629=0,0,O3599/B3629)</f>
        <v/>
      </c>
      <c r="Q3599">
        <f>IFERROR(1/IF(Inputs!$B$39="pvp",15,MAX(0.1,Skills!D15-IF(Skills!E15=TRUE,4.0,0))),0)</f>
        <v/>
      </c>
      <c r="R3599">
        <f>IF(AND(Inputs!$B$39&lt;&gt;"pvp",Inputs!$B$44&gt;0),IF(Inputs!$B$44&lt;=0,0,(INT(Inputs!$B$44/IF(Inputs!$B$39="pvp",15,MAX(0.1,Skills!D15-IF(Skills!E15=TRUE,4.0,0))))+1)),0)</f>
        <v/>
      </c>
      <c r="S3599">
        <f>IFERROR(O3599/N3599,0)</f>
        <v/>
      </c>
      <c r="T3599" t="n">
        <v>0</v>
      </c>
      <c r="V3599" t="n">
        <v>0</v>
      </c>
    </row>
    <row r="3600">
      <c r="A3600">
        <f>Skills!A16</f>
        <v/>
      </c>
      <c r="B3600">
        <f>Skills!B16</f>
        <v/>
      </c>
      <c r="C3600">
        <f>Inputs!$B$3&gt;=115</f>
        <v/>
      </c>
      <c r="D3600">
        <f>IF(Skills!C16=1,60+Inputs!$B$25+Inputs!$B$29,IF(Skills!C16=2,90+Inputs!$B$26+Inputs!$B$29,IF(Skills!C16=3,120+Inputs!$B$27+Inputs!$B$29,MAX(0,(Inputs!$B$3-100)*3)+Inputs!$B$28+Inputs!$B$29)))</f>
        <v/>
      </c>
      <c r="E3600">
        <f>INDEX(FactorTable!$B$2:$Y$301, MATCH(ROUND(MIN(300,MAX(1,D3600)),0), FactorTable!$A$2:$A$301,0), Skills!M16+1)</f>
        <v/>
      </c>
      <c r="F3600">
        <f>IF(Skills!N16=TRUE,(Skills!L16/10)*(E3600/1000),Skills!L16/10)+Skills!O16</f>
        <v/>
      </c>
      <c r="G3600">
        <f>Skills!G16*IF(Skills!H16&gt;0,Skills!I16/Skills!H16,1)</f>
        <v/>
      </c>
      <c r="H3600">
        <f>1-(1-Skills!J16/100)^Skills!K16</f>
        <v/>
      </c>
      <c r="I3600" t="inlineStr">
        <is>
          <t>1</t>
        </is>
      </c>
      <c r="J3600">
        <f>((Inputs!$B$6*(1+Inputs!$B$7/100))+(((Inputs!$B$12*(1+Inputs!$B$13/100))-(Inputs!$B$12*(1+Inputs!$B$13/100)))+0.25*(Inputs!$B$14-Inputs!$B$14))*(1+Inputs!$B$7/100))*(F3600/100)</f>
        <v/>
      </c>
      <c r="K3600">
        <f>J3600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3611=TRUE)*(F3611-Calc!F27))+((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3600)</f>
        <v/>
      </c>
      <c r="L3600">
        <f>K3600*(MIN(Inputs!$B$22+((C3608=TRUE)*(F3608-Calc!F24)),(Inputs!$B$23+((C3613=TRUE)*(F3613-Calc!F29))+IF(ArtifactsInput!$M$15,CHOOSE(ArtifactsInput!$N$15+1,25,30,35,40,45,50)/100*(Inputs!$B$11-Inputs!$B$11),0)))/100+(Inputs!$B$23+((C3613=TRUE)*(F3613-Calc!F29))+IF(ArtifactsInput!$M$15,CHOOSE(ArtifactsInput!$N$15+1,25,30,35,40,45,50)/100*(Inputs!$B$11-Inputs!$B$11),0))/100)/2</f>
        <v/>
      </c>
      <c r="M3600">
        <f>L3600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0">
        <f>L3600*(1-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3600*(MIN((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0">
        <f>(1-Summary!$B$11)*T3600+Summary!$B$11*V3600</f>
        <v/>
      </c>
      <c r="P3600">
        <f>IF(B3629=0,0,O3600/B3629)</f>
        <v/>
      </c>
      <c r="Q3600" t="n">
        <v>0</v>
      </c>
      <c r="R3600" t="n">
        <v>0</v>
      </c>
      <c r="S3600">
        <f>IFERROR(O3600/N3600,0)</f>
        <v/>
      </c>
      <c r="T3600">
        <f>IF(C3600,(Inputs!$B$38*0.2*N3600)*IF(Inputs!$B$39="pvp",1,1+(Inputs!$B$20+0+Skills!P16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3600*(1-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3600*(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3600*(1-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3600*(MIN(100,(Inputs!$B$9+((C3609=TRUE)*(F3609-Calc!F25))+B3617+(ArtifactsInput!$M$24-ArtifactsInput!$M$24)*CHOOSE(ArtifactsInput!$N$24+1,10,12,14,16,18,20)+(IF(AND(Inputs!$B$39&lt;&gt;"pvp",Inputs!$B$44=0),1,IF(IF(Inputs!$B$39="pvp",15,Inputs!$B$44)-(B3628)&lt;=0,1,MAX(0,IF(Inputs!$B$39="pvp",15,Inputs!$B$44)-MAX(5,B3628))/(IF(Inputs!$B$39="pvp",15,Inputs!$B$44)-(B3628))))*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00">
        <f>IF(C3600,(Inputs!$B$38*0.2*N3600)*IF(Inputs!$B$39="pvp",1,(1+(Inputs!$B$21+Skills!Q16+B3618+(IF(ArtifactsInput!$M$33,CHOOSE(ArtifactsInput!$N$33+1,30,36,42,48,54,60),0))+(IF(AND(ArtifactsInput!$M$35,Inputs!$B$4&lt;&gt;"Chapter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1">
      <c r="A3601">
        <f>Skills!A17</f>
        <v/>
      </c>
      <c r="B3601">
        <f>Skills!B17</f>
        <v/>
      </c>
      <c r="C3601">
        <f>Inputs!$B$3&gt;=115</f>
        <v/>
      </c>
      <c r="D3601">
        <f>IF(Skills!C17=1,60+Inputs!$B$25+Inputs!$B$29,IF(Skills!C17=2,90+Inputs!$B$26+Inputs!$B$29,IF(Skills!C17=3,120+Inputs!$B$27+Inputs!$B$29,MAX(0,(Inputs!$B$3-100)*3)+Inputs!$B$28+Inputs!$B$29)))</f>
        <v/>
      </c>
      <c r="E3601">
        <f>INDEX(FactorTable!$B$2:$Y$301, MATCH(ROUND(MIN(300,MAX(1,D3601)),0), FactorTable!$A$2:$A$301,0), Skills!M17+1)</f>
        <v/>
      </c>
      <c r="F3601">
        <f>IF(Skills!N17=TRUE,(Skills!L17/10)*(E3601/1000),Skills!L17/10)+Skills!O17</f>
        <v/>
      </c>
      <c r="G3601">
        <f>Skills!G17*IF(Skills!H17&gt;0,Skills!I17/Skills!H17,1)</f>
        <v/>
      </c>
      <c r="H3601">
        <f>1-(1-Skills!J17/100)^Skills!K17</f>
        <v/>
      </c>
      <c r="I3601" t="inlineStr">
        <is>
          <t>1</t>
        </is>
      </c>
      <c r="J3601" t="inlineStr"/>
      <c r="K3601" t="inlineStr"/>
      <c r="L3601" t="inlineStr"/>
      <c r="M3601" t="inlineStr"/>
      <c r="N3601" t="inlineStr"/>
      <c r="O3601">
        <f>(1-Summary!$B$11)*T3601+Summary!$B$11*V3601</f>
        <v/>
      </c>
      <c r="P3601">
        <f>IF(B3629=0,0,O3601/B3629)</f>
        <v/>
      </c>
      <c r="Q3601" t="n">
        <v>0</v>
      </c>
      <c r="R3601" t="n">
        <v>0</v>
      </c>
      <c r="S3601">
        <f>IFERROR(O3601/N3601,0)</f>
        <v/>
      </c>
      <c r="T3601" t="n">
        <v>0</v>
      </c>
      <c r="V3601" t="n">
        <v>0</v>
      </c>
    </row>
    <row r="3602">
      <c r="A3602">
        <f>Skills!A18</f>
        <v/>
      </c>
      <c r="B3602">
        <f>Skills!B18</f>
        <v/>
      </c>
      <c r="C3602">
        <f>Inputs!$B$3&gt;=100</f>
        <v/>
      </c>
      <c r="D3602">
        <f>IF(Skills!C18=1,60+Inputs!$B$25+Inputs!$B$29,IF(Skills!C18=2,90+Inputs!$B$26+Inputs!$B$29,IF(Skills!C18=3,120+Inputs!$B$27+Inputs!$B$29,MAX(0,(Inputs!$B$3-100)*3)+Inputs!$B$28+Inputs!$B$29)))</f>
        <v/>
      </c>
      <c r="E3602">
        <f>INDEX(FactorTable!$B$2:$Y$301, MATCH(ROUND(MIN(300,MAX(1,D3602)),0), FactorTable!$A$2:$A$301,0), Skills!M18+1)</f>
        <v/>
      </c>
      <c r="F3602">
        <f>IF(Skills!N18=TRUE,(Skills!L18/10)*(E3602/1000),Skills!L18/10)+Skills!O18</f>
        <v/>
      </c>
      <c r="G3602">
        <f>Skills!G18*IF(Skills!H18&gt;0,Skills!I18/Skills!H18,1)</f>
        <v/>
      </c>
      <c r="H3602">
        <f>1-(1-Skills!J18/100)^Skills!K18</f>
        <v/>
      </c>
      <c r="I3602" t="inlineStr">
        <is>
          <t>1</t>
        </is>
      </c>
      <c r="J3602" t="inlineStr"/>
      <c r="K3602" t="inlineStr"/>
      <c r="L3602" t="inlineStr"/>
      <c r="M3602" t="inlineStr"/>
      <c r="N3602" t="inlineStr"/>
      <c r="O3602">
        <f>(1-Summary!$B$11)*T3602+Summary!$B$11*V3602</f>
        <v/>
      </c>
      <c r="P3602">
        <f>IF(B3629=0,0,O3602/B3629)</f>
        <v/>
      </c>
      <c r="Q3602" t="n">
        <v>0</v>
      </c>
      <c r="R3602" t="n">
        <v>0</v>
      </c>
      <c r="S3602">
        <f>IFERROR(O3602/N3602,0)</f>
        <v/>
      </c>
      <c r="T3602" t="n">
        <v>0</v>
      </c>
      <c r="V3602" t="n">
        <v>0</v>
      </c>
    </row>
    <row r="3603">
      <c r="A3603">
        <f>Skills!A19</f>
        <v/>
      </c>
      <c r="B3603">
        <f>Skills!B19</f>
        <v/>
      </c>
      <c r="C3603">
        <f>TRUE</f>
        <v/>
      </c>
      <c r="D3603">
        <f>IF(Skills!C19=1,60+Inputs!$B$25+Inputs!$B$29,IF(Skills!C19=2,90+Inputs!$B$26+Inputs!$B$29,IF(Skills!C19=3,120+Inputs!$B$27+Inputs!$B$29,MAX(0,(Inputs!$B$3-100)*3)+Inputs!$B$28+Inputs!$B$29)))</f>
        <v/>
      </c>
      <c r="E3603">
        <f>INDEX(FactorTable!$B$2:$Y$301, MATCH(ROUND(MIN(300,MAX(1,D3603)),0), FactorTable!$A$2:$A$301,0), Skills!M19+1)</f>
        <v/>
      </c>
      <c r="F3603">
        <f>IF(Skills!N19=TRUE,(Skills!L19/10)*(E3603/1000),Skills!L19/10)+Skills!O19</f>
        <v/>
      </c>
      <c r="G3603">
        <f>Skills!G19*IF(Skills!H19&gt;0,Skills!I19/Skills!H19,1)</f>
        <v/>
      </c>
      <c r="H3603">
        <f>1-(1-Skills!J19/100)^Skills!K19</f>
        <v/>
      </c>
      <c r="I3603" t="inlineStr">
        <is>
          <t>1</t>
        </is>
      </c>
      <c r="J3603" t="inlineStr"/>
      <c r="K3603" t="inlineStr"/>
      <c r="L3603" t="inlineStr"/>
      <c r="M3603" t="inlineStr"/>
      <c r="N3603" t="inlineStr"/>
      <c r="O3603">
        <f>(1-Summary!$B$11)*T3603+Summary!$B$11*V3603</f>
        <v/>
      </c>
      <c r="P3603">
        <f>IF(B3629=0,0,O3603/B3629)</f>
        <v/>
      </c>
      <c r="Q3603">
        <f>IFERROR(1/IF(Inputs!$B$39="pvp",15,MAX(0.1,Skills!D19-IF(Skills!E19=TRUE,4.0,0))),0)</f>
        <v/>
      </c>
      <c r="R3603">
        <f>IF(AND(Inputs!$B$39&lt;&gt;"pvp",Inputs!$B$44&gt;0),IF(Inputs!$B$44&lt;=0,0,(INT(Inputs!$B$44/IF(Inputs!$B$39="pvp",15,MAX(0.1,Skills!D19-IF(Skills!E19=TRUE,4.0,0))))+1)),0)</f>
        <v/>
      </c>
      <c r="S3603">
        <f>IFERROR(O3603/N3603,0)</f>
        <v/>
      </c>
      <c r="T3603" t="n">
        <v>0</v>
      </c>
      <c r="V3603" t="n">
        <v>0</v>
      </c>
    </row>
    <row r="3604">
      <c r="A3604">
        <f>Skills!A20</f>
        <v/>
      </c>
      <c r="B3604">
        <f>Skills!B20</f>
        <v/>
      </c>
      <c r="C3604">
        <f>Inputs!$B$3&gt;=15</f>
        <v/>
      </c>
      <c r="D3604">
        <f>IF(Skills!C20=1,60+Inputs!$B$25+Inputs!$B$29,IF(Skills!C20=2,90+Inputs!$B$26+Inputs!$B$29,IF(Skills!C20=3,120+Inputs!$B$27+Inputs!$B$29,MAX(0,(Inputs!$B$3-100)*3)+Inputs!$B$28+Inputs!$B$29)))</f>
        <v/>
      </c>
      <c r="E3604">
        <f>INDEX(FactorTable!$B$2:$Y$301, MATCH(ROUND(MIN(300,MAX(1,D3604)),0), FactorTable!$A$2:$A$301,0), Skills!M20+1)</f>
        <v/>
      </c>
      <c r="F3604">
        <f>IF(Skills!N20=TRUE,(Skills!L20/10)*(E3604/1000),Skills!L20/10)+Skills!O20</f>
        <v/>
      </c>
      <c r="G3604">
        <f>Skills!G20*IF(Skills!H20&gt;0,Skills!I20/Skills!H20,1)</f>
        <v/>
      </c>
      <c r="H3604">
        <f>1-(1-Skills!J20/100)^Skills!K20</f>
        <v/>
      </c>
      <c r="I3604" t="inlineStr">
        <is>
          <t>1</t>
        </is>
      </c>
      <c r="J3604" t="inlineStr"/>
      <c r="K3604" t="inlineStr"/>
      <c r="L3604" t="inlineStr"/>
      <c r="M3604" t="inlineStr"/>
      <c r="N3604" t="inlineStr"/>
      <c r="O3604">
        <f>(1-Summary!$B$11)*T3604+Summary!$B$11*V3604</f>
        <v/>
      </c>
      <c r="P3604">
        <f>IF(B3629=0,0,O3604/B3629)</f>
        <v/>
      </c>
      <c r="Q3604">
        <f>IFERROR(1/IF(Inputs!$B$39="pvp",15,MAX(0.1,Skills!D20-IF(Skills!E20=TRUE,4.0,0))),0)</f>
        <v/>
      </c>
      <c r="R3604">
        <f>IF(AND(Inputs!$B$39&lt;&gt;"pvp",Inputs!$B$44&gt;0),IF(Inputs!$B$44&lt;=0,0,(INT(Inputs!$B$44/IF(Inputs!$B$39="pvp",15,MAX(0.1,Skills!D20-IF(Skills!E20=TRUE,4.0,0))))+1)),0)</f>
        <v/>
      </c>
      <c r="S3604">
        <f>IFERROR(O3604/N3604,0)</f>
        <v/>
      </c>
      <c r="T3604" t="n">
        <v>0</v>
      </c>
      <c r="V3604" t="n">
        <v>0</v>
      </c>
    </row>
    <row r="3605">
      <c r="A3605">
        <f>Skills!A21</f>
        <v/>
      </c>
      <c r="B3605">
        <f>Skills!B21</f>
        <v/>
      </c>
      <c r="C3605">
        <f>Inputs!$B$3&gt;=15</f>
        <v/>
      </c>
      <c r="D3605">
        <f>IF(Skills!C21=1,60+Inputs!$B$25+Inputs!$B$29,IF(Skills!C21=2,90+Inputs!$B$26+Inputs!$B$29,IF(Skills!C21=3,120+Inputs!$B$27+Inputs!$B$29,MAX(0,(Inputs!$B$3-100)*3)+Inputs!$B$28+Inputs!$B$29)))</f>
        <v/>
      </c>
      <c r="E3605">
        <f>INDEX(FactorTable!$B$2:$Y$301, MATCH(ROUND(MIN(300,MAX(1,D3605)),0), FactorTable!$A$2:$A$301,0), Skills!M21+1)</f>
        <v/>
      </c>
      <c r="F3605">
        <f>IF(Skills!N21=TRUE,(Skills!L21/10)*(E3605/1000),Skills!L21/10)+Skills!O21</f>
        <v/>
      </c>
      <c r="G3605">
        <f>Skills!G21*IF(Skills!H21&gt;0,Skills!I21/Skills!H21,1)</f>
        <v/>
      </c>
      <c r="H3605">
        <f>1-(1-Skills!J21/100)^Skills!K21</f>
        <v/>
      </c>
      <c r="I3605" t="inlineStr">
        <is>
          <t>1</t>
        </is>
      </c>
      <c r="J3605" t="inlineStr"/>
      <c r="K3605" t="inlineStr"/>
      <c r="L3605" t="inlineStr"/>
      <c r="M3605" t="inlineStr"/>
      <c r="N3605" t="inlineStr"/>
      <c r="O3605">
        <f>(1-Summary!$B$11)*T3605+Summary!$B$11*V3605</f>
        <v/>
      </c>
      <c r="P3605">
        <f>IF(B3629=0,0,O3605/B3629)</f>
        <v/>
      </c>
      <c r="Q3605">
        <f>IFERROR(1/IF(Inputs!$B$39="pvp",15,MAX(0.1,Skills!D21-IF(Skills!E21=TRUE,4.0,0))),0)</f>
        <v/>
      </c>
      <c r="R3605">
        <f>IF(AND(Inputs!$B$39&lt;&gt;"pvp",Inputs!$B$44&gt;0),IF(Inputs!$B$44&lt;=0,0,(INT(Inputs!$B$44/IF(Inputs!$B$39="pvp",15,MAX(0.1,Skills!D21-IF(Skills!E21=TRUE,4.0,0))))+1)),0)</f>
        <v/>
      </c>
      <c r="S3605">
        <f>IFERROR(O3605/N3605,0)</f>
        <v/>
      </c>
      <c r="T3605" t="n">
        <v>0</v>
      </c>
      <c r="V3605" t="n">
        <v>0</v>
      </c>
    </row>
    <row r="3606">
      <c r="A3606">
        <f>Skills!A22</f>
        <v/>
      </c>
      <c r="B3606">
        <f>Skills!B22</f>
        <v/>
      </c>
      <c r="C3606">
        <f>Inputs!$B$3&gt;=33</f>
        <v/>
      </c>
      <c r="D3606">
        <f>IF(Skills!C22=1,60+Inputs!$B$25+Inputs!$B$29,IF(Skills!C22=2,90+Inputs!$B$26+Inputs!$B$29,IF(Skills!C22=3,120+Inputs!$B$27+Inputs!$B$29,MAX(0,(Inputs!$B$3-100)*3)+Inputs!$B$28+Inputs!$B$29)))</f>
        <v/>
      </c>
      <c r="E3606">
        <f>INDEX(FactorTable!$B$2:$Y$301, MATCH(ROUND(MIN(300,MAX(1,D3606)),0), FactorTable!$A$2:$A$301,0), Skills!M22+1)</f>
        <v/>
      </c>
      <c r="F3606">
        <f>IF(Skills!N22=TRUE,(Skills!L22/10)*(E3606/1000),Skills!L22/10)+Skills!O22</f>
        <v/>
      </c>
      <c r="G3606">
        <f>Skills!G22*IF(Skills!H22&gt;0,Skills!I22/Skills!H22,1)</f>
        <v/>
      </c>
      <c r="H3606">
        <f>1-(1-Skills!J22/100)^Skills!K22</f>
        <v/>
      </c>
      <c r="I3606" t="inlineStr">
        <is>
          <t>1</t>
        </is>
      </c>
      <c r="J3606" t="inlineStr"/>
      <c r="K3606" t="inlineStr"/>
      <c r="L3606" t="inlineStr"/>
      <c r="M3606" t="inlineStr"/>
      <c r="N3606" t="inlineStr"/>
      <c r="O3606">
        <f>(1-Summary!$B$11)*T3606+Summary!$B$11*V3606</f>
        <v/>
      </c>
      <c r="P3606">
        <f>IF(B3629=0,0,O3606/B3629)</f>
        <v/>
      </c>
      <c r="Q3606" t="n">
        <v>0</v>
      </c>
      <c r="R3606" t="n">
        <v>0</v>
      </c>
      <c r="S3606">
        <f>IFERROR(O3606/N3606,0)</f>
        <v/>
      </c>
      <c r="T3606" t="n">
        <v>0</v>
      </c>
      <c r="V3606" t="n">
        <v>0</v>
      </c>
    </row>
    <row r="3607">
      <c r="A3607">
        <f>Skills!A23</f>
        <v/>
      </c>
      <c r="B3607">
        <f>Skills!B23</f>
        <v/>
      </c>
      <c r="C3607">
        <f>Inputs!$B$3&gt;=40</f>
        <v/>
      </c>
      <c r="D3607">
        <f>IF(Skills!C23=1,60+Inputs!$B$25+Inputs!$B$29,IF(Skills!C23=2,90+Inputs!$B$26+Inputs!$B$29,IF(Skills!C23=3,120+Inputs!$B$27+Inputs!$B$29,MAX(0,(Inputs!$B$3-100)*3)+Inputs!$B$28+Inputs!$B$29)))</f>
        <v/>
      </c>
      <c r="E3607">
        <f>INDEX(FactorTable!$B$2:$Y$301, MATCH(ROUND(MIN(300,MAX(1,D3607)),0), FactorTable!$A$2:$A$301,0), Skills!M23+1)</f>
        <v/>
      </c>
      <c r="F3607">
        <f>IF(Skills!N23=TRUE,(Skills!L23/10)*(E3607/1000),Skills!L23/10)+Skills!O23</f>
        <v/>
      </c>
      <c r="G3607">
        <f>Skills!G23*IF(Skills!H23&gt;0,Skills!I23/Skills!H23,1)</f>
        <v/>
      </c>
      <c r="H3607">
        <f>1-(1-Skills!J23/100)^Skills!K23</f>
        <v/>
      </c>
      <c r="I3607" t="inlineStr">
        <is>
          <t>1</t>
        </is>
      </c>
      <c r="J3607" t="inlineStr"/>
      <c r="K3607" t="inlineStr"/>
      <c r="L3607" t="inlineStr"/>
      <c r="M3607" t="inlineStr"/>
      <c r="N3607" t="inlineStr"/>
      <c r="O3607">
        <f>(1-Summary!$B$11)*T3607+Summary!$B$11*V3607</f>
        <v/>
      </c>
      <c r="P3607">
        <f>IF(B3629=0,0,O3607/B3629)</f>
        <v/>
      </c>
      <c r="Q3607" t="n">
        <v>0</v>
      </c>
      <c r="R3607" t="n">
        <v>0</v>
      </c>
      <c r="S3607">
        <f>IFERROR(O3607/N3607,0)</f>
        <v/>
      </c>
      <c r="T3607" t="n">
        <v>0</v>
      </c>
      <c r="V3607" t="n">
        <v>0</v>
      </c>
    </row>
    <row r="3608">
      <c r="A3608">
        <f>Skills!A24</f>
        <v/>
      </c>
      <c r="B3608">
        <f>Skills!B24</f>
        <v/>
      </c>
      <c r="C3608">
        <f>Inputs!$B$3&gt;=43</f>
        <v/>
      </c>
      <c r="D3608">
        <f>IF(Skills!C24=1,60+Inputs!$B$25+Inputs!$B$29,IF(Skills!C24=2,90+Inputs!$B$26+Inputs!$B$29,IF(Skills!C24=3,120+Inputs!$B$27+Inputs!$B$29,MAX(0,(Inputs!$B$3-100)*3)+Inputs!$B$28+Inputs!$B$29)))</f>
        <v/>
      </c>
      <c r="E3608">
        <f>INDEX(FactorTable!$B$2:$Y$301, MATCH(ROUND(MIN(300,MAX(1,D3608)),0), FactorTable!$A$2:$A$301,0), Skills!M24+1)</f>
        <v/>
      </c>
      <c r="F3608">
        <f>IF(Skills!N24=TRUE,(Skills!L24/10)*(E3608/1000),Skills!L24/10)+Skills!O24</f>
        <v/>
      </c>
      <c r="G3608">
        <f>Skills!G24*IF(Skills!H24&gt;0,Skills!I24/Skills!H24,1)</f>
        <v/>
      </c>
      <c r="H3608">
        <f>1-(1-Skills!J24/100)^Skills!K24</f>
        <v/>
      </c>
      <c r="I3608" t="inlineStr">
        <is>
          <t>1</t>
        </is>
      </c>
      <c r="J3608" t="inlineStr"/>
      <c r="K3608" t="inlineStr"/>
      <c r="L3608" t="inlineStr"/>
      <c r="M3608" t="inlineStr"/>
      <c r="N3608" t="inlineStr"/>
      <c r="O3608">
        <f>(1-Summary!$B$11)*T3608+Summary!$B$11*V3608</f>
        <v/>
      </c>
      <c r="P3608">
        <f>IF(B3629=0,0,O3608/B3629)</f>
        <v/>
      </c>
      <c r="Q3608" t="n">
        <v>0</v>
      </c>
      <c r="R3608" t="n">
        <v>0</v>
      </c>
      <c r="S3608">
        <f>IFERROR(O3608/N3608,0)</f>
        <v/>
      </c>
      <c r="T3608" t="n">
        <v>0</v>
      </c>
      <c r="V3608" t="n">
        <v>0</v>
      </c>
    </row>
    <row r="3609">
      <c r="A3609">
        <f>Skills!A25</f>
        <v/>
      </c>
      <c r="B3609">
        <f>Skills!B25</f>
        <v/>
      </c>
      <c r="C3609">
        <f>Inputs!$B$3&gt;=50</f>
        <v/>
      </c>
      <c r="D3609">
        <f>IF(Skills!C25=1,60+Inputs!$B$25+Inputs!$B$29,IF(Skills!C25=2,90+Inputs!$B$26+Inputs!$B$29,IF(Skills!C25=3,120+Inputs!$B$27+Inputs!$B$29,MAX(0,(Inputs!$B$3-100)*3)+Inputs!$B$28+Inputs!$B$29)))</f>
        <v/>
      </c>
      <c r="E3609">
        <f>INDEX(FactorTable!$B$2:$Y$301, MATCH(ROUND(MIN(300,MAX(1,D3609)),0), FactorTable!$A$2:$A$301,0), Skills!M25+1)</f>
        <v/>
      </c>
      <c r="F3609">
        <f>IF(Skills!N25=TRUE,(Skills!L25/10)*(E3609/1000),Skills!L25/10)+Skills!O25</f>
        <v/>
      </c>
      <c r="G3609">
        <f>Skills!G25*IF(Skills!H25&gt;0,Skills!I25/Skills!H25,1)</f>
        <v/>
      </c>
      <c r="H3609">
        <f>1-(1-Skills!J25/100)^Skills!K25</f>
        <v/>
      </c>
      <c r="I3609" t="inlineStr">
        <is>
          <t>1</t>
        </is>
      </c>
      <c r="J3609" t="inlineStr"/>
      <c r="K3609" t="inlineStr"/>
      <c r="L3609" t="inlineStr"/>
      <c r="M3609" t="inlineStr"/>
      <c r="N3609" t="inlineStr"/>
      <c r="O3609">
        <f>(1-Summary!$B$11)*T3609+Summary!$B$11*V3609</f>
        <v/>
      </c>
      <c r="P3609">
        <f>IF(B3629=0,0,O3609/B3629)</f>
        <v/>
      </c>
      <c r="Q3609" t="n">
        <v>0</v>
      </c>
      <c r="R3609" t="n">
        <v>0</v>
      </c>
      <c r="S3609">
        <f>IFERROR(O3609/N3609,0)</f>
        <v/>
      </c>
      <c r="T3609" t="n">
        <v>0</v>
      </c>
      <c r="V3609" t="n">
        <v>0</v>
      </c>
    </row>
    <row r="3610">
      <c r="A3610">
        <f>Skills!A26</f>
        <v/>
      </c>
      <c r="B3610">
        <f>Skills!B26</f>
        <v/>
      </c>
      <c r="C3610">
        <f>Inputs!$B$3&gt;=50</f>
        <v/>
      </c>
      <c r="D3610">
        <f>IF(Skills!C26=1,60+Inputs!$B$25+Inputs!$B$29,IF(Skills!C26=2,90+Inputs!$B$26+Inputs!$B$29,IF(Skills!C26=3,120+Inputs!$B$27+Inputs!$B$29,MAX(0,(Inputs!$B$3-100)*3)+Inputs!$B$28+Inputs!$B$29)))</f>
        <v/>
      </c>
      <c r="E3610">
        <f>INDEX(FactorTable!$B$2:$Y$301, MATCH(ROUND(MIN(300,MAX(1,D3610)),0), FactorTable!$A$2:$A$301,0), Skills!M26+1)</f>
        <v/>
      </c>
      <c r="F3610">
        <f>IF(Skills!N26=TRUE,(Skills!L26/10)*(E3610/1000),Skills!L26/10)+Skills!O26</f>
        <v/>
      </c>
      <c r="G3610">
        <f>Skills!G26*IF(Skills!H26&gt;0,Skills!I26/Skills!H26,1)</f>
        <v/>
      </c>
      <c r="H3610">
        <f>1-(1-Skills!J26/100)^Skills!K26</f>
        <v/>
      </c>
      <c r="I3610" t="inlineStr">
        <is>
          <t>1</t>
        </is>
      </c>
      <c r="J3610" t="inlineStr"/>
      <c r="K3610" t="inlineStr"/>
      <c r="L3610" t="inlineStr"/>
      <c r="M3610" t="inlineStr"/>
      <c r="N3610" t="inlineStr"/>
      <c r="O3610">
        <f>(1-Summary!$B$11)*T3610+Summary!$B$11*V3610</f>
        <v/>
      </c>
      <c r="P3610">
        <f>IF(B3629=0,0,O3610/B3629)</f>
        <v/>
      </c>
      <c r="Q3610" t="n">
        <v>0</v>
      </c>
      <c r="R3610" t="n">
        <v>0</v>
      </c>
      <c r="S3610">
        <f>IFERROR(O3610/N3610,0)</f>
        <v/>
      </c>
      <c r="T3610" t="n">
        <v>0</v>
      </c>
      <c r="V3610" t="n">
        <v>0</v>
      </c>
    </row>
    <row r="3611">
      <c r="A3611">
        <f>Skills!A27</f>
        <v/>
      </c>
      <c r="B3611">
        <f>Skills!B27</f>
        <v/>
      </c>
      <c r="C3611">
        <f>Inputs!$B$3&gt;=38</f>
        <v/>
      </c>
      <c r="D3611">
        <f>IF(Skills!C27=1,60+Inputs!$B$25+Inputs!$B$29,IF(Skills!C27=2,90+Inputs!$B$26+Inputs!$B$29,IF(Skills!C27=3,120+Inputs!$B$27+Inputs!$B$29,MAX(0,(Inputs!$B$3-100)*3)+Inputs!$B$28+Inputs!$B$29)))</f>
        <v/>
      </c>
      <c r="E3611">
        <f>INDEX(FactorTable!$B$2:$Y$301, MATCH(ROUND(MIN(300,MAX(1,D3611)),0), FactorTable!$A$2:$A$301,0), Skills!M27+1)</f>
        <v/>
      </c>
      <c r="F3611">
        <f>IF(Skills!N27=TRUE,(Skills!L27/10)*(E3611/1000),Skills!L27/10)+Skills!O27</f>
        <v/>
      </c>
      <c r="G3611">
        <f>Skills!G27*IF(Skills!H27&gt;0,Skills!I27/Skills!H27,1)</f>
        <v/>
      </c>
      <c r="H3611">
        <f>1-(1-Skills!J27/100)^Skills!K27</f>
        <v/>
      </c>
      <c r="I3611" t="inlineStr">
        <is>
          <t>1</t>
        </is>
      </c>
      <c r="J3611" t="inlineStr"/>
      <c r="K3611" t="inlineStr"/>
      <c r="L3611" t="inlineStr"/>
      <c r="M3611" t="inlineStr"/>
      <c r="N3611" t="inlineStr"/>
      <c r="O3611">
        <f>(1-Summary!$B$11)*T3611+Summary!$B$11*V3611</f>
        <v/>
      </c>
      <c r="P3611">
        <f>IF(B3629=0,0,O3611/B3629)</f>
        <v/>
      </c>
      <c r="Q3611" t="n">
        <v>0</v>
      </c>
      <c r="R3611" t="n">
        <v>0</v>
      </c>
      <c r="S3611">
        <f>IFERROR(O3611/N3611,0)</f>
        <v/>
      </c>
      <c r="T3611" t="n">
        <v>0</v>
      </c>
      <c r="V3611" t="n">
        <v>0</v>
      </c>
    </row>
    <row r="3612">
      <c r="A3612">
        <f>Skills!A28</f>
        <v/>
      </c>
      <c r="B3612">
        <f>Skills!B28</f>
        <v/>
      </c>
      <c r="C3612">
        <f>Inputs!$B$3&gt;=120</f>
        <v/>
      </c>
      <c r="D3612">
        <f>IF(Skills!C28=1,60+Inputs!$B$25+Inputs!$B$29,IF(Skills!C28=2,90+Inputs!$B$26+Inputs!$B$29,IF(Skills!C28=3,120+Inputs!$B$27+Inputs!$B$29,MAX(0,(Inputs!$B$3-100)*3)+Inputs!$B$28+Inputs!$B$29)))</f>
        <v/>
      </c>
      <c r="E3612">
        <f>INDEX(FactorTable!$B$2:$Y$301, MATCH(ROUND(MIN(300,MAX(1,D3612)),0), FactorTable!$A$2:$A$301,0), Skills!M28+1)</f>
        <v/>
      </c>
      <c r="F3612">
        <f>IF(Skills!N28=TRUE,(Skills!L28/10)*(E3612/1000),Skills!L28/10)+Skills!O28</f>
        <v/>
      </c>
      <c r="G3612">
        <f>Skills!G28*IF(Skills!H28&gt;0,Skills!I28/Skills!H28,1)</f>
        <v/>
      </c>
      <c r="H3612">
        <f>1-(1-Skills!J28/100)^Skills!K28</f>
        <v/>
      </c>
      <c r="I3612" t="inlineStr">
        <is>
          <t>1</t>
        </is>
      </c>
      <c r="J3612" t="inlineStr"/>
      <c r="K3612" t="inlineStr"/>
      <c r="L3612" t="inlineStr"/>
      <c r="M3612" t="inlineStr"/>
      <c r="N3612" t="inlineStr"/>
      <c r="O3612">
        <f>(1-Summary!$B$11)*T3612+Summary!$B$11*V3612</f>
        <v/>
      </c>
      <c r="P3612">
        <f>IF(B3629=0,0,O3612/B3629)</f>
        <v/>
      </c>
      <c r="Q3612" t="n">
        <v>0</v>
      </c>
      <c r="R3612" t="n">
        <v>0</v>
      </c>
      <c r="S3612">
        <f>IFERROR(O3612/N3612,0)</f>
        <v/>
      </c>
      <c r="T3612" t="n">
        <v>0</v>
      </c>
      <c r="V3612" t="n">
        <v>0</v>
      </c>
    </row>
    <row r="3613">
      <c r="A3613">
        <f>Skills!A29</f>
        <v/>
      </c>
      <c r="B3613">
        <f>Skills!B29</f>
        <v/>
      </c>
      <c r="C3613">
        <f>Inputs!$B$3&gt;=120</f>
        <v/>
      </c>
      <c r="D3613">
        <f>IF(Skills!C29=1,60+Inputs!$B$25+Inputs!$B$29,IF(Skills!C29=2,90+Inputs!$B$26+Inputs!$B$29,IF(Skills!C29=3,120+Inputs!$B$27+Inputs!$B$29,MAX(0,(Inputs!$B$3-100)*3)+Inputs!$B$28+Inputs!$B$29)))</f>
        <v/>
      </c>
      <c r="E3613">
        <f>INDEX(FactorTable!$B$2:$Y$301, MATCH(ROUND(MIN(300,MAX(1,D3613)),0), FactorTable!$A$2:$A$301,0), Skills!M29+1)</f>
        <v/>
      </c>
      <c r="F3613">
        <f>IF(Skills!N29=TRUE,(Skills!L29/10)*(E3613/1000),Skills!L29/10)+Skills!O29</f>
        <v/>
      </c>
      <c r="G3613">
        <f>Skills!G29*IF(Skills!H29&gt;0,Skills!I29/Skills!H29,1)</f>
        <v/>
      </c>
      <c r="H3613">
        <f>1-(1-Skills!J29/100)^Skills!K29</f>
        <v/>
      </c>
      <c r="I3613" t="inlineStr">
        <is>
          <t>1</t>
        </is>
      </c>
      <c r="J3613" t="inlineStr"/>
      <c r="K3613" t="inlineStr"/>
      <c r="L3613" t="inlineStr"/>
      <c r="M3613" t="inlineStr"/>
      <c r="N3613" t="inlineStr"/>
      <c r="O3613">
        <f>(1-Summary!$B$11)*T3613+Summary!$B$11*V3613</f>
        <v/>
      </c>
      <c r="P3613">
        <f>IF(B3629=0,0,O3613/B3629)</f>
        <v/>
      </c>
      <c r="Q3613" t="n">
        <v>0</v>
      </c>
      <c r="R3613" t="n">
        <v>0</v>
      </c>
      <c r="S3613">
        <f>IFERROR(O3613/N3613,0)</f>
        <v/>
      </c>
      <c r="T3613" t="n">
        <v>0</v>
      </c>
      <c r="V3613" t="n">
        <v>0</v>
      </c>
    </row>
    <row r="3614">
      <c r="A3614">
        <f>Skills!A30</f>
        <v/>
      </c>
      <c r="B3614">
        <f>Skills!B30</f>
        <v/>
      </c>
      <c r="C3614">
        <f>Inputs!$B$3&gt;=125</f>
        <v/>
      </c>
      <c r="D3614">
        <f>IF(Skills!C30=1,60+Inputs!$B$25+Inputs!$B$29,IF(Skills!C30=2,90+Inputs!$B$26+Inputs!$B$29,IF(Skills!C30=3,120+Inputs!$B$27+Inputs!$B$29,MAX(0,(Inputs!$B$3-100)*3)+Inputs!$B$28+Inputs!$B$29)))</f>
        <v/>
      </c>
      <c r="E3614">
        <f>INDEX(FactorTable!$B$2:$Y$301, MATCH(ROUND(MIN(300,MAX(1,D3614)),0), FactorTable!$A$2:$A$301,0), Skills!M30+1)</f>
        <v/>
      </c>
      <c r="F3614">
        <f>IF(Skills!N30=TRUE,(Skills!L30/10)*(E3614/1000),Skills!L30/10)+Skills!O30</f>
        <v/>
      </c>
      <c r="G3614">
        <f>Skills!G30*IF(Skills!H30&gt;0,Skills!I30/Skills!H30,1)</f>
        <v/>
      </c>
      <c r="H3614">
        <f>1-(1-Skills!J30/100)^Skills!K30</f>
        <v/>
      </c>
      <c r="I3614" t="inlineStr">
        <is>
          <t>1</t>
        </is>
      </c>
      <c r="J3614" t="inlineStr"/>
      <c r="K3614" t="inlineStr"/>
      <c r="L3614" t="inlineStr"/>
      <c r="M3614" t="inlineStr"/>
      <c r="N3614" t="inlineStr"/>
      <c r="O3614">
        <f>(1-Summary!$B$11)*T3614+Summary!$B$11*V3614</f>
        <v/>
      </c>
      <c r="P3614">
        <f>IF(B3629=0,0,O3614/B3629)</f>
        <v/>
      </c>
      <c r="Q3614" t="n">
        <v>0</v>
      </c>
      <c r="R3614" t="n">
        <v>0</v>
      </c>
      <c r="S3614">
        <f>IFERROR(O3614/N3614,0)</f>
        <v/>
      </c>
      <c r="T3614" t="n">
        <v>0</v>
      </c>
      <c r="V3614" t="n">
        <v>0</v>
      </c>
    </row>
    <row r="3616">
      <c r="A3616" t="inlineStr">
        <is>
          <t>Average Buff Multiplier</t>
        </is>
      </c>
      <c r="B3616">
        <f>(1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f>
        <v/>
      </c>
    </row>
    <row r="3617">
      <c r="A3617" t="inlineStr">
        <is>
          <t>Global Crit Rate Bonus %</t>
        </is>
      </c>
      <c r="B3617">
        <f>((C3604=TRUE)*F3604*IF(AND(Inputs!$B$39&lt;&gt;"pvp",Inputs!$B$44&gt;0),(((R3604-1)*(Skills!Y20*(1+Inputs!$B$34/100))+MIN((Skills!Y20*(1+Inputs!$B$34/100)),MAX(0,Inputs!$B$44-((R3604-1)*Skills!D20))))/Inputs!$B$44),IF(Inputs!$B$39="pvp",MIN((Skills!Y20*(1+Inputs!$B$34/100)),15)/15,(Skills!Y20*(1+Inputs!$B$34/100))/Skills!D20)))</f>
        <v/>
      </c>
    </row>
    <row r="3618">
      <c r="A3618" t="inlineStr">
        <is>
          <t>Global Monster Damage-Taken Bonus %</t>
        </is>
      </c>
      <c r="B3618">
        <f>IF(Inputs!$B$3&gt;=82,15,0)</f>
        <v/>
      </c>
    </row>
    <row r="3619">
      <c r="A3619" t="inlineStr">
        <is>
          <t>Shadow Partner Average Multiplier</t>
        </is>
      </c>
      <c r="B3619">
        <f>1+((C3591=TRUE)*F3591*(1+3.3333333333333335*IF(C3602=TRUE,F3602,0)/100)*I3591*Skills!J7/100)/100</f>
        <v/>
      </c>
    </row>
    <row r="3620">
      <c r="A3620" t="inlineStr">
        <is>
          <t>Attack Speed Buff Bonus %</t>
        </is>
      </c>
      <c r="B3620">
        <f>((C3603=TRUE)*F3603*IF(AND(Inputs!$B$39&lt;&gt;"pvp",Inputs!$B$44&gt;0),(((R3603-1)*(Skills!Y19*(1+Inputs!$B$34/100))+MIN((Skills!Y19*(1+Inputs!$B$34/100)),MAX(0,Inputs!$B$44-((R3603-1)*Skills!D19))))/Inputs!$B$44),IF(Inputs!$B$39="pvp",MIN((Skills!Y19*(1+Inputs!$B$34/100)),15)/15,(Skills!Y19*(1+Inputs!$B$34/100))/Skills!D19)))+((C3587=TRUE)*F3587*3)</f>
        <v/>
      </c>
    </row>
    <row r="3621">
      <c r="A3621" t="inlineStr">
        <is>
          <t>Actions Per Second</t>
        </is>
      </c>
      <c r="B3621">
        <f>1+MIN(150,150*(1-(1-(Inputs!$B$11+((C3606=TRUE)*(F3606-Calc!F22)))/150)*(1-B3620/150)))/100</f>
        <v/>
      </c>
    </row>
    <row r="3622">
      <c r="A3622" t="inlineStr">
        <is>
          <t>Skill + Buff Cast Rate</t>
        </is>
      </c>
      <c r="B3622">
        <f>IF(AND(Inputs!$B$39&lt;&gt;"pvp",Inputs!$B$44&gt;0),SUMPRODUCT((Skills!E2:E30=TRUE)*(C3586:C3614=TRUE)*R3586:R3614*Skills!F2:F30)/Inputs!$B$44,SUMPRODUCT((Skills!E2:E30=TRUE)*(C3586:C3614=TRUE)*Q3586:Q3614*Skills!F2:F30))</f>
        <v/>
      </c>
    </row>
    <row r="3623">
      <c r="A3623" t="inlineStr">
        <is>
          <t>Cruel Stab Casts Per Second</t>
        </is>
      </c>
      <c r="B3623">
        <f>MAX(0,B3621-B3622)</f>
        <v/>
      </c>
    </row>
    <row r="3624">
      <c r="A3624" t="inlineStr">
        <is>
          <t>Global Critical Damage Bonus % (Smokescreen Mastery Lv.113)</t>
        </is>
      </c>
      <c r="B3624">
        <f>IF(Inputs!$B$3&gt;=113,30,0)*IF(AND(Inputs!$B$39&lt;&gt;"pvp",Inputs!$B$44&gt;0),(((R3599-1)*(Skills!Y15*(1+Inputs!$B$34/100))+MIN((Skills!Y15*(1+Inputs!$B$34/100)),MAX(0,Inputs!$B$44-((R3599-1)*Skills!D15))))/Inputs!$B$44),IF(Inputs!$B$39="pvp",MIN((Skills!Y15*(1+Inputs!$B$34/100)),15)/15,(Skills!Y15*(1+Inputs!$B$34/100))/Skills!D15))</f>
        <v/>
      </c>
    </row>
    <row r="3625">
      <c r="A3625" t="inlineStr">
        <is>
          <t>Meso Explosion average stack count</t>
        </is>
      </c>
      <c r="B3625">
        <f>MIN(10,0.5*B3621*Skills!D4)</f>
        <v/>
      </c>
    </row>
    <row r="3626">
      <c r="A3626" t="inlineStr">
        <is>
          <t>Blood Money average stack count</t>
        </is>
      </c>
      <c r="B3626">
        <f>MIN(5,0.25*B3621*Skills!D4)</f>
        <v/>
      </c>
    </row>
    <row r="3627">
      <c r="A3627" t="inlineStr">
        <is>
          <t>Assassinate Murderous Intent Multiplier</t>
        </is>
      </c>
      <c r="B3627">
        <f>1+IFERROR(MIN(1,Q3598*2/Q3595),0)</f>
        <v/>
      </c>
    </row>
    <row r="3628">
      <c r="A3628" t="inlineStr">
        <is>
          <t>Buff-Casting Startup Delay (s, fixed-duration only)</t>
        </is>
      </c>
      <c r="B3628">
        <f>IF(AND(Inputs!$B$39&lt;&gt;"pvp",Inputs!$B$44&gt;0),SUMPRODUCT((Skills!Y2:Y30&gt;0)*(Skills!E2:E30=TRUE)*(C3586:C3614=TRUE))/B3621,0)</f>
        <v/>
      </c>
    </row>
    <row r="3629">
      <c r="A3629" s="6" t="inlineStr">
        <is>
          <t>TOTAL DPS</t>
        </is>
      </c>
      <c r="B3629" s="6">
        <f>SUM(O3586:O3614)</f>
        <v/>
      </c>
    </row>
    <row r="3630">
      <c r="A3630" t="inlineStr">
        <is>
          <t>Boss-Only Total DPS (this block's swept value)</t>
        </is>
      </c>
      <c r="B3630">
        <f>SUM(T3586:T3614)</f>
        <v/>
      </c>
    </row>
    <row r="3631">
      <c r="A3631" t="inlineStr">
        <is>
          <t>Normal-Only Total DPS (this block's swept value)</t>
        </is>
      </c>
      <c r="B3631">
        <f>SUM(V3586:V3614)</f>
        <v/>
      </c>
    </row>
    <row r="3634">
      <c r="A3634" s="6" t="inlineStr">
        <is>
          <t>Stat: CDR = 4.5s</t>
        </is>
      </c>
    </row>
    <row r="3635">
      <c r="A3635" s="5" t="inlineStr">
        <is>
          <t>Key</t>
        </is>
      </c>
      <c r="B3635" s="5" t="inlineStr">
        <is>
          <t>Name</t>
        </is>
      </c>
      <c r="C3635" s="5" t="inlineStr">
        <is>
          <t>Unlocked</t>
        </is>
      </c>
      <c r="D3635" s="5" t="inlineStr">
        <is>
          <t>InputLevel</t>
        </is>
      </c>
      <c r="E3635" s="5" t="inlineStr">
        <is>
          <t>Factor</t>
        </is>
      </c>
      <c r="F3635" s="5" t="inlineStr">
        <is>
          <t>CoefficientPercent</t>
        </is>
      </c>
      <c r="G3635" s="5" t="inlineStr">
        <is>
          <t>EffectiveHits</t>
        </is>
      </c>
      <c r="H3635" s="5" t="inlineStr">
        <is>
          <t>ProcProbability</t>
        </is>
      </c>
      <c r="I3635" s="5" t="inlineStr">
        <is>
          <t>MapleHeroMultiplier</t>
        </is>
      </c>
      <c r="J3635" s="5" t="inlineStr">
        <is>
          <t>BaseDamage</t>
        </is>
      </c>
      <c r="K3635" s="5" t="inlineStr">
        <is>
          <t>BaseHitDamage</t>
        </is>
      </c>
      <c r="L3635" s="5" t="inlineStr">
        <is>
          <t>NonCritAvg</t>
        </is>
      </c>
      <c r="M3635" s="5" t="inlineStr">
        <is>
          <t>CritAvg</t>
        </is>
      </c>
      <c r="N3635" s="5" t="inlineStr">
        <is>
          <t>ExpectedDamage(perHit)</t>
        </is>
      </c>
      <c r="O3635" s="5" t="inlineStr">
        <is>
          <t>DPS</t>
        </is>
      </c>
      <c r="P3635" s="5" t="inlineStr">
        <is>
          <t>% of Total</t>
        </is>
      </c>
      <c r="Q3635" s="5" t="inlineStr">
        <is>
          <t>InvCooldown</t>
        </is>
      </c>
      <c r="R3635" s="5" t="inlineStr">
        <is>
          <t>CastsInFight</t>
        </is>
      </c>
      <c r="S3635" s="5" t="inlineStr">
        <is>
          <t>HitRate(perSec)</t>
        </is>
      </c>
      <c r="U3635" t="inlineStr">
        <is>
          <t>helpers</t>
        </is>
      </c>
    </row>
    <row r="3636">
      <c r="A3636">
        <f>Skills!A2</f>
        <v/>
      </c>
      <c r="B3636">
        <f>Skills!B2</f>
        <v/>
      </c>
      <c r="C3636">
        <f>Inputs!$B$3&gt;=100</f>
        <v/>
      </c>
      <c r="D3636" t="inlineStr"/>
      <c r="E3636" t="inlineStr"/>
      <c r="F3636">
        <f>U3638+Skills!O2</f>
        <v/>
      </c>
      <c r="G3636">
        <f>Skills!G2*IF(Skills!H2&gt;0,Skills!I2/Skills!H2,1)</f>
        <v/>
      </c>
      <c r="H3636">
        <f>1-(1-Skills!J2/100)^Skills!K2</f>
        <v/>
      </c>
      <c r="I3636" t="inlineStr">
        <is>
          <t>1</t>
        </is>
      </c>
      <c r="J3636">
        <f>((Inputs!$B$6*(1+Inputs!$B$7/100))+(((Inputs!$B$12*(1+Inputs!$B$13/100))-(Inputs!$B$12*(1+Inputs!$B$13/100)))+0.25*(Inputs!$B$14-Inputs!$B$14))*(1+Inputs!$B$7/100))*(F3636/100)</f>
        <v/>
      </c>
      <c r="K3636">
        <f>J3636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3636)</f>
        <v/>
      </c>
      <c r="L3636">
        <f>K3636*(MIN(Inputs!$B$22+((C3658=TRUE)*(F3658-Calc!F24)),(Inputs!$B$23+((C3663=TRUE)*(F3663-Calc!F29))+IF(ArtifactsInput!$M$15,CHOOSE(ArtifactsInput!$N$15+1,25,30,35,40,45,50)/100*(Inputs!$B$11-Inputs!$B$11),0)))/100+(Inputs!$B$23+((C3663=TRUE)*(F3663-Calc!F29))+IF(ArtifactsInput!$M$15,CHOOSE(ArtifactsInput!$N$15+1,25,30,35,40,45,50)/100*(Inputs!$B$11-Inputs!$B$11),0))/100)/2</f>
        <v/>
      </c>
      <c r="M3636">
        <f>L3636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6">
        <f>L3636*(1-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3636*(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6">
        <f>(1-Summary!$B$11)*T3636+Summary!$B$11*V3636</f>
        <v/>
      </c>
      <c r="P3636">
        <f>IF(B3679=0,0,O3636/B3679)</f>
        <v/>
      </c>
      <c r="Q3636" t="n">
        <v>0</v>
      </c>
      <c r="R3636" t="n">
        <v>0</v>
      </c>
      <c r="S3636">
        <f>IFERROR(O3636/N3636,0)</f>
        <v/>
      </c>
      <c r="T3636">
        <f>IF(C3636,(Skills!G2*N3636*B3673)*IF(Inputs!$B$39="pvp",1,1+(Inputs!$B$20+0+Skills!P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3636*(1-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3636*(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3636*(1-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3636*(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6">
        <f>MAX(0,(Inputs!$B$3-100)*3)+Inputs!$B$28+Inputs!$B$29</f>
        <v/>
      </c>
      <c r="V3636">
        <f>IF(C3636,(Skills!G2*N3636*B3673)*IF(Inputs!$B$39="pvp",1,(1+(Inputs!$B$21+Skills!Q2+B3668+(IF(ArtifactsInput!$M$33,CHOOSE(ArtifactsInput!$N$33+1,30,36,42,48,54,60),0))+(IF(AND(ArtifactsInput!$M$35,Inputs!$B$4&lt;&gt;"Chapter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7">
      <c r="A3637">
        <f>Skills!A3</f>
        <v/>
      </c>
      <c r="B3637">
        <f>Skills!B3</f>
        <v/>
      </c>
      <c r="C3637">
        <f>Inputs!$B$3&gt;=35</f>
        <v/>
      </c>
      <c r="D3637">
        <f>IF(Skills!C3=1,60+Inputs!$B$25+Inputs!$B$29,IF(Skills!C3=2,90+Inputs!$B$26+Inputs!$B$29,IF(Skills!C3=3,120+Inputs!$B$27+Inputs!$B$29,MAX(0,(Inputs!$B$3-100)*3)+Inputs!$B$28+Inputs!$B$29)))</f>
        <v/>
      </c>
      <c r="E3637">
        <f>INDEX(FactorTable!$B$2:$Y$301, MATCH(ROUND(MIN(300,MAX(1,D3637)),0), FactorTable!$A$2:$A$301,0), Skills!M3+1)</f>
        <v/>
      </c>
      <c r="F3637">
        <f>IF(Skills!N3=TRUE,(Skills!L3/10)*(E3637/1000),Skills!L3/10)+Skills!O3</f>
        <v/>
      </c>
      <c r="G3637">
        <f>Skills!G3*IF(Skills!H3&gt;0,Skills!I3/Skills!H3,1)</f>
        <v/>
      </c>
      <c r="H3637">
        <f>1-(1-Skills!J3/100)^Skills!K3</f>
        <v/>
      </c>
      <c r="I3637" t="inlineStr">
        <is>
          <t>1</t>
        </is>
      </c>
      <c r="J3637" t="inlineStr"/>
      <c r="K3637" t="inlineStr"/>
      <c r="L3637" t="inlineStr"/>
      <c r="M3637" t="inlineStr"/>
      <c r="N3637" t="inlineStr"/>
      <c r="O3637">
        <f>(1-Summary!$B$11)*T3637+Summary!$B$11*V3637</f>
        <v/>
      </c>
      <c r="P3637">
        <f>IF(B3679=0,0,O3637/B3679)</f>
        <v/>
      </c>
      <c r="Q3637" t="n">
        <v>0</v>
      </c>
      <c r="R3637" t="n">
        <v>0</v>
      </c>
      <c r="S3637">
        <f>IFERROR(O3637/N3637,0)</f>
        <v/>
      </c>
      <c r="T3637" t="n">
        <v>0</v>
      </c>
      <c r="U3637">
        <f>INDEX(FactorTable!$B$2:$Y$301, MATCH(ROUND(MIN(300,MAX(1,U3636)),0), FactorTable!$A$2:$A$301,0), 22)</f>
        <v/>
      </c>
      <c r="V3637" t="n">
        <v>0</v>
      </c>
    </row>
    <row r="3638">
      <c r="A3638">
        <f>Skills!A4</f>
        <v/>
      </c>
      <c r="B3638">
        <f>Skills!B4</f>
        <v/>
      </c>
      <c r="C3638">
        <f>Inputs!$B$3&gt;=66</f>
        <v/>
      </c>
      <c r="D3638">
        <f>IF(Skills!C4=1,60+Inputs!$B$25+Inputs!$B$29,IF(Skills!C4=2,90+Inputs!$B$26+Inputs!$B$29,IF(Skills!C4=3,120+Inputs!$B$27+Inputs!$B$29,MAX(0,(Inputs!$B$3-100)*3)+Inputs!$B$28+Inputs!$B$29)))</f>
        <v/>
      </c>
      <c r="E3638">
        <f>INDEX(FactorTable!$B$2:$Y$301, MATCH(ROUND(MIN(300,MAX(1,D3638)),0), FactorTable!$A$2:$A$301,0), Skills!M4+1)</f>
        <v/>
      </c>
      <c r="F3638">
        <f>IF(Skills!N4=TRUE,(Skills!L4/10)*(E3638/1000),Skills!L4/10)+Skills!O4</f>
        <v/>
      </c>
      <c r="G3638">
        <f>Skills!G4*IF(Skills!H4&gt;0,Skills!I4/Skills!H4,1)</f>
        <v/>
      </c>
      <c r="H3638">
        <f>1-(1-Skills!J4/100)^Skills!K4</f>
        <v/>
      </c>
      <c r="I3638" t="inlineStr">
        <is>
          <t>1</t>
        </is>
      </c>
      <c r="J3638">
        <f>((Inputs!$B$6*(1+Inputs!$B$7/100))+(((Inputs!$B$12*(1+Inputs!$B$13/100))-(Inputs!$B$12*(1+Inputs!$B$13/100)))+0.25*(Inputs!$B$14-Inputs!$B$14))*(1+Inputs!$B$7/100))*(F3638/100)</f>
        <v/>
      </c>
      <c r="K3638">
        <f>J3638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3638)</f>
        <v/>
      </c>
      <c r="L3638">
        <f>K3638*(MIN(Inputs!$B$22+((C3658=TRUE)*(F3658-Calc!F24)),(Inputs!$B$23+((C3663=TRUE)*(F3663-Calc!F29))+IF(ArtifactsInput!$M$15,CHOOSE(ArtifactsInput!$N$15+1,25,30,35,40,45,50)/100*(Inputs!$B$11-Inputs!$B$11),0)))/100+(Inputs!$B$23+((C3663=TRUE)*(F3663-Calc!F29))+IF(ArtifactsInput!$M$15,CHOOSE(ArtifactsInput!$N$15+1,25,30,35,40,45,50)/100*(Inputs!$B$11-Inputs!$B$11),0))/100)/2</f>
        <v/>
      </c>
      <c r="M3638">
        <f>L3638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8">
        <f>L3638*(1-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3638*(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8">
        <f>(1-Summary!$B$11)*T3638+Summary!$B$11*V3638</f>
        <v/>
      </c>
      <c r="P3638">
        <f>IF(B3679=0,0,O3638/B3679)</f>
        <v/>
      </c>
      <c r="Q3638">
        <f>IFERROR(1/IF(Inputs!$B$39="pvp",15,MAX(0.1,Skills!D4-IF(Skills!E4=TRUE,4.5,0))),0)</f>
        <v/>
      </c>
      <c r="R3638">
        <f>IF(AND(Inputs!$B$39&lt;&gt;"pvp",Inputs!$B$44&gt;0),IF(MAX(0,Inputs!$B$44-B3678)&lt;=0,0,(INT(MAX(0,Inputs!$B$44-B3678)/IF(Inputs!$B$39="pvp",15,MAX(0.1,Skills!D4-IF(Skills!E4=TRUE,4.5,0))))+1)),0)</f>
        <v/>
      </c>
      <c r="S3638">
        <f>IFERROR(O3638/N3638,0)</f>
        <v/>
      </c>
      <c r="T3638">
        <f>IF(C3638,(H3638*N3638*IF(AND(Inputs!$B$39&lt;&gt;"pvp",Inputs!$B$44&gt;0),((Skills!G4*((R3638-1)*IF(Skills!H4&gt;0,Skills!I4/Skills!H4,1)+IF(Skills!H4&gt;0,MIN(Skills!I4,MAX(0,MAX(0,Inputs!$B$44-B3678)-((R3638-1)*IF(Inputs!$B$39="pvp",15,MAX(0.1,Skills!D4-IF(Skills!E4=TRUE,4.5,0))))))/Skills!H4,1)))/Inputs!$B$44),G3638*Q3638))*IF(Inputs!$B$39="pvp",1,1+(Inputs!$B$20+0+Skills!P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3638*(1-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3638*(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3638*(1-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3638*(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8">
        <f>290*U3637/1000</f>
        <v/>
      </c>
      <c r="V3638">
        <f>IF(C3638,(H3638*N3638*IF(AND(Inputs!$B$39&lt;&gt;"pvp",Inputs!$B$44&gt;0),((Skills!G4*((R3638-1)*IF(Skills!H4&gt;0,Skills!I4/Skills!H4,1)+IF(Skills!H4&gt;0,MIN(Skills!I4,MAX(0,MAX(0,Inputs!$B$44-B3678)-((R3638-1)*IF(Inputs!$B$39="pvp",15,MAX(0.1,Skills!D4-IF(Skills!E4=TRUE,4.5,0))))))/Skills!H4,1)))/Inputs!$B$44),G3638*Q3638))*IF(Inputs!$B$39="pvp",1,(1+(Inputs!$B$21+Skills!Q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(10,0.5*B3671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9">
      <c r="A3639">
        <f>Skills!A5</f>
        <v/>
      </c>
      <c r="B3639">
        <f>Skills!B5</f>
        <v/>
      </c>
      <c r="C3639">
        <f>Inputs!$B$3&gt;=63</f>
        <v/>
      </c>
      <c r="D3639">
        <f>IF(Skills!C5=1,60+Inputs!$B$25+Inputs!$B$29,IF(Skills!C5=2,90+Inputs!$B$26+Inputs!$B$29,IF(Skills!C5=3,120+Inputs!$B$27+Inputs!$B$29,MAX(0,(Inputs!$B$3-100)*3)+Inputs!$B$28+Inputs!$B$29)))</f>
        <v/>
      </c>
      <c r="E3639">
        <f>INDEX(FactorTable!$B$2:$Y$301, MATCH(ROUND(MIN(300,MAX(1,D3639)),0), FactorTable!$A$2:$A$301,0), Skills!M5+1)</f>
        <v/>
      </c>
      <c r="F3639">
        <f>IF(Skills!N5=TRUE,(Skills!L5/10)*(E3639/1000),Skills!L5/10)+Skills!O5</f>
        <v/>
      </c>
      <c r="G3639">
        <f>Skills!G5*IF(Skills!H5&gt;0,Skills!I5/Skills!H5,1)</f>
        <v/>
      </c>
      <c r="H3639">
        <f>1-(1-Skills!J5/100)^Skills!K5</f>
        <v/>
      </c>
      <c r="I3639" t="inlineStr">
        <is>
          <t>1</t>
        </is>
      </c>
      <c r="J3639">
        <f>((Inputs!$B$6*(1+Inputs!$B$7/100))+(((Inputs!$B$12*(1+Inputs!$B$13/100))-(Inputs!$B$12*(1+Inputs!$B$13/100)))+0.25*(Inputs!$B$14-Inputs!$B$14))*(1+Inputs!$B$7/100))*(F3639/100)</f>
        <v/>
      </c>
      <c r="K3639">
        <f>J3639*(1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3652=TRUE,F3652,0)/100)*(1+(IF(Skills!A5="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3639)</f>
        <v/>
      </c>
      <c r="L3639">
        <f>K3639*(MIN(Inputs!$B$22+((C3658=TRUE)*(F3658-Calc!F24)),(Inputs!$B$23+((C3663=TRUE)*(F3663-Calc!F29))+IF(ArtifactsInput!$M$15,CHOOSE(ArtifactsInput!$N$15+1,25,30,35,40,45,50)/100*(Inputs!$B$11-Inputs!$B$11),0)))/100+(Inputs!$B$23+((C3663=TRUE)*(F3663-Calc!F29))+IF(ArtifactsInput!$M$15,CHOOSE(ArtifactsInput!$N$15+1,25,30,35,40,45,50)/100*(Inputs!$B$11-Inputs!$B$11),0))/100)/2</f>
        <v/>
      </c>
      <c r="M3639">
        <f>L3639*(1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9">
        <f>L3639*(1-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3639*(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9">
        <f>(1-Summary!$B$11)*T3639+Summary!$B$11*V3639</f>
        <v/>
      </c>
      <c r="P3639">
        <f>IF(B3679=0,0,O3639/B3679)</f>
        <v/>
      </c>
      <c r="Q3639">
        <f>IFERROR(1/IF(Inputs!$B$39="pvp",15,MAX(0.1,Skills!D5-IF(Skills!E5=TRUE,4.5,0))),0)</f>
        <v/>
      </c>
      <c r="R3639">
        <f>IF(AND(Inputs!$B$39&lt;&gt;"pvp",Inputs!$B$44&gt;0),IF(MAX(0,Inputs!$B$44-B3678)&lt;=0,0,(INT(MAX(0,Inputs!$B$44-B3678)/IF(Inputs!$B$39="pvp",15,MAX(0.1,Skills!D5-IF(Skills!E5=TRUE,4.5,0))))+1)),0)</f>
        <v/>
      </c>
      <c r="S3639">
        <f>IFERROR(O3639/N3639,0)</f>
        <v/>
      </c>
      <c r="T3639">
        <f>IF(C3639,(H3639*N3639*IF(AND(Inputs!$B$39&lt;&gt;"pvp",Inputs!$B$44&gt;0),((Skills!G5*((R3639-1)*IF(Skills!H5&gt;0,Skills!I5/Skills!H5,1)+IF(Skills!H5&gt;0,MIN(Skills!I5,MAX(0,MAX(0,Inputs!$B$44-B3678)-((R3639-1)*IF(Inputs!$B$39="pvp",15,MAX(0.1,Skills!D5-IF(Skills!E5=TRUE,4.5,0))))))/Skills!H5,1)))/Inputs!$B$44),G3639*Q3639))*IF(Inputs!$B$39="pvp",1,1+(Inputs!$B$20+0+Skills!P5+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3639*(1-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3639*(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3639*(1-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3639*(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9">
        <f>IF(C3639,(H3639*N3639*IF(AND(Inputs!$B$39&lt;&gt;"pvp",Inputs!$B$44&gt;0),((Skills!G5*((R3639-1)*IF(Skills!H5&gt;0,Skills!I5/Skills!H5,1)+IF(Skills!H5&gt;0,MIN(Skills!I5,MAX(0,MAX(0,Inputs!$B$44-B3678)-((R3639-1)*IF(Inputs!$B$39="pvp",15,MAX(0.1,Skills!D5-IF(Skills!E5=TRUE,4.5,0))))))/Skills!H5,1)))/Inputs!$B$44),G3639*Q3639))*IF(Inputs!$B$39="pvp",1,(1+(Inputs!$B$21+Skills!Q5+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0">
      <c r="A3640">
        <f>Skills!A6</f>
        <v/>
      </c>
      <c r="B3640">
        <f>Skills!B6</f>
        <v/>
      </c>
      <c r="C3640">
        <f>Inputs!$B$3&gt;=69</f>
        <v/>
      </c>
      <c r="D3640">
        <f>IF(Skills!C6=1,60+Inputs!$B$25+Inputs!$B$29,IF(Skills!C6=2,90+Inputs!$B$26+Inputs!$B$29,IF(Skills!C6=3,120+Inputs!$B$27+Inputs!$B$29,MAX(0,(Inputs!$B$3-100)*3)+Inputs!$B$28+Inputs!$B$29)))</f>
        <v/>
      </c>
      <c r="E3640">
        <f>INDEX(FactorTable!$B$2:$Y$301, MATCH(ROUND(MIN(300,MAX(1,D3640)),0), FactorTable!$A$2:$A$301,0), Skills!M6+1)</f>
        <v/>
      </c>
      <c r="F3640">
        <f>IF(Skills!N6=TRUE,(Skills!L6/10)*(E3640/1000),Skills!L6/10)+Skills!O6</f>
        <v/>
      </c>
      <c r="G3640">
        <f>Skills!G6*IF(Skills!H6&gt;0,Skills!I6/Skills!H6,1)</f>
        <v/>
      </c>
      <c r="H3640">
        <f>1-(1-Skills!J6/100)^Skills!K6</f>
        <v/>
      </c>
      <c r="I3640" t="inlineStr">
        <is>
          <t>1</t>
        </is>
      </c>
      <c r="J3640">
        <f>((Inputs!$B$6*(1+Inputs!$B$7/100))+(((Inputs!$B$12*(1+Inputs!$B$13/100))-(Inputs!$B$12*(1+Inputs!$B$13/100)))+0.25*(Inputs!$B$14-Inputs!$B$14))*(1+Inputs!$B$7/100))*(F3640/100)</f>
        <v/>
      </c>
      <c r="K3640">
        <f>J3640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3652=TRUE,F3652,0)/100)*(1+(IF(Skills!A6="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3640)</f>
        <v/>
      </c>
      <c r="L3640">
        <f>K3640*(MIN(Inputs!$B$22+((C3658=TRUE)*(F3658-Calc!F24)),(Inputs!$B$23+((C3663=TRUE)*(F3663-Calc!F29))+IF(ArtifactsInput!$M$15,CHOOSE(ArtifactsInput!$N$15+1,25,30,35,40,45,50)/100*(Inputs!$B$11-Inputs!$B$11),0)))/100+(Inputs!$B$23+((C3663=TRUE)*(F3663-Calc!F29))+IF(ArtifactsInput!$M$15,CHOOSE(ArtifactsInput!$N$15+1,25,30,35,40,45,50)/100*(Inputs!$B$11-Inputs!$B$11),0))/100)/2</f>
        <v/>
      </c>
      <c r="M3640">
        <f>L3640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0">
        <f>L3640*(1-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3640*(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0">
        <f>(1-Summary!$B$11)*T3640+Summary!$B$11*V3640</f>
        <v/>
      </c>
      <c r="P3640">
        <f>IF(B3679=0,0,O3640/B3679)</f>
        <v/>
      </c>
      <c r="Q3640">
        <f>IFERROR(1/IF(Inputs!$B$39="pvp",15,MAX(0.1,Skills!D6-IF(Skills!E6=TRUE,4.5,0))),0)</f>
        <v/>
      </c>
      <c r="R3640">
        <f>IF(AND(Inputs!$B$39&lt;&gt;"pvp",Inputs!$B$44&gt;0),IF(MAX(0,Inputs!$B$44-B3678)&lt;=0,0,(INT(MAX(0,Inputs!$B$44-B3678)/IF(Inputs!$B$39="pvp",15,MAX(0.1,Skills!D6-IF(Skills!E6=TRUE,4.5,0))))+1)),0)</f>
        <v/>
      </c>
      <c r="S3640">
        <f>IFERROR(O3640/N3640,0)</f>
        <v/>
      </c>
      <c r="T3640">
        <f>IF(C3640,(H3640*N3640*IF(AND(Inputs!$B$39&lt;&gt;"pvp",Inputs!$B$44&gt;0),((Skills!G6*((R3640-1)*IF(Skills!H6&gt;0,Skills!I6/Skills!H6,1)+IF(Skills!H6&gt;0,MIN(Skills!I6,MAX(0,MAX(0,Inputs!$B$44-B3678)-((R3640-1)*IF(Inputs!$B$39="pvp",15,MAX(0.1,Skills!D6-IF(Skills!E6=TRUE,4.5,0))))))/Skills!H6,1)))/Inputs!$B$44),G3640*Q3640))*IF(Inputs!$B$39="pvp",1,1+(Inputs!$B$20+0+Skills!P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3640*(1-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3640*(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3640*(1-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3640*(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0">
        <f>IF(C3640,(H3640*N3640*IF(AND(Inputs!$B$39&lt;&gt;"pvp",Inputs!$B$44&gt;0),((Skills!G6*((R3640-1)*IF(Skills!H6&gt;0,Skills!I6/Skills!H6,1)+IF(Skills!H6&gt;0,MIN(Skills!I6,MAX(0,MAX(0,Inputs!$B$44-B3678)-((R3640-1)*IF(Inputs!$B$39="pvp",15,MAX(0.1,Skills!D6-IF(Skills!E6=TRUE,4.5,0))))))/Skills!H6,1)))/Inputs!$B$44),G3640*Q3640))*IF(Inputs!$B$39="pvp",1,(1+(Inputs!$B$21+Skills!Q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1">
      <c r="A3641">
        <f>Skills!A7</f>
        <v/>
      </c>
      <c r="B3641">
        <f>Skills!B7</f>
        <v/>
      </c>
      <c r="C3641">
        <f>Inputs!$B$3&gt;=60</f>
        <v/>
      </c>
      <c r="D3641">
        <f>IF(Skills!C7=1,60+Inputs!$B$25+Inputs!$B$29,IF(Skills!C7=2,90+Inputs!$B$26+Inputs!$B$29,IF(Skills!C7=3,120+Inputs!$B$27+Inputs!$B$29,MAX(0,(Inputs!$B$3-100)*3)+Inputs!$B$28+Inputs!$B$29)))</f>
        <v/>
      </c>
      <c r="E3641">
        <f>INDEX(FactorTable!$B$2:$Y$301, MATCH(ROUND(MIN(300,MAX(1,D3641)),0), FactorTable!$A$2:$A$301,0), Skills!M7+1)</f>
        <v/>
      </c>
      <c r="F3641">
        <f>IF(Skills!N7=TRUE,(Skills!L7/10)*(E3641/1000),Skills!L7/10)+Skills!O7</f>
        <v/>
      </c>
      <c r="G3641">
        <f>Skills!G7*IF(Skills!H7&gt;0,Skills!I7/Skills!H7,1)</f>
        <v/>
      </c>
      <c r="H3641">
        <f>1-(1-Skills!J7/100)^Skills!K7</f>
        <v/>
      </c>
      <c r="I3641" t="inlineStr">
        <is>
          <t>1</t>
        </is>
      </c>
      <c r="J3641" t="inlineStr"/>
      <c r="K3641" t="inlineStr"/>
      <c r="L3641" t="inlineStr"/>
      <c r="M3641" t="inlineStr"/>
      <c r="N3641" t="inlineStr"/>
      <c r="O3641">
        <f>(1-Summary!$B$11)*T3641+Summary!$B$11*V3641</f>
        <v/>
      </c>
      <c r="P3641">
        <f>IF(B3679=0,0,O3641/B3679)</f>
        <v/>
      </c>
      <c r="Q3641" t="n">
        <v>0</v>
      </c>
      <c r="R3641" t="n">
        <v>0</v>
      </c>
      <c r="S3641">
        <f>IFERROR(O3641/N3641,0)</f>
        <v/>
      </c>
      <c r="T3641" t="n">
        <v>0</v>
      </c>
      <c r="V3641" t="n">
        <v>0</v>
      </c>
    </row>
    <row r="3642">
      <c r="A3642">
        <f>Skills!A8</f>
        <v/>
      </c>
      <c r="B3642">
        <f>Skills!B8</f>
        <v/>
      </c>
      <c r="C3642">
        <f>Inputs!$B$3&gt;=72</f>
        <v/>
      </c>
      <c r="D3642">
        <f>IF(Skills!C8=1,60+Inputs!$B$25+Inputs!$B$29,IF(Skills!C8=2,90+Inputs!$B$26+Inputs!$B$29,IF(Skills!C8=3,120+Inputs!$B$27+Inputs!$B$29,MAX(0,(Inputs!$B$3-100)*3)+Inputs!$B$28+Inputs!$B$29)))</f>
        <v/>
      </c>
      <c r="E3642">
        <f>INDEX(FactorTable!$B$2:$Y$301, MATCH(ROUND(MIN(300,MAX(1,D3642)),0), FactorTable!$A$2:$A$301,0), Skills!M8+1)</f>
        <v/>
      </c>
      <c r="F3642">
        <f>IF(Skills!N8=TRUE,(Skills!L8/10)*(E3642/1000),Skills!L8/10)+Skills!O8</f>
        <v/>
      </c>
      <c r="G3642">
        <f>Skills!G8*IF(Skills!H8&gt;0,Skills!I8/Skills!H8,1)</f>
        <v/>
      </c>
      <c r="H3642">
        <f>1-(1-Skills!J8/100)^Skills!K8</f>
        <v/>
      </c>
      <c r="I3642" t="inlineStr">
        <is>
          <t>1</t>
        </is>
      </c>
      <c r="J3642">
        <f>((Inputs!$B$6*(1+Inputs!$B$7/100))+(((Inputs!$B$12*(1+Inputs!$B$13/100))-(Inputs!$B$12*(1+Inputs!$B$13/100)))+0.25*(Inputs!$B$14-Inputs!$B$14))*(1+Inputs!$B$7/100))*(F3642/100)</f>
        <v/>
      </c>
      <c r="K3642">
        <f>J3642*(1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3652=TRUE,F3652,0)/100)*(1+(IF(Skills!A8="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3642)</f>
        <v/>
      </c>
      <c r="L3642">
        <f>K3642*(MIN(Inputs!$B$22+((C3658=TRUE)*(F3658-Calc!F24)),(Inputs!$B$23+((C3663=TRUE)*(F3663-Calc!F29))+IF(ArtifactsInput!$M$15,CHOOSE(ArtifactsInput!$N$15+1,25,30,35,40,45,50)/100*(Inputs!$B$11-Inputs!$B$11),0)))/100+(Inputs!$B$23+((C3663=TRUE)*(F3663-Calc!F29))+IF(ArtifactsInput!$M$15,CHOOSE(ArtifactsInput!$N$15+1,25,30,35,40,45,50)/100*(Inputs!$B$11-Inputs!$B$11),0))/100)/2</f>
        <v/>
      </c>
      <c r="M3642">
        <f>L3642*(1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2">
        <f>L3642*(1-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3642*(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2">
        <f>(1-Summary!$B$11)*T3642+Summary!$B$11*V3642</f>
        <v/>
      </c>
      <c r="P3642">
        <f>IF(B3679=0,0,O3642/B3679)</f>
        <v/>
      </c>
      <c r="Q3642">
        <f>IFERROR(1/IF(Inputs!$B$39="pvp",15,MAX(0.1,Skills!D8-IF(Skills!E8=TRUE,4.5,0))),0)</f>
        <v/>
      </c>
      <c r="R3642">
        <f>IF(AND(Inputs!$B$39&lt;&gt;"pvp",Inputs!$B$44&gt;0),IF(MAX(0,Inputs!$B$44-B3678)&lt;=0,0,(INT(MAX(0,Inputs!$B$44-B3678)/IF(Inputs!$B$39="pvp",15,MAX(0.1,Skills!D8-IF(Skills!E8=TRUE,4.5,0))))+1)),0)</f>
        <v/>
      </c>
      <c r="S3642">
        <f>IFERROR(O3642/N3642,0)</f>
        <v/>
      </c>
      <c r="T3642">
        <f>IF(C3642,(H3642*N3642*IF(AND(Inputs!$B$39&lt;&gt;"pvp",Inputs!$B$44&gt;0),((Skills!G8*((R3642-1)*IF(Skills!H8&gt;0,Skills!I8/Skills!H8,1)+IF(Skills!H8&gt;0,MIN(Skills!I8,MAX(0,MAX(0,Inputs!$B$44-B3678)-((R3642-1)*IF(Inputs!$B$39="pvp",15,MAX(0.1,Skills!D8-IF(Skills!E8=TRUE,4.5,0))))))/Skills!H8,1)))/Inputs!$B$44),G3642*Q3642))*IF(Inputs!$B$39="pvp",1,1+(Inputs!$B$20+0+Skills!P8+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3642*(1-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3642*(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3642*(1-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3642*(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2">
        <f>IF(C3642,(H3642*N3642*IF(AND(Inputs!$B$39&lt;&gt;"pvp",Inputs!$B$44&gt;0),((Skills!G8*((R3642-1)*IF(Skills!H8&gt;0,Skills!I8/Skills!H8,1)+IF(Skills!H8&gt;0,MIN(Skills!I8,MAX(0,MAX(0,Inputs!$B$44-B3678)-((R3642-1)*IF(Inputs!$B$39="pvp",15,MAX(0.1,Skills!D8-IF(Skills!E8=TRUE,4.5,0))))))/Skills!H8,1)))/Inputs!$B$44),G3642*Q3642))*IF(Inputs!$B$39="pvp",1,(1+(Inputs!$B$21+Skills!Q8+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3">
      <c r="A3643">
        <f>Skills!A9</f>
        <v/>
      </c>
      <c r="B3643">
        <f>Skills!B9</f>
        <v/>
      </c>
      <c r="C3643">
        <f>Inputs!$B$3&gt;=117</f>
        <v/>
      </c>
      <c r="D3643">
        <f>IF(Skills!C9=1,60+Inputs!$B$25+Inputs!$B$29,IF(Skills!C9=2,90+Inputs!$B$26+Inputs!$B$29,IF(Skills!C9=3,120+Inputs!$B$27+Inputs!$B$29,MAX(0,(Inputs!$B$3-100)*3)+Inputs!$B$28+Inputs!$B$29)))</f>
        <v/>
      </c>
      <c r="E3643">
        <f>INDEX(FactorTable!$B$2:$Y$301, MATCH(ROUND(MIN(300,MAX(1,D3643)),0), FactorTable!$A$2:$A$301,0), Skills!M9+1)</f>
        <v/>
      </c>
      <c r="F3643">
        <f>IF(Skills!N9=TRUE,(Skills!L9/10)*(E3643/1000),Skills!L9/10)+Skills!O9</f>
        <v/>
      </c>
      <c r="G3643">
        <f>Skills!G9*IF(Skills!H9&gt;0,Skills!I9/Skills!H9,1)</f>
        <v/>
      </c>
      <c r="H3643">
        <f>1-(1-Skills!J9/100)^Skills!K9</f>
        <v/>
      </c>
      <c r="I3643" t="inlineStr">
        <is>
          <t>1</t>
        </is>
      </c>
      <c r="J3643">
        <f>((Inputs!$B$6*(1+Inputs!$B$7/100))+(((Inputs!$B$12*(1+Inputs!$B$13/100))-(Inputs!$B$12*(1+Inputs!$B$13/100)))+0.25*(Inputs!$B$14-Inputs!$B$14))*(1+Inputs!$B$7/100))*(F3643/100)</f>
        <v/>
      </c>
      <c r="K3643">
        <f>J3643*(1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3643)</f>
        <v/>
      </c>
      <c r="L3643">
        <f>K3643*(MIN(Inputs!$B$22+((C3658=TRUE)*(F3658-Calc!F24)),(Inputs!$B$23+((C3663=TRUE)*(F3663-Calc!F29))+IF(ArtifactsInput!$M$15,CHOOSE(ArtifactsInput!$N$15+1,25,30,35,40,45,50)/100*(Inputs!$B$11-Inputs!$B$11),0)))/100+(Inputs!$B$23+((C3663=TRUE)*(F3663-Calc!F29))+IF(ArtifactsInput!$M$15,CHOOSE(ArtifactsInput!$N$15+1,25,30,35,40,45,50)/100*(Inputs!$B$11-Inputs!$B$11),0))/100)/2</f>
        <v/>
      </c>
      <c r="M3643">
        <f>L3643*(1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3">
        <f>L3643*(1-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3643*(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3">
        <f>(1-Summary!$B$11)*T3643+Summary!$B$11*V3643</f>
        <v/>
      </c>
      <c r="P3643">
        <f>IF(B3679=0,0,O3643/B3679)</f>
        <v/>
      </c>
      <c r="Q3643" t="n">
        <v>0</v>
      </c>
      <c r="R3643" t="n">
        <v>0</v>
      </c>
      <c r="S3643" t="n">
        <v>0</v>
      </c>
      <c r="T3643">
        <f>IF(C3643,(0.2*SUMPRODUCT((Skills!Z2:Z30=TRUE)*(C3636:C3664=TRUE)*S3636:S3664)*N3643)*IF(Inputs!$B$39="pvp",1,1+(Inputs!$B$20+0+Skills!P9+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3643*(1-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3643*(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3643*(1-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3643*(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3">
        <f>IF(C3643,(0.2*SUMPRODUCT((Skills!Z2:Z30=TRUE)*(C3636:C3664=TRUE)*S3636:S3664)*N3643)*IF(Inputs!$B$39="pvp",1,(1+(Inputs!$B$21+Skills!Q9+B3668+(IF(ArtifactsInput!$M$33,CHOOSE(ArtifactsInput!$N$33+1,30,36,42,48,54,60),0))+(IF(AND(ArtifactsInput!$M$35,Inputs!$B$4&lt;&gt;"Chapter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4">
      <c r="A3644">
        <f>Skills!A10</f>
        <v/>
      </c>
      <c r="B3644">
        <f>Skills!B10</f>
        <v/>
      </c>
      <c r="C3644">
        <f>Inputs!$B$3&gt;=74</f>
        <v/>
      </c>
      <c r="D3644">
        <f>IF(Skills!C10=1,60+Inputs!$B$25+Inputs!$B$29,IF(Skills!C10=2,90+Inputs!$B$26+Inputs!$B$29,IF(Skills!C10=3,120+Inputs!$B$27+Inputs!$B$29,MAX(0,(Inputs!$B$3-100)*3)+Inputs!$B$28+Inputs!$B$29)))</f>
        <v/>
      </c>
      <c r="E3644">
        <f>INDEX(FactorTable!$B$2:$Y$301, MATCH(ROUND(MIN(300,MAX(1,D3644)),0), FactorTable!$A$2:$A$301,0), Skills!M10+1)</f>
        <v/>
      </c>
      <c r="F3644">
        <f>IF(Skills!N10=TRUE,(Skills!L10/10)*(E3644/1000),Skills!L10/10)+Skills!O10</f>
        <v/>
      </c>
      <c r="G3644">
        <f>Skills!G10*IF(Skills!H10&gt;0,Skills!I10/Skills!H10,1)</f>
        <v/>
      </c>
      <c r="H3644">
        <f>1-(1-Skills!J10/100)^Skills!K10</f>
        <v/>
      </c>
      <c r="I3644" t="inlineStr">
        <is>
          <t>1</t>
        </is>
      </c>
      <c r="J3644" t="inlineStr"/>
      <c r="K3644" t="inlineStr"/>
      <c r="L3644" t="inlineStr"/>
      <c r="M3644" t="inlineStr"/>
      <c r="N3644" t="inlineStr"/>
      <c r="O3644">
        <f>(1-Summary!$B$11)*T3644+Summary!$B$11*V3644</f>
        <v/>
      </c>
      <c r="P3644">
        <f>IF(B3679=0,0,O3644/B3679)</f>
        <v/>
      </c>
      <c r="Q3644">
        <f>IFERROR(1/IF(Inputs!$B$39="pvp",15,MAX(0.1,Skills!D10-IF(Skills!E10=TRUE,4.5,0))),0)</f>
        <v/>
      </c>
      <c r="R3644">
        <f>IF(AND(Inputs!$B$39&lt;&gt;"pvp",Inputs!$B$44&gt;0),IF(Inputs!$B$44&lt;=0,0,(INT(Inputs!$B$44/IF(Inputs!$B$39="pvp",15,MAX(0.1,Skills!D10-IF(Skills!E10=TRUE,4.5,0))))+1)),0)</f>
        <v/>
      </c>
      <c r="S3644">
        <f>IFERROR(O3644/N3644,0)</f>
        <v/>
      </c>
      <c r="T3644" t="n">
        <v>0</v>
      </c>
      <c r="V3644" t="n">
        <v>0</v>
      </c>
    </row>
    <row r="3645">
      <c r="A3645">
        <f>Skills!A11</f>
        <v/>
      </c>
      <c r="B3645">
        <f>Skills!B11</f>
        <v/>
      </c>
      <c r="C3645">
        <f>Inputs!$B$3&gt;=103</f>
        <v/>
      </c>
      <c r="D3645">
        <f>IF(Skills!C11=1,60+Inputs!$B$25+Inputs!$B$29,IF(Skills!C11=2,90+Inputs!$B$26+Inputs!$B$29,IF(Skills!C11=3,120+Inputs!$B$27+Inputs!$B$29,MAX(0,(Inputs!$B$3-100)*3)+Inputs!$B$28+Inputs!$B$29)))</f>
        <v/>
      </c>
      <c r="E3645">
        <f>INDEX(FactorTable!$B$2:$Y$301, MATCH(ROUND(MIN(300,MAX(1,D3645)),0), FactorTable!$A$2:$A$301,0), Skills!M11+1)</f>
        <v/>
      </c>
      <c r="F3645">
        <f>(Skills!L11/10)*(E3645/1000)+IF(Inputs!$B$3&gt;=134,50,0)+0.5*(30000/10)*(INDEX(FactorTable!$B$2:$Y$301, MATCH(ROUND(MIN(300,MAX(1,D3645)),0), FactorTable!$A$2:$A$301,0), 13)/1000)*B3677</f>
        <v/>
      </c>
      <c r="G3645">
        <f>Skills!G11*IF(Skills!H11&gt;0,Skills!I11/Skills!H11,1)</f>
        <v/>
      </c>
      <c r="H3645">
        <f>1-(1-Skills!J11/100)^Skills!K11</f>
        <v/>
      </c>
      <c r="I3645" t="inlineStr">
        <is>
          <t>1</t>
        </is>
      </c>
      <c r="J3645">
        <f>((Inputs!$B$6*(1+Inputs!$B$7/100))+(((Inputs!$B$12*(1+Inputs!$B$13/100))-(Inputs!$B$12*(1+Inputs!$B$13/100)))+0.25*(Inputs!$B$14-Inputs!$B$14))*(1+Inputs!$B$7/100))*(F3645/100)</f>
        <v/>
      </c>
      <c r="K3645">
        <f>J3645*(1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3645)</f>
        <v/>
      </c>
      <c r="L3645">
        <f>K3645*(MIN(Inputs!$B$22+((C3658=TRUE)*(F3658-Calc!F24)),(Inputs!$B$23+((C3663=TRUE)*(F3663-Calc!F29))+IF(ArtifactsInput!$M$15,CHOOSE(ArtifactsInput!$N$15+1,25,30,35,40,45,50)/100*(Inputs!$B$11-Inputs!$B$11),0)))/100+(Inputs!$B$23+((C3663=TRUE)*(F3663-Calc!F29))+IF(ArtifactsInput!$M$15,CHOOSE(ArtifactsInput!$N$15+1,25,30,35,40,45,50)/100*(Inputs!$B$11-Inputs!$B$11),0))/100)/2</f>
        <v/>
      </c>
      <c r="M3645">
        <f>L3645*(1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5">
        <f>L3645*(1-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3645*(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5">
        <f>(1-Summary!$B$11)*T3645+Summary!$B$11*V3645</f>
        <v/>
      </c>
      <c r="P3645">
        <f>IF(B3679=0,0,O3645/B3679)</f>
        <v/>
      </c>
      <c r="Q3645">
        <f>IFERROR(1/IF(Inputs!$B$39="pvp",15,MAX(0.1,Skills!D11-IF(Skills!E11=TRUE,4.5,0))),0)</f>
        <v/>
      </c>
      <c r="R3645">
        <f>IF(AND(Inputs!$B$39&lt;&gt;"pvp",Inputs!$B$44&gt;0),IF(MAX(0,Inputs!$B$44-B3678)&lt;=0,0,(INT(MAX(0,Inputs!$B$44-B3678)/IF(Inputs!$B$39="pvp",15,MAX(0.1,Skills!D11-IF(Skills!E11=TRUE,4.5,0))))+1)),0)</f>
        <v/>
      </c>
      <c r="S3645">
        <f>IFERROR(O3645/N3645,0)</f>
        <v/>
      </c>
      <c r="T3645">
        <f>IF(C3645,(H3645*N3645*IF(AND(Inputs!$B$39&lt;&gt;"pvp",Inputs!$B$44&gt;0),((Skills!G11*((R3645-1)*IF(Skills!H11&gt;0,Skills!I11/Skills!H11,1)+IF(Skills!H11&gt;0,MIN(Skills!I11,MAX(0,MAX(0,Inputs!$B$44-B3678)-((R3645-1)*IF(Inputs!$B$39="pvp",15,MAX(0.1,Skills!D11-IF(Skills!E11=TRUE,4.5,0))))))/Skills!H11,1)))/Inputs!$B$44),G3645*Q3645))*IF(Inputs!$B$39="pvp",1,1+(Inputs!$B$20+0+Skills!P11+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3645*(1-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3645*(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3645*(1-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3645*(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5">
        <f>IF(C3645,(H3645*N3645*IF(AND(Inputs!$B$39&lt;&gt;"pvp",Inputs!$B$44&gt;0),((Skills!G11*((R3645-1)*IF(Skills!H11&gt;0,Skills!I11/Skills!H11,1)+IF(Skills!H11&gt;0,MIN(Skills!I11,MAX(0,MAX(0,Inputs!$B$44-B3678)-((R3645-1)*IF(Inputs!$B$39="pvp",15,MAX(0.1,Skills!D11-IF(Skills!E11=TRUE,4.5,0))))))/Skills!H11,1)))/Inputs!$B$44),G3645*Q3645))*IF(Inputs!$B$39="pvp",1,(1+(Inputs!$B$21+Skills!Q11+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6">
      <c r="A3646">
        <f>Skills!A12</f>
        <v/>
      </c>
      <c r="B3646">
        <f>Skills!B12</f>
        <v/>
      </c>
      <c r="C3646">
        <f>Inputs!$B$3&gt;=105</f>
        <v/>
      </c>
      <c r="D3646">
        <f>IF(Skills!C12=1,60+Inputs!$B$25+Inputs!$B$29,IF(Skills!C12=2,90+Inputs!$B$26+Inputs!$B$29,IF(Skills!C12=3,120+Inputs!$B$27+Inputs!$B$29,MAX(0,(Inputs!$B$3-100)*3)+Inputs!$B$28+Inputs!$B$29)))</f>
        <v/>
      </c>
      <c r="E3646">
        <f>INDEX(FactorTable!$B$2:$Y$301, MATCH(ROUND(MIN(300,MAX(1,D3646)),0), FactorTable!$A$2:$A$301,0), Skills!M12+1)</f>
        <v/>
      </c>
      <c r="F3646">
        <f>IF(Skills!N12=TRUE,(Skills!L12/10)*(E3646/1000),Skills!L12/10)+Skills!O12</f>
        <v/>
      </c>
      <c r="G3646">
        <f>Skills!G12*IF(Skills!H12&gt;0,Skills!I12/Skills!H12,1)</f>
        <v/>
      </c>
      <c r="H3646">
        <f>1-(1-Skills!J12/100)^Skills!K12</f>
        <v/>
      </c>
      <c r="I3646" t="inlineStr">
        <is>
          <t>1</t>
        </is>
      </c>
      <c r="J3646">
        <f>((Inputs!$B$6*(1+Inputs!$B$7/100))+(((Inputs!$B$12*(1+Inputs!$B$13/100))-(Inputs!$B$12*(1+Inputs!$B$13/100)))+0.25*(Inputs!$B$14-Inputs!$B$14))*(1+Inputs!$B$7/100))*(F3646/100)</f>
        <v/>
      </c>
      <c r="K3646">
        <f>J3646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3646)</f>
        <v/>
      </c>
      <c r="L3646">
        <f>K3646*(MIN(Inputs!$B$22+((C3658=TRUE)*(F3658-Calc!F24)),(Inputs!$B$23+((C3663=TRUE)*(F3663-Calc!F29))+IF(ArtifactsInput!$M$15,CHOOSE(ArtifactsInput!$N$15+1,25,30,35,40,45,50)/100*(Inputs!$B$11-Inputs!$B$11),0)))/100+(Inputs!$B$23+((C3663=TRUE)*(F3663-Calc!F29))+IF(ArtifactsInput!$M$15,CHOOSE(ArtifactsInput!$N$15+1,25,30,35,40,45,50)/100*(Inputs!$B$11-Inputs!$B$11),0))/100)/2</f>
        <v/>
      </c>
      <c r="M3646">
        <f>L3646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6">
        <f>L3646*(1-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3646*(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6">
        <f>(1-Summary!$B$11)*T3646+Summary!$B$11*V3646</f>
        <v/>
      </c>
      <c r="P3646">
        <f>IF(B3679=0,0,O3646/B3679)</f>
        <v/>
      </c>
      <c r="Q3646">
        <f>IFERROR(1/IF(Inputs!$B$39="pvp",15,MAX(0.1,Skills!D12-IF(Skills!E12=TRUE,4.5,0))),0)</f>
        <v/>
      </c>
      <c r="R3646">
        <f>IF(AND(Inputs!$B$39&lt;&gt;"pvp",Inputs!$B$44&gt;0),IF(MAX(0,Inputs!$B$44-B3678)&lt;=0,0,(INT(MAX(0,Inputs!$B$44-B3678)/IF(Inputs!$B$39="pvp",15,MAX(0.1,Skills!D12-IF(Skills!E12=TRUE,4.5,0))))+1)),0)</f>
        <v/>
      </c>
      <c r="S3646">
        <f>IFERROR(O3646/N3646,0)</f>
        <v/>
      </c>
      <c r="T3646">
        <f>IF(C3646,(H3646*N3646*IF(AND(Inputs!$B$39&lt;&gt;"pvp",Inputs!$B$44&gt;0),((Skills!G12*((R3646-1)*IF(Skills!H12&gt;0,Skills!I12/Skills!H12,1)+IF(Skills!H12&gt;0,MIN(Skills!I12,MAX(0,MAX(0,Inputs!$B$44-B3678)-((R3646-1)*IF(Inputs!$B$39="pvp",15,MAX(0.1,Skills!D12-IF(Skills!E12=TRUE,4.5,0))))))/Skills!H12,1)))/Inputs!$B$44),G3646*Q3646))*IF(Inputs!$B$39="pvp",1,1+(Inputs!$B$20+0+Skills!P12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3646*(1-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3646*(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3646*(1-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3646*(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6">
        <f>IF(C3646,(H3646*N3646*IF(AND(Inputs!$B$39&lt;&gt;"pvp",Inputs!$B$44&gt;0),((Skills!G12*((R3646-1)*IF(Skills!H12&gt;0,Skills!I12/Skills!H12,1)+IF(Skills!H12&gt;0,MIN(Skills!I12,MAX(0,MAX(0,Inputs!$B$44-B3678)-((R3646-1)*IF(Inputs!$B$39="pvp",15,MAX(0.1,Skills!D12-IF(Skills!E12=TRUE,4.5,0))))))/Skills!H12,1)))/Inputs!$B$44),G3646*Q3646))*IF(Inputs!$B$39="pvp",1,(1+(Inputs!$B$21+Skills!Q12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7">
      <c r="A3647">
        <f>Skills!A13</f>
        <v/>
      </c>
      <c r="B3647">
        <f>Skills!B13</f>
        <v/>
      </c>
      <c r="C3647">
        <f>Inputs!$B$3&gt;=105</f>
        <v/>
      </c>
      <c r="D3647">
        <f>IF(Skills!C13=1,60+Inputs!$B$25+Inputs!$B$29,IF(Skills!C13=2,90+Inputs!$B$26+Inputs!$B$29,IF(Skills!C13=3,120+Inputs!$B$27+Inputs!$B$29,MAX(0,(Inputs!$B$3-100)*3)+Inputs!$B$28+Inputs!$B$29)))</f>
        <v/>
      </c>
      <c r="E3647">
        <f>INDEX(FactorTable!$B$2:$Y$301, MATCH(ROUND(MIN(300,MAX(1,D3647)),0), FactorTable!$A$2:$A$301,0), Skills!M13+1)</f>
        <v/>
      </c>
      <c r="F3647">
        <f>IF(Skills!N13=TRUE,(Skills!L13/10)*(E3647/1000),Skills!L13/10)+Skills!O13</f>
        <v/>
      </c>
      <c r="G3647">
        <f>Skills!G13*IF(Skills!H13&gt;0,Skills!I13/Skills!H13,1)</f>
        <v/>
      </c>
      <c r="H3647">
        <f>1-(1-Skills!J13/100)^Skills!K13</f>
        <v/>
      </c>
      <c r="I3647" t="inlineStr">
        <is>
          <t>1</t>
        </is>
      </c>
      <c r="J3647">
        <f>((Inputs!$B$6*(1+Inputs!$B$7/100))+(((Inputs!$B$12*(1+Inputs!$B$13/100))-(Inputs!$B$12*(1+Inputs!$B$13/100)))+0.25*(Inputs!$B$14-Inputs!$B$14))*(1+Inputs!$B$7/100))*(F3647/100)</f>
        <v/>
      </c>
      <c r="K3647">
        <f>J3647*(1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3647)</f>
        <v/>
      </c>
      <c r="L3647">
        <f>K3647*(MIN(Inputs!$B$22+((C3658=TRUE)*(F3658-Calc!F24)),(Inputs!$B$23+((C3663=TRUE)*(F3663-Calc!F29))+IF(ArtifactsInput!$M$15,CHOOSE(ArtifactsInput!$N$15+1,25,30,35,40,45,50)/100*(Inputs!$B$11-Inputs!$B$11),0)))/100+(Inputs!$B$23+((C3663=TRUE)*(F3663-Calc!F29))+IF(ArtifactsInput!$M$15,CHOOSE(ArtifactsInput!$N$15+1,25,30,35,40,45,50)/100*(Inputs!$B$11-Inputs!$B$11),0))/100)/2</f>
        <v/>
      </c>
      <c r="M3647">
        <f>L3647*(1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7">
        <f>L3647*(1-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3647*(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7">
        <f>(1-Summary!$B$11)*T3647+Summary!$B$11*V3647</f>
        <v/>
      </c>
      <c r="P3647">
        <f>IF(B3679=0,0,O3647/B3679)</f>
        <v/>
      </c>
      <c r="Q3647">
        <f>IFERROR(1/IF(Inputs!$B$39="pvp",15,MAX(0.1,Skills!D13-IF(Skills!E13=TRUE,4.5,0))),0)</f>
        <v/>
      </c>
      <c r="R3647">
        <f>IF(AND(Inputs!$B$39&lt;&gt;"pvp",Inputs!$B$44&gt;0),IF(MAX(0,Inputs!$B$44-B3678)&lt;=0,0,(INT(MAX(0,Inputs!$B$44-B3678)/IF(Inputs!$B$39="pvp",15,MAX(0.1,Skills!D13-IF(Skills!E13=TRUE,4.5,0))))+1)),0)</f>
        <v/>
      </c>
      <c r="S3647">
        <f>IFERROR(O3647/N3647,0)</f>
        <v/>
      </c>
      <c r="T3647">
        <f>IF(C3647,(H3647*N3647*IF(AND(Inputs!$B$39&lt;&gt;"pvp",Inputs!$B$44&gt;0),((Skills!G13*((R3647-1)*IF(Skills!H13&gt;0,Skills!I13/Skills!H13,1)+IF(Skills!H13&gt;0,MIN(Skills!I13,MAX(0,MAX(0,Inputs!$B$44-B3678)-((R3647-1)*IF(Inputs!$B$39="pvp",15,MAX(0.1,Skills!D13-IF(Skills!E13=TRUE,4.5,0))))))/Skills!H13,1)))/Inputs!$B$44),G3647*Q3647))*IF(Inputs!$B$39="pvp",1,1+(Inputs!$B$20+0+Skills!P13+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3647*(1-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3647*(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3647*(1-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3647*(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7">
        <f>IF(C3647,(H3647*N3647*IF(AND(Inputs!$B$39&lt;&gt;"pvp",Inputs!$B$44&gt;0),((Skills!G13*((R3647-1)*IF(Skills!H13&gt;0,Skills!I13/Skills!H13,1)+IF(Skills!H13&gt;0,MIN(Skills!I13,MAX(0,MAX(0,Inputs!$B$44-B3678)-((R3647-1)*IF(Inputs!$B$39="pvp",15,MAX(0.1,Skills!D13-IF(Skills!E13=TRUE,4.5,0))))))/Skills!H13,1)))/Inputs!$B$44),G3647*Q3647))*IF(Inputs!$B$39="pvp",1,(1+(Inputs!$B$21+Skills!Q13+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8">
      <c r="A3648">
        <f>Skills!A14</f>
        <v/>
      </c>
      <c r="B3648">
        <f>Skills!B14</f>
        <v/>
      </c>
      <c r="C3648">
        <f>Inputs!$B$3&gt;=107</f>
        <v/>
      </c>
      <c r="D3648">
        <f>IF(Skills!C14=1,60+Inputs!$B$25+Inputs!$B$29,IF(Skills!C14=2,90+Inputs!$B$26+Inputs!$B$29,IF(Skills!C14=3,120+Inputs!$B$27+Inputs!$B$29,MAX(0,(Inputs!$B$3-100)*3)+Inputs!$B$28+Inputs!$B$29)))</f>
        <v/>
      </c>
      <c r="E3648">
        <f>INDEX(FactorTable!$B$2:$Y$301, MATCH(ROUND(MIN(300,MAX(1,D3648)),0), FactorTable!$A$2:$A$301,0), Skills!M14+1)</f>
        <v/>
      </c>
      <c r="F3648">
        <f>IF(Skills!N14=TRUE,(Skills!L14/10)*(E3648/1000),Skills!L14/10)+Skills!O14</f>
        <v/>
      </c>
      <c r="G3648">
        <f>Skills!G14*IF(Skills!H14&gt;0,Skills!I14/Skills!H14,1)</f>
        <v/>
      </c>
      <c r="H3648">
        <f>1-(1-Skills!J14/100)^Skills!K14</f>
        <v/>
      </c>
      <c r="I3648" t="inlineStr">
        <is>
          <t>1</t>
        </is>
      </c>
      <c r="J3648">
        <f>((Inputs!$B$6*(1+Inputs!$B$7/100))+(((Inputs!$B$12*(1+Inputs!$B$13/100))-(Inputs!$B$12*(1+Inputs!$B$13/100)))+0.25*(Inputs!$B$14-Inputs!$B$14))*(1+Inputs!$B$7/100))*(F3648/100)</f>
        <v/>
      </c>
      <c r="K3648">
        <f>J3648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3648)</f>
        <v/>
      </c>
      <c r="L3648">
        <f>K3648*(MIN(Inputs!$B$22+((C3658=TRUE)*(F3658-Calc!F24)),(Inputs!$B$23+((C3663=TRUE)*(F3663-Calc!F29))+IF(ArtifactsInput!$M$15,CHOOSE(ArtifactsInput!$N$15+1,25,30,35,40,45,50)/100*(Inputs!$B$11-Inputs!$B$11),0)))/100+(Inputs!$B$23+((C3663=TRUE)*(F3663-Calc!F29))+IF(ArtifactsInput!$M$15,CHOOSE(ArtifactsInput!$N$15+1,25,30,35,40,45,50)/100*(Inputs!$B$11-Inputs!$B$11),0))/100)/2</f>
        <v/>
      </c>
      <c r="M3648">
        <f>L3648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8">
        <f>L3648*(1-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3648*(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8">
        <f>(1-Summary!$B$11)*T3648+Summary!$B$11*V3648</f>
        <v/>
      </c>
      <c r="P3648">
        <f>IF(B3679=0,0,O3648/B3679)</f>
        <v/>
      </c>
      <c r="Q3648">
        <f>IFERROR(1/IF(Inputs!$B$39="pvp",15,MAX(0.1,Skills!D14-IF(Skills!E14=TRUE,4.5,0))),0)</f>
        <v/>
      </c>
      <c r="R3648">
        <f>IF(AND(Inputs!$B$39&lt;&gt;"pvp",Inputs!$B$44&gt;0),IF(MAX(0,Inputs!$B$44-B3678)&lt;=0,0,(INT(MAX(0,Inputs!$B$44-B3678)/IF(Inputs!$B$39="pvp",15,MAX(0.1,Skills!D14-IF(Skills!E14=TRUE,4.5,0))))+1)),0)</f>
        <v/>
      </c>
      <c r="S3648">
        <f>IFERROR(O3648/N3648,0)</f>
        <v/>
      </c>
      <c r="T3648">
        <f>IF(C3648,(H3648*N3648*IF(AND(Inputs!$B$39&lt;&gt;"pvp",Inputs!$B$44&gt;0),((Skills!G14*((R3648-1)*IF(Skills!H14&gt;0,Skills!I14/Skills!H14,1)+IF(Skills!H14&gt;0,MIN(Skills!I14,MAX(0,MAX(0,Inputs!$B$44-B3678)-((R3648-1)*IF(Inputs!$B$39="pvp",15,MAX(0.1,Skills!D14-IF(Skills!E14=TRUE,4.5,0))))))/Skills!H14,1)))/Inputs!$B$44),G3648*Q3648))*IF(Inputs!$B$39="pvp",1,1+(Inputs!$B$20+0+Skills!P14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3648*(1-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3648*(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3648*(1-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3648*(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8">
        <f>IF(C3648,(H3648*N3648*IF(AND(Inputs!$B$39&lt;&gt;"pvp",Inputs!$B$44&gt;0),((Skills!G14*((R3648-1)*IF(Skills!H14&gt;0,Skills!I14/Skills!H14,1)+IF(Skills!H14&gt;0,MIN(Skills!I14,MAX(0,MAX(0,Inputs!$B$44-B3678)-((R3648-1)*IF(Inputs!$B$39="pvp",15,MAX(0.1,Skills!D14-IF(Skills!E14=TRUE,4.5,0))))))/Skills!H14,1)))/Inputs!$B$44),G3648*Q3648))*IF(Inputs!$B$39="pvp",1,(1+(Inputs!$B$21+Skills!Q14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(5,0.25*B3671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9">
      <c r="A3649">
        <f>Skills!A15</f>
        <v/>
      </c>
      <c r="B3649">
        <f>Skills!B15</f>
        <v/>
      </c>
      <c r="C3649">
        <f>Inputs!$B$3&gt;=110</f>
        <v/>
      </c>
      <c r="D3649">
        <f>IF(Skills!C15=1,60+Inputs!$B$25+Inputs!$B$29,IF(Skills!C15=2,90+Inputs!$B$26+Inputs!$B$29,IF(Skills!C15=3,120+Inputs!$B$27+Inputs!$B$29,MAX(0,(Inputs!$B$3-100)*3)+Inputs!$B$28+Inputs!$B$29)))</f>
        <v/>
      </c>
      <c r="E3649">
        <f>INDEX(FactorTable!$B$2:$Y$301, MATCH(ROUND(MIN(300,MAX(1,D3649)),0), FactorTable!$A$2:$A$301,0), Skills!M15+1)</f>
        <v/>
      </c>
      <c r="F3649">
        <f>IF(Skills!N15=TRUE,(Skills!L15/10)*(E3649/1000),Skills!L15/10)+Skills!O15</f>
        <v/>
      </c>
      <c r="G3649">
        <f>Skills!G15*IF(Skills!H15&gt;0,Skills!I15/Skills!H15,1)</f>
        <v/>
      </c>
      <c r="H3649">
        <f>1-(1-Skills!J15/100)^Skills!K15</f>
        <v/>
      </c>
      <c r="I3649" t="inlineStr">
        <is>
          <t>1</t>
        </is>
      </c>
      <c r="J3649" t="inlineStr"/>
      <c r="K3649" t="inlineStr"/>
      <c r="L3649" t="inlineStr"/>
      <c r="M3649" t="inlineStr"/>
      <c r="N3649" t="inlineStr"/>
      <c r="O3649">
        <f>(1-Summary!$B$11)*T3649+Summary!$B$11*V3649</f>
        <v/>
      </c>
      <c r="P3649">
        <f>IF(B3679=0,0,O3649/B3679)</f>
        <v/>
      </c>
      <c r="Q3649">
        <f>IFERROR(1/IF(Inputs!$B$39="pvp",15,MAX(0.1,Skills!D15-IF(Skills!E15=TRUE,4.5,0))),0)</f>
        <v/>
      </c>
      <c r="R3649">
        <f>IF(AND(Inputs!$B$39&lt;&gt;"pvp",Inputs!$B$44&gt;0),IF(Inputs!$B$44&lt;=0,0,(INT(Inputs!$B$44/IF(Inputs!$B$39="pvp",15,MAX(0.1,Skills!D15-IF(Skills!E15=TRUE,4.5,0))))+1)),0)</f>
        <v/>
      </c>
      <c r="S3649">
        <f>IFERROR(O3649/N3649,0)</f>
        <v/>
      </c>
      <c r="T3649" t="n">
        <v>0</v>
      </c>
      <c r="V3649" t="n">
        <v>0</v>
      </c>
    </row>
    <row r="3650">
      <c r="A3650">
        <f>Skills!A16</f>
        <v/>
      </c>
      <c r="B3650">
        <f>Skills!B16</f>
        <v/>
      </c>
      <c r="C3650">
        <f>Inputs!$B$3&gt;=115</f>
        <v/>
      </c>
      <c r="D3650">
        <f>IF(Skills!C16=1,60+Inputs!$B$25+Inputs!$B$29,IF(Skills!C16=2,90+Inputs!$B$26+Inputs!$B$29,IF(Skills!C16=3,120+Inputs!$B$27+Inputs!$B$29,MAX(0,(Inputs!$B$3-100)*3)+Inputs!$B$28+Inputs!$B$29)))</f>
        <v/>
      </c>
      <c r="E3650">
        <f>INDEX(FactorTable!$B$2:$Y$301, MATCH(ROUND(MIN(300,MAX(1,D3650)),0), FactorTable!$A$2:$A$301,0), Skills!M16+1)</f>
        <v/>
      </c>
      <c r="F3650">
        <f>IF(Skills!N16=TRUE,(Skills!L16/10)*(E3650/1000),Skills!L16/10)+Skills!O16</f>
        <v/>
      </c>
      <c r="G3650">
        <f>Skills!G16*IF(Skills!H16&gt;0,Skills!I16/Skills!H16,1)</f>
        <v/>
      </c>
      <c r="H3650">
        <f>1-(1-Skills!J16/100)^Skills!K16</f>
        <v/>
      </c>
      <c r="I3650" t="inlineStr">
        <is>
          <t>1</t>
        </is>
      </c>
      <c r="J3650">
        <f>((Inputs!$B$6*(1+Inputs!$B$7/100))+(((Inputs!$B$12*(1+Inputs!$B$13/100))-(Inputs!$B$12*(1+Inputs!$B$13/100)))+0.25*(Inputs!$B$14-Inputs!$B$14))*(1+Inputs!$B$7/100))*(F3650/100)</f>
        <v/>
      </c>
      <c r="K3650">
        <f>J3650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3661=TRUE)*(F3661-Calc!F27))+((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3650)</f>
        <v/>
      </c>
      <c r="L3650">
        <f>K3650*(MIN(Inputs!$B$22+((C3658=TRUE)*(F3658-Calc!F24)),(Inputs!$B$23+((C3663=TRUE)*(F3663-Calc!F29))+IF(ArtifactsInput!$M$15,CHOOSE(ArtifactsInput!$N$15+1,25,30,35,40,45,50)/100*(Inputs!$B$11-Inputs!$B$11),0)))/100+(Inputs!$B$23+((C3663=TRUE)*(F3663-Calc!F29))+IF(ArtifactsInput!$M$15,CHOOSE(ArtifactsInput!$N$15+1,25,30,35,40,45,50)/100*(Inputs!$B$11-Inputs!$B$11),0))/100)/2</f>
        <v/>
      </c>
      <c r="M3650">
        <f>L3650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0">
        <f>L3650*(1-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3650*(MIN((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0">
        <f>(1-Summary!$B$11)*T3650+Summary!$B$11*V3650</f>
        <v/>
      </c>
      <c r="P3650">
        <f>IF(B3679=0,0,O3650/B3679)</f>
        <v/>
      </c>
      <c r="Q3650" t="n">
        <v>0</v>
      </c>
      <c r="R3650" t="n">
        <v>0</v>
      </c>
      <c r="S3650">
        <f>IFERROR(O3650/N3650,0)</f>
        <v/>
      </c>
      <c r="T3650">
        <f>IF(C3650,(Inputs!$B$38*0.2*N3650)*IF(Inputs!$B$39="pvp",1,1+(Inputs!$B$20+0+Skills!P16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3650*(1-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3650*(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3650*(1-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3650*(MIN(100,(Inputs!$B$9+((C3659=TRUE)*(F3659-Calc!F25))+B3667+(ArtifactsInput!$M$24-ArtifactsInput!$M$24)*CHOOSE(ArtifactsInput!$N$24+1,10,12,14,16,18,20)+(IF(AND(Inputs!$B$39&lt;&gt;"pvp",Inputs!$B$44=0),1,IF(IF(Inputs!$B$39="pvp",15,Inputs!$B$44)-(B3678)&lt;=0,1,MAX(0,IF(Inputs!$B$39="pvp",15,Inputs!$B$44)-MAX(5,B3678))/(IF(Inputs!$B$39="pvp",15,Inputs!$B$44)-(B3678))))*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50">
        <f>IF(C3650,(Inputs!$B$38*0.2*N3650)*IF(Inputs!$B$39="pvp",1,(1+(Inputs!$B$21+Skills!Q16+B3668+(IF(ArtifactsInput!$M$33,CHOOSE(ArtifactsInput!$N$33+1,30,36,42,48,54,60),0))+(IF(AND(ArtifactsInput!$M$35,Inputs!$B$4&lt;&gt;"Chapter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1">
      <c r="A3651">
        <f>Skills!A17</f>
        <v/>
      </c>
      <c r="B3651">
        <f>Skills!B17</f>
        <v/>
      </c>
      <c r="C3651">
        <f>Inputs!$B$3&gt;=115</f>
        <v/>
      </c>
      <c r="D3651">
        <f>IF(Skills!C17=1,60+Inputs!$B$25+Inputs!$B$29,IF(Skills!C17=2,90+Inputs!$B$26+Inputs!$B$29,IF(Skills!C17=3,120+Inputs!$B$27+Inputs!$B$29,MAX(0,(Inputs!$B$3-100)*3)+Inputs!$B$28+Inputs!$B$29)))</f>
        <v/>
      </c>
      <c r="E3651">
        <f>INDEX(FactorTable!$B$2:$Y$301, MATCH(ROUND(MIN(300,MAX(1,D3651)),0), FactorTable!$A$2:$A$301,0), Skills!M17+1)</f>
        <v/>
      </c>
      <c r="F3651">
        <f>IF(Skills!N17=TRUE,(Skills!L17/10)*(E3651/1000),Skills!L17/10)+Skills!O17</f>
        <v/>
      </c>
      <c r="G3651">
        <f>Skills!G17*IF(Skills!H17&gt;0,Skills!I17/Skills!H17,1)</f>
        <v/>
      </c>
      <c r="H3651">
        <f>1-(1-Skills!J17/100)^Skills!K17</f>
        <v/>
      </c>
      <c r="I3651" t="inlineStr">
        <is>
          <t>1</t>
        </is>
      </c>
      <c r="J3651" t="inlineStr"/>
      <c r="K3651" t="inlineStr"/>
      <c r="L3651" t="inlineStr"/>
      <c r="M3651" t="inlineStr"/>
      <c r="N3651" t="inlineStr"/>
      <c r="O3651">
        <f>(1-Summary!$B$11)*T3651+Summary!$B$11*V3651</f>
        <v/>
      </c>
      <c r="P3651">
        <f>IF(B3679=0,0,O3651/B3679)</f>
        <v/>
      </c>
      <c r="Q3651" t="n">
        <v>0</v>
      </c>
      <c r="R3651" t="n">
        <v>0</v>
      </c>
      <c r="S3651">
        <f>IFERROR(O3651/N3651,0)</f>
        <v/>
      </c>
      <c r="T3651" t="n">
        <v>0</v>
      </c>
      <c r="V3651" t="n">
        <v>0</v>
      </c>
    </row>
    <row r="3652">
      <c r="A3652">
        <f>Skills!A18</f>
        <v/>
      </c>
      <c r="B3652">
        <f>Skills!B18</f>
        <v/>
      </c>
      <c r="C3652">
        <f>Inputs!$B$3&gt;=100</f>
        <v/>
      </c>
      <c r="D3652">
        <f>IF(Skills!C18=1,60+Inputs!$B$25+Inputs!$B$29,IF(Skills!C18=2,90+Inputs!$B$26+Inputs!$B$29,IF(Skills!C18=3,120+Inputs!$B$27+Inputs!$B$29,MAX(0,(Inputs!$B$3-100)*3)+Inputs!$B$28+Inputs!$B$29)))</f>
        <v/>
      </c>
      <c r="E3652">
        <f>INDEX(FactorTable!$B$2:$Y$301, MATCH(ROUND(MIN(300,MAX(1,D3652)),0), FactorTable!$A$2:$A$301,0), Skills!M18+1)</f>
        <v/>
      </c>
      <c r="F3652">
        <f>IF(Skills!N18=TRUE,(Skills!L18/10)*(E3652/1000),Skills!L18/10)+Skills!O18</f>
        <v/>
      </c>
      <c r="G3652">
        <f>Skills!G18*IF(Skills!H18&gt;0,Skills!I18/Skills!H18,1)</f>
        <v/>
      </c>
      <c r="H3652">
        <f>1-(1-Skills!J18/100)^Skills!K18</f>
        <v/>
      </c>
      <c r="I3652" t="inlineStr">
        <is>
          <t>1</t>
        </is>
      </c>
      <c r="J3652" t="inlineStr"/>
      <c r="K3652" t="inlineStr"/>
      <c r="L3652" t="inlineStr"/>
      <c r="M3652" t="inlineStr"/>
      <c r="N3652" t="inlineStr"/>
      <c r="O3652">
        <f>(1-Summary!$B$11)*T3652+Summary!$B$11*V3652</f>
        <v/>
      </c>
      <c r="P3652">
        <f>IF(B3679=0,0,O3652/B3679)</f>
        <v/>
      </c>
      <c r="Q3652" t="n">
        <v>0</v>
      </c>
      <c r="R3652" t="n">
        <v>0</v>
      </c>
      <c r="S3652">
        <f>IFERROR(O3652/N3652,0)</f>
        <v/>
      </c>
      <c r="T3652" t="n">
        <v>0</v>
      </c>
      <c r="V3652" t="n">
        <v>0</v>
      </c>
    </row>
    <row r="3653">
      <c r="A3653">
        <f>Skills!A19</f>
        <v/>
      </c>
      <c r="B3653">
        <f>Skills!B19</f>
        <v/>
      </c>
      <c r="C3653">
        <f>TRUE</f>
        <v/>
      </c>
      <c r="D3653">
        <f>IF(Skills!C19=1,60+Inputs!$B$25+Inputs!$B$29,IF(Skills!C19=2,90+Inputs!$B$26+Inputs!$B$29,IF(Skills!C19=3,120+Inputs!$B$27+Inputs!$B$29,MAX(0,(Inputs!$B$3-100)*3)+Inputs!$B$28+Inputs!$B$29)))</f>
        <v/>
      </c>
      <c r="E3653">
        <f>INDEX(FactorTable!$B$2:$Y$301, MATCH(ROUND(MIN(300,MAX(1,D3653)),0), FactorTable!$A$2:$A$301,0), Skills!M19+1)</f>
        <v/>
      </c>
      <c r="F3653">
        <f>IF(Skills!N19=TRUE,(Skills!L19/10)*(E3653/1000),Skills!L19/10)+Skills!O19</f>
        <v/>
      </c>
      <c r="G3653">
        <f>Skills!G19*IF(Skills!H19&gt;0,Skills!I19/Skills!H19,1)</f>
        <v/>
      </c>
      <c r="H3653">
        <f>1-(1-Skills!J19/100)^Skills!K19</f>
        <v/>
      </c>
      <c r="I3653" t="inlineStr">
        <is>
          <t>1</t>
        </is>
      </c>
      <c r="J3653" t="inlineStr"/>
      <c r="K3653" t="inlineStr"/>
      <c r="L3653" t="inlineStr"/>
      <c r="M3653" t="inlineStr"/>
      <c r="N3653" t="inlineStr"/>
      <c r="O3653">
        <f>(1-Summary!$B$11)*T3653+Summary!$B$11*V3653</f>
        <v/>
      </c>
      <c r="P3653">
        <f>IF(B3679=0,0,O3653/B3679)</f>
        <v/>
      </c>
      <c r="Q3653">
        <f>IFERROR(1/IF(Inputs!$B$39="pvp",15,MAX(0.1,Skills!D19-IF(Skills!E19=TRUE,4.5,0))),0)</f>
        <v/>
      </c>
      <c r="R3653">
        <f>IF(AND(Inputs!$B$39&lt;&gt;"pvp",Inputs!$B$44&gt;0),IF(Inputs!$B$44&lt;=0,0,(INT(Inputs!$B$44/IF(Inputs!$B$39="pvp",15,MAX(0.1,Skills!D19-IF(Skills!E19=TRUE,4.5,0))))+1)),0)</f>
        <v/>
      </c>
      <c r="S3653">
        <f>IFERROR(O3653/N3653,0)</f>
        <v/>
      </c>
      <c r="T3653" t="n">
        <v>0</v>
      </c>
      <c r="V3653" t="n">
        <v>0</v>
      </c>
    </row>
    <row r="3654">
      <c r="A3654">
        <f>Skills!A20</f>
        <v/>
      </c>
      <c r="B3654">
        <f>Skills!B20</f>
        <v/>
      </c>
      <c r="C3654">
        <f>Inputs!$B$3&gt;=15</f>
        <v/>
      </c>
      <c r="D3654">
        <f>IF(Skills!C20=1,60+Inputs!$B$25+Inputs!$B$29,IF(Skills!C20=2,90+Inputs!$B$26+Inputs!$B$29,IF(Skills!C20=3,120+Inputs!$B$27+Inputs!$B$29,MAX(0,(Inputs!$B$3-100)*3)+Inputs!$B$28+Inputs!$B$29)))</f>
        <v/>
      </c>
      <c r="E3654">
        <f>INDEX(FactorTable!$B$2:$Y$301, MATCH(ROUND(MIN(300,MAX(1,D3654)),0), FactorTable!$A$2:$A$301,0), Skills!M20+1)</f>
        <v/>
      </c>
      <c r="F3654">
        <f>IF(Skills!N20=TRUE,(Skills!L20/10)*(E3654/1000),Skills!L20/10)+Skills!O20</f>
        <v/>
      </c>
      <c r="G3654">
        <f>Skills!G20*IF(Skills!H20&gt;0,Skills!I20/Skills!H20,1)</f>
        <v/>
      </c>
      <c r="H3654">
        <f>1-(1-Skills!J20/100)^Skills!K20</f>
        <v/>
      </c>
      <c r="I3654" t="inlineStr">
        <is>
          <t>1</t>
        </is>
      </c>
      <c r="J3654" t="inlineStr"/>
      <c r="K3654" t="inlineStr"/>
      <c r="L3654" t="inlineStr"/>
      <c r="M3654" t="inlineStr"/>
      <c r="N3654" t="inlineStr"/>
      <c r="O3654">
        <f>(1-Summary!$B$11)*T3654+Summary!$B$11*V3654</f>
        <v/>
      </c>
      <c r="P3654">
        <f>IF(B3679=0,0,O3654/B3679)</f>
        <v/>
      </c>
      <c r="Q3654">
        <f>IFERROR(1/IF(Inputs!$B$39="pvp",15,MAX(0.1,Skills!D20-IF(Skills!E20=TRUE,4.5,0))),0)</f>
        <v/>
      </c>
      <c r="R3654">
        <f>IF(AND(Inputs!$B$39&lt;&gt;"pvp",Inputs!$B$44&gt;0),IF(Inputs!$B$44&lt;=0,0,(INT(Inputs!$B$44/IF(Inputs!$B$39="pvp",15,MAX(0.1,Skills!D20-IF(Skills!E20=TRUE,4.5,0))))+1)),0)</f>
        <v/>
      </c>
      <c r="S3654">
        <f>IFERROR(O3654/N3654,0)</f>
        <v/>
      </c>
      <c r="T3654" t="n">
        <v>0</v>
      </c>
      <c r="V3654" t="n">
        <v>0</v>
      </c>
    </row>
    <row r="3655">
      <c r="A3655">
        <f>Skills!A21</f>
        <v/>
      </c>
      <c r="B3655">
        <f>Skills!B21</f>
        <v/>
      </c>
      <c r="C3655">
        <f>Inputs!$B$3&gt;=15</f>
        <v/>
      </c>
      <c r="D3655">
        <f>IF(Skills!C21=1,60+Inputs!$B$25+Inputs!$B$29,IF(Skills!C21=2,90+Inputs!$B$26+Inputs!$B$29,IF(Skills!C21=3,120+Inputs!$B$27+Inputs!$B$29,MAX(0,(Inputs!$B$3-100)*3)+Inputs!$B$28+Inputs!$B$29)))</f>
        <v/>
      </c>
      <c r="E3655">
        <f>INDEX(FactorTable!$B$2:$Y$301, MATCH(ROUND(MIN(300,MAX(1,D3655)),0), FactorTable!$A$2:$A$301,0), Skills!M21+1)</f>
        <v/>
      </c>
      <c r="F3655">
        <f>IF(Skills!N21=TRUE,(Skills!L21/10)*(E3655/1000),Skills!L21/10)+Skills!O21</f>
        <v/>
      </c>
      <c r="G3655">
        <f>Skills!G21*IF(Skills!H21&gt;0,Skills!I21/Skills!H21,1)</f>
        <v/>
      </c>
      <c r="H3655">
        <f>1-(1-Skills!J21/100)^Skills!K21</f>
        <v/>
      </c>
      <c r="I3655" t="inlineStr">
        <is>
          <t>1</t>
        </is>
      </c>
      <c r="J3655" t="inlineStr"/>
      <c r="K3655" t="inlineStr"/>
      <c r="L3655" t="inlineStr"/>
      <c r="M3655" t="inlineStr"/>
      <c r="N3655" t="inlineStr"/>
      <c r="O3655">
        <f>(1-Summary!$B$11)*T3655+Summary!$B$11*V3655</f>
        <v/>
      </c>
      <c r="P3655">
        <f>IF(B3679=0,0,O3655/B3679)</f>
        <v/>
      </c>
      <c r="Q3655">
        <f>IFERROR(1/IF(Inputs!$B$39="pvp",15,MAX(0.1,Skills!D21-IF(Skills!E21=TRUE,4.5,0))),0)</f>
        <v/>
      </c>
      <c r="R3655">
        <f>IF(AND(Inputs!$B$39&lt;&gt;"pvp",Inputs!$B$44&gt;0),IF(Inputs!$B$44&lt;=0,0,(INT(Inputs!$B$44/IF(Inputs!$B$39="pvp",15,MAX(0.1,Skills!D21-IF(Skills!E21=TRUE,4.5,0))))+1)),0)</f>
        <v/>
      </c>
      <c r="S3655">
        <f>IFERROR(O3655/N3655,0)</f>
        <v/>
      </c>
      <c r="T3655" t="n">
        <v>0</v>
      </c>
      <c r="V3655" t="n">
        <v>0</v>
      </c>
    </row>
    <row r="3656">
      <c r="A3656">
        <f>Skills!A22</f>
        <v/>
      </c>
      <c r="B3656">
        <f>Skills!B22</f>
        <v/>
      </c>
      <c r="C3656">
        <f>Inputs!$B$3&gt;=33</f>
        <v/>
      </c>
      <c r="D3656">
        <f>IF(Skills!C22=1,60+Inputs!$B$25+Inputs!$B$29,IF(Skills!C22=2,90+Inputs!$B$26+Inputs!$B$29,IF(Skills!C22=3,120+Inputs!$B$27+Inputs!$B$29,MAX(0,(Inputs!$B$3-100)*3)+Inputs!$B$28+Inputs!$B$29)))</f>
        <v/>
      </c>
      <c r="E3656">
        <f>INDEX(FactorTable!$B$2:$Y$301, MATCH(ROUND(MIN(300,MAX(1,D3656)),0), FactorTable!$A$2:$A$301,0), Skills!M22+1)</f>
        <v/>
      </c>
      <c r="F3656">
        <f>IF(Skills!N22=TRUE,(Skills!L22/10)*(E3656/1000),Skills!L22/10)+Skills!O22</f>
        <v/>
      </c>
      <c r="G3656">
        <f>Skills!G22*IF(Skills!H22&gt;0,Skills!I22/Skills!H22,1)</f>
        <v/>
      </c>
      <c r="H3656">
        <f>1-(1-Skills!J22/100)^Skills!K22</f>
        <v/>
      </c>
      <c r="I3656" t="inlineStr">
        <is>
          <t>1</t>
        </is>
      </c>
      <c r="J3656" t="inlineStr"/>
      <c r="K3656" t="inlineStr"/>
      <c r="L3656" t="inlineStr"/>
      <c r="M3656" t="inlineStr"/>
      <c r="N3656" t="inlineStr"/>
      <c r="O3656">
        <f>(1-Summary!$B$11)*T3656+Summary!$B$11*V3656</f>
        <v/>
      </c>
      <c r="P3656">
        <f>IF(B3679=0,0,O3656/B3679)</f>
        <v/>
      </c>
      <c r="Q3656" t="n">
        <v>0</v>
      </c>
      <c r="R3656" t="n">
        <v>0</v>
      </c>
      <c r="S3656">
        <f>IFERROR(O3656/N3656,0)</f>
        <v/>
      </c>
      <c r="T3656" t="n">
        <v>0</v>
      </c>
      <c r="V3656" t="n">
        <v>0</v>
      </c>
    </row>
    <row r="3657">
      <c r="A3657">
        <f>Skills!A23</f>
        <v/>
      </c>
      <c r="B3657">
        <f>Skills!B23</f>
        <v/>
      </c>
      <c r="C3657">
        <f>Inputs!$B$3&gt;=40</f>
        <v/>
      </c>
      <c r="D3657">
        <f>IF(Skills!C23=1,60+Inputs!$B$25+Inputs!$B$29,IF(Skills!C23=2,90+Inputs!$B$26+Inputs!$B$29,IF(Skills!C23=3,120+Inputs!$B$27+Inputs!$B$29,MAX(0,(Inputs!$B$3-100)*3)+Inputs!$B$28+Inputs!$B$29)))</f>
        <v/>
      </c>
      <c r="E3657">
        <f>INDEX(FactorTable!$B$2:$Y$301, MATCH(ROUND(MIN(300,MAX(1,D3657)),0), FactorTable!$A$2:$A$301,0), Skills!M23+1)</f>
        <v/>
      </c>
      <c r="F3657">
        <f>IF(Skills!N23=TRUE,(Skills!L23/10)*(E3657/1000),Skills!L23/10)+Skills!O23</f>
        <v/>
      </c>
      <c r="G3657">
        <f>Skills!G23*IF(Skills!H23&gt;0,Skills!I23/Skills!H23,1)</f>
        <v/>
      </c>
      <c r="H3657">
        <f>1-(1-Skills!J23/100)^Skills!K23</f>
        <v/>
      </c>
      <c r="I3657" t="inlineStr">
        <is>
          <t>1</t>
        </is>
      </c>
      <c r="J3657" t="inlineStr"/>
      <c r="K3657" t="inlineStr"/>
      <c r="L3657" t="inlineStr"/>
      <c r="M3657" t="inlineStr"/>
      <c r="N3657" t="inlineStr"/>
      <c r="O3657">
        <f>(1-Summary!$B$11)*T3657+Summary!$B$11*V3657</f>
        <v/>
      </c>
      <c r="P3657">
        <f>IF(B3679=0,0,O3657/B3679)</f>
        <v/>
      </c>
      <c r="Q3657" t="n">
        <v>0</v>
      </c>
      <c r="R3657" t="n">
        <v>0</v>
      </c>
      <c r="S3657">
        <f>IFERROR(O3657/N3657,0)</f>
        <v/>
      </c>
      <c r="T3657" t="n">
        <v>0</v>
      </c>
      <c r="V3657" t="n">
        <v>0</v>
      </c>
    </row>
    <row r="3658">
      <c r="A3658">
        <f>Skills!A24</f>
        <v/>
      </c>
      <c r="B3658">
        <f>Skills!B24</f>
        <v/>
      </c>
      <c r="C3658">
        <f>Inputs!$B$3&gt;=43</f>
        <v/>
      </c>
      <c r="D3658">
        <f>IF(Skills!C24=1,60+Inputs!$B$25+Inputs!$B$29,IF(Skills!C24=2,90+Inputs!$B$26+Inputs!$B$29,IF(Skills!C24=3,120+Inputs!$B$27+Inputs!$B$29,MAX(0,(Inputs!$B$3-100)*3)+Inputs!$B$28+Inputs!$B$29)))</f>
        <v/>
      </c>
      <c r="E3658">
        <f>INDEX(FactorTable!$B$2:$Y$301, MATCH(ROUND(MIN(300,MAX(1,D3658)),0), FactorTable!$A$2:$A$301,0), Skills!M24+1)</f>
        <v/>
      </c>
      <c r="F3658">
        <f>IF(Skills!N24=TRUE,(Skills!L24/10)*(E3658/1000),Skills!L24/10)+Skills!O24</f>
        <v/>
      </c>
      <c r="G3658">
        <f>Skills!G24*IF(Skills!H24&gt;0,Skills!I24/Skills!H24,1)</f>
        <v/>
      </c>
      <c r="H3658">
        <f>1-(1-Skills!J24/100)^Skills!K24</f>
        <v/>
      </c>
      <c r="I3658" t="inlineStr">
        <is>
          <t>1</t>
        </is>
      </c>
      <c r="J3658" t="inlineStr"/>
      <c r="K3658" t="inlineStr"/>
      <c r="L3658" t="inlineStr"/>
      <c r="M3658" t="inlineStr"/>
      <c r="N3658" t="inlineStr"/>
      <c r="O3658">
        <f>(1-Summary!$B$11)*T3658+Summary!$B$11*V3658</f>
        <v/>
      </c>
      <c r="P3658">
        <f>IF(B3679=0,0,O3658/B3679)</f>
        <v/>
      </c>
      <c r="Q3658" t="n">
        <v>0</v>
      </c>
      <c r="R3658" t="n">
        <v>0</v>
      </c>
      <c r="S3658">
        <f>IFERROR(O3658/N3658,0)</f>
        <v/>
      </c>
      <c r="T3658" t="n">
        <v>0</v>
      </c>
      <c r="V3658" t="n">
        <v>0</v>
      </c>
    </row>
    <row r="3659">
      <c r="A3659">
        <f>Skills!A25</f>
        <v/>
      </c>
      <c r="B3659">
        <f>Skills!B25</f>
        <v/>
      </c>
      <c r="C3659">
        <f>Inputs!$B$3&gt;=50</f>
        <v/>
      </c>
      <c r="D3659">
        <f>IF(Skills!C25=1,60+Inputs!$B$25+Inputs!$B$29,IF(Skills!C25=2,90+Inputs!$B$26+Inputs!$B$29,IF(Skills!C25=3,120+Inputs!$B$27+Inputs!$B$29,MAX(0,(Inputs!$B$3-100)*3)+Inputs!$B$28+Inputs!$B$29)))</f>
        <v/>
      </c>
      <c r="E3659">
        <f>INDEX(FactorTable!$B$2:$Y$301, MATCH(ROUND(MIN(300,MAX(1,D3659)),0), FactorTable!$A$2:$A$301,0), Skills!M25+1)</f>
        <v/>
      </c>
      <c r="F3659">
        <f>IF(Skills!N25=TRUE,(Skills!L25/10)*(E3659/1000),Skills!L25/10)+Skills!O25</f>
        <v/>
      </c>
      <c r="G3659">
        <f>Skills!G25*IF(Skills!H25&gt;0,Skills!I25/Skills!H25,1)</f>
        <v/>
      </c>
      <c r="H3659">
        <f>1-(1-Skills!J25/100)^Skills!K25</f>
        <v/>
      </c>
      <c r="I3659" t="inlineStr">
        <is>
          <t>1</t>
        </is>
      </c>
      <c r="J3659" t="inlineStr"/>
      <c r="K3659" t="inlineStr"/>
      <c r="L3659" t="inlineStr"/>
      <c r="M3659" t="inlineStr"/>
      <c r="N3659" t="inlineStr"/>
      <c r="O3659">
        <f>(1-Summary!$B$11)*T3659+Summary!$B$11*V3659</f>
        <v/>
      </c>
      <c r="P3659">
        <f>IF(B3679=0,0,O3659/B3679)</f>
        <v/>
      </c>
      <c r="Q3659" t="n">
        <v>0</v>
      </c>
      <c r="R3659" t="n">
        <v>0</v>
      </c>
      <c r="S3659">
        <f>IFERROR(O3659/N3659,0)</f>
        <v/>
      </c>
      <c r="T3659" t="n">
        <v>0</v>
      </c>
      <c r="V3659" t="n">
        <v>0</v>
      </c>
    </row>
    <row r="3660">
      <c r="A3660">
        <f>Skills!A26</f>
        <v/>
      </c>
      <c r="B3660">
        <f>Skills!B26</f>
        <v/>
      </c>
      <c r="C3660">
        <f>Inputs!$B$3&gt;=50</f>
        <v/>
      </c>
      <c r="D3660">
        <f>IF(Skills!C26=1,60+Inputs!$B$25+Inputs!$B$29,IF(Skills!C26=2,90+Inputs!$B$26+Inputs!$B$29,IF(Skills!C26=3,120+Inputs!$B$27+Inputs!$B$29,MAX(0,(Inputs!$B$3-100)*3)+Inputs!$B$28+Inputs!$B$29)))</f>
        <v/>
      </c>
      <c r="E3660">
        <f>INDEX(FactorTable!$B$2:$Y$301, MATCH(ROUND(MIN(300,MAX(1,D3660)),0), FactorTable!$A$2:$A$301,0), Skills!M26+1)</f>
        <v/>
      </c>
      <c r="F3660">
        <f>IF(Skills!N26=TRUE,(Skills!L26/10)*(E3660/1000),Skills!L26/10)+Skills!O26</f>
        <v/>
      </c>
      <c r="G3660">
        <f>Skills!G26*IF(Skills!H26&gt;0,Skills!I26/Skills!H26,1)</f>
        <v/>
      </c>
      <c r="H3660">
        <f>1-(1-Skills!J26/100)^Skills!K26</f>
        <v/>
      </c>
      <c r="I3660" t="inlineStr">
        <is>
          <t>1</t>
        </is>
      </c>
      <c r="J3660" t="inlineStr"/>
      <c r="K3660" t="inlineStr"/>
      <c r="L3660" t="inlineStr"/>
      <c r="M3660" t="inlineStr"/>
      <c r="N3660" t="inlineStr"/>
      <c r="O3660">
        <f>(1-Summary!$B$11)*T3660+Summary!$B$11*V3660</f>
        <v/>
      </c>
      <c r="P3660">
        <f>IF(B3679=0,0,O3660/B3679)</f>
        <v/>
      </c>
      <c r="Q3660" t="n">
        <v>0</v>
      </c>
      <c r="R3660" t="n">
        <v>0</v>
      </c>
      <c r="S3660">
        <f>IFERROR(O3660/N3660,0)</f>
        <v/>
      </c>
      <c r="T3660" t="n">
        <v>0</v>
      </c>
      <c r="V3660" t="n">
        <v>0</v>
      </c>
    </row>
    <row r="3661">
      <c r="A3661">
        <f>Skills!A27</f>
        <v/>
      </c>
      <c r="B3661">
        <f>Skills!B27</f>
        <v/>
      </c>
      <c r="C3661">
        <f>Inputs!$B$3&gt;=38</f>
        <v/>
      </c>
      <c r="D3661">
        <f>IF(Skills!C27=1,60+Inputs!$B$25+Inputs!$B$29,IF(Skills!C27=2,90+Inputs!$B$26+Inputs!$B$29,IF(Skills!C27=3,120+Inputs!$B$27+Inputs!$B$29,MAX(0,(Inputs!$B$3-100)*3)+Inputs!$B$28+Inputs!$B$29)))</f>
        <v/>
      </c>
      <c r="E3661">
        <f>INDEX(FactorTable!$B$2:$Y$301, MATCH(ROUND(MIN(300,MAX(1,D3661)),0), FactorTable!$A$2:$A$301,0), Skills!M27+1)</f>
        <v/>
      </c>
      <c r="F3661">
        <f>IF(Skills!N27=TRUE,(Skills!L27/10)*(E3661/1000),Skills!L27/10)+Skills!O27</f>
        <v/>
      </c>
      <c r="G3661">
        <f>Skills!G27*IF(Skills!H27&gt;0,Skills!I27/Skills!H27,1)</f>
        <v/>
      </c>
      <c r="H3661">
        <f>1-(1-Skills!J27/100)^Skills!K27</f>
        <v/>
      </c>
      <c r="I3661" t="inlineStr">
        <is>
          <t>1</t>
        </is>
      </c>
      <c r="J3661" t="inlineStr"/>
      <c r="K3661" t="inlineStr"/>
      <c r="L3661" t="inlineStr"/>
      <c r="M3661" t="inlineStr"/>
      <c r="N3661" t="inlineStr"/>
      <c r="O3661">
        <f>(1-Summary!$B$11)*T3661+Summary!$B$11*V3661</f>
        <v/>
      </c>
      <c r="P3661">
        <f>IF(B3679=0,0,O3661/B3679)</f>
        <v/>
      </c>
      <c r="Q3661" t="n">
        <v>0</v>
      </c>
      <c r="R3661" t="n">
        <v>0</v>
      </c>
      <c r="S3661">
        <f>IFERROR(O3661/N3661,0)</f>
        <v/>
      </c>
      <c r="T3661" t="n">
        <v>0</v>
      </c>
      <c r="V3661" t="n">
        <v>0</v>
      </c>
    </row>
    <row r="3662">
      <c r="A3662">
        <f>Skills!A28</f>
        <v/>
      </c>
      <c r="B3662">
        <f>Skills!B28</f>
        <v/>
      </c>
      <c r="C3662">
        <f>Inputs!$B$3&gt;=120</f>
        <v/>
      </c>
      <c r="D3662">
        <f>IF(Skills!C28=1,60+Inputs!$B$25+Inputs!$B$29,IF(Skills!C28=2,90+Inputs!$B$26+Inputs!$B$29,IF(Skills!C28=3,120+Inputs!$B$27+Inputs!$B$29,MAX(0,(Inputs!$B$3-100)*3)+Inputs!$B$28+Inputs!$B$29)))</f>
        <v/>
      </c>
      <c r="E3662">
        <f>INDEX(FactorTable!$B$2:$Y$301, MATCH(ROUND(MIN(300,MAX(1,D3662)),0), FactorTable!$A$2:$A$301,0), Skills!M28+1)</f>
        <v/>
      </c>
      <c r="F3662">
        <f>IF(Skills!N28=TRUE,(Skills!L28/10)*(E3662/1000),Skills!L28/10)+Skills!O28</f>
        <v/>
      </c>
      <c r="G3662">
        <f>Skills!G28*IF(Skills!H28&gt;0,Skills!I28/Skills!H28,1)</f>
        <v/>
      </c>
      <c r="H3662">
        <f>1-(1-Skills!J28/100)^Skills!K28</f>
        <v/>
      </c>
      <c r="I3662" t="inlineStr">
        <is>
          <t>1</t>
        </is>
      </c>
      <c r="J3662" t="inlineStr"/>
      <c r="K3662" t="inlineStr"/>
      <c r="L3662" t="inlineStr"/>
      <c r="M3662" t="inlineStr"/>
      <c r="N3662" t="inlineStr"/>
      <c r="O3662">
        <f>(1-Summary!$B$11)*T3662+Summary!$B$11*V3662</f>
        <v/>
      </c>
      <c r="P3662">
        <f>IF(B3679=0,0,O3662/B3679)</f>
        <v/>
      </c>
      <c r="Q3662" t="n">
        <v>0</v>
      </c>
      <c r="R3662" t="n">
        <v>0</v>
      </c>
      <c r="S3662">
        <f>IFERROR(O3662/N3662,0)</f>
        <v/>
      </c>
      <c r="T3662" t="n">
        <v>0</v>
      </c>
      <c r="V3662" t="n">
        <v>0</v>
      </c>
    </row>
    <row r="3663">
      <c r="A3663">
        <f>Skills!A29</f>
        <v/>
      </c>
      <c r="B3663">
        <f>Skills!B29</f>
        <v/>
      </c>
      <c r="C3663">
        <f>Inputs!$B$3&gt;=120</f>
        <v/>
      </c>
      <c r="D3663">
        <f>IF(Skills!C29=1,60+Inputs!$B$25+Inputs!$B$29,IF(Skills!C29=2,90+Inputs!$B$26+Inputs!$B$29,IF(Skills!C29=3,120+Inputs!$B$27+Inputs!$B$29,MAX(0,(Inputs!$B$3-100)*3)+Inputs!$B$28+Inputs!$B$29)))</f>
        <v/>
      </c>
      <c r="E3663">
        <f>INDEX(FactorTable!$B$2:$Y$301, MATCH(ROUND(MIN(300,MAX(1,D3663)),0), FactorTable!$A$2:$A$301,0), Skills!M29+1)</f>
        <v/>
      </c>
      <c r="F3663">
        <f>IF(Skills!N29=TRUE,(Skills!L29/10)*(E3663/1000),Skills!L29/10)+Skills!O29</f>
        <v/>
      </c>
      <c r="G3663">
        <f>Skills!G29*IF(Skills!H29&gt;0,Skills!I29/Skills!H29,1)</f>
        <v/>
      </c>
      <c r="H3663">
        <f>1-(1-Skills!J29/100)^Skills!K29</f>
        <v/>
      </c>
      <c r="I3663" t="inlineStr">
        <is>
          <t>1</t>
        </is>
      </c>
      <c r="J3663" t="inlineStr"/>
      <c r="K3663" t="inlineStr"/>
      <c r="L3663" t="inlineStr"/>
      <c r="M3663" t="inlineStr"/>
      <c r="N3663" t="inlineStr"/>
      <c r="O3663">
        <f>(1-Summary!$B$11)*T3663+Summary!$B$11*V3663</f>
        <v/>
      </c>
      <c r="P3663">
        <f>IF(B3679=0,0,O3663/B3679)</f>
        <v/>
      </c>
      <c r="Q3663" t="n">
        <v>0</v>
      </c>
      <c r="R3663" t="n">
        <v>0</v>
      </c>
      <c r="S3663">
        <f>IFERROR(O3663/N3663,0)</f>
        <v/>
      </c>
      <c r="T3663" t="n">
        <v>0</v>
      </c>
      <c r="V3663" t="n">
        <v>0</v>
      </c>
    </row>
    <row r="3664">
      <c r="A3664">
        <f>Skills!A30</f>
        <v/>
      </c>
      <c r="B3664">
        <f>Skills!B30</f>
        <v/>
      </c>
      <c r="C3664">
        <f>Inputs!$B$3&gt;=125</f>
        <v/>
      </c>
      <c r="D3664">
        <f>IF(Skills!C30=1,60+Inputs!$B$25+Inputs!$B$29,IF(Skills!C30=2,90+Inputs!$B$26+Inputs!$B$29,IF(Skills!C30=3,120+Inputs!$B$27+Inputs!$B$29,MAX(0,(Inputs!$B$3-100)*3)+Inputs!$B$28+Inputs!$B$29)))</f>
        <v/>
      </c>
      <c r="E3664">
        <f>INDEX(FactorTable!$B$2:$Y$301, MATCH(ROUND(MIN(300,MAX(1,D3664)),0), FactorTable!$A$2:$A$301,0), Skills!M30+1)</f>
        <v/>
      </c>
      <c r="F3664">
        <f>IF(Skills!N30=TRUE,(Skills!L30/10)*(E3664/1000),Skills!L30/10)+Skills!O30</f>
        <v/>
      </c>
      <c r="G3664">
        <f>Skills!G30*IF(Skills!H30&gt;0,Skills!I30/Skills!H30,1)</f>
        <v/>
      </c>
      <c r="H3664">
        <f>1-(1-Skills!J30/100)^Skills!K30</f>
        <v/>
      </c>
      <c r="I3664" t="inlineStr">
        <is>
          <t>1</t>
        </is>
      </c>
      <c r="J3664" t="inlineStr"/>
      <c r="K3664" t="inlineStr"/>
      <c r="L3664" t="inlineStr"/>
      <c r="M3664" t="inlineStr"/>
      <c r="N3664" t="inlineStr"/>
      <c r="O3664">
        <f>(1-Summary!$B$11)*T3664+Summary!$B$11*V3664</f>
        <v/>
      </c>
      <c r="P3664">
        <f>IF(B3679=0,0,O3664/B3679)</f>
        <v/>
      </c>
      <c r="Q3664" t="n">
        <v>0</v>
      </c>
      <c r="R3664" t="n">
        <v>0</v>
      </c>
      <c r="S3664">
        <f>IFERROR(O3664/N3664,0)</f>
        <v/>
      </c>
      <c r="T3664" t="n">
        <v>0</v>
      </c>
      <c r="V3664" t="n">
        <v>0</v>
      </c>
    </row>
    <row r="3666">
      <c r="A3666" t="inlineStr">
        <is>
          <t>Average Buff Multiplier</t>
        </is>
      </c>
      <c r="B3666">
        <f>(1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f>
        <v/>
      </c>
    </row>
    <row r="3667">
      <c r="A3667" t="inlineStr">
        <is>
          <t>Global Crit Rate Bonus %</t>
        </is>
      </c>
      <c r="B3667">
        <f>((C3654=TRUE)*F3654*IF(AND(Inputs!$B$39&lt;&gt;"pvp",Inputs!$B$44&gt;0),(((R3654-1)*(Skills!Y20*(1+Inputs!$B$34/100))+MIN((Skills!Y20*(1+Inputs!$B$34/100)),MAX(0,Inputs!$B$44-((R3654-1)*Skills!D20))))/Inputs!$B$44),IF(Inputs!$B$39="pvp",MIN((Skills!Y20*(1+Inputs!$B$34/100)),15)/15,(Skills!Y20*(1+Inputs!$B$34/100))/Skills!D20)))</f>
        <v/>
      </c>
    </row>
    <row r="3668">
      <c r="A3668" t="inlineStr">
        <is>
          <t>Global Monster Damage-Taken Bonus %</t>
        </is>
      </c>
      <c r="B3668">
        <f>IF(Inputs!$B$3&gt;=82,15,0)</f>
        <v/>
      </c>
    </row>
    <row r="3669">
      <c r="A3669" t="inlineStr">
        <is>
          <t>Shadow Partner Average Multiplier</t>
        </is>
      </c>
      <c r="B3669">
        <f>1+((C3641=TRUE)*F3641*(1+3.3333333333333335*IF(C3652=TRUE,F3652,0)/100)*I3641*Skills!J7/100)/100</f>
        <v/>
      </c>
    </row>
    <row r="3670">
      <c r="A3670" t="inlineStr">
        <is>
          <t>Attack Speed Buff Bonus %</t>
        </is>
      </c>
      <c r="B3670">
        <f>((C3653=TRUE)*F3653*IF(AND(Inputs!$B$39&lt;&gt;"pvp",Inputs!$B$44&gt;0),(((R3653-1)*(Skills!Y19*(1+Inputs!$B$34/100))+MIN((Skills!Y19*(1+Inputs!$B$34/100)),MAX(0,Inputs!$B$44-((R3653-1)*Skills!D19))))/Inputs!$B$44),IF(Inputs!$B$39="pvp",MIN((Skills!Y19*(1+Inputs!$B$34/100)),15)/15,(Skills!Y19*(1+Inputs!$B$34/100))/Skills!D19)))+((C3637=TRUE)*F3637*3)</f>
        <v/>
      </c>
    </row>
    <row r="3671">
      <c r="A3671" t="inlineStr">
        <is>
          <t>Actions Per Second</t>
        </is>
      </c>
      <c r="B3671">
        <f>1+MIN(150,150*(1-(1-(Inputs!$B$11+((C3656=TRUE)*(F3656-Calc!F22)))/150)*(1-B3670/150)))/100</f>
        <v/>
      </c>
    </row>
    <row r="3672">
      <c r="A3672" t="inlineStr">
        <is>
          <t>Skill + Buff Cast Rate</t>
        </is>
      </c>
      <c r="B3672">
        <f>IF(AND(Inputs!$B$39&lt;&gt;"pvp",Inputs!$B$44&gt;0),SUMPRODUCT((Skills!E2:E30=TRUE)*(C3636:C3664=TRUE)*R3636:R3664*Skills!F2:F30)/Inputs!$B$44,SUMPRODUCT((Skills!E2:E30=TRUE)*(C3636:C3664=TRUE)*Q3636:Q3664*Skills!F2:F30))</f>
        <v/>
      </c>
    </row>
    <row r="3673">
      <c r="A3673" t="inlineStr">
        <is>
          <t>Cruel Stab Casts Per Second</t>
        </is>
      </c>
      <c r="B3673">
        <f>MAX(0,B3671-B3672)</f>
        <v/>
      </c>
    </row>
    <row r="3674">
      <c r="A3674" t="inlineStr">
        <is>
          <t>Global Critical Damage Bonus % (Smokescreen Mastery Lv.113)</t>
        </is>
      </c>
      <c r="B3674">
        <f>IF(Inputs!$B$3&gt;=113,30,0)*IF(AND(Inputs!$B$39&lt;&gt;"pvp",Inputs!$B$44&gt;0),(((R3649-1)*(Skills!Y15*(1+Inputs!$B$34/100))+MIN((Skills!Y15*(1+Inputs!$B$34/100)),MAX(0,Inputs!$B$44-((R3649-1)*Skills!D15))))/Inputs!$B$44),IF(Inputs!$B$39="pvp",MIN((Skills!Y15*(1+Inputs!$B$34/100)),15)/15,(Skills!Y15*(1+Inputs!$B$34/100))/Skills!D15))</f>
        <v/>
      </c>
    </row>
    <row r="3675">
      <c r="A3675" t="inlineStr">
        <is>
          <t>Meso Explosion average stack count</t>
        </is>
      </c>
      <c r="B3675">
        <f>MIN(10,0.5*B3671*Skills!D4)</f>
        <v/>
      </c>
    </row>
    <row r="3676">
      <c r="A3676" t="inlineStr">
        <is>
          <t>Blood Money average stack count</t>
        </is>
      </c>
      <c r="B3676">
        <f>MIN(5,0.25*B3671*Skills!D4)</f>
        <v/>
      </c>
    </row>
    <row r="3677">
      <c r="A3677" t="inlineStr">
        <is>
          <t>Assassinate Murderous Intent Multiplier</t>
        </is>
      </c>
      <c r="B3677">
        <f>1+IFERROR(MIN(1,Q3648*2/Q3645),0)</f>
        <v/>
      </c>
    </row>
    <row r="3678">
      <c r="A3678" t="inlineStr">
        <is>
          <t>Buff-Casting Startup Delay (s, fixed-duration only)</t>
        </is>
      </c>
      <c r="B3678">
        <f>IF(AND(Inputs!$B$39&lt;&gt;"pvp",Inputs!$B$44&gt;0),SUMPRODUCT((Skills!Y2:Y30&gt;0)*(Skills!E2:E30=TRUE)*(C3636:C3664=TRUE))/B3671,0)</f>
        <v/>
      </c>
    </row>
    <row r="3679">
      <c r="A3679" s="6" t="inlineStr">
        <is>
          <t>TOTAL DPS</t>
        </is>
      </c>
      <c r="B3679" s="6">
        <f>SUM(O3636:O3664)</f>
        <v/>
      </c>
    </row>
    <row r="3680">
      <c r="A3680" t="inlineStr">
        <is>
          <t>Boss-Only Total DPS (this block's swept value)</t>
        </is>
      </c>
      <c r="B3680">
        <f>SUM(T3636:T3664)</f>
        <v/>
      </c>
    </row>
    <row r="3681">
      <c r="A3681" t="inlineStr">
        <is>
          <t>Normal-Only Total DPS (this block's swept value)</t>
        </is>
      </c>
      <c r="B3681">
        <f>SUM(V3636:V3664)</f>
        <v/>
      </c>
    </row>
    <row r="3684">
      <c r="A3684" s="6" t="inlineStr">
        <is>
          <t>Stat: CDR = 5.0s</t>
        </is>
      </c>
    </row>
    <row r="3685">
      <c r="A3685" s="5" t="inlineStr">
        <is>
          <t>Key</t>
        </is>
      </c>
      <c r="B3685" s="5" t="inlineStr">
        <is>
          <t>Name</t>
        </is>
      </c>
      <c r="C3685" s="5" t="inlineStr">
        <is>
          <t>Unlocked</t>
        </is>
      </c>
      <c r="D3685" s="5" t="inlineStr">
        <is>
          <t>InputLevel</t>
        </is>
      </c>
      <c r="E3685" s="5" t="inlineStr">
        <is>
          <t>Factor</t>
        </is>
      </c>
      <c r="F3685" s="5" t="inlineStr">
        <is>
          <t>CoefficientPercent</t>
        </is>
      </c>
      <c r="G3685" s="5" t="inlineStr">
        <is>
          <t>EffectiveHits</t>
        </is>
      </c>
      <c r="H3685" s="5" t="inlineStr">
        <is>
          <t>ProcProbability</t>
        </is>
      </c>
      <c r="I3685" s="5" t="inlineStr">
        <is>
          <t>MapleHeroMultiplier</t>
        </is>
      </c>
      <c r="J3685" s="5" t="inlineStr">
        <is>
          <t>BaseDamage</t>
        </is>
      </c>
      <c r="K3685" s="5" t="inlineStr">
        <is>
          <t>BaseHitDamage</t>
        </is>
      </c>
      <c r="L3685" s="5" t="inlineStr">
        <is>
          <t>NonCritAvg</t>
        </is>
      </c>
      <c r="M3685" s="5" t="inlineStr">
        <is>
          <t>CritAvg</t>
        </is>
      </c>
      <c r="N3685" s="5" t="inlineStr">
        <is>
          <t>ExpectedDamage(perHit)</t>
        </is>
      </c>
      <c r="O3685" s="5" t="inlineStr">
        <is>
          <t>DPS</t>
        </is>
      </c>
      <c r="P3685" s="5" t="inlineStr">
        <is>
          <t>% of Total</t>
        </is>
      </c>
      <c r="Q3685" s="5" t="inlineStr">
        <is>
          <t>InvCooldown</t>
        </is>
      </c>
      <c r="R3685" s="5" t="inlineStr">
        <is>
          <t>CastsInFight</t>
        </is>
      </c>
      <c r="S3685" s="5" t="inlineStr">
        <is>
          <t>HitRate(perSec)</t>
        </is>
      </c>
      <c r="U3685" t="inlineStr">
        <is>
          <t>helpers</t>
        </is>
      </c>
    </row>
    <row r="3686">
      <c r="A3686">
        <f>Skills!A2</f>
        <v/>
      </c>
      <c r="B3686">
        <f>Skills!B2</f>
        <v/>
      </c>
      <c r="C3686">
        <f>Inputs!$B$3&gt;=100</f>
        <v/>
      </c>
      <c r="D3686" t="inlineStr"/>
      <c r="E3686" t="inlineStr"/>
      <c r="F3686">
        <f>U3688+Skills!O2</f>
        <v/>
      </c>
      <c r="G3686">
        <f>Skills!G2*IF(Skills!H2&gt;0,Skills!I2/Skills!H2,1)</f>
        <v/>
      </c>
      <c r="H3686">
        <f>1-(1-Skills!J2/100)^Skills!K2</f>
        <v/>
      </c>
      <c r="I3686" t="inlineStr">
        <is>
          <t>1</t>
        </is>
      </c>
      <c r="J3686">
        <f>((Inputs!$B$6*(1+Inputs!$B$7/100))+(((Inputs!$B$12*(1+Inputs!$B$13/100))-(Inputs!$B$12*(1+Inputs!$B$13/100)))+0.25*(Inputs!$B$14-Inputs!$B$14))*(1+Inputs!$B$7/100))*(F3686/100)</f>
        <v/>
      </c>
      <c r="K3686">
        <f>J3686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3686)</f>
        <v/>
      </c>
      <c r="L3686">
        <f>K3686*(MIN(Inputs!$B$22+((C3708=TRUE)*(F3708-Calc!F24)),(Inputs!$B$23+((C3713=TRUE)*(F3713-Calc!F29))+IF(ArtifactsInput!$M$15,CHOOSE(ArtifactsInput!$N$15+1,25,30,35,40,45,50)/100*(Inputs!$B$11-Inputs!$B$11),0)))/100+(Inputs!$B$23+((C3713=TRUE)*(F3713-Calc!F29))+IF(ArtifactsInput!$M$15,CHOOSE(ArtifactsInput!$N$15+1,25,30,35,40,45,50)/100*(Inputs!$B$11-Inputs!$B$11),0))/100)/2</f>
        <v/>
      </c>
      <c r="M3686">
        <f>L3686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6">
        <f>L3686*(1-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3686*(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6">
        <f>(1-Summary!$B$11)*T3686+Summary!$B$11*V3686</f>
        <v/>
      </c>
      <c r="P3686">
        <f>IF(B3729=0,0,O3686/B3729)</f>
        <v/>
      </c>
      <c r="Q3686" t="n">
        <v>0</v>
      </c>
      <c r="R3686" t="n">
        <v>0</v>
      </c>
      <c r="S3686">
        <f>IFERROR(O3686/N3686,0)</f>
        <v/>
      </c>
      <c r="T3686">
        <f>IF(C3686,(Skills!G2*N3686*B3723)*IF(Inputs!$B$39="pvp",1,1+(Inputs!$B$20+0+Skills!P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3686*(1-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3686*(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3686*(1-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3686*(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6">
        <f>MAX(0,(Inputs!$B$3-100)*3)+Inputs!$B$28+Inputs!$B$29</f>
        <v/>
      </c>
      <c r="V3686">
        <f>IF(C3686,(Skills!G2*N3686*B3723)*IF(Inputs!$B$39="pvp",1,(1+(Inputs!$B$21+Skills!Q2+B3718+(IF(ArtifactsInput!$M$33,CHOOSE(ArtifactsInput!$N$33+1,30,36,42,48,54,60),0))+(IF(AND(ArtifactsInput!$M$35,Inputs!$B$4&lt;&gt;"Chapter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7">
      <c r="A3687">
        <f>Skills!A3</f>
        <v/>
      </c>
      <c r="B3687">
        <f>Skills!B3</f>
        <v/>
      </c>
      <c r="C3687">
        <f>Inputs!$B$3&gt;=35</f>
        <v/>
      </c>
      <c r="D3687">
        <f>IF(Skills!C3=1,60+Inputs!$B$25+Inputs!$B$29,IF(Skills!C3=2,90+Inputs!$B$26+Inputs!$B$29,IF(Skills!C3=3,120+Inputs!$B$27+Inputs!$B$29,MAX(0,(Inputs!$B$3-100)*3)+Inputs!$B$28+Inputs!$B$29)))</f>
        <v/>
      </c>
      <c r="E3687">
        <f>INDEX(FactorTable!$B$2:$Y$301, MATCH(ROUND(MIN(300,MAX(1,D3687)),0), FactorTable!$A$2:$A$301,0), Skills!M3+1)</f>
        <v/>
      </c>
      <c r="F3687">
        <f>IF(Skills!N3=TRUE,(Skills!L3/10)*(E3687/1000),Skills!L3/10)+Skills!O3</f>
        <v/>
      </c>
      <c r="G3687">
        <f>Skills!G3*IF(Skills!H3&gt;0,Skills!I3/Skills!H3,1)</f>
        <v/>
      </c>
      <c r="H3687">
        <f>1-(1-Skills!J3/100)^Skills!K3</f>
        <v/>
      </c>
      <c r="I3687" t="inlineStr">
        <is>
          <t>1</t>
        </is>
      </c>
      <c r="J3687" t="inlineStr"/>
      <c r="K3687" t="inlineStr"/>
      <c r="L3687" t="inlineStr"/>
      <c r="M3687" t="inlineStr"/>
      <c r="N3687" t="inlineStr"/>
      <c r="O3687">
        <f>(1-Summary!$B$11)*T3687+Summary!$B$11*V3687</f>
        <v/>
      </c>
      <c r="P3687">
        <f>IF(B3729=0,0,O3687/B3729)</f>
        <v/>
      </c>
      <c r="Q3687" t="n">
        <v>0</v>
      </c>
      <c r="R3687" t="n">
        <v>0</v>
      </c>
      <c r="S3687">
        <f>IFERROR(O3687/N3687,0)</f>
        <v/>
      </c>
      <c r="T3687" t="n">
        <v>0</v>
      </c>
      <c r="U3687">
        <f>INDEX(FactorTable!$B$2:$Y$301, MATCH(ROUND(MIN(300,MAX(1,U3686)),0), FactorTable!$A$2:$A$301,0), 22)</f>
        <v/>
      </c>
      <c r="V3687" t="n">
        <v>0</v>
      </c>
    </row>
    <row r="3688">
      <c r="A3688">
        <f>Skills!A4</f>
        <v/>
      </c>
      <c r="B3688">
        <f>Skills!B4</f>
        <v/>
      </c>
      <c r="C3688">
        <f>Inputs!$B$3&gt;=66</f>
        <v/>
      </c>
      <c r="D3688">
        <f>IF(Skills!C4=1,60+Inputs!$B$25+Inputs!$B$29,IF(Skills!C4=2,90+Inputs!$B$26+Inputs!$B$29,IF(Skills!C4=3,120+Inputs!$B$27+Inputs!$B$29,MAX(0,(Inputs!$B$3-100)*3)+Inputs!$B$28+Inputs!$B$29)))</f>
        <v/>
      </c>
      <c r="E3688">
        <f>INDEX(FactorTable!$B$2:$Y$301, MATCH(ROUND(MIN(300,MAX(1,D3688)),0), FactorTable!$A$2:$A$301,0), Skills!M4+1)</f>
        <v/>
      </c>
      <c r="F3688">
        <f>IF(Skills!N4=TRUE,(Skills!L4/10)*(E3688/1000),Skills!L4/10)+Skills!O4</f>
        <v/>
      </c>
      <c r="G3688">
        <f>Skills!G4*IF(Skills!H4&gt;0,Skills!I4/Skills!H4,1)</f>
        <v/>
      </c>
      <c r="H3688">
        <f>1-(1-Skills!J4/100)^Skills!K4</f>
        <v/>
      </c>
      <c r="I3688" t="inlineStr">
        <is>
          <t>1</t>
        </is>
      </c>
      <c r="J3688">
        <f>((Inputs!$B$6*(1+Inputs!$B$7/100))+(((Inputs!$B$12*(1+Inputs!$B$13/100))-(Inputs!$B$12*(1+Inputs!$B$13/100)))+0.25*(Inputs!$B$14-Inputs!$B$14))*(1+Inputs!$B$7/100))*(F3688/100)</f>
        <v/>
      </c>
      <c r="K3688">
        <f>J3688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3688)</f>
        <v/>
      </c>
      <c r="L3688">
        <f>K3688*(MIN(Inputs!$B$22+((C3708=TRUE)*(F3708-Calc!F24)),(Inputs!$B$23+((C3713=TRUE)*(F3713-Calc!F29))+IF(ArtifactsInput!$M$15,CHOOSE(ArtifactsInput!$N$15+1,25,30,35,40,45,50)/100*(Inputs!$B$11-Inputs!$B$11),0)))/100+(Inputs!$B$23+((C3713=TRUE)*(F3713-Calc!F29))+IF(ArtifactsInput!$M$15,CHOOSE(ArtifactsInput!$N$15+1,25,30,35,40,45,50)/100*(Inputs!$B$11-Inputs!$B$11),0))/100)/2</f>
        <v/>
      </c>
      <c r="M3688">
        <f>L3688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8">
        <f>L3688*(1-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3688*(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8">
        <f>(1-Summary!$B$11)*T3688+Summary!$B$11*V3688</f>
        <v/>
      </c>
      <c r="P3688">
        <f>IF(B3729=0,0,O3688/B3729)</f>
        <v/>
      </c>
      <c r="Q3688">
        <f>IFERROR(1/IF(Inputs!$B$39="pvp",15,MAX(0.1,Skills!D4-IF(Skills!E4=TRUE,5.0,0))),0)</f>
        <v/>
      </c>
      <c r="R3688">
        <f>IF(AND(Inputs!$B$39&lt;&gt;"pvp",Inputs!$B$44&gt;0),IF(MAX(0,Inputs!$B$44-B3728)&lt;=0,0,(INT(MAX(0,Inputs!$B$44-B3728)/IF(Inputs!$B$39="pvp",15,MAX(0.1,Skills!D4-IF(Skills!E4=TRUE,5.0,0))))+1)),0)</f>
        <v/>
      </c>
      <c r="S3688">
        <f>IFERROR(O3688/N3688,0)</f>
        <v/>
      </c>
      <c r="T3688">
        <f>IF(C3688,(H3688*N3688*IF(AND(Inputs!$B$39&lt;&gt;"pvp",Inputs!$B$44&gt;0),((Skills!G4*((R3688-1)*IF(Skills!H4&gt;0,Skills!I4/Skills!H4,1)+IF(Skills!H4&gt;0,MIN(Skills!I4,MAX(0,MAX(0,Inputs!$B$44-B3728)-((R3688-1)*IF(Inputs!$B$39="pvp",15,MAX(0.1,Skills!D4-IF(Skills!E4=TRUE,5.0,0))))))/Skills!H4,1)))/Inputs!$B$44),G3688*Q3688))*IF(Inputs!$B$39="pvp",1,1+(Inputs!$B$20+0+Skills!P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3688*(1-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3688*(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3688*(1-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3688*(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8">
        <f>290*U3687/1000</f>
        <v/>
      </c>
      <c r="V3688">
        <f>IF(C3688,(H3688*N3688*IF(AND(Inputs!$B$39&lt;&gt;"pvp",Inputs!$B$44&gt;0),((Skills!G4*((R3688-1)*IF(Skills!H4&gt;0,Skills!I4/Skills!H4,1)+IF(Skills!H4&gt;0,MIN(Skills!I4,MAX(0,MAX(0,Inputs!$B$44-B3728)-((R3688-1)*IF(Inputs!$B$39="pvp",15,MAX(0.1,Skills!D4-IF(Skills!E4=TRUE,5.0,0))))))/Skills!H4,1)))/Inputs!$B$44),G3688*Q3688))*IF(Inputs!$B$39="pvp",1,(1+(Inputs!$B$21+Skills!Q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(10,0.5*B3721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9">
      <c r="A3689">
        <f>Skills!A5</f>
        <v/>
      </c>
      <c r="B3689">
        <f>Skills!B5</f>
        <v/>
      </c>
      <c r="C3689">
        <f>Inputs!$B$3&gt;=63</f>
        <v/>
      </c>
      <c r="D3689">
        <f>IF(Skills!C5=1,60+Inputs!$B$25+Inputs!$B$29,IF(Skills!C5=2,90+Inputs!$B$26+Inputs!$B$29,IF(Skills!C5=3,120+Inputs!$B$27+Inputs!$B$29,MAX(0,(Inputs!$B$3-100)*3)+Inputs!$B$28+Inputs!$B$29)))</f>
        <v/>
      </c>
      <c r="E3689">
        <f>INDEX(FactorTable!$B$2:$Y$301, MATCH(ROUND(MIN(300,MAX(1,D3689)),0), FactorTable!$A$2:$A$301,0), Skills!M5+1)</f>
        <v/>
      </c>
      <c r="F3689">
        <f>IF(Skills!N5=TRUE,(Skills!L5/10)*(E3689/1000),Skills!L5/10)+Skills!O5</f>
        <v/>
      </c>
      <c r="G3689">
        <f>Skills!G5*IF(Skills!H5&gt;0,Skills!I5/Skills!H5,1)</f>
        <v/>
      </c>
      <c r="H3689">
        <f>1-(1-Skills!J5/100)^Skills!K5</f>
        <v/>
      </c>
      <c r="I3689" t="inlineStr">
        <is>
          <t>1</t>
        </is>
      </c>
      <c r="J3689">
        <f>((Inputs!$B$6*(1+Inputs!$B$7/100))+(((Inputs!$B$12*(1+Inputs!$B$13/100))-(Inputs!$B$12*(1+Inputs!$B$13/100)))+0.25*(Inputs!$B$14-Inputs!$B$14))*(1+Inputs!$B$7/100))*(F3689/100)</f>
        <v/>
      </c>
      <c r="K3689">
        <f>J3689*(1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3702=TRUE,F3702,0)/100)*(1+(IF(Skills!A5="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3689)</f>
        <v/>
      </c>
      <c r="L3689">
        <f>K3689*(MIN(Inputs!$B$22+((C3708=TRUE)*(F3708-Calc!F24)),(Inputs!$B$23+((C3713=TRUE)*(F3713-Calc!F29))+IF(ArtifactsInput!$M$15,CHOOSE(ArtifactsInput!$N$15+1,25,30,35,40,45,50)/100*(Inputs!$B$11-Inputs!$B$11),0)))/100+(Inputs!$B$23+((C3713=TRUE)*(F3713-Calc!F29))+IF(ArtifactsInput!$M$15,CHOOSE(ArtifactsInput!$N$15+1,25,30,35,40,45,50)/100*(Inputs!$B$11-Inputs!$B$11),0))/100)/2</f>
        <v/>
      </c>
      <c r="M3689">
        <f>L3689*(1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9">
        <f>L3689*(1-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3689*(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9">
        <f>(1-Summary!$B$11)*T3689+Summary!$B$11*V3689</f>
        <v/>
      </c>
      <c r="P3689">
        <f>IF(B3729=0,0,O3689/B3729)</f>
        <v/>
      </c>
      <c r="Q3689">
        <f>IFERROR(1/IF(Inputs!$B$39="pvp",15,MAX(0.1,Skills!D5-IF(Skills!E5=TRUE,5.0,0))),0)</f>
        <v/>
      </c>
      <c r="R3689">
        <f>IF(AND(Inputs!$B$39&lt;&gt;"pvp",Inputs!$B$44&gt;0),IF(MAX(0,Inputs!$B$44-B3728)&lt;=0,0,(INT(MAX(0,Inputs!$B$44-B3728)/IF(Inputs!$B$39="pvp",15,MAX(0.1,Skills!D5-IF(Skills!E5=TRUE,5.0,0))))+1)),0)</f>
        <v/>
      </c>
      <c r="S3689">
        <f>IFERROR(O3689/N3689,0)</f>
        <v/>
      </c>
      <c r="T3689">
        <f>IF(C3689,(H3689*N3689*IF(AND(Inputs!$B$39&lt;&gt;"pvp",Inputs!$B$44&gt;0),((Skills!G5*((R3689-1)*IF(Skills!H5&gt;0,Skills!I5/Skills!H5,1)+IF(Skills!H5&gt;0,MIN(Skills!I5,MAX(0,MAX(0,Inputs!$B$44-B3728)-((R3689-1)*IF(Inputs!$B$39="pvp",15,MAX(0.1,Skills!D5-IF(Skills!E5=TRUE,5.0,0))))))/Skills!H5,1)))/Inputs!$B$44),G3689*Q3689))*IF(Inputs!$B$39="pvp",1,1+(Inputs!$B$20+0+Skills!P5+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3689*(1-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3689*(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3689*(1-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3689*(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89">
        <f>IF(C3689,(H3689*N3689*IF(AND(Inputs!$B$39&lt;&gt;"pvp",Inputs!$B$44&gt;0),((Skills!G5*((R3689-1)*IF(Skills!H5&gt;0,Skills!I5/Skills!H5,1)+IF(Skills!H5&gt;0,MIN(Skills!I5,MAX(0,MAX(0,Inputs!$B$44-B3728)-((R3689-1)*IF(Inputs!$B$39="pvp",15,MAX(0.1,Skills!D5-IF(Skills!E5=TRUE,5.0,0))))))/Skills!H5,1)))/Inputs!$B$44),G3689*Q3689))*IF(Inputs!$B$39="pvp",1,(1+(Inputs!$B$21+Skills!Q5+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0">
      <c r="A3690">
        <f>Skills!A6</f>
        <v/>
      </c>
      <c r="B3690">
        <f>Skills!B6</f>
        <v/>
      </c>
      <c r="C3690">
        <f>Inputs!$B$3&gt;=69</f>
        <v/>
      </c>
      <c r="D3690">
        <f>IF(Skills!C6=1,60+Inputs!$B$25+Inputs!$B$29,IF(Skills!C6=2,90+Inputs!$B$26+Inputs!$B$29,IF(Skills!C6=3,120+Inputs!$B$27+Inputs!$B$29,MAX(0,(Inputs!$B$3-100)*3)+Inputs!$B$28+Inputs!$B$29)))</f>
        <v/>
      </c>
      <c r="E3690">
        <f>INDEX(FactorTable!$B$2:$Y$301, MATCH(ROUND(MIN(300,MAX(1,D3690)),0), FactorTable!$A$2:$A$301,0), Skills!M6+1)</f>
        <v/>
      </c>
      <c r="F3690">
        <f>IF(Skills!N6=TRUE,(Skills!L6/10)*(E3690/1000),Skills!L6/10)+Skills!O6</f>
        <v/>
      </c>
      <c r="G3690">
        <f>Skills!G6*IF(Skills!H6&gt;0,Skills!I6/Skills!H6,1)</f>
        <v/>
      </c>
      <c r="H3690">
        <f>1-(1-Skills!J6/100)^Skills!K6</f>
        <v/>
      </c>
      <c r="I3690" t="inlineStr">
        <is>
          <t>1</t>
        </is>
      </c>
      <c r="J3690">
        <f>((Inputs!$B$6*(1+Inputs!$B$7/100))+(((Inputs!$B$12*(1+Inputs!$B$13/100))-(Inputs!$B$12*(1+Inputs!$B$13/100)))+0.25*(Inputs!$B$14-Inputs!$B$14))*(1+Inputs!$B$7/100))*(F3690/100)</f>
        <v/>
      </c>
      <c r="K3690">
        <f>J3690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3702=TRUE,F3702,0)/100)*(1+(IF(Skills!A6="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3690)</f>
        <v/>
      </c>
      <c r="L3690">
        <f>K3690*(MIN(Inputs!$B$22+((C3708=TRUE)*(F3708-Calc!F24)),(Inputs!$B$23+((C3713=TRUE)*(F3713-Calc!F29))+IF(ArtifactsInput!$M$15,CHOOSE(ArtifactsInput!$N$15+1,25,30,35,40,45,50)/100*(Inputs!$B$11-Inputs!$B$11),0)))/100+(Inputs!$B$23+((C3713=TRUE)*(F3713-Calc!F29))+IF(ArtifactsInput!$M$15,CHOOSE(ArtifactsInput!$N$15+1,25,30,35,40,45,50)/100*(Inputs!$B$11-Inputs!$B$11),0))/100)/2</f>
        <v/>
      </c>
      <c r="M3690">
        <f>L3690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0">
        <f>L3690*(1-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3690*(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0">
        <f>(1-Summary!$B$11)*T3690+Summary!$B$11*V3690</f>
        <v/>
      </c>
      <c r="P3690">
        <f>IF(B3729=0,0,O3690/B3729)</f>
        <v/>
      </c>
      <c r="Q3690">
        <f>IFERROR(1/IF(Inputs!$B$39="pvp",15,MAX(0.1,Skills!D6-IF(Skills!E6=TRUE,5.0,0))),0)</f>
        <v/>
      </c>
      <c r="R3690">
        <f>IF(AND(Inputs!$B$39&lt;&gt;"pvp",Inputs!$B$44&gt;0),IF(MAX(0,Inputs!$B$44-B3728)&lt;=0,0,(INT(MAX(0,Inputs!$B$44-B3728)/IF(Inputs!$B$39="pvp",15,MAX(0.1,Skills!D6-IF(Skills!E6=TRUE,5.0,0))))+1)),0)</f>
        <v/>
      </c>
      <c r="S3690">
        <f>IFERROR(O3690/N3690,0)</f>
        <v/>
      </c>
      <c r="T3690">
        <f>IF(C3690,(H3690*N3690*IF(AND(Inputs!$B$39&lt;&gt;"pvp",Inputs!$B$44&gt;0),((Skills!G6*((R3690-1)*IF(Skills!H6&gt;0,Skills!I6/Skills!H6,1)+IF(Skills!H6&gt;0,MIN(Skills!I6,MAX(0,MAX(0,Inputs!$B$44-B3728)-((R3690-1)*IF(Inputs!$B$39="pvp",15,MAX(0.1,Skills!D6-IF(Skills!E6=TRUE,5.0,0))))))/Skills!H6,1)))/Inputs!$B$44),G3690*Q3690))*IF(Inputs!$B$39="pvp",1,1+(Inputs!$B$20+0+Skills!P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3690*(1-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3690*(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3690*(1-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3690*(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0">
        <f>IF(C3690,(H3690*N3690*IF(AND(Inputs!$B$39&lt;&gt;"pvp",Inputs!$B$44&gt;0),((Skills!G6*((R3690-1)*IF(Skills!H6&gt;0,Skills!I6/Skills!H6,1)+IF(Skills!H6&gt;0,MIN(Skills!I6,MAX(0,MAX(0,Inputs!$B$44-B3728)-((R3690-1)*IF(Inputs!$B$39="pvp",15,MAX(0.1,Skills!D6-IF(Skills!E6=TRUE,5.0,0))))))/Skills!H6,1)))/Inputs!$B$44),G3690*Q3690))*IF(Inputs!$B$39="pvp",1,(1+(Inputs!$B$21+Skills!Q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1">
      <c r="A3691">
        <f>Skills!A7</f>
        <v/>
      </c>
      <c r="B3691">
        <f>Skills!B7</f>
        <v/>
      </c>
      <c r="C3691">
        <f>Inputs!$B$3&gt;=60</f>
        <v/>
      </c>
      <c r="D3691">
        <f>IF(Skills!C7=1,60+Inputs!$B$25+Inputs!$B$29,IF(Skills!C7=2,90+Inputs!$B$26+Inputs!$B$29,IF(Skills!C7=3,120+Inputs!$B$27+Inputs!$B$29,MAX(0,(Inputs!$B$3-100)*3)+Inputs!$B$28+Inputs!$B$29)))</f>
        <v/>
      </c>
      <c r="E3691">
        <f>INDEX(FactorTable!$B$2:$Y$301, MATCH(ROUND(MIN(300,MAX(1,D3691)),0), FactorTable!$A$2:$A$301,0), Skills!M7+1)</f>
        <v/>
      </c>
      <c r="F3691">
        <f>IF(Skills!N7=TRUE,(Skills!L7/10)*(E3691/1000),Skills!L7/10)+Skills!O7</f>
        <v/>
      </c>
      <c r="G3691">
        <f>Skills!G7*IF(Skills!H7&gt;0,Skills!I7/Skills!H7,1)</f>
        <v/>
      </c>
      <c r="H3691">
        <f>1-(1-Skills!J7/100)^Skills!K7</f>
        <v/>
      </c>
      <c r="I3691" t="inlineStr">
        <is>
          <t>1</t>
        </is>
      </c>
      <c r="J3691" t="inlineStr"/>
      <c r="K3691" t="inlineStr"/>
      <c r="L3691" t="inlineStr"/>
      <c r="M3691" t="inlineStr"/>
      <c r="N3691" t="inlineStr"/>
      <c r="O3691">
        <f>(1-Summary!$B$11)*T3691+Summary!$B$11*V3691</f>
        <v/>
      </c>
      <c r="P3691">
        <f>IF(B3729=0,0,O3691/B3729)</f>
        <v/>
      </c>
      <c r="Q3691" t="n">
        <v>0</v>
      </c>
      <c r="R3691" t="n">
        <v>0</v>
      </c>
      <c r="S3691">
        <f>IFERROR(O3691/N3691,0)</f>
        <v/>
      </c>
      <c r="T3691" t="n">
        <v>0</v>
      </c>
      <c r="V3691" t="n">
        <v>0</v>
      </c>
    </row>
    <row r="3692">
      <c r="A3692">
        <f>Skills!A8</f>
        <v/>
      </c>
      <c r="B3692">
        <f>Skills!B8</f>
        <v/>
      </c>
      <c r="C3692">
        <f>Inputs!$B$3&gt;=72</f>
        <v/>
      </c>
      <c r="D3692">
        <f>IF(Skills!C8=1,60+Inputs!$B$25+Inputs!$B$29,IF(Skills!C8=2,90+Inputs!$B$26+Inputs!$B$29,IF(Skills!C8=3,120+Inputs!$B$27+Inputs!$B$29,MAX(0,(Inputs!$B$3-100)*3)+Inputs!$B$28+Inputs!$B$29)))</f>
        <v/>
      </c>
      <c r="E3692">
        <f>INDEX(FactorTable!$B$2:$Y$301, MATCH(ROUND(MIN(300,MAX(1,D3692)),0), FactorTable!$A$2:$A$301,0), Skills!M8+1)</f>
        <v/>
      </c>
      <c r="F3692">
        <f>IF(Skills!N8=TRUE,(Skills!L8/10)*(E3692/1000),Skills!L8/10)+Skills!O8</f>
        <v/>
      </c>
      <c r="G3692">
        <f>Skills!G8*IF(Skills!H8&gt;0,Skills!I8/Skills!H8,1)</f>
        <v/>
      </c>
      <c r="H3692">
        <f>1-(1-Skills!J8/100)^Skills!K8</f>
        <v/>
      </c>
      <c r="I3692" t="inlineStr">
        <is>
          <t>1</t>
        </is>
      </c>
      <c r="J3692">
        <f>((Inputs!$B$6*(1+Inputs!$B$7/100))+(((Inputs!$B$12*(1+Inputs!$B$13/100))-(Inputs!$B$12*(1+Inputs!$B$13/100)))+0.25*(Inputs!$B$14-Inputs!$B$14))*(1+Inputs!$B$7/100))*(F3692/100)</f>
        <v/>
      </c>
      <c r="K3692">
        <f>J3692*(1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3702=TRUE,F3702,0)/100)*(1+(IF(Skills!A8="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3692)</f>
        <v/>
      </c>
      <c r="L3692">
        <f>K3692*(MIN(Inputs!$B$22+((C3708=TRUE)*(F3708-Calc!F24)),(Inputs!$B$23+((C3713=TRUE)*(F3713-Calc!F29))+IF(ArtifactsInput!$M$15,CHOOSE(ArtifactsInput!$N$15+1,25,30,35,40,45,50)/100*(Inputs!$B$11-Inputs!$B$11),0)))/100+(Inputs!$B$23+((C3713=TRUE)*(F3713-Calc!F29))+IF(ArtifactsInput!$M$15,CHOOSE(ArtifactsInput!$N$15+1,25,30,35,40,45,50)/100*(Inputs!$B$11-Inputs!$B$11),0))/100)/2</f>
        <v/>
      </c>
      <c r="M3692">
        <f>L3692*(1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2">
        <f>L3692*(1-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3692*(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2">
        <f>(1-Summary!$B$11)*T3692+Summary!$B$11*V3692</f>
        <v/>
      </c>
      <c r="P3692">
        <f>IF(B3729=0,0,O3692/B3729)</f>
        <v/>
      </c>
      <c r="Q3692">
        <f>IFERROR(1/IF(Inputs!$B$39="pvp",15,MAX(0.1,Skills!D8-IF(Skills!E8=TRUE,5.0,0))),0)</f>
        <v/>
      </c>
      <c r="R3692">
        <f>IF(AND(Inputs!$B$39&lt;&gt;"pvp",Inputs!$B$44&gt;0),IF(MAX(0,Inputs!$B$44-B3728)&lt;=0,0,(INT(MAX(0,Inputs!$B$44-B3728)/IF(Inputs!$B$39="pvp",15,MAX(0.1,Skills!D8-IF(Skills!E8=TRUE,5.0,0))))+1)),0)</f>
        <v/>
      </c>
      <c r="S3692">
        <f>IFERROR(O3692/N3692,0)</f>
        <v/>
      </c>
      <c r="T3692">
        <f>IF(C3692,(H3692*N3692*IF(AND(Inputs!$B$39&lt;&gt;"pvp",Inputs!$B$44&gt;0),((Skills!G8*((R3692-1)*IF(Skills!H8&gt;0,Skills!I8/Skills!H8,1)+IF(Skills!H8&gt;0,MIN(Skills!I8,MAX(0,MAX(0,Inputs!$B$44-B3728)-((R3692-1)*IF(Inputs!$B$39="pvp",15,MAX(0.1,Skills!D8-IF(Skills!E8=TRUE,5.0,0))))))/Skills!H8,1)))/Inputs!$B$44),G3692*Q3692))*IF(Inputs!$B$39="pvp",1,1+(Inputs!$B$20+0+Skills!P8+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3692*(1-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3692*(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3692*(1-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3692*(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2">
        <f>IF(C3692,(H3692*N3692*IF(AND(Inputs!$B$39&lt;&gt;"pvp",Inputs!$B$44&gt;0),((Skills!G8*((R3692-1)*IF(Skills!H8&gt;0,Skills!I8/Skills!H8,1)+IF(Skills!H8&gt;0,MIN(Skills!I8,MAX(0,MAX(0,Inputs!$B$44-B3728)-((R3692-1)*IF(Inputs!$B$39="pvp",15,MAX(0.1,Skills!D8-IF(Skills!E8=TRUE,5.0,0))))))/Skills!H8,1)))/Inputs!$B$44),G3692*Q3692))*IF(Inputs!$B$39="pvp",1,(1+(Inputs!$B$21+Skills!Q8+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3">
      <c r="A3693">
        <f>Skills!A9</f>
        <v/>
      </c>
      <c r="B3693">
        <f>Skills!B9</f>
        <v/>
      </c>
      <c r="C3693">
        <f>Inputs!$B$3&gt;=117</f>
        <v/>
      </c>
      <c r="D3693">
        <f>IF(Skills!C9=1,60+Inputs!$B$25+Inputs!$B$29,IF(Skills!C9=2,90+Inputs!$B$26+Inputs!$B$29,IF(Skills!C9=3,120+Inputs!$B$27+Inputs!$B$29,MAX(0,(Inputs!$B$3-100)*3)+Inputs!$B$28+Inputs!$B$29)))</f>
        <v/>
      </c>
      <c r="E3693">
        <f>INDEX(FactorTable!$B$2:$Y$301, MATCH(ROUND(MIN(300,MAX(1,D3693)),0), FactorTable!$A$2:$A$301,0), Skills!M9+1)</f>
        <v/>
      </c>
      <c r="F3693">
        <f>IF(Skills!N9=TRUE,(Skills!L9/10)*(E3693/1000),Skills!L9/10)+Skills!O9</f>
        <v/>
      </c>
      <c r="G3693">
        <f>Skills!G9*IF(Skills!H9&gt;0,Skills!I9/Skills!H9,1)</f>
        <v/>
      </c>
      <c r="H3693">
        <f>1-(1-Skills!J9/100)^Skills!K9</f>
        <v/>
      </c>
      <c r="I3693" t="inlineStr">
        <is>
          <t>1</t>
        </is>
      </c>
      <c r="J3693">
        <f>((Inputs!$B$6*(1+Inputs!$B$7/100))+(((Inputs!$B$12*(1+Inputs!$B$13/100))-(Inputs!$B$12*(1+Inputs!$B$13/100)))+0.25*(Inputs!$B$14-Inputs!$B$14))*(1+Inputs!$B$7/100))*(F3693/100)</f>
        <v/>
      </c>
      <c r="K3693">
        <f>J3693*(1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3693)</f>
        <v/>
      </c>
      <c r="L3693">
        <f>K3693*(MIN(Inputs!$B$22+((C3708=TRUE)*(F3708-Calc!F24)),(Inputs!$B$23+((C3713=TRUE)*(F3713-Calc!F29))+IF(ArtifactsInput!$M$15,CHOOSE(ArtifactsInput!$N$15+1,25,30,35,40,45,50)/100*(Inputs!$B$11-Inputs!$B$11),0)))/100+(Inputs!$B$23+((C3713=TRUE)*(F3713-Calc!F29))+IF(ArtifactsInput!$M$15,CHOOSE(ArtifactsInput!$N$15+1,25,30,35,40,45,50)/100*(Inputs!$B$11-Inputs!$B$11),0))/100)/2</f>
        <v/>
      </c>
      <c r="M3693">
        <f>L3693*(1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3">
        <f>L3693*(1-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3693*(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3">
        <f>(1-Summary!$B$11)*T3693+Summary!$B$11*V3693</f>
        <v/>
      </c>
      <c r="P3693">
        <f>IF(B3729=0,0,O3693/B3729)</f>
        <v/>
      </c>
      <c r="Q3693" t="n">
        <v>0</v>
      </c>
      <c r="R3693" t="n">
        <v>0</v>
      </c>
      <c r="S3693" t="n">
        <v>0</v>
      </c>
      <c r="T3693">
        <f>IF(C3693,(0.2*SUMPRODUCT((Skills!Z2:Z30=TRUE)*(C3686:C3714=TRUE)*S3686:S3714)*N3693)*IF(Inputs!$B$39="pvp",1,1+(Inputs!$B$20+0+Skills!P9+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3693*(1-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3693*(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3693*(1-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3693*(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3">
        <f>IF(C3693,(0.2*SUMPRODUCT((Skills!Z2:Z30=TRUE)*(C3686:C3714=TRUE)*S3686:S3714)*N3693)*IF(Inputs!$B$39="pvp",1,(1+(Inputs!$B$21+Skills!Q9+B3718+(IF(ArtifactsInput!$M$33,CHOOSE(ArtifactsInput!$N$33+1,30,36,42,48,54,60),0))+(IF(AND(ArtifactsInput!$M$35,Inputs!$B$4&lt;&gt;"Chapter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4">
      <c r="A3694">
        <f>Skills!A10</f>
        <v/>
      </c>
      <c r="B3694">
        <f>Skills!B10</f>
        <v/>
      </c>
      <c r="C3694">
        <f>Inputs!$B$3&gt;=74</f>
        <v/>
      </c>
      <c r="D3694">
        <f>IF(Skills!C10=1,60+Inputs!$B$25+Inputs!$B$29,IF(Skills!C10=2,90+Inputs!$B$26+Inputs!$B$29,IF(Skills!C10=3,120+Inputs!$B$27+Inputs!$B$29,MAX(0,(Inputs!$B$3-100)*3)+Inputs!$B$28+Inputs!$B$29)))</f>
        <v/>
      </c>
      <c r="E3694">
        <f>INDEX(FactorTable!$B$2:$Y$301, MATCH(ROUND(MIN(300,MAX(1,D3694)),0), FactorTable!$A$2:$A$301,0), Skills!M10+1)</f>
        <v/>
      </c>
      <c r="F3694">
        <f>IF(Skills!N10=TRUE,(Skills!L10/10)*(E3694/1000),Skills!L10/10)+Skills!O10</f>
        <v/>
      </c>
      <c r="G3694">
        <f>Skills!G10*IF(Skills!H10&gt;0,Skills!I10/Skills!H10,1)</f>
        <v/>
      </c>
      <c r="H3694">
        <f>1-(1-Skills!J10/100)^Skills!K10</f>
        <v/>
      </c>
      <c r="I3694" t="inlineStr">
        <is>
          <t>1</t>
        </is>
      </c>
      <c r="J3694" t="inlineStr"/>
      <c r="K3694" t="inlineStr"/>
      <c r="L3694" t="inlineStr"/>
      <c r="M3694" t="inlineStr"/>
      <c r="N3694" t="inlineStr"/>
      <c r="O3694">
        <f>(1-Summary!$B$11)*T3694+Summary!$B$11*V3694</f>
        <v/>
      </c>
      <c r="P3694">
        <f>IF(B3729=0,0,O3694/B3729)</f>
        <v/>
      </c>
      <c r="Q3694">
        <f>IFERROR(1/IF(Inputs!$B$39="pvp",15,MAX(0.1,Skills!D10-IF(Skills!E10=TRUE,5.0,0))),0)</f>
        <v/>
      </c>
      <c r="R3694">
        <f>IF(AND(Inputs!$B$39&lt;&gt;"pvp",Inputs!$B$44&gt;0),IF(Inputs!$B$44&lt;=0,0,(INT(Inputs!$B$44/IF(Inputs!$B$39="pvp",15,MAX(0.1,Skills!D10-IF(Skills!E10=TRUE,5.0,0))))+1)),0)</f>
        <v/>
      </c>
      <c r="S3694">
        <f>IFERROR(O3694/N3694,0)</f>
        <v/>
      </c>
      <c r="T3694" t="n">
        <v>0</v>
      </c>
      <c r="V3694" t="n">
        <v>0</v>
      </c>
    </row>
    <row r="3695">
      <c r="A3695">
        <f>Skills!A11</f>
        <v/>
      </c>
      <c r="B3695">
        <f>Skills!B11</f>
        <v/>
      </c>
      <c r="C3695">
        <f>Inputs!$B$3&gt;=103</f>
        <v/>
      </c>
      <c r="D3695">
        <f>IF(Skills!C11=1,60+Inputs!$B$25+Inputs!$B$29,IF(Skills!C11=2,90+Inputs!$B$26+Inputs!$B$29,IF(Skills!C11=3,120+Inputs!$B$27+Inputs!$B$29,MAX(0,(Inputs!$B$3-100)*3)+Inputs!$B$28+Inputs!$B$29)))</f>
        <v/>
      </c>
      <c r="E3695">
        <f>INDEX(FactorTable!$B$2:$Y$301, MATCH(ROUND(MIN(300,MAX(1,D3695)),0), FactorTable!$A$2:$A$301,0), Skills!M11+1)</f>
        <v/>
      </c>
      <c r="F3695">
        <f>(Skills!L11/10)*(E3695/1000)+IF(Inputs!$B$3&gt;=134,50,0)+0.5*(30000/10)*(INDEX(FactorTable!$B$2:$Y$301, MATCH(ROUND(MIN(300,MAX(1,D3695)),0), FactorTable!$A$2:$A$301,0), 13)/1000)*B3727</f>
        <v/>
      </c>
      <c r="G3695">
        <f>Skills!G11*IF(Skills!H11&gt;0,Skills!I11/Skills!H11,1)</f>
        <v/>
      </c>
      <c r="H3695">
        <f>1-(1-Skills!J11/100)^Skills!K11</f>
        <v/>
      </c>
      <c r="I3695" t="inlineStr">
        <is>
          <t>1</t>
        </is>
      </c>
      <c r="J3695">
        <f>((Inputs!$B$6*(1+Inputs!$B$7/100))+(((Inputs!$B$12*(1+Inputs!$B$13/100))-(Inputs!$B$12*(1+Inputs!$B$13/100)))+0.25*(Inputs!$B$14-Inputs!$B$14))*(1+Inputs!$B$7/100))*(F3695/100)</f>
        <v/>
      </c>
      <c r="K3695">
        <f>J3695*(1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3695)</f>
        <v/>
      </c>
      <c r="L3695">
        <f>K3695*(MIN(Inputs!$B$22+((C3708=TRUE)*(F3708-Calc!F24)),(Inputs!$B$23+((C3713=TRUE)*(F3713-Calc!F29))+IF(ArtifactsInput!$M$15,CHOOSE(ArtifactsInput!$N$15+1,25,30,35,40,45,50)/100*(Inputs!$B$11-Inputs!$B$11),0)))/100+(Inputs!$B$23+((C3713=TRUE)*(F3713-Calc!F29))+IF(ArtifactsInput!$M$15,CHOOSE(ArtifactsInput!$N$15+1,25,30,35,40,45,50)/100*(Inputs!$B$11-Inputs!$B$11),0))/100)/2</f>
        <v/>
      </c>
      <c r="M3695">
        <f>L3695*(1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5">
        <f>L3695*(1-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3695*(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5">
        <f>(1-Summary!$B$11)*T3695+Summary!$B$11*V3695</f>
        <v/>
      </c>
      <c r="P3695">
        <f>IF(B3729=0,0,O3695/B3729)</f>
        <v/>
      </c>
      <c r="Q3695">
        <f>IFERROR(1/IF(Inputs!$B$39="pvp",15,MAX(0.1,Skills!D11-IF(Skills!E11=TRUE,5.0,0))),0)</f>
        <v/>
      </c>
      <c r="R3695">
        <f>IF(AND(Inputs!$B$39&lt;&gt;"pvp",Inputs!$B$44&gt;0),IF(MAX(0,Inputs!$B$44-B3728)&lt;=0,0,(INT(MAX(0,Inputs!$B$44-B3728)/IF(Inputs!$B$39="pvp",15,MAX(0.1,Skills!D11-IF(Skills!E11=TRUE,5.0,0))))+1)),0)</f>
        <v/>
      </c>
      <c r="S3695">
        <f>IFERROR(O3695/N3695,0)</f>
        <v/>
      </c>
      <c r="T3695">
        <f>IF(C3695,(H3695*N3695*IF(AND(Inputs!$B$39&lt;&gt;"pvp",Inputs!$B$44&gt;0),((Skills!G11*((R3695-1)*IF(Skills!H11&gt;0,Skills!I11/Skills!H11,1)+IF(Skills!H11&gt;0,MIN(Skills!I11,MAX(0,MAX(0,Inputs!$B$44-B3728)-((R3695-1)*IF(Inputs!$B$39="pvp",15,MAX(0.1,Skills!D11-IF(Skills!E11=TRUE,5.0,0))))))/Skills!H11,1)))/Inputs!$B$44),G3695*Q3695))*IF(Inputs!$B$39="pvp",1,1+(Inputs!$B$20+0+Skills!P11+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3695*(1-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3695*(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3695*(1-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3695*(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5">
        <f>IF(C3695,(H3695*N3695*IF(AND(Inputs!$B$39&lt;&gt;"pvp",Inputs!$B$44&gt;0),((Skills!G11*((R3695-1)*IF(Skills!H11&gt;0,Skills!I11/Skills!H11,1)+IF(Skills!H11&gt;0,MIN(Skills!I11,MAX(0,MAX(0,Inputs!$B$44-B3728)-((R3695-1)*IF(Inputs!$B$39="pvp",15,MAX(0.1,Skills!D11-IF(Skills!E11=TRUE,5.0,0))))))/Skills!H11,1)))/Inputs!$B$44),G3695*Q3695))*IF(Inputs!$B$39="pvp",1,(1+(Inputs!$B$21+Skills!Q11+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6">
      <c r="A3696">
        <f>Skills!A12</f>
        <v/>
      </c>
      <c r="B3696">
        <f>Skills!B12</f>
        <v/>
      </c>
      <c r="C3696">
        <f>Inputs!$B$3&gt;=105</f>
        <v/>
      </c>
      <c r="D3696">
        <f>IF(Skills!C12=1,60+Inputs!$B$25+Inputs!$B$29,IF(Skills!C12=2,90+Inputs!$B$26+Inputs!$B$29,IF(Skills!C12=3,120+Inputs!$B$27+Inputs!$B$29,MAX(0,(Inputs!$B$3-100)*3)+Inputs!$B$28+Inputs!$B$29)))</f>
        <v/>
      </c>
      <c r="E3696">
        <f>INDEX(FactorTable!$B$2:$Y$301, MATCH(ROUND(MIN(300,MAX(1,D3696)),0), FactorTable!$A$2:$A$301,0), Skills!M12+1)</f>
        <v/>
      </c>
      <c r="F3696">
        <f>IF(Skills!N12=TRUE,(Skills!L12/10)*(E3696/1000),Skills!L12/10)+Skills!O12</f>
        <v/>
      </c>
      <c r="G3696">
        <f>Skills!G12*IF(Skills!H12&gt;0,Skills!I12/Skills!H12,1)</f>
        <v/>
      </c>
      <c r="H3696">
        <f>1-(1-Skills!J12/100)^Skills!K12</f>
        <v/>
      </c>
      <c r="I3696" t="inlineStr">
        <is>
          <t>1</t>
        </is>
      </c>
      <c r="J3696">
        <f>((Inputs!$B$6*(1+Inputs!$B$7/100))+(((Inputs!$B$12*(1+Inputs!$B$13/100))-(Inputs!$B$12*(1+Inputs!$B$13/100)))+0.25*(Inputs!$B$14-Inputs!$B$14))*(1+Inputs!$B$7/100))*(F3696/100)</f>
        <v/>
      </c>
      <c r="K3696">
        <f>J3696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3696)</f>
        <v/>
      </c>
      <c r="L3696">
        <f>K3696*(MIN(Inputs!$B$22+((C3708=TRUE)*(F3708-Calc!F24)),(Inputs!$B$23+((C3713=TRUE)*(F3713-Calc!F29))+IF(ArtifactsInput!$M$15,CHOOSE(ArtifactsInput!$N$15+1,25,30,35,40,45,50)/100*(Inputs!$B$11-Inputs!$B$11),0)))/100+(Inputs!$B$23+((C3713=TRUE)*(F3713-Calc!F29))+IF(ArtifactsInput!$M$15,CHOOSE(ArtifactsInput!$N$15+1,25,30,35,40,45,50)/100*(Inputs!$B$11-Inputs!$B$11),0))/100)/2</f>
        <v/>
      </c>
      <c r="M3696">
        <f>L3696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6">
        <f>L3696*(1-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3696*(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6">
        <f>(1-Summary!$B$11)*T3696+Summary!$B$11*V3696</f>
        <v/>
      </c>
      <c r="P3696">
        <f>IF(B3729=0,0,O3696/B3729)</f>
        <v/>
      </c>
      <c r="Q3696">
        <f>IFERROR(1/IF(Inputs!$B$39="pvp",15,MAX(0.1,Skills!D12-IF(Skills!E12=TRUE,5.0,0))),0)</f>
        <v/>
      </c>
      <c r="R3696">
        <f>IF(AND(Inputs!$B$39&lt;&gt;"pvp",Inputs!$B$44&gt;0),IF(MAX(0,Inputs!$B$44-B3728)&lt;=0,0,(INT(MAX(0,Inputs!$B$44-B3728)/IF(Inputs!$B$39="pvp",15,MAX(0.1,Skills!D12-IF(Skills!E12=TRUE,5.0,0))))+1)),0)</f>
        <v/>
      </c>
      <c r="S3696">
        <f>IFERROR(O3696/N3696,0)</f>
        <v/>
      </c>
      <c r="T3696">
        <f>IF(C3696,(H3696*N3696*IF(AND(Inputs!$B$39&lt;&gt;"pvp",Inputs!$B$44&gt;0),((Skills!G12*((R3696-1)*IF(Skills!H12&gt;0,Skills!I12/Skills!H12,1)+IF(Skills!H12&gt;0,MIN(Skills!I12,MAX(0,MAX(0,Inputs!$B$44-B3728)-((R3696-1)*IF(Inputs!$B$39="pvp",15,MAX(0.1,Skills!D12-IF(Skills!E12=TRUE,5.0,0))))))/Skills!H12,1)))/Inputs!$B$44),G3696*Q3696))*IF(Inputs!$B$39="pvp",1,1+(Inputs!$B$20+0+Skills!P12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3696*(1-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3696*(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3696*(1-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3696*(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6">
        <f>IF(C3696,(H3696*N3696*IF(AND(Inputs!$B$39&lt;&gt;"pvp",Inputs!$B$44&gt;0),((Skills!G12*((R3696-1)*IF(Skills!H12&gt;0,Skills!I12/Skills!H12,1)+IF(Skills!H12&gt;0,MIN(Skills!I12,MAX(0,MAX(0,Inputs!$B$44-B3728)-((R3696-1)*IF(Inputs!$B$39="pvp",15,MAX(0.1,Skills!D12-IF(Skills!E12=TRUE,5.0,0))))))/Skills!H12,1)))/Inputs!$B$44),G3696*Q3696))*IF(Inputs!$B$39="pvp",1,(1+(Inputs!$B$21+Skills!Q12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7">
      <c r="A3697">
        <f>Skills!A13</f>
        <v/>
      </c>
      <c r="B3697">
        <f>Skills!B13</f>
        <v/>
      </c>
      <c r="C3697">
        <f>Inputs!$B$3&gt;=105</f>
        <v/>
      </c>
      <c r="D3697">
        <f>IF(Skills!C13=1,60+Inputs!$B$25+Inputs!$B$29,IF(Skills!C13=2,90+Inputs!$B$26+Inputs!$B$29,IF(Skills!C13=3,120+Inputs!$B$27+Inputs!$B$29,MAX(0,(Inputs!$B$3-100)*3)+Inputs!$B$28+Inputs!$B$29)))</f>
        <v/>
      </c>
      <c r="E3697">
        <f>INDEX(FactorTable!$B$2:$Y$301, MATCH(ROUND(MIN(300,MAX(1,D3697)),0), FactorTable!$A$2:$A$301,0), Skills!M13+1)</f>
        <v/>
      </c>
      <c r="F3697">
        <f>IF(Skills!N13=TRUE,(Skills!L13/10)*(E3697/1000),Skills!L13/10)+Skills!O13</f>
        <v/>
      </c>
      <c r="G3697">
        <f>Skills!G13*IF(Skills!H13&gt;0,Skills!I13/Skills!H13,1)</f>
        <v/>
      </c>
      <c r="H3697">
        <f>1-(1-Skills!J13/100)^Skills!K13</f>
        <v/>
      </c>
      <c r="I3697" t="inlineStr">
        <is>
          <t>1</t>
        </is>
      </c>
      <c r="J3697">
        <f>((Inputs!$B$6*(1+Inputs!$B$7/100))+(((Inputs!$B$12*(1+Inputs!$B$13/100))-(Inputs!$B$12*(1+Inputs!$B$13/100)))+0.25*(Inputs!$B$14-Inputs!$B$14))*(1+Inputs!$B$7/100))*(F3697/100)</f>
        <v/>
      </c>
      <c r="K3697">
        <f>J3697*(1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3697)</f>
        <v/>
      </c>
      <c r="L3697">
        <f>K3697*(MIN(Inputs!$B$22+((C3708=TRUE)*(F3708-Calc!F24)),(Inputs!$B$23+((C3713=TRUE)*(F3713-Calc!F29))+IF(ArtifactsInput!$M$15,CHOOSE(ArtifactsInput!$N$15+1,25,30,35,40,45,50)/100*(Inputs!$B$11-Inputs!$B$11),0)))/100+(Inputs!$B$23+((C3713=TRUE)*(F3713-Calc!F29))+IF(ArtifactsInput!$M$15,CHOOSE(ArtifactsInput!$N$15+1,25,30,35,40,45,50)/100*(Inputs!$B$11-Inputs!$B$11),0))/100)/2</f>
        <v/>
      </c>
      <c r="M3697">
        <f>L3697*(1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7">
        <f>L3697*(1-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3697*(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7">
        <f>(1-Summary!$B$11)*T3697+Summary!$B$11*V3697</f>
        <v/>
      </c>
      <c r="P3697">
        <f>IF(B3729=0,0,O3697/B3729)</f>
        <v/>
      </c>
      <c r="Q3697">
        <f>IFERROR(1/IF(Inputs!$B$39="pvp",15,MAX(0.1,Skills!D13-IF(Skills!E13=TRUE,5.0,0))),0)</f>
        <v/>
      </c>
      <c r="R3697">
        <f>IF(AND(Inputs!$B$39&lt;&gt;"pvp",Inputs!$B$44&gt;0),IF(MAX(0,Inputs!$B$44-B3728)&lt;=0,0,(INT(MAX(0,Inputs!$B$44-B3728)/IF(Inputs!$B$39="pvp",15,MAX(0.1,Skills!D13-IF(Skills!E13=TRUE,5.0,0))))+1)),0)</f>
        <v/>
      </c>
      <c r="S3697">
        <f>IFERROR(O3697/N3697,0)</f>
        <v/>
      </c>
      <c r="T3697">
        <f>IF(C3697,(H3697*N3697*IF(AND(Inputs!$B$39&lt;&gt;"pvp",Inputs!$B$44&gt;0),((Skills!G13*((R3697-1)*IF(Skills!H13&gt;0,Skills!I13/Skills!H13,1)+IF(Skills!H13&gt;0,MIN(Skills!I13,MAX(0,MAX(0,Inputs!$B$44-B3728)-((R3697-1)*IF(Inputs!$B$39="pvp",15,MAX(0.1,Skills!D13-IF(Skills!E13=TRUE,5.0,0))))))/Skills!H13,1)))/Inputs!$B$44),G3697*Q3697))*IF(Inputs!$B$39="pvp",1,1+(Inputs!$B$20+0+Skills!P13+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3697*(1-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3697*(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3697*(1-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3697*(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7">
        <f>IF(C3697,(H3697*N3697*IF(AND(Inputs!$B$39&lt;&gt;"pvp",Inputs!$B$44&gt;0),((Skills!G13*((R3697-1)*IF(Skills!H13&gt;0,Skills!I13/Skills!H13,1)+IF(Skills!H13&gt;0,MIN(Skills!I13,MAX(0,MAX(0,Inputs!$B$44-B3728)-((R3697-1)*IF(Inputs!$B$39="pvp",15,MAX(0.1,Skills!D13-IF(Skills!E13=TRUE,5.0,0))))))/Skills!H13,1)))/Inputs!$B$44),G3697*Q3697))*IF(Inputs!$B$39="pvp",1,(1+(Inputs!$B$21+Skills!Q13+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8">
      <c r="A3698">
        <f>Skills!A14</f>
        <v/>
      </c>
      <c r="B3698">
        <f>Skills!B14</f>
        <v/>
      </c>
      <c r="C3698">
        <f>Inputs!$B$3&gt;=107</f>
        <v/>
      </c>
      <c r="D3698">
        <f>IF(Skills!C14=1,60+Inputs!$B$25+Inputs!$B$29,IF(Skills!C14=2,90+Inputs!$B$26+Inputs!$B$29,IF(Skills!C14=3,120+Inputs!$B$27+Inputs!$B$29,MAX(0,(Inputs!$B$3-100)*3)+Inputs!$B$28+Inputs!$B$29)))</f>
        <v/>
      </c>
      <c r="E3698">
        <f>INDEX(FactorTable!$B$2:$Y$301, MATCH(ROUND(MIN(300,MAX(1,D3698)),0), FactorTable!$A$2:$A$301,0), Skills!M14+1)</f>
        <v/>
      </c>
      <c r="F3698">
        <f>IF(Skills!N14=TRUE,(Skills!L14/10)*(E3698/1000),Skills!L14/10)+Skills!O14</f>
        <v/>
      </c>
      <c r="G3698">
        <f>Skills!G14*IF(Skills!H14&gt;0,Skills!I14/Skills!H14,1)</f>
        <v/>
      </c>
      <c r="H3698">
        <f>1-(1-Skills!J14/100)^Skills!K14</f>
        <v/>
      </c>
      <c r="I3698" t="inlineStr">
        <is>
          <t>1</t>
        </is>
      </c>
      <c r="J3698">
        <f>((Inputs!$B$6*(1+Inputs!$B$7/100))+(((Inputs!$B$12*(1+Inputs!$B$13/100))-(Inputs!$B$12*(1+Inputs!$B$13/100)))+0.25*(Inputs!$B$14-Inputs!$B$14))*(1+Inputs!$B$7/100))*(F3698/100)</f>
        <v/>
      </c>
      <c r="K3698">
        <f>J3698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3698)</f>
        <v/>
      </c>
      <c r="L3698">
        <f>K3698*(MIN(Inputs!$B$22+((C3708=TRUE)*(F3708-Calc!F24)),(Inputs!$B$23+((C3713=TRUE)*(F3713-Calc!F29))+IF(ArtifactsInput!$M$15,CHOOSE(ArtifactsInput!$N$15+1,25,30,35,40,45,50)/100*(Inputs!$B$11-Inputs!$B$11),0)))/100+(Inputs!$B$23+((C3713=TRUE)*(F3713-Calc!F29))+IF(ArtifactsInput!$M$15,CHOOSE(ArtifactsInput!$N$15+1,25,30,35,40,45,50)/100*(Inputs!$B$11-Inputs!$B$11),0))/100)/2</f>
        <v/>
      </c>
      <c r="M3698">
        <f>L3698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8">
        <f>L3698*(1-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3698*(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8">
        <f>(1-Summary!$B$11)*T3698+Summary!$B$11*V3698</f>
        <v/>
      </c>
      <c r="P3698">
        <f>IF(B3729=0,0,O3698/B3729)</f>
        <v/>
      </c>
      <c r="Q3698">
        <f>IFERROR(1/IF(Inputs!$B$39="pvp",15,MAX(0.1,Skills!D14-IF(Skills!E14=TRUE,5.0,0))),0)</f>
        <v/>
      </c>
      <c r="R3698">
        <f>IF(AND(Inputs!$B$39&lt;&gt;"pvp",Inputs!$B$44&gt;0),IF(MAX(0,Inputs!$B$44-B3728)&lt;=0,0,(INT(MAX(0,Inputs!$B$44-B3728)/IF(Inputs!$B$39="pvp",15,MAX(0.1,Skills!D14-IF(Skills!E14=TRUE,5.0,0))))+1)),0)</f>
        <v/>
      </c>
      <c r="S3698">
        <f>IFERROR(O3698/N3698,0)</f>
        <v/>
      </c>
      <c r="T3698">
        <f>IF(C3698,(H3698*N3698*IF(AND(Inputs!$B$39&lt;&gt;"pvp",Inputs!$B$44&gt;0),((Skills!G14*((R3698-1)*IF(Skills!H14&gt;0,Skills!I14/Skills!H14,1)+IF(Skills!H14&gt;0,MIN(Skills!I14,MAX(0,MAX(0,Inputs!$B$44-B3728)-((R3698-1)*IF(Inputs!$B$39="pvp",15,MAX(0.1,Skills!D14-IF(Skills!E14=TRUE,5.0,0))))))/Skills!H14,1)))/Inputs!$B$44),G3698*Q3698))*IF(Inputs!$B$39="pvp",1,1+(Inputs!$B$20+0+Skills!P14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3698*(1-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3698*(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3698*(1-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3698*(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8">
        <f>IF(C3698,(H3698*N3698*IF(AND(Inputs!$B$39&lt;&gt;"pvp",Inputs!$B$44&gt;0),((Skills!G14*((R3698-1)*IF(Skills!H14&gt;0,Skills!I14/Skills!H14,1)+IF(Skills!H14&gt;0,MIN(Skills!I14,MAX(0,MAX(0,Inputs!$B$44-B3728)-((R3698-1)*IF(Inputs!$B$39="pvp",15,MAX(0.1,Skills!D14-IF(Skills!E14=TRUE,5.0,0))))))/Skills!H14,1)))/Inputs!$B$44),G3698*Q3698))*IF(Inputs!$B$39="pvp",1,(1+(Inputs!$B$21+Skills!Q14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(5,0.25*B3721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9">
      <c r="A3699">
        <f>Skills!A15</f>
        <v/>
      </c>
      <c r="B3699">
        <f>Skills!B15</f>
        <v/>
      </c>
      <c r="C3699">
        <f>Inputs!$B$3&gt;=110</f>
        <v/>
      </c>
      <c r="D3699">
        <f>IF(Skills!C15=1,60+Inputs!$B$25+Inputs!$B$29,IF(Skills!C15=2,90+Inputs!$B$26+Inputs!$B$29,IF(Skills!C15=3,120+Inputs!$B$27+Inputs!$B$29,MAX(0,(Inputs!$B$3-100)*3)+Inputs!$B$28+Inputs!$B$29)))</f>
        <v/>
      </c>
      <c r="E3699">
        <f>INDEX(FactorTable!$B$2:$Y$301, MATCH(ROUND(MIN(300,MAX(1,D3699)),0), FactorTable!$A$2:$A$301,0), Skills!M15+1)</f>
        <v/>
      </c>
      <c r="F3699">
        <f>IF(Skills!N15=TRUE,(Skills!L15/10)*(E3699/1000),Skills!L15/10)+Skills!O15</f>
        <v/>
      </c>
      <c r="G3699">
        <f>Skills!G15*IF(Skills!H15&gt;0,Skills!I15/Skills!H15,1)</f>
        <v/>
      </c>
      <c r="H3699">
        <f>1-(1-Skills!J15/100)^Skills!K15</f>
        <v/>
      </c>
      <c r="I3699" t="inlineStr">
        <is>
          <t>1</t>
        </is>
      </c>
      <c r="J3699" t="inlineStr"/>
      <c r="K3699" t="inlineStr"/>
      <c r="L3699" t="inlineStr"/>
      <c r="M3699" t="inlineStr"/>
      <c r="N3699" t="inlineStr"/>
      <c r="O3699">
        <f>(1-Summary!$B$11)*T3699+Summary!$B$11*V3699</f>
        <v/>
      </c>
      <c r="P3699">
        <f>IF(B3729=0,0,O3699/B3729)</f>
        <v/>
      </c>
      <c r="Q3699">
        <f>IFERROR(1/IF(Inputs!$B$39="pvp",15,MAX(0.1,Skills!D15-IF(Skills!E15=TRUE,5.0,0))),0)</f>
        <v/>
      </c>
      <c r="R3699">
        <f>IF(AND(Inputs!$B$39&lt;&gt;"pvp",Inputs!$B$44&gt;0),IF(Inputs!$B$44&lt;=0,0,(INT(Inputs!$B$44/IF(Inputs!$B$39="pvp",15,MAX(0.1,Skills!D15-IF(Skills!E15=TRUE,5.0,0))))+1)),0)</f>
        <v/>
      </c>
      <c r="S3699">
        <f>IFERROR(O3699/N3699,0)</f>
        <v/>
      </c>
      <c r="T3699" t="n">
        <v>0</v>
      </c>
      <c r="V3699" t="n">
        <v>0</v>
      </c>
    </row>
    <row r="3700">
      <c r="A3700">
        <f>Skills!A16</f>
        <v/>
      </c>
      <c r="B3700">
        <f>Skills!B16</f>
        <v/>
      </c>
      <c r="C3700">
        <f>Inputs!$B$3&gt;=115</f>
        <v/>
      </c>
      <c r="D3700">
        <f>IF(Skills!C16=1,60+Inputs!$B$25+Inputs!$B$29,IF(Skills!C16=2,90+Inputs!$B$26+Inputs!$B$29,IF(Skills!C16=3,120+Inputs!$B$27+Inputs!$B$29,MAX(0,(Inputs!$B$3-100)*3)+Inputs!$B$28+Inputs!$B$29)))</f>
        <v/>
      </c>
      <c r="E3700">
        <f>INDEX(FactorTable!$B$2:$Y$301, MATCH(ROUND(MIN(300,MAX(1,D3700)),0), FactorTable!$A$2:$A$301,0), Skills!M16+1)</f>
        <v/>
      </c>
      <c r="F3700">
        <f>IF(Skills!N16=TRUE,(Skills!L16/10)*(E3700/1000),Skills!L16/10)+Skills!O16</f>
        <v/>
      </c>
      <c r="G3700">
        <f>Skills!G16*IF(Skills!H16&gt;0,Skills!I16/Skills!H16,1)</f>
        <v/>
      </c>
      <c r="H3700">
        <f>1-(1-Skills!J16/100)^Skills!K16</f>
        <v/>
      </c>
      <c r="I3700" t="inlineStr">
        <is>
          <t>1</t>
        </is>
      </c>
      <c r="J3700">
        <f>((Inputs!$B$6*(1+Inputs!$B$7/100))+(((Inputs!$B$12*(1+Inputs!$B$13/100))-(Inputs!$B$12*(1+Inputs!$B$13/100)))+0.25*(Inputs!$B$14-Inputs!$B$14))*(1+Inputs!$B$7/100))*(F3700/100)</f>
        <v/>
      </c>
      <c r="K3700">
        <f>J3700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3711=TRUE)*(F3711-Calc!F27))+((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3700)</f>
        <v/>
      </c>
      <c r="L3700">
        <f>K3700*(MIN(Inputs!$B$22+((C3708=TRUE)*(F3708-Calc!F24)),(Inputs!$B$23+((C3713=TRUE)*(F3713-Calc!F29))+IF(ArtifactsInput!$M$15,CHOOSE(ArtifactsInput!$N$15+1,25,30,35,40,45,50)/100*(Inputs!$B$11-Inputs!$B$11),0)))/100+(Inputs!$B$23+((C3713=TRUE)*(F3713-Calc!F29))+IF(ArtifactsInput!$M$15,CHOOSE(ArtifactsInput!$N$15+1,25,30,35,40,45,50)/100*(Inputs!$B$11-Inputs!$B$11),0))/100)/2</f>
        <v/>
      </c>
      <c r="M3700">
        <f>L3700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0">
        <f>L3700*(1-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3700*(MIN((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0">
        <f>(1-Summary!$B$11)*T3700+Summary!$B$11*V3700</f>
        <v/>
      </c>
      <c r="P3700">
        <f>IF(B3729=0,0,O3700/B3729)</f>
        <v/>
      </c>
      <c r="Q3700" t="n">
        <v>0</v>
      </c>
      <c r="R3700" t="n">
        <v>0</v>
      </c>
      <c r="S3700">
        <f>IFERROR(O3700/N3700,0)</f>
        <v/>
      </c>
      <c r="T3700">
        <f>IF(C3700,(Inputs!$B$38*0.2*N3700)*IF(Inputs!$B$39="pvp",1,1+(Inputs!$B$20+0+Skills!P16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3700*(1-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3700*(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3700*(1-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3700*(MIN(100,(Inputs!$B$9+((C3709=TRUE)*(F3709-Calc!F25))+B3717+(ArtifactsInput!$M$24-ArtifactsInput!$M$24)*CHOOSE(ArtifactsInput!$N$24+1,10,12,14,16,18,20)+(IF(AND(Inputs!$B$39&lt;&gt;"pvp",Inputs!$B$44=0),1,IF(IF(Inputs!$B$39="pvp",15,Inputs!$B$44)-(B3728)&lt;=0,1,MAX(0,IF(Inputs!$B$39="pvp",15,Inputs!$B$44)-MAX(5,B3728))/(IF(Inputs!$B$39="pvp",15,Inputs!$B$44)-(B3728))))*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00">
        <f>IF(C3700,(Inputs!$B$38*0.2*N3700)*IF(Inputs!$B$39="pvp",1,(1+(Inputs!$B$21+Skills!Q16+B3718+(IF(ArtifactsInput!$M$33,CHOOSE(ArtifactsInput!$N$33+1,30,36,42,48,54,60),0))+(IF(AND(ArtifactsInput!$M$35,Inputs!$B$4&lt;&gt;"Chapter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1">
      <c r="A3701">
        <f>Skills!A17</f>
        <v/>
      </c>
      <c r="B3701">
        <f>Skills!B17</f>
        <v/>
      </c>
      <c r="C3701">
        <f>Inputs!$B$3&gt;=115</f>
        <v/>
      </c>
      <c r="D3701">
        <f>IF(Skills!C17=1,60+Inputs!$B$25+Inputs!$B$29,IF(Skills!C17=2,90+Inputs!$B$26+Inputs!$B$29,IF(Skills!C17=3,120+Inputs!$B$27+Inputs!$B$29,MAX(0,(Inputs!$B$3-100)*3)+Inputs!$B$28+Inputs!$B$29)))</f>
        <v/>
      </c>
      <c r="E3701">
        <f>INDEX(FactorTable!$B$2:$Y$301, MATCH(ROUND(MIN(300,MAX(1,D3701)),0), FactorTable!$A$2:$A$301,0), Skills!M17+1)</f>
        <v/>
      </c>
      <c r="F3701">
        <f>IF(Skills!N17=TRUE,(Skills!L17/10)*(E3701/1000),Skills!L17/10)+Skills!O17</f>
        <v/>
      </c>
      <c r="G3701">
        <f>Skills!G17*IF(Skills!H17&gt;0,Skills!I17/Skills!H17,1)</f>
        <v/>
      </c>
      <c r="H3701">
        <f>1-(1-Skills!J17/100)^Skills!K17</f>
        <v/>
      </c>
      <c r="I3701" t="inlineStr">
        <is>
          <t>1</t>
        </is>
      </c>
      <c r="J3701" t="inlineStr"/>
      <c r="K3701" t="inlineStr"/>
      <c r="L3701" t="inlineStr"/>
      <c r="M3701" t="inlineStr"/>
      <c r="N3701" t="inlineStr"/>
      <c r="O3701">
        <f>(1-Summary!$B$11)*T3701+Summary!$B$11*V3701</f>
        <v/>
      </c>
      <c r="P3701">
        <f>IF(B3729=0,0,O3701/B3729)</f>
        <v/>
      </c>
      <c r="Q3701" t="n">
        <v>0</v>
      </c>
      <c r="R3701" t="n">
        <v>0</v>
      </c>
      <c r="S3701">
        <f>IFERROR(O3701/N3701,0)</f>
        <v/>
      </c>
      <c r="T3701" t="n">
        <v>0</v>
      </c>
      <c r="V3701" t="n">
        <v>0</v>
      </c>
    </row>
    <row r="3702">
      <c r="A3702">
        <f>Skills!A18</f>
        <v/>
      </c>
      <c r="B3702">
        <f>Skills!B18</f>
        <v/>
      </c>
      <c r="C3702">
        <f>Inputs!$B$3&gt;=100</f>
        <v/>
      </c>
      <c r="D3702">
        <f>IF(Skills!C18=1,60+Inputs!$B$25+Inputs!$B$29,IF(Skills!C18=2,90+Inputs!$B$26+Inputs!$B$29,IF(Skills!C18=3,120+Inputs!$B$27+Inputs!$B$29,MAX(0,(Inputs!$B$3-100)*3)+Inputs!$B$28+Inputs!$B$29)))</f>
        <v/>
      </c>
      <c r="E3702">
        <f>INDEX(FactorTable!$B$2:$Y$301, MATCH(ROUND(MIN(300,MAX(1,D3702)),0), FactorTable!$A$2:$A$301,0), Skills!M18+1)</f>
        <v/>
      </c>
      <c r="F3702">
        <f>IF(Skills!N18=TRUE,(Skills!L18/10)*(E3702/1000),Skills!L18/10)+Skills!O18</f>
        <v/>
      </c>
      <c r="G3702">
        <f>Skills!G18*IF(Skills!H18&gt;0,Skills!I18/Skills!H18,1)</f>
        <v/>
      </c>
      <c r="H3702">
        <f>1-(1-Skills!J18/100)^Skills!K18</f>
        <v/>
      </c>
      <c r="I3702" t="inlineStr">
        <is>
          <t>1</t>
        </is>
      </c>
      <c r="J3702" t="inlineStr"/>
      <c r="K3702" t="inlineStr"/>
      <c r="L3702" t="inlineStr"/>
      <c r="M3702" t="inlineStr"/>
      <c r="N3702" t="inlineStr"/>
      <c r="O3702">
        <f>(1-Summary!$B$11)*T3702+Summary!$B$11*V3702</f>
        <v/>
      </c>
      <c r="P3702">
        <f>IF(B3729=0,0,O3702/B3729)</f>
        <v/>
      </c>
      <c r="Q3702" t="n">
        <v>0</v>
      </c>
      <c r="R3702" t="n">
        <v>0</v>
      </c>
      <c r="S3702">
        <f>IFERROR(O3702/N3702,0)</f>
        <v/>
      </c>
      <c r="T3702" t="n">
        <v>0</v>
      </c>
      <c r="V3702" t="n">
        <v>0</v>
      </c>
    </row>
    <row r="3703">
      <c r="A3703">
        <f>Skills!A19</f>
        <v/>
      </c>
      <c r="B3703">
        <f>Skills!B19</f>
        <v/>
      </c>
      <c r="C3703">
        <f>TRUE</f>
        <v/>
      </c>
      <c r="D3703">
        <f>IF(Skills!C19=1,60+Inputs!$B$25+Inputs!$B$29,IF(Skills!C19=2,90+Inputs!$B$26+Inputs!$B$29,IF(Skills!C19=3,120+Inputs!$B$27+Inputs!$B$29,MAX(0,(Inputs!$B$3-100)*3)+Inputs!$B$28+Inputs!$B$29)))</f>
        <v/>
      </c>
      <c r="E3703">
        <f>INDEX(FactorTable!$B$2:$Y$301, MATCH(ROUND(MIN(300,MAX(1,D3703)),0), FactorTable!$A$2:$A$301,0), Skills!M19+1)</f>
        <v/>
      </c>
      <c r="F3703">
        <f>IF(Skills!N19=TRUE,(Skills!L19/10)*(E3703/1000),Skills!L19/10)+Skills!O19</f>
        <v/>
      </c>
      <c r="G3703">
        <f>Skills!G19*IF(Skills!H19&gt;0,Skills!I19/Skills!H19,1)</f>
        <v/>
      </c>
      <c r="H3703">
        <f>1-(1-Skills!J19/100)^Skills!K19</f>
        <v/>
      </c>
      <c r="I3703" t="inlineStr">
        <is>
          <t>1</t>
        </is>
      </c>
      <c r="J3703" t="inlineStr"/>
      <c r="K3703" t="inlineStr"/>
      <c r="L3703" t="inlineStr"/>
      <c r="M3703" t="inlineStr"/>
      <c r="N3703" t="inlineStr"/>
      <c r="O3703">
        <f>(1-Summary!$B$11)*T3703+Summary!$B$11*V3703</f>
        <v/>
      </c>
      <c r="P3703">
        <f>IF(B3729=0,0,O3703/B3729)</f>
        <v/>
      </c>
      <c r="Q3703">
        <f>IFERROR(1/IF(Inputs!$B$39="pvp",15,MAX(0.1,Skills!D19-IF(Skills!E19=TRUE,5.0,0))),0)</f>
        <v/>
      </c>
      <c r="R3703">
        <f>IF(AND(Inputs!$B$39&lt;&gt;"pvp",Inputs!$B$44&gt;0),IF(Inputs!$B$44&lt;=0,0,(INT(Inputs!$B$44/IF(Inputs!$B$39="pvp",15,MAX(0.1,Skills!D19-IF(Skills!E19=TRUE,5.0,0))))+1)),0)</f>
        <v/>
      </c>
      <c r="S3703">
        <f>IFERROR(O3703/N3703,0)</f>
        <v/>
      </c>
      <c r="T3703" t="n">
        <v>0</v>
      </c>
      <c r="V3703" t="n">
        <v>0</v>
      </c>
    </row>
    <row r="3704">
      <c r="A3704">
        <f>Skills!A20</f>
        <v/>
      </c>
      <c r="B3704">
        <f>Skills!B20</f>
        <v/>
      </c>
      <c r="C3704">
        <f>Inputs!$B$3&gt;=15</f>
        <v/>
      </c>
      <c r="D3704">
        <f>IF(Skills!C20=1,60+Inputs!$B$25+Inputs!$B$29,IF(Skills!C20=2,90+Inputs!$B$26+Inputs!$B$29,IF(Skills!C20=3,120+Inputs!$B$27+Inputs!$B$29,MAX(0,(Inputs!$B$3-100)*3)+Inputs!$B$28+Inputs!$B$29)))</f>
        <v/>
      </c>
      <c r="E3704">
        <f>INDEX(FactorTable!$B$2:$Y$301, MATCH(ROUND(MIN(300,MAX(1,D3704)),0), FactorTable!$A$2:$A$301,0), Skills!M20+1)</f>
        <v/>
      </c>
      <c r="F3704">
        <f>IF(Skills!N20=TRUE,(Skills!L20/10)*(E3704/1000),Skills!L20/10)+Skills!O20</f>
        <v/>
      </c>
      <c r="G3704">
        <f>Skills!G20*IF(Skills!H20&gt;0,Skills!I20/Skills!H20,1)</f>
        <v/>
      </c>
      <c r="H3704">
        <f>1-(1-Skills!J20/100)^Skills!K20</f>
        <v/>
      </c>
      <c r="I3704" t="inlineStr">
        <is>
          <t>1</t>
        </is>
      </c>
      <c r="J3704" t="inlineStr"/>
      <c r="K3704" t="inlineStr"/>
      <c r="L3704" t="inlineStr"/>
      <c r="M3704" t="inlineStr"/>
      <c r="N3704" t="inlineStr"/>
      <c r="O3704">
        <f>(1-Summary!$B$11)*T3704+Summary!$B$11*V3704</f>
        <v/>
      </c>
      <c r="P3704">
        <f>IF(B3729=0,0,O3704/B3729)</f>
        <v/>
      </c>
      <c r="Q3704">
        <f>IFERROR(1/IF(Inputs!$B$39="pvp",15,MAX(0.1,Skills!D20-IF(Skills!E20=TRUE,5.0,0))),0)</f>
        <v/>
      </c>
      <c r="R3704">
        <f>IF(AND(Inputs!$B$39&lt;&gt;"pvp",Inputs!$B$44&gt;0),IF(Inputs!$B$44&lt;=0,0,(INT(Inputs!$B$44/IF(Inputs!$B$39="pvp",15,MAX(0.1,Skills!D20-IF(Skills!E20=TRUE,5.0,0))))+1)),0)</f>
        <v/>
      </c>
      <c r="S3704">
        <f>IFERROR(O3704/N3704,0)</f>
        <v/>
      </c>
      <c r="T3704" t="n">
        <v>0</v>
      </c>
      <c r="V3704" t="n">
        <v>0</v>
      </c>
    </row>
    <row r="3705">
      <c r="A3705">
        <f>Skills!A21</f>
        <v/>
      </c>
      <c r="B3705">
        <f>Skills!B21</f>
        <v/>
      </c>
      <c r="C3705">
        <f>Inputs!$B$3&gt;=15</f>
        <v/>
      </c>
      <c r="D3705">
        <f>IF(Skills!C21=1,60+Inputs!$B$25+Inputs!$B$29,IF(Skills!C21=2,90+Inputs!$B$26+Inputs!$B$29,IF(Skills!C21=3,120+Inputs!$B$27+Inputs!$B$29,MAX(0,(Inputs!$B$3-100)*3)+Inputs!$B$28+Inputs!$B$29)))</f>
        <v/>
      </c>
      <c r="E3705">
        <f>INDEX(FactorTable!$B$2:$Y$301, MATCH(ROUND(MIN(300,MAX(1,D3705)),0), FactorTable!$A$2:$A$301,0), Skills!M21+1)</f>
        <v/>
      </c>
      <c r="F3705">
        <f>IF(Skills!N21=TRUE,(Skills!L21/10)*(E3705/1000),Skills!L21/10)+Skills!O21</f>
        <v/>
      </c>
      <c r="G3705">
        <f>Skills!G21*IF(Skills!H21&gt;0,Skills!I21/Skills!H21,1)</f>
        <v/>
      </c>
      <c r="H3705">
        <f>1-(1-Skills!J21/100)^Skills!K21</f>
        <v/>
      </c>
      <c r="I3705" t="inlineStr">
        <is>
          <t>1</t>
        </is>
      </c>
      <c r="J3705" t="inlineStr"/>
      <c r="K3705" t="inlineStr"/>
      <c r="L3705" t="inlineStr"/>
      <c r="M3705" t="inlineStr"/>
      <c r="N3705" t="inlineStr"/>
      <c r="O3705">
        <f>(1-Summary!$B$11)*T3705+Summary!$B$11*V3705</f>
        <v/>
      </c>
      <c r="P3705">
        <f>IF(B3729=0,0,O3705/B3729)</f>
        <v/>
      </c>
      <c r="Q3705">
        <f>IFERROR(1/IF(Inputs!$B$39="pvp",15,MAX(0.1,Skills!D21-IF(Skills!E21=TRUE,5.0,0))),0)</f>
        <v/>
      </c>
      <c r="R3705">
        <f>IF(AND(Inputs!$B$39&lt;&gt;"pvp",Inputs!$B$44&gt;0),IF(Inputs!$B$44&lt;=0,0,(INT(Inputs!$B$44/IF(Inputs!$B$39="pvp",15,MAX(0.1,Skills!D21-IF(Skills!E21=TRUE,5.0,0))))+1)),0)</f>
        <v/>
      </c>
      <c r="S3705">
        <f>IFERROR(O3705/N3705,0)</f>
        <v/>
      </c>
      <c r="T3705" t="n">
        <v>0</v>
      </c>
      <c r="V3705" t="n">
        <v>0</v>
      </c>
    </row>
    <row r="3706">
      <c r="A3706">
        <f>Skills!A22</f>
        <v/>
      </c>
      <c r="B3706">
        <f>Skills!B22</f>
        <v/>
      </c>
      <c r="C3706">
        <f>Inputs!$B$3&gt;=33</f>
        <v/>
      </c>
      <c r="D3706">
        <f>IF(Skills!C22=1,60+Inputs!$B$25+Inputs!$B$29,IF(Skills!C22=2,90+Inputs!$B$26+Inputs!$B$29,IF(Skills!C22=3,120+Inputs!$B$27+Inputs!$B$29,MAX(0,(Inputs!$B$3-100)*3)+Inputs!$B$28+Inputs!$B$29)))</f>
        <v/>
      </c>
      <c r="E3706">
        <f>INDEX(FactorTable!$B$2:$Y$301, MATCH(ROUND(MIN(300,MAX(1,D3706)),0), FactorTable!$A$2:$A$301,0), Skills!M22+1)</f>
        <v/>
      </c>
      <c r="F3706">
        <f>IF(Skills!N22=TRUE,(Skills!L22/10)*(E3706/1000),Skills!L22/10)+Skills!O22</f>
        <v/>
      </c>
      <c r="G3706">
        <f>Skills!G22*IF(Skills!H22&gt;0,Skills!I22/Skills!H22,1)</f>
        <v/>
      </c>
      <c r="H3706">
        <f>1-(1-Skills!J22/100)^Skills!K22</f>
        <v/>
      </c>
      <c r="I3706" t="inlineStr">
        <is>
          <t>1</t>
        </is>
      </c>
      <c r="J3706" t="inlineStr"/>
      <c r="K3706" t="inlineStr"/>
      <c r="L3706" t="inlineStr"/>
      <c r="M3706" t="inlineStr"/>
      <c r="N3706" t="inlineStr"/>
      <c r="O3706">
        <f>(1-Summary!$B$11)*T3706+Summary!$B$11*V3706</f>
        <v/>
      </c>
      <c r="P3706">
        <f>IF(B3729=0,0,O3706/B3729)</f>
        <v/>
      </c>
      <c r="Q3706" t="n">
        <v>0</v>
      </c>
      <c r="R3706" t="n">
        <v>0</v>
      </c>
      <c r="S3706">
        <f>IFERROR(O3706/N3706,0)</f>
        <v/>
      </c>
      <c r="T3706" t="n">
        <v>0</v>
      </c>
      <c r="V3706" t="n">
        <v>0</v>
      </c>
    </row>
    <row r="3707">
      <c r="A3707">
        <f>Skills!A23</f>
        <v/>
      </c>
      <c r="B3707">
        <f>Skills!B23</f>
        <v/>
      </c>
      <c r="C3707">
        <f>Inputs!$B$3&gt;=40</f>
        <v/>
      </c>
      <c r="D3707">
        <f>IF(Skills!C23=1,60+Inputs!$B$25+Inputs!$B$29,IF(Skills!C23=2,90+Inputs!$B$26+Inputs!$B$29,IF(Skills!C23=3,120+Inputs!$B$27+Inputs!$B$29,MAX(0,(Inputs!$B$3-100)*3)+Inputs!$B$28+Inputs!$B$29)))</f>
        <v/>
      </c>
      <c r="E3707">
        <f>INDEX(FactorTable!$B$2:$Y$301, MATCH(ROUND(MIN(300,MAX(1,D3707)),0), FactorTable!$A$2:$A$301,0), Skills!M23+1)</f>
        <v/>
      </c>
      <c r="F3707">
        <f>IF(Skills!N23=TRUE,(Skills!L23/10)*(E3707/1000),Skills!L23/10)+Skills!O23</f>
        <v/>
      </c>
      <c r="G3707">
        <f>Skills!G23*IF(Skills!H23&gt;0,Skills!I23/Skills!H23,1)</f>
        <v/>
      </c>
      <c r="H3707">
        <f>1-(1-Skills!J23/100)^Skills!K23</f>
        <v/>
      </c>
      <c r="I3707" t="inlineStr">
        <is>
          <t>1</t>
        </is>
      </c>
      <c r="J3707" t="inlineStr"/>
      <c r="K3707" t="inlineStr"/>
      <c r="L3707" t="inlineStr"/>
      <c r="M3707" t="inlineStr"/>
      <c r="N3707" t="inlineStr"/>
      <c r="O3707">
        <f>(1-Summary!$B$11)*T3707+Summary!$B$11*V3707</f>
        <v/>
      </c>
      <c r="P3707">
        <f>IF(B3729=0,0,O3707/B3729)</f>
        <v/>
      </c>
      <c r="Q3707" t="n">
        <v>0</v>
      </c>
      <c r="R3707" t="n">
        <v>0</v>
      </c>
      <c r="S3707">
        <f>IFERROR(O3707/N3707,0)</f>
        <v/>
      </c>
      <c r="T3707" t="n">
        <v>0</v>
      </c>
      <c r="V3707" t="n">
        <v>0</v>
      </c>
    </row>
    <row r="3708">
      <c r="A3708">
        <f>Skills!A24</f>
        <v/>
      </c>
      <c r="B3708">
        <f>Skills!B24</f>
        <v/>
      </c>
      <c r="C3708">
        <f>Inputs!$B$3&gt;=43</f>
        <v/>
      </c>
      <c r="D3708">
        <f>IF(Skills!C24=1,60+Inputs!$B$25+Inputs!$B$29,IF(Skills!C24=2,90+Inputs!$B$26+Inputs!$B$29,IF(Skills!C24=3,120+Inputs!$B$27+Inputs!$B$29,MAX(0,(Inputs!$B$3-100)*3)+Inputs!$B$28+Inputs!$B$29)))</f>
        <v/>
      </c>
      <c r="E3708">
        <f>INDEX(FactorTable!$B$2:$Y$301, MATCH(ROUND(MIN(300,MAX(1,D3708)),0), FactorTable!$A$2:$A$301,0), Skills!M24+1)</f>
        <v/>
      </c>
      <c r="F3708">
        <f>IF(Skills!N24=TRUE,(Skills!L24/10)*(E3708/1000),Skills!L24/10)+Skills!O24</f>
        <v/>
      </c>
      <c r="G3708">
        <f>Skills!G24*IF(Skills!H24&gt;0,Skills!I24/Skills!H24,1)</f>
        <v/>
      </c>
      <c r="H3708">
        <f>1-(1-Skills!J24/100)^Skills!K24</f>
        <v/>
      </c>
      <c r="I3708" t="inlineStr">
        <is>
          <t>1</t>
        </is>
      </c>
      <c r="J3708" t="inlineStr"/>
      <c r="K3708" t="inlineStr"/>
      <c r="L3708" t="inlineStr"/>
      <c r="M3708" t="inlineStr"/>
      <c r="N3708" t="inlineStr"/>
      <c r="O3708">
        <f>(1-Summary!$B$11)*T3708+Summary!$B$11*V3708</f>
        <v/>
      </c>
      <c r="P3708">
        <f>IF(B3729=0,0,O3708/B3729)</f>
        <v/>
      </c>
      <c r="Q3708" t="n">
        <v>0</v>
      </c>
      <c r="R3708" t="n">
        <v>0</v>
      </c>
      <c r="S3708">
        <f>IFERROR(O3708/N3708,0)</f>
        <v/>
      </c>
      <c r="T3708" t="n">
        <v>0</v>
      </c>
      <c r="V3708" t="n">
        <v>0</v>
      </c>
    </row>
    <row r="3709">
      <c r="A3709">
        <f>Skills!A25</f>
        <v/>
      </c>
      <c r="B3709">
        <f>Skills!B25</f>
        <v/>
      </c>
      <c r="C3709">
        <f>Inputs!$B$3&gt;=50</f>
        <v/>
      </c>
      <c r="D3709">
        <f>IF(Skills!C25=1,60+Inputs!$B$25+Inputs!$B$29,IF(Skills!C25=2,90+Inputs!$B$26+Inputs!$B$29,IF(Skills!C25=3,120+Inputs!$B$27+Inputs!$B$29,MAX(0,(Inputs!$B$3-100)*3)+Inputs!$B$28+Inputs!$B$29)))</f>
        <v/>
      </c>
      <c r="E3709">
        <f>INDEX(FactorTable!$B$2:$Y$301, MATCH(ROUND(MIN(300,MAX(1,D3709)),0), FactorTable!$A$2:$A$301,0), Skills!M25+1)</f>
        <v/>
      </c>
      <c r="F3709">
        <f>IF(Skills!N25=TRUE,(Skills!L25/10)*(E3709/1000),Skills!L25/10)+Skills!O25</f>
        <v/>
      </c>
      <c r="G3709">
        <f>Skills!G25*IF(Skills!H25&gt;0,Skills!I25/Skills!H25,1)</f>
        <v/>
      </c>
      <c r="H3709">
        <f>1-(1-Skills!J25/100)^Skills!K25</f>
        <v/>
      </c>
      <c r="I3709" t="inlineStr">
        <is>
          <t>1</t>
        </is>
      </c>
      <c r="J3709" t="inlineStr"/>
      <c r="K3709" t="inlineStr"/>
      <c r="L3709" t="inlineStr"/>
      <c r="M3709" t="inlineStr"/>
      <c r="N3709" t="inlineStr"/>
      <c r="O3709">
        <f>(1-Summary!$B$11)*T3709+Summary!$B$11*V3709</f>
        <v/>
      </c>
      <c r="P3709">
        <f>IF(B3729=0,0,O3709/B3729)</f>
        <v/>
      </c>
      <c r="Q3709" t="n">
        <v>0</v>
      </c>
      <c r="R3709" t="n">
        <v>0</v>
      </c>
      <c r="S3709">
        <f>IFERROR(O3709/N3709,0)</f>
        <v/>
      </c>
      <c r="T3709" t="n">
        <v>0</v>
      </c>
      <c r="V3709" t="n">
        <v>0</v>
      </c>
    </row>
    <row r="3710">
      <c r="A3710">
        <f>Skills!A26</f>
        <v/>
      </c>
      <c r="B3710">
        <f>Skills!B26</f>
        <v/>
      </c>
      <c r="C3710">
        <f>Inputs!$B$3&gt;=50</f>
        <v/>
      </c>
      <c r="D3710">
        <f>IF(Skills!C26=1,60+Inputs!$B$25+Inputs!$B$29,IF(Skills!C26=2,90+Inputs!$B$26+Inputs!$B$29,IF(Skills!C26=3,120+Inputs!$B$27+Inputs!$B$29,MAX(0,(Inputs!$B$3-100)*3)+Inputs!$B$28+Inputs!$B$29)))</f>
        <v/>
      </c>
      <c r="E3710">
        <f>INDEX(FactorTable!$B$2:$Y$301, MATCH(ROUND(MIN(300,MAX(1,D3710)),0), FactorTable!$A$2:$A$301,0), Skills!M26+1)</f>
        <v/>
      </c>
      <c r="F3710">
        <f>IF(Skills!N26=TRUE,(Skills!L26/10)*(E3710/1000),Skills!L26/10)+Skills!O26</f>
        <v/>
      </c>
      <c r="G3710">
        <f>Skills!G26*IF(Skills!H26&gt;0,Skills!I26/Skills!H26,1)</f>
        <v/>
      </c>
      <c r="H3710">
        <f>1-(1-Skills!J26/100)^Skills!K26</f>
        <v/>
      </c>
      <c r="I3710" t="inlineStr">
        <is>
          <t>1</t>
        </is>
      </c>
      <c r="J3710" t="inlineStr"/>
      <c r="K3710" t="inlineStr"/>
      <c r="L3710" t="inlineStr"/>
      <c r="M3710" t="inlineStr"/>
      <c r="N3710" t="inlineStr"/>
      <c r="O3710">
        <f>(1-Summary!$B$11)*T3710+Summary!$B$11*V3710</f>
        <v/>
      </c>
      <c r="P3710">
        <f>IF(B3729=0,0,O3710/B3729)</f>
        <v/>
      </c>
      <c r="Q3710" t="n">
        <v>0</v>
      </c>
      <c r="R3710" t="n">
        <v>0</v>
      </c>
      <c r="S3710">
        <f>IFERROR(O3710/N3710,0)</f>
        <v/>
      </c>
      <c r="T3710" t="n">
        <v>0</v>
      </c>
      <c r="V3710" t="n">
        <v>0</v>
      </c>
    </row>
    <row r="3711">
      <c r="A3711">
        <f>Skills!A27</f>
        <v/>
      </c>
      <c r="B3711">
        <f>Skills!B27</f>
        <v/>
      </c>
      <c r="C3711">
        <f>Inputs!$B$3&gt;=38</f>
        <v/>
      </c>
      <c r="D3711">
        <f>IF(Skills!C27=1,60+Inputs!$B$25+Inputs!$B$29,IF(Skills!C27=2,90+Inputs!$B$26+Inputs!$B$29,IF(Skills!C27=3,120+Inputs!$B$27+Inputs!$B$29,MAX(0,(Inputs!$B$3-100)*3)+Inputs!$B$28+Inputs!$B$29)))</f>
        <v/>
      </c>
      <c r="E3711">
        <f>INDEX(FactorTable!$B$2:$Y$301, MATCH(ROUND(MIN(300,MAX(1,D3711)),0), FactorTable!$A$2:$A$301,0), Skills!M27+1)</f>
        <v/>
      </c>
      <c r="F3711">
        <f>IF(Skills!N27=TRUE,(Skills!L27/10)*(E3711/1000),Skills!L27/10)+Skills!O27</f>
        <v/>
      </c>
      <c r="G3711">
        <f>Skills!G27*IF(Skills!H27&gt;0,Skills!I27/Skills!H27,1)</f>
        <v/>
      </c>
      <c r="H3711">
        <f>1-(1-Skills!J27/100)^Skills!K27</f>
        <v/>
      </c>
      <c r="I3711" t="inlineStr">
        <is>
          <t>1</t>
        </is>
      </c>
      <c r="J3711" t="inlineStr"/>
      <c r="K3711" t="inlineStr"/>
      <c r="L3711" t="inlineStr"/>
      <c r="M3711" t="inlineStr"/>
      <c r="N3711" t="inlineStr"/>
      <c r="O3711">
        <f>(1-Summary!$B$11)*T3711+Summary!$B$11*V3711</f>
        <v/>
      </c>
      <c r="P3711">
        <f>IF(B3729=0,0,O3711/B3729)</f>
        <v/>
      </c>
      <c r="Q3711" t="n">
        <v>0</v>
      </c>
      <c r="R3711" t="n">
        <v>0</v>
      </c>
      <c r="S3711">
        <f>IFERROR(O3711/N3711,0)</f>
        <v/>
      </c>
      <c r="T3711" t="n">
        <v>0</v>
      </c>
      <c r="V3711" t="n">
        <v>0</v>
      </c>
    </row>
    <row r="3712">
      <c r="A3712">
        <f>Skills!A28</f>
        <v/>
      </c>
      <c r="B3712">
        <f>Skills!B28</f>
        <v/>
      </c>
      <c r="C3712">
        <f>Inputs!$B$3&gt;=120</f>
        <v/>
      </c>
      <c r="D3712">
        <f>IF(Skills!C28=1,60+Inputs!$B$25+Inputs!$B$29,IF(Skills!C28=2,90+Inputs!$B$26+Inputs!$B$29,IF(Skills!C28=3,120+Inputs!$B$27+Inputs!$B$29,MAX(0,(Inputs!$B$3-100)*3)+Inputs!$B$28+Inputs!$B$29)))</f>
        <v/>
      </c>
      <c r="E3712">
        <f>INDEX(FactorTable!$B$2:$Y$301, MATCH(ROUND(MIN(300,MAX(1,D3712)),0), FactorTable!$A$2:$A$301,0), Skills!M28+1)</f>
        <v/>
      </c>
      <c r="F3712">
        <f>IF(Skills!N28=TRUE,(Skills!L28/10)*(E3712/1000),Skills!L28/10)+Skills!O28</f>
        <v/>
      </c>
      <c r="G3712">
        <f>Skills!G28*IF(Skills!H28&gt;0,Skills!I28/Skills!H28,1)</f>
        <v/>
      </c>
      <c r="H3712">
        <f>1-(1-Skills!J28/100)^Skills!K28</f>
        <v/>
      </c>
      <c r="I3712" t="inlineStr">
        <is>
          <t>1</t>
        </is>
      </c>
      <c r="J3712" t="inlineStr"/>
      <c r="K3712" t="inlineStr"/>
      <c r="L3712" t="inlineStr"/>
      <c r="M3712" t="inlineStr"/>
      <c r="N3712" t="inlineStr"/>
      <c r="O3712">
        <f>(1-Summary!$B$11)*T3712+Summary!$B$11*V3712</f>
        <v/>
      </c>
      <c r="P3712">
        <f>IF(B3729=0,0,O3712/B3729)</f>
        <v/>
      </c>
      <c r="Q3712" t="n">
        <v>0</v>
      </c>
      <c r="R3712" t="n">
        <v>0</v>
      </c>
      <c r="S3712">
        <f>IFERROR(O3712/N3712,0)</f>
        <v/>
      </c>
      <c r="T3712" t="n">
        <v>0</v>
      </c>
      <c r="V3712" t="n">
        <v>0</v>
      </c>
    </row>
    <row r="3713">
      <c r="A3713">
        <f>Skills!A29</f>
        <v/>
      </c>
      <c r="B3713">
        <f>Skills!B29</f>
        <v/>
      </c>
      <c r="C3713">
        <f>Inputs!$B$3&gt;=120</f>
        <v/>
      </c>
      <c r="D3713">
        <f>IF(Skills!C29=1,60+Inputs!$B$25+Inputs!$B$29,IF(Skills!C29=2,90+Inputs!$B$26+Inputs!$B$29,IF(Skills!C29=3,120+Inputs!$B$27+Inputs!$B$29,MAX(0,(Inputs!$B$3-100)*3)+Inputs!$B$28+Inputs!$B$29)))</f>
        <v/>
      </c>
      <c r="E3713">
        <f>INDEX(FactorTable!$B$2:$Y$301, MATCH(ROUND(MIN(300,MAX(1,D3713)),0), FactorTable!$A$2:$A$301,0), Skills!M29+1)</f>
        <v/>
      </c>
      <c r="F3713">
        <f>IF(Skills!N29=TRUE,(Skills!L29/10)*(E3713/1000),Skills!L29/10)+Skills!O29</f>
        <v/>
      </c>
      <c r="G3713">
        <f>Skills!G29*IF(Skills!H29&gt;0,Skills!I29/Skills!H29,1)</f>
        <v/>
      </c>
      <c r="H3713">
        <f>1-(1-Skills!J29/100)^Skills!K29</f>
        <v/>
      </c>
      <c r="I3713" t="inlineStr">
        <is>
          <t>1</t>
        </is>
      </c>
      <c r="J3713" t="inlineStr"/>
      <c r="K3713" t="inlineStr"/>
      <c r="L3713" t="inlineStr"/>
      <c r="M3713" t="inlineStr"/>
      <c r="N3713" t="inlineStr"/>
      <c r="O3713">
        <f>(1-Summary!$B$11)*T3713+Summary!$B$11*V3713</f>
        <v/>
      </c>
      <c r="P3713">
        <f>IF(B3729=0,0,O3713/B3729)</f>
        <v/>
      </c>
      <c r="Q3713" t="n">
        <v>0</v>
      </c>
      <c r="R3713" t="n">
        <v>0</v>
      </c>
      <c r="S3713">
        <f>IFERROR(O3713/N3713,0)</f>
        <v/>
      </c>
      <c r="T3713" t="n">
        <v>0</v>
      </c>
      <c r="V3713" t="n">
        <v>0</v>
      </c>
    </row>
    <row r="3714">
      <c r="A3714">
        <f>Skills!A30</f>
        <v/>
      </c>
      <c r="B3714">
        <f>Skills!B30</f>
        <v/>
      </c>
      <c r="C3714">
        <f>Inputs!$B$3&gt;=125</f>
        <v/>
      </c>
      <c r="D3714">
        <f>IF(Skills!C30=1,60+Inputs!$B$25+Inputs!$B$29,IF(Skills!C30=2,90+Inputs!$B$26+Inputs!$B$29,IF(Skills!C30=3,120+Inputs!$B$27+Inputs!$B$29,MAX(0,(Inputs!$B$3-100)*3)+Inputs!$B$28+Inputs!$B$29)))</f>
        <v/>
      </c>
      <c r="E3714">
        <f>INDEX(FactorTable!$B$2:$Y$301, MATCH(ROUND(MIN(300,MAX(1,D3714)),0), FactorTable!$A$2:$A$301,0), Skills!M30+1)</f>
        <v/>
      </c>
      <c r="F3714">
        <f>IF(Skills!N30=TRUE,(Skills!L30/10)*(E3714/1000),Skills!L30/10)+Skills!O30</f>
        <v/>
      </c>
      <c r="G3714">
        <f>Skills!G30*IF(Skills!H30&gt;0,Skills!I30/Skills!H30,1)</f>
        <v/>
      </c>
      <c r="H3714">
        <f>1-(1-Skills!J30/100)^Skills!K30</f>
        <v/>
      </c>
      <c r="I3714" t="inlineStr">
        <is>
          <t>1</t>
        </is>
      </c>
      <c r="J3714" t="inlineStr"/>
      <c r="K3714" t="inlineStr"/>
      <c r="L3714" t="inlineStr"/>
      <c r="M3714" t="inlineStr"/>
      <c r="N3714" t="inlineStr"/>
      <c r="O3714">
        <f>(1-Summary!$B$11)*T3714+Summary!$B$11*V3714</f>
        <v/>
      </c>
      <c r="P3714">
        <f>IF(B3729=0,0,O3714/B3729)</f>
        <v/>
      </c>
      <c r="Q3714" t="n">
        <v>0</v>
      </c>
      <c r="R3714" t="n">
        <v>0</v>
      </c>
      <c r="S3714">
        <f>IFERROR(O3714/N3714,0)</f>
        <v/>
      </c>
      <c r="T3714" t="n">
        <v>0</v>
      </c>
      <c r="V3714" t="n">
        <v>0</v>
      </c>
    </row>
    <row r="3716">
      <c r="A3716" t="inlineStr">
        <is>
          <t>Average Buff Multiplier</t>
        </is>
      </c>
      <c r="B3716">
        <f>(1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f>
        <v/>
      </c>
    </row>
    <row r="3717">
      <c r="A3717" t="inlineStr">
        <is>
          <t>Global Crit Rate Bonus %</t>
        </is>
      </c>
      <c r="B3717">
        <f>((C3704=TRUE)*F3704*IF(AND(Inputs!$B$39&lt;&gt;"pvp",Inputs!$B$44&gt;0),(((R3704-1)*(Skills!Y20*(1+Inputs!$B$34/100))+MIN((Skills!Y20*(1+Inputs!$B$34/100)),MAX(0,Inputs!$B$44-((R3704-1)*Skills!D20))))/Inputs!$B$44),IF(Inputs!$B$39="pvp",MIN((Skills!Y20*(1+Inputs!$B$34/100)),15)/15,(Skills!Y20*(1+Inputs!$B$34/100))/Skills!D20)))</f>
        <v/>
      </c>
    </row>
    <row r="3718">
      <c r="A3718" t="inlineStr">
        <is>
          <t>Global Monster Damage-Taken Bonus %</t>
        </is>
      </c>
      <c r="B3718">
        <f>IF(Inputs!$B$3&gt;=82,15,0)</f>
        <v/>
      </c>
    </row>
    <row r="3719">
      <c r="A3719" t="inlineStr">
        <is>
          <t>Shadow Partner Average Multiplier</t>
        </is>
      </c>
      <c r="B3719">
        <f>1+((C3691=TRUE)*F3691*(1+3.3333333333333335*IF(C3702=TRUE,F3702,0)/100)*I3691*Skills!J7/100)/100</f>
        <v/>
      </c>
    </row>
    <row r="3720">
      <c r="A3720" t="inlineStr">
        <is>
          <t>Attack Speed Buff Bonus %</t>
        </is>
      </c>
      <c r="B3720">
        <f>((C3703=TRUE)*F3703*IF(AND(Inputs!$B$39&lt;&gt;"pvp",Inputs!$B$44&gt;0),(((R3703-1)*(Skills!Y19*(1+Inputs!$B$34/100))+MIN((Skills!Y19*(1+Inputs!$B$34/100)),MAX(0,Inputs!$B$44-((R3703-1)*Skills!D19))))/Inputs!$B$44),IF(Inputs!$B$39="pvp",MIN((Skills!Y19*(1+Inputs!$B$34/100)),15)/15,(Skills!Y19*(1+Inputs!$B$34/100))/Skills!D19)))+((C3687=TRUE)*F3687*3)</f>
        <v/>
      </c>
    </row>
    <row r="3721">
      <c r="A3721" t="inlineStr">
        <is>
          <t>Actions Per Second</t>
        </is>
      </c>
      <c r="B3721">
        <f>1+MIN(150,150*(1-(1-(Inputs!$B$11+((C3706=TRUE)*(F3706-Calc!F22)))/150)*(1-B3720/150)))/100</f>
        <v/>
      </c>
    </row>
    <row r="3722">
      <c r="A3722" t="inlineStr">
        <is>
          <t>Skill + Buff Cast Rate</t>
        </is>
      </c>
      <c r="B3722">
        <f>IF(AND(Inputs!$B$39&lt;&gt;"pvp",Inputs!$B$44&gt;0),SUMPRODUCT((Skills!E2:E30=TRUE)*(C3686:C3714=TRUE)*R3686:R3714*Skills!F2:F30)/Inputs!$B$44,SUMPRODUCT((Skills!E2:E30=TRUE)*(C3686:C3714=TRUE)*Q3686:Q3714*Skills!F2:F30))</f>
        <v/>
      </c>
    </row>
    <row r="3723">
      <c r="A3723" t="inlineStr">
        <is>
          <t>Cruel Stab Casts Per Second</t>
        </is>
      </c>
      <c r="B3723">
        <f>MAX(0,B3721-B3722)</f>
        <v/>
      </c>
    </row>
    <row r="3724">
      <c r="A3724" t="inlineStr">
        <is>
          <t>Global Critical Damage Bonus % (Smokescreen Mastery Lv.113)</t>
        </is>
      </c>
      <c r="B3724">
        <f>IF(Inputs!$B$3&gt;=113,30,0)*IF(AND(Inputs!$B$39&lt;&gt;"pvp",Inputs!$B$44&gt;0),(((R3699-1)*(Skills!Y15*(1+Inputs!$B$34/100))+MIN((Skills!Y15*(1+Inputs!$B$34/100)),MAX(0,Inputs!$B$44-((R3699-1)*Skills!D15))))/Inputs!$B$44),IF(Inputs!$B$39="pvp",MIN((Skills!Y15*(1+Inputs!$B$34/100)),15)/15,(Skills!Y15*(1+Inputs!$B$34/100))/Skills!D15))</f>
        <v/>
      </c>
    </row>
    <row r="3725">
      <c r="A3725" t="inlineStr">
        <is>
          <t>Meso Explosion average stack count</t>
        </is>
      </c>
      <c r="B3725">
        <f>MIN(10,0.5*B3721*Skills!D4)</f>
        <v/>
      </c>
    </row>
    <row r="3726">
      <c r="A3726" t="inlineStr">
        <is>
          <t>Blood Money average stack count</t>
        </is>
      </c>
      <c r="B3726">
        <f>MIN(5,0.25*B3721*Skills!D4)</f>
        <v/>
      </c>
    </row>
    <row r="3727">
      <c r="A3727" t="inlineStr">
        <is>
          <t>Assassinate Murderous Intent Multiplier</t>
        </is>
      </c>
      <c r="B3727">
        <f>1+IFERROR(MIN(1,Q3698*2/Q3695),0)</f>
        <v/>
      </c>
    </row>
    <row r="3728">
      <c r="A3728" t="inlineStr">
        <is>
          <t>Buff-Casting Startup Delay (s, fixed-duration only)</t>
        </is>
      </c>
      <c r="B3728">
        <f>IF(AND(Inputs!$B$39&lt;&gt;"pvp",Inputs!$B$44&gt;0),SUMPRODUCT((Skills!Y2:Y30&gt;0)*(Skills!E2:E30=TRUE)*(C3686:C3714=TRUE))/B3721,0)</f>
        <v/>
      </c>
    </row>
    <row r="3729">
      <c r="A3729" s="6" t="inlineStr">
        <is>
          <t>TOTAL DPS</t>
        </is>
      </c>
      <c r="B3729" s="6">
        <f>SUM(O3686:O3714)</f>
        <v/>
      </c>
    </row>
    <row r="3730">
      <c r="A3730" t="inlineStr">
        <is>
          <t>Boss-Only Total DPS (this block's swept value)</t>
        </is>
      </c>
      <c r="B3730">
        <f>SUM(T3686:T3714)</f>
        <v/>
      </c>
    </row>
    <row r="3731">
      <c r="A3731" t="inlineStr">
        <is>
          <t>Normal-Only Total DPS (this block's swept value)</t>
        </is>
      </c>
      <c r="B3731">
        <f>SUM(V3686:V3714)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Shadower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Shadower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Boss Monster Damage %</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Legendary</t>
        </is>
      </c>
      <c r="D42" s="7" t="inlineStr">
        <is>
          <t>Main Stat %</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2026-10-13T21:34:19Z</dcterms:created>
  <dcterms:modified xsi:type="dcterms:W3CDTF">2026-10-13T21:34:19Z</dcterms:modified>
</cp:coreProperties>
</file>