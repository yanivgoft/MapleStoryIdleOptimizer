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Calc" sheetId="5" state="visible" r:id="rId5"/>
    <sheet name="Summary" sheetId="6" state="visible" r:id="rId6"/>
    <sheet name="Sensitivity" sheetId="7" state="visible" r:id="rId7"/>
    <sheet name="CubeData" sheetId="8" state="visible" r:id="rId8"/>
    <sheet name="PotentialCub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color rgb="00FFFFFF"/>
    </font>
    <font>
      <b val="1"/>
      <sz val="13"/>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0" fillId="2" borderId="0" pivotButton="0" quotePrefix="0" xfId="0"/>
    <xf numFmtId="0" fontId="2" fillId="0" borderId="0" pivotButton="0" quotePrefix="0" xfId="0"/>
    <xf numFmtId="0" fontId="4" fillId="3" borderId="0" applyAlignment="1" pivotButton="0" quotePrefix="0" xfId="0">
      <alignment horizontal="center"/>
    </xf>
    <xf numFmtId="0" fontId="5"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Arch Mage (Ice/Lightning)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Freezing Breath's Weaken debuff and Elemental Reset's own Damage Taken bonus assume the target is permanently afflicted at steady state, not an exact on/off timer.</t>
        </is>
      </c>
    </row>
    <row r="11">
      <c r="A11" s="2" t="inlineStr">
        <is>
          <t>Crit Rate pushed above 100% (e.g. by cube potential lines) automatically redirects its stat-value to Crit Damage's own per-unit DPS value on the PotentialCubes sheet, since excess Crit Rate cannot do anything past 100%.</t>
        </is>
      </c>
    </row>
    <row r="12">
      <c r="A12" s="2" t="inlineStr">
        <is>
          <t>Buffs (Magic Guard, Meditation, Infinity) are modeled at steady-state duty-cycle average uptime, not as an exact moment-to-moment state machine.</t>
        </is>
      </c>
    </row>
    <row r="13">
      <c r="A13" s="2" t="inlineStr">
        <is>
          <t>Monster Type blends Boss/Normal Monster Damage% by the Chapter Breakthrough weight %; PvP forces a fixed 15-second window regardless of the Fixed Fight Duration input.</t>
        </is>
      </c>
    </row>
    <row r="14">
      <c r="A14" s="2" t="inlineStr">
        <is>
          <t>Not modeled (out of scope): crowd control, Accuracy/Evasion/Defense reduction, movement speed, the character's own Defense stat, and Companion Summoning Time.</t>
        </is>
      </c>
    </row>
    <row r="15">
      <c r="A1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46" customWidth="1" min="1" max="1"/>
    <col width="16" customWidth="1" min="2" max="2"/>
  </cols>
  <sheetData>
    <row r="1">
      <c r="A1" s="4" t="inlineStr">
        <is>
          <t>Arch Mage (Ice/Lightning) — DPS Calculator Inputs</t>
        </is>
      </c>
    </row>
    <row r="3">
      <c r="A3" s="5" t="inlineStr">
        <is>
          <t>Character Level</t>
        </is>
      </c>
      <c r="B3" s="6" t="n">
        <v>200</v>
      </c>
    </row>
    <row r="4">
      <c r="A4" s="5" t="inlineStr">
        <is>
          <t>Monster Type ("boss", "normal", "breakthrough", or "pvp")</t>
        </is>
      </c>
      <c r="B4" s="6" t="inlineStr">
        <is>
          <t>boss</t>
        </is>
      </c>
    </row>
    <row r="5">
      <c r="A5" s="5" t="inlineStr">
        <is>
          <t>Flat ATTACK</t>
        </is>
      </c>
      <c r="B5" s="6" t="n">
        <v>10000</v>
      </c>
    </row>
    <row r="6">
      <c r="A6" s="5" t="inlineStr">
        <is>
          <t>ATTACK %</t>
        </is>
      </c>
      <c r="B6" s="6" t="n">
        <v>0</v>
      </c>
    </row>
    <row r="7">
      <c r="A7" s="5" t="inlineStr">
        <is>
          <t>Monster Defense (flat, post-x100/x10 scaling)</t>
        </is>
      </c>
      <c r="B7" s="6" t="n">
        <v>0</v>
      </c>
    </row>
    <row r="8">
      <c r="A8" s="5" t="inlineStr">
        <is>
          <t>CRIT_RATE %</t>
        </is>
      </c>
      <c r="B8" s="6" t="n">
        <v>0</v>
      </c>
    </row>
    <row r="9">
      <c r="A9" s="5" t="inlineStr">
        <is>
          <t>CRIT_DAMAGE %</t>
        </is>
      </c>
      <c r="B9" s="6" t="n">
        <v>0</v>
      </c>
    </row>
    <row r="10">
      <c r="A10" s="5" t="inlineStr">
        <is>
          <t>ATTACK_SPEED % (base, excludes Nimble Feet/MP Eater)</t>
        </is>
      </c>
      <c r="B10" s="6" t="n">
        <v>0</v>
      </c>
    </row>
    <row r="11">
      <c r="A11" s="5" t="inlineStr">
        <is>
          <t>Flat INT</t>
        </is>
      </c>
      <c r="B11" s="6" t="n">
        <v>0</v>
      </c>
    </row>
    <row r="12">
      <c r="A12" s="5" t="inlineStr">
        <is>
          <t>INT %</t>
        </is>
      </c>
      <c r="B12" s="6" t="n">
        <v>0</v>
      </c>
    </row>
    <row r="13">
      <c r="A13" s="5" t="inlineStr">
        <is>
          <t>LUK</t>
        </is>
      </c>
      <c r="B13" s="6" t="n">
        <v>0</v>
      </c>
    </row>
    <row r="14">
      <c r="A14" s="5" t="inlineStr">
        <is>
          <t>DAMAGE %</t>
        </is>
      </c>
      <c r="B14" s="6" t="n">
        <v>0</v>
      </c>
    </row>
    <row r="15">
      <c r="A15" s="5" t="inlineStr">
        <is>
          <t>DAMAGE_AMP %</t>
        </is>
      </c>
      <c r="B15" s="6" t="n">
        <v>0</v>
      </c>
    </row>
    <row r="16">
      <c r="A16" s="5" t="inlineStr">
        <is>
          <t>BASIC_ATTACK_DAMAGE %</t>
        </is>
      </c>
      <c r="B16" s="6" t="n">
        <v>0</v>
      </c>
    </row>
    <row r="17">
      <c r="A17" s="5" t="inlineStr">
        <is>
          <t>SKILL_DAMAGE %</t>
        </is>
      </c>
      <c r="B17" s="6" t="n">
        <v>0</v>
      </c>
    </row>
    <row r="18">
      <c r="A18" s="5" t="inlineStr">
        <is>
          <t>DEF_PEN %</t>
        </is>
      </c>
      <c r="B18" s="6" t="n">
        <v>0</v>
      </c>
    </row>
    <row r="19">
      <c r="A19" s="5" t="inlineStr">
        <is>
          <t>BOSS_DAMAGE %</t>
        </is>
      </c>
      <c r="B19" s="6" t="n">
        <v>0</v>
      </c>
    </row>
    <row r="20">
      <c r="A20" s="5" t="inlineStr">
        <is>
          <t>NORMAL_DAMAGE %</t>
        </is>
      </c>
      <c r="B20" s="6" t="n">
        <v>0</v>
      </c>
    </row>
    <row r="21">
      <c r="A21" s="5" t="inlineStr">
        <is>
          <t>MIN_DAMAGE %</t>
        </is>
      </c>
      <c r="B21" s="6" t="n">
        <v>100</v>
      </c>
    </row>
    <row r="22">
      <c r="A22" s="5" t="inlineStr">
        <is>
          <t>MAX_DAMAGE %</t>
        </is>
      </c>
      <c r="B22" s="6" t="n">
        <v>100</v>
      </c>
    </row>
    <row r="23">
      <c r="A23" s="5" t="inlineStr">
        <is>
          <t>FINAL_DAMAGE % (base, excludes Infinity)</t>
        </is>
      </c>
      <c r="B23" s="6" t="n">
        <v>0</v>
      </c>
    </row>
    <row r="24">
      <c r="A24" s="5" t="inlineStr">
        <is>
          <t>Skill Level Bonus — 1st Job</t>
        </is>
      </c>
      <c r="B24" s="6" t="n">
        <v>0</v>
      </c>
    </row>
    <row r="25">
      <c r="A25" s="5" t="inlineStr">
        <is>
          <t>Skill Level Bonus — 2nd Job</t>
        </is>
      </c>
      <c r="B25" s="6" t="n">
        <v>0</v>
      </c>
    </row>
    <row r="26">
      <c r="A26" s="5" t="inlineStr">
        <is>
          <t>Skill Level Bonus — 3rd Job</t>
        </is>
      </c>
      <c r="B26" s="6" t="n">
        <v>0</v>
      </c>
    </row>
    <row r="27">
      <c r="A27" s="5" t="inlineStr">
        <is>
          <t>Skill Level Bonus — 4th Job</t>
        </is>
      </c>
      <c r="B27" s="6" t="n">
        <v>0</v>
      </c>
    </row>
    <row r="28">
      <c r="A28" s="5" t="inlineStr">
        <is>
          <t>Skill Level Bonus — All Skills</t>
        </is>
      </c>
      <c r="B28" s="6" t="n">
        <v>0</v>
      </c>
    </row>
    <row r="30">
      <c r="A30" s="7" t="inlineStr">
        <is>
          <t>Additional Bonuses</t>
        </is>
      </c>
    </row>
    <row r="31">
      <c r="A31" s="5" t="inlineStr">
        <is>
          <t>Skill Cooldown Decrease (seconds, only skills/buffs the character actively casts)</t>
        </is>
      </c>
      <c r="B31" s="6" t="n">
        <v>0</v>
      </c>
    </row>
    <row r="32">
      <c r="A32" s="5" t="inlineStr">
        <is>
          <t>Basic Attack Target Increase (flat, adds to the 6-target normal-monster base)</t>
        </is>
      </c>
      <c r="B32" s="6" t="n">
        <v>1</v>
      </c>
    </row>
    <row r="33">
      <c r="A33" s="5" t="inlineStr">
        <is>
          <t>Buff Duration Increase %</t>
        </is>
      </c>
      <c r="B33" s="6" t="n">
        <v>0</v>
      </c>
    </row>
    <row r="34">
      <c r="A34" s="5" t="inlineStr">
        <is>
          <t>Companion Summoning Time Increase % (companions not modeled — always 0 DPS impact)</t>
        </is>
      </c>
      <c r="B34" s="6" t="n">
        <v>0</v>
      </c>
    </row>
    <row r="35">
      <c r="A35" s="5" t="inlineStr">
        <is>
          <t>Fixed Fight Duration (seconds, boss or normal — leave 0 for steady-state DPS; ignored for pvp)</t>
        </is>
      </c>
      <c r="B35" s="6" t="n">
        <v>0</v>
      </c>
    </row>
    <row r="36">
      <c r="A36" s="5" t="inlineStr">
        <is>
          <t>Chapter Breakthrough: Normal-Monster Weight % (only used when Monster Type = breakthrough)</t>
        </is>
      </c>
      <c r="B36" s="6" t="n">
        <v>60</v>
      </c>
    </row>
    <row r="37">
      <c r="A37" s="5" t="inlineStr">
        <is>
          <t>Max Enemies Actually In Range (normal monsters only; default 999 = uncapped)</t>
        </is>
      </c>
      <c r="B37" s="6" t="n">
        <v>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8" t="inlineStr">
        <is>
          <t>Level</t>
        </is>
      </c>
      <c r="B1" s="8" t="inlineStr">
        <is>
          <t>F0</t>
        </is>
      </c>
      <c r="C1" s="8" t="inlineStr">
        <is>
          <t>F1</t>
        </is>
      </c>
      <c r="D1" s="8" t="inlineStr">
        <is>
          <t>F2</t>
        </is>
      </c>
      <c r="E1" s="8" t="inlineStr">
        <is>
          <t>F3</t>
        </is>
      </c>
      <c r="F1" s="8" t="inlineStr">
        <is>
          <t>F4</t>
        </is>
      </c>
      <c r="G1" s="8" t="inlineStr">
        <is>
          <t>F5</t>
        </is>
      </c>
      <c r="H1" s="8" t="inlineStr">
        <is>
          <t>F6</t>
        </is>
      </c>
      <c r="I1" s="8" t="inlineStr">
        <is>
          <t>F7</t>
        </is>
      </c>
      <c r="J1" s="8" t="inlineStr">
        <is>
          <t>F8</t>
        </is>
      </c>
      <c r="K1" s="8" t="inlineStr">
        <is>
          <t>F9</t>
        </is>
      </c>
      <c r="L1" s="8" t="inlineStr">
        <is>
          <t>F10</t>
        </is>
      </c>
      <c r="M1" s="8" t="inlineStr">
        <is>
          <t>F11</t>
        </is>
      </c>
      <c r="N1" s="8" t="inlineStr">
        <is>
          <t>F12</t>
        </is>
      </c>
      <c r="O1" s="8" t="inlineStr">
        <is>
          <t>F13</t>
        </is>
      </c>
      <c r="P1" s="8" t="inlineStr">
        <is>
          <t>F14</t>
        </is>
      </c>
      <c r="Q1" s="8" t="inlineStr">
        <is>
          <t>F15</t>
        </is>
      </c>
      <c r="R1" s="8" t="inlineStr">
        <is>
          <t>F16</t>
        </is>
      </c>
      <c r="S1" s="8" t="inlineStr">
        <is>
          <t>F17</t>
        </is>
      </c>
      <c r="T1" s="8" t="inlineStr">
        <is>
          <t>F18</t>
        </is>
      </c>
      <c r="U1" s="8" t="inlineStr">
        <is>
          <t>F19</t>
        </is>
      </c>
      <c r="V1" s="8" t="inlineStr">
        <is>
          <t>F20</t>
        </is>
      </c>
      <c r="W1" s="8" t="inlineStr">
        <is>
          <t>F21</t>
        </is>
      </c>
      <c r="X1" s="8" t="inlineStr">
        <is>
          <t>F22</t>
        </is>
      </c>
      <c r="Y1" s="8"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3"/>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8" customWidth="1" min="3" max="3"/>
    <col width="11" customWidth="1" min="4" max="4"/>
    <col width="15" customWidth="1" min="5" max="5"/>
    <col width="13" customWidth="1" min="6" max="6"/>
    <col width="8" customWidth="1" min="7" max="7"/>
    <col width="15" customWidth="1" min="8" max="8"/>
    <col width="11" customWidth="1" min="9" max="9"/>
    <col width="12" customWidth="1" min="10" max="10"/>
    <col width="18" customWidth="1" min="11" max="11"/>
    <col width="11" customWidth="1" min="12" max="12"/>
    <col width="14" customWidth="1" min="13" max="13"/>
    <col width="17" customWidth="1" min="14" max="14"/>
    <col width="16" customWidth="1" min="15" max="15"/>
    <col width="18" customWidth="1" min="16" max="16"/>
    <col width="20" customWidth="1" min="17" max="17"/>
    <col width="16" customWidth="1" min="18" max="18"/>
    <col width="15" customWidth="1" min="19" max="19"/>
    <col width="20" customWidth="1" min="20" max="20"/>
    <col width="20" customWidth="1" min="21" max="21"/>
    <col width="8" customWidth="1" min="22" max="22"/>
    <col width="60" customWidth="1" min="23" max="23"/>
  </cols>
  <sheetData>
    <row r="1">
      <c r="A1" s="8" t="inlineStr">
        <is>
          <t>Key</t>
        </is>
      </c>
      <c r="B1" s="8" t="inlineStr">
        <is>
          <t>Name</t>
        </is>
      </c>
      <c r="C1" s="8" t="inlineStr">
        <is>
          <t>JobStep</t>
        </is>
      </c>
      <c r="D1" s="8" t="inlineStr">
        <is>
          <t>Cooldown(s)</t>
        </is>
      </c>
      <c r="E1" s="8" t="inlineStr">
        <is>
          <t>CostsActionSlot</t>
        </is>
      </c>
      <c r="F1" s="8" t="inlineStr">
        <is>
          <t>HitsPerCast</t>
        </is>
      </c>
      <c r="G1" s="8" t="inlineStr">
        <is>
          <t>ICD(s)</t>
        </is>
      </c>
      <c r="H1" s="8" t="inlineStr">
        <is>
          <t>ActiveWindow(s)</t>
        </is>
      </c>
      <c r="I1" s="8" t="inlineStr">
        <is>
          <t>ProcChance%</t>
        </is>
      </c>
      <c r="J1" s="8" t="inlineStr">
        <is>
          <t>RollsPerCast</t>
        </is>
      </c>
      <c r="K1" s="8" t="inlineStr">
        <is>
          <t>BaseDamage(tenths%)</t>
        </is>
      </c>
      <c r="L1" s="8" t="inlineStr">
        <is>
          <t>FactorIndex</t>
        </is>
      </c>
      <c r="M1" s="8" t="inlineStr">
        <is>
          <t>ScalesWithLevel</t>
        </is>
      </c>
      <c r="N1" s="8" t="inlineStr">
        <is>
          <t>SkillMasteryBonus%</t>
        </is>
      </c>
      <c r="O1" s="8" t="inlineStr">
        <is>
          <t>MasteryBossDamage%</t>
        </is>
      </c>
      <c r="P1" s="8" t="inlineStr">
        <is>
          <t>MasteryNormalDamage%</t>
        </is>
      </c>
      <c r="Q1" s="8" t="inlineStr">
        <is>
          <t>NormalMonsterTargets</t>
        </is>
      </c>
      <c r="R1" s="8" t="inlineStr">
        <is>
          <t>BuffTargetStat</t>
        </is>
      </c>
      <c r="S1" s="8" t="inlineStr">
        <is>
          <t>BuffDuration(s)</t>
        </is>
      </c>
      <c r="T1" s="8" t="inlineStr">
        <is>
          <t>MapleHeroBase(tenths%)</t>
        </is>
      </c>
      <c r="U1" s="8" t="inlineStr">
        <is>
          <t>MapleHeroFactorIndex</t>
        </is>
      </c>
      <c r="V1" s="8" t="inlineStr">
        <is>
          <t>Stacks</t>
        </is>
      </c>
      <c r="W1" s="8" t="inlineStr">
        <is>
          <t>Note</t>
        </is>
      </c>
    </row>
    <row r="2">
      <c r="A2" t="inlineStr">
        <is>
          <t>CHAIN_LIGHTNING</t>
        </is>
      </c>
      <c r="B2" t="inlineStr">
        <is>
          <t>Chain Lightning</t>
        </is>
      </c>
      <c r="C2" t="n">
        <v>4</v>
      </c>
      <c r="D2" t="inlineStr"/>
      <c r="E2" t="b">
        <v>0</v>
      </c>
      <c r="F2">
        <f>IF(Inputs!$B$3&gt;=136,6,5)</f>
        <v/>
      </c>
      <c r="G2" t="n">
        <v>0</v>
      </c>
      <c r="H2" t="n">
        <v>0</v>
      </c>
      <c r="I2" t="n">
        <v>100</v>
      </c>
      <c r="J2" t="n">
        <v>1</v>
      </c>
      <c r="K2" t="inlineStr"/>
      <c r="L2" t="inlineStr"/>
      <c r="M2" t="b">
        <v>1</v>
      </c>
      <c r="N2">
        <f>SUMPRODUCT((Inputs!$B$3&gt;={102,106,116,120,128,132})*{10,1,1,1,1,1})</f>
        <v/>
      </c>
      <c r="O2">
        <f>SUMPRODUCT((Inputs!$B$3&gt;={111,124})*{10,10})</f>
        <v/>
      </c>
      <c r="P2" t="n">
        <v>0</v>
      </c>
      <c r="Q2">
        <f>6+Inputs!$B$32</f>
        <v/>
      </c>
      <c r="R2" t="inlineStr"/>
      <c r="S2" t="n">
        <v>0</v>
      </c>
      <c r="T2" t="inlineStr"/>
      <c r="U2" t="inlineStr"/>
      <c r="V2" t="inlineStr"/>
      <c r="W2" t="inlineStr">
        <is>
          <t>4th-job basic-attack effect (supersedes Energy Bolt/Cold Beam/Ice Strike, out of scope per the project's job-tier-is-gone convention). Wiki: 290%-&gt;522% (levels 1-200) to 6 target(s) 5 time(s) — factorIndex 21, baseDamage 2900 tenths%, matching Inputs!skill_coefficient (=290*basic_factor/1000) exactly, so this row's own coefficient is just that Inputs value + SkillMasteryBonus% (same mechanism as FP-Mage/Night Lord's own Basic Attack/Showdown rows). SkillMasteryBonus% is the 6-tier 'Chain Lightning - Damage' mastery chain (102/106/116/120/128/132), cumulative totals 10%-&gt;15% per the game's own tooltip convention, so level_gated_sum uses DELTA increments (10, then +1 five times). MasteryBossDamage% is the 2-tier 'Chain Lightning - Boss Monster Damage' chain (111/124), each independently +10%, totaling +20%. HitsPerCast 5-&gt;6 once the level-136 'Strike' mastery unlocks.</t>
        </is>
      </c>
    </row>
    <row r="3">
      <c r="A3" t="inlineStr">
        <is>
          <t>MAGIC_GUARD</t>
        </is>
      </c>
      <c r="B3" t="inlineStr">
        <is>
          <t>Magic Guard</t>
        </is>
      </c>
      <c r="C3" t="n">
        <v>1</v>
      </c>
      <c r="D3">
        <f>IF(Inputs!$B$3&gt;=21,30*0.7,30)</f>
        <v/>
      </c>
      <c r="E3" t="b">
        <v>1</v>
      </c>
      <c r="F3" t="n">
        <v>1</v>
      </c>
      <c r="G3" t="n">
        <v>0</v>
      </c>
      <c r="H3" t="n">
        <v>0</v>
      </c>
      <c r="I3" t="n">
        <v>100</v>
      </c>
      <c r="J3" t="n">
        <v>1</v>
      </c>
      <c r="K3" t="n">
        <v>120</v>
      </c>
      <c r="L3" t="n">
        <v>21</v>
      </c>
      <c r="M3" t="b">
        <v>1</v>
      </c>
      <c r="N3" t="n">
        <v>0</v>
      </c>
      <c r="O3" t="n">
        <v>0</v>
      </c>
      <c r="P3" t="n">
        <v>0</v>
      </c>
      <c r="Q3" t="n">
        <v>1</v>
      </c>
      <c r="R3" t="inlineStr">
        <is>
          <t>ATTACK</t>
        </is>
      </c>
      <c r="S3" t="n">
        <v>15</v>
      </c>
      <c r="T3" t="inlineStr"/>
      <c r="U3" t="inlineStr"/>
      <c r="V3" t="inlineStr"/>
      <c r="W3" t="inlineStr">
        <is>
          <t>Self-buff, +12%-&gt;16.8% Attack (levels 1-100), 15s duration/30s cooldown (Mastery Lv.21 'Magic Guard - Reuse' -30% cooldown -&gt; 21s, baked directly into the Cooldown(s) formula). factorIndex 21, baseDamage 120 tenths%. Shared w/ FP-Mage.</t>
        </is>
      </c>
    </row>
    <row r="4">
      <c r="A4" t="inlineStr">
        <is>
          <t>MEDITATION</t>
        </is>
      </c>
      <c r="B4" t="inlineStr">
        <is>
          <t>Meditation</t>
        </is>
      </c>
      <c r="C4" t="n">
        <v>2</v>
      </c>
      <c r="D4" t="n">
        <v>30</v>
      </c>
      <c r="E4" t="b">
        <v>1</v>
      </c>
      <c r="F4" t="n">
        <v>1</v>
      </c>
      <c r="G4" t="n">
        <v>0</v>
      </c>
      <c r="H4" t="n">
        <v>0</v>
      </c>
      <c r="I4" t="n">
        <v>100</v>
      </c>
      <c r="J4" t="n">
        <v>1</v>
      </c>
      <c r="K4" t="n">
        <v>200</v>
      </c>
      <c r="L4" t="n">
        <v>21</v>
      </c>
      <c r="M4" t="b">
        <v>1</v>
      </c>
      <c r="N4" t="n">
        <v>0</v>
      </c>
      <c r="O4" t="n">
        <v>0</v>
      </c>
      <c r="P4" t="n">
        <v>0</v>
      </c>
      <c r="Q4" t="n">
        <v>1</v>
      </c>
      <c r="R4" t="inlineStr">
        <is>
          <t>ATTACK</t>
        </is>
      </c>
      <c r="S4">
        <f>IF(Inputs!$B$3&gt;=44,15*1.3,15)</f>
        <v/>
      </c>
      <c r="T4" t="inlineStr"/>
      <c r="U4" t="inlineStr"/>
      <c r="V4" t="inlineStr"/>
      <c r="W4" t="inlineStr">
        <is>
          <t>Self-buff, +20%-&gt;28% Attack (levels 1-100), 15s duration (Mastery Lv.44 'Meditation - Persistence' +30% duration -&gt; 19.5s, baked directly into the BuffDuration(s) formula), 30s cooldown. factorIndex 21, baseDamage 200 tenths%. Shared w/ FP-Mage.</t>
        </is>
      </c>
    </row>
    <row r="5">
      <c r="A5" t="inlineStr">
        <is>
          <t>THUNDER_BOLT</t>
        </is>
      </c>
      <c r="B5" t="inlineStr">
        <is>
          <t>Thunder Bolt</t>
        </is>
      </c>
      <c r="C5" t="n">
        <v>2</v>
      </c>
      <c r="D5" t="n">
        <v>18</v>
      </c>
      <c r="E5" t="b">
        <v>1</v>
      </c>
      <c r="F5" t="n">
        <v>3</v>
      </c>
      <c r="G5" t="n">
        <v>0</v>
      </c>
      <c r="H5" t="n">
        <v>0</v>
      </c>
      <c r="I5" t="n">
        <v>100</v>
      </c>
      <c r="J5" t="n">
        <v>1</v>
      </c>
      <c r="K5" t="n">
        <v>1800</v>
      </c>
      <c r="L5" t="n">
        <v>12</v>
      </c>
      <c r="M5" t="b">
        <v>1</v>
      </c>
      <c r="N5">
        <f>SUMPRODUCT((Inputs!$B$3&gt;={39})*{70})</f>
        <v/>
      </c>
      <c r="O5" t="n">
        <v>0</v>
      </c>
      <c r="P5" t="n">
        <v>0</v>
      </c>
      <c r="Q5" t="n">
        <v>8</v>
      </c>
      <c r="R5" t="inlineStr"/>
      <c r="S5" t="n">
        <v>0</v>
      </c>
      <c r="T5" t="n">
        <v>1000</v>
      </c>
      <c r="U5" t="n">
        <v>23</v>
      </c>
      <c r="V5" t="inlineStr"/>
      <c r="W5" t="inlineStr">
        <is>
          <t>Wiki: 180%-&gt;270% (levels 1-100) to 8 target(s) 3 time(s), cooldown 18s. factorIndex 12, baseDamage 1800 tenths%. Mastery Lv.39 'Thunder Bolt - Damage' +70% (single-tier, real SkillMasteryBonus%). Maple Hero (Ice/Lightning) target: 100%-&gt;780% (levels 1-200), factorIndex 23, baseDamage 1000 tenths% (jointly reverse-engineered with Glacier Wall's and Thunder Sphere's own Maple Hero curves, confirmed same factorIndex).</t>
        </is>
      </c>
    </row>
    <row r="6">
      <c r="A6" t="inlineStr">
        <is>
          <t>GLACIER_WALL</t>
        </is>
      </c>
      <c r="B6" t="inlineStr">
        <is>
          <t>Glacier Wall</t>
        </is>
      </c>
      <c r="C6" t="n">
        <v>3</v>
      </c>
      <c r="D6">
        <f>IF(Inputs!$B$3&gt;=90,22*0.7,22)</f>
        <v/>
      </c>
      <c r="E6" t="b">
        <v>1</v>
      </c>
      <c r="F6" t="n">
        <v>3</v>
      </c>
      <c r="G6" t="n">
        <v>0</v>
      </c>
      <c r="H6" t="n">
        <v>0</v>
      </c>
      <c r="I6" t="n">
        <v>100</v>
      </c>
      <c r="J6" t="n">
        <v>1</v>
      </c>
      <c r="K6" t="n">
        <v>2900</v>
      </c>
      <c r="L6" t="n">
        <v>12</v>
      </c>
      <c r="M6" t="b">
        <v>1</v>
      </c>
      <c r="N6">
        <f>SUMPRODUCT((Inputs!$B$3&gt;={68})*{80})</f>
        <v/>
      </c>
      <c r="O6" t="n">
        <v>0</v>
      </c>
      <c r="P6" t="n">
        <v>0</v>
      </c>
      <c r="Q6" t="n">
        <v>8</v>
      </c>
      <c r="R6" t="inlineStr"/>
      <c r="S6" t="n">
        <v>0</v>
      </c>
      <c r="T6" t="n">
        <v>300</v>
      </c>
      <c r="U6" t="n">
        <v>23</v>
      </c>
      <c r="V6" t="inlineStr"/>
      <c r="W6" t="inlineStr">
        <is>
          <t>Wiki: 290%-&gt;580% (levels 1-200) to 8 target(s) 3 time(s), freezing them for 2s (freeze not modeled — no CC mechanic anywhere in this calculator), cooldown 22s. factorIndex 12, baseDamage 2900 tenths%. Mastery Lv.68 'Glacier Wall - Damage' +80% (real SkillMasteryBonus%), Lv.90 'Glacier Wall - Reuse' -30% cooldown -&gt; 15.4s (baked into the Cooldown(s) formula). Maple Hero target: 30%-&gt;234% (levels 1-200), factorIndex 23, baseDamage 300 tenths%.</t>
        </is>
      </c>
    </row>
    <row r="7">
      <c r="A7" t="inlineStr">
        <is>
          <t>THUNDER_SPHERE</t>
        </is>
      </c>
      <c r="B7" t="inlineStr">
        <is>
          <t>Thunder Sphere</t>
        </is>
      </c>
      <c r="C7" t="n">
        <v>3</v>
      </c>
      <c r="D7">
        <f>IF(Inputs!$B$3&gt;=78,30*0.7,30)</f>
        <v/>
      </c>
      <c r="E7" t="b">
        <v>1</v>
      </c>
      <c r="F7" t="n">
        <v>3</v>
      </c>
      <c r="G7">
        <f>IF(Inputs!$B$3&gt;=104,2*0.7,2)</f>
        <v/>
      </c>
      <c r="H7" t="n">
        <v>10</v>
      </c>
      <c r="I7" t="n">
        <v>100</v>
      </c>
      <c r="J7" t="n">
        <v>1</v>
      </c>
      <c r="K7" t="n">
        <v>1000</v>
      </c>
      <c r="L7" t="n">
        <v>12</v>
      </c>
      <c r="M7" t="b">
        <v>1</v>
      </c>
      <c r="N7">
        <f>SUMPRODUCT((Inputs!$B$3&gt;={73})*{50})</f>
        <v/>
      </c>
      <c r="O7" t="n">
        <v>0</v>
      </c>
      <c r="P7">
        <f>150+SUMPRODUCT((Inputs!$B$3&gt;={94})*{100})</f>
        <v/>
      </c>
      <c r="Q7" t="n">
        <v>6</v>
      </c>
      <c r="R7" t="inlineStr"/>
      <c r="S7" t="n">
        <v>0</v>
      </c>
      <c r="T7" t="n">
        <v>200</v>
      </c>
      <c r="U7" t="n">
        <v>23</v>
      </c>
      <c r="V7" t="inlineStr"/>
      <c r="W7" t="inlineStr">
        <is>
          <t>Wiki: 100%-&gt;200% (levels 1-200) to 6 target(s) 3 time(s) every 2s, for a 10s duration, cooldown 30s. factorIndex 12, baseDamage 1000 tenths%. Skill-intrinsic (unconditional, NOT mastery-gated) +150% Normal Monster Damage baked directly into this row's own MasteryNormalDamage% field, PLUS Mastery Lv.94's +100%p on top (so the field itself is '150 + level_gated_sum'). Mastery Lv.73 'Thunder Sphere - Damage' +50% (real SkillMasteryBonus%), Lv.78 'Thunder Sphere - Reuse' -30% cooldown -&gt; 21s, Lv.104 'Thunder Sphere - Strike Interval' -30% tick interval (2s-&gt;1.4s, baked into the ICD(s) formula). Maple Hero target: 20%-&gt;200% (levels 1-200), factorIndex 23, baseDamage 200 tenths%.</t>
        </is>
      </c>
    </row>
    <row r="8">
      <c r="A8" t="inlineStr">
        <is>
          <t>FREEZING_BREATH</t>
        </is>
      </c>
      <c r="B8" t="inlineStr">
        <is>
          <t>Freezing Breath</t>
        </is>
      </c>
      <c r="C8" t="n">
        <v>4</v>
      </c>
      <c r="D8" t="n">
        <v>40</v>
      </c>
      <c r="E8" t="b">
        <v>1</v>
      </c>
      <c r="F8" t="n">
        <v>1</v>
      </c>
      <c r="G8" t="n">
        <v>0.5</v>
      </c>
      <c r="H8" t="n">
        <v>5</v>
      </c>
      <c r="I8" t="n">
        <v>100</v>
      </c>
      <c r="J8" t="n">
        <v>1</v>
      </c>
      <c r="K8" t="n">
        <v>8000</v>
      </c>
      <c r="L8" t="n">
        <v>12</v>
      </c>
      <c r="M8" t="b">
        <v>1</v>
      </c>
      <c r="N8">
        <f>SUMPRODUCT((Inputs!$B$3&gt;={108})*{50})</f>
        <v/>
      </c>
      <c r="O8" t="n">
        <v>0</v>
      </c>
      <c r="P8" t="n">
        <v>0</v>
      </c>
      <c r="Q8" t="n">
        <v>10</v>
      </c>
      <c r="R8" t="inlineStr"/>
      <c r="S8" t="n">
        <v>0</v>
      </c>
      <c r="T8" t="inlineStr"/>
      <c r="U8" t="inlineStr"/>
      <c r="V8" t="inlineStr"/>
      <c r="W8" t="inlineStr">
        <is>
          <t>Wiki: 800%-&gt;1600% (levels 1-200) to 10 target(s) every 0.5s for a 5s duration, cooldown 45s (patched -&gt; 40s, Aug 13 2026 patch note — the wiki page itself is stale). factorIndex 12, baseDamage 8000 tenths%. EffectiveHits = 1*(5/0.5) = 10 ticks per cast. Mastery Lv.108 'Freezing Breath - Damage' +50% (real SkillMasteryBonus%). Mastery Lv.118 'Freezing Breath - Weaken' (+15% Damage Taken debuff, 30s) is NOT part of this row — it's a separate global Summary-sheet duty-cycle-averaged monster-damage bonus (see build_summary_sheet, mirrors Night Lord's Venom Lv.82/Frailty Curse Debuff precedent), added in a later build stage.</t>
        </is>
      </c>
    </row>
    <row r="9">
      <c r="A9" t="inlineStr">
        <is>
          <t>BLIZZARD</t>
        </is>
      </c>
      <c r="B9" t="inlineStr">
        <is>
          <t>Blizzard</t>
        </is>
      </c>
      <c r="C9" t="n">
        <v>4</v>
      </c>
      <c r="D9" t="n">
        <v>33</v>
      </c>
      <c r="E9" t="b">
        <v>1</v>
      </c>
      <c r="F9" t="n">
        <v>3</v>
      </c>
      <c r="G9" t="n">
        <v>0</v>
      </c>
      <c r="H9" t="n">
        <v>0</v>
      </c>
      <c r="I9" t="n">
        <v>100</v>
      </c>
      <c r="J9" t="n">
        <v>1</v>
      </c>
      <c r="K9" t="n">
        <v>6000</v>
      </c>
      <c r="L9" t="n">
        <v>12</v>
      </c>
      <c r="M9" t="b">
        <v>1</v>
      </c>
      <c r="N9">
        <f>SUMPRODUCT((Inputs!$B$3&gt;={130})*{40})</f>
        <v/>
      </c>
      <c r="O9" t="n">
        <v>0</v>
      </c>
      <c r="P9" t="n">
        <v>0</v>
      </c>
      <c r="Q9" t="n">
        <v>7</v>
      </c>
      <c r="R9" t="inlineStr"/>
      <c r="S9" t="n">
        <v>0</v>
      </c>
      <c r="T9" t="inlineStr"/>
      <c r="U9" t="inlineStr"/>
      <c r="V9" t="inlineStr"/>
      <c r="W9" t="inlineStr">
        <is>
          <t>Wiki: 600%-&gt;1200% (levels 1-200) to 5 target(s) 3 time(s) (patched targets 5-&gt;7, Aug 13 2026 patch note — the wiki page is stale), cooldown 33s. factorIndex 12, baseDamage 6000 tenths%. Mastery Lv.130 (corrected name/description pairing — wiki mismatch resolved via content-matching, see the plan) 'Blizzard - Damage' +40% flat (real SkillMasteryBonus%). Mastery Lv.113 'Blizzard - Final Attack' is its own separate proc row, see BLIZZARD_FINAL_ATTACK below, not part of this row's own fields.</t>
        </is>
      </c>
    </row>
    <row r="10">
      <c r="A10" t="inlineStr">
        <is>
          <t>BLIZZARD_FINAL_ATTACK</t>
        </is>
      </c>
      <c r="B10" t="inlineStr">
        <is>
          <t>Blizzard - Final Attack (Mastery Lv.113)</t>
        </is>
      </c>
      <c r="C10" t="n">
        <v>4</v>
      </c>
      <c r="D10">
        <f>Skills!D9</f>
        <v/>
      </c>
      <c r="E10" t="b">
        <v>0</v>
      </c>
      <c r="F10" t="n">
        <v>1</v>
      </c>
      <c r="G10" t="n">
        <v>0</v>
      </c>
      <c r="H10" t="n">
        <v>0</v>
      </c>
      <c r="I10" t="n">
        <v>30</v>
      </c>
      <c r="J10" t="n">
        <v>3</v>
      </c>
      <c r="K10" t="n">
        <v>9500</v>
      </c>
      <c r="L10" t="n">
        <v>21</v>
      </c>
      <c r="M10" t="b">
        <v>1</v>
      </c>
      <c r="N10" t="n">
        <v>0</v>
      </c>
      <c r="O10" t="n">
        <v>0</v>
      </c>
      <c r="P10" t="n">
        <v>0</v>
      </c>
      <c r="Q10" t="n">
        <v>1</v>
      </c>
      <c r="R10" t="inlineStr"/>
      <c r="S10" t="n">
        <v>0</v>
      </c>
      <c r="T10" t="inlineStr"/>
      <c r="U10" t="inlineStr"/>
      <c r="V10" t="inlineStr"/>
      <c r="W10" t="inlineStr">
        <is>
          <t>Standalone proc row, mirrors FP-Mage's own METEOR_PROC row structure but simpler: procs only off Blizzard's own casts (per the wiki's own '[Blizzard in Slot] When attacking, deals...' phrasing — self-contained, not a multi-skill trigger set), so it shares Blizzard's own live Cooldown(s) cell directly instead of needing an external combined-cast-rate formula. Wiki formula ({#expr:750*(1+x*0.004)}%, patched base 750-&gt;950%, chance 20%-&gt;30%): reverse-engineered as factorIndex 21, baseDamage 9500 tenths% (950%, already the patched value). RollsPerCast=3 (Blizzard's own 3 hits, each an independent 30% roll -&gt; ProcProbability = 1-(1-0.3)^3 = 65.7% chance per Blizzard cast), ICD(s)=0 (already capped to at most one proc per Blizzard cast via HitsPerCast=1, no further ICD needed). Single-target (NormalMonsterTargets=1), matching FP-Mage's own Meteor Proc precedent for an 'additional damage on a hit' style proc, absent any wiki text specifying a target count of its own.</t>
        </is>
      </c>
    </row>
    <row r="11">
      <c r="A11" t="inlineStr">
        <is>
          <t>FROZEN_ORB</t>
        </is>
      </c>
      <c r="B11" t="inlineStr">
        <is>
          <t>Frozen Orb</t>
        </is>
      </c>
      <c r="C11" t="n">
        <v>4</v>
      </c>
      <c r="D11" t="n">
        <v>23</v>
      </c>
      <c r="E11" t="b">
        <v>1</v>
      </c>
      <c r="F11" t="n">
        <v>1</v>
      </c>
      <c r="G11">
        <f>IF(Inputs!$B$3&gt;=134,0.5*0.5,0.5)</f>
        <v/>
      </c>
      <c r="H11" t="n">
        <v>6</v>
      </c>
      <c r="I11" t="n">
        <v>100</v>
      </c>
      <c r="J11" t="n">
        <v>1</v>
      </c>
      <c r="K11" t="n">
        <v>9000</v>
      </c>
      <c r="L11" t="n">
        <v>12</v>
      </c>
      <c r="M11" t="b">
        <v>1</v>
      </c>
      <c r="N11">
        <f>SUMPRODUCT((Inputs!$B$3&gt;={122})*{50})</f>
        <v/>
      </c>
      <c r="O11" t="n">
        <v>0</v>
      </c>
      <c r="P11" t="n">
        <v>0</v>
      </c>
      <c r="Q11" t="n">
        <v>10</v>
      </c>
      <c r="R11" t="inlineStr"/>
      <c r="S11" t="n">
        <v>0</v>
      </c>
      <c r="T11" t="inlineStr"/>
      <c r="U11" t="inlineStr"/>
      <c r="V11" t="inlineStr"/>
      <c r="W11" t="inlineStr">
        <is>
          <t>Wiki: 900%-&gt;1800% (levels 1-200) to 10 target(s) every 0.5s for a 5s duration (patched -&gt; 6s, Aug 13 2026 patch note), cooldown 23s. factorIndex 12, baseDamage 9000 tenths%. 'If there is 1 target near the orb, the damage is halved' — a single-target (boss) halving mechanic implemented ONLY in this row's own Calc!O (DPS) formula in a later build stage (x0.5 when monster_type=boss, x1 otherwise), not a Skills-sheet field. Mastery Lv.122 'Frozen Orb - Damage' +50% (real SkillMasteryBonus%), Lv.134 (corrected name/description pairing) 'Frozen Orb - Strike Interval' -50% tick interval (0.5s-&gt;0.25s, baked into the ICD(s) formula).</t>
        </is>
      </c>
    </row>
    <row r="12">
      <c r="A12" t="inlineStr">
        <is>
          <t>ELQUINES</t>
        </is>
      </c>
      <c r="B12" t="inlineStr">
        <is>
          <t>Elquines</t>
        </is>
      </c>
      <c r="C12" t="n">
        <v>4</v>
      </c>
      <c r="D12" t="n">
        <v>80</v>
      </c>
      <c r="E12" t="b">
        <v>1</v>
      </c>
      <c r="F12" t="n">
        <v>1</v>
      </c>
      <c r="G12">
        <f>IF(Inputs!$B$3&gt;=126,4*0.8,4)</f>
        <v/>
      </c>
      <c r="H12" t="n">
        <v>30</v>
      </c>
      <c r="I12" t="n">
        <v>100</v>
      </c>
      <c r="J12" t="n">
        <v>1</v>
      </c>
      <c r="K12" t="n">
        <v>35000</v>
      </c>
      <c r="L12" t="n">
        <v>12</v>
      </c>
      <c r="M12" t="b">
        <v>1</v>
      </c>
      <c r="N12">
        <f>SUMPRODUCT((Inputs!$B$3&gt;={138})*{50})</f>
        <v/>
      </c>
      <c r="O12" t="n">
        <v>0</v>
      </c>
      <c r="P12" t="n">
        <v>0</v>
      </c>
      <c r="Q12">
        <f>IF(Inputs!$B$3&gt;=138,6,3)</f>
        <v/>
      </c>
      <c r="R12" t="inlineStr"/>
      <c r="S12" t="n">
        <v>0</v>
      </c>
      <c r="T12" t="inlineStr"/>
      <c r="U12" t="inlineStr"/>
      <c r="V12" t="inlineStr"/>
      <c r="W12" t="inlineStr">
        <is>
          <t>Summon, wiki: 3500%-&gt;7000% (levels 1-200) to 3 target(s) every 4s for a 30s duration, cooldown 80s. factorIndex 12, baseDamage 35000 tenths%. Mastery Lv.126 (corrected name/description pairing, user-confirmed 20% not the wiki's typo'd 0.2%) 'Elquines - Strike Interval' -20% attack interval (4s-&gt;3.2s, baked into the ICD(s) formula), Lv.138 'Elquines - Damage &amp; Target' +50% damage (real SkillMasteryBonus%) AND +3 max targets (3-&gt;6, baked into the NormalMonsterTargets formula).</t>
        </is>
      </c>
    </row>
    <row r="13">
      <c r="A13" t="inlineStr">
        <is>
          <t>MP_EATER_MP_BOOST</t>
        </is>
      </c>
      <c r="B13" t="inlineStr">
        <is>
          <t>MP Eater - MP Boost (Mastery Lv.49)</t>
        </is>
      </c>
      <c r="C13" t="n">
        <v>2</v>
      </c>
      <c r="D13" t="inlineStr"/>
      <c r="E13" t="b">
        <v>0</v>
      </c>
      <c r="F13" t="n">
        <v>1</v>
      </c>
      <c r="G13" t="n">
        <v>0</v>
      </c>
      <c r="H13" t="n">
        <v>0</v>
      </c>
      <c r="I13" t="n">
        <v>100</v>
      </c>
      <c r="J13" t="n">
        <v>1</v>
      </c>
      <c r="K13" t="n">
        <v>70</v>
      </c>
      <c r="L13" t="n">
        <v>0</v>
      </c>
      <c r="M13" t="b">
        <v>0</v>
      </c>
      <c r="N13" t="n">
        <v>0</v>
      </c>
      <c r="O13" t="n">
        <v>0</v>
      </c>
      <c r="P13" t="n">
        <v>0</v>
      </c>
      <c r="Q13" t="n">
        <v>1</v>
      </c>
      <c r="R13" t="inlineStr"/>
      <c r="S13" t="n">
        <v>0</v>
      </c>
      <c r="T13" t="inlineStr"/>
      <c r="U13" t="inlineStr"/>
      <c r="V13" t="inlineStr"/>
      <c r="W13" t="inlineStr">
        <is>
          <t>Mastery-only row (MP Eater's own base MP-recovery mechanic is not modeled — MP isn't tracked anywhere in this calculator). Flat +7% Attack Speed once unlocked (level 49, see UNLOCK_LEVEL's own note on the 47-vs-49 discrepancy), ignoring the MP&gt;=50% condition per the user's always-on decision (same treatment as Element Amplification). This IS a real, always-on contributor (NOT baked into Inputs, unlike the Magic-Critical-pattern rows below) — folds into the Attack Speed diminishing-returns stack in Summary once unlocked, with no uptime averaging (it's a permanent passive, not a timed buff — BuffTargetStat deliberately left blank so the generic buff-uptime machinery doesn't try to average it; Summary reads this row's Calc!F and Calc!C directly instead). FactorIndex is an unused placeholder (ScalesWithLevel=False), same convention as Nimble Feet's own non-scaling row in FP-Mage/Night Lord.</t>
        </is>
      </c>
    </row>
    <row r="14">
      <c r="A14" t="inlineStr">
        <is>
          <t>ELEMENTAL_RESET</t>
        </is>
      </c>
      <c r="B14" t="inlineStr">
        <is>
          <t>Elemental Reset</t>
        </is>
      </c>
      <c r="C14" t="n">
        <v>3</v>
      </c>
      <c r="D14" t="inlineStr"/>
      <c r="E14" t="b">
        <v>0</v>
      </c>
      <c r="F14" t="n">
        <v>1</v>
      </c>
      <c r="G14" t="n">
        <v>0</v>
      </c>
      <c r="H14" t="n">
        <v>0</v>
      </c>
      <c r="I14">
        <f>IF(Inputs!$B$3&gt;=82,50,25)</f>
        <v/>
      </c>
      <c r="J14" t="n">
        <v>1</v>
      </c>
      <c r="K14" t="n">
        <v>120</v>
      </c>
      <c r="L14" t="n">
        <v>22</v>
      </c>
      <c r="M14" t="b">
        <v>1</v>
      </c>
      <c r="N14" t="n">
        <v>0</v>
      </c>
      <c r="O14" t="n">
        <v>0</v>
      </c>
      <c r="P14" t="n">
        <v>0</v>
      </c>
      <c r="Q14" t="n">
        <v>1</v>
      </c>
      <c r="R14" t="inlineStr"/>
      <c r="S14" t="n">
        <v>7</v>
      </c>
      <c r="T14" t="inlineStr"/>
      <c r="U14" t="inlineStr"/>
      <c r="V14" t="inlineStr"/>
      <c r="W14" t="inlineStr">
        <is>
          <t>User-confirmed: this is the patch note's 'Elemental Decrease' entry (patched base chance 20%-&gt;25%, base Damage Taken 10%-&gt;12% — the wiki's own 10%-&gt;16% curve rescaled by the patch's 12/10=1.2x factor, giving the reverse-engineered factorIndex 22/baseDamage 120 used here, which already reflects the patched 12%-&gt;19.2% curve). Mastery Lv.82 'Elemental Reset - Chance' doubles the PATCHED chance (25%-&gt;50%, NOT the stale wiki 20%-&gt;40%). Modeled always-on (100% uptime), same precedent as FP-Mage's own Elemental Decrease — ProcChance%/BuffDuration(s) here are reference-only, they do not feed the Summary formula (which instead just adds Calc!F/100 as an unconditional multiplier).</t>
        </is>
      </c>
    </row>
    <row r="15">
      <c r="A15" t="inlineStr">
        <is>
          <t>ELEMENT_AMPLIFICATION</t>
        </is>
      </c>
      <c r="B15" t="inlineStr">
        <is>
          <t>Element Amplification</t>
        </is>
      </c>
      <c r="C15" t="n">
        <v>3</v>
      </c>
      <c r="D15" t="inlineStr"/>
      <c r="E15" t="b">
        <v>0</v>
      </c>
      <c r="F15" t="n">
        <v>1</v>
      </c>
      <c r="G15" t="n">
        <v>0</v>
      </c>
      <c r="H15" t="n">
        <v>0</v>
      </c>
      <c r="I15" t="n">
        <v>100</v>
      </c>
      <c r="J15" t="n">
        <v>1</v>
      </c>
      <c r="K15" t="n">
        <v>150</v>
      </c>
      <c r="L15" t="n">
        <v>22</v>
      </c>
      <c r="M15" t="b">
        <v>1</v>
      </c>
      <c r="N15" t="n">
        <v>0</v>
      </c>
      <c r="O15" t="n">
        <v>0</v>
      </c>
      <c r="P15" t="n">
        <v>0</v>
      </c>
      <c r="Q15" t="n">
        <v>1</v>
      </c>
      <c r="R15" t="inlineStr">
        <is>
          <t>FINAL_DAMAGE</t>
        </is>
      </c>
      <c r="S15" t="n">
        <v>0</v>
      </c>
      <c r="T15" t="inlineStr"/>
      <c r="U15" t="inlineStr"/>
      <c r="V15" t="inlineStr"/>
      <c r="W15" t="inlineStr">
        <is>
          <t>Wiki: +15%-&gt;24% Final Damage (levels 1-200), unconditional (ignore the MP&gt;=50% condition and MP-cost increase per the user's decision, matching FP-Mage's own established treatment of this exact shared-kit passive). factorIndex 22, baseDamage 150 tenths%. Not reflected anywhere in Inputs — added directly into the Final Damage chain (multiplied in, same as Arcane Aim/Element Amplification are combined in FP-Mage) in a later build stage.</t>
        </is>
      </c>
    </row>
    <row r="16">
      <c r="A16" t="inlineStr">
        <is>
          <t>INFINITY</t>
        </is>
      </c>
      <c r="B16" t="inlineStr">
        <is>
          <t>Infinity</t>
        </is>
      </c>
      <c r="C16" t="n">
        <v>4</v>
      </c>
      <c r="D16" t="n">
        <v>30</v>
      </c>
      <c r="E16" t="b">
        <v>1</v>
      </c>
      <c r="F16" t="n">
        <v>1</v>
      </c>
      <c r="G16" t="n">
        <v>0</v>
      </c>
      <c r="H16" t="n">
        <v>0</v>
      </c>
      <c r="I16" t="n">
        <v>100</v>
      </c>
      <c r="J16" t="n">
        <v>1</v>
      </c>
      <c r="K16" t="n">
        <v>150</v>
      </c>
      <c r="L16" t="n">
        <v>21</v>
      </c>
      <c r="M16" t="b">
        <v>1</v>
      </c>
      <c r="N16" t="n">
        <v>0</v>
      </c>
      <c r="O16" t="n">
        <v>0</v>
      </c>
      <c r="P16" t="n">
        <v>0</v>
      </c>
      <c r="Q16" t="n">
        <v>1</v>
      </c>
      <c r="R16" t="inlineStr">
        <is>
          <t>FINAL_DAMAGE</t>
        </is>
      </c>
      <c r="S16" t="n">
        <v>15</v>
      </c>
      <c r="T16" t="inlineStr"/>
      <c r="U16" t="inlineStr"/>
      <c r="V16" t="inlineStr"/>
      <c r="W16" t="inlineStr">
        <is>
          <t>Wiki: base +15%-&gt;27% Final Damage for 15s, ADDITIONALLY +1%-&gt;1.8% per second, stacking up to 10 times (levels 1-200), cooldown 30s. Both curves reverse-engineered independently: base factorIndex 21/baseDamage 150 tenths%, increment factorIndex 21/baseDamage 10 tenths% — the increment is EXACTLY base/15 at every sampled level (zero residual error), confirming the ramp is a fixed fraction of the base, not an independently-scaled curve. Time-averaged stacks over the 15s window = (0+1+...+9+10*5)/15 = 6.3333, so the time-averaged total = base*(1+6.3333/15) = base*64/45 exactly. This row's own Calc!F needs a BESPOKE formula in build_calc_sheet (base_pct * 64/45, using the single factorIndex-21 lookup for 'base_pct') instead of the generic F-column formula every other row uses — flagged here so the Calc-sheet build stage doesn't miss it.</t>
        </is>
      </c>
    </row>
    <row r="17">
      <c r="A17" t="inlineStr">
        <is>
          <t>MAGIC_ACCELERATION</t>
        </is>
      </c>
      <c r="B17" t="inlineStr">
        <is>
          <t>Magic Acceleration</t>
        </is>
      </c>
      <c r="C17" t="n">
        <v>2</v>
      </c>
      <c r="D17" t="inlineStr"/>
      <c r="E17" t="b">
        <v>0</v>
      </c>
      <c r="F17" t="n">
        <v>1</v>
      </c>
      <c r="G17" t="n">
        <v>0</v>
      </c>
      <c r="H17" t="n">
        <v>0</v>
      </c>
      <c r="I17" t="n">
        <v>100</v>
      </c>
      <c r="J17" t="n">
        <v>1</v>
      </c>
      <c r="K17" t="n">
        <v>50</v>
      </c>
      <c r="L17" t="n">
        <v>22</v>
      </c>
      <c r="M17" t="b">
        <v>1</v>
      </c>
      <c r="N17" t="n">
        <v>0</v>
      </c>
      <c r="O17" t="n">
        <v>0</v>
      </c>
      <c r="P17" t="n">
        <v>0</v>
      </c>
      <c r="Q17" t="n">
        <v>1</v>
      </c>
      <c r="R17" t="inlineStr">
        <is>
          <t>ATTACK_SPEED</t>
        </is>
      </c>
      <c r="S17" t="n">
        <v>0</v>
      </c>
      <c r="T17" t="inlineStr"/>
      <c r="U17" t="inlineStr"/>
      <c r="V17" t="inlineStr"/>
      <c r="W17" t="inlineStr">
        <is>
          <t>Permanent passive, +5%-&gt;6.5% Attack Speed (levels 1-100) — Magic Critical pattern, already baked into Inputs!ATTACK_SPEED%; this row only feeds the 2nd-Job Skill Level Bonus Sensitivity delta. factorIndex 22, baseDamage 50 tenths%.</t>
        </is>
      </c>
    </row>
    <row r="18">
      <c r="A18" t="inlineStr">
        <is>
          <t>SPELL_MASTERY</t>
        </is>
      </c>
      <c r="B18" t="inlineStr">
        <is>
          <t>Spell Mastery</t>
        </is>
      </c>
      <c r="C18" t="n">
        <v>2</v>
      </c>
      <c r="D18" t="inlineStr"/>
      <c r="E18" t="b">
        <v>0</v>
      </c>
      <c r="F18" t="n">
        <v>1</v>
      </c>
      <c r="G18" t="n">
        <v>0</v>
      </c>
      <c r="H18" t="n">
        <v>0</v>
      </c>
      <c r="I18" t="n">
        <v>100</v>
      </c>
      <c r="J18" t="n">
        <v>1</v>
      </c>
      <c r="K18" t="n">
        <v>150</v>
      </c>
      <c r="L18" t="n">
        <v>22</v>
      </c>
      <c r="M18" t="b">
        <v>1</v>
      </c>
      <c r="N18" t="n">
        <v>0</v>
      </c>
      <c r="O18" t="n">
        <v>0</v>
      </c>
      <c r="P18" t="n">
        <v>0</v>
      </c>
      <c r="Q18" t="n">
        <v>1</v>
      </c>
      <c r="R18" t="inlineStr">
        <is>
          <t>MIN_DAMAGE</t>
        </is>
      </c>
      <c r="S18" t="n">
        <v>0</v>
      </c>
      <c r="T18" t="inlineStr"/>
      <c r="U18" t="inlineStr"/>
      <c r="V18" t="inlineStr"/>
      <c r="W18" t="inlineStr">
        <is>
          <t>Permanent passive, +15%-&gt;19.5% Min Damage Multiplier (levels 1-100) — Magic Critical pattern, already baked into Inputs!MIN_DAMAGE%; feeds the 2nd-Job Skill Level Bonus delta. factorIndex 22, baseDamage 150 tenths%.</t>
        </is>
      </c>
    </row>
    <row r="19">
      <c r="A19" t="inlineStr">
        <is>
          <t>HIGH_WISDOM</t>
        </is>
      </c>
      <c r="B19" t="inlineStr">
        <is>
          <t>High Wisdom</t>
        </is>
      </c>
      <c r="C19" t="n">
        <v>2</v>
      </c>
      <c r="D19" t="inlineStr"/>
      <c r="E19" t="b">
        <v>0</v>
      </c>
      <c r="F19" t="n">
        <v>1</v>
      </c>
      <c r="G19" t="n">
        <v>0</v>
      </c>
      <c r="H19" t="n">
        <v>0</v>
      </c>
      <c r="I19" t="n">
        <v>100</v>
      </c>
      <c r="J19" t="n">
        <v>1</v>
      </c>
      <c r="K19" t="n">
        <v>80</v>
      </c>
      <c r="L19" t="n">
        <v>22</v>
      </c>
      <c r="M19" t="b">
        <v>1</v>
      </c>
      <c r="N19" t="n">
        <v>0</v>
      </c>
      <c r="O19" t="n">
        <v>0</v>
      </c>
      <c r="P19" t="n">
        <v>0</v>
      </c>
      <c r="Q19" t="n">
        <v>1</v>
      </c>
      <c r="R19" t="inlineStr">
        <is>
          <t>CRIT_RATE</t>
        </is>
      </c>
      <c r="S19" t="n">
        <v>0</v>
      </c>
      <c r="T19" t="inlineStr"/>
      <c r="U19" t="inlineStr"/>
      <c r="V19" t="inlineStr"/>
      <c r="W19" t="inlineStr">
        <is>
          <t>Permanent passive, +8%-&gt;10.4% Critical Rate (levels 1-100) — Magic Critical pattern, already baked into Inputs!CRIT_RATE% (jointly with Magic Critical (Crit Rate) below, both are separate skills contributing to the same Inputs field); feeds the 2nd-Job Skill Level Bonus delta. factorIndex 22, baseDamage 80 tenths%.</t>
        </is>
      </c>
    </row>
    <row r="20">
      <c r="A20" t="inlineStr">
        <is>
          <t>MAGIC_CRITICAL_RATE</t>
        </is>
      </c>
      <c r="B20" t="inlineStr">
        <is>
          <t>Magic Critical (Crit Rate)</t>
        </is>
      </c>
      <c r="C20" t="n">
        <v>3</v>
      </c>
      <c r="D20" t="inlineStr"/>
      <c r="E20" t="b">
        <v>0</v>
      </c>
      <c r="F20" t="n">
        <v>1</v>
      </c>
      <c r="G20" t="n">
        <v>0</v>
      </c>
      <c r="H20" t="n">
        <v>0</v>
      </c>
      <c r="I20" t="n">
        <v>100</v>
      </c>
      <c r="J20" t="n">
        <v>1</v>
      </c>
      <c r="K20" t="n">
        <v>80</v>
      </c>
      <c r="L20" t="n">
        <v>22</v>
      </c>
      <c r="M20" t="b">
        <v>1</v>
      </c>
      <c r="N20" t="n">
        <v>0</v>
      </c>
      <c r="O20" t="n">
        <v>0</v>
      </c>
      <c r="P20" t="n">
        <v>0</v>
      </c>
      <c r="Q20" t="n">
        <v>1</v>
      </c>
      <c r="R20" t="inlineStr">
        <is>
          <t>CRIT_RATE</t>
        </is>
      </c>
      <c r="S20" t="n">
        <v>0</v>
      </c>
      <c r="T20" t="inlineStr"/>
      <c r="U20" t="inlineStr"/>
      <c r="V20" t="inlineStr"/>
      <c r="W20" t="inlineStr">
        <is>
          <t>Permanent passive, +8%-&gt;12.8% Critical Rate (levels 1-200) — Magic Critical pattern, already baked into Inputs!CRIT_RATE%; feeds the 3rd-Job Skill Level Bonus delta. factorIndex 22, baseDamage 80 tenths%.</t>
        </is>
      </c>
    </row>
    <row r="21">
      <c r="A21" t="inlineStr">
        <is>
          <t>MAGIC_CRITICAL_DAMAGE</t>
        </is>
      </c>
      <c r="B21" t="inlineStr">
        <is>
          <t>Magic Critical (Crit Damage)</t>
        </is>
      </c>
      <c r="C21" t="n">
        <v>3</v>
      </c>
      <c r="D21" t="inlineStr"/>
      <c r="E21" t="b">
        <v>0</v>
      </c>
      <c r="F21" t="n">
        <v>1</v>
      </c>
      <c r="G21" t="n">
        <v>0</v>
      </c>
      <c r="H21" t="n">
        <v>0</v>
      </c>
      <c r="I21" t="n">
        <v>100</v>
      </c>
      <c r="J21" t="n">
        <v>1</v>
      </c>
      <c r="K21" t="n">
        <v>120</v>
      </c>
      <c r="L21" t="n">
        <v>22</v>
      </c>
      <c r="M21" t="b">
        <v>1</v>
      </c>
      <c r="N21" t="n">
        <v>0</v>
      </c>
      <c r="O21" t="n">
        <v>0</v>
      </c>
      <c r="P21" t="n">
        <v>0</v>
      </c>
      <c r="Q21" t="n">
        <v>1</v>
      </c>
      <c r="R21" t="inlineStr">
        <is>
          <t>CRIT_DAMAGE</t>
        </is>
      </c>
      <c r="S21" t="n">
        <v>0</v>
      </c>
      <c r="T21" t="inlineStr"/>
      <c r="U21" t="inlineStr"/>
      <c r="V21" t="inlineStr"/>
      <c r="W21" t="inlineStr">
        <is>
          <t>Same skill as Magic Critical (Crit Rate) above, +12%-&gt;19.2% Critical Damage (levels 1-200) — Magic Critical pattern, already baked into Inputs!CRIT_DAMAGE%; feeds the 3rd-Job Skill Level Bonus delta. factorIndex 22, baseDamage 120 tenths%.</t>
        </is>
      </c>
    </row>
    <row r="22">
      <c r="A22" t="inlineStr">
        <is>
          <t>BUFF_MASTERY</t>
        </is>
      </c>
      <c r="B22" t="inlineStr">
        <is>
          <t>Buff Mastery</t>
        </is>
      </c>
      <c r="C22" t="n">
        <v>4</v>
      </c>
      <c r="D22" t="inlineStr"/>
      <c r="E22" t="b">
        <v>0</v>
      </c>
      <c r="F22" t="n">
        <v>1</v>
      </c>
      <c r="G22" t="n">
        <v>0</v>
      </c>
      <c r="H22" t="n">
        <v>0</v>
      </c>
      <c r="I22" t="n">
        <v>100</v>
      </c>
      <c r="J22" t="n">
        <v>1</v>
      </c>
      <c r="K22" t="n">
        <v>100</v>
      </c>
      <c r="L22" t="n">
        <v>22</v>
      </c>
      <c r="M22" t="b">
        <v>1</v>
      </c>
      <c r="N22" t="n">
        <v>0</v>
      </c>
      <c r="O22" t="n">
        <v>0</v>
      </c>
      <c r="P22" t="n">
        <v>0</v>
      </c>
      <c r="Q22" t="n">
        <v>1</v>
      </c>
      <c r="R22" t="inlineStr"/>
      <c r="S22" t="n">
        <v>0</v>
      </c>
      <c r="T22" t="inlineStr"/>
      <c r="U22" t="inlineStr"/>
      <c r="V22" t="inlineStr"/>
      <c r="W22" t="inlineStr">
        <is>
          <t>Permanent passive (unlocked level 117), +10%-&gt;16% Buff Duration (levels 1-200) — not reflected anywhere in Inputs, so its current value (Calc!F) is added directly into every uptime_fraction_expr call's Buff Duration Increase % term (see bdi_with_buff_mastery_expr, already defined above). factorIndex 22, baseDamage 100 tenths%. Shared w/ FP-Mage.</t>
        </is>
      </c>
    </row>
    <row r="23">
      <c r="A23" t="inlineStr">
        <is>
          <t>ARCANE_AIM</t>
        </is>
      </c>
      <c r="B23" t="inlineStr">
        <is>
          <t>Arcane Aim</t>
        </is>
      </c>
      <c r="C23" t="n">
        <v>4</v>
      </c>
      <c r="D23" t="inlineStr"/>
      <c r="E23" t="b">
        <v>0</v>
      </c>
      <c r="F23" t="n">
        <v>1</v>
      </c>
      <c r="G23" t="n">
        <v>0</v>
      </c>
      <c r="H23" t="n">
        <v>0</v>
      </c>
      <c r="I23" t="n">
        <v>100</v>
      </c>
      <c r="J23" t="n">
        <v>1</v>
      </c>
      <c r="K23" t="n">
        <v>30</v>
      </c>
      <c r="L23" t="n">
        <v>22</v>
      </c>
      <c r="M23" t="b">
        <v>1</v>
      </c>
      <c r="N23" t="n">
        <v>0</v>
      </c>
      <c r="O23" t="n">
        <v>0</v>
      </c>
      <c r="P23" t="n">
        <v>0</v>
      </c>
      <c r="Q23" t="n">
        <v>1</v>
      </c>
      <c r="R23" t="inlineStr"/>
      <c r="S23" t="n">
        <v>0</v>
      </c>
      <c r="T23" t="inlineStr"/>
      <c r="U23" t="inlineStr"/>
      <c r="V23" t="inlineStr"/>
      <c r="W23" t="inlineStr">
        <is>
          <t>Permanent passive (unlocked level 120), 25% chance per attack for +3%-&gt;4.8% Final Damage (levels 1-200) for 10s, stacking up to 5 times — modeled as always at max 5 stacks (same always-on-proc-stack precedent as Elemental Reset/FP-Mage's own Arcane Aim). Combined MULTIPLICATIVELY into the Final Damage chain as (1+Calc!F/100)^5 in a later build stage. factorIndex 22, baseDamage 30 tenths%. Shared w/ FP-Mage.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s>
  <sheetData>
    <row r="1">
      <c r="A1" s="8" t="inlineStr">
        <is>
          <t>Key</t>
        </is>
      </c>
      <c r="B1" s="8" t="inlineStr">
        <is>
          <t>Name</t>
        </is>
      </c>
      <c r="C1" s="8" t="inlineStr">
        <is>
          <t>Unlocked</t>
        </is>
      </c>
      <c r="D1" s="8" t="inlineStr">
        <is>
          <t>InputLevel</t>
        </is>
      </c>
      <c r="E1" s="8" t="inlineStr">
        <is>
          <t>Factor</t>
        </is>
      </c>
      <c r="F1" s="8" t="inlineStr">
        <is>
          <t>CoefficientPercent</t>
        </is>
      </c>
      <c r="G1" s="8" t="inlineStr">
        <is>
          <t>EffectiveHits</t>
        </is>
      </c>
      <c r="H1" s="8" t="inlineStr">
        <is>
          <t>ProcProbability</t>
        </is>
      </c>
      <c r="I1" s="8" t="inlineStr">
        <is>
          <t>MapleHeroMultiplier</t>
        </is>
      </c>
      <c r="J1" s="8" t="inlineStr">
        <is>
          <t>BaseDamage</t>
        </is>
      </c>
      <c r="K1" s="8" t="inlineStr">
        <is>
          <t>BaseHitDamage</t>
        </is>
      </c>
      <c r="L1" s="8" t="inlineStr">
        <is>
          <t>NonCritAvg</t>
        </is>
      </c>
      <c r="M1" s="8" t="inlineStr">
        <is>
          <t>CritAvg</t>
        </is>
      </c>
      <c r="N1" s="8" t="inlineStr">
        <is>
          <t>ExpectedDamage(perHit)</t>
        </is>
      </c>
      <c r="O1" s="8" t="inlineStr">
        <is>
          <t>DPS</t>
        </is>
      </c>
      <c r="P1" s="8" t="inlineStr">
        <is>
          <t>% of Total</t>
        </is>
      </c>
      <c r="Q1" t="inlineStr">
        <is>
          <t>InvCooldown</t>
        </is>
      </c>
      <c r="R1" t="inlineStr">
        <is>
          <t>CastsInFight</t>
        </is>
      </c>
      <c r="Z1" s="5" t="inlineStr">
        <is>
          <t>Maple Hero helper (jobStep4, factorIndex23)</t>
        </is>
      </c>
    </row>
    <row r="2">
      <c r="A2">
        <f>Skills!A2</f>
        <v/>
      </c>
      <c r="B2">
        <f>Skills!B2</f>
        <v/>
      </c>
      <c r="C2">
        <f>Inputs!$B$3&gt;=100</f>
        <v/>
      </c>
      <c r="D2" t="inlineStr"/>
      <c r="E2" t="inlineStr"/>
      <c r="F2">
        <f>Summary!$B$50+Skills!N2</f>
        <v/>
      </c>
      <c r="G2">
        <f>Skills!F2*IF(Skills!G2&gt;0,Skills!H2/Skills!G2,1)</f>
        <v/>
      </c>
      <c r="H2">
        <f>1-(1-Skills!I2/100)^Skills!J2</f>
        <v/>
      </c>
      <c r="I2">
        <f>IF(Skills!T2&lt;&gt;"",1+(Skills!T2/10)*($Z$3/1000)/100,1)</f>
        <v/>
      </c>
      <c r="J2">
        <f>Summary!$B$46*(F2/100)</f>
        <v/>
      </c>
      <c r="K2">
        <f>J2*(1+Summary!$B$47/100)*(1+(Inputs!$B$14+Summary!$B$55)/100)*(1+IF(Inputs!$B$4="pvp",0,(1-Summary!$B$51)*(Inputs!$B$19+Skills!O2+Summary!$B$54)+Summary!$B$51*(Inputs!$B$20+Skills!P2+Summary!$B$54))/100)*(1+Inputs!$B$15/100)*(5000/(6000+Inputs!$B$7*(1-Inputs!$B$18/100)))*(1+Inputs!$B$23/100)*(1+IF(C15=TRUE,F15,0)/100)*(1+IF(C23=TRUE,F23,0)/100)^5*(1+(IF(Skills!A2="CHAIN_LIGHTNING",Inputs!$B$16,Inputs!$B$17))/100)*(Summary!$B$53*I2)</f>
        <v/>
      </c>
      <c r="L2">
        <f>K2*(MIN(Inputs!$B$21,Inputs!$B$22)/100+Inputs!$B$22/100)/2</f>
        <v/>
      </c>
      <c r="M2">
        <f>L2*(1+Inputs!$B$9/100)</f>
        <v/>
      </c>
      <c r="N2">
        <f>L2*(1-MIN(Inputs!$B$8,100)/100)+M2*(MIN(Inputs!$B$8,100)/100)</f>
        <v/>
      </c>
      <c r="O2">
        <f>IF(C2,Skills!F2*N2*Summary!$B$59*IF(Inputs!$B$4="pvp",1,(1-Summary!$B$51)*(1)+Summary!$B$51*(MIN(Skills!Q2,Inputs!$B$37))),0)</f>
        <v/>
      </c>
      <c r="P2">
        <f>IF(Summary!$B$3=0,0,O2/Summary!$B$3)</f>
        <v/>
      </c>
      <c r="Q2">
        <f>IFERROR(1/IF(Inputs!$B$4="pvp",15,MAX(0.1,Skills!D2-IF(Skills!E2=TRUE,Inputs!$B$31,0))),0)</f>
        <v/>
      </c>
      <c r="R2" t="n">
        <v>0</v>
      </c>
      <c r="Z2">
        <f>MAX(0,(Inputs!$B$3-100)*3)+Inputs!$B$27+Inputs!$B$28</f>
        <v/>
      </c>
    </row>
    <row r="3">
      <c r="A3">
        <f>Skills!A3</f>
        <v/>
      </c>
      <c r="B3">
        <f>Skills!B3</f>
        <v/>
      </c>
      <c r="C3">
        <f>Inputs!$B$3&gt;=15</f>
        <v/>
      </c>
      <c r="D3">
        <f>IF(Skills!C3=1,60+Inputs!$B$24+Inputs!$B$28,IF(Skills!C3=2,90+Inputs!$B$25+Inputs!$B$28,IF(Skills!C3=3,120+Inputs!$B$26+Inputs!$B$28,MAX(0,(Inputs!$B$3-100)*3)+Inputs!$B$27+Inputs!$B$28)))</f>
        <v/>
      </c>
      <c r="E3">
        <f>INDEX(FactorTable!$B$2:$Y$301, MATCH(ROUND(MIN(300,MAX(1,D3)),0), FactorTable!$A$2:$A$301,0), Skills!L3+1)</f>
        <v/>
      </c>
      <c r="F3">
        <f>IF(Skills!M3=TRUE,(Skills!K3/10)*(E3/1000),Skills!K3/10)+Skills!N3</f>
        <v/>
      </c>
      <c r="G3">
        <f>Skills!F3*IF(Skills!G3&gt;0,Skills!H3/Skills!G3,1)</f>
        <v/>
      </c>
      <c r="H3">
        <f>1-(1-Skills!I3/100)^Skills!J3</f>
        <v/>
      </c>
      <c r="I3">
        <f>IF(Skills!T3&lt;&gt;"",1+(Skills!T3/10)*($Z$3/1000)/100,1)</f>
        <v/>
      </c>
      <c r="J3" t="inlineStr"/>
      <c r="K3" t="inlineStr"/>
      <c r="L3" t="inlineStr"/>
      <c r="M3" t="inlineStr"/>
      <c r="N3" t="inlineStr"/>
      <c r="O3" t="n">
        <v>0</v>
      </c>
      <c r="P3">
        <f>IF(Summary!$B$3=0,0,O3/Summary!$B$3)</f>
        <v/>
      </c>
      <c r="Q3">
        <f>IFERROR(1/IF(Inputs!$B$4="pvp",15,MAX(0.1,Skills!D3-IF(Skills!E3=TRUE,Inputs!$B$31,0))),0)</f>
        <v/>
      </c>
      <c r="R3">
        <f>IF(AND(Inputs!$B$4&lt;&gt;"pvp",Inputs!$B$35&gt;0),(INT(Inputs!$B$35/IF(Inputs!$B$4="pvp",15,MAX(0.1,Skills!D3-IF(Skills!E3=TRUE,Inputs!$B$31,0))))+1),0)</f>
        <v/>
      </c>
      <c r="Z3">
        <f>INDEX(FactorTable!$B$2:$Y$301, MATCH(ROUND(MIN(300,MAX(1,Z2)),0), FactorTable!$A$2:$A$301,0), 24)</f>
        <v/>
      </c>
    </row>
    <row r="4">
      <c r="A4">
        <f>Skills!A4</f>
        <v/>
      </c>
      <c r="B4">
        <f>Skills!B4</f>
        <v/>
      </c>
      <c r="C4">
        <f>Inputs!$B$3&gt;=40</f>
        <v/>
      </c>
      <c r="D4">
        <f>IF(Skills!C4=1,60+Inputs!$B$24+Inputs!$B$28,IF(Skills!C4=2,90+Inputs!$B$25+Inputs!$B$28,IF(Skills!C4=3,120+Inputs!$B$26+Inputs!$B$28,MAX(0,(Inputs!$B$3-100)*3)+Inputs!$B$27+Inputs!$B$28)))</f>
        <v/>
      </c>
      <c r="E4">
        <f>INDEX(FactorTable!$B$2:$Y$301, MATCH(ROUND(MIN(300,MAX(1,D4)),0), FactorTable!$A$2:$A$301,0), Skills!L4+1)</f>
        <v/>
      </c>
      <c r="F4">
        <f>IF(Skills!M4=TRUE,(Skills!K4/10)*(E4/1000),Skills!K4/10)+Skills!N4</f>
        <v/>
      </c>
      <c r="G4">
        <f>Skills!F4*IF(Skills!G4&gt;0,Skills!H4/Skills!G4,1)</f>
        <v/>
      </c>
      <c r="H4">
        <f>1-(1-Skills!I4/100)^Skills!J4</f>
        <v/>
      </c>
      <c r="I4">
        <f>IF(Skills!T4&lt;&gt;"",1+(Skills!T4/10)*($Z$3/1000)/100,1)</f>
        <v/>
      </c>
      <c r="J4" t="inlineStr"/>
      <c r="K4" t="inlineStr"/>
      <c r="L4" t="inlineStr"/>
      <c r="M4" t="inlineStr"/>
      <c r="N4" t="inlineStr"/>
      <c r="O4" t="n">
        <v>0</v>
      </c>
      <c r="P4">
        <f>IF(Summary!$B$3=0,0,O4/Summary!$B$3)</f>
        <v/>
      </c>
      <c r="Q4">
        <f>IFERROR(1/IF(Inputs!$B$4="pvp",15,MAX(0.1,Skills!D4-IF(Skills!E4=TRUE,Inputs!$B$31,0))),0)</f>
        <v/>
      </c>
      <c r="R4">
        <f>IF(AND(Inputs!$B$4&lt;&gt;"pvp",Inputs!$B$35&gt;0),(INT(Inputs!$B$35/IF(Inputs!$B$4="pvp",15,MAX(0.1,Skills!D4-IF(Skills!E4=TRUE,Inputs!$B$31,0))))+1),0)</f>
        <v/>
      </c>
    </row>
    <row r="5">
      <c r="A5">
        <f>Skills!A5</f>
        <v/>
      </c>
      <c r="B5">
        <f>Skills!B5</f>
        <v/>
      </c>
      <c r="C5">
        <f>Inputs!$B$3&gt;=38</f>
        <v/>
      </c>
      <c r="D5">
        <f>IF(Skills!C5=1,60+Inputs!$B$24+Inputs!$B$28,IF(Skills!C5=2,90+Inputs!$B$25+Inputs!$B$28,IF(Skills!C5=3,120+Inputs!$B$26+Inputs!$B$28,MAX(0,(Inputs!$B$3-100)*3)+Inputs!$B$27+Inputs!$B$28)))</f>
        <v/>
      </c>
      <c r="E5">
        <f>INDEX(FactorTable!$B$2:$Y$301, MATCH(ROUND(MIN(300,MAX(1,D5)),0), FactorTable!$A$2:$A$301,0), Skills!L5+1)</f>
        <v/>
      </c>
      <c r="F5">
        <f>IF(Skills!M5=TRUE,(Skills!K5/10)*(E5/1000),Skills!K5/10)+Skills!N5</f>
        <v/>
      </c>
      <c r="G5">
        <f>Skills!F5*IF(Skills!G5&gt;0,Skills!H5/Skills!G5,1)</f>
        <v/>
      </c>
      <c r="H5">
        <f>1-(1-Skills!I5/100)^Skills!J5</f>
        <v/>
      </c>
      <c r="I5">
        <f>IF(Skills!T5&lt;&gt;"",1+(Skills!T5/10)*($Z$3/1000)/100,1)</f>
        <v/>
      </c>
      <c r="J5">
        <f>Summary!$B$46*(F5/100)</f>
        <v/>
      </c>
      <c r="K5">
        <f>J5*(1+Summary!$B$47/100)*(1+(Inputs!$B$14+Summary!$B$55)/100)*(1+IF(Inputs!$B$4="pvp",0,(1-Summary!$B$51)*(Inputs!$B$19+Skills!O5+Summary!$B$54)+Summary!$B$51*(Inputs!$B$20+Skills!P5+Summary!$B$54))/100)*(1+Inputs!$B$15/100)*(5000/(6000+Inputs!$B$7*(1-Inputs!$B$18/100)))*(1+Inputs!$B$23/100)*(1+IF(C15=TRUE,F15,0)/100)*(1+IF(C23=TRUE,F23,0)/100)^5*(1+(IF(Skills!A5="CHAIN_LIGHTNING",Inputs!$B$16,Inputs!$B$17))/100)*(Summary!$B$53*I5)</f>
        <v/>
      </c>
      <c r="L5">
        <f>K5*(MIN(Inputs!$B$21,Inputs!$B$22)/100+Inputs!$B$22/100)/2</f>
        <v/>
      </c>
      <c r="M5">
        <f>L5*(1+Inputs!$B$9/100)</f>
        <v/>
      </c>
      <c r="N5">
        <f>L5*(1-MIN(Inputs!$B$8,100)/100)+M5*(MIN(Inputs!$B$8,100)/100)</f>
        <v/>
      </c>
      <c r="O5">
        <f>IF(C5,H5*N5*IF(AND(Inputs!$B$4&lt;&gt;"pvp",Inputs!$B$35&gt;0),((Skills!F5*((R5-1)*IF(Skills!G5&gt;0,Skills!H5/Skills!G5,1)+IF(Skills!G5&gt;0,MIN(Skills!H5,MAX(0,Inputs!$B$35-((R5-1)*IF(Inputs!$B$4="pvp",15,MAX(0.1,Skills!D5-IF(Skills!E5=TRUE,Inputs!$B$31,0))))))/Skills!G5,1)))/Inputs!$B$35),G5*Q5)*IF(Inputs!$B$4="pvp",1,(1-Summary!$B$51)*(1)+Summary!$B$51*(MIN(Skills!Q5,Inputs!$B$37))),0)</f>
        <v/>
      </c>
      <c r="P5">
        <f>IF(Summary!$B$3=0,0,O5/Summary!$B$3)</f>
        <v/>
      </c>
      <c r="Q5">
        <f>IFERROR(1/IF(Inputs!$B$4="pvp",15,MAX(0.1,Skills!D5-IF(Skills!E5=TRUE,Inputs!$B$31,0))),0)</f>
        <v/>
      </c>
      <c r="R5">
        <f>IF(AND(Inputs!$B$4&lt;&gt;"pvp",Inputs!$B$35&gt;0),(INT(Inputs!$B$35/IF(Inputs!$B$4="pvp",15,MAX(0.1,Skills!D5-IF(Skills!E5=TRUE,Inputs!$B$31,0))))+1),0)</f>
        <v/>
      </c>
    </row>
    <row r="6">
      <c r="A6">
        <f>Skills!A6</f>
        <v/>
      </c>
      <c r="B6">
        <f>Skills!B6</f>
        <v/>
      </c>
      <c r="C6">
        <f>Inputs!$B$3&gt;=63</f>
        <v/>
      </c>
      <c r="D6">
        <f>IF(Skills!C6=1,60+Inputs!$B$24+Inputs!$B$28,IF(Skills!C6=2,90+Inputs!$B$25+Inputs!$B$28,IF(Skills!C6=3,120+Inputs!$B$26+Inputs!$B$28,MAX(0,(Inputs!$B$3-100)*3)+Inputs!$B$27+Inputs!$B$28)))</f>
        <v/>
      </c>
      <c r="E6">
        <f>INDEX(FactorTable!$B$2:$Y$301, MATCH(ROUND(MIN(300,MAX(1,D6)),0), FactorTable!$A$2:$A$301,0), Skills!L6+1)</f>
        <v/>
      </c>
      <c r="F6">
        <f>IF(Skills!M6=TRUE,(Skills!K6/10)*(E6/1000),Skills!K6/10)+Skills!N6</f>
        <v/>
      </c>
      <c r="G6">
        <f>Skills!F6*IF(Skills!G6&gt;0,Skills!H6/Skills!G6,1)</f>
        <v/>
      </c>
      <c r="H6">
        <f>1-(1-Skills!I6/100)^Skills!J6</f>
        <v/>
      </c>
      <c r="I6">
        <f>IF(Skills!T6&lt;&gt;"",1+(Skills!T6/10)*($Z$3/1000)/100,1)</f>
        <v/>
      </c>
      <c r="J6">
        <f>Summary!$B$46*(F6/100)</f>
        <v/>
      </c>
      <c r="K6">
        <f>J6*(1+Summary!$B$47/100)*(1+(Inputs!$B$14+Summary!$B$55)/100)*(1+IF(Inputs!$B$4="pvp",0,(1-Summary!$B$51)*(Inputs!$B$19+Skills!O6+Summary!$B$54)+Summary!$B$51*(Inputs!$B$20+Skills!P6+Summary!$B$54))/100)*(1+Inputs!$B$15/100)*(5000/(6000+Inputs!$B$7*(1-Inputs!$B$18/100)))*(1+Inputs!$B$23/100)*(1+IF(C15=TRUE,F15,0)/100)*(1+IF(C23=TRUE,F23,0)/100)^5*(1+(IF(Skills!A6="CHAIN_LIGHTNING",Inputs!$B$16,Inputs!$B$17))/100)*(Summary!$B$53*I6)</f>
        <v/>
      </c>
      <c r="L6">
        <f>K6*(MIN(Inputs!$B$21,Inputs!$B$22)/100+Inputs!$B$22/100)/2</f>
        <v/>
      </c>
      <c r="M6">
        <f>L6*(1+Inputs!$B$9/100)</f>
        <v/>
      </c>
      <c r="N6">
        <f>L6*(1-MIN(Inputs!$B$8,100)/100)+M6*(MIN(Inputs!$B$8,100)/100)</f>
        <v/>
      </c>
      <c r="O6">
        <f>IF(C6,H6*N6*IF(AND(Inputs!$B$4&lt;&gt;"pvp",Inputs!$B$35&gt;0),((Skills!F6*((R6-1)*IF(Skills!G6&gt;0,Skills!H6/Skills!G6,1)+IF(Skills!G6&gt;0,MIN(Skills!H6,MAX(0,Inputs!$B$35-((R6-1)*IF(Inputs!$B$4="pvp",15,MAX(0.1,Skills!D6-IF(Skills!E6=TRUE,Inputs!$B$31,0))))))/Skills!G6,1)))/Inputs!$B$35),G6*Q6)*IF(Inputs!$B$4="pvp",1,(1-Summary!$B$51)*(1)+Summary!$B$51*(MIN(Skills!Q6,Inputs!$B$37))),0)</f>
        <v/>
      </c>
      <c r="P6">
        <f>IF(Summary!$B$3=0,0,O6/Summary!$B$3)</f>
        <v/>
      </c>
      <c r="Q6">
        <f>IFERROR(1/IF(Inputs!$B$4="pvp",15,MAX(0.1,Skills!D6-IF(Skills!E6=TRUE,Inputs!$B$31,0))),0)</f>
        <v/>
      </c>
      <c r="R6">
        <f>IF(AND(Inputs!$B$4&lt;&gt;"pvp",Inputs!$B$35&gt;0),(INT(Inputs!$B$35/IF(Inputs!$B$4="pvp",15,MAX(0.1,Skills!D6-IF(Skills!E6=TRUE,Inputs!$B$31,0))))+1),0)</f>
        <v/>
      </c>
    </row>
    <row r="7">
      <c r="A7">
        <f>Skills!A7</f>
        <v/>
      </c>
      <c r="B7">
        <f>Skills!B7</f>
        <v/>
      </c>
      <c r="C7">
        <f>Inputs!$B$3&gt;=69</f>
        <v/>
      </c>
      <c r="D7">
        <f>IF(Skills!C7=1,60+Inputs!$B$24+Inputs!$B$28,IF(Skills!C7=2,90+Inputs!$B$25+Inputs!$B$28,IF(Skills!C7=3,120+Inputs!$B$26+Inputs!$B$28,MAX(0,(Inputs!$B$3-100)*3)+Inputs!$B$27+Inputs!$B$28)))</f>
        <v/>
      </c>
      <c r="E7">
        <f>INDEX(FactorTable!$B$2:$Y$301, MATCH(ROUND(MIN(300,MAX(1,D7)),0), FactorTable!$A$2:$A$301,0), Skills!L7+1)</f>
        <v/>
      </c>
      <c r="F7">
        <f>IF(Skills!M7=TRUE,(Skills!K7/10)*(E7/1000),Skills!K7/10)+Skills!N7</f>
        <v/>
      </c>
      <c r="G7">
        <f>Skills!F7*IF(Skills!G7&gt;0,Skills!H7/Skills!G7,1)</f>
        <v/>
      </c>
      <c r="H7">
        <f>1-(1-Skills!I7/100)^Skills!J7</f>
        <v/>
      </c>
      <c r="I7">
        <f>IF(Skills!T7&lt;&gt;"",1+(Skills!T7/10)*($Z$3/1000)/100,1)</f>
        <v/>
      </c>
      <c r="J7">
        <f>Summary!$B$46*(F7/100)</f>
        <v/>
      </c>
      <c r="K7">
        <f>J7*(1+Summary!$B$47/100)*(1+(Inputs!$B$14+Summary!$B$55)/100)*(1+IF(Inputs!$B$4="pvp",0,(1-Summary!$B$51)*(Inputs!$B$19+Skills!O7+Summary!$B$54)+Summary!$B$51*(Inputs!$B$20+Skills!P7+Summary!$B$54))/100)*(1+Inputs!$B$15/100)*(5000/(6000+Inputs!$B$7*(1-Inputs!$B$18/100)))*(1+Inputs!$B$23/100)*(1+IF(C15=TRUE,F15,0)/100)*(1+IF(C23=TRUE,F23,0)/100)^5*(1+(IF(Skills!A7="CHAIN_LIGHTNING",Inputs!$B$16,Inputs!$B$17))/100)*(Summary!$B$53*I7)</f>
        <v/>
      </c>
      <c r="L7">
        <f>K7*(MIN(Inputs!$B$21,Inputs!$B$22)/100+Inputs!$B$22/100)/2</f>
        <v/>
      </c>
      <c r="M7">
        <f>L7*(1+Inputs!$B$9/100)</f>
        <v/>
      </c>
      <c r="N7">
        <f>L7*(1-MIN(Inputs!$B$8,100)/100)+M7*(MIN(Inputs!$B$8,100)/100)</f>
        <v/>
      </c>
      <c r="O7">
        <f>IF(C7,H7*N7*IF(AND(Inputs!$B$4&lt;&gt;"pvp",Inputs!$B$35&gt;0),((Skills!F7*((R7-1)*IF(Skills!G7&gt;0,Skills!H7/Skills!G7,1)+IF(Skills!G7&gt;0,MIN(Skills!H7,MAX(0,Inputs!$B$35-((R7-1)*IF(Inputs!$B$4="pvp",15,MAX(0.1,Skills!D7-IF(Skills!E7=TRUE,Inputs!$B$31,0))))))/Skills!G7,1)))/Inputs!$B$35),G7*Q7)*IF(Inputs!$B$4="pvp",1,(1-Summary!$B$51)*(1)+Summary!$B$51*(MIN(Skills!Q7,Inputs!$B$37))),0)</f>
        <v/>
      </c>
      <c r="P7">
        <f>IF(Summary!$B$3=0,0,O7/Summary!$B$3)</f>
        <v/>
      </c>
      <c r="Q7">
        <f>IFERROR(1/IF(Inputs!$B$4="pvp",15,MAX(0.1,Skills!D7-IF(Skills!E7=TRUE,Inputs!$B$31,0))),0)</f>
        <v/>
      </c>
      <c r="R7">
        <f>IF(AND(Inputs!$B$4&lt;&gt;"pvp",Inputs!$B$35&gt;0),(INT(Inputs!$B$35/IF(Inputs!$B$4="pvp",15,MAX(0.1,Skills!D7-IF(Skills!E7=TRUE,Inputs!$B$31,0))))+1),0)</f>
        <v/>
      </c>
    </row>
    <row r="8">
      <c r="A8">
        <f>Skills!A8</f>
        <v/>
      </c>
      <c r="B8">
        <f>Skills!B8</f>
        <v/>
      </c>
      <c r="C8">
        <f>Inputs!$B$3&gt;=103</f>
        <v/>
      </c>
      <c r="D8">
        <f>IF(Skills!C8=1,60+Inputs!$B$24+Inputs!$B$28,IF(Skills!C8=2,90+Inputs!$B$25+Inputs!$B$28,IF(Skills!C8=3,120+Inputs!$B$26+Inputs!$B$28,MAX(0,(Inputs!$B$3-100)*3)+Inputs!$B$27+Inputs!$B$28)))</f>
        <v/>
      </c>
      <c r="E8">
        <f>INDEX(FactorTable!$B$2:$Y$301, MATCH(ROUND(MIN(300,MAX(1,D8)),0), FactorTable!$A$2:$A$301,0), Skills!L8+1)</f>
        <v/>
      </c>
      <c r="F8">
        <f>IF(Skills!M8=TRUE,(Skills!K8/10)*(E8/1000),Skills!K8/10)+Skills!N8</f>
        <v/>
      </c>
      <c r="G8">
        <f>Skills!F8*IF(Skills!G8&gt;0,Skills!H8/Skills!G8,1)</f>
        <v/>
      </c>
      <c r="H8">
        <f>1-(1-Skills!I8/100)^Skills!J8</f>
        <v/>
      </c>
      <c r="I8">
        <f>IF(Skills!T8&lt;&gt;"",1+(Skills!T8/10)*($Z$3/1000)/100,1)</f>
        <v/>
      </c>
      <c r="J8">
        <f>Summary!$B$46*(F8/100)</f>
        <v/>
      </c>
      <c r="K8">
        <f>J8*(1+Summary!$B$47/100)*(1+(Inputs!$B$14+Summary!$B$55)/100)*(1+IF(Inputs!$B$4="pvp",0,(1-Summary!$B$51)*(Inputs!$B$19+Skills!O8+Summary!$B$54)+Summary!$B$51*(Inputs!$B$20+Skills!P8+Summary!$B$54))/100)*(1+Inputs!$B$15/100)*(5000/(6000+Inputs!$B$7*(1-Inputs!$B$18/100)))*(1+Inputs!$B$23/100)*(1+IF(C15=TRUE,F15,0)/100)*(1+IF(C23=TRUE,F23,0)/100)^5*(1+(IF(Skills!A8="CHAIN_LIGHTNING",Inputs!$B$16,Inputs!$B$17))/100)*(Summary!$B$53*I8)</f>
        <v/>
      </c>
      <c r="L8">
        <f>K8*(MIN(Inputs!$B$21,Inputs!$B$22)/100+Inputs!$B$22/100)/2</f>
        <v/>
      </c>
      <c r="M8">
        <f>L8*(1+Inputs!$B$9/100)</f>
        <v/>
      </c>
      <c r="N8">
        <f>L8*(1-MIN(Inputs!$B$8,100)/100)+M8*(MIN(Inputs!$B$8,100)/100)</f>
        <v/>
      </c>
      <c r="O8">
        <f>IF(C8,H8*N8*IF(AND(Inputs!$B$4&lt;&gt;"pvp",Inputs!$B$35&gt;0),((Skills!F8*((R8-1)*IF(Skills!G8&gt;0,Skills!H8/Skills!G8,1)+IF(Skills!G8&gt;0,MIN(Skills!H8,MAX(0,Inputs!$B$35-((R8-1)*IF(Inputs!$B$4="pvp",15,MAX(0.1,Skills!D8-IF(Skills!E8=TRUE,Inputs!$B$31,0))))))/Skills!G8,1)))/Inputs!$B$35),G8*Q8)*IF(Inputs!$B$4="pvp",1,(1-Summary!$B$51)*(1)+Summary!$B$51*(MIN(Skills!Q8,Inputs!$B$37))),0)</f>
        <v/>
      </c>
      <c r="P8">
        <f>IF(Summary!$B$3=0,0,O8/Summary!$B$3)</f>
        <v/>
      </c>
      <c r="Q8">
        <f>IFERROR(1/IF(Inputs!$B$4="pvp",15,MAX(0.1,Skills!D8-IF(Skills!E8=TRUE,Inputs!$B$31,0))),0)</f>
        <v/>
      </c>
      <c r="R8">
        <f>IF(AND(Inputs!$B$4&lt;&gt;"pvp",Inputs!$B$35&gt;0),(INT(Inputs!$B$35/IF(Inputs!$B$4="pvp",15,MAX(0.1,Skills!D8-IF(Skills!E8=TRUE,Inputs!$B$31,0))))+1),0)</f>
        <v/>
      </c>
    </row>
    <row r="9">
      <c r="A9">
        <f>Skills!A9</f>
        <v/>
      </c>
      <c r="B9">
        <f>Skills!B9</f>
        <v/>
      </c>
      <c r="C9">
        <f>Inputs!$B$3&gt;=105</f>
        <v/>
      </c>
      <c r="D9">
        <f>IF(Skills!C9=1,60+Inputs!$B$24+Inputs!$B$28,IF(Skills!C9=2,90+Inputs!$B$25+Inputs!$B$28,IF(Skills!C9=3,120+Inputs!$B$26+Inputs!$B$28,MAX(0,(Inputs!$B$3-100)*3)+Inputs!$B$27+Inputs!$B$28)))</f>
        <v/>
      </c>
      <c r="E9">
        <f>INDEX(FactorTable!$B$2:$Y$301, MATCH(ROUND(MIN(300,MAX(1,D9)),0), FactorTable!$A$2:$A$301,0), Skills!L9+1)</f>
        <v/>
      </c>
      <c r="F9">
        <f>IF(Skills!M9=TRUE,(Skills!K9/10)*(E9/1000),Skills!K9/10)+Skills!N9</f>
        <v/>
      </c>
      <c r="G9">
        <f>Skills!F9*IF(Skills!G9&gt;0,Skills!H9/Skills!G9,1)</f>
        <v/>
      </c>
      <c r="H9">
        <f>1-(1-Skills!I9/100)^Skills!J9</f>
        <v/>
      </c>
      <c r="I9">
        <f>IF(Skills!T9&lt;&gt;"",1+(Skills!T9/10)*($Z$3/1000)/100,1)</f>
        <v/>
      </c>
      <c r="J9">
        <f>Summary!$B$46*(F9/100)</f>
        <v/>
      </c>
      <c r="K9">
        <f>J9*(1+Summary!$B$47/100)*(1+(Inputs!$B$14+Summary!$B$55)/100)*(1+IF(Inputs!$B$4="pvp",0,(1-Summary!$B$51)*(Inputs!$B$19+Skills!O9+Summary!$B$54)+Summary!$B$51*(Inputs!$B$20+Skills!P9+Summary!$B$54))/100)*(1+Inputs!$B$15/100)*(5000/(6000+Inputs!$B$7*(1-Inputs!$B$18/100)))*(1+Inputs!$B$23/100)*(1+IF(C15=TRUE,F15,0)/100)*(1+IF(C23=TRUE,F23,0)/100)^5*(1+(IF(Skills!A9="CHAIN_LIGHTNING",Inputs!$B$16,Inputs!$B$17))/100)*(Summary!$B$53*I9)</f>
        <v/>
      </c>
      <c r="L9">
        <f>K9*(MIN(Inputs!$B$21,Inputs!$B$22)/100+Inputs!$B$22/100)/2</f>
        <v/>
      </c>
      <c r="M9">
        <f>L9*(1+Inputs!$B$9/100)</f>
        <v/>
      </c>
      <c r="N9">
        <f>L9*(1-MIN(Inputs!$B$8,100)/100)+M9*(MIN(Inputs!$B$8,100)/100)</f>
        <v/>
      </c>
      <c r="O9">
        <f>IF(C9,H9*N9*IF(AND(Inputs!$B$4&lt;&gt;"pvp",Inputs!$B$35&gt;0),((Skills!F9*((R9-1)*IF(Skills!G9&gt;0,Skills!H9/Skills!G9,1)+IF(Skills!G9&gt;0,MIN(Skills!H9,MAX(0,Inputs!$B$35-((R9-1)*IF(Inputs!$B$4="pvp",15,MAX(0.1,Skills!D9-IF(Skills!E9=TRUE,Inputs!$B$31,0))))))/Skills!G9,1)))/Inputs!$B$35),G9*Q9)*IF(Inputs!$B$4="pvp",1,(1-Summary!$B$51)*(1)+Summary!$B$51*(MIN(Skills!Q9,Inputs!$B$37))),0)</f>
        <v/>
      </c>
      <c r="P9">
        <f>IF(Summary!$B$3=0,0,O9/Summary!$B$3)</f>
        <v/>
      </c>
      <c r="Q9">
        <f>IFERROR(1/IF(Inputs!$B$4="pvp",15,MAX(0.1,Skills!D9-IF(Skills!E9=TRUE,Inputs!$B$31,0))),0)</f>
        <v/>
      </c>
      <c r="R9">
        <f>IF(AND(Inputs!$B$4&lt;&gt;"pvp",Inputs!$B$35&gt;0),(INT(Inputs!$B$35/IF(Inputs!$B$4="pvp",15,MAX(0.1,Skills!D9-IF(Skills!E9=TRUE,Inputs!$B$31,0))))+1),0)</f>
        <v/>
      </c>
    </row>
    <row r="10">
      <c r="A10">
        <f>Skills!A10</f>
        <v/>
      </c>
      <c r="B10">
        <f>Skills!B10</f>
        <v/>
      </c>
      <c r="C10">
        <f>Inputs!$B$3&gt;=113</f>
        <v/>
      </c>
      <c r="D10">
        <f>IF(Skills!C10=1,60+Inputs!$B$24+Inputs!$B$28,IF(Skills!C10=2,90+Inputs!$B$25+Inputs!$B$28,IF(Skills!C10=3,120+Inputs!$B$26+Inputs!$B$28,MAX(0,(Inputs!$B$3-100)*3)+Inputs!$B$27+Inputs!$B$28)))</f>
        <v/>
      </c>
      <c r="E10">
        <f>INDEX(FactorTable!$B$2:$Y$301, MATCH(ROUND(MIN(300,MAX(1,D10)),0), FactorTable!$A$2:$A$301,0), Skills!L10+1)</f>
        <v/>
      </c>
      <c r="F10">
        <f>IF(Skills!M10=TRUE,(Skills!K10/10)*(E10/1000),Skills!K10/10)+Skills!N10</f>
        <v/>
      </c>
      <c r="G10">
        <f>Skills!F10*IF(Skills!G10&gt;0,Skills!H10/Skills!G10,1)</f>
        <v/>
      </c>
      <c r="H10">
        <f>1-(1-Skills!I10/100)^Skills!J10</f>
        <v/>
      </c>
      <c r="I10">
        <f>IF(Skills!T10&lt;&gt;"",1+(Skills!T10/10)*($Z$3/1000)/100,1)</f>
        <v/>
      </c>
      <c r="J10">
        <f>Summary!$B$46*(F10/100)</f>
        <v/>
      </c>
      <c r="K10">
        <f>J10*(1+Summary!$B$47/100)*(1+(Inputs!$B$14+Summary!$B$55)/100)*(1+IF(Inputs!$B$4="pvp",0,(1-Summary!$B$51)*(Inputs!$B$19+Skills!O10+Summary!$B$54)+Summary!$B$51*(Inputs!$B$20+Skills!P10+Summary!$B$54))/100)*(1+Inputs!$B$15/100)*(5000/(6000+Inputs!$B$7*(1-Inputs!$B$18/100)))*(1+Inputs!$B$23/100)*(1+IF(C15=TRUE,F15,0)/100)*(1+IF(C23=TRUE,F23,0)/100)^5*(1+(IF(Skills!A10="CHAIN_LIGHTNING",Inputs!$B$16,Inputs!$B$17))/100)*(Summary!$B$53*I10)</f>
        <v/>
      </c>
      <c r="L10">
        <f>K10*(MIN(Inputs!$B$21,Inputs!$B$22)/100+Inputs!$B$22/100)/2</f>
        <v/>
      </c>
      <c r="M10">
        <f>L10*(1+Inputs!$B$9/100)</f>
        <v/>
      </c>
      <c r="N10">
        <f>L10*(1-MIN(Inputs!$B$8,100)/100)+M10*(MIN(Inputs!$B$8,100)/100)</f>
        <v/>
      </c>
      <c r="O10">
        <f>IF(C10,H10*N10*IF(AND(Inputs!$B$4&lt;&gt;"pvp",Inputs!$B$35&gt;0),((Skills!F10*((R10-1)*IF(Skills!G10&gt;0,Skills!H10/Skills!G10,1)+IF(Skills!G10&gt;0,MIN(Skills!H10,MAX(0,Inputs!$B$35-((R10-1)*IF(Inputs!$B$4="pvp",15,MAX(0.1,Skills!D10-IF(Skills!E9=TRUE,Inputs!$B$31,0))))))/Skills!G10,1)))/Inputs!$B$35),G10*Q10)*IF(Inputs!$B$4="pvp",1,(1-Summary!$B$51)*(1)+Summary!$B$51*(MIN(Skills!Q10,Inputs!$B$37))),0)</f>
        <v/>
      </c>
      <c r="P10">
        <f>IF(Summary!$B$3=0,0,O10/Summary!$B$3)</f>
        <v/>
      </c>
      <c r="Q10">
        <f>IFERROR(1/IF(Inputs!$B$4="pvp",15,MAX(0.1,Skills!D10-IF(Skills!E9=TRUE,Inputs!$B$31,0))),0)</f>
        <v/>
      </c>
      <c r="R10">
        <f>IF(AND(Inputs!$B$4&lt;&gt;"pvp",Inputs!$B$35&gt;0),(INT(Inputs!$B$35/IF(Inputs!$B$4="pvp",15,MAX(0.1,Skills!D10-IF(Skills!E9=TRUE,Inputs!$B$31,0))))+1),0)</f>
        <v/>
      </c>
    </row>
    <row r="11">
      <c r="A11">
        <f>Skills!A11</f>
        <v/>
      </c>
      <c r="B11">
        <f>Skills!B11</f>
        <v/>
      </c>
      <c r="C11">
        <f>Inputs!$B$3&gt;=107</f>
        <v/>
      </c>
      <c r="D11">
        <f>IF(Skills!C11=1,60+Inputs!$B$24+Inputs!$B$28,IF(Skills!C11=2,90+Inputs!$B$25+Inputs!$B$28,IF(Skills!C11=3,120+Inputs!$B$26+Inputs!$B$28,MAX(0,(Inputs!$B$3-100)*3)+Inputs!$B$27+Inputs!$B$28)))</f>
        <v/>
      </c>
      <c r="E11">
        <f>INDEX(FactorTable!$B$2:$Y$301, MATCH(ROUND(MIN(300,MAX(1,D11)),0), FactorTable!$A$2:$A$301,0), Skills!L11+1)</f>
        <v/>
      </c>
      <c r="F11">
        <f>IF(Skills!M11=TRUE,(Skills!K11/10)*(E11/1000),Skills!K11/10)+Skills!N11</f>
        <v/>
      </c>
      <c r="G11">
        <f>Skills!F11*IF(Skills!G11&gt;0,Skills!H11/Skills!G11,1)</f>
        <v/>
      </c>
      <c r="H11">
        <f>1-(1-Skills!I11/100)^Skills!J11</f>
        <v/>
      </c>
      <c r="I11">
        <f>IF(Skills!T11&lt;&gt;"",1+(Skills!T11/10)*($Z$3/1000)/100,1)</f>
        <v/>
      </c>
      <c r="J11">
        <f>Summary!$B$46*(F11/100)</f>
        <v/>
      </c>
      <c r="K11">
        <f>J11*(1+Summary!$B$47/100)*(1+(Inputs!$B$14+Summary!$B$55)/100)*(1+IF(Inputs!$B$4="pvp",0,(1-Summary!$B$51)*(Inputs!$B$19+Skills!O11+Summary!$B$54)+Summary!$B$51*(Inputs!$B$20+Skills!P11+Summary!$B$54))/100)*(1+Inputs!$B$15/100)*(5000/(6000+Inputs!$B$7*(1-Inputs!$B$18/100)))*(1+Inputs!$B$23/100)*(1+IF(C15=TRUE,F15,0)/100)*(1+IF(C23=TRUE,F23,0)/100)^5*(1+(IF(Skills!A11="CHAIN_LIGHTNING",Inputs!$B$16,Inputs!$B$17))/100)*(Summary!$B$53*I11)</f>
        <v/>
      </c>
      <c r="L11">
        <f>K11*(MIN(Inputs!$B$21,Inputs!$B$22)/100+Inputs!$B$22/100)/2</f>
        <v/>
      </c>
      <c r="M11">
        <f>L11*(1+Inputs!$B$9/100)</f>
        <v/>
      </c>
      <c r="N11">
        <f>L11*(1-MIN(Inputs!$B$8,100)/100)+M11*(MIN(Inputs!$B$8,100)/100)</f>
        <v/>
      </c>
      <c r="O11">
        <f>IF(C11,H11*N11*IF(AND(Inputs!$B$4&lt;&gt;"pvp",Inputs!$B$35&gt;0),((Skills!F11*((R11-1)*IF(Skills!G11&gt;0,Skills!H11/Skills!G11,1)+IF(Skills!G11&gt;0,MIN(Skills!H11,MAX(0,Inputs!$B$35-((R11-1)*IF(Inputs!$B$4="pvp",15,MAX(0.1,Skills!D11-IF(Skills!E11=TRUE,Inputs!$B$31,0))))))/Skills!G11,1)))/Inputs!$B$35),G11*Q11)*IF(Inputs!$B$4="pvp",0.5,(1-Summary!$B$51)*0.5+Summary!$B$51*1)*IF(Inputs!$B$4="pvp",1,(1-Summary!$B$51)*(1)+Summary!$B$51*(MIN(Skills!Q11,Inputs!$B$37))),0)</f>
        <v/>
      </c>
      <c r="P11">
        <f>IF(Summary!$B$3=0,0,O11/Summary!$B$3)</f>
        <v/>
      </c>
      <c r="Q11">
        <f>IFERROR(1/IF(Inputs!$B$4="pvp",15,MAX(0.1,Skills!D11-IF(Skills!E11=TRUE,Inputs!$B$31,0))),0)</f>
        <v/>
      </c>
      <c r="R11">
        <f>IF(AND(Inputs!$B$4&lt;&gt;"pvp",Inputs!$B$35&gt;0),(INT(Inputs!$B$35/IF(Inputs!$B$4="pvp",15,MAX(0.1,Skills!D11-IF(Skills!E11=TRUE,Inputs!$B$31,0))))+1),0)</f>
        <v/>
      </c>
    </row>
    <row r="12">
      <c r="A12">
        <f>Skills!A12</f>
        <v/>
      </c>
      <c r="B12">
        <f>Skills!B12</f>
        <v/>
      </c>
      <c r="C12">
        <f>Inputs!$B$3&gt;=115</f>
        <v/>
      </c>
      <c r="D12">
        <f>IF(Skills!C12=1,60+Inputs!$B$24+Inputs!$B$28,IF(Skills!C12=2,90+Inputs!$B$25+Inputs!$B$28,IF(Skills!C12=3,120+Inputs!$B$26+Inputs!$B$28,MAX(0,(Inputs!$B$3-100)*3)+Inputs!$B$27+Inputs!$B$28)))</f>
        <v/>
      </c>
      <c r="E12">
        <f>INDEX(FactorTable!$B$2:$Y$301, MATCH(ROUND(MIN(300,MAX(1,D12)),0), FactorTable!$A$2:$A$301,0), Skills!L12+1)</f>
        <v/>
      </c>
      <c r="F12">
        <f>IF(Skills!M12=TRUE,(Skills!K12/10)*(E12/1000),Skills!K12/10)+Skills!N12</f>
        <v/>
      </c>
      <c r="G12">
        <f>Skills!F12*IF(Skills!G12&gt;0,Skills!H12/Skills!G12,1)</f>
        <v/>
      </c>
      <c r="H12">
        <f>1-(1-Skills!I12/100)^Skills!J12</f>
        <v/>
      </c>
      <c r="I12">
        <f>IF(Skills!T12&lt;&gt;"",1+(Skills!T12/10)*($Z$3/1000)/100,1)</f>
        <v/>
      </c>
      <c r="J12">
        <f>Summary!$B$46*(F12/100)</f>
        <v/>
      </c>
      <c r="K12">
        <f>J12*(1+Summary!$B$47/100)*(1+(Inputs!$B$14+Summary!$B$55)/100)*(1+IF(Inputs!$B$4="pvp",0,(1-Summary!$B$51)*(Inputs!$B$19+Skills!O12+Summary!$B$54)+Summary!$B$51*(Inputs!$B$20+Skills!P12+Summary!$B$54))/100)*(1+Inputs!$B$15/100)*(5000/(6000+Inputs!$B$7*(1-Inputs!$B$18/100)))*(1+Inputs!$B$23/100)*(1+IF(C15=TRUE,F15,0)/100)*(1+IF(C23=TRUE,F23,0)/100)^5*(1+(IF(Skills!A12="CHAIN_LIGHTNING",Inputs!$B$16,Inputs!$B$17))/100)*(Summary!$B$53*I12)</f>
        <v/>
      </c>
      <c r="L12">
        <f>K12*(MIN(Inputs!$B$21,Inputs!$B$22)/100+Inputs!$B$22/100)/2</f>
        <v/>
      </c>
      <c r="M12">
        <f>L12*(1+Inputs!$B$9/100)</f>
        <v/>
      </c>
      <c r="N12">
        <f>L12*(1-MIN(Inputs!$B$8,100)/100)+M12*(MIN(Inputs!$B$8,100)/100)</f>
        <v/>
      </c>
      <c r="O12">
        <f>IF(C12,H12*N12*IF(AND(Inputs!$B$4&lt;&gt;"pvp",Inputs!$B$35&gt;0),((Skills!F12*((R12-1)*IF(Skills!G12&gt;0,Skills!H12/Skills!G12,1)+IF(Skills!G12&gt;0,MIN(Skills!H12,MAX(0,Inputs!$B$35-((R12-1)*IF(Inputs!$B$4="pvp",15,MAX(0.1,Skills!D12-IF(Skills!E12=TRUE,Inputs!$B$31,0))))))/Skills!G12,1)))/Inputs!$B$35),G12*Q12)*IF(Inputs!$B$4="pvp",1,(1-Summary!$B$51)*(1)+Summary!$B$51*(MIN(Skills!Q12,Inputs!$B$37))),0)</f>
        <v/>
      </c>
      <c r="P12">
        <f>IF(Summary!$B$3=0,0,O12/Summary!$B$3)</f>
        <v/>
      </c>
      <c r="Q12">
        <f>IFERROR(1/IF(Inputs!$B$4="pvp",15,MAX(0.1,Skills!D12-IF(Skills!E12=TRUE,Inputs!$B$31,0))),0)</f>
        <v/>
      </c>
      <c r="R12">
        <f>IF(AND(Inputs!$B$4&lt;&gt;"pvp",Inputs!$B$35&gt;0),(INT(Inputs!$B$35/IF(Inputs!$B$4="pvp",15,MAX(0.1,Skills!D12-IF(Skills!E12=TRUE,Inputs!$B$31,0))))+1),0)</f>
        <v/>
      </c>
    </row>
    <row r="13">
      <c r="A13">
        <f>Skills!A13</f>
        <v/>
      </c>
      <c r="B13">
        <f>Skills!B13</f>
        <v/>
      </c>
      <c r="C13">
        <f>Inputs!$B$3&gt;=49</f>
        <v/>
      </c>
      <c r="D13">
        <f>IF(Skills!C13=1,60+Inputs!$B$24+Inputs!$B$28,IF(Skills!C13=2,90+Inputs!$B$25+Inputs!$B$28,IF(Skills!C13=3,120+Inputs!$B$26+Inputs!$B$28,MAX(0,(Inputs!$B$3-100)*3)+Inputs!$B$27+Inputs!$B$28)))</f>
        <v/>
      </c>
      <c r="E13">
        <f>INDEX(FactorTable!$B$2:$Y$301, MATCH(ROUND(MIN(300,MAX(1,D13)),0), FactorTable!$A$2:$A$301,0), Skills!L13+1)</f>
        <v/>
      </c>
      <c r="F13">
        <f>IF(Skills!M13=TRUE,(Skills!K13/10)*(E13/1000),Skills!K13/10)+Skills!N13</f>
        <v/>
      </c>
      <c r="G13">
        <f>Skills!F13*IF(Skills!G13&gt;0,Skills!H13/Skills!G13,1)</f>
        <v/>
      </c>
      <c r="H13">
        <f>1-(1-Skills!I13/100)^Skills!J13</f>
        <v/>
      </c>
      <c r="I13">
        <f>IF(Skills!T13&lt;&gt;"",1+(Skills!T13/10)*($Z$3/1000)/100,1)</f>
        <v/>
      </c>
      <c r="J13" t="inlineStr"/>
      <c r="K13" t="inlineStr"/>
      <c r="L13" t="inlineStr"/>
      <c r="M13" t="inlineStr"/>
      <c r="N13" t="inlineStr"/>
      <c r="O13" t="n">
        <v>0</v>
      </c>
      <c r="P13">
        <f>IF(Summary!$B$3=0,0,O13/Summary!$B$3)</f>
        <v/>
      </c>
      <c r="Q13">
        <f>IFERROR(1/IF(Inputs!$B$4="pvp",15,MAX(0.1,Skills!D13-IF(Skills!E13=TRUE,Inputs!$B$31,0))),0)</f>
        <v/>
      </c>
      <c r="R13" t="n">
        <v>0</v>
      </c>
    </row>
    <row r="14">
      <c r="A14">
        <f>Skills!A14</f>
        <v/>
      </c>
      <c r="B14">
        <f>Skills!B14</f>
        <v/>
      </c>
      <c r="C14">
        <f>Inputs!$B$3&gt;=72</f>
        <v/>
      </c>
      <c r="D14">
        <f>IF(Skills!C14=1,60+Inputs!$B$24+Inputs!$B$28,IF(Skills!C14=2,90+Inputs!$B$25+Inputs!$B$28,IF(Skills!C14=3,120+Inputs!$B$26+Inputs!$B$28,MAX(0,(Inputs!$B$3-100)*3)+Inputs!$B$27+Inputs!$B$28)))</f>
        <v/>
      </c>
      <c r="E14">
        <f>INDEX(FactorTable!$B$2:$Y$301, MATCH(ROUND(MIN(300,MAX(1,D14)),0), FactorTable!$A$2:$A$301,0), Skills!L14+1)</f>
        <v/>
      </c>
      <c r="F14">
        <f>IF(Skills!M14=TRUE,(Skills!K14/10)*(E14/1000),Skills!K14/10)+Skills!N14</f>
        <v/>
      </c>
      <c r="G14">
        <f>Skills!F14*IF(Skills!G14&gt;0,Skills!H14/Skills!G14,1)</f>
        <v/>
      </c>
      <c r="H14">
        <f>1-(1-Skills!I14/100)^Skills!J14</f>
        <v/>
      </c>
      <c r="I14">
        <f>IF(Skills!T14&lt;&gt;"",1+(Skills!T14/10)*($Z$3/1000)/100,1)</f>
        <v/>
      </c>
      <c r="J14" t="inlineStr"/>
      <c r="K14" t="inlineStr"/>
      <c r="L14" t="inlineStr"/>
      <c r="M14" t="inlineStr"/>
      <c r="N14" t="inlineStr"/>
      <c r="O14" t="n">
        <v>0</v>
      </c>
      <c r="P14">
        <f>IF(Summary!$B$3=0,0,O14/Summary!$B$3)</f>
        <v/>
      </c>
      <c r="Q14">
        <f>IFERROR(1/IF(Inputs!$B$4="pvp",15,MAX(0.1,Skills!D14-IF(Skills!E14=TRUE,Inputs!$B$31,0))),0)</f>
        <v/>
      </c>
      <c r="R14" t="n">
        <v>0</v>
      </c>
    </row>
    <row r="15">
      <c r="A15">
        <f>Skills!A15</f>
        <v/>
      </c>
      <c r="B15">
        <f>Skills!B15</f>
        <v/>
      </c>
      <c r="C15">
        <f>Inputs!$B$3&gt;=75</f>
        <v/>
      </c>
      <c r="D15">
        <f>IF(Skills!C15=1,60+Inputs!$B$24+Inputs!$B$28,IF(Skills!C15=2,90+Inputs!$B$25+Inputs!$B$28,IF(Skills!C15=3,120+Inputs!$B$26+Inputs!$B$28,MAX(0,(Inputs!$B$3-100)*3)+Inputs!$B$27+Inputs!$B$28)))</f>
        <v/>
      </c>
      <c r="E15">
        <f>INDEX(FactorTable!$B$2:$Y$301, MATCH(ROUND(MIN(300,MAX(1,D15)),0), FactorTable!$A$2:$A$301,0), Skills!L15+1)</f>
        <v/>
      </c>
      <c r="F15">
        <f>IF(Skills!M15=TRUE,(Skills!K15/10)*(E15/1000),Skills!K15/10)+Skills!N15</f>
        <v/>
      </c>
      <c r="G15">
        <f>Skills!F15*IF(Skills!G15&gt;0,Skills!H15/Skills!G15,1)</f>
        <v/>
      </c>
      <c r="H15">
        <f>1-(1-Skills!I15/100)^Skills!J15</f>
        <v/>
      </c>
      <c r="I15">
        <f>IF(Skills!T15&lt;&gt;"",1+(Skills!T15/10)*($Z$3/1000)/100,1)</f>
        <v/>
      </c>
      <c r="J15" t="inlineStr"/>
      <c r="K15" t="inlineStr"/>
      <c r="L15" t="inlineStr"/>
      <c r="M15" t="inlineStr"/>
      <c r="N15" t="inlineStr"/>
      <c r="O15" t="n">
        <v>0</v>
      </c>
      <c r="P15">
        <f>IF(Summary!$B$3=0,0,O15/Summary!$B$3)</f>
        <v/>
      </c>
      <c r="Q15">
        <f>IFERROR(1/IF(Inputs!$B$4="pvp",15,MAX(0.1,Skills!D15-IF(Skills!E15=TRUE,Inputs!$B$31,0))),0)</f>
        <v/>
      </c>
      <c r="R15" t="n">
        <v>0</v>
      </c>
    </row>
    <row r="16">
      <c r="A16">
        <f>Skills!A16</f>
        <v/>
      </c>
      <c r="B16">
        <f>Skills!B16</f>
        <v/>
      </c>
      <c r="C16">
        <f>Inputs!$B$3&gt;=110</f>
        <v/>
      </c>
      <c r="D16">
        <f>IF(Skills!C16=1,60+Inputs!$B$24+Inputs!$B$28,IF(Skills!C16=2,90+Inputs!$B$25+Inputs!$B$28,IF(Skills!C16=3,120+Inputs!$B$26+Inputs!$B$28,MAX(0,(Inputs!$B$3-100)*3)+Inputs!$B$27+Inputs!$B$28)))</f>
        <v/>
      </c>
      <c r="E16">
        <f>INDEX(FactorTable!$B$2:$Y$301, MATCH(ROUND(MIN(300,MAX(1,D16)),0), FactorTable!$A$2:$A$301,0), Skills!L16+1)</f>
        <v/>
      </c>
      <c r="F16">
        <f>(Skills!K16/10)*(E16/1000)*64/45+Skills!N16</f>
        <v/>
      </c>
      <c r="G16">
        <f>Skills!F16*IF(Skills!G16&gt;0,Skills!H16/Skills!G16,1)</f>
        <v/>
      </c>
      <c r="H16">
        <f>1-(1-Skills!I16/100)^Skills!J16</f>
        <v/>
      </c>
      <c r="I16">
        <f>IF(Skills!T16&lt;&gt;"",1+(Skills!T16/10)*($Z$3/1000)/100,1)</f>
        <v/>
      </c>
      <c r="J16" t="inlineStr"/>
      <c r="K16" t="inlineStr"/>
      <c r="L16" t="inlineStr"/>
      <c r="M16" t="inlineStr"/>
      <c r="N16" t="inlineStr"/>
      <c r="O16" t="n">
        <v>0</v>
      </c>
      <c r="P16">
        <f>IF(Summary!$B$3=0,0,O16/Summary!$B$3)</f>
        <v/>
      </c>
      <c r="Q16">
        <f>IFERROR(1/IF(Inputs!$B$4="pvp",15,MAX(0.1,Skills!D16-IF(Skills!E16=TRUE,Inputs!$B$31,0))),0)</f>
        <v/>
      </c>
      <c r="R16">
        <f>IF(AND(Inputs!$B$4&lt;&gt;"pvp",Inputs!$B$35&gt;0),(INT(Inputs!$B$35/IF(Inputs!$B$4="pvp",15,MAX(0.1,Skills!D16-IF(Skills!E16=TRUE,Inputs!$B$31,0))))+1),0)</f>
        <v/>
      </c>
    </row>
    <row r="17">
      <c r="A17">
        <f>Skills!A17</f>
        <v/>
      </c>
      <c r="B17">
        <f>Skills!B17</f>
        <v/>
      </c>
      <c r="C17">
        <f>Inputs!$B$3&gt;=33</f>
        <v/>
      </c>
      <c r="D17">
        <f>IF(Skills!C17=1,60+Inputs!$B$24+Inputs!$B$28,IF(Skills!C17=2,90+Inputs!$B$25+Inputs!$B$28,IF(Skills!C17=3,120+Inputs!$B$26+Inputs!$B$28,MAX(0,(Inputs!$B$3-100)*3)+Inputs!$B$27+Inputs!$B$28)))</f>
        <v/>
      </c>
      <c r="E17">
        <f>INDEX(FactorTable!$B$2:$Y$301, MATCH(ROUND(MIN(300,MAX(1,D17)),0), FactorTable!$A$2:$A$301,0), Skills!L17+1)</f>
        <v/>
      </c>
      <c r="F17">
        <f>IF(Skills!M17=TRUE,(Skills!K17/10)*(E17/1000),Skills!K17/10)+Skills!N17</f>
        <v/>
      </c>
      <c r="G17">
        <f>Skills!F17*IF(Skills!G17&gt;0,Skills!H17/Skills!G17,1)</f>
        <v/>
      </c>
      <c r="H17">
        <f>1-(1-Skills!I17/100)^Skills!J17</f>
        <v/>
      </c>
      <c r="I17">
        <f>IF(Skills!T17&lt;&gt;"",1+(Skills!T17/10)*($Z$3/1000)/100,1)</f>
        <v/>
      </c>
      <c r="J17" t="inlineStr"/>
      <c r="K17" t="inlineStr"/>
      <c r="L17" t="inlineStr"/>
      <c r="M17" t="inlineStr"/>
      <c r="N17" t="inlineStr"/>
      <c r="O17" t="n">
        <v>0</v>
      </c>
      <c r="P17">
        <f>IF(Summary!$B$3=0,0,O17/Summary!$B$3)</f>
        <v/>
      </c>
      <c r="Q17">
        <f>IFERROR(1/IF(Inputs!$B$4="pvp",15,MAX(0.1,Skills!D17-IF(Skills!E17=TRUE,Inputs!$B$31,0))),0)</f>
        <v/>
      </c>
      <c r="R17" t="n">
        <v>0</v>
      </c>
    </row>
    <row r="18">
      <c r="A18">
        <f>Skills!A18</f>
        <v/>
      </c>
      <c r="B18">
        <f>Skills!B18</f>
        <v/>
      </c>
      <c r="C18">
        <f>Inputs!$B$3&gt;=43</f>
        <v/>
      </c>
      <c r="D18">
        <f>IF(Skills!C18=1,60+Inputs!$B$24+Inputs!$B$28,IF(Skills!C18=2,90+Inputs!$B$25+Inputs!$B$28,IF(Skills!C18=3,120+Inputs!$B$26+Inputs!$B$28,MAX(0,(Inputs!$B$3-100)*3)+Inputs!$B$27+Inputs!$B$28)))</f>
        <v/>
      </c>
      <c r="E18">
        <f>INDEX(FactorTable!$B$2:$Y$301, MATCH(ROUND(MIN(300,MAX(1,D18)),0), FactorTable!$A$2:$A$301,0), Skills!L18+1)</f>
        <v/>
      </c>
      <c r="F18">
        <f>IF(Skills!M18=TRUE,(Skills!K18/10)*(E18/1000),Skills!K18/10)+Skills!N18</f>
        <v/>
      </c>
      <c r="G18">
        <f>Skills!F18*IF(Skills!G18&gt;0,Skills!H18/Skills!G18,1)</f>
        <v/>
      </c>
      <c r="H18">
        <f>1-(1-Skills!I18/100)^Skills!J18</f>
        <v/>
      </c>
      <c r="I18">
        <f>IF(Skills!T18&lt;&gt;"",1+(Skills!T18/10)*($Z$3/1000)/100,1)</f>
        <v/>
      </c>
      <c r="J18" t="inlineStr"/>
      <c r="K18" t="inlineStr"/>
      <c r="L18" t="inlineStr"/>
      <c r="M18" t="inlineStr"/>
      <c r="N18" t="inlineStr"/>
      <c r="O18" t="n">
        <v>0</v>
      </c>
      <c r="P18">
        <f>IF(Summary!$B$3=0,0,O18/Summary!$B$3)</f>
        <v/>
      </c>
      <c r="Q18">
        <f>IFERROR(1/IF(Inputs!$B$4="pvp",15,MAX(0.1,Skills!D18-IF(Skills!E18=TRUE,Inputs!$B$31,0))),0)</f>
        <v/>
      </c>
      <c r="R18" t="n">
        <v>0</v>
      </c>
    </row>
    <row r="19">
      <c r="A19">
        <f>Skills!A19</f>
        <v/>
      </c>
      <c r="B19">
        <f>Skills!B19</f>
        <v/>
      </c>
      <c r="C19">
        <f>Inputs!$B$3&gt;=50</f>
        <v/>
      </c>
      <c r="D19">
        <f>IF(Skills!C19=1,60+Inputs!$B$24+Inputs!$B$28,IF(Skills!C19=2,90+Inputs!$B$25+Inputs!$B$28,IF(Skills!C19=3,120+Inputs!$B$26+Inputs!$B$28,MAX(0,(Inputs!$B$3-100)*3)+Inputs!$B$27+Inputs!$B$28)))</f>
        <v/>
      </c>
      <c r="E19">
        <f>INDEX(FactorTable!$B$2:$Y$301, MATCH(ROUND(MIN(300,MAX(1,D19)),0), FactorTable!$A$2:$A$301,0), Skills!L19+1)</f>
        <v/>
      </c>
      <c r="F19">
        <f>IF(Skills!M19=TRUE,(Skills!K19/10)*(E19/1000),Skills!K19/10)+Skills!N19</f>
        <v/>
      </c>
      <c r="G19">
        <f>Skills!F19*IF(Skills!G19&gt;0,Skills!H19/Skills!G19,1)</f>
        <v/>
      </c>
      <c r="H19">
        <f>1-(1-Skills!I19/100)^Skills!J19</f>
        <v/>
      </c>
      <c r="I19">
        <f>IF(Skills!T19&lt;&gt;"",1+(Skills!T19/10)*($Z$3/1000)/100,1)</f>
        <v/>
      </c>
      <c r="J19" t="inlineStr"/>
      <c r="K19" t="inlineStr"/>
      <c r="L19" t="inlineStr"/>
      <c r="M19" t="inlineStr"/>
      <c r="N19" t="inlineStr"/>
      <c r="O19" t="n">
        <v>0</v>
      </c>
      <c r="P19">
        <f>IF(Summary!$B$3=0,0,O19/Summary!$B$3)</f>
        <v/>
      </c>
      <c r="Q19">
        <f>IFERROR(1/IF(Inputs!$B$4="pvp",15,MAX(0.1,Skills!D19-IF(Skills!E19=TRUE,Inputs!$B$31,0))),0)</f>
        <v/>
      </c>
      <c r="R19" t="n">
        <v>0</v>
      </c>
    </row>
    <row r="20">
      <c r="A20">
        <f>Skills!A20</f>
        <v/>
      </c>
      <c r="B20">
        <f>Skills!B20</f>
        <v/>
      </c>
      <c r="C20">
        <f>Inputs!$B$3&gt;=74</f>
        <v/>
      </c>
      <c r="D20">
        <f>IF(Skills!C20=1,60+Inputs!$B$24+Inputs!$B$28,IF(Skills!C20=2,90+Inputs!$B$25+Inputs!$B$28,IF(Skills!C20=3,120+Inputs!$B$26+Inputs!$B$28,MAX(0,(Inputs!$B$3-100)*3)+Inputs!$B$27+Inputs!$B$28)))</f>
        <v/>
      </c>
      <c r="E20">
        <f>INDEX(FactorTable!$B$2:$Y$301, MATCH(ROUND(MIN(300,MAX(1,D20)),0), FactorTable!$A$2:$A$301,0), Skills!L20+1)</f>
        <v/>
      </c>
      <c r="F20">
        <f>IF(Skills!M20=TRUE,(Skills!K20/10)*(E20/1000),Skills!K20/10)+Skills!N20</f>
        <v/>
      </c>
      <c r="G20">
        <f>Skills!F20*IF(Skills!G20&gt;0,Skills!H20/Skills!G20,1)</f>
        <v/>
      </c>
      <c r="H20">
        <f>1-(1-Skills!I20/100)^Skills!J20</f>
        <v/>
      </c>
      <c r="I20">
        <f>IF(Skills!T20&lt;&gt;"",1+(Skills!T20/10)*($Z$3/1000)/100,1)</f>
        <v/>
      </c>
      <c r="J20" t="inlineStr"/>
      <c r="K20" t="inlineStr"/>
      <c r="L20" t="inlineStr"/>
      <c r="M20" t="inlineStr"/>
      <c r="N20" t="inlineStr"/>
      <c r="O20" t="n">
        <v>0</v>
      </c>
      <c r="P20">
        <f>IF(Summary!$B$3=0,0,O20/Summary!$B$3)</f>
        <v/>
      </c>
      <c r="Q20">
        <f>IFERROR(1/IF(Inputs!$B$4="pvp",15,MAX(0.1,Skills!D20-IF(Skills!E20=TRUE,Inputs!$B$31,0))),0)</f>
        <v/>
      </c>
      <c r="R20" t="n">
        <v>0</v>
      </c>
    </row>
    <row r="21">
      <c r="A21">
        <f>Skills!A21</f>
        <v/>
      </c>
      <c r="B21">
        <f>Skills!B21</f>
        <v/>
      </c>
      <c r="C21">
        <f>Inputs!$B$3&gt;=74</f>
        <v/>
      </c>
      <c r="D21">
        <f>IF(Skills!C21=1,60+Inputs!$B$24+Inputs!$B$28,IF(Skills!C21=2,90+Inputs!$B$25+Inputs!$B$28,IF(Skills!C21=3,120+Inputs!$B$26+Inputs!$B$28,MAX(0,(Inputs!$B$3-100)*3)+Inputs!$B$27+Inputs!$B$28)))</f>
        <v/>
      </c>
      <c r="E21">
        <f>INDEX(FactorTable!$B$2:$Y$301, MATCH(ROUND(MIN(300,MAX(1,D21)),0), FactorTable!$A$2:$A$301,0), Skills!L21+1)</f>
        <v/>
      </c>
      <c r="F21">
        <f>IF(Skills!M21=TRUE,(Skills!K21/10)*(E21/1000),Skills!K21/10)+Skills!N21</f>
        <v/>
      </c>
      <c r="G21">
        <f>Skills!F21*IF(Skills!G21&gt;0,Skills!H21/Skills!G21,1)</f>
        <v/>
      </c>
      <c r="H21">
        <f>1-(1-Skills!I21/100)^Skills!J21</f>
        <v/>
      </c>
      <c r="I21">
        <f>IF(Skills!T21&lt;&gt;"",1+(Skills!T21/10)*($Z$3/1000)/100,1)</f>
        <v/>
      </c>
      <c r="J21" t="inlineStr"/>
      <c r="K21" t="inlineStr"/>
      <c r="L21" t="inlineStr"/>
      <c r="M21" t="inlineStr"/>
      <c r="N21" t="inlineStr"/>
      <c r="O21" t="n">
        <v>0</v>
      </c>
      <c r="P21">
        <f>IF(Summary!$B$3=0,0,O21/Summary!$B$3)</f>
        <v/>
      </c>
      <c r="Q21">
        <f>IFERROR(1/IF(Inputs!$B$4="pvp",15,MAX(0.1,Skills!D21-IF(Skills!E21=TRUE,Inputs!$B$31,0))),0)</f>
        <v/>
      </c>
      <c r="R21" t="n">
        <v>0</v>
      </c>
    </row>
    <row r="22">
      <c r="A22">
        <f>Skills!A22</f>
        <v/>
      </c>
      <c r="B22">
        <f>Skills!B22</f>
        <v/>
      </c>
      <c r="C22">
        <f>Inputs!$B$3&gt;=117</f>
        <v/>
      </c>
      <c r="D22">
        <f>IF(Skills!C22=1,60+Inputs!$B$24+Inputs!$B$28,IF(Skills!C22=2,90+Inputs!$B$25+Inputs!$B$28,IF(Skills!C22=3,120+Inputs!$B$26+Inputs!$B$28,MAX(0,(Inputs!$B$3-100)*3)+Inputs!$B$27+Inputs!$B$28)))</f>
        <v/>
      </c>
      <c r="E22">
        <f>INDEX(FactorTable!$B$2:$Y$301, MATCH(ROUND(MIN(300,MAX(1,D22)),0), FactorTable!$A$2:$A$301,0), Skills!L22+1)</f>
        <v/>
      </c>
      <c r="F22">
        <f>IF(Skills!M22=TRUE,(Skills!K22/10)*(E22/1000),Skills!K22/10)+Skills!N22</f>
        <v/>
      </c>
      <c r="G22">
        <f>Skills!F22*IF(Skills!G22&gt;0,Skills!H22/Skills!G22,1)</f>
        <v/>
      </c>
      <c r="H22">
        <f>1-(1-Skills!I22/100)^Skills!J22</f>
        <v/>
      </c>
      <c r="I22">
        <f>IF(Skills!T22&lt;&gt;"",1+(Skills!T22/10)*($Z$3/1000)/100,1)</f>
        <v/>
      </c>
      <c r="J22" t="inlineStr"/>
      <c r="K22" t="inlineStr"/>
      <c r="L22" t="inlineStr"/>
      <c r="M22" t="inlineStr"/>
      <c r="N22" t="inlineStr"/>
      <c r="O22" t="n">
        <v>0</v>
      </c>
      <c r="P22">
        <f>IF(Summary!$B$3=0,0,O22/Summary!$B$3)</f>
        <v/>
      </c>
      <c r="Q22">
        <f>IFERROR(1/IF(Inputs!$B$4="pvp",15,MAX(0.1,Skills!D22-IF(Skills!E22=TRUE,Inputs!$B$31,0))),0)</f>
        <v/>
      </c>
      <c r="R22" t="n">
        <v>0</v>
      </c>
    </row>
    <row r="23">
      <c r="A23">
        <f>Skills!A23</f>
        <v/>
      </c>
      <c r="B23">
        <f>Skills!B23</f>
        <v/>
      </c>
      <c r="C23">
        <f>Inputs!$B$3&gt;=120</f>
        <v/>
      </c>
      <c r="D23">
        <f>IF(Skills!C23=1,60+Inputs!$B$24+Inputs!$B$28,IF(Skills!C23=2,90+Inputs!$B$25+Inputs!$B$28,IF(Skills!C23=3,120+Inputs!$B$26+Inputs!$B$28,MAX(0,(Inputs!$B$3-100)*3)+Inputs!$B$27+Inputs!$B$28)))</f>
        <v/>
      </c>
      <c r="E23">
        <f>INDEX(FactorTable!$B$2:$Y$301, MATCH(ROUND(MIN(300,MAX(1,D23)),0), FactorTable!$A$2:$A$301,0), Skills!L23+1)</f>
        <v/>
      </c>
      <c r="F23">
        <f>IF(Skills!M23=TRUE,(Skills!K23/10)*(E23/1000),Skills!K23/10)+Skills!N23</f>
        <v/>
      </c>
      <c r="G23">
        <f>Skills!F23*IF(Skills!G23&gt;0,Skills!H23/Skills!G23,1)</f>
        <v/>
      </c>
      <c r="H23">
        <f>1-(1-Skills!I23/100)^Skills!J23</f>
        <v/>
      </c>
      <c r="I23">
        <f>IF(Skills!T23&lt;&gt;"",1+(Skills!T23/10)*($Z$3/1000)/100,1)</f>
        <v/>
      </c>
      <c r="J23" t="inlineStr"/>
      <c r="K23" t="inlineStr"/>
      <c r="L23" t="inlineStr"/>
      <c r="M23" t="inlineStr"/>
      <c r="N23" t="inlineStr"/>
      <c r="O23" t="n">
        <v>0</v>
      </c>
      <c r="P23">
        <f>IF(Summary!$B$3=0,0,O23/Summary!$B$3)</f>
        <v/>
      </c>
      <c r="Q23">
        <f>IFERROR(1/IF(Inputs!$B$4="pvp",15,MAX(0.1,Skills!D23-IF(Skills!E23=TRUE,Inputs!$B$31,0))),0)</f>
        <v/>
      </c>
      <c r="R2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60" customWidth="1" min="1" max="1"/>
    <col width="16" customWidth="1" min="2" max="2"/>
    <col width="12" customWidth="1" min="3" max="3"/>
  </cols>
  <sheetData>
    <row r="1">
      <c r="A1" s="4" t="inlineStr">
        <is>
          <t>Arch Mage (Ice/Lightning) — DPS Summary</t>
        </is>
      </c>
    </row>
    <row r="3">
      <c r="A3" s="9" t="inlineStr">
        <is>
          <t>TOTAL DPS</t>
        </is>
      </c>
      <c r="B3" s="9">
        <f>SUM(Calc!O2:O23)</f>
        <v/>
      </c>
    </row>
    <row r="5">
      <c r="A5" s="7" t="inlineStr">
        <is>
          <t>Per-Skill DPS Breakdown</t>
        </is>
      </c>
    </row>
    <row r="6">
      <c r="A6" s="8" t="inlineStr">
        <is>
          <t>Skill</t>
        </is>
      </c>
      <c r="B6" s="8" t="inlineStr">
        <is>
          <t>DPS</t>
        </is>
      </c>
      <c r="C6" s="8" t="inlineStr">
        <is>
          <t>% of Total</t>
        </is>
      </c>
    </row>
    <row r="7">
      <c r="A7">
        <f>Calc!B2</f>
        <v/>
      </c>
      <c r="B7">
        <f>Calc!O2</f>
        <v/>
      </c>
      <c r="C7">
        <f>Calc!P2*100</f>
        <v/>
      </c>
    </row>
    <row r="8">
      <c r="A8">
        <f>Calc!B5</f>
        <v/>
      </c>
      <c r="B8">
        <f>Calc!O5</f>
        <v/>
      </c>
      <c r="C8">
        <f>Calc!P5*100</f>
        <v/>
      </c>
    </row>
    <row r="9">
      <c r="A9">
        <f>Calc!B6</f>
        <v/>
      </c>
      <c r="B9">
        <f>Calc!O6</f>
        <v/>
      </c>
      <c r="C9">
        <f>Calc!P6*100</f>
        <v/>
      </c>
    </row>
    <row r="10">
      <c r="A10">
        <f>Calc!B7</f>
        <v/>
      </c>
      <c r="B10">
        <f>Calc!O7</f>
        <v/>
      </c>
      <c r="C10">
        <f>Calc!P7*100</f>
        <v/>
      </c>
    </row>
    <row r="11">
      <c r="A11">
        <f>Calc!B8</f>
        <v/>
      </c>
      <c r="B11">
        <f>Calc!O8</f>
        <v/>
      </c>
      <c r="C11">
        <f>Calc!P8*100</f>
        <v/>
      </c>
    </row>
    <row r="12">
      <c r="A12">
        <f>Calc!B9</f>
        <v/>
      </c>
      <c r="B12">
        <f>Calc!O9</f>
        <v/>
      </c>
      <c r="C12">
        <f>Calc!P9*100</f>
        <v/>
      </c>
    </row>
    <row r="13">
      <c r="A13">
        <f>Calc!B10</f>
        <v/>
      </c>
      <c r="B13">
        <f>Calc!O10</f>
        <v/>
      </c>
      <c r="C13">
        <f>Calc!P10*100</f>
        <v/>
      </c>
    </row>
    <row r="14">
      <c r="A14">
        <f>Calc!B11</f>
        <v/>
      </c>
      <c r="B14">
        <f>Calc!O11</f>
        <v/>
      </c>
      <c r="C14">
        <f>Calc!P11*100</f>
        <v/>
      </c>
    </row>
    <row r="15">
      <c r="A15">
        <f>Calc!B12</f>
        <v/>
      </c>
      <c r="B15">
        <f>Calc!O12</f>
        <v/>
      </c>
      <c r="C15">
        <f>Calc!P12*100</f>
        <v/>
      </c>
    </row>
    <row r="16">
      <c r="A16" s="7" t="inlineStr">
        <is>
          <t>Marginal DPS &amp; Stat Value (see Sensitivity for full detail)</t>
        </is>
      </c>
    </row>
    <row r="18">
      <c r="A18" s="8" t="inlineStr">
        <is>
          <t>Stat</t>
        </is>
      </c>
      <c r="B18" s="8" t="inlineStr">
        <is>
          <t>DPS per +1</t>
        </is>
      </c>
      <c r="C18" s="8" t="inlineStr">
        <is>
          <t>Units per +1% DPS</t>
        </is>
      </c>
    </row>
    <row r="19">
      <c r="A19">
        <f>Sensitivity!A5</f>
        <v/>
      </c>
      <c r="B19">
        <f>Sensitivity!H5</f>
        <v/>
      </c>
      <c r="C19">
        <f>Sensitivity!B5</f>
        <v/>
      </c>
    </row>
    <row r="20">
      <c r="A20">
        <f>Sensitivity!A6</f>
        <v/>
      </c>
      <c r="B20">
        <f>Sensitivity!H6</f>
        <v/>
      </c>
      <c r="C20">
        <f>Sensitivity!B6</f>
        <v/>
      </c>
    </row>
    <row r="21">
      <c r="A21">
        <f>Sensitivity!A7</f>
        <v/>
      </c>
      <c r="B21">
        <f>Sensitivity!H7</f>
        <v/>
      </c>
      <c r="C21">
        <f>Sensitivity!B7</f>
        <v/>
      </c>
    </row>
    <row r="22">
      <c r="A22">
        <f>Sensitivity!A8</f>
        <v/>
      </c>
      <c r="B22">
        <f>Sensitivity!H8</f>
        <v/>
      </c>
      <c r="C22">
        <f>Sensitivity!B8</f>
        <v/>
      </c>
    </row>
    <row r="23">
      <c r="A23">
        <f>Sensitivity!A9</f>
        <v/>
      </c>
      <c r="B23">
        <f>Sensitivity!H9</f>
        <v/>
      </c>
      <c r="C23">
        <f>Sensitivity!B9</f>
        <v/>
      </c>
    </row>
    <row r="24">
      <c r="A24">
        <f>Sensitivity!A10</f>
        <v/>
      </c>
      <c r="B24">
        <f>Sensitivity!H10</f>
        <v/>
      </c>
      <c r="C24">
        <f>Sensitivity!B10</f>
        <v/>
      </c>
    </row>
    <row r="25">
      <c r="A25">
        <f>Sensitivity!A11</f>
        <v/>
      </c>
      <c r="B25">
        <f>Sensitivity!H11</f>
        <v/>
      </c>
      <c r="C25">
        <f>Sensitivity!B11</f>
        <v/>
      </c>
    </row>
    <row r="26">
      <c r="A26">
        <f>Sensitivity!A12</f>
        <v/>
      </c>
      <c r="B26">
        <f>Sensitivity!H12</f>
        <v/>
      </c>
      <c r="C26">
        <f>Sensitivity!B12</f>
        <v/>
      </c>
    </row>
    <row r="27">
      <c r="A27">
        <f>Sensitivity!A13</f>
        <v/>
      </c>
      <c r="B27">
        <f>Sensitivity!H13</f>
        <v/>
      </c>
      <c r="C27">
        <f>Sensitivity!B13</f>
        <v/>
      </c>
    </row>
    <row r="28">
      <c r="A28">
        <f>Sensitivity!A14</f>
        <v/>
      </c>
      <c r="B28">
        <f>Sensitivity!H14</f>
        <v/>
      </c>
      <c r="C28">
        <f>Sensitivity!B14</f>
        <v/>
      </c>
    </row>
    <row r="29">
      <c r="A29">
        <f>Sensitivity!A15</f>
        <v/>
      </c>
      <c r="B29">
        <f>Sensitivity!H15</f>
        <v/>
      </c>
      <c r="C29">
        <f>Sensitivity!B15</f>
        <v/>
      </c>
    </row>
    <row r="30">
      <c r="A30">
        <f>Sensitivity!A16</f>
        <v/>
      </c>
      <c r="B30">
        <f>Sensitivity!H16</f>
        <v/>
      </c>
      <c r="C30">
        <f>Sensitivity!B16</f>
        <v/>
      </c>
    </row>
    <row r="31">
      <c r="A31">
        <f>Sensitivity!A17</f>
        <v/>
      </c>
      <c r="B31">
        <f>Sensitivity!H17</f>
        <v/>
      </c>
      <c r="C31">
        <f>Sensitivity!B17</f>
        <v/>
      </c>
    </row>
    <row r="32">
      <c r="A32">
        <f>Sensitivity!A18</f>
        <v/>
      </c>
      <c r="B32">
        <f>Sensitivity!H18</f>
        <v/>
      </c>
      <c r="C32">
        <f>Sensitivity!B18</f>
        <v/>
      </c>
    </row>
    <row r="33">
      <c r="A33">
        <f>Sensitivity!A19</f>
        <v/>
      </c>
      <c r="B33">
        <f>Sensitivity!H19</f>
        <v/>
      </c>
      <c r="C33">
        <f>Sensitivity!B19</f>
        <v/>
      </c>
    </row>
    <row r="34">
      <c r="A34">
        <f>Sensitivity!A20</f>
        <v/>
      </c>
      <c r="B34">
        <f>Sensitivity!H20</f>
        <v/>
      </c>
      <c r="C34">
        <f>Sensitivity!B20</f>
        <v/>
      </c>
    </row>
    <row r="35">
      <c r="A35">
        <f>Sensitivity!A21</f>
        <v/>
      </c>
      <c r="B35">
        <f>Sensitivity!H21</f>
        <v/>
      </c>
      <c r="C35">
        <f>Sensitivity!B21</f>
        <v/>
      </c>
    </row>
    <row r="36">
      <c r="A36">
        <f>Sensitivity!A22</f>
        <v/>
      </c>
      <c r="B36">
        <f>Sensitivity!H22</f>
        <v/>
      </c>
      <c r="C36">
        <f>Sensitivity!B22</f>
        <v/>
      </c>
    </row>
    <row r="37">
      <c r="A37">
        <f>Sensitivity!A23</f>
        <v/>
      </c>
      <c r="B37">
        <f>Sensitivity!H23</f>
        <v/>
      </c>
      <c r="C37">
        <f>Sensitivity!B23</f>
        <v/>
      </c>
    </row>
    <row r="38">
      <c r="A38">
        <f>Sensitivity!A24</f>
        <v/>
      </c>
      <c r="B38">
        <f>Sensitivity!H24</f>
        <v/>
      </c>
      <c r="C38">
        <f>Sensitivity!B24</f>
        <v/>
      </c>
    </row>
    <row r="39">
      <c r="A39">
        <f>Sensitivity!A25</f>
        <v/>
      </c>
      <c r="B39">
        <f>Sensitivity!H25</f>
        <v/>
      </c>
      <c r="C39">
        <f>Sensitivity!B25</f>
        <v/>
      </c>
    </row>
    <row r="40">
      <c r="A40">
        <f>Sensitivity!A26</f>
        <v/>
      </c>
      <c r="B40">
        <f>Sensitivity!H26</f>
        <v/>
      </c>
      <c r="C40">
        <f>Sensitivity!B26</f>
        <v/>
      </c>
    </row>
    <row r="41">
      <c r="A41">
        <f>Sensitivity!A27</f>
        <v/>
      </c>
      <c r="B41">
        <f>Sensitivity!H27</f>
        <v/>
      </c>
      <c r="C41">
        <f>Sensitivity!B27</f>
        <v/>
      </c>
    </row>
    <row r="42">
      <c r="A42">
        <f>Sensitivity!A28</f>
        <v/>
      </c>
      <c r="B42">
        <f>Sensitivity!H28</f>
        <v/>
      </c>
      <c r="C42">
        <f>Sensitivity!B28</f>
        <v/>
      </c>
    </row>
    <row r="43">
      <c r="A43">
        <f>Sensitivity!A29</f>
        <v/>
      </c>
      <c r="B43">
        <f>Sensitivity!H29</f>
        <v/>
      </c>
      <c r="C43">
        <f>Sensitivity!B29</f>
        <v/>
      </c>
    </row>
    <row r="45">
      <c r="A45" s="7" t="inlineStr">
        <is>
          <t>Derived Values (read-only, computed from Inputs)</t>
        </is>
      </c>
    </row>
    <row r="46">
      <c r="A46" t="inlineStr">
        <is>
          <t>ATTACK (= Flat ATTACK x (1+ATTACK%/100))</t>
        </is>
      </c>
      <c r="B46">
        <f>Inputs!$B$5*(1+Inputs!$B$6/100)</f>
        <v/>
      </c>
    </row>
    <row r="47">
      <c r="A47" t="inlineStr">
        <is>
          <t>STAT_DAMAGE % (= 1% of total INT + 0.25% of LUK)</t>
        </is>
      </c>
      <c r="B47">
        <f>(Inputs!$B$11*(1+Inputs!$B$12/100))*0.01+Inputs!$B$13*0.0025</f>
        <v/>
      </c>
    </row>
    <row r="48">
      <c r="A48" t="inlineStr">
        <is>
          <t>Basic Attack (Chain Lightning) Input Level (4th job formula)</t>
        </is>
      </c>
      <c r="B48">
        <f>MAX(0,(Inputs!$B$3-100)*3)+Inputs!$B$27+Inputs!$B$28</f>
        <v/>
      </c>
    </row>
    <row r="49">
      <c r="A49" t="inlineStr">
        <is>
          <t>Basic Attack Factor (factorIndex 21, from Chain Lightning reverse-engineering)</t>
        </is>
      </c>
      <c r="B49">
        <f>INDEX(FactorTable!$B$2:$Y$301, MATCH(ROUND(MIN(300,MAX(1,Summary!$B$48)),0), FactorTable!$A$2:$A$301,0), 22)</f>
        <v/>
      </c>
    </row>
    <row r="50">
      <c r="A50" t="inlineStr">
        <is>
          <t>SKILL_COEFFICIENT — Chain Lightning base coefficient % (before Skill Mastery)</t>
        </is>
      </c>
      <c r="B50">
        <f>290*Summary!$B$49/1000</f>
        <v/>
      </c>
    </row>
    <row r="51">
      <c r="A51" t="inlineStr">
        <is>
          <t>Normal-Monster Weight (= 0 for boss, 1 for normal, Breakthrough Normal Weight % for breakthrough, 0 for pvp)</t>
        </is>
      </c>
      <c r="B51">
        <f>IF(Inputs!$B$4="normal",1,IF(Inputs!$B$4="breakthrough",Inputs!$B$36/100,0))</f>
        <v/>
      </c>
    </row>
    <row r="53">
      <c r="A53" t="inlineStr">
        <is>
          <t>Average Buff Multiplier (Magic Guard + Meditation, summed; then Infinity)</t>
        </is>
      </c>
      <c r="B53">
        <f>(1+(IF(Calc!C3=TRUE,Calc!F3*IF(AND(Inputs!$B$4&lt;&gt;"pvp",Inputs!$B$35&gt;0),(((Calc!R3-1)*(Skills!S3*(1+(Inputs!$B$33+IF(Inputs!$B$3&gt;=117,Calc!F22,0))/100))+MIN((Skills!S3*(1+(Inputs!$B$33+IF(Inputs!$B$3&gt;=117,Calc!F22,0))/100)),MAX(0,Inputs!$B$35-((Calc!R3-1)*Skills!D3))))/Inputs!$B$35),IF(Inputs!$B$4="pvp",MIN((Skills!S3*(1+(Inputs!$B$33+IF(Inputs!$B$3&gt;=117,Calc!F22,0))/100)),15)/15,(Skills!S3*(1+(Inputs!$B$33+IF(Inputs!$B$3&gt;=117,Calc!F22,0))/100))/Skills!D3)),0)+IF(Calc!C4=TRUE,Calc!F4*IF(AND(Inputs!$B$4&lt;&gt;"pvp",Inputs!$B$35&gt;0),(((Calc!R4-1)*(Skills!S4*(1+(Inputs!$B$33+IF(Inputs!$B$3&gt;=117,Calc!F22,0))/100))+MIN((Skills!S4*(1+(Inputs!$B$33+IF(Inputs!$B$3&gt;=117,Calc!F22,0))/100)),MAX(0,Inputs!$B$35-((Calc!R4-1)*Skills!D4))))/Inputs!$B$35),IF(Inputs!$B$4="pvp",MIN((Skills!S4*(1+(Inputs!$B$33+IF(Inputs!$B$3&gt;=117,Calc!F22,0))/100)),15)/15,(Skills!S4*(1+(Inputs!$B$33+IF(Inputs!$B$3&gt;=117,Calc!F22,0))/100))/Skills!D4)),0))/100)*IF(Calc!C16=TRUE,(1+Calc!F16*IF(AND(Inputs!$B$4&lt;&gt;"pvp",Inputs!$B$35&gt;0),(((Calc!R16-1)*(Skills!S16*(1+(Inputs!$B$33+IF(Inputs!$B$3&gt;=117,Calc!F22,0))/100))+MIN((Skills!S16*(1+(Inputs!$B$33+IF(Inputs!$B$3&gt;=117,Calc!F22,0))/100)),MAX(0,Inputs!$B$35-((Calc!R16-1)*Skills!D16))))/Inputs!$B$35),IF(Inputs!$B$4="pvp",MIN((Skills!S16*(1+(Inputs!$B$33+IF(Inputs!$B$3&gt;=117,Calc!F22,0))/100)),15)/15,(Skills!S16*(1+(Inputs!$B$33+IF(Inputs!$B$3&gt;=117,Calc!F22,0))/100))/Skills!D16))/100),1)</f>
        <v/>
      </c>
    </row>
    <row r="54">
      <c r="A54" t="inlineStr">
        <is>
          <t>Monster Damage Taken Bonus % (Freezing Breath - Weaken + Elemental Reset, summed)</t>
        </is>
      </c>
      <c r="B54">
        <f>IF(Inputs!$B$3&gt;=118,15*IF(Inputs!$B$4="pvp",MIN((30*(1+(Inputs!$B$33+IF(Inputs!$B$3&gt;=117,Calc!F22,0))/100)),15)/15,(30*(1+(Inputs!$B$33+IF(Inputs!$B$3&gt;=117,Calc!F22,0))/100))/Skills!D8),0)+IF(Calc!C14=TRUE,Calc!F14,0)</f>
        <v/>
      </c>
    </row>
    <row r="55">
      <c r="A55" t="inlineStr">
        <is>
          <t>Damage % Bonus (Frozen Break + Frost Clutch, flat)</t>
        </is>
      </c>
      <c r="B55">
        <f>IF(Inputs!$B$3&gt;=66,15,0)+IF(Inputs!$B$3&gt;=98,10,0)+IF(Inputs!$B$3&gt;=125,20,0)</f>
        <v/>
      </c>
    </row>
    <row r="56">
      <c r="A56" t="inlineStr">
        <is>
          <t>Attack Speed Bonus % (MP Eater - MP Boost, always-on once unlocked)</t>
        </is>
      </c>
      <c r="B56">
        <f>IF(Calc!C13=TRUE,Calc!F13,0)</f>
        <v/>
      </c>
    </row>
    <row r="57">
      <c r="A57" t="inlineStr">
        <is>
          <t>Actions Per Second (Attack Speed combined via diminishing-returns stack, factor 150, then capped)</t>
        </is>
      </c>
      <c r="B57">
        <f>1+MIN(150,150*(1-(1-Inputs!$B$10/150)*(1-B56/150)))/100</f>
        <v/>
      </c>
    </row>
    <row r="58">
      <c r="A58" t="inlineStr">
        <is>
          <t>Skill + Buff Cast Rate (subtracted from Chain Lightning, 1/s)</t>
        </is>
      </c>
      <c r="B58">
        <f>IF(AND(Inputs!$B$4&lt;&gt;"pvp",Inputs!$B$35&gt;0),SUMPRODUCT((Skills!E2:E23=TRUE)*(Calc!C2:C23=TRUE)*Calc!R2:R23)/Inputs!$B$35,SUMPRODUCT((Skills!E2:E23=TRUE)*(Calc!C2:C23=TRUE)*Calc!Q2:Q23))</f>
        <v/>
      </c>
    </row>
    <row r="59">
      <c r="A59" t="inlineStr">
        <is>
          <t>Chain Lightning Casts Per Second (basic-attack rate)</t>
        </is>
      </c>
      <c r="B59">
        <f>MAX(0,B57-B58)</f>
        <v/>
      </c>
    </row>
    <row r="60">
      <c r="A60" t="inlineStr">
        <is>
          <t>Chain Lightning DPS</t>
        </is>
      </c>
      <c r="B60">
        <f>Calc!O2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954"/>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8" t="inlineStr">
        <is>
          <t>Stat</t>
        </is>
      </c>
      <c r="B4" s="8" t="inlineStr">
        <is>
          <t>Units per +1% DPS</t>
        </is>
      </c>
      <c r="C4" s="8" t="inlineStr">
        <is>
          <t>Type</t>
        </is>
      </c>
      <c r="D4" s="8" t="inlineStr">
        <is>
          <t>Current Value</t>
        </is>
      </c>
      <c r="E4" s="8" t="inlineStr">
        <is>
          <t>New Value</t>
        </is>
      </c>
      <c r="F4" s="8" t="inlineStr">
        <is>
          <t>Baseline Total DPS</t>
        </is>
      </c>
      <c r="G4" s="8" t="inlineStr">
        <is>
          <t>New Total DPS</t>
        </is>
      </c>
      <c r="H4" s="8" t="inlineStr">
        <is>
          <t>DPS Gain</t>
        </is>
      </c>
      <c r="I4" s="8" t="inlineStr">
        <is>
          <t>% Gain</t>
        </is>
      </c>
    </row>
    <row r="5">
      <c r="A5" t="inlineStr">
        <is>
          <t>Flat INT</t>
        </is>
      </c>
      <c r="B5">
        <f>IFERROR(1/(I5-100),"n/a")</f>
        <v/>
      </c>
      <c r="C5" t="inlineStr">
        <is>
          <t>flat</t>
        </is>
      </c>
      <c r="D5">
        <f>Inputs!$B$11</f>
        <v/>
      </c>
      <c r="E5">
        <f>(Inputs!$B$11+1)</f>
        <v/>
      </c>
      <c r="F5">
        <f>Summary!$B$3</f>
        <v/>
      </c>
      <c r="G5">
        <f>B66</f>
        <v/>
      </c>
      <c r="H5">
        <f>G5-F5</f>
        <v/>
      </c>
      <c r="I5">
        <f>IF(F5=0,0,G5/F5*100)</f>
        <v/>
      </c>
    </row>
    <row r="6">
      <c r="A6" t="inlineStr">
        <is>
          <t>INT %</t>
        </is>
      </c>
      <c r="B6">
        <f>IFERROR(1/(I6-100),"n/a")</f>
        <v/>
      </c>
      <c r="C6" t="inlineStr">
        <is>
          <t>pct</t>
        </is>
      </c>
      <c r="D6">
        <f>Inputs!$B$12</f>
        <v/>
      </c>
      <c r="E6">
        <f>(Inputs!$B$12+1)</f>
        <v/>
      </c>
      <c r="F6">
        <f>Summary!$B$3</f>
        <v/>
      </c>
      <c r="G6">
        <f>B103</f>
        <v/>
      </c>
      <c r="H6">
        <f>G6-F6</f>
        <v/>
      </c>
      <c r="I6">
        <f>IF(F6=0,0,G6/F6*100)</f>
        <v/>
      </c>
    </row>
    <row r="7">
      <c r="A7" t="inlineStr">
        <is>
          <t>DAMAGE %</t>
        </is>
      </c>
      <c r="B7">
        <f>IFERROR(1/(I7-100),"n/a")</f>
        <v/>
      </c>
      <c r="C7" t="inlineStr">
        <is>
          <t>pct</t>
        </is>
      </c>
      <c r="D7">
        <f>Inputs!$B$14</f>
        <v/>
      </c>
      <c r="E7">
        <f>(Inputs!$B$14+1)</f>
        <v/>
      </c>
      <c r="F7">
        <f>Summary!$B$3</f>
        <v/>
      </c>
      <c r="G7">
        <f>B140</f>
        <v/>
      </c>
      <c r="H7">
        <f>G7-F7</f>
        <v/>
      </c>
      <c r="I7">
        <f>IF(F7=0,0,G7/F7*100)</f>
        <v/>
      </c>
    </row>
    <row r="8">
      <c r="A8" t="inlineStr">
        <is>
          <t>DAMAGE_AMP %</t>
        </is>
      </c>
      <c r="B8">
        <f>IFERROR(1/(I8-100),"n/a")</f>
        <v/>
      </c>
      <c r="C8" t="inlineStr">
        <is>
          <t>pct</t>
        </is>
      </c>
      <c r="D8">
        <f>Inputs!$B$15</f>
        <v/>
      </c>
      <c r="E8">
        <f>(Inputs!$B$15+1)</f>
        <v/>
      </c>
      <c r="F8">
        <f>Summary!$B$3</f>
        <v/>
      </c>
      <c r="G8">
        <f>B177</f>
        <v/>
      </c>
      <c r="H8">
        <f>G8-F8</f>
        <v/>
      </c>
      <c r="I8">
        <f>IF(F8=0,0,G8/F8*100)</f>
        <v/>
      </c>
    </row>
    <row r="9">
      <c r="A9" t="inlineStr">
        <is>
          <t>BOSS_DAMAGE %</t>
        </is>
      </c>
      <c r="B9">
        <f>IFERROR(1/(I9-100),"n/a")</f>
        <v/>
      </c>
      <c r="C9" t="inlineStr">
        <is>
          <t>pct</t>
        </is>
      </c>
      <c r="D9">
        <f>Inputs!$B$19</f>
        <v/>
      </c>
      <c r="E9">
        <f>(Inputs!$B$19+1)</f>
        <v/>
      </c>
      <c r="F9">
        <f>Summary!$B$3</f>
        <v/>
      </c>
      <c r="G9">
        <f>B214</f>
        <v/>
      </c>
      <c r="H9">
        <f>G9-F9</f>
        <v/>
      </c>
      <c r="I9">
        <f>IF(F9=0,0,G9/F9*100)</f>
        <v/>
      </c>
    </row>
    <row r="10">
      <c r="A10" t="inlineStr">
        <is>
          <t>NORMAL_DAMAGE %</t>
        </is>
      </c>
      <c r="B10">
        <f>IFERROR(1/(I10-100),"n/a")</f>
        <v/>
      </c>
      <c r="C10" t="inlineStr">
        <is>
          <t>pct</t>
        </is>
      </c>
      <c r="D10">
        <f>Inputs!$B$20</f>
        <v/>
      </c>
      <c r="E10">
        <f>(Inputs!$B$20+1)</f>
        <v/>
      </c>
      <c r="F10">
        <f>Summary!$B$3</f>
        <v/>
      </c>
      <c r="G10">
        <f>B251</f>
        <v/>
      </c>
      <c r="H10">
        <f>G10-F10</f>
        <v/>
      </c>
      <c r="I10">
        <f>IF(F10=0,0,G10/F10*100)</f>
        <v/>
      </c>
    </row>
    <row r="11">
      <c r="A11" t="inlineStr">
        <is>
          <t>FINAL_DAMAGE % (multiplicative source)</t>
        </is>
      </c>
      <c r="B11">
        <f>IFERROR(1/(I11-100),"n/a")</f>
        <v/>
      </c>
      <c r="C11" t="inlineStr">
        <is>
          <t>mult</t>
        </is>
      </c>
      <c r="D11">
        <f>Inputs!$B$23</f>
        <v/>
      </c>
      <c r="E11">
        <f>((((1+Inputs!$B$23/100)*(1.01))-1)*100)</f>
        <v/>
      </c>
      <c r="F11">
        <f>Summary!$B$3</f>
        <v/>
      </c>
      <c r="G11">
        <f>B288</f>
        <v/>
      </c>
      <c r="H11">
        <f>G11-F11</f>
        <v/>
      </c>
      <c r="I11">
        <f>IF(F11=0,0,G11/F11*100)</f>
        <v/>
      </c>
    </row>
    <row r="12">
      <c r="A12" t="inlineStr">
        <is>
          <t>MIN_DAMAGE %</t>
        </is>
      </c>
      <c r="B12">
        <f>IFERROR(1/(I12-100),"n/a")</f>
        <v/>
      </c>
      <c r="C12" t="inlineStr">
        <is>
          <t>pct</t>
        </is>
      </c>
      <c r="D12">
        <f>Inputs!$B$21</f>
        <v/>
      </c>
      <c r="E12">
        <f>(Inputs!$B$21+1)</f>
        <v/>
      </c>
      <c r="F12">
        <f>Summary!$B$3</f>
        <v/>
      </c>
      <c r="G12">
        <f>B325</f>
        <v/>
      </c>
      <c r="H12">
        <f>G12-F12</f>
        <v/>
      </c>
      <c r="I12">
        <f>IF(F12=0,0,G12/F12*100)</f>
        <v/>
      </c>
    </row>
    <row r="13">
      <c r="A13" t="inlineStr">
        <is>
          <t>MAX_DAMAGE %</t>
        </is>
      </c>
      <c r="B13">
        <f>IFERROR(1/(I13-100),"n/a")</f>
        <v/>
      </c>
      <c r="C13" t="inlineStr">
        <is>
          <t>pct</t>
        </is>
      </c>
      <c r="D13">
        <f>Inputs!$B$22</f>
        <v/>
      </c>
      <c r="E13">
        <f>(Inputs!$B$22+1)</f>
        <v/>
      </c>
      <c r="F13">
        <f>Summary!$B$3</f>
        <v/>
      </c>
      <c r="G13">
        <f>B362</f>
        <v/>
      </c>
      <c r="H13">
        <f>G13-F13</f>
        <v/>
      </c>
      <c r="I13">
        <f>IF(F13=0,0,G13/F13*100)</f>
        <v/>
      </c>
    </row>
    <row r="14">
      <c r="A14" t="inlineStr">
        <is>
          <t>CRIT_RATE %</t>
        </is>
      </c>
      <c r="B14">
        <f>IFERROR(1/(I14-100),"n/a")</f>
        <v/>
      </c>
      <c r="C14" t="inlineStr">
        <is>
          <t>pct</t>
        </is>
      </c>
      <c r="D14">
        <f>Inputs!$B$8</f>
        <v/>
      </c>
      <c r="E14">
        <f>(Inputs!$B$8+1)</f>
        <v/>
      </c>
      <c r="F14">
        <f>Summary!$B$3</f>
        <v/>
      </c>
      <c r="G14">
        <f>B399</f>
        <v/>
      </c>
      <c r="H14">
        <f>G14-F14</f>
        <v/>
      </c>
      <c r="I14">
        <f>IF(F14=0,0,G14/F14*100)</f>
        <v/>
      </c>
    </row>
    <row r="15">
      <c r="A15" t="inlineStr">
        <is>
          <t>CRIT_DAMAGE %</t>
        </is>
      </c>
      <c r="B15">
        <f>IFERROR(1/(I15-100),"n/a")</f>
        <v/>
      </c>
      <c r="C15" t="inlineStr">
        <is>
          <t>pct</t>
        </is>
      </c>
      <c r="D15">
        <f>Inputs!$B$9</f>
        <v/>
      </c>
      <c r="E15">
        <f>(Inputs!$B$9+1)</f>
        <v/>
      </c>
      <c r="F15">
        <f>Summary!$B$3</f>
        <v/>
      </c>
      <c r="G15">
        <f>B436</f>
        <v/>
      </c>
      <c r="H15">
        <f>G15-F15</f>
        <v/>
      </c>
      <c r="I15">
        <f>IF(F15=0,0,G15/F15*100)</f>
        <v/>
      </c>
    </row>
    <row r="16">
      <c r="A16" t="inlineStr">
        <is>
          <t>ATTACK_SPEED % (diminishing returns, factor 150)</t>
        </is>
      </c>
      <c r="B16">
        <f>IFERROR(1/(I16-100),"n/a")</f>
        <v/>
      </c>
      <c r="C16" t="inlineStr">
        <is>
          <t>dr150</t>
        </is>
      </c>
      <c r="D16">
        <f>Inputs!$B$10</f>
        <v/>
      </c>
      <c r="E16">
        <f>((1-(1-Inputs!$B$10/150)*(1-1/150))*150)</f>
        <v/>
      </c>
      <c r="F16">
        <f>Summary!$B$3</f>
        <v/>
      </c>
      <c r="G16">
        <f>B473</f>
        <v/>
      </c>
      <c r="H16">
        <f>G16-F16</f>
        <v/>
      </c>
      <c r="I16">
        <f>IF(F16=0,0,G16/F16*100)</f>
        <v/>
      </c>
    </row>
    <row r="17">
      <c r="A17" t="inlineStr">
        <is>
          <t>DEF_PEN % (diminishing returns, factor 100)</t>
        </is>
      </c>
      <c r="B17">
        <f>IFERROR(1/(I17-100),"n/a")</f>
        <v/>
      </c>
      <c r="C17" t="inlineStr">
        <is>
          <t>dr100</t>
        </is>
      </c>
      <c r="D17">
        <f>Inputs!$B$18</f>
        <v/>
      </c>
      <c r="E17">
        <f>((1-(1-Inputs!$B$18/100)*(1-1/100))*100)</f>
        <v/>
      </c>
      <c r="F17">
        <f>Summary!$B$3</f>
        <v/>
      </c>
      <c r="G17">
        <f>B510</f>
        <v/>
      </c>
      <c r="H17">
        <f>G17-F17</f>
        <v/>
      </c>
      <c r="I17">
        <f>IF(F17=0,0,G17/F17*100)</f>
        <v/>
      </c>
    </row>
    <row r="18">
      <c r="A18" t="inlineStr">
        <is>
          <t>BASIC_ATTACK_DAMAGE %</t>
        </is>
      </c>
      <c r="B18">
        <f>IFERROR(1/(I18-100),"n/a")</f>
        <v/>
      </c>
      <c r="C18" t="inlineStr">
        <is>
          <t>pct</t>
        </is>
      </c>
      <c r="D18">
        <f>Inputs!$B$16</f>
        <v/>
      </c>
      <c r="E18">
        <f>(Inputs!$B$16+1)</f>
        <v/>
      </c>
      <c r="F18">
        <f>Summary!$B$3</f>
        <v/>
      </c>
      <c r="G18">
        <f>B547</f>
        <v/>
      </c>
      <c r="H18">
        <f>G18-F18</f>
        <v/>
      </c>
      <c r="I18">
        <f>IF(F18=0,0,G18/F18*100)</f>
        <v/>
      </c>
    </row>
    <row r="19">
      <c r="A19" t="inlineStr">
        <is>
          <t>SKILL_DAMAGE %</t>
        </is>
      </c>
      <c r="B19">
        <f>IFERROR(1/(I19-100),"n/a")</f>
        <v/>
      </c>
      <c r="C19" t="inlineStr">
        <is>
          <t>pct</t>
        </is>
      </c>
      <c r="D19">
        <f>Inputs!$B$17</f>
        <v/>
      </c>
      <c r="E19">
        <f>(Inputs!$B$17+1)</f>
        <v/>
      </c>
      <c r="F19">
        <f>Summary!$B$3</f>
        <v/>
      </c>
      <c r="G19">
        <f>B584</f>
        <v/>
      </c>
      <c r="H19">
        <f>G19-F19</f>
        <v/>
      </c>
      <c r="I19">
        <f>IF(F19=0,0,G19/F19*100)</f>
        <v/>
      </c>
    </row>
    <row r="20">
      <c r="A20" t="inlineStr">
        <is>
          <t>Skill Level Bonus — 1st Job</t>
        </is>
      </c>
      <c r="B20">
        <f>IFERROR(1/(I20-100),"n/a")</f>
        <v/>
      </c>
      <c r="C20" t="inlineStr">
        <is>
          <t>level</t>
        </is>
      </c>
      <c r="D20">
        <f>Inputs!$B$24</f>
        <v/>
      </c>
      <c r="E20">
        <f>(Inputs!$B$24+1)</f>
        <v/>
      </c>
      <c r="F20">
        <f>Summary!$B$3</f>
        <v/>
      </c>
      <c r="G20">
        <f>B621</f>
        <v/>
      </c>
      <c r="H20">
        <f>G20-F20</f>
        <v/>
      </c>
      <c r="I20">
        <f>IF(F20=0,0,G20/F20*100)</f>
        <v/>
      </c>
    </row>
    <row r="21">
      <c r="A21" t="inlineStr">
        <is>
          <t>Skill Level Bonus — 2nd Job</t>
        </is>
      </c>
      <c r="B21">
        <f>IFERROR(1/(I21-100),"n/a")</f>
        <v/>
      </c>
      <c r="C21" t="inlineStr">
        <is>
          <t>level</t>
        </is>
      </c>
      <c r="D21">
        <f>Inputs!$B$25</f>
        <v/>
      </c>
      <c r="E21">
        <f>(Inputs!$B$25+1)</f>
        <v/>
      </c>
      <c r="F21">
        <f>Summary!$B$3</f>
        <v/>
      </c>
      <c r="G21">
        <f>B658</f>
        <v/>
      </c>
      <c r="H21">
        <f>G21-F21</f>
        <v/>
      </c>
      <c r="I21">
        <f>IF(F21=0,0,G21/F21*100)</f>
        <v/>
      </c>
    </row>
    <row r="22">
      <c r="A22" t="inlineStr">
        <is>
          <t>Skill Level Bonus — 3rd Job</t>
        </is>
      </c>
      <c r="B22">
        <f>IFERROR(1/(I22-100),"n/a")</f>
        <v/>
      </c>
      <c r="C22" t="inlineStr">
        <is>
          <t>level</t>
        </is>
      </c>
      <c r="D22">
        <f>Inputs!$B$26</f>
        <v/>
      </c>
      <c r="E22">
        <f>(Inputs!$B$26+1)</f>
        <v/>
      </c>
      <c r="F22">
        <f>Summary!$B$3</f>
        <v/>
      </c>
      <c r="G22">
        <f>B695</f>
        <v/>
      </c>
      <c r="H22">
        <f>G22-F22</f>
        <v/>
      </c>
      <c r="I22">
        <f>IF(F22=0,0,G22/F22*100)</f>
        <v/>
      </c>
    </row>
    <row r="23">
      <c r="A23" t="inlineStr">
        <is>
          <t>Skill Level Bonus — 4th Job</t>
        </is>
      </c>
      <c r="B23">
        <f>IFERROR(1/(I23-100),"n/a")</f>
        <v/>
      </c>
      <c r="C23" t="inlineStr">
        <is>
          <t>level</t>
        </is>
      </c>
      <c r="D23">
        <f>Inputs!$B$27</f>
        <v/>
      </c>
      <c r="E23">
        <f>(Inputs!$B$27+1)</f>
        <v/>
      </c>
      <c r="F23">
        <f>Summary!$B$3</f>
        <v/>
      </c>
      <c r="G23">
        <f>B732</f>
        <v/>
      </c>
      <c r="H23">
        <f>G23-F23</f>
        <v/>
      </c>
      <c r="I23">
        <f>IF(F23=0,0,G23/F23*100)</f>
        <v/>
      </c>
    </row>
    <row r="24">
      <c r="A24" t="inlineStr">
        <is>
          <t>Skill Level Bonus — All Skills</t>
        </is>
      </c>
      <c r="B24">
        <f>IFERROR(1/(I24-100),"n/a")</f>
        <v/>
      </c>
      <c r="C24" t="inlineStr">
        <is>
          <t>level</t>
        </is>
      </c>
      <c r="D24">
        <f>Inputs!$B$28</f>
        <v/>
      </c>
      <c r="E24">
        <f>(Inputs!$B$28+1)</f>
        <v/>
      </c>
      <c r="F24">
        <f>Summary!$B$3</f>
        <v/>
      </c>
      <c r="G24">
        <f>B769</f>
        <v/>
      </c>
      <c r="H24">
        <f>G24-F24</f>
        <v/>
      </c>
      <c r="I24">
        <f>IF(F24=0,0,G24/F24*100)</f>
        <v/>
      </c>
    </row>
    <row r="25">
      <c r="A25" t="inlineStr">
        <is>
          <t>Flat ATTACK</t>
        </is>
      </c>
      <c r="B25">
        <f>IFERROR(1/(I25-100),"n/a")</f>
        <v/>
      </c>
      <c r="C25" t="inlineStr">
        <is>
          <t>flat</t>
        </is>
      </c>
      <c r="D25">
        <f>Inputs!$B$5</f>
        <v/>
      </c>
      <c r="E25">
        <f>(Inputs!$B$5+1)</f>
        <v/>
      </c>
      <c r="F25">
        <f>Summary!$B$3</f>
        <v/>
      </c>
      <c r="G25">
        <f>B806</f>
        <v/>
      </c>
      <c r="H25">
        <f>G25-F25</f>
        <v/>
      </c>
      <c r="I25">
        <f>IF(F25=0,0,G25/F25*100)</f>
        <v/>
      </c>
    </row>
    <row r="26">
      <c r="A26" t="inlineStr">
        <is>
          <t>ATTACK %</t>
        </is>
      </c>
      <c r="B26">
        <f>IFERROR(1/(I26-100),"n/a")</f>
        <v/>
      </c>
      <c r="C26" t="inlineStr">
        <is>
          <t>pct</t>
        </is>
      </c>
      <c r="D26">
        <f>Inputs!$B$6</f>
        <v/>
      </c>
      <c r="E26">
        <f>(Inputs!$B$6+1)</f>
        <v/>
      </c>
      <c r="F26">
        <f>Summary!$B$3</f>
        <v/>
      </c>
      <c r="G26">
        <f>B843</f>
        <v/>
      </c>
      <c r="H26">
        <f>G26-F26</f>
        <v/>
      </c>
      <c r="I26">
        <f>IF(F26=0,0,G26/F26*100)</f>
        <v/>
      </c>
    </row>
    <row r="27">
      <c r="A27" t="inlineStr">
        <is>
          <t>Skill Cooldown Decrease (seconds)</t>
        </is>
      </c>
      <c r="B27">
        <f>IFERROR(1/(I27-100),"n/a")</f>
        <v/>
      </c>
      <c r="C27" t="inlineStr">
        <is>
          <t>flat</t>
        </is>
      </c>
      <c r="D27">
        <f>Inputs!$B$31</f>
        <v/>
      </c>
      <c r="E27">
        <f>(Inputs!$B$31+1)</f>
        <v/>
      </c>
      <c r="F27">
        <f>Summary!$B$3</f>
        <v/>
      </c>
      <c r="G27">
        <f>B880</f>
        <v/>
      </c>
      <c r="H27">
        <f>G27-F27</f>
        <v/>
      </c>
      <c r="I27">
        <f>IF(F27=0,0,G27/F27*100)</f>
        <v/>
      </c>
    </row>
    <row r="28">
      <c r="A28" t="inlineStr">
        <is>
          <t>Basic Attack Target Increase (flat)</t>
        </is>
      </c>
      <c r="B28">
        <f>IFERROR(1/(I28-100),"n/a")</f>
        <v/>
      </c>
      <c r="C28" t="inlineStr">
        <is>
          <t>flat</t>
        </is>
      </c>
      <c r="D28">
        <f>Inputs!$B$32</f>
        <v/>
      </c>
      <c r="E28">
        <f>(Inputs!$B$32+1)</f>
        <v/>
      </c>
      <c r="F28">
        <f>Summary!$B$3</f>
        <v/>
      </c>
      <c r="G28">
        <f>B917</f>
        <v/>
      </c>
      <c r="H28">
        <f>G28-F28</f>
        <v/>
      </c>
      <c r="I28">
        <f>IF(F28=0,0,G28/F28*100)</f>
        <v/>
      </c>
    </row>
    <row r="29">
      <c r="A29" t="inlineStr">
        <is>
          <t>Buff Duration Increase %</t>
        </is>
      </c>
      <c r="B29">
        <f>IFERROR(1/(I29-100),"n/a")</f>
        <v/>
      </c>
      <c r="C29" t="inlineStr">
        <is>
          <t>pct</t>
        </is>
      </c>
      <c r="D29">
        <f>Inputs!$B$33</f>
        <v/>
      </c>
      <c r="E29">
        <f>(Inputs!$B$33+1)</f>
        <v/>
      </c>
      <c r="F29">
        <f>Summary!$B$3</f>
        <v/>
      </c>
      <c r="G29">
        <f>B954</f>
        <v/>
      </c>
      <c r="H29">
        <f>G29-F29</f>
        <v/>
      </c>
      <c r="I29">
        <f>IF(F29=0,0,G29/F29*100)</f>
        <v/>
      </c>
    </row>
    <row r="32">
      <c r="A32" s="5" t="inlineStr">
        <is>
          <t>Stat: Flat INT</t>
        </is>
      </c>
    </row>
    <row r="33">
      <c r="A33" s="8" t="inlineStr">
        <is>
          <t>Key</t>
        </is>
      </c>
      <c r="B33" s="8" t="inlineStr">
        <is>
          <t>Name</t>
        </is>
      </c>
      <c r="C33" s="8" t="inlineStr">
        <is>
          <t>Unlocked</t>
        </is>
      </c>
      <c r="D33" s="8" t="inlineStr">
        <is>
          <t>InputLevel</t>
        </is>
      </c>
      <c r="E33" s="8" t="inlineStr">
        <is>
          <t>Factor</t>
        </is>
      </c>
      <c r="F33" s="8" t="inlineStr">
        <is>
          <t>CoefficientPercent</t>
        </is>
      </c>
      <c r="G33" s="8" t="inlineStr">
        <is>
          <t>EffectiveHits</t>
        </is>
      </c>
      <c r="H33" s="8" t="inlineStr">
        <is>
          <t>ProcProbability</t>
        </is>
      </c>
      <c r="I33" s="8" t="inlineStr">
        <is>
          <t>MapleHeroMultiplier</t>
        </is>
      </c>
      <c r="J33" s="8" t="inlineStr">
        <is>
          <t>BaseDamage</t>
        </is>
      </c>
      <c r="K33" s="8" t="inlineStr">
        <is>
          <t>BaseHitDamage</t>
        </is>
      </c>
      <c r="L33" s="8" t="inlineStr">
        <is>
          <t>NonCritAvg</t>
        </is>
      </c>
      <c r="M33" s="8" t="inlineStr">
        <is>
          <t>CritAvg</t>
        </is>
      </c>
      <c r="N33" s="8" t="inlineStr">
        <is>
          <t>ExpectedDamage(perHit)</t>
        </is>
      </c>
      <c r="O33" s="8" t="inlineStr">
        <is>
          <t>DPS</t>
        </is>
      </c>
      <c r="P33" s="8" t="inlineStr">
        <is>
          <t>% of Total</t>
        </is>
      </c>
      <c r="R33" t="inlineStr">
        <is>
          <t>helpers</t>
        </is>
      </c>
    </row>
    <row r="34">
      <c r="A34">
        <f>Skills!A2</f>
        <v/>
      </c>
      <c r="B34">
        <f>Skills!B2</f>
        <v/>
      </c>
      <c r="C34">
        <f>Inputs!$B$3&gt;=100</f>
        <v/>
      </c>
      <c r="D34" t="inlineStr"/>
      <c r="E34" t="inlineStr"/>
      <c r="F34">
        <f>T36+Skills!N2</f>
        <v/>
      </c>
      <c r="G34">
        <f>Calc!G2</f>
        <v/>
      </c>
      <c r="H34">
        <f>Calc!H2</f>
        <v/>
      </c>
      <c r="I34">
        <f>IF(Skills!T2&lt;&gt;"",1+(Skills!T2/10)*(R35/1000)/100,1)</f>
        <v/>
      </c>
      <c r="J34">
        <f>((Inputs!$B$5*(1+Inputs!$B$6/100))+(((Inputs!$B$11+1)*(1+Inputs!$B$12/100))-(Inputs!$B$11*(1+Inputs!$B$12/100)))*(1+Inputs!$B$6/100))*(F34/100)</f>
        <v/>
      </c>
      <c r="K34">
        <f>J34*(1+(((Inputs!$B$11+1)*(1+Inputs!$B$12/100))*0.01+Inputs!$B$13*0.0025)/100)*(1+(Inputs!$B$14+B60)/100)*(1+IF(Inputs!$B$4="pvp",0,(1-Summary!$B$51)*(Inputs!$B$19+Skills!O2+B59)+Summary!$B$51*(Inputs!$B$20+Skills!P2+B59))/100)*(1+Inputs!$B$15/100)*(5000/(6000+Inputs!$B$7*(1-Inputs!$B$18/100)))*(1+Inputs!$B$23/100)*(1+IF(C47=TRUE,F47,0)/100)*(1+IF(C55=TRUE,F55,0)/100)^5*(1+(IF(Skills!A2="CHAIN_LIGHTNING",Inputs!$B$16,Inputs!$B$17))/100)*(B58*I34)</f>
        <v/>
      </c>
      <c r="L34">
        <f>K34*(MIN(Inputs!$B$21+(F50-Calc!F18),Inputs!$B$22)/100+Inputs!$B$22/100)/2</f>
        <v/>
      </c>
      <c r="M34">
        <f>L34*(1+(Inputs!$B$9+(F53-Calc!F21))/100)</f>
        <v/>
      </c>
      <c r="N34">
        <f>L34*(1-MIN(Inputs!$B$8+((F52-Calc!F20)+(F51-Calc!F19)),100)/100)+M34*(MIN(Inputs!$B$8+((F52-Calc!F20)+(F51-Calc!F19)),100)/100)</f>
        <v/>
      </c>
      <c r="O34">
        <f>IF(C34,Skills!F2*N34*B64*IF(Inputs!$B$4="pvp",1,(1-Summary!$B$51)*(1)+Summary!$B$51*(MIN((6+Inputs!$B$32),Inputs!$B$37))),0)</f>
        <v/>
      </c>
      <c r="P34">
        <f>IF(B66=0,0,O34/B66)</f>
        <v/>
      </c>
      <c r="R34">
        <f>MAX(0,(Inputs!$B$3-100)*3)+Inputs!$B$27+Inputs!$B$28</f>
        <v/>
      </c>
      <c r="S34" t="n">
        <v>0</v>
      </c>
      <c r="T34">
        <f>MAX(0,(Inputs!$B$3-100)*3)+Inputs!$B$27+Inputs!$B$28</f>
        <v/>
      </c>
      <c r="V34">
        <f>IFERROR(1/IF(Inputs!$B$4="pvp",15,MAX(0.1,Skills!D2-IF(Skills!E2=TRUE,Inputs!$B$31,0))),0)</f>
        <v/>
      </c>
    </row>
    <row r="35">
      <c r="A35">
        <f>Skills!A3</f>
        <v/>
      </c>
      <c r="B35">
        <f>Skills!B3</f>
        <v/>
      </c>
      <c r="C35">
        <f>Inputs!$B$3&gt;=15</f>
        <v/>
      </c>
      <c r="D35">
        <f>IF(Skills!C3=1,60+Inputs!$B$24+Inputs!$B$28,IF(Skills!C3=2,90+Inputs!$B$25+Inputs!$B$28,IF(Skills!C3=3,120+Inputs!$B$26+Inputs!$B$28,MAX(0,(Inputs!$B$3-100)*3)+Inputs!$B$27+Inputs!$B$28)))</f>
        <v/>
      </c>
      <c r="E35">
        <f>INDEX(FactorTable!$B$2:$Y$301, MATCH(ROUND(MIN(300,MAX(1,D35)),0), FactorTable!$A$2:$A$301,0), Skills!L3+1)</f>
        <v/>
      </c>
      <c r="F35">
        <f>IF(Skills!M3=TRUE,(Skills!K3/10)*(E35/1000),Skills!K3/10)+Skills!N3</f>
        <v/>
      </c>
      <c r="G35">
        <f>Calc!G3</f>
        <v/>
      </c>
      <c r="H35">
        <f>Calc!H3</f>
        <v/>
      </c>
      <c r="I35">
        <f>IF(Skills!T3&lt;&gt;"",1+(Skills!T3/10)*(R35/1000)/100,1)</f>
        <v/>
      </c>
      <c r="J35" t="inlineStr"/>
      <c r="K35" t="inlineStr"/>
      <c r="L35" t="inlineStr"/>
      <c r="M35" t="inlineStr"/>
      <c r="N35" t="inlineStr"/>
      <c r="O35" t="n">
        <v>0</v>
      </c>
      <c r="P35">
        <f>IF(B66=0,0,O35/B66)</f>
        <v/>
      </c>
      <c r="R35">
        <f>INDEX(FactorTable!$B$2:$Y$301, MATCH(ROUND(MIN(300,MAX(1,R34)),0), FactorTable!$A$2:$A$301,0), 24)</f>
        <v/>
      </c>
      <c r="S35">
        <f>IF(AND(Inputs!$B$4&lt;&gt;"pvp",Inputs!$B$35&gt;0),(INT(Inputs!$B$35/IF(Inputs!$B$4="pvp",15,MAX(0.1,Skills!D3-IF(Skills!E3=TRUE,Inputs!$B$31,0))))+1),0)</f>
        <v/>
      </c>
      <c r="T35">
        <f>INDEX(FactorTable!$B$2:$Y$301, MATCH(ROUND(MIN(300,MAX(1,T34)),0), FactorTable!$A$2:$A$301,0), 22)</f>
        <v/>
      </c>
      <c r="V35">
        <f>IFERROR(1/IF(Inputs!$B$4="pvp",15,MAX(0.1,Skills!D3-IF(Skills!E3=TRUE,Inputs!$B$31,0))),0)</f>
        <v/>
      </c>
    </row>
    <row r="36">
      <c r="A36">
        <f>Skills!A4</f>
        <v/>
      </c>
      <c r="B36">
        <f>Skills!B4</f>
        <v/>
      </c>
      <c r="C36">
        <f>Inputs!$B$3&gt;=40</f>
        <v/>
      </c>
      <c r="D36">
        <f>IF(Skills!C4=1,60+Inputs!$B$24+Inputs!$B$28,IF(Skills!C4=2,90+Inputs!$B$25+Inputs!$B$28,IF(Skills!C4=3,120+Inputs!$B$26+Inputs!$B$28,MAX(0,(Inputs!$B$3-100)*3)+Inputs!$B$27+Inputs!$B$28)))</f>
        <v/>
      </c>
      <c r="E36">
        <f>INDEX(FactorTable!$B$2:$Y$301, MATCH(ROUND(MIN(300,MAX(1,D36)),0), FactorTable!$A$2:$A$301,0), Skills!L4+1)</f>
        <v/>
      </c>
      <c r="F36">
        <f>IF(Skills!M4=TRUE,(Skills!K4/10)*(E36/1000),Skills!K4/10)+Skills!N4</f>
        <v/>
      </c>
      <c r="G36">
        <f>Calc!G4</f>
        <v/>
      </c>
      <c r="H36">
        <f>Calc!H4</f>
        <v/>
      </c>
      <c r="I36">
        <f>IF(Skills!T4&lt;&gt;"",1+(Skills!T4/10)*(R35/1000)/100,1)</f>
        <v/>
      </c>
      <c r="J36" t="inlineStr"/>
      <c r="K36" t="inlineStr"/>
      <c r="L36" t="inlineStr"/>
      <c r="M36" t="inlineStr"/>
      <c r="N36" t="inlineStr"/>
      <c r="O36" t="n">
        <v>0</v>
      </c>
      <c r="P36">
        <f>IF(B66=0,0,O36/B66)</f>
        <v/>
      </c>
      <c r="S36">
        <f>IF(AND(Inputs!$B$4&lt;&gt;"pvp",Inputs!$B$35&gt;0),(INT(Inputs!$B$35/IF(Inputs!$B$4="pvp",15,MAX(0.1,Skills!D4-IF(Skills!E4=TRUE,Inputs!$B$31,0))))+1),0)</f>
        <v/>
      </c>
      <c r="T36">
        <f>290*T35/1000</f>
        <v/>
      </c>
      <c r="V36">
        <f>IFERROR(1/IF(Inputs!$B$4="pvp",15,MAX(0.1,Skills!D4-IF(Skills!E4=TRUE,Inputs!$B$31,0))),0)</f>
        <v/>
      </c>
    </row>
    <row r="37">
      <c r="A37">
        <f>Skills!A5</f>
        <v/>
      </c>
      <c r="B37">
        <f>Skills!B5</f>
        <v/>
      </c>
      <c r="C37">
        <f>Inputs!$B$3&gt;=38</f>
        <v/>
      </c>
      <c r="D37">
        <f>IF(Skills!C5=1,60+Inputs!$B$24+Inputs!$B$28,IF(Skills!C5=2,90+Inputs!$B$25+Inputs!$B$28,IF(Skills!C5=3,120+Inputs!$B$26+Inputs!$B$28,MAX(0,(Inputs!$B$3-100)*3)+Inputs!$B$27+Inputs!$B$28)))</f>
        <v/>
      </c>
      <c r="E37">
        <f>INDEX(FactorTable!$B$2:$Y$301, MATCH(ROUND(MIN(300,MAX(1,D37)),0), FactorTable!$A$2:$A$301,0), Skills!L5+1)</f>
        <v/>
      </c>
      <c r="F37">
        <f>IF(Skills!M5=TRUE,(Skills!K5/10)*(E37/1000),Skills!K5/10)+Skills!N5</f>
        <v/>
      </c>
      <c r="G37">
        <f>Calc!G5</f>
        <v/>
      </c>
      <c r="H37">
        <f>Calc!H5</f>
        <v/>
      </c>
      <c r="I37">
        <f>IF(Skills!T5&lt;&gt;"",1+(Skills!T5/10)*(R35/1000)/100,1)</f>
        <v/>
      </c>
      <c r="J37">
        <f>((Inputs!$B$5*(1+Inputs!$B$6/100))+(((Inputs!$B$11+1)*(1+Inputs!$B$12/100))-(Inputs!$B$11*(1+Inputs!$B$12/100)))*(1+Inputs!$B$6/100))*(F37/100)</f>
        <v/>
      </c>
      <c r="K37">
        <f>J37*(1+(((Inputs!$B$11+1)*(1+Inputs!$B$12/100))*0.01+Inputs!$B$13*0.0025)/100)*(1+(Inputs!$B$14+B60)/100)*(1+IF(Inputs!$B$4="pvp",0,(1-Summary!$B$51)*(Inputs!$B$19+Skills!O5+B59)+Summary!$B$51*(Inputs!$B$20+Skills!P5+B59))/100)*(1+Inputs!$B$15/100)*(5000/(6000+Inputs!$B$7*(1-Inputs!$B$18/100)))*(1+Inputs!$B$23/100)*(1+IF(C47=TRUE,F47,0)/100)*(1+IF(C55=TRUE,F55,0)/100)^5*(1+(IF(Skills!A5="CHAIN_LIGHTNING",Inputs!$B$16,Inputs!$B$17))/100)*(B58*I37)</f>
        <v/>
      </c>
      <c r="L37">
        <f>K37*(MIN(Inputs!$B$21+(F50-Calc!F18),Inputs!$B$22)/100+Inputs!$B$22/100)/2</f>
        <v/>
      </c>
      <c r="M37">
        <f>L37*(1+(Inputs!$B$9+(F53-Calc!F21))/100)</f>
        <v/>
      </c>
      <c r="N37">
        <f>L37*(1-MIN(Inputs!$B$8+((F52-Calc!F20)+(F51-Calc!F19)),100)/100)+M37*(MIN(Inputs!$B$8+((F52-Calc!F20)+(F51-Calc!F19)),100)/100)</f>
        <v/>
      </c>
      <c r="O37">
        <f>IF(C37,H37*N37*IF(AND(Inputs!$B$4&lt;&gt;"pvp",Inputs!$B$35&gt;0),((Skills!F5*((S37-1)*IF(Skills!G5&gt;0,Skills!H5/Skills!G5,1)+IF(Skills!G5&gt;0,MIN(Skills!H5,MAX(0,Inputs!$B$35-((S37-1)*IF(Inputs!$B$4="pvp",15,MAX(0.1,Skills!D5-IF(Skills!E5=TRUE,Inputs!$B$31,0))))))/Skills!G5,1)))/Inputs!$B$35),G37*V37)*IF(Inputs!$B$4="pvp",1,(1-Summary!$B$51)*(1)+Summary!$B$51*(MIN(Skills!Q5,Inputs!$B$37))),0)</f>
        <v/>
      </c>
      <c r="P37">
        <f>IF(B66=0,0,O37/B66)</f>
        <v/>
      </c>
      <c r="S37">
        <f>IF(AND(Inputs!$B$4&lt;&gt;"pvp",Inputs!$B$35&gt;0),(INT(Inputs!$B$35/IF(Inputs!$B$4="pvp",15,MAX(0.1,Skills!D5-IF(Skills!E5=TRUE,Inputs!$B$31,0))))+1),0)</f>
        <v/>
      </c>
      <c r="V37">
        <f>IFERROR(1/IF(Inputs!$B$4="pvp",15,MAX(0.1,Skills!D5-IF(Skills!E5=TRUE,Inputs!$B$31,0))),0)</f>
        <v/>
      </c>
    </row>
    <row r="38">
      <c r="A38">
        <f>Skills!A6</f>
        <v/>
      </c>
      <c r="B38">
        <f>Skills!B6</f>
        <v/>
      </c>
      <c r="C38">
        <f>Inputs!$B$3&gt;=63</f>
        <v/>
      </c>
      <c r="D38">
        <f>IF(Skills!C6=1,60+Inputs!$B$24+Inputs!$B$28,IF(Skills!C6=2,90+Inputs!$B$25+Inputs!$B$28,IF(Skills!C6=3,120+Inputs!$B$26+Inputs!$B$28,MAX(0,(Inputs!$B$3-100)*3)+Inputs!$B$27+Inputs!$B$28)))</f>
        <v/>
      </c>
      <c r="E38">
        <f>INDEX(FactorTable!$B$2:$Y$301, MATCH(ROUND(MIN(300,MAX(1,D38)),0), FactorTable!$A$2:$A$301,0), Skills!L6+1)</f>
        <v/>
      </c>
      <c r="F38">
        <f>IF(Skills!M6=TRUE,(Skills!K6/10)*(E38/1000),Skills!K6/10)+Skills!N6</f>
        <v/>
      </c>
      <c r="G38">
        <f>Calc!G6</f>
        <v/>
      </c>
      <c r="H38">
        <f>Calc!H6</f>
        <v/>
      </c>
      <c r="I38">
        <f>IF(Skills!T6&lt;&gt;"",1+(Skills!T6/10)*(R35/1000)/100,1)</f>
        <v/>
      </c>
      <c r="J38">
        <f>((Inputs!$B$5*(1+Inputs!$B$6/100))+(((Inputs!$B$11+1)*(1+Inputs!$B$12/100))-(Inputs!$B$11*(1+Inputs!$B$12/100)))*(1+Inputs!$B$6/100))*(F38/100)</f>
        <v/>
      </c>
      <c r="K38">
        <f>J38*(1+(((Inputs!$B$11+1)*(1+Inputs!$B$12/100))*0.01+Inputs!$B$13*0.0025)/100)*(1+(Inputs!$B$14+B60)/100)*(1+IF(Inputs!$B$4="pvp",0,(1-Summary!$B$51)*(Inputs!$B$19+Skills!O6+B59)+Summary!$B$51*(Inputs!$B$20+Skills!P6+B59))/100)*(1+Inputs!$B$15/100)*(5000/(6000+Inputs!$B$7*(1-Inputs!$B$18/100)))*(1+Inputs!$B$23/100)*(1+IF(C47=TRUE,F47,0)/100)*(1+IF(C55=TRUE,F55,0)/100)^5*(1+(IF(Skills!A6="CHAIN_LIGHTNING",Inputs!$B$16,Inputs!$B$17))/100)*(B58*I38)</f>
        <v/>
      </c>
      <c r="L38">
        <f>K38*(MIN(Inputs!$B$21+(F50-Calc!F18),Inputs!$B$22)/100+Inputs!$B$22/100)/2</f>
        <v/>
      </c>
      <c r="M38">
        <f>L38*(1+(Inputs!$B$9+(F53-Calc!F21))/100)</f>
        <v/>
      </c>
      <c r="N38">
        <f>L38*(1-MIN(Inputs!$B$8+((F52-Calc!F20)+(F51-Calc!F19)),100)/100)+M38*(MIN(Inputs!$B$8+((F52-Calc!F20)+(F51-Calc!F19)),100)/100)</f>
        <v/>
      </c>
      <c r="O38">
        <f>IF(C38,H38*N38*IF(AND(Inputs!$B$4&lt;&gt;"pvp",Inputs!$B$35&gt;0),((Skills!F6*((S38-1)*IF(Skills!G6&gt;0,Skills!H6/Skills!G6,1)+IF(Skills!G6&gt;0,MIN(Skills!H6,MAX(0,Inputs!$B$35-((S38-1)*IF(Inputs!$B$4="pvp",15,MAX(0.1,Skills!D6-IF(Skills!E6=TRUE,Inputs!$B$31,0))))))/Skills!G6,1)))/Inputs!$B$35),G38*V38)*IF(Inputs!$B$4="pvp",1,(1-Summary!$B$51)*(1)+Summary!$B$51*(MIN(Skills!Q6,Inputs!$B$37))),0)</f>
        <v/>
      </c>
      <c r="P38">
        <f>IF(B66=0,0,O38/B66)</f>
        <v/>
      </c>
      <c r="S38">
        <f>IF(AND(Inputs!$B$4&lt;&gt;"pvp",Inputs!$B$35&gt;0),(INT(Inputs!$B$35/IF(Inputs!$B$4="pvp",15,MAX(0.1,Skills!D6-IF(Skills!E6=TRUE,Inputs!$B$31,0))))+1),0)</f>
        <v/>
      </c>
      <c r="V38">
        <f>IFERROR(1/IF(Inputs!$B$4="pvp",15,MAX(0.1,Skills!D6-IF(Skills!E6=TRUE,Inputs!$B$31,0))),0)</f>
        <v/>
      </c>
    </row>
    <row r="39">
      <c r="A39">
        <f>Skills!A7</f>
        <v/>
      </c>
      <c r="B39">
        <f>Skills!B7</f>
        <v/>
      </c>
      <c r="C39">
        <f>Inputs!$B$3&gt;=69</f>
        <v/>
      </c>
      <c r="D39">
        <f>IF(Skills!C7=1,60+Inputs!$B$24+Inputs!$B$28,IF(Skills!C7=2,90+Inputs!$B$25+Inputs!$B$28,IF(Skills!C7=3,120+Inputs!$B$26+Inputs!$B$28,MAX(0,(Inputs!$B$3-100)*3)+Inputs!$B$27+Inputs!$B$28)))</f>
        <v/>
      </c>
      <c r="E39">
        <f>INDEX(FactorTable!$B$2:$Y$301, MATCH(ROUND(MIN(300,MAX(1,D39)),0), FactorTable!$A$2:$A$301,0), Skills!L7+1)</f>
        <v/>
      </c>
      <c r="F39">
        <f>IF(Skills!M7=TRUE,(Skills!K7/10)*(E39/1000),Skills!K7/10)+Skills!N7</f>
        <v/>
      </c>
      <c r="G39">
        <f>Calc!G7</f>
        <v/>
      </c>
      <c r="H39">
        <f>Calc!H7</f>
        <v/>
      </c>
      <c r="I39">
        <f>IF(Skills!T7&lt;&gt;"",1+(Skills!T7/10)*(R35/1000)/100,1)</f>
        <v/>
      </c>
      <c r="J39">
        <f>((Inputs!$B$5*(1+Inputs!$B$6/100))+(((Inputs!$B$11+1)*(1+Inputs!$B$12/100))-(Inputs!$B$11*(1+Inputs!$B$12/100)))*(1+Inputs!$B$6/100))*(F39/100)</f>
        <v/>
      </c>
      <c r="K39">
        <f>J39*(1+(((Inputs!$B$11+1)*(1+Inputs!$B$12/100))*0.01+Inputs!$B$13*0.0025)/100)*(1+(Inputs!$B$14+B60)/100)*(1+IF(Inputs!$B$4="pvp",0,(1-Summary!$B$51)*(Inputs!$B$19+Skills!O7+B59)+Summary!$B$51*(Inputs!$B$20+Skills!P7+B59))/100)*(1+Inputs!$B$15/100)*(5000/(6000+Inputs!$B$7*(1-Inputs!$B$18/100)))*(1+Inputs!$B$23/100)*(1+IF(C47=TRUE,F47,0)/100)*(1+IF(C55=TRUE,F55,0)/100)^5*(1+(IF(Skills!A7="CHAIN_LIGHTNING",Inputs!$B$16,Inputs!$B$17))/100)*(B58*I39)</f>
        <v/>
      </c>
      <c r="L39">
        <f>K39*(MIN(Inputs!$B$21+(F50-Calc!F18),Inputs!$B$22)/100+Inputs!$B$22/100)/2</f>
        <v/>
      </c>
      <c r="M39">
        <f>L39*(1+(Inputs!$B$9+(F53-Calc!F21))/100)</f>
        <v/>
      </c>
      <c r="N39">
        <f>L39*(1-MIN(Inputs!$B$8+((F52-Calc!F20)+(F51-Calc!F19)),100)/100)+M39*(MIN(Inputs!$B$8+((F52-Calc!F20)+(F51-Calc!F19)),100)/100)</f>
        <v/>
      </c>
      <c r="O39">
        <f>IF(C39,H39*N39*IF(AND(Inputs!$B$4&lt;&gt;"pvp",Inputs!$B$35&gt;0),((Skills!F7*((S39-1)*IF(Skills!G7&gt;0,Skills!H7/Skills!G7,1)+IF(Skills!G7&gt;0,MIN(Skills!H7,MAX(0,Inputs!$B$35-((S39-1)*IF(Inputs!$B$4="pvp",15,MAX(0.1,Skills!D7-IF(Skills!E7=TRUE,Inputs!$B$31,0))))))/Skills!G7,1)))/Inputs!$B$35),G39*V39)*IF(Inputs!$B$4="pvp",1,(1-Summary!$B$51)*(1)+Summary!$B$51*(MIN(Skills!Q7,Inputs!$B$37))),0)</f>
        <v/>
      </c>
      <c r="P39">
        <f>IF(B66=0,0,O39/B66)</f>
        <v/>
      </c>
      <c r="S39">
        <f>IF(AND(Inputs!$B$4&lt;&gt;"pvp",Inputs!$B$35&gt;0),(INT(Inputs!$B$35/IF(Inputs!$B$4="pvp",15,MAX(0.1,Skills!D7-IF(Skills!E7=TRUE,Inputs!$B$31,0))))+1),0)</f>
        <v/>
      </c>
      <c r="V39">
        <f>IFERROR(1/IF(Inputs!$B$4="pvp",15,MAX(0.1,Skills!D7-IF(Skills!E7=TRUE,Inputs!$B$31,0))),0)</f>
        <v/>
      </c>
    </row>
    <row r="40">
      <c r="A40">
        <f>Skills!A8</f>
        <v/>
      </c>
      <c r="B40">
        <f>Skills!B8</f>
        <v/>
      </c>
      <c r="C40">
        <f>Inputs!$B$3&gt;=103</f>
        <v/>
      </c>
      <c r="D40">
        <f>IF(Skills!C8=1,60+Inputs!$B$24+Inputs!$B$28,IF(Skills!C8=2,90+Inputs!$B$25+Inputs!$B$28,IF(Skills!C8=3,120+Inputs!$B$26+Inputs!$B$28,MAX(0,(Inputs!$B$3-100)*3)+Inputs!$B$27+Inputs!$B$28)))</f>
        <v/>
      </c>
      <c r="E40">
        <f>INDEX(FactorTable!$B$2:$Y$301, MATCH(ROUND(MIN(300,MAX(1,D40)),0), FactorTable!$A$2:$A$301,0), Skills!L8+1)</f>
        <v/>
      </c>
      <c r="F40">
        <f>IF(Skills!M8=TRUE,(Skills!K8/10)*(E40/1000),Skills!K8/10)+Skills!N8</f>
        <v/>
      </c>
      <c r="G40">
        <f>Calc!G8</f>
        <v/>
      </c>
      <c r="H40">
        <f>Calc!H8</f>
        <v/>
      </c>
      <c r="I40">
        <f>IF(Skills!T8&lt;&gt;"",1+(Skills!T8/10)*(R35/1000)/100,1)</f>
        <v/>
      </c>
      <c r="J40">
        <f>((Inputs!$B$5*(1+Inputs!$B$6/100))+(((Inputs!$B$11+1)*(1+Inputs!$B$12/100))-(Inputs!$B$11*(1+Inputs!$B$12/100)))*(1+Inputs!$B$6/100))*(F40/100)</f>
        <v/>
      </c>
      <c r="K40">
        <f>J40*(1+(((Inputs!$B$11+1)*(1+Inputs!$B$12/100))*0.01+Inputs!$B$13*0.0025)/100)*(1+(Inputs!$B$14+B60)/100)*(1+IF(Inputs!$B$4="pvp",0,(1-Summary!$B$51)*(Inputs!$B$19+Skills!O8+B59)+Summary!$B$51*(Inputs!$B$20+Skills!P8+B59))/100)*(1+Inputs!$B$15/100)*(5000/(6000+Inputs!$B$7*(1-Inputs!$B$18/100)))*(1+Inputs!$B$23/100)*(1+IF(C47=TRUE,F47,0)/100)*(1+IF(C55=TRUE,F55,0)/100)^5*(1+(IF(Skills!A8="CHAIN_LIGHTNING",Inputs!$B$16,Inputs!$B$17))/100)*(B58*I40)</f>
        <v/>
      </c>
      <c r="L40">
        <f>K40*(MIN(Inputs!$B$21+(F50-Calc!F18),Inputs!$B$22)/100+Inputs!$B$22/100)/2</f>
        <v/>
      </c>
      <c r="M40">
        <f>L40*(1+(Inputs!$B$9+(F53-Calc!F21))/100)</f>
        <v/>
      </c>
      <c r="N40">
        <f>L40*(1-MIN(Inputs!$B$8+((F52-Calc!F20)+(F51-Calc!F19)),100)/100)+M40*(MIN(Inputs!$B$8+((F52-Calc!F20)+(F51-Calc!F19)),100)/100)</f>
        <v/>
      </c>
      <c r="O40">
        <f>IF(C40,H40*N40*IF(AND(Inputs!$B$4&lt;&gt;"pvp",Inputs!$B$35&gt;0),((Skills!F8*((S40-1)*IF(Skills!G8&gt;0,Skills!H8/Skills!G8,1)+IF(Skills!G8&gt;0,MIN(Skills!H8,MAX(0,Inputs!$B$35-((S40-1)*IF(Inputs!$B$4="pvp",15,MAX(0.1,Skills!D8-IF(Skills!E8=TRUE,Inputs!$B$31,0))))))/Skills!G8,1)))/Inputs!$B$35),G40*V40)*IF(Inputs!$B$4="pvp",1,(1-Summary!$B$51)*(1)+Summary!$B$51*(MIN(Skills!Q8,Inputs!$B$37))),0)</f>
        <v/>
      </c>
      <c r="P40">
        <f>IF(B66=0,0,O40/B66)</f>
        <v/>
      </c>
      <c r="S40">
        <f>IF(AND(Inputs!$B$4&lt;&gt;"pvp",Inputs!$B$35&gt;0),(INT(Inputs!$B$35/IF(Inputs!$B$4="pvp",15,MAX(0.1,Skills!D8-IF(Skills!E8=TRUE,Inputs!$B$31,0))))+1),0)</f>
        <v/>
      </c>
      <c r="V40">
        <f>IFERROR(1/IF(Inputs!$B$4="pvp",15,MAX(0.1,Skills!D8-IF(Skills!E8=TRUE,Inputs!$B$31,0))),0)</f>
        <v/>
      </c>
    </row>
    <row r="41">
      <c r="A41">
        <f>Skills!A9</f>
        <v/>
      </c>
      <c r="B41">
        <f>Skills!B9</f>
        <v/>
      </c>
      <c r="C41">
        <f>Inputs!$B$3&gt;=105</f>
        <v/>
      </c>
      <c r="D41">
        <f>IF(Skills!C9=1,60+Inputs!$B$24+Inputs!$B$28,IF(Skills!C9=2,90+Inputs!$B$25+Inputs!$B$28,IF(Skills!C9=3,120+Inputs!$B$26+Inputs!$B$28,MAX(0,(Inputs!$B$3-100)*3)+Inputs!$B$27+Inputs!$B$28)))</f>
        <v/>
      </c>
      <c r="E41">
        <f>INDEX(FactorTable!$B$2:$Y$301, MATCH(ROUND(MIN(300,MAX(1,D41)),0), FactorTable!$A$2:$A$301,0), Skills!L9+1)</f>
        <v/>
      </c>
      <c r="F41">
        <f>IF(Skills!M9=TRUE,(Skills!K9/10)*(E41/1000),Skills!K9/10)+Skills!N9</f>
        <v/>
      </c>
      <c r="G41">
        <f>Calc!G9</f>
        <v/>
      </c>
      <c r="H41">
        <f>Calc!H9</f>
        <v/>
      </c>
      <c r="I41">
        <f>IF(Skills!T9&lt;&gt;"",1+(Skills!T9/10)*(R35/1000)/100,1)</f>
        <v/>
      </c>
      <c r="J41">
        <f>((Inputs!$B$5*(1+Inputs!$B$6/100))+(((Inputs!$B$11+1)*(1+Inputs!$B$12/100))-(Inputs!$B$11*(1+Inputs!$B$12/100)))*(1+Inputs!$B$6/100))*(F41/100)</f>
        <v/>
      </c>
      <c r="K41">
        <f>J41*(1+(((Inputs!$B$11+1)*(1+Inputs!$B$12/100))*0.01+Inputs!$B$13*0.0025)/100)*(1+(Inputs!$B$14+B60)/100)*(1+IF(Inputs!$B$4="pvp",0,(1-Summary!$B$51)*(Inputs!$B$19+Skills!O9+B59)+Summary!$B$51*(Inputs!$B$20+Skills!P9+B59))/100)*(1+Inputs!$B$15/100)*(5000/(6000+Inputs!$B$7*(1-Inputs!$B$18/100)))*(1+Inputs!$B$23/100)*(1+IF(C47=TRUE,F47,0)/100)*(1+IF(C55=TRUE,F55,0)/100)^5*(1+(IF(Skills!A9="CHAIN_LIGHTNING",Inputs!$B$16,Inputs!$B$17))/100)*(B58*I41)</f>
        <v/>
      </c>
      <c r="L41">
        <f>K41*(MIN(Inputs!$B$21+(F50-Calc!F18),Inputs!$B$22)/100+Inputs!$B$22/100)/2</f>
        <v/>
      </c>
      <c r="M41">
        <f>L41*(1+(Inputs!$B$9+(F53-Calc!F21))/100)</f>
        <v/>
      </c>
      <c r="N41">
        <f>L41*(1-MIN(Inputs!$B$8+((F52-Calc!F20)+(F51-Calc!F19)),100)/100)+M41*(MIN(Inputs!$B$8+((F52-Calc!F20)+(F51-Calc!F19)),100)/100)</f>
        <v/>
      </c>
      <c r="O41">
        <f>IF(C41,H41*N41*IF(AND(Inputs!$B$4&lt;&gt;"pvp",Inputs!$B$35&gt;0),((Skills!F9*((S41-1)*IF(Skills!G9&gt;0,Skills!H9/Skills!G9,1)+IF(Skills!G9&gt;0,MIN(Skills!H9,MAX(0,Inputs!$B$35-((S41-1)*IF(Inputs!$B$4="pvp",15,MAX(0.1,Skills!D9-IF(Skills!E9=TRUE,Inputs!$B$31,0))))))/Skills!G9,1)))/Inputs!$B$35),G41*V41)*IF(Inputs!$B$4="pvp",1,(1-Summary!$B$51)*(1)+Summary!$B$51*(MIN(Skills!Q9,Inputs!$B$37))),0)</f>
        <v/>
      </c>
      <c r="P41">
        <f>IF(B66=0,0,O41/B66)</f>
        <v/>
      </c>
      <c r="S41">
        <f>IF(AND(Inputs!$B$4&lt;&gt;"pvp",Inputs!$B$35&gt;0),(INT(Inputs!$B$35/IF(Inputs!$B$4="pvp",15,MAX(0.1,Skills!D9-IF(Skills!E9=TRUE,Inputs!$B$31,0))))+1),0)</f>
        <v/>
      </c>
      <c r="V41">
        <f>IFERROR(1/IF(Inputs!$B$4="pvp",15,MAX(0.1,Skills!D9-IF(Skills!E9=TRUE,Inputs!$B$31,0))),0)</f>
        <v/>
      </c>
    </row>
    <row r="42">
      <c r="A42">
        <f>Skills!A10</f>
        <v/>
      </c>
      <c r="B42">
        <f>Skills!B10</f>
        <v/>
      </c>
      <c r="C42">
        <f>Inputs!$B$3&gt;=113</f>
        <v/>
      </c>
      <c r="D42">
        <f>IF(Skills!C10=1,60+Inputs!$B$24+Inputs!$B$28,IF(Skills!C10=2,90+Inputs!$B$25+Inputs!$B$28,IF(Skills!C10=3,120+Inputs!$B$26+Inputs!$B$28,MAX(0,(Inputs!$B$3-100)*3)+Inputs!$B$27+Inputs!$B$28)))</f>
        <v/>
      </c>
      <c r="E42">
        <f>INDEX(FactorTable!$B$2:$Y$301, MATCH(ROUND(MIN(300,MAX(1,D42)),0), FactorTable!$A$2:$A$301,0), Skills!L10+1)</f>
        <v/>
      </c>
      <c r="F42">
        <f>IF(Skills!M10=TRUE,(Skills!K10/10)*(E42/1000),Skills!K10/10)+Skills!N10</f>
        <v/>
      </c>
      <c r="G42">
        <f>Calc!G10</f>
        <v/>
      </c>
      <c r="H42">
        <f>Calc!H10</f>
        <v/>
      </c>
      <c r="I42">
        <f>IF(Skills!T10&lt;&gt;"",1+(Skills!T10/10)*(R35/1000)/100,1)</f>
        <v/>
      </c>
      <c r="J42">
        <f>((Inputs!$B$5*(1+Inputs!$B$6/100))+(((Inputs!$B$11+1)*(1+Inputs!$B$12/100))-(Inputs!$B$11*(1+Inputs!$B$12/100)))*(1+Inputs!$B$6/100))*(F42/100)</f>
        <v/>
      </c>
      <c r="K42">
        <f>J42*(1+(((Inputs!$B$11+1)*(1+Inputs!$B$12/100))*0.01+Inputs!$B$13*0.0025)/100)*(1+(Inputs!$B$14+B60)/100)*(1+IF(Inputs!$B$4="pvp",0,(1-Summary!$B$51)*(Inputs!$B$19+Skills!O10+B59)+Summary!$B$51*(Inputs!$B$20+Skills!P10+B59))/100)*(1+Inputs!$B$15/100)*(5000/(6000+Inputs!$B$7*(1-Inputs!$B$18/100)))*(1+Inputs!$B$23/100)*(1+IF(C47=TRUE,F47,0)/100)*(1+IF(C55=TRUE,F55,0)/100)^5*(1+(IF(Skills!A10="CHAIN_LIGHTNING",Inputs!$B$16,Inputs!$B$17))/100)*(B58*I42)</f>
        <v/>
      </c>
      <c r="L42">
        <f>K42*(MIN(Inputs!$B$21+(F50-Calc!F18),Inputs!$B$22)/100+Inputs!$B$22/100)/2</f>
        <v/>
      </c>
      <c r="M42">
        <f>L42*(1+(Inputs!$B$9+(F53-Calc!F21))/100)</f>
        <v/>
      </c>
      <c r="N42">
        <f>L42*(1-MIN(Inputs!$B$8+((F52-Calc!F20)+(F51-Calc!F19)),100)/100)+M42*(MIN(Inputs!$B$8+((F52-Calc!F20)+(F51-Calc!F19)),100)/100)</f>
        <v/>
      </c>
      <c r="O42">
        <f>IF(C42,H42*N42*IF(AND(Inputs!$B$4&lt;&gt;"pvp",Inputs!$B$35&gt;0),((Skills!F10*((S42-1)*IF(Skills!G10&gt;0,Skills!H10/Skills!G10,1)+IF(Skills!G10&gt;0,MIN(Skills!H10,MAX(0,Inputs!$B$35-((S42-1)*IF(Inputs!$B$4="pvp",15,MAX(0.1,Skills!D10-IF(Skills!E9=TRUE,Inputs!$B$31,0))))))/Skills!G10,1)))/Inputs!$B$35),G42*V42)*IF(Inputs!$B$4="pvp",1,(1-Summary!$B$51)*(1)+Summary!$B$51*(MIN(Skills!Q10,Inputs!$B$37))),0)</f>
        <v/>
      </c>
      <c r="P42">
        <f>IF(B66=0,0,O42/B66)</f>
        <v/>
      </c>
      <c r="S42">
        <f>IF(AND(Inputs!$B$4&lt;&gt;"pvp",Inputs!$B$35&gt;0),(INT(Inputs!$B$35/IF(Inputs!$B$4="pvp",15,MAX(0.1,Skills!D10-IF(Skills!E9=TRUE,Inputs!$B$31,0))))+1),0)</f>
        <v/>
      </c>
      <c r="V42">
        <f>IFERROR(1/IF(Inputs!$B$4="pvp",15,MAX(0.1,Skills!D10-IF(Skills!E9=TRUE,Inputs!$B$31,0))),0)</f>
        <v/>
      </c>
    </row>
    <row r="43">
      <c r="A43">
        <f>Skills!A11</f>
        <v/>
      </c>
      <c r="B43">
        <f>Skills!B11</f>
        <v/>
      </c>
      <c r="C43">
        <f>Inputs!$B$3&gt;=107</f>
        <v/>
      </c>
      <c r="D43">
        <f>IF(Skills!C11=1,60+Inputs!$B$24+Inputs!$B$28,IF(Skills!C11=2,90+Inputs!$B$25+Inputs!$B$28,IF(Skills!C11=3,120+Inputs!$B$26+Inputs!$B$28,MAX(0,(Inputs!$B$3-100)*3)+Inputs!$B$27+Inputs!$B$28)))</f>
        <v/>
      </c>
      <c r="E43">
        <f>INDEX(FactorTable!$B$2:$Y$301, MATCH(ROUND(MIN(300,MAX(1,D43)),0), FactorTable!$A$2:$A$301,0), Skills!L11+1)</f>
        <v/>
      </c>
      <c r="F43">
        <f>IF(Skills!M11=TRUE,(Skills!K11/10)*(E43/1000),Skills!K11/10)+Skills!N11</f>
        <v/>
      </c>
      <c r="G43">
        <f>Calc!G11</f>
        <v/>
      </c>
      <c r="H43">
        <f>Calc!H11</f>
        <v/>
      </c>
      <c r="I43">
        <f>IF(Skills!T11&lt;&gt;"",1+(Skills!T11/10)*(R35/1000)/100,1)</f>
        <v/>
      </c>
      <c r="J43">
        <f>((Inputs!$B$5*(1+Inputs!$B$6/100))+(((Inputs!$B$11+1)*(1+Inputs!$B$12/100))-(Inputs!$B$11*(1+Inputs!$B$12/100)))*(1+Inputs!$B$6/100))*(F43/100)</f>
        <v/>
      </c>
      <c r="K43">
        <f>J43*(1+(((Inputs!$B$11+1)*(1+Inputs!$B$12/100))*0.01+Inputs!$B$13*0.0025)/100)*(1+(Inputs!$B$14+B60)/100)*(1+IF(Inputs!$B$4="pvp",0,(1-Summary!$B$51)*(Inputs!$B$19+Skills!O11+B59)+Summary!$B$51*(Inputs!$B$20+Skills!P11+B59))/100)*(1+Inputs!$B$15/100)*(5000/(6000+Inputs!$B$7*(1-Inputs!$B$18/100)))*(1+Inputs!$B$23/100)*(1+IF(C47=TRUE,F47,0)/100)*(1+IF(C55=TRUE,F55,0)/100)^5*(1+(IF(Skills!A11="CHAIN_LIGHTNING",Inputs!$B$16,Inputs!$B$17))/100)*(B58*I43)</f>
        <v/>
      </c>
      <c r="L43">
        <f>K43*(MIN(Inputs!$B$21+(F50-Calc!F18),Inputs!$B$22)/100+Inputs!$B$22/100)/2</f>
        <v/>
      </c>
      <c r="M43">
        <f>L43*(1+(Inputs!$B$9+(F53-Calc!F21))/100)</f>
        <v/>
      </c>
      <c r="N43">
        <f>L43*(1-MIN(Inputs!$B$8+((F52-Calc!F20)+(F51-Calc!F19)),100)/100)+M43*(MIN(Inputs!$B$8+((F52-Calc!F20)+(F51-Calc!F19)),100)/100)</f>
        <v/>
      </c>
      <c r="O43">
        <f>IF(C43,H43*N43*IF(AND(Inputs!$B$4&lt;&gt;"pvp",Inputs!$B$35&gt;0),((Skills!F11*((S43-1)*IF(Skills!G11&gt;0,Skills!H11/Skills!G11,1)+IF(Skills!G11&gt;0,MIN(Skills!H11,MAX(0,Inputs!$B$35-((S43-1)*IF(Inputs!$B$4="pvp",15,MAX(0.1,Skills!D11-IF(Skills!E11=TRUE,Inputs!$B$31,0))))))/Skills!G11,1)))/Inputs!$B$35),G43*V43)*IF(Inputs!$B$4="pvp",0.5,(1-Summary!$B$51)*0.5+Summary!$B$51*1)*IF(Inputs!$B$4="pvp",1,(1-Summary!$B$51)*(1)+Summary!$B$51*(MIN(Skills!Q11,Inputs!$B$37))),0)</f>
        <v/>
      </c>
      <c r="P43">
        <f>IF(B66=0,0,O43/B66)</f>
        <v/>
      </c>
      <c r="S43">
        <f>IF(AND(Inputs!$B$4&lt;&gt;"pvp",Inputs!$B$35&gt;0),(INT(Inputs!$B$35/IF(Inputs!$B$4="pvp",15,MAX(0.1,Skills!D11-IF(Skills!E11=TRUE,Inputs!$B$31,0))))+1),0)</f>
        <v/>
      </c>
      <c r="V43">
        <f>IFERROR(1/IF(Inputs!$B$4="pvp",15,MAX(0.1,Skills!D11-IF(Skills!E11=TRUE,Inputs!$B$31,0))),0)</f>
        <v/>
      </c>
    </row>
    <row r="44">
      <c r="A44">
        <f>Skills!A12</f>
        <v/>
      </c>
      <c r="B44">
        <f>Skills!B12</f>
        <v/>
      </c>
      <c r="C44">
        <f>Inputs!$B$3&gt;=115</f>
        <v/>
      </c>
      <c r="D44">
        <f>IF(Skills!C12=1,60+Inputs!$B$24+Inputs!$B$28,IF(Skills!C12=2,90+Inputs!$B$25+Inputs!$B$28,IF(Skills!C12=3,120+Inputs!$B$26+Inputs!$B$28,MAX(0,(Inputs!$B$3-100)*3)+Inputs!$B$27+Inputs!$B$28)))</f>
        <v/>
      </c>
      <c r="E44">
        <f>INDEX(FactorTable!$B$2:$Y$301, MATCH(ROUND(MIN(300,MAX(1,D44)),0), FactorTable!$A$2:$A$301,0), Skills!L12+1)</f>
        <v/>
      </c>
      <c r="F44">
        <f>IF(Skills!M12=TRUE,(Skills!K12/10)*(E44/1000),Skills!K12/10)+Skills!N12</f>
        <v/>
      </c>
      <c r="G44">
        <f>Calc!G12</f>
        <v/>
      </c>
      <c r="H44">
        <f>Calc!H12</f>
        <v/>
      </c>
      <c r="I44">
        <f>IF(Skills!T12&lt;&gt;"",1+(Skills!T12/10)*(R35/1000)/100,1)</f>
        <v/>
      </c>
      <c r="J44">
        <f>((Inputs!$B$5*(1+Inputs!$B$6/100))+(((Inputs!$B$11+1)*(1+Inputs!$B$12/100))-(Inputs!$B$11*(1+Inputs!$B$12/100)))*(1+Inputs!$B$6/100))*(F44/100)</f>
        <v/>
      </c>
      <c r="K44">
        <f>J44*(1+(((Inputs!$B$11+1)*(1+Inputs!$B$12/100))*0.01+Inputs!$B$13*0.0025)/100)*(1+(Inputs!$B$14+B60)/100)*(1+IF(Inputs!$B$4="pvp",0,(1-Summary!$B$51)*(Inputs!$B$19+Skills!O12+B59)+Summary!$B$51*(Inputs!$B$20+Skills!P12+B59))/100)*(1+Inputs!$B$15/100)*(5000/(6000+Inputs!$B$7*(1-Inputs!$B$18/100)))*(1+Inputs!$B$23/100)*(1+IF(C47=TRUE,F47,0)/100)*(1+IF(C55=TRUE,F55,0)/100)^5*(1+(IF(Skills!A12="CHAIN_LIGHTNING",Inputs!$B$16,Inputs!$B$17))/100)*(B58*I44)</f>
        <v/>
      </c>
      <c r="L44">
        <f>K44*(MIN(Inputs!$B$21+(F50-Calc!F18),Inputs!$B$22)/100+Inputs!$B$22/100)/2</f>
        <v/>
      </c>
      <c r="M44">
        <f>L44*(1+(Inputs!$B$9+(F53-Calc!F21))/100)</f>
        <v/>
      </c>
      <c r="N44">
        <f>L44*(1-MIN(Inputs!$B$8+((F52-Calc!F20)+(F51-Calc!F19)),100)/100)+M44*(MIN(Inputs!$B$8+((F52-Calc!F20)+(F51-Calc!F19)),100)/100)</f>
        <v/>
      </c>
      <c r="O44">
        <f>IF(C44,H44*N44*IF(AND(Inputs!$B$4&lt;&gt;"pvp",Inputs!$B$35&gt;0),((Skills!F12*((S44-1)*IF(Skills!G12&gt;0,Skills!H12/Skills!G12,1)+IF(Skills!G12&gt;0,MIN(Skills!H12,MAX(0,Inputs!$B$35-((S44-1)*IF(Inputs!$B$4="pvp",15,MAX(0.1,Skills!D12-IF(Skills!E12=TRUE,Inputs!$B$31,0))))))/Skills!G12,1)))/Inputs!$B$35),G44*V44)*IF(Inputs!$B$4="pvp",1,(1-Summary!$B$51)*(1)+Summary!$B$51*(MIN(Skills!Q12,Inputs!$B$37))),0)</f>
        <v/>
      </c>
      <c r="P44">
        <f>IF(B66=0,0,O44/B66)</f>
        <v/>
      </c>
      <c r="S44">
        <f>IF(AND(Inputs!$B$4&lt;&gt;"pvp",Inputs!$B$35&gt;0),(INT(Inputs!$B$35/IF(Inputs!$B$4="pvp",15,MAX(0.1,Skills!D12-IF(Skills!E12=TRUE,Inputs!$B$31,0))))+1),0)</f>
        <v/>
      </c>
      <c r="V44">
        <f>IFERROR(1/IF(Inputs!$B$4="pvp",15,MAX(0.1,Skills!D12-IF(Skills!E12=TRUE,Inputs!$B$31,0))),0)</f>
        <v/>
      </c>
    </row>
    <row r="45">
      <c r="A45">
        <f>Skills!A13</f>
        <v/>
      </c>
      <c r="B45">
        <f>Skills!B13</f>
        <v/>
      </c>
      <c r="C45">
        <f>Inputs!$B$3&gt;=49</f>
        <v/>
      </c>
      <c r="D45">
        <f>IF(Skills!C13=1,60+Inputs!$B$24+Inputs!$B$28,IF(Skills!C13=2,90+Inputs!$B$25+Inputs!$B$28,IF(Skills!C13=3,120+Inputs!$B$26+Inputs!$B$28,MAX(0,(Inputs!$B$3-100)*3)+Inputs!$B$27+Inputs!$B$28)))</f>
        <v/>
      </c>
      <c r="E45">
        <f>INDEX(FactorTable!$B$2:$Y$301, MATCH(ROUND(MIN(300,MAX(1,D45)),0), FactorTable!$A$2:$A$301,0), Skills!L13+1)</f>
        <v/>
      </c>
      <c r="F45">
        <f>IF(Skills!M13=TRUE,(Skills!K13/10)*(E45/1000),Skills!K13/10)+Skills!N13</f>
        <v/>
      </c>
      <c r="G45">
        <f>Calc!G13</f>
        <v/>
      </c>
      <c r="H45">
        <f>Calc!H13</f>
        <v/>
      </c>
      <c r="I45">
        <f>IF(Skills!T13&lt;&gt;"",1+(Skills!T13/10)*(R35/1000)/100,1)</f>
        <v/>
      </c>
      <c r="J45" t="inlineStr"/>
      <c r="K45" t="inlineStr"/>
      <c r="L45" t="inlineStr"/>
      <c r="M45" t="inlineStr"/>
      <c r="N45" t="inlineStr"/>
      <c r="O45" t="n">
        <v>0</v>
      </c>
      <c r="P45">
        <f>IF(B66=0,0,O45/B66)</f>
        <v/>
      </c>
      <c r="S45" t="n">
        <v>0</v>
      </c>
      <c r="V45">
        <f>IFERROR(1/IF(Inputs!$B$4="pvp",15,MAX(0.1,Skills!D13-IF(Skills!E13=TRUE,Inputs!$B$31,0))),0)</f>
        <v/>
      </c>
    </row>
    <row r="46">
      <c r="A46">
        <f>Skills!A14</f>
        <v/>
      </c>
      <c r="B46">
        <f>Skills!B14</f>
        <v/>
      </c>
      <c r="C46">
        <f>Inputs!$B$3&gt;=72</f>
        <v/>
      </c>
      <c r="D46">
        <f>IF(Skills!C14=1,60+Inputs!$B$24+Inputs!$B$28,IF(Skills!C14=2,90+Inputs!$B$25+Inputs!$B$28,IF(Skills!C14=3,120+Inputs!$B$26+Inputs!$B$28,MAX(0,(Inputs!$B$3-100)*3)+Inputs!$B$27+Inputs!$B$28)))</f>
        <v/>
      </c>
      <c r="E46">
        <f>INDEX(FactorTable!$B$2:$Y$301, MATCH(ROUND(MIN(300,MAX(1,D46)),0), FactorTable!$A$2:$A$301,0), Skills!L14+1)</f>
        <v/>
      </c>
      <c r="F46">
        <f>IF(Skills!M14=TRUE,(Skills!K14/10)*(E46/1000),Skills!K14/10)+Skills!N14</f>
        <v/>
      </c>
      <c r="G46">
        <f>Calc!G14</f>
        <v/>
      </c>
      <c r="H46">
        <f>Calc!H14</f>
        <v/>
      </c>
      <c r="I46">
        <f>IF(Skills!T14&lt;&gt;"",1+(Skills!T14/10)*(R35/1000)/100,1)</f>
        <v/>
      </c>
      <c r="J46" t="inlineStr"/>
      <c r="K46" t="inlineStr"/>
      <c r="L46" t="inlineStr"/>
      <c r="M46" t="inlineStr"/>
      <c r="N46" t="inlineStr"/>
      <c r="O46" t="n">
        <v>0</v>
      </c>
      <c r="P46">
        <f>IF(B66=0,0,O46/B66)</f>
        <v/>
      </c>
      <c r="S46" t="n">
        <v>0</v>
      </c>
      <c r="V46">
        <f>IFERROR(1/IF(Inputs!$B$4="pvp",15,MAX(0.1,Skills!D14-IF(Skills!E14=TRUE,Inputs!$B$31,0))),0)</f>
        <v/>
      </c>
    </row>
    <row r="47">
      <c r="A47">
        <f>Skills!A15</f>
        <v/>
      </c>
      <c r="B47">
        <f>Skills!B15</f>
        <v/>
      </c>
      <c r="C47">
        <f>Inputs!$B$3&gt;=75</f>
        <v/>
      </c>
      <c r="D47">
        <f>IF(Skills!C15=1,60+Inputs!$B$24+Inputs!$B$28,IF(Skills!C15=2,90+Inputs!$B$25+Inputs!$B$28,IF(Skills!C15=3,120+Inputs!$B$26+Inputs!$B$28,MAX(0,(Inputs!$B$3-100)*3)+Inputs!$B$27+Inputs!$B$28)))</f>
        <v/>
      </c>
      <c r="E47">
        <f>INDEX(FactorTable!$B$2:$Y$301, MATCH(ROUND(MIN(300,MAX(1,D47)),0), FactorTable!$A$2:$A$301,0), Skills!L15+1)</f>
        <v/>
      </c>
      <c r="F47">
        <f>IF(Skills!M15=TRUE,(Skills!K15/10)*(E47/1000),Skills!K15/10)+Skills!N15</f>
        <v/>
      </c>
      <c r="G47">
        <f>Calc!G15</f>
        <v/>
      </c>
      <c r="H47">
        <f>Calc!H15</f>
        <v/>
      </c>
      <c r="I47">
        <f>IF(Skills!T15&lt;&gt;"",1+(Skills!T15/10)*(R35/1000)/100,1)</f>
        <v/>
      </c>
      <c r="J47" t="inlineStr"/>
      <c r="K47" t="inlineStr"/>
      <c r="L47" t="inlineStr"/>
      <c r="M47" t="inlineStr"/>
      <c r="N47" t="inlineStr"/>
      <c r="O47" t="n">
        <v>0</v>
      </c>
      <c r="P47">
        <f>IF(B66=0,0,O47/B66)</f>
        <v/>
      </c>
      <c r="S47" t="n">
        <v>0</v>
      </c>
      <c r="V47">
        <f>IFERROR(1/IF(Inputs!$B$4="pvp",15,MAX(0.1,Skills!D15-IF(Skills!E15=TRUE,Inputs!$B$31,0))),0)</f>
        <v/>
      </c>
    </row>
    <row r="48">
      <c r="A48">
        <f>Skills!A16</f>
        <v/>
      </c>
      <c r="B48">
        <f>Skills!B16</f>
        <v/>
      </c>
      <c r="C48">
        <f>Inputs!$B$3&gt;=110</f>
        <v/>
      </c>
      <c r="D48">
        <f>IF(Skills!C16=1,60+Inputs!$B$24+Inputs!$B$28,IF(Skills!C16=2,90+Inputs!$B$25+Inputs!$B$28,IF(Skills!C16=3,120+Inputs!$B$26+Inputs!$B$28,MAX(0,(Inputs!$B$3-100)*3)+Inputs!$B$27+Inputs!$B$28)))</f>
        <v/>
      </c>
      <c r="E48">
        <f>INDEX(FactorTable!$B$2:$Y$301, MATCH(ROUND(MIN(300,MAX(1,D48)),0), FactorTable!$A$2:$A$301,0), Skills!L16+1)</f>
        <v/>
      </c>
      <c r="F48">
        <f>(Skills!K16/10)*(E48/1000)*64/45+Skills!N16</f>
        <v/>
      </c>
      <c r="G48">
        <f>Calc!G16</f>
        <v/>
      </c>
      <c r="H48">
        <f>Calc!H16</f>
        <v/>
      </c>
      <c r="I48">
        <f>IF(Skills!T16&lt;&gt;"",1+(Skills!T16/10)*(R35/1000)/100,1)</f>
        <v/>
      </c>
      <c r="J48" t="inlineStr"/>
      <c r="K48" t="inlineStr"/>
      <c r="L48" t="inlineStr"/>
      <c r="M48" t="inlineStr"/>
      <c r="N48" t="inlineStr"/>
      <c r="O48" t="n">
        <v>0</v>
      </c>
      <c r="P48">
        <f>IF(B66=0,0,O48/B66)</f>
        <v/>
      </c>
      <c r="S48">
        <f>IF(AND(Inputs!$B$4&lt;&gt;"pvp",Inputs!$B$35&gt;0),(INT(Inputs!$B$35/IF(Inputs!$B$4="pvp",15,MAX(0.1,Skills!D16-IF(Skills!E16=TRUE,Inputs!$B$31,0))))+1),0)</f>
        <v/>
      </c>
      <c r="V48">
        <f>IFERROR(1/IF(Inputs!$B$4="pvp",15,MAX(0.1,Skills!D16-IF(Skills!E16=TRUE,Inputs!$B$31,0))),0)</f>
        <v/>
      </c>
    </row>
    <row r="49">
      <c r="A49">
        <f>Skills!A17</f>
        <v/>
      </c>
      <c r="B49">
        <f>Skills!B17</f>
        <v/>
      </c>
      <c r="C49">
        <f>Inputs!$B$3&gt;=33</f>
        <v/>
      </c>
      <c r="D49">
        <f>IF(Skills!C17=1,60+Inputs!$B$24+Inputs!$B$28,IF(Skills!C17=2,90+Inputs!$B$25+Inputs!$B$28,IF(Skills!C17=3,120+Inputs!$B$26+Inputs!$B$28,MAX(0,(Inputs!$B$3-100)*3)+Inputs!$B$27+Inputs!$B$28)))</f>
        <v/>
      </c>
      <c r="E49">
        <f>INDEX(FactorTable!$B$2:$Y$301, MATCH(ROUND(MIN(300,MAX(1,D49)),0), FactorTable!$A$2:$A$301,0), Skills!L17+1)</f>
        <v/>
      </c>
      <c r="F49">
        <f>IF(Skills!M17=TRUE,(Skills!K17/10)*(E49/1000),Skills!K17/10)+Skills!N17</f>
        <v/>
      </c>
      <c r="G49">
        <f>Calc!G17</f>
        <v/>
      </c>
      <c r="H49">
        <f>Calc!H17</f>
        <v/>
      </c>
      <c r="I49">
        <f>IF(Skills!T17&lt;&gt;"",1+(Skills!T17/10)*(R35/1000)/100,1)</f>
        <v/>
      </c>
      <c r="J49" t="inlineStr"/>
      <c r="K49" t="inlineStr"/>
      <c r="L49" t="inlineStr"/>
      <c r="M49" t="inlineStr"/>
      <c r="N49" t="inlineStr"/>
      <c r="O49" t="n">
        <v>0</v>
      </c>
      <c r="P49">
        <f>IF(B66=0,0,O49/B66)</f>
        <v/>
      </c>
      <c r="S49" t="n">
        <v>0</v>
      </c>
      <c r="V49">
        <f>IFERROR(1/IF(Inputs!$B$4="pvp",15,MAX(0.1,Skills!D17-IF(Skills!E17=TRUE,Inputs!$B$31,0))),0)</f>
        <v/>
      </c>
    </row>
    <row r="50">
      <c r="A50">
        <f>Skills!A18</f>
        <v/>
      </c>
      <c r="B50">
        <f>Skills!B18</f>
        <v/>
      </c>
      <c r="C50">
        <f>Inputs!$B$3&gt;=43</f>
        <v/>
      </c>
      <c r="D50">
        <f>IF(Skills!C18=1,60+Inputs!$B$24+Inputs!$B$28,IF(Skills!C18=2,90+Inputs!$B$25+Inputs!$B$28,IF(Skills!C18=3,120+Inputs!$B$26+Inputs!$B$28,MAX(0,(Inputs!$B$3-100)*3)+Inputs!$B$27+Inputs!$B$28)))</f>
        <v/>
      </c>
      <c r="E50">
        <f>INDEX(FactorTable!$B$2:$Y$301, MATCH(ROUND(MIN(300,MAX(1,D50)),0), FactorTable!$A$2:$A$301,0), Skills!L18+1)</f>
        <v/>
      </c>
      <c r="F50">
        <f>IF(Skills!M18=TRUE,(Skills!K18/10)*(E50/1000),Skills!K18/10)+Skills!N18</f>
        <v/>
      </c>
      <c r="G50">
        <f>Calc!G18</f>
        <v/>
      </c>
      <c r="H50">
        <f>Calc!H18</f>
        <v/>
      </c>
      <c r="I50">
        <f>IF(Skills!T18&lt;&gt;"",1+(Skills!T18/10)*(R35/1000)/100,1)</f>
        <v/>
      </c>
      <c r="J50" t="inlineStr"/>
      <c r="K50" t="inlineStr"/>
      <c r="L50" t="inlineStr"/>
      <c r="M50" t="inlineStr"/>
      <c r="N50" t="inlineStr"/>
      <c r="O50" t="n">
        <v>0</v>
      </c>
      <c r="P50">
        <f>IF(B66=0,0,O50/B66)</f>
        <v/>
      </c>
      <c r="S50" t="n">
        <v>0</v>
      </c>
      <c r="V50">
        <f>IFERROR(1/IF(Inputs!$B$4="pvp",15,MAX(0.1,Skills!D18-IF(Skills!E18=TRUE,Inputs!$B$31,0))),0)</f>
        <v/>
      </c>
    </row>
    <row r="51">
      <c r="A51">
        <f>Skills!A19</f>
        <v/>
      </c>
      <c r="B51">
        <f>Skills!B19</f>
        <v/>
      </c>
      <c r="C51">
        <f>Inputs!$B$3&gt;=50</f>
        <v/>
      </c>
      <c r="D51">
        <f>IF(Skills!C19=1,60+Inputs!$B$24+Inputs!$B$28,IF(Skills!C19=2,90+Inputs!$B$25+Inputs!$B$28,IF(Skills!C19=3,120+Inputs!$B$26+Inputs!$B$28,MAX(0,(Inputs!$B$3-100)*3)+Inputs!$B$27+Inputs!$B$28)))</f>
        <v/>
      </c>
      <c r="E51">
        <f>INDEX(FactorTable!$B$2:$Y$301, MATCH(ROUND(MIN(300,MAX(1,D51)),0), FactorTable!$A$2:$A$301,0), Skills!L19+1)</f>
        <v/>
      </c>
      <c r="F51">
        <f>IF(Skills!M19=TRUE,(Skills!K19/10)*(E51/1000),Skills!K19/10)+Skills!N19</f>
        <v/>
      </c>
      <c r="G51">
        <f>Calc!G19</f>
        <v/>
      </c>
      <c r="H51">
        <f>Calc!H19</f>
        <v/>
      </c>
      <c r="I51">
        <f>IF(Skills!T19&lt;&gt;"",1+(Skills!T19/10)*(R35/1000)/100,1)</f>
        <v/>
      </c>
      <c r="J51" t="inlineStr"/>
      <c r="K51" t="inlineStr"/>
      <c r="L51" t="inlineStr"/>
      <c r="M51" t="inlineStr"/>
      <c r="N51" t="inlineStr"/>
      <c r="O51" t="n">
        <v>0</v>
      </c>
      <c r="P51">
        <f>IF(B66=0,0,O51/B66)</f>
        <v/>
      </c>
      <c r="S51" t="n">
        <v>0</v>
      </c>
      <c r="V51">
        <f>IFERROR(1/IF(Inputs!$B$4="pvp",15,MAX(0.1,Skills!D19-IF(Skills!E19=TRUE,Inputs!$B$31,0))),0)</f>
        <v/>
      </c>
    </row>
    <row r="52">
      <c r="A52">
        <f>Skills!A20</f>
        <v/>
      </c>
      <c r="B52">
        <f>Skills!B20</f>
        <v/>
      </c>
      <c r="C52">
        <f>Inputs!$B$3&gt;=74</f>
        <v/>
      </c>
      <c r="D52">
        <f>IF(Skills!C20=1,60+Inputs!$B$24+Inputs!$B$28,IF(Skills!C20=2,90+Inputs!$B$25+Inputs!$B$28,IF(Skills!C20=3,120+Inputs!$B$26+Inputs!$B$28,MAX(0,(Inputs!$B$3-100)*3)+Inputs!$B$27+Inputs!$B$28)))</f>
        <v/>
      </c>
      <c r="E52">
        <f>INDEX(FactorTable!$B$2:$Y$301, MATCH(ROUND(MIN(300,MAX(1,D52)),0), FactorTable!$A$2:$A$301,0), Skills!L20+1)</f>
        <v/>
      </c>
      <c r="F52">
        <f>IF(Skills!M20=TRUE,(Skills!K20/10)*(E52/1000),Skills!K20/10)+Skills!N20</f>
        <v/>
      </c>
      <c r="G52">
        <f>Calc!G20</f>
        <v/>
      </c>
      <c r="H52">
        <f>Calc!H20</f>
        <v/>
      </c>
      <c r="I52">
        <f>IF(Skills!T20&lt;&gt;"",1+(Skills!T20/10)*(R35/1000)/100,1)</f>
        <v/>
      </c>
      <c r="J52" t="inlineStr"/>
      <c r="K52" t="inlineStr"/>
      <c r="L52" t="inlineStr"/>
      <c r="M52" t="inlineStr"/>
      <c r="N52" t="inlineStr"/>
      <c r="O52" t="n">
        <v>0</v>
      </c>
      <c r="P52">
        <f>IF(B66=0,0,O52/B66)</f>
        <v/>
      </c>
      <c r="S52" t="n">
        <v>0</v>
      </c>
      <c r="V52">
        <f>IFERROR(1/IF(Inputs!$B$4="pvp",15,MAX(0.1,Skills!D20-IF(Skills!E20=TRUE,Inputs!$B$31,0))),0)</f>
        <v/>
      </c>
    </row>
    <row r="53">
      <c r="A53">
        <f>Skills!A21</f>
        <v/>
      </c>
      <c r="B53">
        <f>Skills!B21</f>
        <v/>
      </c>
      <c r="C53">
        <f>Inputs!$B$3&gt;=74</f>
        <v/>
      </c>
      <c r="D53">
        <f>IF(Skills!C21=1,60+Inputs!$B$24+Inputs!$B$28,IF(Skills!C21=2,90+Inputs!$B$25+Inputs!$B$28,IF(Skills!C21=3,120+Inputs!$B$26+Inputs!$B$28,MAX(0,(Inputs!$B$3-100)*3)+Inputs!$B$27+Inputs!$B$28)))</f>
        <v/>
      </c>
      <c r="E53">
        <f>INDEX(FactorTable!$B$2:$Y$301, MATCH(ROUND(MIN(300,MAX(1,D53)),0), FactorTable!$A$2:$A$301,0), Skills!L21+1)</f>
        <v/>
      </c>
      <c r="F53">
        <f>IF(Skills!M21=TRUE,(Skills!K21/10)*(E53/1000),Skills!K21/10)+Skills!N21</f>
        <v/>
      </c>
      <c r="G53">
        <f>Calc!G21</f>
        <v/>
      </c>
      <c r="H53">
        <f>Calc!H21</f>
        <v/>
      </c>
      <c r="I53">
        <f>IF(Skills!T21&lt;&gt;"",1+(Skills!T21/10)*(R35/1000)/100,1)</f>
        <v/>
      </c>
      <c r="J53" t="inlineStr"/>
      <c r="K53" t="inlineStr"/>
      <c r="L53" t="inlineStr"/>
      <c r="M53" t="inlineStr"/>
      <c r="N53" t="inlineStr"/>
      <c r="O53" t="n">
        <v>0</v>
      </c>
      <c r="P53">
        <f>IF(B66=0,0,O53/B66)</f>
        <v/>
      </c>
      <c r="S53" t="n">
        <v>0</v>
      </c>
      <c r="V53">
        <f>IFERROR(1/IF(Inputs!$B$4="pvp",15,MAX(0.1,Skills!D21-IF(Skills!E21=TRUE,Inputs!$B$31,0))),0)</f>
        <v/>
      </c>
    </row>
    <row r="54">
      <c r="A54">
        <f>Skills!A22</f>
        <v/>
      </c>
      <c r="B54">
        <f>Skills!B22</f>
        <v/>
      </c>
      <c r="C54">
        <f>Inputs!$B$3&gt;=117</f>
        <v/>
      </c>
      <c r="D54">
        <f>IF(Skills!C22=1,60+Inputs!$B$24+Inputs!$B$28,IF(Skills!C22=2,90+Inputs!$B$25+Inputs!$B$28,IF(Skills!C22=3,120+Inputs!$B$26+Inputs!$B$28,MAX(0,(Inputs!$B$3-100)*3)+Inputs!$B$27+Inputs!$B$28)))</f>
        <v/>
      </c>
      <c r="E54">
        <f>INDEX(FactorTable!$B$2:$Y$301, MATCH(ROUND(MIN(300,MAX(1,D54)),0), FactorTable!$A$2:$A$301,0), Skills!L22+1)</f>
        <v/>
      </c>
      <c r="F54">
        <f>IF(Skills!M22=TRUE,(Skills!K22/10)*(E54/1000),Skills!K22/10)+Skills!N22</f>
        <v/>
      </c>
      <c r="G54">
        <f>Calc!G22</f>
        <v/>
      </c>
      <c r="H54">
        <f>Calc!H22</f>
        <v/>
      </c>
      <c r="I54">
        <f>IF(Skills!T22&lt;&gt;"",1+(Skills!T22/10)*(R35/1000)/100,1)</f>
        <v/>
      </c>
      <c r="J54" t="inlineStr"/>
      <c r="K54" t="inlineStr"/>
      <c r="L54" t="inlineStr"/>
      <c r="M54" t="inlineStr"/>
      <c r="N54" t="inlineStr"/>
      <c r="O54" t="n">
        <v>0</v>
      </c>
      <c r="P54">
        <f>IF(B66=0,0,O54/B66)</f>
        <v/>
      </c>
      <c r="S54" t="n">
        <v>0</v>
      </c>
      <c r="V54">
        <f>IFERROR(1/IF(Inputs!$B$4="pvp",15,MAX(0.1,Skills!D22-IF(Skills!E22=TRUE,Inputs!$B$31,0))),0)</f>
        <v/>
      </c>
    </row>
    <row r="55">
      <c r="A55">
        <f>Skills!A23</f>
        <v/>
      </c>
      <c r="B55">
        <f>Skills!B23</f>
        <v/>
      </c>
      <c r="C55">
        <f>Inputs!$B$3&gt;=120</f>
        <v/>
      </c>
      <c r="D55">
        <f>IF(Skills!C23=1,60+Inputs!$B$24+Inputs!$B$28,IF(Skills!C23=2,90+Inputs!$B$25+Inputs!$B$28,IF(Skills!C23=3,120+Inputs!$B$26+Inputs!$B$28,MAX(0,(Inputs!$B$3-100)*3)+Inputs!$B$27+Inputs!$B$28)))</f>
        <v/>
      </c>
      <c r="E55">
        <f>INDEX(FactorTable!$B$2:$Y$301, MATCH(ROUND(MIN(300,MAX(1,D55)),0), FactorTable!$A$2:$A$301,0), Skills!L23+1)</f>
        <v/>
      </c>
      <c r="F55">
        <f>IF(Skills!M23=TRUE,(Skills!K23/10)*(E55/1000),Skills!K23/10)+Skills!N23</f>
        <v/>
      </c>
      <c r="G55">
        <f>Calc!G23</f>
        <v/>
      </c>
      <c r="H55">
        <f>Calc!H23</f>
        <v/>
      </c>
      <c r="I55">
        <f>IF(Skills!T23&lt;&gt;"",1+(Skills!T23/10)*(R35/1000)/100,1)</f>
        <v/>
      </c>
      <c r="J55" t="inlineStr"/>
      <c r="K55" t="inlineStr"/>
      <c r="L55" t="inlineStr"/>
      <c r="M55" t="inlineStr"/>
      <c r="N55" t="inlineStr"/>
      <c r="O55" t="n">
        <v>0</v>
      </c>
      <c r="P55">
        <f>IF(B66=0,0,O55/B66)</f>
        <v/>
      </c>
      <c r="S55" t="n">
        <v>0</v>
      </c>
      <c r="V55">
        <f>IFERROR(1/IF(Inputs!$B$4="pvp",15,MAX(0.1,Skills!D23-IF(Skills!E23=TRUE,Inputs!$B$31,0))),0)</f>
        <v/>
      </c>
    </row>
    <row r="58">
      <c r="A58" t="inlineStr">
        <is>
          <t>Average Buff Multiplier (Magic Guard + Meditation, summed; then Infinity)</t>
        </is>
      </c>
      <c r="B58">
        <f>(1+(IF(C35=TRUE,F35*IF(AND(Inputs!$B$4&lt;&gt;"pvp",Inputs!$B$35&gt;0),(((S35-1)*(Skills!S3*(1+(Inputs!$B$33+IF(Inputs!$B$3&gt;=117,F54,0))/100))+MIN((Skills!S3*(1+(Inputs!$B$33+IF(Inputs!$B$3&gt;=117,F54,0))/100)),MAX(0,Inputs!$B$35-((S35-1)*Skills!D3))))/Inputs!$B$35),IF(Inputs!$B$4="pvp",MIN((Skills!S3*(1+(Inputs!$B$33+IF(Inputs!$B$3&gt;=117,F54,0))/100)),15)/15,(Skills!S3*(1+(Inputs!$B$33+IF(Inputs!$B$3&gt;=117,F54,0))/100))/Skills!D3)),0)+IF(C36=TRUE,F36*IF(AND(Inputs!$B$4&lt;&gt;"pvp",Inputs!$B$35&gt;0),(((S36-1)*(Skills!S4*(1+(Inputs!$B$33+IF(Inputs!$B$3&gt;=117,F54,0))/100))+MIN((Skills!S4*(1+(Inputs!$B$33+IF(Inputs!$B$3&gt;=117,F54,0))/100)),MAX(0,Inputs!$B$35-((S36-1)*Skills!D4))))/Inputs!$B$35),IF(Inputs!$B$4="pvp",MIN((Skills!S4*(1+(Inputs!$B$33+IF(Inputs!$B$3&gt;=117,F54,0))/100)),15)/15,(Skills!S4*(1+(Inputs!$B$33+IF(Inputs!$B$3&gt;=117,F54,0))/100))/Skills!D4)),0))/100)*IF(C48=TRUE,(1+F48*IF(AND(Inputs!$B$4&lt;&gt;"pvp",Inputs!$B$35&gt;0),(((S48-1)*(Skills!S16*(1+(Inputs!$B$33+IF(Inputs!$B$3&gt;=117,F54,0))/100))+MIN((Skills!S16*(1+(Inputs!$B$33+IF(Inputs!$B$3&gt;=117,F54,0))/100)),MAX(0,Inputs!$B$35-((S48-1)*Skills!D16))))/Inputs!$B$35),IF(Inputs!$B$4="pvp",MIN((Skills!S16*(1+(Inputs!$B$33+IF(Inputs!$B$3&gt;=117,F54,0))/100)),15)/15,(Skills!S16*(1+(Inputs!$B$33+IF(Inputs!$B$3&gt;=117,F54,0))/100))/Skills!D16))/100),1)</f>
        <v/>
      </c>
    </row>
    <row r="59">
      <c r="A59" t="inlineStr">
        <is>
          <t>Monster Damage Taken Bonus % (Freezing Breath - Weaken + Elemental Reset, summed)</t>
        </is>
      </c>
      <c r="B59">
        <f>IF(Inputs!$B$3&gt;=118,15*IF(Inputs!$B$4="pvp",MIN((30*(1+(Inputs!$B$33+IF(Inputs!$B$3&gt;=117,F54,0))/100)),15)/15,(30*(1+(Inputs!$B$33+IF(Inputs!$B$3&gt;=117,F54,0))/100))/Skills!D8),0)+IF(C46=TRUE,F46,0)</f>
        <v/>
      </c>
    </row>
    <row r="60">
      <c r="A60" t="inlineStr">
        <is>
          <t>Damage % Bonus (Frozen Break + Frost Clutch, flat)</t>
        </is>
      </c>
      <c r="B60">
        <f>IF(Inputs!$B$3&gt;=66,15,0)+IF(Inputs!$B$3&gt;=98,10,0)+IF(Inputs!$B$3&gt;=125,20,0)</f>
        <v/>
      </c>
    </row>
    <row r="61">
      <c r="A61" t="inlineStr">
        <is>
          <t>Attack Speed Bonus % (MP Eater - MP Boost, always-on once unlocked)</t>
        </is>
      </c>
      <c r="B61">
        <f>IF(C45=TRUE,F45+(F49-Calc!F17),0)</f>
        <v/>
      </c>
    </row>
    <row r="62">
      <c r="A62" t="inlineStr">
        <is>
          <t>Actions Per Second</t>
        </is>
      </c>
      <c r="B62">
        <f>1+MIN(150,150*(1-(1-Inputs!$B$10/150)*(1-B61/150)))/100</f>
        <v/>
      </c>
    </row>
    <row r="63">
      <c r="A63" t="inlineStr">
        <is>
          <t>Skill + Buff Cast Rate</t>
        </is>
      </c>
      <c r="B63">
        <f>IF(AND(Inputs!$B$4&lt;&gt;"pvp",Inputs!$B$35&gt;0),SUMPRODUCT((Skills!E2:E23=TRUE)*(C34:C55=TRUE)*S34:S55)/Inputs!$B$35,SUMPRODUCT((Skills!E2:E23=TRUE)*(C34:C55=TRUE)*V34:V55))</f>
        <v/>
      </c>
    </row>
    <row r="64">
      <c r="A64" t="inlineStr">
        <is>
          <t>Chain Lightning Casts Per Second</t>
        </is>
      </c>
      <c r="B64">
        <f>MAX(0,B62-B63)</f>
        <v/>
      </c>
    </row>
    <row r="66">
      <c r="A66" s="5" t="inlineStr">
        <is>
          <t>TOTAL DPS</t>
        </is>
      </c>
      <c r="B66" s="5">
        <f>SUM(O34:O55)</f>
        <v/>
      </c>
    </row>
    <row r="69">
      <c r="A69" s="5" t="inlineStr">
        <is>
          <t>Stat: INT %</t>
        </is>
      </c>
    </row>
    <row r="70">
      <c r="A70" s="8" t="inlineStr">
        <is>
          <t>Key</t>
        </is>
      </c>
      <c r="B70" s="8" t="inlineStr">
        <is>
          <t>Name</t>
        </is>
      </c>
      <c r="C70" s="8" t="inlineStr">
        <is>
          <t>Unlocked</t>
        </is>
      </c>
      <c r="D70" s="8" t="inlineStr">
        <is>
          <t>InputLevel</t>
        </is>
      </c>
      <c r="E70" s="8" t="inlineStr">
        <is>
          <t>Factor</t>
        </is>
      </c>
      <c r="F70" s="8" t="inlineStr">
        <is>
          <t>CoefficientPercent</t>
        </is>
      </c>
      <c r="G70" s="8" t="inlineStr">
        <is>
          <t>EffectiveHits</t>
        </is>
      </c>
      <c r="H70" s="8" t="inlineStr">
        <is>
          <t>ProcProbability</t>
        </is>
      </c>
      <c r="I70" s="8" t="inlineStr">
        <is>
          <t>MapleHeroMultiplier</t>
        </is>
      </c>
      <c r="J70" s="8" t="inlineStr">
        <is>
          <t>BaseDamage</t>
        </is>
      </c>
      <c r="K70" s="8" t="inlineStr">
        <is>
          <t>BaseHitDamage</t>
        </is>
      </c>
      <c r="L70" s="8" t="inlineStr">
        <is>
          <t>NonCritAvg</t>
        </is>
      </c>
      <c r="M70" s="8" t="inlineStr">
        <is>
          <t>CritAvg</t>
        </is>
      </c>
      <c r="N70" s="8" t="inlineStr">
        <is>
          <t>ExpectedDamage(perHit)</t>
        </is>
      </c>
      <c r="O70" s="8" t="inlineStr">
        <is>
          <t>DPS</t>
        </is>
      </c>
      <c r="P70" s="8" t="inlineStr">
        <is>
          <t>% of Total</t>
        </is>
      </c>
      <c r="R70" t="inlineStr">
        <is>
          <t>helpers</t>
        </is>
      </c>
    </row>
    <row r="71">
      <c r="A71">
        <f>Skills!A2</f>
        <v/>
      </c>
      <c r="B71">
        <f>Skills!B2</f>
        <v/>
      </c>
      <c r="C71">
        <f>Inputs!$B$3&gt;=100</f>
        <v/>
      </c>
      <c r="D71" t="inlineStr"/>
      <c r="E71" t="inlineStr"/>
      <c r="F71">
        <f>T73+Skills!N2</f>
        <v/>
      </c>
      <c r="G71">
        <f>Calc!G2</f>
        <v/>
      </c>
      <c r="H71">
        <f>Calc!H2</f>
        <v/>
      </c>
      <c r="I71">
        <f>IF(Skills!T2&lt;&gt;"",1+(Skills!T2/10)*(R72/1000)/100,1)</f>
        <v/>
      </c>
      <c r="J71">
        <f>((Inputs!$B$5*(1+Inputs!$B$6/100))+((Inputs!$B$11*(1+(Inputs!$B$12+1)/100))-(Inputs!$B$11*(1+Inputs!$B$12/100)))*(1+Inputs!$B$6/100))*(F71/100)</f>
        <v/>
      </c>
      <c r="K71">
        <f>J71*(1+((Inputs!$B$11*(1+(Inputs!$B$12+1)/100))*0.01+Inputs!$B$13*0.0025)/100)*(1+(Inputs!$B$14+B97)/100)*(1+IF(Inputs!$B$4="pvp",0,(1-Summary!$B$51)*(Inputs!$B$19+Skills!O2+B96)+Summary!$B$51*(Inputs!$B$20+Skills!P2+B96))/100)*(1+Inputs!$B$15/100)*(5000/(6000+Inputs!$B$7*(1-Inputs!$B$18/100)))*(1+Inputs!$B$23/100)*(1+IF(C84=TRUE,F84,0)/100)*(1+IF(C92=TRUE,F92,0)/100)^5*(1+(IF(Skills!A2="CHAIN_LIGHTNING",Inputs!$B$16,Inputs!$B$17))/100)*(B95*I71)</f>
        <v/>
      </c>
      <c r="L71">
        <f>K71*(MIN(Inputs!$B$21+(F87-Calc!F18),Inputs!$B$22)/100+Inputs!$B$22/100)/2</f>
        <v/>
      </c>
      <c r="M71">
        <f>L71*(1+(Inputs!$B$9+(F90-Calc!F21))/100)</f>
        <v/>
      </c>
      <c r="N71">
        <f>L71*(1-MIN(Inputs!$B$8+((F89-Calc!F20)+(F88-Calc!F19)),100)/100)+M71*(MIN(Inputs!$B$8+((F89-Calc!F20)+(F88-Calc!F19)),100)/100)</f>
        <v/>
      </c>
      <c r="O71">
        <f>IF(C71,Skills!F2*N71*B101*IF(Inputs!$B$4="pvp",1,(1-Summary!$B$51)*(1)+Summary!$B$51*(MIN((6+Inputs!$B$32),Inputs!$B$37))),0)</f>
        <v/>
      </c>
      <c r="P71">
        <f>IF(B103=0,0,O71/B103)</f>
        <v/>
      </c>
      <c r="R71">
        <f>MAX(0,(Inputs!$B$3-100)*3)+Inputs!$B$27+Inputs!$B$28</f>
        <v/>
      </c>
      <c r="S71" t="n">
        <v>0</v>
      </c>
      <c r="T71">
        <f>MAX(0,(Inputs!$B$3-100)*3)+Inputs!$B$27+Inputs!$B$28</f>
        <v/>
      </c>
      <c r="V71">
        <f>IFERROR(1/IF(Inputs!$B$4="pvp",15,MAX(0.1,Skills!D2-IF(Skills!E2=TRUE,Inputs!$B$31,0))),0)</f>
        <v/>
      </c>
    </row>
    <row r="72">
      <c r="A72">
        <f>Skills!A3</f>
        <v/>
      </c>
      <c r="B72">
        <f>Skills!B3</f>
        <v/>
      </c>
      <c r="C72">
        <f>Inputs!$B$3&gt;=15</f>
        <v/>
      </c>
      <c r="D72">
        <f>IF(Skills!C3=1,60+Inputs!$B$24+Inputs!$B$28,IF(Skills!C3=2,90+Inputs!$B$25+Inputs!$B$28,IF(Skills!C3=3,120+Inputs!$B$26+Inputs!$B$28,MAX(0,(Inputs!$B$3-100)*3)+Inputs!$B$27+Inputs!$B$28)))</f>
        <v/>
      </c>
      <c r="E72">
        <f>INDEX(FactorTable!$B$2:$Y$301, MATCH(ROUND(MIN(300,MAX(1,D72)),0), FactorTable!$A$2:$A$301,0), Skills!L3+1)</f>
        <v/>
      </c>
      <c r="F72">
        <f>IF(Skills!M3=TRUE,(Skills!K3/10)*(E72/1000),Skills!K3/10)+Skills!N3</f>
        <v/>
      </c>
      <c r="G72">
        <f>Calc!G3</f>
        <v/>
      </c>
      <c r="H72">
        <f>Calc!H3</f>
        <v/>
      </c>
      <c r="I72">
        <f>IF(Skills!T3&lt;&gt;"",1+(Skills!T3/10)*(R72/1000)/100,1)</f>
        <v/>
      </c>
      <c r="J72" t="inlineStr"/>
      <c r="K72" t="inlineStr"/>
      <c r="L72" t="inlineStr"/>
      <c r="M72" t="inlineStr"/>
      <c r="N72" t="inlineStr"/>
      <c r="O72" t="n">
        <v>0</v>
      </c>
      <c r="P72">
        <f>IF(B103=0,0,O72/B103)</f>
        <v/>
      </c>
      <c r="R72">
        <f>INDEX(FactorTable!$B$2:$Y$301, MATCH(ROUND(MIN(300,MAX(1,R71)),0), FactorTable!$A$2:$A$301,0), 24)</f>
        <v/>
      </c>
      <c r="S72">
        <f>IF(AND(Inputs!$B$4&lt;&gt;"pvp",Inputs!$B$35&gt;0),(INT(Inputs!$B$35/IF(Inputs!$B$4="pvp",15,MAX(0.1,Skills!D3-IF(Skills!E3=TRUE,Inputs!$B$31,0))))+1),0)</f>
        <v/>
      </c>
      <c r="T72">
        <f>INDEX(FactorTable!$B$2:$Y$301, MATCH(ROUND(MIN(300,MAX(1,T71)),0), FactorTable!$A$2:$A$301,0), 22)</f>
        <v/>
      </c>
      <c r="V72">
        <f>IFERROR(1/IF(Inputs!$B$4="pvp",15,MAX(0.1,Skills!D3-IF(Skills!E3=TRUE,Inputs!$B$31,0))),0)</f>
        <v/>
      </c>
    </row>
    <row r="73">
      <c r="A73">
        <f>Skills!A4</f>
        <v/>
      </c>
      <c r="B73">
        <f>Skills!B4</f>
        <v/>
      </c>
      <c r="C73">
        <f>Inputs!$B$3&gt;=40</f>
        <v/>
      </c>
      <c r="D73">
        <f>IF(Skills!C4=1,60+Inputs!$B$24+Inputs!$B$28,IF(Skills!C4=2,90+Inputs!$B$25+Inputs!$B$28,IF(Skills!C4=3,120+Inputs!$B$26+Inputs!$B$28,MAX(0,(Inputs!$B$3-100)*3)+Inputs!$B$27+Inputs!$B$28)))</f>
        <v/>
      </c>
      <c r="E73">
        <f>INDEX(FactorTable!$B$2:$Y$301, MATCH(ROUND(MIN(300,MAX(1,D73)),0), FactorTable!$A$2:$A$301,0), Skills!L4+1)</f>
        <v/>
      </c>
      <c r="F73">
        <f>IF(Skills!M4=TRUE,(Skills!K4/10)*(E73/1000),Skills!K4/10)+Skills!N4</f>
        <v/>
      </c>
      <c r="G73">
        <f>Calc!G4</f>
        <v/>
      </c>
      <c r="H73">
        <f>Calc!H4</f>
        <v/>
      </c>
      <c r="I73">
        <f>IF(Skills!T4&lt;&gt;"",1+(Skills!T4/10)*(R72/1000)/100,1)</f>
        <v/>
      </c>
      <c r="J73" t="inlineStr"/>
      <c r="K73" t="inlineStr"/>
      <c r="L73" t="inlineStr"/>
      <c r="M73" t="inlineStr"/>
      <c r="N73" t="inlineStr"/>
      <c r="O73" t="n">
        <v>0</v>
      </c>
      <c r="P73">
        <f>IF(B103=0,0,O73/B103)</f>
        <v/>
      </c>
      <c r="S73">
        <f>IF(AND(Inputs!$B$4&lt;&gt;"pvp",Inputs!$B$35&gt;0),(INT(Inputs!$B$35/IF(Inputs!$B$4="pvp",15,MAX(0.1,Skills!D4-IF(Skills!E4=TRUE,Inputs!$B$31,0))))+1),0)</f>
        <v/>
      </c>
      <c r="T73">
        <f>290*T72/1000</f>
        <v/>
      </c>
      <c r="V73">
        <f>IFERROR(1/IF(Inputs!$B$4="pvp",15,MAX(0.1,Skills!D4-IF(Skills!E4=TRUE,Inputs!$B$31,0))),0)</f>
        <v/>
      </c>
    </row>
    <row r="74">
      <c r="A74">
        <f>Skills!A5</f>
        <v/>
      </c>
      <c r="B74">
        <f>Skills!B5</f>
        <v/>
      </c>
      <c r="C74">
        <f>Inputs!$B$3&gt;=38</f>
        <v/>
      </c>
      <c r="D74">
        <f>IF(Skills!C5=1,60+Inputs!$B$24+Inputs!$B$28,IF(Skills!C5=2,90+Inputs!$B$25+Inputs!$B$28,IF(Skills!C5=3,120+Inputs!$B$26+Inputs!$B$28,MAX(0,(Inputs!$B$3-100)*3)+Inputs!$B$27+Inputs!$B$28)))</f>
        <v/>
      </c>
      <c r="E74">
        <f>INDEX(FactorTable!$B$2:$Y$301, MATCH(ROUND(MIN(300,MAX(1,D74)),0), FactorTable!$A$2:$A$301,0), Skills!L5+1)</f>
        <v/>
      </c>
      <c r="F74">
        <f>IF(Skills!M5=TRUE,(Skills!K5/10)*(E74/1000),Skills!K5/10)+Skills!N5</f>
        <v/>
      </c>
      <c r="G74">
        <f>Calc!G5</f>
        <v/>
      </c>
      <c r="H74">
        <f>Calc!H5</f>
        <v/>
      </c>
      <c r="I74">
        <f>IF(Skills!T5&lt;&gt;"",1+(Skills!T5/10)*(R72/1000)/100,1)</f>
        <v/>
      </c>
      <c r="J74">
        <f>((Inputs!$B$5*(1+Inputs!$B$6/100))+((Inputs!$B$11*(1+(Inputs!$B$12+1)/100))-(Inputs!$B$11*(1+Inputs!$B$12/100)))*(1+Inputs!$B$6/100))*(F74/100)</f>
        <v/>
      </c>
      <c r="K74">
        <f>J74*(1+((Inputs!$B$11*(1+(Inputs!$B$12+1)/100))*0.01+Inputs!$B$13*0.0025)/100)*(1+(Inputs!$B$14+B97)/100)*(1+IF(Inputs!$B$4="pvp",0,(1-Summary!$B$51)*(Inputs!$B$19+Skills!O5+B96)+Summary!$B$51*(Inputs!$B$20+Skills!P5+B96))/100)*(1+Inputs!$B$15/100)*(5000/(6000+Inputs!$B$7*(1-Inputs!$B$18/100)))*(1+Inputs!$B$23/100)*(1+IF(C84=TRUE,F84,0)/100)*(1+IF(C92=TRUE,F92,0)/100)^5*(1+(IF(Skills!A5="CHAIN_LIGHTNING",Inputs!$B$16,Inputs!$B$17))/100)*(B95*I74)</f>
        <v/>
      </c>
      <c r="L74">
        <f>K74*(MIN(Inputs!$B$21+(F87-Calc!F18),Inputs!$B$22)/100+Inputs!$B$22/100)/2</f>
        <v/>
      </c>
      <c r="M74">
        <f>L74*(1+(Inputs!$B$9+(F90-Calc!F21))/100)</f>
        <v/>
      </c>
      <c r="N74">
        <f>L74*(1-MIN(Inputs!$B$8+((F89-Calc!F20)+(F88-Calc!F19)),100)/100)+M74*(MIN(Inputs!$B$8+((F89-Calc!F20)+(F88-Calc!F19)),100)/100)</f>
        <v/>
      </c>
      <c r="O74">
        <f>IF(C74,H74*N74*IF(AND(Inputs!$B$4&lt;&gt;"pvp",Inputs!$B$35&gt;0),((Skills!F5*((S74-1)*IF(Skills!G5&gt;0,Skills!H5/Skills!G5,1)+IF(Skills!G5&gt;0,MIN(Skills!H5,MAX(0,Inputs!$B$35-((S74-1)*IF(Inputs!$B$4="pvp",15,MAX(0.1,Skills!D5-IF(Skills!E5=TRUE,Inputs!$B$31,0))))))/Skills!G5,1)))/Inputs!$B$35),G74*V74)*IF(Inputs!$B$4="pvp",1,(1-Summary!$B$51)*(1)+Summary!$B$51*(MIN(Skills!Q5,Inputs!$B$37))),0)</f>
        <v/>
      </c>
      <c r="P74">
        <f>IF(B103=0,0,O74/B103)</f>
        <v/>
      </c>
      <c r="S74">
        <f>IF(AND(Inputs!$B$4&lt;&gt;"pvp",Inputs!$B$35&gt;0),(INT(Inputs!$B$35/IF(Inputs!$B$4="pvp",15,MAX(0.1,Skills!D5-IF(Skills!E5=TRUE,Inputs!$B$31,0))))+1),0)</f>
        <v/>
      </c>
      <c r="V74">
        <f>IFERROR(1/IF(Inputs!$B$4="pvp",15,MAX(0.1,Skills!D5-IF(Skills!E5=TRUE,Inputs!$B$31,0))),0)</f>
        <v/>
      </c>
    </row>
    <row r="75">
      <c r="A75">
        <f>Skills!A6</f>
        <v/>
      </c>
      <c r="B75">
        <f>Skills!B6</f>
        <v/>
      </c>
      <c r="C75">
        <f>Inputs!$B$3&gt;=63</f>
        <v/>
      </c>
      <c r="D75">
        <f>IF(Skills!C6=1,60+Inputs!$B$24+Inputs!$B$28,IF(Skills!C6=2,90+Inputs!$B$25+Inputs!$B$28,IF(Skills!C6=3,120+Inputs!$B$26+Inputs!$B$28,MAX(0,(Inputs!$B$3-100)*3)+Inputs!$B$27+Inputs!$B$28)))</f>
        <v/>
      </c>
      <c r="E75">
        <f>INDEX(FactorTable!$B$2:$Y$301, MATCH(ROUND(MIN(300,MAX(1,D75)),0), FactorTable!$A$2:$A$301,0), Skills!L6+1)</f>
        <v/>
      </c>
      <c r="F75">
        <f>IF(Skills!M6=TRUE,(Skills!K6/10)*(E75/1000),Skills!K6/10)+Skills!N6</f>
        <v/>
      </c>
      <c r="G75">
        <f>Calc!G6</f>
        <v/>
      </c>
      <c r="H75">
        <f>Calc!H6</f>
        <v/>
      </c>
      <c r="I75">
        <f>IF(Skills!T6&lt;&gt;"",1+(Skills!T6/10)*(R72/1000)/100,1)</f>
        <v/>
      </c>
      <c r="J75">
        <f>((Inputs!$B$5*(1+Inputs!$B$6/100))+((Inputs!$B$11*(1+(Inputs!$B$12+1)/100))-(Inputs!$B$11*(1+Inputs!$B$12/100)))*(1+Inputs!$B$6/100))*(F75/100)</f>
        <v/>
      </c>
      <c r="K75">
        <f>J75*(1+((Inputs!$B$11*(1+(Inputs!$B$12+1)/100))*0.01+Inputs!$B$13*0.0025)/100)*(1+(Inputs!$B$14+B97)/100)*(1+IF(Inputs!$B$4="pvp",0,(1-Summary!$B$51)*(Inputs!$B$19+Skills!O6+B96)+Summary!$B$51*(Inputs!$B$20+Skills!P6+B96))/100)*(1+Inputs!$B$15/100)*(5000/(6000+Inputs!$B$7*(1-Inputs!$B$18/100)))*(1+Inputs!$B$23/100)*(1+IF(C84=TRUE,F84,0)/100)*(1+IF(C92=TRUE,F92,0)/100)^5*(1+(IF(Skills!A6="CHAIN_LIGHTNING",Inputs!$B$16,Inputs!$B$17))/100)*(B95*I75)</f>
        <v/>
      </c>
      <c r="L75">
        <f>K75*(MIN(Inputs!$B$21+(F87-Calc!F18),Inputs!$B$22)/100+Inputs!$B$22/100)/2</f>
        <v/>
      </c>
      <c r="M75">
        <f>L75*(1+(Inputs!$B$9+(F90-Calc!F21))/100)</f>
        <v/>
      </c>
      <c r="N75">
        <f>L75*(1-MIN(Inputs!$B$8+((F89-Calc!F20)+(F88-Calc!F19)),100)/100)+M75*(MIN(Inputs!$B$8+((F89-Calc!F20)+(F88-Calc!F19)),100)/100)</f>
        <v/>
      </c>
      <c r="O75">
        <f>IF(C75,H75*N75*IF(AND(Inputs!$B$4&lt;&gt;"pvp",Inputs!$B$35&gt;0),((Skills!F6*((S75-1)*IF(Skills!G6&gt;0,Skills!H6/Skills!G6,1)+IF(Skills!G6&gt;0,MIN(Skills!H6,MAX(0,Inputs!$B$35-((S75-1)*IF(Inputs!$B$4="pvp",15,MAX(0.1,Skills!D6-IF(Skills!E6=TRUE,Inputs!$B$31,0))))))/Skills!G6,1)))/Inputs!$B$35),G75*V75)*IF(Inputs!$B$4="pvp",1,(1-Summary!$B$51)*(1)+Summary!$B$51*(MIN(Skills!Q6,Inputs!$B$37))),0)</f>
        <v/>
      </c>
      <c r="P75">
        <f>IF(B103=0,0,O75/B103)</f>
        <v/>
      </c>
      <c r="S75">
        <f>IF(AND(Inputs!$B$4&lt;&gt;"pvp",Inputs!$B$35&gt;0),(INT(Inputs!$B$35/IF(Inputs!$B$4="pvp",15,MAX(0.1,Skills!D6-IF(Skills!E6=TRUE,Inputs!$B$31,0))))+1),0)</f>
        <v/>
      </c>
      <c r="V75">
        <f>IFERROR(1/IF(Inputs!$B$4="pvp",15,MAX(0.1,Skills!D6-IF(Skills!E6=TRUE,Inputs!$B$31,0))),0)</f>
        <v/>
      </c>
    </row>
    <row r="76">
      <c r="A76">
        <f>Skills!A7</f>
        <v/>
      </c>
      <c r="B76">
        <f>Skills!B7</f>
        <v/>
      </c>
      <c r="C76">
        <f>Inputs!$B$3&gt;=69</f>
        <v/>
      </c>
      <c r="D76">
        <f>IF(Skills!C7=1,60+Inputs!$B$24+Inputs!$B$28,IF(Skills!C7=2,90+Inputs!$B$25+Inputs!$B$28,IF(Skills!C7=3,120+Inputs!$B$26+Inputs!$B$28,MAX(0,(Inputs!$B$3-100)*3)+Inputs!$B$27+Inputs!$B$28)))</f>
        <v/>
      </c>
      <c r="E76">
        <f>INDEX(FactorTable!$B$2:$Y$301, MATCH(ROUND(MIN(300,MAX(1,D76)),0), FactorTable!$A$2:$A$301,0), Skills!L7+1)</f>
        <v/>
      </c>
      <c r="F76">
        <f>IF(Skills!M7=TRUE,(Skills!K7/10)*(E76/1000),Skills!K7/10)+Skills!N7</f>
        <v/>
      </c>
      <c r="G76">
        <f>Calc!G7</f>
        <v/>
      </c>
      <c r="H76">
        <f>Calc!H7</f>
        <v/>
      </c>
      <c r="I76">
        <f>IF(Skills!T7&lt;&gt;"",1+(Skills!T7/10)*(R72/1000)/100,1)</f>
        <v/>
      </c>
      <c r="J76">
        <f>((Inputs!$B$5*(1+Inputs!$B$6/100))+((Inputs!$B$11*(1+(Inputs!$B$12+1)/100))-(Inputs!$B$11*(1+Inputs!$B$12/100)))*(1+Inputs!$B$6/100))*(F76/100)</f>
        <v/>
      </c>
      <c r="K76">
        <f>J76*(1+((Inputs!$B$11*(1+(Inputs!$B$12+1)/100))*0.01+Inputs!$B$13*0.0025)/100)*(1+(Inputs!$B$14+B97)/100)*(1+IF(Inputs!$B$4="pvp",0,(1-Summary!$B$51)*(Inputs!$B$19+Skills!O7+B96)+Summary!$B$51*(Inputs!$B$20+Skills!P7+B96))/100)*(1+Inputs!$B$15/100)*(5000/(6000+Inputs!$B$7*(1-Inputs!$B$18/100)))*(1+Inputs!$B$23/100)*(1+IF(C84=TRUE,F84,0)/100)*(1+IF(C92=TRUE,F92,0)/100)^5*(1+(IF(Skills!A7="CHAIN_LIGHTNING",Inputs!$B$16,Inputs!$B$17))/100)*(B95*I76)</f>
        <v/>
      </c>
      <c r="L76">
        <f>K76*(MIN(Inputs!$B$21+(F87-Calc!F18),Inputs!$B$22)/100+Inputs!$B$22/100)/2</f>
        <v/>
      </c>
      <c r="M76">
        <f>L76*(1+(Inputs!$B$9+(F90-Calc!F21))/100)</f>
        <v/>
      </c>
      <c r="N76">
        <f>L76*(1-MIN(Inputs!$B$8+((F89-Calc!F20)+(F88-Calc!F19)),100)/100)+M76*(MIN(Inputs!$B$8+((F89-Calc!F20)+(F88-Calc!F19)),100)/100)</f>
        <v/>
      </c>
      <c r="O76">
        <f>IF(C76,H76*N76*IF(AND(Inputs!$B$4&lt;&gt;"pvp",Inputs!$B$35&gt;0),((Skills!F7*((S76-1)*IF(Skills!G7&gt;0,Skills!H7/Skills!G7,1)+IF(Skills!G7&gt;0,MIN(Skills!H7,MAX(0,Inputs!$B$35-((S76-1)*IF(Inputs!$B$4="pvp",15,MAX(0.1,Skills!D7-IF(Skills!E7=TRUE,Inputs!$B$31,0))))))/Skills!G7,1)))/Inputs!$B$35),G76*V76)*IF(Inputs!$B$4="pvp",1,(1-Summary!$B$51)*(1)+Summary!$B$51*(MIN(Skills!Q7,Inputs!$B$37))),0)</f>
        <v/>
      </c>
      <c r="P76">
        <f>IF(B103=0,0,O76/B103)</f>
        <v/>
      </c>
      <c r="S76">
        <f>IF(AND(Inputs!$B$4&lt;&gt;"pvp",Inputs!$B$35&gt;0),(INT(Inputs!$B$35/IF(Inputs!$B$4="pvp",15,MAX(0.1,Skills!D7-IF(Skills!E7=TRUE,Inputs!$B$31,0))))+1),0)</f>
        <v/>
      </c>
      <c r="V76">
        <f>IFERROR(1/IF(Inputs!$B$4="pvp",15,MAX(0.1,Skills!D7-IF(Skills!E7=TRUE,Inputs!$B$31,0))),0)</f>
        <v/>
      </c>
    </row>
    <row r="77">
      <c r="A77">
        <f>Skills!A8</f>
        <v/>
      </c>
      <c r="B77">
        <f>Skills!B8</f>
        <v/>
      </c>
      <c r="C77">
        <f>Inputs!$B$3&gt;=103</f>
        <v/>
      </c>
      <c r="D77">
        <f>IF(Skills!C8=1,60+Inputs!$B$24+Inputs!$B$28,IF(Skills!C8=2,90+Inputs!$B$25+Inputs!$B$28,IF(Skills!C8=3,120+Inputs!$B$26+Inputs!$B$28,MAX(0,(Inputs!$B$3-100)*3)+Inputs!$B$27+Inputs!$B$28)))</f>
        <v/>
      </c>
      <c r="E77">
        <f>INDEX(FactorTable!$B$2:$Y$301, MATCH(ROUND(MIN(300,MAX(1,D77)),0), FactorTable!$A$2:$A$301,0), Skills!L8+1)</f>
        <v/>
      </c>
      <c r="F77">
        <f>IF(Skills!M8=TRUE,(Skills!K8/10)*(E77/1000),Skills!K8/10)+Skills!N8</f>
        <v/>
      </c>
      <c r="G77">
        <f>Calc!G8</f>
        <v/>
      </c>
      <c r="H77">
        <f>Calc!H8</f>
        <v/>
      </c>
      <c r="I77">
        <f>IF(Skills!T8&lt;&gt;"",1+(Skills!T8/10)*(R72/1000)/100,1)</f>
        <v/>
      </c>
      <c r="J77">
        <f>((Inputs!$B$5*(1+Inputs!$B$6/100))+((Inputs!$B$11*(1+(Inputs!$B$12+1)/100))-(Inputs!$B$11*(1+Inputs!$B$12/100)))*(1+Inputs!$B$6/100))*(F77/100)</f>
        <v/>
      </c>
      <c r="K77">
        <f>J77*(1+((Inputs!$B$11*(1+(Inputs!$B$12+1)/100))*0.01+Inputs!$B$13*0.0025)/100)*(1+(Inputs!$B$14+B97)/100)*(1+IF(Inputs!$B$4="pvp",0,(1-Summary!$B$51)*(Inputs!$B$19+Skills!O8+B96)+Summary!$B$51*(Inputs!$B$20+Skills!P8+B96))/100)*(1+Inputs!$B$15/100)*(5000/(6000+Inputs!$B$7*(1-Inputs!$B$18/100)))*(1+Inputs!$B$23/100)*(1+IF(C84=TRUE,F84,0)/100)*(1+IF(C92=TRUE,F92,0)/100)^5*(1+(IF(Skills!A8="CHAIN_LIGHTNING",Inputs!$B$16,Inputs!$B$17))/100)*(B95*I77)</f>
        <v/>
      </c>
      <c r="L77">
        <f>K77*(MIN(Inputs!$B$21+(F87-Calc!F18),Inputs!$B$22)/100+Inputs!$B$22/100)/2</f>
        <v/>
      </c>
      <c r="M77">
        <f>L77*(1+(Inputs!$B$9+(F90-Calc!F21))/100)</f>
        <v/>
      </c>
      <c r="N77">
        <f>L77*(1-MIN(Inputs!$B$8+((F89-Calc!F20)+(F88-Calc!F19)),100)/100)+M77*(MIN(Inputs!$B$8+((F89-Calc!F20)+(F88-Calc!F19)),100)/100)</f>
        <v/>
      </c>
      <c r="O77">
        <f>IF(C77,H77*N77*IF(AND(Inputs!$B$4&lt;&gt;"pvp",Inputs!$B$35&gt;0),((Skills!F8*((S77-1)*IF(Skills!G8&gt;0,Skills!H8/Skills!G8,1)+IF(Skills!G8&gt;0,MIN(Skills!H8,MAX(0,Inputs!$B$35-((S77-1)*IF(Inputs!$B$4="pvp",15,MAX(0.1,Skills!D8-IF(Skills!E8=TRUE,Inputs!$B$31,0))))))/Skills!G8,1)))/Inputs!$B$35),G77*V77)*IF(Inputs!$B$4="pvp",1,(1-Summary!$B$51)*(1)+Summary!$B$51*(MIN(Skills!Q8,Inputs!$B$37))),0)</f>
        <v/>
      </c>
      <c r="P77">
        <f>IF(B103=0,0,O77/B103)</f>
        <v/>
      </c>
      <c r="S77">
        <f>IF(AND(Inputs!$B$4&lt;&gt;"pvp",Inputs!$B$35&gt;0),(INT(Inputs!$B$35/IF(Inputs!$B$4="pvp",15,MAX(0.1,Skills!D8-IF(Skills!E8=TRUE,Inputs!$B$31,0))))+1),0)</f>
        <v/>
      </c>
      <c r="V77">
        <f>IFERROR(1/IF(Inputs!$B$4="pvp",15,MAX(0.1,Skills!D8-IF(Skills!E8=TRUE,Inputs!$B$31,0))),0)</f>
        <v/>
      </c>
    </row>
    <row r="78">
      <c r="A78">
        <f>Skills!A9</f>
        <v/>
      </c>
      <c r="B78">
        <f>Skills!B9</f>
        <v/>
      </c>
      <c r="C78">
        <f>Inputs!$B$3&gt;=105</f>
        <v/>
      </c>
      <c r="D78">
        <f>IF(Skills!C9=1,60+Inputs!$B$24+Inputs!$B$28,IF(Skills!C9=2,90+Inputs!$B$25+Inputs!$B$28,IF(Skills!C9=3,120+Inputs!$B$26+Inputs!$B$28,MAX(0,(Inputs!$B$3-100)*3)+Inputs!$B$27+Inputs!$B$28)))</f>
        <v/>
      </c>
      <c r="E78">
        <f>INDEX(FactorTable!$B$2:$Y$301, MATCH(ROUND(MIN(300,MAX(1,D78)),0), FactorTable!$A$2:$A$301,0), Skills!L9+1)</f>
        <v/>
      </c>
      <c r="F78">
        <f>IF(Skills!M9=TRUE,(Skills!K9/10)*(E78/1000),Skills!K9/10)+Skills!N9</f>
        <v/>
      </c>
      <c r="G78">
        <f>Calc!G9</f>
        <v/>
      </c>
      <c r="H78">
        <f>Calc!H9</f>
        <v/>
      </c>
      <c r="I78">
        <f>IF(Skills!T9&lt;&gt;"",1+(Skills!T9/10)*(R72/1000)/100,1)</f>
        <v/>
      </c>
      <c r="J78">
        <f>((Inputs!$B$5*(1+Inputs!$B$6/100))+((Inputs!$B$11*(1+(Inputs!$B$12+1)/100))-(Inputs!$B$11*(1+Inputs!$B$12/100)))*(1+Inputs!$B$6/100))*(F78/100)</f>
        <v/>
      </c>
      <c r="K78">
        <f>J78*(1+((Inputs!$B$11*(1+(Inputs!$B$12+1)/100))*0.01+Inputs!$B$13*0.0025)/100)*(1+(Inputs!$B$14+B97)/100)*(1+IF(Inputs!$B$4="pvp",0,(1-Summary!$B$51)*(Inputs!$B$19+Skills!O9+B96)+Summary!$B$51*(Inputs!$B$20+Skills!P9+B96))/100)*(1+Inputs!$B$15/100)*(5000/(6000+Inputs!$B$7*(1-Inputs!$B$18/100)))*(1+Inputs!$B$23/100)*(1+IF(C84=TRUE,F84,0)/100)*(1+IF(C92=TRUE,F92,0)/100)^5*(1+(IF(Skills!A9="CHAIN_LIGHTNING",Inputs!$B$16,Inputs!$B$17))/100)*(B95*I78)</f>
        <v/>
      </c>
      <c r="L78">
        <f>K78*(MIN(Inputs!$B$21+(F87-Calc!F18),Inputs!$B$22)/100+Inputs!$B$22/100)/2</f>
        <v/>
      </c>
      <c r="M78">
        <f>L78*(1+(Inputs!$B$9+(F90-Calc!F21))/100)</f>
        <v/>
      </c>
      <c r="N78">
        <f>L78*(1-MIN(Inputs!$B$8+((F89-Calc!F20)+(F88-Calc!F19)),100)/100)+M78*(MIN(Inputs!$B$8+((F89-Calc!F20)+(F88-Calc!F19)),100)/100)</f>
        <v/>
      </c>
      <c r="O78">
        <f>IF(C78,H78*N78*IF(AND(Inputs!$B$4&lt;&gt;"pvp",Inputs!$B$35&gt;0),((Skills!F9*((S78-1)*IF(Skills!G9&gt;0,Skills!H9/Skills!G9,1)+IF(Skills!G9&gt;0,MIN(Skills!H9,MAX(0,Inputs!$B$35-((S78-1)*IF(Inputs!$B$4="pvp",15,MAX(0.1,Skills!D9-IF(Skills!E9=TRUE,Inputs!$B$31,0))))))/Skills!G9,1)))/Inputs!$B$35),G78*V78)*IF(Inputs!$B$4="pvp",1,(1-Summary!$B$51)*(1)+Summary!$B$51*(MIN(Skills!Q9,Inputs!$B$37))),0)</f>
        <v/>
      </c>
      <c r="P78">
        <f>IF(B103=0,0,O78/B103)</f>
        <v/>
      </c>
      <c r="S78">
        <f>IF(AND(Inputs!$B$4&lt;&gt;"pvp",Inputs!$B$35&gt;0),(INT(Inputs!$B$35/IF(Inputs!$B$4="pvp",15,MAX(0.1,Skills!D9-IF(Skills!E9=TRUE,Inputs!$B$31,0))))+1),0)</f>
        <v/>
      </c>
      <c r="V78">
        <f>IFERROR(1/IF(Inputs!$B$4="pvp",15,MAX(0.1,Skills!D9-IF(Skills!E9=TRUE,Inputs!$B$31,0))),0)</f>
        <v/>
      </c>
    </row>
    <row r="79">
      <c r="A79">
        <f>Skills!A10</f>
        <v/>
      </c>
      <c r="B79">
        <f>Skills!B10</f>
        <v/>
      </c>
      <c r="C79">
        <f>Inputs!$B$3&gt;=113</f>
        <v/>
      </c>
      <c r="D79">
        <f>IF(Skills!C10=1,60+Inputs!$B$24+Inputs!$B$28,IF(Skills!C10=2,90+Inputs!$B$25+Inputs!$B$28,IF(Skills!C10=3,120+Inputs!$B$26+Inputs!$B$28,MAX(0,(Inputs!$B$3-100)*3)+Inputs!$B$27+Inputs!$B$28)))</f>
        <v/>
      </c>
      <c r="E79">
        <f>INDEX(FactorTable!$B$2:$Y$301, MATCH(ROUND(MIN(300,MAX(1,D79)),0), FactorTable!$A$2:$A$301,0), Skills!L10+1)</f>
        <v/>
      </c>
      <c r="F79">
        <f>IF(Skills!M10=TRUE,(Skills!K10/10)*(E79/1000),Skills!K10/10)+Skills!N10</f>
        <v/>
      </c>
      <c r="G79">
        <f>Calc!G10</f>
        <v/>
      </c>
      <c r="H79">
        <f>Calc!H10</f>
        <v/>
      </c>
      <c r="I79">
        <f>IF(Skills!T10&lt;&gt;"",1+(Skills!T10/10)*(R72/1000)/100,1)</f>
        <v/>
      </c>
      <c r="J79">
        <f>((Inputs!$B$5*(1+Inputs!$B$6/100))+((Inputs!$B$11*(1+(Inputs!$B$12+1)/100))-(Inputs!$B$11*(1+Inputs!$B$12/100)))*(1+Inputs!$B$6/100))*(F79/100)</f>
        <v/>
      </c>
      <c r="K79">
        <f>J79*(1+((Inputs!$B$11*(1+(Inputs!$B$12+1)/100))*0.01+Inputs!$B$13*0.0025)/100)*(1+(Inputs!$B$14+B97)/100)*(1+IF(Inputs!$B$4="pvp",0,(1-Summary!$B$51)*(Inputs!$B$19+Skills!O10+B96)+Summary!$B$51*(Inputs!$B$20+Skills!P10+B96))/100)*(1+Inputs!$B$15/100)*(5000/(6000+Inputs!$B$7*(1-Inputs!$B$18/100)))*(1+Inputs!$B$23/100)*(1+IF(C84=TRUE,F84,0)/100)*(1+IF(C92=TRUE,F92,0)/100)^5*(1+(IF(Skills!A10="CHAIN_LIGHTNING",Inputs!$B$16,Inputs!$B$17))/100)*(B95*I79)</f>
        <v/>
      </c>
      <c r="L79">
        <f>K79*(MIN(Inputs!$B$21+(F87-Calc!F18),Inputs!$B$22)/100+Inputs!$B$22/100)/2</f>
        <v/>
      </c>
      <c r="M79">
        <f>L79*(1+(Inputs!$B$9+(F90-Calc!F21))/100)</f>
        <v/>
      </c>
      <c r="N79">
        <f>L79*(1-MIN(Inputs!$B$8+((F89-Calc!F20)+(F88-Calc!F19)),100)/100)+M79*(MIN(Inputs!$B$8+((F89-Calc!F20)+(F88-Calc!F19)),100)/100)</f>
        <v/>
      </c>
      <c r="O79">
        <f>IF(C79,H79*N79*IF(AND(Inputs!$B$4&lt;&gt;"pvp",Inputs!$B$35&gt;0),((Skills!F10*((S79-1)*IF(Skills!G10&gt;0,Skills!H10/Skills!G10,1)+IF(Skills!G10&gt;0,MIN(Skills!H10,MAX(0,Inputs!$B$35-((S79-1)*IF(Inputs!$B$4="pvp",15,MAX(0.1,Skills!D10-IF(Skills!E9=TRUE,Inputs!$B$31,0))))))/Skills!G10,1)))/Inputs!$B$35),G79*V79)*IF(Inputs!$B$4="pvp",1,(1-Summary!$B$51)*(1)+Summary!$B$51*(MIN(Skills!Q10,Inputs!$B$37))),0)</f>
        <v/>
      </c>
      <c r="P79">
        <f>IF(B103=0,0,O79/B103)</f>
        <v/>
      </c>
      <c r="S79">
        <f>IF(AND(Inputs!$B$4&lt;&gt;"pvp",Inputs!$B$35&gt;0),(INT(Inputs!$B$35/IF(Inputs!$B$4="pvp",15,MAX(0.1,Skills!D10-IF(Skills!E9=TRUE,Inputs!$B$31,0))))+1),0)</f>
        <v/>
      </c>
      <c r="V79">
        <f>IFERROR(1/IF(Inputs!$B$4="pvp",15,MAX(0.1,Skills!D10-IF(Skills!E9=TRUE,Inputs!$B$31,0))),0)</f>
        <v/>
      </c>
    </row>
    <row r="80">
      <c r="A80">
        <f>Skills!A11</f>
        <v/>
      </c>
      <c r="B80">
        <f>Skills!B11</f>
        <v/>
      </c>
      <c r="C80">
        <f>Inputs!$B$3&gt;=107</f>
        <v/>
      </c>
      <c r="D80">
        <f>IF(Skills!C11=1,60+Inputs!$B$24+Inputs!$B$28,IF(Skills!C11=2,90+Inputs!$B$25+Inputs!$B$28,IF(Skills!C11=3,120+Inputs!$B$26+Inputs!$B$28,MAX(0,(Inputs!$B$3-100)*3)+Inputs!$B$27+Inputs!$B$28)))</f>
        <v/>
      </c>
      <c r="E80">
        <f>INDEX(FactorTable!$B$2:$Y$301, MATCH(ROUND(MIN(300,MAX(1,D80)),0), FactorTable!$A$2:$A$301,0), Skills!L11+1)</f>
        <v/>
      </c>
      <c r="F80">
        <f>IF(Skills!M11=TRUE,(Skills!K11/10)*(E80/1000),Skills!K11/10)+Skills!N11</f>
        <v/>
      </c>
      <c r="G80">
        <f>Calc!G11</f>
        <v/>
      </c>
      <c r="H80">
        <f>Calc!H11</f>
        <v/>
      </c>
      <c r="I80">
        <f>IF(Skills!T11&lt;&gt;"",1+(Skills!T11/10)*(R72/1000)/100,1)</f>
        <v/>
      </c>
      <c r="J80">
        <f>((Inputs!$B$5*(1+Inputs!$B$6/100))+((Inputs!$B$11*(1+(Inputs!$B$12+1)/100))-(Inputs!$B$11*(1+Inputs!$B$12/100)))*(1+Inputs!$B$6/100))*(F80/100)</f>
        <v/>
      </c>
      <c r="K80">
        <f>J80*(1+((Inputs!$B$11*(1+(Inputs!$B$12+1)/100))*0.01+Inputs!$B$13*0.0025)/100)*(1+(Inputs!$B$14+B97)/100)*(1+IF(Inputs!$B$4="pvp",0,(1-Summary!$B$51)*(Inputs!$B$19+Skills!O11+B96)+Summary!$B$51*(Inputs!$B$20+Skills!P11+B96))/100)*(1+Inputs!$B$15/100)*(5000/(6000+Inputs!$B$7*(1-Inputs!$B$18/100)))*(1+Inputs!$B$23/100)*(1+IF(C84=TRUE,F84,0)/100)*(1+IF(C92=TRUE,F92,0)/100)^5*(1+(IF(Skills!A11="CHAIN_LIGHTNING",Inputs!$B$16,Inputs!$B$17))/100)*(B95*I80)</f>
        <v/>
      </c>
      <c r="L80">
        <f>K80*(MIN(Inputs!$B$21+(F87-Calc!F18),Inputs!$B$22)/100+Inputs!$B$22/100)/2</f>
        <v/>
      </c>
      <c r="M80">
        <f>L80*(1+(Inputs!$B$9+(F90-Calc!F21))/100)</f>
        <v/>
      </c>
      <c r="N80">
        <f>L80*(1-MIN(Inputs!$B$8+((F89-Calc!F20)+(F88-Calc!F19)),100)/100)+M80*(MIN(Inputs!$B$8+((F89-Calc!F20)+(F88-Calc!F19)),100)/100)</f>
        <v/>
      </c>
      <c r="O80">
        <f>IF(C80,H80*N80*IF(AND(Inputs!$B$4&lt;&gt;"pvp",Inputs!$B$35&gt;0),((Skills!F11*((S80-1)*IF(Skills!G11&gt;0,Skills!H11/Skills!G11,1)+IF(Skills!G11&gt;0,MIN(Skills!H11,MAX(0,Inputs!$B$35-((S80-1)*IF(Inputs!$B$4="pvp",15,MAX(0.1,Skills!D11-IF(Skills!E11=TRUE,Inputs!$B$31,0))))))/Skills!G11,1)))/Inputs!$B$35),G80*V80)*IF(Inputs!$B$4="pvp",0.5,(1-Summary!$B$51)*0.5+Summary!$B$51*1)*IF(Inputs!$B$4="pvp",1,(1-Summary!$B$51)*(1)+Summary!$B$51*(MIN(Skills!Q11,Inputs!$B$37))),0)</f>
        <v/>
      </c>
      <c r="P80">
        <f>IF(B103=0,0,O80/B103)</f>
        <v/>
      </c>
      <c r="S80">
        <f>IF(AND(Inputs!$B$4&lt;&gt;"pvp",Inputs!$B$35&gt;0),(INT(Inputs!$B$35/IF(Inputs!$B$4="pvp",15,MAX(0.1,Skills!D11-IF(Skills!E11=TRUE,Inputs!$B$31,0))))+1),0)</f>
        <v/>
      </c>
      <c r="V80">
        <f>IFERROR(1/IF(Inputs!$B$4="pvp",15,MAX(0.1,Skills!D11-IF(Skills!E11=TRUE,Inputs!$B$31,0))),0)</f>
        <v/>
      </c>
    </row>
    <row r="81">
      <c r="A81">
        <f>Skills!A12</f>
        <v/>
      </c>
      <c r="B81">
        <f>Skills!B12</f>
        <v/>
      </c>
      <c r="C81">
        <f>Inputs!$B$3&gt;=115</f>
        <v/>
      </c>
      <c r="D81">
        <f>IF(Skills!C12=1,60+Inputs!$B$24+Inputs!$B$28,IF(Skills!C12=2,90+Inputs!$B$25+Inputs!$B$28,IF(Skills!C12=3,120+Inputs!$B$26+Inputs!$B$28,MAX(0,(Inputs!$B$3-100)*3)+Inputs!$B$27+Inputs!$B$28)))</f>
        <v/>
      </c>
      <c r="E81">
        <f>INDEX(FactorTable!$B$2:$Y$301, MATCH(ROUND(MIN(300,MAX(1,D81)),0), FactorTable!$A$2:$A$301,0), Skills!L12+1)</f>
        <v/>
      </c>
      <c r="F81">
        <f>IF(Skills!M12=TRUE,(Skills!K12/10)*(E81/1000),Skills!K12/10)+Skills!N12</f>
        <v/>
      </c>
      <c r="G81">
        <f>Calc!G12</f>
        <v/>
      </c>
      <c r="H81">
        <f>Calc!H12</f>
        <v/>
      </c>
      <c r="I81">
        <f>IF(Skills!T12&lt;&gt;"",1+(Skills!T12/10)*(R72/1000)/100,1)</f>
        <v/>
      </c>
      <c r="J81">
        <f>((Inputs!$B$5*(1+Inputs!$B$6/100))+((Inputs!$B$11*(1+(Inputs!$B$12+1)/100))-(Inputs!$B$11*(1+Inputs!$B$12/100)))*(1+Inputs!$B$6/100))*(F81/100)</f>
        <v/>
      </c>
      <c r="K81">
        <f>J81*(1+((Inputs!$B$11*(1+(Inputs!$B$12+1)/100))*0.01+Inputs!$B$13*0.0025)/100)*(1+(Inputs!$B$14+B97)/100)*(1+IF(Inputs!$B$4="pvp",0,(1-Summary!$B$51)*(Inputs!$B$19+Skills!O12+B96)+Summary!$B$51*(Inputs!$B$20+Skills!P12+B96))/100)*(1+Inputs!$B$15/100)*(5000/(6000+Inputs!$B$7*(1-Inputs!$B$18/100)))*(1+Inputs!$B$23/100)*(1+IF(C84=TRUE,F84,0)/100)*(1+IF(C92=TRUE,F92,0)/100)^5*(1+(IF(Skills!A12="CHAIN_LIGHTNING",Inputs!$B$16,Inputs!$B$17))/100)*(B95*I81)</f>
        <v/>
      </c>
      <c r="L81">
        <f>K81*(MIN(Inputs!$B$21+(F87-Calc!F18),Inputs!$B$22)/100+Inputs!$B$22/100)/2</f>
        <v/>
      </c>
      <c r="M81">
        <f>L81*(1+(Inputs!$B$9+(F90-Calc!F21))/100)</f>
        <v/>
      </c>
      <c r="N81">
        <f>L81*(1-MIN(Inputs!$B$8+((F89-Calc!F20)+(F88-Calc!F19)),100)/100)+M81*(MIN(Inputs!$B$8+((F89-Calc!F20)+(F88-Calc!F19)),100)/100)</f>
        <v/>
      </c>
      <c r="O81">
        <f>IF(C81,H81*N81*IF(AND(Inputs!$B$4&lt;&gt;"pvp",Inputs!$B$35&gt;0),((Skills!F12*((S81-1)*IF(Skills!G12&gt;0,Skills!H12/Skills!G12,1)+IF(Skills!G12&gt;0,MIN(Skills!H12,MAX(0,Inputs!$B$35-((S81-1)*IF(Inputs!$B$4="pvp",15,MAX(0.1,Skills!D12-IF(Skills!E12=TRUE,Inputs!$B$31,0))))))/Skills!G12,1)))/Inputs!$B$35),G81*V81)*IF(Inputs!$B$4="pvp",1,(1-Summary!$B$51)*(1)+Summary!$B$51*(MIN(Skills!Q12,Inputs!$B$37))),0)</f>
        <v/>
      </c>
      <c r="P81">
        <f>IF(B103=0,0,O81/B103)</f>
        <v/>
      </c>
      <c r="S81">
        <f>IF(AND(Inputs!$B$4&lt;&gt;"pvp",Inputs!$B$35&gt;0),(INT(Inputs!$B$35/IF(Inputs!$B$4="pvp",15,MAX(0.1,Skills!D12-IF(Skills!E12=TRUE,Inputs!$B$31,0))))+1),0)</f>
        <v/>
      </c>
      <c r="V81">
        <f>IFERROR(1/IF(Inputs!$B$4="pvp",15,MAX(0.1,Skills!D12-IF(Skills!E12=TRUE,Inputs!$B$31,0))),0)</f>
        <v/>
      </c>
    </row>
    <row r="82">
      <c r="A82">
        <f>Skills!A13</f>
        <v/>
      </c>
      <c r="B82">
        <f>Skills!B13</f>
        <v/>
      </c>
      <c r="C82">
        <f>Inputs!$B$3&gt;=49</f>
        <v/>
      </c>
      <c r="D82">
        <f>IF(Skills!C13=1,60+Inputs!$B$24+Inputs!$B$28,IF(Skills!C13=2,90+Inputs!$B$25+Inputs!$B$28,IF(Skills!C13=3,120+Inputs!$B$26+Inputs!$B$28,MAX(0,(Inputs!$B$3-100)*3)+Inputs!$B$27+Inputs!$B$28)))</f>
        <v/>
      </c>
      <c r="E82">
        <f>INDEX(FactorTable!$B$2:$Y$301, MATCH(ROUND(MIN(300,MAX(1,D82)),0), FactorTable!$A$2:$A$301,0), Skills!L13+1)</f>
        <v/>
      </c>
      <c r="F82">
        <f>IF(Skills!M13=TRUE,(Skills!K13/10)*(E82/1000),Skills!K13/10)+Skills!N13</f>
        <v/>
      </c>
      <c r="G82">
        <f>Calc!G13</f>
        <v/>
      </c>
      <c r="H82">
        <f>Calc!H13</f>
        <v/>
      </c>
      <c r="I82">
        <f>IF(Skills!T13&lt;&gt;"",1+(Skills!T13/10)*(R72/1000)/100,1)</f>
        <v/>
      </c>
      <c r="J82" t="inlineStr"/>
      <c r="K82" t="inlineStr"/>
      <c r="L82" t="inlineStr"/>
      <c r="M82" t="inlineStr"/>
      <c r="N82" t="inlineStr"/>
      <c r="O82" t="n">
        <v>0</v>
      </c>
      <c r="P82">
        <f>IF(B103=0,0,O82/B103)</f>
        <v/>
      </c>
      <c r="S82" t="n">
        <v>0</v>
      </c>
      <c r="V82">
        <f>IFERROR(1/IF(Inputs!$B$4="pvp",15,MAX(0.1,Skills!D13-IF(Skills!E13=TRUE,Inputs!$B$31,0))),0)</f>
        <v/>
      </c>
    </row>
    <row r="83">
      <c r="A83">
        <f>Skills!A14</f>
        <v/>
      </c>
      <c r="B83">
        <f>Skills!B14</f>
        <v/>
      </c>
      <c r="C83">
        <f>Inputs!$B$3&gt;=72</f>
        <v/>
      </c>
      <c r="D83">
        <f>IF(Skills!C14=1,60+Inputs!$B$24+Inputs!$B$28,IF(Skills!C14=2,90+Inputs!$B$25+Inputs!$B$28,IF(Skills!C14=3,120+Inputs!$B$26+Inputs!$B$28,MAX(0,(Inputs!$B$3-100)*3)+Inputs!$B$27+Inputs!$B$28)))</f>
        <v/>
      </c>
      <c r="E83">
        <f>INDEX(FactorTable!$B$2:$Y$301, MATCH(ROUND(MIN(300,MAX(1,D83)),0), FactorTable!$A$2:$A$301,0), Skills!L14+1)</f>
        <v/>
      </c>
      <c r="F83">
        <f>IF(Skills!M14=TRUE,(Skills!K14/10)*(E83/1000),Skills!K14/10)+Skills!N14</f>
        <v/>
      </c>
      <c r="G83">
        <f>Calc!G14</f>
        <v/>
      </c>
      <c r="H83">
        <f>Calc!H14</f>
        <v/>
      </c>
      <c r="I83">
        <f>IF(Skills!T14&lt;&gt;"",1+(Skills!T14/10)*(R72/1000)/100,1)</f>
        <v/>
      </c>
      <c r="J83" t="inlineStr"/>
      <c r="K83" t="inlineStr"/>
      <c r="L83" t="inlineStr"/>
      <c r="M83" t="inlineStr"/>
      <c r="N83" t="inlineStr"/>
      <c r="O83" t="n">
        <v>0</v>
      </c>
      <c r="P83">
        <f>IF(B103=0,0,O83/B103)</f>
        <v/>
      </c>
      <c r="S83" t="n">
        <v>0</v>
      </c>
      <c r="V83">
        <f>IFERROR(1/IF(Inputs!$B$4="pvp",15,MAX(0.1,Skills!D14-IF(Skills!E14=TRUE,Inputs!$B$31,0))),0)</f>
        <v/>
      </c>
    </row>
    <row r="84">
      <c r="A84">
        <f>Skills!A15</f>
        <v/>
      </c>
      <c r="B84">
        <f>Skills!B15</f>
        <v/>
      </c>
      <c r="C84">
        <f>Inputs!$B$3&gt;=75</f>
        <v/>
      </c>
      <c r="D84">
        <f>IF(Skills!C15=1,60+Inputs!$B$24+Inputs!$B$28,IF(Skills!C15=2,90+Inputs!$B$25+Inputs!$B$28,IF(Skills!C15=3,120+Inputs!$B$26+Inputs!$B$28,MAX(0,(Inputs!$B$3-100)*3)+Inputs!$B$27+Inputs!$B$28)))</f>
        <v/>
      </c>
      <c r="E84">
        <f>INDEX(FactorTable!$B$2:$Y$301, MATCH(ROUND(MIN(300,MAX(1,D84)),0), FactorTable!$A$2:$A$301,0), Skills!L15+1)</f>
        <v/>
      </c>
      <c r="F84">
        <f>IF(Skills!M15=TRUE,(Skills!K15/10)*(E84/1000),Skills!K15/10)+Skills!N15</f>
        <v/>
      </c>
      <c r="G84">
        <f>Calc!G15</f>
        <v/>
      </c>
      <c r="H84">
        <f>Calc!H15</f>
        <v/>
      </c>
      <c r="I84">
        <f>IF(Skills!T15&lt;&gt;"",1+(Skills!T15/10)*(R72/1000)/100,1)</f>
        <v/>
      </c>
      <c r="J84" t="inlineStr"/>
      <c r="K84" t="inlineStr"/>
      <c r="L84" t="inlineStr"/>
      <c r="M84" t="inlineStr"/>
      <c r="N84" t="inlineStr"/>
      <c r="O84" t="n">
        <v>0</v>
      </c>
      <c r="P84">
        <f>IF(B103=0,0,O84/B103)</f>
        <v/>
      </c>
      <c r="S84" t="n">
        <v>0</v>
      </c>
      <c r="V84">
        <f>IFERROR(1/IF(Inputs!$B$4="pvp",15,MAX(0.1,Skills!D15-IF(Skills!E15=TRUE,Inputs!$B$31,0))),0)</f>
        <v/>
      </c>
    </row>
    <row r="85">
      <c r="A85">
        <f>Skills!A16</f>
        <v/>
      </c>
      <c r="B85">
        <f>Skills!B16</f>
        <v/>
      </c>
      <c r="C85">
        <f>Inputs!$B$3&gt;=110</f>
        <v/>
      </c>
      <c r="D85">
        <f>IF(Skills!C16=1,60+Inputs!$B$24+Inputs!$B$28,IF(Skills!C16=2,90+Inputs!$B$25+Inputs!$B$28,IF(Skills!C16=3,120+Inputs!$B$26+Inputs!$B$28,MAX(0,(Inputs!$B$3-100)*3)+Inputs!$B$27+Inputs!$B$28)))</f>
        <v/>
      </c>
      <c r="E85">
        <f>INDEX(FactorTable!$B$2:$Y$301, MATCH(ROUND(MIN(300,MAX(1,D85)),0), FactorTable!$A$2:$A$301,0), Skills!L16+1)</f>
        <v/>
      </c>
      <c r="F85">
        <f>(Skills!K16/10)*(E85/1000)*64/45+Skills!N16</f>
        <v/>
      </c>
      <c r="G85">
        <f>Calc!G16</f>
        <v/>
      </c>
      <c r="H85">
        <f>Calc!H16</f>
        <v/>
      </c>
      <c r="I85">
        <f>IF(Skills!T16&lt;&gt;"",1+(Skills!T16/10)*(R72/1000)/100,1)</f>
        <v/>
      </c>
      <c r="J85" t="inlineStr"/>
      <c r="K85" t="inlineStr"/>
      <c r="L85" t="inlineStr"/>
      <c r="M85" t="inlineStr"/>
      <c r="N85" t="inlineStr"/>
      <c r="O85" t="n">
        <v>0</v>
      </c>
      <c r="P85">
        <f>IF(B103=0,0,O85/B103)</f>
        <v/>
      </c>
      <c r="S85">
        <f>IF(AND(Inputs!$B$4&lt;&gt;"pvp",Inputs!$B$35&gt;0),(INT(Inputs!$B$35/IF(Inputs!$B$4="pvp",15,MAX(0.1,Skills!D16-IF(Skills!E16=TRUE,Inputs!$B$31,0))))+1),0)</f>
        <v/>
      </c>
      <c r="V85">
        <f>IFERROR(1/IF(Inputs!$B$4="pvp",15,MAX(0.1,Skills!D16-IF(Skills!E16=TRUE,Inputs!$B$31,0))),0)</f>
        <v/>
      </c>
    </row>
    <row r="86">
      <c r="A86">
        <f>Skills!A17</f>
        <v/>
      </c>
      <c r="B86">
        <f>Skills!B17</f>
        <v/>
      </c>
      <c r="C86">
        <f>Inputs!$B$3&gt;=33</f>
        <v/>
      </c>
      <c r="D86">
        <f>IF(Skills!C17=1,60+Inputs!$B$24+Inputs!$B$28,IF(Skills!C17=2,90+Inputs!$B$25+Inputs!$B$28,IF(Skills!C17=3,120+Inputs!$B$26+Inputs!$B$28,MAX(0,(Inputs!$B$3-100)*3)+Inputs!$B$27+Inputs!$B$28)))</f>
        <v/>
      </c>
      <c r="E86">
        <f>INDEX(FactorTable!$B$2:$Y$301, MATCH(ROUND(MIN(300,MAX(1,D86)),0), FactorTable!$A$2:$A$301,0), Skills!L17+1)</f>
        <v/>
      </c>
      <c r="F86">
        <f>IF(Skills!M17=TRUE,(Skills!K17/10)*(E86/1000),Skills!K17/10)+Skills!N17</f>
        <v/>
      </c>
      <c r="G86">
        <f>Calc!G17</f>
        <v/>
      </c>
      <c r="H86">
        <f>Calc!H17</f>
        <v/>
      </c>
      <c r="I86">
        <f>IF(Skills!T17&lt;&gt;"",1+(Skills!T17/10)*(R72/1000)/100,1)</f>
        <v/>
      </c>
      <c r="J86" t="inlineStr"/>
      <c r="K86" t="inlineStr"/>
      <c r="L86" t="inlineStr"/>
      <c r="M86" t="inlineStr"/>
      <c r="N86" t="inlineStr"/>
      <c r="O86" t="n">
        <v>0</v>
      </c>
      <c r="P86">
        <f>IF(B103=0,0,O86/B103)</f>
        <v/>
      </c>
      <c r="S86" t="n">
        <v>0</v>
      </c>
      <c r="V86">
        <f>IFERROR(1/IF(Inputs!$B$4="pvp",15,MAX(0.1,Skills!D17-IF(Skills!E17=TRUE,Inputs!$B$31,0))),0)</f>
        <v/>
      </c>
    </row>
    <row r="87">
      <c r="A87">
        <f>Skills!A18</f>
        <v/>
      </c>
      <c r="B87">
        <f>Skills!B18</f>
        <v/>
      </c>
      <c r="C87">
        <f>Inputs!$B$3&gt;=43</f>
        <v/>
      </c>
      <c r="D87">
        <f>IF(Skills!C18=1,60+Inputs!$B$24+Inputs!$B$28,IF(Skills!C18=2,90+Inputs!$B$25+Inputs!$B$28,IF(Skills!C18=3,120+Inputs!$B$26+Inputs!$B$28,MAX(0,(Inputs!$B$3-100)*3)+Inputs!$B$27+Inputs!$B$28)))</f>
        <v/>
      </c>
      <c r="E87">
        <f>INDEX(FactorTable!$B$2:$Y$301, MATCH(ROUND(MIN(300,MAX(1,D87)),0), FactorTable!$A$2:$A$301,0), Skills!L18+1)</f>
        <v/>
      </c>
      <c r="F87">
        <f>IF(Skills!M18=TRUE,(Skills!K18/10)*(E87/1000),Skills!K18/10)+Skills!N18</f>
        <v/>
      </c>
      <c r="G87">
        <f>Calc!G18</f>
        <v/>
      </c>
      <c r="H87">
        <f>Calc!H18</f>
        <v/>
      </c>
      <c r="I87">
        <f>IF(Skills!T18&lt;&gt;"",1+(Skills!T18/10)*(R72/1000)/100,1)</f>
        <v/>
      </c>
      <c r="J87" t="inlineStr"/>
      <c r="K87" t="inlineStr"/>
      <c r="L87" t="inlineStr"/>
      <c r="M87" t="inlineStr"/>
      <c r="N87" t="inlineStr"/>
      <c r="O87" t="n">
        <v>0</v>
      </c>
      <c r="P87">
        <f>IF(B103=0,0,O87/B103)</f>
        <v/>
      </c>
      <c r="S87" t="n">
        <v>0</v>
      </c>
      <c r="V87">
        <f>IFERROR(1/IF(Inputs!$B$4="pvp",15,MAX(0.1,Skills!D18-IF(Skills!E18=TRUE,Inputs!$B$31,0))),0)</f>
        <v/>
      </c>
    </row>
    <row r="88">
      <c r="A88">
        <f>Skills!A19</f>
        <v/>
      </c>
      <c r="B88">
        <f>Skills!B19</f>
        <v/>
      </c>
      <c r="C88">
        <f>Inputs!$B$3&gt;=50</f>
        <v/>
      </c>
      <c r="D88">
        <f>IF(Skills!C19=1,60+Inputs!$B$24+Inputs!$B$28,IF(Skills!C19=2,90+Inputs!$B$25+Inputs!$B$28,IF(Skills!C19=3,120+Inputs!$B$26+Inputs!$B$28,MAX(0,(Inputs!$B$3-100)*3)+Inputs!$B$27+Inputs!$B$28)))</f>
        <v/>
      </c>
      <c r="E88">
        <f>INDEX(FactorTable!$B$2:$Y$301, MATCH(ROUND(MIN(300,MAX(1,D88)),0), FactorTable!$A$2:$A$301,0), Skills!L19+1)</f>
        <v/>
      </c>
      <c r="F88">
        <f>IF(Skills!M19=TRUE,(Skills!K19/10)*(E88/1000),Skills!K19/10)+Skills!N19</f>
        <v/>
      </c>
      <c r="G88">
        <f>Calc!G19</f>
        <v/>
      </c>
      <c r="H88">
        <f>Calc!H19</f>
        <v/>
      </c>
      <c r="I88">
        <f>IF(Skills!T19&lt;&gt;"",1+(Skills!T19/10)*(R72/1000)/100,1)</f>
        <v/>
      </c>
      <c r="J88" t="inlineStr"/>
      <c r="K88" t="inlineStr"/>
      <c r="L88" t="inlineStr"/>
      <c r="M88" t="inlineStr"/>
      <c r="N88" t="inlineStr"/>
      <c r="O88" t="n">
        <v>0</v>
      </c>
      <c r="P88">
        <f>IF(B103=0,0,O88/B103)</f>
        <v/>
      </c>
      <c r="S88" t="n">
        <v>0</v>
      </c>
      <c r="V88">
        <f>IFERROR(1/IF(Inputs!$B$4="pvp",15,MAX(0.1,Skills!D19-IF(Skills!E19=TRUE,Inputs!$B$31,0))),0)</f>
        <v/>
      </c>
    </row>
    <row r="89">
      <c r="A89">
        <f>Skills!A20</f>
        <v/>
      </c>
      <c r="B89">
        <f>Skills!B20</f>
        <v/>
      </c>
      <c r="C89">
        <f>Inputs!$B$3&gt;=74</f>
        <v/>
      </c>
      <c r="D89">
        <f>IF(Skills!C20=1,60+Inputs!$B$24+Inputs!$B$28,IF(Skills!C20=2,90+Inputs!$B$25+Inputs!$B$28,IF(Skills!C20=3,120+Inputs!$B$26+Inputs!$B$28,MAX(0,(Inputs!$B$3-100)*3)+Inputs!$B$27+Inputs!$B$28)))</f>
        <v/>
      </c>
      <c r="E89">
        <f>INDEX(FactorTable!$B$2:$Y$301, MATCH(ROUND(MIN(300,MAX(1,D89)),0), FactorTable!$A$2:$A$301,0), Skills!L20+1)</f>
        <v/>
      </c>
      <c r="F89">
        <f>IF(Skills!M20=TRUE,(Skills!K20/10)*(E89/1000),Skills!K20/10)+Skills!N20</f>
        <v/>
      </c>
      <c r="G89">
        <f>Calc!G20</f>
        <v/>
      </c>
      <c r="H89">
        <f>Calc!H20</f>
        <v/>
      </c>
      <c r="I89">
        <f>IF(Skills!T20&lt;&gt;"",1+(Skills!T20/10)*(R72/1000)/100,1)</f>
        <v/>
      </c>
      <c r="J89" t="inlineStr"/>
      <c r="K89" t="inlineStr"/>
      <c r="L89" t="inlineStr"/>
      <c r="M89" t="inlineStr"/>
      <c r="N89" t="inlineStr"/>
      <c r="O89" t="n">
        <v>0</v>
      </c>
      <c r="P89">
        <f>IF(B103=0,0,O89/B103)</f>
        <v/>
      </c>
      <c r="S89" t="n">
        <v>0</v>
      </c>
      <c r="V89">
        <f>IFERROR(1/IF(Inputs!$B$4="pvp",15,MAX(0.1,Skills!D20-IF(Skills!E20=TRUE,Inputs!$B$31,0))),0)</f>
        <v/>
      </c>
    </row>
    <row r="90">
      <c r="A90">
        <f>Skills!A21</f>
        <v/>
      </c>
      <c r="B90">
        <f>Skills!B21</f>
        <v/>
      </c>
      <c r="C90">
        <f>Inputs!$B$3&gt;=74</f>
        <v/>
      </c>
      <c r="D90">
        <f>IF(Skills!C21=1,60+Inputs!$B$24+Inputs!$B$28,IF(Skills!C21=2,90+Inputs!$B$25+Inputs!$B$28,IF(Skills!C21=3,120+Inputs!$B$26+Inputs!$B$28,MAX(0,(Inputs!$B$3-100)*3)+Inputs!$B$27+Inputs!$B$28)))</f>
        <v/>
      </c>
      <c r="E90">
        <f>INDEX(FactorTable!$B$2:$Y$301, MATCH(ROUND(MIN(300,MAX(1,D90)),0), FactorTable!$A$2:$A$301,0), Skills!L21+1)</f>
        <v/>
      </c>
      <c r="F90">
        <f>IF(Skills!M21=TRUE,(Skills!K21/10)*(E90/1000),Skills!K21/10)+Skills!N21</f>
        <v/>
      </c>
      <c r="G90">
        <f>Calc!G21</f>
        <v/>
      </c>
      <c r="H90">
        <f>Calc!H21</f>
        <v/>
      </c>
      <c r="I90">
        <f>IF(Skills!T21&lt;&gt;"",1+(Skills!T21/10)*(R72/1000)/100,1)</f>
        <v/>
      </c>
      <c r="J90" t="inlineStr"/>
      <c r="K90" t="inlineStr"/>
      <c r="L90" t="inlineStr"/>
      <c r="M90" t="inlineStr"/>
      <c r="N90" t="inlineStr"/>
      <c r="O90" t="n">
        <v>0</v>
      </c>
      <c r="P90">
        <f>IF(B103=0,0,O90/B103)</f>
        <v/>
      </c>
      <c r="S90" t="n">
        <v>0</v>
      </c>
      <c r="V90">
        <f>IFERROR(1/IF(Inputs!$B$4="pvp",15,MAX(0.1,Skills!D21-IF(Skills!E21=TRUE,Inputs!$B$31,0))),0)</f>
        <v/>
      </c>
    </row>
    <row r="91">
      <c r="A91">
        <f>Skills!A22</f>
        <v/>
      </c>
      <c r="B91">
        <f>Skills!B22</f>
        <v/>
      </c>
      <c r="C91">
        <f>Inputs!$B$3&gt;=117</f>
        <v/>
      </c>
      <c r="D91">
        <f>IF(Skills!C22=1,60+Inputs!$B$24+Inputs!$B$28,IF(Skills!C22=2,90+Inputs!$B$25+Inputs!$B$28,IF(Skills!C22=3,120+Inputs!$B$26+Inputs!$B$28,MAX(0,(Inputs!$B$3-100)*3)+Inputs!$B$27+Inputs!$B$28)))</f>
        <v/>
      </c>
      <c r="E91">
        <f>INDEX(FactorTable!$B$2:$Y$301, MATCH(ROUND(MIN(300,MAX(1,D91)),0), FactorTable!$A$2:$A$301,0), Skills!L22+1)</f>
        <v/>
      </c>
      <c r="F91">
        <f>IF(Skills!M22=TRUE,(Skills!K22/10)*(E91/1000),Skills!K22/10)+Skills!N22</f>
        <v/>
      </c>
      <c r="G91">
        <f>Calc!G22</f>
        <v/>
      </c>
      <c r="H91">
        <f>Calc!H22</f>
        <v/>
      </c>
      <c r="I91">
        <f>IF(Skills!T22&lt;&gt;"",1+(Skills!T22/10)*(R72/1000)/100,1)</f>
        <v/>
      </c>
      <c r="J91" t="inlineStr"/>
      <c r="K91" t="inlineStr"/>
      <c r="L91" t="inlineStr"/>
      <c r="M91" t="inlineStr"/>
      <c r="N91" t="inlineStr"/>
      <c r="O91" t="n">
        <v>0</v>
      </c>
      <c r="P91">
        <f>IF(B103=0,0,O91/B103)</f>
        <v/>
      </c>
      <c r="S91" t="n">
        <v>0</v>
      </c>
      <c r="V91">
        <f>IFERROR(1/IF(Inputs!$B$4="pvp",15,MAX(0.1,Skills!D22-IF(Skills!E22=TRUE,Inputs!$B$31,0))),0)</f>
        <v/>
      </c>
    </row>
    <row r="92">
      <c r="A92">
        <f>Skills!A23</f>
        <v/>
      </c>
      <c r="B92">
        <f>Skills!B23</f>
        <v/>
      </c>
      <c r="C92">
        <f>Inputs!$B$3&gt;=120</f>
        <v/>
      </c>
      <c r="D92">
        <f>IF(Skills!C23=1,60+Inputs!$B$24+Inputs!$B$28,IF(Skills!C23=2,90+Inputs!$B$25+Inputs!$B$28,IF(Skills!C23=3,120+Inputs!$B$26+Inputs!$B$28,MAX(0,(Inputs!$B$3-100)*3)+Inputs!$B$27+Inputs!$B$28)))</f>
        <v/>
      </c>
      <c r="E92">
        <f>INDEX(FactorTable!$B$2:$Y$301, MATCH(ROUND(MIN(300,MAX(1,D92)),0), FactorTable!$A$2:$A$301,0), Skills!L23+1)</f>
        <v/>
      </c>
      <c r="F92">
        <f>IF(Skills!M23=TRUE,(Skills!K23/10)*(E92/1000),Skills!K23/10)+Skills!N23</f>
        <v/>
      </c>
      <c r="G92">
        <f>Calc!G23</f>
        <v/>
      </c>
      <c r="H92">
        <f>Calc!H23</f>
        <v/>
      </c>
      <c r="I92">
        <f>IF(Skills!T23&lt;&gt;"",1+(Skills!T23/10)*(R72/1000)/100,1)</f>
        <v/>
      </c>
      <c r="J92" t="inlineStr"/>
      <c r="K92" t="inlineStr"/>
      <c r="L92" t="inlineStr"/>
      <c r="M92" t="inlineStr"/>
      <c r="N92" t="inlineStr"/>
      <c r="O92" t="n">
        <v>0</v>
      </c>
      <c r="P92">
        <f>IF(B103=0,0,O92/B103)</f>
        <v/>
      </c>
      <c r="S92" t="n">
        <v>0</v>
      </c>
      <c r="V92">
        <f>IFERROR(1/IF(Inputs!$B$4="pvp",15,MAX(0.1,Skills!D23-IF(Skills!E23=TRUE,Inputs!$B$31,0))),0)</f>
        <v/>
      </c>
    </row>
    <row r="95">
      <c r="A95" t="inlineStr">
        <is>
          <t>Average Buff Multiplier (Magic Guard + Meditation, summed; then Infinity)</t>
        </is>
      </c>
      <c r="B95">
        <f>(1+(IF(C72=TRUE,F72*IF(AND(Inputs!$B$4&lt;&gt;"pvp",Inputs!$B$35&gt;0),(((S72-1)*(Skills!S3*(1+(Inputs!$B$33+IF(Inputs!$B$3&gt;=117,F91,0))/100))+MIN((Skills!S3*(1+(Inputs!$B$33+IF(Inputs!$B$3&gt;=117,F91,0))/100)),MAX(0,Inputs!$B$35-((S72-1)*Skills!D3))))/Inputs!$B$35),IF(Inputs!$B$4="pvp",MIN((Skills!S3*(1+(Inputs!$B$33+IF(Inputs!$B$3&gt;=117,F91,0))/100)),15)/15,(Skills!S3*(1+(Inputs!$B$33+IF(Inputs!$B$3&gt;=117,F91,0))/100))/Skills!D3)),0)+IF(C73=TRUE,F73*IF(AND(Inputs!$B$4&lt;&gt;"pvp",Inputs!$B$35&gt;0),(((S73-1)*(Skills!S4*(1+(Inputs!$B$33+IF(Inputs!$B$3&gt;=117,F91,0))/100))+MIN((Skills!S4*(1+(Inputs!$B$33+IF(Inputs!$B$3&gt;=117,F91,0))/100)),MAX(0,Inputs!$B$35-((S73-1)*Skills!D4))))/Inputs!$B$35),IF(Inputs!$B$4="pvp",MIN((Skills!S4*(1+(Inputs!$B$33+IF(Inputs!$B$3&gt;=117,F91,0))/100)),15)/15,(Skills!S4*(1+(Inputs!$B$33+IF(Inputs!$B$3&gt;=117,F91,0))/100))/Skills!D4)),0))/100)*IF(C85=TRUE,(1+F85*IF(AND(Inputs!$B$4&lt;&gt;"pvp",Inputs!$B$35&gt;0),(((S85-1)*(Skills!S16*(1+(Inputs!$B$33+IF(Inputs!$B$3&gt;=117,F91,0))/100))+MIN((Skills!S16*(1+(Inputs!$B$33+IF(Inputs!$B$3&gt;=117,F91,0))/100)),MAX(0,Inputs!$B$35-((S85-1)*Skills!D16))))/Inputs!$B$35),IF(Inputs!$B$4="pvp",MIN((Skills!S16*(1+(Inputs!$B$33+IF(Inputs!$B$3&gt;=117,F91,0))/100)),15)/15,(Skills!S16*(1+(Inputs!$B$33+IF(Inputs!$B$3&gt;=117,F91,0))/100))/Skills!D16))/100),1)</f>
        <v/>
      </c>
    </row>
    <row r="96">
      <c r="A96" t="inlineStr">
        <is>
          <t>Monster Damage Taken Bonus % (Freezing Breath - Weaken + Elemental Reset, summed)</t>
        </is>
      </c>
      <c r="B96">
        <f>IF(Inputs!$B$3&gt;=118,15*IF(Inputs!$B$4="pvp",MIN((30*(1+(Inputs!$B$33+IF(Inputs!$B$3&gt;=117,F91,0))/100)),15)/15,(30*(1+(Inputs!$B$33+IF(Inputs!$B$3&gt;=117,F91,0))/100))/Skills!D8),0)+IF(C83=TRUE,F83,0)</f>
        <v/>
      </c>
    </row>
    <row r="97">
      <c r="A97" t="inlineStr">
        <is>
          <t>Damage % Bonus (Frozen Break + Frost Clutch, flat)</t>
        </is>
      </c>
      <c r="B97">
        <f>IF(Inputs!$B$3&gt;=66,15,0)+IF(Inputs!$B$3&gt;=98,10,0)+IF(Inputs!$B$3&gt;=125,20,0)</f>
        <v/>
      </c>
    </row>
    <row r="98">
      <c r="A98" t="inlineStr">
        <is>
          <t>Attack Speed Bonus % (MP Eater - MP Boost, always-on once unlocked)</t>
        </is>
      </c>
      <c r="B98">
        <f>IF(C82=TRUE,F82+(F86-Calc!F17),0)</f>
        <v/>
      </c>
    </row>
    <row r="99">
      <c r="A99" t="inlineStr">
        <is>
          <t>Actions Per Second</t>
        </is>
      </c>
      <c r="B99">
        <f>1+MIN(150,150*(1-(1-Inputs!$B$10/150)*(1-B98/150)))/100</f>
        <v/>
      </c>
    </row>
    <row r="100">
      <c r="A100" t="inlineStr">
        <is>
          <t>Skill + Buff Cast Rate</t>
        </is>
      </c>
      <c r="B100">
        <f>IF(AND(Inputs!$B$4&lt;&gt;"pvp",Inputs!$B$35&gt;0),SUMPRODUCT((Skills!E2:E23=TRUE)*(C71:C92=TRUE)*S71:S92)/Inputs!$B$35,SUMPRODUCT((Skills!E2:E23=TRUE)*(C71:C92=TRUE)*V71:V92))</f>
        <v/>
      </c>
    </row>
    <row r="101">
      <c r="A101" t="inlineStr">
        <is>
          <t>Chain Lightning Casts Per Second</t>
        </is>
      </c>
      <c r="B101">
        <f>MAX(0,B99-B100)</f>
        <v/>
      </c>
    </row>
    <row r="103">
      <c r="A103" s="5" t="inlineStr">
        <is>
          <t>TOTAL DPS</t>
        </is>
      </c>
      <c r="B103" s="5">
        <f>SUM(O71:O92)</f>
        <v/>
      </c>
    </row>
    <row r="106">
      <c r="A106" s="5" t="inlineStr">
        <is>
          <t>Stat: DAMAGE %</t>
        </is>
      </c>
    </row>
    <row r="107">
      <c r="A107" s="8" t="inlineStr">
        <is>
          <t>Key</t>
        </is>
      </c>
      <c r="B107" s="8" t="inlineStr">
        <is>
          <t>Name</t>
        </is>
      </c>
      <c r="C107" s="8" t="inlineStr">
        <is>
          <t>Unlocked</t>
        </is>
      </c>
      <c r="D107" s="8" t="inlineStr">
        <is>
          <t>InputLevel</t>
        </is>
      </c>
      <c r="E107" s="8" t="inlineStr">
        <is>
          <t>Factor</t>
        </is>
      </c>
      <c r="F107" s="8" t="inlineStr">
        <is>
          <t>CoefficientPercent</t>
        </is>
      </c>
      <c r="G107" s="8" t="inlineStr">
        <is>
          <t>EffectiveHits</t>
        </is>
      </c>
      <c r="H107" s="8" t="inlineStr">
        <is>
          <t>ProcProbability</t>
        </is>
      </c>
      <c r="I107" s="8" t="inlineStr">
        <is>
          <t>MapleHeroMultiplier</t>
        </is>
      </c>
      <c r="J107" s="8" t="inlineStr">
        <is>
          <t>BaseDamage</t>
        </is>
      </c>
      <c r="K107" s="8" t="inlineStr">
        <is>
          <t>BaseHitDamage</t>
        </is>
      </c>
      <c r="L107" s="8" t="inlineStr">
        <is>
          <t>NonCritAvg</t>
        </is>
      </c>
      <c r="M107" s="8" t="inlineStr">
        <is>
          <t>CritAvg</t>
        </is>
      </c>
      <c r="N107" s="8" t="inlineStr">
        <is>
          <t>ExpectedDamage(perHit)</t>
        </is>
      </c>
      <c r="O107" s="8" t="inlineStr">
        <is>
          <t>DPS</t>
        </is>
      </c>
      <c r="P107" s="8" t="inlineStr">
        <is>
          <t>% of Total</t>
        </is>
      </c>
      <c r="R107" t="inlineStr">
        <is>
          <t>helpers</t>
        </is>
      </c>
    </row>
    <row r="108">
      <c r="A108">
        <f>Skills!A2</f>
        <v/>
      </c>
      <c r="B108">
        <f>Skills!B2</f>
        <v/>
      </c>
      <c r="C108">
        <f>Inputs!$B$3&gt;=100</f>
        <v/>
      </c>
      <c r="D108" t="inlineStr"/>
      <c r="E108" t="inlineStr"/>
      <c r="F108">
        <f>T110+Skills!N2</f>
        <v/>
      </c>
      <c r="G108">
        <f>Calc!G2</f>
        <v/>
      </c>
      <c r="H108">
        <f>Calc!H2</f>
        <v/>
      </c>
      <c r="I108">
        <f>IF(Skills!T2&lt;&gt;"",1+(Skills!T2/10)*(R109/1000)/100,1)</f>
        <v/>
      </c>
      <c r="J108">
        <f>((Inputs!$B$5*(1+Inputs!$B$6/100))+((Inputs!$B$11*(1+Inputs!$B$12/100))-(Inputs!$B$11*(1+Inputs!$B$12/100)))*(1+Inputs!$B$6/100))*(F108/100)</f>
        <v/>
      </c>
      <c r="K108">
        <f>J108*(1+((Inputs!$B$11*(1+Inputs!$B$12/100))*0.01+Inputs!$B$13*0.0025)/100)*(1+((Inputs!$B$14+1)+B134)/100)*(1+IF(Inputs!$B$4="pvp",0,(1-Summary!$B$51)*(Inputs!$B$19+Skills!O2+B133)+Summary!$B$51*(Inputs!$B$20+Skills!P2+B133))/100)*(1+Inputs!$B$15/100)*(5000/(6000+Inputs!$B$7*(1-Inputs!$B$18/100)))*(1+Inputs!$B$23/100)*(1+IF(C121=TRUE,F121,0)/100)*(1+IF(C129=TRUE,F129,0)/100)^5*(1+(IF(Skills!A2="CHAIN_LIGHTNING",Inputs!$B$16,Inputs!$B$17))/100)*(B132*I108)</f>
        <v/>
      </c>
      <c r="L108">
        <f>K108*(MIN(Inputs!$B$21+(F124-Calc!F18),Inputs!$B$22)/100+Inputs!$B$22/100)/2</f>
        <v/>
      </c>
      <c r="M108">
        <f>L108*(1+(Inputs!$B$9+(F127-Calc!F21))/100)</f>
        <v/>
      </c>
      <c r="N108">
        <f>L108*(1-MIN(Inputs!$B$8+((F126-Calc!F20)+(F125-Calc!F19)),100)/100)+M108*(MIN(Inputs!$B$8+((F126-Calc!F20)+(F125-Calc!F19)),100)/100)</f>
        <v/>
      </c>
      <c r="O108">
        <f>IF(C108,Skills!F2*N108*B138*IF(Inputs!$B$4="pvp",1,(1-Summary!$B$51)*(1)+Summary!$B$51*(MIN((6+Inputs!$B$32),Inputs!$B$37))),0)</f>
        <v/>
      </c>
      <c r="P108">
        <f>IF(B140=0,0,O108/B140)</f>
        <v/>
      </c>
      <c r="R108">
        <f>MAX(0,(Inputs!$B$3-100)*3)+Inputs!$B$27+Inputs!$B$28</f>
        <v/>
      </c>
      <c r="S108" t="n">
        <v>0</v>
      </c>
      <c r="T108">
        <f>MAX(0,(Inputs!$B$3-100)*3)+Inputs!$B$27+Inputs!$B$28</f>
        <v/>
      </c>
      <c r="V108">
        <f>IFERROR(1/IF(Inputs!$B$4="pvp",15,MAX(0.1,Skills!D2-IF(Skills!E2=TRUE,Inputs!$B$31,0))),0)</f>
        <v/>
      </c>
    </row>
    <row r="109">
      <c r="A109">
        <f>Skills!A3</f>
        <v/>
      </c>
      <c r="B109">
        <f>Skills!B3</f>
        <v/>
      </c>
      <c r="C109">
        <f>Inputs!$B$3&gt;=15</f>
        <v/>
      </c>
      <c r="D109">
        <f>IF(Skills!C3=1,60+Inputs!$B$24+Inputs!$B$28,IF(Skills!C3=2,90+Inputs!$B$25+Inputs!$B$28,IF(Skills!C3=3,120+Inputs!$B$26+Inputs!$B$28,MAX(0,(Inputs!$B$3-100)*3)+Inputs!$B$27+Inputs!$B$28)))</f>
        <v/>
      </c>
      <c r="E109">
        <f>INDEX(FactorTable!$B$2:$Y$301, MATCH(ROUND(MIN(300,MAX(1,D109)),0), FactorTable!$A$2:$A$301,0), Skills!L3+1)</f>
        <v/>
      </c>
      <c r="F109">
        <f>IF(Skills!M3=TRUE,(Skills!K3/10)*(E109/1000),Skills!K3/10)+Skills!N3</f>
        <v/>
      </c>
      <c r="G109">
        <f>Calc!G3</f>
        <v/>
      </c>
      <c r="H109">
        <f>Calc!H3</f>
        <v/>
      </c>
      <c r="I109">
        <f>IF(Skills!T3&lt;&gt;"",1+(Skills!T3/10)*(R109/1000)/100,1)</f>
        <v/>
      </c>
      <c r="J109" t="inlineStr"/>
      <c r="K109" t="inlineStr"/>
      <c r="L109" t="inlineStr"/>
      <c r="M109" t="inlineStr"/>
      <c r="N109" t="inlineStr"/>
      <c r="O109" t="n">
        <v>0</v>
      </c>
      <c r="P109">
        <f>IF(B140=0,0,O109/B140)</f>
        <v/>
      </c>
      <c r="R109">
        <f>INDEX(FactorTable!$B$2:$Y$301, MATCH(ROUND(MIN(300,MAX(1,R108)),0), FactorTable!$A$2:$A$301,0), 24)</f>
        <v/>
      </c>
      <c r="S109">
        <f>IF(AND(Inputs!$B$4&lt;&gt;"pvp",Inputs!$B$35&gt;0),(INT(Inputs!$B$35/IF(Inputs!$B$4="pvp",15,MAX(0.1,Skills!D3-IF(Skills!E3=TRUE,Inputs!$B$31,0))))+1),0)</f>
        <v/>
      </c>
      <c r="T109">
        <f>INDEX(FactorTable!$B$2:$Y$301, MATCH(ROUND(MIN(300,MAX(1,T108)),0), FactorTable!$A$2:$A$301,0), 22)</f>
        <v/>
      </c>
      <c r="V109">
        <f>IFERROR(1/IF(Inputs!$B$4="pvp",15,MAX(0.1,Skills!D3-IF(Skills!E3=TRUE,Inputs!$B$31,0))),0)</f>
        <v/>
      </c>
    </row>
    <row r="110">
      <c r="A110">
        <f>Skills!A4</f>
        <v/>
      </c>
      <c r="B110">
        <f>Skills!B4</f>
        <v/>
      </c>
      <c r="C110">
        <f>Inputs!$B$3&gt;=40</f>
        <v/>
      </c>
      <c r="D110">
        <f>IF(Skills!C4=1,60+Inputs!$B$24+Inputs!$B$28,IF(Skills!C4=2,90+Inputs!$B$25+Inputs!$B$28,IF(Skills!C4=3,120+Inputs!$B$26+Inputs!$B$28,MAX(0,(Inputs!$B$3-100)*3)+Inputs!$B$27+Inputs!$B$28)))</f>
        <v/>
      </c>
      <c r="E110">
        <f>INDEX(FactorTable!$B$2:$Y$301, MATCH(ROUND(MIN(300,MAX(1,D110)),0), FactorTable!$A$2:$A$301,0), Skills!L4+1)</f>
        <v/>
      </c>
      <c r="F110">
        <f>IF(Skills!M4=TRUE,(Skills!K4/10)*(E110/1000),Skills!K4/10)+Skills!N4</f>
        <v/>
      </c>
      <c r="G110">
        <f>Calc!G4</f>
        <v/>
      </c>
      <c r="H110">
        <f>Calc!H4</f>
        <v/>
      </c>
      <c r="I110">
        <f>IF(Skills!T4&lt;&gt;"",1+(Skills!T4/10)*(R109/1000)/100,1)</f>
        <v/>
      </c>
      <c r="J110" t="inlineStr"/>
      <c r="K110" t="inlineStr"/>
      <c r="L110" t="inlineStr"/>
      <c r="M110" t="inlineStr"/>
      <c r="N110" t="inlineStr"/>
      <c r="O110" t="n">
        <v>0</v>
      </c>
      <c r="P110">
        <f>IF(B140=0,0,O110/B140)</f>
        <v/>
      </c>
      <c r="S110">
        <f>IF(AND(Inputs!$B$4&lt;&gt;"pvp",Inputs!$B$35&gt;0),(INT(Inputs!$B$35/IF(Inputs!$B$4="pvp",15,MAX(0.1,Skills!D4-IF(Skills!E4=TRUE,Inputs!$B$31,0))))+1),0)</f>
        <v/>
      </c>
      <c r="T110">
        <f>290*T109/1000</f>
        <v/>
      </c>
      <c r="V110">
        <f>IFERROR(1/IF(Inputs!$B$4="pvp",15,MAX(0.1,Skills!D4-IF(Skills!E4=TRUE,Inputs!$B$31,0))),0)</f>
        <v/>
      </c>
    </row>
    <row r="111">
      <c r="A111">
        <f>Skills!A5</f>
        <v/>
      </c>
      <c r="B111">
        <f>Skills!B5</f>
        <v/>
      </c>
      <c r="C111">
        <f>Inputs!$B$3&gt;=38</f>
        <v/>
      </c>
      <c r="D111">
        <f>IF(Skills!C5=1,60+Inputs!$B$24+Inputs!$B$28,IF(Skills!C5=2,90+Inputs!$B$25+Inputs!$B$28,IF(Skills!C5=3,120+Inputs!$B$26+Inputs!$B$28,MAX(0,(Inputs!$B$3-100)*3)+Inputs!$B$27+Inputs!$B$28)))</f>
        <v/>
      </c>
      <c r="E111">
        <f>INDEX(FactorTable!$B$2:$Y$301, MATCH(ROUND(MIN(300,MAX(1,D111)),0), FactorTable!$A$2:$A$301,0), Skills!L5+1)</f>
        <v/>
      </c>
      <c r="F111">
        <f>IF(Skills!M5=TRUE,(Skills!K5/10)*(E111/1000),Skills!K5/10)+Skills!N5</f>
        <v/>
      </c>
      <c r="G111">
        <f>Calc!G5</f>
        <v/>
      </c>
      <c r="H111">
        <f>Calc!H5</f>
        <v/>
      </c>
      <c r="I111">
        <f>IF(Skills!T5&lt;&gt;"",1+(Skills!T5/10)*(R109/1000)/100,1)</f>
        <v/>
      </c>
      <c r="J111">
        <f>((Inputs!$B$5*(1+Inputs!$B$6/100))+((Inputs!$B$11*(1+Inputs!$B$12/100))-(Inputs!$B$11*(1+Inputs!$B$12/100)))*(1+Inputs!$B$6/100))*(F111/100)</f>
        <v/>
      </c>
      <c r="K111">
        <f>J111*(1+((Inputs!$B$11*(1+Inputs!$B$12/100))*0.01+Inputs!$B$13*0.0025)/100)*(1+((Inputs!$B$14+1)+B134)/100)*(1+IF(Inputs!$B$4="pvp",0,(1-Summary!$B$51)*(Inputs!$B$19+Skills!O5+B133)+Summary!$B$51*(Inputs!$B$20+Skills!P5+B133))/100)*(1+Inputs!$B$15/100)*(5000/(6000+Inputs!$B$7*(1-Inputs!$B$18/100)))*(1+Inputs!$B$23/100)*(1+IF(C121=TRUE,F121,0)/100)*(1+IF(C129=TRUE,F129,0)/100)^5*(1+(IF(Skills!A5="CHAIN_LIGHTNING",Inputs!$B$16,Inputs!$B$17))/100)*(B132*I111)</f>
        <v/>
      </c>
      <c r="L111">
        <f>K111*(MIN(Inputs!$B$21+(F124-Calc!F18),Inputs!$B$22)/100+Inputs!$B$22/100)/2</f>
        <v/>
      </c>
      <c r="M111">
        <f>L111*(1+(Inputs!$B$9+(F127-Calc!F21))/100)</f>
        <v/>
      </c>
      <c r="N111">
        <f>L111*(1-MIN(Inputs!$B$8+((F126-Calc!F20)+(F125-Calc!F19)),100)/100)+M111*(MIN(Inputs!$B$8+((F126-Calc!F20)+(F125-Calc!F19)),100)/100)</f>
        <v/>
      </c>
      <c r="O111">
        <f>IF(C111,H111*N111*IF(AND(Inputs!$B$4&lt;&gt;"pvp",Inputs!$B$35&gt;0),((Skills!F5*((S111-1)*IF(Skills!G5&gt;0,Skills!H5/Skills!G5,1)+IF(Skills!G5&gt;0,MIN(Skills!H5,MAX(0,Inputs!$B$35-((S111-1)*IF(Inputs!$B$4="pvp",15,MAX(0.1,Skills!D5-IF(Skills!E5=TRUE,Inputs!$B$31,0))))))/Skills!G5,1)))/Inputs!$B$35),G111*V111)*IF(Inputs!$B$4="pvp",1,(1-Summary!$B$51)*(1)+Summary!$B$51*(MIN(Skills!Q5,Inputs!$B$37))),0)</f>
        <v/>
      </c>
      <c r="P111">
        <f>IF(B140=0,0,O111/B140)</f>
        <v/>
      </c>
      <c r="S111">
        <f>IF(AND(Inputs!$B$4&lt;&gt;"pvp",Inputs!$B$35&gt;0),(INT(Inputs!$B$35/IF(Inputs!$B$4="pvp",15,MAX(0.1,Skills!D5-IF(Skills!E5=TRUE,Inputs!$B$31,0))))+1),0)</f>
        <v/>
      </c>
      <c r="V111">
        <f>IFERROR(1/IF(Inputs!$B$4="pvp",15,MAX(0.1,Skills!D5-IF(Skills!E5=TRUE,Inputs!$B$31,0))),0)</f>
        <v/>
      </c>
    </row>
    <row r="112">
      <c r="A112">
        <f>Skills!A6</f>
        <v/>
      </c>
      <c r="B112">
        <f>Skills!B6</f>
        <v/>
      </c>
      <c r="C112">
        <f>Inputs!$B$3&gt;=63</f>
        <v/>
      </c>
      <c r="D112">
        <f>IF(Skills!C6=1,60+Inputs!$B$24+Inputs!$B$28,IF(Skills!C6=2,90+Inputs!$B$25+Inputs!$B$28,IF(Skills!C6=3,120+Inputs!$B$26+Inputs!$B$28,MAX(0,(Inputs!$B$3-100)*3)+Inputs!$B$27+Inputs!$B$28)))</f>
        <v/>
      </c>
      <c r="E112">
        <f>INDEX(FactorTable!$B$2:$Y$301, MATCH(ROUND(MIN(300,MAX(1,D112)),0), FactorTable!$A$2:$A$301,0), Skills!L6+1)</f>
        <v/>
      </c>
      <c r="F112">
        <f>IF(Skills!M6=TRUE,(Skills!K6/10)*(E112/1000),Skills!K6/10)+Skills!N6</f>
        <v/>
      </c>
      <c r="G112">
        <f>Calc!G6</f>
        <v/>
      </c>
      <c r="H112">
        <f>Calc!H6</f>
        <v/>
      </c>
      <c r="I112">
        <f>IF(Skills!T6&lt;&gt;"",1+(Skills!T6/10)*(R109/1000)/100,1)</f>
        <v/>
      </c>
      <c r="J112">
        <f>((Inputs!$B$5*(1+Inputs!$B$6/100))+((Inputs!$B$11*(1+Inputs!$B$12/100))-(Inputs!$B$11*(1+Inputs!$B$12/100)))*(1+Inputs!$B$6/100))*(F112/100)</f>
        <v/>
      </c>
      <c r="K112">
        <f>J112*(1+((Inputs!$B$11*(1+Inputs!$B$12/100))*0.01+Inputs!$B$13*0.0025)/100)*(1+((Inputs!$B$14+1)+B134)/100)*(1+IF(Inputs!$B$4="pvp",0,(1-Summary!$B$51)*(Inputs!$B$19+Skills!O6+B133)+Summary!$B$51*(Inputs!$B$20+Skills!P6+B133))/100)*(1+Inputs!$B$15/100)*(5000/(6000+Inputs!$B$7*(1-Inputs!$B$18/100)))*(1+Inputs!$B$23/100)*(1+IF(C121=TRUE,F121,0)/100)*(1+IF(C129=TRUE,F129,0)/100)^5*(1+(IF(Skills!A6="CHAIN_LIGHTNING",Inputs!$B$16,Inputs!$B$17))/100)*(B132*I112)</f>
        <v/>
      </c>
      <c r="L112">
        <f>K112*(MIN(Inputs!$B$21+(F124-Calc!F18),Inputs!$B$22)/100+Inputs!$B$22/100)/2</f>
        <v/>
      </c>
      <c r="M112">
        <f>L112*(1+(Inputs!$B$9+(F127-Calc!F21))/100)</f>
        <v/>
      </c>
      <c r="N112">
        <f>L112*(1-MIN(Inputs!$B$8+((F126-Calc!F20)+(F125-Calc!F19)),100)/100)+M112*(MIN(Inputs!$B$8+((F126-Calc!F20)+(F125-Calc!F19)),100)/100)</f>
        <v/>
      </c>
      <c r="O112">
        <f>IF(C112,H112*N112*IF(AND(Inputs!$B$4&lt;&gt;"pvp",Inputs!$B$35&gt;0),((Skills!F6*((S112-1)*IF(Skills!G6&gt;0,Skills!H6/Skills!G6,1)+IF(Skills!G6&gt;0,MIN(Skills!H6,MAX(0,Inputs!$B$35-((S112-1)*IF(Inputs!$B$4="pvp",15,MAX(0.1,Skills!D6-IF(Skills!E6=TRUE,Inputs!$B$31,0))))))/Skills!G6,1)))/Inputs!$B$35),G112*V112)*IF(Inputs!$B$4="pvp",1,(1-Summary!$B$51)*(1)+Summary!$B$51*(MIN(Skills!Q6,Inputs!$B$37))),0)</f>
        <v/>
      </c>
      <c r="P112">
        <f>IF(B140=0,0,O112/B140)</f>
        <v/>
      </c>
      <c r="S112">
        <f>IF(AND(Inputs!$B$4&lt;&gt;"pvp",Inputs!$B$35&gt;0),(INT(Inputs!$B$35/IF(Inputs!$B$4="pvp",15,MAX(0.1,Skills!D6-IF(Skills!E6=TRUE,Inputs!$B$31,0))))+1),0)</f>
        <v/>
      </c>
      <c r="V112">
        <f>IFERROR(1/IF(Inputs!$B$4="pvp",15,MAX(0.1,Skills!D6-IF(Skills!E6=TRUE,Inputs!$B$31,0))),0)</f>
        <v/>
      </c>
    </row>
    <row r="113">
      <c r="A113">
        <f>Skills!A7</f>
        <v/>
      </c>
      <c r="B113">
        <f>Skills!B7</f>
        <v/>
      </c>
      <c r="C113">
        <f>Inputs!$B$3&gt;=69</f>
        <v/>
      </c>
      <c r="D113">
        <f>IF(Skills!C7=1,60+Inputs!$B$24+Inputs!$B$28,IF(Skills!C7=2,90+Inputs!$B$25+Inputs!$B$28,IF(Skills!C7=3,120+Inputs!$B$26+Inputs!$B$28,MAX(0,(Inputs!$B$3-100)*3)+Inputs!$B$27+Inputs!$B$28)))</f>
        <v/>
      </c>
      <c r="E113">
        <f>INDEX(FactorTable!$B$2:$Y$301, MATCH(ROUND(MIN(300,MAX(1,D113)),0), FactorTable!$A$2:$A$301,0), Skills!L7+1)</f>
        <v/>
      </c>
      <c r="F113">
        <f>IF(Skills!M7=TRUE,(Skills!K7/10)*(E113/1000),Skills!K7/10)+Skills!N7</f>
        <v/>
      </c>
      <c r="G113">
        <f>Calc!G7</f>
        <v/>
      </c>
      <c r="H113">
        <f>Calc!H7</f>
        <v/>
      </c>
      <c r="I113">
        <f>IF(Skills!T7&lt;&gt;"",1+(Skills!T7/10)*(R109/1000)/100,1)</f>
        <v/>
      </c>
      <c r="J113">
        <f>((Inputs!$B$5*(1+Inputs!$B$6/100))+((Inputs!$B$11*(1+Inputs!$B$12/100))-(Inputs!$B$11*(1+Inputs!$B$12/100)))*(1+Inputs!$B$6/100))*(F113/100)</f>
        <v/>
      </c>
      <c r="K113">
        <f>J113*(1+((Inputs!$B$11*(1+Inputs!$B$12/100))*0.01+Inputs!$B$13*0.0025)/100)*(1+((Inputs!$B$14+1)+B134)/100)*(1+IF(Inputs!$B$4="pvp",0,(1-Summary!$B$51)*(Inputs!$B$19+Skills!O7+B133)+Summary!$B$51*(Inputs!$B$20+Skills!P7+B133))/100)*(1+Inputs!$B$15/100)*(5000/(6000+Inputs!$B$7*(1-Inputs!$B$18/100)))*(1+Inputs!$B$23/100)*(1+IF(C121=TRUE,F121,0)/100)*(1+IF(C129=TRUE,F129,0)/100)^5*(1+(IF(Skills!A7="CHAIN_LIGHTNING",Inputs!$B$16,Inputs!$B$17))/100)*(B132*I113)</f>
        <v/>
      </c>
      <c r="L113">
        <f>K113*(MIN(Inputs!$B$21+(F124-Calc!F18),Inputs!$B$22)/100+Inputs!$B$22/100)/2</f>
        <v/>
      </c>
      <c r="M113">
        <f>L113*(1+(Inputs!$B$9+(F127-Calc!F21))/100)</f>
        <v/>
      </c>
      <c r="N113">
        <f>L113*(1-MIN(Inputs!$B$8+((F126-Calc!F20)+(F125-Calc!F19)),100)/100)+M113*(MIN(Inputs!$B$8+((F126-Calc!F20)+(F125-Calc!F19)),100)/100)</f>
        <v/>
      </c>
      <c r="O113">
        <f>IF(C113,H113*N113*IF(AND(Inputs!$B$4&lt;&gt;"pvp",Inputs!$B$35&gt;0),((Skills!F7*((S113-1)*IF(Skills!G7&gt;0,Skills!H7/Skills!G7,1)+IF(Skills!G7&gt;0,MIN(Skills!H7,MAX(0,Inputs!$B$35-((S113-1)*IF(Inputs!$B$4="pvp",15,MAX(0.1,Skills!D7-IF(Skills!E7=TRUE,Inputs!$B$31,0))))))/Skills!G7,1)))/Inputs!$B$35),G113*V113)*IF(Inputs!$B$4="pvp",1,(1-Summary!$B$51)*(1)+Summary!$B$51*(MIN(Skills!Q7,Inputs!$B$37))),0)</f>
        <v/>
      </c>
      <c r="P113">
        <f>IF(B140=0,0,O113/B140)</f>
        <v/>
      </c>
      <c r="S113">
        <f>IF(AND(Inputs!$B$4&lt;&gt;"pvp",Inputs!$B$35&gt;0),(INT(Inputs!$B$35/IF(Inputs!$B$4="pvp",15,MAX(0.1,Skills!D7-IF(Skills!E7=TRUE,Inputs!$B$31,0))))+1),0)</f>
        <v/>
      </c>
      <c r="V113">
        <f>IFERROR(1/IF(Inputs!$B$4="pvp",15,MAX(0.1,Skills!D7-IF(Skills!E7=TRUE,Inputs!$B$31,0))),0)</f>
        <v/>
      </c>
    </row>
    <row r="114">
      <c r="A114">
        <f>Skills!A8</f>
        <v/>
      </c>
      <c r="B114">
        <f>Skills!B8</f>
        <v/>
      </c>
      <c r="C114">
        <f>Inputs!$B$3&gt;=103</f>
        <v/>
      </c>
      <c r="D114">
        <f>IF(Skills!C8=1,60+Inputs!$B$24+Inputs!$B$28,IF(Skills!C8=2,90+Inputs!$B$25+Inputs!$B$28,IF(Skills!C8=3,120+Inputs!$B$26+Inputs!$B$28,MAX(0,(Inputs!$B$3-100)*3)+Inputs!$B$27+Inputs!$B$28)))</f>
        <v/>
      </c>
      <c r="E114">
        <f>INDEX(FactorTable!$B$2:$Y$301, MATCH(ROUND(MIN(300,MAX(1,D114)),0), FactorTable!$A$2:$A$301,0), Skills!L8+1)</f>
        <v/>
      </c>
      <c r="F114">
        <f>IF(Skills!M8=TRUE,(Skills!K8/10)*(E114/1000),Skills!K8/10)+Skills!N8</f>
        <v/>
      </c>
      <c r="G114">
        <f>Calc!G8</f>
        <v/>
      </c>
      <c r="H114">
        <f>Calc!H8</f>
        <v/>
      </c>
      <c r="I114">
        <f>IF(Skills!T8&lt;&gt;"",1+(Skills!T8/10)*(R109/1000)/100,1)</f>
        <v/>
      </c>
      <c r="J114">
        <f>((Inputs!$B$5*(1+Inputs!$B$6/100))+((Inputs!$B$11*(1+Inputs!$B$12/100))-(Inputs!$B$11*(1+Inputs!$B$12/100)))*(1+Inputs!$B$6/100))*(F114/100)</f>
        <v/>
      </c>
      <c r="K114">
        <f>J114*(1+((Inputs!$B$11*(1+Inputs!$B$12/100))*0.01+Inputs!$B$13*0.0025)/100)*(1+((Inputs!$B$14+1)+B134)/100)*(1+IF(Inputs!$B$4="pvp",0,(1-Summary!$B$51)*(Inputs!$B$19+Skills!O8+B133)+Summary!$B$51*(Inputs!$B$20+Skills!P8+B133))/100)*(1+Inputs!$B$15/100)*(5000/(6000+Inputs!$B$7*(1-Inputs!$B$18/100)))*(1+Inputs!$B$23/100)*(1+IF(C121=TRUE,F121,0)/100)*(1+IF(C129=TRUE,F129,0)/100)^5*(1+(IF(Skills!A8="CHAIN_LIGHTNING",Inputs!$B$16,Inputs!$B$17))/100)*(B132*I114)</f>
        <v/>
      </c>
      <c r="L114">
        <f>K114*(MIN(Inputs!$B$21+(F124-Calc!F18),Inputs!$B$22)/100+Inputs!$B$22/100)/2</f>
        <v/>
      </c>
      <c r="M114">
        <f>L114*(1+(Inputs!$B$9+(F127-Calc!F21))/100)</f>
        <v/>
      </c>
      <c r="N114">
        <f>L114*(1-MIN(Inputs!$B$8+((F126-Calc!F20)+(F125-Calc!F19)),100)/100)+M114*(MIN(Inputs!$B$8+((F126-Calc!F20)+(F125-Calc!F19)),100)/100)</f>
        <v/>
      </c>
      <c r="O114">
        <f>IF(C114,H114*N114*IF(AND(Inputs!$B$4&lt;&gt;"pvp",Inputs!$B$35&gt;0),((Skills!F8*((S114-1)*IF(Skills!G8&gt;0,Skills!H8/Skills!G8,1)+IF(Skills!G8&gt;0,MIN(Skills!H8,MAX(0,Inputs!$B$35-((S114-1)*IF(Inputs!$B$4="pvp",15,MAX(0.1,Skills!D8-IF(Skills!E8=TRUE,Inputs!$B$31,0))))))/Skills!G8,1)))/Inputs!$B$35),G114*V114)*IF(Inputs!$B$4="pvp",1,(1-Summary!$B$51)*(1)+Summary!$B$51*(MIN(Skills!Q8,Inputs!$B$37))),0)</f>
        <v/>
      </c>
      <c r="P114">
        <f>IF(B140=0,0,O114/B140)</f>
        <v/>
      </c>
      <c r="S114">
        <f>IF(AND(Inputs!$B$4&lt;&gt;"pvp",Inputs!$B$35&gt;0),(INT(Inputs!$B$35/IF(Inputs!$B$4="pvp",15,MAX(0.1,Skills!D8-IF(Skills!E8=TRUE,Inputs!$B$31,0))))+1),0)</f>
        <v/>
      </c>
      <c r="V114">
        <f>IFERROR(1/IF(Inputs!$B$4="pvp",15,MAX(0.1,Skills!D8-IF(Skills!E8=TRUE,Inputs!$B$31,0))),0)</f>
        <v/>
      </c>
    </row>
    <row r="115">
      <c r="A115">
        <f>Skills!A9</f>
        <v/>
      </c>
      <c r="B115">
        <f>Skills!B9</f>
        <v/>
      </c>
      <c r="C115">
        <f>Inputs!$B$3&gt;=105</f>
        <v/>
      </c>
      <c r="D115">
        <f>IF(Skills!C9=1,60+Inputs!$B$24+Inputs!$B$28,IF(Skills!C9=2,90+Inputs!$B$25+Inputs!$B$28,IF(Skills!C9=3,120+Inputs!$B$26+Inputs!$B$28,MAX(0,(Inputs!$B$3-100)*3)+Inputs!$B$27+Inputs!$B$28)))</f>
        <v/>
      </c>
      <c r="E115">
        <f>INDEX(FactorTable!$B$2:$Y$301, MATCH(ROUND(MIN(300,MAX(1,D115)),0), FactorTable!$A$2:$A$301,0), Skills!L9+1)</f>
        <v/>
      </c>
      <c r="F115">
        <f>IF(Skills!M9=TRUE,(Skills!K9/10)*(E115/1000),Skills!K9/10)+Skills!N9</f>
        <v/>
      </c>
      <c r="G115">
        <f>Calc!G9</f>
        <v/>
      </c>
      <c r="H115">
        <f>Calc!H9</f>
        <v/>
      </c>
      <c r="I115">
        <f>IF(Skills!T9&lt;&gt;"",1+(Skills!T9/10)*(R109/1000)/100,1)</f>
        <v/>
      </c>
      <c r="J115">
        <f>((Inputs!$B$5*(1+Inputs!$B$6/100))+((Inputs!$B$11*(1+Inputs!$B$12/100))-(Inputs!$B$11*(1+Inputs!$B$12/100)))*(1+Inputs!$B$6/100))*(F115/100)</f>
        <v/>
      </c>
      <c r="K115">
        <f>J115*(1+((Inputs!$B$11*(1+Inputs!$B$12/100))*0.01+Inputs!$B$13*0.0025)/100)*(1+((Inputs!$B$14+1)+B134)/100)*(1+IF(Inputs!$B$4="pvp",0,(1-Summary!$B$51)*(Inputs!$B$19+Skills!O9+B133)+Summary!$B$51*(Inputs!$B$20+Skills!P9+B133))/100)*(1+Inputs!$B$15/100)*(5000/(6000+Inputs!$B$7*(1-Inputs!$B$18/100)))*(1+Inputs!$B$23/100)*(1+IF(C121=TRUE,F121,0)/100)*(1+IF(C129=TRUE,F129,0)/100)^5*(1+(IF(Skills!A9="CHAIN_LIGHTNING",Inputs!$B$16,Inputs!$B$17))/100)*(B132*I115)</f>
        <v/>
      </c>
      <c r="L115">
        <f>K115*(MIN(Inputs!$B$21+(F124-Calc!F18),Inputs!$B$22)/100+Inputs!$B$22/100)/2</f>
        <v/>
      </c>
      <c r="M115">
        <f>L115*(1+(Inputs!$B$9+(F127-Calc!F21))/100)</f>
        <v/>
      </c>
      <c r="N115">
        <f>L115*(1-MIN(Inputs!$B$8+((F126-Calc!F20)+(F125-Calc!F19)),100)/100)+M115*(MIN(Inputs!$B$8+((F126-Calc!F20)+(F125-Calc!F19)),100)/100)</f>
        <v/>
      </c>
      <c r="O115">
        <f>IF(C115,H115*N115*IF(AND(Inputs!$B$4&lt;&gt;"pvp",Inputs!$B$35&gt;0),((Skills!F9*((S115-1)*IF(Skills!G9&gt;0,Skills!H9/Skills!G9,1)+IF(Skills!G9&gt;0,MIN(Skills!H9,MAX(0,Inputs!$B$35-((S115-1)*IF(Inputs!$B$4="pvp",15,MAX(0.1,Skills!D9-IF(Skills!E9=TRUE,Inputs!$B$31,0))))))/Skills!G9,1)))/Inputs!$B$35),G115*V115)*IF(Inputs!$B$4="pvp",1,(1-Summary!$B$51)*(1)+Summary!$B$51*(MIN(Skills!Q9,Inputs!$B$37))),0)</f>
        <v/>
      </c>
      <c r="P115">
        <f>IF(B140=0,0,O115/B140)</f>
        <v/>
      </c>
      <c r="S115">
        <f>IF(AND(Inputs!$B$4&lt;&gt;"pvp",Inputs!$B$35&gt;0),(INT(Inputs!$B$35/IF(Inputs!$B$4="pvp",15,MAX(0.1,Skills!D9-IF(Skills!E9=TRUE,Inputs!$B$31,0))))+1),0)</f>
        <v/>
      </c>
      <c r="V115">
        <f>IFERROR(1/IF(Inputs!$B$4="pvp",15,MAX(0.1,Skills!D9-IF(Skills!E9=TRUE,Inputs!$B$31,0))),0)</f>
        <v/>
      </c>
    </row>
    <row r="116">
      <c r="A116">
        <f>Skills!A10</f>
        <v/>
      </c>
      <c r="B116">
        <f>Skills!B10</f>
        <v/>
      </c>
      <c r="C116">
        <f>Inputs!$B$3&gt;=113</f>
        <v/>
      </c>
      <c r="D116">
        <f>IF(Skills!C10=1,60+Inputs!$B$24+Inputs!$B$28,IF(Skills!C10=2,90+Inputs!$B$25+Inputs!$B$28,IF(Skills!C10=3,120+Inputs!$B$26+Inputs!$B$28,MAX(0,(Inputs!$B$3-100)*3)+Inputs!$B$27+Inputs!$B$28)))</f>
        <v/>
      </c>
      <c r="E116">
        <f>INDEX(FactorTable!$B$2:$Y$301, MATCH(ROUND(MIN(300,MAX(1,D116)),0), FactorTable!$A$2:$A$301,0), Skills!L10+1)</f>
        <v/>
      </c>
      <c r="F116">
        <f>IF(Skills!M10=TRUE,(Skills!K10/10)*(E116/1000),Skills!K10/10)+Skills!N10</f>
        <v/>
      </c>
      <c r="G116">
        <f>Calc!G10</f>
        <v/>
      </c>
      <c r="H116">
        <f>Calc!H10</f>
        <v/>
      </c>
      <c r="I116">
        <f>IF(Skills!T10&lt;&gt;"",1+(Skills!T10/10)*(R109/1000)/100,1)</f>
        <v/>
      </c>
      <c r="J116">
        <f>((Inputs!$B$5*(1+Inputs!$B$6/100))+((Inputs!$B$11*(1+Inputs!$B$12/100))-(Inputs!$B$11*(1+Inputs!$B$12/100)))*(1+Inputs!$B$6/100))*(F116/100)</f>
        <v/>
      </c>
      <c r="K116">
        <f>J116*(1+((Inputs!$B$11*(1+Inputs!$B$12/100))*0.01+Inputs!$B$13*0.0025)/100)*(1+((Inputs!$B$14+1)+B134)/100)*(1+IF(Inputs!$B$4="pvp",0,(1-Summary!$B$51)*(Inputs!$B$19+Skills!O10+B133)+Summary!$B$51*(Inputs!$B$20+Skills!P10+B133))/100)*(1+Inputs!$B$15/100)*(5000/(6000+Inputs!$B$7*(1-Inputs!$B$18/100)))*(1+Inputs!$B$23/100)*(1+IF(C121=TRUE,F121,0)/100)*(1+IF(C129=TRUE,F129,0)/100)^5*(1+(IF(Skills!A10="CHAIN_LIGHTNING",Inputs!$B$16,Inputs!$B$17))/100)*(B132*I116)</f>
        <v/>
      </c>
      <c r="L116">
        <f>K116*(MIN(Inputs!$B$21+(F124-Calc!F18),Inputs!$B$22)/100+Inputs!$B$22/100)/2</f>
        <v/>
      </c>
      <c r="M116">
        <f>L116*(1+(Inputs!$B$9+(F127-Calc!F21))/100)</f>
        <v/>
      </c>
      <c r="N116">
        <f>L116*(1-MIN(Inputs!$B$8+((F126-Calc!F20)+(F125-Calc!F19)),100)/100)+M116*(MIN(Inputs!$B$8+((F126-Calc!F20)+(F125-Calc!F19)),100)/100)</f>
        <v/>
      </c>
      <c r="O116">
        <f>IF(C116,H116*N116*IF(AND(Inputs!$B$4&lt;&gt;"pvp",Inputs!$B$35&gt;0),((Skills!F10*((S116-1)*IF(Skills!G10&gt;0,Skills!H10/Skills!G10,1)+IF(Skills!G10&gt;0,MIN(Skills!H10,MAX(0,Inputs!$B$35-((S116-1)*IF(Inputs!$B$4="pvp",15,MAX(0.1,Skills!D10-IF(Skills!E9=TRUE,Inputs!$B$31,0))))))/Skills!G10,1)))/Inputs!$B$35),G116*V116)*IF(Inputs!$B$4="pvp",1,(1-Summary!$B$51)*(1)+Summary!$B$51*(MIN(Skills!Q10,Inputs!$B$37))),0)</f>
        <v/>
      </c>
      <c r="P116">
        <f>IF(B140=0,0,O116/B140)</f>
        <v/>
      </c>
      <c r="S116">
        <f>IF(AND(Inputs!$B$4&lt;&gt;"pvp",Inputs!$B$35&gt;0),(INT(Inputs!$B$35/IF(Inputs!$B$4="pvp",15,MAX(0.1,Skills!D10-IF(Skills!E9=TRUE,Inputs!$B$31,0))))+1),0)</f>
        <v/>
      </c>
      <c r="V116">
        <f>IFERROR(1/IF(Inputs!$B$4="pvp",15,MAX(0.1,Skills!D10-IF(Skills!E9=TRUE,Inputs!$B$31,0))),0)</f>
        <v/>
      </c>
    </row>
    <row r="117">
      <c r="A117">
        <f>Skills!A11</f>
        <v/>
      </c>
      <c r="B117">
        <f>Skills!B11</f>
        <v/>
      </c>
      <c r="C117">
        <f>Inputs!$B$3&gt;=107</f>
        <v/>
      </c>
      <c r="D117">
        <f>IF(Skills!C11=1,60+Inputs!$B$24+Inputs!$B$28,IF(Skills!C11=2,90+Inputs!$B$25+Inputs!$B$28,IF(Skills!C11=3,120+Inputs!$B$26+Inputs!$B$28,MAX(0,(Inputs!$B$3-100)*3)+Inputs!$B$27+Inputs!$B$28)))</f>
        <v/>
      </c>
      <c r="E117">
        <f>INDEX(FactorTable!$B$2:$Y$301, MATCH(ROUND(MIN(300,MAX(1,D117)),0), FactorTable!$A$2:$A$301,0), Skills!L11+1)</f>
        <v/>
      </c>
      <c r="F117">
        <f>IF(Skills!M11=TRUE,(Skills!K11/10)*(E117/1000),Skills!K11/10)+Skills!N11</f>
        <v/>
      </c>
      <c r="G117">
        <f>Calc!G11</f>
        <v/>
      </c>
      <c r="H117">
        <f>Calc!H11</f>
        <v/>
      </c>
      <c r="I117">
        <f>IF(Skills!T11&lt;&gt;"",1+(Skills!T11/10)*(R109/1000)/100,1)</f>
        <v/>
      </c>
      <c r="J117">
        <f>((Inputs!$B$5*(1+Inputs!$B$6/100))+((Inputs!$B$11*(1+Inputs!$B$12/100))-(Inputs!$B$11*(1+Inputs!$B$12/100)))*(1+Inputs!$B$6/100))*(F117/100)</f>
        <v/>
      </c>
      <c r="K117">
        <f>J117*(1+((Inputs!$B$11*(1+Inputs!$B$12/100))*0.01+Inputs!$B$13*0.0025)/100)*(1+((Inputs!$B$14+1)+B134)/100)*(1+IF(Inputs!$B$4="pvp",0,(1-Summary!$B$51)*(Inputs!$B$19+Skills!O11+B133)+Summary!$B$51*(Inputs!$B$20+Skills!P11+B133))/100)*(1+Inputs!$B$15/100)*(5000/(6000+Inputs!$B$7*(1-Inputs!$B$18/100)))*(1+Inputs!$B$23/100)*(1+IF(C121=TRUE,F121,0)/100)*(1+IF(C129=TRUE,F129,0)/100)^5*(1+(IF(Skills!A11="CHAIN_LIGHTNING",Inputs!$B$16,Inputs!$B$17))/100)*(B132*I117)</f>
        <v/>
      </c>
      <c r="L117">
        <f>K117*(MIN(Inputs!$B$21+(F124-Calc!F18),Inputs!$B$22)/100+Inputs!$B$22/100)/2</f>
        <v/>
      </c>
      <c r="M117">
        <f>L117*(1+(Inputs!$B$9+(F127-Calc!F21))/100)</f>
        <v/>
      </c>
      <c r="N117">
        <f>L117*(1-MIN(Inputs!$B$8+((F126-Calc!F20)+(F125-Calc!F19)),100)/100)+M117*(MIN(Inputs!$B$8+((F126-Calc!F20)+(F125-Calc!F19)),100)/100)</f>
        <v/>
      </c>
      <c r="O117">
        <f>IF(C117,H117*N117*IF(AND(Inputs!$B$4&lt;&gt;"pvp",Inputs!$B$35&gt;0),((Skills!F11*((S117-1)*IF(Skills!G11&gt;0,Skills!H11/Skills!G11,1)+IF(Skills!G11&gt;0,MIN(Skills!H11,MAX(0,Inputs!$B$35-((S117-1)*IF(Inputs!$B$4="pvp",15,MAX(0.1,Skills!D11-IF(Skills!E11=TRUE,Inputs!$B$31,0))))))/Skills!G11,1)))/Inputs!$B$35),G117*V117)*IF(Inputs!$B$4="pvp",0.5,(1-Summary!$B$51)*0.5+Summary!$B$51*1)*IF(Inputs!$B$4="pvp",1,(1-Summary!$B$51)*(1)+Summary!$B$51*(MIN(Skills!Q11,Inputs!$B$37))),0)</f>
        <v/>
      </c>
      <c r="P117">
        <f>IF(B140=0,0,O117/B140)</f>
        <v/>
      </c>
      <c r="S117">
        <f>IF(AND(Inputs!$B$4&lt;&gt;"pvp",Inputs!$B$35&gt;0),(INT(Inputs!$B$35/IF(Inputs!$B$4="pvp",15,MAX(0.1,Skills!D11-IF(Skills!E11=TRUE,Inputs!$B$31,0))))+1),0)</f>
        <v/>
      </c>
      <c r="V117">
        <f>IFERROR(1/IF(Inputs!$B$4="pvp",15,MAX(0.1,Skills!D11-IF(Skills!E11=TRUE,Inputs!$B$31,0))),0)</f>
        <v/>
      </c>
    </row>
    <row r="118">
      <c r="A118">
        <f>Skills!A12</f>
        <v/>
      </c>
      <c r="B118">
        <f>Skills!B12</f>
        <v/>
      </c>
      <c r="C118">
        <f>Inputs!$B$3&gt;=115</f>
        <v/>
      </c>
      <c r="D118">
        <f>IF(Skills!C12=1,60+Inputs!$B$24+Inputs!$B$28,IF(Skills!C12=2,90+Inputs!$B$25+Inputs!$B$28,IF(Skills!C12=3,120+Inputs!$B$26+Inputs!$B$28,MAX(0,(Inputs!$B$3-100)*3)+Inputs!$B$27+Inputs!$B$28)))</f>
        <v/>
      </c>
      <c r="E118">
        <f>INDEX(FactorTable!$B$2:$Y$301, MATCH(ROUND(MIN(300,MAX(1,D118)),0), FactorTable!$A$2:$A$301,0), Skills!L12+1)</f>
        <v/>
      </c>
      <c r="F118">
        <f>IF(Skills!M12=TRUE,(Skills!K12/10)*(E118/1000),Skills!K12/10)+Skills!N12</f>
        <v/>
      </c>
      <c r="G118">
        <f>Calc!G12</f>
        <v/>
      </c>
      <c r="H118">
        <f>Calc!H12</f>
        <v/>
      </c>
      <c r="I118">
        <f>IF(Skills!T12&lt;&gt;"",1+(Skills!T12/10)*(R109/1000)/100,1)</f>
        <v/>
      </c>
      <c r="J118">
        <f>((Inputs!$B$5*(1+Inputs!$B$6/100))+((Inputs!$B$11*(1+Inputs!$B$12/100))-(Inputs!$B$11*(1+Inputs!$B$12/100)))*(1+Inputs!$B$6/100))*(F118/100)</f>
        <v/>
      </c>
      <c r="K118">
        <f>J118*(1+((Inputs!$B$11*(1+Inputs!$B$12/100))*0.01+Inputs!$B$13*0.0025)/100)*(1+((Inputs!$B$14+1)+B134)/100)*(1+IF(Inputs!$B$4="pvp",0,(1-Summary!$B$51)*(Inputs!$B$19+Skills!O12+B133)+Summary!$B$51*(Inputs!$B$20+Skills!P12+B133))/100)*(1+Inputs!$B$15/100)*(5000/(6000+Inputs!$B$7*(1-Inputs!$B$18/100)))*(1+Inputs!$B$23/100)*(1+IF(C121=TRUE,F121,0)/100)*(1+IF(C129=TRUE,F129,0)/100)^5*(1+(IF(Skills!A12="CHAIN_LIGHTNING",Inputs!$B$16,Inputs!$B$17))/100)*(B132*I118)</f>
        <v/>
      </c>
      <c r="L118">
        <f>K118*(MIN(Inputs!$B$21+(F124-Calc!F18),Inputs!$B$22)/100+Inputs!$B$22/100)/2</f>
        <v/>
      </c>
      <c r="M118">
        <f>L118*(1+(Inputs!$B$9+(F127-Calc!F21))/100)</f>
        <v/>
      </c>
      <c r="N118">
        <f>L118*(1-MIN(Inputs!$B$8+((F126-Calc!F20)+(F125-Calc!F19)),100)/100)+M118*(MIN(Inputs!$B$8+((F126-Calc!F20)+(F125-Calc!F19)),100)/100)</f>
        <v/>
      </c>
      <c r="O118">
        <f>IF(C118,H118*N118*IF(AND(Inputs!$B$4&lt;&gt;"pvp",Inputs!$B$35&gt;0),((Skills!F12*((S118-1)*IF(Skills!G12&gt;0,Skills!H12/Skills!G12,1)+IF(Skills!G12&gt;0,MIN(Skills!H12,MAX(0,Inputs!$B$35-((S118-1)*IF(Inputs!$B$4="pvp",15,MAX(0.1,Skills!D12-IF(Skills!E12=TRUE,Inputs!$B$31,0))))))/Skills!G12,1)))/Inputs!$B$35),G118*V118)*IF(Inputs!$B$4="pvp",1,(1-Summary!$B$51)*(1)+Summary!$B$51*(MIN(Skills!Q12,Inputs!$B$37))),0)</f>
        <v/>
      </c>
      <c r="P118">
        <f>IF(B140=0,0,O118/B140)</f>
        <v/>
      </c>
      <c r="S118">
        <f>IF(AND(Inputs!$B$4&lt;&gt;"pvp",Inputs!$B$35&gt;0),(INT(Inputs!$B$35/IF(Inputs!$B$4="pvp",15,MAX(0.1,Skills!D12-IF(Skills!E12=TRUE,Inputs!$B$31,0))))+1),0)</f>
        <v/>
      </c>
      <c r="V118">
        <f>IFERROR(1/IF(Inputs!$B$4="pvp",15,MAX(0.1,Skills!D12-IF(Skills!E12=TRUE,Inputs!$B$31,0))),0)</f>
        <v/>
      </c>
    </row>
    <row r="119">
      <c r="A119">
        <f>Skills!A13</f>
        <v/>
      </c>
      <c r="B119">
        <f>Skills!B13</f>
        <v/>
      </c>
      <c r="C119">
        <f>Inputs!$B$3&gt;=49</f>
        <v/>
      </c>
      <c r="D119">
        <f>IF(Skills!C13=1,60+Inputs!$B$24+Inputs!$B$28,IF(Skills!C13=2,90+Inputs!$B$25+Inputs!$B$28,IF(Skills!C13=3,120+Inputs!$B$26+Inputs!$B$28,MAX(0,(Inputs!$B$3-100)*3)+Inputs!$B$27+Inputs!$B$28)))</f>
        <v/>
      </c>
      <c r="E119">
        <f>INDEX(FactorTable!$B$2:$Y$301, MATCH(ROUND(MIN(300,MAX(1,D119)),0), FactorTable!$A$2:$A$301,0), Skills!L13+1)</f>
        <v/>
      </c>
      <c r="F119">
        <f>IF(Skills!M13=TRUE,(Skills!K13/10)*(E119/1000),Skills!K13/10)+Skills!N13</f>
        <v/>
      </c>
      <c r="G119">
        <f>Calc!G13</f>
        <v/>
      </c>
      <c r="H119">
        <f>Calc!H13</f>
        <v/>
      </c>
      <c r="I119">
        <f>IF(Skills!T13&lt;&gt;"",1+(Skills!T13/10)*(R109/1000)/100,1)</f>
        <v/>
      </c>
      <c r="J119" t="inlineStr"/>
      <c r="K119" t="inlineStr"/>
      <c r="L119" t="inlineStr"/>
      <c r="M119" t="inlineStr"/>
      <c r="N119" t="inlineStr"/>
      <c r="O119" t="n">
        <v>0</v>
      </c>
      <c r="P119">
        <f>IF(B140=0,0,O119/B140)</f>
        <v/>
      </c>
      <c r="S119" t="n">
        <v>0</v>
      </c>
      <c r="V119">
        <f>IFERROR(1/IF(Inputs!$B$4="pvp",15,MAX(0.1,Skills!D13-IF(Skills!E13=TRUE,Inputs!$B$31,0))),0)</f>
        <v/>
      </c>
    </row>
    <row r="120">
      <c r="A120">
        <f>Skills!A14</f>
        <v/>
      </c>
      <c r="B120">
        <f>Skills!B14</f>
        <v/>
      </c>
      <c r="C120">
        <f>Inputs!$B$3&gt;=72</f>
        <v/>
      </c>
      <c r="D120">
        <f>IF(Skills!C14=1,60+Inputs!$B$24+Inputs!$B$28,IF(Skills!C14=2,90+Inputs!$B$25+Inputs!$B$28,IF(Skills!C14=3,120+Inputs!$B$26+Inputs!$B$28,MAX(0,(Inputs!$B$3-100)*3)+Inputs!$B$27+Inputs!$B$28)))</f>
        <v/>
      </c>
      <c r="E120">
        <f>INDEX(FactorTable!$B$2:$Y$301, MATCH(ROUND(MIN(300,MAX(1,D120)),0), FactorTable!$A$2:$A$301,0), Skills!L14+1)</f>
        <v/>
      </c>
      <c r="F120">
        <f>IF(Skills!M14=TRUE,(Skills!K14/10)*(E120/1000),Skills!K14/10)+Skills!N14</f>
        <v/>
      </c>
      <c r="G120">
        <f>Calc!G14</f>
        <v/>
      </c>
      <c r="H120">
        <f>Calc!H14</f>
        <v/>
      </c>
      <c r="I120">
        <f>IF(Skills!T14&lt;&gt;"",1+(Skills!T14/10)*(R109/1000)/100,1)</f>
        <v/>
      </c>
      <c r="J120" t="inlineStr"/>
      <c r="K120" t="inlineStr"/>
      <c r="L120" t="inlineStr"/>
      <c r="M120" t="inlineStr"/>
      <c r="N120" t="inlineStr"/>
      <c r="O120" t="n">
        <v>0</v>
      </c>
      <c r="P120">
        <f>IF(B140=0,0,O120/B140)</f>
        <v/>
      </c>
      <c r="S120" t="n">
        <v>0</v>
      </c>
      <c r="V120">
        <f>IFERROR(1/IF(Inputs!$B$4="pvp",15,MAX(0.1,Skills!D14-IF(Skills!E14=TRUE,Inputs!$B$31,0))),0)</f>
        <v/>
      </c>
    </row>
    <row r="121">
      <c r="A121">
        <f>Skills!A15</f>
        <v/>
      </c>
      <c r="B121">
        <f>Skills!B15</f>
        <v/>
      </c>
      <c r="C121">
        <f>Inputs!$B$3&gt;=75</f>
        <v/>
      </c>
      <c r="D121">
        <f>IF(Skills!C15=1,60+Inputs!$B$24+Inputs!$B$28,IF(Skills!C15=2,90+Inputs!$B$25+Inputs!$B$28,IF(Skills!C15=3,120+Inputs!$B$26+Inputs!$B$28,MAX(0,(Inputs!$B$3-100)*3)+Inputs!$B$27+Inputs!$B$28)))</f>
        <v/>
      </c>
      <c r="E121">
        <f>INDEX(FactorTable!$B$2:$Y$301, MATCH(ROUND(MIN(300,MAX(1,D121)),0), FactorTable!$A$2:$A$301,0), Skills!L15+1)</f>
        <v/>
      </c>
      <c r="F121">
        <f>IF(Skills!M15=TRUE,(Skills!K15/10)*(E121/1000),Skills!K15/10)+Skills!N15</f>
        <v/>
      </c>
      <c r="G121">
        <f>Calc!G15</f>
        <v/>
      </c>
      <c r="H121">
        <f>Calc!H15</f>
        <v/>
      </c>
      <c r="I121">
        <f>IF(Skills!T15&lt;&gt;"",1+(Skills!T15/10)*(R109/1000)/100,1)</f>
        <v/>
      </c>
      <c r="J121" t="inlineStr"/>
      <c r="K121" t="inlineStr"/>
      <c r="L121" t="inlineStr"/>
      <c r="M121" t="inlineStr"/>
      <c r="N121" t="inlineStr"/>
      <c r="O121" t="n">
        <v>0</v>
      </c>
      <c r="P121">
        <f>IF(B140=0,0,O121/B140)</f>
        <v/>
      </c>
      <c r="S121" t="n">
        <v>0</v>
      </c>
      <c r="V121">
        <f>IFERROR(1/IF(Inputs!$B$4="pvp",15,MAX(0.1,Skills!D15-IF(Skills!E15=TRUE,Inputs!$B$31,0))),0)</f>
        <v/>
      </c>
    </row>
    <row r="122">
      <c r="A122">
        <f>Skills!A16</f>
        <v/>
      </c>
      <c r="B122">
        <f>Skills!B16</f>
        <v/>
      </c>
      <c r="C122">
        <f>Inputs!$B$3&gt;=110</f>
        <v/>
      </c>
      <c r="D122">
        <f>IF(Skills!C16=1,60+Inputs!$B$24+Inputs!$B$28,IF(Skills!C16=2,90+Inputs!$B$25+Inputs!$B$28,IF(Skills!C16=3,120+Inputs!$B$26+Inputs!$B$28,MAX(0,(Inputs!$B$3-100)*3)+Inputs!$B$27+Inputs!$B$28)))</f>
        <v/>
      </c>
      <c r="E122">
        <f>INDEX(FactorTable!$B$2:$Y$301, MATCH(ROUND(MIN(300,MAX(1,D122)),0), FactorTable!$A$2:$A$301,0), Skills!L16+1)</f>
        <v/>
      </c>
      <c r="F122">
        <f>(Skills!K16/10)*(E122/1000)*64/45+Skills!N16</f>
        <v/>
      </c>
      <c r="G122">
        <f>Calc!G16</f>
        <v/>
      </c>
      <c r="H122">
        <f>Calc!H16</f>
        <v/>
      </c>
      <c r="I122">
        <f>IF(Skills!T16&lt;&gt;"",1+(Skills!T16/10)*(R109/1000)/100,1)</f>
        <v/>
      </c>
      <c r="J122" t="inlineStr"/>
      <c r="K122" t="inlineStr"/>
      <c r="L122" t="inlineStr"/>
      <c r="M122" t="inlineStr"/>
      <c r="N122" t="inlineStr"/>
      <c r="O122" t="n">
        <v>0</v>
      </c>
      <c r="P122">
        <f>IF(B140=0,0,O122/B140)</f>
        <v/>
      </c>
      <c r="S122">
        <f>IF(AND(Inputs!$B$4&lt;&gt;"pvp",Inputs!$B$35&gt;0),(INT(Inputs!$B$35/IF(Inputs!$B$4="pvp",15,MAX(0.1,Skills!D16-IF(Skills!E16=TRUE,Inputs!$B$31,0))))+1),0)</f>
        <v/>
      </c>
      <c r="V122">
        <f>IFERROR(1/IF(Inputs!$B$4="pvp",15,MAX(0.1,Skills!D16-IF(Skills!E16=TRUE,Inputs!$B$31,0))),0)</f>
        <v/>
      </c>
    </row>
    <row r="123">
      <c r="A123">
        <f>Skills!A17</f>
        <v/>
      </c>
      <c r="B123">
        <f>Skills!B17</f>
        <v/>
      </c>
      <c r="C123">
        <f>Inputs!$B$3&gt;=33</f>
        <v/>
      </c>
      <c r="D123">
        <f>IF(Skills!C17=1,60+Inputs!$B$24+Inputs!$B$28,IF(Skills!C17=2,90+Inputs!$B$25+Inputs!$B$28,IF(Skills!C17=3,120+Inputs!$B$26+Inputs!$B$28,MAX(0,(Inputs!$B$3-100)*3)+Inputs!$B$27+Inputs!$B$28)))</f>
        <v/>
      </c>
      <c r="E123">
        <f>INDEX(FactorTable!$B$2:$Y$301, MATCH(ROUND(MIN(300,MAX(1,D123)),0), FactorTable!$A$2:$A$301,0), Skills!L17+1)</f>
        <v/>
      </c>
      <c r="F123">
        <f>IF(Skills!M17=TRUE,(Skills!K17/10)*(E123/1000),Skills!K17/10)+Skills!N17</f>
        <v/>
      </c>
      <c r="G123">
        <f>Calc!G17</f>
        <v/>
      </c>
      <c r="H123">
        <f>Calc!H17</f>
        <v/>
      </c>
      <c r="I123">
        <f>IF(Skills!T17&lt;&gt;"",1+(Skills!T17/10)*(R109/1000)/100,1)</f>
        <v/>
      </c>
      <c r="J123" t="inlineStr"/>
      <c r="K123" t="inlineStr"/>
      <c r="L123" t="inlineStr"/>
      <c r="M123" t="inlineStr"/>
      <c r="N123" t="inlineStr"/>
      <c r="O123" t="n">
        <v>0</v>
      </c>
      <c r="P123">
        <f>IF(B140=0,0,O123/B140)</f>
        <v/>
      </c>
      <c r="S123" t="n">
        <v>0</v>
      </c>
      <c r="V123">
        <f>IFERROR(1/IF(Inputs!$B$4="pvp",15,MAX(0.1,Skills!D17-IF(Skills!E17=TRUE,Inputs!$B$31,0))),0)</f>
        <v/>
      </c>
    </row>
    <row r="124">
      <c r="A124">
        <f>Skills!A18</f>
        <v/>
      </c>
      <c r="B124">
        <f>Skills!B18</f>
        <v/>
      </c>
      <c r="C124">
        <f>Inputs!$B$3&gt;=43</f>
        <v/>
      </c>
      <c r="D124">
        <f>IF(Skills!C18=1,60+Inputs!$B$24+Inputs!$B$28,IF(Skills!C18=2,90+Inputs!$B$25+Inputs!$B$28,IF(Skills!C18=3,120+Inputs!$B$26+Inputs!$B$28,MAX(0,(Inputs!$B$3-100)*3)+Inputs!$B$27+Inputs!$B$28)))</f>
        <v/>
      </c>
      <c r="E124">
        <f>INDEX(FactorTable!$B$2:$Y$301, MATCH(ROUND(MIN(300,MAX(1,D124)),0), FactorTable!$A$2:$A$301,0), Skills!L18+1)</f>
        <v/>
      </c>
      <c r="F124">
        <f>IF(Skills!M18=TRUE,(Skills!K18/10)*(E124/1000),Skills!K18/10)+Skills!N18</f>
        <v/>
      </c>
      <c r="G124">
        <f>Calc!G18</f>
        <v/>
      </c>
      <c r="H124">
        <f>Calc!H18</f>
        <v/>
      </c>
      <c r="I124">
        <f>IF(Skills!T18&lt;&gt;"",1+(Skills!T18/10)*(R109/1000)/100,1)</f>
        <v/>
      </c>
      <c r="J124" t="inlineStr"/>
      <c r="K124" t="inlineStr"/>
      <c r="L124" t="inlineStr"/>
      <c r="M124" t="inlineStr"/>
      <c r="N124" t="inlineStr"/>
      <c r="O124" t="n">
        <v>0</v>
      </c>
      <c r="P124">
        <f>IF(B140=0,0,O124/B140)</f>
        <v/>
      </c>
      <c r="S124" t="n">
        <v>0</v>
      </c>
      <c r="V124">
        <f>IFERROR(1/IF(Inputs!$B$4="pvp",15,MAX(0.1,Skills!D18-IF(Skills!E18=TRUE,Inputs!$B$31,0))),0)</f>
        <v/>
      </c>
    </row>
    <row r="125">
      <c r="A125">
        <f>Skills!A19</f>
        <v/>
      </c>
      <c r="B125">
        <f>Skills!B19</f>
        <v/>
      </c>
      <c r="C125">
        <f>Inputs!$B$3&gt;=50</f>
        <v/>
      </c>
      <c r="D125">
        <f>IF(Skills!C19=1,60+Inputs!$B$24+Inputs!$B$28,IF(Skills!C19=2,90+Inputs!$B$25+Inputs!$B$28,IF(Skills!C19=3,120+Inputs!$B$26+Inputs!$B$28,MAX(0,(Inputs!$B$3-100)*3)+Inputs!$B$27+Inputs!$B$28)))</f>
        <v/>
      </c>
      <c r="E125">
        <f>INDEX(FactorTable!$B$2:$Y$301, MATCH(ROUND(MIN(300,MAX(1,D125)),0), FactorTable!$A$2:$A$301,0), Skills!L19+1)</f>
        <v/>
      </c>
      <c r="F125">
        <f>IF(Skills!M19=TRUE,(Skills!K19/10)*(E125/1000),Skills!K19/10)+Skills!N19</f>
        <v/>
      </c>
      <c r="G125">
        <f>Calc!G19</f>
        <v/>
      </c>
      <c r="H125">
        <f>Calc!H19</f>
        <v/>
      </c>
      <c r="I125">
        <f>IF(Skills!T19&lt;&gt;"",1+(Skills!T19/10)*(R109/1000)/100,1)</f>
        <v/>
      </c>
      <c r="J125" t="inlineStr"/>
      <c r="K125" t="inlineStr"/>
      <c r="L125" t="inlineStr"/>
      <c r="M125" t="inlineStr"/>
      <c r="N125" t="inlineStr"/>
      <c r="O125" t="n">
        <v>0</v>
      </c>
      <c r="P125">
        <f>IF(B140=0,0,O125/B140)</f>
        <v/>
      </c>
      <c r="S125" t="n">
        <v>0</v>
      </c>
      <c r="V125">
        <f>IFERROR(1/IF(Inputs!$B$4="pvp",15,MAX(0.1,Skills!D19-IF(Skills!E19=TRUE,Inputs!$B$31,0))),0)</f>
        <v/>
      </c>
    </row>
    <row r="126">
      <c r="A126">
        <f>Skills!A20</f>
        <v/>
      </c>
      <c r="B126">
        <f>Skills!B20</f>
        <v/>
      </c>
      <c r="C126">
        <f>Inputs!$B$3&gt;=74</f>
        <v/>
      </c>
      <c r="D126">
        <f>IF(Skills!C20=1,60+Inputs!$B$24+Inputs!$B$28,IF(Skills!C20=2,90+Inputs!$B$25+Inputs!$B$28,IF(Skills!C20=3,120+Inputs!$B$26+Inputs!$B$28,MAX(0,(Inputs!$B$3-100)*3)+Inputs!$B$27+Inputs!$B$28)))</f>
        <v/>
      </c>
      <c r="E126">
        <f>INDEX(FactorTable!$B$2:$Y$301, MATCH(ROUND(MIN(300,MAX(1,D126)),0), FactorTable!$A$2:$A$301,0), Skills!L20+1)</f>
        <v/>
      </c>
      <c r="F126">
        <f>IF(Skills!M20=TRUE,(Skills!K20/10)*(E126/1000),Skills!K20/10)+Skills!N20</f>
        <v/>
      </c>
      <c r="G126">
        <f>Calc!G20</f>
        <v/>
      </c>
      <c r="H126">
        <f>Calc!H20</f>
        <v/>
      </c>
      <c r="I126">
        <f>IF(Skills!T20&lt;&gt;"",1+(Skills!T20/10)*(R109/1000)/100,1)</f>
        <v/>
      </c>
      <c r="J126" t="inlineStr"/>
      <c r="K126" t="inlineStr"/>
      <c r="L126" t="inlineStr"/>
      <c r="M126" t="inlineStr"/>
      <c r="N126" t="inlineStr"/>
      <c r="O126" t="n">
        <v>0</v>
      </c>
      <c r="P126">
        <f>IF(B140=0,0,O126/B140)</f>
        <v/>
      </c>
      <c r="S126" t="n">
        <v>0</v>
      </c>
      <c r="V126">
        <f>IFERROR(1/IF(Inputs!$B$4="pvp",15,MAX(0.1,Skills!D20-IF(Skills!E20=TRUE,Inputs!$B$31,0))),0)</f>
        <v/>
      </c>
    </row>
    <row r="127">
      <c r="A127">
        <f>Skills!A21</f>
        <v/>
      </c>
      <c r="B127">
        <f>Skills!B21</f>
        <v/>
      </c>
      <c r="C127">
        <f>Inputs!$B$3&gt;=74</f>
        <v/>
      </c>
      <c r="D127">
        <f>IF(Skills!C21=1,60+Inputs!$B$24+Inputs!$B$28,IF(Skills!C21=2,90+Inputs!$B$25+Inputs!$B$28,IF(Skills!C21=3,120+Inputs!$B$26+Inputs!$B$28,MAX(0,(Inputs!$B$3-100)*3)+Inputs!$B$27+Inputs!$B$28)))</f>
        <v/>
      </c>
      <c r="E127">
        <f>INDEX(FactorTable!$B$2:$Y$301, MATCH(ROUND(MIN(300,MAX(1,D127)),0), FactorTable!$A$2:$A$301,0), Skills!L21+1)</f>
        <v/>
      </c>
      <c r="F127">
        <f>IF(Skills!M21=TRUE,(Skills!K21/10)*(E127/1000),Skills!K21/10)+Skills!N21</f>
        <v/>
      </c>
      <c r="G127">
        <f>Calc!G21</f>
        <v/>
      </c>
      <c r="H127">
        <f>Calc!H21</f>
        <v/>
      </c>
      <c r="I127">
        <f>IF(Skills!T21&lt;&gt;"",1+(Skills!T21/10)*(R109/1000)/100,1)</f>
        <v/>
      </c>
      <c r="J127" t="inlineStr"/>
      <c r="K127" t="inlineStr"/>
      <c r="L127" t="inlineStr"/>
      <c r="M127" t="inlineStr"/>
      <c r="N127" t="inlineStr"/>
      <c r="O127" t="n">
        <v>0</v>
      </c>
      <c r="P127">
        <f>IF(B140=0,0,O127/B140)</f>
        <v/>
      </c>
      <c r="S127" t="n">
        <v>0</v>
      </c>
      <c r="V127">
        <f>IFERROR(1/IF(Inputs!$B$4="pvp",15,MAX(0.1,Skills!D21-IF(Skills!E21=TRUE,Inputs!$B$31,0))),0)</f>
        <v/>
      </c>
    </row>
    <row r="128">
      <c r="A128">
        <f>Skills!A22</f>
        <v/>
      </c>
      <c r="B128">
        <f>Skills!B22</f>
        <v/>
      </c>
      <c r="C128">
        <f>Inputs!$B$3&gt;=117</f>
        <v/>
      </c>
      <c r="D128">
        <f>IF(Skills!C22=1,60+Inputs!$B$24+Inputs!$B$28,IF(Skills!C22=2,90+Inputs!$B$25+Inputs!$B$28,IF(Skills!C22=3,120+Inputs!$B$26+Inputs!$B$28,MAX(0,(Inputs!$B$3-100)*3)+Inputs!$B$27+Inputs!$B$28)))</f>
        <v/>
      </c>
      <c r="E128">
        <f>INDEX(FactorTable!$B$2:$Y$301, MATCH(ROUND(MIN(300,MAX(1,D128)),0), FactorTable!$A$2:$A$301,0), Skills!L22+1)</f>
        <v/>
      </c>
      <c r="F128">
        <f>IF(Skills!M22=TRUE,(Skills!K22/10)*(E128/1000),Skills!K22/10)+Skills!N22</f>
        <v/>
      </c>
      <c r="G128">
        <f>Calc!G22</f>
        <v/>
      </c>
      <c r="H128">
        <f>Calc!H22</f>
        <v/>
      </c>
      <c r="I128">
        <f>IF(Skills!T22&lt;&gt;"",1+(Skills!T22/10)*(R109/1000)/100,1)</f>
        <v/>
      </c>
      <c r="J128" t="inlineStr"/>
      <c r="K128" t="inlineStr"/>
      <c r="L128" t="inlineStr"/>
      <c r="M128" t="inlineStr"/>
      <c r="N128" t="inlineStr"/>
      <c r="O128" t="n">
        <v>0</v>
      </c>
      <c r="P128">
        <f>IF(B140=0,0,O128/B140)</f>
        <v/>
      </c>
      <c r="S128" t="n">
        <v>0</v>
      </c>
      <c r="V128">
        <f>IFERROR(1/IF(Inputs!$B$4="pvp",15,MAX(0.1,Skills!D22-IF(Skills!E22=TRUE,Inputs!$B$31,0))),0)</f>
        <v/>
      </c>
    </row>
    <row r="129">
      <c r="A129">
        <f>Skills!A23</f>
        <v/>
      </c>
      <c r="B129">
        <f>Skills!B23</f>
        <v/>
      </c>
      <c r="C129">
        <f>Inputs!$B$3&gt;=120</f>
        <v/>
      </c>
      <c r="D129">
        <f>IF(Skills!C23=1,60+Inputs!$B$24+Inputs!$B$28,IF(Skills!C23=2,90+Inputs!$B$25+Inputs!$B$28,IF(Skills!C23=3,120+Inputs!$B$26+Inputs!$B$28,MAX(0,(Inputs!$B$3-100)*3)+Inputs!$B$27+Inputs!$B$28)))</f>
        <v/>
      </c>
      <c r="E129">
        <f>INDEX(FactorTable!$B$2:$Y$301, MATCH(ROUND(MIN(300,MAX(1,D129)),0), FactorTable!$A$2:$A$301,0), Skills!L23+1)</f>
        <v/>
      </c>
      <c r="F129">
        <f>IF(Skills!M23=TRUE,(Skills!K23/10)*(E129/1000),Skills!K23/10)+Skills!N23</f>
        <v/>
      </c>
      <c r="G129">
        <f>Calc!G23</f>
        <v/>
      </c>
      <c r="H129">
        <f>Calc!H23</f>
        <v/>
      </c>
      <c r="I129">
        <f>IF(Skills!T23&lt;&gt;"",1+(Skills!T23/10)*(R109/1000)/100,1)</f>
        <v/>
      </c>
      <c r="J129" t="inlineStr"/>
      <c r="K129" t="inlineStr"/>
      <c r="L129" t="inlineStr"/>
      <c r="M129" t="inlineStr"/>
      <c r="N129" t="inlineStr"/>
      <c r="O129" t="n">
        <v>0</v>
      </c>
      <c r="P129">
        <f>IF(B140=0,0,O129/B140)</f>
        <v/>
      </c>
      <c r="S129" t="n">
        <v>0</v>
      </c>
      <c r="V129">
        <f>IFERROR(1/IF(Inputs!$B$4="pvp",15,MAX(0.1,Skills!D23-IF(Skills!E23=TRUE,Inputs!$B$31,0))),0)</f>
        <v/>
      </c>
    </row>
    <row r="132">
      <c r="A132" t="inlineStr">
        <is>
          <t>Average Buff Multiplier (Magic Guard + Meditation, summed; then Infinity)</t>
        </is>
      </c>
      <c r="B132">
        <f>(1+(IF(C109=TRUE,F109*IF(AND(Inputs!$B$4&lt;&gt;"pvp",Inputs!$B$35&gt;0),(((S109-1)*(Skills!S3*(1+(Inputs!$B$33+IF(Inputs!$B$3&gt;=117,F128,0))/100))+MIN((Skills!S3*(1+(Inputs!$B$33+IF(Inputs!$B$3&gt;=117,F128,0))/100)),MAX(0,Inputs!$B$35-((S109-1)*Skills!D3))))/Inputs!$B$35),IF(Inputs!$B$4="pvp",MIN((Skills!S3*(1+(Inputs!$B$33+IF(Inputs!$B$3&gt;=117,F128,0))/100)),15)/15,(Skills!S3*(1+(Inputs!$B$33+IF(Inputs!$B$3&gt;=117,F128,0))/100))/Skills!D3)),0)+IF(C110=TRUE,F110*IF(AND(Inputs!$B$4&lt;&gt;"pvp",Inputs!$B$35&gt;0),(((S110-1)*(Skills!S4*(1+(Inputs!$B$33+IF(Inputs!$B$3&gt;=117,F128,0))/100))+MIN((Skills!S4*(1+(Inputs!$B$33+IF(Inputs!$B$3&gt;=117,F128,0))/100)),MAX(0,Inputs!$B$35-((S110-1)*Skills!D4))))/Inputs!$B$35),IF(Inputs!$B$4="pvp",MIN((Skills!S4*(1+(Inputs!$B$33+IF(Inputs!$B$3&gt;=117,F128,0))/100)),15)/15,(Skills!S4*(1+(Inputs!$B$33+IF(Inputs!$B$3&gt;=117,F128,0))/100))/Skills!D4)),0))/100)*IF(C122=TRUE,(1+F122*IF(AND(Inputs!$B$4&lt;&gt;"pvp",Inputs!$B$35&gt;0),(((S122-1)*(Skills!S16*(1+(Inputs!$B$33+IF(Inputs!$B$3&gt;=117,F128,0))/100))+MIN((Skills!S16*(1+(Inputs!$B$33+IF(Inputs!$B$3&gt;=117,F128,0))/100)),MAX(0,Inputs!$B$35-((S122-1)*Skills!D16))))/Inputs!$B$35),IF(Inputs!$B$4="pvp",MIN((Skills!S16*(1+(Inputs!$B$33+IF(Inputs!$B$3&gt;=117,F128,0))/100)),15)/15,(Skills!S16*(1+(Inputs!$B$33+IF(Inputs!$B$3&gt;=117,F128,0))/100))/Skills!D16))/100),1)</f>
        <v/>
      </c>
    </row>
    <row r="133">
      <c r="A133" t="inlineStr">
        <is>
          <t>Monster Damage Taken Bonus % (Freezing Breath - Weaken + Elemental Reset, summed)</t>
        </is>
      </c>
      <c r="B133">
        <f>IF(Inputs!$B$3&gt;=118,15*IF(Inputs!$B$4="pvp",MIN((30*(1+(Inputs!$B$33+IF(Inputs!$B$3&gt;=117,F128,0))/100)),15)/15,(30*(1+(Inputs!$B$33+IF(Inputs!$B$3&gt;=117,F128,0))/100))/Skills!D8),0)+IF(C120=TRUE,F120,0)</f>
        <v/>
      </c>
    </row>
    <row r="134">
      <c r="A134" t="inlineStr">
        <is>
          <t>Damage % Bonus (Frozen Break + Frost Clutch, flat)</t>
        </is>
      </c>
      <c r="B134">
        <f>IF(Inputs!$B$3&gt;=66,15,0)+IF(Inputs!$B$3&gt;=98,10,0)+IF(Inputs!$B$3&gt;=125,20,0)</f>
        <v/>
      </c>
    </row>
    <row r="135">
      <c r="A135" t="inlineStr">
        <is>
          <t>Attack Speed Bonus % (MP Eater - MP Boost, always-on once unlocked)</t>
        </is>
      </c>
      <c r="B135">
        <f>IF(C119=TRUE,F119+(F123-Calc!F17),0)</f>
        <v/>
      </c>
    </row>
    <row r="136">
      <c r="A136" t="inlineStr">
        <is>
          <t>Actions Per Second</t>
        </is>
      </c>
      <c r="B136">
        <f>1+MIN(150,150*(1-(1-Inputs!$B$10/150)*(1-B135/150)))/100</f>
        <v/>
      </c>
    </row>
    <row r="137">
      <c r="A137" t="inlineStr">
        <is>
          <t>Skill + Buff Cast Rate</t>
        </is>
      </c>
      <c r="B137">
        <f>IF(AND(Inputs!$B$4&lt;&gt;"pvp",Inputs!$B$35&gt;0),SUMPRODUCT((Skills!E2:E23=TRUE)*(C108:C129=TRUE)*S108:S129)/Inputs!$B$35,SUMPRODUCT((Skills!E2:E23=TRUE)*(C108:C129=TRUE)*V108:V129))</f>
        <v/>
      </c>
    </row>
    <row r="138">
      <c r="A138" t="inlineStr">
        <is>
          <t>Chain Lightning Casts Per Second</t>
        </is>
      </c>
      <c r="B138">
        <f>MAX(0,B136-B137)</f>
        <v/>
      </c>
    </row>
    <row r="140">
      <c r="A140" s="5" t="inlineStr">
        <is>
          <t>TOTAL DPS</t>
        </is>
      </c>
      <c r="B140" s="5">
        <f>SUM(O108:O129)</f>
        <v/>
      </c>
    </row>
    <row r="143">
      <c r="A143" s="5" t="inlineStr">
        <is>
          <t>Stat: DAMAGE_AMP %</t>
        </is>
      </c>
    </row>
    <row r="144">
      <c r="A144" s="8" t="inlineStr">
        <is>
          <t>Key</t>
        </is>
      </c>
      <c r="B144" s="8" t="inlineStr">
        <is>
          <t>Name</t>
        </is>
      </c>
      <c r="C144" s="8" t="inlineStr">
        <is>
          <t>Unlocked</t>
        </is>
      </c>
      <c r="D144" s="8" t="inlineStr">
        <is>
          <t>InputLevel</t>
        </is>
      </c>
      <c r="E144" s="8" t="inlineStr">
        <is>
          <t>Factor</t>
        </is>
      </c>
      <c r="F144" s="8" t="inlineStr">
        <is>
          <t>CoefficientPercent</t>
        </is>
      </c>
      <c r="G144" s="8" t="inlineStr">
        <is>
          <t>EffectiveHits</t>
        </is>
      </c>
      <c r="H144" s="8" t="inlineStr">
        <is>
          <t>ProcProbability</t>
        </is>
      </c>
      <c r="I144" s="8" t="inlineStr">
        <is>
          <t>MapleHeroMultiplier</t>
        </is>
      </c>
      <c r="J144" s="8" t="inlineStr">
        <is>
          <t>BaseDamage</t>
        </is>
      </c>
      <c r="K144" s="8" t="inlineStr">
        <is>
          <t>BaseHitDamage</t>
        </is>
      </c>
      <c r="L144" s="8" t="inlineStr">
        <is>
          <t>NonCritAvg</t>
        </is>
      </c>
      <c r="M144" s="8" t="inlineStr">
        <is>
          <t>CritAvg</t>
        </is>
      </c>
      <c r="N144" s="8" t="inlineStr">
        <is>
          <t>ExpectedDamage(perHit)</t>
        </is>
      </c>
      <c r="O144" s="8" t="inlineStr">
        <is>
          <t>DPS</t>
        </is>
      </c>
      <c r="P144" s="8" t="inlineStr">
        <is>
          <t>% of Total</t>
        </is>
      </c>
      <c r="R144" t="inlineStr">
        <is>
          <t>helpers</t>
        </is>
      </c>
    </row>
    <row r="145">
      <c r="A145">
        <f>Skills!A2</f>
        <v/>
      </c>
      <c r="B145">
        <f>Skills!B2</f>
        <v/>
      </c>
      <c r="C145">
        <f>Inputs!$B$3&gt;=100</f>
        <v/>
      </c>
      <c r="D145" t="inlineStr"/>
      <c r="E145" t="inlineStr"/>
      <c r="F145">
        <f>T147+Skills!N2</f>
        <v/>
      </c>
      <c r="G145">
        <f>Calc!G2</f>
        <v/>
      </c>
      <c r="H145">
        <f>Calc!H2</f>
        <v/>
      </c>
      <c r="I145">
        <f>IF(Skills!T2&lt;&gt;"",1+(Skills!T2/10)*(R146/1000)/100,1)</f>
        <v/>
      </c>
      <c r="J145">
        <f>((Inputs!$B$5*(1+Inputs!$B$6/100))+((Inputs!$B$11*(1+Inputs!$B$12/100))-(Inputs!$B$11*(1+Inputs!$B$12/100)))*(1+Inputs!$B$6/100))*(F145/100)</f>
        <v/>
      </c>
      <c r="K145">
        <f>J145*(1+((Inputs!$B$11*(1+Inputs!$B$12/100))*0.01+Inputs!$B$13*0.0025)/100)*(1+(Inputs!$B$14+B171)/100)*(1+IF(Inputs!$B$4="pvp",0,(1-Summary!$B$51)*(Inputs!$B$19+Skills!O2+B170)+Summary!$B$51*(Inputs!$B$20+Skills!P2+B170))/100)*(1+(Inputs!$B$15+1)/100)*(5000/(6000+Inputs!$B$7*(1-Inputs!$B$18/100)))*(1+Inputs!$B$23/100)*(1+IF(C158=TRUE,F158,0)/100)*(1+IF(C166=TRUE,F166,0)/100)^5*(1+(IF(Skills!A2="CHAIN_LIGHTNING",Inputs!$B$16,Inputs!$B$17))/100)*(B169*I145)</f>
        <v/>
      </c>
      <c r="L145">
        <f>K145*(MIN(Inputs!$B$21+(F161-Calc!F18),Inputs!$B$22)/100+Inputs!$B$22/100)/2</f>
        <v/>
      </c>
      <c r="M145">
        <f>L145*(1+(Inputs!$B$9+(F164-Calc!F21))/100)</f>
        <v/>
      </c>
      <c r="N145">
        <f>L145*(1-MIN(Inputs!$B$8+((F163-Calc!F20)+(F162-Calc!F19)),100)/100)+M145*(MIN(Inputs!$B$8+((F163-Calc!F20)+(F162-Calc!F19)),100)/100)</f>
        <v/>
      </c>
      <c r="O145">
        <f>IF(C145,Skills!F2*N145*B175*IF(Inputs!$B$4="pvp",1,(1-Summary!$B$51)*(1)+Summary!$B$51*(MIN((6+Inputs!$B$32),Inputs!$B$37))),0)</f>
        <v/>
      </c>
      <c r="P145">
        <f>IF(B177=0,0,O145/B177)</f>
        <v/>
      </c>
      <c r="R145">
        <f>MAX(0,(Inputs!$B$3-100)*3)+Inputs!$B$27+Inputs!$B$28</f>
        <v/>
      </c>
      <c r="S145" t="n">
        <v>0</v>
      </c>
      <c r="T145">
        <f>MAX(0,(Inputs!$B$3-100)*3)+Inputs!$B$27+Inputs!$B$28</f>
        <v/>
      </c>
      <c r="V145">
        <f>IFERROR(1/IF(Inputs!$B$4="pvp",15,MAX(0.1,Skills!D2-IF(Skills!E2=TRUE,Inputs!$B$31,0))),0)</f>
        <v/>
      </c>
    </row>
    <row r="146">
      <c r="A146">
        <f>Skills!A3</f>
        <v/>
      </c>
      <c r="B146">
        <f>Skills!B3</f>
        <v/>
      </c>
      <c r="C146">
        <f>Inputs!$B$3&gt;=15</f>
        <v/>
      </c>
      <c r="D146">
        <f>IF(Skills!C3=1,60+Inputs!$B$24+Inputs!$B$28,IF(Skills!C3=2,90+Inputs!$B$25+Inputs!$B$28,IF(Skills!C3=3,120+Inputs!$B$26+Inputs!$B$28,MAX(0,(Inputs!$B$3-100)*3)+Inputs!$B$27+Inputs!$B$28)))</f>
        <v/>
      </c>
      <c r="E146">
        <f>INDEX(FactorTable!$B$2:$Y$301, MATCH(ROUND(MIN(300,MAX(1,D146)),0), FactorTable!$A$2:$A$301,0), Skills!L3+1)</f>
        <v/>
      </c>
      <c r="F146">
        <f>IF(Skills!M3=TRUE,(Skills!K3/10)*(E146/1000),Skills!K3/10)+Skills!N3</f>
        <v/>
      </c>
      <c r="G146">
        <f>Calc!G3</f>
        <v/>
      </c>
      <c r="H146">
        <f>Calc!H3</f>
        <v/>
      </c>
      <c r="I146">
        <f>IF(Skills!T3&lt;&gt;"",1+(Skills!T3/10)*(R146/1000)/100,1)</f>
        <v/>
      </c>
      <c r="J146" t="inlineStr"/>
      <c r="K146" t="inlineStr"/>
      <c r="L146" t="inlineStr"/>
      <c r="M146" t="inlineStr"/>
      <c r="N146" t="inlineStr"/>
      <c r="O146" t="n">
        <v>0</v>
      </c>
      <c r="P146">
        <f>IF(B177=0,0,O146/B177)</f>
        <v/>
      </c>
      <c r="R146">
        <f>INDEX(FactorTable!$B$2:$Y$301, MATCH(ROUND(MIN(300,MAX(1,R145)),0), FactorTable!$A$2:$A$301,0), 24)</f>
        <v/>
      </c>
      <c r="S146">
        <f>IF(AND(Inputs!$B$4&lt;&gt;"pvp",Inputs!$B$35&gt;0),(INT(Inputs!$B$35/IF(Inputs!$B$4="pvp",15,MAX(0.1,Skills!D3-IF(Skills!E3=TRUE,Inputs!$B$31,0))))+1),0)</f>
        <v/>
      </c>
      <c r="T146">
        <f>INDEX(FactorTable!$B$2:$Y$301, MATCH(ROUND(MIN(300,MAX(1,T145)),0), FactorTable!$A$2:$A$301,0), 22)</f>
        <v/>
      </c>
      <c r="V146">
        <f>IFERROR(1/IF(Inputs!$B$4="pvp",15,MAX(0.1,Skills!D3-IF(Skills!E3=TRUE,Inputs!$B$31,0))),0)</f>
        <v/>
      </c>
    </row>
    <row r="147">
      <c r="A147">
        <f>Skills!A4</f>
        <v/>
      </c>
      <c r="B147">
        <f>Skills!B4</f>
        <v/>
      </c>
      <c r="C147">
        <f>Inputs!$B$3&gt;=40</f>
        <v/>
      </c>
      <c r="D147">
        <f>IF(Skills!C4=1,60+Inputs!$B$24+Inputs!$B$28,IF(Skills!C4=2,90+Inputs!$B$25+Inputs!$B$28,IF(Skills!C4=3,120+Inputs!$B$26+Inputs!$B$28,MAX(0,(Inputs!$B$3-100)*3)+Inputs!$B$27+Inputs!$B$28)))</f>
        <v/>
      </c>
      <c r="E147">
        <f>INDEX(FactorTable!$B$2:$Y$301, MATCH(ROUND(MIN(300,MAX(1,D147)),0), FactorTable!$A$2:$A$301,0), Skills!L4+1)</f>
        <v/>
      </c>
      <c r="F147">
        <f>IF(Skills!M4=TRUE,(Skills!K4/10)*(E147/1000),Skills!K4/10)+Skills!N4</f>
        <v/>
      </c>
      <c r="G147">
        <f>Calc!G4</f>
        <v/>
      </c>
      <c r="H147">
        <f>Calc!H4</f>
        <v/>
      </c>
      <c r="I147">
        <f>IF(Skills!T4&lt;&gt;"",1+(Skills!T4/10)*(R146/1000)/100,1)</f>
        <v/>
      </c>
      <c r="J147" t="inlineStr"/>
      <c r="K147" t="inlineStr"/>
      <c r="L147" t="inlineStr"/>
      <c r="M147" t="inlineStr"/>
      <c r="N147" t="inlineStr"/>
      <c r="O147" t="n">
        <v>0</v>
      </c>
      <c r="P147">
        <f>IF(B177=0,0,O147/B177)</f>
        <v/>
      </c>
      <c r="S147">
        <f>IF(AND(Inputs!$B$4&lt;&gt;"pvp",Inputs!$B$35&gt;0),(INT(Inputs!$B$35/IF(Inputs!$B$4="pvp",15,MAX(0.1,Skills!D4-IF(Skills!E4=TRUE,Inputs!$B$31,0))))+1),0)</f>
        <v/>
      </c>
      <c r="T147">
        <f>290*T146/1000</f>
        <v/>
      </c>
      <c r="V147">
        <f>IFERROR(1/IF(Inputs!$B$4="pvp",15,MAX(0.1,Skills!D4-IF(Skills!E4=TRUE,Inputs!$B$31,0))),0)</f>
        <v/>
      </c>
    </row>
    <row r="148">
      <c r="A148">
        <f>Skills!A5</f>
        <v/>
      </c>
      <c r="B148">
        <f>Skills!B5</f>
        <v/>
      </c>
      <c r="C148">
        <f>Inputs!$B$3&gt;=38</f>
        <v/>
      </c>
      <c r="D148">
        <f>IF(Skills!C5=1,60+Inputs!$B$24+Inputs!$B$28,IF(Skills!C5=2,90+Inputs!$B$25+Inputs!$B$28,IF(Skills!C5=3,120+Inputs!$B$26+Inputs!$B$28,MAX(0,(Inputs!$B$3-100)*3)+Inputs!$B$27+Inputs!$B$28)))</f>
        <v/>
      </c>
      <c r="E148">
        <f>INDEX(FactorTable!$B$2:$Y$301, MATCH(ROUND(MIN(300,MAX(1,D148)),0), FactorTable!$A$2:$A$301,0), Skills!L5+1)</f>
        <v/>
      </c>
      <c r="F148">
        <f>IF(Skills!M5=TRUE,(Skills!K5/10)*(E148/1000),Skills!K5/10)+Skills!N5</f>
        <v/>
      </c>
      <c r="G148">
        <f>Calc!G5</f>
        <v/>
      </c>
      <c r="H148">
        <f>Calc!H5</f>
        <v/>
      </c>
      <c r="I148">
        <f>IF(Skills!T5&lt;&gt;"",1+(Skills!T5/10)*(R146/1000)/100,1)</f>
        <v/>
      </c>
      <c r="J148">
        <f>((Inputs!$B$5*(1+Inputs!$B$6/100))+((Inputs!$B$11*(1+Inputs!$B$12/100))-(Inputs!$B$11*(1+Inputs!$B$12/100)))*(1+Inputs!$B$6/100))*(F148/100)</f>
        <v/>
      </c>
      <c r="K148">
        <f>J148*(1+((Inputs!$B$11*(1+Inputs!$B$12/100))*0.01+Inputs!$B$13*0.0025)/100)*(1+(Inputs!$B$14+B171)/100)*(1+IF(Inputs!$B$4="pvp",0,(1-Summary!$B$51)*(Inputs!$B$19+Skills!O5+B170)+Summary!$B$51*(Inputs!$B$20+Skills!P5+B170))/100)*(1+(Inputs!$B$15+1)/100)*(5000/(6000+Inputs!$B$7*(1-Inputs!$B$18/100)))*(1+Inputs!$B$23/100)*(1+IF(C158=TRUE,F158,0)/100)*(1+IF(C166=TRUE,F166,0)/100)^5*(1+(IF(Skills!A5="CHAIN_LIGHTNING",Inputs!$B$16,Inputs!$B$17))/100)*(B169*I148)</f>
        <v/>
      </c>
      <c r="L148">
        <f>K148*(MIN(Inputs!$B$21+(F161-Calc!F18),Inputs!$B$22)/100+Inputs!$B$22/100)/2</f>
        <v/>
      </c>
      <c r="M148">
        <f>L148*(1+(Inputs!$B$9+(F164-Calc!F21))/100)</f>
        <v/>
      </c>
      <c r="N148">
        <f>L148*(1-MIN(Inputs!$B$8+((F163-Calc!F20)+(F162-Calc!F19)),100)/100)+M148*(MIN(Inputs!$B$8+((F163-Calc!F20)+(F162-Calc!F19)),100)/100)</f>
        <v/>
      </c>
      <c r="O148">
        <f>IF(C148,H148*N148*IF(AND(Inputs!$B$4&lt;&gt;"pvp",Inputs!$B$35&gt;0),((Skills!F5*((S148-1)*IF(Skills!G5&gt;0,Skills!H5/Skills!G5,1)+IF(Skills!G5&gt;0,MIN(Skills!H5,MAX(0,Inputs!$B$35-((S148-1)*IF(Inputs!$B$4="pvp",15,MAX(0.1,Skills!D5-IF(Skills!E5=TRUE,Inputs!$B$31,0))))))/Skills!G5,1)))/Inputs!$B$35),G148*V148)*IF(Inputs!$B$4="pvp",1,(1-Summary!$B$51)*(1)+Summary!$B$51*(MIN(Skills!Q5,Inputs!$B$37))),0)</f>
        <v/>
      </c>
      <c r="P148">
        <f>IF(B177=0,0,O148/B177)</f>
        <v/>
      </c>
      <c r="S148">
        <f>IF(AND(Inputs!$B$4&lt;&gt;"pvp",Inputs!$B$35&gt;0),(INT(Inputs!$B$35/IF(Inputs!$B$4="pvp",15,MAX(0.1,Skills!D5-IF(Skills!E5=TRUE,Inputs!$B$31,0))))+1),0)</f>
        <v/>
      </c>
      <c r="V148">
        <f>IFERROR(1/IF(Inputs!$B$4="pvp",15,MAX(0.1,Skills!D5-IF(Skills!E5=TRUE,Inputs!$B$31,0))),0)</f>
        <v/>
      </c>
    </row>
    <row r="149">
      <c r="A149">
        <f>Skills!A6</f>
        <v/>
      </c>
      <c r="B149">
        <f>Skills!B6</f>
        <v/>
      </c>
      <c r="C149">
        <f>Inputs!$B$3&gt;=63</f>
        <v/>
      </c>
      <c r="D149">
        <f>IF(Skills!C6=1,60+Inputs!$B$24+Inputs!$B$28,IF(Skills!C6=2,90+Inputs!$B$25+Inputs!$B$28,IF(Skills!C6=3,120+Inputs!$B$26+Inputs!$B$28,MAX(0,(Inputs!$B$3-100)*3)+Inputs!$B$27+Inputs!$B$28)))</f>
        <v/>
      </c>
      <c r="E149">
        <f>INDEX(FactorTable!$B$2:$Y$301, MATCH(ROUND(MIN(300,MAX(1,D149)),0), FactorTable!$A$2:$A$301,0), Skills!L6+1)</f>
        <v/>
      </c>
      <c r="F149">
        <f>IF(Skills!M6=TRUE,(Skills!K6/10)*(E149/1000),Skills!K6/10)+Skills!N6</f>
        <v/>
      </c>
      <c r="G149">
        <f>Calc!G6</f>
        <v/>
      </c>
      <c r="H149">
        <f>Calc!H6</f>
        <v/>
      </c>
      <c r="I149">
        <f>IF(Skills!T6&lt;&gt;"",1+(Skills!T6/10)*(R146/1000)/100,1)</f>
        <v/>
      </c>
      <c r="J149">
        <f>((Inputs!$B$5*(1+Inputs!$B$6/100))+((Inputs!$B$11*(1+Inputs!$B$12/100))-(Inputs!$B$11*(1+Inputs!$B$12/100)))*(1+Inputs!$B$6/100))*(F149/100)</f>
        <v/>
      </c>
      <c r="K149">
        <f>J149*(1+((Inputs!$B$11*(1+Inputs!$B$12/100))*0.01+Inputs!$B$13*0.0025)/100)*(1+(Inputs!$B$14+B171)/100)*(1+IF(Inputs!$B$4="pvp",0,(1-Summary!$B$51)*(Inputs!$B$19+Skills!O6+B170)+Summary!$B$51*(Inputs!$B$20+Skills!P6+B170))/100)*(1+(Inputs!$B$15+1)/100)*(5000/(6000+Inputs!$B$7*(1-Inputs!$B$18/100)))*(1+Inputs!$B$23/100)*(1+IF(C158=TRUE,F158,0)/100)*(1+IF(C166=TRUE,F166,0)/100)^5*(1+(IF(Skills!A6="CHAIN_LIGHTNING",Inputs!$B$16,Inputs!$B$17))/100)*(B169*I149)</f>
        <v/>
      </c>
      <c r="L149">
        <f>K149*(MIN(Inputs!$B$21+(F161-Calc!F18),Inputs!$B$22)/100+Inputs!$B$22/100)/2</f>
        <v/>
      </c>
      <c r="M149">
        <f>L149*(1+(Inputs!$B$9+(F164-Calc!F21))/100)</f>
        <v/>
      </c>
      <c r="N149">
        <f>L149*(1-MIN(Inputs!$B$8+((F163-Calc!F20)+(F162-Calc!F19)),100)/100)+M149*(MIN(Inputs!$B$8+((F163-Calc!F20)+(F162-Calc!F19)),100)/100)</f>
        <v/>
      </c>
      <c r="O149">
        <f>IF(C149,H149*N149*IF(AND(Inputs!$B$4&lt;&gt;"pvp",Inputs!$B$35&gt;0),((Skills!F6*((S149-1)*IF(Skills!G6&gt;0,Skills!H6/Skills!G6,1)+IF(Skills!G6&gt;0,MIN(Skills!H6,MAX(0,Inputs!$B$35-((S149-1)*IF(Inputs!$B$4="pvp",15,MAX(0.1,Skills!D6-IF(Skills!E6=TRUE,Inputs!$B$31,0))))))/Skills!G6,1)))/Inputs!$B$35),G149*V149)*IF(Inputs!$B$4="pvp",1,(1-Summary!$B$51)*(1)+Summary!$B$51*(MIN(Skills!Q6,Inputs!$B$37))),0)</f>
        <v/>
      </c>
      <c r="P149">
        <f>IF(B177=0,0,O149/B177)</f>
        <v/>
      </c>
      <c r="S149">
        <f>IF(AND(Inputs!$B$4&lt;&gt;"pvp",Inputs!$B$35&gt;0),(INT(Inputs!$B$35/IF(Inputs!$B$4="pvp",15,MAX(0.1,Skills!D6-IF(Skills!E6=TRUE,Inputs!$B$31,0))))+1),0)</f>
        <v/>
      </c>
      <c r="V149">
        <f>IFERROR(1/IF(Inputs!$B$4="pvp",15,MAX(0.1,Skills!D6-IF(Skills!E6=TRUE,Inputs!$B$31,0))),0)</f>
        <v/>
      </c>
    </row>
    <row r="150">
      <c r="A150">
        <f>Skills!A7</f>
        <v/>
      </c>
      <c r="B150">
        <f>Skills!B7</f>
        <v/>
      </c>
      <c r="C150">
        <f>Inputs!$B$3&gt;=69</f>
        <v/>
      </c>
      <c r="D150">
        <f>IF(Skills!C7=1,60+Inputs!$B$24+Inputs!$B$28,IF(Skills!C7=2,90+Inputs!$B$25+Inputs!$B$28,IF(Skills!C7=3,120+Inputs!$B$26+Inputs!$B$28,MAX(0,(Inputs!$B$3-100)*3)+Inputs!$B$27+Inputs!$B$28)))</f>
        <v/>
      </c>
      <c r="E150">
        <f>INDEX(FactorTable!$B$2:$Y$301, MATCH(ROUND(MIN(300,MAX(1,D150)),0), FactorTable!$A$2:$A$301,0), Skills!L7+1)</f>
        <v/>
      </c>
      <c r="F150">
        <f>IF(Skills!M7=TRUE,(Skills!K7/10)*(E150/1000),Skills!K7/10)+Skills!N7</f>
        <v/>
      </c>
      <c r="G150">
        <f>Calc!G7</f>
        <v/>
      </c>
      <c r="H150">
        <f>Calc!H7</f>
        <v/>
      </c>
      <c r="I150">
        <f>IF(Skills!T7&lt;&gt;"",1+(Skills!T7/10)*(R146/1000)/100,1)</f>
        <v/>
      </c>
      <c r="J150">
        <f>((Inputs!$B$5*(1+Inputs!$B$6/100))+((Inputs!$B$11*(1+Inputs!$B$12/100))-(Inputs!$B$11*(1+Inputs!$B$12/100)))*(1+Inputs!$B$6/100))*(F150/100)</f>
        <v/>
      </c>
      <c r="K150">
        <f>J150*(1+((Inputs!$B$11*(1+Inputs!$B$12/100))*0.01+Inputs!$B$13*0.0025)/100)*(1+(Inputs!$B$14+B171)/100)*(1+IF(Inputs!$B$4="pvp",0,(1-Summary!$B$51)*(Inputs!$B$19+Skills!O7+B170)+Summary!$B$51*(Inputs!$B$20+Skills!P7+B170))/100)*(1+(Inputs!$B$15+1)/100)*(5000/(6000+Inputs!$B$7*(1-Inputs!$B$18/100)))*(1+Inputs!$B$23/100)*(1+IF(C158=TRUE,F158,0)/100)*(1+IF(C166=TRUE,F166,0)/100)^5*(1+(IF(Skills!A7="CHAIN_LIGHTNING",Inputs!$B$16,Inputs!$B$17))/100)*(B169*I150)</f>
        <v/>
      </c>
      <c r="L150">
        <f>K150*(MIN(Inputs!$B$21+(F161-Calc!F18),Inputs!$B$22)/100+Inputs!$B$22/100)/2</f>
        <v/>
      </c>
      <c r="M150">
        <f>L150*(1+(Inputs!$B$9+(F164-Calc!F21))/100)</f>
        <v/>
      </c>
      <c r="N150">
        <f>L150*(1-MIN(Inputs!$B$8+((F163-Calc!F20)+(F162-Calc!F19)),100)/100)+M150*(MIN(Inputs!$B$8+((F163-Calc!F20)+(F162-Calc!F19)),100)/100)</f>
        <v/>
      </c>
      <c r="O150">
        <f>IF(C150,H150*N150*IF(AND(Inputs!$B$4&lt;&gt;"pvp",Inputs!$B$35&gt;0),((Skills!F7*((S150-1)*IF(Skills!G7&gt;0,Skills!H7/Skills!G7,1)+IF(Skills!G7&gt;0,MIN(Skills!H7,MAX(0,Inputs!$B$35-((S150-1)*IF(Inputs!$B$4="pvp",15,MAX(0.1,Skills!D7-IF(Skills!E7=TRUE,Inputs!$B$31,0))))))/Skills!G7,1)))/Inputs!$B$35),G150*V150)*IF(Inputs!$B$4="pvp",1,(1-Summary!$B$51)*(1)+Summary!$B$51*(MIN(Skills!Q7,Inputs!$B$37))),0)</f>
        <v/>
      </c>
      <c r="P150">
        <f>IF(B177=0,0,O150/B177)</f>
        <v/>
      </c>
      <c r="S150">
        <f>IF(AND(Inputs!$B$4&lt;&gt;"pvp",Inputs!$B$35&gt;0),(INT(Inputs!$B$35/IF(Inputs!$B$4="pvp",15,MAX(0.1,Skills!D7-IF(Skills!E7=TRUE,Inputs!$B$31,0))))+1),0)</f>
        <v/>
      </c>
      <c r="V150">
        <f>IFERROR(1/IF(Inputs!$B$4="pvp",15,MAX(0.1,Skills!D7-IF(Skills!E7=TRUE,Inputs!$B$31,0))),0)</f>
        <v/>
      </c>
    </row>
    <row r="151">
      <c r="A151">
        <f>Skills!A8</f>
        <v/>
      </c>
      <c r="B151">
        <f>Skills!B8</f>
        <v/>
      </c>
      <c r="C151">
        <f>Inputs!$B$3&gt;=103</f>
        <v/>
      </c>
      <c r="D151">
        <f>IF(Skills!C8=1,60+Inputs!$B$24+Inputs!$B$28,IF(Skills!C8=2,90+Inputs!$B$25+Inputs!$B$28,IF(Skills!C8=3,120+Inputs!$B$26+Inputs!$B$28,MAX(0,(Inputs!$B$3-100)*3)+Inputs!$B$27+Inputs!$B$28)))</f>
        <v/>
      </c>
      <c r="E151">
        <f>INDEX(FactorTable!$B$2:$Y$301, MATCH(ROUND(MIN(300,MAX(1,D151)),0), FactorTable!$A$2:$A$301,0), Skills!L8+1)</f>
        <v/>
      </c>
      <c r="F151">
        <f>IF(Skills!M8=TRUE,(Skills!K8/10)*(E151/1000),Skills!K8/10)+Skills!N8</f>
        <v/>
      </c>
      <c r="G151">
        <f>Calc!G8</f>
        <v/>
      </c>
      <c r="H151">
        <f>Calc!H8</f>
        <v/>
      </c>
      <c r="I151">
        <f>IF(Skills!T8&lt;&gt;"",1+(Skills!T8/10)*(R146/1000)/100,1)</f>
        <v/>
      </c>
      <c r="J151">
        <f>((Inputs!$B$5*(1+Inputs!$B$6/100))+((Inputs!$B$11*(1+Inputs!$B$12/100))-(Inputs!$B$11*(1+Inputs!$B$12/100)))*(1+Inputs!$B$6/100))*(F151/100)</f>
        <v/>
      </c>
      <c r="K151">
        <f>J151*(1+((Inputs!$B$11*(1+Inputs!$B$12/100))*0.01+Inputs!$B$13*0.0025)/100)*(1+(Inputs!$B$14+B171)/100)*(1+IF(Inputs!$B$4="pvp",0,(1-Summary!$B$51)*(Inputs!$B$19+Skills!O8+B170)+Summary!$B$51*(Inputs!$B$20+Skills!P8+B170))/100)*(1+(Inputs!$B$15+1)/100)*(5000/(6000+Inputs!$B$7*(1-Inputs!$B$18/100)))*(1+Inputs!$B$23/100)*(1+IF(C158=TRUE,F158,0)/100)*(1+IF(C166=TRUE,F166,0)/100)^5*(1+(IF(Skills!A8="CHAIN_LIGHTNING",Inputs!$B$16,Inputs!$B$17))/100)*(B169*I151)</f>
        <v/>
      </c>
      <c r="L151">
        <f>K151*(MIN(Inputs!$B$21+(F161-Calc!F18),Inputs!$B$22)/100+Inputs!$B$22/100)/2</f>
        <v/>
      </c>
      <c r="M151">
        <f>L151*(1+(Inputs!$B$9+(F164-Calc!F21))/100)</f>
        <v/>
      </c>
      <c r="N151">
        <f>L151*(1-MIN(Inputs!$B$8+((F163-Calc!F20)+(F162-Calc!F19)),100)/100)+M151*(MIN(Inputs!$B$8+((F163-Calc!F20)+(F162-Calc!F19)),100)/100)</f>
        <v/>
      </c>
      <c r="O151">
        <f>IF(C151,H151*N151*IF(AND(Inputs!$B$4&lt;&gt;"pvp",Inputs!$B$35&gt;0),((Skills!F8*((S151-1)*IF(Skills!G8&gt;0,Skills!H8/Skills!G8,1)+IF(Skills!G8&gt;0,MIN(Skills!H8,MAX(0,Inputs!$B$35-((S151-1)*IF(Inputs!$B$4="pvp",15,MAX(0.1,Skills!D8-IF(Skills!E8=TRUE,Inputs!$B$31,0))))))/Skills!G8,1)))/Inputs!$B$35),G151*V151)*IF(Inputs!$B$4="pvp",1,(1-Summary!$B$51)*(1)+Summary!$B$51*(MIN(Skills!Q8,Inputs!$B$37))),0)</f>
        <v/>
      </c>
      <c r="P151">
        <f>IF(B177=0,0,O151/B177)</f>
        <v/>
      </c>
      <c r="S151">
        <f>IF(AND(Inputs!$B$4&lt;&gt;"pvp",Inputs!$B$35&gt;0),(INT(Inputs!$B$35/IF(Inputs!$B$4="pvp",15,MAX(0.1,Skills!D8-IF(Skills!E8=TRUE,Inputs!$B$31,0))))+1),0)</f>
        <v/>
      </c>
      <c r="V151">
        <f>IFERROR(1/IF(Inputs!$B$4="pvp",15,MAX(0.1,Skills!D8-IF(Skills!E8=TRUE,Inputs!$B$31,0))),0)</f>
        <v/>
      </c>
    </row>
    <row r="152">
      <c r="A152">
        <f>Skills!A9</f>
        <v/>
      </c>
      <c r="B152">
        <f>Skills!B9</f>
        <v/>
      </c>
      <c r="C152">
        <f>Inputs!$B$3&gt;=105</f>
        <v/>
      </c>
      <c r="D152">
        <f>IF(Skills!C9=1,60+Inputs!$B$24+Inputs!$B$28,IF(Skills!C9=2,90+Inputs!$B$25+Inputs!$B$28,IF(Skills!C9=3,120+Inputs!$B$26+Inputs!$B$28,MAX(0,(Inputs!$B$3-100)*3)+Inputs!$B$27+Inputs!$B$28)))</f>
        <v/>
      </c>
      <c r="E152">
        <f>INDEX(FactorTable!$B$2:$Y$301, MATCH(ROUND(MIN(300,MAX(1,D152)),0), FactorTable!$A$2:$A$301,0), Skills!L9+1)</f>
        <v/>
      </c>
      <c r="F152">
        <f>IF(Skills!M9=TRUE,(Skills!K9/10)*(E152/1000),Skills!K9/10)+Skills!N9</f>
        <v/>
      </c>
      <c r="G152">
        <f>Calc!G9</f>
        <v/>
      </c>
      <c r="H152">
        <f>Calc!H9</f>
        <v/>
      </c>
      <c r="I152">
        <f>IF(Skills!T9&lt;&gt;"",1+(Skills!T9/10)*(R146/1000)/100,1)</f>
        <v/>
      </c>
      <c r="J152">
        <f>((Inputs!$B$5*(1+Inputs!$B$6/100))+((Inputs!$B$11*(1+Inputs!$B$12/100))-(Inputs!$B$11*(1+Inputs!$B$12/100)))*(1+Inputs!$B$6/100))*(F152/100)</f>
        <v/>
      </c>
      <c r="K152">
        <f>J152*(1+((Inputs!$B$11*(1+Inputs!$B$12/100))*0.01+Inputs!$B$13*0.0025)/100)*(1+(Inputs!$B$14+B171)/100)*(1+IF(Inputs!$B$4="pvp",0,(1-Summary!$B$51)*(Inputs!$B$19+Skills!O9+B170)+Summary!$B$51*(Inputs!$B$20+Skills!P9+B170))/100)*(1+(Inputs!$B$15+1)/100)*(5000/(6000+Inputs!$B$7*(1-Inputs!$B$18/100)))*(1+Inputs!$B$23/100)*(1+IF(C158=TRUE,F158,0)/100)*(1+IF(C166=TRUE,F166,0)/100)^5*(1+(IF(Skills!A9="CHAIN_LIGHTNING",Inputs!$B$16,Inputs!$B$17))/100)*(B169*I152)</f>
        <v/>
      </c>
      <c r="L152">
        <f>K152*(MIN(Inputs!$B$21+(F161-Calc!F18),Inputs!$B$22)/100+Inputs!$B$22/100)/2</f>
        <v/>
      </c>
      <c r="M152">
        <f>L152*(1+(Inputs!$B$9+(F164-Calc!F21))/100)</f>
        <v/>
      </c>
      <c r="N152">
        <f>L152*(1-MIN(Inputs!$B$8+((F163-Calc!F20)+(F162-Calc!F19)),100)/100)+M152*(MIN(Inputs!$B$8+((F163-Calc!F20)+(F162-Calc!F19)),100)/100)</f>
        <v/>
      </c>
      <c r="O152">
        <f>IF(C152,H152*N152*IF(AND(Inputs!$B$4&lt;&gt;"pvp",Inputs!$B$35&gt;0),((Skills!F9*((S152-1)*IF(Skills!G9&gt;0,Skills!H9/Skills!G9,1)+IF(Skills!G9&gt;0,MIN(Skills!H9,MAX(0,Inputs!$B$35-((S152-1)*IF(Inputs!$B$4="pvp",15,MAX(0.1,Skills!D9-IF(Skills!E9=TRUE,Inputs!$B$31,0))))))/Skills!G9,1)))/Inputs!$B$35),G152*V152)*IF(Inputs!$B$4="pvp",1,(1-Summary!$B$51)*(1)+Summary!$B$51*(MIN(Skills!Q9,Inputs!$B$37))),0)</f>
        <v/>
      </c>
      <c r="P152">
        <f>IF(B177=0,0,O152/B177)</f>
        <v/>
      </c>
      <c r="S152">
        <f>IF(AND(Inputs!$B$4&lt;&gt;"pvp",Inputs!$B$35&gt;0),(INT(Inputs!$B$35/IF(Inputs!$B$4="pvp",15,MAX(0.1,Skills!D9-IF(Skills!E9=TRUE,Inputs!$B$31,0))))+1),0)</f>
        <v/>
      </c>
      <c r="V152">
        <f>IFERROR(1/IF(Inputs!$B$4="pvp",15,MAX(0.1,Skills!D9-IF(Skills!E9=TRUE,Inputs!$B$31,0))),0)</f>
        <v/>
      </c>
    </row>
    <row r="153">
      <c r="A153">
        <f>Skills!A10</f>
        <v/>
      </c>
      <c r="B153">
        <f>Skills!B10</f>
        <v/>
      </c>
      <c r="C153">
        <f>Inputs!$B$3&gt;=113</f>
        <v/>
      </c>
      <c r="D153">
        <f>IF(Skills!C10=1,60+Inputs!$B$24+Inputs!$B$28,IF(Skills!C10=2,90+Inputs!$B$25+Inputs!$B$28,IF(Skills!C10=3,120+Inputs!$B$26+Inputs!$B$28,MAX(0,(Inputs!$B$3-100)*3)+Inputs!$B$27+Inputs!$B$28)))</f>
        <v/>
      </c>
      <c r="E153">
        <f>INDEX(FactorTable!$B$2:$Y$301, MATCH(ROUND(MIN(300,MAX(1,D153)),0), FactorTable!$A$2:$A$301,0), Skills!L10+1)</f>
        <v/>
      </c>
      <c r="F153">
        <f>IF(Skills!M10=TRUE,(Skills!K10/10)*(E153/1000),Skills!K10/10)+Skills!N10</f>
        <v/>
      </c>
      <c r="G153">
        <f>Calc!G10</f>
        <v/>
      </c>
      <c r="H153">
        <f>Calc!H10</f>
        <v/>
      </c>
      <c r="I153">
        <f>IF(Skills!T10&lt;&gt;"",1+(Skills!T10/10)*(R146/1000)/100,1)</f>
        <v/>
      </c>
      <c r="J153">
        <f>((Inputs!$B$5*(1+Inputs!$B$6/100))+((Inputs!$B$11*(1+Inputs!$B$12/100))-(Inputs!$B$11*(1+Inputs!$B$12/100)))*(1+Inputs!$B$6/100))*(F153/100)</f>
        <v/>
      </c>
      <c r="K153">
        <f>J153*(1+((Inputs!$B$11*(1+Inputs!$B$12/100))*0.01+Inputs!$B$13*0.0025)/100)*(1+(Inputs!$B$14+B171)/100)*(1+IF(Inputs!$B$4="pvp",0,(1-Summary!$B$51)*(Inputs!$B$19+Skills!O10+B170)+Summary!$B$51*(Inputs!$B$20+Skills!P10+B170))/100)*(1+(Inputs!$B$15+1)/100)*(5000/(6000+Inputs!$B$7*(1-Inputs!$B$18/100)))*(1+Inputs!$B$23/100)*(1+IF(C158=TRUE,F158,0)/100)*(1+IF(C166=TRUE,F166,0)/100)^5*(1+(IF(Skills!A10="CHAIN_LIGHTNING",Inputs!$B$16,Inputs!$B$17))/100)*(B169*I153)</f>
        <v/>
      </c>
      <c r="L153">
        <f>K153*(MIN(Inputs!$B$21+(F161-Calc!F18),Inputs!$B$22)/100+Inputs!$B$22/100)/2</f>
        <v/>
      </c>
      <c r="M153">
        <f>L153*(1+(Inputs!$B$9+(F164-Calc!F21))/100)</f>
        <v/>
      </c>
      <c r="N153">
        <f>L153*(1-MIN(Inputs!$B$8+((F163-Calc!F20)+(F162-Calc!F19)),100)/100)+M153*(MIN(Inputs!$B$8+((F163-Calc!F20)+(F162-Calc!F19)),100)/100)</f>
        <v/>
      </c>
      <c r="O153">
        <f>IF(C153,H153*N153*IF(AND(Inputs!$B$4&lt;&gt;"pvp",Inputs!$B$35&gt;0),((Skills!F10*((S153-1)*IF(Skills!G10&gt;0,Skills!H10/Skills!G10,1)+IF(Skills!G10&gt;0,MIN(Skills!H10,MAX(0,Inputs!$B$35-((S153-1)*IF(Inputs!$B$4="pvp",15,MAX(0.1,Skills!D10-IF(Skills!E9=TRUE,Inputs!$B$31,0))))))/Skills!G10,1)))/Inputs!$B$35),G153*V153)*IF(Inputs!$B$4="pvp",1,(1-Summary!$B$51)*(1)+Summary!$B$51*(MIN(Skills!Q10,Inputs!$B$37))),0)</f>
        <v/>
      </c>
      <c r="P153">
        <f>IF(B177=0,0,O153/B177)</f>
        <v/>
      </c>
      <c r="S153">
        <f>IF(AND(Inputs!$B$4&lt;&gt;"pvp",Inputs!$B$35&gt;0),(INT(Inputs!$B$35/IF(Inputs!$B$4="pvp",15,MAX(0.1,Skills!D10-IF(Skills!E9=TRUE,Inputs!$B$31,0))))+1),0)</f>
        <v/>
      </c>
      <c r="V153">
        <f>IFERROR(1/IF(Inputs!$B$4="pvp",15,MAX(0.1,Skills!D10-IF(Skills!E9=TRUE,Inputs!$B$31,0))),0)</f>
        <v/>
      </c>
    </row>
    <row r="154">
      <c r="A154">
        <f>Skills!A11</f>
        <v/>
      </c>
      <c r="B154">
        <f>Skills!B11</f>
        <v/>
      </c>
      <c r="C154">
        <f>Inputs!$B$3&gt;=107</f>
        <v/>
      </c>
      <c r="D154">
        <f>IF(Skills!C11=1,60+Inputs!$B$24+Inputs!$B$28,IF(Skills!C11=2,90+Inputs!$B$25+Inputs!$B$28,IF(Skills!C11=3,120+Inputs!$B$26+Inputs!$B$28,MAX(0,(Inputs!$B$3-100)*3)+Inputs!$B$27+Inputs!$B$28)))</f>
        <v/>
      </c>
      <c r="E154">
        <f>INDEX(FactorTable!$B$2:$Y$301, MATCH(ROUND(MIN(300,MAX(1,D154)),0), FactorTable!$A$2:$A$301,0), Skills!L11+1)</f>
        <v/>
      </c>
      <c r="F154">
        <f>IF(Skills!M11=TRUE,(Skills!K11/10)*(E154/1000),Skills!K11/10)+Skills!N11</f>
        <v/>
      </c>
      <c r="G154">
        <f>Calc!G11</f>
        <v/>
      </c>
      <c r="H154">
        <f>Calc!H11</f>
        <v/>
      </c>
      <c r="I154">
        <f>IF(Skills!T11&lt;&gt;"",1+(Skills!T11/10)*(R146/1000)/100,1)</f>
        <v/>
      </c>
      <c r="J154">
        <f>((Inputs!$B$5*(1+Inputs!$B$6/100))+((Inputs!$B$11*(1+Inputs!$B$12/100))-(Inputs!$B$11*(1+Inputs!$B$12/100)))*(1+Inputs!$B$6/100))*(F154/100)</f>
        <v/>
      </c>
      <c r="K154">
        <f>J154*(1+((Inputs!$B$11*(1+Inputs!$B$12/100))*0.01+Inputs!$B$13*0.0025)/100)*(1+(Inputs!$B$14+B171)/100)*(1+IF(Inputs!$B$4="pvp",0,(1-Summary!$B$51)*(Inputs!$B$19+Skills!O11+B170)+Summary!$B$51*(Inputs!$B$20+Skills!P11+B170))/100)*(1+(Inputs!$B$15+1)/100)*(5000/(6000+Inputs!$B$7*(1-Inputs!$B$18/100)))*(1+Inputs!$B$23/100)*(1+IF(C158=TRUE,F158,0)/100)*(1+IF(C166=TRUE,F166,0)/100)^5*(1+(IF(Skills!A11="CHAIN_LIGHTNING",Inputs!$B$16,Inputs!$B$17))/100)*(B169*I154)</f>
        <v/>
      </c>
      <c r="L154">
        <f>K154*(MIN(Inputs!$B$21+(F161-Calc!F18),Inputs!$B$22)/100+Inputs!$B$22/100)/2</f>
        <v/>
      </c>
      <c r="M154">
        <f>L154*(1+(Inputs!$B$9+(F164-Calc!F21))/100)</f>
        <v/>
      </c>
      <c r="N154">
        <f>L154*(1-MIN(Inputs!$B$8+((F163-Calc!F20)+(F162-Calc!F19)),100)/100)+M154*(MIN(Inputs!$B$8+((F163-Calc!F20)+(F162-Calc!F19)),100)/100)</f>
        <v/>
      </c>
      <c r="O154">
        <f>IF(C154,H154*N154*IF(AND(Inputs!$B$4&lt;&gt;"pvp",Inputs!$B$35&gt;0),((Skills!F11*((S154-1)*IF(Skills!G11&gt;0,Skills!H11/Skills!G11,1)+IF(Skills!G11&gt;0,MIN(Skills!H11,MAX(0,Inputs!$B$35-((S154-1)*IF(Inputs!$B$4="pvp",15,MAX(0.1,Skills!D11-IF(Skills!E11=TRUE,Inputs!$B$31,0))))))/Skills!G11,1)))/Inputs!$B$35),G154*V154)*IF(Inputs!$B$4="pvp",0.5,(1-Summary!$B$51)*0.5+Summary!$B$51*1)*IF(Inputs!$B$4="pvp",1,(1-Summary!$B$51)*(1)+Summary!$B$51*(MIN(Skills!Q11,Inputs!$B$37))),0)</f>
        <v/>
      </c>
      <c r="P154">
        <f>IF(B177=0,0,O154/B177)</f>
        <v/>
      </c>
      <c r="S154">
        <f>IF(AND(Inputs!$B$4&lt;&gt;"pvp",Inputs!$B$35&gt;0),(INT(Inputs!$B$35/IF(Inputs!$B$4="pvp",15,MAX(0.1,Skills!D11-IF(Skills!E11=TRUE,Inputs!$B$31,0))))+1),0)</f>
        <v/>
      </c>
      <c r="V154">
        <f>IFERROR(1/IF(Inputs!$B$4="pvp",15,MAX(0.1,Skills!D11-IF(Skills!E11=TRUE,Inputs!$B$31,0))),0)</f>
        <v/>
      </c>
    </row>
    <row r="155">
      <c r="A155">
        <f>Skills!A12</f>
        <v/>
      </c>
      <c r="B155">
        <f>Skills!B12</f>
        <v/>
      </c>
      <c r="C155">
        <f>Inputs!$B$3&gt;=115</f>
        <v/>
      </c>
      <c r="D155">
        <f>IF(Skills!C12=1,60+Inputs!$B$24+Inputs!$B$28,IF(Skills!C12=2,90+Inputs!$B$25+Inputs!$B$28,IF(Skills!C12=3,120+Inputs!$B$26+Inputs!$B$28,MAX(0,(Inputs!$B$3-100)*3)+Inputs!$B$27+Inputs!$B$28)))</f>
        <v/>
      </c>
      <c r="E155">
        <f>INDEX(FactorTable!$B$2:$Y$301, MATCH(ROUND(MIN(300,MAX(1,D155)),0), FactorTable!$A$2:$A$301,0), Skills!L12+1)</f>
        <v/>
      </c>
      <c r="F155">
        <f>IF(Skills!M12=TRUE,(Skills!K12/10)*(E155/1000),Skills!K12/10)+Skills!N12</f>
        <v/>
      </c>
      <c r="G155">
        <f>Calc!G12</f>
        <v/>
      </c>
      <c r="H155">
        <f>Calc!H12</f>
        <v/>
      </c>
      <c r="I155">
        <f>IF(Skills!T12&lt;&gt;"",1+(Skills!T12/10)*(R146/1000)/100,1)</f>
        <v/>
      </c>
      <c r="J155">
        <f>((Inputs!$B$5*(1+Inputs!$B$6/100))+((Inputs!$B$11*(1+Inputs!$B$12/100))-(Inputs!$B$11*(1+Inputs!$B$12/100)))*(1+Inputs!$B$6/100))*(F155/100)</f>
        <v/>
      </c>
      <c r="K155">
        <f>J155*(1+((Inputs!$B$11*(1+Inputs!$B$12/100))*0.01+Inputs!$B$13*0.0025)/100)*(1+(Inputs!$B$14+B171)/100)*(1+IF(Inputs!$B$4="pvp",0,(1-Summary!$B$51)*(Inputs!$B$19+Skills!O12+B170)+Summary!$B$51*(Inputs!$B$20+Skills!P12+B170))/100)*(1+(Inputs!$B$15+1)/100)*(5000/(6000+Inputs!$B$7*(1-Inputs!$B$18/100)))*(1+Inputs!$B$23/100)*(1+IF(C158=TRUE,F158,0)/100)*(1+IF(C166=TRUE,F166,0)/100)^5*(1+(IF(Skills!A12="CHAIN_LIGHTNING",Inputs!$B$16,Inputs!$B$17))/100)*(B169*I155)</f>
        <v/>
      </c>
      <c r="L155">
        <f>K155*(MIN(Inputs!$B$21+(F161-Calc!F18),Inputs!$B$22)/100+Inputs!$B$22/100)/2</f>
        <v/>
      </c>
      <c r="M155">
        <f>L155*(1+(Inputs!$B$9+(F164-Calc!F21))/100)</f>
        <v/>
      </c>
      <c r="N155">
        <f>L155*(1-MIN(Inputs!$B$8+((F163-Calc!F20)+(F162-Calc!F19)),100)/100)+M155*(MIN(Inputs!$B$8+((F163-Calc!F20)+(F162-Calc!F19)),100)/100)</f>
        <v/>
      </c>
      <c r="O155">
        <f>IF(C155,H155*N155*IF(AND(Inputs!$B$4&lt;&gt;"pvp",Inputs!$B$35&gt;0),((Skills!F12*((S155-1)*IF(Skills!G12&gt;0,Skills!H12/Skills!G12,1)+IF(Skills!G12&gt;0,MIN(Skills!H12,MAX(0,Inputs!$B$35-((S155-1)*IF(Inputs!$B$4="pvp",15,MAX(0.1,Skills!D12-IF(Skills!E12=TRUE,Inputs!$B$31,0))))))/Skills!G12,1)))/Inputs!$B$35),G155*V155)*IF(Inputs!$B$4="pvp",1,(1-Summary!$B$51)*(1)+Summary!$B$51*(MIN(Skills!Q12,Inputs!$B$37))),0)</f>
        <v/>
      </c>
      <c r="P155">
        <f>IF(B177=0,0,O155/B177)</f>
        <v/>
      </c>
      <c r="S155">
        <f>IF(AND(Inputs!$B$4&lt;&gt;"pvp",Inputs!$B$35&gt;0),(INT(Inputs!$B$35/IF(Inputs!$B$4="pvp",15,MAX(0.1,Skills!D12-IF(Skills!E12=TRUE,Inputs!$B$31,0))))+1),0)</f>
        <v/>
      </c>
      <c r="V155">
        <f>IFERROR(1/IF(Inputs!$B$4="pvp",15,MAX(0.1,Skills!D12-IF(Skills!E12=TRUE,Inputs!$B$31,0))),0)</f>
        <v/>
      </c>
    </row>
    <row r="156">
      <c r="A156">
        <f>Skills!A13</f>
        <v/>
      </c>
      <c r="B156">
        <f>Skills!B13</f>
        <v/>
      </c>
      <c r="C156">
        <f>Inputs!$B$3&gt;=49</f>
        <v/>
      </c>
      <c r="D156">
        <f>IF(Skills!C13=1,60+Inputs!$B$24+Inputs!$B$28,IF(Skills!C13=2,90+Inputs!$B$25+Inputs!$B$28,IF(Skills!C13=3,120+Inputs!$B$26+Inputs!$B$28,MAX(0,(Inputs!$B$3-100)*3)+Inputs!$B$27+Inputs!$B$28)))</f>
        <v/>
      </c>
      <c r="E156">
        <f>INDEX(FactorTable!$B$2:$Y$301, MATCH(ROUND(MIN(300,MAX(1,D156)),0), FactorTable!$A$2:$A$301,0), Skills!L13+1)</f>
        <v/>
      </c>
      <c r="F156">
        <f>IF(Skills!M13=TRUE,(Skills!K13/10)*(E156/1000),Skills!K13/10)+Skills!N13</f>
        <v/>
      </c>
      <c r="G156">
        <f>Calc!G13</f>
        <v/>
      </c>
      <c r="H156">
        <f>Calc!H13</f>
        <v/>
      </c>
      <c r="I156">
        <f>IF(Skills!T13&lt;&gt;"",1+(Skills!T13/10)*(R146/1000)/100,1)</f>
        <v/>
      </c>
      <c r="J156" t="inlineStr"/>
      <c r="K156" t="inlineStr"/>
      <c r="L156" t="inlineStr"/>
      <c r="M156" t="inlineStr"/>
      <c r="N156" t="inlineStr"/>
      <c r="O156" t="n">
        <v>0</v>
      </c>
      <c r="P156">
        <f>IF(B177=0,0,O156/B177)</f>
        <v/>
      </c>
      <c r="S156" t="n">
        <v>0</v>
      </c>
      <c r="V156">
        <f>IFERROR(1/IF(Inputs!$B$4="pvp",15,MAX(0.1,Skills!D13-IF(Skills!E13=TRUE,Inputs!$B$31,0))),0)</f>
        <v/>
      </c>
    </row>
    <row r="157">
      <c r="A157">
        <f>Skills!A14</f>
        <v/>
      </c>
      <c r="B157">
        <f>Skills!B14</f>
        <v/>
      </c>
      <c r="C157">
        <f>Inputs!$B$3&gt;=72</f>
        <v/>
      </c>
      <c r="D157">
        <f>IF(Skills!C14=1,60+Inputs!$B$24+Inputs!$B$28,IF(Skills!C14=2,90+Inputs!$B$25+Inputs!$B$28,IF(Skills!C14=3,120+Inputs!$B$26+Inputs!$B$28,MAX(0,(Inputs!$B$3-100)*3)+Inputs!$B$27+Inputs!$B$28)))</f>
        <v/>
      </c>
      <c r="E157">
        <f>INDEX(FactorTable!$B$2:$Y$301, MATCH(ROUND(MIN(300,MAX(1,D157)),0), FactorTable!$A$2:$A$301,0), Skills!L14+1)</f>
        <v/>
      </c>
      <c r="F157">
        <f>IF(Skills!M14=TRUE,(Skills!K14/10)*(E157/1000),Skills!K14/10)+Skills!N14</f>
        <v/>
      </c>
      <c r="G157">
        <f>Calc!G14</f>
        <v/>
      </c>
      <c r="H157">
        <f>Calc!H14</f>
        <v/>
      </c>
      <c r="I157">
        <f>IF(Skills!T14&lt;&gt;"",1+(Skills!T14/10)*(R146/1000)/100,1)</f>
        <v/>
      </c>
      <c r="J157" t="inlineStr"/>
      <c r="K157" t="inlineStr"/>
      <c r="L157" t="inlineStr"/>
      <c r="M157" t="inlineStr"/>
      <c r="N157" t="inlineStr"/>
      <c r="O157" t="n">
        <v>0</v>
      </c>
      <c r="P157">
        <f>IF(B177=0,0,O157/B177)</f>
        <v/>
      </c>
      <c r="S157" t="n">
        <v>0</v>
      </c>
      <c r="V157">
        <f>IFERROR(1/IF(Inputs!$B$4="pvp",15,MAX(0.1,Skills!D14-IF(Skills!E14=TRUE,Inputs!$B$31,0))),0)</f>
        <v/>
      </c>
    </row>
    <row r="158">
      <c r="A158">
        <f>Skills!A15</f>
        <v/>
      </c>
      <c r="B158">
        <f>Skills!B15</f>
        <v/>
      </c>
      <c r="C158">
        <f>Inputs!$B$3&gt;=75</f>
        <v/>
      </c>
      <c r="D158">
        <f>IF(Skills!C15=1,60+Inputs!$B$24+Inputs!$B$28,IF(Skills!C15=2,90+Inputs!$B$25+Inputs!$B$28,IF(Skills!C15=3,120+Inputs!$B$26+Inputs!$B$28,MAX(0,(Inputs!$B$3-100)*3)+Inputs!$B$27+Inputs!$B$28)))</f>
        <v/>
      </c>
      <c r="E158">
        <f>INDEX(FactorTable!$B$2:$Y$301, MATCH(ROUND(MIN(300,MAX(1,D158)),0), FactorTable!$A$2:$A$301,0), Skills!L15+1)</f>
        <v/>
      </c>
      <c r="F158">
        <f>IF(Skills!M15=TRUE,(Skills!K15/10)*(E158/1000),Skills!K15/10)+Skills!N15</f>
        <v/>
      </c>
      <c r="G158">
        <f>Calc!G15</f>
        <v/>
      </c>
      <c r="H158">
        <f>Calc!H15</f>
        <v/>
      </c>
      <c r="I158">
        <f>IF(Skills!T15&lt;&gt;"",1+(Skills!T15/10)*(R146/1000)/100,1)</f>
        <v/>
      </c>
      <c r="J158" t="inlineStr"/>
      <c r="K158" t="inlineStr"/>
      <c r="L158" t="inlineStr"/>
      <c r="M158" t="inlineStr"/>
      <c r="N158" t="inlineStr"/>
      <c r="O158" t="n">
        <v>0</v>
      </c>
      <c r="P158">
        <f>IF(B177=0,0,O158/B177)</f>
        <v/>
      </c>
      <c r="S158" t="n">
        <v>0</v>
      </c>
      <c r="V158">
        <f>IFERROR(1/IF(Inputs!$B$4="pvp",15,MAX(0.1,Skills!D15-IF(Skills!E15=TRUE,Inputs!$B$31,0))),0)</f>
        <v/>
      </c>
    </row>
    <row r="159">
      <c r="A159">
        <f>Skills!A16</f>
        <v/>
      </c>
      <c r="B159">
        <f>Skills!B16</f>
        <v/>
      </c>
      <c r="C159">
        <f>Inputs!$B$3&gt;=110</f>
        <v/>
      </c>
      <c r="D159">
        <f>IF(Skills!C16=1,60+Inputs!$B$24+Inputs!$B$28,IF(Skills!C16=2,90+Inputs!$B$25+Inputs!$B$28,IF(Skills!C16=3,120+Inputs!$B$26+Inputs!$B$28,MAX(0,(Inputs!$B$3-100)*3)+Inputs!$B$27+Inputs!$B$28)))</f>
        <v/>
      </c>
      <c r="E159">
        <f>INDEX(FactorTable!$B$2:$Y$301, MATCH(ROUND(MIN(300,MAX(1,D159)),0), FactorTable!$A$2:$A$301,0), Skills!L16+1)</f>
        <v/>
      </c>
      <c r="F159">
        <f>(Skills!K16/10)*(E159/1000)*64/45+Skills!N16</f>
        <v/>
      </c>
      <c r="G159">
        <f>Calc!G16</f>
        <v/>
      </c>
      <c r="H159">
        <f>Calc!H16</f>
        <v/>
      </c>
      <c r="I159">
        <f>IF(Skills!T16&lt;&gt;"",1+(Skills!T16/10)*(R146/1000)/100,1)</f>
        <v/>
      </c>
      <c r="J159" t="inlineStr"/>
      <c r="K159" t="inlineStr"/>
      <c r="L159" t="inlineStr"/>
      <c r="M159" t="inlineStr"/>
      <c r="N159" t="inlineStr"/>
      <c r="O159" t="n">
        <v>0</v>
      </c>
      <c r="P159">
        <f>IF(B177=0,0,O159/B177)</f>
        <v/>
      </c>
      <c r="S159">
        <f>IF(AND(Inputs!$B$4&lt;&gt;"pvp",Inputs!$B$35&gt;0),(INT(Inputs!$B$35/IF(Inputs!$B$4="pvp",15,MAX(0.1,Skills!D16-IF(Skills!E16=TRUE,Inputs!$B$31,0))))+1),0)</f>
        <v/>
      </c>
      <c r="V159">
        <f>IFERROR(1/IF(Inputs!$B$4="pvp",15,MAX(0.1,Skills!D16-IF(Skills!E16=TRUE,Inputs!$B$31,0))),0)</f>
        <v/>
      </c>
    </row>
    <row r="160">
      <c r="A160">
        <f>Skills!A17</f>
        <v/>
      </c>
      <c r="B160">
        <f>Skills!B17</f>
        <v/>
      </c>
      <c r="C160">
        <f>Inputs!$B$3&gt;=33</f>
        <v/>
      </c>
      <c r="D160">
        <f>IF(Skills!C17=1,60+Inputs!$B$24+Inputs!$B$28,IF(Skills!C17=2,90+Inputs!$B$25+Inputs!$B$28,IF(Skills!C17=3,120+Inputs!$B$26+Inputs!$B$28,MAX(0,(Inputs!$B$3-100)*3)+Inputs!$B$27+Inputs!$B$28)))</f>
        <v/>
      </c>
      <c r="E160">
        <f>INDEX(FactorTable!$B$2:$Y$301, MATCH(ROUND(MIN(300,MAX(1,D160)),0), FactorTable!$A$2:$A$301,0), Skills!L17+1)</f>
        <v/>
      </c>
      <c r="F160">
        <f>IF(Skills!M17=TRUE,(Skills!K17/10)*(E160/1000),Skills!K17/10)+Skills!N17</f>
        <v/>
      </c>
      <c r="G160">
        <f>Calc!G17</f>
        <v/>
      </c>
      <c r="H160">
        <f>Calc!H17</f>
        <v/>
      </c>
      <c r="I160">
        <f>IF(Skills!T17&lt;&gt;"",1+(Skills!T17/10)*(R146/1000)/100,1)</f>
        <v/>
      </c>
      <c r="J160" t="inlineStr"/>
      <c r="K160" t="inlineStr"/>
      <c r="L160" t="inlineStr"/>
      <c r="M160" t="inlineStr"/>
      <c r="N160" t="inlineStr"/>
      <c r="O160" t="n">
        <v>0</v>
      </c>
      <c r="P160">
        <f>IF(B177=0,0,O160/B177)</f>
        <v/>
      </c>
      <c r="S160" t="n">
        <v>0</v>
      </c>
      <c r="V160">
        <f>IFERROR(1/IF(Inputs!$B$4="pvp",15,MAX(0.1,Skills!D17-IF(Skills!E17=TRUE,Inputs!$B$31,0))),0)</f>
        <v/>
      </c>
    </row>
    <row r="161">
      <c r="A161">
        <f>Skills!A18</f>
        <v/>
      </c>
      <c r="B161">
        <f>Skills!B18</f>
        <v/>
      </c>
      <c r="C161">
        <f>Inputs!$B$3&gt;=43</f>
        <v/>
      </c>
      <c r="D161">
        <f>IF(Skills!C18=1,60+Inputs!$B$24+Inputs!$B$28,IF(Skills!C18=2,90+Inputs!$B$25+Inputs!$B$28,IF(Skills!C18=3,120+Inputs!$B$26+Inputs!$B$28,MAX(0,(Inputs!$B$3-100)*3)+Inputs!$B$27+Inputs!$B$28)))</f>
        <v/>
      </c>
      <c r="E161">
        <f>INDEX(FactorTable!$B$2:$Y$301, MATCH(ROUND(MIN(300,MAX(1,D161)),0), FactorTable!$A$2:$A$301,0), Skills!L18+1)</f>
        <v/>
      </c>
      <c r="F161">
        <f>IF(Skills!M18=TRUE,(Skills!K18/10)*(E161/1000),Skills!K18/10)+Skills!N18</f>
        <v/>
      </c>
      <c r="G161">
        <f>Calc!G18</f>
        <v/>
      </c>
      <c r="H161">
        <f>Calc!H18</f>
        <v/>
      </c>
      <c r="I161">
        <f>IF(Skills!T18&lt;&gt;"",1+(Skills!T18/10)*(R146/1000)/100,1)</f>
        <v/>
      </c>
      <c r="J161" t="inlineStr"/>
      <c r="K161" t="inlineStr"/>
      <c r="L161" t="inlineStr"/>
      <c r="M161" t="inlineStr"/>
      <c r="N161" t="inlineStr"/>
      <c r="O161" t="n">
        <v>0</v>
      </c>
      <c r="P161">
        <f>IF(B177=0,0,O161/B177)</f>
        <v/>
      </c>
      <c r="S161" t="n">
        <v>0</v>
      </c>
      <c r="V161">
        <f>IFERROR(1/IF(Inputs!$B$4="pvp",15,MAX(0.1,Skills!D18-IF(Skills!E18=TRUE,Inputs!$B$31,0))),0)</f>
        <v/>
      </c>
    </row>
    <row r="162">
      <c r="A162">
        <f>Skills!A19</f>
        <v/>
      </c>
      <c r="B162">
        <f>Skills!B19</f>
        <v/>
      </c>
      <c r="C162">
        <f>Inputs!$B$3&gt;=50</f>
        <v/>
      </c>
      <c r="D162">
        <f>IF(Skills!C19=1,60+Inputs!$B$24+Inputs!$B$28,IF(Skills!C19=2,90+Inputs!$B$25+Inputs!$B$28,IF(Skills!C19=3,120+Inputs!$B$26+Inputs!$B$28,MAX(0,(Inputs!$B$3-100)*3)+Inputs!$B$27+Inputs!$B$28)))</f>
        <v/>
      </c>
      <c r="E162">
        <f>INDEX(FactorTable!$B$2:$Y$301, MATCH(ROUND(MIN(300,MAX(1,D162)),0), FactorTable!$A$2:$A$301,0), Skills!L19+1)</f>
        <v/>
      </c>
      <c r="F162">
        <f>IF(Skills!M19=TRUE,(Skills!K19/10)*(E162/1000),Skills!K19/10)+Skills!N19</f>
        <v/>
      </c>
      <c r="G162">
        <f>Calc!G19</f>
        <v/>
      </c>
      <c r="H162">
        <f>Calc!H19</f>
        <v/>
      </c>
      <c r="I162">
        <f>IF(Skills!T19&lt;&gt;"",1+(Skills!T19/10)*(R146/1000)/100,1)</f>
        <v/>
      </c>
      <c r="J162" t="inlineStr"/>
      <c r="K162" t="inlineStr"/>
      <c r="L162" t="inlineStr"/>
      <c r="M162" t="inlineStr"/>
      <c r="N162" t="inlineStr"/>
      <c r="O162" t="n">
        <v>0</v>
      </c>
      <c r="P162">
        <f>IF(B177=0,0,O162/B177)</f>
        <v/>
      </c>
      <c r="S162" t="n">
        <v>0</v>
      </c>
      <c r="V162">
        <f>IFERROR(1/IF(Inputs!$B$4="pvp",15,MAX(0.1,Skills!D19-IF(Skills!E19=TRUE,Inputs!$B$31,0))),0)</f>
        <v/>
      </c>
    </row>
    <row r="163">
      <c r="A163">
        <f>Skills!A20</f>
        <v/>
      </c>
      <c r="B163">
        <f>Skills!B20</f>
        <v/>
      </c>
      <c r="C163">
        <f>Inputs!$B$3&gt;=74</f>
        <v/>
      </c>
      <c r="D163">
        <f>IF(Skills!C20=1,60+Inputs!$B$24+Inputs!$B$28,IF(Skills!C20=2,90+Inputs!$B$25+Inputs!$B$28,IF(Skills!C20=3,120+Inputs!$B$26+Inputs!$B$28,MAX(0,(Inputs!$B$3-100)*3)+Inputs!$B$27+Inputs!$B$28)))</f>
        <v/>
      </c>
      <c r="E163">
        <f>INDEX(FactorTable!$B$2:$Y$301, MATCH(ROUND(MIN(300,MAX(1,D163)),0), FactorTable!$A$2:$A$301,0), Skills!L20+1)</f>
        <v/>
      </c>
      <c r="F163">
        <f>IF(Skills!M20=TRUE,(Skills!K20/10)*(E163/1000),Skills!K20/10)+Skills!N20</f>
        <v/>
      </c>
      <c r="G163">
        <f>Calc!G20</f>
        <v/>
      </c>
      <c r="H163">
        <f>Calc!H20</f>
        <v/>
      </c>
      <c r="I163">
        <f>IF(Skills!T20&lt;&gt;"",1+(Skills!T20/10)*(R146/1000)/100,1)</f>
        <v/>
      </c>
      <c r="J163" t="inlineStr"/>
      <c r="K163" t="inlineStr"/>
      <c r="L163" t="inlineStr"/>
      <c r="M163" t="inlineStr"/>
      <c r="N163" t="inlineStr"/>
      <c r="O163" t="n">
        <v>0</v>
      </c>
      <c r="P163">
        <f>IF(B177=0,0,O163/B177)</f>
        <v/>
      </c>
      <c r="S163" t="n">
        <v>0</v>
      </c>
      <c r="V163">
        <f>IFERROR(1/IF(Inputs!$B$4="pvp",15,MAX(0.1,Skills!D20-IF(Skills!E20=TRUE,Inputs!$B$31,0))),0)</f>
        <v/>
      </c>
    </row>
    <row r="164">
      <c r="A164">
        <f>Skills!A21</f>
        <v/>
      </c>
      <c r="B164">
        <f>Skills!B21</f>
        <v/>
      </c>
      <c r="C164">
        <f>Inputs!$B$3&gt;=74</f>
        <v/>
      </c>
      <c r="D164">
        <f>IF(Skills!C21=1,60+Inputs!$B$24+Inputs!$B$28,IF(Skills!C21=2,90+Inputs!$B$25+Inputs!$B$28,IF(Skills!C21=3,120+Inputs!$B$26+Inputs!$B$28,MAX(0,(Inputs!$B$3-100)*3)+Inputs!$B$27+Inputs!$B$28)))</f>
        <v/>
      </c>
      <c r="E164">
        <f>INDEX(FactorTable!$B$2:$Y$301, MATCH(ROUND(MIN(300,MAX(1,D164)),0), FactorTable!$A$2:$A$301,0), Skills!L21+1)</f>
        <v/>
      </c>
      <c r="F164">
        <f>IF(Skills!M21=TRUE,(Skills!K21/10)*(E164/1000),Skills!K21/10)+Skills!N21</f>
        <v/>
      </c>
      <c r="G164">
        <f>Calc!G21</f>
        <v/>
      </c>
      <c r="H164">
        <f>Calc!H21</f>
        <v/>
      </c>
      <c r="I164">
        <f>IF(Skills!T21&lt;&gt;"",1+(Skills!T21/10)*(R146/1000)/100,1)</f>
        <v/>
      </c>
      <c r="J164" t="inlineStr"/>
      <c r="K164" t="inlineStr"/>
      <c r="L164" t="inlineStr"/>
      <c r="M164" t="inlineStr"/>
      <c r="N164" t="inlineStr"/>
      <c r="O164" t="n">
        <v>0</v>
      </c>
      <c r="P164">
        <f>IF(B177=0,0,O164/B177)</f>
        <v/>
      </c>
      <c r="S164" t="n">
        <v>0</v>
      </c>
      <c r="V164">
        <f>IFERROR(1/IF(Inputs!$B$4="pvp",15,MAX(0.1,Skills!D21-IF(Skills!E21=TRUE,Inputs!$B$31,0))),0)</f>
        <v/>
      </c>
    </row>
    <row r="165">
      <c r="A165">
        <f>Skills!A22</f>
        <v/>
      </c>
      <c r="B165">
        <f>Skills!B22</f>
        <v/>
      </c>
      <c r="C165">
        <f>Inputs!$B$3&gt;=117</f>
        <v/>
      </c>
      <c r="D165">
        <f>IF(Skills!C22=1,60+Inputs!$B$24+Inputs!$B$28,IF(Skills!C22=2,90+Inputs!$B$25+Inputs!$B$28,IF(Skills!C22=3,120+Inputs!$B$26+Inputs!$B$28,MAX(0,(Inputs!$B$3-100)*3)+Inputs!$B$27+Inputs!$B$28)))</f>
        <v/>
      </c>
      <c r="E165">
        <f>INDEX(FactorTable!$B$2:$Y$301, MATCH(ROUND(MIN(300,MAX(1,D165)),0), FactorTable!$A$2:$A$301,0), Skills!L22+1)</f>
        <v/>
      </c>
      <c r="F165">
        <f>IF(Skills!M22=TRUE,(Skills!K22/10)*(E165/1000),Skills!K22/10)+Skills!N22</f>
        <v/>
      </c>
      <c r="G165">
        <f>Calc!G22</f>
        <v/>
      </c>
      <c r="H165">
        <f>Calc!H22</f>
        <v/>
      </c>
      <c r="I165">
        <f>IF(Skills!T22&lt;&gt;"",1+(Skills!T22/10)*(R146/1000)/100,1)</f>
        <v/>
      </c>
      <c r="J165" t="inlineStr"/>
      <c r="K165" t="inlineStr"/>
      <c r="L165" t="inlineStr"/>
      <c r="M165" t="inlineStr"/>
      <c r="N165" t="inlineStr"/>
      <c r="O165" t="n">
        <v>0</v>
      </c>
      <c r="P165">
        <f>IF(B177=0,0,O165/B177)</f>
        <v/>
      </c>
      <c r="S165" t="n">
        <v>0</v>
      </c>
      <c r="V165">
        <f>IFERROR(1/IF(Inputs!$B$4="pvp",15,MAX(0.1,Skills!D22-IF(Skills!E22=TRUE,Inputs!$B$31,0))),0)</f>
        <v/>
      </c>
    </row>
    <row r="166">
      <c r="A166">
        <f>Skills!A23</f>
        <v/>
      </c>
      <c r="B166">
        <f>Skills!B23</f>
        <v/>
      </c>
      <c r="C166">
        <f>Inputs!$B$3&gt;=120</f>
        <v/>
      </c>
      <c r="D166">
        <f>IF(Skills!C23=1,60+Inputs!$B$24+Inputs!$B$28,IF(Skills!C23=2,90+Inputs!$B$25+Inputs!$B$28,IF(Skills!C23=3,120+Inputs!$B$26+Inputs!$B$28,MAX(0,(Inputs!$B$3-100)*3)+Inputs!$B$27+Inputs!$B$28)))</f>
        <v/>
      </c>
      <c r="E166">
        <f>INDEX(FactorTable!$B$2:$Y$301, MATCH(ROUND(MIN(300,MAX(1,D166)),0), FactorTable!$A$2:$A$301,0), Skills!L23+1)</f>
        <v/>
      </c>
      <c r="F166">
        <f>IF(Skills!M23=TRUE,(Skills!K23/10)*(E166/1000),Skills!K23/10)+Skills!N23</f>
        <v/>
      </c>
      <c r="G166">
        <f>Calc!G23</f>
        <v/>
      </c>
      <c r="H166">
        <f>Calc!H23</f>
        <v/>
      </c>
      <c r="I166">
        <f>IF(Skills!T23&lt;&gt;"",1+(Skills!T23/10)*(R146/1000)/100,1)</f>
        <v/>
      </c>
      <c r="J166" t="inlineStr"/>
      <c r="K166" t="inlineStr"/>
      <c r="L166" t="inlineStr"/>
      <c r="M166" t="inlineStr"/>
      <c r="N166" t="inlineStr"/>
      <c r="O166" t="n">
        <v>0</v>
      </c>
      <c r="P166">
        <f>IF(B177=0,0,O166/B177)</f>
        <v/>
      </c>
      <c r="S166" t="n">
        <v>0</v>
      </c>
      <c r="V166">
        <f>IFERROR(1/IF(Inputs!$B$4="pvp",15,MAX(0.1,Skills!D23-IF(Skills!E23=TRUE,Inputs!$B$31,0))),0)</f>
        <v/>
      </c>
    </row>
    <row r="169">
      <c r="A169" t="inlineStr">
        <is>
          <t>Average Buff Multiplier (Magic Guard + Meditation, summed; then Infinity)</t>
        </is>
      </c>
      <c r="B169">
        <f>(1+(IF(C146=TRUE,F146*IF(AND(Inputs!$B$4&lt;&gt;"pvp",Inputs!$B$35&gt;0),(((S146-1)*(Skills!S3*(1+(Inputs!$B$33+IF(Inputs!$B$3&gt;=117,F165,0))/100))+MIN((Skills!S3*(1+(Inputs!$B$33+IF(Inputs!$B$3&gt;=117,F165,0))/100)),MAX(0,Inputs!$B$35-((S146-1)*Skills!D3))))/Inputs!$B$35),IF(Inputs!$B$4="pvp",MIN((Skills!S3*(1+(Inputs!$B$33+IF(Inputs!$B$3&gt;=117,F165,0))/100)),15)/15,(Skills!S3*(1+(Inputs!$B$33+IF(Inputs!$B$3&gt;=117,F165,0))/100))/Skills!D3)),0)+IF(C147=TRUE,F147*IF(AND(Inputs!$B$4&lt;&gt;"pvp",Inputs!$B$35&gt;0),(((S147-1)*(Skills!S4*(1+(Inputs!$B$33+IF(Inputs!$B$3&gt;=117,F165,0))/100))+MIN((Skills!S4*(1+(Inputs!$B$33+IF(Inputs!$B$3&gt;=117,F165,0))/100)),MAX(0,Inputs!$B$35-((S147-1)*Skills!D4))))/Inputs!$B$35),IF(Inputs!$B$4="pvp",MIN((Skills!S4*(1+(Inputs!$B$33+IF(Inputs!$B$3&gt;=117,F165,0))/100)),15)/15,(Skills!S4*(1+(Inputs!$B$33+IF(Inputs!$B$3&gt;=117,F165,0))/100))/Skills!D4)),0))/100)*IF(C159=TRUE,(1+F159*IF(AND(Inputs!$B$4&lt;&gt;"pvp",Inputs!$B$35&gt;0),(((S159-1)*(Skills!S16*(1+(Inputs!$B$33+IF(Inputs!$B$3&gt;=117,F165,0))/100))+MIN((Skills!S16*(1+(Inputs!$B$33+IF(Inputs!$B$3&gt;=117,F165,0))/100)),MAX(0,Inputs!$B$35-((S159-1)*Skills!D16))))/Inputs!$B$35),IF(Inputs!$B$4="pvp",MIN((Skills!S16*(1+(Inputs!$B$33+IF(Inputs!$B$3&gt;=117,F165,0))/100)),15)/15,(Skills!S16*(1+(Inputs!$B$33+IF(Inputs!$B$3&gt;=117,F165,0))/100))/Skills!D16))/100),1)</f>
        <v/>
      </c>
    </row>
    <row r="170">
      <c r="A170" t="inlineStr">
        <is>
          <t>Monster Damage Taken Bonus % (Freezing Breath - Weaken + Elemental Reset, summed)</t>
        </is>
      </c>
      <c r="B170">
        <f>IF(Inputs!$B$3&gt;=118,15*IF(Inputs!$B$4="pvp",MIN((30*(1+(Inputs!$B$33+IF(Inputs!$B$3&gt;=117,F165,0))/100)),15)/15,(30*(1+(Inputs!$B$33+IF(Inputs!$B$3&gt;=117,F165,0))/100))/Skills!D8),0)+IF(C157=TRUE,F157,0)</f>
        <v/>
      </c>
    </row>
    <row r="171">
      <c r="A171" t="inlineStr">
        <is>
          <t>Damage % Bonus (Frozen Break + Frost Clutch, flat)</t>
        </is>
      </c>
      <c r="B171">
        <f>IF(Inputs!$B$3&gt;=66,15,0)+IF(Inputs!$B$3&gt;=98,10,0)+IF(Inputs!$B$3&gt;=125,20,0)</f>
        <v/>
      </c>
    </row>
    <row r="172">
      <c r="A172" t="inlineStr">
        <is>
          <t>Attack Speed Bonus % (MP Eater - MP Boost, always-on once unlocked)</t>
        </is>
      </c>
      <c r="B172">
        <f>IF(C156=TRUE,F156+(F160-Calc!F17),0)</f>
        <v/>
      </c>
    </row>
    <row r="173">
      <c r="A173" t="inlineStr">
        <is>
          <t>Actions Per Second</t>
        </is>
      </c>
      <c r="B173">
        <f>1+MIN(150,150*(1-(1-Inputs!$B$10/150)*(1-B172/150)))/100</f>
        <v/>
      </c>
    </row>
    <row r="174">
      <c r="A174" t="inlineStr">
        <is>
          <t>Skill + Buff Cast Rate</t>
        </is>
      </c>
      <c r="B174">
        <f>IF(AND(Inputs!$B$4&lt;&gt;"pvp",Inputs!$B$35&gt;0),SUMPRODUCT((Skills!E2:E23=TRUE)*(C145:C166=TRUE)*S145:S166)/Inputs!$B$35,SUMPRODUCT((Skills!E2:E23=TRUE)*(C145:C166=TRUE)*V145:V166))</f>
        <v/>
      </c>
    </row>
    <row r="175">
      <c r="A175" t="inlineStr">
        <is>
          <t>Chain Lightning Casts Per Second</t>
        </is>
      </c>
      <c r="B175">
        <f>MAX(0,B173-B174)</f>
        <v/>
      </c>
    </row>
    <row r="177">
      <c r="A177" s="5" t="inlineStr">
        <is>
          <t>TOTAL DPS</t>
        </is>
      </c>
      <c r="B177" s="5">
        <f>SUM(O145:O166)</f>
        <v/>
      </c>
    </row>
    <row r="180">
      <c r="A180" s="5" t="inlineStr">
        <is>
          <t>Stat: BOSS_DAMAGE %</t>
        </is>
      </c>
    </row>
    <row r="181">
      <c r="A181" s="8" t="inlineStr">
        <is>
          <t>Key</t>
        </is>
      </c>
      <c r="B181" s="8" t="inlineStr">
        <is>
          <t>Name</t>
        </is>
      </c>
      <c r="C181" s="8" t="inlineStr">
        <is>
          <t>Unlocked</t>
        </is>
      </c>
      <c r="D181" s="8" t="inlineStr">
        <is>
          <t>InputLevel</t>
        </is>
      </c>
      <c r="E181" s="8" t="inlineStr">
        <is>
          <t>Factor</t>
        </is>
      </c>
      <c r="F181" s="8" t="inlineStr">
        <is>
          <t>CoefficientPercent</t>
        </is>
      </c>
      <c r="G181" s="8" t="inlineStr">
        <is>
          <t>EffectiveHits</t>
        </is>
      </c>
      <c r="H181" s="8" t="inlineStr">
        <is>
          <t>ProcProbability</t>
        </is>
      </c>
      <c r="I181" s="8" t="inlineStr">
        <is>
          <t>MapleHeroMultiplier</t>
        </is>
      </c>
      <c r="J181" s="8" t="inlineStr">
        <is>
          <t>BaseDamage</t>
        </is>
      </c>
      <c r="K181" s="8" t="inlineStr">
        <is>
          <t>BaseHitDamage</t>
        </is>
      </c>
      <c r="L181" s="8" t="inlineStr">
        <is>
          <t>NonCritAvg</t>
        </is>
      </c>
      <c r="M181" s="8" t="inlineStr">
        <is>
          <t>CritAvg</t>
        </is>
      </c>
      <c r="N181" s="8" t="inlineStr">
        <is>
          <t>ExpectedDamage(perHit)</t>
        </is>
      </c>
      <c r="O181" s="8" t="inlineStr">
        <is>
          <t>DPS</t>
        </is>
      </c>
      <c r="P181" s="8" t="inlineStr">
        <is>
          <t>% of Total</t>
        </is>
      </c>
      <c r="R181" t="inlineStr">
        <is>
          <t>helpers</t>
        </is>
      </c>
    </row>
    <row r="182">
      <c r="A182">
        <f>Skills!A2</f>
        <v/>
      </c>
      <c r="B182">
        <f>Skills!B2</f>
        <v/>
      </c>
      <c r="C182">
        <f>Inputs!$B$3&gt;=100</f>
        <v/>
      </c>
      <c r="D182" t="inlineStr"/>
      <c r="E182" t="inlineStr"/>
      <c r="F182">
        <f>T184+Skills!N2</f>
        <v/>
      </c>
      <c r="G182">
        <f>Calc!G2</f>
        <v/>
      </c>
      <c r="H182">
        <f>Calc!H2</f>
        <v/>
      </c>
      <c r="I182">
        <f>IF(Skills!T2&lt;&gt;"",1+(Skills!T2/10)*(R183/1000)/100,1)</f>
        <v/>
      </c>
      <c r="J182">
        <f>((Inputs!$B$5*(1+Inputs!$B$6/100))+((Inputs!$B$11*(1+Inputs!$B$12/100))-(Inputs!$B$11*(1+Inputs!$B$12/100)))*(1+Inputs!$B$6/100))*(F182/100)</f>
        <v/>
      </c>
      <c r="K182">
        <f>J182*(1+((Inputs!$B$11*(1+Inputs!$B$12/100))*0.01+Inputs!$B$13*0.0025)/100)*(1+(Inputs!$B$14+B208)/100)*(1+IF(Inputs!$B$4="pvp",0,(1-Summary!$B$51)*((Inputs!$B$19+1)+Skills!O2+B207)+Summary!$B$51*(Inputs!$B$20+Skills!P2+B207))/100)*(1+Inputs!$B$15/100)*(5000/(6000+Inputs!$B$7*(1-Inputs!$B$18/100)))*(1+Inputs!$B$23/100)*(1+IF(C195=TRUE,F195,0)/100)*(1+IF(C203=TRUE,F203,0)/100)^5*(1+(IF(Skills!A2="CHAIN_LIGHTNING",Inputs!$B$16,Inputs!$B$17))/100)*(B206*I182)</f>
        <v/>
      </c>
      <c r="L182">
        <f>K182*(MIN(Inputs!$B$21+(F198-Calc!F18),Inputs!$B$22)/100+Inputs!$B$22/100)/2</f>
        <v/>
      </c>
      <c r="M182">
        <f>L182*(1+(Inputs!$B$9+(F201-Calc!F21))/100)</f>
        <v/>
      </c>
      <c r="N182">
        <f>L182*(1-MIN(Inputs!$B$8+((F200-Calc!F20)+(F199-Calc!F19)),100)/100)+M182*(MIN(Inputs!$B$8+((F200-Calc!F20)+(F199-Calc!F19)),100)/100)</f>
        <v/>
      </c>
      <c r="O182">
        <f>IF(C182,Skills!F2*N182*B212*IF(Inputs!$B$4="pvp",1,(1-Summary!$B$51)*(1)+Summary!$B$51*(MIN((6+Inputs!$B$32),Inputs!$B$37))),0)</f>
        <v/>
      </c>
      <c r="P182">
        <f>IF(B214=0,0,O182/B214)</f>
        <v/>
      </c>
      <c r="R182">
        <f>MAX(0,(Inputs!$B$3-100)*3)+Inputs!$B$27+Inputs!$B$28</f>
        <v/>
      </c>
      <c r="S182" t="n">
        <v>0</v>
      </c>
      <c r="T182">
        <f>MAX(0,(Inputs!$B$3-100)*3)+Inputs!$B$27+Inputs!$B$28</f>
        <v/>
      </c>
      <c r="V182">
        <f>IFERROR(1/IF(Inputs!$B$4="pvp",15,MAX(0.1,Skills!D2-IF(Skills!E2=TRUE,Inputs!$B$31,0))),0)</f>
        <v/>
      </c>
    </row>
    <row r="183">
      <c r="A183">
        <f>Skills!A3</f>
        <v/>
      </c>
      <c r="B183">
        <f>Skills!B3</f>
        <v/>
      </c>
      <c r="C183">
        <f>Inputs!$B$3&gt;=15</f>
        <v/>
      </c>
      <c r="D183">
        <f>IF(Skills!C3=1,60+Inputs!$B$24+Inputs!$B$28,IF(Skills!C3=2,90+Inputs!$B$25+Inputs!$B$28,IF(Skills!C3=3,120+Inputs!$B$26+Inputs!$B$28,MAX(0,(Inputs!$B$3-100)*3)+Inputs!$B$27+Inputs!$B$28)))</f>
        <v/>
      </c>
      <c r="E183">
        <f>INDEX(FactorTable!$B$2:$Y$301, MATCH(ROUND(MIN(300,MAX(1,D183)),0), FactorTable!$A$2:$A$301,0), Skills!L3+1)</f>
        <v/>
      </c>
      <c r="F183">
        <f>IF(Skills!M3=TRUE,(Skills!K3/10)*(E183/1000),Skills!K3/10)+Skills!N3</f>
        <v/>
      </c>
      <c r="G183">
        <f>Calc!G3</f>
        <v/>
      </c>
      <c r="H183">
        <f>Calc!H3</f>
        <v/>
      </c>
      <c r="I183">
        <f>IF(Skills!T3&lt;&gt;"",1+(Skills!T3/10)*(R183/1000)/100,1)</f>
        <v/>
      </c>
      <c r="J183" t="inlineStr"/>
      <c r="K183" t="inlineStr"/>
      <c r="L183" t="inlineStr"/>
      <c r="M183" t="inlineStr"/>
      <c r="N183" t="inlineStr"/>
      <c r="O183" t="n">
        <v>0</v>
      </c>
      <c r="P183">
        <f>IF(B214=0,0,O183/B214)</f>
        <v/>
      </c>
      <c r="R183">
        <f>INDEX(FactorTable!$B$2:$Y$301, MATCH(ROUND(MIN(300,MAX(1,R182)),0), FactorTable!$A$2:$A$301,0), 24)</f>
        <v/>
      </c>
      <c r="S183">
        <f>IF(AND(Inputs!$B$4&lt;&gt;"pvp",Inputs!$B$35&gt;0),(INT(Inputs!$B$35/IF(Inputs!$B$4="pvp",15,MAX(0.1,Skills!D3-IF(Skills!E3=TRUE,Inputs!$B$31,0))))+1),0)</f>
        <v/>
      </c>
      <c r="T183">
        <f>INDEX(FactorTable!$B$2:$Y$301, MATCH(ROUND(MIN(300,MAX(1,T182)),0), FactorTable!$A$2:$A$301,0), 22)</f>
        <v/>
      </c>
      <c r="V183">
        <f>IFERROR(1/IF(Inputs!$B$4="pvp",15,MAX(0.1,Skills!D3-IF(Skills!E3=TRUE,Inputs!$B$31,0))),0)</f>
        <v/>
      </c>
    </row>
    <row r="184">
      <c r="A184">
        <f>Skills!A4</f>
        <v/>
      </c>
      <c r="B184">
        <f>Skills!B4</f>
        <v/>
      </c>
      <c r="C184">
        <f>Inputs!$B$3&gt;=40</f>
        <v/>
      </c>
      <c r="D184">
        <f>IF(Skills!C4=1,60+Inputs!$B$24+Inputs!$B$28,IF(Skills!C4=2,90+Inputs!$B$25+Inputs!$B$28,IF(Skills!C4=3,120+Inputs!$B$26+Inputs!$B$28,MAX(0,(Inputs!$B$3-100)*3)+Inputs!$B$27+Inputs!$B$28)))</f>
        <v/>
      </c>
      <c r="E184">
        <f>INDEX(FactorTable!$B$2:$Y$301, MATCH(ROUND(MIN(300,MAX(1,D184)),0), FactorTable!$A$2:$A$301,0), Skills!L4+1)</f>
        <v/>
      </c>
      <c r="F184">
        <f>IF(Skills!M4=TRUE,(Skills!K4/10)*(E184/1000),Skills!K4/10)+Skills!N4</f>
        <v/>
      </c>
      <c r="G184">
        <f>Calc!G4</f>
        <v/>
      </c>
      <c r="H184">
        <f>Calc!H4</f>
        <v/>
      </c>
      <c r="I184">
        <f>IF(Skills!T4&lt;&gt;"",1+(Skills!T4/10)*(R183/1000)/100,1)</f>
        <v/>
      </c>
      <c r="J184" t="inlineStr"/>
      <c r="K184" t="inlineStr"/>
      <c r="L184" t="inlineStr"/>
      <c r="M184" t="inlineStr"/>
      <c r="N184" t="inlineStr"/>
      <c r="O184" t="n">
        <v>0</v>
      </c>
      <c r="P184">
        <f>IF(B214=0,0,O184/B214)</f>
        <v/>
      </c>
      <c r="S184">
        <f>IF(AND(Inputs!$B$4&lt;&gt;"pvp",Inputs!$B$35&gt;0),(INT(Inputs!$B$35/IF(Inputs!$B$4="pvp",15,MAX(0.1,Skills!D4-IF(Skills!E4=TRUE,Inputs!$B$31,0))))+1),0)</f>
        <v/>
      </c>
      <c r="T184">
        <f>290*T183/1000</f>
        <v/>
      </c>
      <c r="V184">
        <f>IFERROR(1/IF(Inputs!$B$4="pvp",15,MAX(0.1,Skills!D4-IF(Skills!E4=TRUE,Inputs!$B$31,0))),0)</f>
        <v/>
      </c>
    </row>
    <row r="185">
      <c r="A185">
        <f>Skills!A5</f>
        <v/>
      </c>
      <c r="B185">
        <f>Skills!B5</f>
        <v/>
      </c>
      <c r="C185">
        <f>Inputs!$B$3&gt;=38</f>
        <v/>
      </c>
      <c r="D185">
        <f>IF(Skills!C5=1,60+Inputs!$B$24+Inputs!$B$28,IF(Skills!C5=2,90+Inputs!$B$25+Inputs!$B$28,IF(Skills!C5=3,120+Inputs!$B$26+Inputs!$B$28,MAX(0,(Inputs!$B$3-100)*3)+Inputs!$B$27+Inputs!$B$28)))</f>
        <v/>
      </c>
      <c r="E185">
        <f>INDEX(FactorTable!$B$2:$Y$301, MATCH(ROUND(MIN(300,MAX(1,D185)),0), FactorTable!$A$2:$A$301,0), Skills!L5+1)</f>
        <v/>
      </c>
      <c r="F185">
        <f>IF(Skills!M5=TRUE,(Skills!K5/10)*(E185/1000),Skills!K5/10)+Skills!N5</f>
        <v/>
      </c>
      <c r="G185">
        <f>Calc!G5</f>
        <v/>
      </c>
      <c r="H185">
        <f>Calc!H5</f>
        <v/>
      </c>
      <c r="I185">
        <f>IF(Skills!T5&lt;&gt;"",1+(Skills!T5/10)*(R183/1000)/100,1)</f>
        <v/>
      </c>
      <c r="J185">
        <f>((Inputs!$B$5*(1+Inputs!$B$6/100))+((Inputs!$B$11*(1+Inputs!$B$12/100))-(Inputs!$B$11*(1+Inputs!$B$12/100)))*(1+Inputs!$B$6/100))*(F185/100)</f>
        <v/>
      </c>
      <c r="K185">
        <f>J185*(1+((Inputs!$B$11*(1+Inputs!$B$12/100))*0.01+Inputs!$B$13*0.0025)/100)*(1+(Inputs!$B$14+B208)/100)*(1+IF(Inputs!$B$4="pvp",0,(1-Summary!$B$51)*((Inputs!$B$19+1)+Skills!O5+B207)+Summary!$B$51*(Inputs!$B$20+Skills!P5+B207))/100)*(1+Inputs!$B$15/100)*(5000/(6000+Inputs!$B$7*(1-Inputs!$B$18/100)))*(1+Inputs!$B$23/100)*(1+IF(C195=TRUE,F195,0)/100)*(1+IF(C203=TRUE,F203,0)/100)^5*(1+(IF(Skills!A5="CHAIN_LIGHTNING",Inputs!$B$16,Inputs!$B$17))/100)*(B206*I185)</f>
        <v/>
      </c>
      <c r="L185">
        <f>K185*(MIN(Inputs!$B$21+(F198-Calc!F18),Inputs!$B$22)/100+Inputs!$B$22/100)/2</f>
        <v/>
      </c>
      <c r="M185">
        <f>L185*(1+(Inputs!$B$9+(F201-Calc!F21))/100)</f>
        <v/>
      </c>
      <c r="N185">
        <f>L185*(1-MIN(Inputs!$B$8+((F200-Calc!F20)+(F199-Calc!F19)),100)/100)+M185*(MIN(Inputs!$B$8+((F200-Calc!F20)+(F199-Calc!F19)),100)/100)</f>
        <v/>
      </c>
      <c r="O185">
        <f>IF(C185,H185*N185*IF(AND(Inputs!$B$4&lt;&gt;"pvp",Inputs!$B$35&gt;0),((Skills!F5*((S185-1)*IF(Skills!G5&gt;0,Skills!H5/Skills!G5,1)+IF(Skills!G5&gt;0,MIN(Skills!H5,MAX(0,Inputs!$B$35-((S185-1)*IF(Inputs!$B$4="pvp",15,MAX(0.1,Skills!D5-IF(Skills!E5=TRUE,Inputs!$B$31,0))))))/Skills!G5,1)))/Inputs!$B$35),G185*V185)*IF(Inputs!$B$4="pvp",1,(1-Summary!$B$51)*(1)+Summary!$B$51*(MIN(Skills!Q5,Inputs!$B$37))),0)</f>
        <v/>
      </c>
      <c r="P185">
        <f>IF(B214=0,0,O185/B214)</f>
        <v/>
      </c>
      <c r="S185">
        <f>IF(AND(Inputs!$B$4&lt;&gt;"pvp",Inputs!$B$35&gt;0),(INT(Inputs!$B$35/IF(Inputs!$B$4="pvp",15,MAX(0.1,Skills!D5-IF(Skills!E5=TRUE,Inputs!$B$31,0))))+1),0)</f>
        <v/>
      </c>
      <c r="V185">
        <f>IFERROR(1/IF(Inputs!$B$4="pvp",15,MAX(0.1,Skills!D5-IF(Skills!E5=TRUE,Inputs!$B$31,0))),0)</f>
        <v/>
      </c>
    </row>
    <row r="186">
      <c r="A186">
        <f>Skills!A6</f>
        <v/>
      </c>
      <c r="B186">
        <f>Skills!B6</f>
        <v/>
      </c>
      <c r="C186">
        <f>Inputs!$B$3&gt;=63</f>
        <v/>
      </c>
      <c r="D186">
        <f>IF(Skills!C6=1,60+Inputs!$B$24+Inputs!$B$28,IF(Skills!C6=2,90+Inputs!$B$25+Inputs!$B$28,IF(Skills!C6=3,120+Inputs!$B$26+Inputs!$B$28,MAX(0,(Inputs!$B$3-100)*3)+Inputs!$B$27+Inputs!$B$28)))</f>
        <v/>
      </c>
      <c r="E186">
        <f>INDEX(FactorTable!$B$2:$Y$301, MATCH(ROUND(MIN(300,MAX(1,D186)),0), FactorTable!$A$2:$A$301,0), Skills!L6+1)</f>
        <v/>
      </c>
      <c r="F186">
        <f>IF(Skills!M6=TRUE,(Skills!K6/10)*(E186/1000),Skills!K6/10)+Skills!N6</f>
        <v/>
      </c>
      <c r="G186">
        <f>Calc!G6</f>
        <v/>
      </c>
      <c r="H186">
        <f>Calc!H6</f>
        <v/>
      </c>
      <c r="I186">
        <f>IF(Skills!T6&lt;&gt;"",1+(Skills!T6/10)*(R183/1000)/100,1)</f>
        <v/>
      </c>
      <c r="J186">
        <f>((Inputs!$B$5*(1+Inputs!$B$6/100))+((Inputs!$B$11*(1+Inputs!$B$12/100))-(Inputs!$B$11*(1+Inputs!$B$12/100)))*(1+Inputs!$B$6/100))*(F186/100)</f>
        <v/>
      </c>
      <c r="K186">
        <f>J186*(1+((Inputs!$B$11*(1+Inputs!$B$12/100))*0.01+Inputs!$B$13*0.0025)/100)*(1+(Inputs!$B$14+B208)/100)*(1+IF(Inputs!$B$4="pvp",0,(1-Summary!$B$51)*((Inputs!$B$19+1)+Skills!O6+B207)+Summary!$B$51*(Inputs!$B$20+Skills!P6+B207))/100)*(1+Inputs!$B$15/100)*(5000/(6000+Inputs!$B$7*(1-Inputs!$B$18/100)))*(1+Inputs!$B$23/100)*(1+IF(C195=TRUE,F195,0)/100)*(1+IF(C203=TRUE,F203,0)/100)^5*(1+(IF(Skills!A6="CHAIN_LIGHTNING",Inputs!$B$16,Inputs!$B$17))/100)*(B206*I186)</f>
        <v/>
      </c>
      <c r="L186">
        <f>K186*(MIN(Inputs!$B$21+(F198-Calc!F18),Inputs!$B$22)/100+Inputs!$B$22/100)/2</f>
        <v/>
      </c>
      <c r="M186">
        <f>L186*(1+(Inputs!$B$9+(F201-Calc!F21))/100)</f>
        <v/>
      </c>
      <c r="N186">
        <f>L186*(1-MIN(Inputs!$B$8+((F200-Calc!F20)+(F199-Calc!F19)),100)/100)+M186*(MIN(Inputs!$B$8+((F200-Calc!F20)+(F199-Calc!F19)),100)/100)</f>
        <v/>
      </c>
      <c r="O186">
        <f>IF(C186,H186*N186*IF(AND(Inputs!$B$4&lt;&gt;"pvp",Inputs!$B$35&gt;0),((Skills!F6*((S186-1)*IF(Skills!G6&gt;0,Skills!H6/Skills!G6,1)+IF(Skills!G6&gt;0,MIN(Skills!H6,MAX(0,Inputs!$B$35-((S186-1)*IF(Inputs!$B$4="pvp",15,MAX(0.1,Skills!D6-IF(Skills!E6=TRUE,Inputs!$B$31,0))))))/Skills!G6,1)))/Inputs!$B$35),G186*V186)*IF(Inputs!$B$4="pvp",1,(1-Summary!$B$51)*(1)+Summary!$B$51*(MIN(Skills!Q6,Inputs!$B$37))),0)</f>
        <v/>
      </c>
      <c r="P186">
        <f>IF(B214=0,0,O186/B214)</f>
        <v/>
      </c>
      <c r="S186">
        <f>IF(AND(Inputs!$B$4&lt;&gt;"pvp",Inputs!$B$35&gt;0),(INT(Inputs!$B$35/IF(Inputs!$B$4="pvp",15,MAX(0.1,Skills!D6-IF(Skills!E6=TRUE,Inputs!$B$31,0))))+1),0)</f>
        <v/>
      </c>
      <c r="V186">
        <f>IFERROR(1/IF(Inputs!$B$4="pvp",15,MAX(0.1,Skills!D6-IF(Skills!E6=TRUE,Inputs!$B$31,0))),0)</f>
        <v/>
      </c>
    </row>
    <row r="187">
      <c r="A187">
        <f>Skills!A7</f>
        <v/>
      </c>
      <c r="B187">
        <f>Skills!B7</f>
        <v/>
      </c>
      <c r="C187">
        <f>Inputs!$B$3&gt;=69</f>
        <v/>
      </c>
      <c r="D187">
        <f>IF(Skills!C7=1,60+Inputs!$B$24+Inputs!$B$28,IF(Skills!C7=2,90+Inputs!$B$25+Inputs!$B$28,IF(Skills!C7=3,120+Inputs!$B$26+Inputs!$B$28,MAX(0,(Inputs!$B$3-100)*3)+Inputs!$B$27+Inputs!$B$28)))</f>
        <v/>
      </c>
      <c r="E187">
        <f>INDEX(FactorTable!$B$2:$Y$301, MATCH(ROUND(MIN(300,MAX(1,D187)),0), FactorTable!$A$2:$A$301,0), Skills!L7+1)</f>
        <v/>
      </c>
      <c r="F187">
        <f>IF(Skills!M7=TRUE,(Skills!K7/10)*(E187/1000),Skills!K7/10)+Skills!N7</f>
        <v/>
      </c>
      <c r="G187">
        <f>Calc!G7</f>
        <v/>
      </c>
      <c r="H187">
        <f>Calc!H7</f>
        <v/>
      </c>
      <c r="I187">
        <f>IF(Skills!T7&lt;&gt;"",1+(Skills!T7/10)*(R183/1000)/100,1)</f>
        <v/>
      </c>
      <c r="J187">
        <f>((Inputs!$B$5*(1+Inputs!$B$6/100))+((Inputs!$B$11*(1+Inputs!$B$12/100))-(Inputs!$B$11*(1+Inputs!$B$12/100)))*(1+Inputs!$B$6/100))*(F187/100)</f>
        <v/>
      </c>
      <c r="K187">
        <f>J187*(1+((Inputs!$B$11*(1+Inputs!$B$12/100))*0.01+Inputs!$B$13*0.0025)/100)*(1+(Inputs!$B$14+B208)/100)*(1+IF(Inputs!$B$4="pvp",0,(1-Summary!$B$51)*((Inputs!$B$19+1)+Skills!O7+B207)+Summary!$B$51*(Inputs!$B$20+Skills!P7+B207))/100)*(1+Inputs!$B$15/100)*(5000/(6000+Inputs!$B$7*(1-Inputs!$B$18/100)))*(1+Inputs!$B$23/100)*(1+IF(C195=TRUE,F195,0)/100)*(1+IF(C203=TRUE,F203,0)/100)^5*(1+(IF(Skills!A7="CHAIN_LIGHTNING",Inputs!$B$16,Inputs!$B$17))/100)*(B206*I187)</f>
        <v/>
      </c>
      <c r="L187">
        <f>K187*(MIN(Inputs!$B$21+(F198-Calc!F18),Inputs!$B$22)/100+Inputs!$B$22/100)/2</f>
        <v/>
      </c>
      <c r="M187">
        <f>L187*(1+(Inputs!$B$9+(F201-Calc!F21))/100)</f>
        <v/>
      </c>
      <c r="N187">
        <f>L187*(1-MIN(Inputs!$B$8+((F200-Calc!F20)+(F199-Calc!F19)),100)/100)+M187*(MIN(Inputs!$B$8+((F200-Calc!F20)+(F199-Calc!F19)),100)/100)</f>
        <v/>
      </c>
      <c r="O187">
        <f>IF(C187,H187*N187*IF(AND(Inputs!$B$4&lt;&gt;"pvp",Inputs!$B$35&gt;0),((Skills!F7*((S187-1)*IF(Skills!G7&gt;0,Skills!H7/Skills!G7,1)+IF(Skills!G7&gt;0,MIN(Skills!H7,MAX(0,Inputs!$B$35-((S187-1)*IF(Inputs!$B$4="pvp",15,MAX(0.1,Skills!D7-IF(Skills!E7=TRUE,Inputs!$B$31,0))))))/Skills!G7,1)))/Inputs!$B$35),G187*V187)*IF(Inputs!$B$4="pvp",1,(1-Summary!$B$51)*(1)+Summary!$B$51*(MIN(Skills!Q7,Inputs!$B$37))),0)</f>
        <v/>
      </c>
      <c r="P187">
        <f>IF(B214=0,0,O187/B214)</f>
        <v/>
      </c>
      <c r="S187">
        <f>IF(AND(Inputs!$B$4&lt;&gt;"pvp",Inputs!$B$35&gt;0),(INT(Inputs!$B$35/IF(Inputs!$B$4="pvp",15,MAX(0.1,Skills!D7-IF(Skills!E7=TRUE,Inputs!$B$31,0))))+1),0)</f>
        <v/>
      </c>
      <c r="V187">
        <f>IFERROR(1/IF(Inputs!$B$4="pvp",15,MAX(0.1,Skills!D7-IF(Skills!E7=TRUE,Inputs!$B$31,0))),0)</f>
        <v/>
      </c>
    </row>
    <row r="188">
      <c r="A188">
        <f>Skills!A8</f>
        <v/>
      </c>
      <c r="B188">
        <f>Skills!B8</f>
        <v/>
      </c>
      <c r="C188">
        <f>Inputs!$B$3&gt;=103</f>
        <v/>
      </c>
      <c r="D188">
        <f>IF(Skills!C8=1,60+Inputs!$B$24+Inputs!$B$28,IF(Skills!C8=2,90+Inputs!$B$25+Inputs!$B$28,IF(Skills!C8=3,120+Inputs!$B$26+Inputs!$B$28,MAX(0,(Inputs!$B$3-100)*3)+Inputs!$B$27+Inputs!$B$28)))</f>
        <v/>
      </c>
      <c r="E188">
        <f>INDEX(FactorTable!$B$2:$Y$301, MATCH(ROUND(MIN(300,MAX(1,D188)),0), FactorTable!$A$2:$A$301,0), Skills!L8+1)</f>
        <v/>
      </c>
      <c r="F188">
        <f>IF(Skills!M8=TRUE,(Skills!K8/10)*(E188/1000),Skills!K8/10)+Skills!N8</f>
        <v/>
      </c>
      <c r="G188">
        <f>Calc!G8</f>
        <v/>
      </c>
      <c r="H188">
        <f>Calc!H8</f>
        <v/>
      </c>
      <c r="I188">
        <f>IF(Skills!T8&lt;&gt;"",1+(Skills!T8/10)*(R183/1000)/100,1)</f>
        <v/>
      </c>
      <c r="J188">
        <f>((Inputs!$B$5*(1+Inputs!$B$6/100))+((Inputs!$B$11*(1+Inputs!$B$12/100))-(Inputs!$B$11*(1+Inputs!$B$12/100)))*(1+Inputs!$B$6/100))*(F188/100)</f>
        <v/>
      </c>
      <c r="K188">
        <f>J188*(1+((Inputs!$B$11*(1+Inputs!$B$12/100))*0.01+Inputs!$B$13*0.0025)/100)*(1+(Inputs!$B$14+B208)/100)*(1+IF(Inputs!$B$4="pvp",0,(1-Summary!$B$51)*((Inputs!$B$19+1)+Skills!O8+B207)+Summary!$B$51*(Inputs!$B$20+Skills!P8+B207))/100)*(1+Inputs!$B$15/100)*(5000/(6000+Inputs!$B$7*(1-Inputs!$B$18/100)))*(1+Inputs!$B$23/100)*(1+IF(C195=TRUE,F195,0)/100)*(1+IF(C203=TRUE,F203,0)/100)^5*(1+(IF(Skills!A8="CHAIN_LIGHTNING",Inputs!$B$16,Inputs!$B$17))/100)*(B206*I188)</f>
        <v/>
      </c>
      <c r="L188">
        <f>K188*(MIN(Inputs!$B$21+(F198-Calc!F18),Inputs!$B$22)/100+Inputs!$B$22/100)/2</f>
        <v/>
      </c>
      <c r="M188">
        <f>L188*(1+(Inputs!$B$9+(F201-Calc!F21))/100)</f>
        <v/>
      </c>
      <c r="N188">
        <f>L188*(1-MIN(Inputs!$B$8+((F200-Calc!F20)+(F199-Calc!F19)),100)/100)+M188*(MIN(Inputs!$B$8+((F200-Calc!F20)+(F199-Calc!F19)),100)/100)</f>
        <v/>
      </c>
      <c r="O188">
        <f>IF(C188,H188*N188*IF(AND(Inputs!$B$4&lt;&gt;"pvp",Inputs!$B$35&gt;0),((Skills!F8*((S188-1)*IF(Skills!G8&gt;0,Skills!H8/Skills!G8,1)+IF(Skills!G8&gt;0,MIN(Skills!H8,MAX(0,Inputs!$B$35-((S188-1)*IF(Inputs!$B$4="pvp",15,MAX(0.1,Skills!D8-IF(Skills!E8=TRUE,Inputs!$B$31,0))))))/Skills!G8,1)))/Inputs!$B$35),G188*V188)*IF(Inputs!$B$4="pvp",1,(1-Summary!$B$51)*(1)+Summary!$B$51*(MIN(Skills!Q8,Inputs!$B$37))),0)</f>
        <v/>
      </c>
      <c r="P188">
        <f>IF(B214=0,0,O188/B214)</f>
        <v/>
      </c>
      <c r="S188">
        <f>IF(AND(Inputs!$B$4&lt;&gt;"pvp",Inputs!$B$35&gt;0),(INT(Inputs!$B$35/IF(Inputs!$B$4="pvp",15,MAX(0.1,Skills!D8-IF(Skills!E8=TRUE,Inputs!$B$31,0))))+1),0)</f>
        <v/>
      </c>
      <c r="V188">
        <f>IFERROR(1/IF(Inputs!$B$4="pvp",15,MAX(0.1,Skills!D8-IF(Skills!E8=TRUE,Inputs!$B$31,0))),0)</f>
        <v/>
      </c>
    </row>
    <row r="189">
      <c r="A189">
        <f>Skills!A9</f>
        <v/>
      </c>
      <c r="B189">
        <f>Skills!B9</f>
        <v/>
      </c>
      <c r="C189">
        <f>Inputs!$B$3&gt;=105</f>
        <v/>
      </c>
      <c r="D189">
        <f>IF(Skills!C9=1,60+Inputs!$B$24+Inputs!$B$28,IF(Skills!C9=2,90+Inputs!$B$25+Inputs!$B$28,IF(Skills!C9=3,120+Inputs!$B$26+Inputs!$B$28,MAX(0,(Inputs!$B$3-100)*3)+Inputs!$B$27+Inputs!$B$28)))</f>
        <v/>
      </c>
      <c r="E189">
        <f>INDEX(FactorTable!$B$2:$Y$301, MATCH(ROUND(MIN(300,MAX(1,D189)),0), FactorTable!$A$2:$A$301,0), Skills!L9+1)</f>
        <v/>
      </c>
      <c r="F189">
        <f>IF(Skills!M9=TRUE,(Skills!K9/10)*(E189/1000),Skills!K9/10)+Skills!N9</f>
        <v/>
      </c>
      <c r="G189">
        <f>Calc!G9</f>
        <v/>
      </c>
      <c r="H189">
        <f>Calc!H9</f>
        <v/>
      </c>
      <c r="I189">
        <f>IF(Skills!T9&lt;&gt;"",1+(Skills!T9/10)*(R183/1000)/100,1)</f>
        <v/>
      </c>
      <c r="J189">
        <f>((Inputs!$B$5*(1+Inputs!$B$6/100))+((Inputs!$B$11*(1+Inputs!$B$12/100))-(Inputs!$B$11*(1+Inputs!$B$12/100)))*(1+Inputs!$B$6/100))*(F189/100)</f>
        <v/>
      </c>
      <c r="K189">
        <f>J189*(1+((Inputs!$B$11*(1+Inputs!$B$12/100))*0.01+Inputs!$B$13*0.0025)/100)*(1+(Inputs!$B$14+B208)/100)*(1+IF(Inputs!$B$4="pvp",0,(1-Summary!$B$51)*((Inputs!$B$19+1)+Skills!O9+B207)+Summary!$B$51*(Inputs!$B$20+Skills!P9+B207))/100)*(1+Inputs!$B$15/100)*(5000/(6000+Inputs!$B$7*(1-Inputs!$B$18/100)))*(1+Inputs!$B$23/100)*(1+IF(C195=TRUE,F195,0)/100)*(1+IF(C203=TRUE,F203,0)/100)^5*(1+(IF(Skills!A9="CHAIN_LIGHTNING",Inputs!$B$16,Inputs!$B$17))/100)*(B206*I189)</f>
        <v/>
      </c>
      <c r="L189">
        <f>K189*(MIN(Inputs!$B$21+(F198-Calc!F18),Inputs!$B$22)/100+Inputs!$B$22/100)/2</f>
        <v/>
      </c>
      <c r="M189">
        <f>L189*(1+(Inputs!$B$9+(F201-Calc!F21))/100)</f>
        <v/>
      </c>
      <c r="N189">
        <f>L189*(1-MIN(Inputs!$B$8+((F200-Calc!F20)+(F199-Calc!F19)),100)/100)+M189*(MIN(Inputs!$B$8+((F200-Calc!F20)+(F199-Calc!F19)),100)/100)</f>
        <v/>
      </c>
      <c r="O189">
        <f>IF(C189,H189*N189*IF(AND(Inputs!$B$4&lt;&gt;"pvp",Inputs!$B$35&gt;0),((Skills!F9*((S189-1)*IF(Skills!G9&gt;0,Skills!H9/Skills!G9,1)+IF(Skills!G9&gt;0,MIN(Skills!H9,MAX(0,Inputs!$B$35-((S189-1)*IF(Inputs!$B$4="pvp",15,MAX(0.1,Skills!D9-IF(Skills!E9=TRUE,Inputs!$B$31,0))))))/Skills!G9,1)))/Inputs!$B$35),G189*V189)*IF(Inputs!$B$4="pvp",1,(1-Summary!$B$51)*(1)+Summary!$B$51*(MIN(Skills!Q9,Inputs!$B$37))),0)</f>
        <v/>
      </c>
      <c r="P189">
        <f>IF(B214=0,0,O189/B214)</f>
        <v/>
      </c>
      <c r="S189">
        <f>IF(AND(Inputs!$B$4&lt;&gt;"pvp",Inputs!$B$35&gt;0),(INT(Inputs!$B$35/IF(Inputs!$B$4="pvp",15,MAX(0.1,Skills!D9-IF(Skills!E9=TRUE,Inputs!$B$31,0))))+1),0)</f>
        <v/>
      </c>
      <c r="V189">
        <f>IFERROR(1/IF(Inputs!$B$4="pvp",15,MAX(0.1,Skills!D9-IF(Skills!E9=TRUE,Inputs!$B$31,0))),0)</f>
        <v/>
      </c>
    </row>
    <row r="190">
      <c r="A190">
        <f>Skills!A10</f>
        <v/>
      </c>
      <c r="B190">
        <f>Skills!B10</f>
        <v/>
      </c>
      <c r="C190">
        <f>Inputs!$B$3&gt;=113</f>
        <v/>
      </c>
      <c r="D190">
        <f>IF(Skills!C10=1,60+Inputs!$B$24+Inputs!$B$28,IF(Skills!C10=2,90+Inputs!$B$25+Inputs!$B$28,IF(Skills!C10=3,120+Inputs!$B$26+Inputs!$B$28,MAX(0,(Inputs!$B$3-100)*3)+Inputs!$B$27+Inputs!$B$28)))</f>
        <v/>
      </c>
      <c r="E190">
        <f>INDEX(FactorTable!$B$2:$Y$301, MATCH(ROUND(MIN(300,MAX(1,D190)),0), FactorTable!$A$2:$A$301,0), Skills!L10+1)</f>
        <v/>
      </c>
      <c r="F190">
        <f>IF(Skills!M10=TRUE,(Skills!K10/10)*(E190/1000),Skills!K10/10)+Skills!N10</f>
        <v/>
      </c>
      <c r="G190">
        <f>Calc!G10</f>
        <v/>
      </c>
      <c r="H190">
        <f>Calc!H10</f>
        <v/>
      </c>
      <c r="I190">
        <f>IF(Skills!T10&lt;&gt;"",1+(Skills!T10/10)*(R183/1000)/100,1)</f>
        <v/>
      </c>
      <c r="J190">
        <f>((Inputs!$B$5*(1+Inputs!$B$6/100))+((Inputs!$B$11*(1+Inputs!$B$12/100))-(Inputs!$B$11*(1+Inputs!$B$12/100)))*(1+Inputs!$B$6/100))*(F190/100)</f>
        <v/>
      </c>
      <c r="K190">
        <f>J190*(1+((Inputs!$B$11*(1+Inputs!$B$12/100))*0.01+Inputs!$B$13*0.0025)/100)*(1+(Inputs!$B$14+B208)/100)*(1+IF(Inputs!$B$4="pvp",0,(1-Summary!$B$51)*((Inputs!$B$19+1)+Skills!O10+B207)+Summary!$B$51*(Inputs!$B$20+Skills!P10+B207))/100)*(1+Inputs!$B$15/100)*(5000/(6000+Inputs!$B$7*(1-Inputs!$B$18/100)))*(1+Inputs!$B$23/100)*(1+IF(C195=TRUE,F195,0)/100)*(1+IF(C203=TRUE,F203,0)/100)^5*(1+(IF(Skills!A10="CHAIN_LIGHTNING",Inputs!$B$16,Inputs!$B$17))/100)*(B206*I190)</f>
        <v/>
      </c>
      <c r="L190">
        <f>K190*(MIN(Inputs!$B$21+(F198-Calc!F18),Inputs!$B$22)/100+Inputs!$B$22/100)/2</f>
        <v/>
      </c>
      <c r="M190">
        <f>L190*(1+(Inputs!$B$9+(F201-Calc!F21))/100)</f>
        <v/>
      </c>
      <c r="N190">
        <f>L190*(1-MIN(Inputs!$B$8+((F200-Calc!F20)+(F199-Calc!F19)),100)/100)+M190*(MIN(Inputs!$B$8+((F200-Calc!F20)+(F199-Calc!F19)),100)/100)</f>
        <v/>
      </c>
      <c r="O190">
        <f>IF(C190,H190*N190*IF(AND(Inputs!$B$4&lt;&gt;"pvp",Inputs!$B$35&gt;0),((Skills!F10*((S190-1)*IF(Skills!G10&gt;0,Skills!H10/Skills!G10,1)+IF(Skills!G10&gt;0,MIN(Skills!H10,MAX(0,Inputs!$B$35-((S190-1)*IF(Inputs!$B$4="pvp",15,MAX(0.1,Skills!D10-IF(Skills!E9=TRUE,Inputs!$B$31,0))))))/Skills!G10,1)))/Inputs!$B$35),G190*V190)*IF(Inputs!$B$4="pvp",1,(1-Summary!$B$51)*(1)+Summary!$B$51*(MIN(Skills!Q10,Inputs!$B$37))),0)</f>
        <v/>
      </c>
      <c r="P190">
        <f>IF(B214=0,0,O190/B214)</f>
        <v/>
      </c>
      <c r="S190">
        <f>IF(AND(Inputs!$B$4&lt;&gt;"pvp",Inputs!$B$35&gt;0),(INT(Inputs!$B$35/IF(Inputs!$B$4="pvp",15,MAX(0.1,Skills!D10-IF(Skills!E9=TRUE,Inputs!$B$31,0))))+1),0)</f>
        <v/>
      </c>
      <c r="V190">
        <f>IFERROR(1/IF(Inputs!$B$4="pvp",15,MAX(0.1,Skills!D10-IF(Skills!E9=TRUE,Inputs!$B$31,0))),0)</f>
        <v/>
      </c>
    </row>
    <row r="191">
      <c r="A191">
        <f>Skills!A11</f>
        <v/>
      </c>
      <c r="B191">
        <f>Skills!B11</f>
        <v/>
      </c>
      <c r="C191">
        <f>Inputs!$B$3&gt;=107</f>
        <v/>
      </c>
      <c r="D191">
        <f>IF(Skills!C11=1,60+Inputs!$B$24+Inputs!$B$28,IF(Skills!C11=2,90+Inputs!$B$25+Inputs!$B$28,IF(Skills!C11=3,120+Inputs!$B$26+Inputs!$B$28,MAX(0,(Inputs!$B$3-100)*3)+Inputs!$B$27+Inputs!$B$28)))</f>
        <v/>
      </c>
      <c r="E191">
        <f>INDEX(FactorTable!$B$2:$Y$301, MATCH(ROUND(MIN(300,MAX(1,D191)),0), FactorTable!$A$2:$A$301,0), Skills!L11+1)</f>
        <v/>
      </c>
      <c r="F191">
        <f>IF(Skills!M11=TRUE,(Skills!K11/10)*(E191/1000),Skills!K11/10)+Skills!N11</f>
        <v/>
      </c>
      <c r="G191">
        <f>Calc!G11</f>
        <v/>
      </c>
      <c r="H191">
        <f>Calc!H11</f>
        <v/>
      </c>
      <c r="I191">
        <f>IF(Skills!T11&lt;&gt;"",1+(Skills!T11/10)*(R183/1000)/100,1)</f>
        <v/>
      </c>
      <c r="J191">
        <f>((Inputs!$B$5*(1+Inputs!$B$6/100))+((Inputs!$B$11*(1+Inputs!$B$12/100))-(Inputs!$B$11*(1+Inputs!$B$12/100)))*(1+Inputs!$B$6/100))*(F191/100)</f>
        <v/>
      </c>
      <c r="K191">
        <f>J191*(1+((Inputs!$B$11*(1+Inputs!$B$12/100))*0.01+Inputs!$B$13*0.0025)/100)*(1+(Inputs!$B$14+B208)/100)*(1+IF(Inputs!$B$4="pvp",0,(1-Summary!$B$51)*((Inputs!$B$19+1)+Skills!O11+B207)+Summary!$B$51*(Inputs!$B$20+Skills!P11+B207))/100)*(1+Inputs!$B$15/100)*(5000/(6000+Inputs!$B$7*(1-Inputs!$B$18/100)))*(1+Inputs!$B$23/100)*(1+IF(C195=TRUE,F195,0)/100)*(1+IF(C203=TRUE,F203,0)/100)^5*(1+(IF(Skills!A11="CHAIN_LIGHTNING",Inputs!$B$16,Inputs!$B$17))/100)*(B206*I191)</f>
        <v/>
      </c>
      <c r="L191">
        <f>K191*(MIN(Inputs!$B$21+(F198-Calc!F18),Inputs!$B$22)/100+Inputs!$B$22/100)/2</f>
        <v/>
      </c>
      <c r="M191">
        <f>L191*(1+(Inputs!$B$9+(F201-Calc!F21))/100)</f>
        <v/>
      </c>
      <c r="N191">
        <f>L191*(1-MIN(Inputs!$B$8+((F200-Calc!F20)+(F199-Calc!F19)),100)/100)+M191*(MIN(Inputs!$B$8+((F200-Calc!F20)+(F199-Calc!F19)),100)/100)</f>
        <v/>
      </c>
      <c r="O191">
        <f>IF(C191,H191*N191*IF(AND(Inputs!$B$4&lt;&gt;"pvp",Inputs!$B$35&gt;0),((Skills!F11*((S191-1)*IF(Skills!G11&gt;0,Skills!H11/Skills!G11,1)+IF(Skills!G11&gt;0,MIN(Skills!H11,MAX(0,Inputs!$B$35-((S191-1)*IF(Inputs!$B$4="pvp",15,MAX(0.1,Skills!D11-IF(Skills!E11=TRUE,Inputs!$B$31,0))))))/Skills!G11,1)))/Inputs!$B$35),G191*V191)*IF(Inputs!$B$4="pvp",0.5,(1-Summary!$B$51)*0.5+Summary!$B$51*1)*IF(Inputs!$B$4="pvp",1,(1-Summary!$B$51)*(1)+Summary!$B$51*(MIN(Skills!Q11,Inputs!$B$37))),0)</f>
        <v/>
      </c>
      <c r="P191">
        <f>IF(B214=0,0,O191/B214)</f>
        <v/>
      </c>
      <c r="S191">
        <f>IF(AND(Inputs!$B$4&lt;&gt;"pvp",Inputs!$B$35&gt;0),(INT(Inputs!$B$35/IF(Inputs!$B$4="pvp",15,MAX(0.1,Skills!D11-IF(Skills!E11=TRUE,Inputs!$B$31,0))))+1),0)</f>
        <v/>
      </c>
      <c r="V191">
        <f>IFERROR(1/IF(Inputs!$B$4="pvp",15,MAX(0.1,Skills!D11-IF(Skills!E11=TRUE,Inputs!$B$31,0))),0)</f>
        <v/>
      </c>
    </row>
    <row r="192">
      <c r="A192">
        <f>Skills!A12</f>
        <v/>
      </c>
      <c r="B192">
        <f>Skills!B12</f>
        <v/>
      </c>
      <c r="C192">
        <f>Inputs!$B$3&gt;=115</f>
        <v/>
      </c>
      <c r="D192">
        <f>IF(Skills!C12=1,60+Inputs!$B$24+Inputs!$B$28,IF(Skills!C12=2,90+Inputs!$B$25+Inputs!$B$28,IF(Skills!C12=3,120+Inputs!$B$26+Inputs!$B$28,MAX(0,(Inputs!$B$3-100)*3)+Inputs!$B$27+Inputs!$B$28)))</f>
        <v/>
      </c>
      <c r="E192">
        <f>INDEX(FactorTable!$B$2:$Y$301, MATCH(ROUND(MIN(300,MAX(1,D192)),0), FactorTable!$A$2:$A$301,0), Skills!L12+1)</f>
        <v/>
      </c>
      <c r="F192">
        <f>IF(Skills!M12=TRUE,(Skills!K12/10)*(E192/1000),Skills!K12/10)+Skills!N12</f>
        <v/>
      </c>
      <c r="G192">
        <f>Calc!G12</f>
        <v/>
      </c>
      <c r="H192">
        <f>Calc!H12</f>
        <v/>
      </c>
      <c r="I192">
        <f>IF(Skills!T12&lt;&gt;"",1+(Skills!T12/10)*(R183/1000)/100,1)</f>
        <v/>
      </c>
      <c r="J192">
        <f>((Inputs!$B$5*(1+Inputs!$B$6/100))+((Inputs!$B$11*(1+Inputs!$B$12/100))-(Inputs!$B$11*(1+Inputs!$B$12/100)))*(1+Inputs!$B$6/100))*(F192/100)</f>
        <v/>
      </c>
      <c r="K192">
        <f>J192*(1+((Inputs!$B$11*(1+Inputs!$B$12/100))*0.01+Inputs!$B$13*0.0025)/100)*(1+(Inputs!$B$14+B208)/100)*(1+IF(Inputs!$B$4="pvp",0,(1-Summary!$B$51)*((Inputs!$B$19+1)+Skills!O12+B207)+Summary!$B$51*(Inputs!$B$20+Skills!P12+B207))/100)*(1+Inputs!$B$15/100)*(5000/(6000+Inputs!$B$7*(1-Inputs!$B$18/100)))*(1+Inputs!$B$23/100)*(1+IF(C195=TRUE,F195,0)/100)*(1+IF(C203=TRUE,F203,0)/100)^5*(1+(IF(Skills!A12="CHAIN_LIGHTNING",Inputs!$B$16,Inputs!$B$17))/100)*(B206*I192)</f>
        <v/>
      </c>
      <c r="L192">
        <f>K192*(MIN(Inputs!$B$21+(F198-Calc!F18),Inputs!$B$22)/100+Inputs!$B$22/100)/2</f>
        <v/>
      </c>
      <c r="M192">
        <f>L192*(1+(Inputs!$B$9+(F201-Calc!F21))/100)</f>
        <v/>
      </c>
      <c r="N192">
        <f>L192*(1-MIN(Inputs!$B$8+((F200-Calc!F20)+(F199-Calc!F19)),100)/100)+M192*(MIN(Inputs!$B$8+((F200-Calc!F20)+(F199-Calc!F19)),100)/100)</f>
        <v/>
      </c>
      <c r="O192">
        <f>IF(C192,H192*N192*IF(AND(Inputs!$B$4&lt;&gt;"pvp",Inputs!$B$35&gt;0),((Skills!F12*((S192-1)*IF(Skills!G12&gt;0,Skills!H12/Skills!G12,1)+IF(Skills!G12&gt;0,MIN(Skills!H12,MAX(0,Inputs!$B$35-((S192-1)*IF(Inputs!$B$4="pvp",15,MAX(0.1,Skills!D12-IF(Skills!E12=TRUE,Inputs!$B$31,0))))))/Skills!G12,1)))/Inputs!$B$35),G192*V192)*IF(Inputs!$B$4="pvp",1,(1-Summary!$B$51)*(1)+Summary!$B$51*(MIN(Skills!Q12,Inputs!$B$37))),0)</f>
        <v/>
      </c>
      <c r="P192">
        <f>IF(B214=0,0,O192/B214)</f>
        <v/>
      </c>
      <c r="S192">
        <f>IF(AND(Inputs!$B$4&lt;&gt;"pvp",Inputs!$B$35&gt;0),(INT(Inputs!$B$35/IF(Inputs!$B$4="pvp",15,MAX(0.1,Skills!D12-IF(Skills!E12=TRUE,Inputs!$B$31,0))))+1),0)</f>
        <v/>
      </c>
      <c r="V192">
        <f>IFERROR(1/IF(Inputs!$B$4="pvp",15,MAX(0.1,Skills!D12-IF(Skills!E12=TRUE,Inputs!$B$31,0))),0)</f>
        <v/>
      </c>
    </row>
    <row r="193">
      <c r="A193">
        <f>Skills!A13</f>
        <v/>
      </c>
      <c r="B193">
        <f>Skills!B13</f>
        <v/>
      </c>
      <c r="C193">
        <f>Inputs!$B$3&gt;=49</f>
        <v/>
      </c>
      <c r="D193">
        <f>IF(Skills!C13=1,60+Inputs!$B$24+Inputs!$B$28,IF(Skills!C13=2,90+Inputs!$B$25+Inputs!$B$28,IF(Skills!C13=3,120+Inputs!$B$26+Inputs!$B$28,MAX(0,(Inputs!$B$3-100)*3)+Inputs!$B$27+Inputs!$B$28)))</f>
        <v/>
      </c>
      <c r="E193">
        <f>INDEX(FactorTable!$B$2:$Y$301, MATCH(ROUND(MIN(300,MAX(1,D193)),0), FactorTable!$A$2:$A$301,0), Skills!L13+1)</f>
        <v/>
      </c>
      <c r="F193">
        <f>IF(Skills!M13=TRUE,(Skills!K13/10)*(E193/1000),Skills!K13/10)+Skills!N13</f>
        <v/>
      </c>
      <c r="G193">
        <f>Calc!G13</f>
        <v/>
      </c>
      <c r="H193">
        <f>Calc!H13</f>
        <v/>
      </c>
      <c r="I193">
        <f>IF(Skills!T13&lt;&gt;"",1+(Skills!T13/10)*(R183/1000)/100,1)</f>
        <v/>
      </c>
      <c r="J193" t="inlineStr"/>
      <c r="K193" t="inlineStr"/>
      <c r="L193" t="inlineStr"/>
      <c r="M193" t="inlineStr"/>
      <c r="N193" t="inlineStr"/>
      <c r="O193" t="n">
        <v>0</v>
      </c>
      <c r="P193">
        <f>IF(B214=0,0,O193/B214)</f>
        <v/>
      </c>
      <c r="S193" t="n">
        <v>0</v>
      </c>
      <c r="V193">
        <f>IFERROR(1/IF(Inputs!$B$4="pvp",15,MAX(0.1,Skills!D13-IF(Skills!E13=TRUE,Inputs!$B$31,0))),0)</f>
        <v/>
      </c>
    </row>
    <row r="194">
      <c r="A194">
        <f>Skills!A14</f>
        <v/>
      </c>
      <c r="B194">
        <f>Skills!B14</f>
        <v/>
      </c>
      <c r="C194">
        <f>Inputs!$B$3&gt;=72</f>
        <v/>
      </c>
      <c r="D194">
        <f>IF(Skills!C14=1,60+Inputs!$B$24+Inputs!$B$28,IF(Skills!C14=2,90+Inputs!$B$25+Inputs!$B$28,IF(Skills!C14=3,120+Inputs!$B$26+Inputs!$B$28,MAX(0,(Inputs!$B$3-100)*3)+Inputs!$B$27+Inputs!$B$28)))</f>
        <v/>
      </c>
      <c r="E194">
        <f>INDEX(FactorTable!$B$2:$Y$301, MATCH(ROUND(MIN(300,MAX(1,D194)),0), FactorTable!$A$2:$A$301,0), Skills!L14+1)</f>
        <v/>
      </c>
      <c r="F194">
        <f>IF(Skills!M14=TRUE,(Skills!K14/10)*(E194/1000),Skills!K14/10)+Skills!N14</f>
        <v/>
      </c>
      <c r="G194">
        <f>Calc!G14</f>
        <v/>
      </c>
      <c r="H194">
        <f>Calc!H14</f>
        <v/>
      </c>
      <c r="I194">
        <f>IF(Skills!T14&lt;&gt;"",1+(Skills!T14/10)*(R183/1000)/100,1)</f>
        <v/>
      </c>
      <c r="J194" t="inlineStr"/>
      <c r="K194" t="inlineStr"/>
      <c r="L194" t="inlineStr"/>
      <c r="M194" t="inlineStr"/>
      <c r="N194" t="inlineStr"/>
      <c r="O194" t="n">
        <v>0</v>
      </c>
      <c r="P194">
        <f>IF(B214=0,0,O194/B214)</f>
        <v/>
      </c>
      <c r="S194" t="n">
        <v>0</v>
      </c>
      <c r="V194">
        <f>IFERROR(1/IF(Inputs!$B$4="pvp",15,MAX(0.1,Skills!D14-IF(Skills!E14=TRUE,Inputs!$B$31,0))),0)</f>
        <v/>
      </c>
    </row>
    <row r="195">
      <c r="A195">
        <f>Skills!A15</f>
        <v/>
      </c>
      <c r="B195">
        <f>Skills!B15</f>
        <v/>
      </c>
      <c r="C195">
        <f>Inputs!$B$3&gt;=75</f>
        <v/>
      </c>
      <c r="D195">
        <f>IF(Skills!C15=1,60+Inputs!$B$24+Inputs!$B$28,IF(Skills!C15=2,90+Inputs!$B$25+Inputs!$B$28,IF(Skills!C15=3,120+Inputs!$B$26+Inputs!$B$28,MAX(0,(Inputs!$B$3-100)*3)+Inputs!$B$27+Inputs!$B$28)))</f>
        <v/>
      </c>
      <c r="E195">
        <f>INDEX(FactorTable!$B$2:$Y$301, MATCH(ROUND(MIN(300,MAX(1,D195)),0), FactorTable!$A$2:$A$301,0), Skills!L15+1)</f>
        <v/>
      </c>
      <c r="F195">
        <f>IF(Skills!M15=TRUE,(Skills!K15/10)*(E195/1000),Skills!K15/10)+Skills!N15</f>
        <v/>
      </c>
      <c r="G195">
        <f>Calc!G15</f>
        <v/>
      </c>
      <c r="H195">
        <f>Calc!H15</f>
        <v/>
      </c>
      <c r="I195">
        <f>IF(Skills!T15&lt;&gt;"",1+(Skills!T15/10)*(R183/1000)/100,1)</f>
        <v/>
      </c>
      <c r="J195" t="inlineStr"/>
      <c r="K195" t="inlineStr"/>
      <c r="L195" t="inlineStr"/>
      <c r="M195" t="inlineStr"/>
      <c r="N195" t="inlineStr"/>
      <c r="O195" t="n">
        <v>0</v>
      </c>
      <c r="P195">
        <f>IF(B214=0,0,O195/B214)</f>
        <v/>
      </c>
      <c r="S195" t="n">
        <v>0</v>
      </c>
      <c r="V195">
        <f>IFERROR(1/IF(Inputs!$B$4="pvp",15,MAX(0.1,Skills!D15-IF(Skills!E15=TRUE,Inputs!$B$31,0))),0)</f>
        <v/>
      </c>
    </row>
    <row r="196">
      <c r="A196">
        <f>Skills!A16</f>
        <v/>
      </c>
      <c r="B196">
        <f>Skills!B16</f>
        <v/>
      </c>
      <c r="C196">
        <f>Inputs!$B$3&gt;=110</f>
        <v/>
      </c>
      <c r="D196">
        <f>IF(Skills!C16=1,60+Inputs!$B$24+Inputs!$B$28,IF(Skills!C16=2,90+Inputs!$B$25+Inputs!$B$28,IF(Skills!C16=3,120+Inputs!$B$26+Inputs!$B$28,MAX(0,(Inputs!$B$3-100)*3)+Inputs!$B$27+Inputs!$B$28)))</f>
        <v/>
      </c>
      <c r="E196">
        <f>INDEX(FactorTable!$B$2:$Y$301, MATCH(ROUND(MIN(300,MAX(1,D196)),0), FactorTable!$A$2:$A$301,0), Skills!L16+1)</f>
        <v/>
      </c>
      <c r="F196">
        <f>(Skills!K16/10)*(E196/1000)*64/45+Skills!N16</f>
        <v/>
      </c>
      <c r="G196">
        <f>Calc!G16</f>
        <v/>
      </c>
      <c r="H196">
        <f>Calc!H16</f>
        <v/>
      </c>
      <c r="I196">
        <f>IF(Skills!T16&lt;&gt;"",1+(Skills!T16/10)*(R183/1000)/100,1)</f>
        <v/>
      </c>
      <c r="J196" t="inlineStr"/>
      <c r="K196" t="inlineStr"/>
      <c r="L196" t="inlineStr"/>
      <c r="M196" t="inlineStr"/>
      <c r="N196" t="inlineStr"/>
      <c r="O196" t="n">
        <v>0</v>
      </c>
      <c r="P196">
        <f>IF(B214=0,0,O196/B214)</f>
        <v/>
      </c>
      <c r="S196">
        <f>IF(AND(Inputs!$B$4&lt;&gt;"pvp",Inputs!$B$35&gt;0),(INT(Inputs!$B$35/IF(Inputs!$B$4="pvp",15,MAX(0.1,Skills!D16-IF(Skills!E16=TRUE,Inputs!$B$31,0))))+1),0)</f>
        <v/>
      </c>
      <c r="V196">
        <f>IFERROR(1/IF(Inputs!$B$4="pvp",15,MAX(0.1,Skills!D16-IF(Skills!E16=TRUE,Inputs!$B$31,0))),0)</f>
        <v/>
      </c>
    </row>
    <row r="197">
      <c r="A197">
        <f>Skills!A17</f>
        <v/>
      </c>
      <c r="B197">
        <f>Skills!B17</f>
        <v/>
      </c>
      <c r="C197">
        <f>Inputs!$B$3&gt;=33</f>
        <v/>
      </c>
      <c r="D197">
        <f>IF(Skills!C17=1,60+Inputs!$B$24+Inputs!$B$28,IF(Skills!C17=2,90+Inputs!$B$25+Inputs!$B$28,IF(Skills!C17=3,120+Inputs!$B$26+Inputs!$B$28,MAX(0,(Inputs!$B$3-100)*3)+Inputs!$B$27+Inputs!$B$28)))</f>
        <v/>
      </c>
      <c r="E197">
        <f>INDEX(FactorTable!$B$2:$Y$301, MATCH(ROUND(MIN(300,MAX(1,D197)),0), FactorTable!$A$2:$A$301,0), Skills!L17+1)</f>
        <v/>
      </c>
      <c r="F197">
        <f>IF(Skills!M17=TRUE,(Skills!K17/10)*(E197/1000),Skills!K17/10)+Skills!N17</f>
        <v/>
      </c>
      <c r="G197">
        <f>Calc!G17</f>
        <v/>
      </c>
      <c r="H197">
        <f>Calc!H17</f>
        <v/>
      </c>
      <c r="I197">
        <f>IF(Skills!T17&lt;&gt;"",1+(Skills!T17/10)*(R183/1000)/100,1)</f>
        <v/>
      </c>
      <c r="J197" t="inlineStr"/>
      <c r="K197" t="inlineStr"/>
      <c r="L197" t="inlineStr"/>
      <c r="M197" t="inlineStr"/>
      <c r="N197" t="inlineStr"/>
      <c r="O197" t="n">
        <v>0</v>
      </c>
      <c r="P197">
        <f>IF(B214=0,0,O197/B214)</f>
        <v/>
      </c>
      <c r="S197" t="n">
        <v>0</v>
      </c>
      <c r="V197">
        <f>IFERROR(1/IF(Inputs!$B$4="pvp",15,MAX(0.1,Skills!D17-IF(Skills!E17=TRUE,Inputs!$B$31,0))),0)</f>
        <v/>
      </c>
    </row>
    <row r="198">
      <c r="A198">
        <f>Skills!A18</f>
        <v/>
      </c>
      <c r="B198">
        <f>Skills!B18</f>
        <v/>
      </c>
      <c r="C198">
        <f>Inputs!$B$3&gt;=43</f>
        <v/>
      </c>
      <c r="D198">
        <f>IF(Skills!C18=1,60+Inputs!$B$24+Inputs!$B$28,IF(Skills!C18=2,90+Inputs!$B$25+Inputs!$B$28,IF(Skills!C18=3,120+Inputs!$B$26+Inputs!$B$28,MAX(0,(Inputs!$B$3-100)*3)+Inputs!$B$27+Inputs!$B$28)))</f>
        <v/>
      </c>
      <c r="E198">
        <f>INDEX(FactorTable!$B$2:$Y$301, MATCH(ROUND(MIN(300,MAX(1,D198)),0), FactorTable!$A$2:$A$301,0), Skills!L18+1)</f>
        <v/>
      </c>
      <c r="F198">
        <f>IF(Skills!M18=TRUE,(Skills!K18/10)*(E198/1000),Skills!K18/10)+Skills!N18</f>
        <v/>
      </c>
      <c r="G198">
        <f>Calc!G18</f>
        <v/>
      </c>
      <c r="H198">
        <f>Calc!H18</f>
        <v/>
      </c>
      <c r="I198">
        <f>IF(Skills!T18&lt;&gt;"",1+(Skills!T18/10)*(R183/1000)/100,1)</f>
        <v/>
      </c>
      <c r="J198" t="inlineStr"/>
      <c r="K198" t="inlineStr"/>
      <c r="L198" t="inlineStr"/>
      <c r="M198" t="inlineStr"/>
      <c r="N198" t="inlineStr"/>
      <c r="O198" t="n">
        <v>0</v>
      </c>
      <c r="P198">
        <f>IF(B214=0,0,O198/B214)</f>
        <v/>
      </c>
      <c r="S198" t="n">
        <v>0</v>
      </c>
      <c r="V198">
        <f>IFERROR(1/IF(Inputs!$B$4="pvp",15,MAX(0.1,Skills!D18-IF(Skills!E18=TRUE,Inputs!$B$31,0))),0)</f>
        <v/>
      </c>
    </row>
    <row r="199">
      <c r="A199">
        <f>Skills!A19</f>
        <v/>
      </c>
      <c r="B199">
        <f>Skills!B19</f>
        <v/>
      </c>
      <c r="C199">
        <f>Inputs!$B$3&gt;=50</f>
        <v/>
      </c>
      <c r="D199">
        <f>IF(Skills!C19=1,60+Inputs!$B$24+Inputs!$B$28,IF(Skills!C19=2,90+Inputs!$B$25+Inputs!$B$28,IF(Skills!C19=3,120+Inputs!$B$26+Inputs!$B$28,MAX(0,(Inputs!$B$3-100)*3)+Inputs!$B$27+Inputs!$B$28)))</f>
        <v/>
      </c>
      <c r="E199">
        <f>INDEX(FactorTable!$B$2:$Y$301, MATCH(ROUND(MIN(300,MAX(1,D199)),0), FactorTable!$A$2:$A$301,0), Skills!L19+1)</f>
        <v/>
      </c>
      <c r="F199">
        <f>IF(Skills!M19=TRUE,(Skills!K19/10)*(E199/1000),Skills!K19/10)+Skills!N19</f>
        <v/>
      </c>
      <c r="G199">
        <f>Calc!G19</f>
        <v/>
      </c>
      <c r="H199">
        <f>Calc!H19</f>
        <v/>
      </c>
      <c r="I199">
        <f>IF(Skills!T19&lt;&gt;"",1+(Skills!T19/10)*(R183/1000)/100,1)</f>
        <v/>
      </c>
      <c r="J199" t="inlineStr"/>
      <c r="K199" t="inlineStr"/>
      <c r="L199" t="inlineStr"/>
      <c r="M199" t="inlineStr"/>
      <c r="N199" t="inlineStr"/>
      <c r="O199" t="n">
        <v>0</v>
      </c>
      <c r="P199">
        <f>IF(B214=0,0,O199/B214)</f>
        <v/>
      </c>
      <c r="S199" t="n">
        <v>0</v>
      </c>
      <c r="V199">
        <f>IFERROR(1/IF(Inputs!$B$4="pvp",15,MAX(0.1,Skills!D19-IF(Skills!E19=TRUE,Inputs!$B$31,0))),0)</f>
        <v/>
      </c>
    </row>
    <row r="200">
      <c r="A200">
        <f>Skills!A20</f>
        <v/>
      </c>
      <c r="B200">
        <f>Skills!B20</f>
        <v/>
      </c>
      <c r="C200">
        <f>Inputs!$B$3&gt;=74</f>
        <v/>
      </c>
      <c r="D200">
        <f>IF(Skills!C20=1,60+Inputs!$B$24+Inputs!$B$28,IF(Skills!C20=2,90+Inputs!$B$25+Inputs!$B$28,IF(Skills!C20=3,120+Inputs!$B$26+Inputs!$B$28,MAX(0,(Inputs!$B$3-100)*3)+Inputs!$B$27+Inputs!$B$28)))</f>
        <v/>
      </c>
      <c r="E200">
        <f>INDEX(FactorTable!$B$2:$Y$301, MATCH(ROUND(MIN(300,MAX(1,D200)),0), FactorTable!$A$2:$A$301,0), Skills!L20+1)</f>
        <v/>
      </c>
      <c r="F200">
        <f>IF(Skills!M20=TRUE,(Skills!K20/10)*(E200/1000),Skills!K20/10)+Skills!N20</f>
        <v/>
      </c>
      <c r="G200">
        <f>Calc!G20</f>
        <v/>
      </c>
      <c r="H200">
        <f>Calc!H20</f>
        <v/>
      </c>
      <c r="I200">
        <f>IF(Skills!T20&lt;&gt;"",1+(Skills!T20/10)*(R183/1000)/100,1)</f>
        <v/>
      </c>
      <c r="J200" t="inlineStr"/>
      <c r="K200" t="inlineStr"/>
      <c r="L200" t="inlineStr"/>
      <c r="M200" t="inlineStr"/>
      <c r="N200" t="inlineStr"/>
      <c r="O200" t="n">
        <v>0</v>
      </c>
      <c r="P200">
        <f>IF(B214=0,0,O200/B214)</f>
        <v/>
      </c>
      <c r="S200" t="n">
        <v>0</v>
      </c>
      <c r="V200">
        <f>IFERROR(1/IF(Inputs!$B$4="pvp",15,MAX(0.1,Skills!D20-IF(Skills!E20=TRUE,Inputs!$B$31,0))),0)</f>
        <v/>
      </c>
    </row>
    <row r="201">
      <c r="A201">
        <f>Skills!A21</f>
        <v/>
      </c>
      <c r="B201">
        <f>Skills!B21</f>
        <v/>
      </c>
      <c r="C201">
        <f>Inputs!$B$3&gt;=74</f>
        <v/>
      </c>
      <c r="D201">
        <f>IF(Skills!C21=1,60+Inputs!$B$24+Inputs!$B$28,IF(Skills!C21=2,90+Inputs!$B$25+Inputs!$B$28,IF(Skills!C21=3,120+Inputs!$B$26+Inputs!$B$28,MAX(0,(Inputs!$B$3-100)*3)+Inputs!$B$27+Inputs!$B$28)))</f>
        <v/>
      </c>
      <c r="E201">
        <f>INDEX(FactorTable!$B$2:$Y$301, MATCH(ROUND(MIN(300,MAX(1,D201)),0), FactorTable!$A$2:$A$301,0), Skills!L21+1)</f>
        <v/>
      </c>
      <c r="F201">
        <f>IF(Skills!M21=TRUE,(Skills!K21/10)*(E201/1000),Skills!K21/10)+Skills!N21</f>
        <v/>
      </c>
      <c r="G201">
        <f>Calc!G21</f>
        <v/>
      </c>
      <c r="H201">
        <f>Calc!H21</f>
        <v/>
      </c>
      <c r="I201">
        <f>IF(Skills!T21&lt;&gt;"",1+(Skills!T21/10)*(R183/1000)/100,1)</f>
        <v/>
      </c>
      <c r="J201" t="inlineStr"/>
      <c r="K201" t="inlineStr"/>
      <c r="L201" t="inlineStr"/>
      <c r="M201" t="inlineStr"/>
      <c r="N201" t="inlineStr"/>
      <c r="O201" t="n">
        <v>0</v>
      </c>
      <c r="P201">
        <f>IF(B214=0,0,O201/B214)</f>
        <v/>
      </c>
      <c r="S201" t="n">
        <v>0</v>
      </c>
      <c r="V201">
        <f>IFERROR(1/IF(Inputs!$B$4="pvp",15,MAX(0.1,Skills!D21-IF(Skills!E21=TRUE,Inputs!$B$31,0))),0)</f>
        <v/>
      </c>
    </row>
    <row r="202">
      <c r="A202">
        <f>Skills!A22</f>
        <v/>
      </c>
      <c r="B202">
        <f>Skills!B22</f>
        <v/>
      </c>
      <c r="C202">
        <f>Inputs!$B$3&gt;=117</f>
        <v/>
      </c>
      <c r="D202">
        <f>IF(Skills!C22=1,60+Inputs!$B$24+Inputs!$B$28,IF(Skills!C22=2,90+Inputs!$B$25+Inputs!$B$28,IF(Skills!C22=3,120+Inputs!$B$26+Inputs!$B$28,MAX(0,(Inputs!$B$3-100)*3)+Inputs!$B$27+Inputs!$B$28)))</f>
        <v/>
      </c>
      <c r="E202">
        <f>INDEX(FactorTable!$B$2:$Y$301, MATCH(ROUND(MIN(300,MAX(1,D202)),0), FactorTable!$A$2:$A$301,0), Skills!L22+1)</f>
        <v/>
      </c>
      <c r="F202">
        <f>IF(Skills!M22=TRUE,(Skills!K22/10)*(E202/1000),Skills!K22/10)+Skills!N22</f>
        <v/>
      </c>
      <c r="G202">
        <f>Calc!G22</f>
        <v/>
      </c>
      <c r="H202">
        <f>Calc!H22</f>
        <v/>
      </c>
      <c r="I202">
        <f>IF(Skills!T22&lt;&gt;"",1+(Skills!T22/10)*(R183/1000)/100,1)</f>
        <v/>
      </c>
      <c r="J202" t="inlineStr"/>
      <c r="K202" t="inlineStr"/>
      <c r="L202" t="inlineStr"/>
      <c r="M202" t="inlineStr"/>
      <c r="N202" t="inlineStr"/>
      <c r="O202" t="n">
        <v>0</v>
      </c>
      <c r="P202">
        <f>IF(B214=0,0,O202/B214)</f>
        <v/>
      </c>
      <c r="S202" t="n">
        <v>0</v>
      </c>
      <c r="V202">
        <f>IFERROR(1/IF(Inputs!$B$4="pvp",15,MAX(0.1,Skills!D22-IF(Skills!E22=TRUE,Inputs!$B$31,0))),0)</f>
        <v/>
      </c>
    </row>
    <row r="203">
      <c r="A203">
        <f>Skills!A23</f>
        <v/>
      </c>
      <c r="B203">
        <f>Skills!B23</f>
        <v/>
      </c>
      <c r="C203">
        <f>Inputs!$B$3&gt;=120</f>
        <v/>
      </c>
      <c r="D203">
        <f>IF(Skills!C23=1,60+Inputs!$B$24+Inputs!$B$28,IF(Skills!C23=2,90+Inputs!$B$25+Inputs!$B$28,IF(Skills!C23=3,120+Inputs!$B$26+Inputs!$B$28,MAX(0,(Inputs!$B$3-100)*3)+Inputs!$B$27+Inputs!$B$28)))</f>
        <v/>
      </c>
      <c r="E203">
        <f>INDEX(FactorTable!$B$2:$Y$301, MATCH(ROUND(MIN(300,MAX(1,D203)),0), FactorTable!$A$2:$A$301,0), Skills!L23+1)</f>
        <v/>
      </c>
      <c r="F203">
        <f>IF(Skills!M23=TRUE,(Skills!K23/10)*(E203/1000),Skills!K23/10)+Skills!N23</f>
        <v/>
      </c>
      <c r="G203">
        <f>Calc!G23</f>
        <v/>
      </c>
      <c r="H203">
        <f>Calc!H23</f>
        <v/>
      </c>
      <c r="I203">
        <f>IF(Skills!T23&lt;&gt;"",1+(Skills!T23/10)*(R183/1000)/100,1)</f>
        <v/>
      </c>
      <c r="J203" t="inlineStr"/>
      <c r="K203" t="inlineStr"/>
      <c r="L203" t="inlineStr"/>
      <c r="M203" t="inlineStr"/>
      <c r="N203" t="inlineStr"/>
      <c r="O203" t="n">
        <v>0</v>
      </c>
      <c r="P203">
        <f>IF(B214=0,0,O203/B214)</f>
        <v/>
      </c>
      <c r="S203" t="n">
        <v>0</v>
      </c>
      <c r="V203">
        <f>IFERROR(1/IF(Inputs!$B$4="pvp",15,MAX(0.1,Skills!D23-IF(Skills!E23=TRUE,Inputs!$B$31,0))),0)</f>
        <v/>
      </c>
    </row>
    <row r="206">
      <c r="A206" t="inlineStr">
        <is>
          <t>Average Buff Multiplier (Magic Guard + Meditation, summed; then Infinity)</t>
        </is>
      </c>
      <c r="B206">
        <f>(1+(IF(C183=TRUE,F183*IF(AND(Inputs!$B$4&lt;&gt;"pvp",Inputs!$B$35&gt;0),(((S183-1)*(Skills!S3*(1+(Inputs!$B$33+IF(Inputs!$B$3&gt;=117,F202,0))/100))+MIN((Skills!S3*(1+(Inputs!$B$33+IF(Inputs!$B$3&gt;=117,F202,0))/100)),MAX(0,Inputs!$B$35-((S183-1)*Skills!D3))))/Inputs!$B$35),IF(Inputs!$B$4="pvp",MIN((Skills!S3*(1+(Inputs!$B$33+IF(Inputs!$B$3&gt;=117,F202,0))/100)),15)/15,(Skills!S3*(1+(Inputs!$B$33+IF(Inputs!$B$3&gt;=117,F202,0))/100))/Skills!D3)),0)+IF(C184=TRUE,F184*IF(AND(Inputs!$B$4&lt;&gt;"pvp",Inputs!$B$35&gt;0),(((S184-1)*(Skills!S4*(1+(Inputs!$B$33+IF(Inputs!$B$3&gt;=117,F202,0))/100))+MIN((Skills!S4*(1+(Inputs!$B$33+IF(Inputs!$B$3&gt;=117,F202,0))/100)),MAX(0,Inputs!$B$35-((S184-1)*Skills!D4))))/Inputs!$B$35),IF(Inputs!$B$4="pvp",MIN((Skills!S4*(1+(Inputs!$B$33+IF(Inputs!$B$3&gt;=117,F202,0))/100)),15)/15,(Skills!S4*(1+(Inputs!$B$33+IF(Inputs!$B$3&gt;=117,F202,0))/100))/Skills!D4)),0))/100)*IF(C196=TRUE,(1+F196*IF(AND(Inputs!$B$4&lt;&gt;"pvp",Inputs!$B$35&gt;0),(((S196-1)*(Skills!S16*(1+(Inputs!$B$33+IF(Inputs!$B$3&gt;=117,F202,0))/100))+MIN((Skills!S16*(1+(Inputs!$B$33+IF(Inputs!$B$3&gt;=117,F202,0))/100)),MAX(0,Inputs!$B$35-((S196-1)*Skills!D16))))/Inputs!$B$35),IF(Inputs!$B$4="pvp",MIN((Skills!S16*(1+(Inputs!$B$33+IF(Inputs!$B$3&gt;=117,F202,0))/100)),15)/15,(Skills!S16*(1+(Inputs!$B$33+IF(Inputs!$B$3&gt;=117,F202,0))/100))/Skills!D16))/100),1)</f>
        <v/>
      </c>
    </row>
    <row r="207">
      <c r="A207" t="inlineStr">
        <is>
          <t>Monster Damage Taken Bonus % (Freezing Breath - Weaken + Elemental Reset, summed)</t>
        </is>
      </c>
      <c r="B207">
        <f>IF(Inputs!$B$3&gt;=118,15*IF(Inputs!$B$4="pvp",MIN((30*(1+(Inputs!$B$33+IF(Inputs!$B$3&gt;=117,F202,0))/100)),15)/15,(30*(1+(Inputs!$B$33+IF(Inputs!$B$3&gt;=117,F202,0))/100))/Skills!D8),0)+IF(C194=TRUE,F194,0)</f>
        <v/>
      </c>
    </row>
    <row r="208">
      <c r="A208" t="inlineStr">
        <is>
          <t>Damage % Bonus (Frozen Break + Frost Clutch, flat)</t>
        </is>
      </c>
      <c r="B208">
        <f>IF(Inputs!$B$3&gt;=66,15,0)+IF(Inputs!$B$3&gt;=98,10,0)+IF(Inputs!$B$3&gt;=125,20,0)</f>
        <v/>
      </c>
    </row>
    <row r="209">
      <c r="A209" t="inlineStr">
        <is>
          <t>Attack Speed Bonus % (MP Eater - MP Boost, always-on once unlocked)</t>
        </is>
      </c>
      <c r="B209">
        <f>IF(C193=TRUE,F193+(F197-Calc!F17),0)</f>
        <v/>
      </c>
    </row>
    <row r="210">
      <c r="A210" t="inlineStr">
        <is>
          <t>Actions Per Second</t>
        </is>
      </c>
      <c r="B210">
        <f>1+MIN(150,150*(1-(1-Inputs!$B$10/150)*(1-B209/150)))/100</f>
        <v/>
      </c>
    </row>
    <row r="211">
      <c r="A211" t="inlineStr">
        <is>
          <t>Skill + Buff Cast Rate</t>
        </is>
      </c>
      <c r="B211">
        <f>IF(AND(Inputs!$B$4&lt;&gt;"pvp",Inputs!$B$35&gt;0),SUMPRODUCT((Skills!E2:E23=TRUE)*(C182:C203=TRUE)*S182:S203)/Inputs!$B$35,SUMPRODUCT((Skills!E2:E23=TRUE)*(C182:C203=TRUE)*V182:V203))</f>
        <v/>
      </c>
    </row>
    <row r="212">
      <c r="A212" t="inlineStr">
        <is>
          <t>Chain Lightning Casts Per Second</t>
        </is>
      </c>
      <c r="B212">
        <f>MAX(0,B210-B211)</f>
        <v/>
      </c>
    </row>
    <row r="214">
      <c r="A214" s="5" t="inlineStr">
        <is>
          <t>TOTAL DPS</t>
        </is>
      </c>
      <c r="B214" s="5">
        <f>SUM(O182:O203)</f>
        <v/>
      </c>
    </row>
    <row r="217">
      <c r="A217" s="5" t="inlineStr">
        <is>
          <t>Stat: NORMAL_DAMAGE %</t>
        </is>
      </c>
    </row>
    <row r="218">
      <c r="A218" s="8" t="inlineStr">
        <is>
          <t>Key</t>
        </is>
      </c>
      <c r="B218" s="8" t="inlineStr">
        <is>
          <t>Name</t>
        </is>
      </c>
      <c r="C218" s="8" t="inlineStr">
        <is>
          <t>Unlocked</t>
        </is>
      </c>
      <c r="D218" s="8" t="inlineStr">
        <is>
          <t>InputLevel</t>
        </is>
      </c>
      <c r="E218" s="8" t="inlineStr">
        <is>
          <t>Factor</t>
        </is>
      </c>
      <c r="F218" s="8" t="inlineStr">
        <is>
          <t>CoefficientPercent</t>
        </is>
      </c>
      <c r="G218" s="8" t="inlineStr">
        <is>
          <t>EffectiveHits</t>
        </is>
      </c>
      <c r="H218" s="8" t="inlineStr">
        <is>
          <t>ProcProbability</t>
        </is>
      </c>
      <c r="I218" s="8" t="inlineStr">
        <is>
          <t>MapleHeroMultiplier</t>
        </is>
      </c>
      <c r="J218" s="8" t="inlineStr">
        <is>
          <t>BaseDamage</t>
        </is>
      </c>
      <c r="K218" s="8" t="inlineStr">
        <is>
          <t>BaseHitDamage</t>
        </is>
      </c>
      <c r="L218" s="8" t="inlineStr">
        <is>
          <t>NonCritAvg</t>
        </is>
      </c>
      <c r="M218" s="8" t="inlineStr">
        <is>
          <t>CritAvg</t>
        </is>
      </c>
      <c r="N218" s="8" t="inlineStr">
        <is>
          <t>ExpectedDamage(perHit)</t>
        </is>
      </c>
      <c r="O218" s="8" t="inlineStr">
        <is>
          <t>DPS</t>
        </is>
      </c>
      <c r="P218" s="8" t="inlineStr">
        <is>
          <t>% of Total</t>
        </is>
      </c>
      <c r="R218" t="inlineStr">
        <is>
          <t>helpers</t>
        </is>
      </c>
    </row>
    <row r="219">
      <c r="A219">
        <f>Skills!A2</f>
        <v/>
      </c>
      <c r="B219">
        <f>Skills!B2</f>
        <v/>
      </c>
      <c r="C219">
        <f>Inputs!$B$3&gt;=100</f>
        <v/>
      </c>
      <c r="D219" t="inlineStr"/>
      <c r="E219" t="inlineStr"/>
      <c r="F219">
        <f>T221+Skills!N2</f>
        <v/>
      </c>
      <c r="G219">
        <f>Calc!G2</f>
        <v/>
      </c>
      <c r="H219">
        <f>Calc!H2</f>
        <v/>
      </c>
      <c r="I219">
        <f>IF(Skills!T2&lt;&gt;"",1+(Skills!T2/10)*(R220/1000)/100,1)</f>
        <v/>
      </c>
      <c r="J219">
        <f>((Inputs!$B$5*(1+Inputs!$B$6/100))+((Inputs!$B$11*(1+Inputs!$B$12/100))-(Inputs!$B$11*(1+Inputs!$B$12/100)))*(1+Inputs!$B$6/100))*(F219/100)</f>
        <v/>
      </c>
      <c r="K219">
        <f>J219*(1+((Inputs!$B$11*(1+Inputs!$B$12/100))*0.01+Inputs!$B$13*0.0025)/100)*(1+(Inputs!$B$14+B245)/100)*(1+IF(Inputs!$B$4="pvp",0,(1-Summary!$B$51)*(Inputs!$B$19+Skills!O2+B244)+Summary!$B$51*((Inputs!$B$20+1)+Skills!P2+B244))/100)*(1+Inputs!$B$15/100)*(5000/(6000+Inputs!$B$7*(1-Inputs!$B$18/100)))*(1+Inputs!$B$23/100)*(1+IF(C232=TRUE,F232,0)/100)*(1+IF(C240=TRUE,F240,0)/100)^5*(1+(IF(Skills!A2="CHAIN_LIGHTNING",Inputs!$B$16,Inputs!$B$17))/100)*(B243*I219)</f>
        <v/>
      </c>
      <c r="L219">
        <f>K219*(MIN(Inputs!$B$21+(F235-Calc!F18),Inputs!$B$22)/100+Inputs!$B$22/100)/2</f>
        <v/>
      </c>
      <c r="M219">
        <f>L219*(1+(Inputs!$B$9+(F238-Calc!F21))/100)</f>
        <v/>
      </c>
      <c r="N219">
        <f>L219*(1-MIN(Inputs!$B$8+((F237-Calc!F20)+(F236-Calc!F19)),100)/100)+M219*(MIN(Inputs!$B$8+((F237-Calc!F20)+(F236-Calc!F19)),100)/100)</f>
        <v/>
      </c>
      <c r="O219">
        <f>IF(C219,Skills!F2*N219*B249*IF(Inputs!$B$4="pvp",1,(1-Summary!$B$51)*(1)+Summary!$B$51*(MIN((6+Inputs!$B$32),Inputs!$B$37))),0)</f>
        <v/>
      </c>
      <c r="P219">
        <f>IF(B251=0,0,O219/B251)</f>
        <v/>
      </c>
      <c r="R219">
        <f>MAX(0,(Inputs!$B$3-100)*3)+Inputs!$B$27+Inputs!$B$28</f>
        <v/>
      </c>
      <c r="S219" t="n">
        <v>0</v>
      </c>
      <c r="T219">
        <f>MAX(0,(Inputs!$B$3-100)*3)+Inputs!$B$27+Inputs!$B$28</f>
        <v/>
      </c>
      <c r="V219">
        <f>IFERROR(1/IF(Inputs!$B$4="pvp",15,MAX(0.1,Skills!D2-IF(Skills!E2=TRUE,Inputs!$B$31,0))),0)</f>
        <v/>
      </c>
    </row>
    <row r="220">
      <c r="A220">
        <f>Skills!A3</f>
        <v/>
      </c>
      <c r="B220">
        <f>Skills!B3</f>
        <v/>
      </c>
      <c r="C220">
        <f>Inputs!$B$3&gt;=15</f>
        <v/>
      </c>
      <c r="D220">
        <f>IF(Skills!C3=1,60+Inputs!$B$24+Inputs!$B$28,IF(Skills!C3=2,90+Inputs!$B$25+Inputs!$B$28,IF(Skills!C3=3,120+Inputs!$B$26+Inputs!$B$28,MAX(0,(Inputs!$B$3-100)*3)+Inputs!$B$27+Inputs!$B$28)))</f>
        <v/>
      </c>
      <c r="E220">
        <f>INDEX(FactorTable!$B$2:$Y$301, MATCH(ROUND(MIN(300,MAX(1,D220)),0), FactorTable!$A$2:$A$301,0), Skills!L3+1)</f>
        <v/>
      </c>
      <c r="F220">
        <f>IF(Skills!M3=TRUE,(Skills!K3/10)*(E220/1000),Skills!K3/10)+Skills!N3</f>
        <v/>
      </c>
      <c r="G220">
        <f>Calc!G3</f>
        <v/>
      </c>
      <c r="H220">
        <f>Calc!H3</f>
        <v/>
      </c>
      <c r="I220">
        <f>IF(Skills!T3&lt;&gt;"",1+(Skills!T3/10)*(R220/1000)/100,1)</f>
        <v/>
      </c>
      <c r="J220" t="inlineStr"/>
      <c r="K220" t="inlineStr"/>
      <c r="L220" t="inlineStr"/>
      <c r="M220" t="inlineStr"/>
      <c r="N220" t="inlineStr"/>
      <c r="O220" t="n">
        <v>0</v>
      </c>
      <c r="P220">
        <f>IF(B251=0,0,O220/B251)</f>
        <v/>
      </c>
      <c r="R220">
        <f>INDEX(FactorTable!$B$2:$Y$301, MATCH(ROUND(MIN(300,MAX(1,R219)),0), FactorTable!$A$2:$A$301,0), 24)</f>
        <v/>
      </c>
      <c r="S220">
        <f>IF(AND(Inputs!$B$4&lt;&gt;"pvp",Inputs!$B$35&gt;0),(INT(Inputs!$B$35/IF(Inputs!$B$4="pvp",15,MAX(0.1,Skills!D3-IF(Skills!E3=TRUE,Inputs!$B$31,0))))+1),0)</f>
        <v/>
      </c>
      <c r="T220">
        <f>INDEX(FactorTable!$B$2:$Y$301, MATCH(ROUND(MIN(300,MAX(1,T219)),0), FactorTable!$A$2:$A$301,0), 22)</f>
        <v/>
      </c>
      <c r="V220">
        <f>IFERROR(1/IF(Inputs!$B$4="pvp",15,MAX(0.1,Skills!D3-IF(Skills!E3=TRUE,Inputs!$B$31,0))),0)</f>
        <v/>
      </c>
    </row>
    <row r="221">
      <c r="A221">
        <f>Skills!A4</f>
        <v/>
      </c>
      <c r="B221">
        <f>Skills!B4</f>
        <v/>
      </c>
      <c r="C221">
        <f>Inputs!$B$3&gt;=40</f>
        <v/>
      </c>
      <c r="D221">
        <f>IF(Skills!C4=1,60+Inputs!$B$24+Inputs!$B$28,IF(Skills!C4=2,90+Inputs!$B$25+Inputs!$B$28,IF(Skills!C4=3,120+Inputs!$B$26+Inputs!$B$28,MAX(0,(Inputs!$B$3-100)*3)+Inputs!$B$27+Inputs!$B$28)))</f>
        <v/>
      </c>
      <c r="E221">
        <f>INDEX(FactorTable!$B$2:$Y$301, MATCH(ROUND(MIN(300,MAX(1,D221)),0), FactorTable!$A$2:$A$301,0), Skills!L4+1)</f>
        <v/>
      </c>
      <c r="F221">
        <f>IF(Skills!M4=TRUE,(Skills!K4/10)*(E221/1000),Skills!K4/10)+Skills!N4</f>
        <v/>
      </c>
      <c r="G221">
        <f>Calc!G4</f>
        <v/>
      </c>
      <c r="H221">
        <f>Calc!H4</f>
        <v/>
      </c>
      <c r="I221">
        <f>IF(Skills!T4&lt;&gt;"",1+(Skills!T4/10)*(R220/1000)/100,1)</f>
        <v/>
      </c>
      <c r="J221" t="inlineStr"/>
      <c r="K221" t="inlineStr"/>
      <c r="L221" t="inlineStr"/>
      <c r="M221" t="inlineStr"/>
      <c r="N221" t="inlineStr"/>
      <c r="O221" t="n">
        <v>0</v>
      </c>
      <c r="P221">
        <f>IF(B251=0,0,O221/B251)</f>
        <v/>
      </c>
      <c r="S221">
        <f>IF(AND(Inputs!$B$4&lt;&gt;"pvp",Inputs!$B$35&gt;0),(INT(Inputs!$B$35/IF(Inputs!$B$4="pvp",15,MAX(0.1,Skills!D4-IF(Skills!E4=TRUE,Inputs!$B$31,0))))+1),0)</f>
        <v/>
      </c>
      <c r="T221">
        <f>290*T220/1000</f>
        <v/>
      </c>
      <c r="V221">
        <f>IFERROR(1/IF(Inputs!$B$4="pvp",15,MAX(0.1,Skills!D4-IF(Skills!E4=TRUE,Inputs!$B$31,0))),0)</f>
        <v/>
      </c>
    </row>
    <row r="222">
      <c r="A222">
        <f>Skills!A5</f>
        <v/>
      </c>
      <c r="B222">
        <f>Skills!B5</f>
        <v/>
      </c>
      <c r="C222">
        <f>Inputs!$B$3&gt;=38</f>
        <v/>
      </c>
      <c r="D222">
        <f>IF(Skills!C5=1,60+Inputs!$B$24+Inputs!$B$28,IF(Skills!C5=2,90+Inputs!$B$25+Inputs!$B$28,IF(Skills!C5=3,120+Inputs!$B$26+Inputs!$B$28,MAX(0,(Inputs!$B$3-100)*3)+Inputs!$B$27+Inputs!$B$28)))</f>
        <v/>
      </c>
      <c r="E222">
        <f>INDEX(FactorTable!$B$2:$Y$301, MATCH(ROUND(MIN(300,MAX(1,D222)),0), FactorTable!$A$2:$A$301,0), Skills!L5+1)</f>
        <v/>
      </c>
      <c r="F222">
        <f>IF(Skills!M5=TRUE,(Skills!K5/10)*(E222/1000),Skills!K5/10)+Skills!N5</f>
        <v/>
      </c>
      <c r="G222">
        <f>Calc!G5</f>
        <v/>
      </c>
      <c r="H222">
        <f>Calc!H5</f>
        <v/>
      </c>
      <c r="I222">
        <f>IF(Skills!T5&lt;&gt;"",1+(Skills!T5/10)*(R220/1000)/100,1)</f>
        <v/>
      </c>
      <c r="J222">
        <f>((Inputs!$B$5*(1+Inputs!$B$6/100))+((Inputs!$B$11*(1+Inputs!$B$12/100))-(Inputs!$B$11*(1+Inputs!$B$12/100)))*(1+Inputs!$B$6/100))*(F222/100)</f>
        <v/>
      </c>
      <c r="K222">
        <f>J222*(1+((Inputs!$B$11*(1+Inputs!$B$12/100))*0.01+Inputs!$B$13*0.0025)/100)*(1+(Inputs!$B$14+B245)/100)*(1+IF(Inputs!$B$4="pvp",0,(1-Summary!$B$51)*(Inputs!$B$19+Skills!O5+B244)+Summary!$B$51*((Inputs!$B$20+1)+Skills!P5+B244))/100)*(1+Inputs!$B$15/100)*(5000/(6000+Inputs!$B$7*(1-Inputs!$B$18/100)))*(1+Inputs!$B$23/100)*(1+IF(C232=TRUE,F232,0)/100)*(1+IF(C240=TRUE,F240,0)/100)^5*(1+(IF(Skills!A5="CHAIN_LIGHTNING",Inputs!$B$16,Inputs!$B$17))/100)*(B243*I222)</f>
        <v/>
      </c>
      <c r="L222">
        <f>K222*(MIN(Inputs!$B$21+(F235-Calc!F18),Inputs!$B$22)/100+Inputs!$B$22/100)/2</f>
        <v/>
      </c>
      <c r="M222">
        <f>L222*(1+(Inputs!$B$9+(F238-Calc!F21))/100)</f>
        <v/>
      </c>
      <c r="N222">
        <f>L222*(1-MIN(Inputs!$B$8+((F237-Calc!F20)+(F236-Calc!F19)),100)/100)+M222*(MIN(Inputs!$B$8+((F237-Calc!F20)+(F236-Calc!F19)),100)/100)</f>
        <v/>
      </c>
      <c r="O222">
        <f>IF(C222,H222*N222*IF(AND(Inputs!$B$4&lt;&gt;"pvp",Inputs!$B$35&gt;0),((Skills!F5*((S222-1)*IF(Skills!G5&gt;0,Skills!H5/Skills!G5,1)+IF(Skills!G5&gt;0,MIN(Skills!H5,MAX(0,Inputs!$B$35-((S222-1)*IF(Inputs!$B$4="pvp",15,MAX(0.1,Skills!D5-IF(Skills!E5=TRUE,Inputs!$B$31,0))))))/Skills!G5,1)))/Inputs!$B$35),G222*V222)*IF(Inputs!$B$4="pvp",1,(1-Summary!$B$51)*(1)+Summary!$B$51*(MIN(Skills!Q5,Inputs!$B$37))),0)</f>
        <v/>
      </c>
      <c r="P222">
        <f>IF(B251=0,0,O222/B251)</f>
        <v/>
      </c>
      <c r="S222">
        <f>IF(AND(Inputs!$B$4&lt;&gt;"pvp",Inputs!$B$35&gt;0),(INT(Inputs!$B$35/IF(Inputs!$B$4="pvp",15,MAX(0.1,Skills!D5-IF(Skills!E5=TRUE,Inputs!$B$31,0))))+1),0)</f>
        <v/>
      </c>
      <c r="V222">
        <f>IFERROR(1/IF(Inputs!$B$4="pvp",15,MAX(0.1,Skills!D5-IF(Skills!E5=TRUE,Inputs!$B$31,0))),0)</f>
        <v/>
      </c>
    </row>
    <row r="223">
      <c r="A223">
        <f>Skills!A6</f>
        <v/>
      </c>
      <c r="B223">
        <f>Skills!B6</f>
        <v/>
      </c>
      <c r="C223">
        <f>Inputs!$B$3&gt;=63</f>
        <v/>
      </c>
      <c r="D223">
        <f>IF(Skills!C6=1,60+Inputs!$B$24+Inputs!$B$28,IF(Skills!C6=2,90+Inputs!$B$25+Inputs!$B$28,IF(Skills!C6=3,120+Inputs!$B$26+Inputs!$B$28,MAX(0,(Inputs!$B$3-100)*3)+Inputs!$B$27+Inputs!$B$28)))</f>
        <v/>
      </c>
      <c r="E223">
        <f>INDEX(FactorTable!$B$2:$Y$301, MATCH(ROUND(MIN(300,MAX(1,D223)),0), FactorTable!$A$2:$A$301,0), Skills!L6+1)</f>
        <v/>
      </c>
      <c r="F223">
        <f>IF(Skills!M6=TRUE,(Skills!K6/10)*(E223/1000),Skills!K6/10)+Skills!N6</f>
        <v/>
      </c>
      <c r="G223">
        <f>Calc!G6</f>
        <v/>
      </c>
      <c r="H223">
        <f>Calc!H6</f>
        <v/>
      </c>
      <c r="I223">
        <f>IF(Skills!T6&lt;&gt;"",1+(Skills!T6/10)*(R220/1000)/100,1)</f>
        <v/>
      </c>
      <c r="J223">
        <f>((Inputs!$B$5*(1+Inputs!$B$6/100))+((Inputs!$B$11*(1+Inputs!$B$12/100))-(Inputs!$B$11*(1+Inputs!$B$12/100)))*(1+Inputs!$B$6/100))*(F223/100)</f>
        <v/>
      </c>
      <c r="K223">
        <f>J223*(1+((Inputs!$B$11*(1+Inputs!$B$12/100))*0.01+Inputs!$B$13*0.0025)/100)*(1+(Inputs!$B$14+B245)/100)*(1+IF(Inputs!$B$4="pvp",0,(1-Summary!$B$51)*(Inputs!$B$19+Skills!O6+B244)+Summary!$B$51*((Inputs!$B$20+1)+Skills!P6+B244))/100)*(1+Inputs!$B$15/100)*(5000/(6000+Inputs!$B$7*(1-Inputs!$B$18/100)))*(1+Inputs!$B$23/100)*(1+IF(C232=TRUE,F232,0)/100)*(1+IF(C240=TRUE,F240,0)/100)^5*(1+(IF(Skills!A6="CHAIN_LIGHTNING",Inputs!$B$16,Inputs!$B$17))/100)*(B243*I223)</f>
        <v/>
      </c>
      <c r="L223">
        <f>K223*(MIN(Inputs!$B$21+(F235-Calc!F18),Inputs!$B$22)/100+Inputs!$B$22/100)/2</f>
        <v/>
      </c>
      <c r="M223">
        <f>L223*(1+(Inputs!$B$9+(F238-Calc!F21))/100)</f>
        <v/>
      </c>
      <c r="N223">
        <f>L223*(1-MIN(Inputs!$B$8+((F237-Calc!F20)+(F236-Calc!F19)),100)/100)+M223*(MIN(Inputs!$B$8+((F237-Calc!F20)+(F236-Calc!F19)),100)/100)</f>
        <v/>
      </c>
      <c r="O223">
        <f>IF(C223,H223*N223*IF(AND(Inputs!$B$4&lt;&gt;"pvp",Inputs!$B$35&gt;0),((Skills!F6*((S223-1)*IF(Skills!G6&gt;0,Skills!H6/Skills!G6,1)+IF(Skills!G6&gt;0,MIN(Skills!H6,MAX(0,Inputs!$B$35-((S223-1)*IF(Inputs!$B$4="pvp",15,MAX(0.1,Skills!D6-IF(Skills!E6=TRUE,Inputs!$B$31,0))))))/Skills!G6,1)))/Inputs!$B$35),G223*V223)*IF(Inputs!$B$4="pvp",1,(1-Summary!$B$51)*(1)+Summary!$B$51*(MIN(Skills!Q6,Inputs!$B$37))),0)</f>
        <v/>
      </c>
      <c r="P223">
        <f>IF(B251=0,0,O223/B251)</f>
        <v/>
      </c>
      <c r="S223">
        <f>IF(AND(Inputs!$B$4&lt;&gt;"pvp",Inputs!$B$35&gt;0),(INT(Inputs!$B$35/IF(Inputs!$B$4="pvp",15,MAX(0.1,Skills!D6-IF(Skills!E6=TRUE,Inputs!$B$31,0))))+1),0)</f>
        <v/>
      </c>
      <c r="V223">
        <f>IFERROR(1/IF(Inputs!$B$4="pvp",15,MAX(0.1,Skills!D6-IF(Skills!E6=TRUE,Inputs!$B$31,0))),0)</f>
        <v/>
      </c>
    </row>
    <row r="224">
      <c r="A224">
        <f>Skills!A7</f>
        <v/>
      </c>
      <c r="B224">
        <f>Skills!B7</f>
        <v/>
      </c>
      <c r="C224">
        <f>Inputs!$B$3&gt;=69</f>
        <v/>
      </c>
      <c r="D224">
        <f>IF(Skills!C7=1,60+Inputs!$B$24+Inputs!$B$28,IF(Skills!C7=2,90+Inputs!$B$25+Inputs!$B$28,IF(Skills!C7=3,120+Inputs!$B$26+Inputs!$B$28,MAX(0,(Inputs!$B$3-100)*3)+Inputs!$B$27+Inputs!$B$28)))</f>
        <v/>
      </c>
      <c r="E224">
        <f>INDEX(FactorTable!$B$2:$Y$301, MATCH(ROUND(MIN(300,MAX(1,D224)),0), FactorTable!$A$2:$A$301,0), Skills!L7+1)</f>
        <v/>
      </c>
      <c r="F224">
        <f>IF(Skills!M7=TRUE,(Skills!K7/10)*(E224/1000),Skills!K7/10)+Skills!N7</f>
        <v/>
      </c>
      <c r="G224">
        <f>Calc!G7</f>
        <v/>
      </c>
      <c r="H224">
        <f>Calc!H7</f>
        <v/>
      </c>
      <c r="I224">
        <f>IF(Skills!T7&lt;&gt;"",1+(Skills!T7/10)*(R220/1000)/100,1)</f>
        <v/>
      </c>
      <c r="J224">
        <f>((Inputs!$B$5*(1+Inputs!$B$6/100))+((Inputs!$B$11*(1+Inputs!$B$12/100))-(Inputs!$B$11*(1+Inputs!$B$12/100)))*(1+Inputs!$B$6/100))*(F224/100)</f>
        <v/>
      </c>
      <c r="K224">
        <f>J224*(1+((Inputs!$B$11*(1+Inputs!$B$12/100))*0.01+Inputs!$B$13*0.0025)/100)*(1+(Inputs!$B$14+B245)/100)*(1+IF(Inputs!$B$4="pvp",0,(1-Summary!$B$51)*(Inputs!$B$19+Skills!O7+B244)+Summary!$B$51*((Inputs!$B$20+1)+Skills!P7+B244))/100)*(1+Inputs!$B$15/100)*(5000/(6000+Inputs!$B$7*(1-Inputs!$B$18/100)))*(1+Inputs!$B$23/100)*(1+IF(C232=TRUE,F232,0)/100)*(1+IF(C240=TRUE,F240,0)/100)^5*(1+(IF(Skills!A7="CHAIN_LIGHTNING",Inputs!$B$16,Inputs!$B$17))/100)*(B243*I224)</f>
        <v/>
      </c>
      <c r="L224">
        <f>K224*(MIN(Inputs!$B$21+(F235-Calc!F18),Inputs!$B$22)/100+Inputs!$B$22/100)/2</f>
        <v/>
      </c>
      <c r="M224">
        <f>L224*(1+(Inputs!$B$9+(F238-Calc!F21))/100)</f>
        <v/>
      </c>
      <c r="N224">
        <f>L224*(1-MIN(Inputs!$B$8+((F237-Calc!F20)+(F236-Calc!F19)),100)/100)+M224*(MIN(Inputs!$B$8+((F237-Calc!F20)+(F236-Calc!F19)),100)/100)</f>
        <v/>
      </c>
      <c r="O224">
        <f>IF(C224,H224*N224*IF(AND(Inputs!$B$4&lt;&gt;"pvp",Inputs!$B$35&gt;0),((Skills!F7*((S224-1)*IF(Skills!G7&gt;0,Skills!H7/Skills!G7,1)+IF(Skills!G7&gt;0,MIN(Skills!H7,MAX(0,Inputs!$B$35-((S224-1)*IF(Inputs!$B$4="pvp",15,MAX(0.1,Skills!D7-IF(Skills!E7=TRUE,Inputs!$B$31,0))))))/Skills!G7,1)))/Inputs!$B$35),G224*V224)*IF(Inputs!$B$4="pvp",1,(1-Summary!$B$51)*(1)+Summary!$B$51*(MIN(Skills!Q7,Inputs!$B$37))),0)</f>
        <v/>
      </c>
      <c r="P224">
        <f>IF(B251=0,0,O224/B251)</f>
        <v/>
      </c>
      <c r="S224">
        <f>IF(AND(Inputs!$B$4&lt;&gt;"pvp",Inputs!$B$35&gt;0),(INT(Inputs!$B$35/IF(Inputs!$B$4="pvp",15,MAX(0.1,Skills!D7-IF(Skills!E7=TRUE,Inputs!$B$31,0))))+1),0)</f>
        <v/>
      </c>
      <c r="V224">
        <f>IFERROR(1/IF(Inputs!$B$4="pvp",15,MAX(0.1,Skills!D7-IF(Skills!E7=TRUE,Inputs!$B$31,0))),0)</f>
        <v/>
      </c>
    </row>
    <row r="225">
      <c r="A225">
        <f>Skills!A8</f>
        <v/>
      </c>
      <c r="B225">
        <f>Skills!B8</f>
        <v/>
      </c>
      <c r="C225">
        <f>Inputs!$B$3&gt;=103</f>
        <v/>
      </c>
      <c r="D225">
        <f>IF(Skills!C8=1,60+Inputs!$B$24+Inputs!$B$28,IF(Skills!C8=2,90+Inputs!$B$25+Inputs!$B$28,IF(Skills!C8=3,120+Inputs!$B$26+Inputs!$B$28,MAX(0,(Inputs!$B$3-100)*3)+Inputs!$B$27+Inputs!$B$28)))</f>
        <v/>
      </c>
      <c r="E225">
        <f>INDEX(FactorTable!$B$2:$Y$301, MATCH(ROUND(MIN(300,MAX(1,D225)),0), FactorTable!$A$2:$A$301,0), Skills!L8+1)</f>
        <v/>
      </c>
      <c r="F225">
        <f>IF(Skills!M8=TRUE,(Skills!K8/10)*(E225/1000),Skills!K8/10)+Skills!N8</f>
        <v/>
      </c>
      <c r="G225">
        <f>Calc!G8</f>
        <v/>
      </c>
      <c r="H225">
        <f>Calc!H8</f>
        <v/>
      </c>
      <c r="I225">
        <f>IF(Skills!T8&lt;&gt;"",1+(Skills!T8/10)*(R220/1000)/100,1)</f>
        <v/>
      </c>
      <c r="J225">
        <f>((Inputs!$B$5*(1+Inputs!$B$6/100))+((Inputs!$B$11*(1+Inputs!$B$12/100))-(Inputs!$B$11*(1+Inputs!$B$12/100)))*(1+Inputs!$B$6/100))*(F225/100)</f>
        <v/>
      </c>
      <c r="K225">
        <f>J225*(1+((Inputs!$B$11*(1+Inputs!$B$12/100))*0.01+Inputs!$B$13*0.0025)/100)*(1+(Inputs!$B$14+B245)/100)*(1+IF(Inputs!$B$4="pvp",0,(1-Summary!$B$51)*(Inputs!$B$19+Skills!O8+B244)+Summary!$B$51*((Inputs!$B$20+1)+Skills!P8+B244))/100)*(1+Inputs!$B$15/100)*(5000/(6000+Inputs!$B$7*(1-Inputs!$B$18/100)))*(1+Inputs!$B$23/100)*(1+IF(C232=TRUE,F232,0)/100)*(1+IF(C240=TRUE,F240,0)/100)^5*(1+(IF(Skills!A8="CHAIN_LIGHTNING",Inputs!$B$16,Inputs!$B$17))/100)*(B243*I225)</f>
        <v/>
      </c>
      <c r="L225">
        <f>K225*(MIN(Inputs!$B$21+(F235-Calc!F18),Inputs!$B$22)/100+Inputs!$B$22/100)/2</f>
        <v/>
      </c>
      <c r="M225">
        <f>L225*(1+(Inputs!$B$9+(F238-Calc!F21))/100)</f>
        <v/>
      </c>
      <c r="N225">
        <f>L225*(1-MIN(Inputs!$B$8+((F237-Calc!F20)+(F236-Calc!F19)),100)/100)+M225*(MIN(Inputs!$B$8+((F237-Calc!F20)+(F236-Calc!F19)),100)/100)</f>
        <v/>
      </c>
      <c r="O225">
        <f>IF(C225,H225*N225*IF(AND(Inputs!$B$4&lt;&gt;"pvp",Inputs!$B$35&gt;0),((Skills!F8*((S225-1)*IF(Skills!G8&gt;0,Skills!H8/Skills!G8,1)+IF(Skills!G8&gt;0,MIN(Skills!H8,MAX(0,Inputs!$B$35-((S225-1)*IF(Inputs!$B$4="pvp",15,MAX(0.1,Skills!D8-IF(Skills!E8=TRUE,Inputs!$B$31,0))))))/Skills!G8,1)))/Inputs!$B$35),G225*V225)*IF(Inputs!$B$4="pvp",1,(1-Summary!$B$51)*(1)+Summary!$B$51*(MIN(Skills!Q8,Inputs!$B$37))),0)</f>
        <v/>
      </c>
      <c r="P225">
        <f>IF(B251=0,0,O225/B251)</f>
        <v/>
      </c>
      <c r="S225">
        <f>IF(AND(Inputs!$B$4&lt;&gt;"pvp",Inputs!$B$35&gt;0),(INT(Inputs!$B$35/IF(Inputs!$B$4="pvp",15,MAX(0.1,Skills!D8-IF(Skills!E8=TRUE,Inputs!$B$31,0))))+1),0)</f>
        <v/>
      </c>
      <c r="V225">
        <f>IFERROR(1/IF(Inputs!$B$4="pvp",15,MAX(0.1,Skills!D8-IF(Skills!E8=TRUE,Inputs!$B$31,0))),0)</f>
        <v/>
      </c>
    </row>
    <row r="226">
      <c r="A226">
        <f>Skills!A9</f>
        <v/>
      </c>
      <c r="B226">
        <f>Skills!B9</f>
        <v/>
      </c>
      <c r="C226">
        <f>Inputs!$B$3&gt;=105</f>
        <v/>
      </c>
      <c r="D226">
        <f>IF(Skills!C9=1,60+Inputs!$B$24+Inputs!$B$28,IF(Skills!C9=2,90+Inputs!$B$25+Inputs!$B$28,IF(Skills!C9=3,120+Inputs!$B$26+Inputs!$B$28,MAX(0,(Inputs!$B$3-100)*3)+Inputs!$B$27+Inputs!$B$28)))</f>
        <v/>
      </c>
      <c r="E226">
        <f>INDEX(FactorTable!$B$2:$Y$301, MATCH(ROUND(MIN(300,MAX(1,D226)),0), FactorTable!$A$2:$A$301,0), Skills!L9+1)</f>
        <v/>
      </c>
      <c r="F226">
        <f>IF(Skills!M9=TRUE,(Skills!K9/10)*(E226/1000),Skills!K9/10)+Skills!N9</f>
        <v/>
      </c>
      <c r="G226">
        <f>Calc!G9</f>
        <v/>
      </c>
      <c r="H226">
        <f>Calc!H9</f>
        <v/>
      </c>
      <c r="I226">
        <f>IF(Skills!T9&lt;&gt;"",1+(Skills!T9/10)*(R220/1000)/100,1)</f>
        <v/>
      </c>
      <c r="J226">
        <f>((Inputs!$B$5*(1+Inputs!$B$6/100))+((Inputs!$B$11*(1+Inputs!$B$12/100))-(Inputs!$B$11*(1+Inputs!$B$12/100)))*(1+Inputs!$B$6/100))*(F226/100)</f>
        <v/>
      </c>
      <c r="K226">
        <f>J226*(1+((Inputs!$B$11*(1+Inputs!$B$12/100))*0.01+Inputs!$B$13*0.0025)/100)*(1+(Inputs!$B$14+B245)/100)*(1+IF(Inputs!$B$4="pvp",0,(1-Summary!$B$51)*(Inputs!$B$19+Skills!O9+B244)+Summary!$B$51*((Inputs!$B$20+1)+Skills!P9+B244))/100)*(1+Inputs!$B$15/100)*(5000/(6000+Inputs!$B$7*(1-Inputs!$B$18/100)))*(1+Inputs!$B$23/100)*(1+IF(C232=TRUE,F232,0)/100)*(1+IF(C240=TRUE,F240,0)/100)^5*(1+(IF(Skills!A9="CHAIN_LIGHTNING",Inputs!$B$16,Inputs!$B$17))/100)*(B243*I226)</f>
        <v/>
      </c>
      <c r="L226">
        <f>K226*(MIN(Inputs!$B$21+(F235-Calc!F18),Inputs!$B$22)/100+Inputs!$B$22/100)/2</f>
        <v/>
      </c>
      <c r="M226">
        <f>L226*(1+(Inputs!$B$9+(F238-Calc!F21))/100)</f>
        <v/>
      </c>
      <c r="N226">
        <f>L226*(1-MIN(Inputs!$B$8+((F237-Calc!F20)+(F236-Calc!F19)),100)/100)+M226*(MIN(Inputs!$B$8+((F237-Calc!F20)+(F236-Calc!F19)),100)/100)</f>
        <v/>
      </c>
      <c r="O226">
        <f>IF(C226,H226*N226*IF(AND(Inputs!$B$4&lt;&gt;"pvp",Inputs!$B$35&gt;0),((Skills!F9*((S226-1)*IF(Skills!G9&gt;0,Skills!H9/Skills!G9,1)+IF(Skills!G9&gt;0,MIN(Skills!H9,MAX(0,Inputs!$B$35-((S226-1)*IF(Inputs!$B$4="pvp",15,MAX(0.1,Skills!D9-IF(Skills!E9=TRUE,Inputs!$B$31,0))))))/Skills!G9,1)))/Inputs!$B$35),G226*V226)*IF(Inputs!$B$4="pvp",1,(1-Summary!$B$51)*(1)+Summary!$B$51*(MIN(Skills!Q9,Inputs!$B$37))),0)</f>
        <v/>
      </c>
      <c r="P226">
        <f>IF(B251=0,0,O226/B251)</f>
        <v/>
      </c>
      <c r="S226">
        <f>IF(AND(Inputs!$B$4&lt;&gt;"pvp",Inputs!$B$35&gt;0),(INT(Inputs!$B$35/IF(Inputs!$B$4="pvp",15,MAX(0.1,Skills!D9-IF(Skills!E9=TRUE,Inputs!$B$31,0))))+1),0)</f>
        <v/>
      </c>
      <c r="V226">
        <f>IFERROR(1/IF(Inputs!$B$4="pvp",15,MAX(0.1,Skills!D9-IF(Skills!E9=TRUE,Inputs!$B$31,0))),0)</f>
        <v/>
      </c>
    </row>
    <row r="227">
      <c r="A227">
        <f>Skills!A10</f>
        <v/>
      </c>
      <c r="B227">
        <f>Skills!B10</f>
        <v/>
      </c>
      <c r="C227">
        <f>Inputs!$B$3&gt;=113</f>
        <v/>
      </c>
      <c r="D227">
        <f>IF(Skills!C10=1,60+Inputs!$B$24+Inputs!$B$28,IF(Skills!C10=2,90+Inputs!$B$25+Inputs!$B$28,IF(Skills!C10=3,120+Inputs!$B$26+Inputs!$B$28,MAX(0,(Inputs!$B$3-100)*3)+Inputs!$B$27+Inputs!$B$28)))</f>
        <v/>
      </c>
      <c r="E227">
        <f>INDEX(FactorTable!$B$2:$Y$301, MATCH(ROUND(MIN(300,MAX(1,D227)),0), FactorTable!$A$2:$A$301,0), Skills!L10+1)</f>
        <v/>
      </c>
      <c r="F227">
        <f>IF(Skills!M10=TRUE,(Skills!K10/10)*(E227/1000),Skills!K10/10)+Skills!N10</f>
        <v/>
      </c>
      <c r="G227">
        <f>Calc!G10</f>
        <v/>
      </c>
      <c r="H227">
        <f>Calc!H10</f>
        <v/>
      </c>
      <c r="I227">
        <f>IF(Skills!T10&lt;&gt;"",1+(Skills!T10/10)*(R220/1000)/100,1)</f>
        <v/>
      </c>
      <c r="J227">
        <f>((Inputs!$B$5*(1+Inputs!$B$6/100))+((Inputs!$B$11*(1+Inputs!$B$12/100))-(Inputs!$B$11*(1+Inputs!$B$12/100)))*(1+Inputs!$B$6/100))*(F227/100)</f>
        <v/>
      </c>
      <c r="K227">
        <f>J227*(1+((Inputs!$B$11*(1+Inputs!$B$12/100))*0.01+Inputs!$B$13*0.0025)/100)*(1+(Inputs!$B$14+B245)/100)*(1+IF(Inputs!$B$4="pvp",0,(1-Summary!$B$51)*(Inputs!$B$19+Skills!O10+B244)+Summary!$B$51*((Inputs!$B$20+1)+Skills!P10+B244))/100)*(1+Inputs!$B$15/100)*(5000/(6000+Inputs!$B$7*(1-Inputs!$B$18/100)))*(1+Inputs!$B$23/100)*(1+IF(C232=TRUE,F232,0)/100)*(1+IF(C240=TRUE,F240,0)/100)^5*(1+(IF(Skills!A10="CHAIN_LIGHTNING",Inputs!$B$16,Inputs!$B$17))/100)*(B243*I227)</f>
        <v/>
      </c>
      <c r="L227">
        <f>K227*(MIN(Inputs!$B$21+(F235-Calc!F18),Inputs!$B$22)/100+Inputs!$B$22/100)/2</f>
        <v/>
      </c>
      <c r="M227">
        <f>L227*(1+(Inputs!$B$9+(F238-Calc!F21))/100)</f>
        <v/>
      </c>
      <c r="N227">
        <f>L227*(1-MIN(Inputs!$B$8+((F237-Calc!F20)+(F236-Calc!F19)),100)/100)+M227*(MIN(Inputs!$B$8+((F237-Calc!F20)+(F236-Calc!F19)),100)/100)</f>
        <v/>
      </c>
      <c r="O227">
        <f>IF(C227,H227*N227*IF(AND(Inputs!$B$4&lt;&gt;"pvp",Inputs!$B$35&gt;0),((Skills!F10*((S227-1)*IF(Skills!G10&gt;0,Skills!H10/Skills!G10,1)+IF(Skills!G10&gt;0,MIN(Skills!H10,MAX(0,Inputs!$B$35-((S227-1)*IF(Inputs!$B$4="pvp",15,MAX(0.1,Skills!D10-IF(Skills!E9=TRUE,Inputs!$B$31,0))))))/Skills!G10,1)))/Inputs!$B$35),G227*V227)*IF(Inputs!$B$4="pvp",1,(1-Summary!$B$51)*(1)+Summary!$B$51*(MIN(Skills!Q10,Inputs!$B$37))),0)</f>
        <v/>
      </c>
      <c r="P227">
        <f>IF(B251=0,0,O227/B251)</f>
        <v/>
      </c>
      <c r="S227">
        <f>IF(AND(Inputs!$B$4&lt;&gt;"pvp",Inputs!$B$35&gt;0),(INT(Inputs!$B$35/IF(Inputs!$B$4="pvp",15,MAX(0.1,Skills!D10-IF(Skills!E9=TRUE,Inputs!$B$31,0))))+1),0)</f>
        <v/>
      </c>
      <c r="V227">
        <f>IFERROR(1/IF(Inputs!$B$4="pvp",15,MAX(0.1,Skills!D10-IF(Skills!E9=TRUE,Inputs!$B$31,0))),0)</f>
        <v/>
      </c>
    </row>
    <row r="228">
      <c r="A228">
        <f>Skills!A11</f>
        <v/>
      </c>
      <c r="B228">
        <f>Skills!B11</f>
        <v/>
      </c>
      <c r="C228">
        <f>Inputs!$B$3&gt;=107</f>
        <v/>
      </c>
      <c r="D228">
        <f>IF(Skills!C11=1,60+Inputs!$B$24+Inputs!$B$28,IF(Skills!C11=2,90+Inputs!$B$25+Inputs!$B$28,IF(Skills!C11=3,120+Inputs!$B$26+Inputs!$B$28,MAX(0,(Inputs!$B$3-100)*3)+Inputs!$B$27+Inputs!$B$28)))</f>
        <v/>
      </c>
      <c r="E228">
        <f>INDEX(FactorTable!$B$2:$Y$301, MATCH(ROUND(MIN(300,MAX(1,D228)),0), FactorTable!$A$2:$A$301,0), Skills!L11+1)</f>
        <v/>
      </c>
      <c r="F228">
        <f>IF(Skills!M11=TRUE,(Skills!K11/10)*(E228/1000),Skills!K11/10)+Skills!N11</f>
        <v/>
      </c>
      <c r="G228">
        <f>Calc!G11</f>
        <v/>
      </c>
      <c r="H228">
        <f>Calc!H11</f>
        <v/>
      </c>
      <c r="I228">
        <f>IF(Skills!T11&lt;&gt;"",1+(Skills!T11/10)*(R220/1000)/100,1)</f>
        <v/>
      </c>
      <c r="J228">
        <f>((Inputs!$B$5*(1+Inputs!$B$6/100))+((Inputs!$B$11*(1+Inputs!$B$12/100))-(Inputs!$B$11*(1+Inputs!$B$12/100)))*(1+Inputs!$B$6/100))*(F228/100)</f>
        <v/>
      </c>
      <c r="K228">
        <f>J228*(1+((Inputs!$B$11*(1+Inputs!$B$12/100))*0.01+Inputs!$B$13*0.0025)/100)*(1+(Inputs!$B$14+B245)/100)*(1+IF(Inputs!$B$4="pvp",0,(1-Summary!$B$51)*(Inputs!$B$19+Skills!O11+B244)+Summary!$B$51*((Inputs!$B$20+1)+Skills!P11+B244))/100)*(1+Inputs!$B$15/100)*(5000/(6000+Inputs!$B$7*(1-Inputs!$B$18/100)))*(1+Inputs!$B$23/100)*(1+IF(C232=TRUE,F232,0)/100)*(1+IF(C240=TRUE,F240,0)/100)^5*(1+(IF(Skills!A11="CHAIN_LIGHTNING",Inputs!$B$16,Inputs!$B$17))/100)*(B243*I228)</f>
        <v/>
      </c>
      <c r="L228">
        <f>K228*(MIN(Inputs!$B$21+(F235-Calc!F18),Inputs!$B$22)/100+Inputs!$B$22/100)/2</f>
        <v/>
      </c>
      <c r="M228">
        <f>L228*(1+(Inputs!$B$9+(F238-Calc!F21))/100)</f>
        <v/>
      </c>
      <c r="N228">
        <f>L228*(1-MIN(Inputs!$B$8+((F237-Calc!F20)+(F236-Calc!F19)),100)/100)+M228*(MIN(Inputs!$B$8+((F237-Calc!F20)+(F236-Calc!F19)),100)/100)</f>
        <v/>
      </c>
      <c r="O228">
        <f>IF(C228,H228*N228*IF(AND(Inputs!$B$4&lt;&gt;"pvp",Inputs!$B$35&gt;0),((Skills!F11*((S228-1)*IF(Skills!G11&gt;0,Skills!H11/Skills!G11,1)+IF(Skills!G11&gt;0,MIN(Skills!H11,MAX(0,Inputs!$B$35-((S228-1)*IF(Inputs!$B$4="pvp",15,MAX(0.1,Skills!D11-IF(Skills!E11=TRUE,Inputs!$B$31,0))))))/Skills!G11,1)))/Inputs!$B$35),G228*V228)*IF(Inputs!$B$4="pvp",0.5,(1-Summary!$B$51)*0.5+Summary!$B$51*1)*IF(Inputs!$B$4="pvp",1,(1-Summary!$B$51)*(1)+Summary!$B$51*(MIN(Skills!Q11,Inputs!$B$37))),0)</f>
        <v/>
      </c>
      <c r="P228">
        <f>IF(B251=0,0,O228/B251)</f>
        <v/>
      </c>
      <c r="S228">
        <f>IF(AND(Inputs!$B$4&lt;&gt;"pvp",Inputs!$B$35&gt;0),(INT(Inputs!$B$35/IF(Inputs!$B$4="pvp",15,MAX(0.1,Skills!D11-IF(Skills!E11=TRUE,Inputs!$B$31,0))))+1),0)</f>
        <v/>
      </c>
      <c r="V228">
        <f>IFERROR(1/IF(Inputs!$B$4="pvp",15,MAX(0.1,Skills!D11-IF(Skills!E11=TRUE,Inputs!$B$31,0))),0)</f>
        <v/>
      </c>
    </row>
    <row r="229">
      <c r="A229">
        <f>Skills!A12</f>
        <v/>
      </c>
      <c r="B229">
        <f>Skills!B12</f>
        <v/>
      </c>
      <c r="C229">
        <f>Inputs!$B$3&gt;=115</f>
        <v/>
      </c>
      <c r="D229">
        <f>IF(Skills!C12=1,60+Inputs!$B$24+Inputs!$B$28,IF(Skills!C12=2,90+Inputs!$B$25+Inputs!$B$28,IF(Skills!C12=3,120+Inputs!$B$26+Inputs!$B$28,MAX(0,(Inputs!$B$3-100)*3)+Inputs!$B$27+Inputs!$B$28)))</f>
        <v/>
      </c>
      <c r="E229">
        <f>INDEX(FactorTable!$B$2:$Y$301, MATCH(ROUND(MIN(300,MAX(1,D229)),0), FactorTable!$A$2:$A$301,0), Skills!L12+1)</f>
        <v/>
      </c>
      <c r="F229">
        <f>IF(Skills!M12=TRUE,(Skills!K12/10)*(E229/1000),Skills!K12/10)+Skills!N12</f>
        <v/>
      </c>
      <c r="G229">
        <f>Calc!G12</f>
        <v/>
      </c>
      <c r="H229">
        <f>Calc!H12</f>
        <v/>
      </c>
      <c r="I229">
        <f>IF(Skills!T12&lt;&gt;"",1+(Skills!T12/10)*(R220/1000)/100,1)</f>
        <v/>
      </c>
      <c r="J229">
        <f>((Inputs!$B$5*(1+Inputs!$B$6/100))+((Inputs!$B$11*(1+Inputs!$B$12/100))-(Inputs!$B$11*(1+Inputs!$B$12/100)))*(1+Inputs!$B$6/100))*(F229/100)</f>
        <v/>
      </c>
      <c r="K229">
        <f>J229*(1+((Inputs!$B$11*(1+Inputs!$B$12/100))*0.01+Inputs!$B$13*0.0025)/100)*(1+(Inputs!$B$14+B245)/100)*(1+IF(Inputs!$B$4="pvp",0,(1-Summary!$B$51)*(Inputs!$B$19+Skills!O12+B244)+Summary!$B$51*((Inputs!$B$20+1)+Skills!P12+B244))/100)*(1+Inputs!$B$15/100)*(5000/(6000+Inputs!$B$7*(1-Inputs!$B$18/100)))*(1+Inputs!$B$23/100)*(1+IF(C232=TRUE,F232,0)/100)*(1+IF(C240=TRUE,F240,0)/100)^5*(1+(IF(Skills!A12="CHAIN_LIGHTNING",Inputs!$B$16,Inputs!$B$17))/100)*(B243*I229)</f>
        <v/>
      </c>
      <c r="L229">
        <f>K229*(MIN(Inputs!$B$21+(F235-Calc!F18),Inputs!$B$22)/100+Inputs!$B$22/100)/2</f>
        <v/>
      </c>
      <c r="M229">
        <f>L229*(1+(Inputs!$B$9+(F238-Calc!F21))/100)</f>
        <v/>
      </c>
      <c r="N229">
        <f>L229*(1-MIN(Inputs!$B$8+((F237-Calc!F20)+(F236-Calc!F19)),100)/100)+M229*(MIN(Inputs!$B$8+((F237-Calc!F20)+(F236-Calc!F19)),100)/100)</f>
        <v/>
      </c>
      <c r="O229">
        <f>IF(C229,H229*N229*IF(AND(Inputs!$B$4&lt;&gt;"pvp",Inputs!$B$35&gt;0),((Skills!F12*((S229-1)*IF(Skills!G12&gt;0,Skills!H12/Skills!G12,1)+IF(Skills!G12&gt;0,MIN(Skills!H12,MAX(0,Inputs!$B$35-((S229-1)*IF(Inputs!$B$4="pvp",15,MAX(0.1,Skills!D12-IF(Skills!E12=TRUE,Inputs!$B$31,0))))))/Skills!G12,1)))/Inputs!$B$35),G229*V229)*IF(Inputs!$B$4="pvp",1,(1-Summary!$B$51)*(1)+Summary!$B$51*(MIN(Skills!Q12,Inputs!$B$37))),0)</f>
        <v/>
      </c>
      <c r="P229">
        <f>IF(B251=0,0,O229/B251)</f>
        <v/>
      </c>
      <c r="S229">
        <f>IF(AND(Inputs!$B$4&lt;&gt;"pvp",Inputs!$B$35&gt;0),(INT(Inputs!$B$35/IF(Inputs!$B$4="pvp",15,MAX(0.1,Skills!D12-IF(Skills!E12=TRUE,Inputs!$B$31,0))))+1),0)</f>
        <v/>
      </c>
      <c r="V229">
        <f>IFERROR(1/IF(Inputs!$B$4="pvp",15,MAX(0.1,Skills!D12-IF(Skills!E12=TRUE,Inputs!$B$31,0))),0)</f>
        <v/>
      </c>
    </row>
    <row r="230">
      <c r="A230">
        <f>Skills!A13</f>
        <v/>
      </c>
      <c r="B230">
        <f>Skills!B13</f>
        <v/>
      </c>
      <c r="C230">
        <f>Inputs!$B$3&gt;=49</f>
        <v/>
      </c>
      <c r="D230">
        <f>IF(Skills!C13=1,60+Inputs!$B$24+Inputs!$B$28,IF(Skills!C13=2,90+Inputs!$B$25+Inputs!$B$28,IF(Skills!C13=3,120+Inputs!$B$26+Inputs!$B$28,MAX(0,(Inputs!$B$3-100)*3)+Inputs!$B$27+Inputs!$B$28)))</f>
        <v/>
      </c>
      <c r="E230">
        <f>INDEX(FactorTable!$B$2:$Y$301, MATCH(ROUND(MIN(300,MAX(1,D230)),0), FactorTable!$A$2:$A$301,0), Skills!L13+1)</f>
        <v/>
      </c>
      <c r="F230">
        <f>IF(Skills!M13=TRUE,(Skills!K13/10)*(E230/1000),Skills!K13/10)+Skills!N13</f>
        <v/>
      </c>
      <c r="G230">
        <f>Calc!G13</f>
        <v/>
      </c>
      <c r="H230">
        <f>Calc!H13</f>
        <v/>
      </c>
      <c r="I230">
        <f>IF(Skills!T13&lt;&gt;"",1+(Skills!T13/10)*(R220/1000)/100,1)</f>
        <v/>
      </c>
      <c r="J230" t="inlineStr"/>
      <c r="K230" t="inlineStr"/>
      <c r="L230" t="inlineStr"/>
      <c r="M230" t="inlineStr"/>
      <c r="N230" t="inlineStr"/>
      <c r="O230" t="n">
        <v>0</v>
      </c>
      <c r="P230">
        <f>IF(B251=0,0,O230/B251)</f>
        <v/>
      </c>
      <c r="S230" t="n">
        <v>0</v>
      </c>
      <c r="V230">
        <f>IFERROR(1/IF(Inputs!$B$4="pvp",15,MAX(0.1,Skills!D13-IF(Skills!E13=TRUE,Inputs!$B$31,0))),0)</f>
        <v/>
      </c>
    </row>
    <row r="231">
      <c r="A231">
        <f>Skills!A14</f>
        <v/>
      </c>
      <c r="B231">
        <f>Skills!B14</f>
        <v/>
      </c>
      <c r="C231">
        <f>Inputs!$B$3&gt;=72</f>
        <v/>
      </c>
      <c r="D231">
        <f>IF(Skills!C14=1,60+Inputs!$B$24+Inputs!$B$28,IF(Skills!C14=2,90+Inputs!$B$25+Inputs!$B$28,IF(Skills!C14=3,120+Inputs!$B$26+Inputs!$B$28,MAX(0,(Inputs!$B$3-100)*3)+Inputs!$B$27+Inputs!$B$28)))</f>
        <v/>
      </c>
      <c r="E231">
        <f>INDEX(FactorTable!$B$2:$Y$301, MATCH(ROUND(MIN(300,MAX(1,D231)),0), FactorTable!$A$2:$A$301,0), Skills!L14+1)</f>
        <v/>
      </c>
      <c r="F231">
        <f>IF(Skills!M14=TRUE,(Skills!K14/10)*(E231/1000),Skills!K14/10)+Skills!N14</f>
        <v/>
      </c>
      <c r="G231">
        <f>Calc!G14</f>
        <v/>
      </c>
      <c r="H231">
        <f>Calc!H14</f>
        <v/>
      </c>
      <c r="I231">
        <f>IF(Skills!T14&lt;&gt;"",1+(Skills!T14/10)*(R220/1000)/100,1)</f>
        <v/>
      </c>
      <c r="J231" t="inlineStr"/>
      <c r="K231" t="inlineStr"/>
      <c r="L231" t="inlineStr"/>
      <c r="M231" t="inlineStr"/>
      <c r="N231" t="inlineStr"/>
      <c r="O231" t="n">
        <v>0</v>
      </c>
      <c r="P231">
        <f>IF(B251=0,0,O231/B251)</f>
        <v/>
      </c>
      <c r="S231" t="n">
        <v>0</v>
      </c>
      <c r="V231">
        <f>IFERROR(1/IF(Inputs!$B$4="pvp",15,MAX(0.1,Skills!D14-IF(Skills!E14=TRUE,Inputs!$B$31,0))),0)</f>
        <v/>
      </c>
    </row>
    <row r="232">
      <c r="A232">
        <f>Skills!A15</f>
        <v/>
      </c>
      <c r="B232">
        <f>Skills!B15</f>
        <v/>
      </c>
      <c r="C232">
        <f>Inputs!$B$3&gt;=75</f>
        <v/>
      </c>
      <c r="D232">
        <f>IF(Skills!C15=1,60+Inputs!$B$24+Inputs!$B$28,IF(Skills!C15=2,90+Inputs!$B$25+Inputs!$B$28,IF(Skills!C15=3,120+Inputs!$B$26+Inputs!$B$28,MAX(0,(Inputs!$B$3-100)*3)+Inputs!$B$27+Inputs!$B$28)))</f>
        <v/>
      </c>
      <c r="E232">
        <f>INDEX(FactorTable!$B$2:$Y$301, MATCH(ROUND(MIN(300,MAX(1,D232)),0), FactorTable!$A$2:$A$301,0), Skills!L15+1)</f>
        <v/>
      </c>
      <c r="F232">
        <f>IF(Skills!M15=TRUE,(Skills!K15/10)*(E232/1000),Skills!K15/10)+Skills!N15</f>
        <v/>
      </c>
      <c r="G232">
        <f>Calc!G15</f>
        <v/>
      </c>
      <c r="H232">
        <f>Calc!H15</f>
        <v/>
      </c>
      <c r="I232">
        <f>IF(Skills!T15&lt;&gt;"",1+(Skills!T15/10)*(R220/1000)/100,1)</f>
        <v/>
      </c>
      <c r="J232" t="inlineStr"/>
      <c r="K232" t="inlineStr"/>
      <c r="L232" t="inlineStr"/>
      <c r="M232" t="inlineStr"/>
      <c r="N232" t="inlineStr"/>
      <c r="O232" t="n">
        <v>0</v>
      </c>
      <c r="P232">
        <f>IF(B251=0,0,O232/B251)</f>
        <v/>
      </c>
      <c r="S232" t="n">
        <v>0</v>
      </c>
      <c r="V232">
        <f>IFERROR(1/IF(Inputs!$B$4="pvp",15,MAX(0.1,Skills!D15-IF(Skills!E15=TRUE,Inputs!$B$31,0))),0)</f>
        <v/>
      </c>
    </row>
    <row r="233">
      <c r="A233">
        <f>Skills!A16</f>
        <v/>
      </c>
      <c r="B233">
        <f>Skills!B16</f>
        <v/>
      </c>
      <c r="C233">
        <f>Inputs!$B$3&gt;=110</f>
        <v/>
      </c>
      <c r="D233">
        <f>IF(Skills!C16=1,60+Inputs!$B$24+Inputs!$B$28,IF(Skills!C16=2,90+Inputs!$B$25+Inputs!$B$28,IF(Skills!C16=3,120+Inputs!$B$26+Inputs!$B$28,MAX(0,(Inputs!$B$3-100)*3)+Inputs!$B$27+Inputs!$B$28)))</f>
        <v/>
      </c>
      <c r="E233">
        <f>INDEX(FactorTable!$B$2:$Y$301, MATCH(ROUND(MIN(300,MAX(1,D233)),0), FactorTable!$A$2:$A$301,0), Skills!L16+1)</f>
        <v/>
      </c>
      <c r="F233">
        <f>(Skills!K16/10)*(E233/1000)*64/45+Skills!N16</f>
        <v/>
      </c>
      <c r="G233">
        <f>Calc!G16</f>
        <v/>
      </c>
      <c r="H233">
        <f>Calc!H16</f>
        <v/>
      </c>
      <c r="I233">
        <f>IF(Skills!T16&lt;&gt;"",1+(Skills!T16/10)*(R220/1000)/100,1)</f>
        <v/>
      </c>
      <c r="J233" t="inlineStr"/>
      <c r="K233" t="inlineStr"/>
      <c r="L233" t="inlineStr"/>
      <c r="M233" t="inlineStr"/>
      <c r="N233" t="inlineStr"/>
      <c r="O233" t="n">
        <v>0</v>
      </c>
      <c r="P233">
        <f>IF(B251=0,0,O233/B251)</f>
        <v/>
      </c>
      <c r="S233">
        <f>IF(AND(Inputs!$B$4&lt;&gt;"pvp",Inputs!$B$35&gt;0),(INT(Inputs!$B$35/IF(Inputs!$B$4="pvp",15,MAX(0.1,Skills!D16-IF(Skills!E16=TRUE,Inputs!$B$31,0))))+1),0)</f>
        <v/>
      </c>
      <c r="V233">
        <f>IFERROR(1/IF(Inputs!$B$4="pvp",15,MAX(0.1,Skills!D16-IF(Skills!E16=TRUE,Inputs!$B$31,0))),0)</f>
        <v/>
      </c>
    </row>
    <row r="234">
      <c r="A234">
        <f>Skills!A17</f>
        <v/>
      </c>
      <c r="B234">
        <f>Skills!B17</f>
        <v/>
      </c>
      <c r="C234">
        <f>Inputs!$B$3&gt;=33</f>
        <v/>
      </c>
      <c r="D234">
        <f>IF(Skills!C17=1,60+Inputs!$B$24+Inputs!$B$28,IF(Skills!C17=2,90+Inputs!$B$25+Inputs!$B$28,IF(Skills!C17=3,120+Inputs!$B$26+Inputs!$B$28,MAX(0,(Inputs!$B$3-100)*3)+Inputs!$B$27+Inputs!$B$28)))</f>
        <v/>
      </c>
      <c r="E234">
        <f>INDEX(FactorTable!$B$2:$Y$301, MATCH(ROUND(MIN(300,MAX(1,D234)),0), FactorTable!$A$2:$A$301,0), Skills!L17+1)</f>
        <v/>
      </c>
      <c r="F234">
        <f>IF(Skills!M17=TRUE,(Skills!K17/10)*(E234/1000),Skills!K17/10)+Skills!N17</f>
        <v/>
      </c>
      <c r="G234">
        <f>Calc!G17</f>
        <v/>
      </c>
      <c r="H234">
        <f>Calc!H17</f>
        <v/>
      </c>
      <c r="I234">
        <f>IF(Skills!T17&lt;&gt;"",1+(Skills!T17/10)*(R220/1000)/100,1)</f>
        <v/>
      </c>
      <c r="J234" t="inlineStr"/>
      <c r="K234" t="inlineStr"/>
      <c r="L234" t="inlineStr"/>
      <c r="M234" t="inlineStr"/>
      <c r="N234" t="inlineStr"/>
      <c r="O234" t="n">
        <v>0</v>
      </c>
      <c r="P234">
        <f>IF(B251=0,0,O234/B251)</f>
        <v/>
      </c>
      <c r="S234" t="n">
        <v>0</v>
      </c>
      <c r="V234">
        <f>IFERROR(1/IF(Inputs!$B$4="pvp",15,MAX(0.1,Skills!D17-IF(Skills!E17=TRUE,Inputs!$B$31,0))),0)</f>
        <v/>
      </c>
    </row>
    <row r="235">
      <c r="A235">
        <f>Skills!A18</f>
        <v/>
      </c>
      <c r="B235">
        <f>Skills!B18</f>
        <v/>
      </c>
      <c r="C235">
        <f>Inputs!$B$3&gt;=43</f>
        <v/>
      </c>
      <c r="D235">
        <f>IF(Skills!C18=1,60+Inputs!$B$24+Inputs!$B$28,IF(Skills!C18=2,90+Inputs!$B$25+Inputs!$B$28,IF(Skills!C18=3,120+Inputs!$B$26+Inputs!$B$28,MAX(0,(Inputs!$B$3-100)*3)+Inputs!$B$27+Inputs!$B$28)))</f>
        <v/>
      </c>
      <c r="E235">
        <f>INDEX(FactorTable!$B$2:$Y$301, MATCH(ROUND(MIN(300,MAX(1,D235)),0), FactorTable!$A$2:$A$301,0), Skills!L18+1)</f>
        <v/>
      </c>
      <c r="F235">
        <f>IF(Skills!M18=TRUE,(Skills!K18/10)*(E235/1000),Skills!K18/10)+Skills!N18</f>
        <v/>
      </c>
      <c r="G235">
        <f>Calc!G18</f>
        <v/>
      </c>
      <c r="H235">
        <f>Calc!H18</f>
        <v/>
      </c>
      <c r="I235">
        <f>IF(Skills!T18&lt;&gt;"",1+(Skills!T18/10)*(R220/1000)/100,1)</f>
        <v/>
      </c>
      <c r="J235" t="inlineStr"/>
      <c r="K235" t="inlineStr"/>
      <c r="L235" t="inlineStr"/>
      <c r="M235" t="inlineStr"/>
      <c r="N235" t="inlineStr"/>
      <c r="O235" t="n">
        <v>0</v>
      </c>
      <c r="P235">
        <f>IF(B251=0,0,O235/B251)</f>
        <v/>
      </c>
      <c r="S235" t="n">
        <v>0</v>
      </c>
      <c r="V235">
        <f>IFERROR(1/IF(Inputs!$B$4="pvp",15,MAX(0.1,Skills!D18-IF(Skills!E18=TRUE,Inputs!$B$31,0))),0)</f>
        <v/>
      </c>
    </row>
    <row r="236">
      <c r="A236">
        <f>Skills!A19</f>
        <v/>
      </c>
      <c r="B236">
        <f>Skills!B19</f>
        <v/>
      </c>
      <c r="C236">
        <f>Inputs!$B$3&gt;=50</f>
        <v/>
      </c>
      <c r="D236">
        <f>IF(Skills!C19=1,60+Inputs!$B$24+Inputs!$B$28,IF(Skills!C19=2,90+Inputs!$B$25+Inputs!$B$28,IF(Skills!C19=3,120+Inputs!$B$26+Inputs!$B$28,MAX(0,(Inputs!$B$3-100)*3)+Inputs!$B$27+Inputs!$B$28)))</f>
        <v/>
      </c>
      <c r="E236">
        <f>INDEX(FactorTable!$B$2:$Y$301, MATCH(ROUND(MIN(300,MAX(1,D236)),0), FactorTable!$A$2:$A$301,0), Skills!L19+1)</f>
        <v/>
      </c>
      <c r="F236">
        <f>IF(Skills!M19=TRUE,(Skills!K19/10)*(E236/1000),Skills!K19/10)+Skills!N19</f>
        <v/>
      </c>
      <c r="G236">
        <f>Calc!G19</f>
        <v/>
      </c>
      <c r="H236">
        <f>Calc!H19</f>
        <v/>
      </c>
      <c r="I236">
        <f>IF(Skills!T19&lt;&gt;"",1+(Skills!T19/10)*(R220/1000)/100,1)</f>
        <v/>
      </c>
      <c r="J236" t="inlineStr"/>
      <c r="K236" t="inlineStr"/>
      <c r="L236" t="inlineStr"/>
      <c r="M236" t="inlineStr"/>
      <c r="N236" t="inlineStr"/>
      <c r="O236" t="n">
        <v>0</v>
      </c>
      <c r="P236">
        <f>IF(B251=0,0,O236/B251)</f>
        <v/>
      </c>
      <c r="S236" t="n">
        <v>0</v>
      </c>
      <c r="V236">
        <f>IFERROR(1/IF(Inputs!$B$4="pvp",15,MAX(0.1,Skills!D19-IF(Skills!E19=TRUE,Inputs!$B$31,0))),0)</f>
        <v/>
      </c>
    </row>
    <row r="237">
      <c r="A237">
        <f>Skills!A20</f>
        <v/>
      </c>
      <c r="B237">
        <f>Skills!B20</f>
        <v/>
      </c>
      <c r="C237">
        <f>Inputs!$B$3&gt;=74</f>
        <v/>
      </c>
      <c r="D237">
        <f>IF(Skills!C20=1,60+Inputs!$B$24+Inputs!$B$28,IF(Skills!C20=2,90+Inputs!$B$25+Inputs!$B$28,IF(Skills!C20=3,120+Inputs!$B$26+Inputs!$B$28,MAX(0,(Inputs!$B$3-100)*3)+Inputs!$B$27+Inputs!$B$28)))</f>
        <v/>
      </c>
      <c r="E237">
        <f>INDEX(FactorTable!$B$2:$Y$301, MATCH(ROUND(MIN(300,MAX(1,D237)),0), FactorTable!$A$2:$A$301,0), Skills!L20+1)</f>
        <v/>
      </c>
      <c r="F237">
        <f>IF(Skills!M20=TRUE,(Skills!K20/10)*(E237/1000),Skills!K20/10)+Skills!N20</f>
        <v/>
      </c>
      <c r="G237">
        <f>Calc!G20</f>
        <v/>
      </c>
      <c r="H237">
        <f>Calc!H20</f>
        <v/>
      </c>
      <c r="I237">
        <f>IF(Skills!T20&lt;&gt;"",1+(Skills!T20/10)*(R220/1000)/100,1)</f>
        <v/>
      </c>
      <c r="J237" t="inlineStr"/>
      <c r="K237" t="inlineStr"/>
      <c r="L237" t="inlineStr"/>
      <c r="M237" t="inlineStr"/>
      <c r="N237" t="inlineStr"/>
      <c r="O237" t="n">
        <v>0</v>
      </c>
      <c r="P237">
        <f>IF(B251=0,0,O237/B251)</f>
        <v/>
      </c>
      <c r="S237" t="n">
        <v>0</v>
      </c>
      <c r="V237">
        <f>IFERROR(1/IF(Inputs!$B$4="pvp",15,MAX(0.1,Skills!D20-IF(Skills!E20=TRUE,Inputs!$B$31,0))),0)</f>
        <v/>
      </c>
    </row>
    <row r="238">
      <c r="A238">
        <f>Skills!A21</f>
        <v/>
      </c>
      <c r="B238">
        <f>Skills!B21</f>
        <v/>
      </c>
      <c r="C238">
        <f>Inputs!$B$3&gt;=74</f>
        <v/>
      </c>
      <c r="D238">
        <f>IF(Skills!C21=1,60+Inputs!$B$24+Inputs!$B$28,IF(Skills!C21=2,90+Inputs!$B$25+Inputs!$B$28,IF(Skills!C21=3,120+Inputs!$B$26+Inputs!$B$28,MAX(0,(Inputs!$B$3-100)*3)+Inputs!$B$27+Inputs!$B$28)))</f>
        <v/>
      </c>
      <c r="E238">
        <f>INDEX(FactorTable!$B$2:$Y$301, MATCH(ROUND(MIN(300,MAX(1,D238)),0), FactorTable!$A$2:$A$301,0), Skills!L21+1)</f>
        <v/>
      </c>
      <c r="F238">
        <f>IF(Skills!M21=TRUE,(Skills!K21/10)*(E238/1000),Skills!K21/10)+Skills!N21</f>
        <v/>
      </c>
      <c r="G238">
        <f>Calc!G21</f>
        <v/>
      </c>
      <c r="H238">
        <f>Calc!H21</f>
        <v/>
      </c>
      <c r="I238">
        <f>IF(Skills!T21&lt;&gt;"",1+(Skills!T21/10)*(R220/1000)/100,1)</f>
        <v/>
      </c>
      <c r="J238" t="inlineStr"/>
      <c r="K238" t="inlineStr"/>
      <c r="L238" t="inlineStr"/>
      <c r="M238" t="inlineStr"/>
      <c r="N238" t="inlineStr"/>
      <c r="O238" t="n">
        <v>0</v>
      </c>
      <c r="P238">
        <f>IF(B251=0,0,O238/B251)</f>
        <v/>
      </c>
      <c r="S238" t="n">
        <v>0</v>
      </c>
      <c r="V238">
        <f>IFERROR(1/IF(Inputs!$B$4="pvp",15,MAX(0.1,Skills!D21-IF(Skills!E21=TRUE,Inputs!$B$31,0))),0)</f>
        <v/>
      </c>
    </row>
    <row r="239">
      <c r="A239">
        <f>Skills!A22</f>
        <v/>
      </c>
      <c r="B239">
        <f>Skills!B22</f>
        <v/>
      </c>
      <c r="C239">
        <f>Inputs!$B$3&gt;=117</f>
        <v/>
      </c>
      <c r="D239">
        <f>IF(Skills!C22=1,60+Inputs!$B$24+Inputs!$B$28,IF(Skills!C22=2,90+Inputs!$B$25+Inputs!$B$28,IF(Skills!C22=3,120+Inputs!$B$26+Inputs!$B$28,MAX(0,(Inputs!$B$3-100)*3)+Inputs!$B$27+Inputs!$B$28)))</f>
        <v/>
      </c>
      <c r="E239">
        <f>INDEX(FactorTable!$B$2:$Y$301, MATCH(ROUND(MIN(300,MAX(1,D239)),0), FactorTable!$A$2:$A$301,0), Skills!L22+1)</f>
        <v/>
      </c>
      <c r="F239">
        <f>IF(Skills!M22=TRUE,(Skills!K22/10)*(E239/1000),Skills!K22/10)+Skills!N22</f>
        <v/>
      </c>
      <c r="G239">
        <f>Calc!G22</f>
        <v/>
      </c>
      <c r="H239">
        <f>Calc!H22</f>
        <v/>
      </c>
      <c r="I239">
        <f>IF(Skills!T22&lt;&gt;"",1+(Skills!T22/10)*(R220/1000)/100,1)</f>
        <v/>
      </c>
      <c r="J239" t="inlineStr"/>
      <c r="K239" t="inlineStr"/>
      <c r="L239" t="inlineStr"/>
      <c r="M239" t="inlineStr"/>
      <c r="N239" t="inlineStr"/>
      <c r="O239" t="n">
        <v>0</v>
      </c>
      <c r="P239">
        <f>IF(B251=0,0,O239/B251)</f>
        <v/>
      </c>
      <c r="S239" t="n">
        <v>0</v>
      </c>
      <c r="V239">
        <f>IFERROR(1/IF(Inputs!$B$4="pvp",15,MAX(0.1,Skills!D22-IF(Skills!E22=TRUE,Inputs!$B$31,0))),0)</f>
        <v/>
      </c>
    </row>
    <row r="240">
      <c r="A240">
        <f>Skills!A23</f>
        <v/>
      </c>
      <c r="B240">
        <f>Skills!B23</f>
        <v/>
      </c>
      <c r="C240">
        <f>Inputs!$B$3&gt;=120</f>
        <v/>
      </c>
      <c r="D240">
        <f>IF(Skills!C23=1,60+Inputs!$B$24+Inputs!$B$28,IF(Skills!C23=2,90+Inputs!$B$25+Inputs!$B$28,IF(Skills!C23=3,120+Inputs!$B$26+Inputs!$B$28,MAX(0,(Inputs!$B$3-100)*3)+Inputs!$B$27+Inputs!$B$28)))</f>
        <v/>
      </c>
      <c r="E240">
        <f>INDEX(FactorTable!$B$2:$Y$301, MATCH(ROUND(MIN(300,MAX(1,D240)),0), FactorTable!$A$2:$A$301,0), Skills!L23+1)</f>
        <v/>
      </c>
      <c r="F240">
        <f>IF(Skills!M23=TRUE,(Skills!K23/10)*(E240/1000),Skills!K23/10)+Skills!N23</f>
        <v/>
      </c>
      <c r="G240">
        <f>Calc!G23</f>
        <v/>
      </c>
      <c r="H240">
        <f>Calc!H23</f>
        <v/>
      </c>
      <c r="I240">
        <f>IF(Skills!T23&lt;&gt;"",1+(Skills!T23/10)*(R220/1000)/100,1)</f>
        <v/>
      </c>
      <c r="J240" t="inlineStr"/>
      <c r="K240" t="inlineStr"/>
      <c r="L240" t="inlineStr"/>
      <c r="M240" t="inlineStr"/>
      <c r="N240" t="inlineStr"/>
      <c r="O240" t="n">
        <v>0</v>
      </c>
      <c r="P240">
        <f>IF(B251=0,0,O240/B251)</f>
        <v/>
      </c>
      <c r="S240" t="n">
        <v>0</v>
      </c>
      <c r="V240">
        <f>IFERROR(1/IF(Inputs!$B$4="pvp",15,MAX(0.1,Skills!D23-IF(Skills!E23=TRUE,Inputs!$B$31,0))),0)</f>
        <v/>
      </c>
    </row>
    <row r="243">
      <c r="A243" t="inlineStr">
        <is>
          <t>Average Buff Multiplier (Magic Guard + Meditation, summed; then Infinity)</t>
        </is>
      </c>
      <c r="B243">
        <f>(1+(IF(C220=TRUE,F220*IF(AND(Inputs!$B$4&lt;&gt;"pvp",Inputs!$B$35&gt;0),(((S220-1)*(Skills!S3*(1+(Inputs!$B$33+IF(Inputs!$B$3&gt;=117,F239,0))/100))+MIN((Skills!S3*(1+(Inputs!$B$33+IF(Inputs!$B$3&gt;=117,F239,0))/100)),MAX(0,Inputs!$B$35-((S220-1)*Skills!D3))))/Inputs!$B$35),IF(Inputs!$B$4="pvp",MIN((Skills!S3*(1+(Inputs!$B$33+IF(Inputs!$B$3&gt;=117,F239,0))/100)),15)/15,(Skills!S3*(1+(Inputs!$B$33+IF(Inputs!$B$3&gt;=117,F239,0))/100))/Skills!D3)),0)+IF(C221=TRUE,F221*IF(AND(Inputs!$B$4&lt;&gt;"pvp",Inputs!$B$35&gt;0),(((S221-1)*(Skills!S4*(1+(Inputs!$B$33+IF(Inputs!$B$3&gt;=117,F239,0))/100))+MIN((Skills!S4*(1+(Inputs!$B$33+IF(Inputs!$B$3&gt;=117,F239,0))/100)),MAX(0,Inputs!$B$35-((S221-1)*Skills!D4))))/Inputs!$B$35),IF(Inputs!$B$4="pvp",MIN((Skills!S4*(1+(Inputs!$B$33+IF(Inputs!$B$3&gt;=117,F239,0))/100)),15)/15,(Skills!S4*(1+(Inputs!$B$33+IF(Inputs!$B$3&gt;=117,F239,0))/100))/Skills!D4)),0))/100)*IF(C233=TRUE,(1+F233*IF(AND(Inputs!$B$4&lt;&gt;"pvp",Inputs!$B$35&gt;0),(((S233-1)*(Skills!S16*(1+(Inputs!$B$33+IF(Inputs!$B$3&gt;=117,F239,0))/100))+MIN((Skills!S16*(1+(Inputs!$B$33+IF(Inputs!$B$3&gt;=117,F239,0))/100)),MAX(0,Inputs!$B$35-((S233-1)*Skills!D16))))/Inputs!$B$35),IF(Inputs!$B$4="pvp",MIN((Skills!S16*(1+(Inputs!$B$33+IF(Inputs!$B$3&gt;=117,F239,0))/100)),15)/15,(Skills!S16*(1+(Inputs!$B$33+IF(Inputs!$B$3&gt;=117,F239,0))/100))/Skills!D16))/100),1)</f>
        <v/>
      </c>
    </row>
    <row r="244">
      <c r="A244" t="inlineStr">
        <is>
          <t>Monster Damage Taken Bonus % (Freezing Breath - Weaken + Elemental Reset, summed)</t>
        </is>
      </c>
      <c r="B244">
        <f>IF(Inputs!$B$3&gt;=118,15*IF(Inputs!$B$4="pvp",MIN((30*(1+(Inputs!$B$33+IF(Inputs!$B$3&gt;=117,F239,0))/100)),15)/15,(30*(1+(Inputs!$B$33+IF(Inputs!$B$3&gt;=117,F239,0))/100))/Skills!D8),0)+IF(C231=TRUE,F231,0)</f>
        <v/>
      </c>
    </row>
    <row r="245">
      <c r="A245" t="inlineStr">
        <is>
          <t>Damage % Bonus (Frozen Break + Frost Clutch, flat)</t>
        </is>
      </c>
      <c r="B245">
        <f>IF(Inputs!$B$3&gt;=66,15,0)+IF(Inputs!$B$3&gt;=98,10,0)+IF(Inputs!$B$3&gt;=125,20,0)</f>
        <v/>
      </c>
    </row>
    <row r="246">
      <c r="A246" t="inlineStr">
        <is>
          <t>Attack Speed Bonus % (MP Eater - MP Boost, always-on once unlocked)</t>
        </is>
      </c>
      <c r="B246">
        <f>IF(C230=TRUE,F230+(F234-Calc!F17),0)</f>
        <v/>
      </c>
    </row>
    <row r="247">
      <c r="A247" t="inlineStr">
        <is>
          <t>Actions Per Second</t>
        </is>
      </c>
      <c r="B247">
        <f>1+MIN(150,150*(1-(1-Inputs!$B$10/150)*(1-B246/150)))/100</f>
        <v/>
      </c>
    </row>
    <row r="248">
      <c r="A248" t="inlineStr">
        <is>
          <t>Skill + Buff Cast Rate</t>
        </is>
      </c>
      <c r="B248">
        <f>IF(AND(Inputs!$B$4&lt;&gt;"pvp",Inputs!$B$35&gt;0),SUMPRODUCT((Skills!E2:E23=TRUE)*(C219:C240=TRUE)*S219:S240)/Inputs!$B$35,SUMPRODUCT((Skills!E2:E23=TRUE)*(C219:C240=TRUE)*V219:V240))</f>
        <v/>
      </c>
    </row>
    <row r="249">
      <c r="A249" t="inlineStr">
        <is>
          <t>Chain Lightning Casts Per Second</t>
        </is>
      </c>
      <c r="B249">
        <f>MAX(0,B247-B248)</f>
        <v/>
      </c>
    </row>
    <row r="251">
      <c r="A251" s="5" t="inlineStr">
        <is>
          <t>TOTAL DPS</t>
        </is>
      </c>
      <c r="B251" s="5">
        <f>SUM(O219:O240)</f>
        <v/>
      </c>
    </row>
    <row r="254">
      <c r="A254" s="5" t="inlineStr">
        <is>
          <t>Stat: FINAL_DAMAGE % (multiplicative source)</t>
        </is>
      </c>
    </row>
    <row r="255">
      <c r="A255" s="8" t="inlineStr">
        <is>
          <t>Key</t>
        </is>
      </c>
      <c r="B255" s="8" t="inlineStr">
        <is>
          <t>Name</t>
        </is>
      </c>
      <c r="C255" s="8" t="inlineStr">
        <is>
          <t>Unlocked</t>
        </is>
      </c>
      <c r="D255" s="8" t="inlineStr">
        <is>
          <t>InputLevel</t>
        </is>
      </c>
      <c r="E255" s="8" t="inlineStr">
        <is>
          <t>Factor</t>
        </is>
      </c>
      <c r="F255" s="8" t="inlineStr">
        <is>
          <t>CoefficientPercent</t>
        </is>
      </c>
      <c r="G255" s="8" t="inlineStr">
        <is>
          <t>EffectiveHits</t>
        </is>
      </c>
      <c r="H255" s="8" t="inlineStr">
        <is>
          <t>ProcProbability</t>
        </is>
      </c>
      <c r="I255" s="8" t="inlineStr">
        <is>
          <t>MapleHeroMultiplier</t>
        </is>
      </c>
      <c r="J255" s="8" t="inlineStr">
        <is>
          <t>BaseDamage</t>
        </is>
      </c>
      <c r="K255" s="8" t="inlineStr">
        <is>
          <t>BaseHitDamage</t>
        </is>
      </c>
      <c r="L255" s="8" t="inlineStr">
        <is>
          <t>NonCritAvg</t>
        </is>
      </c>
      <c r="M255" s="8" t="inlineStr">
        <is>
          <t>CritAvg</t>
        </is>
      </c>
      <c r="N255" s="8" t="inlineStr">
        <is>
          <t>ExpectedDamage(perHit)</t>
        </is>
      </c>
      <c r="O255" s="8" t="inlineStr">
        <is>
          <t>DPS</t>
        </is>
      </c>
      <c r="P255" s="8" t="inlineStr">
        <is>
          <t>% of Total</t>
        </is>
      </c>
      <c r="R255" t="inlineStr">
        <is>
          <t>helpers</t>
        </is>
      </c>
    </row>
    <row r="256">
      <c r="A256">
        <f>Skills!A2</f>
        <v/>
      </c>
      <c r="B256">
        <f>Skills!B2</f>
        <v/>
      </c>
      <c r="C256">
        <f>Inputs!$B$3&gt;=100</f>
        <v/>
      </c>
      <c r="D256" t="inlineStr"/>
      <c r="E256" t="inlineStr"/>
      <c r="F256">
        <f>T258+Skills!N2</f>
        <v/>
      </c>
      <c r="G256">
        <f>Calc!G2</f>
        <v/>
      </c>
      <c r="H256">
        <f>Calc!H2</f>
        <v/>
      </c>
      <c r="I256">
        <f>IF(Skills!T2&lt;&gt;"",1+(Skills!T2/10)*(R257/1000)/100,1)</f>
        <v/>
      </c>
      <c r="J256">
        <f>((Inputs!$B$5*(1+Inputs!$B$6/100))+((Inputs!$B$11*(1+Inputs!$B$12/100))-(Inputs!$B$11*(1+Inputs!$B$12/100)))*(1+Inputs!$B$6/100))*(F256/100)</f>
        <v/>
      </c>
      <c r="K256">
        <f>J256*(1+((Inputs!$B$11*(1+Inputs!$B$12/100))*0.01+Inputs!$B$13*0.0025)/100)*(1+(Inputs!$B$14+B282)/100)*(1+IF(Inputs!$B$4="pvp",0,(1-Summary!$B$51)*(Inputs!$B$19+Skills!O2+B281)+Summary!$B$51*(Inputs!$B$20+Skills!P2+B281))/100)*(1+Inputs!$B$15/100)*(5000/(6000+Inputs!$B$7*(1-Inputs!$B$18/100)))*(1+((((1+Inputs!$B$23/100)*(1.01))-1)*100)/100)*(1+IF(C269=TRUE,F269,0)/100)*(1+IF(C277=TRUE,F277,0)/100)^5*(1+(IF(Skills!A2="CHAIN_LIGHTNING",Inputs!$B$16,Inputs!$B$17))/100)*(B280*I256)</f>
        <v/>
      </c>
      <c r="L256">
        <f>K256*(MIN(Inputs!$B$21+(F272-Calc!F18),Inputs!$B$22)/100+Inputs!$B$22/100)/2</f>
        <v/>
      </c>
      <c r="M256">
        <f>L256*(1+(Inputs!$B$9+(F275-Calc!F21))/100)</f>
        <v/>
      </c>
      <c r="N256">
        <f>L256*(1-MIN(Inputs!$B$8+((F274-Calc!F20)+(F273-Calc!F19)),100)/100)+M256*(MIN(Inputs!$B$8+((F274-Calc!F20)+(F273-Calc!F19)),100)/100)</f>
        <v/>
      </c>
      <c r="O256">
        <f>IF(C256,Skills!F2*N256*B286*IF(Inputs!$B$4="pvp",1,(1-Summary!$B$51)*(1)+Summary!$B$51*(MIN((6+Inputs!$B$32),Inputs!$B$37))),0)</f>
        <v/>
      </c>
      <c r="P256">
        <f>IF(B288=0,0,O256/B288)</f>
        <v/>
      </c>
      <c r="R256">
        <f>MAX(0,(Inputs!$B$3-100)*3)+Inputs!$B$27+Inputs!$B$28</f>
        <v/>
      </c>
      <c r="S256" t="n">
        <v>0</v>
      </c>
      <c r="T256">
        <f>MAX(0,(Inputs!$B$3-100)*3)+Inputs!$B$27+Inputs!$B$28</f>
        <v/>
      </c>
      <c r="V256">
        <f>IFERROR(1/IF(Inputs!$B$4="pvp",15,MAX(0.1,Skills!D2-IF(Skills!E2=TRUE,Inputs!$B$31,0))),0)</f>
        <v/>
      </c>
    </row>
    <row r="257">
      <c r="A257">
        <f>Skills!A3</f>
        <v/>
      </c>
      <c r="B257">
        <f>Skills!B3</f>
        <v/>
      </c>
      <c r="C257">
        <f>Inputs!$B$3&gt;=15</f>
        <v/>
      </c>
      <c r="D257">
        <f>IF(Skills!C3=1,60+Inputs!$B$24+Inputs!$B$28,IF(Skills!C3=2,90+Inputs!$B$25+Inputs!$B$28,IF(Skills!C3=3,120+Inputs!$B$26+Inputs!$B$28,MAX(0,(Inputs!$B$3-100)*3)+Inputs!$B$27+Inputs!$B$28)))</f>
        <v/>
      </c>
      <c r="E257">
        <f>INDEX(FactorTable!$B$2:$Y$301, MATCH(ROUND(MIN(300,MAX(1,D257)),0), FactorTable!$A$2:$A$301,0), Skills!L3+1)</f>
        <v/>
      </c>
      <c r="F257">
        <f>IF(Skills!M3=TRUE,(Skills!K3/10)*(E257/1000),Skills!K3/10)+Skills!N3</f>
        <v/>
      </c>
      <c r="G257">
        <f>Calc!G3</f>
        <v/>
      </c>
      <c r="H257">
        <f>Calc!H3</f>
        <v/>
      </c>
      <c r="I257">
        <f>IF(Skills!T3&lt;&gt;"",1+(Skills!T3/10)*(R257/1000)/100,1)</f>
        <v/>
      </c>
      <c r="J257" t="inlineStr"/>
      <c r="K257" t="inlineStr"/>
      <c r="L257" t="inlineStr"/>
      <c r="M257" t="inlineStr"/>
      <c r="N257" t="inlineStr"/>
      <c r="O257" t="n">
        <v>0</v>
      </c>
      <c r="P257">
        <f>IF(B288=0,0,O257/B288)</f>
        <v/>
      </c>
      <c r="R257">
        <f>INDEX(FactorTable!$B$2:$Y$301, MATCH(ROUND(MIN(300,MAX(1,R256)),0), FactorTable!$A$2:$A$301,0), 24)</f>
        <v/>
      </c>
      <c r="S257">
        <f>IF(AND(Inputs!$B$4&lt;&gt;"pvp",Inputs!$B$35&gt;0),(INT(Inputs!$B$35/IF(Inputs!$B$4="pvp",15,MAX(0.1,Skills!D3-IF(Skills!E3=TRUE,Inputs!$B$31,0))))+1),0)</f>
        <v/>
      </c>
      <c r="T257">
        <f>INDEX(FactorTable!$B$2:$Y$301, MATCH(ROUND(MIN(300,MAX(1,T256)),0), FactorTable!$A$2:$A$301,0), 22)</f>
        <v/>
      </c>
      <c r="V257">
        <f>IFERROR(1/IF(Inputs!$B$4="pvp",15,MAX(0.1,Skills!D3-IF(Skills!E3=TRUE,Inputs!$B$31,0))),0)</f>
        <v/>
      </c>
    </row>
    <row r="258">
      <c r="A258">
        <f>Skills!A4</f>
        <v/>
      </c>
      <c r="B258">
        <f>Skills!B4</f>
        <v/>
      </c>
      <c r="C258">
        <f>Inputs!$B$3&gt;=40</f>
        <v/>
      </c>
      <c r="D258">
        <f>IF(Skills!C4=1,60+Inputs!$B$24+Inputs!$B$28,IF(Skills!C4=2,90+Inputs!$B$25+Inputs!$B$28,IF(Skills!C4=3,120+Inputs!$B$26+Inputs!$B$28,MAX(0,(Inputs!$B$3-100)*3)+Inputs!$B$27+Inputs!$B$28)))</f>
        <v/>
      </c>
      <c r="E258">
        <f>INDEX(FactorTable!$B$2:$Y$301, MATCH(ROUND(MIN(300,MAX(1,D258)),0), FactorTable!$A$2:$A$301,0), Skills!L4+1)</f>
        <v/>
      </c>
      <c r="F258">
        <f>IF(Skills!M4=TRUE,(Skills!K4/10)*(E258/1000),Skills!K4/10)+Skills!N4</f>
        <v/>
      </c>
      <c r="G258">
        <f>Calc!G4</f>
        <v/>
      </c>
      <c r="H258">
        <f>Calc!H4</f>
        <v/>
      </c>
      <c r="I258">
        <f>IF(Skills!T4&lt;&gt;"",1+(Skills!T4/10)*(R257/1000)/100,1)</f>
        <v/>
      </c>
      <c r="J258" t="inlineStr"/>
      <c r="K258" t="inlineStr"/>
      <c r="L258" t="inlineStr"/>
      <c r="M258" t="inlineStr"/>
      <c r="N258" t="inlineStr"/>
      <c r="O258" t="n">
        <v>0</v>
      </c>
      <c r="P258">
        <f>IF(B288=0,0,O258/B288)</f>
        <v/>
      </c>
      <c r="S258">
        <f>IF(AND(Inputs!$B$4&lt;&gt;"pvp",Inputs!$B$35&gt;0),(INT(Inputs!$B$35/IF(Inputs!$B$4="pvp",15,MAX(0.1,Skills!D4-IF(Skills!E4=TRUE,Inputs!$B$31,0))))+1),0)</f>
        <v/>
      </c>
      <c r="T258">
        <f>290*T257/1000</f>
        <v/>
      </c>
      <c r="V258">
        <f>IFERROR(1/IF(Inputs!$B$4="pvp",15,MAX(0.1,Skills!D4-IF(Skills!E4=TRUE,Inputs!$B$31,0))),0)</f>
        <v/>
      </c>
    </row>
    <row r="259">
      <c r="A259">
        <f>Skills!A5</f>
        <v/>
      </c>
      <c r="B259">
        <f>Skills!B5</f>
        <v/>
      </c>
      <c r="C259">
        <f>Inputs!$B$3&gt;=38</f>
        <v/>
      </c>
      <c r="D259">
        <f>IF(Skills!C5=1,60+Inputs!$B$24+Inputs!$B$28,IF(Skills!C5=2,90+Inputs!$B$25+Inputs!$B$28,IF(Skills!C5=3,120+Inputs!$B$26+Inputs!$B$28,MAX(0,(Inputs!$B$3-100)*3)+Inputs!$B$27+Inputs!$B$28)))</f>
        <v/>
      </c>
      <c r="E259">
        <f>INDEX(FactorTable!$B$2:$Y$301, MATCH(ROUND(MIN(300,MAX(1,D259)),0), FactorTable!$A$2:$A$301,0), Skills!L5+1)</f>
        <v/>
      </c>
      <c r="F259">
        <f>IF(Skills!M5=TRUE,(Skills!K5/10)*(E259/1000),Skills!K5/10)+Skills!N5</f>
        <v/>
      </c>
      <c r="G259">
        <f>Calc!G5</f>
        <v/>
      </c>
      <c r="H259">
        <f>Calc!H5</f>
        <v/>
      </c>
      <c r="I259">
        <f>IF(Skills!T5&lt;&gt;"",1+(Skills!T5/10)*(R257/1000)/100,1)</f>
        <v/>
      </c>
      <c r="J259">
        <f>((Inputs!$B$5*(1+Inputs!$B$6/100))+((Inputs!$B$11*(1+Inputs!$B$12/100))-(Inputs!$B$11*(1+Inputs!$B$12/100)))*(1+Inputs!$B$6/100))*(F259/100)</f>
        <v/>
      </c>
      <c r="K259">
        <f>J259*(1+((Inputs!$B$11*(1+Inputs!$B$12/100))*0.01+Inputs!$B$13*0.0025)/100)*(1+(Inputs!$B$14+B282)/100)*(1+IF(Inputs!$B$4="pvp",0,(1-Summary!$B$51)*(Inputs!$B$19+Skills!O5+B281)+Summary!$B$51*(Inputs!$B$20+Skills!P5+B281))/100)*(1+Inputs!$B$15/100)*(5000/(6000+Inputs!$B$7*(1-Inputs!$B$18/100)))*(1+((((1+Inputs!$B$23/100)*(1.01))-1)*100)/100)*(1+IF(C269=TRUE,F269,0)/100)*(1+IF(C277=TRUE,F277,0)/100)^5*(1+(IF(Skills!A5="CHAIN_LIGHTNING",Inputs!$B$16,Inputs!$B$17))/100)*(B280*I259)</f>
        <v/>
      </c>
      <c r="L259">
        <f>K259*(MIN(Inputs!$B$21+(F272-Calc!F18),Inputs!$B$22)/100+Inputs!$B$22/100)/2</f>
        <v/>
      </c>
      <c r="M259">
        <f>L259*(1+(Inputs!$B$9+(F275-Calc!F21))/100)</f>
        <v/>
      </c>
      <c r="N259">
        <f>L259*(1-MIN(Inputs!$B$8+((F274-Calc!F20)+(F273-Calc!F19)),100)/100)+M259*(MIN(Inputs!$B$8+((F274-Calc!F20)+(F273-Calc!F19)),100)/100)</f>
        <v/>
      </c>
      <c r="O259">
        <f>IF(C259,H259*N259*IF(AND(Inputs!$B$4&lt;&gt;"pvp",Inputs!$B$35&gt;0),((Skills!F5*((S259-1)*IF(Skills!G5&gt;0,Skills!H5/Skills!G5,1)+IF(Skills!G5&gt;0,MIN(Skills!H5,MAX(0,Inputs!$B$35-((S259-1)*IF(Inputs!$B$4="pvp",15,MAX(0.1,Skills!D5-IF(Skills!E5=TRUE,Inputs!$B$31,0))))))/Skills!G5,1)))/Inputs!$B$35),G259*V259)*IF(Inputs!$B$4="pvp",1,(1-Summary!$B$51)*(1)+Summary!$B$51*(MIN(Skills!Q5,Inputs!$B$37))),0)</f>
        <v/>
      </c>
      <c r="P259">
        <f>IF(B288=0,0,O259/B288)</f>
        <v/>
      </c>
      <c r="S259">
        <f>IF(AND(Inputs!$B$4&lt;&gt;"pvp",Inputs!$B$35&gt;0),(INT(Inputs!$B$35/IF(Inputs!$B$4="pvp",15,MAX(0.1,Skills!D5-IF(Skills!E5=TRUE,Inputs!$B$31,0))))+1),0)</f>
        <v/>
      </c>
      <c r="V259">
        <f>IFERROR(1/IF(Inputs!$B$4="pvp",15,MAX(0.1,Skills!D5-IF(Skills!E5=TRUE,Inputs!$B$31,0))),0)</f>
        <v/>
      </c>
    </row>
    <row r="260">
      <c r="A260">
        <f>Skills!A6</f>
        <v/>
      </c>
      <c r="B260">
        <f>Skills!B6</f>
        <v/>
      </c>
      <c r="C260">
        <f>Inputs!$B$3&gt;=63</f>
        <v/>
      </c>
      <c r="D260">
        <f>IF(Skills!C6=1,60+Inputs!$B$24+Inputs!$B$28,IF(Skills!C6=2,90+Inputs!$B$25+Inputs!$B$28,IF(Skills!C6=3,120+Inputs!$B$26+Inputs!$B$28,MAX(0,(Inputs!$B$3-100)*3)+Inputs!$B$27+Inputs!$B$28)))</f>
        <v/>
      </c>
      <c r="E260">
        <f>INDEX(FactorTable!$B$2:$Y$301, MATCH(ROUND(MIN(300,MAX(1,D260)),0), FactorTable!$A$2:$A$301,0), Skills!L6+1)</f>
        <v/>
      </c>
      <c r="F260">
        <f>IF(Skills!M6=TRUE,(Skills!K6/10)*(E260/1000),Skills!K6/10)+Skills!N6</f>
        <v/>
      </c>
      <c r="G260">
        <f>Calc!G6</f>
        <v/>
      </c>
      <c r="H260">
        <f>Calc!H6</f>
        <v/>
      </c>
      <c r="I260">
        <f>IF(Skills!T6&lt;&gt;"",1+(Skills!T6/10)*(R257/1000)/100,1)</f>
        <v/>
      </c>
      <c r="J260">
        <f>((Inputs!$B$5*(1+Inputs!$B$6/100))+((Inputs!$B$11*(1+Inputs!$B$12/100))-(Inputs!$B$11*(1+Inputs!$B$12/100)))*(1+Inputs!$B$6/100))*(F260/100)</f>
        <v/>
      </c>
      <c r="K260">
        <f>J260*(1+((Inputs!$B$11*(1+Inputs!$B$12/100))*0.01+Inputs!$B$13*0.0025)/100)*(1+(Inputs!$B$14+B282)/100)*(1+IF(Inputs!$B$4="pvp",0,(1-Summary!$B$51)*(Inputs!$B$19+Skills!O6+B281)+Summary!$B$51*(Inputs!$B$20+Skills!P6+B281))/100)*(1+Inputs!$B$15/100)*(5000/(6000+Inputs!$B$7*(1-Inputs!$B$18/100)))*(1+((((1+Inputs!$B$23/100)*(1.01))-1)*100)/100)*(1+IF(C269=TRUE,F269,0)/100)*(1+IF(C277=TRUE,F277,0)/100)^5*(1+(IF(Skills!A6="CHAIN_LIGHTNING",Inputs!$B$16,Inputs!$B$17))/100)*(B280*I260)</f>
        <v/>
      </c>
      <c r="L260">
        <f>K260*(MIN(Inputs!$B$21+(F272-Calc!F18),Inputs!$B$22)/100+Inputs!$B$22/100)/2</f>
        <v/>
      </c>
      <c r="M260">
        <f>L260*(1+(Inputs!$B$9+(F275-Calc!F21))/100)</f>
        <v/>
      </c>
      <c r="N260">
        <f>L260*(1-MIN(Inputs!$B$8+((F274-Calc!F20)+(F273-Calc!F19)),100)/100)+M260*(MIN(Inputs!$B$8+((F274-Calc!F20)+(F273-Calc!F19)),100)/100)</f>
        <v/>
      </c>
      <c r="O260">
        <f>IF(C260,H260*N260*IF(AND(Inputs!$B$4&lt;&gt;"pvp",Inputs!$B$35&gt;0),((Skills!F6*((S260-1)*IF(Skills!G6&gt;0,Skills!H6/Skills!G6,1)+IF(Skills!G6&gt;0,MIN(Skills!H6,MAX(0,Inputs!$B$35-((S260-1)*IF(Inputs!$B$4="pvp",15,MAX(0.1,Skills!D6-IF(Skills!E6=TRUE,Inputs!$B$31,0))))))/Skills!G6,1)))/Inputs!$B$35),G260*V260)*IF(Inputs!$B$4="pvp",1,(1-Summary!$B$51)*(1)+Summary!$B$51*(MIN(Skills!Q6,Inputs!$B$37))),0)</f>
        <v/>
      </c>
      <c r="P260">
        <f>IF(B288=0,0,O260/B288)</f>
        <v/>
      </c>
      <c r="S260">
        <f>IF(AND(Inputs!$B$4&lt;&gt;"pvp",Inputs!$B$35&gt;0),(INT(Inputs!$B$35/IF(Inputs!$B$4="pvp",15,MAX(0.1,Skills!D6-IF(Skills!E6=TRUE,Inputs!$B$31,0))))+1),0)</f>
        <v/>
      </c>
      <c r="V260">
        <f>IFERROR(1/IF(Inputs!$B$4="pvp",15,MAX(0.1,Skills!D6-IF(Skills!E6=TRUE,Inputs!$B$31,0))),0)</f>
        <v/>
      </c>
    </row>
    <row r="261">
      <c r="A261">
        <f>Skills!A7</f>
        <v/>
      </c>
      <c r="B261">
        <f>Skills!B7</f>
        <v/>
      </c>
      <c r="C261">
        <f>Inputs!$B$3&gt;=69</f>
        <v/>
      </c>
      <c r="D261">
        <f>IF(Skills!C7=1,60+Inputs!$B$24+Inputs!$B$28,IF(Skills!C7=2,90+Inputs!$B$25+Inputs!$B$28,IF(Skills!C7=3,120+Inputs!$B$26+Inputs!$B$28,MAX(0,(Inputs!$B$3-100)*3)+Inputs!$B$27+Inputs!$B$28)))</f>
        <v/>
      </c>
      <c r="E261">
        <f>INDEX(FactorTable!$B$2:$Y$301, MATCH(ROUND(MIN(300,MAX(1,D261)),0), FactorTable!$A$2:$A$301,0), Skills!L7+1)</f>
        <v/>
      </c>
      <c r="F261">
        <f>IF(Skills!M7=TRUE,(Skills!K7/10)*(E261/1000),Skills!K7/10)+Skills!N7</f>
        <v/>
      </c>
      <c r="G261">
        <f>Calc!G7</f>
        <v/>
      </c>
      <c r="H261">
        <f>Calc!H7</f>
        <v/>
      </c>
      <c r="I261">
        <f>IF(Skills!T7&lt;&gt;"",1+(Skills!T7/10)*(R257/1000)/100,1)</f>
        <v/>
      </c>
      <c r="J261">
        <f>((Inputs!$B$5*(1+Inputs!$B$6/100))+((Inputs!$B$11*(1+Inputs!$B$12/100))-(Inputs!$B$11*(1+Inputs!$B$12/100)))*(1+Inputs!$B$6/100))*(F261/100)</f>
        <v/>
      </c>
      <c r="K261">
        <f>J261*(1+((Inputs!$B$11*(1+Inputs!$B$12/100))*0.01+Inputs!$B$13*0.0025)/100)*(1+(Inputs!$B$14+B282)/100)*(1+IF(Inputs!$B$4="pvp",0,(1-Summary!$B$51)*(Inputs!$B$19+Skills!O7+B281)+Summary!$B$51*(Inputs!$B$20+Skills!P7+B281))/100)*(1+Inputs!$B$15/100)*(5000/(6000+Inputs!$B$7*(1-Inputs!$B$18/100)))*(1+((((1+Inputs!$B$23/100)*(1.01))-1)*100)/100)*(1+IF(C269=TRUE,F269,0)/100)*(1+IF(C277=TRUE,F277,0)/100)^5*(1+(IF(Skills!A7="CHAIN_LIGHTNING",Inputs!$B$16,Inputs!$B$17))/100)*(B280*I261)</f>
        <v/>
      </c>
      <c r="L261">
        <f>K261*(MIN(Inputs!$B$21+(F272-Calc!F18),Inputs!$B$22)/100+Inputs!$B$22/100)/2</f>
        <v/>
      </c>
      <c r="M261">
        <f>L261*(1+(Inputs!$B$9+(F275-Calc!F21))/100)</f>
        <v/>
      </c>
      <c r="N261">
        <f>L261*(1-MIN(Inputs!$B$8+((F274-Calc!F20)+(F273-Calc!F19)),100)/100)+M261*(MIN(Inputs!$B$8+((F274-Calc!F20)+(F273-Calc!F19)),100)/100)</f>
        <v/>
      </c>
      <c r="O261">
        <f>IF(C261,H261*N261*IF(AND(Inputs!$B$4&lt;&gt;"pvp",Inputs!$B$35&gt;0),((Skills!F7*((S261-1)*IF(Skills!G7&gt;0,Skills!H7/Skills!G7,1)+IF(Skills!G7&gt;0,MIN(Skills!H7,MAX(0,Inputs!$B$35-((S261-1)*IF(Inputs!$B$4="pvp",15,MAX(0.1,Skills!D7-IF(Skills!E7=TRUE,Inputs!$B$31,0))))))/Skills!G7,1)))/Inputs!$B$35),G261*V261)*IF(Inputs!$B$4="pvp",1,(1-Summary!$B$51)*(1)+Summary!$B$51*(MIN(Skills!Q7,Inputs!$B$37))),0)</f>
        <v/>
      </c>
      <c r="P261">
        <f>IF(B288=0,0,O261/B288)</f>
        <v/>
      </c>
      <c r="S261">
        <f>IF(AND(Inputs!$B$4&lt;&gt;"pvp",Inputs!$B$35&gt;0),(INT(Inputs!$B$35/IF(Inputs!$B$4="pvp",15,MAX(0.1,Skills!D7-IF(Skills!E7=TRUE,Inputs!$B$31,0))))+1),0)</f>
        <v/>
      </c>
      <c r="V261">
        <f>IFERROR(1/IF(Inputs!$B$4="pvp",15,MAX(0.1,Skills!D7-IF(Skills!E7=TRUE,Inputs!$B$31,0))),0)</f>
        <v/>
      </c>
    </row>
    <row r="262">
      <c r="A262">
        <f>Skills!A8</f>
        <v/>
      </c>
      <c r="B262">
        <f>Skills!B8</f>
        <v/>
      </c>
      <c r="C262">
        <f>Inputs!$B$3&gt;=103</f>
        <v/>
      </c>
      <c r="D262">
        <f>IF(Skills!C8=1,60+Inputs!$B$24+Inputs!$B$28,IF(Skills!C8=2,90+Inputs!$B$25+Inputs!$B$28,IF(Skills!C8=3,120+Inputs!$B$26+Inputs!$B$28,MAX(0,(Inputs!$B$3-100)*3)+Inputs!$B$27+Inputs!$B$28)))</f>
        <v/>
      </c>
      <c r="E262">
        <f>INDEX(FactorTable!$B$2:$Y$301, MATCH(ROUND(MIN(300,MAX(1,D262)),0), FactorTable!$A$2:$A$301,0), Skills!L8+1)</f>
        <v/>
      </c>
      <c r="F262">
        <f>IF(Skills!M8=TRUE,(Skills!K8/10)*(E262/1000),Skills!K8/10)+Skills!N8</f>
        <v/>
      </c>
      <c r="G262">
        <f>Calc!G8</f>
        <v/>
      </c>
      <c r="H262">
        <f>Calc!H8</f>
        <v/>
      </c>
      <c r="I262">
        <f>IF(Skills!T8&lt;&gt;"",1+(Skills!T8/10)*(R257/1000)/100,1)</f>
        <v/>
      </c>
      <c r="J262">
        <f>((Inputs!$B$5*(1+Inputs!$B$6/100))+((Inputs!$B$11*(1+Inputs!$B$12/100))-(Inputs!$B$11*(1+Inputs!$B$12/100)))*(1+Inputs!$B$6/100))*(F262/100)</f>
        <v/>
      </c>
      <c r="K262">
        <f>J262*(1+((Inputs!$B$11*(1+Inputs!$B$12/100))*0.01+Inputs!$B$13*0.0025)/100)*(1+(Inputs!$B$14+B282)/100)*(1+IF(Inputs!$B$4="pvp",0,(1-Summary!$B$51)*(Inputs!$B$19+Skills!O8+B281)+Summary!$B$51*(Inputs!$B$20+Skills!P8+B281))/100)*(1+Inputs!$B$15/100)*(5000/(6000+Inputs!$B$7*(1-Inputs!$B$18/100)))*(1+((((1+Inputs!$B$23/100)*(1.01))-1)*100)/100)*(1+IF(C269=TRUE,F269,0)/100)*(1+IF(C277=TRUE,F277,0)/100)^5*(1+(IF(Skills!A8="CHAIN_LIGHTNING",Inputs!$B$16,Inputs!$B$17))/100)*(B280*I262)</f>
        <v/>
      </c>
      <c r="L262">
        <f>K262*(MIN(Inputs!$B$21+(F272-Calc!F18),Inputs!$B$22)/100+Inputs!$B$22/100)/2</f>
        <v/>
      </c>
      <c r="M262">
        <f>L262*(1+(Inputs!$B$9+(F275-Calc!F21))/100)</f>
        <v/>
      </c>
      <c r="N262">
        <f>L262*(1-MIN(Inputs!$B$8+((F274-Calc!F20)+(F273-Calc!F19)),100)/100)+M262*(MIN(Inputs!$B$8+((F274-Calc!F20)+(F273-Calc!F19)),100)/100)</f>
        <v/>
      </c>
      <c r="O262">
        <f>IF(C262,H262*N262*IF(AND(Inputs!$B$4&lt;&gt;"pvp",Inputs!$B$35&gt;0),((Skills!F8*((S262-1)*IF(Skills!G8&gt;0,Skills!H8/Skills!G8,1)+IF(Skills!G8&gt;0,MIN(Skills!H8,MAX(0,Inputs!$B$35-((S262-1)*IF(Inputs!$B$4="pvp",15,MAX(0.1,Skills!D8-IF(Skills!E8=TRUE,Inputs!$B$31,0))))))/Skills!G8,1)))/Inputs!$B$35),G262*V262)*IF(Inputs!$B$4="pvp",1,(1-Summary!$B$51)*(1)+Summary!$B$51*(MIN(Skills!Q8,Inputs!$B$37))),0)</f>
        <v/>
      </c>
      <c r="P262">
        <f>IF(B288=0,0,O262/B288)</f>
        <v/>
      </c>
      <c r="S262">
        <f>IF(AND(Inputs!$B$4&lt;&gt;"pvp",Inputs!$B$35&gt;0),(INT(Inputs!$B$35/IF(Inputs!$B$4="pvp",15,MAX(0.1,Skills!D8-IF(Skills!E8=TRUE,Inputs!$B$31,0))))+1),0)</f>
        <v/>
      </c>
      <c r="V262">
        <f>IFERROR(1/IF(Inputs!$B$4="pvp",15,MAX(0.1,Skills!D8-IF(Skills!E8=TRUE,Inputs!$B$31,0))),0)</f>
        <v/>
      </c>
    </row>
    <row r="263">
      <c r="A263">
        <f>Skills!A9</f>
        <v/>
      </c>
      <c r="B263">
        <f>Skills!B9</f>
        <v/>
      </c>
      <c r="C263">
        <f>Inputs!$B$3&gt;=105</f>
        <v/>
      </c>
      <c r="D263">
        <f>IF(Skills!C9=1,60+Inputs!$B$24+Inputs!$B$28,IF(Skills!C9=2,90+Inputs!$B$25+Inputs!$B$28,IF(Skills!C9=3,120+Inputs!$B$26+Inputs!$B$28,MAX(0,(Inputs!$B$3-100)*3)+Inputs!$B$27+Inputs!$B$28)))</f>
        <v/>
      </c>
      <c r="E263">
        <f>INDEX(FactorTable!$B$2:$Y$301, MATCH(ROUND(MIN(300,MAX(1,D263)),0), FactorTable!$A$2:$A$301,0), Skills!L9+1)</f>
        <v/>
      </c>
      <c r="F263">
        <f>IF(Skills!M9=TRUE,(Skills!K9/10)*(E263/1000),Skills!K9/10)+Skills!N9</f>
        <v/>
      </c>
      <c r="G263">
        <f>Calc!G9</f>
        <v/>
      </c>
      <c r="H263">
        <f>Calc!H9</f>
        <v/>
      </c>
      <c r="I263">
        <f>IF(Skills!T9&lt;&gt;"",1+(Skills!T9/10)*(R257/1000)/100,1)</f>
        <v/>
      </c>
      <c r="J263">
        <f>((Inputs!$B$5*(1+Inputs!$B$6/100))+((Inputs!$B$11*(1+Inputs!$B$12/100))-(Inputs!$B$11*(1+Inputs!$B$12/100)))*(1+Inputs!$B$6/100))*(F263/100)</f>
        <v/>
      </c>
      <c r="K263">
        <f>J263*(1+((Inputs!$B$11*(1+Inputs!$B$12/100))*0.01+Inputs!$B$13*0.0025)/100)*(1+(Inputs!$B$14+B282)/100)*(1+IF(Inputs!$B$4="pvp",0,(1-Summary!$B$51)*(Inputs!$B$19+Skills!O9+B281)+Summary!$B$51*(Inputs!$B$20+Skills!P9+B281))/100)*(1+Inputs!$B$15/100)*(5000/(6000+Inputs!$B$7*(1-Inputs!$B$18/100)))*(1+((((1+Inputs!$B$23/100)*(1.01))-1)*100)/100)*(1+IF(C269=TRUE,F269,0)/100)*(1+IF(C277=TRUE,F277,0)/100)^5*(1+(IF(Skills!A9="CHAIN_LIGHTNING",Inputs!$B$16,Inputs!$B$17))/100)*(B280*I263)</f>
        <v/>
      </c>
      <c r="L263">
        <f>K263*(MIN(Inputs!$B$21+(F272-Calc!F18),Inputs!$B$22)/100+Inputs!$B$22/100)/2</f>
        <v/>
      </c>
      <c r="M263">
        <f>L263*(1+(Inputs!$B$9+(F275-Calc!F21))/100)</f>
        <v/>
      </c>
      <c r="N263">
        <f>L263*(1-MIN(Inputs!$B$8+((F274-Calc!F20)+(F273-Calc!F19)),100)/100)+M263*(MIN(Inputs!$B$8+((F274-Calc!F20)+(F273-Calc!F19)),100)/100)</f>
        <v/>
      </c>
      <c r="O263">
        <f>IF(C263,H263*N263*IF(AND(Inputs!$B$4&lt;&gt;"pvp",Inputs!$B$35&gt;0),((Skills!F9*((S263-1)*IF(Skills!G9&gt;0,Skills!H9/Skills!G9,1)+IF(Skills!G9&gt;0,MIN(Skills!H9,MAX(0,Inputs!$B$35-((S263-1)*IF(Inputs!$B$4="pvp",15,MAX(0.1,Skills!D9-IF(Skills!E9=TRUE,Inputs!$B$31,0))))))/Skills!G9,1)))/Inputs!$B$35),G263*V263)*IF(Inputs!$B$4="pvp",1,(1-Summary!$B$51)*(1)+Summary!$B$51*(MIN(Skills!Q9,Inputs!$B$37))),0)</f>
        <v/>
      </c>
      <c r="P263">
        <f>IF(B288=0,0,O263/B288)</f>
        <v/>
      </c>
      <c r="S263">
        <f>IF(AND(Inputs!$B$4&lt;&gt;"pvp",Inputs!$B$35&gt;0),(INT(Inputs!$B$35/IF(Inputs!$B$4="pvp",15,MAX(0.1,Skills!D9-IF(Skills!E9=TRUE,Inputs!$B$31,0))))+1),0)</f>
        <v/>
      </c>
      <c r="V263">
        <f>IFERROR(1/IF(Inputs!$B$4="pvp",15,MAX(0.1,Skills!D9-IF(Skills!E9=TRUE,Inputs!$B$31,0))),0)</f>
        <v/>
      </c>
    </row>
    <row r="264">
      <c r="A264">
        <f>Skills!A10</f>
        <v/>
      </c>
      <c r="B264">
        <f>Skills!B10</f>
        <v/>
      </c>
      <c r="C264">
        <f>Inputs!$B$3&gt;=113</f>
        <v/>
      </c>
      <c r="D264">
        <f>IF(Skills!C10=1,60+Inputs!$B$24+Inputs!$B$28,IF(Skills!C10=2,90+Inputs!$B$25+Inputs!$B$28,IF(Skills!C10=3,120+Inputs!$B$26+Inputs!$B$28,MAX(0,(Inputs!$B$3-100)*3)+Inputs!$B$27+Inputs!$B$28)))</f>
        <v/>
      </c>
      <c r="E264">
        <f>INDEX(FactorTable!$B$2:$Y$301, MATCH(ROUND(MIN(300,MAX(1,D264)),0), FactorTable!$A$2:$A$301,0), Skills!L10+1)</f>
        <v/>
      </c>
      <c r="F264">
        <f>IF(Skills!M10=TRUE,(Skills!K10/10)*(E264/1000),Skills!K10/10)+Skills!N10</f>
        <v/>
      </c>
      <c r="G264">
        <f>Calc!G10</f>
        <v/>
      </c>
      <c r="H264">
        <f>Calc!H10</f>
        <v/>
      </c>
      <c r="I264">
        <f>IF(Skills!T10&lt;&gt;"",1+(Skills!T10/10)*(R257/1000)/100,1)</f>
        <v/>
      </c>
      <c r="J264">
        <f>((Inputs!$B$5*(1+Inputs!$B$6/100))+((Inputs!$B$11*(1+Inputs!$B$12/100))-(Inputs!$B$11*(1+Inputs!$B$12/100)))*(1+Inputs!$B$6/100))*(F264/100)</f>
        <v/>
      </c>
      <c r="K264">
        <f>J264*(1+((Inputs!$B$11*(1+Inputs!$B$12/100))*0.01+Inputs!$B$13*0.0025)/100)*(1+(Inputs!$B$14+B282)/100)*(1+IF(Inputs!$B$4="pvp",0,(1-Summary!$B$51)*(Inputs!$B$19+Skills!O10+B281)+Summary!$B$51*(Inputs!$B$20+Skills!P10+B281))/100)*(1+Inputs!$B$15/100)*(5000/(6000+Inputs!$B$7*(1-Inputs!$B$18/100)))*(1+((((1+Inputs!$B$23/100)*(1.01))-1)*100)/100)*(1+IF(C269=TRUE,F269,0)/100)*(1+IF(C277=TRUE,F277,0)/100)^5*(1+(IF(Skills!A10="CHAIN_LIGHTNING",Inputs!$B$16,Inputs!$B$17))/100)*(B280*I264)</f>
        <v/>
      </c>
      <c r="L264">
        <f>K264*(MIN(Inputs!$B$21+(F272-Calc!F18),Inputs!$B$22)/100+Inputs!$B$22/100)/2</f>
        <v/>
      </c>
      <c r="M264">
        <f>L264*(1+(Inputs!$B$9+(F275-Calc!F21))/100)</f>
        <v/>
      </c>
      <c r="N264">
        <f>L264*(1-MIN(Inputs!$B$8+((F274-Calc!F20)+(F273-Calc!F19)),100)/100)+M264*(MIN(Inputs!$B$8+((F274-Calc!F20)+(F273-Calc!F19)),100)/100)</f>
        <v/>
      </c>
      <c r="O264">
        <f>IF(C264,H264*N264*IF(AND(Inputs!$B$4&lt;&gt;"pvp",Inputs!$B$35&gt;0),((Skills!F10*((S264-1)*IF(Skills!G10&gt;0,Skills!H10/Skills!G10,1)+IF(Skills!G10&gt;0,MIN(Skills!H10,MAX(0,Inputs!$B$35-((S264-1)*IF(Inputs!$B$4="pvp",15,MAX(0.1,Skills!D10-IF(Skills!E9=TRUE,Inputs!$B$31,0))))))/Skills!G10,1)))/Inputs!$B$35),G264*V264)*IF(Inputs!$B$4="pvp",1,(1-Summary!$B$51)*(1)+Summary!$B$51*(MIN(Skills!Q10,Inputs!$B$37))),0)</f>
        <v/>
      </c>
      <c r="P264">
        <f>IF(B288=0,0,O264/B288)</f>
        <v/>
      </c>
      <c r="S264">
        <f>IF(AND(Inputs!$B$4&lt;&gt;"pvp",Inputs!$B$35&gt;0),(INT(Inputs!$B$35/IF(Inputs!$B$4="pvp",15,MAX(0.1,Skills!D10-IF(Skills!E9=TRUE,Inputs!$B$31,0))))+1),0)</f>
        <v/>
      </c>
      <c r="V264">
        <f>IFERROR(1/IF(Inputs!$B$4="pvp",15,MAX(0.1,Skills!D10-IF(Skills!E9=TRUE,Inputs!$B$31,0))),0)</f>
        <v/>
      </c>
    </row>
    <row r="265">
      <c r="A265">
        <f>Skills!A11</f>
        <v/>
      </c>
      <c r="B265">
        <f>Skills!B11</f>
        <v/>
      </c>
      <c r="C265">
        <f>Inputs!$B$3&gt;=107</f>
        <v/>
      </c>
      <c r="D265">
        <f>IF(Skills!C11=1,60+Inputs!$B$24+Inputs!$B$28,IF(Skills!C11=2,90+Inputs!$B$25+Inputs!$B$28,IF(Skills!C11=3,120+Inputs!$B$26+Inputs!$B$28,MAX(0,(Inputs!$B$3-100)*3)+Inputs!$B$27+Inputs!$B$28)))</f>
        <v/>
      </c>
      <c r="E265">
        <f>INDEX(FactorTable!$B$2:$Y$301, MATCH(ROUND(MIN(300,MAX(1,D265)),0), FactorTable!$A$2:$A$301,0), Skills!L11+1)</f>
        <v/>
      </c>
      <c r="F265">
        <f>IF(Skills!M11=TRUE,(Skills!K11/10)*(E265/1000),Skills!K11/10)+Skills!N11</f>
        <v/>
      </c>
      <c r="G265">
        <f>Calc!G11</f>
        <v/>
      </c>
      <c r="H265">
        <f>Calc!H11</f>
        <v/>
      </c>
      <c r="I265">
        <f>IF(Skills!T11&lt;&gt;"",1+(Skills!T11/10)*(R257/1000)/100,1)</f>
        <v/>
      </c>
      <c r="J265">
        <f>((Inputs!$B$5*(1+Inputs!$B$6/100))+((Inputs!$B$11*(1+Inputs!$B$12/100))-(Inputs!$B$11*(1+Inputs!$B$12/100)))*(1+Inputs!$B$6/100))*(F265/100)</f>
        <v/>
      </c>
      <c r="K265">
        <f>J265*(1+((Inputs!$B$11*(1+Inputs!$B$12/100))*0.01+Inputs!$B$13*0.0025)/100)*(1+(Inputs!$B$14+B282)/100)*(1+IF(Inputs!$B$4="pvp",0,(1-Summary!$B$51)*(Inputs!$B$19+Skills!O11+B281)+Summary!$B$51*(Inputs!$B$20+Skills!P11+B281))/100)*(1+Inputs!$B$15/100)*(5000/(6000+Inputs!$B$7*(1-Inputs!$B$18/100)))*(1+((((1+Inputs!$B$23/100)*(1.01))-1)*100)/100)*(1+IF(C269=TRUE,F269,0)/100)*(1+IF(C277=TRUE,F277,0)/100)^5*(1+(IF(Skills!A11="CHAIN_LIGHTNING",Inputs!$B$16,Inputs!$B$17))/100)*(B280*I265)</f>
        <v/>
      </c>
      <c r="L265">
        <f>K265*(MIN(Inputs!$B$21+(F272-Calc!F18),Inputs!$B$22)/100+Inputs!$B$22/100)/2</f>
        <v/>
      </c>
      <c r="M265">
        <f>L265*(1+(Inputs!$B$9+(F275-Calc!F21))/100)</f>
        <v/>
      </c>
      <c r="N265">
        <f>L265*(1-MIN(Inputs!$B$8+((F274-Calc!F20)+(F273-Calc!F19)),100)/100)+M265*(MIN(Inputs!$B$8+((F274-Calc!F20)+(F273-Calc!F19)),100)/100)</f>
        <v/>
      </c>
      <c r="O265">
        <f>IF(C265,H265*N265*IF(AND(Inputs!$B$4&lt;&gt;"pvp",Inputs!$B$35&gt;0),((Skills!F11*((S265-1)*IF(Skills!G11&gt;0,Skills!H11/Skills!G11,1)+IF(Skills!G11&gt;0,MIN(Skills!H11,MAX(0,Inputs!$B$35-((S265-1)*IF(Inputs!$B$4="pvp",15,MAX(0.1,Skills!D11-IF(Skills!E11=TRUE,Inputs!$B$31,0))))))/Skills!G11,1)))/Inputs!$B$35),G265*V265)*IF(Inputs!$B$4="pvp",0.5,(1-Summary!$B$51)*0.5+Summary!$B$51*1)*IF(Inputs!$B$4="pvp",1,(1-Summary!$B$51)*(1)+Summary!$B$51*(MIN(Skills!Q11,Inputs!$B$37))),0)</f>
        <v/>
      </c>
      <c r="P265">
        <f>IF(B288=0,0,O265/B288)</f>
        <v/>
      </c>
      <c r="S265">
        <f>IF(AND(Inputs!$B$4&lt;&gt;"pvp",Inputs!$B$35&gt;0),(INT(Inputs!$B$35/IF(Inputs!$B$4="pvp",15,MAX(0.1,Skills!D11-IF(Skills!E11=TRUE,Inputs!$B$31,0))))+1),0)</f>
        <v/>
      </c>
      <c r="V265">
        <f>IFERROR(1/IF(Inputs!$B$4="pvp",15,MAX(0.1,Skills!D11-IF(Skills!E11=TRUE,Inputs!$B$31,0))),0)</f>
        <v/>
      </c>
    </row>
    <row r="266">
      <c r="A266">
        <f>Skills!A12</f>
        <v/>
      </c>
      <c r="B266">
        <f>Skills!B12</f>
        <v/>
      </c>
      <c r="C266">
        <f>Inputs!$B$3&gt;=115</f>
        <v/>
      </c>
      <c r="D266">
        <f>IF(Skills!C12=1,60+Inputs!$B$24+Inputs!$B$28,IF(Skills!C12=2,90+Inputs!$B$25+Inputs!$B$28,IF(Skills!C12=3,120+Inputs!$B$26+Inputs!$B$28,MAX(0,(Inputs!$B$3-100)*3)+Inputs!$B$27+Inputs!$B$28)))</f>
        <v/>
      </c>
      <c r="E266">
        <f>INDEX(FactorTable!$B$2:$Y$301, MATCH(ROUND(MIN(300,MAX(1,D266)),0), FactorTable!$A$2:$A$301,0), Skills!L12+1)</f>
        <v/>
      </c>
      <c r="F266">
        <f>IF(Skills!M12=TRUE,(Skills!K12/10)*(E266/1000),Skills!K12/10)+Skills!N12</f>
        <v/>
      </c>
      <c r="G266">
        <f>Calc!G12</f>
        <v/>
      </c>
      <c r="H266">
        <f>Calc!H12</f>
        <v/>
      </c>
      <c r="I266">
        <f>IF(Skills!T12&lt;&gt;"",1+(Skills!T12/10)*(R257/1000)/100,1)</f>
        <v/>
      </c>
      <c r="J266">
        <f>((Inputs!$B$5*(1+Inputs!$B$6/100))+((Inputs!$B$11*(1+Inputs!$B$12/100))-(Inputs!$B$11*(1+Inputs!$B$12/100)))*(1+Inputs!$B$6/100))*(F266/100)</f>
        <v/>
      </c>
      <c r="K266">
        <f>J266*(1+((Inputs!$B$11*(1+Inputs!$B$12/100))*0.01+Inputs!$B$13*0.0025)/100)*(1+(Inputs!$B$14+B282)/100)*(1+IF(Inputs!$B$4="pvp",0,(1-Summary!$B$51)*(Inputs!$B$19+Skills!O12+B281)+Summary!$B$51*(Inputs!$B$20+Skills!P12+B281))/100)*(1+Inputs!$B$15/100)*(5000/(6000+Inputs!$B$7*(1-Inputs!$B$18/100)))*(1+((((1+Inputs!$B$23/100)*(1.01))-1)*100)/100)*(1+IF(C269=TRUE,F269,0)/100)*(1+IF(C277=TRUE,F277,0)/100)^5*(1+(IF(Skills!A12="CHAIN_LIGHTNING",Inputs!$B$16,Inputs!$B$17))/100)*(B280*I266)</f>
        <v/>
      </c>
      <c r="L266">
        <f>K266*(MIN(Inputs!$B$21+(F272-Calc!F18),Inputs!$B$22)/100+Inputs!$B$22/100)/2</f>
        <v/>
      </c>
      <c r="M266">
        <f>L266*(1+(Inputs!$B$9+(F275-Calc!F21))/100)</f>
        <v/>
      </c>
      <c r="N266">
        <f>L266*(1-MIN(Inputs!$B$8+((F274-Calc!F20)+(F273-Calc!F19)),100)/100)+M266*(MIN(Inputs!$B$8+((F274-Calc!F20)+(F273-Calc!F19)),100)/100)</f>
        <v/>
      </c>
      <c r="O266">
        <f>IF(C266,H266*N266*IF(AND(Inputs!$B$4&lt;&gt;"pvp",Inputs!$B$35&gt;0),((Skills!F12*((S266-1)*IF(Skills!G12&gt;0,Skills!H12/Skills!G12,1)+IF(Skills!G12&gt;0,MIN(Skills!H12,MAX(0,Inputs!$B$35-((S266-1)*IF(Inputs!$B$4="pvp",15,MAX(0.1,Skills!D12-IF(Skills!E12=TRUE,Inputs!$B$31,0))))))/Skills!G12,1)))/Inputs!$B$35),G266*V266)*IF(Inputs!$B$4="pvp",1,(1-Summary!$B$51)*(1)+Summary!$B$51*(MIN(Skills!Q12,Inputs!$B$37))),0)</f>
        <v/>
      </c>
      <c r="P266">
        <f>IF(B288=0,0,O266/B288)</f>
        <v/>
      </c>
      <c r="S266">
        <f>IF(AND(Inputs!$B$4&lt;&gt;"pvp",Inputs!$B$35&gt;0),(INT(Inputs!$B$35/IF(Inputs!$B$4="pvp",15,MAX(0.1,Skills!D12-IF(Skills!E12=TRUE,Inputs!$B$31,0))))+1),0)</f>
        <v/>
      </c>
      <c r="V266">
        <f>IFERROR(1/IF(Inputs!$B$4="pvp",15,MAX(0.1,Skills!D12-IF(Skills!E12=TRUE,Inputs!$B$31,0))),0)</f>
        <v/>
      </c>
    </row>
    <row r="267">
      <c r="A267">
        <f>Skills!A13</f>
        <v/>
      </c>
      <c r="B267">
        <f>Skills!B13</f>
        <v/>
      </c>
      <c r="C267">
        <f>Inputs!$B$3&gt;=49</f>
        <v/>
      </c>
      <c r="D267">
        <f>IF(Skills!C13=1,60+Inputs!$B$24+Inputs!$B$28,IF(Skills!C13=2,90+Inputs!$B$25+Inputs!$B$28,IF(Skills!C13=3,120+Inputs!$B$26+Inputs!$B$28,MAX(0,(Inputs!$B$3-100)*3)+Inputs!$B$27+Inputs!$B$28)))</f>
        <v/>
      </c>
      <c r="E267">
        <f>INDEX(FactorTable!$B$2:$Y$301, MATCH(ROUND(MIN(300,MAX(1,D267)),0), FactorTable!$A$2:$A$301,0), Skills!L13+1)</f>
        <v/>
      </c>
      <c r="F267">
        <f>IF(Skills!M13=TRUE,(Skills!K13/10)*(E267/1000),Skills!K13/10)+Skills!N13</f>
        <v/>
      </c>
      <c r="G267">
        <f>Calc!G13</f>
        <v/>
      </c>
      <c r="H267">
        <f>Calc!H13</f>
        <v/>
      </c>
      <c r="I267">
        <f>IF(Skills!T13&lt;&gt;"",1+(Skills!T13/10)*(R257/1000)/100,1)</f>
        <v/>
      </c>
      <c r="J267" t="inlineStr"/>
      <c r="K267" t="inlineStr"/>
      <c r="L267" t="inlineStr"/>
      <c r="M267" t="inlineStr"/>
      <c r="N267" t="inlineStr"/>
      <c r="O267" t="n">
        <v>0</v>
      </c>
      <c r="P267">
        <f>IF(B288=0,0,O267/B288)</f>
        <v/>
      </c>
      <c r="S267" t="n">
        <v>0</v>
      </c>
      <c r="V267">
        <f>IFERROR(1/IF(Inputs!$B$4="pvp",15,MAX(0.1,Skills!D13-IF(Skills!E13=TRUE,Inputs!$B$31,0))),0)</f>
        <v/>
      </c>
    </row>
    <row r="268">
      <c r="A268">
        <f>Skills!A14</f>
        <v/>
      </c>
      <c r="B268">
        <f>Skills!B14</f>
        <v/>
      </c>
      <c r="C268">
        <f>Inputs!$B$3&gt;=72</f>
        <v/>
      </c>
      <c r="D268">
        <f>IF(Skills!C14=1,60+Inputs!$B$24+Inputs!$B$28,IF(Skills!C14=2,90+Inputs!$B$25+Inputs!$B$28,IF(Skills!C14=3,120+Inputs!$B$26+Inputs!$B$28,MAX(0,(Inputs!$B$3-100)*3)+Inputs!$B$27+Inputs!$B$28)))</f>
        <v/>
      </c>
      <c r="E268">
        <f>INDEX(FactorTable!$B$2:$Y$301, MATCH(ROUND(MIN(300,MAX(1,D268)),0), FactorTable!$A$2:$A$301,0), Skills!L14+1)</f>
        <v/>
      </c>
      <c r="F268">
        <f>IF(Skills!M14=TRUE,(Skills!K14/10)*(E268/1000),Skills!K14/10)+Skills!N14</f>
        <v/>
      </c>
      <c r="G268">
        <f>Calc!G14</f>
        <v/>
      </c>
      <c r="H268">
        <f>Calc!H14</f>
        <v/>
      </c>
      <c r="I268">
        <f>IF(Skills!T14&lt;&gt;"",1+(Skills!T14/10)*(R257/1000)/100,1)</f>
        <v/>
      </c>
      <c r="J268" t="inlineStr"/>
      <c r="K268" t="inlineStr"/>
      <c r="L268" t="inlineStr"/>
      <c r="M268" t="inlineStr"/>
      <c r="N268" t="inlineStr"/>
      <c r="O268" t="n">
        <v>0</v>
      </c>
      <c r="P268">
        <f>IF(B288=0,0,O268/B288)</f>
        <v/>
      </c>
      <c r="S268" t="n">
        <v>0</v>
      </c>
      <c r="V268">
        <f>IFERROR(1/IF(Inputs!$B$4="pvp",15,MAX(0.1,Skills!D14-IF(Skills!E14=TRUE,Inputs!$B$31,0))),0)</f>
        <v/>
      </c>
    </row>
    <row r="269">
      <c r="A269">
        <f>Skills!A15</f>
        <v/>
      </c>
      <c r="B269">
        <f>Skills!B15</f>
        <v/>
      </c>
      <c r="C269">
        <f>Inputs!$B$3&gt;=75</f>
        <v/>
      </c>
      <c r="D269">
        <f>IF(Skills!C15=1,60+Inputs!$B$24+Inputs!$B$28,IF(Skills!C15=2,90+Inputs!$B$25+Inputs!$B$28,IF(Skills!C15=3,120+Inputs!$B$26+Inputs!$B$28,MAX(0,(Inputs!$B$3-100)*3)+Inputs!$B$27+Inputs!$B$28)))</f>
        <v/>
      </c>
      <c r="E269">
        <f>INDEX(FactorTable!$B$2:$Y$301, MATCH(ROUND(MIN(300,MAX(1,D269)),0), FactorTable!$A$2:$A$301,0), Skills!L15+1)</f>
        <v/>
      </c>
      <c r="F269">
        <f>IF(Skills!M15=TRUE,(Skills!K15/10)*(E269/1000),Skills!K15/10)+Skills!N15</f>
        <v/>
      </c>
      <c r="G269">
        <f>Calc!G15</f>
        <v/>
      </c>
      <c r="H269">
        <f>Calc!H15</f>
        <v/>
      </c>
      <c r="I269">
        <f>IF(Skills!T15&lt;&gt;"",1+(Skills!T15/10)*(R257/1000)/100,1)</f>
        <v/>
      </c>
      <c r="J269" t="inlineStr"/>
      <c r="K269" t="inlineStr"/>
      <c r="L269" t="inlineStr"/>
      <c r="M269" t="inlineStr"/>
      <c r="N269" t="inlineStr"/>
      <c r="O269" t="n">
        <v>0</v>
      </c>
      <c r="P269">
        <f>IF(B288=0,0,O269/B288)</f>
        <v/>
      </c>
      <c r="S269" t="n">
        <v>0</v>
      </c>
      <c r="V269">
        <f>IFERROR(1/IF(Inputs!$B$4="pvp",15,MAX(0.1,Skills!D15-IF(Skills!E15=TRUE,Inputs!$B$31,0))),0)</f>
        <v/>
      </c>
    </row>
    <row r="270">
      <c r="A270">
        <f>Skills!A16</f>
        <v/>
      </c>
      <c r="B270">
        <f>Skills!B16</f>
        <v/>
      </c>
      <c r="C270">
        <f>Inputs!$B$3&gt;=110</f>
        <v/>
      </c>
      <c r="D270">
        <f>IF(Skills!C16=1,60+Inputs!$B$24+Inputs!$B$28,IF(Skills!C16=2,90+Inputs!$B$25+Inputs!$B$28,IF(Skills!C16=3,120+Inputs!$B$26+Inputs!$B$28,MAX(0,(Inputs!$B$3-100)*3)+Inputs!$B$27+Inputs!$B$28)))</f>
        <v/>
      </c>
      <c r="E270">
        <f>INDEX(FactorTable!$B$2:$Y$301, MATCH(ROUND(MIN(300,MAX(1,D270)),0), FactorTable!$A$2:$A$301,0), Skills!L16+1)</f>
        <v/>
      </c>
      <c r="F270">
        <f>(Skills!K16/10)*(E270/1000)*64/45+Skills!N16</f>
        <v/>
      </c>
      <c r="G270">
        <f>Calc!G16</f>
        <v/>
      </c>
      <c r="H270">
        <f>Calc!H16</f>
        <v/>
      </c>
      <c r="I270">
        <f>IF(Skills!T16&lt;&gt;"",1+(Skills!T16/10)*(R257/1000)/100,1)</f>
        <v/>
      </c>
      <c r="J270" t="inlineStr"/>
      <c r="K270" t="inlineStr"/>
      <c r="L270" t="inlineStr"/>
      <c r="M270" t="inlineStr"/>
      <c r="N270" t="inlineStr"/>
      <c r="O270" t="n">
        <v>0</v>
      </c>
      <c r="P270">
        <f>IF(B288=0,0,O270/B288)</f>
        <v/>
      </c>
      <c r="S270">
        <f>IF(AND(Inputs!$B$4&lt;&gt;"pvp",Inputs!$B$35&gt;0),(INT(Inputs!$B$35/IF(Inputs!$B$4="pvp",15,MAX(0.1,Skills!D16-IF(Skills!E16=TRUE,Inputs!$B$31,0))))+1),0)</f>
        <v/>
      </c>
      <c r="V270">
        <f>IFERROR(1/IF(Inputs!$B$4="pvp",15,MAX(0.1,Skills!D16-IF(Skills!E16=TRUE,Inputs!$B$31,0))),0)</f>
        <v/>
      </c>
    </row>
    <row r="271">
      <c r="A271">
        <f>Skills!A17</f>
        <v/>
      </c>
      <c r="B271">
        <f>Skills!B17</f>
        <v/>
      </c>
      <c r="C271">
        <f>Inputs!$B$3&gt;=33</f>
        <v/>
      </c>
      <c r="D271">
        <f>IF(Skills!C17=1,60+Inputs!$B$24+Inputs!$B$28,IF(Skills!C17=2,90+Inputs!$B$25+Inputs!$B$28,IF(Skills!C17=3,120+Inputs!$B$26+Inputs!$B$28,MAX(0,(Inputs!$B$3-100)*3)+Inputs!$B$27+Inputs!$B$28)))</f>
        <v/>
      </c>
      <c r="E271">
        <f>INDEX(FactorTable!$B$2:$Y$301, MATCH(ROUND(MIN(300,MAX(1,D271)),0), FactorTable!$A$2:$A$301,0), Skills!L17+1)</f>
        <v/>
      </c>
      <c r="F271">
        <f>IF(Skills!M17=TRUE,(Skills!K17/10)*(E271/1000),Skills!K17/10)+Skills!N17</f>
        <v/>
      </c>
      <c r="G271">
        <f>Calc!G17</f>
        <v/>
      </c>
      <c r="H271">
        <f>Calc!H17</f>
        <v/>
      </c>
      <c r="I271">
        <f>IF(Skills!T17&lt;&gt;"",1+(Skills!T17/10)*(R257/1000)/100,1)</f>
        <v/>
      </c>
      <c r="J271" t="inlineStr"/>
      <c r="K271" t="inlineStr"/>
      <c r="L271" t="inlineStr"/>
      <c r="M271" t="inlineStr"/>
      <c r="N271" t="inlineStr"/>
      <c r="O271" t="n">
        <v>0</v>
      </c>
      <c r="P271">
        <f>IF(B288=0,0,O271/B288)</f>
        <v/>
      </c>
      <c r="S271" t="n">
        <v>0</v>
      </c>
      <c r="V271">
        <f>IFERROR(1/IF(Inputs!$B$4="pvp",15,MAX(0.1,Skills!D17-IF(Skills!E17=TRUE,Inputs!$B$31,0))),0)</f>
        <v/>
      </c>
    </row>
    <row r="272">
      <c r="A272">
        <f>Skills!A18</f>
        <v/>
      </c>
      <c r="B272">
        <f>Skills!B18</f>
        <v/>
      </c>
      <c r="C272">
        <f>Inputs!$B$3&gt;=43</f>
        <v/>
      </c>
      <c r="D272">
        <f>IF(Skills!C18=1,60+Inputs!$B$24+Inputs!$B$28,IF(Skills!C18=2,90+Inputs!$B$25+Inputs!$B$28,IF(Skills!C18=3,120+Inputs!$B$26+Inputs!$B$28,MAX(0,(Inputs!$B$3-100)*3)+Inputs!$B$27+Inputs!$B$28)))</f>
        <v/>
      </c>
      <c r="E272">
        <f>INDEX(FactorTable!$B$2:$Y$301, MATCH(ROUND(MIN(300,MAX(1,D272)),0), FactorTable!$A$2:$A$301,0), Skills!L18+1)</f>
        <v/>
      </c>
      <c r="F272">
        <f>IF(Skills!M18=TRUE,(Skills!K18/10)*(E272/1000),Skills!K18/10)+Skills!N18</f>
        <v/>
      </c>
      <c r="G272">
        <f>Calc!G18</f>
        <v/>
      </c>
      <c r="H272">
        <f>Calc!H18</f>
        <v/>
      </c>
      <c r="I272">
        <f>IF(Skills!T18&lt;&gt;"",1+(Skills!T18/10)*(R257/1000)/100,1)</f>
        <v/>
      </c>
      <c r="J272" t="inlineStr"/>
      <c r="K272" t="inlineStr"/>
      <c r="L272" t="inlineStr"/>
      <c r="M272" t="inlineStr"/>
      <c r="N272" t="inlineStr"/>
      <c r="O272" t="n">
        <v>0</v>
      </c>
      <c r="P272">
        <f>IF(B288=0,0,O272/B288)</f>
        <v/>
      </c>
      <c r="S272" t="n">
        <v>0</v>
      </c>
      <c r="V272">
        <f>IFERROR(1/IF(Inputs!$B$4="pvp",15,MAX(0.1,Skills!D18-IF(Skills!E18=TRUE,Inputs!$B$31,0))),0)</f>
        <v/>
      </c>
    </row>
    <row r="273">
      <c r="A273">
        <f>Skills!A19</f>
        <v/>
      </c>
      <c r="B273">
        <f>Skills!B19</f>
        <v/>
      </c>
      <c r="C273">
        <f>Inputs!$B$3&gt;=50</f>
        <v/>
      </c>
      <c r="D273">
        <f>IF(Skills!C19=1,60+Inputs!$B$24+Inputs!$B$28,IF(Skills!C19=2,90+Inputs!$B$25+Inputs!$B$28,IF(Skills!C19=3,120+Inputs!$B$26+Inputs!$B$28,MAX(0,(Inputs!$B$3-100)*3)+Inputs!$B$27+Inputs!$B$28)))</f>
        <v/>
      </c>
      <c r="E273">
        <f>INDEX(FactorTable!$B$2:$Y$301, MATCH(ROUND(MIN(300,MAX(1,D273)),0), FactorTable!$A$2:$A$301,0), Skills!L19+1)</f>
        <v/>
      </c>
      <c r="F273">
        <f>IF(Skills!M19=TRUE,(Skills!K19/10)*(E273/1000),Skills!K19/10)+Skills!N19</f>
        <v/>
      </c>
      <c r="G273">
        <f>Calc!G19</f>
        <v/>
      </c>
      <c r="H273">
        <f>Calc!H19</f>
        <v/>
      </c>
      <c r="I273">
        <f>IF(Skills!T19&lt;&gt;"",1+(Skills!T19/10)*(R257/1000)/100,1)</f>
        <v/>
      </c>
      <c r="J273" t="inlineStr"/>
      <c r="K273" t="inlineStr"/>
      <c r="L273" t="inlineStr"/>
      <c r="M273" t="inlineStr"/>
      <c r="N273" t="inlineStr"/>
      <c r="O273" t="n">
        <v>0</v>
      </c>
      <c r="P273">
        <f>IF(B288=0,0,O273/B288)</f>
        <v/>
      </c>
      <c r="S273" t="n">
        <v>0</v>
      </c>
      <c r="V273">
        <f>IFERROR(1/IF(Inputs!$B$4="pvp",15,MAX(0.1,Skills!D19-IF(Skills!E19=TRUE,Inputs!$B$31,0))),0)</f>
        <v/>
      </c>
    </row>
    <row r="274">
      <c r="A274">
        <f>Skills!A20</f>
        <v/>
      </c>
      <c r="B274">
        <f>Skills!B20</f>
        <v/>
      </c>
      <c r="C274">
        <f>Inputs!$B$3&gt;=74</f>
        <v/>
      </c>
      <c r="D274">
        <f>IF(Skills!C20=1,60+Inputs!$B$24+Inputs!$B$28,IF(Skills!C20=2,90+Inputs!$B$25+Inputs!$B$28,IF(Skills!C20=3,120+Inputs!$B$26+Inputs!$B$28,MAX(0,(Inputs!$B$3-100)*3)+Inputs!$B$27+Inputs!$B$28)))</f>
        <v/>
      </c>
      <c r="E274">
        <f>INDEX(FactorTable!$B$2:$Y$301, MATCH(ROUND(MIN(300,MAX(1,D274)),0), FactorTable!$A$2:$A$301,0), Skills!L20+1)</f>
        <v/>
      </c>
      <c r="F274">
        <f>IF(Skills!M20=TRUE,(Skills!K20/10)*(E274/1000),Skills!K20/10)+Skills!N20</f>
        <v/>
      </c>
      <c r="G274">
        <f>Calc!G20</f>
        <v/>
      </c>
      <c r="H274">
        <f>Calc!H20</f>
        <v/>
      </c>
      <c r="I274">
        <f>IF(Skills!T20&lt;&gt;"",1+(Skills!T20/10)*(R257/1000)/100,1)</f>
        <v/>
      </c>
      <c r="J274" t="inlineStr"/>
      <c r="K274" t="inlineStr"/>
      <c r="L274" t="inlineStr"/>
      <c r="M274" t="inlineStr"/>
      <c r="N274" t="inlineStr"/>
      <c r="O274" t="n">
        <v>0</v>
      </c>
      <c r="P274">
        <f>IF(B288=0,0,O274/B288)</f>
        <v/>
      </c>
      <c r="S274" t="n">
        <v>0</v>
      </c>
      <c r="V274">
        <f>IFERROR(1/IF(Inputs!$B$4="pvp",15,MAX(0.1,Skills!D20-IF(Skills!E20=TRUE,Inputs!$B$31,0))),0)</f>
        <v/>
      </c>
    </row>
    <row r="275">
      <c r="A275">
        <f>Skills!A21</f>
        <v/>
      </c>
      <c r="B275">
        <f>Skills!B21</f>
        <v/>
      </c>
      <c r="C275">
        <f>Inputs!$B$3&gt;=74</f>
        <v/>
      </c>
      <c r="D275">
        <f>IF(Skills!C21=1,60+Inputs!$B$24+Inputs!$B$28,IF(Skills!C21=2,90+Inputs!$B$25+Inputs!$B$28,IF(Skills!C21=3,120+Inputs!$B$26+Inputs!$B$28,MAX(0,(Inputs!$B$3-100)*3)+Inputs!$B$27+Inputs!$B$28)))</f>
        <v/>
      </c>
      <c r="E275">
        <f>INDEX(FactorTable!$B$2:$Y$301, MATCH(ROUND(MIN(300,MAX(1,D275)),0), FactorTable!$A$2:$A$301,0), Skills!L21+1)</f>
        <v/>
      </c>
      <c r="F275">
        <f>IF(Skills!M21=TRUE,(Skills!K21/10)*(E275/1000),Skills!K21/10)+Skills!N21</f>
        <v/>
      </c>
      <c r="G275">
        <f>Calc!G21</f>
        <v/>
      </c>
      <c r="H275">
        <f>Calc!H21</f>
        <v/>
      </c>
      <c r="I275">
        <f>IF(Skills!T21&lt;&gt;"",1+(Skills!T21/10)*(R257/1000)/100,1)</f>
        <v/>
      </c>
      <c r="J275" t="inlineStr"/>
      <c r="K275" t="inlineStr"/>
      <c r="L275" t="inlineStr"/>
      <c r="M275" t="inlineStr"/>
      <c r="N275" t="inlineStr"/>
      <c r="O275" t="n">
        <v>0</v>
      </c>
      <c r="P275">
        <f>IF(B288=0,0,O275/B288)</f>
        <v/>
      </c>
      <c r="S275" t="n">
        <v>0</v>
      </c>
      <c r="V275">
        <f>IFERROR(1/IF(Inputs!$B$4="pvp",15,MAX(0.1,Skills!D21-IF(Skills!E21=TRUE,Inputs!$B$31,0))),0)</f>
        <v/>
      </c>
    </row>
    <row r="276">
      <c r="A276">
        <f>Skills!A22</f>
        <v/>
      </c>
      <c r="B276">
        <f>Skills!B22</f>
        <v/>
      </c>
      <c r="C276">
        <f>Inputs!$B$3&gt;=117</f>
        <v/>
      </c>
      <c r="D276">
        <f>IF(Skills!C22=1,60+Inputs!$B$24+Inputs!$B$28,IF(Skills!C22=2,90+Inputs!$B$25+Inputs!$B$28,IF(Skills!C22=3,120+Inputs!$B$26+Inputs!$B$28,MAX(0,(Inputs!$B$3-100)*3)+Inputs!$B$27+Inputs!$B$28)))</f>
        <v/>
      </c>
      <c r="E276">
        <f>INDEX(FactorTable!$B$2:$Y$301, MATCH(ROUND(MIN(300,MAX(1,D276)),0), FactorTable!$A$2:$A$301,0), Skills!L22+1)</f>
        <v/>
      </c>
      <c r="F276">
        <f>IF(Skills!M22=TRUE,(Skills!K22/10)*(E276/1000),Skills!K22/10)+Skills!N22</f>
        <v/>
      </c>
      <c r="G276">
        <f>Calc!G22</f>
        <v/>
      </c>
      <c r="H276">
        <f>Calc!H22</f>
        <v/>
      </c>
      <c r="I276">
        <f>IF(Skills!T22&lt;&gt;"",1+(Skills!T22/10)*(R257/1000)/100,1)</f>
        <v/>
      </c>
      <c r="J276" t="inlineStr"/>
      <c r="K276" t="inlineStr"/>
      <c r="L276" t="inlineStr"/>
      <c r="M276" t="inlineStr"/>
      <c r="N276" t="inlineStr"/>
      <c r="O276" t="n">
        <v>0</v>
      </c>
      <c r="P276">
        <f>IF(B288=0,0,O276/B288)</f>
        <v/>
      </c>
      <c r="S276" t="n">
        <v>0</v>
      </c>
      <c r="V276">
        <f>IFERROR(1/IF(Inputs!$B$4="pvp",15,MAX(0.1,Skills!D22-IF(Skills!E22=TRUE,Inputs!$B$31,0))),0)</f>
        <v/>
      </c>
    </row>
    <row r="277">
      <c r="A277">
        <f>Skills!A23</f>
        <v/>
      </c>
      <c r="B277">
        <f>Skills!B23</f>
        <v/>
      </c>
      <c r="C277">
        <f>Inputs!$B$3&gt;=120</f>
        <v/>
      </c>
      <c r="D277">
        <f>IF(Skills!C23=1,60+Inputs!$B$24+Inputs!$B$28,IF(Skills!C23=2,90+Inputs!$B$25+Inputs!$B$28,IF(Skills!C23=3,120+Inputs!$B$26+Inputs!$B$28,MAX(0,(Inputs!$B$3-100)*3)+Inputs!$B$27+Inputs!$B$28)))</f>
        <v/>
      </c>
      <c r="E277">
        <f>INDEX(FactorTable!$B$2:$Y$301, MATCH(ROUND(MIN(300,MAX(1,D277)),0), FactorTable!$A$2:$A$301,0), Skills!L23+1)</f>
        <v/>
      </c>
      <c r="F277">
        <f>IF(Skills!M23=TRUE,(Skills!K23/10)*(E277/1000),Skills!K23/10)+Skills!N23</f>
        <v/>
      </c>
      <c r="G277">
        <f>Calc!G23</f>
        <v/>
      </c>
      <c r="H277">
        <f>Calc!H23</f>
        <v/>
      </c>
      <c r="I277">
        <f>IF(Skills!T23&lt;&gt;"",1+(Skills!T23/10)*(R257/1000)/100,1)</f>
        <v/>
      </c>
      <c r="J277" t="inlineStr"/>
      <c r="K277" t="inlineStr"/>
      <c r="L277" t="inlineStr"/>
      <c r="M277" t="inlineStr"/>
      <c r="N277" t="inlineStr"/>
      <c r="O277" t="n">
        <v>0</v>
      </c>
      <c r="P277">
        <f>IF(B288=0,0,O277/B288)</f>
        <v/>
      </c>
      <c r="S277" t="n">
        <v>0</v>
      </c>
      <c r="V277">
        <f>IFERROR(1/IF(Inputs!$B$4="pvp",15,MAX(0.1,Skills!D23-IF(Skills!E23=TRUE,Inputs!$B$31,0))),0)</f>
        <v/>
      </c>
    </row>
    <row r="280">
      <c r="A280" t="inlineStr">
        <is>
          <t>Average Buff Multiplier (Magic Guard + Meditation, summed; then Infinity)</t>
        </is>
      </c>
      <c r="B280">
        <f>(1+(IF(C257=TRUE,F257*IF(AND(Inputs!$B$4&lt;&gt;"pvp",Inputs!$B$35&gt;0),(((S257-1)*(Skills!S3*(1+(Inputs!$B$33+IF(Inputs!$B$3&gt;=117,F276,0))/100))+MIN((Skills!S3*(1+(Inputs!$B$33+IF(Inputs!$B$3&gt;=117,F276,0))/100)),MAX(0,Inputs!$B$35-((S257-1)*Skills!D3))))/Inputs!$B$35),IF(Inputs!$B$4="pvp",MIN((Skills!S3*(1+(Inputs!$B$33+IF(Inputs!$B$3&gt;=117,F276,0))/100)),15)/15,(Skills!S3*(1+(Inputs!$B$33+IF(Inputs!$B$3&gt;=117,F276,0))/100))/Skills!D3)),0)+IF(C258=TRUE,F258*IF(AND(Inputs!$B$4&lt;&gt;"pvp",Inputs!$B$35&gt;0),(((S258-1)*(Skills!S4*(1+(Inputs!$B$33+IF(Inputs!$B$3&gt;=117,F276,0))/100))+MIN((Skills!S4*(1+(Inputs!$B$33+IF(Inputs!$B$3&gt;=117,F276,0))/100)),MAX(0,Inputs!$B$35-((S258-1)*Skills!D4))))/Inputs!$B$35),IF(Inputs!$B$4="pvp",MIN((Skills!S4*(1+(Inputs!$B$33+IF(Inputs!$B$3&gt;=117,F276,0))/100)),15)/15,(Skills!S4*(1+(Inputs!$B$33+IF(Inputs!$B$3&gt;=117,F276,0))/100))/Skills!D4)),0))/100)*IF(C270=TRUE,(1+F270*IF(AND(Inputs!$B$4&lt;&gt;"pvp",Inputs!$B$35&gt;0),(((S270-1)*(Skills!S16*(1+(Inputs!$B$33+IF(Inputs!$B$3&gt;=117,F276,0))/100))+MIN((Skills!S16*(1+(Inputs!$B$33+IF(Inputs!$B$3&gt;=117,F276,0))/100)),MAX(0,Inputs!$B$35-((S270-1)*Skills!D16))))/Inputs!$B$35),IF(Inputs!$B$4="pvp",MIN((Skills!S16*(1+(Inputs!$B$33+IF(Inputs!$B$3&gt;=117,F276,0))/100)),15)/15,(Skills!S16*(1+(Inputs!$B$33+IF(Inputs!$B$3&gt;=117,F276,0))/100))/Skills!D16))/100),1)</f>
        <v/>
      </c>
    </row>
    <row r="281">
      <c r="A281" t="inlineStr">
        <is>
          <t>Monster Damage Taken Bonus % (Freezing Breath - Weaken + Elemental Reset, summed)</t>
        </is>
      </c>
      <c r="B281">
        <f>IF(Inputs!$B$3&gt;=118,15*IF(Inputs!$B$4="pvp",MIN((30*(1+(Inputs!$B$33+IF(Inputs!$B$3&gt;=117,F276,0))/100)),15)/15,(30*(1+(Inputs!$B$33+IF(Inputs!$B$3&gt;=117,F276,0))/100))/Skills!D8),0)+IF(C268=TRUE,F268,0)</f>
        <v/>
      </c>
    </row>
    <row r="282">
      <c r="A282" t="inlineStr">
        <is>
          <t>Damage % Bonus (Frozen Break + Frost Clutch, flat)</t>
        </is>
      </c>
      <c r="B282">
        <f>IF(Inputs!$B$3&gt;=66,15,0)+IF(Inputs!$B$3&gt;=98,10,0)+IF(Inputs!$B$3&gt;=125,20,0)</f>
        <v/>
      </c>
    </row>
    <row r="283">
      <c r="A283" t="inlineStr">
        <is>
          <t>Attack Speed Bonus % (MP Eater - MP Boost, always-on once unlocked)</t>
        </is>
      </c>
      <c r="B283">
        <f>IF(C267=TRUE,F267+(F271-Calc!F17),0)</f>
        <v/>
      </c>
    </row>
    <row r="284">
      <c r="A284" t="inlineStr">
        <is>
          <t>Actions Per Second</t>
        </is>
      </c>
      <c r="B284">
        <f>1+MIN(150,150*(1-(1-Inputs!$B$10/150)*(1-B283/150)))/100</f>
        <v/>
      </c>
    </row>
    <row r="285">
      <c r="A285" t="inlineStr">
        <is>
          <t>Skill + Buff Cast Rate</t>
        </is>
      </c>
      <c r="B285">
        <f>IF(AND(Inputs!$B$4&lt;&gt;"pvp",Inputs!$B$35&gt;0),SUMPRODUCT((Skills!E2:E23=TRUE)*(C256:C277=TRUE)*S256:S277)/Inputs!$B$35,SUMPRODUCT((Skills!E2:E23=TRUE)*(C256:C277=TRUE)*V256:V277))</f>
        <v/>
      </c>
    </row>
    <row r="286">
      <c r="A286" t="inlineStr">
        <is>
          <t>Chain Lightning Casts Per Second</t>
        </is>
      </c>
      <c r="B286">
        <f>MAX(0,B284-B285)</f>
        <v/>
      </c>
    </row>
    <row r="288">
      <c r="A288" s="5" t="inlineStr">
        <is>
          <t>TOTAL DPS</t>
        </is>
      </c>
      <c r="B288" s="5">
        <f>SUM(O256:O277)</f>
        <v/>
      </c>
    </row>
    <row r="291">
      <c r="A291" s="5" t="inlineStr">
        <is>
          <t>Stat: MIN_DAMAGE %</t>
        </is>
      </c>
    </row>
    <row r="292">
      <c r="A292" s="8" t="inlineStr">
        <is>
          <t>Key</t>
        </is>
      </c>
      <c r="B292" s="8" t="inlineStr">
        <is>
          <t>Name</t>
        </is>
      </c>
      <c r="C292" s="8" t="inlineStr">
        <is>
          <t>Unlocked</t>
        </is>
      </c>
      <c r="D292" s="8" t="inlineStr">
        <is>
          <t>InputLevel</t>
        </is>
      </c>
      <c r="E292" s="8" t="inlineStr">
        <is>
          <t>Factor</t>
        </is>
      </c>
      <c r="F292" s="8" t="inlineStr">
        <is>
          <t>CoefficientPercent</t>
        </is>
      </c>
      <c r="G292" s="8" t="inlineStr">
        <is>
          <t>EffectiveHits</t>
        </is>
      </c>
      <c r="H292" s="8" t="inlineStr">
        <is>
          <t>ProcProbability</t>
        </is>
      </c>
      <c r="I292" s="8" t="inlineStr">
        <is>
          <t>MapleHeroMultiplier</t>
        </is>
      </c>
      <c r="J292" s="8" t="inlineStr">
        <is>
          <t>BaseDamage</t>
        </is>
      </c>
      <c r="K292" s="8" t="inlineStr">
        <is>
          <t>BaseHitDamage</t>
        </is>
      </c>
      <c r="L292" s="8" t="inlineStr">
        <is>
          <t>NonCritAvg</t>
        </is>
      </c>
      <c r="M292" s="8" t="inlineStr">
        <is>
          <t>CritAvg</t>
        </is>
      </c>
      <c r="N292" s="8" t="inlineStr">
        <is>
          <t>ExpectedDamage(perHit)</t>
        </is>
      </c>
      <c r="O292" s="8" t="inlineStr">
        <is>
          <t>DPS</t>
        </is>
      </c>
      <c r="P292" s="8" t="inlineStr">
        <is>
          <t>% of Total</t>
        </is>
      </c>
      <c r="R292" t="inlineStr">
        <is>
          <t>helpers</t>
        </is>
      </c>
    </row>
    <row r="293">
      <c r="A293">
        <f>Skills!A2</f>
        <v/>
      </c>
      <c r="B293">
        <f>Skills!B2</f>
        <v/>
      </c>
      <c r="C293">
        <f>Inputs!$B$3&gt;=100</f>
        <v/>
      </c>
      <c r="D293" t="inlineStr"/>
      <c r="E293" t="inlineStr"/>
      <c r="F293">
        <f>T295+Skills!N2</f>
        <v/>
      </c>
      <c r="G293">
        <f>Calc!G2</f>
        <v/>
      </c>
      <c r="H293">
        <f>Calc!H2</f>
        <v/>
      </c>
      <c r="I293">
        <f>IF(Skills!T2&lt;&gt;"",1+(Skills!T2/10)*(R294/1000)/100,1)</f>
        <v/>
      </c>
      <c r="J293">
        <f>((Inputs!$B$5*(1+Inputs!$B$6/100))+((Inputs!$B$11*(1+Inputs!$B$12/100))-(Inputs!$B$11*(1+Inputs!$B$12/100)))*(1+Inputs!$B$6/100))*(F293/100)</f>
        <v/>
      </c>
      <c r="K293">
        <f>J293*(1+((Inputs!$B$11*(1+Inputs!$B$12/100))*0.01+Inputs!$B$13*0.0025)/100)*(1+(Inputs!$B$14+B319)/100)*(1+IF(Inputs!$B$4="pvp",0,(1-Summary!$B$51)*(Inputs!$B$19+Skills!O2+B318)+Summary!$B$51*(Inputs!$B$20+Skills!P2+B318))/100)*(1+Inputs!$B$15/100)*(5000/(6000+Inputs!$B$7*(1-Inputs!$B$18/100)))*(1+Inputs!$B$23/100)*(1+IF(C306=TRUE,F306,0)/100)*(1+IF(C314=TRUE,F314,0)/100)^5*(1+(IF(Skills!A2="CHAIN_LIGHTNING",Inputs!$B$16,Inputs!$B$17))/100)*(B317*I293)</f>
        <v/>
      </c>
      <c r="L293">
        <f>K293*(MIN((Inputs!$B$21+1)+(F309-Calc!F18),Inputs!$B$22)/100+Inputs!$B$22/100)/2</f>
        <v/>
      </c>
      <c r="M293">
        <f>L293*(1+(Inputs!$B$9+(F312-Calc!F21))/100)</f>
        <v/>
      </c>
      <c r="N293">
        <f>L293*(1-MIN(Inputs!$B$8+((F311-Calc!F20)+(F310-Calc!F19)),100)/100)+M293*(MIN(Inputs!$B$8+((F311-Calc!F20)+(F310-Calc!F19)),100)/100)</f>
        <v/>
      </c>
      <c r="O293">
        <f>IF(C293,Skills!F2*N293*B323*IF(Inputs!$B$4="pvp",1,(1-Summary!$B$51)*(1)+Summary!$B$51*(MIN((6+Inputs!$B$32),Inputs!$B$37))),0)</f>
        <v/>
      </c>
      <c r="P293">
        <f>IF(B325=0,0,O293/B325)</f>
        <v/>
      </c>
      <c r="R293">
        <f>MAX(0,(Inputs!$B$3-100)*3)+Inputs!$B$27+Inputs!$B$28</f>
        <v/>
      </c>
      <c r="S293" t="n">
        <v>0</v>
      </c>
      <c r="T293">
        <f>MAX(0,(Inputs!$B$3-100)*3)+Inputs!$B$27+Inputs!$B$28</f>
        <v/>
      </c>
      <c r="V293">
        <f>IFERROR(1/IF(Inputs!$B$4="pvp",15,MAX(0.1,Skills!D2-IF(Skills!E2=TRUE,Inputs!$B$31,0))),0)</f>
        <v/>
      </c>
    </row>
    <row r="294">
      <c r="A294">
        <f>Skills!A3</f>
        <v/>
      </c>
      <c r="B294">
        <f>Skills!B3</f>
        <v/>
      </c>
      <c r="C294">
        <f>Inputs!$B$3&gt;=15</f>
        <v/>
      </c>
      <c r="D294">
        <f>IF(Skills!C3=1,60+Inputs!$B$24+Inputs!$B$28,IF(Skills!C3=2,90+Inputs!$B$25+Inputs!$B$28,IF(Skills!C3=3,120+Inputs!$B$26+Inputs!$B$28,MAX(0,(Inputs!$B$3-100)*3)+Inputs!$B$27+Inputs!$B$28)))</f>
        <v/>
      </c>
      <c r="E294">
        <f>INDEX(FactorTable!$B$2:$Y$301, MATCH(ROUND(MIN(300,MAX(1,D294)),0), FactorTable!$A$2:$A$301,0), Skills!L3+1)</f>
        <v/>
      </c>
      <c r="F294">
        <f>IF(Skills!M3=TRUE,(Skills!K3/10)*(E294/1000),Skills!K3/10)+Skills!N3</f>
        <v/>
      </c>
      <c r="G294">
        <f>Calc!G3</f>
        <v/>
      </c>
      <c r="H294">
        <f>Calc!H3</f>
        <v/>
      </c>
      <c r="I294">
        <f>IF(Skills!T3&lt;&gt;"",1+(Skills!T3/10)*(R294/1000)/100,1)</f>
        <v/>
      </c>
      <c r="J294" t="inlineStr"/>
      <c r="K294" t="inlineStr"/>
      <c r="L294" t="inlineStr"/>
      <c r="M294" t="inlineStr"/>
      <c r="N294" t="inlineStr"/>
      <c r="O294" t="n">
        <v>0</v>
      </c>
      <c r="P294">
        <f>IF(B325=0,0,O294/B325)</f>
        <v/>
      </c>
      <c r="R294">
        <f>INDEX(FactorTable!$B$2:$Y$301, MATCH(ROUND(MIN(300,MAX(1,R293)),0), FactorTable!$A$2:$A$301,0), 24)</f>
        <v/>
      </c>
      <c r="S294">
        <f>IF(AND(Inputs!$B$4&lt;&gt;"pvp",Inputs!$B$35&gt;0),(INT(Inputs!$B$35/IF(Inputs!$B$4="pvp",15,MAX(0.1,Skills!D3-IF(Skills!E3=TRUE,Inputs!$B$31,0))))+1),0)</f>
        <v/>
      </c>
      <c r="T294">
        <f>INDEX(FactorTable!$B$2:$Y$301, MATCH(ROUND(MIN(300,MAX(1,T293)),0), FactorTable!$A$2:$A$301,0), 22)</f>
        <v/>
      </c>
      <c r="V294">
        <f>IFERROR(1/IF(Inputs!$B$4="pvp",15,MAX(0.1,Skills!D3-IF(Skills!E3=TRUE,Inputs!$B$31,0))),0)</f>
        <v/>
      </c>
    </row>
    <row r="295">
      <c r="A295">
        <f>Skills!A4</f>
        <v/>
      </c>
      <c r="B295">
        <f>Skills!B4</f>
        <v/>
      </c>
      <c r="C295">
        <f>Inputs!$B$3&gt;=40</f>
        <v/>
      </c>
      <c r="D295">
        <f>IF(Skills!C4=1,60+Inputs!$B$24+Inputs!$B$28,IF(Skills!C4=2,90+Inputs!$B$25+Inputs!$B$28,IF(Skills!C4=3,120+Inputs!$B$26+Inputs!$B$28,MAX(0,(Inputs!$B$3-100)*3)+Inputs!$B$27+Inputs!$B$28)))</f>
        <v/>
      </c>
      <c r="E295">
        <f>INDEX(FactorTable!$B$2:$Y$301, MATCH(ROUND(MIN(300,MAX(1,D295)),0), FactorTable!$A$2:$A$301,0), Skills!L4+1)</f>
        <v/>
      </c>
      <c r="F295">
        <f>IF(Skills!M4=TRUE,(Skills!K4/10)*(E295/1000),Skills!K4/10)+Skills!N4</f>
        <v/>
      </c>
      <c r="G295">
        <f>Calc!G4</f>
        <v/>
      </c>
      <c r="H295">
        <f>Calc!H4</f>
        <v/>
      </c>
      <c r="I295">
        <f>IF(Skills!T4&lt;&gt;"",1+(Skills!T4/10)*(R294/1000)/100,1)</f>
        <v/>
      </c>
      <c r="J295" t="inlineStr"/>
      <c r="K295" t="inlineStr"/>
      <c r="L295" t="inlineStr"/>
      <c r="M295" t="inlineStr"/>
      <c r="N295" t="inlineStr"/>
      <c r="O295" t="n">
        <v>0</v>
      </c>
      <c r="P295">
        <f>IF(B325=0,0,O295/B325)</f>
        <v/>
      </c>
      <c r="S295">
        <f>IF(AND(Inputs!$B$4&lt;&gt;"pvp",Inputs!$B$35&gt;0),(INT(Inputs!$B$35/IF(Inputs!$B$4="pvp",15,MAX(0.1,Skills!D4-IF(Skills!E4=TRUE,Inputs!$B$31,0))))+1),0)</f>
        <v/>
      </c>
      <c r="T295">
        <f>290*T294/1000</f>
        <v/>
      </c>
      <c r="V295">
        <f>IFERROR(1/IF(Inputs!$B$4="pvp",15,MAX(0.1,Skills!D4-IF(Skills!E4=TRUE,Inputs!$B$31,0))),0)</f>
        <v/>
      </c>
    </row>
    <row r="296">
      <c r="A296">
        <f>Skills!A5</f>
        <v/>
      </c>
      <c r="B296">
        <f>Skills!B5</f>
        <v/>
      </c>
      <c r="C296">
        <f>Inputs!$B$3&gt;=38</f>
        <v/>
      </c>
      <c r="D296">
        <f>IF(Skills!C5=1,60+Inputs!$B$24+Inputs!$B$28,IF(Skills!C5=2,90+Inputs!$B$25+Inputs!$B$28,IF(Skills!C5=3,120+Inputs!$B$26+Inputs!$B$28,MAX(0,(Inputs!$B$3-100)*3)+Inputs!$B$27+Inputs!$B$28)))</f>
        <v/>
      </c>
      <c r="E296">
        <f>INDEX(FactorTable!$B$2:$Y$301, MATCH(ROUND(MIN(300,MAX(1,D296)),0), FactorTable!$A$2:$A$301,0), Skills!L5+1)</f>
        <v/>
      </c>
      <c r="F296">
        <f>IF(Skills!M5=TRUE,(Skills!K5/10)*(E296/1000),Skills!K5/10)+Skills!N5</f>
        <v/>
      </c>
      <c r="G296">
        <f>Calc!G5</f>
        <v/>
      </c>
      <c r="H296">
        <f>Calc!H5</f>
        <v/>
      </c>
      <c r="I296">
        <f>IF(Skills!T5&lt;&gt;"",1+(Skills!T5/10)*(R294/1000)/100,1)</f>
        <v/>
      </c>
      <c r="J296">
        <f>((Inputs!$B$5*(1+Inputs!$B$6/100))+((Inputs!$B$11*(1+Inputs!$B$12/100))-(Inputs!$B$11*(1+Inputs!$B$12/100)))*(1+Inputs!$B$6/100))*(F296/100)</f>
        <v/>
      </c>
      <c r="K296">
        <f>J296*(1+((Inputs!$B$11*(1+Inputs!$B$12/100))*0.01+Inputs!$B$13*0.0025)/100)*(1+(Inputs!$B$14+B319)/100)*(1+IF(Inputs!$B$4="pvp",0,(1-Summary!$B$51)*(Inputs!$B$19+Skills!O5+B318)+Summary!$B$51*(Inputs!$B$20+Skills!P5+B318))/100)*(1+Inputs!$B$15/100)*(5000/(6000+Inputs!$B$7*(1-Inputs!$B$18/100)))*(1+Inputs!$B$23/100)*(1+IF(C306=TRUE,F306,0)/100)*(1+IF(C314=TRUE,F314,0)/100)^5*(1+(IF(Skills!A5="CHAIN_LIGHTNING",Inputs!$B$16,Inputs!$B$17))/100)*(B317*I296)</f>
        <v/>
      </c>
      <c r="L296">
        <f>K296*(MIN((Inputs!$B$21+1)+(F309-Calc!F18),Inputs!$B$22)/100+Inputs!$B$22/100)/2</f>
        <v/>
      </c>
      <c r="M296">
        <f>L296*(1+(Inputs!$B$9+(F312-Calc!F21))/100)</f>
        <v/>
      </c>
      <c r="N296">
        <f>L296*(1-MIN(Inputs!$B$8+((F311-Calc!F20)+(F310-Calc!F19)),100)/100)+M296*(MIN(Inputs!$B$8+((F311-Calc!F20)+(F310-Calc!F19)),100)/100)</f>
        <v/>
      </c>
      <c r="O296">
        <f>IF(C296,H296*N296*IF(AND(Inputs!$B$4&lt;&gt;"pvp",Inputs!$B$35&gt;0),((Skills!F5*((S296-1)*IF(Skills!G5&gt;0,Skills!H5/Skills!G5,1)+IF(Skills!G5&gt;0,MIN(Skills!H5,MAX(0,Inputs!$B$35-((S296-1)*IF(Inputs!$B$4="pvp",15,MAX(0.1,Skills!D5-IF(Skills!E5=TRUE,Inputs!$B$31,0))))))/Skills!G5,1)))/Inputs!$B$35),G296*V296)*IF(Inputs!$B$4="pvp",1,(1-Summary!$B$51)*(1)+Summary!$B$51*(MIN(Skills!Q5,Inputs!$B$37))),0)</f>
        <v/>
      </c>
      <c r="P296">
        <f>IF(B325=0,0,O296/B325)</f>
        <v/>
      </c>
      <c r="S296">
        <f>IF(AND(Inputs!$B$4&lt;&gt;"pvp",Inputs!$B$35&gt;0),(INT(Inputs!$B$35/IF(Inputs!$B$4="pvp",15,MAX(0.1,Skills!D5-IF(Skills!E5=TRUE,Inputs!$B$31,0))))+1),0)</f>
        <v/>
      </c>
      <c r="V296">
        <f>IFERROR(1/IF(Inputs!$B$4="pvp",15,MAX(0.1,Skills!D5-IF(Skills!E5=TRUE,Inputs!$B$31,0))),0)</f>
        <v/>
      </c>
    </row>
    <row r="297">
      <c r="A297">
        <f>Skills!A6</f>
        <v/>
      </c>
      <c r="B297">
        <f>Skills!B6</f>
        <v/>
      </c>
      <c r="C297">
        <f>Inputs!$B$3&gt;=63</f>
        <v/>
      </c>
      <c r="D297">
        <f>IF(Skills!C6=1,60+Inputs!$B$24+Inputs!$B$28,IF(Skills!C6=2,90+Inputs!$B$25+Inputs!$B$28,IF(Skills!C6=3,120+Inputs!$B$26+Inputs!$B$28,MAX(0,(Inputs!$B$3-100)*3)+Inputs!$B$27+Inputs!$B$28)))</f>
        <v/>
      </c>
      <c r="E297">
        <f>INDEX(FactorTable!$B$2:$Y$301, MATCH(ROUND(MIN(300,MAX(1,D297)),0), FactorTable!$A$2:$A$301,0), Skills!L6+1)</f>
        <v/>
      </c>
      <c r="F297">
        <f>IF(Skills!M6=TRUE,(Skills!K6/10)*(E297/1000),Skills!K6/10)+Skills!N6</f>
        <v/>
      </c>
      <c r="G297">
        <f>Calc!G6</f>
        <v/>
      </c>
      <c r="H297">
        <f>Calc!H6</f>
        <v/>
      </c>
      <c r="I297">
        <f>IF(Skills!T6&lt;&gt;"",1+(Skills!T6/10)*(R294/1000)/100,1)</f>
        <v/>
      </c>
      <c r="J297">
        <f>((Inputs!$B$5*(1+Inputs!$B$6/100))+((Inputs!$B$11*(1+Inputs!$B$12/100))-(Inputs!$B$11*(1+Inputs!$B$12/100)))*(1+Inputs!$B$6/100))*(F297/100)</f>
        <v/>
      </c>
      <c r="K297">
        <f>J297*(1+((Inputs!$B$11*(1+Inputs!$B$12/100))*0.01+Inputs!$B$13*0.0025)/100)*(1+(Inputs!$B$14+B319)/100)*(1+IF(Inputs!$B$4="pvp",0,(1-Summary!$B$51)*(Inputs!$B$19+Skills!O6+B318)+Summary!$B$51*(Inputs!$B$20+Skills!P6+B318))/100)*(1+Inputs!$B$15/100)*(5000/(6000+Inputs!$B$7*(1-Inputs!$B$18/100)))*(1+Inputs!$B$23/100)*(1+IF(C306=TRUE,F306,0)/100)*(1+IF(C314=TRUE,F314,0)/100)^5*(1+(IF(Skills!A6="CHAIN_LIGHTNING",Inputs!$B$16,Inputs!$B$17))/100)*(B317*I297)</f>
        <v/>
      </c>
      <c r="L297">
        <f>K297*(MIN((Inputs!$B$21+1)+(F309-Calc!F18),Inputs!$B$22)/100+Inputs!$B$22/100)/2</f>
        <v/>
      </c>
      <c r="M297">
        <f>L297*(1+(Inputs!$B$9+(F312-Calc!F21))/100)</f>
        <v/>
      </c>
      <c r="N297">
        <f>L297*(1-MIN(Inputs!$B$8+((F311-Calc!F20)+(F310-Calc!F19)),100)/100)+M297*(MIN(Inputs!$B$8+((F311-Calc!F20)+(F310-Calc!F19)),100)/100)</f>
        <v/>
      </c>
      <c r="O297">
        <f>IF(C297,H297*N297*IF(AND(Inputs!$B$4&lt;&gt;"pvp",Inputs!$B$35&gt;0),((Skills!F6*((S297-1)*IF(Skills!G6&gt;0,Skills!H6/Skills!G6,1)+IF(Skills!G6&gt;0,MIN(Skills!H6,MAX(0,Inputs!$B$35-((S297-1)*IF(Inputs!$B$4="pvp",15,MAX(0.1,Skills!D6-IF(Skills!E6=TRUE,Inputs!$B$31,0))))))/Skills!G6,1)))/Inputs!$B$35),G297*V297)*IF(Inputs!$B$4="pvp",1,(1-Summary!$B$51)*(1)+Summary!$B$51*(MIN(Skills!Q6,Inputs!$B$37))),0)</f>
        <v/>
      </c>
      <c r="P297">
        <f>IF(B325=0,0,O297/B325)</f>
        <v/>
      </c>
      <c r="S297">
        <f>IF(AND(Inputs!$B$4&lt;&gt;"pvp",Inputs!$B$35&gt;0),(INT(Inputs!$B$35/IF(Inputs!$B$4="pvp",15,MAX(0.1,Skills!D6-IF(Skills!E6=TRUE,Inputs!$B$31,0))))+1),0)</f>
        <v/>
      </c>
      <c r="V297">
        <f>IFERROR(1/IF(Inputs!$B$4="pvp",15,MAX(0.1,Skills!D6-IF(Skills!E6=TRUE,Inputs!$B$31,0))),0)</f>
        <v/>
      </c>
    </row>
    <row r="298">
      <c r="A298">
        <f>Skills!A7</f>
        <v/>
      </c>
      <c r="B298">
        <f>Skills!B7</f>
        <v/>
      </c>
      <c r="C298">
        <f>Inputs!$B$3&gt;=69</f>
        <v/>
      </c>
      <c r="D298">
        <f>IF(Skills!C7=1,60+Inputs!$B$24+Inputs!$B$28,IF(Skills!C7=2,90+Inputs!$B$25+Inputs!$B$28,IF(Skills!C7=3,120+Inputs!$B$26+Inputs!$B$28,MAX(0,(Inputs!$B$3-100)*3)+Inputs!$B$27+Inputs!$B$28)))</f>
        <v/>
      </c>
      <c r="E298">
        <f>INDEX(FactorTable!$B$2:$Y$301, MATCH(ROUND(MIN(300,MAX(1,D298)),0), FactorTable!$A$2:$A$301,0), Skills!L7+1)</f>
        <v/>
      </c>
      <c r="F298">
        <f>IF(Skills!M7=TRUE,(Skills!K7/10)*(E298/1000),Skills!K7/10)+Skills!N7</f>
        <v/>
      </c>
      <c r="G298">
        <f>Calc!G7</f>
        <v/>
      </c>
      <c r="H298">
        <f>Calc!H7</f>
        <v/>
      </c>
      <c r="I298">
        <f>IF(Skills!T7&lt;&gt;"",1+(Skills!T7/10)*(R294/1000)/100,1)</f>
        <v/>
      </c>
      <c r="J298">
        <f>((Inputs!$B$5*(1+Inputs!$B$6/100))+((Inputs!$B$11*(1+Inputs!$B$12/100))-(Inputs!$B$11*(1+Inputs!$B$12/100)))*(1+Inputs!$B$6/100))*(F298/100)</f>
        <v/>
      </c>
      <c r="K298">
        <f>J298*(1+((Inputs!$B$11*(1+Inputs!$B$12/100))*0.01+Inputs!$B$13*0.0025)/100)*(1+(Inputs!$B$14+B319)/100)*(1+IF(Inputs!$B$4="pvp",0,(1-Summary!$B$51)*(Inputs!$B$19+Skills!O7+B318)+Summary!$B$51*(Inputs!$B$20+Skills!P7+B318))/100)*(1+Inputs!$B$15/100)*(5000/(6000+Inputs!$B$7*(1-Inputs!$B$18/100)))*(1+Inputs!$B$23/100)*(1+IF(C306=TRUE,F306,0)/100)*(1+IF(C314=TRUE,F314,0)/100)^5*(1+(IF(Skills!A7="CHAIN_LIGHTNING",Inputs!$B$16,Inputs!$B$17))/100)*(B317*I298)</f>
        <v/>
      </c>
      <c r="L298">
        <f>K298*(MIN((Inputs!$B$21+1)+(F309-Calc!F18),Inputs!$B$22)/100+Inputs!$B$22/100)/2</f>
        <v/>
      </c>
      <c r="M298">
        <f>L298*(1+(Inputs!$B$9+(F312-Calc!F21))/100)</f>
        <v/>
      </c>
      <c r="N298">
        <f>L298*(1-MIN(Inputs!$B$8+((F311-Calc!F20)+(F310-Calc!F19)),100)/100)+M298*(MIN(Inputs!$B$8+((F311-Calc!F20)+(F310-Calc!F19)),100)/100)</f>
        <v/>
      </c>
      <c r="O298">
        <f>IF(C298,H298*N298*IF(AND(Inputs!$B$4&lt;&gt;"pvp",Inputs!$B$35&gt;0),((Skills!F7*((S298-1)*IF(Skills!G7&gt;0,Skills!H7/Skills!G7,1)+IF(Skills!G7&gt;0,MIN(Skills!H7,MAX(0,Inputs!$B$35-((S298-1)*IF(Inputs!$B$4="pvp",15,MAX(0.1,Skills!D7-IF(Skills!E7=TRUE,Inputs!$B$31,0))))))/Skills!G7,1)))/Inputs!$B$35),G298*V298)*IF(Inputs!$B$4="pvp",1,(1-Summary!$B$51)*(1)+Summary!$B$51*(MIN(Skills!Q7,Inputs!$B$37))),0)</f>
        <v/>
      </c>
      <c r="P298">
        <f>IF(B325=0,0,O298/B325)</f>
        <v/>
      </c>
      <c r="S298">
        <f>IF(AND(Inputs!$B$4&lt;&gt;"pvp",Inputs!$B$35&gt;0),(INT(Inputs!$B$35/IF(Inputs!$B$4="pvp",15,MAX(0.1,Skills!D7-IF(Skills!E7=TRUE,Inputs!$B$31,0))))+1),0)</f>
        <v/>
      </c>
      <c r="V298">
        <f>IFERROR(1/IF(Inputs!$B$4="pvp",15,MAX(0.1,Skills!D7-IF(Skills!E7=TRUE,Inputs!$B$31,0))),0)</f>
        <v/>
      </c>
    </row>
    <row r="299">
      <c r="A299">
        <f>Skills!A8</f>
        <v/>
      </c>
      <c r="B299">
        <f>Skills!B8</f>
        <v/>
      </c>
      <c r="C299">
        <f>Inputs!$B$3&gt;=103</f>
        <v/>
      </c>
      <c r="D299">
        <f>IF(Skills!C8=1,60+Inputs!$B$24+Inputs!$B$28,IF(Skills!C8=2,90+Inputs!$B$25+Inputs!$B$28,IF(Skills!C8=3,120+Inputs!$B$26+Inputs!$B$28,MAX(0,(Inputs!$B$3-100)*3)+Inputs!$B$27+Inputs!$B$28)))</f>
        <v/>
      </c>
      <c r="E299">
        <f>INDEX(FactorTable!$B$2:$Y$301, MATCH(ROUND(MIN(300,MAX(1,D299)),0), FactorTable!$A$2:$A$301,0), Skills!L8+1)</f>
        <v/>
      </c>
      <c r="F299">
        <f>IF(Skills!M8=TRUE,(Skills!K8/10)*(E299/1000),Skills!K8/10)+Skills!N8</f>
        <v/>
      </c>
      <c r="G299">
        <f>Calc!G8</f>
        <v/>
      </c>
      <c r="H299">
        <f>Calc!H8</f>
        <v/>
      </c>
      <c r="I299">
        <f>IF(Skills!T8&lt;&gt;"",1+(Skills!T8/10)*(R294/1000)/100,1)</f>
        <v/>
      </c>
      <c r="J299">
        <f>((Inputs!$B$5*(1+Inputs!$B$6/100))+((Inputs!$B$11*(1+Inputs!$B$12/100))-(Inputs!$B$11*(1+Inputs!$B$12/100)))*(1+Inputs!$B$6/100))*(F299/100)</f>
        <v/>
      </c>
      <c r="K299">
        <f>J299*(1+((Inputs!$B$11*(1+Inputs!$B$12/100))*0.01+Inputs!$B$13*0.0025)/100)*(1+(Inputs!$B$14+B319)/100)*(1+IF(Inputs!$B$4="pvp",0,(1-Summary!$B$51)*(Inputs!$B$19+Skills!O8+B318)+Summary!$B$51*(Inputs!$B$20+Skills!P8+B318))/100)*(1+Inputs!$B$15/100)*(5000/(6000+Inputs!$B$7*(1-Inputs!$B$18/100)))*(1+Inputs!$B$23/100)*(1+IF(C306=TRUE,F306,0)/100)*(1+IF(C314=TRUE,F314,0)/100)^5*(1+(IF(Skills!A8="CHAIN_LIGHTNING",Inputs!$B$16,Inputs!$B$17))/100)*(B317*I299)</f>
        <v/>
      </c>
      <c r="L299">
        <f>K299*(MIN((Inputs!$B$21+1)+(F309-Calc!F18),Inputs!$B$22)/100+Inputs!$B$22/100)/2</f>
        <v/>
      </c>
      <c r="M299">
        <f>L299*(1+(Inputs!$B$9+(F312-Calc!F21))/100)</f>
        <v/>
      </c>
      <c r="N299">
        <f>L299*(1-MIN(Inputs!$B$8+((F311-Calc!F20)+(F310-Calc!F19)),100)/100)+M299*(MIN(Inputs!$B$8+((F311-Calc!F20)+(F310-Calc!F19)),100)/100)</f>
        <v/>
      </c>
      <c r="O299">
        <f>IF(C299,H299*N299*IF(AND(Inputs!$B$4&lt;&gt;"pvp",Inputs!$B$35&gt;0),((Skills!F8*((S299-1)*IF(Skills!G8&gt;0,Skills!H8/Skills!G8,1)+IF(Skills!G8&gt;0,MIN(Skills!H8,MAX(0,Inputs!$B$35-((S299-1)*IF(Inputs!$B$4="pvp",15,MAX(0.1,Skills!D8-IF(Skills!E8=TRUE,Inputs!$B$31,0))))))/Skills!G8,1)))/Inputs!$B$35),G299*V299)*IF(Inputs!$B$4="pvp",1,(1-Summary!$B$51)*(1)+Summary!$B$51*(MIN(Skills!Q8,Inputs!$B$37))),0)</f>
        <v/>
      </c>
      <c r="P299">
        <f>IF(B325=0,0,O299/B325)</f>
        <v/>
      </c>
      <c r="S299">
        <f>IF(AND(Inputs!$B$4&lt;&gt;"pvp",Inputs!$B$35&gt;0),(INT(Inputs!$B$35/IF(Inputs!$B$4="pvp",15,MAX(0.1,Skills!D8-IF(Skills!E8=TRUE,Inputs!$B$31,0))))+1),0)</f>
        <v/>
      </c>
      <c r="V299">
        <f>IFERROR(1/IF(Inputs!$B$4="pvp",15,MAX(0.1,Skills!D8-IF(Skills!E8=TRUE,Inputs!$B$31,0))),0)</f>
        <v/>
      </c>
    </row>
    <row r="300">
      <c r="A300">
        <f>Skills!A9</f>
        <v/>
      </c>
      <c r="B300">
        <f>Skills!B9</f>
        <v/>
      </c>
      <c r="C300">
        <f>Inputs!$B$3&gt;=105</f>
        <v/>
      </c>
      <c r="D300">
        <f>IF(Skills!C9=1,60+Inputs!$B$24+Inputs!$B$28,IF(Skills!C9=2,90+Inputs!$B$25+Inputs!$B$28,IF(Skills!C9=3,120+Inputs!$B$26+Inputs!$B$28,MAX(0,(Inputs!$B$3-100)*3)+Inputs!$B$27+Inputs!$B$28)))</f>
        <v/>
      </c>
      <c r="E300">
        <f>INDEX(FactorTable!$B$2:$Y$301, MATCH(ROUND(MIN(300,MAX(1,D300)),0), FactorTable!$A$2:$A$301,0), Skills!L9+1)</f>
        <v/>
      </c>
      <c r="F300">
        <f>IF(Skills!M9=TRUE,(Skills!K9/10)*(E300/1000),Skills!K9/10)+Skills!N9</f>
        <v/>
      </c>
      <c r="G300">
        <f>Calc!G9</f>
        <v/>
      </c>
      <c r="H300">
        <f>Calc!H9</f>
        <v/>
      </c>
      <c r="I300">
        <f>IF(Skills!T9&lt;&gt;"",1+(Skills!T9/10)*(R294/1000)/100,1)</f>
        <v/>
      </c>
      <c r="J300">
        <f>((Inputs!$B$5*(1+Inputs!$B$6/100))+((Inputs!$B$11*(1+Inputs!$B$12/100))-(Inputs!$B$11*(1+Inputs!$B$12/100)))*(1+Inputs!$B$6/100))*(F300/100)</f>
        <v/>
      </c>
      <c r="K300">
        <f>J300*(1+((Inputs!$B$11*(1+Inputs!$B$12/100))*0.01+Inputs!$B$13*0.0025)/100)*(1+(Inputs!$B$14+B319)/100)*(1+IF(Inputs!$B$4="pvp",0,(1-Summary!$B$51)*(Inputs!$B$19+Skills!O9+B318)+Summary!$B$51*(Inputs!$B$20+Skills!P9+B318))/100)*(1+Inputs!$B$15/100)*(5000/(6000+Inputs!$B$7*(1-Inputs!$B$18/100)))*(1+Inputs!$B$23/100)*(1+IF(C306=TRUE,F306,0)/100)*(1+IF(C314=TRUE,F314,0)/100)^5*(1+(IF(Skills!A9="CHAIN_LIGHTNING",Inputs!$B$16,Inputs!$B$17))/100)*(B317*I300)</f>
        <v/>
      </c>
      <c r="L300">
        <f>K300*(MIN((Inputs!$B$21+1)+(F309-Calc!F18),Inputs!$B$22)/100+Inputs!$B$22/100)/2</f>
        <v/>
      </c>
      <c r="M300">
        <f>L300*(1+(Inputs!$B$9+(F312-Calc!F21))/100)</f>
        <v/>
      </c>
      <c r="N300">
        <f>L300*(1-MIN(Inputs!$B$8+((F311-Calc!F20)+(F310-Calc!F19)),100)/100)+M300*(MIN(Inputs!$B$8+((F311-Calc!F20)+(F310-Calc!F19)),100)/100)</f>
        <v/>
      </c>
      <c r="O300">
        <f>IF(C300,H300*N300*IF(AND(Inputs!$B$4&lt;&gt;"pvp",Inputs!$B$35&gt;0),((Skills!F9*((S300-1)*IF(Skills!G9&gt;0,Skills!H9/Skills!G9,1)+IF(Skills!G9&gt;0,MIN(Skills!H9,MAX(0,Inputs!$B$35-((S300-1)*IF(Inputs!$B$4="pvp",15,MAX(0.1,Skills!D9-IF(Skills!E9=TRUE,Inputs!$B$31,0))))))/Skills!G9,1)))/Inputs!$B$35),G300*V300)*IF(Inputs!$B$4="pvp",1,(1-Summary!$B$51)*(1)+Summary!$B$51*(MIN(Skills!Q9,Inputs!$B$37))),0)</f>
        <v/>
      </c>
      <c r="P300">
        <f>IF(B325=0,0,O300/B325)</f>
        <v/>
      </c>
      <c r="S300">
        <f>IF(AND(Inputs!$B$4&lt;&gt;"pvp",Inputs!$B$35&gt;0),(INT(Inputs!$B$35/IF(Inputs!$B$4="pvp",15,MAX(0.1,Skills!D9-IF(Skills!E9=TRUE,Inputs!$B$31,0))))+1),0)</f>
        <v/>
      </c>
      <c r="V300">
        <f>IFERROR(1/IF(Inputs!$B$4="pvp",15,MAX(0.1,Skills!D9-IF(Skills!E9=TRUE,Inputs!$B$31,0))),0)</f>
        <v/>
      </c>
    </row>
    <row r="301">
      <c r="A301">
        <f>Skills!A10</f>
        <v/>
      </c>
      <c r="B301">
        <f>Skills!B10</f>
        <v/>
      </c>
      <c r="C301">
        <f>Inputs!$B$3&gt;=113</f>
        <v/>
      </c>
      <c r="D301">
        <f>IF(Skills!C10=1,60+Inputs!$B$24+Inputs!$B$28,IF(Skills!C10=2,90+Inputs!$B$25+Inputs!$B$28,IF(Skills!C10=3,120+Inputs!$B$26+Inputs!$B$28,MAX(0,(Inputs!$B$3-100)*3)+Inputs!$B$27+Inputs!$B$28)))</f>
        <v/>
      </c>
      <c r="E301">
        <f>INDEX(FactorTable!$B$2:$Y$301, MATCH(ROUND(MIN(300,MAX(1,D301)),0), FactorTable!$A$2:$A$301,0), Skills!L10+1)</f>
        <v/>
      </c>
      <c r="F301">
        <f>IF(Skills!M10=TRUE,(Skills!K10/10)*(E301/1000),Skills!K10/10)+Skills!N10</f>
        <v/>
      </c>
      <c r="G301">
        <f>Calc!G10</f>
        <v/>
      </c>
      <c r="H301">
        <f>Calc!H10</f>
        <v/>
      </c>
      <c r="I301">
        <f>IF(Skills!T10&lt;&gt;"",1+(Skills!T10/10)*(R294/1000)/100,1)</f>
        <v/>
      </c>
      <c r="J301">
        <f>((Inputs!$B$5*(1+Inputs!$B$6/100))+((Inputs!$B$11*(1+Inputs!$B$12/100))-(Inputs!$B$11*(1+Inputs!$B$12/100)))*(1+Inputs!$B$6/100))*(F301/100)</f>
        <v/>
      </c>
      <c r="K301">
        <f>J301*(1+((Inputs!$B$11*(1+Inputs!$B$12/100))*0.01+Inputs!$B$13*0.0025)/100)*(1+(Inputs!$B$14+B319)/100)*(1+IF(Inputs!$B$4="pvp",0,(1-Summary!$B$51)*(Inputs!$B$19+Skills!O10+B318)+Summary!$B$51*(Inputs!$B$20+Skills!P10+B318))/100)*(1+Inputs!$B$15/100)*(5000/(6000+Inputs!$B$7*(1-Inputs!$B$18/100)))*(1+Inputs!$B$23/100)*(1+IF(C306=TRUE,F306,0)/100)*(1+IF(C314=TRUE,F314,0)/100)^5*(1+(IF(Skills!A10="CHAIN_LIGHTNING",Inputs!$B$16,Inputs!$B$17))/100)*(B317*I301)</f>
        <v/>
      </c>
      <c r="L301">
        <f>K301*(MIN((Inputs!$B$21+1)+(F309-Calc!F18),Inputs!$B$22)/100+Inputs!$B$22/100)/2</f>
        <v/>
      </c>
      <c r="M301">
        <f>L301*(1+(Inputs!$B$9+(F312-Calc!F21))/100)</f>
        <v/>
      </c>
      <c r="N301">
        <f>L301*(1-MIN(Inputs!$B$8+((F311-Calc!F20)+(F310-Calc!F19)),100)/100)+M301*(MIN(Inputs!$B$8+((F311-Calc!F20)+(F310-Calc!F19)),100)/100)</f>
        <v/>
      </c>
      <c r="O301">
        <f>IF(C301,H301*N301*IF(AND(Inputs!$B$4&lt;&gt;"pvp",Inputs!$B$35&gt;0),((Skills!F10*((S301-1)*IF(Skills!G10&gt;0,Skills!H10/Skills!G10,1)+IF(Skills!G10&gt;0,MIN(Skills!H10,MAX(0,Inputs!$B$35-((S301-1)*IF(Inputs!$B$4="pvp",15,MAX(0.1,Skills!D10-IF(Skills!E9=TRUE,Inputs!$B$31,0))))))/Skills!G10,1)))/Inputs!$B$35),G301*V301)*IF(Inputs!$B$4="pvp",1,(1-Summary!$B$51)*(1)+Summary!$B$51*(MIN(Skills!Q10,Inputs!$B$37))),0)</f>
        <v/>
      </c>
      <c r="P301">
        <f>IF(B325=0,0,O301/B325)</f>
        <v/>
      </c>
      <c r="S301">
        <f>IF(AND(Inputs!$B$4&lt;&gt;"pvp",Inputs!$B$35&gt;0),(INT(Inputs!$B$35/IF(Inputs!$B$4="pvp",15,MAX(0.1,Skills!D10-IF(Skills!E9=TRUE,Inputs!$B$31,0))))+1),0)</f>
        <v/>
      </c>
      <c r="V301">
        <f>IFERROR(1/IF(Inputs!$B$4="pvp",15,MAX(0.1,Skills!D10-IF(Skills!E9=TRUE,Inputs!$B$31,0))),0)</f>
        <v/>
      </c>
    </row>
    <row r="302">
      <c r="A302">
        <f>Skills!A11</f>
        <v/>
      </c>
      <c r="B302">
        <f>Skills!B11</f>
        <v/>
      </c>
      <c r="C302">
        <f>Inputs!$B$3&gt;=107</f>
        <v/>
      </c>
      <c r="D302">
        <f>IF(Skills!C11=1,60+Inputs!$B$24+Inputs!$B$28,IF(Skills!C11=2,90+Inputs!$B$25+Inputs!$B$28,IF(Skills!C11=3,120+Inputs!$B$26+Inputs!$B$28,MAX(0,(Inputs!$B$3-100)*3)+Inputs!$B$27+Inputs!$B$28)))</f>
        <v/>
      </c>
      <c r="E302">
        <f>INDEX(FactorTable!$B$2:$Y$301, MATCH(ROUND(MIN(300,MAX(1,D302)),0), FactorTable!$A$2:$A$301,0), Skills!L11+1)</f>
        <v/>
      </c>
      <c r="F302">
        <f>IF(Skills!M11=TRUE,(Skills!K11/10)*(E302/1000),Skills!K11/10)+Skills!N11</f>
        <v/>
      </c>
      <c r="G302">
        <f>Calc!G11</f>
        <v/>
      </c>
      <c r="H302">
        <f>Calc!H11</f>
        <v/>
      </c>
      <c r="I302">
        <f>IF(Skills!T11&lt;&gt;"",1+(Skills!T11/10)*(R294/1000)/100,1)</f>
        <v/>
      </c>
      <c r="J302">
        <f>((Inputs!$B$5*(1+Inputs!$B$6/100))+((Inputs!$B$11*(1+Inputs!$B$12/100))-(Inputs!$B$11*(1+Inputs!$B$12/100)))*(1+Inputs!$B$6/100))*(F302/100)</f>
        <v/>
      </c>
      <c r="K302">
        <f>J302*(1+((Inputs!$B$11*(1+Inputs!$B$12/100))*0.01+Inputs!$B$13*0.0025)/100)*(1+(Inputs!$B$14+B319)/100)*(1+IF(Inputs!$B$4="pvp",0,(1-Summary!$B$51)*(Inputs!$B$19+Skills!O11+B318)+Summary!$B$51*(Inputs!$B$20+Skills!P11+B318))/100)*(1+Inputs!$B$15/100)*(5000/(6000+Inputs!$B$7*(1-Inputs!$B$18/100)))*(1+Inputs!$B$23/100)*(1+IF(C306=TRUE,F306,0)/100)*(1+IF(C314=TRUE,F314,0)/100)^5*(1+(IF(Skills!A11="CHAIN_LIGHTNING",Inputs!$B$16,Inputs!$B$17))/100)*(B317*I302)</f>
        <v/>
      </c>
      <c r="L302">
        <f>K302*(MIN((Inputs!$B$21+1)+(F309-Calc!F18),Inputs!$B$22)/100+Inputs!$B$22/100)/2</f>
        <v/>
      </c>
      <c r="M302">
        <f>L302*(1+(Inputs!$B$9+(F312-Calc!F21))/100)</f>
        <v/>
      </c>
      <c r="N302">
        <f>L302*(1-MIN(Inputs!$B$8+((F311-Calc!F20)+(F310-Calc!F19)),100)/100)+M302*(MIN(Inputs!$B$8+((F311-Calc!F20)+(F310-Calc!F19)),100)/100)</f>
        <v/>
      </c>
      <c r="O302">
        <f>IF(C302,H302*N302*IF(AND(Inputs!$B$4&lt;&gt;"pvp",Inputs!$B$35&gt;0),((Skills!F11*((S302-1)*IF(Skills!G11&gt;0,Skills!H11/Skills!G11,1)+IF(Skills!G11&gt;0,MIN(Skills!H11,MAX(0,Inputs!$B$35-((S302-1)*IF(Inputs!$B$4="pvp",15,MAX(0.1,Skills!D11-IF(Skills!E11=TRUE,Inputs!$B$31,0))))))/Skills!G11,1)))/Inputs!$B$35),G302*V302)*IF(Inputs!$B$4="pvp",0.5,(1-Summary!$B$51)*0.5+Summary!$B$51*1)*IF(Inputs!$B$4="pvp",1,(1-Summary!$B$51)*(1)+Summary!$B$51*(MIN(Skills!Q11,Inputs!$B$37))),0)</f>
        <v/>
      </c>
      <c r="P302">
        <f>IF(B325=0,0,O302/B325)</f>
        <v/>
      </c>
      <c r="S302">
        <f>IF(AND(Inputs!$B$4&lt;&gt;"pvp",Inputs!$B$35&gt;0),(INT(Inputs!$B$35/IF(Inputs!$B$4="pvp",15,MAX(0.1,Skills!D11-IF(Skills!E11=TRUE,Inputs!$B$31,0))))+1),0)</f>
        <v/>
      </c>
      <c r="V302">
        <f>IFERROR(1/IF(Inputs!$B$4="pvp",15,MAX(0.1,Skills!D11-IF(Skills!E11=TRUE,Inputs!$B$31,0))),0)</f>
        <v/>
      </c>
    </row>
    <row r="303">
      <c r="A303">
        <f>Skills!A12</f>
        <v/>
      </c>
      <c r="B303">
        <f>Skills!B12</f>
        <v/>
      </c>
      <c r="C303">
        <f>Inputs!$B$3&gt;=115</f>
        <v/>
      </c>
      <c r="D303">
        <f>IF(Skills!C12=1,60+Inputs!$B$24+Inputs!$B$28,IF(Skills!C12=2,90+Inputs!$B$25+Inputs!$B$28,IF(Skills!C12=3,120+Inputs!$B$26+Inputs!$B$28,MAX(0,(Inputs!$B$3-100)*3)+Inputs!$B$27+Inputs!$B$28)))</f>
        <v/>
      </c>
      <c r="E303">
        <f>INDEX(FactorTable!$B$2:$Y$301, MATCH(ROUND(MIN(300,MAX(1,D303)),0), FactorTable!$A$2:$A$301,0), Skills!L12+1)</f>
        <v/>
      </c>
      <c r="F303">
        <f>IF(Skills!M12=TRUE,(Skills!K12/10)*(E303/1000),Skills!K12/10)+Skills!N12</f>
        <v/>
      </c>
      <c r="G303">
        <f>Calc!G12</f>
        <v/>
      </c>
      <c r="H303">
        <f>Calc!H12</f>
        <v/>
      </c>
      <c r="I303">
        <f>IF(Skills!T12&lt;&gt;"",1+(Skills!T12/10)*(R294/1000)/100,1)</f>
        <v/>
      </c>
      <c r="J303">
        <f>((Inputs!$B$5*(1+Inputs!$B$6/100))+((Inputs!$B$11*(1+Inputs!$B$12/100))-(Inputs!$B$11*(1+Inputs!$B$12/100)))*(1+Inputs!$B$6/100))*(F303/100)</f>
        <v/>
      </c>
      <c r="K303">
        <f>J303*(1+((Inputs!$B$11*(1+Inputs!$B$12/100))*0.01+Inputs!$B$13*0.0025)/100)*(1+(Inputs!$B$14+B319)/100)*(1+IF(Inputs!$B$4="pvp",0,(1-Summary!$B$51)*(Inputs!$B$19+Skills!O12+B318)+Summary!$B$51*(Inputs!$B$20+Skills!P12+B318))/100)*(1+Inputs!$B$15/100)*(5000/(6000+Inputs!$B$7*(1-Inputs!$B$18/100)))*(1+Inputs!$B$23/100)*(1+IF(C306=TRUE,F306,0)/100)*(1+IF(C314=TRUE,F314,0)/100)^5*(1+(IF(Skills!A12="CHAIN_LIGHTNING",Inputs!$B$16,Inputs!$B$17))/100)*(B317*I303)</f>
        <v/>
      </c>
      <c r="L303">
        <f>K303*(MIN((Inputs!$B$21+1)+(F309-Calc!F18),Inputs!$B$22)/100+Inputs!$B$22/100)/2</f>
        <v/>
      </c>
      <c r="M303">
        <f>L303*(1+(Inputs!$B$9+(F312-Calc!F21))/100)</f>
        <v/>
      </c>
      <c r="N303">
        <f>L303*(1-MIN(Inputs!$B$8+((F311-Calc!F20)+(F310-Calc!F19)),100)/100)+M303*(MIN(Inputs!$B$8+((F311-Calc!F20)+(F310-Calc!F19)),100)/100)</f>
        <v/>
      </c>
      <c r="O303">
        <f>IF(C303,H303*N303*IF(AND(Inputs!$B$4&lt;&gt;"pvp",Inputs!$B$35&gt;0),((Skills!F12*((S303-1)*IF(Skills!G12&gt;0,Skills!H12/Skills!G12,1)+IF(Skills!G12&gt;0,MIN(Skills!H12,MAX(0,Inputs!$B$35-((S303-1)*IF(Inputs!$B$4="pvp",15,MAX(0.1,Skills!D12-IF(Skills!E12=TRUE,Inputs!$B$31,0))))))/Skills!G12,1)))/Inputs!$B$35),G303*V303)*IF(Inputs!$B$4="pvp",1,(1-Summary!$B$51)*(1)+Summary!$B$51*(MIN(Skills!Q12,Inputs!$B$37))),0)</f>
        <v/>
      </c>
      <c r="P303">
        <f>IF(B325=0,0,O303/B325)</f>
        <v/>
      </c>
      <c r="S303">
        <f>IF(AND(Inputs!$B$4&lt;&gt;"pvp",Inputs!$B$35&gt;0),(INT(Inputs!$B$35/IF(Inputs!$B$4="pvp",15,MAX(0.1,Skills!D12-IF(Skills!E12=TRUE,Inputs!$B$31,0))))+1),0)</f>
        <v/>
      </c>
      <c r="V303">
        <f>IFERROR(1/IF(Inputs!$B$4="pvp",15,MAX(0.1,Skills!D12-IF(Skills!E12=TRUE,Inputs!$B$31,0))),0)</f>
        <v/>
      </c>
    </row>
    <row r="304">
      <c r="A304">
        <f>Skills!A13</f>
        <v/>
      </c>
      <c r="B304">
        <f>Skills!B13</f>
        <v/>
      </c>
      <c r="C304">
        <f>Inputs!$B$3&gt;=49</f>
        <v/>
      </c>
      <c r="D304">
        <f>IF(Skills!C13=1,60+Inputs!$B$24+Inputs!$B$28,IF(Skills!C13=2,90+Inputs!$B$25+Inputs!$B$28,IF(Skills!C13=3,120+Inputs!$B$26+Inputs!$B$28,MAX(0,(Inputs!$B$3-100)*3)+Inputs!$B$27+Inputs!$B$28)))</f>
        <v/>
      </c>
      <c r="E304">
        <f>INDEX(FactorTable!$B$2:$Y$301, MATCH(ROUND(MIN(300,MAX(1,D304)),0), FactorTable!$A$2:$A$301,0), Skills!L13+1)</f>
        <v/>
      </c>
      <c r="F304">
        <f>IF(Skills!M13=TRUE,(Skills!K13/10)*(E304/1000),Skills!K13/10)+Skills!N13</f>
        <v/>
      </c>
      <c r="G304">
        <f>Calc!G13</f>
        <v/>
      </c>
      <c r="H304">
        <f>Calc!H13</f>
        <v/>
      </c>
      <c r="I304">
        <f>IF(Skills!T13&lt;&gt;"",1+(Skills!T13/10)*(R294/1000)/100,1)</f>
        <v/>
      </c>
      <c r="J304" t="inlineStr"/>
      <c r="K304" t="inlineStr"/>
      <c r="L304" t="inlineStr"/>
      <c r="M304" t="inlineStr"/>
      <c r="N304" t="inlineStr"/>
      <c r="O304" t="n">
        <v>0</v>
      </c>
      <c r="P304">
        <f>IF(B325=0,0,O304/B325)</f>
        <v/>
      </c>
      <c r="S304" t="n">
        <v>0</v>
      </c>
      <c r="V304">
        <f>IFERROR(1/IF(Inputs!$B$4="pvp",15,MAX(0.1,Skills!D13-IF(Skills!E13=TRUE,Inputs!$B$31,0))),0)</f>
        <v/>
      </c>
    </row>
    <row r="305">
      <c r="A305">
        <f>Skills!A14</f>
        <v/>
      </c>
      <c r="B305">
        <f>Skills!B14</f>
        <v/>
      </c>
      <c r="C305">
        <f>Inputs!$B$3&gt;=72</f>
        <v/>
      </c>
      <c r="D305">
        <f>IF(Skills!C14=1,60+Inputs!$B$24+Inputs!$B$28,IF(Skills!C14=2,90+Inputs!$B$25+Inputs!$B$28,IF(Skills!C14=3,120+Inputs!$B$26+Inputs!$B$28,MAX(0,(Inputs!$B$3-100)*3)+Inputs!$B$27+Inputs!$B$28)))</f>
        <v/>
      </c>
      <c r="E305">
        <f>INDEX(FactorTable!$B$2:$Y$301, MATCH(ROUND(MIN(300,MAX(1,D305)),0), FactorTable!$A$2:$A$301,0), Skills!L14+1)</f>
        <v/>
      </c>
      <c r="F305">
        <f>IF(Skills!M14=TRUE,(Skills!K14/10)*(E305/1000),Skills!K14/10)+Skills!N14</f>
        <v/>
      </c>
      <c r="G305">
        <f>Calc!G14</f>
        <v/>
      </c>
      <c r="H305">
        <f>Calc!H14</f>
        <v/>
      </c>
      <c r="I305">
        <f>IF(Skills!T14&lt;&gt;"",1+(Skills!T14/10)*(R294/1000)/100,1)</f>
        <v/>
      </c>
      <c r="J305" t="inlineStr"/>
      <c r="K305" t="inlineStr"/>
      <c r="L305" t="inlineStr"/>
      <c r="M305" t="inlineStr"/>
      <c r="N305" t="inlineStr"/>
      <c r="O305" t="n">
        <v>0</v>
      </c>
      <c r="P305">
        <f>IF(B325=0,0,O305/B325)</f>
        <v/>
      </c>
      <c r="S305" t="n">
        <v>0</v>
      </c>
      <c r="V305">
        <f>IFERROR(1/IF(Inputs!$B$4="pvp",15,MAX(0.1,Skills!D14-IF(Skills!E14=TRUE,Inputs!$B$31,0))),0)</f>
        <v/>
      </c>
    </row>
    <row r="306">
      <c r="A306">
        <f>Skills!A15</f>
        <v/>
      </c>
      <c r="B306">
        <f>Skills!B15</f>
        <v/>
      </c>
      <c r="C306">
        <f>Inputs!$B$3&gt;=75</f>
        <v/>
      </c>
      <c r="D306">
        <f>IF(Skills!C15=1,60+Inputs!$B$24+Inputs!$B$28,IF(Skills!C15=2,90+Inputs!$B$25+Inputs!$B$28,IF(Skills!C15=3,120+Inputs!$B$26+Inputs!$B$28,MAX(0,(Inputs!$B$3-100)*3)+Inputs!$B$27+Inputs!$B$28)))</f>
        <v/>
      </c>
      <c r="E306">
        <f>INDEX(FactorTable!$B$2:$Y$301, MATCH(ROUND(MIN(300,MAX(1,D306)),0), FactorTable!$A$2:$A$301,0), Skills!L15+1)</f>
        <v/>
      </c>
      <c r="F306">
        <f>IF(Skills!M15=TRUE,(Skills!K15/10)*(E306/1000),Skills!K15/10)+Skills!N15</f>
        <v/>
      </c>
      <c r="G306">
        <f>Calc!G15</f>
        <v/>
      </c>
      <c r="H306">
        <f>Calc!H15</f>
        <v/>
      </c>
      <c r="I306">
        <f>IF(Skills!T15&lt;&gt;"",1+(Skills!T15/10)*(R294/1000)/100,1)</f>
        <v/>
      </c>
      <c r="J306" t="inlineStr"/>
      <c r="K306" t="inlineStr"/>
      <c r="L306" t="inlineStr"/>
      <c r="M306" t="inlineStr"/>
      <c r="N306" t="inlineStr"/>
      <c r="O306" t="n">
        <v>0</v>
      </c>
      <c r="P306">
        <f>IF(B325=0,0,O306/B325)</f>
        <v/>
      </c>
      <c r="S306" t="n">
        <v>0</v>
      </c>
      <c r="V306">
        <f>IFERROR(1/IF(Inputs!$B$4="pvp",15,MAX(0.1,Skills!D15-IF(Skills!E15=TRUE,Inputs!$B$31,0))),0)</f>
        <v/>
      </c>
    </row>
    <row r="307">
      <c r="A307">
        <f>Skills!A16</f>
        <v/>
      </c>
      <c r="B307">
        <f>Skills!B16</f>
        <v/>
      </c>
      <c r="C307">
        <f>Inputs!$B$3&gt;=110</f>
        <v/>
      </c>
      <c r="D307">
        <f>IF(Skills!C16=1,60+Inputs!$B$24+Inputs!$B$28,IF(Skills!C16=2,90+Inputs!$B$25+Inputs!$B$28,IF(Skills!C16=3,120+Inputs!$B$26+Inputs!$B$28,MAX(0,(Inputs!$B$3-100)*3)+Inputs!$B$27+Inputs!$B$28)))</f>
        <v/>
      </c>
      <c r="E307">
        <f>INDEX(FactorTable!$B$2:$Y$301, MATCH(ROUND(MIN(300,MAX(1,D307)),0), FactorTable!$A$2:$A$301,0), Skills!L16+1)</f>
        <v/>
      </c>
      <c r="F307">
        <f>(Skills!K16/10)*(E307/1000)*64/45+Skills!N16</f>
        <v/>
      </c>
      <c r="G307">
        <f>Calc!G16</f>
        <v/>
      </c>
      <c r="H307">
        <f>Calc!H16</f>
        <v/>
      </c>
      <c r="I307">
        <f>IF(Skills!T16&lt;&gt;"",1+(Skills!T16/10)*(R294/1000)/100,1)</f>
        <v/>
      </c>
      <c r="J307" t="inlineStr"/>
      <c r="K307" t="inlineStr"/>
      <c r="L307" t="inlineStr"/>
      <c r="M307" t="inlineStr"/>
      <c r="N307" t="inlineStr"/>
      <c r="O307" t="n">
        <v>0</v>
      </c>
      <c r="P307">
        <f>IF(B325=0,0,O307/B325)</f>
        <v/>
      </c>
      <c r="S307">
        <f>IF(AND(Inputs!$B$4&lt;&gt;"pvp",Inputs!$B$35&gt;0),(INT(Inputs!$B$35/IF(Inputs!$B$4="pvp",15,MAX(0.1,Skills!D16-IF(Skills!E16=TRUE,Inputs!$B$31,0))))+1),0)</f>
        <v/>
      </c>
      <c r="V307">
        <f>IFERROR(1/IF(Inputs!$B$4="pvp",15,MAX(0.1,Skills!D16-IF(Skills!E16=TRUE,Inputs!$B$31,0))),0)</f>
        <v/>
      </c>
    </row>
    <row r="308">
      <c r="A308">
        <f>Skills!A17</f>
        <v/>
      </c>
      <c r="B308">
        <f>Skills!B17</f>
        <v/>
      </c>
      <c r="C308">
        <f>Inputs!$B$3&gt;=33</f>
        <v/>
      </c>
      <c r="D308">
        <f>IF(Skills!C17=1,60+Inputs!$B$24+Inputs!$B$28,IF(Skills!C17=2,90+Inputs!$B$25+Inputs!$B$28,IF(Skills!C17=3,120+Inputs!$B$26+Inputs!$B$28,MAX(0,(Inputs!$B$3-100)*3)+Inputs!$B$27+Inputs!$B$28)))</f>
        <v/>
      </c>
      <c r="E308">
        <f>INDEX(FactorTable!$B$2:$Y$301, MATCH(ROUND(MIN(300,MAX(1,D308)),0), FactorTable!$A$2:$A$301,0), Skills!L17+1)</f>
        <v/>
      </c>
      <c r="F308">
        <f>IF(Skills!M17=TRUE,(Skills!K17/10)*(E308/1000),Skills!K17/10)+Skills!N17</f>
        <v/>
      </c>
      <c r="G308">
        <f>Calc!G17</f>
        <v/>
      </c>
      <c r="H308">
        <f>Calc!H17</f>
        <v/>
      </c>
      <c r="I308">
        <f>IF(Skills!T17&lt;&gt;"",1+(Skills!T17/10)*(R294/1000)/100,1)</f>
        <v/>
      </c>
      <c r="J308" t="inlineStr"/>
      <c r="K308" t="inlineStr"/>
      <c r="L308" t="inlineStr"/>
      <c r="M308" t="inlineStr"/>
      <c r="N308" t="inlineStr"/>
      <c r="O308" t="n">
        <v>0</v>
      </c>
      <c r="P308">
        <f>IF(B325=0,0,O308/B325)</f>
        <v/>
      </c>
      <c r="S308" t="n">
        <v>0</v>
      </c>
      <c r="V308">
        <f>IFERROR(1/IF(Inputs!$B$4="pvp",15,MAX(0.1,Skills!D17-IF(Skills!E17=TRUE,Inputs!$B$31,0))),0)</f>
        <v/>
      </c>
    </row>
    <row r="309">
      <c r="A309">
        <f>Skills!A18</f>
        <v/>
      </c>
      <c r="B309">
        <f>Skills!B18</f>
        <v/>
      </c>
      <c r="C309">
        <f>Inputs!$B$3&gt;=43</f>
        <v/>
      </c>
      <c r="D309">
        <f>IF(Skills!C18=1,60+Inputs!$B$24+Inputs!$B$28,IF(Skills!C18=2,90+Inputs!$B$25+Inputs!$B$28,IF(Skills!C18=3,120+Inputs!$B$26+Inputs!$B$28,MAX(0,(Inputs!$B$3-100)*3)+Inputs!$B$27+Inputs!$B$28)))</f>
        <v/>
      </c>
      <c r="E309">
        <f>INDEX(FactorTable!$B$2:$Y$301, MATCH(ROUND(MIN(300,MAX(1,D309)),0), FactorTable!$A$2:$A$301,0), Skills!L18+1)</f>
        <v/>
      </c>
      <c r="F309">
        <f>IF(Skills!M18=TRUE,(Skills!K18/10)*(E309/1000),Skills!K18/10)+Skills!N18</f>
        <v/>
      </c>
      <c r="G309">
        <f>Calc!G18</f>
        <v/>
      </c>
      <c r="H309">
        <f>Calc!H18</f>
        <v/>
      </c>
      <c r="I309">
        <f>IF(Skills!T18&lt;&gt;"",1+(Skills!T18/10)*(R294/1000)/100,1)</f>
        <v/>
      </c>
      <c r="J309" t="inlineStr"/>
      <c r="K309" t="inlineStr"/>
      <c r="L309" t="inlineStr"/>
      <c r="M309" t="inlineStr"/>
      <c r="N309" t="inlineStr"/>
      <c r="O309" t="n">
        <v>0</v>
      </c>
      <c r="P309">
        <f>IF(B325=0,0,O309/B325)</f>
        <v/>
      </c>
      <c r="S309" t="n">
        <v>0</v>
      </c>
      <c r="V309">
        <f>IFERROR(1/IF(Inputs!$B$4="pvp",15,MAX(0.1,Skills!D18-IF(Skills!E18=TRUE,Inputs!$B$31,0))),0)</f>
        <v/>
      </c>
    </row>
    <row r="310">
      <c r="A310">
        <f>Skills!A19</f>
        <v/>
      </c>
      <c r="B310">
        <f>Skills!B19</f>
        <v/>
      </c>
      <c r="C310">
        <f>Inputs!$B$3&gt;=50</f>
        <v/>
      </c>
      <c r="D310">
        <f>IF(Skills!C19=1,60+Inputs!$B$24+Inputs!$B$28,IF(Skills!C19=2,90+Inputs!$B$25+Inputs!$B$28,IF(Skills!C19=3,120+Inputs!$B$26+Inputs!$B$28,MAX(0,(Inputs!$B$3-100)*3)+Inputs!$B$27+Inputs!$B$28)))</f>
        <v/>
      </c>
      <c r="E310">
        <f>INDEX(FactorTable!$B$2:$Y$301, MATCH(ROUND(MIN(300,MAX(1,D310)),0), FactorTable!$A$2:$A$301,0), Skills!L19+1)</f>
        <v/>
      </c>
      <c r="F310">
        <f>IF(Skills!M19=TRUE,(Skills!K19/10)*(E310/1000),Skills!K19/10)+Skills!N19</f>
        <v/>
      </c>
      <c r="G310">
        <f>Calc!G19</f>
        <v/>
      </c>
      <c r="H310">
        <f>Calc!H19</f>
        <v/>
      </c>
      <c r="I310">
        <f>IF(Skills!T19&lt;&gt;"",1+(Skills!T19/10)*(R294/1000)/100,1)</f>
        <v/>
      </c>
      <c r="J310" t="inlineStr"/>
      <c r="K310" t="inlineStr"/>
      <c r="L310" t="inlineStr"/>
      <c r="M310" t="inlineStr"/>
      <c r="N310" t="inlineStr"/>
      <c r="O310" t="n">
        <v>0</v>
      </c>
      <c r="P310">
        <f>IF(B325=0,0,O310/B325)</f>
        <v/>
      </c>
      <c r="S310" t="n">
        <v>0</v>
      </c>
      <c r="V310">
        <f>IFERROR(1/IF(Inputs!$B$4="pvp",15,MAX(0.1,Skills!D19-IF(Skills!E19=TRUE,Inputs!$B$31,0))),0)</f>
        <v/>
      </c>
    </row>
    <row r="311">
      <c r="A311">
        <f>Skills!A20</f>
        <v/>
      </c>
      <c r="B311">
        <f>Skills!B20</f>
        <v/>
      </c>
      <c r="C311">
        <f>Inputs!$B$3&gt;=74</f>
        <v/>
      </c>
      <c r="D311">
        <f>IF(Skills!C20=1,60+Inputs!$B$24+Inputs!$B$28,IF(Skills!C20=2,90+Inputs!$B$25+Inputs!$B$28,IF(Skills!C20=3,120+Inputs!$B$26+Inputs!$B$28,MAX(0,(Inputs!$B$3-100)*3)+Inputs!$B$27+Inputs!$B$28)))</f>
        <v/>
      </c>
      <c r="E311">
        <f>INDEX(FactorTable!$B$2:$Y$301, MATCH(ROUND(MIN(300,MAX(1,D311)),0), FactorTable!$A$2:$A$301,0), Skills!L20+1)</f>
        <v/>
      </c>
      <c r="F311">
        <f>IF(Skills!M20=TRUE,(Skills!K20/10)*(E311/1000),Skills!K20/10)+Skills!N20</f>
        <v/>
      </c>
      <c r="G311">
        <f>Calc!G20</f>
        <v/>
      </c>
      <c r="H311">
        <f>Calc!H20</f>
        <v/>
      </c>
      <c r="I311">
        <f>IF(Skills!T20&lt;&gt;"",1+(Skills!T20/10)*(R294/1000)/100,1)</f>
        <v/>
      </c>
      <c r="J311" t="inlineStr"/>
      <c r="K311" t="inlineStr"/>
      <c r="L311" t="inlineStr"/>
      <c r="M311" t="inlineStr"/>
      <c r="N311" t="inlineStr"/>
      <c r="O311" t="n">
        <v>0</v>
      </c>
      <c r="P311">
        <f>IF(B325=0,0,O311/B325)</f>
        <v/>
      </c>
      <c r="S311" t="n">
        <v>0</v>
      </c>
      <c r="V311">
        <f>IFERROR(1/IF(Inputs!$B$4="pvp",15,MAX(0.1,Skills!D20-IF(Skills!E20=TRUE,Inputs!$B$31,0))),0)</f>
        <v/>
      </c>
    </row>
    <row r="312">
      <c r="A312">
        <f>Skills!A21</f>
        <v/>
      </c>
      <c r="B312">
        <f>Skills!B21</f>
        <v/>
      </c>
      <c r="C312">
        <f>Inputs!$B$3&gt;=74</f>
        <v/>
      </c>
      <c r="D312">
        <f>IF(Skills!C21=1,60+Inputs!$B$24+Inputs!$B$28,IF(Skills!C21=2,90+Inputs!$B$25+Inputs!$B$28,IF(Skills!C21=3,120+Inputs!$B$26+Inputs!$B$28,MAX(0,(Inputs!$B$3-100)*3)+Inputs!$B$27+Inputs!$B$28)))</f>
        <v/>
      </c>
      <c r="E312">
        <f>INDEX(FactorTable!$B$2:$Y$301, MATCH(ROUND(MIN(300,MAX(1,D312)),0), FactorTable!$A$2:$A$301,0), Skills!L21+1)</f>
        <v/>
      </c>
      <c r="F312">
        <f>IF(Skills!M21=TRUE,(Skills!K21/10)*(E312/1000),Skills!K21/10)+Skills!N21</f>
        <v/>
      </c>
      <c r="G312">
        <f>Calc!G21</f>
        <v/>
      </c>
      <c r="H312">
        <f>Calc!H21</f>
        <v/>
      </c>
      <c r="I312">
        <f>IF(Skills!T21&lt;&gt;"",1+(Skills!T21/10)*(R294/1000)/100,1)</f>
        <v/>
      </c>
      <c r="J312" t="inlineStr"/>
      <c r="K312" t="inlineStr"/>
      <c r="L312" t="inlineStr"/>
      <c r="M312" t="inlineStr"/>
      <c r="N312" t="inlineStr"/>
      <c r="O312" t="n">
        <v>0</v>
      </c>
      <c r="P312">
        <f>IF(B325=0,0,O312/B325)</f>
        <v/>
      </c>
      <c r="S312" t="n">
        <v>0</v>
      </c>
      <c r="V312">
        <f>IFERROR(1/IF(Inputs!$B$4="pvp",15,MAX(0.1,Skills!D21-IF(Skills!E21=TRUE,Inputs!$B$31,0))),0)</f>
        <v/>
      </c>
    </row>
    <row r="313">
      <c r="A313">
        <f>Skills!A22</f>
        <v/>
      </c>
      <c r="B313">
        <f>Skills!B22</f>
        <v/>
      </c>
      <c r="C313">
        <f>Inputs!$B$3&gt;=117</f>
        <v/>
      </c>
      <c r="D313">
        <f>IF(Skills!C22=1,60+Inputs!$B$24+Inputs!$B$28,IF(Skills!C22=2,90+Inputs!$B$25+Inputs!$B$28,IF(Skills!C22=3,120+Inputs!$B$26+Inputs!$B$28,MAX(0,(Inputs!$B$3-100)*3)+Inputs!$B$27+Inputs!$B$28)))</f>
        <v/>
      </c>
      <c r="E313">
        <f>INDEX(FactorTable!$B$2:$Y$301, MATCH(ROUND(MIN(300,MAX(1,D313)),0), FactorTable!$A$2:$A$301,0), Skills!L22+1)</f>
        <v/>
      </c>
      <c r="F313">
        <f>IF(Skills!M22=TRUE,(Skills!K22/10)*(E313/1000),Skills!K22/10)+Skills!N22</f>
        <v/>
      </c>
      <c r="G313">
        <f>Calc!G22</f>
        <v/>
      </c>
      <c r="H313">
        <f>Calc!H22</f>
        <v/>
      </c>
      <c r="I313">
        <f>IF(Skills!T22&lt;&gt;"",1+(Skills!T22/10)*(R294/1000)/100,1)</f>
        <v/>
      </c>
      <c r="J313" t="inlineStr"/>
      <c r="K313" t="inlineStr"/>
      <c r="L313" t="inlineStr"/>
      <c r="M313" t="inlineStr"/>
      <c r="N313" t="inlineStr"/>
      <c r="O313" t="n">
        <v>0</v>
      </c>
      <c r="P313">
        <f>IF(B325=0,0,O313/B325)</f>
        <v/>
      </c>
      <c r="S313" t="n">
        <v>0</v>
      </c>
      <c r="V313">
        <f>IFERROR(1/IF(Inputs!$B$4="pvp",15,MAX(0.1,Skills!D22-IF(Skills!E22=TRUE,Inputs!$B$31,0))),0)</f>
        <v/>
      </c>
    </row>
    <row r="314">
      <c r="A314">
        <f>Skills!A23</f>
        <v/>
      </c>
      <c r="B314">
        <f>Skills!B23</f>
        <v/>
      </c>
      <c r="C314">
        <f>Inputs!$B$3&gt;=120</f>
        <v/>
      </c>
      <c r="D314">
        <f>IF(Skills!C23=1,60+Inputs!$B$24+Inputs!$B$28,IF(Skills!C23=2,90+Inputs!$B$25+Inputs!$B$28,IF(Skills!C23=3,120+Inputs!$B$26+Inputs!$B$28,MAX(0,(Inputs!$B$3-100)*3)+Inputs!$B$27+Inputs!$B$28)))</f>
        <v/>
      </c>
      <c r="E314">
        <f>INDEX(FactorTable!$B$2:$Y$301, MATCH(ROUND(MIN(300,MAX(1,D314)),0), FactorTable!$A$2:$A$301,0), Skills!L23+1)</f>
        <v/>
      </c>
      <c r="F314">
        <f>IF(Skills!M23=TRUE,(Skills!K23/10)*(E314/1000),Skills!K23/10)+Skills!N23</f>
        <v/>
      </c>
      <c r="G314">
        <f>Calc!G23</f>
        <v/>
      </c>
      <c r="H314">
        <f>Calc!H23</f>
        <v/>
      </c>
      <c r="I314">
        <f>IF(Skills!T23&lt;&gt;"",1+(Skills!T23/10)*(R294/1000)/100,1)</f>
        <v/>
      </c>
      <c r="J314" t="inlineStr"/>
      <c r="K314" t="inlineStr"/>
      <c r="L314" t="inlineStr"/>
      <c r="M314" t="inlineStr"/>
      <c r="N314" t="inlineStr"/>
      <c r="O314" t="n">
        <v>0</v>
      </c>
      <c r="P314">
        <f>IF(B325=0,0,O314/B325)</f>
        <v/>
      </c>
      <c r="S314" t="n">
        <v>0</v>
      </c>
      <c r="V314">
        <f>IFERROR(1/IF(Inputs!$B$4="pvp",15,MAX(0.1,Skills!D23-IF(Skills!E23=TRUE,Inputs!$B$31,0))),0)</f>
        <v/>
      </c>
    </row>
    <row r="317">
      <c r="A317" t="inlineStr">
        <is>
          <t>Average Buff Multiplier (Magic Guard + Meditation, summed; then Infinity)</t>
        </is>
      </c>
      <c r="B317">
        <f>(1+(IF(C294=TRUE,F294*IF(AND(Inputs!$B$4&lt;&gt;"pvp",Inputs!$B$35&gt;0),(((S294-1)*(Skills!S3*(1+(Inputs!$B$33+IF(Inputs!$B$3&gt;=117,F313,0))/100))+MIN((Skills!S3*(1+(Inputs!$B$33+IF(Inputs!$B$3&gt;=117,F313,0))/100)),MAX(0,Inputs!$B$35-((S294-1)*Skills!D3))))/Inputs!$B$35),IF(Inputs!$B$4="pvp",MIN((Skills!S3*(1+(Inputs!$B$33+IF(Inputs!$B$3&gt;=117,F313,0))/100)),15)/15,(Skills!S3*(1+(Inputs!$B$33+IF(Inputs!$B$3&gt;=117,F313,0))/100))/Skills!D3)),0)+IF(C295=TRUE,F295*IF(AND(Inputs!$B$4&lt;&gt;"pvp",Inputs!$B$35&gt;0),(((S295-1)*(Skills!S4*(1+(Inputs!$B$33+IF(Inputs!$B$3&gt;=117,F313,0))/100))+MIN((Skills!S4*(1+(Inputs!$B$33+IF(Inputs!$B$3&gt;=117,F313,0))/100)),MAX(0,Inputs!$B$35-((S295-1)*Skills!D4))))/Inputs!$B$35),IF(Inputs!$B$4="pvp",MIN((Skills!S4*(1+(Inputs!$B$33+IF(Inputs!$B$3&gt;=117,F313,0))/100)),15)/15,(Skills!S4*(1+(Inputs!$B$33+IF(Inputs!$B$3&gt;=117,F313,0))/100))/Skills!D4)),0))/100)*IF(C307=TRUE,(1+F307*IF(AND(Inputs!$B$4&lt;&gt;"pvp",Inputs!$B$35&gt;0),(((S307-1)*(Skills!S16*(1+(Inputs!$B$33+IF(Inputs!$B$3&gt;=117,F313,0))/100))+MIN((Skills!S16*(1+(Inputs!$B$33+IF(Inputs!$B$3&gt;=117,F313,0))/100)),MAX(0,Inputs!$B$35-((S307-1)*Skills!D16))))/Inputs!$B$35),IF(Inputs!$B$4="pvp",MIN((Skills!S16*(1+(Inputs!$B$33+IF(Inputs!$B$3&gt;=117,F313,0))/100)),15)/15,(Skills!S16*(1+(Inputs!$B$33+IF(Inputs!$B$3&gt;=117,F313,0))/100))/Skills!D16))/100),1)</f>
        <v/>
      </c>
    </row>
    <row r="318">
      <c r="A318" t="inlineStr">
        <is>
          <t>Monster Damage Taken Bonus % (Freezing Breath - Weaken + Elemental Reset, summed)</t>
        </is>
      </c>
      <c r="B318">
        <f>IF(Inputs!$B$3&gt;=118,15*IF(Inputs!$B$4="pvp",MIN((30*(1+(Inputs!$B$33+IF(Inputs!$B$3&gt;=117,F313,0))/100)),15)/15,(30*(1+(Inputs!$B$33+IF(Inputs!$B$3&gt;=117,F313,0))/100))/Skills!D8),0)+IF(C305=TRUE,F305,0)</f>
        <v/>
      </c>
    </row>
    <row r="319">
      <c r="A319" t="inlineStr">
        <is>
          <t>Damage % Bonus (Frozen Break + Frost Clutch, flat)</t>
        </is>
      </c>
      <c r="B319">
        <f>IF(Inputs!$B$3&gt;=66,15,0)+IF(Inputs!$B$3&gt;=98,10,0)+IF(Inputs!$B$3&gt;=125,20,0)</f>
        <v/>
      </c>
    </row>
    <row r="320">
      <c r="A320" t="inlineStr">
        <is>
          <t>Attack Speed Bonus % (MP Eater - MP Boost, always-on once unlocked)</t>
        </is>
      </c>
      <c r="B320">
        <f>IF(C304=TRUE,F304+(F308-Calc!F17),0)</f>
        <v/>
      </c>
    </row>
    <row r="321">
      <c r="A321" t="inlineStr">
        <is>
          <t>Actions Per Second</t>
        </is>
      </c>
      <c r="B321">
        <f>1+MIN(150,150*(1-(1-Inputs!$B$10/150)*(1-B320/150)))/100</f>
        <v/>
      </c>
    </row>
    <row r="322">
      <c r="A322" t="inlineStr">
        <is>
          <t>Skill + Buff Cast Rate</t>
        </is>
      </c>
      <c r="B322">
        <f>IF(AND(Inputs!$B$4&lt;&gt;"pvp",Inputs!$B$35&gt;0),SUMPRODUCT((Skills!E2:E23=TRUE)*(C293:C314=TRUE)*S293:S314)/Inputs!$B$35,SUMPRODUCT((Skills!E2:E23=TRUE)*(C293:C314=TRUE)*V293:V314))</f>
        <v/>
      </c>
    </row>
    <row r="323">
      <c r="A323" t="inlineStr">
        <is>
          <t>Chain Lightning Casts Per Second</t>
        </is>
      </c>
      <c r="B323">
        <f>MAX(0,B321-B322)</f>
        <v/>
      </c>
    </row>
    <row r="325">
      <c r="A325" s="5" t="inlineStr">
        <is>
          <t>TOTAL DPS</t>
        </is>
      </c>
      <c r="B325" s="5">
        <f>SUM(O293:O314)</f>
        <v/>
      </c>
    </row>
    <row r="328">
      <c r="A328" s="5" t="inlineStr">
        <is>
          <t>Stat: MAX_DAMAGE %</t>
        </is>
      </c>
    </row>
    <row r="329">
      <c r="A329" s="8" t="inlineStr">
        <is>
          <t>Key</t>
        </is>
      </c>
      <c r="B329" s="8" t="inlineStr">
        <is>
          <t>Name</t>
        </is>
      </c>
      <c r="C329" s="8" t="inlineStr">
        <is>
          <t>Unlocked</t>
        </is>
      </c>
      <c r="D329" s="8" t="inlineStr">
        <is>
          <t>InputLevel</t>
        </is>
      </c>
      <c r="E329" s="8" t="inlineStr">
        <is>
          <t>Factor</t>
        </is>
      </c>
      <c r="F329" s="8" t="inlineStr">
        <is>
          <t>CoefficientPercent</t>
        </is>
      </c>
      <c r="G329" s="8" t="inlineStr">
        <is>
          <t>EffectiveHits</t>
        </is>
      </c>
      <c r="H329" s="8" t="inlineStr">
        <is>
          <t>ProcProbability</t>
        </is>
      </c>
      <c r="I329" s="8" t="inlineStr">
        <is>
          <t>MapleHeroMultiplier</t>
        </is>
      </c>
      <c r="J329" s="8" t="inlineStr">
        <is>
          <t>BaseDamage</t>
        </is>
      </c>
      <c r="K329" s="8" t="inlineStr">
        <is>
          <t>BaseHitDamage</t>
        </is>
      </c>
      <c r="L329" s="8" t="inlineStr">
        <is>
          <t>NonCritAvg</t>
        </is>
      </c>
      <c r="M329" s="8" t="inlineStr">
        <is>
          <t>CritAvg</t>
        </is>
      </c>
      <c r="N329" s="8" t="inlineStr">
        <is>
          <t>ExpectedDamage(perHit)</t>
        </is>
      </c>
      <c r="O329" s="8" t="inlineStr">
        <is>
          <t>DPS</t>
        </is>
      </c>
      <c r="P329" s="8" t="inlineStr">
        <is>
          <t>% of Total</t>
        </is>
      </c>
      <c r="R329" t="inlineStr">
        <is>
          <t>helpers</t>
        </is>
      </c>
    </row>
    <row r="330">
      <c r="A330">
        <f>Skills!A2</f>
        <v/>
      </c>
      <c r="B330">
        <f>Skills!B2</f>
        <v/>
      </c>
      <c r="C330">
        <f>Inputs!$B$3&gt;=100</f>
        <v/>
      </c>
      <c r="D330" t="inlineStr"/>
      <c r="E330" t="inlineStr"/>
      <c r="F330">
        <f>T332+Skills!N2</f>
        <v/>
      </c>
      <c r="G330">
        <f>Calc!G2</f>
        <v/>
      </c>
      <c r="H330">
        <f>Calc!H2</f>
        <v/>
      </c>
      <c r="I330">
        <f>IF(Skills!T2&lt;&gt;"",1+(Skills!T2/10)*(R331/1000)/100,1)</f>
        <v/>
      </c>
      <c r="J330">
        <f>((Inputs!$B$5*(1+Inputs!$B$6/100))+((Inputs!$B$11*(1+Inputs!$B$12/100))-(Inputs!$B$11*(1+Inputs!$B$12/100)))*(1+Inputs!$B$6/100))*(F330/100)</f>
        <v/>
      </c>
      <c r="K330">
        <f>J330*(1+((Inputs!$B$11*(1+Inputs!$B$12/100))*0.01+Inputs!$B$13*0.0025)/100)*(1+(Inputs!$B$14+B356)/100)*(1+IF(Inputs!$B$4="pvp",0,(1-Summary!$B$51)*(Inputs!$B$19+Skills!O2+B355)+Summary!$B$51*(Inputs!$B$20+Skills!P2+B355))/100)*(1+Inputs!$B$15/100)*(5000/(6000+Inputs!$B$7*(1-Inputs!$B$18/100)))*(1+Inputs!$B$23/100)*(1+IF(C343=TRUE,F343,0)/100)*(1+IF(C351=TRUE,F351,0)/100)^5*(1+(IF(Skills!A2="CHAIN_LIGHTNING",Inputs!$B$16,Inputs!$B$17))/100)*(B354*I330)</f>
        <v/>
      </c>
      <c r="L330">
        <f>K330*(MIN(Inputs!$B$21+(F346-Calc!F18),(Inputs!$B$22+1))/100+(Inputs!$B$22+1)/100)/2</f>
        <v/>
      </c>
      <c r="M330">
        <f>L330*(1+(Inputs!$B$9+(F349-Calc!F21))/100)</f>
        <v/>
      </c>
      <c r="N330">
        <f>L330*(1-MIN(Inputs!$B$8+((F348-Calc!F20)+(F347-Calc!F19)),100)/100)+M330*(MIN(Inputs!$B$8+((F348-Calc!F20)+(F347-Calc!F19)),100)/100)</f>
        <v/>
      </c>
      <c r="O330">
        <f>IF(C330,Skills!F2*N330*B360*IF(Inputs!$B$4="pvp",1,(1-Summary!$B$51)*(1)+Summary!$B$51*(MIN((6+Inputs!$B$32),Inputs!$B$37))),0)</f>
        <v/>
      </c>
      <c r="P330">
        <f>IF(B362=0,0,O330/B362)</f>
        <v/>
      </c>
      <c r="R330">
        <f>MAX(0,(Inputs!$B$3-100)*3)+Inputs!$B$27+Inputs!$B$28</f>
        <v/>
      </c>
      <c r="S330" t="n">
        <v>0</v>
      </c>
      <c r="T330">
        <f>MAX(0,(Inputs!$B$3-100)*3)+Inputs!$B$27+Inputs!$B$28</f>
        <v/>
      </c>
      <c r="V330">
        <f>IFERROR(1/IF(Inputs!$B$4="pvp",15,MAX(0.1,Skills!D2-IF(Skills!E2=TRUE,Inputs!$B$31,0))),0)</f>
        <v/>
      </c>
    </row>
    <row r="331">
      <c r="A331">
        <f>Skills!A3</f>
        <v/>
      </c>
      <c r="B331">
        <f>Skills!B3</f>
        <v/>
      </c>
      <c r="C331">
        <f>Inputs!$B$3&gt;=15</f>
        <v/>
      </c>
      <c r="D331">
        <f>IF(Skills!C3=1,60+Inputs!$B$24+Inputs!$B$28,IF(Skills!C3=2,90+Inputs!$B$25+Inputs!$B$28,IF(Skills!C3=3,120+Inputs!$B$26+Inputs!$B$28,MAX(0,(Inputs!$B$3-100)*3)+Inputs!$B$27+Inputs!$B$28)))</f>
        <v/>
      </c>
      <c r="E331">
        <f>INDEX(FactorTable!$B$2:$Y$301, MATCH(ROUND(MIN(300,MAX(1,D331)),0), FactorTable!$A$2:$A$301,0), Skills!L3+1)</f>
        <v/>
      </c>
      <c r="F331">
        <f>IF(Skills!M3=TRUE,(Skills!K3/10)*(E331/1000),Skills!K3/10)+Skills!N3</f>
        <v/>
      </c>
      <c r="G331">
        <f>Calc!G3</f>
        <v/>
      </c>
      <c r="H331">
        <f>Calc!H3</f>
        <v/>
      </c>
      <c r="I331">
        <f>IF(Skills!T3&lt;&gt;"",1+(Skills!T3/10)*(R331/1000)/100,1)</f>
        <v/>
      </c>
      <c r="J331" t="inlineStr"/>
      <c r="K331" t="inlineStr"/>
      <c r="L331" t="inlineStr"/>
      <c r="M331" t="inlineStr"/>
      <c r="N331" t="inlineStr"/>
      <c r="O331" t="n">
        <v>0</v>
      </c>
      <c r="P331">
        <f>IF(B362=0,0,O331/B362)</f>
        <v/>
      </c>
      <c r="R331">
        <f>INDEX(FactorTable!$B$2:$Y$301, MATCH(ROUND(MIN(300,MAX(1,R330)),0), FactorTable!$A$2:$A$301,0), 24)</f>
        <v/>
      </c>
      <c r="S331">
        <f>IF(AND(Inputs!$B$4&lt;&gt;"pvp",Inputs!$B$35&gt;0),(INT(Inputs!$B$35/IF(Inputs!$B$4="pvp",15,MAX(0.1,Skills!D3-IF(Skills!E3=TRUE,Inputs!$B$31,0))))+1),0)</f>
        <v/>
      </c>
      <c r="T331">
        <f>INDEX(FactorTable!$B$2:$Y$301, MATCH(ROUND(MIN(300,MAX(1,T330)),0), FactorTable!$A$2:$A$301,0), 22)</f>
        <v/>
      </c>
      <c r="V331">
        <f>IFERROR(1/IF(Inputs!$B$4="pvp",15,MAX(0.1,Skills!D3-IF(Skills!E3=TRUE,Inputs!$B$31,0))),0)</f>
        <v/>
      </c>
    </row>
    <row r="332">
      <c r="A332">
        <f>Skills!A4</f>
        <v/>
      </c>
      <c r="B332">
        <f>Skills!B4</f>
        <v/>
      </c>
      <c r="C332">
        <f>Inputs!$B$3&gt;=40</f>
        <v/>
      </c>
      <c r="D332">
        <f>IF(Skills!C4=1,60+Inputs!$B$24+Inputs!$B$28,IF(Skills!C4=2,90+Inputs!$B$25+Inputs!$B$28,IF(Skills!C4=3,120+Inputs!$B$26+Inputs!$B$28,MAX(0,(Inputs!$B$3-100)*3)+Inputs!$B$27+Inputs!$B$28)))</f>
        <v/>
      </c>
      <c r="E332">
        <f>INDEX(FactorTable!$B$2:$Y$301, MATCH(ROUND(MIN(300,MAX(1,D332)),0), FactorTable!$A$2:$A$301,0), Skills!L4+1)</f>
        <v/>
      </c>
      <c r="F332">
        <f>IF(Skills!M4=TRUE,(Skills!K4/10)*(E332/1000),Skills!K4/10)+Skills!N4</f>
        <v/>
      </c>
      <c r="G332">
        <f>Calc!G4</f>
        <v/>
      </c>
      <c r="H332">
        <f>Calc!H4</f>
        <v/>
      </c>
      <c r="I332">
        <f>IF(Skills!T4&lt;&gt;"",1+(Skills!T4/10)*(R331/1000)/100,1)</f>
        <v/>
      </c>
      <c r="J332" t="inlineStr"/>
      <c r="K332" t="inlineStr"/>
      <c r="L332" t="inlineStr"/>
      <c r="M332" t="inlineStr"/>
      <c r="N332" t="inlineStr"/>
      <c r="O332" t="n">
        <v>0</v>
      </c>
      <c r="P332">
        <f>IF(B362=0,0,O332/B362)</f>
        <v/>
      </c>
      <c r="S332">
        <f>IF(AND(Inputs!$B$4&lt;&gt;"pvp",Inputs!$B$35&gt;0),(INT(Inputs!$B$35/IF(Inputs!$B$4="pvp",15,MAX(0.1,Skills!D4-IF(Skills!E4=TRUE,Inputs!$B$31,0))))+1),0)</f>
        <v/>
      </c>
      <c r="T332">
        <f>290*T331/1000</f>
        <v/>
      </c>
      <c r="V332">
        <f>IFERROR(1/IF(Inputs!$B$4="pvp",15,MAX(0.1,Skills!D4-IF(Skills!E4=TRUE,Inputs!$B$31,0))),0)</f>
        <v/>
      </c>
    </row>
    <row r="333">
      <c r="A333">
        <f>Skills!A5</f>
        <v/>
      </c>
      <c r="B333">
        <f>Skills!B5</f>
        <v/>
      </c>
      <c r="C333">
        <f>Inputs!$B$3&gt;=38</f>
        <v/>
      </c>
      <c r="D333">
        <f>IF(Skills!C5=1,60+Inputs!$B$24+Inputs!$B$28,IF(Skills!C5=2,90+Inputs!$B$25+Inputs!$B$28,IF(Skills!C5=3,120+Inputs!$B$26+Inputs!$B$28,MAX(0,(Inputs!$B$3-100)*3)+Inputs!$B$27+Inputs!$B$28)))</f>
        <v/>
      </c>
      <c r="E333">
        <f>INDEX(FactorTable!$B$2:$Y$301, MATCH(ROUND(MIN(300,MAX(1,D333)),0), FactorTable!$A$2:$A$301,0), Skills!L5+1)</f>
        <v/>
      </c>
      <c r="F333">
        <f>IF(Skills!M5=TRUE,(Skills!K5/10)*(E333/1000),Skills!K5/10)+Skills!N5</f>
        <v/>
      </c>
      <c r="G333">
        <f>Calc!G5</f>
        <v/>
      </c>
      <c r="H333">
        <f>Calc!H5</f>
        <v/>
      </c>
      <c r="I333">
        <f>IF(Skills!T5&lt;&gt;"",1+(Skills!T5/10)*(R331/1000)/100,1)</f>
        <v/>
      </c>
      <c r="J333">
        <f>((Inputs!$B$5*(1+Inputs!$B$6/100))+((Inputs!$B$11*(1+Inputs!$B$12/100))-(Inputs!$B$11*(1+Inputs!$B$12/100)))*(1+Inputs!$B$6/100))*(F333/100)</f>
        <v/>
      </c>
      <c r="K333">
        <f>J333*(1+((Inputs!$B$11*(1+Inputs!$B$12/100))*0.01+Inputs!$B$13*0.0025)/100)*(1+(Inputs!$B$14+B356)/100)*(1+IF(Inputs!$B$4="pvp",0,(1-Summary!$B$51)*(Inputs!$B$19+Skills!O5+B355)+Summary!$B$51*(Inputs!$B$20+Skills!P5+B355))/100)*(1+Inputs!$B$15/100)*(5000/(6000+Inputs!$B$7*(1-Inputs!$B$18/100)))*(1+Inputs!$B$23/100)*(1+IF(C343=TRUE,F343,0)/100)*(1+IF(C351=TRUE,F351,0)/100)^5*(1+(IF(Skills!A5="CHAIN_LIGHTNING",Inputs!$B$16,Inputs!$B$17))/100)*(B354*I333)</f>
        <v/>
      </c>
      <c r="L333">
        <f>K333*(MIN(Inputs!$B$21+(F346-Calc!F18),(Inputs!$B$22+1))/100+(Inputs!$B$22+1)/100)/2</f>
        <v/>
      </c>
      <c r="M333">
        <f>L333*(1+(Inputs!$B$9+(F349-Calc!F21))/100)</f>
        <v/>
      </c>
      <c r="N333">
        <f>L333*(1-MIN(Inputs!$B$8+((F348-Calc!F20)+(F347-Calc!F19)),100)/100)+M333*(MIN(Inputs!$B$8+((F348-Calc!F20)+(F347-Calc!F19)),100)/100)</f>
        <v/>
      </c>
      <c r="O333">
        <f>IF(C333,H333*N333*IF(AND(Inputs!$B$4&lt;&gt;"pvp",Inputs!$B$35&gt;0),((Skills!F5*((S333-1)*IF(Skills!G5&gt;0,Skills!H5/Skills!G5,1)+IF(Skills!G5&gt;0,MIN(Skills!H5,MAX(0,Inputs!$B$35-((S333-1)*IF(Inputs!$B$4="pvp",15,MAX(0.1,Skills!D5-IF(Skills!E5=TRUE,Inputs!$B$31,0))))))/Skills!G5,1)))/Inputs!$B$35),G333*V333)*IF(Inputs!$B$4="pvp",1,(1-Summary!$B$51)*(1)+Summary!$B$51*(MIN(Skills!Q5,Inputs!$B$37))),0)</f>
        <v/>
      </c>
      <c r="P333">
        <f>IF(B362=0,0,O333/B362)</f>
        <v/>
      </c>
      <c r="S333">
        <f>IF(AND(Inputs!$B$4&lt;&gt;"pvp",Inputs!$B$35&gt;0),(INT(Inputs!$B$35/IF(Inputs!$B$4="pvp",15,MAX(0.1,Skills!D5-IF(Skills!E5=TRUE,Inputs!$B$31,0))))+1),0)</f>
        <v/>
      </c>
      <c r="V333">
        <f>IFERROR(1/IF(Inputs!$B$4="pvp",15,MAX(0.1,Skills!D5-IF(Skills!E5=TRUE,Inputs!$B$31,0))),0)</f>
        <v/>
      </c>
    </row>
    <row r="334">
      <c r="A334">
        <f>Skills!A6</f>
        <v/>
      </c>
      <c r="B334">
        <f>Skills!B6</f>
        <v/>
      </c>
      <c r="C334">
        <f>Inputs!$B$3&gt;=63</f>
        <v/>
      </c>
      <c r="D334">
        <f>IF(Skills!C6=1,60+Inputs!$B$24+Inputs!$B$28,IF(Skills!C6=2,90+Inputs!$B$25+Inputs!$B$28,IF(Skills!C6=3,120+Inputs!$B$26+Inputs!$B$28,MAX(0,(Inputs!$B$3-100)*3)+Inputs!$B$27+Inputs!$B$28)))</f>
        <v/>
      </c>
      <c r="E334">
        <f>INDEX(FactorTable!$B$2:$Y$301, MATCH(ROUND(MIN(300,MAX(1,D334)),0), FactorTable!$A$2:$A$301,0), Skills!L6+1)</f>
        <v/>
      </c>
      <c r="F334">
        <f>IF(Skills!M6=TRUE,(Skills!K6/10)*(E334/1000),Skills!K6/10)+Skills!N6</f>
        <v/>
      </c>
      <c r="G334">
        <f>Calc!G6</f>
        <v/>
      </c>
      <c r="H334">
        <f>Calc!H6</f>
        <v/>
      </c>
      <c r="I334">
        <f>IF(Skills!T6&lt;&gt;"",1+(Skills!T6/10)*(R331/1000)/100,1)</f>
        <v/>
      </c>
      <c r="J334">
        <f>((Inputs!$B$5*(1+Inputs!$B$6/100))+((Inputs!$B$11*(1+Inputs!$B$12/100))-(Inputs!$B$11*(1+Inputs!$B$12/100)))*(1+Inputs!$B$6/100))*(F334/100)</f>
        <v/>
      </c>
      <c r="K334">
        <f>J334*(1+((Inputs!$B$11*(1+Inputs!$B$12/100))*0.01+Inputs!$B$13*0.0025)/100)*(1+(Inputs!$B$14+B356)/100)*(1+IF(Inputs!$B$4="pvp",0,(1-Summary!$B$51)*(Inputs!$B$19+Skills!O6+B355)+Summary!$B$51*(Inputs!$B$20+Skills!P6+B355))/100)*(1+Inputs!$B$15/100)*(5000/(6000+Inputs!$B$7*(1-Inputs!$B$18/100)))*(1+Inputs!$B$23/100)*(1+IF(C343=TRUE,F343,0)/100)*(1+IF(C351=TRUE,F351,0)/100)^5*(1+(IF(Skills!A6="CHAIN_LIGHTNING",Inputs!$B$16,Inputs!$B$17))/100)*(B354*I334)</f>
        <v/>
      </c>
      <c r="L334">
        <f>K334*(MIN(Inputs!$B$21+(F346-Calc!F18),(Inputs!$B$22+1))/100+(Inputs!$B$22+1)/100)/2</f>
        <v/>
      </c>
      <c r="M334">
        <f>L334*(1+(Inputs!$B$9+(F349-Calc!F21))/100)</f>
        <v/>
      </c>
      <c r="N334">
        <f>L334*(1-MIN(Inputs!$B$8+((F348-Calc!F20)+(F347-Calc!F19)),100)/100)+M334*(MIN(Inputs!$B$8+((F348-Calc!F20)+(F347-Calc!F19)),100)/100)</f>
        <v/>
      </c>
      <c r="O334">
        <f>IF(C334,H334*N334*IF(AND(Inputs!$B$4&lt;&gt;"pvp",Inputs!$B$35&gt;0),((Skills!F6*((S334-1)*IF(Skills!G6&gt;0,Skills!H6/Skills!G6,1)+IF(Skills!G6&gt;0,MIN(Skills!H6,MAX(0,Inputs!$B$35-((S334-1)*IF(Inputs!$B$4="pvp",15,MAX(0.1,Skills!D6-IF(Skills!E6=TRUE,Inputs!$B$31,0))))))/Skills!G6,1)))/Inputs!$B$35),G334*V334)*IF(Inputs!$B$4="pvp",1,(1-Summary!$B$51)*(1)+Summary!$B$51*(MIN(Skills!Q6,Inputs!$B$37))),0)</f>
        <v/>
      </c>
      <c r="P334">
        <f>IF(B362=0,0,O334/B362)</f>
        <v/>
      </c>
      <c r="S334">
        <f>IF(AND(Inputs!$B$4&lt;&gt;"pvp",Inputs!$B$35&gt;0),(INT(Inputs!$B$35/IF(Inputs!$B$4="pvp",15,MAX(0.1,Skills!D6-IF(Skills!E6=TRUE,Inputs!$B$31,0))))+1),0)</f>
        <v/>
      </c>
      <c r="V334">
        <f>IFERROR(1/IF(Inputs!$B$4="pvp",15,MAX(0.1,Skills!D6-IF(Skills!E6=TRUE,Inputs!$B$31,0))),0)</f>
        <v/>
      </c>
    </row>
    <row r="335">
      <c r="A335">
        <f>Skills!A7</f>
        <v/>
      </c>
      <c r="B335">
        <f>Skills!B7</f>
        <v/>
      </c>
      <c r="C335">
        <f>Inputs!$B$3&gt;=69</f>
        <v/>
      </c>
      <c r="D335">
        <f>IF(Skills!C7=1,60+Inputs!$B$24+Inputs!$B$28,IF(Skills!C7=2,90+Inputs!$B$25+Inputs!$B$28,IF(Skills!C7=3,120+Inputs!$B$26+Inputs!$B$28,MAX(0,(Inputs!$B$3-100)*3)+Inputs!$B$27+Inputs!$B$28)))</f>
        <v/>
      </c>
      <c r="E335">
        <f>INDEX(FactorTable!$B$2:$Y$301, MATCH(ROUND(MIN(300,MAX(1,D335)),0), FactorTable!$A$2:$A$301,0), Skills!L7+1)</f>
        <v/>
      </c>
      <c r="F335">
        <f>IF(Skills!M7=TRUE,(Skills!K7/10)*(E335/1000),Skills!K7/10)+Skills!N7</f>
        <v/>
      </c>
      <c r="G335">
        <f>Calc!G7</f>
        <v/>
      </c>
      <c r="H335">
        <f>Calc!H7</f>
        <v/>
      </c>
      <c r="I335">
        <f>IF(Skills!T7&lt;&gt;"",1+(Skills!T7/10)*(R331/1000)/100,1)</f>
        <v/>
      </c>
      <c r="J335">
        <f>((Inputs!$B$5*(1+Inputs!$B$6/100))+((Inputs!$B$11*(1+Inputs!$B$12/100))-(Inputs!$B$11*(1+Inputs!$B$12/100)))*(1+Inputs!$B$6/100))*(F335/100)</f>
        <v/>
      </c>
      <c r="K335">
        <f>J335*(1+((Inputs!$B$11*(1+Inputs!$B$12/100))*0.01+Inputs!$B$13*0.0025)/100)*(1+(Inputs!$B$14+B356)/100)*(1+IF(Inputs!$B$4="pvp",0,(1-Summary!$B$51)*(Inputs!$B$19+Skills!O7+B355)+Summary!$B$51*(Inputs!$B$20+Skills!P7+B355))/100)*(1+Inputs!$B$15/100)*(5000/(6000+Inputs!$B$7*(1-Inputs!$B$18/100)))*(1+Inputs!$B$23/100)*(1+IF(C343=TRUE,F343,0)/100)*(1+IF(C351=TRUE,F351,0)/100)^5*(1+(IF(Skills!A7="CHAIN_LIGHTNING",Inputs!$B$16,Inputs!$B$17))/100)*(B354*I335)</f>
        <v/>
      </c>
      <c r="L335">
        <f>K335*(MIN(Inputs!$B$21+(F346-Calc!F18),(Inputs!$B$22+1))/100+(Inputs!$B$22+1)/100)/2</f>
        <v/>
      </c>
      <c r="M335">
        <f>L335*(1+(Inputs!$B$9+(F349-Calc!F21))/100)</f>
        <v/>
      </c>
      <c r="N335">
        <f>L335*(1-MIN(Inputs!$B$8+((F348-Calc!F20)+(F347-Calc!F19)),100)/100)+M335*(MIN(Inputs!$B$8+((F348-Calc!F20)+(F347-Calc!F19)),100)/100)</f>
        <v/>
      </c>
      <c r="O335">
        <f>IF(C335,H335*N335*IF(AND(Inputs!$B$4&lt;&gt;"pvp",Inputs!$B$35&gt;0),((Skills!F7*((S335-1)*IF(Skills!G7&gt;0,Skills!H7/Skills!G7,1)+IF(Skills!G7&gt;0,MIN(Skills!H7,MAX(0,Inputs!$B$35-((S335-1)*IF(Inputs!$B$4="pvp",15,MAX(0.1,Skills!D7-IF(Skills!E7=TRUE,Inputs!$B$31,0))))))/Skills!G7,1)))/Inputs!$B$35),G335*V335)*IF(Inputs!$B$4="pvp",1,(1-Summary!$B$51)*(1)+Summary!$B$51*(MIN(Skills!Q7,Inputs!$B$37))),0)</f>
        <v/>
      </c>
      <c r="P335">
        <f>IF(B362=0,0,O335/B362)</f>
        <v/>
      </c>
      <c r="S335">
        <f>IF(AND(Inputs!$B$4&lt;&gt;"pvp",Inputs!$B$35&gt;0),(INT(Inputs!$B$35/IF(Inputs!$B$4="pvp",15,MAX(0.1,Skills!D7-IF(Skills!E7=TRUE,Inputs!$B$31,0))))+1),0)</f>
        <v/>
      </c>
      <c r="V335">
        <f>IFERROR(1/IF(Inputs!$B$4="pvp",15,MAX(0.1,Skills!D7-IF(Skills!E7=TRUE,Inputs!$B$31,0))),0)</f>
        <v/>
      </c>
    </row>
    <row r="336">
      <c r="A336">
        <f>Skills!A8</f>
        <v/>
      </c>
      <c r="B336">
        <f>Skills!B8</f>
        <v/>
      </c>
      <c r="C336">
        <f>Inputs!$B$3&gt;=103</f>
        <v/>
      </c>
      <c r="D336">
        <f>IF(Skills!C8=1,60+Inputs!$B$24+Inputs!$B$28,IF(Skills!C8=2,90+Inputs!$B$25+Inputs!$B$28,IF(Skills!C8=3,120+Inputs!$B$26+Inputs!$B$28,MAX(0,(Inputs!$B$3-100)*3)+Inputs!$B$27+Inputs!$B$28)))</f>
        <v/>
      </c>
      <c r="E336">
        <f>INDEX(FactorTable!$B$2:$Y$301, MATCH(ROUND(MIN(300,MAX(1,D336)),0), FactorTable!$A$2:$A$301,0), Skills!L8+1)</f>
        <v/>
      </c>
      <c r="F336">
        <f>IF(Skills!M8=TRUE,(Skills!K8/10)*(E336/1000),Skills!K8/10)+Skills!N8</f>
        <v/>
      </c>
      <c r="G336">
        <f>Calc!G8</f>
        <v/>
      </c>
      <c r="H336">
        <f>Calc!H8</f>
        <v/>
      </c>
      <c r="I336">
        <f>IF(Skills!T8&lt;&gt;"",1+(Skills!T8/10)*(R331/1000)/100,1)</f>
        <v/>
      </c>
      <c r="J336">
        <f>((Inputs!$B$5*(1+Inputs!$B$6/100))+((Inputs!$B$11*(1+Inputs!$B$12/100))-(Inputs!$B$11*(1+Inputs!$B$12/100)))*(1+Inputs!$B$6/100))*(F336/100)</f>
        <v/>
      </c>
      <c r="K336">
        <f>J336*(1+((Inputs!$B$11*(1+Inputs!$B$12/100))*0.01+Inputs!$B$13*0.0025)/100)*(1+(Inputs!$B$14+B356)/100)*(1+IF(Inputs!$B$4="pvp",0,(1-Summary!$B$51)*(Inputs!$B$19+Skills!O8+B355)+Summary!$B$51*(Inputs!$B$20+Skills!P8+B355))/100)*(1+Inputs!$B$15/100)*(5000/(6000+Inputs!$B$7*(1-Inputs!$B$18/100)))*(1+Inputs!$B$23/100)*(1+IF(C343=TRUE,F343,0)/100)*(1+IF(C351=TRUE,F351,0)/100)^5*(1+(IF(Skills!A8="CHAIN_LIGHTNING",Inputs!$B$16,Inputs!$B$17))/100)*(B354*I336)</f>
        <v/>
      </c>
      <c r="L336">
        <f>K336*(MIN(Inputs!$B$21+(F346-Calc!F18),(Inputs!$B$22+1))/100+(Inputs!$B$22+1)/100)/2</f>
        <v/>
      </c>
      <c r="M336">
        <f>L336*(1+(Inputs!$B$9+(F349-Calc!F21))/100)</f>
        <v/>
      </c>
      <c r="N336">
        <f>L336*(1-MIN(Inputs!$B$8+((F348-Calc!F20)+(F347-Calc!F19)),100)/100)+M336*(MIN(Inputs!$B$8+((F348-Calc!F20)+(F347-Calc!F19)),100)/100)</f>
        <v/>
      </c>
      <c r="O336">
        <f>IF(C336,H336*N336*IF(AND(Inputs!$B$4&lt;&gt;"pvp",Inputs!$B$35&gt;0),((Skills!F8*((S336-1)*IF(Skills!G8&gt;0,Skills!H8/Skills!G8,1)+IF(Skills!G8&gt;0,MIN(Skills!H8,MAX(0,Inputs!$B$35-((S336-1)*IF(Inputs!$B$4="pvp",15,MAX(0.1,Skills!D8-IF(Skills!E8=TRUE,Inputs!$B$31,0))))))/Skills!G8,1)))/Inputs!$B$35),G336*V336)*IF(Inputs!$B$4="pvp",1,(1-Summary!$B$51)*(1)+Summary!$B$51*(MIN(Skills!Q8,Inputs!$B$37))),0)</f>
        <v/>
      </c>
      <c r="P336">
        <f>IF(B362=0,0,O336/B362)</f>
        <v/>
      </c>
      <c r="S336">
        <f>IF(AND(Inputs!$B$4&lt;&gt;"pvp",Inputs!$B$35&gt;0),(INT(Inputs!$B$35/IF(Inputs!$B$4="pvp",15,MAX(0.1,Skills!D8-IF(Skills!E8=TRUE,Inputs!$B$31,0))))+1),0)</f>
        <v/>
      </c>
      <c r="V336">
        <f>IFERROR(1/IF(Inputs!$B$4="pvp",15,MAX(0.1,Skills!D8-IF(Skills!E8=TRUE,Inputs!$B$31,0))),0)</f>
        <v/>
      </c>
    </row>
    <row r="337">
      <c r="A337">
        <f>Skills!A9</f>
        <v/>
      </c>
      <c r="B337">
        <f>Skills!B9</f>
        <v/>
      </c>
      <c r="C337">
        <f>Inputs!$B$3&gt;=105</f>
        <v/>
      </c>
      <c r="D337">
        <f>IF(Skills!C9=1,60+Inputs!$B$24+Inputs!$B$28,IF(Skills!C9=2,90+Inputs!$B$25+Inputs!$B$28,IF(Skills!C9=3,120+Inputs!$B$26+Inputs!$B$28,MAX(0,(Inputs!$B$3-100)*3)+Inputs!$B$27+Inputs!$B$28)))</f>
        <v/>
      </c>
      <c r="E337">
        <f>INDEX(FactorTable!$B$2:$Y$301, MATCH(ROUND(MIN(300,MAX(1,D337)),0), FactorTable!$A$2:$A$301,0), Skills!L9+1)</f>
        <v/>
      </c>
      <c r="F337">
        <f>IF(Skills!M9=TRUE,(Skills!K9/10)*(E337/1000),Skills!K9/10)+Skills!N9</f>
        <v/>
      </c>
      <c r="G337">
        <f>Calc!G9</f>
        <v/>
      </c>
      <c r="H337">
        <f>Calc!H9</f>
        <v/>
      </c>
      <c r="I337">
        <f>IF(Skills!T9&lt;&gt;"",1+(Skills!T9/10)*(R331/1000)/100,1)</f>
        <v/>
      </c>
      <c r="J337">
        <f>((Inputs!$B$5*(1+Inputs!$B$6/100))+((Inputs!$B$11*(1+Inputs!$B$12/100))-(Inputs!$B$11*(1+Inputs!$B$12/100)))*(1+Inputs!$B$6/100))*(F337/100)</f>
        <v/>
      </c>
      <c r="K337">
        <f>J337*(1+((Inputs!$B$11*(1+Inputs!$B$12/100))*0.01+Inputs!$B$13*0.0025)/100)*(1+(Inputs!$B$14+B356)/100)*(1+IF(Inputs!$B$4="pvp",0,(1-Summary!$B$51)*(Inputs!$B$19+Skills!O9+B355)+Summary!$B$51*(Inputs!$B$20+Skills!P9+B355))/100)*(1+Inputs!$B$15/100)*(5000/(6000+Inputs!$B$7*(1-Inputs!$B$18/100)))*(1+Inputs!$B$23/100)*(1+IF(C343=TRUE,F343,0)/100)*(1+IF(C351=TRUE,F351,0)/100)^5*(1+(IF(Skills!A9="CHAIN_LIGHTNING",Inputs!$B$16,Inputs!$B$17))/100)*(B354*I337)</f>
        <v/>
      </c>
      <c r="L337">
        <f>K337*(MIN(Inputs!$B$21+(F346-Calc!F18),(Inputs!$B$22+1))/100+(Inputs!$B$22+1)/100)/2</f>
        <v/>
      </c>
      <c r="M337">
        <f>L337*(1+(Inputs!$B$9+(F349-Calc!F21))/100)</f>
        <v/>
      </c>
      <c r="N337">
        <f>L337*(1-MIN(Inputs!$B$8+((F348-Calc!F20)+(F347-Calc!F19)),100)/100)+M337*(MIN(Inputs!$B$8+((F348-Calc!F20)+(F347-Calc!F19)),100)/100)</f>
        <v/>
      </c>
      <c r="O337">
        <f>IF(C337,H337*N337*IF(AND(Inputs!$B$4&lt;&gt;"pvp",Inputs!$B$35&gt;0),((Skills!F9*((S337-1)*IF(Skills!G9&gt;0,Skills!H9/Skills!G9,1)+IF(Skills!G9&gt;0,MIN(Skills!H9,MAX(0,Inputs!$B$35-((S337-1)*IF(Inputs!$B$4="pvp",15,MAX(0.1,Skills!D9-IF(Skills!E9=TRUE,Inputs!$B$31,0))))))/Skills!G9,1)))/Inputs!$B$35),G337*V337)*IF(Inputs!$B$4="pvp",1,(1-Summary!$B$51)*(1)+Summary!$B$51*(MIN(Skills!Q9,Inputs!$B$37))),0)</f>
        <v/>
      </c>
      <c r="P337">
        <f>IF(B362=0,0,O337/B362)</f>
        <v/>
      </c>
      <c r="S337">
        <f>IF(AND(Inputs!$B$4&lt;&gt;"pvp",Inputs!$B$35&gt;0),(INT(Inputs!$B$35/IF(Inputs!$B$4="pvp",15,MAX(0.1,Skills!D9-IF(Skills!E9=TRUE,Inputs!$B$31,0))))+1),0)</f>
        <v/>
      </c>
      <c r="V337">
        <f>IFERROR(1/IF(Inputs!$B$4="pvp",15,MAX(0.1,Skills!D9-IF(Skills!E9=TRUE,Inputs!$B$31,0))),0)</f>
        <v/>
      </c>
    </row>
    <row r="338">
      <c r="A338">
        <f>Skills!A10</f>
        <v/>
      </c>
      <c r="B338">
        <f>Skills!B10</f>
        <v/>
      </c>
      <c r="C338">
        <f>Inputs!$B$3&gt;=113</f>
        <v/>
      </c>
      <c r="D338">
        <f>IF(Skills!C10=1,60+Inputs!$B$24+Inputs!$B$28,IF(Skills!C10=2,90+Inputs!$B$25+Inputs!$B$28,IF(Skills!C10=3,120+Inputs!$B$26+Inputs!$B$28,MAX(0,(Inputs!$B$3-100)*3)+Inputs!$B$27+Inputs!$B$28)))</f>
        <v/>
      </c>
      <c r="E338">
        <f>INDEX(FactorTable!$B$2:$Y$301, MATCH(ROUND(MIN(300,MAX(1,D338)),0), FactorTable!$A$2:$A$301,0), Skills!L10+1)</f>
        <v/>
      </c>
      <c r="F338">
        <f>IF(Skills!M10=TRUE,(Skills!K10/10)*(E338/1000),Skills!K10/10)+Skills!N10</f>
        <v/>
      </c>
      <c r="G338">
        <f>Calc!G10</f>
        <v/>
      </c>
      <c r="H338">
        <f>Calc!H10</f>
        <v/>
      </c>
      <c r="I338">
        <f>IF(Skills!T10&lt;&gt;"",1+(Skills!T10/10)*(R331/1000)/100,1)</f>
        <v/>
      </c>
      <c r="J338">
        <f>((Inputs!$B$5*(1+Inputs!$B$6/100))+((Inputs!$B$11*(1+Inputs!$B$12/100))-(Inputs!$B$11*(1+Inputs!$B$12/100)))*(1+Inputs!$B$6/100))*(F338/100)</f>
        <v/>
      </c>
      <c r="K338">
        <f>J338*(1+((Inputs!$B$11*(1+Inputs!$B$12/100))*0.01+Inputs!$B$13*0.0025)/100)*(1+(Inputs!$B$14+B356)/100)*(1+IF(Inputs!$B$4="pvp",0,(1-Summary!$B$51)*(Inputs!$B$19+Skills!O10+B355)+Summary!$B$51*(Inputs!$B$20+Skills!P10+B355))/100)*(1+Inputs!$B$15/100)*(5000/(6000+Inputs!$B$7*(1-Inputs!$B$18/100)))*(1+Inputs!$B$23/100)*(1+IF(C343=TRUE,F343,0)/100)*(1+IF(C351=TRUE,F351,0)/100)^5*(1+(IF(Skills!A10="CHAIN_LIGHTNING",Inputs!$B$16,Inputs!$B$17))/100)*(B354*I338)</f>
        <v/>
      </c>
      <c r="L338">
        <f>K338*(MIN(Inputs!$B$21+(F346-Calc!F18),(Inputs!$B$22+1))/100+(Inputs!$B$22+1)/100)/2</f>
        <v/>
      </c>
      <c r="M338">
        <f>L338*(1+(Inputs!$B$9+(F349-Calc!F21))/100)</f>
        <v/>
      </c>
      <c r="N338">
        <f>L338*(1-MIN(Inputs!$B$8+((F348-Calc!F20)+(F347-Calc!F19)),100)/100)+M338*(MIN(Inputs!$B$8+((F348-Calc!F20)+(F347-Calc!F19)),100)/100)</f>
        <v/>
      </c>
      <c r="O338">
        <f>IF(C338,H338*N338*IF(AND(Inputs!$B$4&lt;&gt;"pvp",Inputs!$B$35&gt;0),((Skills!F10*((S338-1)*IF(Skills!G10&gt;0,Skills!H10/Skills!G10,1)+IF(Skills!G10&gt;0,MIN(Skills!H10,MAX(0,Inputs!$B$35-((S338-1)*IF(Inputs!$B$4="pvp",15,MAX(0.1,Skills!D10-IF(Skills!E9=TRUE,Inputs!$B$31,0))))))/Skills!G10,1)))/Inputs!$B$35),G338*V338)*IF(Inputs!$B$4="pvp",1,(1-Summary!$B$51)*(1)+Summary!$B$51*(MIN(Skills!Q10,Inputs!$B$37))),0)</f>
        <v/>
      </c>
      <c r="P338">
        <f>IF(B362=0,0,O338/B362)</f>
        <v/>
      </c>
      <c r="S338">
        <f>IF(AND(Inputs!$B$4&lt;&gt;"pvp",Inputs!$B$35&gt;0),(INT(Inputs!$B$35/IF(Inputs!$B$4="pvp",15,MAX(0.1,Skills!D10-IF(Skills!E9=TRUE,Inputs!$B$31,0))))+1),0)</f>
        <v/>
      </c>
      <c r="V338">
        <f>IFERROR(1/IF(Inputs!$B$4="pvp",15,MAX(0.1,Skills!D10-IF(Skills!E9=TRUE,Inputs!$B$31,0))),0)</f>
        <v/>
      </c>
    </row>
    <row r="339">
      <c r="A339">
        <f>Skills!A11</f>
        <v/>
      </c>
      <c r="B339">
        <f>Skills!B11</f>
        <v/>
      </c>
      <c r="C339">
        <f>Inputs!$B$3&gt;=107</f>
        <v/>
      </c>
      <c r="D339">
        <f>IF(Skills!C11=1,60+Inputs!$B$24+Inputs!$B$28,IF(Skills!C11=2,90+Inputs!$B$25+Inputs!$B$28,IF(Skills!C11=3,120+Inputs!$B$26+Inputs!$B$28,MAX(0,(Inputs!$B$3-100)*3)+Inputs!$B$27+Inputs!$B$28)))</f>
        <v/>
      </c>
      <c r="E339">
        <f>INDEX(FactorTable!$B$2:$Y$301, MATCH(ROUND(MIN(300,MAX(1,D339)),0), FactorTable!$A$2:$A$301,0), Skills!L11+1)</f>
        <v/>
      </c>
      <c r="F339">
        <f>IF(Skills!M11=TRUE,(Skills!K11/10)*(E339/1000),Skills!K11/10)+Skills!N11</f>
        <v/>
      </c>
      <c r="G339">
        <f>Calc!G11</f>
        <v/>
      </c>
      <c r="H339">
        <f>Calc!H11</f>
        <v/>
      </c>
      <c r="I339">
        <f>IF(Skills!T11&lt;&gt;"",1+(Skills!T11/10)*(R331/1000)/100,1)</f>
        <v/>
      </c>
      <c r="J339">
        <f>((Inputs!$B$5*(1+Inputs!$B$6/100))+((Inputs!$B$11*(1+Inputs!$B$12/100))-(Inputs!$B$11*(1+Inputs!$B$12/100)))*(1+Inputs!$B$6/100))*(F339/100)</f>
        <v/>
      </c>
      <c r="K339">
        <f>J339*(1+((Inputs!$B$11*(1+Inputs!$B$12/100))*0.01+Inputs!$B$13*0.0025)/100)*(1+(Inputs!$B$14+B356)/100)*(1+IF(Inputs!$B$4="pvp",0,(1-Summary!$B$51)*(Inputs!$B$19+Skills!O11+B355)+Summary!$B$51*(Inputs!$B$20+Skills!P11+B355))/100)*(1+Inputs!$B$15/100)*(5000/(6000+Inputs!$B$7*(1-Inputs!$B$18/100)))*(1+Inputs!$B$23/100)*(1+IF(C343=TRUE,F343,0)/100)*(1+IF(C351=TRUE,F351,0)/100)^5*(1+(IF(Skills!A11="CHAIN_LIGHTNING",Inputs!$B$16,Inputs!$B$17))/100)*(B354*I339)</f>
        <v/>
      </c>
      <c r="L339">
        <f>K339*(MIN(Inputs!$B$21+(F346-Calc!F18),(Inputs!$B$22+1))/100+(Inputs!$B$22+1)/100)/2</f>
        <v/>
      </c>
      <c r="M339">
        <f>L339*(1+(Inputs!$B$9+(F349-Calc!F21))/100)</f>
        <v/>
      </c>
      <c r="N339">
        <f>L339*(1-MIN(Inputs!$B$8+((F348-Calc!F20)+(F347-Calc!F19)),100)/100)+M339*(MIN(Inputs!$B$8+((F348-Calc!F20)+(F347-Calc!F19)),100)/100)</f>
        <v/>
      </c>
      <c r="O339">
        <f>IF(C339,H339*N339*IF(AND(Inputs!$B$4&lt;&gt;"pvp",Inputs!$B$35&gt;0),((Skills!F11*((S339-1)*IF(Skills!G11&gt;0,Skills!H11/Skills!G11,1)+IF(Skills!G11&gt;0,MIN(Skills!H11,MAX(0,Inputs!$B$35-((S339-1)*IF(Inputs!$B$4="pvp",15,MAX(0.1,Skills!D11-IF(Skills!E11=TRUE,Inputs!$B$31,0))))))/Skills!G11,1)))/Inputs!$B$35),G339*V339)*IF(Inputs!$B$4="pvp",0.5,(1-Summary!$B$51)*0.5+Summary!$B$51*1)*IF(Inputs!$B$4="pvp",1,(1-Summary!$B$51)*(1)+Summary!$B$51*(MIN(Skills!Q11,Inputs!$B$37))),0)</f>
        <v/>
      </c>
      <c r="P339">
        <f>IF(B362=0,0,O339/B362)</f>
        <v/>
      </c>
      <c r="S339">
        <f>IF(AND(Inputs!$B$4&lt;&gt;"pvp",Inputs!$B$35&gt;0),(INT(Inputs!$B$35/IF(Inputs!$B$4="pvp",15,MAX(0.1,Skills!D11-IF(Skills!E11=TRUE,Inputs!$B$31,0))))+1),0)</f>
        <v/>
      </c>
      <c r="V339">
        <f>IFERROR(1/IF(Inputs!$B$4="pvp",15,MAX(0.1,Skills!D11-IF(Skills!E11=TRUE,Inputs!$B$31,0))),0)</f>
        <v/>
      </c>
    </row>
    <row r="340">
      <c r="A340">
        <f>Skills!A12</f>
        <v/>
      </c>
      <c r="B340">
        <f>Skills!B12</f>
        <v/>
      </c>
      <c r="C340">
        <f>Inputs!$B$3&gt;=115</f>
        <v/>
      </c>
      <c r="D340">
        <f>IF(Skills!C12=1,60+Inputs!$B$24+Inputs!$B$28,IF(Skills!C12=2,90+Inputs!$B$25+Inputs!$B$28,IF(Skills!C12=3,120+Inputs!$B$26+Inputs!$B$28,MAX(0,(Inputs!$B$3-100)*3)+Inputs!$B$27+Inputs!$B$28)))</f>
        <v/>
      </c>
      <c r="E340">
        <f>INDEX(FactorTable!$B$2:$Y$301, MATCH(ROUND(MIN(300,MAX(1,D340)),0), FactorTable!$A$2:$A$301,0), Skills!L12+1)</f>
        <v/>
      </c>
      <c r="F340">
        <f>IF(Skills!M12=TRUE,(Skills!K12/10)*(E340/1000),Skills!K12/10)+Skills!N12</f>
        <v/>
      </c>
      <c r="G340">
        <f>Calc!G12</f>
        <v/>
      </c>
      <c r="H340">
        <f>Calc!H12</f>
        <v/>
      </c>
      <c r="I340">
        <f>IF(Skills!T12&lt;&gt;"",1+(Skills!T12/10)*(R331/1000)/100,1)</f>
        <v/>
      </c>
      <c r="J340">
        <f>((Inputs!$B$5*(1+Inputs!$B$6/100))+((Inputs!$B$11*(1+Inputs!$B$12/100))-(Inputs!$B$11*(1+Inputs!$B$12/100)))*(1+Inputs!$B$6/100))*(F340/100)</f>
        <v/>
      </c>
      <c r="K340">
        <f>J340*(1+((Inputs!$B$11*(1+Inputs!$B$12/100))*0.01+Inputs!$B$13*0.0025)/100)*(1+(Inputs!$B$14+B356)/100)*(1+IF(Inputs!$B$4="pvp",0,(1-Summary!$B$51)*(Inputs!$B$19+Skills!O12+B355)+Summary!$B$51*(Inputs!$B$20+Skills!P12+B355))/100)*(1+Inputs!$B$15/100)*(5000/(6000+Inputs!$B$7*(1-Inputs!$B$18/100)))*(1+Inputs!$B$23/100)*(1+IF(C343=TRUE,F343,0)/100)*(1+IF(C351=TRUE,F351,0)/100)^5*(1+(IF(Skills!A12="CHAIN_LIGHTNING",Inputs!$B$16,Inputs!$B$17))/100)*(B354*I340)</f>
        <v/>
      </c>
      <c r="L340">
        <f>K340*(MIN(Inputs!$B$21+(F346-Calc!F18),(Inputs!$B$22+1))/100+(Inputs!$B$22+1)/100)/2</f>
        <v/>
      </c>
      <c r="M340">
        <f>L340*(1+(Inputs!$B$9+(F349-Calc!F21))/100)</f>
        <v/>
      </c>
      <c r="N340">
        <f>L340*(1-MIN(Inputs!$B$8+((F348-Calc!F20)+(F347-Calc!F19)),100)/100)+M340*(MIN(Inputs!$B$8+((F348-Calc!F20)+(F347-Calc!F19)),100)/100)</f>
        <v/>
      </c>
      <c r="O340">
        <f>IF(C340,H340*N340*IF(AND(Inputs!$B$4&lt;&gt;"pvp",Inputs!$B$35&gt;0),((Skills!F12*((S340-1)*IF(Skills!G12&gt;0,Skills!H12/Skills!G12,1)+IF(Skills!G12&gt;0,MIN(Skills!H12,MAX(0,Inputs!$B$35-((S340-1)*IF(Inputs!$B$4="pvp",15,MAX(0.1,Skills!D12-IF(Skills!E12=TRUE,Inputs!$B$31,0))))))/Skills!G12,1)))/Inputs!$B$35),G340*V340)*IF(Inputs!$B$4="pvp",1,(1-Summary!$B$51)*(1)+Summary!$B$51*(MIN(Skills!Q12,Inputs!$B$37))),0)</f>
        <v/>
      </c>
      <c r="P340">
        <f>IF(B362=0,0,O340/B362)</f>
        <v/>
      </c>
      <c r="S340">
        <f>IF(AND(Inputs!$B$4&lt;&gt;"pvp",Inputs!$B$35&gt;0),(INT(Inputs!$B$35/IF(Inputs!$B$4="pvp",15,MAX(0.1,Skills!D12-IF(Skills!E12=TRUE,Inputs!$B$31,0))))+1),0)</f>
        <v/>
      </c>
      <c r="V340">
        <f>IFERROR(1/IF(Inputs!$B$4="pvp",15,MAX(0.1,Skills!D12-IF(Skills!E12=TRUE,Inputs!$B$31,0))),0)</f>
        <v/>
      </c>
    </row>
    <row r="341">
      <c r="A341">
        <f>Skills!A13</f>
        <v/>
      </c>
      <c r="B341">
        <f>Skills!B13</f>
        <v/>
      </c>
      <c r="C341">
        <f>Inputs!$B$3&gt;=49</f>
        <v/>
      </c>
      <c r="D341">
        <f>IF(Skills!C13=1,60+Inputs!$B$24+Inputs!$B$28,IF(Skills!C13=2,90+Inputs!$B$25+Inputs!$B$28,IF(Skills!C13=3,120+Inputs!$B$26+Inputs!$B$28,MAX(0,(Inputs!$B$3-100)*3)+Inputs!$B$27+Inputs!$B$28)))</f>
        <v/>
      </c>
      <c r="E341">
        <f>INDEX(FactorTable!$B$2:$Y$301, MATCH(ROUND(MIN(300,MAX(1,D341)),0), FactorTable!$A$2:$A$301,0), Skills!L13+1)</f>
        <v/>
      </c>
      <c r="F341">
        <f>IF(Skills!M13=TRUE,(Skills!K13/10)*(E341/1000),Skills!K13/10)+Skills!N13</f>
        <v/>
      </c>
      <c r="G341">
        <f>Calc!G13</f>
        <v/>
      </c>
      <c r="H341">
        <f>Calc!H13</f>
        <v/>
      </c>
      <c r="I341">
        <f>IF(Skills!T13&lt;&gt;"",1+(Skills!T13/10)*(R331/1000)/100,1)</f>
        <v/>
      </c>
      <c r="J341" t="inlineStr"/>
      <c r="K341" t="inlineStr"/>
      <c r="L341" t="inlineStr"/>
      <c r="M341" t="inlineStr"/>
      <c r="N341" t="inlineStr"/>
      <c r="O341" t="n">
        <v>0</v>
      </c>
      <c r="P341">
        <f>IF(B362=0,0,O341/B362)</f>
        <v/>
      </c>
      <c r="S341" t="n">
        <v>0</v>
      </c>
      <c r="V341">
        <f>IFERROR(1/IF(Inputs!$B$4="pvp",15,MAX(0.1,Skills!D13-IF(Skills!E13=TRUE,Inputs!$B$31,0))),0)</f>
        <v/>
      </c>
    </row>
    <row r="342">
      <c r="A342">
        <f>Skills!A14</f>
        <v/>
      </c>
      <c r="B342">
        <f>Skills!B14</f>
        <v/>
      </c>
      <c r="C342">
        <f>Inputs!$B$3&gt;=72</f>
        <v/>
      </c>
      <c r="D342">
        <f>IF(Skills!C14=1,60+Inputs!$B$24+Inputs!$B$28,IF(Skills!C14=2,90+Inputs!$B$25+Inputs!$B$28,IF(Skills!C14=3,120+Inputs!$B$26+Inputs!$B$28,MAX(0,(Inputs!$B$3-100)*3)+Inputs!$B$27+Inputs!$B$28)))</f>
        <v/>
      </c>
      <c r="E342">
        <f>INDEX(FactorTable!$B$2:$Y$301, MATCH(ROUND(MIN(300,MAX(1,D342)),0), FactorTable!$A$2:$A$301,0), Skills!L14+1)</f>
        <v/>
      </c>
      <c r="F342">
        <f>IF(Skills!M14=TRUE,(Skills!K14/10)*(E342/1000),Skills!K14/10)+Skills!N14</f>
        <v/>
      </c>
      <c r="G342">
        <f>Calc!G14</f>
        <v/>
      </c>
      <c r="H342">
        <f>Calc!H14</f>
        <v/>
      </c>
      <c r="I342">
        <f>IF(Skills!T14&lt;&gt;"",1+(Skills!T14/10)*(R331/1000)/100,1)</f>
        <v/>
      </c>
      <c r="J342" t="inlineStr"/>
      <c r="K342" t="inlineStr"/>
      <c r="L342" t="inlineStr"/>
      <c r="M342" t="inlineStr"/>
      <c r="N342" t="inlineStr"/>
      <c r="O342" t="n">
        <v>0</v>
      </c>
      <c r="P342">
        <f>IF(B362=0,0,O342/B362)</f>
        <v/>
      </c>
      <c r="S342" t="n">
        <v>0</v>
      </c>
      <c r="V342">
        <f>IFERROR(1/IF(Inputs!$B$4="pvp",15,MAX(0.1,Skills!D14-IF(Skills!E14=TRUE,Inputs!$B$31,0))),0)</f>
        <v/>
      </c>
    </row>
    <row r="343">
      <c r="A343">
        <f>Skills!A15</f>
        <v/>
      </c>
      <c r="B343">
        <f>Skills!B15</f>
        <v/>
      </c>
      <c r="C343">
        <f>Inputs!$B$3&gt;=75</f>
        <v/>
      </c>
      <c r="D343">
        <f>IF(Skills!C15=1,60+Inputs!$B$24+Inputs!$B$28,IF(Skills!C15=2,90+Inputs!$B$25+Inputs!$B$28,IF(Skills!C15=3,120+Inputs!$B$26+Inputs!$B$28,MAX(0,(Inputs!$B$3-100)*3)+Inputs!$B$27+Inputs!$B$28)))</f>
        <v/>
      </c>
      <c r="E343">
        <f>INDEX(FactorTable!$B$2:$Y$301, MATCH(ROUND(MIN(300,MAX(1,D343)),0), FactorTable!$A$2:$A$301,0), Skills!L15+1)</f>
        <v/>
      </c>
      <c r="F343">
        <f>IF(Skills!M15=TRUE,(Skills!K15/10)*(E343/1000),Skills!K15/10)+Skills!N15</f>
        <v/>
      </c>
      <c r="G343">
        <f>Calc!G15</f>
        <v/>
      </c>
      <c r="H343">
        <f>Calc!H15</f>
        <v/>
      </c>
      <c r="I343">
        <f>IF(Skills!T15&lt;&gt;"",1+(Skills!T15/10)*(R331/1000)/100,1)</f>
        <v/>
      </c>
      <c r="J343" t="inlineStr"/>
      <c r="K343" t="inlineStr"/>
      <c r="L343" t="inlineStr"/>
      <c r="M343" t="inlineStr"/>
      <c r="N343" t="inlineStr"/>
      <c r="O343" t="n">
        <v>0</v>
      </c>
      <c r="P343">
        <f>IF(B362=0,0,O343/B362)</f>
        <v/>
      </c>
      <c r="S343" t="n">
        <v>0</v>
      </c>
      <c r="V343">
        <f>IFERROR(1/IF(Inputs!$B$4="pvp",15,MAX(0.1,Skills!D15-IF(Skills!E15=TRUE,Inputs!$B$31,0))),0)</f>
        <v/>
      </c>
    </row>
    <row r="344">
      <c r="A344">
        <f>Skills!A16</f>
        <v/>
      </c>
      <c r="B344">
        <f>Skills!B16</f>
        <v/>
      </c>
      <c r="C344">
        <f>Inputs!$B$3&gt;=110</f>
        <v/>
      </c>
      <c r="D344">
        <f>IF(Skills!C16=1,60+Inputs!$B$24+Inputs!$B$28,IF(Skills!C16=2,90+Inputs!$B$25+Inputs!$B$28,IF(Skills!C16=3,120+Inputs!$B$26+Inputs!$B$28,MAX(0,(Inputs!$B$3-100)*3)+Inputs!$B$27+Inputs!$B$28)))</f>
        <v/>
      </c>
      <c r="E344">
        <f>INDEX(FactorTable!$B$2:$Y$301, MATCH(ROUND(MIN(300,MAX(1,D344)),0), FactorTable!$A$2:$A$301,0), Skills!L16+1)</f>
        <v/>
      </c>
      <c r="F344">
        <f>(Skills!K16/10)*(E344/1000)*64/45+Skills!N16</f>
        <v/>
      </c>
      <c r="G344">
        <f>Calc!G16</f>
        <v/>
      </c>
      <c r="H344">
        <f>Calc!H16</f>
        <v/>
      </c>
      <c r="I344">
        <f>IF(Skills!T16&lt;&gt;"",1+(Skills!T16/10)*(R331/1000)/100,1)</f>
        <v/>
      </c>
      <c r="J344" t="inlineStr"/>
      <c r="K344" t="inlineStr"/>
      <c r="L344" t="inlineStr"/>
      <c r="M344" t="inlineStr"/>
      <c r="N344" t="inlineStr"/>
      <c r="O344" t="n">
        <v>0</v>
      </c>
      <c r="P344">
        <f>IF(B362=0,0,O344/B362)</f>
        <v/>
      </c>
      <c r="S344">
        <f>IF(AND(Inputs!$B$4&lt;&gt;"pvp",Inputs!$B$35&gt;0),(INT(Inputs!$B$35/IF(Inputs!$B$4="pvp",15,MAX(0.1,Skills!D16-IF(Skills!E16=TRUE,Inputs!$B$31,0))))+1),0)</f>
        <v/>
      </c>
      <c r="V344">
        <f>IFERROR(1/IF(Inputs!$B$4="pvp",15,MAX(0.1,Skills!D16-IF(Skills!E16=TRUE,Inputs!$B$31,0))),0)</f>
        <v/>
      </c>
    </row>
    <row r="345">
      <c r="A345">
        <f>Skills!A17</f>
        <v/>
      </c>
      <c r="B345">
        <f>Skills!B17</f>
        <v/>
      </c>
      <c r="C345">
        <f>Inputs!$B$3&gt;=33</f>
        <v/>
      </c>
      <c r="D345">
        <f>IF(Skills!C17=1,60+Inputs!$B$24+Inputs!$B$28,IF(Skills!C17=2,90+Inputs!$B$25+Inputs!$B$28,IF(Skills!C17=3,120+Inputs!$B$26+Inputs!$B$28,MAX(0,(Inputs!$B$3-100)*3)+Inputs!$B$27+Inputs!$B$28)))</f>
        <v/>
      </c>
      <c r="E345">
        <f>INDEX(FactorTable!$B$2:$Y$301, MATCH(ROUND(MIN(300,MAX(1,D345)),0), FactorTable!$A$2:$A$301,0), Skills!L17+1)</f>
        <v/>
      </c>
      <c r="F345">
        <f>IF(Skills!M17=TRUE,(Skills!K17/10)*(E345/1000),Skills!K17/10)+Skills!N17</f>
        <v/>
      </c>
      <c r="G345">
        <f>Calc!G17</f>
        <v/>
      </c>
      <c r="H345">
        <f>Calc!H17</f>
        <v/>
      </c>
      <c r="I345">
        <f>IF(Skills!T17&lt;&gt;"",1+(Skills!T17/10)*(R331/1000)/100,1)</f>
        <v/>
      </c>
      <c r="J345" t="inlineStr"/>
      <c r="K345" t="inlineStr"/>
      <c r="L345" t="inlineStr"/>
      <c r="M345" t="inlineStr"/>
      <c r="N345" t="inlineStr"/>
      <c r="O345" t="n">
        <v>0</v>
      </c>
      <c r="P345">
        <f>IF(B362=0,0,O345/B362)</f>
        <v/>
      </c>
      <c r="S345" t="n">
        <v>0</v>
      </c>
      <c r="V345">
        <f>IFERROR(1/IF(Inputs!$B$4="pvp",15,MAX(0.1,Skills!D17-IF(Skills!E17=TRUE,Inputs!$B$31,0))),0)</f>
        <v/>
      </c>
    </row>
    <row r="346">
      <c r="A346">
        <f>Skills!A18</f>
        <v/>
      </c>
      <c r="B346">
        <f>Skills!B18</f>
        <v/>
      </c>
      <c r="C346">
        <f>Inputs!$B$3&gt;=43</f>
        <v/>
      </c>
      <c r="D346">
        <f>IF(Skills!C18=1,60+Inputs!$B$24+Inputs!$B$28,IF(Skills!C18=2,90+Inputs!$B$25+Inputs!$B$28,IF(Skills!C18=3,120+Inputs!$B$26+Inputs!$B$28,MAX(0,(Inputs!$B$3-100)*3)+Inputs!$B$27+Inputs!$B$28)))</f>
        <v/>
      </c>
      <c r="E346">
        <f>INDEX(FactorTable!$B$2:$Y$301, MATCH(ROUND(MIN(300,MAX(1,D346)),0), FactorTable!$A$2:$A$301,0), Skills!L18+1)</f>
        <v/>
      </c>
      <c r="F346">
        <f>IF(Skills!M18=TRUE,(Skills!K18/10)*(E346/1000),Skills!K18/10)+Skills!N18</f>
        <v/>
      </c>
      <c r="G346">
        <f>Calc!G18</f>
        <v/>
      </c>
      <c r="H346">
        <f>Calc!H18</f>
        <v/>
      </c>
      <c r="I346">
        <f>IF(Skills!T18&lt;&gt;"",1+(Skills!T18/10)*(R331/1000)/100,1)</f>
        <v/>
      </c>
      <c r="J346" t="inlineStr"/>
      <c r="K346" t="inlineStr"/>
      <c r="L346" t="inlineStr"/>
      <c r="M346" t="inlineStr"/>
      <c r="N346" t="inlineStr"/>
      <c r="O346" t="n">
        <v>0</v>
      </c>
      <c r="P346">
        <f>IF(B362=0,0,O346/B362)</f>
        <v/>
      </c>
      <c r="S346" t="n">
        <v>0</v>
      </c>
      <c r="V346">
        <f>IFERROR(1/IF(Inputs!$B$4="pvp",15,MAX(0.1,Skills!D18-IF(Skills!E18=TRUE,Inputs!$B$31,0))),0)</f>
        <v/>
      </c>
    </row>
    <row r="347">
      <c r="A347">
        <f>Skills!A19</f>
        <v/>
      </c>
      <c r="B347">
        <f>Skills!B19</f>
        <v/>
      </c>
      <c r="C347">
        <f>Inputs!$B$3&gt;=50</f>
        <v/>
      </c>
      <c r="D347">
        <f>IF(Skills!C19=1,60+Inputs!$B$24+Inputs!$B$28,IF(Skills!C19=2,90+Inputs!$B$25+Inputs!$B$28,IF(Skills!C19=3,120+Inputs!$B$26+Inputs!$B$28,MAX(0,(Inputs!$B$3-100)*3)+Inputs!$B$27+Inputs!$B$28)))</f>
        <v/>
      </c>
      <c r="E347">
        <f>INDEX(FactorTable!$B$2:$Y$301, MATCH(ROUND(MIN(300,MAX(1,D347)),0), FactorTable!$A$2:$A$301,0), Skills!L19+1)</f>
        <v/>
      </c>
      <c r="F347">
        <f>IF(Skills!M19=TRUE,(Skills!K19/10)*(E347/1000),Skills!K19/10)+Skills!N19</f>
        <v/>
      </c>
      <c r="G347">
        <f>Calc!G19</f>
        <v/>
      </c>
      <c r="H347">
        <f>Calc!H19</f>
        <v/>
      </c>
      <c r="I347">
        <f>IF(Skills!T19&lt;&gt;"",1+(Skills!T19/10)*(R331/1000)/100,1)</f>
        <v/>
      </c>
      <c r="J347" t="inlineStr"/>
      <c r="K347" t="inlineStr"/>
      <c r="L347" t="inlineStr"/>
      <c r="M347" t="inlineStr"/>
      <c r="N347" t="inlineStr"/>
      <c r="O347" t="n">
        <v>0</v>
      </c>
      <c r="P347">
        <f>IF(B362=0,0,O347/B362)</f>
        <v/>
      </c>
      <c r="S347" t="n">
        <v>0</v>
      </c>
      <c r="V347">
        <f>IFERROR(1/IF(Inputs!$B$4="pvp",15,MAX(0.1,Skills!D19-IF(Skills!E19=TRUE,Inputs!$B$31,0))),0)</f>
        <v/>
      </c>
    </row>
    <row r="348">
      <c r="A348">
        <f>Skills!A20</f>
        <v/>
      </c>
      <c r="B348">
        <f>Skills!B20</f>
        <v/>
      </c>
      <c r="C348">
        <f>Inputs!$B$3&gt;=74</f>
        <v/>
      </c>
      <c r="D348">
        <f>IF(Skills!C20=1,60+Inputs!$B$24+Inputs!$B$28,IF(Skills!C20=2,90+Inputs!$B$25+Inputs!$B$28,IF(Skills!C20=3,120+Inputs!$B$26+Inputs!$B$28,MAX(0,(Inputs!$B$3-100)*3)+Inputs!$B$27+Inputs!$B$28)))</f>
        <v/>
      </c>
      <c r="E348">
        <f>INDEX(FactorTable!$B$2:$Y$301, MATCH(ROUND(MIN(300,MAX(1,D348)),0), FactorTable!$A$2:$A$301,0), Skills!L20+1)</f>
        <v/>
      </c>
      <c r="F348">
        <f>IF(Skills!M20=TRUE,(Skills!K20/10)*(E348/1000),Skills!K20/10)+Skills!N20</f>
        <v/>
      </c>
      <c r="G348">
        <f>Calc!G20</f>
        <v/>
      </c>
      <c r="H348">
        <f>Calc!H20</f>
        <v/>
      </c>
      <c r="I348">
        <f>IF(Skills!T20&lt;&gt;"",1+(Skills!T20/10)*(R331/1000)/100,1)</f>
        <v/>
      </c>
      <c r="J348" t="inlineStr"/>
      <c r="K348" t="inlineStr"/>
      <c r="L348" t="inlineStr"/>
      <c r="M348" t="inlineStr"/>
      <c r="N348" t="inlineStr"/>
      <c r="O348" t="n">
        <v>0</v>
      </c>
      <c r="P348">
        <f>IF(B362=0,0,O348/B362)</f>
        <v/>
      </c>
      <c r="S348" t="n">
        <v>0</v>
      </c>
      <c r="V348">
        <f>IFERROR(1/IF(Inputs!$B$4="pvp",15,MAX(0.1,Skills!D20-IF(Skills!E20=TRUE,Inputs!$B$31,0))),0)</f>
        <v/>
      </c>
    </row>
    <row r="349">
      <c r="A349">
        <f>Skills!A21</f>
        <v/>
      </c>
      <c r="B349">
        <f>Skills!B21</f>
        <v/>
      </c>
      <c r="C349">
        <f>Inputs!$B$3&gt;=74</f>
        <v/>
      </c>
      <c r="D349">
        <f>IF(Skills!C21=1,60+Inputs!$B$24+Inputs!$B$28,IF(Skills!C21=2,90+Inputs!$B$25+Inputs!$B$28,IF(Skills!C21=3,120+Inputs!$B$26+Inputs!$B$28,MAX(0,(Inputs!$B$3-100)*3)+Inputs!$B$27+Inputs!$B$28)))</f>
        <v/>
      </c>
      <c r="E349">
        <f>INDEX(FactorTable!$B$2:$Y$301, MATCH(ROUND(MIN(300,MAX(1,D349)),0), FactorTable!$A$2:$A$301,0), Skills!L21+1)</f>
        <v/>
      </c>
      <c r="F349">
        <f>IF(Skills!M21=TRUE,(Skills!K21/10)*(E349/1000),Skills!K21/10)+Skills!N21</f>
        <v/>
      </c>
      <c r="G349">
        <f>Calc!G21</f>
        <v/>
      </c>
      <c r="H349">
        <f>Calc!H21</f>
        <v/>
      </c>
      <c r="I349">
        <f>IF(Skills!T21&lt;&gt;"",1+(Skills!T21/10)*(R331/1000)/100,1)</f>
        <v/>
      </c>
      <c r="J349" t="inlineStr"/>
      <c r="K349" t="inlineStr"/>
      <c r="L349" t="inlineStr"/>
      <c r="M349" t="inlineStr"/>
      <c r="N349" t="inlineStr"/>
      <c r="O349" t="n">
        <v>0</v>
      </c>
      <c r="P349">
        <f>IF(B362=0,0,O349/B362)</f>
        <v/>
      </c>
      <c r="S349" t="n">
        <v>0</v>
      </c>
      <c r="V349">
        <f>IFERROR(1/IF(Inputs!$B$4="pvp",15,MAX(0.1,Skills!D21-IF(Skills!E21=TRUE,Inputs!$B$31,0))),0)</f>
        <v/>
      </c>
    </row>
    <row r="350">
      <c r="A350">
        <f>Skills!A22</f>
        <v/>
      </c>
      <c r="B350">
        <f>Skills!B22</f>
        <v/>
      </c>
      <c r="C350">
        <f>Inputs!$B$3&gt;=117</f>
        <v/>
      </c>
      <c r="D350">
        <f>IF(Skills!C22=1,60+Inputs!$B$24+Inputs!$B$28,IF(Skills!C22=2,90+Inputs!$B$25+Inputs!$B$28,IF(Skills!C22=3,120+Inputs!$B$26+Inputs!$B$28,MAX(0,(Inputs!$B$3-100)*3)+Inputs!$B$27+Inputs!$B$28)))</f>
        <v/>
      </c>
      <c r="E350">
        <f>INDEX(FactorTable!$B$2:$Y$301, MATCH(ROUND(MIN(300,MAX(1,D350)),0), FactorTable!$A$2:$A$301,0), Skills!L22+1)</f>
        <v/>
      </c>
      <c r="F350">
        <f>IF(Skills!M22=TRUE,(Skills!K22/10)*(E350/1000),Skills!K22/10)+Skills!N22</f>
        <v/>
      </c>
      <c r="G350">
        <f>Calc!G22</f>
        <v/>
      </c>
      <c r="H350">
        <f>Calc!H22</f>
        <v/>
      </c>
      <c r="I350">
        <f>IF(Skills!T22&lt;&gt;"",1+(Skills!T22/10)*(R331/1000)/100,1)</f>
        <v/>
      </c>
      <c r="J350" t="inlineStr"/>
      <c r="K350" t="inlineStr"/>
      <c r="L350" t="inlineStr"/>
      <c r="M350" t="inlineStr"/>
      <c r="N350" t="inlineStr"/>
      <c r="O350" t="n">
        <v>0</v>
      </c>
      <c r="P350">
        <f>IF(B362=0,0,O350/B362)</f>
        <v/>
      </c>
      <c r="S350" t="n">
        <v>0</v>
      </c>
      <c r="V350">
        <f>IFERROR(1/IF(Inputs!$B$4="pvp",15,MAX(0.1,Skills!D22-IF(Skills!E22=TRUE,Inputs!$B$31,0))),0)</f>
        <v/>
      </c>
    </row>
    <row r="351">
      <c r="A351">
        <f>Skills!A23</f>
        <v/>
      </c>
      <c r="B351">
        <f>Skills!B23</f>
        <v/>
      </c>
      <c r="C351">
        <f>Inputs!$B$3&gt;=120</f>
        <v/>
      </c>
      <c r="D351">
        <f>IF(Skills!C23=1,60+Inputs!$B$24+Inputs!$B$28,IF(Skills!C23=2,90+Inputs!$B$25+Inputs!$B$28,IF(Skills!C23=3,120+Inputs!$B$26+Inputs!$B$28,MAX(0,(Inputs!$B$3-100)*3)+Inputs!$B$27+Inputs!$B$28)))</f>
        <v/>
      </c>
      <c r="E351">
        <f>INDEX(FactorTable!$B$2:$Y$301, MATCH(ROUND(MIN(300,MAX(1,D351)),0), FactorTable!$A$2:$A$301,0), Skills!L23+1)</f>
        <v/>
      </c>
      <c r="F351">
        <f>IF(Skills!M23=TRUE,(Skills!K23/10)*(E351/1000),Skills!K23/10)+Skills!N23</f>
        <v/>
      </c>
      <c r="G351">
        <f>Calc!G23</f>
        <v/>
      </c>
      <c r="H351">
        <f>Calc!H23</f>
        <v/>
      </c>
      <c r="I351">
        <f>IF(Skills!T23&lt;&gt;"",1+(Skills!T23/10)*(R331/1000)/100,1)</f>
        <v/>
      </c>
      <c r="J351" t="inlineStr"/>
      <c r="K351" t="inlineStr"/>
      <c r="L351" t="inlineStr"/>
      <c r="M351" t="inlineStr"/>
      <c r="N351" t="inlineStr"/>
      <c r="O351" t="n">
        <v>0</v>
      </c>
      <c r="P351">
        <f>IF(B362=0,0,O351/B362)</f>
        <v/>
      </c>
      <c r="S351" t="n">
        <v>0</v>
      </c>
      <c r="V351">
        <f>IFERROR(1/IF(Inputs!$B$4="pvp",15,MAX(0.1,Skills!D23-IF(Skills!E23=TRUE,Inputs!$B$31,0))),0)</f>
        <v/>
      </c>
    </row>
    <row r="354">
      <c r="A354" t="inlineStr">
        <is>
          <t>Average Buff Multiplier (Magic Guard + Meditation, summed; then Infinity)</t>
        </is>
      </c>
      <c r="B354">
        <f>(1+(IF(C331=TRUE,F331*IF(AND(Inputs!$B$4&lt;&gt;"pvp",Inputs!$B$35&gt;0),(((S331-1)*(Skills!S3*(1+(Inputs!$B$33+IF(Inputs!$B$3&gt;=117,F350,0))/100))+MIN((Skills!S3*(1+(Inputs!$B$33+IF(Inputs!$B$3&gt;=117,F350,0))/100)),MAX(0,Inputs!$B$35-((S331-1)*Skills!D3))))/Inputs!$B$35),IF(Inputs!$B$4="pvp",MIN((Skills!S3*(1+(Inputs!$B$33+IF(Inputs!$B$3&gt;=117,F350,0))/100)),15)/15,(Skills!S3*(1+(Inputs!$B$33+IF(Inputs!$B$3&gt;=117,F350,0))/100))/Skills!D3)),0)+IF(C332=TRUE,F332*IF(AND(Inputs!$B$4&lt;&gt;"pvp",Inputs!$B$35&gt;0),(((S332-1)*(Skills!S4*(1+(Inputs!$B$33+IF(Inputs!$B$3&gt;=117,F350,0))/100))+MIN((Skills!S4*(1+(Inputs!$B$33+IF(Inputs!$B$3&gt;=117,F350,0))/100)),MAX(0,Inputs!$B$35-((S332-1)*Skills!D4))))/Inputs!$B$35),IF(Inputs!$B$4="pvp",MIN((Skills!S4*(1+(Inputs!$B$33+IF(Inputs!$B$3&gt;=117,F350,0))/100)),15)/15,(Skills!S4*(1+(Inputs!$B$33+IF(Inputs!$B$3&gt;=117,F350,0))/100))/Skills!D4)),0))/100)*IF(C344=TRUE,(1+F344*IF(AND(Inputs!$B$4&lt;&gt;"pvp",Inputs!$B$35&gt;0),(((S344-1)*(Skills!S16*(1+(Inputs!$B$33+IF(Inputs!$B$3&gt;=117,F350,0))/100))+MIN((Skills!S16*(1+(Inputs!$B$33+IF(Inputs!$B$3&gt;=117,F350,0))/100)),MAX(0,Inputs!$B$35-((S344-1)*Skills!D16))))/Inputs!$B$35),IF(Inputs!$B$4="pvp",MIN((Skills!S16*(1+(Inputs!$B$33+IF(Inputs!$B$3&gt;=117,F350,0))/100)),15)/15,(Skills!S16*(1+(Inputs!$B$33+IF(Inputs!$B$3&gt;=117,F350,0))/100))/Skills!D16))/100),1)</f>
        <v/>
      </c>
    </row>
    <row r="355">
      <c r="A355" t="inlineStr">
        <is>
          <t>Monster Damage Taken Bonus % (Freezing Breath - Weaken + Elemental Reset, summed)</t>
        </is>
      </c>
      <c r="B355">
        <f>IF(Inputs!$B$3&gt;=118,15*IF(Inputs!$B$4="pvp",MIN((30*(1+(Inputs!$B$33+IF(Inputs!$B$3&gt;=117,F350,0))/100)),15)/15,(30*(1+(Inputs!$B$33+IF(Inputs!$B$3&gt;=117,F350,0))/100))/Skills!D8),0)+IF(C342=TRUE,F342,0)</f>
        <v/>
      </c>
    </row>
    <row r="356">
      <c r="A356" t="inlineStr">
        <is>
          <t>Damage % Bonus (Frozen Break + Frost Clutch, flat)</t>
        </is>
      </c>
      <c r="B356">
        <f>IF(Inputs!$B$3&gt;=66,15,0)+IF(Inputs!$B$3&gt;=98,10,0)+IF(Inputs!$B$3&gt;=125,20,0)</f>
        <v/>
      </c>
    </row>
    <row r="357">
      <c r="A357" t="inlineStr">
        <is>
          <t>Attack Speed Bonus % (MP Eater - MP Boost, always-on once unlocked)</t>
        </is>
      </c>
      <c r="B357">
        <f>IF(C341=TRUE,F341+(F345-Calc!F17),0)</f>
        <v/>
      </c>
    </row>
    <row r="358">
      <c r="A358" t="inlineStr">
        <is>
          <t>Actions Per Second</t>
        </is>
      </c>
      <c r="B358">
        <f>1+MIN(150,150*(1-(1-Inputs!$B$10/150)*(1-B357/150)))/100</f>
        <v/>
      </c>
    </row>
    <row r="359">
      <c r="A359" t="inlineStr">
        <is>
          <t>Skill + Buff Cast Rate</t>
        </is>
      </c>
      <c r="B359">
        <f>IF(AND(Inputs!$B$4&lt;&gt;"pvp",Inputs!$B$35&gt;0),SUMPRODUCT((Skills!E2:E23=TRUE)*(C330:C351=TRUE)*S330:S351)/Inputs!$B$35,SUMPRODUCT((Skills!E2:E23=TRUE)*(C330:C351=TRUE)*V330:V351))</f>
        <v/>
      </c>
    </row>
    <row r="360">
      <c r="A360" t="inlineStr">
        <is>
          <t>Chain Lightning Casts Per Second</t>
        </is>
      </c>
      <c r="B360">
        <f>MAX(0,B358-B359)</f>
        <v/>
      </c>
    </row>
    <row r="362">
      <c r="A362" s="5" t="inlineStr">
        <is>
          <t>TOTAL DPS</t>
        </is>
      </c>
      <c r="B362" s="5">
        <f>SUM(O330:O351)</f>
        <v/>
      </c>
    </row>
    <row r="365">
      <c r="A365" s="5" t="inlineStr">
        <is>
          <t>Stat: CRIT_RATE %</t>
        </is>
      </c>
    </row>
    <row r="366">
      <c r="A366" s="8" t="inlineStr">
        <is>
          <t>Key</t>
        </is>
      </c>
      <c r="B366" s="8" t="inlineStr">
        <is>
          <t>Name</t>
        </is>
      </c>
      <c r="C366" s="8" t="inlineStr">
        <is>
          <t>Unlocked</t>
        </is>
      </c>
      <c r="D366" s="8" t="inlineStr">
        <is>
          <t>InputLevel</t>
        </is>
      </c>
      <c r="E366" s="8" t="inlineStr">
        <is>
          <t>Factor</t>
        </is>
      </c>
      <c r="F366" s="8" t="inlineStr">
        <is>
          <t>CoefficientPercent</t>
        </is>
      </c>
      <c r="G366" s="8" t="inlineStr">
        <is>
          <t>EffectiveHits</t>
        </is>
      </c>
      <c r="H366" s="8" t="inlineStr">
        <is>
          <t>ProcProbability</t>
        </is>
      </c>
      <c r="I366" s="8" t="inlineStr">
        <is>
          <t>MapleHeroMultiplier</t>
        </is>
      </c>
      <c r="J366" s="8" t="inlineStr">
        <is>
          <t>BaseDamage</t>
        </is>
      </c>
      <c r="K366" s="8" t="inlineStr">
        <is>
          <t>BaseHitDamage</t>
        </is>
      </c>
      <c r="L366" s="8" t="inlineStr">
        <is>
          <t>NonCritAvg</t>
        </is>
      </c>
      <c r="M366" s="8" t="inlineStr">
        <is>
          <t>CritAvg</t>
        </is>
      </c>
      <c r="N366" s="8" t="inlineStr">
        <is>
          <t>ExpectedDamage(perHit)</t>
        </is>
      </c>
      <c r="O366" s="8" t="inlineStr">
        <is>
          <t>DPS</t>
        </is>
      </c>
      <c r="P366" s="8" t="inlineStr">
        <is>
          <t>% of Total</t>
        </is>
      </c>
      <c r="R366" t="inlineStr">
        <is>
          <t>helpers</t>
        </is>
      </c>
    </row>
    <row r="367">
      <c r="A367">
        <f>Skills!A2</f>
        <v/>
      </c>
      <c r="B367">
        <f>Skills!B2</f>
        <v/>
      </c>
      <c r="C367">
        <f>Inputs!$B$3&gt;=100</f>
        <v/>
      </c>
      <c r="D367" t="inlineStr"/>
      <c r="E367" t="inlineStr"/>
      <c r="F367">
        <f>T369+Skills!N2</f>
        <v/>
      </c>
      <c r="G367">
        <f>Calc!G2</f>
        <v/>
      </c>
      <c r="H367">
        <f>Calc!H2</f>
        <v/>
      </c>
      <c r="I367">
        <f>IF(Skills!T2&lt;&gt;"",1+(Skills!T2/10)*(R368/1000)/100,1)</f>
        <v/>
      </c>
      <c r="J367">
        <f>((Inputs!$B$5*(1+Inputs!$B$6/100))+((Inputs!$B$11*(1+Inputs!$B$12/100))-(Inputs!$B$11*(1+Inputs!$B$12/100)))*(1+Inputs!$B$6/100))*(F367/100)</f>
        <v/>
      </c>
      <c r="K367">
        <f>J367*(1+((Inputs!$B$11*(1+Inputs!$B$12/100))*0.01+Inputs!$B$13*0.0025)/100)*(1+(Inputs!$B$14+B393)/100)*(1+IF(Inputs!$B$4="pvp",0,(1-Summary!$B$51)*(Inputs!$B$19+Skills!O2+B392)+Summary!$B$51*(Inputs!$B$20+Skills!P2+B392))/100)*(1+Inputs!$B$15/100)*(5000/(6000+Inputs!$B$7*(1-Inputs!$B$18/100)))*(1+Inputs!$B$23/100)*(1+IF(C380=TRUE,F380,0)/100)*(1+IF(C388=TRUE,F388,0)/100)^5*(1+(IF(Skills!A2="CHAIN_LIGHTNING",Inputs!$B$16,Inputs!$B$17))/100)*(B391*I367)</f>
        <v/>
      </c>
      <c r="L367">
        <f>K367*(MIN(Inputs!$B$21+(F383-Calc!F18),Inputs!$B$22)/100+Inputs!$B$22/100)/2</f>
        <v/>
      </c>
      <c r="M367">
        <f>L367*(1+(Inputs!$B$9+(F386-Calc!F21))/100)</f>
        <v/>
      </c>
      <c r="N367">
        <f>L367*(1-MIN((Inputs!$B$8+1)+((F385-Calc!F20)+(F384-Calc!F19)),100)/100)+M367*(MIN((Inputs!$B$8+1)+((F385-Calc!F20)+(F384-Calc!F19)),100)/100)</f>
        <v/>
      </c>
      <c r="O367">
        <f>IF(C367,Skills!F2*N367*B397*IF(Inputs!$B$4="pvp",1,(1-Summary!$B$51)*(1)+Summary!$B$51*(MIN((6+Inputs!$B$32),Inputs!$B$37))),0)</f>
        <v/>
      </c>
      <c r="P367">
        <f>IF(B399=0,0,O367/B399)</f>
        <v/>
      </c>
      <c r="R367">
        <f>MAX(0,(Inputs!$B$3-100)*3)+Inputs!$B$27+Inputs!$B$28</f>
        <v/>
      </c>
      <c r="S367" t="n">
        <v>0</v>
      </c>
      <c r="T367">
        <f>MAX(0,(Inputs!$B$3-100)*3)+Inputs!$B$27+Inputs!$B$28</f>
        <v/>
      </c>
      <c r="V367">
        <f>IFERROR(1/IF(Inputs!$B$4="pvp",15,MAX(0.1,Skills!D2-IF(Skills!E2=TRUE,Inputs!$B$31,0))),0)</f>
        <v/>
      </c>
    </row>
    <row r="368">
      <c r="A368">
        <f>Skills!A3</f>
        <v/>
      </c>
      <c r="B368">
        <f>Skills!B3</f>
        <v/>
      </c>
      <c r="C368">
        <f>Inputs!$B$3&gt;=15</f>
        <v/>
      </c>
      <c r="D368">
        <f>IF(Skills!C3=1,60+Inputs!$B$24+Inputs!$B$28,IF(Skills!C3=2,90+Inputs!$B$25+Inputs!$B$28,IF(Skills!C3=3,120+Inputs!$B$26+Inputs!$B$28,MAX(0,(Inputs!$B$3-100)*3)+Inputs!$B$27+Inputs!$B$28)))</f>
        <v/>
      </c>
      <c r="E368">
        <f>INDEX(FactorTable!$B$2:$Y$301, MATCH(ROUND(MIN(300,MAX(1,D368)),0), FactorTable!$A$2:$A$301,0), Skills!L3+1)</f>
        <v/>
      </c>
      <c r="F368">
        <f>IF(Skills!M3=TRUE,(Skills!K3/10)*(E368/1000),Skills!K3/10)+Skills!N3</f>
        <v/>
      </c>
      <c r="G368">
        <f>Calc!G3</f>
        <v/>
      </c>
      <c r="H368">
        <f>Calc!H3</f>
        <v/>
      </c>
      <c r="I368">
        <f>IF(Skills!T3&lt;&gt;"",1+(Skills!T3/10)*(R368/1000)/100,1)</f>
        <v/>
      </c>
      <c r="J368" t="inlineStr"/>
      <c r="K368" t="inlineStr"/>
      <c r="L368" t="inlineStr"/>
      <c r="M368" t="inlineStr"/>
      <c r="N368" t="inlineStr"/>
      <c r="O368" t="n">
        <v>0</v>
      </c>
      <c r="P368">
        <f>IF(B399=0,0,O368/B399)</f>
        <v/>
      </c>
      <c r="R368">
        <f>INDEX(FactorTable!$B$2:$Y$301, MATCH(ROUND(MIN(300,MAX(1,R367)),0), FactorTable!$A$2:$A$301,0), 24)</f>
        <v/>
      </c>
      <c r="S368">
        <f>IF(AND(Inputs!$B$4&lt;&gt;"pvp",Inputs!$B$35&gt;0),(INT(Inputs!$B$35/IF(Inputs!$B$4="pvp",15,MAX(0.1,Skills!D3-IF(Skills!E3=TRUE,Inputs!$B$31,0))))+1),0)</f>
        <v/>
      </c>
      <c r="T368">
        <f>INDEX(FactorTable!$B$2:$Y$301, MATCH(ROUND(MIN(300,MAX(1,T367)),0), FactorTable!$A$2:$A$301,0), 22)</f>
        <v/>
      </c>
      <c r="V368">
        <f>IFERROR(1/IF(Inputs!$B$4="pvp",15,MAX(0.1,Skills!D3-IF(Skills!E3=TRUE,Inputs!$B$31,0))),0)</f>
        <v/>
      </c>
    </row>
    <row r="369">
      <c r="A369">
        <f>Skills!A4</f>
        <v/>
      </c>
      <c r="B369">
        <f>Skills!B4</f>
        <v/>
      </c>
      <c r="C369">
        <f>Inputs!$B$3&gt;=40</f>
        <v/>
      </c>
      <c r="D369">
        <f>IF(Skills!C4=1,60+Inputs!$B$24+Inputs!$B$28,IF(Skills!C4=2,90+Inputs!$B$25+Inputs!$B$28,IF(Skills!C4=3,120+Inputs!$B$26+Inputs!$B$28,MAX(0,(Inputs!$B$3-100)*3)+Inputs!$B$27+Inputs!$B$28)))</f>
        <v/>
      </c>
      <c r="E369">
        <f>INDEX(FactorTable!$B$2:$Y$301, MATCH(ROUND(MIN(300,MAX(1,D369)),0), FactorTable!$A$2:$A$301,0), Skills!L4+1)</f>
        <v/>
      </c>
      <c r="F369">
        <f>IF(Skills!M4=TRUE,(Skills!K4/10)*(E369/1000),Skills!K4/10)+Skills!N4</f>
        <v/>
      </c>
      <c r="G369">
        <f>Calc!G4</f>
        <v/>
      </c>
      <c r="H369">
        <f>Calc!H4</f>
        <v/>
      </c>
      <c r="I369">
        <f>IF(Skills!T4&lt;&gt;"",1+(Skills!T4/10)*(R368/1000)/100,1)</f>
        <v/>
      </c>
      <c r="J369" t="inlineStr"/>
      <c r="K369" t="inlineStr"/>
      <c r="L369" t="inlineStr"/>
      <c r="M369" t="inlineStr"/>
      <c r="N369" t="inlineStr"/>
      <c r="O369" t="n">
        <v>0</v>
      </c>
      <c r="P369">
        <f>IF(B399=0,0,O369/B399)</f>
        <v/>
      </c>
      <c r="S369">
        <f>IF(AND(Inputs!$B$4&lt;&gt;"pvp",Inputs!$B$35&gt;0),(INT(Inputs!$B$35/IF(Inputs!$B$4="pvp",15,MAX(0.1,Skills!D4-IF(Skills!E4=TRUE,Inputs!$B$31,0))))+1),0)</f>
        <v/>
      </c>
      <c r="T369">
        <f>290*T368/1000</f>
        <v/>
      </c>
      <c r="V369">
        <f>IFERROR(1/IF(Inputs!$B$4="pvp",15,MAX(0.1,Skills!D4-IF(Skills!E4=TRUE,Inputs!$B$31,0))),0)</f>
        <v/>
      </c>
    </row>
    <row r="370">
      <c r="A370">
        <f>Skills!A5</f>
        <v/>
      </c>
      <c r="B370">
        <f>Skills!B5</f>
        <v/>
      </c>
      <c r="C370">
        <f>Inputs!$B$3&gt;=38</f>
        <v/>
      </c>
      <c r="D370">
        <f>IF(Skills!C5=1,60+Inputs!$B$24+Inputs!$B$28,IF(Skills!C5=2,90+Inputs!$B$25+Inputs!$B$28,IF(Skills!C5=3,120+Inputs!$B$26+Inputs!$B$28,MAX(0,(Inputs!$B$3-100)*3)+Inputs!$B$27+Inputs!$B$28)))</f>
        <v/>
      </c>
      <c r="E370">
        <f>INDEX(FactorTable!$B$2:$Y$301, MATCH(ROUND(MIN(300,MAX(1,D370)),0), FactorTable!$A$2:$A$301,0), Skills!L5+1)</f>
        <v/>
      </c>
      <c r="F370">
        <f>IF(Skills!M5=TRUE,(Skills!K5/10)*(E370/1000),Skills!K5/10)+Skills!N5</f>
        <v/>
      </c>
      <c r="G370">
        <f>Calc!G5</f>
        <v/>
      </c>
      <c r="H370">
        <f>Calc!H5</f>
        <v/>
      </c>
      <c r="I370">
        <f>IF(Skills!T5&lt;&gt;"",1+(Skills!T5/10)*(R368/1000)/100,1)</f>
        <v/>
      </c>
      <c r="J370">
        <f>((Inputs!$B$5*(1+Inputs!$B$6/100))+((Inputs!$B$11*(1+Inputs!$B$12/100))-(Inputs!$B$11*(1+Inputs!$B$12/100)))*(1+Inputs!$B$6/100))*(F370/100)</f>
        <v/>
      </c>
      <c r="K370">
        <f>J370*(1+((Inputs!$B$11*(1+Inputs!$B$12/100))*0.01+Inputs!$B$13*0.0025)/100)*(1+(Inputs!$B$14+B393)/100)*(1+IF(Inputs!$B$4="pvp",0,(1-Summary!$B$51)*(Inputs!$B$19+Skills!O5+B392)+Summary!$B$51*(Inputs!$B$20+Skills!P5+B392))/100)*(1+Inputs!$B$15/100)*(5000/(6000+Inputs!$B$7*(1-Inputs!$B$18/100)))*(1+Inputs!$B$23/100)*(1+IF(C380=TRUE,F380,0)/100)*(1+IF(C388=TRUE,F388,0)/100)^5*(1+(IF(Skills!A5="CHAIN_LIGHTNING",Inputs!$B$16,Inputs!$B$17))/100)*(B391*I370)</f>
        <v/>
      </c>
      <c r="L370">
        <f>K370*(MIN(Inputs!$B$21+(F383-Calc!F18),Inputs!$B$22)/100+Inputs!$B$22/100)/2</f>
        <v/>
      </c>
      <c r="M370">
        <f>L370*(1+(Inputs!$B$9+(F386-Calc!F21))/100)</f>
        <v/>
      </c>
      <c r="N370">
        <f>L370*(1-MIN((Inputs!$B$8+1)+((F385-Calc!F20)+(F384-Calc!F19)),100)/100)+M370*(MIN((Inputs!$B$8+1)+((F385-Calc!F20)+(F384-Calc!F19)),100)/100)</f>
        <v/>
      </c>
      <c r="O370">
        <f>IF(C370,H370*N370*IF(AND(Inputs!$B$4&lt;&gt;"pvp",Inputs!$B$35&gt;0),((Skills!F5*((S370-1)*IF(Skills!G5&gt;0,Skills!H5/Skills!G5,1)+IF(Skills!G5&gt;0,MIN(Skills!H5,MAX(0,Inputs!$B$35-((S370-1)*IF(Inputs!$B$4="pvp",15,MAX(0.1,Skills!D5-IF(Skills!E5=TRUE,Inputs!$B$31,0))))))/Skills!G5,1)))/Inputs!$B$35),G370*V370)*IF(Inputs!$B$4="pvp",1,(1-Summary!$B$51)*(1)+Summary!$B$51*(MIN(Skills!Q5,Inputs!$B$37))),0)</f>
        <v/>
      </c>
      <c r="P370">
        <f>IF(B399=0,0,O370/B399)</f>
        <v/>
      </c>
      <c r="S370">
        <f>IF(AND(Inputs!$B$4&lt;&gt;"pvp",Inputs!$B$35&gt;0),(INT(Inputs!$B$35/IF(Inputs!$B$4="pvp",15,MAX(0.1,Skills!D5-IF(Skills!E5=TRUE,Inputs!$B$31,0))))+1),0)</f>
        <v/>
      </c>
      <c r="V370">
        <f>IFERROR(1/IF(Inputs!$B$4="pvp",15,MAX(0.1,Skills!D5-IF(Skills!E5=TRUE,Inputs!$B$31,0))),0)</f>
        <v/>
      </c>
    </row>
    <row r="371">
      <c r="A371">
        <f>Skills!A6</f>
        <v/>
      </c>
      <c r="B371">
        <f>Skills!B6</f>
        <v/>
      </c>
      <c r="C371">
        <f>Inputs!$B$3&gt;=63</f>
        <v/>
      </c>
      <c r="D371">
        <f>IF(Skills!C6=1,60+Inputs!$B$24+Inputs!$B$28,IF(Skills!C6=2,90+Inputs!$B$25+Inputs!$B$28,IF(Skills!C6=3,120+Inputs!$B$26+Inputs!$B$28,MAX(0,(Inputs!$B$3-100)*3)+Inputs!$B$27+Inputs!$B$28)))</f>
        <v/>
      </c>
      <c r="E371">
        <f>INDEX(FactorTable!$B$2:$Y$301, MATCH(ROUND(MIN(300,MAX(1,D371)),0), FactorTable!$A$2:$A$301,0), Skills!L6+1)</f>
        <v/>
      </c>
      <c r="F371">
        <f>IF(Skills!M6=TRUE,(Skills!K6/10)*(E371/1000),Skills!K6/10)+Skills!N6</f>
        <v/>
      </c>
      <c r="G371">
        <f>Calc!G6</f>
        <v/>
      </c>
      <c r="H371">
        <f>Calc!H6</f>
        <v/>
      </c>
      <c r="I371">
        <f>IF(Skills!T6&lt;&gt;"",1+(Skills!T6/10)*(R368/1000)/100,1)</f>
        <v/>
      </c>
      <c r="J371">
        <f>((Inputs!$B$5*(1+Inputs!$B$6/100))+((Inputs!$B$11*(1+Inputs!$B$12/100))-(Inputs!$B$11*(1+Inputs!$B$12/100)))*(1+Inputs!$B$6/100))*(F371/100)</f>
        <v/>
      </c>
      <c r="K371">
        <f>J371*(1+((Inputs!$B$11*(1+Inputs!$B$12/100))*0.01+Inputs!$B$13*0.0025)/100)*(1+(Inputs!$B$14+B393)/100)*(1+IF(Inputs!$B$4="pvp",0,(1-Summary!$B$51)*(Inputs!$B$19+Skills!O6+B392)+Summary!$B$51*(Inputs!$B$20+Skills!P6+B392))/100)*(1+Inputs!$B$15/100)*(5000/(6000+Inputs!$B$7*(1-Inputs!$B$18/100)))*(1+Inputs!$B$23/100)*(1+IF(C380=TRUE,F380,0)/100)*(1+IF(C388=TRUE,F388,0)/100)^5*(1+(IF(Skills!A6="CHAIN_LIGHTNING",Inputs!$B$16,Inputs!$B$17))/100)*(B391*I371)</f>
        <v/>
      </c>
      <c r="L371">
        <f>K371*(MIN(Inputs!$B$21+(F383-Calc!F18),Inputs!$B$22)/100+Inputs!$B$22/100)/2</f>
        <v/>
      </c>
      <c r="M371">
        <f>L371*(1+(Inputs!$B$9+(F386-Calc!F21))/100)</f>
        <v/>
      </c>
      <c r="N371">
        <f>L371*(1-MIN((Inputs!$B$8+1)+((F385-Calc!F20)+(F384-Calc!F19)),100)/100)+M371*(MIN((Inputs!$B$8+1)+((F385-Calc!F20)+(F384-Calc!F19)),100)/100)</f>
        <v/>
      </c>
      <c r="O371">
        <f>IF(C371,H371*N371*IF(AND(Inputs!$B$4&lt;&gt;"pvp",Inputs!$B$35&gt;0),((Skills!F6*((S371-1)*IF(Skills!G6&gt;0,Skills!H6/Skills!G6,1)+IF(Skills!G6&gt;0,MIN(Skills!H6,MAX(0,Inputs!$B$35-((S371-1)*IF(Inputs!$B$4="pvp",15,MAX(0.1,Skills!D6-IF(Skills!E6=TRUE,Inputs!$B$31,0))))))/Skills!G6,1)))/Inputs!$B$35),G371*V371)*IF(Inputs!$B$4="pvp",1,(1-Summary!$B$51)*(1)+Summary!$B$51*(MIN(Skills!Q6,Inputs!$B$37))),0)</f>
        <v/>
      </c>
      <c r="P371">
        <f>IF(B399=0,0,O371/B399)</f>
        <v/>
      </c>
      <c r="S371">
        <f>IF(AND(Inputs!$B$4&lt;&gt;"pvp",Inputs!$B$35&gt;0),(INT(Inputs!$B$35/IF(Inputs!$B$4="pvp",15,MAX(0.1,Skills!D6-IF(Skills!E6=TRUE,Inputs!$B$31,0))))+1),0)</f>
        <v/>
      </c>
      <c r="V371">
        <f>IFERROR(1/IF(Inputs!$B$4="pvp",15,MAX(0.1,Skills!D6-IF(Skills!E6=TRUE,Inputs!$B$31,0))),0)</f>
        <v/>
      </c>
    </row>
    <row r="372">
      <c r="A372">
        <f>Skills!A7</f>
        <v/>
      </c>
      <c r="B372">
        <f>Skills!B7</f>
        <v/>
      </c>
      <c r="C372">
        <f>Inputs!$B$3&gt;=69</f>
        <v/>
      </c>
      <c r="D372">
        <f>IF(Skills!C7=1,60+Inputs!$B$24+Inputs!$B$28,IF(Skills!C7=2,90+Inputs!$B$25+Inputs!$B$28,IF(Skills!C7=3,120+Inputs!$B$26+Inputs!$B$28,MAX(0,(Inputs!$B$3-100)*3)+Inputs!$B$27+Inputs!$B$28)))</f>
        <v/>
      </c>
      <c r="E372">
        <f>INDEX(FactorTable!$B$2:$Y$301, MATCH(ROUND(MIN(300,MAX(1,D372)),0), FactorTable!$A$2:$A$301,0), Skills!L7+1)</f>
        <v/>
      </c>
      <c r="F372">
        <f>IF(Skills!M7=TRUE,(Skills!K7/10)*(E372/1000),Skills!K7/10)+Skills!N7</f>
        <v/>
      </c>
      <c r="G372">
        <f>Calc!G7</f>
        <v/>
      </c>
      <c r="H372">
        <f>Calc!H7</f>
        <v/>
      </c>
      <c r="I372">
        <f>IF(Skills!T7&lt;&gt;"",1+(Skills!T7/10)*(R368/1000)/100,1)</f>
        <v/>
      </c>
      <c r="J372">
        <f>((Inputs!$B$5*(1+Inputs!$B$6/100))+((Inputs!$B$11*(1+Inputs!$B$12/100))-(Inputs!$B$11*(1+Inputs!$B$12/100)))*(1+Inputs!$B$6/100))*(F372/100)</f>
        <v/>
      </c>
      <c r="K372">
        <f>J372*(1+((Inputs!$B$11*(1+Inputs!$B$12/100))*0.01+Inputs!$B$13*0.0025)/100)*(1+(Inputs!$B$14+B393)/100)*(1+IF(Inputs!$B$4="pvp",0,(1-Summary!$B$51)*(Inputs!$B$19+Skills!O7+B392)+Summary!$B$51*(Inputs!$B$20+Skills!P7+B392))/100)*(1+Inputs!$B$15/100)*(5000/(6000+Inputs!$B$7*(1-Inputs!$B$18/100)))*(1+Inputs!$B$23/100)*(1+IF(C380=TRUE,F380,0)/100)*(1+IF(C388=TRUE,F388,0)/100)^5*(1+(IF(Skills!A7="CHAIN_LIGHTNING",Inputs!$B$16,Inputs!$B$17))/100)*(B391*I372)</f>
        <v/>
      </c>
      <c r="L372">
        <f>K372*(MIN(Inputs!$B$21+(F383-Calc!F18),Inputs!$B$22)/100+Inputs!$B$22/100)/2</f>
        <v/>
      </c>
      <c r="M372">
        <f>L372*(1+(Inputs!$B$9+(F386-Calc!F21))/100)</f>
        <v/>
      </c>
      <c r="N372">
        <f>L372*(1-MIN((Inputs!$B$8+1)+((F385-Calc!F20)+(F384-Calc!F19)),100)/100)+M372*(MIN((Inputs!$B$8+1)+((F385-Calc!F20)+(F384-Calc!F19)),100)/100)</f>
        <v/>
      </c>
      <c r="O372">
        <f>IF(C372,H372*N372*IF(AND(Inputs!$B$4&lt;&gt;"pvp",Inputs!$B$35&gt;0),((Skills!F7*((S372-1)*IF(Skills!G7&gt;0,Skills!H7/Skills!G7,1)+IF(Skills!G7&gt;0,MIN(Skills!H7,MAX(0,Inputs!$B$35-((S372-1)*IF(Inputs!$B$4="pvp",15,MAX(0.1,Skills!D7-IF(Skills!E7=TRUE,Inputs!$B$31,0))))))/Skills!G7,1)))/Inputs!$B$35),G372*V372)*IF(Inputs!$B$4="pvp",1,(1-Summary!$B$51)*(1)+Summary!$B$51*(MIN(Skills!Q7,Inputs!$B$37))),0)</f>
        <v/>
      </c>
      <c r="P372">
        <f>IF(B399=0,0,O372/B399)</f>
        <v/>
      </c>
      <c r="S372">
        <f>IF(AND(Inputs!$B$4&lt;&gt;"pvp",Inputs!$B$35&gt;0),(INT(Inputs!$B$35/IF(Inputs!$B$4="pvp",15,MAX(0.1,Skills!D7-IF(Skills!E7=TRUE,Inputs!$B$31,0))))+1),0)</f>
        <v/>
      </c>
      <c r="V372">
        <f>IFERROR(1/IF(Inputs!$B$4="pvp",15,MAX(0.1,Skills!D7-IF(Skills!E7=TRUE,Inputs!$B$31,0))),0)</f>
        <v/>
      </c>
    </row>
    <row r="373">
      <c r="A373">
        <f>Skills!A8</f>
        <v/>
      </c>
      <c r="B373">
        <f>Skills!B8</f>
        <v/>
      </c>
      <c r="C373">
        <f>Inputs!$B$3&gt;=103</f>
        <v/>
      </c>
      <c r="D373">
        <f>IF(Skills!C8=1,60+Inputs!$B$24+Inputs!$B$28,IF(Skills!C8=2,90+Inputs!$B$25+Inputs!$B$28,IF(Skills!C8=3,120+Inputs!$B$26+Inputs!$B$28,MAX(0,(Inputs!$B$3-100)*3)+Inputs!$B$27+Inputs!$B$28)))</f>
        <v/>
      </c>
      <c r="E373">
        <f>INDEX(FactorTable!$B$2:$Y$301, MATCH(ROUND(MIN(300,MAX(1,D373)),0), FactorTable!$A$2:$A$301,0), Skills!L8+1)</f>
        <v/>
      </c>
      <c r="F373">
        <f>IF(Skills!M8=TRUE,(Skills!K8/10)*(E373/1000),Skills!K8/10)+Skills!N8</f>
        <v/>
      </c>
      <c r="G373">
        <f>Calc!G8</f>
        <v/>
      </c>
      <c r="H373">
        <f>Calc!H8</f>
        <v/>
      </c>
      <c r="I373">
        <f>IF(Skills!T8&lt;&gt;"",1+(Skills!T8/10)*(R368/1000)/100,1)</f>
        <v/>
      </c>
      <c r="J373">
        <f>((Inputs!$B$5*(1+Inputs!$B$6/100))+((Inputs!$B$11*(1+Inputs!$B$12/100))-(Inputs!$B$11*(1+Inputs!$B$12/100)))*(1+Inputs!$B$6/100))*(F373/100)</f>
        <v/>
      </c>
      <c r="K373">
        <f>J373*(1+((Inputs!$B$11*(1+Inputs!$B$12/100))*0.01+Inputs!$B$13*0.0025)/100)*(1+(Inputs!$B$14+B393)/100)*(1+IF(Inputs!$B$4="pvp",0,(1-Summary!$B$51)*(Inputs!$B$19+Skills!O8+B392)+Summary!$B$51*(Inputs!$B$20+Skills!P8+B392))/100)*(1+Inputs!$B$15/100)*(5000/(6000+Inputs!$B$7*(1-Inputs!$B$18/100)))*(1+Inputs!$B$23/100)*(1+IF(C380=TRUE,F380,0)/100)*(1+IF(C388=TRUE,F388,0)/100)^5*(1+(IF(Skills!A8="CHAIN_LIGHTNING",Inputs!$B$16,Inputs!$B$17))/100)*(B391*I373)</f>
        <v/>
      </c>
      <c r="L373">
        <f>K373*(MIN(Inputs!$B$21+(F383-Calc!F18),Inputs!$B$22)/100+Inputs!$B$22/100)/2</f>
        <v/>
      </c>
      <c r="M373">
        <f>L373*(1+(Inputs!$B$9+(F386-Calc!F21))/100)</f>
        <v/>
      </c>
      <c r="N373">
        <f>L373*(1-MIN((Inputs!$B$8+1)+((F385-Calc!F20)+(F384-Calc!F19)),100)/100)+M373*(MIN((Inputs!$B$8+1)+((F385-Calc!F20)+(F384-Calc!F19)),100)/100)</f>
        <v/>
      </c>
      <c r="O373">
        <f>IF(C373,H373*N373*IF(AND(Inputs!$B$4&lt;&gt;"pvp",Inputs!$B$35&gt;0),((Skills!F8*((S373-1)*IF(Skills!G8&gt;0,Skills!H8/Skills!G8,1)+IF(Skills!G8&gt;0,MIN(Skills!H8,MAX(0,Inputs!$B$35-((S373-1)*IF(Inputs!$B$4="pvp",15,MAX(0.1,Skills!D8-IF(Skills!E8=TRUE,Inputs!$B$31,0))))))/Skills!G8,1)))/Inputs!$B$35),G373*V373)*IF(Inputs!$B$4="pvp",1,(1-Summary!$B$51)*(1)+Summary!$B$51*(MIN(Skills!Q8,Inputs!$B$37))),0)</f>
        <v/>
      </c>
      <c r="P373">
        <f>IF(B399=0,0,O373/B399)</f>
        <v/>
      </c>
      <c r="S373">
        <f>IF(AND(Inputs!$B$4&lt;&gt;"pvp",Inputs!$B$35&gt;0),(INT(Inputs!$B$35/IF(Inputs!$B$4="pvp",15,MAX(0.1,Skills!D8-IF(Skills!E8=TRUE,Inputs!$B$31,0))))+1),0)</f>
        <v/>
      </c>
      <c r="V373">
        <f>IFERROR(1/IF(Inputs!$B$4="pvp",15,MAX(0.1,Skills!D8-IF(Skills!E8=TRUE,Inputs!$B$31,0))),0)</f>
        <v/>
      </c>
    </row>
    <row r="374">
      <c r="A374">
        <f>Skills!A9</f>
        <v/>
      </c>
      <c r="B374">
        <f>Skills!B9</f>
        <v/>
      </c>
      <c r="C374">
        <f>Inputs!$B$3&gt;=105</f>
        <v/>
      </c>
      <c r="D374">
        <f>IF(Skills!C9=1,60+Inputs!$B$24+Inputs!$B$28,IF(Skills!C9=2,90+Inputs!$B$25+Inputs!$B$28,IF(Skills!C9=3,120+Inputs!$B$26+Inputs!$B$28,MAX(0,(Inputs!$B$3-100)*3)+Inputs!$B$27+Inputs!$B$28)))</f>
        <v/>
      </c>
      <c r="E374">
        <f>INDEX(FactorTable!$B$2:$Y$301, MATCH(ROUND(MIN(300,MAX(1,D374)),0), FactorTable!$A$2:$A$301,0), Skills!L9+1)</f>
        <v/>
      </c>
      <c r="F374">
        <f>IF(Skills!M9=TRUE,(Skills!K9/10)*(E374/1000),Skills!K9/10)+Skills!N9</f>
        <v/>
      </c>
      <c r="G374">
        <f>Calc!G9</f>
        <v/>
      </c>
      <c r="H374">
        <f>Calc!H9</f>
        <v/>
      </c>
      <c r="I374">
        <f>IF(Skills!T9&lt;&gt;"",1+(Skills!T9/10)*(R368/1000)/100,1)</f>
        <v/>
      </c>
      <c r="J374">
        <f>((Inputs!$B$5*(1+Inputs!$B$6/100))+((Inputs!$B$11*(1+Inputs!$B$12/100))-(Inputs!$B$11*(1+Inputs!$B$12/100)))*(1+Inputs!$B$6/100))*(F374/100)</f>
        <v/>
      </c>
      <c r="K374">
        <f>J374*(1+((Inputs!$B$11*(1+Inputs!$B$12/100))*0.01+Inputs!$B$13*0.0025)/100)*(1+(Inputs!$B$14+B393)/100)*(1+IF(Inputs!$B$4="pvp",0,(1-Summary!$B$51)*(Inputs!$B$19+Skills!O9+B392)+Summary!$B$51*(Inputs!$B$20+Skills!P9+B392))/100)*(1+Inputs!$B$15/100)*(5000/(6000+Inputs!$B$7*(1-Inputs!$B$18/100)))*(1+Inputs!$B$23/100)*(1+IF(C380=TRUE,F380,0)/100)*(1+IF(C388=TRUE,F388,0)/100)^5*(1+(IF(Skills!A9="CHAIN_LIGHTNING",Inputs!$B$16,Inputs!$B$17))/100)*(B391*I374)</f>
        <v/>
      </c>
      <c r="L374">
        <f>K374*(MIN(Inputs!$B$21+(F383-Calc!F18),Inputs!$B$22)/100+Inputs!$B$22/100)/2</f>
        <v/>
      </c>
      <c r="M374">
        <f>L374*(1+(Inputs!$B$9+(F386-Calc!F21))/100)</f>
        <v/>
      </c>
      <c r="N374">
        <f>L374*(1-MIN((Inputs!$B$8+1)+((F385-Calc!F20)+(F384-Calc!F19)),100)/100)+M374*(MIN((Inputs!$B$8+1)+((F385-Calc!F20)+(F384-Calc!F19)),100)/100)</f>
        <v/>
      </c>
      <c r="O374">
        <f>IF(C374,H374*N374*IF(AND(Inputs!$B$4&lt;&gt;"pvp",Inputs!$B$35&gt;0),((Skills!F9*((S374-1)*IF(Skills!G9&gt;0,Skills!H9/Skills!G9,1)+IF(Skills!G9&gt;0,MIN(Skills!H9,MAX(0,Inputs!$B$35-((S374-1)*IF(Inputs!$B$4="pvp",15,MAX(0.1,Skills!D9-IF(Skills!E9=TRUE,Inputs!$B$31,0))))))/Skills!G9,1)))/Inputs!$B$35),G374*V374)*IF(Inputs!$B$4="pvp",1,(1-Summary!$B$51)*(1)+Summary!$B$51*(MIN(Skills!Q9,Inputs!$B$37))),0)</f>
        <v/>
      </c>
      <c r="P374">
        <f>IF(B399=0,0,O374/B399)</f>
        <v/>
      </c>
      <c r="S374">
        <f>IF(AND(Inputs!$B$4&lt;&gt;"pvp",Inputs!$B$35&gt;0),(INT(Inputs!$B$35/IF(Inputs!$B$4="pvp",15,MAX(0.1,Skills!D9-IF(Skills!E9=TRUE,Inputs!$B$31,0))))+1),0)</f>
        <v/>
      </c>
      <c r="V374">
        <f>IFERROR(1/IF(Inputs!$B$4="pvp",15,MAX(0.1,Skills!D9-IF(Skills!E9=TRUE,Inputs!$B$31,0))),0)</f>
        <v/>
      </c>
    </row>
    <row r="375">
      <c r="A375">
        <f>Skills!A10</f>
        <v/>
      </c>
      <c r="B375">
        <f>Skills!B10</f>
        <v/>
      </c>
      <c r="C375">
        <f>Inputs!$B$3&gt;=113</f>
        <v/>
      </c>
      <c r="D375">
        <f>IF(Skills!C10=1,60+Inputs!$B$24+Inputs!$B$28,IF(Skills!C10=2,90+Inputs!$B$25+Inputs!$B$28,IF(Skills!C10=3,120+Inputs!$B$26+Inputs!$B$28,MAX(0,(Inputs!$B$3-100)*3)+Inputs!$B$27+Inputs!$B$28)))</f>
        <v/>
      </c>
      <c r="E375">
        <f>INDEX(FactorTable!$B$2:$Y$301, MATCH(ROUND(MIN(300,MAX(1,D375)),0), FactorTable!$A$2:$A$301,0), Skills!L10+1)</f>
        <v/>
      </c>
      <c r="F375">
        <f>IF(Skills!M10=TRUE,(Skills!K10/10)*(E375/1000),Skills!K10/10)+Skills!N10</f>
        <v/>
      </c>
      <c r="G375">
        <f>Calc!G10</f>
        <v/>
      </c>
      <c r="H375">
        <f>Calc!H10</f>
        <v/>
      </c>
      <c r="I375">
        <f>IF(Skills!T10&lt;&gt;"",1+(Skills!T10/10)*(R368/1000)/100,1)</f>
        <v/>
      </c>
      <c r="J375">
        <f>((Inputs!$B$5*(1+Inputs!$B$6/100))+((Inputs!$B$11*(1+Inputs!$B$12/100))-(Inputs!$B$11*(1+Inputs!$B$12/100)))*(1+Inputs!$B$6/100))*(F375/100)</f>
        <v/>
      </c>
      <c r="K375">
        <f>J375*(1+((Inputs!$B$11*(1+Inputs!$B$12/100))*0.01+Inputs!$B$13*0.0025)/100)*(1+(Inputs!$B$14+B393)/100)*(1+IF(Inputs!$B$4="pvp",0,(1-Summary!$B$51)*(Inputs!$B$19+Skills!O10+B392)+Summary!$B$51*(Inputs!$B$20+Skills!P10+B392))/100)*(1+Inputs!$B$15/100)*(5000/(6000+Inputs!$B$7*(1-Inputs!$B$18/100)))*(1+Inputs!$B$23/100)*(1+IF(C380=TRUE,F380,0)/100)*(1+IF(C388=TRUE,F388,0)/100)^5*(1+(IF(Skills!A10="CHAIN_LIGHTNING",Inputs!$B$16,Inputs!$B$17))/100)*(B391*I375)</f>
        <v/>
      </c>
      <c r="L375">
        <f>K375*(MIN(Inputs!$B$21+(F383-Calc!F18),Inputs!$B$22)/100+Inputs!$B$22/100)/2</f>
        <v/>
      </c>
      <c r="M375">
        <f>L375*(1+(Inputs!$B$9+(F386-Calc!F21))/100)</f>
        <v/>
      </c>
      <c r="N375">
        <f>L375*(1-MIN((Inputs!$B$8+1)+((F385-Calc!F20)+(F384-Calc!F19)),100)/100)+M375*(MIN((Inputs!$B$8+1)+((F385-Calc!F20)+(F384-Calc!F19)),100)/100)</f>
        <v/>
      </c>
      <c r="O375">
        <f>IF(C375,H375*N375*IF(AND(Inputs!$B$4&lt;&gt;"pvp",Inputs!$B$35&gt;0),((Skills!F10*((S375-1)*IF(Skills!G10&gt;0,Skills!H10/Skills!G10,1)+IF(Skills!G10&gt;0,MIN(Skills!H10,MAX(0,Inputs!$B$35-((S375-1)*IF(Inputs!$B$4="pvp",15,MAX(0.1,Skills!D10-IF(Skills!E9=TRUE,Inputs!$B$31,0))))))/Skills!G10,1)))/Inputs!$B$35),G375*V375)*IF(Inputs!$B$4="pvp",1,(1-Summary!$B$51)*(1)+Summary!$B$51*(MIN(Skills!Q10,Inputs!$B$37))),0)</f>
        <v/>
      </c>
      <c r="P375">
        <f>IF(B399=0,0,O375/B399)</f>
        <v/>
      </c>
      <c r="S375">
        <f>IF(AND(Inputs!$B$4&lt;&gt;"pvp",Inputs!$B$35&gt;0),(INT(Inputs!$B$35/IF(Inputs!$B$4="pvp",15,MAX(0.1,Skills!D10-IF(Skills!E9=TRUE,Inputs!$B$31,0))))+1),0)</f>
        <v/>
      </c>
      <c r="V375">
        <f>IFERROR(1/IF(Inputs!$B$4="pvp",15,MAX(0.1,Skills!D10-IF(Skills!E9=TRUE,Inputs!$B$31,0))),0)</f>
        <v/>
      </c>
    </row>
    <row r="376">
      <c r="A376">
        <f>Skills!A11</f>
        <v/>
      </c>
      <c r="B376">
        <f>Skills!B11</f>
        <v/>
      </c>
      <c r="C376">
        <f>Inputs!$B$3&gt;=107</f>
        <v/>
      </c>
      <c r="D376">
        <f>IF(Skills!C11=1,60+Inputs!$B$24+Inputs!$B$28,IF(Skills!C11=2,90+Inputs!$B$25+Inputs!$B$28,IF(Skills!C11=3,120+Inputs!$B$26+Inputs!$B$28,MAX(0,(Inputs!$B$3-100)*3)+Inputs!$B$27+Inputs!$B$28)))</f>
        <v/>
      </c>
      <c r="E376">
        <f>INDEX(FactorTable!$B$2:$Y$301, MATCH(ROUND(MIN(300,MAX(1,D376)),0), FactorTable!$A$2:$A$301,0), Skills!L11+1)</f>
        <v/>
      </c>
      <c r="F376">
        <f>IF(Skills!M11=TRUE,(Skills!K11/10)*(E376/1000),Skills!K11/10)+Skills!N11</f>
        <v/>
      </c>
      <c r="G376">
        <f>Calc!G11</f>
        <v/>
      </c>
      <c r="H376">
        <f>Calc!H11</f>
        <v/>
      </c>
      <c r="I376">
        <f>IF(Skills!T11&lt;&gt;"",1+(Skills!T11/10)*(R368/1000)/100,1)</f>
        <v/>
      </c>
      <c r="J376">
        <f>((Inputs!$B$5*(1+Inputs!$B$6/100))+((Inputs!$B$11*(1+Inputs!$B$12/100))-(Inputs!$B$11*(1+Inputs!$B$12/100)))*(1+Inputs!$B$6/100))*(F376/100)</f>
        <v/>
      </c>
      <c r="K376">
        <f>J376*(1+((Inputs!$B$11*(1+Inputs!$B$12/100))*0.01+Inputs!$B$13*0.0025)/100)*(1+(Inputs!$B$14+B393)/100)*(1+IF(Inputs!$B$4="pvp",0,(1-Summary!$B$51)*(Inputs!$B$19+Skills!O11+B392)+Summary!$B$51*(Inputs!$B$20+Skills!P11+B392))/100)*(1+Inputs!$B$15/100)*(5000/(6000+Inputs!$B$7*(1-Inputs!$B$18/100)))*(1+Inputs!$B$23/100)*(1+IF(C380=TRUE,F380,0)/100)*(1+IF(C388=TRUE,F388,0)/100)^5*(1+(IF(Skills!A11="CHAIN_LIGHTNING",Inputs!$B$16,Inputs!$B$17))/100)*(B391*I376)</f>
        <v/>
      </c>
      <c r="L376">
        <f>K376*(MIN(Inputs!$B$21+(F383-Calc!F18),Inputs!$B$22)/100+Inputs!$B$22/100)/2</f>
        <v/>
      </c>
      <c r="M376">
        <f>L376*(1+(Inputs!$B$9+(F386-Calc!F21))/100)</f>
        <v/>
      </c>
      <c r="N376">
        <f>L376*(1-MIN((Inputs!$B$8+1)+((F385-Calc!F20)+(F384-Calc!F19)),100)/100)+M376*(MIN((Inputs!$B$8+1)+((F385-Calc!F20)+(F384-Calc!F19)),100)/100)</f>
        <v/>
      </c>
      <c r="O376">
        <f>IF(C376,H376*N376*IF(AND(Inputs!$B$4&lt;&gt;"pvp",Inputs!$B$35&gt;0),((Skills!F11*((S376-1)*IF(Skills!G11&gt;0,Skills!H11/Skills!G11,1)+IF(Skills!G11&gt;0,MIN(Skills!H11,MAX(0,Inputs!$B$35-((S376-1)*IF(Inputs!$B$4="pvp",15,MAX(0.1,Skills!D11-IF(Skills!E11=TRUE,Inputs!$B$31,0))))))/Skills!G11,1)))/Inputs!$B$35),G376*V376)*IF(Inputs!$B$4="pvp",0.5,(1-Summary!$B$51)*0.5+Summary!$B$51*1)*IF(Inputs!$B$4="pvp",1,(1-Summary!$B$51)*(1)+Summary!$B$51*(MIN(Skills!Q11,Inputs!$B$37))),0)</f>
        <v/>
      </c>
      <c r="P376">
        <f>IF(B399=0,0,O376/B399)</f>
        <v/>
      </c>
      <c r="S376">
        <f>IF(AND(Inputs!$B$4&lt;&gt;"pvp",Inputs!$B$35&gt;0),(INT(Inputs!$B$35/IF(Inputs!$B$4="pvp",15,MAX(0.1,Skills!D11-IF(Skills!E11=TRUE,Inputs!$B$31,0))))+1),0)</f>
        <v/>
      </c>
      <c r="V376">
        <f>IFERROR(1/IF(Inputs!$B$4="pvp",15,MAX(0.1,Skills!D11-IF(Skills!E11=TRUE,Inputs!$B$31,0))),0)</f>
        <v/>
      </c>
    </row>
    <row r="377">
      <c r="A377">
        <f>Skills!A12</f>
        <v/>
      </c>
      <c r="B377">
        <f>Skills!B12</f>
        <v/>
      </c>
      <c r="C377">
        <f>Inputs!$B$3&gt;=115</f>
        <v/>
      </c>
      <c r="D377">
        <f>IF(Skills!C12=1,60+Inputs!$B$24+Inputs!$B$28,IF(Skills!C12=2,90+Inputs!$B$25+Inputs!$B$28,IF(Skills!C12=3,120+Inputs!$B$26+Inputs!$B$28,MAX(0,(Inputs!$B$3-100)*3)+Inputs!$B$27+Inputs!$B$28)))</f>
        <v/>
      </c>
      <c r="E377">
        <f>INDEX(FactorTable!$B$2:$Y$301, MATCH(ROUND(MIN(300,MAX(1,D377)),0), FactorTable!$A$2:$A$301,0), Skills!L12+1)</f>
        <v/>
      </c>
      <c r="F377">
        <f>IF(Skills!M12=TRUE,(Skills!K12/10)*(E377/1000),Skills!K12/10)+Skills!N12</f>
        <v/>
      </c>
      <c r="G377">
        <f>Calc!G12</f>
        <v/>
      </c>
      <c r="H377">
        <f>Calc!H12</f>
        <v/>
      </c>
      <c r="I377">
        <f>IF(Skills!T12&lt;&gt;"",1+(Skills!T12/10)*(R368/1000)/100,1)</f>
        <v/>
      </c>
      <c r="J377">
        <f>((Inputs!$B$5*(1+Inputs!$B$6/100))+((Inputs!$B$11*(1+Inputs!$B$12/100))-(Inputs!$B$11*(1+Inputs!$B$12/100)))*(1+Inputs!$B$6/100))*(F377/100)</f>
        <v/>
      </c>
      <c r="K377">
        <f>J377*(1+((Inputs!$B$11*(1+Inputs!$B$12/100))*0.01+Inputs!$B$13*0.0025)/100)*(1+(Inputs!$B$14+B393)/100)*(1+IF(Inputs!$B$4="pvp",0,(1-Summary!$B$51)*(Inputs!$B$19+Skills!O12+B392)+Summary!$B$51*(Inputs!$B$20+Skills!P12+B392))/100)*(1+Inputs!$B$15/100)*(5000/(6000+Inputs!$B$7*(1-Inputs!$B$18/100)))*(1+Inputs!$B$23/100)*(1+IF(C380=TRUE,F380,0)/100)*(1+IF(C388=TRUE,F388,0)/100)^5*(1+(IF(Skills!A12="CHAIN_LIGHTNING",Inputs!$B$16,Inputs!$B$17))/100)*(B391*I377)</f>
        <v/>
      </c>
      <c r="L377">
        <f>K377*(MIN(Inputs!$B$21+(F383-Calc!F18),Inputs!$B$22)/100+Inputs!$B$22/100)/2</f>
        <v/>
      </c>
      <c r="M377">
        <f>L377*(1+(Inputs!$B$9+(F386-Calc!F21))/100)</f>
        <v/>
      </c>
      <c r="N377">
        <f>L377*(1-MIN((Inputs!$B$8+1)+((F385-Calc!F20)+(F384-Calc!F19)),100)/100)+M377*(MIN((Inputs!$B$8+1)+((F385-Calc!F20)+(F384-Calc!F19)),100)/100)</f>
        <v/>
      </c>
      <c r="O377">
        <f>IF(C377,H377*N377*IF(AND(Inputs!$B$4&lt;&gt;"pvp",Inputs!$B$35&gt;0),((Skills!F12*((S377-1)*IF(Skills!G12&gt;0,Skills!H12/Skills!G12,1)+IF(Skills!G12&gt;0,MIN(Skills!H12,MAX(0,Inputs!$B$35-((S377-1)*IF(Inputs!$B$4="pvp",15,MAX(0.1,Skills!D12-IF(Skills!E12=TRUE,Inputs!$B$31,0))))))/Skills!G12,1)))/Inputs!$B$35),G377*V377)*IF(Inputs!$B$4="pvp",1,(1-Summary!$B$51)*(1)+Summary!$B$51*(MIN(Skills!Q12,Inputs!$B$37))),0)</f>
        <v/>
      </c>
      <c r="P377">
        <f>IF(B399=0,0,O377/B399)</f>
        <v/>
      </c>
      <c r="S377">
        <f>IF(AND(Inputs!$B$4&lt;&gt;"pvp",Inputs!$B$35&gt;0),(INT(Inputs!$B$35/IF(Inputs!$B$4="pvp",15,MAX(0.1,Skills!D12-IF(Skills!E12=TRUE,Inputs!$B$31,0))))+1),0)</f>
        <v/>
      </c>
      <c r="V377">
        <f>IFERROR(1/IF(Inputs!$B$4="pvp",15,MAX(0.1,Skills!D12-IF(Skills!E12=TRUE,Inputs!$B$31,0))),0)</f>
        <v/>
      </c>
    </row>
    <row r="378">
      <c r="A378">
        <f>Skills!A13</f>
        <v/>
      </c>
      <c r="B378">
        <f>Skills!B13</f>
        <v/>
      </c>
      <c r="C378">
        <f>Inputs!$B$3&gt;=49</f>
        <v/>
      </c>
      <c r="D378">
        <f>IF(Skills!C13=1,60+Inputs!$B$24+Inputs!$B$28,IF(Skills!C13=2,90+Inputs!$B$25+Inputs!$B$28,IF(Skills!C13=3,120+Inputs!$B$26+Inputs!$B$28,MAX(0,(Inputs!$B$3-100)*3)+Inputs!$B$27+Inputs!$B$28)))</f>
        <v/>
      </c>
      <c r="E378">
        <f>INDEX(FactorTable!$B$2:$Y$301, MATCH(ROUND(MIN(300,MAX(1,D378)),0), FactorTable!$A$2:$A$301,0), Skills!L13+1)</f>
        <v/>
      </c>
      <c r="F378">
        <f>IF(Skills!M13=TRUE,(Skills!K13/10)*(E378/1000),Skills!K13/10)+Skills!N13</f>
        <v/>
      </c>
      <c r="G378">
        <f>Calc!G13</f>
        <v/>
      </c>
      <c r="H378">
        <f>Calc!H13</f>
        <v/>
      </c>
      <c r="I378">
        <f>IF(Skills!T13&lt;&gt;"",1+(Skills!T13/10)*(R368/1000)/100,1)</f>
        <v/>
      </c>
      <c r="J378" t="inlineStr"/>
      <c r="K378" t="inlineStr"/>
      <c r="L378" t="inlineStr"/>
      <c r="M378" t="inlineStr"/>
      <c r="N378" t="inlineStr"/>
      <c r="O378" t="n">
        <v>0</v>
      </c>
      <c r="P378">
        <f>IF(B399=0,0,O378/B399)</f>
        <v/>
      </c>
      <c r="S378" t="n">
        <v>0</v>
      </c>
      <c r="V378">
        <f>IFERROR(1/IF(Inputs!$B$4="pvp",15,MAX(0.1,Skills!D13-IF(Skills!E13=TRUE,Inputs!$B$31,0))),0)</f>
        <v/>
      </c>
    </row>
    <row r="379">
      <c r="A379">
        <f>Skills!A14</f>
        <v/>
      </c>
      <c r="B379">
        <f>Skills!B14</f>
        <v/>
      </c>
      <c r="C379">
        <f>Inputs!$B$3&gt;=72</f>
        <v/>
      </c>
      <c r="D379">
        <f>IF(Skills!C14=1,60+Inputs!$B$24+Inputs!$B$28,IF(Skills!C14=2,90+Inputs!$B$25+Inputs!$B$28,IF(Skills!C14=3,120+Inputs!$B$26+Inputs!$B$28,MAX(0,(Inputs!$B$3-100)*3)+Inputs!$B$27+Inputs!$B$28)))</f>
        <v/>
      </c>
      <c r="E379">
        <f>INDEX(FactorTable!$B$2:$Y$301, MATCH(ROUND(MIN(300,MAX(1,D379)),0), FactorTable!$A$2:$A$301,0), Skills!L14+1)</f>
        <v/>
      </c>
      <c r="F379">
        <f>IF(Skills!M14=TRUE,(Skills!K14/10)*(E379/1000),Skills!K14/10)+Skills!N14</f>
        <v/>
      </c>
      <c r="G379">
        <f>Calc!G14</f>
        <v/>
      </c>
      <c r="H379">
        <f>Calc!H14</f>
        <v/>
      </c>
      <c r="I379">
        <f>IF(Skills!T14&lt;&gt;"",1+(Skills!T14/10)*(R368/1000)/100,1)</f>
        <v/>
      </c>
      <c r="J379" t="inlineStr"/>
      <c r="K379" t="inlineStr"/>
      <c r="L379" t="inlineStr"/>
      <c r="M379" t="inlineStr"/>
      <c r="N379" t="inlineStr"/>
      <c r="O379" t="n">
        <v>0</v>
      </c>
      <c r="P379">
        <f>IF(B399=0,0,O379/B399)</f>
        <v/>
      </c>
      <c r="S379" t="n">
        <v>0</v>
      </c>
      <c r="V379">
        <f>IFERROR(1/IF(Inputs!$B$4="pvp",15,MAX(0.1,Skills!D14-IF(Skills!E14=TRUE,Inputs!$B$31,0))),0)</f>
        <v/>
      </c>
    </row>
    <row r="380">
      <c r="A380">
        <f>Skills!A15</f>
        <v/>
      </c>
      <c r="B380">
        <f>Skills!B15</f>
        <v/>
      </c>
      <c r="C380">
        <f>Inputs!$B$3&gt;=75</f>
        <v/>
      </c>
      <c r="D380">
        <f>IF(Skills!C15=1,60+Inputs!$B$24+Inputs!$B$28,IF(Skills!C15=2,90+Inputs!$B$25+Inputs!$B$28,IF(Skills!C15=3,120+Inputs!$B$26+Inputs!$B$28,MAX(0,(Inputs!$B$3-100)*3)+Inputs!$B$27+Inputs!$B$28)))</f>
        <v/>
      </c>
      <c r="E380">
        <f>INDEX(FactorTable!$B$2:$Y$301, MATCH(ROUND(MIN(300,MAX(1,D380)),0), FactorTable!$A$2:$A$301,0), Skills!L15+1)</f>
        <v/>
      </c>
      <c r="F380">
        <f>IF(Skills!M15=TRUE,(Skills!K15/10)*(E380/1000),Skills!K15/10)+Skills!N15</f>
        <v/>
      </c>
      <c r="G380">
        <f>Calc!G15</f>
        <v/>
      </c>
      <c r="H380">
        <f>Calc!H15</f>
        <v/>
      </c>
      <c r="I380">
        <f>IF(Skills!T15&lt;&gt;"",1+(Skills!T15/10)*(R368/1000)/100,1)</f>
        <v/>
      </c>
      <c r="J380" t="inlineStr"/>
      <c r="K380" t="inlineStr"/>
      <c r="L380" t="inlineStr"/>
      <c r="M380" t="inlineStr"/>
      <c r="N380" t="inlineStr"/>
      <c r="O380" t="n">
        <v>0</v>
      </c>
      <c r="P380">
        <f>IF(B399=0,0,O380/B399)</f>
        <v/>
      </c>
      <c r="S380" t="n">
        <v>0</v>
      </c>
      <c r="V380">
        <f>IFERROR(1/IF(Inputs!$B$4="pvp",15,MAX(0.1,Skills!D15-IF(Skills!E15=TRUE,Inputs!$B$31,0))),0)</f>
        <v/>
      </c>
    </row>
    <row r="381">
      <c r="A381">
        <f>Skills!A16</f>
        <v/>
      </c>
      <c r="B381">
        <f>Skills!B16</f>
        <v/>
      </c>
      <c r="C381">
        <f>Inputs!$B$3&gt;=110</f>
        <v/>
      </c>
      <c r="D381">
        <f>IF(Skills!C16=1,60+Inputs!$B$24+Inputs!$B$28,IF(Skills!C16=2,90+Inputs!$B$25+Inputs!$B$28,IF(Skills!C16=3,120+Inputs!$B$26+Inputs!$B$28,MAX(0,(Inputs!$B$3-100)*3)+Inputs!$B$27+Inputs!$B$28)))</f>
        <v/>
      </c>
      <c r="E381">
        <f>INDEX(FactorTable!$B$2:$Y$301, MATCH(ROUND(MIN(300,MAX(1,D381)),0), FactorTable!$A$2:$A$301,0), Skills!L16+1)</f>
        <v/>
      </c>
      <c r="F381">
        <f>(Skills!K16/10)*(E381/1000)*64/45+Skills!N16</f>
        <v/>
      </c>
      <c r="G381">
        <f>Calc!G16</f>
        <v/>
      </c>
      <c r="H381">
        <f>Calc!H16</f>
        <v/>
      </c>
      <c r="I381">
        <f>IF(Skills!T16&lt;&gt;"",1+(Skills!T16/10)*(R368/1000)/100,1)</f>
        <v/>
      </c>
      <c r="J381" t="inlineStr"/>
      <c r="K381" t="inlineStr"/>
      <c r="L381" t="inlineStr"/>
      <c r="M381" t="inlineStr"/>
      <c r="N381" t="inlineStr"/>
      <c r="O381" t="n">
        <v>0</v>
      </c>
      <c r="P381">
        <f>IF(B399=0,0,O381/B399)</f>
        <v/>
      </c>
      <c r="S381">
        <f>IF(AND(Inputs!$B$4&lt;&gt;"pvp",Inputs!$B$35&gt;0),(INT(Inputs!$B$35/IF(Inputs!$B$4="pvp",15,MAX(0.1,Skills!D16-IF(Skills!E16=TRUE,Inputs!$B$31,0))))+1),0)</f>
        <v/>
      </c>
      <c r="V381">
        <f>IFERROR(1/IF(Inputs!$B$4="pvp",15,MAX(0.1,Skills!D16-IF(Skills!E16=TRUE,Inputs!$B$31,0))),0)</f>
        <v/>
      </c>
    </row>
    <row r="382">
      <c r="A382">
        <f>Skills!A17</f>
        <v/>
      </c>
      <c r="B382">
        <f>Skills!B17</f>
        <v/>
      </c>
      <c r="C382">
        <f>Inputs!$B$3&gt;=33</f>
        <v/>
      </c>
      <c r="D382">
        <f>IF(Skills!C17=1,60+Inputs!$B$24+Inputs!$B$28,IF(Skills!C17=2,90+Inputs!$B$25+Inputs!$B$28,IF(Skills!C17=3,120+Inputs!$B$26+Inputs!$B$28,MAX(0,(Inputs!$B$3-100)*3)+Inputs!$B$27+Inputs!$B$28)))</f>
        <v/>
      </c>
      <c r="E382">
        <f>INDEX(FactorTable!$B$2:$Y$301, MATCH(ROUND(MIN(300,MAX(1,D382)),0), FactorTable!$A$2:$A$301,0), Skills!L17+1)</f>
        <v/>
      </c>
      <c r="F382">
        <f>IF(Skills!M17=TRUE,(Skills!K17/10)*(E382/1000),Skills!K17/10)+Skills!N17</f>
        <v/>
      </c>
      <c r="G382">
        <f>Calc!G17</f>
        <v/>
      </c>
      <c r="H382">
        <f>Calc!H17</f>
        <v/>
      </c>
      <c r="I382">
        <f>IF(Skills!T17&lt;&gt;"",1+(Skills!T17/10)*(R368/1000)/100,1)</f>
        <v/>
      </c>
      <c r="J382" t="inlineStr"/>
      <c r="K382" t="inlineStr"/>
      <c r="L382" t="inlineStr"/>
      <c r="M382" t="inlineStr"/>
      <c r="N382" t="inlineStr"/>
      <c r="O382" t="n">
        <v>0</v>
      </c>
      <c r="P382">
        <f>IF(B399=0,0,O382/B399)</f>
        <v/>
      </c>
      <c r="S382" t="n">
        <v>0</v>
      </c>
      <c r="V382">
        <f>IFERROR(1/IF(Inputs!$B$4="pvp",15,MAX(0.1,Skills!D17-IF(Skills!E17=TRUE,Inputs!$B$31,0))),0)</f>
        <v/>
      </c>
    </row>
    <row r="383">
      <c r="A383">
        <f>Skills!A18</f>
        <v/>
      </c>
      <c r="B383">
        <f>Skills!B18</f>
        <v/>
      </c>
      <c r="C383">
        <f>Inputs!$B$3&gt;=43</f>
        <v/>
      </c>
      <c r="D383">
        <f>IF(Skills!C18=1,60+Inputs!$B$24+Inputs!$B$28,IF(Skills!C18=2,90+Inputs!$B$25+Inputs!$B$28,IF(Skills!C18=3,120+Inputs!$B$26+Inputs!$B$28,MAX(0,(Inputs!$B$3-100)*3)+Inputs!$B$27+Inputs!$B$28)))</f>
        <v/>
      </c>
      <c r="E383">
        <f>INDEX(FactorTable!$B$2:$Y$301, MATCH(ROUND(MIN(300,MAX(1,D383)),0), FactorTable!$A$2:$A$301,0), Skills!L18+1)</f>
        <v/>
      </c>
      <c r="F383">
        <f>IF(Skills!M18=TRUE,(Skills!K18/10)*(E383/1000),Skills!K18/10)+Skills!N18</f>
        <v/>
      </c>
      <c r="G383">
        <f>Calc!G18</f>
        <v/>
      </c>
      <c r="H383">
        <f>Calc!H18</f>
        <v/>
      </c>
      <c r="I383">
        <f>IF(Skills!T18&lt;&gt;"",1+(Skills!T18/10)*(R368/1000)/100,1)</f>
        <v/>
      </c>
      <c r="J383" t="inlineStr"/>
      <c r="K383" t="inlineStr"/>
      <c r="L383" t="inlineStr"/>
      <c r="M383" t="inlineStr"/>
      <c r="N383" t="inlineStr"/>
      <c r="O383" t="n">
        <v>0</v>
      </c>
      <c r="P383">
        <f>IF(B399=0,0,O383/B399)</f>
        <v/>
      </c>
      <c r="S383" t="n">
        <v>0</v>
      </c>
      <c r="V383">
        <f>IFERROR(1/IF(Inputs!$B$4="pvp",15,MAX(0.1,Skills!D18-IF(Skills!E18=TRUE,Inputs!$B$31,0))),0)</f>
        <v/>
      </c>
    </row>
    <row r="384">
      <c r="A384">
        <f>Skills!A19</f>
        <v/>
      </c>
      <c r="B384">
        <f>Skills!B19</f>
        <v/>
      </c>
      <c r="C384">
        <f>Inputs!$B$3&gt;=50</f>
        <v/>
      </c>
      <c r="D384">
        <f>IF(Skills!C19=1,60+Inputs!$B$24+Inputs!$B$28,IF(Skills!C19=2,90+Inputs!$B$25+Inputs!$B$28,IF(Skills!C19=3,120+Inputs!$B$26+Inputs!$B$28,MAX(0,(Inputs!$B$3-100)*3)+Inputs!$B$27+Inputs!$B$28)))</f>
        <v/>
      </c>
      <c r="E384">
        <f>INDEX(FactorTable!$B$2:$Y$301, MATCH(ROUND(MIN(300,MAX(1,D384)),0), FactorTable!$A$2:$A$301,0), Skills!L19+1)</f>
        <v/>
      </c>
      <c r="F384">
        <f>IF(Skills!M19=TRUE,(Skills!K19/10)*(E384/1000),Skills!K19/10)+Skills!N19</f>
        <v/>
      </c>
      <c r="G384">
        <f>Calc!G19</f>
        <v/>
      </c>
      <c r="H384">
        <f>Calc!H19</f>
        <v/>
      </c>
      <c r="I384">
        <f>IF(Skills!T19&lt;&gt;"",1+(Skills!T19/10)*(R368/1000)/100,1)</f>
        <v/>
      </c>
      <c r="J384" t="inlineStr"/>
      <c r="K384" t="inlineStr"/>
      <c r="L384" t="inlineStr"/>
      <c r="M384" t="inlineStr"/>
      <c r="N384" t="inlineStr"/>
      <c r="O384" t="n">
        <v>0</v>
      </c>
      <c r="P384">
        <f>IF(B399=0,0,O384/B399)</f>
        <v/>
      </c>
      <c r="S384" t="n">
        <v>0</v>
      </c>
      <c r="V384">
        <f>IFERROR(1/IF(Inputs!$B$4="pvp",15,MAX(0.1,Skills!D19-IF(Skills!E19=TRUE,Inputs!$B$31,0))),0)</f>
        <v/>
      </c>
    </row>
    <row r="385">
      <c r="A385">
        <f>Skills!A20</f>
        <v/>
      </c>
      <c r="B385">
        <f>Skills!B20</f>
        <v/>
      </c>
      <c r="C385">
        <f>Inputs!$B$3&gt;=74</f>
        <v/>
      </c>
      <c r="D385">
        <f>IF(Skills!C20=1,60+Inputs!$B$24+Inputs!$B$28,IF(Skills!C20=2,90+Inputs!$B$25+Inputs!$B$28,IF(Skills!C20=3,120+Inputs!$B$26+Inputs!$B$28,MAX(0,(Inputs!$B$3-100)*3)+Inputs!$B$27+Inputs!$B$28)))</f>
        <v/>
      </c>
      <c r="E385">
        <f>INDEX(FactorTable!$B$2:$Y$301, MATCH(ROUND(MIN(300,MAX(1,D385)),0), FactorTable!$A$2:$A$301,0), Skills!L20+1)</f>
        <v/>
      </c>
      <c r="F385">
        <f>IF(Skills!M20=TRUE,(Skills!K20/10)*(E385/1000),Skills!K20/10)+Skills!N20</f>
        <v/>
      </c>
      <c r="G385">
        <f>Calc!G20</f>
        <v/>
      </c>
      <c r="H385">
        <f>Calc!H20</f>
        <v/>
      </c>
      <c r="I385">
        <f>IF(Skills!T20&lt;&gt;"",1+(Skills!T20/10)*(R368/1000)/100,1)</f>
        <v/>
      </c>
      <c r="J385" t="inlineStr"/>
      <c r="K385" t="inlineStr"/>
      <c r="L385" t="inlineStr"/>
      <c r="M385" t="inlineStr"/>
      <c r="N385" t="inlineStr"/>
      <c r="O385" t="n">
        <v>0</v>
      </c>
      <c r="P385">
        <f>IF(B399=0,0,O385/B399)</f>
        <v/>
      </c>
      <c r="S385" t="n">
        <v>0</v>
      </c>
      <c r="V385">
        <f>IFERROR(1/IF(Inputs!$B$4="pvp",15,MAX(0.1,Skills!D20-IF(Skills!E20=TRUE,Inputs!$B$31,0))),0)</f>
        <v/>
      </c>
    </row>
    <row r="386">
      <c r="A386">
        <f>Skills!A21</f>
        <v/>
      </c>
      <c r="B386">
        <f>Skills!B21</f>
        <v/>
      </c>
      <c r="C386">
        <f>Inputs!$B$3&gt;=74</f>
        <v/>
      </c>
      <c r="D386">
        <f>IF(Skills!C21=1,60+Inputs!$B$24+Inputs!$B$28,IF(Skills!C21=2,90+Inputs!$B$25+Inputs!$B$28,IF(Skills!C21=3,120+Inputs!$B$26+Inputs!$B$28,MAX(0,(Inputs!$B$3-100)*3)+Inputs!$B$27+Inputs!$B$28)))</f>
        <v/>
      </c>
      <c r="E386">
        <f>INDEX(FactorTable!$B$2:$Y$301, MATCH(ROUND(MIN(300,MAX(1,D386)),0), FactorTable!$A$2:$A$301,0), Skills!L21+1)</f>
        <v/>
      </c>
      <c r="F386">
        <f>IF(Skills!M21=TRUE,(Skills!K21/10)*(E386/1000),Skills!K21/10)+Skills!N21</f>
        <v/>
      </c>
      <c r="G386">
        <f>Calc!G21</f>
        <v/>
      </c>
      <c r="H386">
        <f>Calc!H21</f>
        <v/>
      </c>
      <c r="I386">
        <f>IF(Skills!T21&lt;&gt;"",1+(Skills!T21/10)*(R368/1000)/100,1)</f>
        <v/>
      </c>
      <c r="J386" t="inlineStr"/>
      <c r="K386" t="inlineStr"/>
      <c r="L386" t="inlineStr"/>
      <c r="M386" t="inlineStr"/>
      <c r="N386" t="inlineStr"/>
      <c r="O386" t="n">
        <v>0</v>
      </c>
      <c r="P386">
        <f>IF(B399=0,0,O386/B399)</f>
        <v/>
      </c>
      <c r="S386" t="n">
        <v>0</v>
      </c>
      <c r="V386">
        <f>IFERROR(1/IF(Inputs!$B$4="pvp",15,MAX(0.1,Skills!D21-IF(Skills!E21=TRUE,Inputs!$B$31,0))),0)</f>
        <v/>
      </c>
    </row>
    <row r="387">
      <c r="A387">
        <f>Skills!A22</f>
        <v/>
      </c>
      <c r="B387">
        <f>Skills!B22</f>
        <v/>
      </c>
      <c r="C387">
        <f>Inputs!$B$3&gt;=117</f>
        <v/>
      </c>
      <c r="D387">
        <f>IF(Skills!C22=1,60+Inputs!$B$24+Inputs!$B$28,IF(Skills!C22=2,90+Inputs!$B$25+Inputs!$B$28,IF(Skills!C22=3,120+Inputs!$B$26+Inputs!$B$28,MAX(0,(Inputs!$B$3-100)*3)+Inputs!$B$27+Inputs!$B$28)))</f>
        <v/>
      </c>
      <c r="E387">
        <f>INDEX(FactorTable!$B$2:$Y$301, MATCH(ROUND(MIN(300,MAX(1,D387)),0), FactorTable!$A$2:$A$301,0), Skills!L22+1)</f>
        <v/>
      </c>
      <c r="F387">
        <f>IF(Skills!M22=TRUE,(Skills!K22/10)*(E387/1000),Skills!K22/10)+Skills!N22</f>
        <v/>
      </c>
      <c r="G387">
        <f>Calc!G22</f>
        <v/>
      </c>
      <c r="H387">
        <f>Calc!H22</f>
        <v/>
      </c>
      <c r="I387">
        <f>IF(Skills!T22&lt;&gt;"",1+(Skills!T22/10)*(R368/1000)/100,1)</f>
        <v/>
      </c>
      <c r="J387" t="inlineStr"/>
      <c r="K387" t="inlineStr"/>
      <c r="L387" t="inlineStr"/>
      <c r="M387" t="inlineStr"/>
      <c r="N387" t="inlineStr"/>
      <c r="O387" t="n">
        <v>0</v>
      </c>
      <c r="P387">
        <f>IF(B399=0,0,O387/B399)</f>
        <v/>
      </c>
      <c r="S387" t="n">
        <v>0</v>
      </c>
      <c r="V387">
        <f>IFERROR(1/IF(Inputs!$B$4="pvp",15,MAX(0.1,Skills!D22-IF(Skills!E22=TRUE,Inputs!$B$31,0))),0)</f>
        <v/>
      </c>
    </row>
    <row r="388">
      <c r="A388">
        <f>Skills!A23</f>
        <v/>
      </c>
      <c r="B388">
        <f>Skills!B23</f>
        <v/>
      </c>
      <c r="C388">
        <f>Inputs!$B$3&gt;=120</f>
        <v/>
      </c>
      <c r="D388">
        <f>IF(Skills!C23=1,60+Inputs!$B$24+Inputs!$B$28,IF(Skills!C23=2,90+Inputs!$B$25+Inputs!$B$28,IF(Skills!C23=3,120+Inputs!$B$26+Inputs!$B$28,MAX(0,(Inputs!$B$3-100)*3)+Inputs!$B$27+Inputs!$B$28)))</f>
        <v/>
      </c>
      <c r="E388">
        <f>INDEX(FactorTable!$B$2:$Y$301, MATCH(ROUND(MIN(300,MAX(1,D388)),0), FactorTable!$A$2:$A$301,0), Skills!L23+1)</f>
        <v/>
      </c>
      <c r="F388">
        <f>IF(Skills!M23=TRUE,(Skills!K23/10)*(E388/1000),Skills!K23/10)+Skills!N23</f>
        <v/>
      </c>
      <c r="G388">
        <f>Calc!G23</f>
        <v/>
      </c>
      <c r="H388">
        <f>Calc!H23</f>
        <v/>
      </c>
      <c r="I388">
        <f>IF(Skills!T23&lt;&gt;"",1+(Skills!T23/10)*(R368/1000)/100,1)</f>
        <v/>
      </c>
      <c r="J388" t="inlineStr"/>
      <c r="K388" t="inlineStr"/>
      <c r="L388" t="inlineStr"/>
      <c r="M388" t="inlineStr"/>
      <c r="N388" t="inlineStr"/>
      <c r="O388" t="n">
        <v>0</v>
      </c>
      <c r="P388">
        <f>IF(B399=0,0,O388/B399)</f>
        <v/>
      </c>
      <c r="S388" t="n">
        <v>0</v>
      </c>
      <c r="V388">
        <f>IFERROR(1/IF(Inputs!$B$4="pvp",15,MAX(0.1,Skills!D23-IF(Skills!E23=TRUE,Inputs!$B$31,0))),0)</f>
        <v/>
      </c>
    </row>
    <row r="391">
      <c r="A391" t="inlineStr">
        <is>
          <t>Average Buff Multiplier (Magic Guard + Meditation, summed; then Infinity)</t>
        </is>
      </c>
      <c r="B391">
        <f>(1+(IF(C368=TRUE,F368*IF(AND(Inputs!$B$4&lt;&gt;"pvp",Inputs!$B$35&gt;0),(((S368-1)*(Skills!S3*(1+(Inputs!$B$33+IF(Inputs!$B$3&gt;=117,F387,0))/100))+MIN((Skills!S3*(1+(Inputs!$B$33+IF(Inputs!$B$3&gt;=117,F387,0))/100)),MAX(0,Inputs!$B$35-((S368-1)*Skills!D3))))/Inputs!$B$35),IF(Inputs!$B$4="pvp",MIN((Skills!S3*(1+(Inputs!$B$33+IF(Inputs!$B$3&gt;=117,F387,0))/100)),15)/15,(Skills!S3*(1+(Inputs!$B$33+IF(Inputs!$B$3&gt;=117,F387,0))/100))/Skills!D3)),0)+IF(C369=TRUE,F369*IF(AND(Inputs!$B$4&lt;&gt;"pvp",Inputs!$B$35&gt;0),(((S369-1)*(Skills!S4*(1+(Inputs!$B$33+IF(Inputs!$B$3&gt;=117,F387,0))/100))+MIN((Skills!S4*(1+(Inputs!$B$33+IF(Inputs!$B$3&gt;=117,F387,0))/100)),MAX(0,Inputs!$B$35-((S369-1)*Skills!D4))))/Inputs!$B$35),IF(Inputs!$B$4="pvp",MIN((Skills!S4*(1+(Inputs!$B$33+IF(Inputs!$B$3&gt;=117,F387,0))/100)),15)/15,(Skills!S4*(1+(Inputs!$B$33+IF(Inputs!$B$3&gt;=117,F387,0))/100))/Skills!D4)),0))/100)*IF(C381=TRUE,(1+F381*IF(AND(Inputs!$B$4&lt;&gt;"pvp",Inputs!$B$35&gt;0),(((S381-1)*(Skills!S16*(1+(Inputs!$B$33+IF(Inputs!$B$3&gt;=117,F387,0))/100))+MIN((Skills!S16*(1+(Inputs!$B$33+IF(Inputs!$B$3&gt;=117,F387,0))/100)),MAX(0,Inputs!$B$35-((S381-1)*Skills!D16))))/Inputs!$B$35),IF(Inputs!$B$4="pvp",MIN((Skills!S16*(1+(Inputs!$B$33+IF(Inputs!$B$3&gt;=117,F387,0))/100)),15)/15,(Skills!S16*(1+(Inputs!$B$33+IF(Inputs!$B$3&gt;=117,F387,0))/100))/Skills!D16))/100),1)</f>
        <v/>
      </c>
    </row>
    <row r="392">
      <c r="A392" t="inlineStr">
        <is>
          <t>Monster Damage Taken Bonus % (Freezing Breath - Weaken + Elemental Reset, summed)</t>
        </is>
      </c>
      <c r="B392">
        <f>IF(Inputs!$B$3&gt;=118,15*IF(Inputs!$B$4="pvp",MIN((30*(1+(Inputs!$B$33+IF(Inputs!$B$3&gt;=117,F387,0))/100)),15)/15,(30*(1+(Inputs!$B$33+IF(Inputs!$B$3&gt;=117,F387,0))/100))/Skills!D8),0)+IF(C379=TRUE,F379,0)</f>
        <v/>
      </c>
    </row>
    <row r="393">
      <c r="A393" t="inlineStr">
        <is>
          <t>Damage % Bonus (Frozen Break + Frost Clutch, flat)</t>
        </is>
      </c>
      <c r="B393">
        <f>IF(Inputs!$B$3&gt;=66,15,0)+IF(Inputs!$B$3&gt;=98,10,0)+IF(Inputs!$B$3&gt;=125,20,0)</f>
        <v/>
      </c>
    </row>
    <row r="394">
      <c r="A394" t="inlineStr">
        <is>
          <t>Attack Speed Bonus % (MP Eater - MP Boost, always-on once unlocked)</t>
        </is>
      </c>
      <c r="B394">
        <f>IF(C378=TRUE,F378+(F382-Calc!F17),0)</f>
        <v/>
      </c>
    </row>
    <row r="395">
      <c r="A395" t="inlineStr">
        <is>
          <t>Actions Per Second</t>
        </is>
      </c>
      <c r="B395">
        <f>1+MIN(150,150*(1-(1-Inputs!$B$10/150)*(1-B394/150)))/100</f>
        <v/>
      </c>
    </row>
    <row r="396">
      <c r="A396" t="inlineStr">
        <is>
          <t>Skill + Buff Cast Rate</t>
        </is>
      </c>
      <c r="B396">
        <f>IF(AND(Inputs!$B$4&lt;&gt;"pvp",Inputs!$B$35&gt;0),SUMPRODUCT((Skills!E2:E23=TRUE)*(C367:C388=TRUE)*S367:S388)/Inputs!$B$35,SUMPRODUCT((Skills!E2:E23=TRUE)*(C367:C388=TRUE)*V367:V388))</f>
        <v/>
      </c>
    </row>
    <row r="397">
      <c r="A397" t="inlineStr">
        <is>
          <t>Chain Lightning Casts Per Second</t>
        </is>
      </c>
      <c r="B397">
        <f>MAX(0,B395-B396)</f>
        <v/>
      </c>
    </row>
    <row r="399">
      <c r="A399" s="5" t="inlineStr">
        <is>
          <t>TOTAL DPS</t>
        </is>
      </c>
      <c r="B399" s="5">
        <f>SUM(O367:O388)</f>
        <v/>
      </c>
    </row>
    <row r="402">
      <c r="A402" s="5" t="inlineStr">
        <is>
          <t>Stat: CRIT_DAMAGE %</t>
        </is>
      </c>
    </row>
    <row r="403">
      <c r="A403" s="8" t="inlineStr">
        <is>
          <t>Key</t>
        </is>
      </c>
      <c r="B403" s="8" t="inlineStr">
        <is>
          <t>Name</t>
        </is>
      </c>
      <c r="C403" s="8" t="inlineStr">
        <is>
          <t>Unlocked</t>
        </is>
      </c>
      <c r="D403" s="8" t="inlineStr">
        <is>
          <t>InputLevel</t>
        </is>
      </c>
      <c r="E403" s="8" t="inlineStr">
        <is>
          <t>Factor</t>
        </is>
      </c>
      <c r="F403" s="8" t="inlineStr">
        <is>
          <t>CoefficientPercent</t>
        </is>
      </c>
      <c r="G403" s="8" t="inlineStr">
        <is>
          <t>EffectiveHits</t>
        </is>
      </c>
      <c r="H403" s="8" t="inlineStr">
        <is>
          <t>ProcProbability</t>
        </is>
      </c>
      <c r="I403" s="8" t="inlineStr">
        <is>
          <t>MapleHeroMultiplier</t>
        </is>
      </c>
      <c r="J403" s="8" t="inlineStr">
        <is>
          <t>BaseDamage</t>
        </is>
      </c>
      <c r="K403" s="8" t="inlineStr">
        <is>
          <t>BaseHitDamage</t>
        </is>
      </c>
      <c r="L403" s="8" t="inlineStr">
        <is>
          <t>NonCritAvg</t>
        </is>
      </c>
      <c r="M403" s="8" t="inlineStr">
        <is>
          <t>CritAvg</t>
        </is>
      </c>
      <c r="N403" s="8" t="inlineStr">
        <is>
          <t>ExpectedDamage(perHit)</t>
        </is>
      </c>
      <c r="O403" s="8" t="inlineStr">
        <is>
          <t>DPS</t>
        </is>
      </c>
      <c r="P403" s="8" t="inlineStr">
        <is>
          <t>% of Total</t>
        </is>
      </c>
      <c r="R403" t="inlineStr">
        <is>
          <t>helpers</t>
        </is>
      </c>
    </row>
    <row r="404">
      <c r="A404">
        <f>Skills!A2</f>
        <v/>
      </c>
      <c r="B404">
        <f>Skills!B2</f>
        <v/>
      </c>
      <c r="C404">
        <f>Inputs!$B$3&gt;=100</f>
        <v/>
      </c>
      <c r="D404" t="inlineStr"/>
      <c r="E404" t="inlineStr"/>
      <c r="F404">
        <f>T406+Skills!N2</f>
        <v/>
      </c>
      <c r="G404">
        <f>Calc!G2</f>
        <v/>
      </c>
      <c r="H404">
        <f>Calc!H2</f>
        <v/>
      </c>
      <c r="I404">
        <f>IF(Skills!T2&lt;&gt;"",1+(Skills!T2/10)*(R405/1000)/100,1)</f>
        <v/>
      </c>
      <c r="J404">
        <f>((Inputs!$B$5*(1+Inputs!$B$6/100))+((Inputs!$B$11*(1+Inputs!$B$12/100))-(Inputs!$B$11*(1+Inputs!$B$12/100)))*(1+Inputs!$B$6/100))*(F404/100)</f>
        <v/>
      </c>
      <c r="K404">
        <f>J404*(1+((Inputs!$B$11*(1+Inputs!$B$12/100))*0.01+Inputs!$B$13*0.0025)/100)*(1+(Inputs!$B$14+B430)/100)*(1+IF(Inputs!$B$4="pvp",0,(1-Summary!$B$51)*(Inputs!$B$19+Skills!O2+B429)+Summary!$B$51*(Inputs!$B$20+Skills!P2+B429))/100)*(1+Inputs!$B$15/100)*(5000/(6000+Inputs!$B$7*(1-Inputs!$B$18/100)))*(1+Inputs!$B$23/100)*(1+IF(C417=TRUE,F417,0)/100)*(1+IF(C425=TRUE,F425,0)/100)^5*(1+(IF(Skills!A2="CHAIN_LIGHTNING",Inputs!$B$16,Inputs!$B$17))/100)*(B428*I404)</f>
        <v/>
      </c>
      <c r="L404">
        <f>K404*(MIN(Inputs!$B$21+(F420-Calc!F18),Inputs!$B$22)/100+Inputs!$B$22/100)/2</f>
        <v/>
      </c>
      <c r="M404">
        <f>L404*(1+((Inputs!$B$9+1)+(F423-Calc!F21))/100)</f>
        <v/>
      </c>
      <c r="N404">
        <f>L404*(1-MIN(Inputs!$B$8+((F422-Calc!F20)+(F421-Calc!F19)),100)/100)+M404*(MIN(Inputs!$B$8+((F422-Calc!F20)+(F421-Calc!F19)),100)/100)</f>
        <v/>
      </c>
      <c r="O404">
        <f>IF(C404,Skills!F2*N404*B434*IF(Inputs!$B$4="pvp",1,(1-Summary!$B$51)*(1)+Summary!$B$51*(MIN((6+Inputs!$B$32),Inputs!$B$37))),0)</f>
        <v/>
      </c>
      <c r="P404">
        <f>IF(B436=0,0,O404/B436)</f>
        <v/>
      </c>
      <c r="R404">
        <f>MAX(0,(Inputs!$B$3-100)*3)+Inputs!$B$27+Inputs!$B$28</f>
        <v/>
      </c>
      <c r="S404" t="n">
        <v>0</v>
      </c>
      <c r="T404">
        <f>MAX(0,(Inputs!$B$3-100)*3)+Inputs!$B$27+Inputs!$B$28</f>
        <v/>
      </c>
      <c r="V404">
        <f>IFERROR(1/IF(Inputs!$B$4="pvp",15,MAX(0.1,Skills!D2-IF(Skills!E2=TRUE,Inputs!$B$31,0))),0)</f>
        <v/>
      </c>
    </row>
    <row r="405">
      <c r="A405">
        <f>Skills!A3</f>
        <v/>
      </c>
      <c r="B405">
        <f>Skills!B3</f>
        <v/>
      </c>
      <c r="C405">
        <f>Inputs!$B$3&gt;=15</f>
        <v/>
      </c>
      <c r="D405">
        <f>IF(Skills!C3=1,60+Inputs!$B$24+Inputs!$B$28,IF(Skills!C3=2,90+Inputs!$B$25+Inputs!$B$28,IF(Skills!C3=3,120+Inputs!$B$26+Inputs!$B$28,MAX(0,(Inputs!$B$3-100)*3)+Inputs!$B$27+Inputs!$B$28)))</f>
        <v/>
      </c>
      <c r="E405">
        <f>INDEX(FactorTable!$B$2:$Y$301, MATCH(ROUND(MIN(300,MAX(1,D405)),0), FactorTable!$A$2:$A$301,0), Skills!L3+1)</f>
        <v/>
      </c>
      <c r="F405">
        <f>IF(Skills!M3=TRUE,(Skills!K3/10)*(E405/1000),Skills!K3/10)+Skills!N3</f>
        <v/>
      </c>
      <c r="G405">
        <f>Calc!G3</f>
        <v/>
      </c>
      <c r="H405">
        <f>Calc!H3</f>
        <v/>
      </c>
      <c r="I405">
        <f>IF(Skills!T3&lt;&gt;"",1+(Skills!T3/10)*(R405/1000)/100,1)</f>
        <v/>
      </c>
      <c r="J405" t="inlineStr"/>
      <c r="K405" t="inlineStr"/>
      <c r="L405" t="inlineStr"/>
      <c r="M405" t="inlineStr"/>
      <c r="N405" t="inlineStr"/>
      <c r="O405" t="n">
        <v>0</v>
      </c>
      <c r="P405">
        <f>IF(B436=0,0,O405/B436)</f>
        <v/>
      </c>
      <c r="R405">
        <f>INDEX(FactorTable!$B$2:$Y$301, MATCH(ROUND(MIN(300,MAX(1,R404)),0), FactorTable!$A$2:$A$301,0), 24)</f>
        <v/>
      </c>
      <c r="S405">
        <f>IF(AND(Inputs!$B$4&lt;&gt;"pvp",Inputs!$B$35&gt;0),(INT(Inputs!$B$35/IF(Inputs!$B$4="pvp",15,MAX(0.1,Skills!D3-IF(Skills!E3=TRUE,Inputs!$B$31,0))))+1),0)</f>
        <v/>
      </c>
      <c r="T405">
        <f>INDEX(FactorTable!$B$2:$Y$301, MATCH(ROUND(MIN(300,MAX(1,T404)),0), FactorTable!$A$2:$A$301,0), 22)</f>
        <v/>
      </c>
      <c r="V405">
        <f>IFERROR(1/IF(Inputs!$B$4="pvp",15,MAX(0.1,Skills!D3-IF(Skills!E3=TRUE,Inputs!$B$31,0))),0)</f>
        <v/>
      </c>
    </row>
    <row r="406">
      <c r="A406">
        <f>Skills!A4</f>
        <v/>
      </c>
      <c r="B406">
        <f>Skills!B4</f>
        <v/>
      </c>
      <c r="C406">
        <f>Inputs!$B$3&gt;=40</f>
        <v/>
      </c>
      <c r="D406">
        <f>IF(Skills!C4=1,60+Inputs!$B$24+Inputs!$B$28,IF(Skills!C4=2,90+Inputs!$B$25+Inputs!$B$28,IF(Skills!C4=3,120+Inputs!$B$26+Inputs!$B$28,MAX(0,(Inputs!$B$3-100)*3)+Inputs!$B$27+Inputs!$B$28)))</f>
        <v/>
      </c>
      <c r="E406">
        <f>INDEX(FactorTable!$B$2:$Y$301, MATCH(ROUND(MIN(300,MAX(1,D406)),0), FactorTable!$A$2:$A$301,0), Skills!L4+1)</f>
        <v/>
      </c>
      <c r="F406">
        <f>IF(Skills!M4=TRUE,(Skills!K4/10)*(E406/1000),Skills!K4/10)+Skills!N4</f>
        <v/>
      </c>
      <c r="G406">
        <f>Calc!G4</f>
        <v/>
      </c>
      <c r="H406">
        <f>Calc!H4</f>
        <v/>
      </c>
      <c r="I406">
        <f>IF(Skills!T4&lt;&gt;"",1+(Skills!T4/10)*(R405/1000)/100,1)</f>
        <v/>
      </c>
      <c r="J406" t="inlineStr"/>
      <c r="K406" t="inlineStr"/>
      <c r="L406" t="inlineStr"/>
      <c r="M406" t="inlineStr"/>
      <c r="N406" t="inlineStr"/>
      <c r="O406" t="n">
        <v>0</v>
      </c>
      <c r="P406">
        <f>IF(B436=0,0,O406/B436)</f>
        <v/>
      </c>
      <c r="S406">
        <f>IF(AND(Inputs!$B$4&lt;&gt;"pvp",Inputs!$B$35&gt;0),(INT(Inputs!$B$35/IF(Inputs!$B$4="pvp",15,MAX(0.1,Skills!D4-IF(Skills!E4=TRUE,Inputs!$B$31,0))))+1),0)</f>
        <v/>
      </c>
      <c r="T406">
        <f>290*T405/1000</f>
        <v/>
      </c>
      <c r="V406">
        <f>IFERROR(1/IF(Inputs!$B$4="pvp",15,MAX(0.1,Skills!D4-IF(Skills!E4=TRUE,Inputs!$B$31,0))),0)</f>
        <v/>
      </c>
    </row>
    <row r="407">
      <c r="A407">
        <f>Skills!A5</f>
        <v/>
      </c>
      <c r="B407">
        <f>Skills!B5</f>
        <v/>
      </c>
      <c r="C407">
        <f>Inputs!$B$3&gt;=38</f>
        <v/>
      </c>
      <c r="D407">
        <f>IF(Skills!C5=1,60+Inputs!$B$24+Inputs!$B$28,IF(Skills!C5=2,90+Inputs!$B$25+Inputs!$B$28,IF(Skills!C5=3,120+Inputs!$B$26+Inputs!$B$28,MAX(0,(Inputs!$B$3-100)*3)+Inputs!$B$27+Inputs!$B$28)))</f>
        <v/>
      </c>
      <c r="E407">
        <f>INDEX(FactorTable!$B$2:$Y$301, MATCH(ROUND(MIN(300,MAX(1,D407)),0), FactorTable!$A$2:$A$301,0), Skills!L5+1)</f>
        <v/>
      </c>
      <c r="F407">
        <f>IF(Skills!M5=TRUE,(Skills!K5/10)*(E407/1000),Skills!K5/10)+Skills!N5</f>
        <v/>
      </c>
      <c r="G407">
        <f>Calc!G5</f>
        <v/>
      </c>
      <c r="H407">
        <f>Calc!H5</f>
        <v/>
      </c>
      <c r="I407">
        <f>IF(Skills!T5&lt;&gt;"",1+(Skills!T5/10)*(R405/1000)/100,1)</f>
        <v/>
      </c>
      <c r="J407">
        <f>((Inputs!$B$5*(1+Inputs!$B$6/100))+((Inputs!$B$11*(1+Inputs!$B$12/100))-(Inputs!$B$11*(1+Inputs!$B$12/100)))*(1+Inputs!$B$6/100))*(F407/100)</f>
        <v/>
      </c>
      <c r="K407">
        <f>J407*(1+((Inputs!$B$11*(1+Inputs!$B$12/100))*0.01+Inputs!$B$13*0.0025)/100)*(1+(Inputs!$B$14+B430)/100)*(1+IF(Inputs!$B$4="pvp",0,(1-Summary!$B$51)*(Inputs!$B$19+Skills!O5+B429)+Summary!$B$51*(Inputs!$B$20+Skills!P5+B429))/100)*(1+Inputs!$B$15/100)*(5000/(6000+Inputs!$B$7*(1-Inputs!$B$18/100)))*(1+Inputs!$B$23/100)*(1+IF(C417=TRUE,F417,0)/100)*(1+IF(C425=TRUE,F425,0)/100)^5*(1+(IF(Skills!A5="CHAIN_LIGHTNING",Inputs!$B$16,Inputs!$B$17))/100)*(B428*I407)</f>
        <v/>
      </c>
      <c r="L407">
        <f>K407*(MIN(Inputs!$B$21+(F420-Calc!F18),Inputs!$B$22)/100+Inputs!$B$22/100)/2</f>
        <v/>
      </c>
      <c r="M407">
        <f>L407*(1+((Inputs!$B$9+1)+(F423-Calc!F21))/100)</f>
        <v/>
      </c>
      <c r="N407">
        <f>L407*(1-MIN(Inputs!$B$8+((F422-Calc!F20)+(F421-Calc!F19)),100)/100)+M407*(MIN(Inputs!$B$8+((F422-Calc!F20)+(F421-Calc!F19)),100)/100)</f>
        <v/>
      </c>
      <c r="O407">
        <f>IF(C407,H407*N407*IF(AND(Inputs!$B$4&lt;&gt;"pvp",Inputs!$B$35&gt;0),((Skills!F5*((S407-1)*IF(Skills!G5&gt;0,Skills!H5/Skills!G5,1)+IF(Skills!G5&gt;0,MIN(Skills!H5,MAX(0,Inputs!$B$35-((S407-1)*IF(Inputs!$B$4="pvp",15,MAX(0.1,Skills!D5-IF(Skills!E5=TRUE,Inputs!$B$31,0))))))/Skills!G5,1)))/Inputs!$B$35),G407*V407)*IF(Inputs!$B$4="pvp",1,(1-Summary!$B$51)*(1)+Summary!$B$51*(MIN(Skills!Q5,Inputs!$B$37))),0)</f>
        <v/>
      </c>
      <c r="P407">
        <f>IF(B436=0,0,O407/B436)</f>
        <v/>
      </c>
      <c r="S407">
        <f>IF(AND(Inputs!$B$4&lt;&gt;"pvp",Inputs!$B$35&gt;0),(INT(Inputs!$B$35/IF(Inputs!$B$4="pvp",15,MAX(0.1,Skills!D5-IF(Skills!E5=TRUE,Inputs!$B$31,0))))+1),0)</f>
        <v/>
      </c>
      <c r="V407">
        <f>IFERROR(1/IF(Inputs!$B$4="pvp",15,MAX(0.1,Skills!D5-IF(Skills!E5=TRUE,Inputs!$B$31,0))),0)</f>
        <v/>
      </c>
    </row>
    <row r="408">
      <c r="A408">
        <f>Skills!A6</f>
        <v/>
      </c>
      <c r="B408">
        <f>Skills!B6</f>
        <v/>
      </c>
      <c r="C408">
        <f>Inputs!$B$3&gt;=63</f>
        <v/>
      </c>
      <c r="D408">
        <f>IF(Skills!C6=1,60+Inputs!$B$24+Inputs!$B$28,IF(Skills!C6=2,90+Inputs!$B$25+Inputs!$B$28,IF(Skills!C6=3,120+Inputs!$B$26+Inputs!$B$28,MAX(0,(Inputs!$B$3-100)*3)+Inputs!$B$27+Inputs!$B$28)))</f>
        <v/>
      </c>
      <c r="E408">
        <f>INDEX(FactorTable!$B$2:$Y$301, MATCH(ROUND(MIN(300,MAX(1,D408)),0), FactorTable!$A$2:$A$301,0), Skills!L6+1)</f>
        <v/>
      </c>
      <c r="F408">
        <f>IF(Skills!M6=TRUE,(Skills!K6/10)*(E408/1000),Skills!K6/10)+Skills!N6</f>
        <v/>
      </c>
      <c r="G408">
        <f>Calc!G6</f>
        <v/>
      </c>
      <c r="H408">
        <f>Calc!H6</f>
        <v/>
      </c>
      <c r="I408">
        <f>IF(Skills!T6&lt;&gt;"",1+(Skills!T6/10)*(R405/1000)/100,1)</f>
        <v/>
      </c>
      <c r="J408">
        <f>((Inputs!$B$5*(1+Inputs!$B$6/100))+((Inputs!$B$11*(1+Inputs!$B$12/100))-(Inputs!$B$11*(1+Inputs!$B$12/100)))*(1+Inputs!$B$6/100))*(F408/100)</f>
        <v/>
      </c>
      <c r="K408">
        <f>J408*(1+((Inputs!$B$11*(1+Inputs!$B$12/100))*0.01+Inputs!$B$13*0.0025)/100)*(1+(Inputs!$B$14+B430)/100)*(1+IF(Inputs!$B$4="pvp",0,(1-Summary!$B$51)*(Inputs!$B$19+Skills!O6+B429)+Summary!$B$51*(Inputs!$B$20+Skills!P6+B429))/100)*(1+Inputs!$B$15/100)*(5000/(6000+Inputs!$B$7*(1-Inputs!$B$18/100)))*(1+Inputs!$B$23/100)*(1+IF(C417=TRUE,F417,0)/100)*(1+IF(C425=TRUE,F425,0)/100)^5*(1+(IF(Skills!A6="CHAIN_LIGHTNING",Inputs!$B$16,Inputs!$B$17))/100)*(B428*I408)</f>
        <v/>
      </c>
      <c r="L408">
        <f>K408*(MIN(Inputs!$B$21+(F420-Calc!F18),Inputs!$B$22)/100+Inputs!$B$22/100)/2</f>
        <v/>
      </c>
      <c r="M408">
        <f>L408*(1+((Inputs!$B$9+1)+(F423-Calc!F21))/100)</f>
        <v/>
      </c>
      <c r="N408">
        <f>L408*(1-MIN(Inputs!$B$8+((F422-Calc!F20)+(F421-Calc!F19)),100)/100)+M408*(MIN(Inputs!$B$8+((F422-Calc!F20)+(F421-Calc!F19)),100)/100)</f>
        <v/>
      </c>
      <c r="O408">
        <f>IF(C408,H408*N408*IF(AND(Inputs!$B$4&lt;&gt;"pvp",Inputs!$B$35&gt;0),((Skills!F6*((S408-1)*IF(Skills!G6&gt;0,Skills!H6/Skills!G6,1)+IF(Skills!G6&gt;0,MIN(Skills!H6,MAX(0,Inputs!$B$35-((S408-1)*IF(Inputs!$B$4="pvp",15,MAX(0.1,Skills!D6-IF(Skills!E6=TRUE,Inputs!$B$31,0))))))/Skills!G6,1)))/Inputs!$B$35),G408*V408)*IF(Inputs!$B$4="pvp",1,(1-Summary!$B$51)*(1)+Summary!$B$51*(MIN(Skills!Q6,Inputs!$B$37))),0)</f>
        <v/>
      </c>
      <c r="P408">
        <f>IF(B436=0,0,O408/B436)</f>
        <v/>
      </c>
      <c r="S408">
        <f>IF(AND(Inputs!$B$4&lt;&gt;"pvp",Inputs!$B$35&gt;0),(INT(Inputs!$B$35/IF(Inputs!$B$4="pvp",15,MAX(0.1,Skills!D6-IF(Skills!E6=TRUE,Inputs!$B$31,0))))+1),0)</f>
        <v/>
      </c>
      <c r="V408">
        <f>IFERROR(1/IF(Inputs!$B$4="pvp",15,MAX(0.1,Skills!D6-IF(Skills!E6=TRUE,Inputs!$B$31,0))),0)</f>
        <v/>
      </c>
    </row>
    <row r="409">
      <c r="A409">
        <f>Skills!A7</f>
        <v/>
      </c>
      <c r="B409">
        <f>Skills!B7</f>
        <v/>
      </c>
      <c r="C409">
        <f>Inputs!$B$3&gt;=69</f>
        <v/>
      </c>
      <c r="D409">
        <f>IF(Skills!C7=1,60+Inputs!$B$24+Inputs!$B$28,IF(Skills!C7=2,90+Inputs!$B$25+Inputs!$B$28,IF(Skills!C7=3,120+Inputs!$B$26+Inputs!$B$28,MAX(0,(Inputs!$B$3-100)*3)+Inputs!$B$27+Inputs!$B$28)))</f>
        <v/>
      </c>
      <c r="E409">
        <f>INDEX(FactorTable!$B$2:$Y$301, MATCH(ROUND(MIN(300,MAX(1,D409)),0), FactorTable!$A$2:$A$301,0), Skills!L7+1)</f>
        <v/>
      </c>
      <c r="F409">
        <f>IF(Skills!M7=TRUE,(Skills!K7/10)*(E409/1000),Skills!K7/10)+Skills!N7</f>
        <v/>
      </c>
      <c r="G409">
        <f>Calc!G7</f>
        <v/>
      </c>
      <c r="H409">
        <f>Calc!H7</f>
        <v/>
      </c>
      <c r="I409">
        <f>IF(Skills!T7&lt;&gt;"",1+(Skills!T7/10)*(R405/1000)/100,1)</f>
        <v/>
      </c>
      <c r="J409">
        <f>((Inputs!$B$5*(1+Inputs!$B$6/100))+((Inputs!$B$11*(1+Inputs!$B$12/100))-(Inputs!$B$11*(1+Inputs!$B$12/100)))*(1+Inputs!$B$6/100))*(F409/100)</f>
        <v/>
      </c>
      <c r="K409">
        <f>J409*(1+((Inputs!$B$11*(1+Inputs!$B$12/100))*0.01+Inputs!$B$13*0.0025)/100)*(1+(Inputs!$B$14+B430)/100)*(1+IF(Inputs!$B$4="pvp",0,(1-Summary!$B$51)*(Inputs!$B$19+Skills!O7+B429)+Summary!$B$51*(Inputs!$B$20+Skills!P7+B429))/100)*(1+Inputs!$B$15/100)*(5000/(6000+Inputs!$B$7*(1-Inputs!$B$18/100)))*(1+Inputs!$B$23/100)*(1+IF(C417=TRUE,F417,0)/100)*(1+IF(C425=TRUE,F425,0)/100)^5*(1+(IF(Skills!A7="CHAIN_LIGHTNING",Inputs!$B$16,Inputs!$B$17))/100)*(B428*I409)</f>
        <v/>
      </c>
      <c r="L409">
        <f>K409*(MIN(Inputs!$B$21+(F420-Calc!F18),Inputs!$B$22)/100+Inputs!$B$22/100)/2</f>
        <v/>
      </c>
      <c r="M409">
        <f>L409*(1+((Inputs!$B$9+1)+(F423-Calc!F21))/100)</f>
        <v/>
      </c>
      <c r="N409">
        <f>L409*(1-MIN(Inputs!$B$8+((F422-Calc!F20)+(F421-Calc!F19)),100)/100)+M409*(MIN(Inputs!$B$8+((F422-Calc!F20)+(F421-Calc!F19)),100)/100)</f>
        <v/>
      </c>
      <c r="O409">
        <f>IF(C409,H409*N409*IF(AND(Inputs!$B$4&lt;&gt;"pvp",Inputs!$B$35&gt;0),((Skills!F7*((S409-1)*IF(Skills!G7&gt;0,Skills!H7/Skills!G7,1)+IF(Skills!G7&gt;0,MIN(Skills!H7,MAX(0,Inputs!$B$35-((S409-1)*IF(Inputs!$B$4="pvp",15,MAX(0.1,Skills!D7-IF(Skills!E7=TRUE,Inputs!$B$31,0))))))/Skills!G7,1)))/Inputs!$B$35),G409*V409)*IF(Inputs!$B$4="pvp",1,(1-Summary!$B$51)*(1)+Summary!$B$51*(MIN(Skills!Q7,Inputs!$B$37))),0)</f>
        <v/>
      </c>
      <c r="P409">
        <f>IF(B436=0,0,O409/B436)</f>
        <v/>
      </c>
      <c r="S409">
        <f>IF(AND(Inputs!$B$4&lt;&gt;"pvp",Inputs!$B$35&gt;0),(INT(Inputs!$B$35/IF(Inputs!$B$4="pvp",15,MAX(0.1,Skills!D7-IF(Skills!E7=TRUE,Inputs!$B$31,0))))+1),0)</f>
        <v/>
      </c>
      <c r="V409">
        <f>IFERROR(1/IF(Inputs!$B$4="pvp",15,MAX(0.1,Skills!D7-IF(Skills!E7=TRUE,Inputs!$B$31,0))),0)</f>
        <v/>
      </c>
    </row>
    <row r="410">
      <c r="A410">
        <f>Skills!A8</f>
        <v/>
      </c>
      <c r="B410">
        <f>Skills!B8</f>
        <v/>
      </c>
      <c r="C410">
        <f>Inputs!$B$3&gt;=103</f>
        <v/>
      </c>
      <c r="D410">
        <f>IF(Skills!C8=1,60+Inputs!$B$24+Inputs!$B$28,IF(Skills!C8=2,90+Inputs!$B$25+Inputs!$B$28,IF(Skills!C8=3,120+Inputs!$B$26+Inputs!$B$28,MAX(0,(Inputs!$B$3-100)*3)+Inputs!$B$27+Inputs!$B$28)))</f>
        <v/>
      </c>
      <c r="E410">
        <f>INDEX(FactorTable!$B$2:$Y$301, MATCH(ROUND(MIN(300,MAX(1,D410)),0), FactorTable!$A$2:$A$301,0), Skills!L8+1)</f>
        <v/>
      </c>
      <c r="F410">
        <f>IF(Skills!M8=TRUE,(Skills!K8/10)*(E410/1000),Skills!K8/10)+Skills!N8</f>
        <v/>
      </c>
      <c r="G410">
        <f>Calc!G8</f>
        <v/>
      </c>
      <c r="H410">
        <f>Calc!H8</f>
        <v/>
      </c>
      <c r="I410">
        <f>IF(Skills!T8&lt;&gt;"",1+(Skills!T8/10)*(R405/1000)/100,1)</f>
        <v/>
      </c>
      <c r="J410">
        <f>((Inputs!$B$5*(1+Inputs!$B$6/100))+((Inputs!$B$11*(1+Inputs!$B$12/100))-(Inputs!$B$11*(1+Inputs!$B$12/100)))*(1+Inputs!$B$6/100))*(F410/100)</f>
        <v/>
      </c>
      <c r="K410">
        <f>J410*(1+((Inputs!$B$11*(1+Inputs!$B$12/100))*0.01+Inputs!$B$13*0.0025)/100)*(1+(Inputs!$B$14+B430)/100)*(1+IF(Inputs!$B$4="pvp",0,(1-Summary!$B$51)*(Inputs!$B$19+Skills!O8+B429)+Summary!$B$51*(Inputs!$B$20+Skills!P8+B429))/100)*(1+Inputs!$B$15/100)*(5000/(6000+Inputs!$B$7*(1-Inputs!$B$18/100)))*(1+Inputs!$B$23/100)*(1+IF(C417=TRUE,F417,0)/100)*(1+IF(C425=TRUE,F425,0)/100)^5*(1+(IF(Skills!A8="CHAIN_LIGHTNING",Inputs!$B$16,Inputs!$B$17))/100)*(B428*I410)</f>
        <v/>
      </c>
      <c r="L410">
        <f>K410*(MIN(Inputs!$B$21+(F420-Calc!F18),Inputs!$B$22)/100+Inputs!$B$22/100)/2</f>
        <v/>
      </c>
      <c r="M410">
        <f>L410*(1+((Inputs!$B$9+1)+(F423-Calc!F21))/100)</f>
        <v/>
      </c>
      <c r="N410">
        <f>L410*(1-MIN(Inputs!$B$8+((F422-Calc!F20)+(F421-Calc!F19)),100)/100)+M410*(MIN(Inputs!$B$8+((F422-Calc!F20)+(F421-Calc!F19)),100)/100)</f>
        <v/>
      </c>
      <c r="O410">
        <f>IF(C410,H410*N410*IF(AND(Inputs!$B$4&lt;&gt;"pvp",Inputs!$B$35&gt;0),((Skills!F8*((S410-1)*IF(Skills!G8&gt;0,Skills!H8/Skills!G8,1)+IF(Skills!G8&gt;0,MIN(Skills!H8,MAX(0,Inputs!$B$35-((S410-1)*IF(Inputs!$B$4="pvp",15,MAX(0.1,Skills!D8-IF(Skills!E8=TRUE,Inputs!$B$31,0))))))/Skills!G8,1)))/Inputs!$B$35),G410*V410)*IF(Inputs!$B$4="pvp",1,(1-Summary!$B$51)*(1)+Summary!$B$51*(MIN(Skills!Q8,Inputs!$B$37))),0)</f>
        <v/>
      </c>
      <c r="P410">
        <f>IF(B436=0,0,O410/B436)</f>
        <v/>
      </c>
      <c r="S410">
        <f>IF(AND(Inputs!$B$4&lt;&gt;"pvp",Inputs!$B$35&gt;0),(INT(Inputs!$B$35/IF(Inputs!$B$4="pvp",15,MAX(0.1,Skills!D8-IF(Skills!E8=TRUE,Inputs!$B$31,0))))+1),0)</f>
        <v/>
      </c>
      <c r="V410">
        <f>IFERROR(1/IF(Inputs!$B$4="pvp",15,MAX(0.1,Skills!D8-IF(Skills!E8=TRUE,Inputs!$B$31,0))),0)</f>
        <v/>
      </c>
    </row>
    <row r="411">
      <c r="A411">
        <f>Skills!A9</f>
        <v/>
      </c>
      <c r="B411">
        <f>Skills!B9</f>
        <v/>
      </c>
      <c r="C411">
        <f>Inputs!$B$3&gt;=105</f>
        <v/>
      </c>
      <c r="D411">
        <f>IF(Skills!C9=1,60+Inputs!$B$24+Inputs!$B$28,IF(Skills!C9=2,90+Inputs!$B$25+Inputs!$B$28,IF(Skills!C9=3,120+Inputs!$B$26+Inputs!$B$28,MAX(0,(Inputs!$B$3-100)*3)+Inputs!$B$27+Inputs!$B$28)))</f>
        <v/>
      </c>
      <c r="E411">
        <f>INDEX(FactorTable!$B$2:$Y$301, MATCH(ROUND(MIN(300,MAX(1,D411)),0), FactorTable!$A$2:$A$301,0), Skills!L9+1)</f>
        <v/>
      </c>
      <c r="F411">
        <f>IF(Skills!M9=TRUE,(Skills!K9/10)*(E411/1000),Skills!K9/10)+Skills!N9</f>
        <v/>
      </c>
      <c r="G411">
        <f>Calc!G9</f>
        <v/>
      </c>
      <c r="H411">
        <f>Calc!H9</f>
        <v/>
      </c>
      <c r="I411">
        <f>IF(Skills!T9&lt;&gt;"",1+(Skills!T9/10)*(R405/1000)/100,1)</f>
        <v/>
      </c>
      <c r="J411">
        <f>((Inputs!$B$5*(1+Inputs!$B$6/100))+((Inputs!$B$11*(1+Inputs!$B$12/100))-(Inputs!$B$11*(1+Inputs!$B$12/100)))*(1+Inputs!$B$6/100))*(F411/100)</f>
        <v/>
      </c>
      <c r="K411">
        <f>J411*(1+((Inputs!$B$11*(1+Inputs!$B$12/100))*0.01+Inputs!$B$13*0.0025)/100)*(1+(Inputs!$B$14+B430)/100)*(1+IF(Inputs!$B$4="pvp",0,(1-Summary!$B$51)*(Inputs!$B$19+Skills!O9+B429)+Summary!$B$51*(Inputs!$B$20+Skills!P9+B429))/100)*(1+Inputs!$B$15/100)*(5000/(6000+Inputs!$B$7*(1-Inputs!$B$18/100)))*(1+Inputs!$B$23/100)*(1+IF(C417=TRUE,F417,0)/100)*(1+IF(C425=TRUE,F425,0)/100)^5*(1+(IF(Skills!A9="CHAIN_LIGHTNING",Inputs!$B$16,Inputs!$B$17))/100)*(B428*I411)</f>
        <v/>
      </c>
      <c r="L411">
        <f>K411*(MIN(Inputs!$B$21+(F420-Calc!F18),Inputs!$B$22)/100+Inputs!$B$22/100)/2</f>
        <v/>
      </c>
      <c r="M411">
        <f>L411*(1+((Inputs!$B$9+1)+(F423-Calc!F21))/100)</f>
        <v/>
      </c>
      <c r="N411">
        <f>L411*(1-MIN(Inputs!$B$8+((F422-Calc!F20)+(F421-Calc!F19)),100)/100)+M411*(MIN(Inputs!$B$8+((F422-Calc!F20)+(F421-Calc!F19)),100)/100)</f>
        <v/>
      </c>
      <c r="O411">
        <f>IF(C411,H411*N411*IF(AND(Inputs!$B$4&lt;&gt;"pvp",Inputs!$B$35&gt;0),((Skills!F9*((S411-1)*IF(Skills!G9&gt;0,Skills!H9/Skills!G9,1)+IF(Skills!G9&gt;0,MIN(Skills!H9,MAX(0,Inputs!$B$35-((S411-1)*IF(Inputs!$B$4="pvp",15,MAX(0.1,Skills!D9-IF(Skills!E9=TRUE,Inputs!$B$31,0))))))/Skills!G9,1)))/Inputs!$B$35),G411*V411)*IF(Inputs!$B$4="pvp",1,(1-Summary!$B$51)*(1)+Summary!$B$51*(MIN(Skills!Q9,Inputs!$B$37))),0)</f>
        <v/>
      </c>
      <c r="P411">
        <f>IF(B436=0,0,O411/B436)</f>
        <v/>
      </c>
      <c r="S411">
        <f>IF(AND(Inputs!$B$4&lt;&gt;"pvp",Inputs!$B$35&gt;0),(INT(Inputs!$B$35/IF(Inputs!$B$4="pvp",15,MAX(0.1,Skills!D9-IF(Skills!E9=TRUE,Inputs!$B$31,0))))+1),0)</f>
        <v/>
      </c>
      <c r="V411">
        <f>IFERROR(1/IF(Inputs!$B$4="pvp",15,MAX(0.1,Skills!D9-IF(Skills!E9=TRUE,Inputs!$B$31,0))),0)</f>
        <v/>
      </c>
    </row>
    <row r="412">
      <c r="A412">
        <f>Skills!A10</f>
        <v/>
      </c>
      <c r="B412">
        <f>Skills!B10</f>
        <v/>
      </c>
      <c r="C412">
        <f>Inputs!$B$3&gt;=113</f>
        <v/>
      </c>
      <c r="D412">
        <f>IF(Skills!C10=1,60+Inputs!$B$24+Inputs!$B$28,IF(Skills!C10=2,90+Inputs!$B$25+Inputs!$B$28,IF(Skills!C10=3,120+Inputs!$B$26+Inputs!$B$28,MAX(0,(Inputs!$B$3-100)*3)+Inputs!$B$27+Inputs!$B$28)))</f>
        <v/>
      </c>
      <c r="E412">
        <f>INDEX(FactorTable!$B$2:$Y$301, MATCH(ROUND(MIN(300,MAX(1,D412)),0), FactorTable!$A$2:$A$301,0), Skills!L10+1)</f>
        <v/>
      </c>
      <c r="F412">
        <f>IF(Skills!M10=TRUE,(Skills!K10/10)*(E412/1000),Skills!K10/10)+Skills!N10</f>
        <v/>
      </c>
      <c r="G412">
        <f>Calc!G10</f>
        <v/>
      </c>
      <c r="H412">
        <f>Calc!H10</f>
        <v/>
      </c>
      <c r="I412">
        <f>IF(Skills!T10&lt;&gt;"",1+(Skills!T10/10)*(R405/1000)/100,1)</f>
        <v/>
      </c>
      <c r="J412">
        <f>((Inputs!$B$5*(1+Inputs!$B$6/100))+((Inputs!$B$11*(1+Inputs!$B$12/100))-(Inputs!$B$11*(1+Inputs!$B$12/100)))*(1+Inputs!$B$6/100))*(F412/100)</f>
        <v/>
      </c>
      <c r="K412">
        <f>J412*(1+((Inputs!$B$11*(1+Inputs!$B$12/100))*0.01+Inputs!$B$13*0.0025)/100)*(1+(Inputs!$B$14+B430)/100)*(1+IF(Inputs!$B$4="pvp",0,(1-Summary!$B$51)*(Inputs!$B$19+Skills!O10+B429)+Summary!$B$51*(Inputs!$B$20+Skills!P10+B429))/100)*(1+Inputs!$B$15/100)*(5000/(6000+Inputs!$B$7*(1-Inputs!$B$18/100)))*(1+Inputs!$B$23/100)*(1+IF(C417=TRUE,F417,0)/100)*(1+IF(C425=TRUE,F425,0)/100)^5*(1+(IF(Skills!A10="CHAIN_LIGHTNING",Inputs!$B$16,Inputs!$B$17))/100)*(B428*I412)</f>
        <v/>
      </c>
      <c r="L412">
        <f>K412*(MIN(Inputs!$B$21+(F420-Calc!F18),Inputs!$B$22)/100+Inputs!$B$22/100)/2</f>
        <v/>
      </c>
      <c r="M412">
        <f>L412*(1+((Inputs!$B$9+1)+(F423-Calc!F21))/100)</f>
        <v/>
      </c>
      <c r="N412">
        <f>L412*(1-MIN(Inputs!$B$8+((F422-Calc!F20)+(F421-Calc!F19)),100)/100)+M412*(MIN(Inputs!$B$8+((F422-Calc!F20)+(F421-Calc!F19)),100)/100)</f>
        <v/>
      </c>
      <c r="O412">
        <f>IF(C412,H412*N412*IF(AND(Inputs!$B$4&lt;&gt;"pvp",Inputs!$B$35&gt;0),((Skills!F10*((S412-1)*IF(Skills!G10&gt;0,Skills!H10/Skills!G10,1)+IF(Skills!G10&gt;0,MIN(Skills!H10,MAX(0,Inputs!$B$35-((S412-1)*IF(Inputs!$B$4="pvp",15,MAX(0.1,Skills!D10-IF(Skills!E9=TRUE,Inputs!$B$31,0))))))/Skills!G10,1)))/Inputs!$B$35),G412*V412)*IF(Inputs!$B$4="pvp",1,(1-Summary!$B$51)*(1)+Summary!$B$51*(MIN(Skills!Q10,Inputs!$B$37))),0)</f>
        <v/>
      </c>
      <c r="P412">
        <f>IF(B436=0,0,O412/B436)</f>
        <v/>
      </c>
      <c r="S412">
        <f>IF(AND(Inputs!$B$4&lt;&gt;"pvp",Inputs!$B$35&gt;0),(INT(Inputs!$B$35/IF(Inputs!$B$4="pvp",15,MAX(0.1,Skills!D10-IF(Skills!E9=TRUE,Inputs!$B$31,0))))+1),0)</f>
        <v/>
      </c>
      <c r="V412">
        <f>IFERROR(1/IF(Inputs!$B$4="pvp",15,MAX(0.1,Skills!D10-IF(Skills!E9=TRUE,Inputs!$B$31,0))),0)</f>
        <v/>
      </c>
    </row>
    <row r="413">
      <c r="A413">
        <f>Skills!A11</f>
        <v/>
      </c>
      <c r="B413">
        <f>Skills!B11</f>
        <v/>
      </c>
      <c r="C413">
        <f>Inputs!$B$3&gt;=107</f>
        <v/>
      </c>
      <c r="D413">
        <f>IF(Skills!C11=1,60+Inputs!$B$24+Inputs!$B$28,IF(Skills!C11=2,90+Inputs!$B$25+Inputs!$B$28,IF(Skills!C11=3,120+Inputs!$B$26+Inputs!$B$28,MAX(0,(Inputs!$B$3-100)*3)+Inputs!$B$27+Inputs!$B$28)))</f>
        <v/>
      </c>
      <c r="E413">
        <f>INDEX(FactorTable!$B$2:$Y$301, MATCH(ROUND(MIN(300,MAX(1,D413)),0), FactorTable!$A$2:$A$301,0), Skills!L11+1)</f>
        <v/>
      </c>
      <c r="F413">
        <f>IF(Skills!M11=TRUE,(Skills!K11/10)*(E413/1000),Skills!K11/10)+Skills!N11</f>
        <v/>
      </c>
      <c r="G413">
        <f>Calc!G11</f>
        <v/>
      </c>
      <c r="H413">
        <f>Calc!H11</f>
        <v/>
      </c>
      <c r="I413">
        <f>IF(Skills!T11&lt;&gt;"",1+(Skills!T11/10)*(R405/1000)/100,1)</f>
        <v/>
      </c>
      <c r="J413">
        <f>((Inputs!$B$5*(1+Inputs!$B$6/100))+((Inputs!$B$11*(1+Inputs!$B$12/100))-(Inputs!$B$11*(1+Inputs!$B$12/100)))*(1+Inputs!$B$6/100))*(F413/100)</f>
        <v/>
      </c>
      <c r="K413">
        <f>J413*(1+((Inputs!$B$11*(1+Inputs!$B$12/100))*0.01+Inputs!$B$13*0.0025)/100)*(1+(Inputs!$B$14+B430)/100)*(1+IF(Inputs!$B$4="pvp",0,(1-Summary!$B$51)*(Inputs!$B$19+Skills!O11+B429)+Summary!$B$51*(Inputs!$B$20+Skills!P11+B429))/100)*(1+Inputs!$B$15/100)*(5000/(6000+Inputs!$B$7*(1-Inputs!$B$18/100)))*(1+Inputs!$B$23/100)*(1+IF(C417=TRUE,F417,0)/100)*(1+IF(C425=TRUE,F425,0)/100)^5*(1+(IF(Skills!A11="CHAIN_LIGHTNING",Inputs!$B$16,Inputs!$B$17))/100)*(B428*I413)</f>
        <v/>
      </c>
      <c r="L413">
        <f>K413*(MIN(Inputs!$B$21+(F420-Calc!F18),Inputs!$B$22)/100+Inputs!$B$22/100)/2</f>
        <v/>
      </c>
      <c r="M413">
        <f>L413*(1+((Inputs!$B$9+1)+(F423-Calc!F21))/100)</f>
        <v/>
      </c>
      <c r="N413">
        <f>L413*(1-MIN(Inputs!$B$8+((F422-Calc!F20)+(F421-Calc!F19)),100)/100)+M413*(MIN(Inputs!$B$8+((F422-Calc!F20)+(F421-Calc!F19)),100)/100)</f>
        <v/>
      </c>
      <c r="O413">
        <f>IF(C413,H413*N413*IF(AND(Inputs!$B$4&lt;&gt;"pvp",Inputs!$B$35&gt;0),((Skills!F11*((S413-1)*IF(Skills!G11&gt;0,Skills!H11/Skills!G11,1)+IF(Skills!G11&gt;0,MIN(Skills!H11,MAX(0,Inputs!$B$35-((S413-1)*IF(Inputs!$B$4="pvp",15,MAX(0.1,Skills!D11-IF(Skills!E11=TRUE,Inputs!$B$31,0))))))/Skills!G11,1)))/Inputs!$B$35),G413*V413)*IF(Inputs!$B$4="pvp",0.5,(1-Summary!$B$51)*0.5+Summary!$B$51*1)*IF(Inputs!$B$4="pvp",1,(1-Summary!$B$51)*(1)+Summary!$B$51*(MIN(Skills!Q11,Inputs!$B$37))),0)</f>
        <v/>
      </c>
      <c r="P413">
        <f>IF(B436=0,0,O413/B436)</f>
        <v/>
      </c>
      <c r="S413">
        <f>IF(AND(Inputs!$B$4&lt;&gt;"pvp",Inputs!$B$35&gt;0),(INT(Inputs!$B$35/IF(Inputs!$B$4="pvp",15,MAX(0.1,Skills!D11-IF(Skills!E11=TRUE,Inputs!$B$31,0))))+1),0)</f>
        <v/>
      </c>
      <c r="V413">
        <f>IFERROR(1/IF(Inputs!$B$4="pvp",15,MAX(0.1,Skills!D11-IF(Skills!E11=TRUE,Inputs!$B$31,0))),0)</f>
        <v/>
      </c>
    </row>
    <row r="414">
      <c r="A414">
        <f>Skills!A12</f>
        <v/>
      </c>
      <c r="B414">
        <f>Skills!B12</f>
        <v/>
      </c>
      <c r="C414">
        <f>Inputs!$B$3&gt;=115</f>
        <v/>
      </c>
      <c r="D414">
        <f>IF(Skills!C12=1,60+Inputs!$B$24+Inputs!$B$28,IF(Skills!C12=2,90+Inputs!$B$25+Inputs!$B$28,IF(Skills!C12=3,120+Inputs!$B$26+Inputs!$B$28,MAX(0,(Inputs!$B$3-100)*3)+Inputs!$B$27+Inputs!$B$28)))</f>
        <v/>
      </c>
      <c r="E414">
        <f>INDEX(FactorTable!$B$2:$Y$301, MATCH(ROUND(MIN(300,MAX(1,D414)),0), FactorTable!$A$2:$A$301,0), Skills!L12+1)</f>
        <v/>
      </c>
      <c r="F414">
        <f>IF(Skills!M12=TRUE,(Skills!K12/10)*(E414/1000),Skills!K12/10)+Skills!N12</f>
        <v/>
      </c>
      <c r="G414">
        <f>Calc!G12</f>
        <v/>
      </c>
      <c r="H414">
        <f>Calc!H12</f>
        <v/>
      </c>
      <c r="I414">
        <f>IF(Skills!T12&lt;&gt;"",1+(Skills!T12/10)*(R405/1000)/100,1)</f>
        <v/>
      </c>
      <c r="J414">
        <f>((Inputs!$B$5*(1+Inputs!$B$6/100))+((Inputs!$B$11*(1+Inputs!$B$12/100))-(Inputs!$B$11*(1+Inputs!$B$12/100)))*(1+Inputs!$B$6/100))*(F414/100)</f>
        <v/>
      </c>
      <c r="K414">
        <f>J414*(1+((Inputs!$B$11*(1+Inputs!$B$12/100))*0.01+Inputs!$B$13*0.0025)/100)*(1+(Inputs!$B$14+B430)/100)*(1+IF(Inputs!$B$4="pvp",0,(1-Summary!$B$51)*(Inputs!$B$19+Skills!O12+B429)+Summary!$B$51*(Inputs!$B$20+Skills!P12+B429))/100)*(1+Inputs!$B$15/100)*(5000/(6000+Inputs!$B$7*(1-Inputs!$B$18/100)))*(1+Inputs!$B$23/100)*(1+IF(C417=TRUE,F417,0)/100)*(1+IF(C425=TRUE,F425,0)/100)^5*(1+(IF(Skills!A12="CHAIN_LIGHTNING",Inputs!$B$16,Inputs!$B$17))/100)*(B428*I414)</f>
        <v/>
      </c>
      <c r="L414">
        <f>K414*(MIN(Inputs!$B$21+(F420-Calc!F18),Inputs!$B$22)/100+Inputs!$B$22/100)/2</f>
        <v/>
      </c>
      <c r="M414">
        <f>L414*(1+((Inputs!$B$9+1)+(F423-Calc!F21))/100)</f>
        <v/>
      </c>
      <c r="N414">
        <f>L414*(1-MIN(Inputs!$B$8+((F422-Calc!F20)+(F421-Calc!F19)),100)/100)+M414*(MIN(Inputs!$B$8+((F422-Calc!F20)+(F421-Calc!F19)),100)/100)</f>
        <v/>
      </c>
      <c r="O414">
        <f>IF(C414,H414*N414*IF(AND(Inputs!$B$4&lt;&gt;"pvp",Inputs!$B$35&gt;0),((Skills!F12*((S414-1)*IF(Skills!G12&gt;0,Skills!H12/Skills!G12,1)+IF(Skills!G12&gt;0,MIN(Skills!H12,MAX(0,Inputs!$B$35-((S414-1)*IF(Inputs!$B$4="pvp",15,MAX(0.1,Skills!D12-IF(Skills!E12=TRUE,Inputs!$B$31,0))))))/Skills!G12,1)))/Inputs!$B$35),G414*V414)*IF(Inputs!$B$4="pvp",1,(1-Summary!$B$51)*(1)+Summary!$B$51*(MIN(Skills!Q12,Inputs!$B$37))),0)</f>
        <v/>
      </c>
      <c r="P414">
        <f>IF(B436=0,0,O414/B436)</f>
        <v/>
      </c>
      <c r="S414">
        <f>IF(AND(Inputs!$B$4&lt;&gt;"pvp",Inputs!$B$35&gt;0),(INT(Inputs!$B$35/IF(Inputs!$B$4="pvp",15,MAX(0.1,Skills!D12-IF(Skills!E12=TRUE,Inputs!$B$31,0))))+1),0)</f>
        <v/>
      </c>
      <c r="V414">
        <f>IFERROR(1/IF(Inputs!$B$4="pvp",15,MAX(0.1,Skills!D12-IF(Skills!E12=TRUE,Inputs!$B$31,0))),0)</f>
        <v/>
      </c>
    </row>
    <row r="415">
      <c r="A415">
        <f>Skills!A13</f>
        <v/>
      </c>
      <c r="B415">
        <f>Skills!B13</f>
        <v/>
      </c>
      <c r="C415">
        <f>Inputs!$B$3&gt;=49</f>
        <v/>
      </c>
      <c r="D415">
        <f>IF(Skills!C13=1,60+Inputs!$B$24+Inputs!$B$28,IF(Skills!C13=2,90+Inputs!$B$25+Inputs!$B$28,IF(Skills!C13=3,120+Inputs!$B$26+Inputs!$B$28,MAX(0,(Inputs!$B$3-100)*3)+Inputs!$B$27+Inputs!$B$28)))</f>
        <v/>
      </c>
      <c r="E415">
        <f>INDEX(FactorTable!$B$2:$Y$301, MATCH(ROUND(MIN(300,MAX(1,D415)),0), FactorTable!$A$2:$A$301,0), Skills!L13+1)</f>
        <v/>
      </c>
      <c r="F415">
        <f>IF(Skills!M13=TRUE,(Skills!K13/10)*(E415/1000),Skills!K13/10)+Skills!N13</f>
        <v/>
      </c>
      <c r="G415">
        <f>Calc!G13</f>
        <v/>
      </c>
      <c r="H415">
        <f>Calc!H13</f>
        <v/>
      </c>
      <c r="I415">
        <f>IF(Skills!T13&lt;&gt;"",1+(Skills!T13/10)*(R405/1000)/100,1)</f>
        <v/>
      </c>
      <c r="J415" t="inlineStr"/>
      <c r="K415" t="inlineStr"/>
      <c r="L415" t="inlineStr"/>
      <c r="M415" t="inlineStr"/>
      <c r="N415" t="inlineStr"/>
      <c r="O415" t="n">
        <v>0</v>
      </c>
      <c r="P415">
        <f>IF(B436=0,0,O415/B436)</f>
        <v/>
      </c>
      <c r="S415" t="n">
        <v>0</v>
      </c>
      <c r="V415">
        <f>IFERROR(1/IF(Inputs!$B$4="pvp",15,MAX(0.1,Skills!D13-IF(Skills!E13=TRUE,Inputs!$B$31,0))),0)</f>
        <v/>
      </c>
    </row>
    <row r="416">
      <c r="A416">
        <f>Skills!A14</f>
        <v/>
      </c>
      <c r="B416">
        <f>Skills!B14</f>
        <v/>
      </c>
      <c r="C416">
        <f>Inputs!$B$3&gt;=72</f>
        <v/>
      </c>
      <c r="D416">
        <f>IF(Skills!C14=1,60+Inputs!$B$24+Inputs!$B$28,IF(Skills!C14=2,90+Inputs!$B$25+Inputs!$B$28,IF(Skills!C14=3,120+Inputs!$B$26+Inputs!$B$28,MAX(0,(Inputs!$B$3-100)*3)+Inputs!$B$27+Inputs!$B$28)))</f>
        <v/>
      </c>
      <c r="E416">
        <f>INDEX(FactorTable!$B$2:$Y$301, MATCH(ROUND(MIN(300,MAX(1,D416)),0), FactorTable!$A$2:$A$301,0), Skills!L14+1)</f>
        <v/>
      </c>
      <c r="F416">
        <f>IF(Skills!M14=TRUE,(Skills!K14/10)*(E416/1000),Skills!K14/10)+Skills!N14</f>
        <v/>
      </c>
      <c r="G416">
        <f>Calc!G14</f>
        <v/>
      </c>
      <c r="H416">
        <f>Calc!H14</f>
        <v/>
      </c>
      <c r="I416">
        <f>IF(Skills!T14&lt;&gt;"",1+(Skills!T14/10)*(R405/1000)/100,1)</f>
        <v/>
      </c>
      <c r="J416" t="inlineStr"/>
      <c r="K416" t="inlineStr"/>
      <c r="L416" t="inlineStr"/>
      <c r="M416" t="inlineStr"/>
      <c r="N416" t="inlineStr"/>
      <c r="O416" t="n">
        <v>0</v>
      </c>
      <c r="P416">
        <f>IF(B436=0,0,O416/B436)</f>
        <v/>
      </c>
      <c r="S416" t="n">
        <v>0</v>
      </c>
      <c r="V416">
        <f>IFERROR(1/IF(Inputs!$B$4="pvp",15,MAX(0.1,Skills!D14-IF(Skills!E14=TRUE,Inputs!$B$31,0))),0)</f>
        <v/>
      </c>
    </row>
    <row r="417">
      <c r="A417">
        <f>Skills!A15</f>
        <v/>
      </c>
      <c r="B417">
        <f>Skills!B15</f>
        <v/>
      </c>
      <c r="C417">
        <f>Inputs!$B$3&gt;=75</f>
        <v/>
      </c>
      <c r="D417">
        <f>IF(Skills!C15=1,60+Inputs!$B$24+Inputs!$B$28,IF(Skills!C15=2,90+Inputs!$B$25+Inputs!$B$28,IF(Skills!C15=3,120+Inputs!$B$26+Inputs!$B$28,MAX(0,(Inputs!$B$3-100)*3)+Inputs!$B$27+Inputs!$B$28)))</f>
        <v/>
      </c>
      <c r="E417">
        <f>INDEX(FactorTable!$B$2:$Y$301, MATCH(ROUND(MIN(300,MAX(1,D417)),0), FactorTable!$A$2:$A$301,0), Skills!L15+1)</f>
        <v/>
      </c>
      <c r="F417">
        <f>IF(Skills!M15=TRUE,(Skills!K15/10)*(E417/1000),Skills!K15/10)+Skills!N15</f>
        <v/>
      </c>
      <c r="G417">
        <f>Calc!G15</f>
        <v/>
      </c>
      <c r="H417">
        <f>Calc!H15</f>
        <v/>
      </c>
      <c r="I417">
        <f>IF(Skills!T15&lt;&gt;"",1+(Skills!T15/10)*(R405/1000)/100,1)</f>
        <v/>
      </c>
      <c r="J417" t="inlineStr"/>
      <c r="K417" t="inlineStr"/>
      <c r="L417" t="inlineStr"/>
      <c r="M417" t="inlineStr"/>
      <c r="N417" t="inlineStr"/>
      <c r="O417" t="n">
        <v>0</v>
      </c>
      <c r="P417">
        <f>IF(B436=0,0,O417/B436)</f>
        <v/>
      </c>
      <c r="S417" t="n">
        <v>0</v>
      </c>
      <c r="V417">
        <f>IFERROR(1/IF(Inputs!$B$4="pvp",15,MAX(0.1,Skills!D15-IF(Skills!E15=TRUE,Inputs!$B$31,0))),0)</f>
        <v/>
      </c>
    </row>
    <row r="418">
      <c r="A418">
        <f>Skills!A16</f>
        <v/>
      </c>
      <c r="B418">
        <f>Skills!B16</f>
        <v/>
      </c>
      <c r="C418">
        <f>Inputs!$B$3&gt;=110</f>
        <v/>
      </c>
      <c r="D418">
        <f>IF(Skills!C16=1,60+Inputs!$B$24+Inputs!$B$28,IF(Skills!C16=2,90+Inputs!$B$25+Inputs!$B$28,IF(Skills!C16=3,120+Inputs!$B$26+Inputs!$B$28,MAX(0,(Inputs!$B$3-100)*3)+Inputs!$B$27+Inputs!$B$28)))</f>
        <v/>
      </c>
      <c r="E418">
        <f>INDEX(FactorTable!$B$2:$Y$301, MATCH(ROUND(MIN(300,MAX(1,D418)),0), FactorTable!$A$2:$A$301,0), Skills!L16+1)</f>
        <v/>
      </c>
      <c r="F418">
        <f>(Skills!K16/10)*(E418/1000)*64/45+Skills!N16</f>
        <v/>
      </c>
      <c r="G418">
        <f>Calc!G16</f>
        <v/>
      </c>
      <c r="H418">
        <f>Calc!H16</f>
        <v/>
      </c>
      <c r="I418">
        <f>IF(Skills!T16&lt;&gt;"",1+(Skills!T16/10)*(R405/1000)/100,1)</f>
        <v/>
      </c>
      <c r="J418" t="inlineStr"/>
      <c r="K418" t="inlineStr"/>
      <c r="L418" t="inlineStr"/>
      <c r="M418" t="inlineStr"/>
      <c r="N418" t="inlineStr"/>
      <c r="O418" t="n">
        <v>0</v>
      </c>
      <c r="P418">
        <f>IF(B436=0,0,O418/B436)</f>
        <v/>
      </c>
      <c r="S418">
        <f>IF(AND(Inputs!$B$4&lt;&gt;"pvp",Inputs!$B$35&gt;0),(INT(Inputs!$B$35/IF(Inputs!$B$4="pvp",15,MAX(0.1,Skills!D16-IF(Skills!E16=TRUE,Inputs!$B$31,0))))+1),0)</f>
        <v/>
      </c>
      <c r="V418">
        <f>IFERROR(1/IF(Inputs!$B$4="pvp",15,MAX(0.1,Skills!D16-IF(Skills!E16=TRUE,Inputs!$B$31,0))),0)</f>
        <v/>
      </c>
    </row>
    <row r="419">
      <c r="A419">
        <f>Skills!A17</f>
        <v/>
      </c>
      <c r="B419">
        <f>Skills!B17</f>
        <v/>
      </c>
      <c r="C419">
        <f>Inputs!$B$3&gt;=33</f>
        <v/>
      </c>
      <c r="D419">
        <f>IF(Skills!C17=1,60+Inputs!$B$24+Inputs!$B$28,IF(Skills!C17=2,90+Inputs!$B$25+Inputs!$B$28,IF(Skills!C17=3,120+Inputs!$B$26+Inputs!$B$28,MAX(0,(Inputs!$B$3-100)*3)+Inputs!$B$27+Inputs!$B$28)))</f>
        <v/>
      </c>
      <c r="E419">
        <f>INDEX(FactorTable!$B$2:$Y$301, MATCH(ROUND(MIN(300,MAX(1,D419)),0), FactorTable!$A$2:$A$301,0), Skills!L17+1)</f>
        <v/>
      </c>
      <c r="F419">
        <f>IF(Skills!M17=TRUE,(Skills!K17/10)*(E419/1000),Skills!K17/10)+Skills!N17</f>
        <v/>
      </c>
      <c r="G419">
        <f>Calc!G17</f>
        <v/>
      </c>
      <c r="H419">
        <f>Calc!H17</f>
        <v/>
      </c>
      <c r="I419">
        <f>IF(Skills!T17&lt;&gt;"",1+(Skills!T17/10)*(R405/1000)/100,1)</f>
        <v/>
      </c>
      <c r="J419" t="inlineStr"/>
      <c r="K419" t="inlineStr"/>
      <c r="L419" t="inlineStr"/>
      <c r="M419" t="inlineStr"/>
      <c r="N419" t="inlineStr"/>
      <c r="O419" t="n">
        <v>0</v>
      </c>
      <c r="P419">
        <f>IF(B436=0,0,O419/B436)</f>
        <v/>
      </c>
      <c r="S419" t="n">
        <v>0</v>
      </c>
      <c r="V419">
        <f>IFERROR(1/IF(Inputs!$B$4="pvp",15,MAX(0.1,Skills!D17-IF(Skills!E17=TRUE,Inputs!$B$31,0))),0)</f>
        <v/>
      </c>
    </row>
    <row r="420">
      <c r="A420">
        <f>Skills!A18</f>
        <v/>
      </c>
      <c r="B420">
        <f>Skills!B18</f>
        <v/>
      </c>
      <c r="C420">
        <f>Inputs!$B$3&gt;=43</f>
        <v/>
      </c>
      <c r="D420">
        <f>IF(Skills!C18=1,60+Inputs!$B$24+Inputs!$B$28,IF(Skills!C18=2,90+Inputs!$B$25+Inputs!$B$28,IF(Skills!C18=3,120+Inputs!$B$26+Inputs!$B$28,MAX(0,(Inputs!$B$3-100)*3)+Inputs!$B$27+Inputs!$B$28)))</f>
        <v/>
      </c>
      <c r="E420">
        <f>INDEX(FactorTable!$B$2:$Y$301, MATCH(ROUND(MIN(300,MAX(1,D420)),0), FactorTable!$A$2:$A$301,0), Skills!L18+1)</f>
        <v/>
      </c>
      <c r="F420">
        <f>IF(Skills!M18=TRUE,(Skills!K18/10)*(E420/1000),Skills!K18/10)+Skills!N18</f>
        <v/>
      </c>
      <c r="G420">
        <f>Calc!G18</f>
        <v/>
      </c>
      <c r="H420">
        <f>Calc!H18</f>
        <v/>
      </c>
      <c r="I420">
        <f>IF(Skills!T18&lt;&gt;"",1+(Skills!T18/10)*(R405/1000)/100,1)</f>
        <v/>
      </c>
      <c r="J420" t="inlineStr"/>
      <c r="K420" t="inlineStr"/>
      <c r="L420" t="inlineStr"/>
      <c r="M420" t="inlineStr"/>
      <c r="N420" t="inlineStr"/>
      <c r="O420" t="n">
        <v>0</v>
      </c>
      <c r="P420">
        <f>IF(B436=0,0,O420/B436)</f>
        <v/>
      </c>
      <c r="S420" t="n">
        <v>0</v>
      </c>
      <c r="V420">
        <f>IFERROR(1/IF(Inputs!$B$4="pvp",15,MAX(0.1,Skills!D18-IF(Skills!E18=TRUE,Inputs!$B$31,0))),0)</f>
        <v/>
      </c>
    </row>
    <row r="421">
      <c r="A421">
        <f>Skills!A19</f>
        <v/>
      </c>
      <c r="B421">
        <f>Skills!B19</f>
        <v/>
      </c>
      <c r="C421">
        <f>Inputs!$B$3&gt;=50</f>
        <v/>
      </c>
      <c r="D421">
        <f>IF(Skills!C19=1,60+Inputs!$B$24+Inputs!$B$28,IF(Skills!C19=2,90+Inputs!$B$25+Inputs!$B$28,IF(Skills!C19=3,120+Inputs!$B$26+Inputs!$B$28,MAX(0,(Inputs!$B$3-100)*3)+Inputs!$B$27+Inputs!$B$28)))</f>
        <v/>
      </c>
      <c r="E421">
        <f>INDEX(FactorTable!$B$2:$Y$301, MATCH(ROUND(MIN(300,MAX(1,D421)),0), FactorTable!$A$2:$A$301,0), Skills!L19+1)</f>
        <v/>
      </c>
      <c r="F421">
        <f>IF(Skills!M19=TRUE,(Skills!K19/10)*(E421/1000),Skills!K19/10)+Skills!N19</f>
        <v/>
      </c>
      <c r="G421">
        <f>Calc!G19</f>
        <v/>
      </c>
      <c r="H421">
        <f>Calc!H19</f>
        <v/>
      </c>
      <c r="I421">
        <f>IF(Skills!T19&lt;&gt;"",1+(Skills!T19/10)*(R405/1000)/100,1)</f>
        <v/>
      </c>
      <c r="J421" t="inlineStr"/>
      <c r="K421" t="inlineStr"/>
      <c r="L421" t="inlineStr"/>
      <c r="M421" t="inlineStr"/>
      <c r="N421" t="inlineStr"/>
      <c r="O421" t="n">
        <v>0</v>
      </c>
      <c r="P421">
        <f>IF(B436=0,0,O421/B436)</f>
        <v/>
      </c>
      <c r="S421" t="n">
        <v>0</v>
      </c>
      <c r="V421">
        <f>IFERROR(1/IF(Inputs!$B$4="pvp",15,MAX(0.1,Skills!D19-IF(Skills!E19=TRUE,Inputs!$B$31,0))),0)</f>
        <v/>
      </c>
    </row>
    <row r="422">
      <c r="A422">
        <f>Skills!A20</f>
        <v/>
      </c>
      <c r="B422">
        <f>Skills!B20</f>
        <v/>
      </c>
      <c r="C422">
        <f>Inputs!$B$3&gt;=74</f>
        <v/>
      </c>
      <c r="D422">
        <f>IF(Skills!C20=1,60+Inputs!$B$24+Inputs!$B$28,IF(Skills!C20=2,90+Inputs!$B$25+Inputs!$B$28,IF(Skills!C20=3,120+Inputs!$B$26+Inputs!$B$28,MAX(0,(Inputs!$B$3-100)*3)+Inputs!$B$27+Inputs!$B$28)))</f>
        <v/>
      </c>
      <c r="E422">
        <f>INDEX(FactorTable!$B$2:$Y$301, MATCH(ROUND(MIN(300,MAX(1,D422)),0), FactorTable!$A$2:$A$301,0), Skills!L20+1)</f>
        <v/>
      </c>
      <c r="F422">
        <f>IF(Skills!M20=TRUE,(Skills!K20/10)*(E422/1000),Skills!K20/10)+Skills!N20</f>
        <v/>
      </c>
      <c r="G422">
        <f>Calc!G20</f>
        <v/>
      </c>
      <c r="H422">
        <f>Calc!H20</f>
        <v/>
      </c>
      <c r="I422">
        <f>IF(Skills!T20&lt;&gt;"",1+(Skills!T20/10)*(R405/1000)/100,1)</f>
        <v/>
      </c>
      <c r="J422" t="inlineStr"/>
      <c r="K422" t="inlineStr"/>
      <c r="L422" t="inlineStr"/>
      <c r="M422" t="inlineStr"/>
      <c r="N422" t="inlineStr"/>
      <c r="O422" t="n">
        <v>0</v>
      </c>
      <c r="P422">
        <f>IF(B436=0,0,O422/B436)</f>
        <v/>
      </c>
      <c r="S422" t="n">
        <v>0</v>
      </c>
      <c r="V422">
        <f>IFERROR(1/IF(Inputs!$B$4="pvp",15,MAX(0.1,Skills!D20-IF(Skills!E20=TRUE,Inputs!$B$31,0))),0)</f>
        <v/>
      </c>
    </row>
    <row r="423">
      <c r="A423">
        <f>Skills!A21</f>
        <v/>
      </c>
      <c r="B423">
        <f>Skills!B21</f>
        <v/>
      </c>
      <c r="C423">
        <f>Inputs!$B$3&gt;=74</f>
        <v/>
      </c>
      <c r="D423">
        <f>IF(Skills!C21=1,60+Inputs!$B$24+Inputs!$B$28,IF(Skills!C21=2,90+Inputs!$B$25+Inputs!$B$28,IF(Skills!C21=3,120+Inputs!$B$26+Inputs!$B$28,MAX(0,(Inputs!$B$3-100)*3)+Inputs!$B$27+Inputs!$B$28)))</f>
        <v/>
      </c>
      <c r="E423">
        <f>INDEX(FactorTable!$B$2:$Y$301, MATCH(ROUND(MIN(300,MAX(1,D423)),0), FactorTable!$A$2:$A$301,0), Skills!L21+1)</f>
        <v/>
      </c>
      <c r="F423">
        <f>IF(Skills!M21=TRUE,(Skills!K21/10)*(E423/1000),Skills!K21/10)+Skills!N21</f>
        <v/>
      </c>
      <c r="G423">
        <f>Calc!G21</f>
        <v/>
      </c>
      <c r="H423">
        <f>Calc!H21</f>
        <v/>
      </c>
      <c r="I423">
        <f>IF(Skills!T21&lt;&gt;"",1+(Skills!T21/10)*(R405/1000)/100,1)</f>
        <v/>
      </c>
      <c r="J423" t="inlineStr"/>
      <c r="K423" t="inlineStr"/>
      <c r="L423" t="inlineStr"/>
      <c r="M423" t="inlineStr"/>
      <c r="N423" t="inlineStr"/>
      <c r="O423" t="n">
        <v>0</v>
      </c>
      <c r="P423">
        <f>IF(B436=0,0,O423/B436)</f>
        <v/>
      </c>
      <c r="S423" t="n">
        <v>0</v>
      </c>
      <c r="V423">
        <f>IFERROR(1/IF(Inputs!$B$4="pvp",15,MAX(0.1,Skills!D21-IF(Skills!E21=TRUE,Inputs!$B$31,0))),0)</f>
        <v/>
      </c>
    </row>
    <row r="424">
      <c r="A424">
        <f>Skills!A22</f>
        <v/>
      </c>
      <c r="B424">
        <f>Skills!B22</f>
        <v/>
      </c>
      <c r="C424">
        <f>Inputs!$B$3&gt;=117</f>
        <v/>
      </c>
      <c r="D424">
        <f>IF(Skills!C22=1,60+Inputs!$B$24+Inputs!$B$28,IF(Skills!C22=2,90+Inputs!$B$25+Inputs!$B$28,IF(Skills!C22=3,120+Inputs!$B$26+Inputs!$B$28,MAX(0,(Inputs!$B$3-100)*3)+Inputs!$B$27+Inputs!$B$28)))</f>
        <v/>
      </c>
      <c r="E424">
        <f>INDEX(FactorTable!$B$2:$Y$301, MATCH(ROUND(MIN(300,MAX(1,D424)),0), FactorTable!$A$2:$A$301,0), Skills!L22+1)</f>
        <v/>
      </c>
      <c r="F424">
        <f>IF(Skills!M22=TRUE,(Skills!K22/10)*(E424/1000),Skills!K22/10)+Skills!N22</f>
        <v/>
      </c>
      <c r="G424">
        <f>Calc!G22</f>
        <v/>
      </c>
      <c r="H424">
        <f>Calc!H22</f>
        <v/>
      </c>
      <c r="I424">
        <f>IF(Skills!T22&lt;&gt;"",1+(Skills!T22/10)*(R405/1000)/100,1)</f>
        <v/>
      </c>
      <c r="J424" t="inlineStr"/>
      <c r="K424" t="inlineStr"/>
      <c r="L424" t="inlineStr"/>
      <c r="M424" t="inlineStr"/>
      <c r="N424" t="inlineStr"/>
      <c r="O424" t="n">
        <v>0</v>
      </c>
      <c r="P424">
        <f>IF(B436=0,0,O424/B436)</f>
        <v/>
      </c>
      <c r="S424" t="n">
        <v>0</v>
      </c>
      <c r="V424">
        <f>IFERROR(1/IF(Inputs!$B$4="pvp",15,MAX(0.1,Skills!D22-IF(Skills!E22=TRUE,Inputs!$B$31,0))),0)</f>
        <v/>
      </c>
    </row>
    <row r="425">
      <c r="A425">
        <f>Skills!A23</f>
        <v/>
      </c>
      <c r="B425">
        <f>Skills!B23</f>
        <v/>
      </c>
      <c r="C425">
        <f>Inputs!$B$3&gt;=120</f>
        <v/>
      </c>
      <c r="D425">
        <f>IF(Skills!C23=1,60+Inputs!$B$24+Inputs!$B$28,IF(Skills!C23=2,90+Inputs!$B$25+Inputs!$B$28,IF(Skills!C23=3,120+Inputs!$B$26+Inputs!$B$28,MAX(0,(Inputs!$B$3-100)*3)+Inputs!$B$27+Inputs!$B$28)))</f>
        <v/>
      </c>
      <c r="E425">
        <f>INDEX(FactorTable!$B$2:$Y$301, MATCH(ROUND(MIN(300,MAX(1,D425)),0), FactorTable!$A$2:$A$301,0), Skills!L23+1)</f>
        <v/>
      </c>
      <c r="F425">
        <f>IF(Skills!M23=TRUE,(Skills!K23/10)*(E425/1000),Skills!K23/10)+Skills!N23</f>
        <v/>
      </c>
      <c r="G425">
        <f>Calc!G23</f>
        <v/>
      </c>
      <c r="H425">
        <f>Calc!H23</f>
        <v/>
      </c>
      <c r="I425">
        <f>IF(Skills!T23&lt;&gt;"",1+(Skills!T23/10)*(R405/1000)/100,1)</f>
        <v/>
      </c>
      <c r="J425" t="inlineStr"/>
      <c r="K425" t="inlineStr"/>
      <c r="L425" t="inlineStr"/>
      <c r="M425" t="inlineStr"/>
      <c r="N425" t="inlineStr"/>
      <c r="O425" t="n">
        <v>0</v>
      </c>
      <c r="P425">
        <f>IF(B436=0,0,O425/B436)</f>
        <v/>
      </c>
      <c r="S425" t="n">
        <v>0</v>
      </c>
      <c r="V425">
        <f>IFERROR(1/IF(Inputs!$B$4="pvp",15,MAX(0.1,Skills!D23-IF(Skills!E23=TRUE,Inputs!$B$31,0))),0)</f>
        <v/>
      </c>
    </row>
    <row r="428">
      <c r="A428" t="inlineStr">
        <is>
          <t>Average Buff Multiplier (Magic Guard + Meditation, summed; then Infinity)</t>
        </is>
      </c>
      <c r="B428">
        <f>(1+(IF(C405=TRUE,F405*IF(AND(Inputs!$B$4&lt;&gt;"pvp",Inputs!$B$35&gt;0),(((S405-1)*(Skills!S3*(1+(Inputs!$B$33+IF(Inputs!$B$3&gt;=117,F424,0))/100))+MIN((Skills!S3*(1+(Inputs!$B$33+IF(Inputs!$B$3&gt;=117,F424,0))/100)),MAX(0,Inputs!$B$35-((S405-1)*Skills!D3))))/Inputs!$B$35),IF(Inputs!$B$4="pvp",MIN((Skills!S3*(1+(Inputs!$B$33+IF(Inputs!$B$3&gt;=117,F424,0))/100)),15)/15,(Skills!S3*(1+(Inputs!$B$33+IF(Inputs!$B$3&gt;=117,F424,0))/100))/Skills!D3)),0)+IF(C406=TRUE,F406*IF(AND(Inputs!$B$4&lt;&gt;"pvp",Inputs!$B$35&gt;0),(((S406-1)*(Skills!S4*(1+(Inputs!$B$33+IF(Inputs!$B$3&gt;=117,F424,0))/100))+MIN((Skills!S4*(1+(Inputs!$B$33+IF(Inputs!$B$3&gt;=117,F424,0))/100)),MAX(0,Inputs!$B$35-((S406-1)*Skills!D4))))/Inputs!$B$35),IF(Inputs!$B$4="pvp",MIN((Skills!S4*(1+(Inputs!$B$33+IF(Inputs!$B$3&gt;=117,F424,0))/100)),15)/15,(Skills!S4*(1+(Inputs!$B$33+IF(Inputs!$B$3&gt;=117,F424,0))/100))/Skills!D4)),0))/100)*IF(C418=TRUE,(1+F418*IF(AND(Inputs!$B$4&lt;&gt;"pvp",Inputs!$B$35&gt;0),(((S418-1)*(Skills!S16*(1+(Inputs!$B$33+IF(Inputs!$B$3&gt;=117,F424,0))/100))+MIN((Skills!S16*(1+(Inputs!$B$33+IF(Inputs!$B$3&gt;=117,F424,0))/100)),MAX(0,Inputs!$B$35-((S418-1)*Skills!D16))))/Inputs!$B$35),IF(Inputs!$B$4="pvp",MIN((Skills!S16*(1+(Inputs!$B$33+IF(Inputs!$B$3&gt;=117,F424,0))/100)),15)/15,(Skills!S16*(1+(Inputs!$B$33+IF(Inputs!$B$3&gt;=117,F424,0))/100))/Skills!D16))/100),1)</f>
        <v/>
      </c>
    </row>
    <row r="429">
      <c r="A429" t="inlineStr">
        <is>
          <t>Monster Damage Taken Bonus % (Freezing Breath - Weaken + Elemental Reset, summed)</t>
        </is>
      </c>
      <c r="B429">
        <f>IF(Inputs!$B$3&gt;=118,15*IF(Inputs!$B$4="pvp",MIN((30*(1+(Inputs!$B$33+IF(Inputs!$B$3&gt;=117,F424,0))/100)),15)/15,(30*(1+(Inputs!$B$33+IF(Inputs!$B$3&gt;=117,F424,0))/100))/Skills!D8),0)+IF(C416=TRUE,F416,0)</f>
        <v/>
      </c>
    </row>
    <row r="430">
      <c r="A430" t="inlineStr">
        <is>
          <t>Damage % Bonus (Frozen Break + Frost Clutch, flat)</t>
        </is>
      </c>
      <c r="B430">
        <f>IF(Inputs!$B$3&gt;=66,15,0)+IF(Inputs!$B$3&gt;=98,10,0)+IF(Inputs!$B$3&gt;=125,20,0)</f>
        <v/>
      </c>
    </row>
    <row r="431">
      <c r="A431" t="inlineStr">
        <is>
          <t>Attack Speed Bonus % (MP Eater - MP Boost, always-on once unlocked)</t>
        </is>
      </c>
      <c r="B431">
        <f>IF(C415=TRUE,F415+(F419-Calc!F17),0)</f>
        <v/>
      </c>
    </row>
    <row r="432">
      <c r="A432" t="inlineStr">
        <is>
          <t>Actions Per Second</t>
        </is>
      </c>
      <c r="B432">
        <f>1+MIN(150,150*(1-(1-Inputs!$B$10/150)*(1-B431/150)))/100</f>
        <v/>
      </c>
    </row>
    <row r="433">
      <c r="A433" t="inlineStr">
        <is>
          <t>Skill + Buff Cast Rate</t>
        </is>
      </c>
      <c r="B433">
        <f>IF(AND(Inputs!$B$4&lt;&gt;"pvp",Inputs!$B$35&gt;0),SUMPRODUCT((Skills!E2:E23=TRUE)*(C404:C425=TRUE)*S404:S425)/Inputs!$B$35,SUMPRODUCT((Skills!E2:E23=TRUE)*(C404:C425=TRUE)*V404:V425))</f>
        <v/>
      </c>
    </row>
    <row r="434">
      <c r="A434" t="inlineStr">
        <is>
          <t>Chain Lightning Casts Per Second</t>
        </is>
      </c>
      <c r="B434">
        <f>MAX(0,B432-B433)</f>
        <v/>
      </c>
    </row>
    <row r="436">
      <c r="A436" s="5" t="inlineStr">
        <is>
          <t>TOTAL DPS</t>
        </is>
      </c>
      <c r="B436" s="5">
        <f>SUM(O404:O425)</f>
        <v/>
      </c>
    </row>
    <row r="439">
      <c r="A439" s="5" t="inlineStr">
        <is>
          <t>Stat: ATTACK_SPEED % (diminishing returns, factor 150)</t>
        </is>
      </c>
    </row>
    <row r="440">
      <c r="A440" s="8" t="inlineStr">
        <is>
          <t>Key</t>
        </is>
      </c>
      <c r="B440" s="8" t="inlineStr">
        <is>
          <t>Name</t>
        </is>
      </c>
      <c r="C440" s="8" t="inlineStr">
        <is>
          <t>Unlocked</t>
        </is>
      </c>
      <c r="D440" s="8" t="inlineStr">
        <is>
          <t>InputLevel</t>
        </is>
      </c>
      <c r="E440" s="8" t="inlineStr">
        <is>
          <t>Factor</t>
        </is>
      </c>
      <c r="F440" s="8" t="inlineStr">
        <is>
          <t>CoefficientPercent</t>
        </is>
      </c>
      <c r="G440" s="8" t="inlineStr">
        <is>
          <t>EffectiveHits</t>
        </is>
      </c>
      <c r="H440" s="8" t="inlineStr">
        <is>
          <t>ProcProbability</t>
        </is>
      </c>
      <c r="I440" s="8" t="inlineStr">
        <is>
          <t>MapleHeroMultiplier</t>
        </is>
      </c>
      <c r="J440" s="8" t="inlineStr">
        <is>
          <t>BaseDamage</t>
        </is>
      </c>
      <c r="K440" s="8" t="inlineStr">
        <is>
          <t>BaseHitDamage</t>
        </is>
      </c>
      <c r="L440" s="8" t="inlineStr">
        <is>
          <t>NonCritAvg</t>
        </is>
      </c>
      <c r="M440" s="8" t="inlineStr">
        <is>
          <t>CritAvg</t>
        </is>
      </c>
      <c r="N440" s="8" t="inlineStr">
        <is>
          <t>ExpectedDamage(perHit)</t>
        </is>
      </c>
      <c r="O440" s="8" t="inlineStr">
        <is>
          <t>DPS</t>
        </is>
      </c>
      <c r="P440" s="8" t="inlineStr">
        <is>
          <t>% of Total</t>
        </is>
      </c>
      <c r="R440" t="inlineStr">
        <is>
          <t>helpers</t>
        </is>
      </c>
    </row>
    <row r="441">
      <c r="A441">
        <f>Skills!A2</f>
        <v/>
      </c>
      <c r="B441">
        <f>Skills!B2</f>
        <v/>
      </c>
      <c r="C441">
        <f>Inputs!$B$3&gt;=100</f>
        <v/>
      </c>
      <c r="D441" t="inlineStr"/>
      <c r="E441" t="inlineStr"/>
      <c r="F441">
        <f>T443+Skills!N2</f>
        <v/>
      </c>
      <c r="G441">
        <f>Calc!G2</f>
        <v/>
      </c>
      <c r="H441">
        <f>Calc!H2</f>
        <v/>
      </c>
      <c r="I441">
        <f>IF(Skills!T2&lt;&gt;"",1+(Skills!T2/10)*(R442/1000)/100,1)</f>
        <v/>
      </c>
      <c r="J441">
        <f>((Inputs!$B$5*(1+Inputs!$B$6/100))+((Inputs!$B$11*(1+Inputs!$B$12/100))-(Inputs!$B$11*(1+Inputs!$B$12/100)))*(1+Inputs!$B$6/100))*(F441/100)</f>
        <v/>
      </c>
      <c r="K441">
        <f>J441*(1+((Inputs!$B$11*(1+Inputs!$B$12/100))*0.01+Inputs!$B$13*0.0025)/100)*(1+(Inputs!$B$14+B467)/100)*(1+IF(Inputs!$B$4="pvp",0,(1-Summary!$B$51)*(Inputs!$B$19+Skills!O2+B466)+Summary!$B$51*(Inputs!$B$20+Skills!P2+B466))/100)*(1+Inputs!$B$15/100)*(5000/(6000+Inputs!$B$7*(1-Inputs!$B$18/100)))*(1+Inputs!$B$23/100)*(1+IF(C454=TRUE,F454,0)/100)*(1+IF(C462=TRUE,F462,0)/100)^5*(1+(IF(Skills!A2="CHAIN_LIGHTNING",Inputs!$B$16,Inputs!$B$17))/100)*(B465*I441)</f>
        <v/>
      </c>
      <c r="L441">
        <f>K441*(MIN(Inputs!$B$21+(F457-Calc!F18),Inputs!$B$22)/100+Inputs!$B$22/100)/2</f>
        <v/>
      </c>
      <c r="M441">
        <f>L441*(1+(Inputs!$B$9+(F460-Calc!F21))/100)</f>
        <v/>
      </c>
      <c r="N441">
        <f>L441*(1-MIN(Inputs!$B$8+((F459-Calc!F20)+(F458-Calc!F19)),100)/100)+M441*(MIN(Inputs!$B$8+((F459-Calc!F20)+(F458-Calc!F19)),100)/100)</f>
        <v/>
      </c>
      <c r="O441">
        <f>IF(C441,Skills!F2*N441*B471*IF(Inputs!$B$4="pvp",1,(1-Summary!$B$51)*(1)+Summary!$B$51*(MIN((6+Inputs!$B$32),Inputs!$B$37))),0)</f>
        <v/>
      </c>
      <c r="P441">
        <f>IF(B473=0,0,O441/B473)</f>
        <v/>
      </c>
      <c r="R441">
        <f>MAX(0,(Inputs!$B$3-100)*3)+Inputs!$B$27+Inputs!$B$28</f>
        <v/>
      </c>
      <c r="S441" t="n">
        <v>0</v>
      </c>
      <c r="T441">
        <f>MAX(0,(Inputs!$B$3-100)*3)+Inputs!$B$27+Inputs!$B$28</f>
        <v/>
      </c>
      <c r="V441">
        <f>IFERROR(1/IF(Inputs!$B$4="pvp",15,MAX(0.1,Skills!D2-IF(Skills!E2=TRUE,Inputs!$B$31,0))),0)</f>
        <v/>
      </c>
    </row>
    <row r="442">
      <c r="A442">
        <f>Skills!A3</f>
        <v/>
      </c>
      <c r="B442">
        <f>Skills!B3</f>
        <v/>
      </c>
      <c r="C442">
        <f>Inputs!$B$3&gt;=15</f>
        <v/>
      </c>
      <c r="D442">
        <f>IF(Skills!C3=1,60+Inputs!$B$24+Inputs!$B$28,IF(Skills!C3=2,90+Inputs!$B$25+Inputs!$B$28,IF(Skills!C3=3,120+Inputs!$B$26+Inputs!$B$28,MAX(0,(Inputs!$B$3-100)*3)+Inputs!$B$27+Inputs!$B$28)))</f>
        <v/>
      </c>
      <c r="E442">
        <f>INDEX(FactorTable!$B$2:$Y$301, MATCH(ROUND(MIN(300,MAX(1,D442)),0), FactorTable!$A$2:$A$301,0), Skills!L3+1)</f>
        <v/>
      </c>
      <c r="F442">
        <f>IF(Skills!M3=TRUE,(Skills!K3/10)*(E442/1000),Skills!K3/10)+Skills!N3</f>
        <v/>
      </c>
      <c r="G442">
        <f>Calc!G3</f>
        <v/>
      </c>
      <c r="H442">
        <f>Calc!H3</f>
        <v/>
      </c>
      <c r="I442">
        <f>IF(Skills!T3&lt;&gt;"",1+(Skills!T3/10)*(R442/1000)/100,1)</f>
        <v/>
      </c>
      <c r="J442" t="inlineStr"/>
      <c r="K442" t="inlineStr"/>
      <c r="L442" t="inlineStr"/>
      <c r="M442" t="inlineStr"/>
      <c r="N442" t="inlineStr"/>
      <c r="O442" t="n">
        <v>0</v>
      </c>
      <c r="P442">
        <f>IF(B473=0,0,O442/B473)</f>
        <v/>
      </c>
      <c r="R442">
        <f>INDEX(FactorTable!$B$2:$Y$301, MATCH(ROUND(MIN(300,MAX(1,R441)),0), FactorTable!$A$2:$A$301,0), 24)</f>
        <v/>
      </c>
      <c r="S442">
        <f>IF(AND(Inputs!$B$4&lt;&gt;"pvp",Inputs!$B$35&gt;0),(INT(Inputs!$B$35/IF(Inputs!$B$4="pvp",15,MAX(0.1,Skills!D3-IF(Skills!E3=TRUE,Inputs!$B$31,0))))+1),0)</f>
        <v/>
      </c>
      <c r="T442">
        <f>INDEX(FactorTable!$B$2:$Y$301, MATCH(ROUND(MIN(300,MAX(1,T441)),0), FactorTable!$A$2:$A$301,0), 22)</f>
        <v/>
      </c>
      <c r="V442">
        <f>IFERROR(1/IF(Inputs!$B$4="pvp",15,MAX(0.1,Skills!D3-IF(Skills!E3=TRUE,Inputs!$B$31,0))),0)</f>
        <v/>
      </c>
    </row>
    <row r="443">
      <c r="A443">
        <f>Skills!A4</f>
        <v/>
      </c>
      <c r="B443">
        <f>Skills!B4</f>
        <v/>
      </c>
      <c r="C443">
        <f>Inputs!$B$3&gt;=40</f>
        <v/>
      </c>
      <c r="D443">
        <f>IF(Skills!C4=1,60+Inputs!$B$24+Inputs!$B$28,IF(Skills!C4=2,90+Inputs!$B$25+Inputs!$B$28,IF(Skills!C4=3,120+Inputs!$B$26+Inputs!$B$28,MAX(0,(Inputs!$B$3-100)*3)+Inputs!$B$27+Inputs!$B$28)))</f>
        <v/>
      </c>
      <c r="E443">
        <f>INDEX(FactorTable!$B$2:$Y$301, MATCH(ROUND(MIN(300,MAX(1,D443)),0), FactorTable!$A$2:$A$301,0), Skills!L4+1)</f>
        <v/>
      </c>
      <c r="F443">
        <f>IF(Skills!M4=TRUE,(Skills!K4/10)*(E443/1000),Skills!K4/10)+Skills!N4</f>
        <v/>
      </c>
      <c r="G443">
        <f>Calc!G4</f>
        <v/>
      </c>
      <c r="H443">
        <f>Calc!H4</f>
        <v/>
      </c>
      <c r="I443">
        <f>IF(Skills!T4&lt;&gt;"",1+(Skills!T4/10)*(R442/1000)/100,1)</f>
        <v/>
      </c>
      <c r="J443" t="inlineStr"/>
      <c r="K443" t="inlineStr"/>
      <c r="L443" t="inlineStr"/>
      <c r="M443" t="inlineStr"/>
      <c r="N443" t="inlineStr"/>
      <c r="O443" t="n">
        <v>0</v>
      </c>
      <c r="P443">
        <f>IF(B473=0,0,O443/B473)</f>
        <v/>
      </c>
      <c r="S443">
        <f>IF(AND(Inputs!$B$4&lt;&gt;"pvp",Inputs!$B$35&gt;0),(INT(Inputs!$B$35/IF(Inputs!$B$4="pvp",15,MAX(0.1,Skills!D4-IF(Skills!E4=TRUE,Inputs!$B$31,0))))+1),0)</f>
        <v/>
      </c>
      <c r="T443">
        <f>290*T442/1000</f>
        <v/>
      </c>
      <c r="V443">
        <f>IFERROR(1/IF(Inputs!$B$4="pvp",15,MAX(0.1,Skills!D4-IF(Skills!E4=TRUE,Inputs!$B$31,0))),0)</f>
        <v/>
      </c>
    </row>
    <row r="444">
      <c r="A444">
        <f>Skills!A5</f>
        <v/>
      </c>
      <c r="B444">
        <f>Skills!B5</f>
        <v/>
      </c>
      <c r="C444">
        <f>Inputs!$B$3&gt;=38</f>
        <v/>
      </c>
      <c r="D444">
        <f>IF(Skills!C5=1,60+Inputs!$B$24+Inputs!$B$28,IF(Skills!C5=2,90+Inputs!$B$25+Inputs!$B$28,IF(Skills!C5=3,120+Inputs!$B$26+Inputs!$B$28,MAX(0,(Inputs!$B$3-100)*3)+Inputs!$B$27+Inputs!$B$28)))</f>
        <v/>
      </c>
      <c r="E444">
        <f>INDEX(FactorTable!$B$2:$Y$301, MATCH(ROUND(MIN(300,MAX(1,D444)),0), FactorTable!$A$2:$A$301,0), Skills!L5+1)</f>
        <v/>
      </c>
      <c r="F444">
        <f>IF(Skills!M5=TRUE,(Skills!K5/10)*(E444/1000),Skills!K5/10)+Skills!N5</f>
        <v/>
      </c>
      <c r="G444">
        <f>Calc!G5</f>
        <v/>
      </c>
      <c r="H444">
        <f>Calc!H5</f>
        <v/>
      </c>
      <c r="I444">
        <f>IF(Skills!T5&lt;&gt;"",1+(Skills!T5/10)*(R442/1000)/100,1)</f>
        <v/>
      </c>
      <c r="J444">
        <f>((Inputs!$B$5*(1+Inputs!$B$6/100))+((Inputs!$B$11*(1+Inputs!$B$12/100))-(Inputs!$B$11*(1+Inputs!$B$12/100)))*(1+Inputs!$B$6/100))*(F444/100)</f>
        <v/>
      </c>
      <c r="K444">
        <f>J444*(1+((Inputs!$B$11*(1+Inputs!$B$12/100))*0.01+Inputs!$B$13*0.0025)/100)*(1+(Inputs!$B$14+B467)/100)*(1+IF(Inputs!$B$4="pvp",0,(1-Summary!$B$51)*(Inputs!$B$19+Skills!O5+B466)+Summary!$B$51*(Inputs!$B$20+Skills!P5+B466))/100)*(1+Inputs!$B$15/100)*(5000/(6000+Inputs!$B$7*(1-Inputs!$B$18/100)))*(1+Inputs!$B$23/100)*(1+IF(C454=TRUE,F454,0)/100)*(1+IF(C462=TRUE,F462,0)/100)^5*(1+(IF(Skills!A5="CHAIN_LIGHTNING",Inputs!$B$16,Inputs!$B$17))/100)*(B465*I444)</f>
        <v/>
      </c>
      <c r="L444">
        <f>K444*(MIN(Inputs!$B$21+(F457-Calc!F18),Inputs!$B$22)/100+Inputs!$B$22/100)/2</f>
        <v/>
      </c>
      <c r="M444">
        <f>L444*(1+(Inputs!$B$9+(F460-Calc!F21))/100)</f>
        <v/>
      </c>
      <c r="N444">
        <f>L444*(1-MIN(Inputs!$B$8+((F459-Calc!F20)+(F458-Calc!F19)),100)/100)+M444*(MIN(Inputs!$B$8+((F459-Calc!F20)+(F458-Calc!F19)),100)/100)</f>
        <v/>
      </c>
      <c r="O444">
        <f>IF(C444,H444*N444*IF(AND(Inputs!$B$4&lt;&gt;"pvp",Inputs!$B$35&gt;0),((Skills!F5*((S444-1)*IF(Skills!G5&gt;0,Skills!H5/Skills!G5,1)+IF(Skills!G5&gt;0,MIN(Skills!H5,MAX(0,Inputs!$B$35-((S444-1)*IF(Inputs!$B$4="pvp",15,MAX(0.1,Skills!D5-IF(Skills!E5=TRUE,Inputs!$B$31,0))))))/Skills!G5,1)))/Inputs!$B$35),G444*V444)*IF(Inputs!$B$4="pvp",1,(1-Summary!$B$51)*(1)+Summary!$B$51*(MIN(Skills!Q5,Inputs!$B$37))),0)</f>
        <v/>
      </c>
      <c r="P444">
        <f>IF(B473=0,0,O444/B473)</f>
        <v/>
      </c>
      <c r="S444">
        <f>IF(AND(Inputs!$B$4&lt;&gt;"pvp",Inputs!$B$35&gt;0),(INT(Inputs!$B$35/IF(Inputs!$B$4="pvp",15,MAX(0.1,Skills!D5-IF(Skills!E5=TRUE,Inputs!$B$31,0))))+1),0)</f>
        <v/>
      </c>
      <c r="V444">
        <f>IFERROR(1/IF(Inputs!$B$4="pvp",15,MAX(0.1,Skills!D5-IF(Skills!E5=TRUE,Inputs!$B$31,0))),0)</f>
        <v/>
      </c>
    </row>
    <row r="445">
      <c r="A445">
        <f>Skills!A6</f>
        <v/>
      </c>
      <c r="B445">
        <f>Skills!B6</f>
        <v/>
      </c>
      <c r="C445">
        <f>Inputs!$B$3&gt;=63</f>
        <v/>
      </c>
      <c r="D445">
        <f>IF(Skills!C6=1,60+Inputs!$B$24+Inputs!$B$28,IF(Skills!C6=2,90+Inputs!$B$25+Inputs!$B$28,IF(Skills!C6=3,120+Inputs!$B$26+Inputs!$B$28,MAX(0,(Inputs!$B$3-100)*3)+Inputs!$B$27+Inputs!$B$28)))</f>
        <v/>
      </c>
      <c r="E445">
        <f>INDEX(FactorTable!$B$2:$Y$301, MATCH(ROUND(MIN(300,MAX(1,D445)),0), FactorTable!$A$2:$A$301,0), Skills!L6+1)</f>
        <v/>
      </c>
      <c r="F445">
        <f>IF(Skills!M6=TRUE,(Skills!K6/10)*(E445/1000),Skills!K6/10)+Skills!N6</f>
        <v/>
      </c>
      <c r="G445">
        <f>Calc!G6</f>
        <v/>
      </c>
      <c r="H445">
        <f>Calc!H6</f>
        <v/>
      </c>
      <c r="I445">
        <f>IF(Skills!T6&lt;&gt;"",1+(Skills!T6/10)*(R442/1000)/100,1)</f>
        <v/>
      </c>
      <c r="J445">
        <f>((Inputs!$B$5*(1+Inputs!$B$6/100))+((Inputs!$B$11*(1+Inputs!$B$12/100))-(Inputs!$B$11*(1+Inputs!$B$12/100)))*(1+Inputs!$B$6/100))*(F445/100)</f>
        <v/>
      </c>
      <c r="K445">
        <f>J445*(1+((Inputs!$B$11*(1+Inputs!$B$12/100))*0.01+Inputs!$B$13*0.0025)/100)*(1+(Inputs!$B$14+B467)/100)*(1+IF(Inputs!$B$4="pvp",0,(1-Summary!$B$51)*(Inputs!$B$19+Skills!O6+B466)+Summary!$B$51*(Inputs!$B$20+Skills!P6+B466))/100)*(1+Inputs!$B$15/100)*(5000/(6000+Inputs!$B$7*(1-Inputs!$B$18/100)))*(1+Inputs!$B$23/100)*(1+IF(C454=TRUE,F454,0)/100)*(1+IF(C462=TRUE,F462,0)/100)^5*(1+(IF(Skills!A6="CHAIN_LIGHTNING",Inputs!$B$16,Inputs!$B$17))/100)*(B465*I445)</f>
        <v/>
      </c>
      <c r="L445">
        <f>K445*(MIN(Inputs!$B$21+(F457-Calc!F18),Inputs!$B$22)/100+Inputs!$B$22/100)/2</f>
        <v/>
      </c>
      <c r="M445">
        <f>L445*(1+(Inputs!$B$9+(F460-Calc!F21))/100)</f>
        <v/>
      </c>
      <c r="N445">
        <f>L445*(1-MIN(Inputs!$B$8+((F459-Calc!F20)+(F458-Calc!F19)),100)/100)+M445*(MIN(Inputs!$B$8+((F459-Calc!F20)+(F458-Calc!F19)),100)/100)</f>
        <v/>
      </c>
      <c r="O445">
        <f>IF(C445,H445*N445*IF(AND(Inputs!$B$4&lt;&gt;"pvp",Inputs!$B$35&gt;0),((Skills!F6*((S445-1)*IF(Skills!G6&gt;0,Skills!H6/Skills!G6,1)+IF(Skills!G6&gt;0,MIN(Skills!H6,MAX(0,Inputs!$B$35-((S445-1)*IF(Inputs!$B$4="pvp",15,MAX(0.1,Skills!D6-IF(Skills!E6=TRUE,Inputs!$B$31,0))))))/Skills!G6,1)))/Inputs!$B$35),G445*V445)*IF(Inputs!$B$4="pvp",1,(1-Summary!$B$51)*(1)+Summary!$B$51*(MIN(Skills!Q6,Inputs!$B$37))),0)</f>
        <v/>
      </c>
      <c r="P445">
        <f>IF(B473=0,0,O445/B473)</f>
        <v/>
      </c>
      <c r="S445">
        <f>IF(AND(Inputs!$B$4&lt;&gt;"pvp",Inputs!$B$35&gt;0),(INT(Inputs!$B$35/IF(Inputs!$B$4="pvp",15,MAX(0.1,Skills!D6-IF(Skills!E6=TRUE,Inputs!$B$31,0))))+1),0)</f>
        <v/>
      </c>
      <c r="V445">
        <f>IFERROR(1/IF(Inputs!$B$4="pvp",15,MAX(0.1,Skills!D6-IF(Skills!E6=TRUE,Inputs!$B$31,0))),0)</f>
        <v/>
      </c>
    </row>
    <row r="446">
      <c r="A446">
        <f>Skills!A7</f>
        <v/>
      </c>
      <c r="B446">
        <f>Skills!B7</f>
        <v/>
      </c>
      <c r="C446">
        <f>Inputs!$B$3&gt;=69</f>
        <v/>
      </c>
      <c r="D446">
        <f>IF(Skills!C7=1,60+Inputs!$B$24+Inputs!$B$28,IF(Skills!C7=2,90+Inputs!$B$25+Inputs!$B$28,IF(Skills!C7=3,120+Inputs!$B$26+Inputs!$B$28,MAX(0,(Inputs!$B$3-100)*3)+Inputs!$B$27+Inputs!$B$28)))</f>
        <v/>
      </c>
      <c r="E446">
        <f>INDEX(FactorTable!$B$2:$Y$301, MATCH(ROUND(MIN(300,MAX(1,D446)),0), FactorTable!$A$2:$A$301,0), Skills!L7+1)</f>
        <v/>
      </c>
      <c r="F446">
        <f>IF(Skills!M7=TRUE,(Skills!K7/10)*(E446/1000),Skills!K7/10)+Skills!N7</f>
        <v/>
      </c>
      <c r="G446">
        <f>Calc!G7</f>
        <v/>
      </c>
      <c r="H446">
        <f>Calc!H7</f>
        <v/>
      </c>
      <c r="I446">
        <f>IF(Skills!T7&lt;&gt;"",1+(Skills!T7/10)*(R442/1000)/100,1)</f>
        <v/>
      </c>
      <c r="J446">
        <f>((Inputs!$B$5*(1+Inputs!$B$6/100))+((Inputs!$B$11*(1+Inputs!$B$12/100))-(Inputs!$B$11*(1+Inputs!$B$12/100)))*(1+Inputs!$B$6/100))*(F446/100)</f>
        <v/>
      </c>
      <c r="K446">
        <f>J446*(1+((Inputs!$B$11*(1+Inputs!$B$12/100))*0.01+Inputs!$B$13*0.0025)/100)*(1+(Inputs!$B$14+B467)/100)*(1+IF(Inputs!$B$4="pvp",0,(1-Summary!$B$51)*(Inputs!$B$19+Skills!O7+B466)+Summary!$B$51*(Inputs!$B$20+Skills!P7+B466))/100)*(1+Inputs!$B$15/100)*(5000/(6000+Inputs!$B$7*(1-Inputs!$B$18/100)))*(1+Inputs!$B$23/100)*(1+IF(C454=TRUE,F454,0)/100)*(1+IF(C462=TRUE,F462,0)/100)^5*(1+(IF(Skills!A7="CHAIN_LIGHTNING",Inputs!$B$16,Inputs!$B$17))/100)*(B465*I446)</f>
        <v/>
      </c>
      <c r="L446">
        <f>K446*(MIN(Inputs!$B$21+(F457-Calc!F18),Inputs!$B$22)/100+Inputs!$B$22/100)/2</f>
        <v/>
      </c>
      <c r="M446">
        <f>L446*(1+(Inputs!$B$9+(F460-Calc!F21))/100)</f>
        <v/>
      </c>
      <c r="N446">
        <f>L446*(1-MIN(Inputs!$B$8+((F459-Calc!F20)+(F458-Calc!F19)),100)/100)+M446*(MIN(Inputs!$B$8+((F459-Calc!F20)+(F458-Calc!F19)),100)/100)</f>
        <v/>
      </c>
      <c r="O446">
        <f>IF(C446,H446*N446*IF(AND(Inputs!$B$4&lt;&gt;"pvp",Inputs!$B$35&gt;0),((Skills!F7*((S446-1)*IF(Skills!G7&gt;0,Skills!H7/Skills!G7,1)+IF(Skills!G7&gt;0,MIN(Skills!H7,MAX(0,Inputs!$B$35-((S446-1)*IF(Inputs!$B$4="pvp",15,MAX(0.1,Skills!D7-IF(Skills!E7=TRUE,Inputs!$B$31,0))))))/Skills!G7,1)))/Inputs!$B$35),G446*V446)*IF(Inputs!$B$4="pvp",1,(1-Summary!$B$51)*(1)+Summary!$B$51*(MIN(Skills!Q7,Inputs!$B$37))),0)</f>
        <v/>
      </c>
      <c r="P446">
        <f>IF(B473=0,0,O446/B473)</f>
        <v/>
      </c>
      <c r="S446">
        <f>IF(AND(Inputs!$B$4&lt;&gt;"pvp",Inputs!$B$35&gt;0),(INT(Inputs!$B$35/IF(Inputs!$B$4="pvp",15,MAX(0.1,Skills!D7-IF(Skills!E7=TRUE,Inputs!$B$31,0))))+1),0)</f>
        <v/>
      </c>
      <c r="V446">
        <f>IFERROR(1/IF(Inputs!$B$4="pvp",15,MAX(0.1,Skills!D7-IF(Skills!E7=TRUE,Inputs!$B$31,0))),0)</f>
        <v/>
      </c>
    </row>
    <row r="447">
      <c r="A447">
        <f>Skills!A8</f>
        <v/>
      </c>
      <c r="B447">
        <f>Skills!B8</f>
        <v/>
      </c>
      <c r="C447">
        <f>Inputs!$B$3&gt;=103</f>
        <v/>
      </c>
      <c r="D447">
        <f>IF(Skills!C8=1,60+Inputs!$B$24+Inputs!$B$28,IF(Skills!C8=2,90+Inputs!$B$25+Inputs!$B$28,IF(Skills!C8=3,120+Inputs!$B$26+Inputs!$B$28,MAX(0,(Inputs!$B$3-100)*3)+Inputs!$B$27+Inputs!$B$28)))</f>
        <v/>
      </c>
      <c r="E447">
        <f>INDEX(FactorTable!$B$2:$Y$301, MATCH(ROUND(MIN(300,MAX(1,D447)),0), FactorTable!$A$2:$A$301,0), Skills!L8+1)</f>
        <v/>
      </c>
      <c r="F447">
        <f>IF(Skills!M8=TRUE,(Skills!K8/10)*(E447/1000),Skills!K8/10)+Skills!N8</f>
        <v/>
      </c>
      <c r="G447">
        <f>Calc!G8</f>
        <v/>
      </c>
      <c r="H447">
        <f>Calc!H8</f>
        <v/>
      </c>
      <c r="I447">
        <f>IF(Skills!T8&lt;&gt;"",1+(Skills!T8/10)*(R442/1000)/100,1)</f>
        <v/>
      </c>
      <c r="J447">
        <f>((Inputs!$B$5*(1+Inputs!$B$6/100))+((Inputs!$B$11*(1+Inputs!$B$12/100))-(Inputs!$B$11*(1+Inputs!$B$12/100)))*(1+Inputs!$B$6/100))*(F447/100)</f>
        <v/>
      </c>
      <c r="K447">
        <f>J447*(1+((Inputs!$B$11*(1+Inputs!$B$12/100))*0.01+Inputs!$B$13*0.0025)/100)*(1+(Inputs!$B$14+B467)/100)*(1+IF(Inputs!$B$4="pvp",0,(1-Summary!$B$51)*(Inputs!$B$19+Skills!O8+B466)+Summary!$B$51*(Inputs!$B$20+Skills!P8+B466))/100)*(1+Inputs!$B$15/100)*(5000/(6000+Inputs!$B$7*(1-Inputs!$B$18/100)))*(1+Inputs!$B$23/100)*(1+IF(C454=TRUE,F454,0)/100)*(1+IF(C462=TRUE,F462,0)/100)^5*(1+(IF(Skills!A8="CHAIN_LIGHTNING",Inputs!$B$16,Inputs!$B$17))/100)*(B465*I447)</f>
        <v/>
      </c>
      <c r="L447">
        <f>K447*(MIN(Inputs!$B$21+(F457-Calc!F18),Inputs!$B$22)/100+Inputs!$B$22/100)/2</f>
        <v/>
      </c>
      <c r="M447">
        <f>L447*(1+(Inputs!$B$9+(F460-Calc!F21))/100)</f>
        <v/>
      </c>
      <c r="N447">
        <f>L447*(1-MIN(Inputs!$B$8+((F459-Calc!F20)+(F458-Calc!F19)),100)/100)+M447*(MIN(Inputs!$B$8+((F459-Calc!F20)+(F458-Calc!F19)),100)/100)</f>
        <v/>
      </c>
      <c r="O447">
        <f>IF(C447,H447*N447*IF(AND(Inputs!$B$4&lt;&gt;"pvp",Inputs!$B$35&gt;0),((Skills!F8*((S447-1)*IF(Skills!G8&gt;0,Skills!H8/Skills!G8,1)+IF(Skills!G8&gt;0,MIN(Skills!H8,MAX(0,Inputs!$B$35-((S447-1)*IF(Inputs!$B$4="pvp",15,MAX(0.1,Skills!D8-IF(Skills!E8=TRUE,Inputs!$B$31,0))))))/Skills!G8,1)))/Inputs!$B$35),G447*V447)*IF(Inputs!$B$4="pvp",1,(1-Summary!$B$51)*(1)+Summary!$B$51*(MIN(Skills!Q8,Inputs!$B$37))),0)</f>
        <v/>
      </c>
      <c r="P447">
        <f>IF(B473=0,0,O447/B473)</f>
        <v/>
      </c>
      <c r="S447">
        <f>IF(AND(Inputs!$B$4&lt;&gt;"pvp",Inputs!$B$35&gt;0),(INT(Inputs!$B$35/IF(Inputs!$B$4="pvp",15,MAX(0.1,Skills!D8-IF(Skills!E8=TRUE,Inputs!$B$31,0))))+1),0)</f>
        <v/>
      </c>
      <c r="V447">
        <f>IFERROR(1/IF(Inputs!$B$4="pvp",15,MAX(0.1,Skills!D8-IF(Skills!E8=TRUE,Inputs!$B$31,0))),0)</f>
        <v/>
      </c>
    </row>
    <row r="448">
      <c r="A448">
        <f>Skills!A9</f>
        <v/>
      </c>
      <c r="B448">
        <f>Skills!B9</f>
        <v/>
      </c>
      <c r="C448">
        <f>Inputs!$B$3&gt;=105</f>
        <v/>
      </c>
      <c r="D448">
        <f>IF(Skills!C9=1,60+Inputs!$B$24+Inputs!$B$28,IF(Skills!C9=2,90+Inputs!$B$25+Inputs!$B$28,IF(Skills!C9=3,120+Inputs!$B$26+Inputs!$B$28,MAX(0,(Inputs!$B$3-100)*3)+Inputs!$B$27+Inputs!$B$28)))</f>
        <v/>
      </c>
      <c r="E448">
        <f>INDEX(FactorTable!$B$2:$Y$301, MATCH(ROUND(MIN(300,MAX(1,D448)),0), FactorTable!$A$2:$A$301,0), Skills!L9+1)</f>
        <v/>
      </c>
      <c r="F448">
        <f>IF(Skills!M9=TRUE,(Skills!K9/10)*(E448/1000),Skills!K9/10)+Skills!N9</f>
        <v/>
      </c>
      <c r="G448">
        <f>Calc!G9</f>
        <v/>
      </c>
      <c r="H448">
        <f>Calc!H9</f>
        <v/>
      </c>
      <c r="I448">
        <f>IF(Skills!T9&lt;&gt;"",1+(Skills!T9/10)*(R442/1000)/100,1)</f>
        <v/>
      </c>
      <c r="J448">
        <f>((Inputs!$B$5*(1+Inputs!$B$6/100))+((Inputs!$B$11*(1+Inputs!$B$12/100))-(Inputs!$B$11*(1+Inputs!$B$12/100)))*(1+Inputs!$B$6/100))*(F448/100)</f>
        <v/>
      </c>
      <c r="K448">
        <f>J448*(1+((Inputs!$B$11*(1+Inputs!$B$12/100))*0.01+Inputs!$B$13*0.0025)/100)*(1+(Inputs!$B$14+B467)/100)*(1+IF(Inputs!$B$4="pvp",0,(1-Summary!$B$51)*(Inputs!$B$19+Skills!O9+B466)+Summary!$B$51*(Inputs!$B$20+Skills!P9+B466))/100)*(1+Inputs!$B$15/100)*(5000/(6000+Inputs!$B$7*(1-Inputs!$B$18/100)))*(1+Inputs!$B$23/100)*(1+IF(C454=TRUE,F454,0)/100)*(1+IF(C462=TRUE,F462,0)/100)^5*(1+(IF(Skills!A9="CHAIN_LIGHTNING",Inputs!$B$16,Inputs!$B$17))/100)*(B465*I448)</f>
        <v/>
      </c>
      <c r="L448">
        <f>K448*(MIN(Inputs!$B$21+(F457-Calc!F18),Inputs!$B$22)/100+Inputs!$B$22/100)/2</f>
        <v/>
      </c>
      <c r="M448">
        <f>L448*(1+(Inputs!$B$9+(F460-Calc!F21))/100)</f>
        <v/>
      </c>
      <c r="N448">
        <f>L448*(1-MIN(Inputs!$B$8+((F459-Calc!F20)+(F458-Calc!F19)),100)/100)+M448*(MIN(Inputs!$B$8+((F459-Calc!F20)+(F458-Calc!F19)),100)/100)</f>
        <v/>
      </c>
      <c r="O448">
        <f>IF(C448,H448*N448*IF(AND(Inputs!$B$4&lt;&gt;"pvp",Inputs!$B$35&gt;0),((Skills!F9*((S448-1)*IF(Skills!G9&gt;0,Skills!H9/Skills!G9,1)+IF(Skills!G9&gt;0,MIN(Skills!H9,MAX(0,Inputs!$B$35-((S448-1)*IF(Inputs!$B$4="pvp",15,MAX(0.1,Skills!D9-IF(Skills!E9=TRUE,Inputs!$B$31,0))))))/Skills!G9,1)))/Inputs!$B$35),G448*V448)*IF(Inputs!$B$4="pvp",1,(1-Summary!$B$51)*(1)+Summary!$B$51*(MIN(Skills!Q9,Inputs!$B$37))),0)</f>
        <v/>
      </c>
      <c r="P448">
        <f>IF(B473=0,0,O448/B473)</f>
        <v/>
      </c>
      <c r="S448">
        <f>IF(AND(Inputs!$B$4&lt;&gt;"pvp",Inputs!$B$35&gt;0),(INT(Inputs!$B$35/IF(Inputs!$B$4="pvp",15,MAX(0.1,Skills!D9-IF(Skills!E9=TRUE,Inputs!$B$31,0))))+1),0)</f>
        <v/>
      </c>
      <c r="V448">
        <f>IFERROR(1/IF(Inputs!$B$4="pvp",15,MAX(0.1,Skills!D9-IF(Skills!E9=TRUE,Inputs!$B$31,0))),0)</f>
        <v/>
      </c>
    </row>
    <row r="449">
      <c r="A449">
        <f>Skills!A10</f>
        <v/>
      </c>
      <c r="B449">
        <f>Skills!B10</f>
        <v/>
      </c>
      <c r="C449">
        <f>Inputs!$B$3&gt;=113</f>
        <v/>
      </c>
      <c r="D449">
        <f>IF(Skills!C10=1,60+Inputs!$B$24+Inputs!$B$28,IF(Skills!C10=2,90+Inputs!$B$25+Inputs!$B$28,IF(Skills!C10=3,120+Inputs!$B$26+Inputs!$B$28,MAX(0,(Inputs!$B$3-100)*3)+Inputs!$B$27+Inputs!$B$28)))</f>
        <v/>
      </c>
      <c r="E449">
        <f>INDEX(FactorTable!$B$2:$Y$301, MATCH(ROUND(MIN(300,MAX(1,D449)),0), FactorTable!$A$2:$A$301,0), Skills!L10+1)</f>
        <v/>
      </c>
      <c r="F449">
        <f>IF(Skills!M10=TRUE,(Skills!K10/10)*(E449/1000),Skills!K10/10)+Skills!N10</f>
        <v/>
      </c>
      <c r="G449">
        <f>Calc!G10</f>
        <v/>
      </c>
      <c r="H449">
        <f>Calc!H10</f>
        <v/>
      </c>
      <c r="I449">
        <f>IF(Skills!T10&lt;&gt;"",1+(Skills!T10/10)*(R442/1000)/100,1)</f>
        <v/>
      </c>
      <c r="J449">
        <f>((Inputs!$B$5*(1+Inputs!$B$6/100))+((Inputs!$B$11*(1+Inputs!$B$12/100))-(Inputs!$B$11*(1+Inputs!$B$12/100)))*(1+Inputs!$B$6/100))*(F449/100)</f>
        <v/>
      </c>
      <c r="K449">
        <f>J449*(1+((Inputs!$B$11*(1+Inputs!$B$12/100))*0.01+Inputs!$B$13*0.0025)/100)*(1+(Inputs!$B$14+B467)/100)*(1+IF(Inputs!$B$4="pvp",0,(1-Summary!$B$51)*(Inputs!$B$19+Skills!O10+B466)+Summary!$B$51*(Inputs!$B$20+Skills!P10+B466))/100)*(1+Inputs!$B$15/100)*(5000/(6000+Inputs!$B$7*(1-Inputs!$B$18/100)))*(1+Inputs!$B$23/100)*(1+IF(C454=TRUE,F454,0)/100)*(1+IF(C462=TRUE,F462,0)/100)^5*(1+(IF(Skills!A10="CHAIN_LIGHTNING",Inputs!$B$16,Inputs!$B$17))/100)*(B465*I449)</f>
        <v/>
      </c>
      <c r="L449">
        <f>K449*(MIN(Inputs!$B$21+(F457-Calc!F18),Inputs!$B$22)/100+Inputs!$B$22/100)/2</f>
        <v/>
      </c>
      <c r="M449">
        <f>L449*(1+(Inputs!$B$9+(F460-Calc!F21))/100)</f>
        <v/>
      </c>
      <c r="N449">
        <f>L449*(1-MIN(Inputs!$B$8+((F459-Calc!F20)+(F458-Calc!F19)),100)/100)+M449*(MIN(Inputs!$B$8+((F459-Calc!F20)+(F458-Calc!F19)),100)/100)</f>
        <v/>
      </c>
      <c r="O449">
        <f>IF(C449,H449*N449*IF(AND(Inputs!$B$4&lt;&gt;"pvp",Inputs!$B$35&gt;0),((Skills!F10*((S449-1)*IF(Skills!G10&gt;0,Skills!H10/Skills!G10,1)+IF(Skills!G10&gt;0,MIN(Skills!H10,MAX(0,Inputs!$B$35-((S449-1)*IF(Inputs!$B$4="pvp",15,MAX(0.1,Skills!D10-IF(Skills!E9=TRUE,Inputs!$B$31,0))))))/Skills!G10,1)))/Inputs!$B$35),G449*V449)*IF(Inputs!$B$4="pvp",1,(1-Summary!$B$51)*(1)+Summary!$B$51*(MIN(Skills!Q10,Inputs!$B$37))),0)</f>
        <v/>
      </c>
      <c r="P449">
        <f>IF(B473=0,0,O449/B473)</f>
        <v/>
      </c>
      <c r="S449">
        <f>IF(AND(Inputs!$B$4&lt;&gt;"pvp",Inputs!$B$35&gt;0),(INT(Inputs!$B$35/IF(Inputs!$B$4="pvp",15,MAX(0.1,Skills!D10-IF(Skills!E9=TRUE,Inputs!$B$31,0))))+1),0)</f>
        <v/>
      </c>
      <c r="V449">
        <f>IFERROR(1/IF(Inputs!$B$4="pvp",15,MAX(0.1,Skills!D10-IF(Skills!E9=TRUE,Inputs!$B$31,0))),0)</f>
        <v/>
      </c>
    </row>
    <row r="450">
      <c r="A450">
        <f>Skills!A11</f>
        <v/>
      </c>
      <c r="B450">
        <f>Skills!B11</f>
        <v/>
      </c>
      <c r="C450">
        <f>Inputs!$B$3&gt;=107</f>
        <v/>
      </c>
      <c r="D450">
        <f>IF(Skills!C11=1,60+Inputs!$B$24+Inputs!$B$28,IF(Skills!C11=2,90+Inputs!$B$25+Inputs!$B$28,IF(Skills!C11=3,120+Inputs!$B$26+Inputs!$B$28,MAX(0,(Inputs!$B$3-100)*3)+Inputs!$B$27+Inputs!$B$28)))</f>
        <v/>
      </c>
      <c r="E450">
        <f>INDEX(FactorTable!$B$2:$Y$301, MATCH(ROUND(MIN(300,MAX(1,D450)),0), FactorTable!$A$2:$A$301,0), Skills!L11+1)</f>
        <v/>
      </c>
      <c r="F450">
        <f>IF(Skills!M11=TRUE,(Skills!K11/10)*(E450/1000),Skills!K11/10)+Skills!N11</f>
        <v/>
      </c>
      <c r="G450">
        <f>Calc!G11</f>
        <v/>
      </c>
      <c r="H450">
        <f>Calc!H11</f>
        <v/>
      </c>
      <c r="I450">
        <f>IF(Skills!T11&lt;&gt;"",1+(Skills!T11/10)*(R442/1000)/100,1)</f>
        <v/>
      </c>
      <c r="J450">
        <f>((Inputs!$B$5*(1+Inputs!$B$6/100))+((Inputs!$B$11*(1+Inputs!$B$12/100))-(Inputs!$B$11*(1+Inputs!$B$12/100)))*(1+Inputs!$B$6/100))*(F450/100)</f>
        <v/>
      </c>
      <c r="K450">
        <f>J450*(1+((Inputs!$B$11*(1+Inputs!$B$12/100))*0.01+Inputs!$B$13*0.0025)/100)*(1+(Inputs!$B$14+B467)/100)*(1+IF(Inputs!$B$4="pvp",0,(1-Summary!$B$51)*(Inputs!$B$19+Skills!O11+B466)+Summary!$B$51*(Inputs!$B$20+Skills!P11+B466))/100)*(1+Inputs!$B$15/100)*(5000/(6000+Inputs!$B$7*(1-Inputs!$B$18/100)))*(1+Inputs!$B$23/100)*(1+IF(C454=TRUE,F454,0)/100)*(1+IF(C462=TRUE,F462,0)/100)^5*(1+(IF(Skills!A11="CHAIN_LIGHTNING",Inputs!$B$16,Inputs!$B$17))/100)*(B465*I450)</f>
        <v/>
      </c>
      <c r="L450">
        <f>K450*(MIN(Inputs!$B$21+(F457-Calc!F18),Inputs!$B$22)/100+Inputs!$B$22/100)/2</f>
        <v/>
      </c>
      <c r="M450">
        <f>L450*(1+(Inputs!$B$9+(F460-Calc!F21))/100)</f>
        <v/>
      </c>
      <c r="N450">
        <f>L450*(1-MIN(Inputs!$B$8+((F459-Calc!F20)+(F458-Calc!F19)),100)/100)+M450*(MIN(Inputs!$B$8+((F459-Calc!F20)+(F458-Calc!F19)),100)/100)</f>
        <v/>
      </c>
      <c r="O450">
        <f>IF(C450,H450*N450*IF(AND(Inputs!$B$4&lt;&gt;"pvp",Inputs!$B$35&gt;0),((Skills!F11*((S450-1)*IF(Skills!G11&gt;0,Skills!H11/Skills!G11,1)+IF(Skills!G11&gt;0,MIN(Skills!H11,MAX(0,Inputs!$B$35-((S450-1)*IF(Inputs!$B$4="pvp",15,MAX(0.1,Skills!D11-IF(Skills!E11=TRUE,Inputs!$B$31,0))))))/Skills!G11,1)))/Inputs!$B$35),G450*V450)*IF(Inputs!$B$4="pvp",0.5,(1-Summary!$B$51)*0.5+Summary!$B$51*1)*IF(Inputs!$B$4="pvp",1,(1-Summary!$B$51)*(1)+Summary!$B$51*(MIN(Skills!Q11,Inputs!$B$37))),0)</f>
        <v/>
      </c>
      <c r="P450">
        <f>IF(B473=0,0,O450/B473)</f>
        <v/>
      </c>
      <c r="S450">
        <f>IF(AND(Inputs!$B$4&lt;&gt;"pvp",Inputs!$B$35&gt;0),(INT(Inputs!$B$35/IF(Inputs!$B$4="pvp",15,MAX(0.1,Skills!D11-IF(Skills!E11=TRUE,Inputs!$B$31,0))))+1),0)</f>
        <v/>
      </c>
      <c r="V450">
        <f>IFERROR(1/IF(Inputs!$B$4="pvp",15,MAX(0.1,Skills!D11-IF(Skills!E11=TRUE,Inputs!$B$31,0))),0)</f>
        <v/>
      </c>
    </row>
    <row r="451">
      <c r="A451">
        <f>Skills!A12</f>
        <v/>
      </c>
      <c r="B451">
        <f>Skills!B12</f>
        <v/>
      </c>
      <c r="C451">
        <f>Inputs!$B$3&gt;=115</f>
        <v/>
      </c>
      <c r="D451">
        <f>IF(Skills!C12=1,60+Inputs!$B$24+Inputs!$B$28,IF(Skills!C12=2,90+Inputs!$B$25+Inputs!$B$28,IF(Skills!C12=3,120+Inputs!$B$26+Inputs!$B$28,MAX(0,(Inputs!$B$3-100)*3)+Inputs!$B$27+Inputs!$B$28)))</f>
        <v/>
      </c>
      <c r="E451">
        <f>INDEX(FactorTable!$B$2:$Y$301, MATCH(ROUND(MIN(300,MAX(1,D451)),0), FactorTable!$A$2:$A$301,0), Skills!L12+1)</f>
        <v/>
      </c>
      <c r="F451">
        <f>IF(Skills!M12=TRUE,(Skills!K12/10)*(E451/1000),Skills!K12/10)+Skills!N12</f>
        <v/>
      </c>
      <c r="G451">
        <f>Calc!G12</f>
        <v/>
      </c>
      <c r="H451">
        <f>Calc!H12</f>
        <v/>
      </c>
      <c r="I451">
        <f>IF(Skills!T12&lt;&gt;"",1+(Skills!T12/10)*(R442/1000)/100,1)</f>
        <v/>
      </c>
      <c r="J451">
        <f>((Inputs!$B$5*(1+Inputs!$B$6/100))+((Inputs!$B$11*(1+Inputs!$B$12/100))-(Inputs!$B$11*(1+Inputs!$B$12/100)))*(1+Inputs!$B$6/100))*(F451/100)</f>
        <v/>
      </c>
      <c r="K451">
        <f>J451*(1+((Inputs!$B$11*(1+Inputs!$B$12/100))*0.01+Inputs!$B$13*0.0025)/100)*(1+(Inputs!$B$14+B467)/100)*(1+IF(Inputs!$B$4="pvp",0,(1-Summary!$B$51)*(Inputs!$B$19+Skills!O12+B466)+Summary!$B$51*(Inputs!$B$20+Skills!P12+B466))/100)*(1+Inputs!$B$15/100)*(5000/(6000+Inputs!$B$7*(1-Inputs!$B$18/100)))*(1+Inputs!$B$23/100)*(1+IF(C454=TRUE,F454,0)/100)*(1+IF(C462=TRUE,F462,0)/100)^5*(1+(IF(Skills!A12="CHAIN_LIGHTNING",Inputs!$B$16,Inputs!$B$17))/100)*(B465*I451)</f>
        <v/>
      </c>
      <c r="L451">
        <f>K451*(MIN(Inputs!$B$21+(F457-Calc!F18),Inputs!$B$22)/100+Inputs!$B$22/100)/2</f>
        <v/>
      </c>
      <c r="M451">
        <f>L451*(1+(Inputs!$B$9+(F460-Calc!F21))/100)</f>
        <v/>
      </c>
      <c r="N451">
        <f>L451*(1-MIN(Inputs!$B$8+((F459-Calc!F20)+(F458-Calc!F19)),100)/100)+M451*(MIN(Inputs!$B$8+((F459-Calc!F20)+(F458-Calc!F19)),100)/100)</f>
        <v/>
      </c>
      <c r="O451">
        <f>IF(C451,H451*N451*IF(AND(Inputs!$B$4&lt;&gt;"pvp",Inputs!$B$35&gt;0),((Skills!F12*((S451-1)*IF(Skills!G12&gt;0,Skills!H12/Skills!G12,1)+IF(Skills!G12&gt;0,MIN(Skills!H12,MAX(0,Inputs!$B$35-((S451-1)*IF(Inputs!$B$4="pvp",15,MAX(0.1,Skills!D12-IF(Skills!E12=TRUE,Inputs!$B$31,0))))))/Skills!G12,1)))/Inputs!$B$35),G451*V451)*IF(Inputs!$B$4="pvp",1,(1-Summary!$B$51)*(1)+Summary!$B$51*(MIN(Skills!Q12,Inputs!$B$37))),0)</f>
        <v/>
      </c>
      <c r="P451">
        <f>IF(B473=0,0,O451/B473)</f>
        <v/>
      </c>
      <c r="S451">
        <f>IF(AND(Inputs!$B$4&lt;&gt;"pvp",Inputs!$B$35&gt;0),(INT(Inputs!$B$35/IF(Inputs!$B$4="pvp",15,MAX(0.1,Skills!D12-IF(Skills!E12=TRUE,Inputs!$B$31,0))))+1),0)</f>
        <v/>
      </c>
      <c r="V451">
        <f>IFERROR(1/IF(Inputs!$B$4="pvp",15,MAX(0.1,Skills!D12-IF(Skills!E12=TRUE,Inputs!$B$31,0))),0)</f>
        <v/>
      </c>
    </row>
    <row r="452">
      <c r="A452">
        <f>Skills!A13</f>
        <v/>
      </c>
      <c r="B452">
        <f>Skills!B13</f>
        <v/>
      </c>
      <c r="C452">
        <f>Inputs!$B$3&gt;=49</f>
        <v/>
      </c>
      <c r="D452">
        <f>IF(Skills!C13=1,60+Inputs!$B$24+Inputs!$B$28,IF(Skills!C13=2,90+Inputs!$B$25+Inputs!$B$28,IF(Skills!C13=3,120+Inputs!$B$26+Inputs!$B$28,MAX(0,(Inputs!$B$3-100)*3)+Inputs!$B$27+Inputs!$B$28)))</f>
        <v/>
      </c>
      <c r="E452">
        <f>INDEX(FactorTable!$B$2:$Y$301, MATCH(ROUND(MIN(300,MAX(1,D452)),0), FactorTable!$A$2:$A$301,0), Skills!L13+1)</f>
        <v/>
      </c>
      <c r="F452">
        <f>IF(Skills!M13=TRUE,(Skills!K13/10)*(E452/1000),Skills!K13/10)+Skills!N13</f>
        <v/>
      </c>
      <c r="G452">
        <f>Calc!G13</f>
        <v/>
      </c>
      <c r="H452">
        <f>Calc!H13</f>
        <v/>
      </c>
      <c r="I452">
        <f>IF(Skills!T13&lt;&gt;"",1+(Skills!T13/10)*(R442/1000)/100,1)</f>
        <v/>
      </c>
      <c r="J452" t="inlineStr"/>
      <c r="K452" t="inlineStr"/>
      <c r="L452" t="inlineStr"/>
      <c r="M452" t="inlineStr"/>
      <c r="N452" t="inlineStr"/>
      <c r="O452" t="n">
        <v>0</v>
      </c>
      <c r="P452">
        <f>IF(B473=0,0,O452/B473)</f>
        <v/>
      </c>
      <c r="S452" t="n">
        <v>0</v>
      </c>
      <c r="V452">
        <f>IFERROR(1/IF(Inputs!$B$4="pvp",15,MAX(0.1,Skills!D13-IF(Skills!E13=TRUE,Inputs!$B$31,0))),0)</f>
        <v/>
      </c>
    </row>
    <row r="453">
      <c r="A453">
        <f>Skills!A14</f>
        <v/>
      </c>
      <c r="B453">
        <f>Skills!B14</f>
        <v/>
      </c>
      <c r="C453">
        <f>Inputs!$B$3&gt;=72</f>
        <v/>
      </c>
      <c r="D453">
        <f>IF(Skills!C14=1,60+Inputs!$B$24+Inputs!$B$28,IF(Skills!C14=2,90+Inputs!$B$25+Inputs!$B$28,IF(Skills!C14=3,120+Inputs!$B$26+Inputs!$B$28,MAX(0,(Inputs!$B$3-100)*3)+Inputs!$B$27+Inputs!$B$28)))</f>
        <v/>
      </c>
      <c r="E453">
        <f>INDEX(FactorTable!$B$2:$Y$301, MATCH(ROUND(MIN(300,MAX(1,D453)),0), FactorTable!$A$2:$A$301,0), Skills!L14+1)</f>
        <v/>
      </c>
      <c r="F453">
        <f>IF(Skills!M14=TRUE,(Skills!K14/10)*(E453/1000),Skills!K14/10)+Skills!N14</f>
        <v/>
      </c>
      <c r="G453">
        <f>Calc!G14</f>
        <v/>
      </c>
      <c r="H453">
        <f>Calc!H14</f>
        <v/>
      </c>
      <c r="I453">
        <f>IF(Skills!T14&lt;&gt;"",1+(Skills!T14/10)*(R442/1000)/100,1)</f>
        <v/>
      </c>
      <c r="J453" t="inlineStr"/>
      <c r="K453" t="inlineStr"/>
      <c r="L453" t="inlineStr"/>
      <c r="M453" t="inlineStr"/>
      <c r="N453" t="inlineStr"/>
      <c r="O453" t="n">
        <v>0</v>
      </c>
      <c r="P453">
        <f>IF(B473=0,0,O453/B473)</f>
        <v/>
      </c>
      <c r="S453" t="n">
        <v>0</v>
      </c>
      <c r="V453">
        <f>IFERROR(1/IF(Inputs!$B$4="pvp",15,MAX(0.1,Skills!D14-IF(Skills!E14=TRUE,Inputs!$B$31,0))),0)</f>
        <v/>
      </c>
    </row>
    <row r="454">
      <c r="A454">
        <f>Skills!A15</f>
        <v/>
      </c>
      <c r="B454">
        <f>Skills!B15</f>
        <v/>
      </c>
      <c r="C454">
        <f>Inputs!$B$3&gt;=75</f>
        <v/>
      </c>
      <c r="D454">
        <f>IF(Skills!C15=1,60+Inputs!$B$24+Inputs!$B$28,IF(Skills!C15=2,90+Inputs!$B$25+Inputs!$B$28,IF(Skills!C15=3,120+Inputs!$B$26+Inputs!$B$28,MAX(0,(Inputs!$B$3-100)*3)+Inputs!$B$27+Inputs!$B$28)))</f>
        <v/>
      </c>
      <c r="E454">
        <f>INDEX(FactorTable!$B$2:$Y$301, MATCH(ROUND(MIN(300,MAX(1,D454)),0), FactorTable!$A$2:$A$301,0), Skills!L15+1)</f>
        <v/>
      </c>
      <c r="F454">
        <f>IF(Skills!M15=TRUE,(Skills!K15/10)*(E454/1000),Skills!K15/10)+Skills!N15</f>
        <v/>
      </c>
      <c r="G454">
        <f>Calc!G15</f>
        <v/>
      </c>
      <c r="H454">
        <f>Calc!H15</f>
        <v/>
      </c>
      <c r="I454">
        <f>IF(Skills!T15&lt;&gt;"",1+(Skills!T15/10)*(R442/1000)/100,1)</f>
        <v/>
      </c>
      <c r="J454" t="inlineStr"/>
      <c r="K454" t="inlineStr"/>
      <c r="L454" t="inlineStr"/>
      <c r="M454" t="inlineStr"/>
      <c r="N454" t="inlineStr"/>
      <c r="O454" t="n">
        <v>0</v>
      </c>
      <c r="P454">
        <f>IF(B473=0,0,O454/B473)</f>
        <v/>
      </c>
      <c r="S454" t="n">
        <v>0</v>
      </c>
      <c r="V454">
        <f>IFERROR(1/IF(Inputs!$B$4="pvp",15,MAX(0.1,Skills!D15-IF(Skills!E15=TRUE,Inputs!$B$31,0))),0)</f>
        <v/>
      </c>
    </row>
    <row r="455">
      <c r="A455">
        <f>Skills!A16</f>
        <v/>
      </c>
      <c r="B455">
        <f>Skills!B16</f>
        <v/>
      </c>
      <c r="C455">
        <f>Inputs!$B$3&gt;=110</f>
        <v/>
      </c>
      <c r="D455">
        <f>IF(Skills!C16=1,60+Inputs!$B$24+Inputs!$B$28,IF(Skills!C16=2,90+Inputs!$B$25+Inputs!$B$28,IF(Skills!C16=3,120+Inputs!$B$26+Inputs!$B$28,MAX(0,(Inputs!$B$3-100)*3)+Inputs!$B$27+Inputs!$B$28)))</f>
        <v/>
      </c>
      <c r="E455">
        <f>INDEX(FactorTable!$B$2:$Y$301, MATCH(ROUND(MIN(300,MAX(1,D455)),0), FactorTable!$A$2:$A$301,0), Skills!L16+1)</f>
        <v/>
      </c>
      <c r="F455">
        <f>(Skills!K16/10)*(E455/1000)*64/45+Skills!N16</f>
        <v/>
      </c>
      <c r="G455">
        <f>Calc!G16</f>
        <v/>
      </c>
      <c r="H455">
        <f>Calc!H16</f>
        <v/>
      </c>
      <c r="I455">
        <f>IF(Skills!T16&lt;&gt;"",1+(Skills!T16/10)*(R442/1000)/100,1)</f>
        <v/>
      </c>
      <c r="J455" t="inlineStr"/>
      <c r="K455" t="inlineStr"/>
      <c r="L455" t="inlineStr"/>
      <c r="M455" t="inlineStr"/>
      <c r="N455" t="inlineStr"/>
      <c r="O455" t="n">
        <v>0</v>
      </c>
      <c r="P455">
        <f>IF(B473=0,0,O455/B473)</f>
        <v/>
      </c>
      <c r="S455">
        <f>IF(AND(Inputs!$B$4&lt;&gt;"pvp",Inputs!$B$35&gt;0),(INT(Inputs!$B$35/IF(Inputs!$B$4="pvp",15,MAX(0.1,Skills!D16-IF(Skills!E16=TRUE,Inputs!$B$31,0))))+1),0)</f>
        <v/>
      </c>
      <c r="V455">
        <f>IFERROR(1/IF(Inputs!$B$4="pvp",15,MAX(0.1,Skills!D16-IF(Skills!E16=TRUE,Inputs!$B$31,0))),0)</f>
        <v/>
      </c>
    </row>
    <row r="456">
      <c r="A456">
        <f>Skills!A17</f>
        <v/>
      </c>
      <c r="B456">
        <f>Skills!B17</f>
        <v/>
      </c>
      <c r="C456">
        <f>Inputs!$B$3&gt;=33</f>
        <v/>
      </c>
      <c r="D456">
        <f>IF(Skills!C17=1,60+Inputs!$B$24+Inputs!$B$28,IF(Skills!C17=2,90+Inputs!$B$25+Inputs!$B$28,IF(Skills!C17=3,120+Inputs!$B$26+Inputs!$B$28,MAX(0,(Inputs!$B$3-100)*3)+Inputs!$B$27+Inputs!$B$28)))</f>
        <v/>
      </c>
      <c r="E456">
        <f>INDEX(FactorTable!$B$2:$Y$301, MATCH(ROUND(MIN(300,MAX(1,D456)),0), FactorTable!$A$2:$A$301,0), Skills!L17+1)</f>
        <v/>
      </c>
      <c r="F456">
        <f>IF(Skills!M17=TRUE,(Skills!K17/10)*(E456/1000),Skills!K17/10)+Skills!N17</f>
        <v/>
      </c>
      <c r="G456">
        <f>Calc!G17</f>
        <v/>
      </c>
      <c r="H456">
        <f>Calc!H17</f>
        <v/>
      </c>
      <c r="I456">
        <f>IF(Skills!T17&lt;&gt;"",1+(Skills!T17/10)*(R442/1000)/100,1)</f>
        <v/>
      </c>
      <c r="J456" t="inlineStr"/>
      <c r="K456" t="inlineStr"/>
      <c r="L456" t="inlineStr"/>
      <c r="M456" t="inlineStr"/>
      <c r="N456" t="inlineStr"/>
      <c r="O456" t="n">
        <v>0</v>
      </c>
      <c r="P456">
        <f>IF(B473=0,0,O456/B473)</f>
        <v/>
      </c>
      <c r="S456" t="n">
        <v>0</v>
      </c>
      <c r="V456">
        <f>IFERROR(1/IF(Inputs!$B$4="pvp",15,MAX(0.1,Skills!D17-IF(Skills!E17=TRUE,Inputs!$B$31,0))),0)</f>
        <v/>
      </c>
    </row>
    <row r="457">
      <c r="A457">
        <f>Skills!A18</f>
        <v/>
      </c>
      <c r="B457">
        <f>Skills!B18</f>
        <v/>
      </c>
      <c r="C457">
        <f>Inputs!$B$3&gt;=43</f>
        <v/>
      </c>
      <c r="D457">
        <f>IF(Skills!C18=1,60+Inputs!$B$24+Inputs!$B$28,IF(Skills!C18=2,90+Inputs!$B$25+Inputs!$B$28,IF(Skills!C18=3,120+Inputs!$B$26+Inputs!$B$28,MAX(0,(Inputs!$B$3-100)*3)+Inputs!$B$27+Inputs!$B$28)))</f>
        <v/>
      </c>
      <c r="E457">
        <f>INDEX(FactorTable!$B$2:$Y$301, MATCH(ROUND(MIN(300,MAX(1,D457)),0), FactorTable!$A$2:$A$301,0), Skills!L18+1)</f>
        <v/>
      </c>
      <c r="F457">
        <f>IF(Skills!M18=TRUE,(Skills!K18/10)*(E457/1000),Skills!K18/10)+Skills!N18</f>
        <v/>
      </c>
      <c r="G457">
        <f>Calc!G18</f>
        <v/>
      </c>
      <c r="H457">
        <f>Calc!H18</f>
        <v/>
      </c>
      <c r="I457">
        <f>IF(Skills!T18&lt;&gt;"",1+(Skills!T18/10)*(R442/1000)/100,1)</f>
        <v/>
      </c>
      <c r="J457" t="inlineStr"/>
      <c r="K457" t="inlineStr"/>
      <c r="L457" t="inlineStr"/>
      <c r="M457" t="inlineStr"/>
      <c r="N457" t="inlineStr"/>
      <c r="O457" t="n">
        <v>0</v>
      </c>
      <c r="P457">
        <f>IF(B473=0,0,O457/B473)</f>
        <v/>
      </c>
      <c r="S457" t="n">
        <v>0</v>
      </c>
      <c r="V457">
        <f>IFERROR(1/IF(Inputs!$B$4="pvp",15,MAX(0.1,Skills!D18-IF(Skills!E18=TRUE,Inputs!$B$31,0))),0)</f>
        <v/>
      </c>
    </row>
    <row r="458">
      <c r="A458">
        <f>Skills!A19</f>
        <v/>
      </c>
      <c r="B458">
        <f>Skills!B19</f>
        <v/>
      </c>
      <c r="C458">
        <f>Inputs!$B$3&gt;=50</f>
        <v/>
      </c>
      <c r="D458">
        <f>IF(Skills!C19=1,60+Inputs!$B$24+Inputs!$B$28,IF(Skills!C19=2,90+Inputs!$B$25+Inputs!$B$28,IF(Skills!C19=3,120+Inputs!$B$26+Inputs!$B$28,MAX(0,(Inputs!$B$3-100)*3)+Inputs!$B$27+Inputs!$B$28)))</f>
        <v/>
      </c>
      <c r="E458">
        <f>INDEX(FactorTable!$B$2:$Y$301, MATCH(ROUND(MIN(300,MAX(1,D458)),0), FactorTable!$A$2:$A$301,0), Skills!L19+1)</f>
        <v/>
      </c>
      <c r="F458">
        <f>IF(Skills!M19=TRUE,(Skills!K19/10)*(E458/1000),Skills!K19/10)+Skills!N19</f>
        <v/>
      </c>
      <c r="G458">
        <f>Calc!G19</f>
        <v/>
      </c>
      <c r="H458">
        <f>Calc!H19</f>
        <v/>
      </c>
      <c r="I458">
        <f>IF(Skills!T19&lt;&gt;"",1+(Skills!T19/10)*(R442/1000)/100,1)</f>
        <v/>
      </c>
      <c r="J458" t="inlineStr"/>
      <c r="K458" t="inlineStr"/>
      <c r="L458" t="inlineStr"/>
      <c r="M458" t="inlineStr"/>
      <c r="N458" t="inlineStr"/>
      <c r="O458" t="n">
        <v>0</v>
      </c>
      <c r="P458">
        <f>IF(B473=0,0,O458/B473)</f>
        <v/>
      </c>
      <c r="S458" t="n">
        <v>0</v>
      </c>
      <c r="V458">
        <f>IFERROR(1/IF(Inputs!$B$4="pvp",15,MAX(0.1,Skills!D19-IF(Skills!E19=TRUE,Inputs!$B$31,0))),0)</f>
        <v/>
      </c>
    </row>
    <row r="459">
      <c r="A459">
        <f>Skills!A20</f>
        <v/>
      </c>
      <c r="B459">
        <f>Skills!B20</f>
        <v/>
      </c>
      <c r="C459">
        <f>Inputs!$B$3&gt;=74</f>
        <v/>
      </c>
      <c r="D459">
        <f>IF(Skills!C20=1,60+Inputs!$B$24+Inputs!$B$28,IF(Skills!C20=2,90+Inputs!$B$25+Inputs!$B$28,IF(Skills!C20=3,120+Inputs!$B$26+Inputs!$B$28,MAX(0,(Inputs!$B$3-100)*3)+Inputs!$B$27+Inputs!$B$28)))</f>
        <v/>
      </c>
      <c r="E459">
        <f>INDEX(FactorTable!$B$2:$Y$301, MATCH(ROUND(MIN(300,MAX(1,D459)),0), FactorTable!$A$2:$A$301,0), Skills!L20+1)</f>
        <v/>
      </c>
      <c r="F459">
        <f>IF(Skills!M20=TRUE,(Skills!K20/10)*(E459/1000),Skills!K20/10)+Skills!N20</f>
        <v/>
      </c>
      <c r="G459">
        <f>Calc!G20</f>
        <v/>
      </c>
      <c r="H459">
        <f>Calc!H20</f>
        <v/>
      </c>
      <c r="I459">
        <f>IF(Skills!T20&lt;&gt;"",1+(Skills!T20/10)*(R442/1000)/100,1)</f>
        <v/>
      </c>
      <c r="J459" t="inlineStr"/>
      <c r="K459" t="inlineStr"/>
      <c r="L459" t="inlineStr"/>
      <c r="M459" t="inlineStr"/>
      <c r="N459" t="inlineStr"/>
      <c r="O459" t="n">
        <v>0</v>
      </c>
      <c r="P459">
        <f>IF(B473=0,0,O459/B473)</f>
        <v/>
      </c>
      <c r="S459" t="n">
        <v>0</v>
      </c>
      <c r="V459">
        <f>IFERROR(1/IF(Inputs!$B$4="pvp",15,MAX(0.1,Skills!D20-IF(Skills!E20=TRUE,Inputs!$B$31,0))),0)</f>
        <v/>
      </c>
    </row>
    <row r="460">
      <c r="A460">
        <f>Skills!A21</f>
        <v/>
      </c>
      <c r="B460">
        <f>Skills!B21</f>
        <v/>
      </c>
      <c r="C460">
        <f>Inputs!$B$3&gt;=74</f>
        <v/>
      </c>
      <c r="D460">
        <f>IF(Skills!C21=1,60+Inputs!$B$24+Inputs!$B$28,IF(Skills!C21=2,90+Inputs!$B$25+Inputs!$B$28,IF(Skills!C21=3,120+Inputs!$B$26+Inputs!$B$28,MAX(0,(Inputs!$B$3-100)*3)+Inputs!$B$27+Inputs!$B$28)))</f>
        <v/>
      </c>
      <c r="E460">
        <f>INDEX(FactorTable!$B$2:$Y$301, MATCH(ROUND(MIN(300,MAX(1,D460)),0), FactorTable!$A$2:$A$301,0), Skills!L21+1)</f>
        <v/>
      </c>
      <c r="F460">
        <f>IF(Skills!M21=TRUE,(Skills!K21/10)*(E460/1000),Skills!K21/10)+Skills!N21</f>
        <v/>
      </c>
      <c r="G460">
        <f>Calc!G21</f>
        <v/>
      </c>
      <c r="H460">
        <f>Calc!H21</f>
        <v/>
      </c>
      <c r="I460">
        <f>IF(Skills!T21&lt;&gt;"",1+(Skills!T21/10)*(R442/1000)/100,1)</f>
        <v/>
      </c>
      <c r="J460" t="inlineStr"/>
      <c r="K460" t="inlineStr"/>
      <c r="L460" t="inlineStr"/>
      <c r="M460" t="inlineStr"/>
      <c r="N460" t="inlineStr"/>
      <c r="O460" t="n">
        <v>0</v>
      </c>
      <c r="P460">
        <f>IF(B473=0,0,O460/B473)</f>
        <v/>
      </c>
      <c r="S460" t="n">
        <v>0</v>
      </c>
      <c r="V460">
        <f>IFERROR(1/IF(Inputs!$B$4="pvp",15,MAX(0.1,Skills!D21-IF(Skills!E21=TRUE,Inputs!$B$31,0))),0)</f>
        <v/>
      </c>
    </row>
    <row r="461">
      <c r="A461">
        <f>Skills!A22</f>
        <v/>
      </c>
      <c r="B461">
        <f>Skills!B22</f>
        <v/>
      </c>
      <c r="C461">
        <f>Inputs!$B$3&gt;=117</f>
        <v/>
      </c>
      <c r="D461">
        <f>IF(Skills!C22=1,60+Inputs!$B$24+Inputs!$B$28,IF(Skills!C22=2,90+Inputs!$B$25+Inputs!$B$28,IF(Skills!C22=3,120+Inputs!$B$26+Inputs!$B$28,MAX(0,(Inputs!$B$3-100)*3)+Inputs!$B$27+Inputs!$B$28)))</f>
        <v/>
      </c>
      <c r="E461">
        <f>INDEX(FactorTable!$B$2:$Y$301, MATCH(ROUND(MIN(300,MAX(1,D461)),0), FactorTable!$A$2:$A$301,0), Skills!L22+1)</f>
        <v/>
      </c>
      <c r="F461">
        <f>IF(Skills!M22=TRUE,(Skills!K22/10)*(E461/1000),Skills!K22/10)+Skills!N22</f>
        <v/>
      </c>
      <c r="G461">
        <f>Calc!G22</f>
        <v/>
      </c>
      <c r="H461">
        <f>Calc!H22</f>
        <v/>
      </c>
      <c r="I461">
        <f>IF(Skills!T22&lt;&gt;"",1+(Skills!T22/10)*(R442/1000)/100,1)</f>
        <v/>
      </c>
      <c r="J461" t="inlineStr"/>
      <c r="K461" t="inlineStr"/>
      <c r="L461" t="inlineStr"/>
      <c r="M461" t="inlineStr"/>
      <c r="N461" t="inlineStr"/>
      <c r="O461" t="n">
        <v>0</v>
      </c>
      <c r="P461">
        <f>IF(B473=0,0,O461/B473)</f>
        <v/>
      </c>
      <c r="S461" t="n">
        <v>0</v>
      </c>
      <c r="V461">
        <f>IFERROR(1/IF(Inputs!$B$4="pvp",15,MAX(0.1,Skills!D22-IF(Skills!E22=TRUE,Inputs!$B$31,0))),0)</f>
        <v/>
      </c>
    </row>
    <row r="462">
      <c r="A462">
        <f>Skills!A23</f>
        <v/>
      </c>
      <c r="B462">
        <f>Skills!B23</f>
        <v/>
      </c>
      <c r="C462">
        <f>Inputs!$B$3&gt;=120</f>
        <v/>
      </c>
      <c r="D462">
        <f>IF(Skills!C23=1,60+Inputs!$B$24+Inputs!$B$28,IF(Skills!C23=2,90+Inputs!$B$25+Inputs!$B$28,IF(Skills!C23=3,120+Inputs!$B$26+Inputs!$B$28,MAX(0,(Inputs!$B$3-100)*3)+Inputs!$B$27+Inputs!$B$28)))</f>
        <v/>
      </c>
      <c r="E462">
        <f>INDEX(FactorTable!$B$2:$Y$301, MATCH(ROUND(MIN(300,MAX(1,D462)),0), FactorTable!$A$2:$A$301,0), Skills!L23+1)</f>
        <v/>
      </c>
      <c r="F462">
        <f>IF(Skills!M23=TRUE,(Skills!K23/10)*(E462/1000),Skills!K23/10)+Skills!N23</f>
        <v/>
      </c>
      <c r="G462">
        <f>Calc!G23</f>
        <v/>
      </c>
      <c r="H462">
        <f>Calc!H23</f>
        <v/>
      </c>
      <c r="I462">
        <f>IF(Skills!T23&lt;&gt;"",1+(Skills!T23/10)*(R442/1000)/100,1)</f>
        <v/>
      </c>
      <c r="J462" t="inlineStr"/>
      <c r="K462" t="inlineStr"/>
      <c r="L462" t="inlineStr"/>
      <c r="M462" t="inlineStr"/>
      <c r="N462" t="inlineStr"/>
      <c r="O462" t="n">
        <v>0</v>
      </c>
      <c r="P462">
        <f>IF(B473=0,0,O462/B473)</f>
        <v/>
      </c>
      <c r="S462" t="n">
        <v>0</v>
      </c>
      <c r="V462">
        <f>IFERROR(1/IF(Inputs!$B$4="pvp",15,MAX(0.1,Skills!D23-IF(Skills!E23=TRUE,Inputs!$B$31,0))),0)</f>
        <v/>
      </c>
    </row>
    <row r="465">
      <c r="A465" t="inlineStr">
        <is>
          <t>Average Buff Multiplier (Magic Guard + Meditation, summed; then Infinity)</t>
        </is>
      </c>
      <c r="B465">
        <f>(1+(IF(C442=TRUE,F442*IF(AND(Inputs!$B$4&lt;&gt;"pvp",Inputs!$B$35&gt;0),(((S442-1)*(Skills!S3*(1+(Inputs!$B$33+IF(Inputs!$B$3&gt;=117,F461,0))/100))+MIN((Skills!S3*(1+(Inputs!$B$33+IF(Inputs!$B$3&gt;=117,F461,0))/100)),MAX(0,Inputs!$B$35-((S442-1)*Skills!D3))))/Inputs!$B$35),IF(Inputs!$B$4="pvp",MIN((Skills!S3*(1+(Inputs!$B$33+IF(Inputs!$B$3&gt;=117,F461,0))/100)),15)/15,(Skills!S3*(1+(Inputs!$B$33+IF(Inputs!$B$3&gt;=117,F461,0))/100))/Skills!D3)),0)+IF(C443=TRUE,F443*IF(AND(Inputs!$B$4&lt;&gt;"pvp",Inputs!$B$35&gt;0),(((S443-1)*(Skills!S4*(1+(Inputs!$B$33+IF(Inputs!$B$3&gt;=117,F461,0))/100))+MIN((Skills!S4*(1+(Inputs!$B$33+IF(Inputs!$B$3&gt;=117,F461,0))/100)),MAX(0,Inputs!$B$35-((S443-1)*Skills!D4))))/Inputs!$B$35),IF(Inputs!$B$4="pvp",MIN((Skills!S4*(1+(Inputs!$B$33+IF(Inputs!$B$3&gt;=117,F461,0))/100)),15)/15,(Skills!S4*(1+(Inputs!$B$33+IF(Inputs!$B$3&gt;=117,F461,0))/100))/Skills!D4)),0))/100)*IF(C455=TRUE,(1+F455*IF(AND(Inputs!$B$4&lt;&gt;"pvp",Inputs!$B$35&gt;0),(((S455-1)*(Skills!S16*(1+(Inputs!$B$33+IF(Inputs!$B$3&gt;=117,F461,0))/100))+MIN((Skills!S16*(1+(Inputs!$B$33+IF(Inputs!$B$3&gt;=117,F461,0))/100)),MAX(0,Inputs!$B$35-((S455-1)*Skills!D16))))/Inputs!$B$35),IF(Inputs!$B$4="pvp",MIN((Skills!S16*(1+(Inputs!$B$33+IF(Inputs!$B$3&gt;=117,F461,0))/100)),15)/15,(Skills!S16*(1+(Inputs!$B$33+IF(Inputs!$B$3&gt;=117,F461,0))/100))/Skills!D16))/100),1)</f>
        <v/>
      </c>
    </row>
    <row r="466">
      <c r="A466" t="inlineStr">
        <is>
          <t>Monster Damage Taken Bonus % (Freezing Breath - Weaken + Elemental Reset, summed)</t>
        </is>
      </c>
      <c r="B466">
        <f>IF(Inputs!$B$3&gt;=118,15*IF(Inputs!$B$4="pvp",MIN((30*(1+(Inputs!$B$33+IF(Inputs!$B$3&gt;=117,F461,0))/100)),15)/15,(30*(1+(Inputs!$B$33+IF(Inputs!$B$3&gt;=117,F461,0))/100))/Skills!D8),0)+IF(C453=TRUE,F453,0)</f>
        <v/>
      </c>
    </row>
    <row r="467">
      <c r="A467" t="inlineStr">
        <is>
          <t>Damage % Bonus (Frozen Break + Frost Clutch, flat)</t>
        </is>
      </c>
      <c r="B467">
        <f>IF(Inputs!$B$3&gt;=66,15,0)+IF(Inputs!$B$3&gt;=98,10,0)+IF(Inputs!$B$3&gt;=125,20,0)</f>
        <v/>
      </c>
    </row>
    <row r="468">
      <c r="A468" t="inlineStr">
        <is>
          <t>Attack Speed Bonus % (MP Eater - MP Boost, always-on once unlocked)</t>
        </is>
      </c>
      <c r="B468">
        <f>IF(C452=TRUE,F452+(F456-Calc!F17),0)</f>
        <v/>
      </c>
    </row>
    <row r="469">
      <c r="A469" t="inlineStr">
        <is>
          <t>Actions Per Second</t>
        </is>
      </c>
      <c r="B469">
        <f>1+MIN(150,150*(1-(1-((1-(1-Inputs!$B$10/150)*(1-1/150))*150)/150)*(1-B468/150)))/100</f>
        <v/>
      </c>
    </row>
    <row r="470">
      <c r="A470" t="inlineStr">
        <is>
          <t>Skill + Buff Cast Rate</t>
        </is>
      </c>
      <c r="B470">
        <f>IF(AND(Inputs!$B$4&lt;&gt;"pvp",Inputs!$B$35&gt;0),SUMPRODUCT((Skills!E2:E23=TRUE)*(C441:C462=TRUE)*S441:S462)/Inputs!$B$35,SUMPRODUCT((Skills!E2:E23=TRUE)*(C441:C462=TRUE)*V441:V462))</f>
        <v/>
      </c>
    </row>
    <row r="471">
      <c r="A471" t="inlineStr">
        <is>
          <t>Chain Lightning Casts Per Second</t>
        </is>
      </c>
      <c r="B471">
        <f>MAX(0,B469-B470)</f>
        <v/>
      </c>
    </row>
    <row r="473">
      <c r="A473" s="5" t="inlineStr">
        <is>
          <t>TOTAL DPS</t>
        </is>
      </c>
      <c r="B473" s="5">
        <f>SUM(O441:O462)</f>
        <v/>
      </c>
    </row>
    <row r="476">
      <c r="A476" s="5" t="inlineStr">
        <is>
          <t>Stat: DEF_PEN % (diminishing returns, factor 100)</t>
        </is>
      </c>
    </row>
    <row r="477">
      <c r="A477" s="8" t="inlineStr">
        <is>
          <t>Key</t>
        </is>
      </c>
      <c r="B477" s="8" t="inlineStr">
        <is>
          <t>Name</t>
        </is>
      </c>
      <c r="C477" s="8" t="inlineStr">
        <is>
          <t>Unlocked</t>
        </is>
      </c>
      <c r="D477" s="8" t="inlineStr">
        <is>
          <t>InputLevel</t>
        </is>
      </c>
      <c r="E477" s="8" t="inlineStr">
        <is>
          <t>Factor</t>
        </is>
      </c>
      <c r="F477" s="8" t="inlineStr">
        <is>
          <t>CoefficientPercent</t>
        </is>
      </c>
      <c r="G477" s="8" t="inlineStr">
        <is>
          <t>EffectiveHits</t>
        </is>
      </c>
      <c r="H477" s="8" t="inlineStr">
        <is>
          <t>ProcProbability</t>
        </is>
      </c>
      <c r="I477" s="8" t="inlineStr">
        <is>
          <t>MapleHeroMultiplier</t>
        </is>
      </c>
      <c r="J477" s="8" t="inlineStr">
        <is>
          <t>BaseDamage</t>
        </is>
      </c>
      <c r="K477" s="8" t="inlineStr">
        <is>
          <t>BaseHitDamage</t>
        </is>
      </c>
      <c r="L477" s="8" t="inlineStr">
        <is>
          <t>NonCritAvg</t>
        </is>
      </c>
      <c r="M477" s="8" t="inlineStr">
        <is>
          <t>CritAvg</t>
        </is>
      </c>
      <c r="N477" s="8" t="inlineStr">
        <is>
          <t>ExpectedDamage(perHit)</t>
        </is>
      </c>
      <c r="O477" s="8" t="inlineStr">
        <is>
          <t>DPS</t>
        </is>
      </c>
      <c r="P477" s="8" t="inlineStr">
        <is>
          <t>% of Total</t>
        </is>
      </c>
      <c r="R477" t="inlineStr">
        <is>
          <t>helpers</t>
        </is>
      </c>
    </row>
    <row r="478">
      <c r="A478">
        <f>Skills!A2</f>
        <v/>
      </c>
      <c r="B478">
        <f>Skills!B2</f>
        <v/>
      </c>
      <c r="C478">
        <f>Inputs!$B$3&gt;=100</f>
        <v/>
      </c>
      <c r="D478" t="inlineStr"/>
      <c r="E478" t="inlineStr"/>
      <c r="F478">
        <f>T480+Skills!N2</f>
        <v/>
      </c>
      <c r="G478">
        <f>Calc!G2</f>
        <v/>
      </c>
      <c r="H478">
        <f>Calc!H2</f>
        <v/>
      </c>
      <c r="I478">
        <f>IF(Skills!T2&lt;&gt;"",1+(Skills!T2/10)*(R479/1000)/100,1)</f>
        <v/>
      </c>
      <c r="J478">
        <f>((Inputs!$B$5*(1+Inputs!$B$6/100))+((Inputs!$B$11*(1+Inputs!$B$12/100))-(Inputs!$B$11*(1+Inputs!$B$12/100)))*(1+Inputs!$B$6/100))*(F478/100)</f>
        <v/>
      </c>
      <c r="K478">
        <f>J478*(1+((Inputs!$B$11*(1+Inputs!$B$12/100))*0.01+Inputs!$B$13*0.0025)/100)*(1+(Inputs!$B$14+B504)/100)*(1+IF(Inputs!$B$4="pvp",0,(1-Summary!$B$51)*(Inputs!$B$19+Skills!O2+B503)+Summary!$B$51*(Inputs!$B$20+Skills!P2+B503))/100)*(1+Inputs!$B$15/100)*(5000/(6000+Inputs!$B$7*(1-((1-(1-Inputs!$B$18/100)*(1-1/100))*100)/100)))*(1+Inputs!$B$23/100)*(1+IF(C491=TRUE,F491,0)/100)*(1+IF(C499=TRUE,F499,0)/100)^5*(1+(IF(Skills!A2="CHAIN_LIGHTNING",Inputs!$B$16,Inputs!$B$17))/100)*(B502*I478)</f>
        <v/>
      </c>
      <c r="L478">
        <f>K478*(MIN(Inputs!$B$21+(F494-Calc!F18),Inputs!$B$22)/100+Inputs!$B$22/100)/2</f>
        <v/>
      </c>
      <c r="M478">
        <f>L478*(1+(Inputs!$B$9+(F497-Calc!F21))/100)</f>
        <v/>
      </c>
      <c r="N478">
        <f>L478*(1-MIN(Inputs!$B$8+((F496-Calc!F20)+(F495-Calc!F19)),100)/100)+M478*(MIN(Inputs!$B$8+((F496-Calc!F20)+(F495-Calc!F19)),100)/100)</f>
        <v/>
      </c>
      <c r="O478">
        <f>IF(C478,Skills!F2*N478*B508*IF(Inputs!$B$4="pvp",1,(1-Summary!$B$51)*(1)+Summary!$B$51*(MIN((6+Inputs!$B$32),Inputs!$B$37))),0)</f>
        <v/>
      </c>
      <c r="P478">
        <f>IF(B510=0,0,O478/B510)</f>
        <v/>
      </c>
      <c r="R478">
        <f>MAX(0,(Inputs!$B$3-100)*3)+Inputs!$B$27+Inputs!$B$28</f>
        <v/>
      </c>
      <c r="S478" t="n">
        <v>0</v>
      </c>
      <c r="T478">
        <f>MAX(0,(Inputs!$B$3-100)*3)+Inputs!$B$27+Inputs!$B$28</f>
        <v/>
      </c>
      <c r="V478">
        <f>IFERROR(1/IF(Inputs!$B$4="pvp",15,MAX(0.1,Skills!D2-IF(Skills!E2=TRUE,Inputs!$B$31,0))),0)</f>
        <v/>
      </c>
    </row>
    <row r="479">
      <c r="A479">
        <f>Skills!A3</f>
        <v/>
      </c>
      <c r="B479">
        <f>Skills!B3</f>
        <v/>
      </c>
      <c r="C479">
        <f>Inputs!$B$3&gt;=15</f>
        <v/>
      </c>
      <c r="D479">
        <f>IF(Skills!C3=1,60+Inputs!$B$24+Inputs!$B$28,IF(Skills!C3=2,90+Inputs!$B$25+Inputs!$B$28,IF(Skills!C3=3,120+Inputs!$B$26+Inputs!$B$28,MAX(0,(Inputs!$B$3-100)*3)+Inputs!$B$27+Inputs!$B$28)))</f>
        <v/>
      </c>
      <c r="E479">
        <f>INDEX(FactorTable!$B$2:$Y$301, MATCH(ROUND(MIN(300,MAX(1,D479)),0), FactorTable!$A$2:$A$301,0), Skills!L3+1)</f>
        <v/>
      </c>
      <c r="F479">
        <f>IF(Skills!M3=TRUE,(Skills!K3/10)*(E479/1000),Skills!K3/10)+Skills!N3</f>
        <v/>
      </c>
      <c r="G479">
        <f>Calc!G3</f>
        <v/>
      </c>
      <c r="H479">
        <f>Calc!H3</f>
        <v/>
      </c>
      <c r="I479">
        <f>IF(Skills!T3&lt;&gt;"",1+(Skills!T3/10)*(R479/1000)/100,1)</f>
        <v/>
      </c>
      <c r="J479" t="inlineStr"/>
      <c r="K479" t="inlineStr"/>
      <c r="L479" t="inlineStr"/>
      <c r="M479" t="inlineStr"/>
      <c r="N479" t="inlineStr"/>
      <c r="O479" t="n">
        <v>0</v>
      </c>
      <c r="P479">
        <f>IF(B510=0,0,O479/B510)</f>
        <v/>
      </c>
      <c r="R479">
        <f>INDEX(FactorTable!$B$2:$Y$301, MATCH(ROUND(MIN(300,MAX(1,R478)),0), FactorTable!$A$2:$A$301,0), 24)</f>
        <v/>
      </c>
      <c r="S479">
        <f>IF(AND(Inputs!$B$4&lt;&gt;"pvp",Inputs!$B$35&gt;0),(INT(Inputs!$B$35/IF(Inputs!$B$4="pvp",15,MAX(0.1,Skills!D3-IF(Skills!E3=TRUE,Inputs!$B$31,0))))+1),0)</f>
        <v/>
      </c>
      <c r="T479">
        <f>INDEX(FactorTable!$B$2:$Y$301, MATCH(ROUND(MIN(300,MAX(1,T478)),0), FactorTable!$A$2:$A$301,0), 22)</f>
        <v/>
      </c>
      <c r="V479">
        <f>IFERROR(1/IF(Inputs!$B$4="pvp",15,MAX(0.1,Skills!D3-IF(Skills!E3=TRUE,Inputs!$B$31,0))),0)</f>
        <v/>
      </c>
    </row>
    <row r="480">
      <c r="A480">
        <f>Skills!A4</f>
        <v/>
      </c>
      <c r="B480">
        <f>Skills!B4</f>
        <v/>
      </c>
      <c r="C480">
        <f>Inputs!$B$3&gt;=40</f>
        <v/>
      </c>
      <c r="D480">
        <f>IF(Skills!C4=1,60+Inputs!$B$24+Inputs!$B$28,IF(Skills!C4=2,90+Inputs!$B$25+Inputs!$B$28,IF(Skills!C4=3,120+Inputs!$B$26+Inputs!$B$28,MAX(0,(Inputs!$B$3-100)*3)+Inputs!$B$27+Inputs!$B$28)))</f>
        <v/>
      </c>
      <c r="E480">
        <f>INDEX(FactorTable!$B$2:$Y$301, MATCH(ROUND(MIN(300,MAX(1,D480)),0), FactorTable!$A$2:$A$301,0), Skills!L4+1)</f>
        <v/>
      </c>
      <c r="F480">
        <f>IF(Skills!M4=TRUE,(Skills!K4/10)*(E480/1000),Skills!K4/10)+Skills!N4</f>
        <v/>
      </c>
      <c r="G480">
        <f>Calc!G4</f>
        <v/>
      </c>
      <c r="H480">
        <f>Calc!H4</f>
        <v/>
      </c>
      <c r="I480">
        <f>IF(Skills!T4&lt;&gt;"",1+(Skills!T4/10)*(R479/1000)/100,1)</f>
        <v/>
      </c>
      <c r="J480" t="inlineStr"/>
      <c r="K480" t="inlineStr"/>
      <c r="L480" t="inlineStr"/>
      <c r="M480" t="inlineStr"/>
      <c r="N480" t="inlineStr"/>
      <c r="O480" t="n">
        <v>0</v>
      </c>
      <c r="P480">
        <f>IF(B510=0,0,O480/B510)</f>
        <v/>
      </c>
      <c r="S480">
        <f>IF(AND(Inputs!$B$4&lt;&gt;"pvp",Inputs!$B$35&gt;0),(INT(Inputs!$B$35/IF(Inputs!$B$4="pvp",15,MAX(0.1,Skills!D4-IF(Skills!E4=TRUE,Inputs!$B$31,0))))+1),0)</f>
        <v/>
      </c>
      <c r="T480">
        <f>290*T479/1000</f>
        <v/>
      </c>
      <c r="V480">
        <f>IFERROR(1/IF(Inputs!$B$4="pvp",15,MAX(0.1,Skills!D4-IF(Skills!E4=TRUE,Inputs!$B$31,0))),0)</f>
        <v/>
      </c>
    </row>
    <row r="481">
      <c r="A481">
        <f>Skills!A5</f>
        <v/>
      </c>
      <c r="B481">
        <f>Skills!B5</f>
        <v/>
      </c>
      <c r="C481">
        <f>Inputs!$B$3&gt;=38</f>
        <v/>
      </c>
      <c r="D481">
        <f>IF(Skills!C5=1,60+Inputs!$B$24+Inputs!$B$28,IF(Skills!C5=2,90+Inputs!$B$25+Inputs!$B$28,IF(Skills!C5=3,120+Inputs!$B$26+Inputs!$B$28,MAX(0,(Inputs!$B$3-100)*3)+Inputs!$B$27+Inputs!$B$28)))</f>
        <v/>
      </c>
      <c r="E481">
        <f>INDEX(FactorTable!$B$2:$Y$301, MATCH(ROUND(MIN(300,MAX(1,D481)),0), FactorTable!$A$2:$A$301,0), Skills!L5+1)</f>
        <v/>
      </c>
      <c r="F481">
        <f>IF(Skills!M5=TRUE,(Skills!K5/10)*(E481/1000),Skills!K5/10)+Skills!N5</f>
        <v/>
      </c>
      <c r="G481">
        <f>Calc!G5</f>
        <v/>
      </c>
      <c r="H481">
        <f>Calc!H5</f>
        <v/>
      </c>
      <c r="I481">
        <f>IF(Skills!T5&lt;&gt;"",1+(Skills!T5/10)*(R479/1000)/100,1)</f>
        <v/>
      </c>
      <c r="J481">
        <f>((Inputs!$B$5*(1+Inputs!$B$6/100))+((Inputs!$B$11*(1+Inputs!$B$12/100))-(Inputs!$B$11*(1+Inputs!$B$12/100)))*(1+Inputs!$B$6/100))*(F481/100)</f>
        <v/>
      </c>
      <c r="K481">
        <f>J481*(1+((Inputs!$B$11*(1+Inputs!$B$12/100))*0.01+Inputs!$B$13*0.0025)/100)*(1+(Inputs!$B$14+B504)/100)*(1+IF(Inputs!$B$4="pvp",0,(1-Summary!$B$51)*(Inputs!$B$19+Skills!O5+B503)+Summary!$B$51*(Inputs!$B$20+Skills!P5+B503))/100)*(1+Inputs!$B$15/100)*(5000/(6000+Inputs!$B$7*(1-((1-(1-Inputs!$B$18/100)*(1-1/100))*100)/100)))*(1+Inputs!$B$23/100)*(1+IF(C491=TRUE,F491,0)/100)*(1+IF(C499=TRUE,F499,0)/100)^5*(1+(IF(Skills!A5="CHAIN_LIGHTNING",Inputs!$B$16,Inputs!$B$17))/100)*(B502*I481)</f>
        <v/>
      </c>
      <c r="L481">
        <f>K481*(MIN(Inputs!$B$21+(F494-Calc!F18),Inputs!$B$22)/100+Inputs!$B$22/100)/2</f>
        <v/>
      </c>
      <c r="M481">
        <f>L481*(1+(Inputs!$B$9+(F497-Calc!F21))/100)</f>
        <v/>
      </c>
      <c r="N481">
        <f>L481*(1-MIN(Inputs!$B$8+((F496-Calc!F20)+(F495-Calc!F19)),100)/100)+M481*(MIN(Inputs!$B$8+((F496-Calc!F20)+(F495-Calc!F19)),100)/100)</f>
        <v/>
      </c>
      <c r="O481">
        <f>IF(C481,H481*N481*IF(AND(Inputs!$B$4&lt;&gt;"pvp",Inputs!$B$35&gt;0),((Skills!F5*((S481-1)*IF(Skills!G5&gt;0,Skills!H5/Skills!G5,1)+IF(Skills!G5&gt;0,MIN(Skills!H5,MAX(0,Inputs!$B$35-((S481-1)*IF(Inputs!$B$4="pvp",15,MAX(0.1,Skills!D5-IF(Skills!E5=TRUE,Inputs!$B$31,0))))))/Skills!G5,1)))/Inputs!$B$35),G481*V481)*IF(Inputs!$B$4="pvp",1,(1-Summary!$B$51)*(1)+Summary!$B$51*(MIN(Skills!Q5,Inputs!$B$37))),0)</f>
        <v/>
      </c>
      <c r="P481">
        <f>IF(B510=0,0,O481/B510)</f>
        <v/>
      </c>
      <c r="S481">
        <f>IF(AND(Inputs!$B$4&lt;&gt;"pvp",Inputs!$B$35&gt;0),(INT(Inputs!$B$35/IF(Inputs!$B$4="pvp",15,MAX(0.1,Skills!D5-IF(Skills!E5=TRUE,Inputs!$B$31,0))))+1),0)</f>
        <v/>
      </c>
      <c r="V481">
        <f>IFERROR(1/IF(Inputs!$B$4="pvp",15,MAX(0.1,Skills!D5-IF(Skills!E5=TRUE,Inputs!$B$31,0))),0)</f>
        <v/>
      </c>
    </row>
    <row r="482">
      <c r="A482">
        <f>Skills!A6</f>
        <v/>
      </c>
      <c r="B482">
        <f>Skills!B6</f>
        <v/>
      </c>
      <c r="C482">
        <f>Inputs!$B$3&gt;=63</f>
        <v/>
      </c>
      <c r="D482">
        <f>IF(Skills!C6=1,60+Inputs!$B$24+Inputs!$B$28,IF(Skills!C6=2,90+Inputs!$B$25+Inputs!$B$28,IF(Skills!C6=3,120+Inputs!$B$26+Inputs!$B$28,MAX(0,(Inputs!$B$3-100)*3)+Inputs!$B$27+Inputs!$B$28)))</f>
        <v/>
      </c>
      <c r="E482">
        <f>INDEX(FactorTable!$B$2:$Y$301, MATCH(ROUND(MIN(300,MAX(1,D482)),0), FactorTable!$A$2:$A$301,0), Skills!L6+1)</f>
        <v/>
      </c>
      <c r="F482">
        <f>IF(Skills!M6=TRUE,(Skills!K6/10)*(E482/1000),Skills!K6/10)+Skills!N6</f>
        <v/>
      </c>
      <c r="G482">
        <f>Calc!G6</f>
        <v/>
      </c>
      <c r="H482">
        <f>Calc!H6</f>
        <v/>
      </c>
      <c r="I482">
        <f>IF(Skills!T6&lt;&gt;"",1+(Skills!T6/10)*(R479/1000)/100,1)</f>
        <v/>
      </c>
      <c r="J482">
        <f>((Inputs!$B$5*(1+Inputs!$B$6/100))+((Inputs!$B$11*(1+Inputs!$B$12/100))-(Inputs!$B$11*(1+Inputs!$B$12/100)))*(1+Inputs!$B$6/100))*(F482/100)</f>
        <v/>
      </c>
      <c r="K482">
        <f>J482*(1+((Inputs!$B$11*(1+Inputs!$B$12/100))*0.01+Inputs!$B$13*0.0025)/100)*(1+(Inputs!$B$14+B504)/100)*(1+IF(Inputs!$B$4="pvp",0,(1-Summary!$B$51)*(Inputs!$B$19+Skills!O6+B503)+Summary!$B$51*(Inputs!$B$20+Skills!P6+B503))/100)*(1+Inputs!$B$15/100)*(5000/(6000+Inputs!$B$7*(1-((1-(1-Inputs!$B$18/100)*(1-1/100))*100)/100)))*(1+Inputs!$B$23/100)*(1+IF(C491=TRUE,F491,0)/100)*(1+IF(C499=TRUE,F499,0)/100)^5*(1+(IF(Skills!A6="CHAIN_LIGHTNING",Inputs!$B$16,Inputs!$B$17))/100)*(B502*I482)</f>
        <v/>
      </c>
      <c r="L482">
        <f>K482*(MIN(Inputs!$B$21+(F494-Calc!F18),Inputs!$B$22)/100+Inputs!$B$22/100)/2</f>
        <v/>
      </c>
      <c r="M482">
        <f>L482*(1+(Inputs!$B$9+(F497-Calc!F21))/100)</f>
        <v/>
      </c>
      <c r="N482">
        <f>L482*(1-MIN(Inputs!$B$8+((F496-Calc!F20)+(F495-Calc!F19)),100)/100)+M482*(MIN(Inputs!$B$8+((F496-Calc!F20)+(F495-Calc!F19)),100)/100)</f>
        <v/>
      </c>
      <c r="O482">
        <f>IF(C482,H482*N482*IF(AND(Inputs!$B$4&lt;&gt;"pvp",Inputs!$B$35&gt;0),((Skills!F6*((S482-1)*IF(Skills!G6&gt;0,Skills!H6/Skills!G6,1)+IF(Skills!G6&gt;0,MIN(Skills!H6,MAX(0,Inputs!$B$35-((S482-1)*IF(Inputs!$B$4="pvp",15,MAX(0.1,Skills!D6-IF(Skills!E6=TRUE,Inputs!$B$31,0))))))/Skills!G6,1)))/Inputs!$B$35),G482*V482)*IF(Inputs!$B$4="pvp",1,(1-Summary!$B$51)*(1)+Summary!$B$51*(MIN(Skills!Q6,Inputs!$B$37))),0)</f>
        <v/>
      </c>
      <c r="P482">
        <f>IF(B510=0,0,O482/B510)</f>
        <v/>
      </c>
      <c r="S482">
        <f>IF(AND(Inputs!$B$4&lt;&gt;"pvp",Inputs!$B$35&gt;0),(INT(Inputs!$B$35/IF(Inputs!$B$4="pvp",15,MAX(0.1,Skills!D6-IF(Skills!E6=TRUE,Inputs!$B$31,0))))+1),0)</f>
        <v/>
      </c>
      <c r="V482">
        <f>IFERROR(1/IF(Inputs!$B$4="pvp",15,MAX(0.1,Skills!D6-IF(Skills!E6=TRUE,Inputs!$B$31,0))),0)</f>
        <v/>
      </c>
    </row>
    <row r="483">
      <c r="A483">
        <f>Skills!A7</f>
        <v/>
      </c>
      <c r="B483">
        <f>Skills!B7</f>
        <v/>
      </c>
      <c r="C483">
        <f>Inputs!$B$3&gt;=69</f>
        <v/>
      </c>
      <c r="D483">
        <f>IF(Skills!C7=1,60+Inputs!$B$24+Inputs!$B$28,IF(Skills!C7=2,90+Inputs!$B$25+Inputs!$B$28,IF(Skills!C7=3,120+Inputs!$B$26+Inputs!$B$28,MAX(0,(Inputs!$B$3-100)*3)+Inputs!$B$27+Inputs!$B$28)))</f>
        <v/>
      </c>
      <c r="E483">
        <f>INDEX(FactorTable!$B$2:$Y$301, MATCH(ROUND(MIN(300,MAX(1,D483)),0), FactorTable!$A$2:$A$301,0), Skills!L7+1)</f>
        <v/>
      </c>
      <c r="F483">
        <f>IF(Skills!M7=TRUE,(Skills!K7/10)*(E483/1000),Skills!K7/10)+Skills!N7</f>
        <v/>
      </c>
      <c r="G483">
        <f>Calc!G7</f>
        <v/>
      </c>
      <c r="H483">
        <f>Calc!H7</f>
        <v/>
      </c>
      <c r="I483">
        <f>IF(Skills!T7&lt;&gt;"",1+(Skills!T7/10)*(R479/1000)/100,1)</f>
        <v/>
      </c>
      <c r="J483">
        <f>((Inputs!$B$5*(1+Inputs!$B$6/100))+((Inputs!$B$11*(1+Inputs!$B$12/100))-(Inputs!$B$11*(1+Inputs!$B$12/100)))*(1+Inputs!$B$6/100))*(F483/100)</f>
        <v/>
      </c>
      <c r="K483">
        <f>J483*(1+((Inputs!$B$11*(1+Inputs!$B$12/100))*0.01+Inputs!$B$13*0.0025)/100)*(1+(Inputs!$B$14+B504)/100)*(1+IF(Inputs!$B$4="pvp",0,(1-Summary!$B$51)*(Inputs!$B$19+Skills!O7+B503)+Summary!$B$51*(Inputs!$B$20+Skills!P7+B503))/100)*(1+Inputs!$B$15/100)*(5000/(6000+Inputs!$B$7*(1-((1-(1-Inputs!$B$18/100)*(1-1/100))*100)/100)))*(1+Inputs!$B$23/100)*(1+IF(C491=TRUE,F491,0)/100)*(1+IF(C499=TRUE,F499,0)/100)^5*(1+(IF(Skills!A7="CHAIN_LIGHTNING",Inputs!$B$16,Inputs!$B$17))/100)*(B502*I483)</f>
        <v/>
      </c>
      <c r="L483">
        <f>K483*(MIN(Inputs!$B$21+(F494-Calc!F18),Inputs!$B$22)/100+Inputs!$B$22/100)/2</f>
        <v/>
      </c>
      <c r="M483">
        <f>L483*(1+(Inputs!$B$9+(F497-Calc!F21))/100)</f>
        <v/>
      </c>
      <c r="N483">
        <f>L483*(1-MIN(Inputs!$B$8+((F496-Calc!F20)+(F495-Calc!F19)),100)/100)+M483*(MIN(Inputs!$B$8+((F496-Calc!F20)+(F495-Calc!F19)),100)/100)</f>
        <v/>
      </c>
      <c r="O483">
        <f>IF(C483,H483*N483*IF(AND(Inputs!$B$4&lt;&gt;"pvp",Inputs!$B$35&gt;0),((Skills!F7*((S483-1)*IF(Skills!G7&gt;0,Skills!H7/Skills!G7,1)+IF(Skills!G7&gt;0,MIN(Skills!H7,MAX(0,Inputs!$B$35-((S483-1)*IF(Inputs!$B$4="pvp",15,MAX(0.1,Skills!D7-IF(Skills!E7=TRUE,Inputs!$B$31,0))))))/Skills!G7,1)))/Inputs!$B$35),G483*V483)*IF(Inputs!$B$4="pvp",1,(1-Summary!$B$51)*(1)+Summary!$B$51*(MIN(Skills!Q7,Inputs!$B$37))),0)</f>
        <v/>
      </c>
      <c r="P483">
        <f>IF(B510=0,0,O483/B510)</f>
        <v/>
      </c>
      <c r="S483">
        <f>IF(AND(Inputs!$B$4&lt;&gt;"pvp",Inputs!$B$35&gt;0),(INT(Inputs!$B$35/IF(Inputs!$B$4="pvp",15,MAX(0.1,Skills!D7-IF(Skills!E7=TRUE,Inputs!$B$31,0))))+1),0)</f>
        <v/>
      </c>
      <c r="V483">
        <f>IFERROR(1/IF(Inputs!$B$4="pvp",15,MAX(0.1,Skills!D7-IF(Skills!E7=TRUE,Inputs!$B$31,0))),0)</f>
        <v/>
      </c>
    </row>
    <row r="484">
      <c r="A484">
        <f>Skills!A8</f>
        <v/>
      </c>
      <c r="B484">
        <f>Skills!B8</f>
        <v/>
      </c>
      <c r="C484">
        <f>Inputs!$B$3&gt;=103</f>
        <v/>
      </c>
      <c r="D484">
        <f>IF(Skills!C8=1,60+Inputs!$B$24+Inputs!$B$28,IF(Skills!C8=2,90+Inputs!$B$25+Inputs!$B$28,IF(Skills!C8=3,120+Inputs!$B$26+Inputs!$B$28,MAX(0,(Inputs!$B$3-100)*3)+Inputs!$B$27+Inputs!$B$28)))</f>
        <v/>
      </c>
      <c r="E484">
        <f>INDEX(FactorTable!$B$2:$Y$301, MATCH(ROUND(MIN(300,MAX(1,D484)),0), FactorTable!$A$2:$A$301,0), Skills!L8+1)</f>
        <v/>
      </c>
      <c r="F484">
        <f>IF(Skills!M8=TRUE,(Skills!K8/10)*(E484/1000),Skills!K8/10)+Skills!N8</f>
        <v/>
      </c>
      <c r="G484">
        <f>Calc!G8</f>
        <v/>
      </c>
      <c r="H484">
        <f>Calc!H8</f>
        <v/>
      </c>
      <c r="I484">
        <f>IF(Skills!T8&lt;&gt;"",1+(Skills!T8/10)*(R479/1000)/100,1)</f>
        <v/>
      </c>
      <c r="J484">
        <f>((Inputs!$B$5*(1+Inputs!$B$6/100))+((Inputs!$B$11*(1+Inputs!$B$12/100))-(Inputs!$B$11*(1+Inputs!$B$12/100)))*(1+Inputs!$B$6/100))*(F484/100)</f>
        <v/>
      </c>
      <c r="K484">
        <f>J484*(1+((Inputs!$B$11*(1+Inputs!$B$12/100))*0.01+Inputs!$B$13*0.0025)/100)*(1+(Inputs!$B$14+B504)/100)*(1+IF(Inputs!$B$4="pvp",0,(1-Summary!$B$51)*(Inputs!$B$19+Skills!O8+B503)+Summary!$B$51*(Inputs!$B$20+Skills!P8+B503))/100)*(1+Inputs!$B$15/100)*(5000/(6000+Inputs!$B$7*(1-((1-(1-Inputs!$B$18/100)*(1-1/100))*100)/100)))*(1+Inputs!$B$23/100)*(1+IF(C491=TRUE,F491,0)/100)*(1+IF(C499=TRUE,F499,0)/100)^5*(1+(IF(Skills!A8="CHAIN_LIGHTNING",Inputs!$B$16,Inputs!$B$17))/100)*(B502*I484)</f>
        <v/>
      </c>
      <c r="L484">
        <f>K484*(MIN(Inputs!$B$21+(F494-Calc!F18),Inputs!$B$22)/100+Inputs!$B$22/100)/2</f>
        <v/>
      </c>
      <c r="M484">
        <f>L484*(1+(Inputs!$B$9+(F497-Calc!F21))/100)</f>
        <v/>
      </c>
      <c r="N484">
        <f>L484*(1-MIN(Inputs!$B$8+((F496-Calc!F20)+(F495-Calc!F19)),100)/100)+M484*(MIN(Inputs!$B$8+((F496-Calc!F20)+(F495-Calc!F19)),100)/100)</f>
        <v/>
      </c>
      <c r="O484">
        <f>IF(C484,H484*N484*IF(AND(Inputs!$B$4&lt;&gt;"pvp",Inputs!$B$35&gt;0),((Skills!F8*((S484-1)*IF(Skills!G8&gt;0,Skills!H8/Skills!G8,1)+IF(Skills!G8&gt;0,MIN(Skills!H8,MAX(0,Inputs!$B$35-((S484-1)*IF(Inputs!$B$4="pvp",15,MAX(0.1,Skills!D8-IF(Skills!E8=TRUE,Inputs!$B$31,0))))))/Skills!G8,1)))/Inputs!$B$35),G484*V484)*IF(Inputs!$B$4="pvp",1,(1-Summary!$B$51)*(1)+Summary!$B$51*(MIN(Skills!Q8,Inputs!$B$37))),0)</f>
        <v/>
      </c>
      <c r="P484">
        <f>IF(B510=0,0,O484/B510)</f>
        <v/>
      </c>
      <c r="S484">
        <f>IF(AND(Inputs!$B$4&lt;&gt;"pvp",Inputs!$B$35&gt;0),(INT(Inputs!$B$35/IF(Inputs!$B$4="pvp",15,MAX(0.1,Skills!D8-IF(Skills!E8=TRUE,Inputs!$B$31,0))))+1),0)</f>
        <v/>
      </c>
      <c r="V484">
        <f>IFERROR(1/IF(Inputs!$B$4="pvp",15,MAX(0.1,Skills!D8-IF(Skills!E8=TRUE,Inputs!$B$31,0))),0)</f>
        <v/>
      </c>
    </row>
    <row r="485">
      <c r="A485">
        <f>Skills!A9</f>
        <v/>
      </c>
      <c r="B485">
        <f>Skills!B9</f>
        <v/>
      </c>
      <c r="C485">
        <f>Inputs!$B$3&gt;=105</f>
        <v/>
      </c>
      <c r="D485">
        <f>IF(Skills!C9=1,60+Inputs!$B$24+Inputs!$B$28,IF(Skills!C9=2,90+Inputs!$B$25+Inputs!$B$28,IF(Skills!C9=3,120+Inputs!$B$26+Inputs!$B$28,MAX(0,(Inputs!$B$3-100)*3)+Inputs!$B$27+Inputs!$B$28)))</f>
        <v/>
      </c>
      <c r="E485">
        <f>INDEX(FactorTable!$B$2:$Y$301, MATCH(ROUND(MIN(300,MAX(1,D485)),0), FactorTable!$A$2:$A$301,0), Skills!L9+1)</f>
        <v/>
      </c>
      <c r="F485">
        <f>IF(Skills!M9=TRUE,(Skills!K9/10)*(E485/1000),Skills!K9/10)+Skills!N9</f>
        <v/>
      </c>
      <c r="G485">
        <f>Calc!G9</f>
        <v/>
      </c>
      <c r="H485">
        <f>Calc!H9</f>
        <v/>
      </c>
      <c r="I485">
        <f>IF(Skills!T9&lt;&gt;"",1+(Skills!T9/10)*(R479/1000)/100,1)</f>
        <v/>
      </c>
      <c r="J485">
        <f>((Inputs!$B$5*(1+Inputs!$B$6/100))+((Inputs!$B$11*(1+Inputs!$B$12/100))-(Inputs!$B$11*(1+Inputs!$B$12/100)))*(1+Inputs!$B$6/100))*(F485/100)</f>
        <v/>
      </c>
      <c r="K485">
        <f>J485*(1+((Inputs!$B$11*(1+Inputs!$B$12/100))*0.01+Inputs!$B$13*0.0025)/100)*(1+(Inputs!$B$14+B504)/100)*(1+IF(Inputs!$B$4="pvp",0,(1-Summary!$B$51)*(Inputs!$B$19+Skills!O9+B503)+Summary!$B$51*(Inputs!$B$20+Skills!P9+B503))/100)*(1+Inputs!$B$15/100)*(5000/(6000+Inputs!$B$7*(1-((1-(1-Inputs!$B$18/100)*(1-1/100))*100)/100)))*(1+Inputs!$B$23/100)*(1+IF(C491=TRUE,F491,0)/100)*(1+IF(C499=TRUE,F499,0)/100)^5*(1+(IF(Skills!A9="CHAIN_LIGHTNING",Inputs!$B$16,Inputs!$B$17))/100)*(B502*I485)</f>
        <v/>
      </c>
      <c r="L485">
        <f>K485*(MIN(Inputs!$B$21+(F494-Calc!F18),Inputs!$B$22)/100+Inputs!$B$22/100)/2</f>
        <v/>
      </c>
      <c r="M485">
        <f>L485*(1+(Inputs!$B$9+(F497-Calc!F21))/100)</f>
        <v/>
      </c>
      <c r="N485">
        <f>L485*(1-MIN(Inputs!$B$8+((F496-Calc!F20)+(F495-Calc!F19)),100)/100)+M485*(MIN(Inputs!$B$8+((F496-Calc!F20)+(F495-Calc!F19)),100)/100)</f>
        <v/>
      </c>
      <c r="O485">
        <f>IF(C485,H485*N485*IF(AND(Inputs!$B$4&lt;&gt;"pvp",Inputs!$B$35&gt;0),((Skills!F9*((S485-1)*IF(Skills!G9&gt;0,Skills!H9/Skills!G9,1)+IF(Skills!G9&gt;0,MIN(Skills!H9,MAX(0,Inputs!$B$35-((S485-1)*IF(Inputs!$B$4="pvp",15,MAX(0.1,Skills!D9-IF(Skills!E9=TRUE,Inputs!$B$31,0))))))/Skills!G9,1)))/Inputs!$B$35),G485*V485)*IF(Inputs!$B$4="pvp",1,(1-Summary!$B$51)*(1)+Summary!$B$51*(MIN(Skills!Q9,Inputs!$B$37))),0)</f>
        <v/>
      </c>
      <c r="P485">
        <f>IF(B510=0,0,O485/B510)</f>
        <v/>
      </c>
      <c r="S485">
        <f>IF(AND(Inputs!$B$4&lt;&gt;"pvp",Inputs!$B$35&gt;0),(INT(Inputs!$B$35/IF(Inputs!$B$4="pvp",15,MAX(0.1,Skills!D9-IF(Skills!E9=TRUE,Inputs!$B$31,0))))+1),0)</f>
        <v/>
      </c>
      <c r="V485">
        <f>IFERROR(1/IF(Inputs!$B$4="pvp",15,MAX(0.1,Skills!D9-IF(Skills!E9=TRUE,Inputs!$B$31,0))),0)</f>
        <v/>
      </c>
    </row>
    <row r="486">
      <c r="A486">
        <f>Skills!A10</f>
        <v/>
      </c>
      <c r="B486">
        <f>Skills!B10</f>
        <v/>
      </c>
      <c r="C486">
        <f>Inputs!$B$3&gt;=113</f>
        <v/>
      </c>
      <c r="D486">
        <f>IF(Skills!C10=1,60+Inputs!$B$24+Inputs!$B$28,IF(Skills!C10=2,90+Inputs!$B$25+Inputs!$B$28,IF(Skills!C10=3,120+Inputs!$B$26+Inputs!$B$28,MAX(0,(Inputs!$B$3-100)*3)+Inputs!$B$27+Inputs!$B$28)))</f>
        <v/>
      </c>
      <c r="E486">
        <f>INDEX(FactorTable!$B$2:$Y$301, MATCH(ROUND(MIN(300,MAX(1,D486)),0), FactorTable!$A$2:$A$301,0), Skills!L10+1)</f>
        <v/>
      </c>
      <c r="F486">
        <f>IF(Skills!M10=TRUE,(Skills!K10/10)*(E486/1000),Skills!K10/10)+Skills!N10</f>
        <v/>
      </c>
      <c r="G486">
        <f>Calc!G10</f>
        <v/>
      </c>
      <c r="H486">
        <f>Calc!H10</f>
        <v/>
      </c>
      <c r="I486">
        <f>IF(Skills!T10&lt;&gt;"",1+(Skills!T10/10)*(R479/1000)/100,1)</f>
        <v/>
      </c>
      <c r="J486">
        <f>((Inputs!$B$5*(1+Inputs!$B$6/100))+((Inputs!$B$11*(1+Inputs!$B$12/100))-(Inputs!$B$11*(1+Inputs!$B$12/100)))*(1+Inputs!$B$6/100))*(F486/100)</f>
        <v/>
      </c>
      <c r="K486">
        <f>J486*(1+((Inputs!$B$11*(1+Inputs!$B$12/100))*0.01+Inputs!$B$13*0.0025)/100)*(1+(Inputs!$B$14+B504)/100)*(1+IF(Inputs!$B$4="pvp",0,(1-Summary!$B$51)*(Inputs!$B$19+Skills!O10+B503)+Summary!$B$51*(Inputs!$B$20+Skills!P10+B503))/100)*(1+Inputs!$B$15/100)*(5000/(6000+Inputs!$B$7*(1-((1-(1-Inputs!$B$18/100)*(1-1/100))*100)/100)))*(1+Inputs!$B$23/100)*(1+IF(C491=TRUE,F491,0)/100)*(1+IF(C499=TRUE,F499,0)/100)^5*(1+(IF(Skills!A10="CHAIN_LIGHTNING",Inputs!$B$16,Inputs!$B$17))/100)*(B502*I486)</f>
        <v/>
      </c>
      <c r="L486">
        <f>K486*(MIN(Inputs!$B$21+(F494-Calc!F18),Inputs!$B$22)/100+Inputs!$B$22/100)/2</f>
        <v/>
      </c>
      <c r="M486">
        <f>L486*(1+(Inputs!$B$9+(F497-Calc!F21))/100)</f>
        <v/>
      </c>
      <c r="N486">
        <f>L486*(1-MIN(Inputs!$B$8+((F496-Calc!F20)+(F495-Calc!F19)),100)/100)+M486*(MIN(Inputs!$B$8+((F496-Calc!F20)+(F495-Calc!F19)),100)/100)</f>
        <v/>
      </c>
      <c r="O486">
        <f>IF(C486,H486*N486*IF(AND(Inputs!$B$4&lt;&gt;"pvp",Inputs!$B$35&gt;0),((Skills!F10*((S486-1)*IF(Skills!G10&gt;0,Skills!H10/Skills!G10,1)+IF(Skills!G10&gt;0,MIN(Skills!H10,MAX(0,Inputs!$B$35-((S486-1)*IF(Inputs!$B$4="pvp",15,MAX(0.1,Skills!D10-IF(Skills!E9=TRUE,Inputs!$B$31,0))))))/Skills!G10,1)))/Inputs!$B$35),G486*V486)*IF(Inputs!$B$4="pvp",1,(1-Summary!$B$51)*(1)+Summary!$B$51*(MIN(Skills!Q10,Inputs!$B$37))),0)</f>
        <v/>
      </c>
      <c r="P486">
        <f>IF(B510=0,0,O486/B510)</f>
        <v/>
      </c>
      <c r="S486">
        <f>IF(AND(Inputs!$B$4&lt;&gt;"pvp",Inputs!$B$35&gt;0),(INT(Inputs!$B$35/IF(Inputs!$B$4="pvp",15,MAX(0.1,Skills!D10-IF(Skills!E9=TRUE,Inputs!$B$31,0))))+1),0)</f>
        <v/>
      </c>
      <c r="V486">
        <f>IFERROR(1/IF(Inputs!$B$4="pvp",15,MAX(0.1,Skills!D10-IF(Skills!E9=TRUE,Inputs!$B$31,0))),0)</f>
        <v/>
      </c>
    </row>
    <row r="487">
      <c r="A487">
        <f>Skills!A11</f>
        <v/>
      </c>
      <c r="B487">
        <f>Skills!B11</f>
        <v/>
      </c>
      <c r="C487">
        <f>Inputs!$B$3&gt;=107</f>
        <v/>
      </c>
      <c r="D487">
        <f>IF(Skills!C11=1,60+Inputs!$B$24+Inputs!$B$28,IF(Skills!C11=2,90+Inputs!$B$25+Inputs!$B$28,IF(Skills!C11=3,120+Inputs!$B$26+Inputs!$B$28,MAX(0,(Inputs!$B$3-100)*3)+Inputs!$B$27+Inputs!$B$28)))</f>
        <v/>
      </c>
      <c r="E487">
        <f>INDEX(FactorTable!$B$2:$Y$301, MATCH(ROUND(MIN(300,MAX(1,D487)),0), FactorTable!$A$2:$A$301,0), Skills!L11+1)</f>
        <v/>
      </c>
      <c r="F487">
        <f>IF(Skills!M11=TRUE,(Skills!K11/10)*(E487/1000),Skills!K11/10)+Skills!N11</f>
        <v/>
      </c>
      <c r="G487">
        <f>Calc!G11</f>
        <v/>
      </c>
      <c r="H487">
        <f>Calc!H11</f>
        <v/>
      </c>
      <c r="I487">
        <f>IF(Skills!T11&lt;&gt;"",1+(Skills!T11/10)*(R479/1000)/100,1)</f>
        <v/>
      </c>
      <c r="J487">
        <f>((Inputs!$B$5*(1+Inputs!$B$6/100))+((Inputs!$B$11*(1+Inputs!$B$12/100))-(Inputs!$B$11*(1+Inputs!$B$12/100)))*(1+Inputs!$B$6/100))*(F487/100)</f>
        <v/>
      </c>
      <c r="K487">
        <f>J487*(1+((Inputs!$B$11*(1+Inputs!$B$12/100))*0.01+Inputs!$B$13*0.0025)/100)*(1+(Inputs!$B$14+B504)/100)*(1+IF(Inputs!$B$4="pvp",0,(1-Summary!$B$51)*(Inputs!$B$19+Skills!O11+B503)+Summary!$B$51*(Inputs!$B$20+Skills!P11+B503))/100)*(1+Inputs!$B$15/100)*(5000/(6000+Inputs!$B$7*(1-((1-(1-Inputs!$B$18/100)*(1-1/100))*100)/100)))*(1+Inputs!$B$23/100)*(1+IF(C491=TRUE,F491,0)/100)*(1+IF(C499=TRUE,F499,0)/100)^5*(1+(IF(Skills!A11="CHAIN_LIGHTNING",Inputs!$B$16,Inputs!$B$17))/100)*(B502*I487)</f>
        <v/>
      </c>
      <c r="L487">
        <f>K487*(MIN(Inputs!$B$21+(F494-Calc!F18),Inputs!$B$22)/100+Inputs!$B$22/100)/2</f>
        <v/>
      </c>
      <c r="M487">
        <f>L487*(1+(Inputs!$B$9+(F497-Calc!F21))/100)</f>
        <v/>
      </c>
      <c r="N487">
        <f>L487*(1-MIN(Inputs!$B$8+((F496-Calc!F20)+(F495-Calc!F19)),100)/100)+M487*(MIN(Inputs!$B$8+((F496-Calc!F20)+(F495-Calc!F19)),100)/100)</f>
        <v/>
      </c>
      <c r="O487">
        <f>IF(C487,H487*N487*IF(AND(Inputs!$B$4&lt;&gt;"pvp",Inputs!$B$35&gt;0),((Skills!F11*((S487-1)*IF(Skills!G11&gt;0,Skills!H11/Skills!G11,1)+IF(Skills!G11&gt;0,MIN(Skills!H11,MAX(0,Inputs!$B$35-((S487-1)*IF(Inputs!$B$4="pvp",15,MAX(0.1,Skills!D11-IF(Skills!E11=TRUE,Inputs!$B$31,0))))))/Skills!G11,1)))/Inputs!$B$35),G487*V487)*IF(Inputs!$B$4="pvp",0.5,(1-Summary!$B$51)*0.5+Summary!$B$51*1)*IF(Inputs!$B$4="pvp",1,(1-Summary!$B$51)*(1)+Summary!$B$51*(MIN(Skills!Q11,Inputs!$B$37))),0)</f>
        <v/>
      </c>
      <c r="P487">
        <f>IF(B510=0,0,O487/B510)</f>
        <v/>
      </c>
      <c r="S487">
        <f>IF(AND(Inputs!$B$4&lt;&gt;"pvp",Inputs!$B$35&gt;0),(INT(Inputs!$B$35/IF(Inputs!$B$4="pvp",15,MAX(0.1,Skills!D11-IF(Skills!E11=TRUE,Inputs!$B$31,0))))+1),0)</f>
        <v/>
      </c>
      <c r="V487">
        <f>IFERROR(1/IF(Inputs!$B$4="pvp",15,MAX(0.1,Skills!D11-IF(Skills!E11=TRUE,Inputs!$B$31,0))),0)</f>
        <v/>
      </c>
    </row>
    <row r="488">
      <c r="A488">
        <f>Skills!A12</f>
        <v/>
      </c>
      <c r="B488">
        <f>Skills!B12</f>
        <v/>
      </c>
      <c r="C488">
        <f>Inputs!$B$3&gt;=115</f>
        <v/>
      </c>
      <c r="D488">
        <f>IF(Skills!C12=1,60+Inputs!$B$24+Inputs!$B$28,IF(Skills!C12=2,90+Inputs!$B$25+Inputs!$B$28,IF(Skills!C12=3,120+Inputs!$B$26+Inputs!$B$28,MAX(0,(Inputs!$B$3-100)*3)+Inputs!$B$27+Inputs!$B$28)))</f>
        <v/>
      </c>
      <c r="E488">
        <f>INDEX(FactorTable!$B$2:$Y$301, MATCH(ROUND(MIN(300,MAX(1,D488)),0), FactorTable!$A$2:$A$301,0), Skills!L12+1)</f>
        <v/>
      </c>
      <c r="F488">
        <f>IF(Skills!M12=TRUE,(Skills!K12/10)*(E488/1000),Skills!K12/10)+Skills!N12</f>
        <v/>
      </c>
      <c r="G488">
        <f>Calc!G12</f>
        <v/>
      </c>
      <c r="H488">
        <f>Calc!H12</f>
        <v/>
      </c>
      <c r="I488">
        <f>IF(Skills!T12&lt;&gt;"",1+(Skills!T12/10)*(R479/1000)/100,1)</f>
        <v/>
      </c>
      <c r="J488">
        <f>((Inputs!$B$5*(1+Inputs!$B$6/100))+((Inputs!$B$11*(1+Inputs!$B$12/100))-(Inputs!$B$11*(1+Inputs!$B$12/100)))*(1+Inputs!$B$6/100))*(F488/100)</f>
        <v/>
      </c>
      <c r="K488">
        <f>J488*(1+((Inputs!$B$11*(1+Inputs!$B$12/100))*0.01+Inputs!$B$13*0.0025)/100)*(1+(Inputs!$B$14+B504)/100)*(1+IF(Inputs!$B$4="pvp",0,(1-Summary!$B$51)*(Inputs!$B$19+Skills!O12+B503)+Summary!$B$51*(Inputs!$B$20+Skills!P12+B503))/100)*(1+Inputs!$B$15/100)*(5000/(6000+Inputs!$B$7*(1-((1-(1-Inputs!$B$18/100)*(1-1/100))*100)/100)))*(1+Inputs!$B$23/100)*(1+IF(C491=TRUE,F491,0)/100)*(1+IF(C499=TRUE,F499,0)/100)^5*(1+(IF(Skills!A12="CHAIN_LIGHTNING",Inputs!$B$16,Inputs!$B$17))/100)*(B502*I488)</f>
        <v/>
      </c>
      <c r="L488">
        <f>K488*(MIN(Inputs!$B$21+(F494-Calc!F18),Inputs!$B$22)/100+Inputs!$B$22/100)/2</f>
        <v/>
      </c>
      <c r="M488">
        <f>L488*(1+(Inputs!$B$9+(F497-Calc!F21))/100)</f>
        <v/>
      </c>
      <c r="N488">
        <f>L488*(1-MIN(Inputs!$B$8+((F496-Calc!F20)+(F495-Calc!F19)),100)/100)+M488*(MIN(Inputs!$B$8+((F496-Calc!F20)+(F495-Calc!F19)),100)/100)</f>
        <v/>
      </c>
      <c r="O488">
        <f>IF(C488,H488*N488*IF(AND(Inputs!$B$4&lt;&gt;"pvp",Inputs!$B$35&gt;0),((Skills!F12*((S488-1)*IF(Skills!G12&gt;0,Skills!H12/Skills!G12,1)+IF(Skills!G12&gt;0,MIN(Skills!H12,MAX(0,Inputs!$B$35-((S488-1)*IF(Inputs!$B$4="pvp",15,MAX(0.1,Skills!D12-IF(Skills!E12=TRUE,Inputs!$B$31,0))))))/Skills!G12,1)))/Inputs!$B$35),G488*V488)*IF(Inputs!$B$4="pvp",1,(1-Summary!$B$51)*(1)+Summary!$B$51*(MIN(Skills!Q12,Inputs!$B$37))),0)</f>
        <v/>
      </c>
      <c r="P488">
        <f>IF(B510=0,0,O488/B510)</f>
        <v/>
      </c>
      <c r="S488">
        <f>IF(AND(Inputs!$B$4&lt;&gt;"pvp",Inputs!$B$35&gt;0),(INT(Inputs!$B$35/IF(Inputs!$B$4="pvp",15,MAX(0.1,Skills!D12-IF(Skills!E12=TRUE,Inputs!$B$31,0))))+1),0)</f>
        <v/>
      </c>
      <c r="V488">
        <f>IFERROR(1/IF(Inputs!$B$4="pvp",15,MAX(0.1,Skills!D12-IF(Skills!E12=TRUE,Inputs!$B$31,0))),0)</f>
        <v/>
      </c>
    </row>
    <row r="489">
      <c r="A489">
        <f>Skills!A13</f>
        <v/>
      </c>
      <c r="B489">
        <f>Skills!B13</f>
        <v/>
      </c>
      <c r="C489">
        <f>Inputs!$B$3&gt;=49</f>
        <v/>
      </c>
      <c r="D489">
        <f>IF(Skills!C13=1,60+Inputs!$B$24+Inputs!$B$28,IF(Skills!C13=2,90+Inputs!$B$25+Inputs!$B$28,IF(Skills!C13=3,120+Inputs!$B$26+Inputs!$B$28,MAX(0,(Inputs!$B$3-100)*3)+Inputs!$B$27+Inputs!$B$28)))</f>
        <v/>
      </c>
      <c r="E489">
        <f>INDEX(FactorTable!$B$2:$Y$301, MATCH(ROUND(MIN(300,MAX(1,D489)),0), FactorTable!$A$2:$A$301,0), Skills!L13+1)</f>
        <v/>
      </c>
      <c r="F489">
        <f>IF(Skills!M13=TRUE,(Skills!K13/10)*(E489/1000),Skills!K13/10)+Skills!N13</f>
        <v/>
      </c>
      <c r="G489">
        <f>Calc!G13</f>
        <v/>
      </c>
      <c r="H489">
        <f>Calc!H13</f>
        <v/>
      </c>
      <c r="I489">
        <f>IF(Skills!T13&lt;&gt;"",1+(Skills!T13/10)*(R479/1000)/100,1)</f>
        <v/>
      </c>
      <c r="J489" t="inlineStr"/>
      <c r="K489" t="inlineStr"/>
      <c r="L489" t="inlineStr"/>
      <c r="M489" t="inlineStr"/>
      <c r="N489" t="inlineStr"/>
      <c r="O489" t="n">
        <v>0</v>
      </c>
      <c r="P489">
        <f>IF(B510=0,0,O489/B510)</f>
        <v/>
      </c>
      <c r="S489" t="n">
        <v>0</v>
      </c>
      <c r="V489">
        <f>IFERROR(1/IF(Inputs!$B$4="pvp",15,MAX(0.1,Skills!D13-IF(Skills!E13=TRUE,Inputs!$B$31,0))),0)</f>
        <v/>
      </c>
    </row>
    <row r="490">
      <c r="A490">
        <f>Skills!A14</f>
        <v/>
      </c>
      <c r="B490">
        <f>Skills!B14</f>
        <v/>
      </c>
      <c r="C490">
        <f>Inputs!$B$3&gt;=72</f>
        <v/>
      </c>
      <c r="D490">
        <f>IF(Skills!C14=1,60+Inputs!$B$24+Inputs!$B$28,IF(Skills!C14=2,90+Inputs!$B$25+Inputs!$B$28,IF(Skills!C14=3,120+Inputs!$B$26+Inputs!$B$28,MAX(0,(Inputs!$B$3-100)*3)+Inputs!$B$27+Inputs!$B$28)))</f>
        <v/>
      </c>
      <c r="E490">
        <f>INDEX(FactorTable!$B$2:$Y$301, MATCH(ROUND(MIN(300,MAX(1,D490)),0), FactorTable!$A$2:$A$301,0), Skills!L14+1)</f>
        <v/>
      </c>
      <c r="F490">
        <f>IF(Skills!M14=TRUE,(Skills!K14/10)*(E490/1000),Skills!K14/10)+Skills!N14</f>
        <v/>
      </c>
      <c r="G490">
        <f>Calc!G14</f>
        <v/>
      </c>
      <c r="H490">
        <f>Calc!H14</f>
        <v/>
      </c>
      <c r="I490">
        <f>IF(Skills!T14&lt;&gt;"",1+(Skills!T14/10)*(R479/1000)/100,1)</f>
        <v/>
      </c>
      <c r="J490" t="inlineStr"/>
      <c r="K490" t="inlineStr"/>
      <c r="L490" t="inlineStr"/>
      <c r="M490" t="inlineStr"/>
      <c r="N490" t="inlineStr"/>
      <c r="O490" t="n">
        <v>0</v>
      </c>
      <c r="P490">
        <f>IF(B510=0,0,O490/B510)</f>
        <v/>
      </c>
      <c r="S490" t="n">
        <v>0</v>
      </c>
      <c r="V490">
        <f>IFERROR(1/IF(Inputs!$B$4="pvp",15,MAX(0.1,Skills!D14-IF(Skills!E14=TRUE,Inputs!$B$31,0))),0)</f>
        <v/>
      </c>
    </row>
    <row r="491">
      <c r="A491">
        <f>Skills!A15</f>
        <v/>
      </c>
      <c r="B491">
        <f>Skills!B15</f>
        <v/>
      </c>
      <c r="C491">
        <f>Inputs!$B$3&gt;=75</f>
        <v/>
      </c>
      <c r="D491">
        <f>IF(Skills!C15=1,60+Inputs!$B$24+Inputs!$B$28,IF(Skills!C15=2,90+Inputs!$B$25+Inputs!$B$28,IF(Skills!C15=3,120+Inputs!$B$26+Inputs!$B$28,MAX(0,(Inputs!$B$3-100)*3)+Inputs!$B$27+Inputs!$B$28)))</f>
        <v/>
      </c>
      <c r="E491">
        <f>INDEX(FactorTable!$B$2:$Y$301, MATCH(ROUND(MIN(300,MAX(1,D491)),0), FactorTable!$A$2:$A$301,0), Skills!L15+1)</f>
        <v/>
      </c>
      <c r="F491">
        <f>IF(Skills!M15=TRUE,(Skills!K15/10)*(E491/1000),Skills!K15/10)+Skills!N15</f>
        <v/>
      </c>
      <c r="G491">
        <f>Calc!G15</f>
        <v/>
      </c>
      <c r="H491">
        <f>Calc!H15</f>
        <v/>
      </c>
      <c r="I491">
        <f>IF(Skills!T15&lt;&gt;"",1+(Skills!T15/10)*(R479/1000)/100,1)</f>
        <v/>
      </c>
      <c r="J491" t="inlineStr"/>
      <c r="K491" t="inlineStr"/>
      <c r="L491" t="inlineStr"/>
      <c r="M491" t="inlineStr"/>
      <c r="N491" t="inlineStr"/>
      <c r="O491" t="n">
        <v>0</v>
      </c>
      <c r="P491">
        <f>IF(B510=0,0,O491/B510)</f>
        <v/>
      </c>
      <c r="S491" t="n">
        <v>0</v>
      </c>
      <c r="V491">
        <f>IFERROR(1/IF(Inputs!$B$4="pvp",15,MAX(0.1,Skills!D15-IF(Skills!E15=TRUE,Inputs!$B$31,0))),0)</f>
        <v/>
      </c>
    </row>
    <row r="492">
      <c r="A492">
        <f>Skills!A16</f>
        <v/>
      </c>
      <c r="B492">
        <f>Skills!B16</f>
        <v/>
      </c>
      <c r="C492">
        <f>Inputs!$B$3&gt;=110</f>
        <v/>
      </c>
      <c r="D492">
        <f>IF(Skills!C16=1,60+Inputs!$B$24+Inputs!$B$28,IF(Skills!C16=2,90+Inputs!$B$25+Inputs!$B$28,IF(Skills!C16=3,120+Inputs!$B$26+Inputs!$B$28,MAX(0,(Inputs!$B$3-100)*3)+Inputs!$B$27+Inputs!$B$28)))</f>
        <v/>
      </c>
      <c r="E492">
        <f>INDEX(FactorTable!$B$2:$Y$301, MATCH(ROUND(MIN(300,MAX(1,D492)),0), FactorTable!$A$2:$A$301,0), Skills!L16+1)</f>
        <v/>
      </c>
      <c r="F492">
        <f>(Skills!K16/10)*(E492/1000)*64/45+Skills!N16</f>
        <v/>
      </c>
      <c r="G492">
        <f>Calc!G16</f>
        <v/>
      </c>
      <c r="H492">
        <f>Calc!H16</f>
        <v/>
      </c>
      <c r="I492">
        <f>IF(Skills!T16&lt;&gt;"",1+(Skills!T16/10)*(R479/1000)/100,1)</f>
        <v/>
      </c>
      <c r="J492" t="inlineStr"/>
      <c r="K492" t="inlineStr"/>
      <c r="L492" t="inlineStr"/>
      <c r="M492" t="inlineStr"/>
      <c r="N492" t="inlineStr"/>
      <c r="O492" t="n">
        <v>0</v>
      </c>
      <c r="P492">
        <f>IF(B510=0,0,O492/B510)</f>
        <v/>
      </c>
      <c r="S492">
        <f>IF(AND(Inputs!$B$4&lt;&gt;"pvp",Inputs!$B$35&gt;0),(INT(Inputs!$B$35/IF(Inputs!$B$4="pvp",15,MAX(0.1,Skills!D16-IF(Skills!E16=TRUE,Inputs!$B$31,0))))+1),0)</f>
        <v/>
      </c>
      <c r="V492">
        <f>IFERROR(1/IF(Inputs!$B$4="pvp",15,MAX(0.1,Skills!D16-IF(Skills!E16=TRUE,Inputs!$B$31,0))),0)</f>
        <v/>
      </c>
    </row>
    <row r="493">
      <c r="A493">
        <f>Skills!A17</f>
        <v/>
      </c>
      <c r="B493">
        <f>Skills!B17</f>
        <v/>
      </c>
      <c r="C493">
        <f>Inputs!$B$3&gt;=33</f>
        <v/>
      </c>
      <c r="D493">
        <f>IF(Skills!C17=1,60+Inputs!$B$24+Inputs!$B$28,IF(Skills!C17=2,90+Inputs!$B$25+Inputs!$B$28,IF(Skills!C17=3,120+Inputs!$B$26+Inputs!$B$28,MAX(0,(Inputs!$B$3-100)*3)+Inputs!$B$27+Inputs!$B$28)))</f>
        <v/>
      </c>
      <c r="E493">
        <f>INDEX(FactorTable!$B$2:$Y$301, MATCH(ROUND(MIN(300,MAX(1,D493)),0), FactorTable!$A$2:$A$301,0), Skills!L17+1)</f>
        <v/>
      </c>
      <c r="F493">
        <f>IF(Skills!M17=TRUE,(Skills!K17/10)*(E493/1000),Skills!K17/10)+Skills!N17</f>
        <v/>
      </c>
      <c r="G493">
        <f>Calc!G17</f>
        <v/>
      </c>
      <c r="H493">
        <f>Calc!H17</f>
        <v/>
      </c>
      <c r="I493">
        <f>IF(Skills!T17&lt;&gt;"",1+(Skills!T17/10)*(R479/1000)/100,1)</f>
        <v/>
      </c>
      <c r="J493" t="inlineStr"/>
      <c r="K493" t="inlineStr"/>
      <c r="L493" t="inlineStr"/>
      <c r="M493" t="inlineStr"/>
      <c r="N493" t="inlineStr"/>
      <c r="O493" t="n">
        <v>0</v>
      </c>
      <c r="P493">
        <f>IF(B510=0,0,O493/B510)</f>
        <v/>
      </c>
      <c r="S493" t="n">
        <v>0</v>
      </c>
      <c r="V493">
        <f>IFERROR(1/IF(Inputs!$B$4="pvp",15,MAX(0.1,Skills!D17-IF(Skills!E17=TRUE,Inputs!$B$31,0))),0)</f>
        <v/>
      </c>
    </row>
    <row r="494">
      <c r="A494">
        <f>Skills!A18</f>
        <v/>
      </c>
      <c r="B494">
        <f>Skills!B18</f>
        <v/>
      </c>
      <c r="C494">
        <f>Inputs!$B$3&gt;=43</f>
        <v/>
      </c>
      <c r="D494">
        <f>IF(Skills!C18=1,60+Inputs!$B$24+Inputs!$B$28,IF(Skills!C18=2,90+Inputs!$B$25+Inputs!$B$28,IF(Skills!C18=3,120+Inputs!$B$26+Inputs!$B$28,MAX(0,(Inputs!$B$3-100)*3)+Inputs!$B$27+Inputs!$B$28)))</f>
        <v/>
      </c>
      <c r="E494">
        <f>INDEX(FactorTable!$B$2:$Y$301, MATCH(ROUND(MIN(300,MAX(1,D494)),0), FactorTable!$A$2:$A$301,0), Skills!L18+1)</f>
        <v/>
      </c>
      <c r="F494">
        <f>IF(Skills!M18=TRUE,(Skills!K18/10)*(E494/1000),Skills!K18/10)+Skills!N18</f>
        <v/>
      </c>
      <c r="G494">
        <f>Calc!G18</f>
        <v/>
      </c>
      <c r="H494">
        <f>Calc!H18</f>
        <v/>
      </c>
      <c r="I494">
        <f>IF(Skills!T18&lt;&gt;"",1+(Skills!T18/10)*(R479/1000)/100,1)</f>
        <v/>
      </c>
      <c r="J494" t="inlineStr"/>
      <c r="K494" t="inlineStr"/>
      <c r="L494" t="inlineStr"/>
      <c r="M494" t="inlineStr"/>
      <c r="N494" t="inlineStr"/>
      <c r="O494" t="n">
        <v>0</v>
      </c>
      <c r="P494">
        <f>IF(B510=0,0,O494/B510)</f>
        <v/>
      </c>
      <c r="S494" t="n">
        <v>0</v>
      </c>
      <c r="V494">
        <f>IFERROR(1/IF(Inputs!$B$4="pvp",15,MAX(0.1,Skills!D18-IF(Skills!E18=TRUE,Inputs!$B$31,0))),0)</f>
        <v/>
      </c>
    </row>
    <row r="495">
      <c r="A495">
        <f>Skills!A19</f>
        <v/>
      </c>
      <c r="B495">
        <f>Skills!B19</f>
        <v/>
      </c>
      <c r="C495">
        <f>Inputs!$B$3&gt;=50</f>
        <v/>
      </c>
      <c r="D495">
        <f>IF(Skills!C19=1,60+Inputs!$B$24+Inputs!$B$28,IF(Skills!C19=2,90+Inputs!$B$25+Inputs!$B$28,IF(Skills!C19=3,120+Inputs!$B$26+Inputs!$B$28,MAX(0,(Inputs!$B$3-100)*3)+Inputs!$B$27+Inputs!$B$28)))</f>
        <v/>
      </c>
      <c r="E495">
        <f>INDEX(FactorTable!$B$2:$Y$301, MATCH(ROUND(MIN(300,MAX(1,D495)),0), FactorTable!$A$2:$A$301,0), Skills!L19+1)</f>
        <v/>
      </c>
      <c r="F495">
        <f>IF(Skills!M19=TRUE,(Skills!K19/10)*(E495/1000),Skills!K19/10)+Skills!N19</f>
        <v/>
      </c>
      <c r="G495">
        <f>Calc!G19</f>
        <v/>
      </c>
      <c r="H495">
        <f>Calc!H19</f>
        <v/>
      </c>
      <c r="I495">
        <f>IF(Skills!T19&lt;&gt;"",1+(Skills!T19/10)*(R479/1000)/100,1)</f>
        <v/>
      </c>
      <c r="J495" t="inlineStr"/>
      <c r="K495" t="inlineStr"/>
      <c r="L495" t="inlineStr"/>
      <c r="M495" t="inlineStr"/>
      <c r="N495" t="inlineStr"/>
      <c r="O495" t="n">
        <v>0</v>
      </c>
      <c r="P495">
        <f>IF(B510=0,0,O495/B510)</f>
        <v/>
      </c>
      <c r="S495" t="n">
        <v>0</v>
      </c>
      <c r="V495">
        <f>IFERROR(1/IF(Inputs!$B$4="pvp",15,MAX(0.1,Skills!D19-IF(Skills!E19=TRUE,Inputs!$B$31,0))),0)</f>
        <v/>
      </c>
    </row>
    <row r="496">
      <c r="A496">
        <f>Skills!A20</f>
        <v/>
      </c>
      <c r="B496">
        <f>Skills!B20</f>
        <v/>
      </c>
      <c r="C496">
        <f>Inputs!$B$3&gt;=74</f>
        <v/>
      </c>
      <c r="D496">
        <f>IF(Skills!C20=1,60+Inputs!$B$24+Inputs!$B$28,IF(Skills!C20=2,90+Inputs!$B$25+Inputs!$B$28,IF(Skills!C20=3,120+Inputs!$B$26+Inputs!$B$28,MAX(0,(Inputs!$B$3-100)*3)+Inputs!$B$27+Inputs!$B$28)))</f>
        <v/>
      </c>
      <c r="E496">
        <f>INDEX(FactorTable!$B$2:$Y$301, MATCH(ROUND(MIN(300,MAX(1,D496)),0), FactorTable!$A$2:$A$301,0), Skills!L20+1)</f>
        <v/>
      </c>
      <c r="F496">
        <f>IF(Skills!M20=TRUE,(Skills!K20/10)*(E496/1000),Skills!K20/10)+Skills!N20</f>
        <v/>
      </c>
      <c r="G496">
        <f>Calc!G20</f>
        <v/>
      </c>
      <c r="H496">
        <f>Calc!H20</f>
        <v/>
      </c>
      <c r="I496">
        <f>IF(Skills!T20&lt;&gt;"",1+(Skills!T20/10)*(R479/1000)/100,1)</f>
        <v/>
      </c>
      <c r="J496" t="inlineStr"/>
      <c r="K496" t="inlineStr"/>
      <c r="L496" t="inlineStr"/>
      <c r="M496" t="inlineStr"/>
      <c r="N496" t="inlineStr"/>
      <c r="O496" t="n">
        <v>0</v>
      </c>
      <c r="P496">
        <f>IF(B510=0,0,O496/B510)</f>
        <v/>
      </c>
      <c r="S496" t="n">
        <v>0</v>
      </c>
      <c r="V496">
        <f>IFERROR(1/IF(Inputs!$B$4="pvp",15,MAX(0.1,Skills!D20-IF(Skills!E20=TRUE,Inputs!$B$31,0))),0)</f>
        <v/>
      </c>
    </row>
    <row r="497">
      <c r="A497">
        <f>Skills!A21</f>
        <v/>
      </c>
      <c r="B497">
        <f>Skills!B21</f>
        <v/>
      </c>
      <c r="C497">
        <f>Inputs!$B$3&gt;=74</f>
        <v/>
      </c>
      <c r="D497">
        <f>IF(Skills!C21=1,60+Inputs!$B$24+Inputs!$B$28,IF(Skills!C21=2,90+Inputs!$B$25+Inputs!$B$28,IF(Skills!C21=3,120+Inputs!$B$26+Inputs!$B$28,MAX(0,(Inputs!$B$3-100)*3)+Inputs!$B$27+Inputs!$B$28)))</f>
        <v/>
      </c>
      <c r="E497">
        <f>INDEX(FactorTable!$B$2:$Y$301, MATCH(ROUND(MIN(300,MAX(1,D497)),0), FactorTable!$A$2:$A$301,0), Skills!L21+1)</f>
        <v/>
      </c>
      <c r="F497">
        <f>IF(Skills!M21=TRUE,(Skills!K21/10)*(E497/1000),Skills!K21/10)+Skills!N21</f>
        <v/>
      </c>
      <c r="G497">
        <f>Calc!G21</f>
        <v/>
      </c>
      <c r="H497">
        <f>Calc!H21</f>
        <v/>
      </c>
      <c r="I497">
        <f>IF(Skills!T21&lt;&gt;"",1+(Skills!T21/10)*(R479/1000)/100,1)</f>
        <v/>
      </c>
      <c r="J497" t="inlineStr"/>
      <c r="K497" t="inlineStr"/>
      <c r="L497" t="inlineStr"/>
      <c r="M497" t="inlineStr"/>
      <c r="N497" t="inlineStr"/>
      <c r="O497" t="n">
        <v>0</v>
      </c>
      <c r="P497">
        <f>IF(B510=0,0,O497/B510)</f>
        <v/>
      </c>
      <c r="S497" t="n">
        <v>0</v>
      </c>
      <c r="V497">
        <f>IFERROR(1/IF(Inputs!$B$4="pvp",15,MAX(0.1,Skills!D21-IF(Skills!E21=TRUE,Inputs!$B$31,0))),0)</f>
        <v/>
      </c>
    </row>
    <row r="498">
      <c r="A498">
        <f>Skills!A22</f>
        <v/>
      </c>
      <c r="B498">
        <f>Skills!B22</f>
        <v/>
      </c>
      <c r="C498">
        <f>Inputs!$B$3&gt;=117</f>
        <v/>
      </c>
      <c r="D498">
        <f>IF(Skills!C22=1,60+Inputs!$B$24+Inputs!$B$28,IF(Skills!C22=2,90+Inputs!$B$25+Inputs!$B$28,IF(Skills!C22=3,120+Inputs!$B$26+Inputs!$B$28,MAX(0,(Inputs!$B$3-100)*3)+Inputs!$B$27+Inputs!$B$28)))</f>
        <v/>
      </c>
      <c r="E498">
        <f>INDEX(FactorTable!$B$2:$Y$301, MATCH(ROUND(MIN(300,MAX(1,D498)),0), FactorTable!$A$2:$A$301,0), Skills!L22+1)</f>
        <v/>
      </c>
      <c r="F498">
        <f>IF(Skills!M22=TRUE,(Skills!K22/10)*(E498/1000),Skills!K22/10)+Skills!N22</f>
        <v/>
      </c>
      <c r="G498">
        <f>Calc!G22</f>
        <v/>
      </c>
      <c r="H498">
        <f>Calc!H22</f>
        <v/>
      </c>
      <c r="I498">
        <f>IF(Skills!T22&lt;&gt;"",1+(Skills!T22/10)*(R479/1000)/100,1)</f>
        <v/>
      </c>
      <c r="J498" t="inlineStr"/>
      <c r="K498" t="inlineStr"/>
      <c r="L498" t="inlineStr"/>
      <c r="M498" t="inlineStr"/>
      <c r="N498" t="inlineStr"/>
      <c r="O498" t="n">
        <v>0</v>
      </c>
      <c r="P498">
        <f>IF(B510=0,0,O498/B510)</f>
        <v/>
      </c>
      <c r="S498" t="n">
        <v>0</v>
      </c>
      <c r="V498">
        <f>IFERROR(1/IF(Inputs!$B$4="pvp",15,MAX(0.1,Skills!D22-IF(Skills!E22=TRUE,Inputs!$B$31,0))),0)</f>
        <v/>
      </c>
    </row>
    <row r="499">
      <c r="A499">
        <f>Skills!A23</f>
        <v/>
      </c>
      <c r="B499">
        <f>Skills!B23</f>
        <v/>
      </c>
      <c r="C499">
        <f>Inputs!$B$3&gt;=120</f>
        <v/>
      </c>
      <c r="D499">
        <f>IF(Skills!C23=1,60+Inputs!$B$24+Inputs!$B$28,IF(Skills!C23=2,90+Inputs!$B$25+Inputs!$B$28,IF(Skills!C23=3,120+Inputs!$B$26+Inputs!$B$28,MAX(0,(Inputs!$B$3-100)*3)+Inputs!$B$27+Inputs!$B$28)))</f>
        <v/>
      </c>
      <c r="E499">
        <f>INDEX(FactorTable!$B$2:$Y$301, MATCH(ROUND(MIN(300,MAX(1,D499)),0), FactorTable!$A$2:$A$301,0), Skills!L23+1)</f>
        <v/>
      </c>
      <c r="F499">
        <f>IF(Skills!M23=TRUE,(Skills!K23/10)*(E499/1000),Skills!K23/10)+Skills!N23</f>
        <v/>
      </c>
      <c r="G499">
        <f>Calc!G23</f>
        <v/>
      </c>
      <c r="H499">
        <f>Calc!H23</f>
        <v/>
      </c>
      <c r="I499">
        <f>IF(Skills!T23&lt;&gt;"",1+(Skills!T23/10)*(R479/1000)/100,1)</f>
        <v/>
      </c>
      <c r="J499" t="inlineStr"/>
      <c r="K499" t="inlineStr"/>
      <c r="L499" t="inlineStr"/>
      <c r="M499" t="inlineStr"/>
      <c r="N499" t="inlineStr"/>
      <c r="O499" t="n">
        <v>0</v>
      </c>
      <c r="P499">
        <f>IF(B510=0,0,O499/B510)</f>
        <v/>
      </c>
      <c r="S499" t="n">
        <v>0</v>
      </c>
      <c r="V499">
        <f>IFERROR(1/IF(Inputs!$B$4="pvp",15,MAX(0.1,Skills!D23-IF(Skills!E23=TRUE,Inputs!$B$31,0))),0)</f>
        <v/>
      </c>
    </row>
    <row r="502">
      <c r="A502" t="inlineStr">
        <is>
          <t>Average Buff Multiplier (Magic Guard + Meditation, summed; then Infinity)</t>
        </is>
      </c>
      <c r="B502">
        <f>(1+(IF(C479=TRUE,F479*IF(AND(Inputs!$B$4&lt;&gt;"pvp",Inputs!$B$35&gt;0),(((S479-1)*(Skills!S3*(1+(Inputs!$B$33+IF(Inputs!$B$3&gt;=117,F498,0))/100))+MIN((Skills!S3*(1+(Inputs!$B$33+IF(Inputs!$B$3&gt;=117,F498,0))/100)),MAX(0,Inputs!$B$35-((S479-1)*Skills!D3))))/Inputs!$B$35),IF(Inputs!$B$4="pvp",MIN((Skills!S3*(1+(Inputs!$B$33+IF(Inputs!$B$3&gt;=117,F498,0))/100)),15)/15,(Skills!S3*(1+(Inputs!$B$33+IF(Inputs!$B$3&gt;=117,F498,0))/100))/Skills!D3)),0)+IF(C480=TRUE,F480*IF(AND(Inputs!$B$4&lt;&gt;"pvp",Inputs!$B$35&gt;0),(((S480-1)*(Skills!S4*(1+(Inputs!$B$33+IF(Inputs!$B$3&gt;=117,F498,0))/100))+MIN((Skills!S4*(1+(Inputs!$B$33+IF(Inputs!$B$3&gt;=117,F498,0))/100)),MAX(0,Inputs!$B$35-((S480-1)*Skills!D4))))/Inputs!$B$35),IF(Inputs!$B$4="pvp",MIN((Skills!S4*(1+(Inputs!$B$33+IF(Inputs!$B$3&gt;=117,F498,0))/100)),15)/15,(Skills!S4*(1+(Inputs!$B$33+IF(Inputs!$B$3&gt;=117,F498,0))/100))/Skills!D4)),0))/100)*IF(C492=TRUE,(1+F492*IF(AND(Inputs!$B$4&lt;&gt;"pvp",Inputs!$B$35&gt;0),(((S492-1)*(Skills!S16*(1+(Inputs!$B$33+IF(Inputs!$B$3&gt;=117,F498,0))/100))+MIN((Skills!S16*(1+(Inputs!$B$33+IF(Inputs!$B$3&gt;=117,F498,0))/100)),MAX(0,Inputs!$B$35-((S492-1)*Skills!D16))))/Inputs!$B$35),IF(Inputs!$B$4="pvp",MIN((Skills!S16*(1+(Inputs!$B$33+IF(Inputs!$B$3&gt;=117,F498,0))/100)),15)/15,(Skills!S16*(1+(Inputs!$B$33+IF(Inputs!$B$3&gt;=117,F498,0))/100))/Skills!D16))/100),1)</f>
        <v/>
      </c>
    </row>
    <row r="503">
      <c r="A503" t="inlineStr">
        <is>
          <t>Monster Damage Taken Bonus % (Freezing Breath - Weaken + Elemental Reset, summed)</t>
        </is>
      </c>
      <c r="B503">
        <f>IF(Inputs!$B$3&gt;=118,15*IF(Inputs!$B$4="pvp",MIN((30*(1+(Inputs!$B$33+IF(Inputs!$B$3&gt;=117,F498,0))/100)),15)/15,(30*(1+(Inputs!$B$33+IF(Inputs!$B$3&gt;=117,F498,0))/100))/Skills!D8),0)+IF(C490=TRUE,F490,0)</f>
        <v/>
      </c>
    </row>
    <row r="504">
      <c r="A504" t="inlineStr">
        <is>
          <t>Damage % Bonus (Frozen Break + Frost Clutch, flat)</t>
        </is>
      </c>
      <c r="B504">
        <f>IF(Inputs!$B$3&gt;=66,15,0)+IF(Inputs!$B$3&gt;=98,10,0)+IF(Inputs!$B$3&gt;=125,20,0)</f>
        <v/>
      </c>
    </row>
    <row r="505">
      <c r="A505" t="inlineStr">
        <is>
          <t>Attack Speed Bonus % (MP Eater - MP Boost, always-on once unlocked)</t>
        </is>
      </c>
      <c r="B505">
        <f>IF(C489=TRUE,F489+(F493-Calc!F17),0)</f>
        <v/>
      </c>
    </row>
    <row r="506">
      <c r="A506" t="inlineStr">
        <is>
          <t>Actions Per Second</t>
        </is>
      </c>
      <c r="B506">
        <f>1+MIN(150,150*(1-(1-Inputs!$B$10/150)*(1-B505/150)))/100</f>
        <v/>
      </c>
    </row>
    <row r="507">
      <c r="A507" t="inlineStr">
        <is>
          <t>Skill + Buff Cast Rate</t>
        </is>
      </c>
      <c r="B507">
        <f>IF(AND(Inputs!$B$4&lt;&gt;"pvp",Inputs!$B$35&gt;0),SUMPRODUCT((Skills!E2:E23=TRUE)*(C478:C499=TRUE)*S478:S499)/Inputs!$B$35,SUMPRODUCT((Skills!E2:E23=TRUE)*(C478:C499=TRUE)*V478:V499))</f>
        <v/>
      </c>
    </row>
    <row r="508">
      <c r="A508" t="inlineStr">
        <is>
          <t>Chain Lightning Casts Per Second</t>
        </is>
      </c>
      <c r="B508">
        <f>MAX(0,B506-B507)</f>
        <v/>
      </c>
    </row>
    <row r="510">
      <c r="A510" s="5" t="inlineStr">
        <is>
          <t>TOTAL DPS</t>
        </is>
      </c>
      <c r="B510" s="5">
        <f>SUM(O478:O499)</f>
        <v/>
      </c>
    </row>
    <row r="513">
      <c r="A513" s="5" t="inlineStr">
        <is>
          <t>Stat: BASIC_ATTACK_DAMAGE %</t>
        </is>
      </c>
    </row>
    <row r="514">
      <c r="A514" s="8" t="inlineStr">
        <is>
          <t>Key</t>
        </is>
      </c>
      <c r="B514" s="8" t="inlineStr">
        <is>
          <t>Name</t>
        </is>
      </c>
      <c r="C514" s="8" t="inlineStr">
        <is>
          <t>Unlocked</t>
        </is>
      </c>
      <c r="D514" s="8" t="inlineStr">
        <is>
          <t>InputLevel</t>
        </is>
      </c>
      <c r="E514" s="8" t="inlineStr">
        <is>
          <t>Factor</t>
        </is>
      </c>
      <c r="F514" s="8" t="inlineStr">
        <is>
          <t>CoefficientPercent</t>
        </is>
      </c>
      <c r="G514" s="8" t="inlineStr">
        <is>
          <t>EffectiveHits</t>
        </is>
      </c>
      <c r="H514" s="8" t="inlineStr">
        <is>
          <t>ProcProbability</t>
        </is>
      </c>
      <c r="I514" s="8" t="inlineStr">
        <is>
          <t>MapleHeroMultiplier</t>
        </is>
      </c>
      <c r="J514" s="8" t="inlineStr">
        <is>
          <t>BaseDamage</t>
        </is>
      </c>
      <c r="K514" s="8" t="inlineStr">
        <is>
          <t>BaseHitDamage</t>
        </is>
      </c>
      <c r="L514" s="8" t="inlineStr">
        <is>
          <t>NonCritAvg</t>
        </is>
      </c>
      <c r="M514" s="8" t="inlineStr">
        <is>
          <t>CritAvg</t>
        </is>
      </c>
      <c r="N514" s="8" t="inlineStr">
        <is>
          <t>ExpectedDamage(perHit)</t>
        </is>
      </c>
      <c r="O514" s="8" t="inlineStr">
        <is>
          <t>DPS</t>
        </is>
      </c>
      <c r="P514" s="8" t="inlineStr">
        <is>
          <t>% of Total</t>
        </is>
      </c>
      <c r="R514" t="inlineStr">
        <is>
          <t>helpers</t>
        </is>
      </c>
    </row>
    <row r="515">
      <c r="A515">
        <f>Skills!A2</f>
        <v/>
      </c>
      <c r="B515">
        <f>Skills!B2</f>
        <v/>
      </c>
      <c r="C515">
        <f>Inputs!$B$3&gt;=100</f>
        <v/>
      </c>
      <c r="D515" t="inlineStr"/>
      <c r="E515" t="inlineStr"/>
      <c r="F515">
        <f>T517+Skills!N2</f>
        <v/>
      </c>
      <c r="G515">
        <f>Calc!G2</f>
        <v/>
      </c>
      <c r="H515">
        <f>Calc!H2</f>
        <v/>
      </c>
      <c r="I515">
        <f>IF(Skills!T2&lt;&gt;"",1+(Skills!T2/10)*(R516/1000)/100,1)</f>
        <v/>
      </c>
      <c r="J515">
        <f>((Inputs!$B$5*(1+Inputs!$B$6/100))+((Inputs!$B$11*(1+Inputs!$B$12/100))-(Inputs!$B$11*(1+Inputs!$B$12/100)))*(1+Inputs!$B$6/100))*(F515/100)</f>
        <v/>
      </c>
      <c r="K515">
        <f>J515*(1+((Inputs!$B$11*(1+Inputs!$B$12/100))*0.01+Inputs!$B$13*0.0025)/100)*(1+(Inputs!$B$14+B541)/100)*(1+IF(Inputs!$B$4="pvp",0,(1-Summary!$B$51)*(Inputs!$B$19+Skills!O2+B540)+Summary!$B$51*(Inputs!$B$20+Skills!P2+B540))/100)*(1+Inputs!$B$15/100)*(5000/(6000+Inputs!$B$7*(1-Inputs!$B$18/100)))*(1+Inputs!$B$23/100)*(1+IF(C528=TRUE,F528,0)/100)*(1+IF(C536=TRUE,F536,0)/100)^5*(1+(IF(Skills!A2="CHAIN_LIGHTNING",(Inputs!$B$16+1),Inputs!$B$17))/100)*(B539*I515)</f>
        <v/>
      </c>
      <c r="L515">
        <f>K515*(MIN(Inputs!$B$21+(F531-Calc!F18),Inputs!$B$22)/100+Inputs!$B$22/100)/2</f>
        <v/>
      </c>
      <c r="M515">
        <f>L515*(1+(Inputs!$B$9+(F534-Calc!F21))/100)</f>
        <v/>
      </c>
      <c r="N515">
        <f>L515*(1-MIN(Inputs!$B$8+((F533-Calc!F20)+(F532-Calc!F19)),100)/100)+M515*(MIN(Inputs!$B$8+((F533-Calc!F20)+(F532-Calc!F19)),100)/100)</f>
        <v/>
      </c>
      <c r="O515">
        <f>IF(C515,Skills!F2*N515*B545*IF(Inputs!$B$4="pvp",1,(1-Summary!$B$51)*(1)+Summary!$B$51*(MIN((6+Inputs!$B$32),Inputs!$B$37))),0)</f>
        <v/>
      </c>
      <c r="P515">
        <f>IF(B547=0,0,O515/B547)</f>
        <v/>
      </c>
      <c r="R515">
        <f>MAX(0,(Inputs!$B$3-100)*3)+Inputs!$B$27+Inputs!$B$28</f>
        <v/>
      </c>
      <c r="S515" t="n">
        <v>0</v>
      </c>
      <c r="T515">
        <f>MAX(0,(Inputs!$B$3-100)*3)+Inputs!$B$27+Inputs!$B$28</f>
        <v/>
      </c>
      <c r="V515">
        <f>IFERROR(1/IF(Inputs!$B$4="pvp",15,MAX(0.1,Skills!D2-IF(Skills!E2=TRUE,Inputs!$B$31,0))),0)</f>
        <v/>
      </c>
    </row>
    <row r="516">
      <c r="A516">
        <f>Skills!A3</f>
        <v/>
      </c>
      <c r="B516">
        <f>Skills!B3</f>
        <v/>
      </c>
      <c r="C516">
        <f>Inputs!$B$3&gt;=15</f>
        <v/>
      </c>
      <c r="D516">
        <f>IF(Skills!C3=1,60+Inputs!$B$24+Inputs!$B$28,IF(Skills!C3=2,90+Inputs!$B$25+Inputs!$B$28,IF(Skills!C3=3,120+Inputs!$B$26+Inputs!$B$28,MAX(0,(Inputs!$B$3-100)*3)+Inputs!$B$27+Inputs!$B$28)))</f>
        <v/>
      </c>
      <c r="E516">
        <f>INDEX(FactorTable!$B$2:$Y$301, MATCH(ROUND(MIN(300,MAX(1,D516)),0), FactorTable!$A$2:$A$301,0), Skills!L3+1)</f>
        <v/>
      </c>
      <c r="F516">
        <f>IF(Skills!M3=TRUE,(Skills!K3/10)*(E516/1000),Skills!K3/10)+Skills!N3</f>
        <v/>
      </c>
      <c r="G516">
        <f>Calc!G3</f>
        <v/>
      </c>
      <c r="H516">
        <f>Calc!H3</f>
        <v/>
      </c>
      <c r="I516">
        <f>IF(Skills!T3&lt;&gt;"",1+(Skills!T3/10)*(R516/1000)/100,1)</f>
        <v/>
      </c>
      <c r="J516" t="inlineStr"/>
      <c r="K516" t="inlineStr"/>
      <c r="L516" t="inlineStr"/>
      <c r="M516" t="inlineStr"/>
      <c r="N516" t="inlineStr"/>
      <c r="O516" t="n">
        <v>0</v>
      </c>
      <c r="P516">
        <f>IF(B547=0,0,O516/B547)</f>
        <v/>
      </c>
      <c r="R516">
        <f>INDEX(FactorTable!$B$2:$Y$301, MATCH(ROUND(MIN(300,MAX(1,R515)),0), FactorTable!$A$2:$A$301,0), 24)</f>
        <v/>
      </c>
      <c r="S516">
        <f>IF(AND(Inputs!$B$4&lt;&gt;"pvp",Inputs!$B$35&gt;0),(INT(Inputs!$B$35/IF(Inputs!$B$4="pvp",15,MAX(0.1,Skills!D3-IF(Skills!E3=TRUE,Inputs!$B$31,0))))+1),0)</f>
        <v/>
      </c>
      <c r="T516">
        <f>INDEX(FactorTable!$B$2:$Y$301, MATCH(ROUND(MIN(300,MAX(1,T515)),0), FactorTable!$A$2:$A$301,0), 22)</f>
        <v/>
      </c>
      <c r="V516">
        <f>IFERROR(1/IF(Inputs!$B$4="pvp",15,MAX(0.1,Skills!D3-IF(Skills!E3=TRUE,Inputs!$B$31,0))),0)</f>
        <v/>
      </c>
    </row>
    <row r="517">
      <c r="A517">
        <f>Skills!A4</f>
        <v/>
      </c>
      <c r="B517">
        <f>Skills!B4</f>
        <v/>
      </c>
      <c r="C517">
        <f>Inputs!$B$3&gt;=40</f>
        <v/>
      </c>
      <c r="D517">
        <f>IF(Skills!C4=1,60+Inputs!$B$24+Inputs!$B$28,IF(Skills!C4=2,90+Inputs!$B$25+Inputs!$B$28,IF(Skills!C4=3,120+Inputs!$B$26+Inputs!$B$28,MAX(0,(Inputs!$B$3-100)*3)+Inputs!$B$27+Inputs!$B$28)))</f>
        <v/>
      </c>
      <c r="E517">
        <f>INDEX(FactorTable!$B$2:$Y$301, MATCH(ROUND(MIN(300,MAX(1,D517)),0), FactorTable!$A$2:$A$301,0), Skills!L4+1)</f>
        <v/>
      </c>
      <c r="F517">
        <f>IF(Skills!M4=TRUE,(Skills!K4/10)*(E517/1000),Skills!K4/10)+Skills!N4</f>
        <v/>
      </c>
      <c r="G517">
        <f>Calc!G4</f>
        <v/>
      </c>
      <c r="H517">
        <f>Calc!H4</f>
        <v/>
      </c>
      <c r="I517">
        <f>IF(Skills!T4&lt;&gt;"",1+(Skills!T4/10)*(R516/1000)/100,1)</f>
        <v/>
      </c>
      <c r="J517" t="inlineStr"/>
      <c r="K517" t="inlineStr"/>
      <c r="L517" t="inlineStr"/>
      <c r="M517" t="inlineStr"/>
      <c r="N517" t="inlineStr"/>
      <c r="O517" t="n">
        <v>0</v>
      </c>
      <c r="P517">
        <f>IF(B547=0,0,O517/B547)</f>
        <v/>
      </c>
      <c r="S517">
        <f>IF(AND(Inputs!$B$4&lt;&gt;"pvp",Inputs!$B$35&gt;0),(INT(Inputs!$B$35/IF(Inputs!$B$4="pvp",15,MAX(0.1,Skills!D4-IF(Skills!E4=TRUE,Inputs!$B$31,0))))+1),0)</f>
        <v/>
      </c>
      <c r="T517">
        <f>290*T516/1000</f>
        <v/>
      </c>
      <c r="V517">
        <f>IFERROR(1/IF(Inputs!$B$4="pvp",15,MAX(0.1,Skills!D4-IF(Skills!E4=TRUE,Inputs!$B$31,0))),0)</f>
        <v/>
      </c>
    </row>
    <row r="518">
      <c r="A518">
        <f>Skills!A5</f>
        <v/>
      </c>
      <c r="B518">
        <f>Skills!B5</f>
        <v/>
      </c>
      <c r="C518">
        <f>Inputs!$B$3&gt;=38</f>
        <v/>
      </c>
      <c r="D518">
        <f>IF(Skills!C5=1,60+Inputs!$B$24+Inputs!$B$28,IF(Skills!C5=2,90+Inputs!$B$25+Inputs!$B$28,IF(Skills!C5=3,120+Inputs!$B$26+Inputs!$B$28,MAX(0,(Inputs!$B$3-100)*3)+Inputs!$B$27+Inputs!$B$28)))</f>
        <v/>
      </c>
      <c r="E518">
        <f>INDEX(FactorTable!$B$2:$Y$301, MATCH(ROUND(MIN(300,MAX(1,D518)),0), FactorTable!$A$2:$A$301,0), Skills!L5+1)</f>
        <v/>
      </c>
      <c r="F518">
        <f>IF(Skills!M5=TRUE,(Skills!K5/10)*(E518/1000),Skills!K5/10)+Skills!N5</f>
        <v/>
      </c>
      <c r="G518">
        <f>Calc!G5</f>
        <v/>
      </c>
      <c r="H518">
        <f>Calc!H5</f>
        <v/>
      </c>
      <c r="I518">
        <f>IF(Skills!T5&lt;&gt;"",1+(Skills!T5/10)*(R516/1000)/100,1)</f>
        <v/>
      </c>
      <c r="J518">
        <f>((Inputs!$B$5*(1+Inputs!$B$6/100))+((Inputs!$B$11*(1+Inputs!$B$12/100))-(Inputs!$B$11*(1+Inputs!$B$12/100)))*(1+Inputs!$B$6/100))*(F518/100)</f>
        <v/>
      </c>
      <c r="K518">
        <f>J518*(1+((Inputs!$B$11*(1+Inputs!$B$12/100))*0.01+Inputs!$B$13*0.0025)/100)*(1+(Inputs!$B$14+B541)/100)*(1+IF(Inputs!$B$4="pvp",0,(1-Summary!$B$51)*(Inputs!$B$19+Skills!O5+B540)+Summary!$B$51*(Inputs!$B$20+Skills!P5+B540))/100)*(1+Inputs!$B$15/100)*(5000/(6000+Inputs!$B$7*(1-Inputs!$B$18/100)))*(1+Inputs!$B$23/100)*(1+IF(C528=TRUE,F528,0)/100)*(1+IF(C536=TRUE,F536,0)/100)^5*(1+(IF(Skills!A5="CHAIN_LIGHTNING",(Inputs!$B$16+1),Inputs!$B$17))/100)*(B539*I518)</f>
        <v/>
      </c>
      <c r="L518">
        <f>K518*(MIN(Inputs!$B$21+(F531-Calc!F18),Inputs!$B$22)/100+Inputs!$B$22/100)/2</f>
        <v/>
      </c>
      <c r="M518">
        <f>L518*(1+(Inputs!$B$9+(F534-Calc!F21))/100)</f>
        <v/>
      </c>
      <c r="N518">
        <f>L518*(1-MIN(Inputs!$B$8+((F533-Calc!F20)+(F532-Calc!F19)),100)/100)+M518*(MIN(Inputs!$B$8+((F533-Calc!F20)+(F532-Calc!F19)),100)/100)</f>
        <v/>
      </c>
      <c r="O518">
        <f>IF(C518,H518*N518*IF(AND(Inputs!$B$4&lt;&gt;"pvp",Inputs!$B$35&gt;0),((Skills!F5*((S518-1)*IF(Skills!G5&gt;0,Skills!H5/Skills!G5,1)+IF(Skills!G5&gt;0,MIN(Skills!H5,MAX(0,Inputs!$B$35-((S518-1)*IF(Inputs!$B$4="pvp",15,MAX(0.1,Skills!D5-IF(Skills!E5=TRUE,Inputs!$B$31,0))))))/Skills!G5,1)))/Inputs!$B$35),G518*V518)*IF(Inputs!$B$4="pvp",1,(1-Summary!$B$51)*(1)+Summary!$B$51*(MIN(Skills!Q5,Inputs!$B$37))),0)</f>
        <v/>
      </c>
      <c r="P518">
        <f>IF(B547=0,0,O518/B547)</f>
        <v/>
      </c>
      <c r="S518">
        <f>IF(AND(Inputs!$B$4&lt;&gt;"pvp",Inputs!$B$35&gt;0),(INT(Inputs!$B$35/IF(Inputs!$B$4="pvp",15,MAX(0.1,Skills!D5-IF(Skills!E5=TRUE,Inputs!$B$31,0))))+1),0)</f>
        <v/>
      </c>
      <c r="V518">
        <f>IFERROR(1/IF(Inputs!$B$4="pvp",15,MAX(0.1,Skills!D5-IF(Skills!E5=TRUE,Inputs!$B$31,0))),0)</f>
        <v/>
      </c>
    </row>
    <row r="519">
      <c r="A519">
        <f>Skills!A6</f>
        <v/>
      </c>
      <c r="B519">
        <f>Skills!B6</f>
        <v/>
      </c>
      <c r="C519">
        <f>Inputs!$B$3&gt;=63</f>
        <v/>
      </c>
      <c r="D519">
        <f>IF(Skills!C6=1,60+Inputs!$B$24+Inputs!$B$28,IF(Skills!C6=2,90+Inputs!$B$25+Inputs!$B$28,IF(Skills!C6=3,120+Inputs!$B$26+Inputs!$B$28,MAX(0,(Inputs!$B$3-100)*3)+Inputs!$B$27+Inputs!$B$28)))</f>
        <v/>
      </c>
      <c r="E519">
        <f>INDEX(FactorTable!$B$2:$Y$301, MATCH(ROUND(MIN(300,MAX(1,D519)),0), FactorTable!$A$2:$A$301,0), Skills!L6+1)</f>
        <v/>
      </c>
      <c r="F519">
        <f>IF(Skills!M6=TRUE,(Skills!K6/10)*(E519/1000),Skills!K6/10)+Skills!N6</f>
        <v/>
      </c>
      <c r="G519">
        <f>Calc!G6</f>
        <v/>
      </c>
      <c r="H519">
        <f>Calc!H6</f>
        <v/>
      </c>
      <c r="I519">
        <f>IF(Skills!T6&lt;&gt;"",1+(Skills!T6/10)*(R516/1000)/100,1)</f>
        <v/>
      </c>
      <c r="J519">
        <f>((Inputs!$B$5*(1+Inputs!$B$6/100))+((Inputs!$B$11*(1+Inputs!$B$12/100))-(Inputs!$B$11*(1+Inputs!$B$12/100)))*(1+Inputs!$B$6/100))*(F519/100)</f>
        <v/>
      </c>
      <c r="K519">
        <f>J519*(1+((Inputs!$B$11*(1+Inputs!$B$12/100))*0.01+Inputs!$B$13*0.0025)/100)*(1+(Inputs!$B$14+B541)/100)*(1+IF(Inputs!$B$4="pvp",0,(1-Summary!$B$51)*(Inputs!$B$19+Skills!O6+B540)+Summary!$B$51*(Inputs!$B$20+Skills!P6+B540))/100)*(1+Inputs!$B$15/100)*(5000/(6000+Inputs!$B$7*(1-Inputs!$B$18/100)))*(1+Inputs!$B$23/100)*(1+IF(C528=TRUE,F528,0)/100)*(1+IF(C536=TRUE,F536,0)/100)^5*(1+(IF(Skills!A6="CHAIN_LIGHTNING",(Inputs!$B$16+1),Inputs!$B$17))/100)*(B539*I519)</f>
        <v/>
      </c>
      <c r="L519">
        <f>K519*(MIN(Inputs!$B$21+(F531-Calc!F18),Inputs!$B$22)/100+Inputs!$B$22/100)/2</f>
        <v/>
      </c>
      <c r="M519">
        <f>L519*(1+(Inputs!$B$9+(F534-Calc!F21))/100)</f>
        <v/>
      </c>
      <c r="N519">
        <f>L519*(1-MIN(Inputs!$B$8+((F533-Calc!F20)+(F532-Calc!F19)),100)/100)+M519*(MIN(Inputs!$B$8+((F533-Calc!F20)+(F532-Calc!F19)),100)/100)</f>
        <v/>
      </c>
      <c r="O519">
        <f>IF(C519,H519*N519*IF(AND(Inputs!$B$4&lt;&gt;"pvp",Inputs!$B$35&gt;0),((Skills!F6*((S519-1)*IF(Skills!G6&gt;0,Skills!H6/Skills!G6,1)+IF(Skills!G6&gt;0,MIN(Skills!H6,MAX(0,Inputs!$B$35-((S519-1)*IF(Inputs!$B$4="pvp",15,MAX(0.1,Skills!D6-IF(Skills!E6=TRUE,Inputs!$B$31,0))))))/Skills!G6,1)))/Inputs!$B$35),G519*V519)*IF(Inputs!$B$4="pvp",1,(1-Summary!$B$51)*(1)+Summary!$B$51*(MIN(Skills!Q6,Inputs!$B$37))),0)</f>
        <v/>
      </c>
      <c r="P519">
        <f>IF(B547=0,0,O519/B547)</f>
        <v/>
      </c>
      <c r="S519">
        <f>IF(AND(Inputs!$B$4&lt;&gt;"pvp",Inputs!$B$35&gt;0),(INT(Inputs!$B$35/IF(Inputs!$B$4="pvp",15,MAX(0.1,Skills!D6-IF(Skills!E6=TRUE,Inputs!$B$31,0))))+1),0)</f>
        <v/>
      </c>
      <c r="V519">
        <f>IFERROR(1/IF(Inputs!$B$4="pvp",15,MAX(0.1,Skills!D6-IF(Skills!E6=TRUE,Inputs!$B$31,0))),0)</f>
        <v/>
      </c>
    </row>
    <row r="520">
      <c r="A520">
        <f>Skills!A7</f>
        <v/>
      </c>
      <c r="B520">
        <f>Skills!B7</f>
        <v/>
      </c>
      <c r="C520">
        <f>Inputs!$B$3&gt;=69</f>
        <v/>
      </c>
      <c r="D520">
        <f>IF(Skills!C7=1,60+Inputs!$B$24+Inputs!$B$28,IF(Skills!C7=2,90+Inputs!$B$25+Inputs!$B$28,IF(Skills!C7=3,120+Inputs!$B$26+Inputs!$B$28,MAX(0,(Inputs!$B$3-100)*3)+Inputs!$B$27+Inputs!$B$28)))</f>
        <v/>
      </c>
      <c r="E520">
        <f>INDEX(FactorTable!$B$2:$Y$301, MATCH(ROUND(MIN(300,MAX(1,D520)),0), FactorTable!$A$2:$A$301,0), Skills!L7+1)</f>
        <v/>
      </c>
      <c r="F520">
        <f>IF(Skills!M7=TRUE,(Skills!K7/10)*(E520/1000),Skills!K7/10)+Skills!N7</f>
        <v/>
      </c>
      <c r="G520">
        <f>Calc!G7</f>
        <v/>
      </c>
      <c r="H520">
        <f>Calc!H7</f>
        <v/>
      </c>
      <c r="I520">
        <f>IF(Skills!T7&lt;&gt;"",1+(Skills!T7/10)*(R516/1000)/100,1)</f>
        <v/>
      </c>
      <c r="J520">
        <f>((Inputs!$B$5*(1+Inputs!$B$6/100))+((Inputs!$B$11*(1+Inputs!$B$12/100))-(Inputs!$B$11*(1+Inputs!$B$12/100)))*(1+Inputs!$B$6/100))*(F520/100)</f>
        <v/>
      </c>
      <c r="K520">
        <f>J520*(1+((Inputs!$B$11*(1+Inputs!$B$12/100))*0.01+Inputs!$B$13*0.0025)/100)*(1+(Inputs!$B$14+B541)/100)*(1+IF(Inputs!$B$4="pvp",0,(1-Summary!$B$51)*(Inputs!$B$19+Skills!O7+B540)+Summary!$B$51*(Inputs!$B$20+Skills!P7+B540))/100)*(1+Inputs!$B$15/100)*(5000/(6000+Inputs!$B$7*(1-Inputs!$B$18/100)))*(1+Inputs!$B$23/100)*(1+IF(C528=TRUE,F528,0)/100)*(1+IF(C536=TRUE,F536,0)/100)^5*(1+(IF(Skills!A7="CHAIN_LIGHTNING",(Inputs!$B$16+1),Inputs!$B$17))/100)*(B539*I520)</f>
        <v/>
      </c>
      <c r="L520">
        <f>K520*(MIN(Inputs!$B$21+(F531-Calc!F18),Inputs!$B$22)/100+Inputs!$B$22/100)/2</f>
        <v/>
      </c>
      <c r="M520">
        <f>L520*(1+(Inputs!$B$9+(F534-Calc!F21))/100)</f>
        <v/>
      </c>
      <c r="N520">
        <f>L520*(1-MIN(Inputs!$B$8+((F533-Calc!F20)+(F532-Calc!F19)),100)/100)+M520*(MIN(Inputs!$B$8+((F533-Calc!F20)+(F532-Calc!F19)),100)/100)</f>
        <v/>
      </c>
      <c r="O520">
        <f>IF(C520,H520*N520*IF(AND(Inputs!$B$4&lt;&gt;"pvp",Inputs!$B$35&gt;0),((Skills!F7*((S520-1)*IF(Skills!G7&gt;0,Skills!H7/Skills!G7,1)+IF(Skills!G7&gt;0,MIN(Skills!H7,MAX(0,Inputs!$B$35-((S520-1)*IF(Inputs!$B$4="pvp",15,MAX(0.1,Skills!D7-IF(Skills!E7=TRUE,Inputs!$B$31,0))))))/Skills!G7,1)))/Inputs!$B$35),G520*V520)*IF(Inputs!$B$4="pvp",1,(1-Summary!$B$51)*(1)+Summary!$B$51*(MIN(Skills!Q7,Inputs!$B$37))),0)</f>
        <v/>
      </c>
      <c r="P520">
        <f>IF(B547=0,0,O520/B547)</f>
        <v/>
      </c>
      <c r="S520">
        <f>IF(AND(Inputs!$B$4&lt;&gt;"pvp",Inputs!$B$35&gt;0),(INT(Inputs!$B$35/IF(Inputs!$B$4="pvp",15,MAX(0.1,Skills!D7-IF(Skills!E7=TRUE,Inputs!$B$31,0))))+1),0)</f>
        <v/>
      </c>
      <c r="V520">
        <f>IFERROR(1/IF(Inputs!$B$4="pvp",15,MAX(0.1,Skills!D7-IF(Skills!E7=TRUE,Inputs!$B$31,0))),0)</f>
        <v/>
      </c>
    </row>
    <row r="521">
      <c r="A521">
        <f>Skills!A8</f>
        <v/>
      </c>
      <c r="B521">
        <f>Skills!B8</f>
        <v/>
      </c>
      <c r="C521">
        <f>Inputs!$B$3&gt;=103</f>
        <v/>
      </c>
      <c r="D521">
        <f>IF(Skills!C8=1,60+Inputs!$B$24+Inputs!$B$28,IF(Skills!C8=2,90+Inputs!$B$25+Inputs!$B$28,IF(Skills!C8=3,120+Inputs!$B$26+Inputs!$B$28,MAX(0,(Inputs!$B$3-100)*3)+Inputs!$B$27+Inputs!$B$28)))</f>
        <v/>
      </c>
      <c r="E521">
        <f>INDEX(FactorTable!$B$2:$Y$301, MATCH(ROUND(MIN(300,MAX(1,D521)),0), FactorTable!$A$2:$A$301,0), Skills!L8+1)</f>
        <v/>
      </c>
      <c r="F521">
        <f>IF(Skills!M8=TRUE,(Skills!K8/10)*(E521/1000),Skills!K8/10)+Skills!N8</f>
        <v/>
      </c>
      <c r="G521">
        <f>Calc!G8</f>
        <v/>
      </c>
      <c r="H521">
        <f>Calc!H8</f>
        <v/>
      </c>
      <c r="I521">
        <f>IF(Skills!T8&lt;&gt;"",1+(Skills!T8/10)*(R516/1000)/100,1)</f>
        <v/>
      </c>
      <c r="J521">
        <f>((Inputs!$B$5*(1+Inputs!$B$6/100))+((Inputs!$B$11*(1+Inputs!$B$12/100))-(Inputs!$B$11*(1+Inputs!$B$12/100)))*(1+Inputs!$B$6/100))*(F521/100)</f>
        <v/>
      </c>
      <c r="K521">
        <f>J521*(1+((Inputs!$B$11*(1+Inputs!$B$12/100))*0.01+Inputs!$B$13*0.0025)/100)*(1+(Inputs!$B$14+B541)/100)*(1+IF(Inputs!$B$4="pvp",0,(1-Summary!$B$51)*(Inputs!$B$19+Skills!O8+B540)+Summary!$B$51*(Inputs!$B$20+Skills!P8+B540))/100)*(1+Inputs!$B$15/100)*(5000/(6000+Inputs!$B$7*(1-Inputs!$B$18/100)))*(1+Inputs!$B$23/100)*(1+IF(C528=TRUE,F528,0)/100)*(1+IF(C536=TRUE,F536,0)/100)^5*(1+(IF(Skills!A8="CHAIN_LIGHTNING",(Inputs!$B$16+1),Inputs!$B$17))/100)*(B539*I521)</f>
        <v/>
      </c>
      <c r="L521">
        <f>K521*(MIN(Inputs!$B$21+(F531-Calc!F18),Inputs!$B$22)/100+Inputs!$B$22/100)/2</f>
        <v/>
      </c>
      <c r="M521">
        <f>L521*(1+(Inputs!$B$9+(F534-Calc!F21))/100)</f>
        <v/>
      </c>
      <c r="N521">
        <f>L521*(1-MIN(Inputs!$B$8+((F533-Calc!F20)+(F532-Calc!F19)),100)/100)+M521*(MIN(Inputs!$B$8+((F533-Calc!F20)+(F532-Calc!F19)),100)/100)</f>
        <v/>
      </c>
      <c r="O521">
        <f>IF(C521,H521*N521*IF(AND(Inputs!$B$4&lt;&gt;"pvp",Inputs!$B$35&gt;0),((Skills!F8*((S521-1)*IF(Skills!G8&gt;0,Skills!H8/Skills!G8,1)+IF(Skills!G8&gt;0,MIN(Skills!H8,MAX(0,Inputs!$B$35-((S521-1)*IF(Inputs!$B$4="pvp",15,MAX(0.1,Skills!D8-IF(Skills!E8=TRUE,Inputs!$B$31,0))))))/Skills!G8,1)))/Inputs!$B$35),G521*V521)*IF(Inputs!$B$4="pvp",1,(1-Summary!$B$51)*(1)+Summary!$B$51*(MIN(Skills!Q8,Inputs!$B$37))),0)</f>
        <v/>
      </c>
      <c r="P521">
        <f>IF(B547=0,0,O521/B547)</f>
        <v/>
      </c>
      <c r="S521">
        <f>IF(AND(Inputs!$B$4&lt;&gt;"pvp",Inputs!$B$35&gt;0),(INT(Inputs!$B$35/IF(Inputs!$B$4="pvp",15,MAX(0.1,Skills!D8-IF(Skills!E8=TRUE,Inputs!$B$31,0))))+1),0)</f>
        <v/>
      </c>
      <c r="V521">
        <f>IFERROR(1/IF(Inputs!$B$4="pvp",15,MAX(0.1,Skills!D8-IF(Skills!E8=TRUE,Inputs!$B$31,0))),0)</f>
        <v/>
      </c>
    </row>
    <row r="522">
      <c r="A522">
        <f>Skills!A9</f>
        <v/>
      </c>
      <c r="B522">
        <f>Skills!B9</f>
        <v/>
      </c>
      <c r="C522">
        <f>Inputs!$B$3&gt;=105</f>
        <v/>
      </c>
      <c r="D522">
        <f>IF(Skills!C9=1,60+Inputs!$B$24+Inputs!$B$28,IF(Skills!C9=2,90+Inputs!$B$25+Inputs!$B$28,IF(Skills!C9=3,120+Inputs!$B$26+Inputs!$B$28,MAX(0,(Inputs!$B$3-100)*3)+Inputs!$B$27+Inputs!$B$28)))</f>
        <v/>
      </c>
      <c r="E522">
        <f>INDEX(FactorTable!$B$2:$Y$301, MATCH(ROUND(MIN(300,MAX(1,D522)),0), FactorTable!$A$2:$A$301,0), Skills!L9+1)</f>
        <v/>
      </c>
      <c r="F522">
        <f>IF(Skills!M9=TRUE,(Skills!K9/10)*(E522/1000),Skills!K9/10)+Skills!N9</f>
        <v/>
      </c>
      <c r="G522">
        <f>Calc!G9</f>
        <v/>
      </c>
      <c r="H522">
        <f>Calc!H9</f>
        <v/>
      </c>
      <c r="I522">
        <f>IF(Skills!T9&lt;&gt;"",1+(Skills!T9/10)*(R516/1000)/100,1)</f>
        <v/>
      </c>
      <c r="J522">
        <f>((Inputs!$B$5*(1+Inputs!$B$6/100))+((Inputs!$B$11*(1+Inputs!$B$12/100))-(Inputs!$B$11*(1+Inputs!$B$12/100)))*(1+Inputs!$B$6/100))*(F522/100)</f>
        <v/>
      </c>
      <c r="K522">
        <f>J522*(1+((Inputs!$B$11*(1+Inputs!$B$12/100))*0.01+Inputs!$B$13*0.0025)/100)*(1+(Inputs!$B$14+B541)/100)*(1+IF(Inputs!$B$4="pvp",0,(1-Summary!$B$51)*(Inputs!$B$19+Skills!O9+B540)+Summary!$B$51*(Inputs!$B$20+Skills!P9+B540))/100)*(1+Inputs!$B$15/100)*(5000/(6000+Inputs!$B$7*(1-Inputs!$B$18/100)))*(1+Inputs!$B$23/100)*(1+IF(C528=TRUE,F528,0)/100)*(1+IF(C536=TRUE,F536,0)/100)^5*(1+(IF(Skills!A9="CHAIN_LIGHTNING",(Inputs!$B$16+1),Inputs!$B$17))/100)*(B539*I522)</f>
        <v/>
      </c>
      <c r="L522">
        <f>K522*(MIN(Inputs!$B$21+(F531-Calc!F18),Inputs!$B$22)/100+Inputs!$B$22/100)/2</f>
        <v/>
      </c>
      <c r="M522">
        <f>L522*(1+(Inputs!$B$9+(F534-Calc!F21))/100)</f>
        <v/>
      </c>
      <c r="N522">
        <f>L522*(1-MIN(Inputs!$B$8+((F533-Calc!F20)+(F532-Calc!F19)),100)/100)+M522*(MIN(Inputs!$B$8+((F533-Calc!F20)+(F532-Calc!F19)),100)/100)</f>
        <v/>
      </c>
      <c r="O522">
        <f>IF(C522,H522*N522*IF(AND(Inputs!$B$4&lt;&gt;"pvp",Inputs!$B$35&gt;0),((Skills!F9*((S522-1)*IF(Skills!G9&gt;0,Skills!H9/Skills!G9,1)+IF(Skills!G9&gt;0,MIN(Skills!H9,MAX(0,Inputs!$B$35-((S522-1)*IF(Inputs!$B$4="pvp",15,MAX(0.1,Skills!D9-IF(Skills!E9=TRUE,Inputs!$B$31,0))))))/Skills!G9,1)))/Inputs!$B$35),G522*V522)*IF(Inputs!$B$4="pvp",1,(1-Summary!$B$51)*(1)+Summary!$B$51*(MIN(Skills!Q9,Inputs!$B$37))),0)</f>
        <v/>
      </c>
      <c r="P522">
        <f>IF(B547=0,0,O522/B547)</f>
        <v/>
      </c>
      <c r="S522">
        <f>IF(AND(Inputs!$B$4&lt;&gt;"pvp",Inputs!$B$35&gt;0),(INT(Inputs!$B$35/IF(Inputs!$B$4="pvp",15,MAX(0.1,Skills!D9-IF(Skills!E9=TRUE,Inputs!$B$31,0))))+1),0)</f>
        <v/>
      </c>
      <c r="V522">
        <f>IFERROR(1/IF(Inputs!$B$4="pvp",15,MAX(0.1,Skills!D9-IF(Skills!E9=TRUE,Inputs!$B$31,0))),0)</f>
        <v/>
      </c>
    </row>
    <row r="523">
      <c r="A523">
        <f>Skills!A10</f>
        <v/>
      </c>
      <c r="B523">
        <f>Skills!B10</f>
        <v/>
      </c>
      <c r="C523">
        <f>Inputs!$B$3&gt;=113</f>
        <v/>
      </c>
      <c r="D523">
        <f>IF(Skills!C10=1,60+Inputs!$B$24+Inputs!$B$28,IF(Skills!C10=2,90+Inputs!$B$25+Inputs!$B$28,IF(Skills!C10=3,120+Inputs!$B$26+Inputs!$B$28,MAX(0,(Inputs!$B$3-100)*3)+Inputs!$B$27+Inputs!$B$28)))</f>
        <v/>
      </c>
      <c r="E523">
        <f>INDEX(FactorTable!$B$2:$Y$301, MATCH(ROUND(MIN(300,MAX(1,D523)),0), FactorTable!$A$2:$A$301,0), Skills!L10+1)</f>
        <v/>
      </c>
      <c r="F523">
        <f>IF(Skills!M10=TRUE,(Skills!K10/10)*(E523/1000),Skills!K10/10)+Skills!N10</f>
        <v/>
      </c>
      <c r="G523">
        <f>Calc!G10</f>
        <v/>
      </c>
      <c r="H523">
        <f>Calc!H10</f>
        <v/>
      </c>
      <c r="I523">
        <f>IF(Skills!T10&lt;&gt;"",1+(Skills!T10/10)*(R516/1000)/100,1)</f>
        <v/>
      </c>
      <c r="J523">
        <f>((Inputs!$B$5*(1+Inputs!$B$6/100))+((Inputs!$B$11*(1+Inputs!$B$12/100))-(Inputs!$B$11*(1+Inputs!$B$12/100)))*(1+Inputs!$B$6/100))*(F523/100)</f>
        <v/>
      </c>
      <c r="K523">
        <f>J523*(1+((Inputs!$B$11*(1+Inputs!$B$12/100))*0.01+Inputs!$B$13*0.0025)/100)*(1+(Inputs!$B$14+B541)/100)*(1+IF(Inputs!$B$4="pvp",0,(1-Summary!$B$51)*(Inputs!$B$19+Skills!O10+B540)+Summary!$B$51*(Inputs!$B$20+Skills!P10+B540))/100)*(1+Inputs!$B$15/100)*(5000/(6000+Inputs!$B$7*(1-Inputs!$B$18/100)))*(1+Inputs!$B$23/100)*(1+IF(C528=TRUE,F528,0)/100)*(1+IF(C536=TRUE,F536,0)/100)^5*(1+(IF(Skills!A10="CHAIN_LIGHTNING",(Inputs!$B$16+1),Inputs!$B$17))/100)*(B539*I523)</f>
        <v/>
      </c>
      <c r="L523">
        <f>K523*(MIN(Inputs!$B$21+(F531-Calc!F18),Inputs!$B$22)/100+Inputs!$B$22/100)/2</f>
        <v/>
      </c>
      <c r="M523">
        <f>L523*(1+(Inputs!$B$9+(F534-Calc!F21))/100)</f>
        <v/>
      </c>
      <c r="N523">
        <f>L523*(1-MIN(Inputs!$B$8+((F533-Calc!F20)+(F532-Calc!F19)),100)/100)+M523*(MIN(Inputs!$B$8+((F533-Calc!F20)+(F532-Calc!F19)),100)/100)</f>
        <v/>
      </c>
      <c r="O523">
        <f>IF(C523,H523*N523*IF(AND(Inputs!$B$4&lt;&gt;"pvp",Inputs!$B$35&gt;0),((Skills!F10*((S523-1)*IF(Skills!G10&gt;0,Skills!H10/Skills!G10,1)+IF(Skills!G10&gt;0,MIN(Skills!H10,MAX(0,Inputs!$B$35-((S523-1)*IF(Inputs!$B$4="pvp",15,MAX(0.1,Skills!D10-IF(Skills!E9=TRUE,Inputs!$B$31,0))))))/Skills!G10,1)))/Inputs!$B$35),G523*V523)*IF(Inputs!$B$4="pvp",1,(1-Summary!$B$51)*(1)+Summary!$B$51*(MIN(Skills!Q10,Inputs!$B$37))),0)</f>
        <v/>
      </c>
      <c r="P523">
        <f>IF(B547=0,0,O523/B547)</f>
        <v/>
      </c>
      <c r="S523">
        <f>IF(AND(Inputs!$B$4&lt;&gt;"pvp",Inputs!$B$35&gt;0),(INT(Inputs!$B$35/IF(Inputs!$B$4="pvp",15,MAX(0.1,Skills!D10-IF(Skills!E9=TRUE,Inputs!$B$31,0))))+1),0)</f>
        <v/>
      </c>
      <c r="V523">
        <f>IFERROR(1/IF(Inputs!$B$4="pvp",15,MAX(0.1,Skills!D10-IF(Skills!E9=TRUE,Inputs!$B$31,0))),0)</f>
        <v/>
      </c>
    </row>
    <row r="524">
      <c r="A524">
        <f>Skills!A11</f>
        <v/>
      </c>
      <c r="B524">
        <f>Skills!B11</f>
        <v/>
      </c>
      <c r="C524">
        <f>Inputs!$B$3&gt;=107</f>
        <v/>
      </c>
      <c r="D524">
        <f>IF(Skills!C11=1,60+Inputs!$B$24+Inputs!$B$28,IF(Skills!C11=2,90+Inputs!$B$25+Inputs!$B$28,IF(Skills!C11=3,120+Inputs!$B$26+Inputs!$B$28,MAX(0,(Inputs!$B$3-100)*3)+Inputs!$B$27+Inputs!$B$28)))</f>
        <v/>
      </c>
      <c r="E524">
        <f>INDEX(FactorTable!$B$2:$Y$301, MATCH(ROUND(MIN(300,MAX(1,D524)),0), FactorTable!$A$2:$A$301,0), Skills!L11+1)</f>
        <v/>
      </c>
      <c r="F524">
        <f>IF(Skills!M11=TRUE,(Skills!K11/10)*(E524/1000),Skills!K11/10)+Skills!N11</f>
        <v/>
      </c>
      <c r="G524">
        <f>Calc!G11</f>
        <v/>
      </c>
      <c r="H524">
        <f>Calc!H11</f>
        <v/>
      </c>
      <c r="I524">
        <f>IF(Skills!T11&lt;&gt;"",1+(Skills!T11/10)*(R516/1000)/100,1)</f>
        <v/>
      </c>
      <c r="J524">
        <f>((Inputs!$B$5*(1+Inputs!$B$6/100))+((Inputs!$B$11*(1+Inputs!$B$12/100))-(Inputs!$B$11*(1+Inputs!$B$12/100)))*(1+Inputs!$B$6/100))*(F524/100)</f>
        <v/>
      </c>
      <c r="K524">
        <f>J524*(1+((Inputs!$B$11*(1+Inputs!$B$12/100))*0.01+Inputs!$B$13*0.0025)/100)*(1+(Inputs!$B$14+B541)/100)*(1+IF(Inputs!$B$4="pvp",0,(1-Summary!$B$51)*(Inputs!$B$19+Skills!O11+B540)+Summary!$B$51*(Inputs!$B$20+Skills!P11+B540))/100)*(1+Inputs!$B$15/100)*(5000/(6000+Inputs!$B$7*(1-Inputs!$B$18/100)))*(1+Inputs!$B$23/100)*(1+IF(C528=TRUE,F528,0)/100)*(1+IF(C536=TRUE,F536,0)/100)^5*(1+(IF(Skills!A11="CHAIN_LIGHTNING",(Inputs!$B$16+1),Inputs!$B$17))/100)*(B539*I524)</f>
        <v/>
      </c>
      <c r="L524">
        <f>K524*(MIN(Inputs!$B$21+(F531-Calc!F18),Inputs!$B$22)/100+Inputs!$B$22/100)/2</f>
        <v/>
      </c>
      <c r="M524">
        <f>L524*(1+(Inputs!$B$9+(F534-Calc!F21))/100)</f>
        <v/>
      </c>
      <c r="N524">
        <f>L524*(1-MIN(Inputs!$B$8+((F533-Calc!F20)+(F532-Calc!F19)),100)/100)+M524*(MIN(Inputs!$B$8+((F533-Calc!F20)+(F532-Calc!F19)),100)/100)</f>
        <v/>
      </c>
      <c r="O524">
        <f>IF(C524,H524*N524*IF(AND(Inputs!$B$4&lt;&gt;"pvp",Inputs!$B$35&gt;0),((Skills!F11*((S524-1)*IF(Skills!G11&gt;0,Skills!H11/Skills!G11,1)+IF(Skills!G11&gt;0,MIN(Skills!H11,MAX(0,Inputs!$B$35-((S524-1)*IF(Inputs!$B$4="pvp",15,MAX(0.1,Skills!D11-IF(Skills!E11=TRUE,Inputs!$B$31,0))))))/Skills!G11,1)))/Inputs!$B$35),G524*V524)*IF(Inputs!$B$4="pvp",0.5,(1-Summary!$B$51)*0.5+Summary!$B$51*1)*IF(Inputs!$B$4="pvp",1,(1-Summary!$B$51)*(1)+Summary!$B$51*(MIN(Skills!Q11,Inputs!$B$37))),0)</f>
        <v/>
      </c>
      <c r="P524">
        <f>IF(B547=0,0,O524/B547)</f>
        <v/>
      </c>
      <c r="S524">
        <f>IF(AND(Inputs!$B$4&lt;&gt;"pvp",Inputs!$B$35&gt;0),(INT(Inputs!$B$35/IF(Inputs!$B$4="pvp",15,MAX(0.1,Skills!D11-IF(Skills!E11=TRUE,Inputs!$B$31,0))))+1),0)</f>
        <v/>
      </c>
      <c r="V524">
        <f>IFERROR(1/IF(Inputs!$B$4="pvp",15,MAX(0.1,Skills!D11-IF(Skills!E11=TRUE,Inputs!$B$31,0))),0)</f>
        <v/>
      </c>
    </row>
    <row r="525">
      <c r="A525">
        <f>Skills!A12</f>
        <v/>
      </c>
      <c r="B525">
        <f>Skills!B12</f>
        <v/>
      </c>
      <c r="C525">
        <f>Inputs!$B$3&gt;=115</f>
        <v/>
      </c>
      <c r="D525">
        <f>IF(Skills!C12=1,60+Inputs!$B$24+Inputs!$B$28,IF(Skills!C12=2,90+Inputs!$B$25+Inputs!$B$28,IF(Skills!C12=3,120+Inputs!$B$26+Inputs!$B$28,MAX(0,(Inputs!$B$3-100)*3)+Inputs!$B$27+Inputs!$B$28)))</f>
        <v/>
      </c>
      <c r="E525">
        <f>INDEX(FactorTable!$B$2:$Y$301, MATCH(ROUND(MIN(300,MAX(1,D525)),0), FactorTable!$A$2:$A$301,0), Skills!L12+1)</f>
        <v/>
      </c>
      <c r="F525">
        <f>IF(Skills!M12=TRUE,(Skills!K12/10)*(E525/1000),Skills!K12/10)+Skills!N12</f>
        <v/>
      </c>
      <c r="G525">
        <f>Calc!G12</f>
        <v/>
      </c>
      <c r="H525">
        <f>Calc!H12</f>
        <v/>
      </c>
      <c r="I525">
        <f>IF(Skills!T12&lt;&gt;"",1+(Skills!T12/10)*(R516/1000)/100,1)</f>
        <v/>
      </c>
      <c r="J525">
        <f>((Inputs!$B$5*(1+Inputs!$B$6/100))+((Inputs!$B$11*(1+Inputs!$B$12/100))-(Inputs!$B$11*(1+Inputs!$B$12/100)))*(1+Inputs!$B$6/100))*(F525/100)</f>
        <v/>
      </c>
      <c r="K525">
        <f>J525*(1+((Inputs!$B$11*(1+Inputs!$B$12/100))*0.01+Inputs!$B$13*0.0025)/100)*(1+(Inputs!$B$14+B541)/100)*(1+IF(Inputs!$B$4="pvp",0,(1-Summary!$B$51)*(Inputs!$B$19+Skills!O12+B540)+Summary!$B$51*(Inputs!$B$20+Skills!P12+B540))/100)*(1+Inputs!$B$15/100)*(5000/(6000+Inputs!$B$7*(1-Inputs!$B$18/100)))*(1+Inputs!$B$23/100)*(1+IF(C528=TRUE,F528,0)/100)*(1+IF(C536=TRUE,F536,0)/100)^5*(1+(IF(Skills!A12="CHAIN_LIGHTNING",(Inputs!$B$16+1),Inputs!$B$17))/100)*(B539*I525)</f>
        <v/>
      </c>
      <c r="L525">
        <f>K525*(MIN(Inputs!$B$21+(F531-Calc!F18),Inputs!$B$22)/100+Inputs!$B$22/100)/2</f>
        <v/>
      </c>
      <c r="M525">
        <f>L525*(1+(Inputs!$B$9+(F534-Calc!F21))/100)</f>
        <v/>
      </c>
      <c r="N525">
        <f>L525*(1-MIN(Inputs!$B$8+((F533-Calc!F20)+(F532-Calc!F19)),100)/100)+M525*(MIN(Inputs!$B$8+((F533-Calc!F20)+(F532-Calc!F19)),100)/100)</f>
        <v/>
      </c>
      <c r="O525">
        <f>IF(C525,H525*N525*IF(AND(Inputs!$B$4&lt;&gt;"pvp",Inputs!$B$35&gt;0),((Skills!F12*((S525-1)*IF(Skills!G12&gt;0,Skills!H12/Skills!G12,1)+IF(Skills!G12&gt;0,MIN(Skills!H12,MAX(0,Inputs!$B$35-((S525-1)*IF(Inputs!$B$4="pvp",15,MAX(0.1,Skills!D12-IF(Skills!E12=TRUE,Inputs!$B$31,0))))))/Skills!G12,1)))/Inputs!$B$35),G525*V525)*IF(Inputs!$B$4="pvp",1,(1-Summary!$B$51)*(1)+Summary!$B$51*(MIN(Skills!Q12,Inputs!$B$37))),0)</f>
        <v/>
      </c>
      <c r="P525">
        <f>IF(B547=0,0,O525/B547)</f>
        <v/>
      </c>
      <c r="S525">
        <f>IF(AND(Inputs!$B$4&lt;&gt;"pvp",Inputs!$B$35&gt;0),(INT(Inputs!$B$35/IF(Inputs!$B$4="pvp",15,MAX(0.1,Skills!D12-IF(Skills!E12=TRUE,Inputs!$B$31,0))))+1),0)</f>
        <v/>
      </c>
      <c r="V525">
        <f>IFERROR(1/IF(Inputs!$B$4="pvp",15,MAX(0.1,Skills!D12-IF(Skills!E12=TRUE,Inputs!$B$31,0))),0)</f>
        <v/>
      </c>
    </row>
    <row r="526">
      <c r="A526">
        <f>Skills!A13</f>
        <v/>
      </c>
      <c r="B526">
        <f>Skills!B13</f>
        <v/>
      </c>
      <c r="C526">
        <f>Inputs!$B$3&gt;=49</f>
        <v/>
      </c>
      <c r="D526">
        <f>IF(Skills!C13=1,60+Inputs!$B$24+Inputs!$B$28,IF(Skills!C13=2,90+Inputs!$B$25+Inputs!$B$28,IF(Skills!C13=3,120+Inputs!$B$26+Inputs!$B$28,MAX(0,(Inputs!$B$3-100)*3)+Inputs!$B$27+Inputs!$B$28)))</f>
        <v/>
      </c>
      <c r="E526">
        <f>INDEX(FactorTable!$B$2:$Y$301, MATCH(ROUND(MIN(300,MAX(1,D526)),0), FactorTable!$A$2:$A$301,0), Skills!L13+1)</f>
        <v/>
      </c>
      <c r="F526">
        <f>IF(Skills!M13=TRUE,(Skills!K13/10)*(E526/1000),Skills!K13/10)+Skills!N13</f>
        <v/>
      </c>
      <c r="G526">
        <f>Calc!G13</f>
        <v/>
      </c>
      <c r="H526">
        <f>Calc!H13</f>
        <v/>
      </c>
      <c r="I526">
        <f>IF(Skills!T13&lt;&gt;"",1+(Skills!T13/10)*(R516/1000)/100,1)</f>
        <v/>
      </c>
      <c r="J526" t="inlineStr"/>
      <c r="K526" t="inlineStr"/>
      <c r="L526" t="inlineStr"/>
      <c r="M526" t="inlineStr"/>
      <c r="N526" t="inlineStr"/>
      <c r="O526" t="n">
        <v>0</v>
      </c>
      <c r="P526">
        <f>IF(B547=0,0,O526/B547)</f>
        <v/>
      </c>
      <c r="S526" t="n">
        <v>0</v>
      </c>
      <c r="V526">
        <f>IFERROR(1/IF(Inputs!$B$4="pvp",15,MAX(0.1,Skills!D13-IF(Skills!E13=TRUE,Inputs!$B$31,0))),0)</f>
        <v/>
      </c>
    </row>
    <row r="527">
      <c r="A527">
        <f>Skills!A14</f>
        <v/>
      </c>
      <c r="B527">
        <f>Skills!B14</f>
        <v/>
      </c>
      <c r="C527">
        <f>Inputs!$B$3&gt;=72</f>
        <v/>
      </c>
      <c r="D527">
        <f>IF(Skills!C14=1,60+Inputs!$B$24+Inputs!$B$28,IF(Skills!C14=2,90+Inputs!$B$25+Inputs!$B$28,IF(Skills!C14=3,120+Inputs!$B$26+Inputs!$B$28,MAX(0,(Inputs!$B$3-100)*3)+Inputs!$B$27+Inputs!$B$28)))</f>
        <v/>
      </c>
      <c r="E527">
        <f>INDEX(FactorTable!$B$2:$Y$301, MATCH(ROUND(MIN(300,MAX(1,D527)),0), FactorTable!$A$2:$A$301,0), Skills!L14+1)</f>
        <v/>
      </c>
      <c r="F527">
        <f>IF(Skills!M14=TRUE,(Skills!K14/10)*(E527/1000),Skills!K14/10)+Skills!N14</f>
        <v/>
      </c>
      <c r="G527">
        <f>Calc!G14</f>
        <v/>
      </c>
      <c r="H527">
        <f>Calc!H14</f>
        <v/>
      </c>
      <c r="I527">
        <f>IF(Skills!T14&lt;&gt;"",1+(Skills!T14/10)*(R516/1000)/100,1)</f>
        <v/>
      </c>
      <c r="J527" t="inlineStr"/>
      <c r="K527" t="inlineStr"/>
      <c r="L527" t="inlineStr"/>
      <c r="M527" t="inlineStr"/>
      <c r="N527" t="inlineStr"/>
      <c r="O527" t="n">
        <v>0</v>
      </c>
      <c r="P527">
        <f>IF(B547=0,0,O527/B547)</f>
        <v/>
      </c>
      <c r="S527" t="n">
        <v>0</v>
      </c>
      <c r="V527">
        <f>IFERROR(1/IF(Inputs!$B$4="pvp",15,MAX(0.1,Skills!D14-IF(Skills!E14=TRUE,Inputs!$B$31,0))),0)</f>
        <v/>
      </c>
    </row>
    <row r="528">
      <c r="A528">
        <f>Skills!A15</f>
        <v/>
      </c>
      <c r="B528">
        <f>Skills!B15</f>
        <v/>
      </c>
      <c r="C528">
        <f>Inputs!$B$3&gt;=75</f>
        <v/>
      </c>
      <c r="D528">
        <f>IF(Skills!C15=1,60+Inputs!$B$24+Inputs!$B$28,IF(Skills!C15=2,90+Inputs!$B$25+Inputs!$B$28,IF(Skills!C15=3,120+Inputs!$B$26+Inputs!$B$28,MAX(0,(Inputs!$B$3-100)*3)+Inputs!$B$27+Inputs!$B$28)))</f>
        <v/>
      </c>
      <c r="E528">
        <f>INDEX(FactorTable!$B$2:$Y$301, MATCH(ROUND(MIN(300,MAX(1,D528)),0), FactorTable!$A$2:$A$301,0), Skills!L15+1)</f>
        <v/>
      </c>
      <c r="F528">
        <f>IF(Skills!M15=TRUE,(Skills!K15/10)*(E528/1000),Skills!K15/10)+Skills!N15</f>
        <v/>
      </c>
      <c r="G528">
        <f>Calc!G15</f>
        <v/>
      </c>
      <c r="H528">
        <f>Calc!H15</f>
        <v/>
      </c>
      <c r="I528">
        <f>IF(Skills!T15&lt;&gt;"",1+(Skills!T15/10)*(R516/1000)/100,1)</f>
        <v/>
      </c>
      <c r="J528" t="inlineStr"/>
      <c r="K528" t="inlineStr"/>
      <c r="L528" t="inlineStr"/>
      <c r="M528" t="inlineStr"/>
      <c r="N528" t="inlineStr"/>
      <c r="O528" t="n">
        <v>0</v>
      </c>
      <c r="P528">
        <f>IF(B547=0,0,O528/B547)</f>
        <v/>
      </c>
      <c r="S528" t="n">
        <v>0</v>
      </c>
      <c r="V528">
        <f>IFERROR(1/IF(Inputs!$B$4="pvp",15,MAX(0.1,Skills!D15-IF(Skills!E15=TRUE,Inputs!$B$31,0))),0)</f>
        <v/>
      </c>
    </row>
    <row r="529">
      <c r="A529">
        <f>Skills!A16</f>
        <v/>
      </c>
      <c r="B529">
        <f>Skills!B16</f>
        <v/>
      </c>
      <c r="C529">
        <f>Inputs!$B$3&gt;=110</f>
        <v/>
      </c>
      <c r="D529">
        <f>IF(Skills!C16=1,60+Inputs!$B$24+Inputs!$B$28,IF(Skills!C16=2,90+Inputs!$B$25+Inputs!$B$28,IF(Skills!C16=3,120+Inputs!$B$26+Inputs!$B$28,MAX(0,(Inputs!$B$3-100)*3)+Inputs!$B$27+Inputs!$B$28)))</f>
        <v/>
      </c>
      <c r="E529">
        <f>INDEX(FactorTable!$B$2:$Y$301, MATCH(ROUND(MIN(300,MAX(1,D529)),0), FactorTable!$A$2:$A$301,0), Skills!L16+1)</f>
        <v/>
      </c>
      <c r="F529">
        <f>(Skills!K16/10)*(E529/1000)*64/45+Skills!N16</f>
        <v/>
      </c>
      <c r="G529">
        <f>Calc!G16</f>
        <v/>
      </c>
      <c r="H529">
        <f>Calc!H16</f>
        <v/>
      </c>
      <c r="I529">
        <f>IF(Skills!T16&lt;&gt;"",1+(Skills!T16/10)*(R516/1000)/100,1)</f>
        <v/>
      </c>
      <c r="J529" t="inlineStr"/>
      <c r="K529" t="inlineStr"/>
      <c r="L529" t="inlineStr"/>
      <c r="M529" t="inlineStr"/>
      <c r="N529" t="inlineStr"/>
      <c r="O529" t="n">
        <v>0</v>
      </c>
      <c r="P529">
        <f>IF(B547=0,0,O529/B547)</f>
        <v/>
      </c>
      <c r="S529">
        <f>IF(AND(Inputs!$B$4&lt;&gt;"pvp",Inputs!$B$35&gt;0),(INT(Inputs!$B$35/IF(Inputs!$B$4="pvp",15,MAX(0.1,Skills!D16-IF(Skills!E16=TRUE,Inputs!$B$31,0))))+1),0)</f>
        <v/>
      </c>
      <c r="V529">
        <f>IFERROR(1/IF(Inputs!$B$4="pvp",15,MAX(0.1,Skills!D16-IF(Skills!E16=TRUE,Inputs!$B$31,0))),0)</f>
        <v/>
      </c>
    </row>
    <row r="530">
      <c r="A530">
        <f>Skills!A17</f>
        <v/>
      </c>
      <c r="B530">
        <f>Skills!B17</f>
        <v/>
      </c>
      <c r="C530">
        <f>Inputs!$B$3&gt;=33</f>
        <v/>
      </c>
      <c r="D530">
        <f>IF(Skills!C17=1,60+Inputs!$B$24+Inputs!$B$28,IF(Skills!C17=2,90+Inputs!$B$25+Inputs!$B$28,IF(Skills!C17=3,120+Inputs!$B$26+Inputs!$B$28,MAX(0,(Inputs!$B$3-100)*3)+Inputs!$B$27+Inputs!$B$28)))</f>
        <v/>
      </c>
      <c r="E530">
        <f>INDEX(FactorTable!$B$2:$Y$301, MATCH(ROUND(MIN(300,MAX(1,D530)),0), FactorTable!$A$2:$A$301,0), Skills!L17+1)</f>
        <v/>
      </c>
      <c r="F530">
        <f>IF(Skills!M17=TRUE,(Skills!K17/10)*(E530/1000),Skills!K17/10)+Skills!N17</f>
        <v/>
      </c>
      <c r="G530">
        <f>Calc!G17</f>
        <v/>
      </c>
      <c r="H530">
        <f>Calc!H17</f>
        <v/>
      </c>
      <c r="I530">
        <f>IF(Skills!T17&lt;&gt;"",1+(Skills!T17/10)*(R516/1000)/100,1)</f>
        <v/>
      </c>
      <c r="J530" t="inlineStr"/>
      <c r="K530" t="inlineStr"/>
      <c r="L530" t="inlineStr"/>
      <c r="M530" t="inlineStr"/>
      <c r="N530" t="inlineStr"/>
      <c r="O530" t="n">
        <v>0</v>
      </c>
      <c r="P530">
        <f>IF(B547=0,0,O530/B547)</f>
        <v/>
      </c>
      <c r="S530" t="n">
        <v>0</v>
      </c>
      <c r="V530">
        <f>IFERROR(1/IF(Inputs!$B$4="pvp",15,MAX(0.1,Skills!D17-IF(Skills!E17=TRUE,Inputs!$B$31,0))),0)</f>
        <v/>
      </c>
    </row>
    <row r="531">
      <c r="A531">
        <f>Skills!A18</f>
        <v/>
      </c>
      <c r="B531">
        <f>Skills!B18</f>
        <v/>
      </c>
      <c r="C531">
        <f>Inputs!$B$3&gt;=43</f>
        <v/>
      </c>
      <c r="D531">
        <f>IF(Skills!C18=1,60+Inputs!$B$24+Inputs!$B$28,IF(Skills!C18=2,90+Inputs!$B$25+Inputs!$B$28,IF(Skills!C18=3,120+Inputs!$B$26+Inputs!$B$28,MAX(0,(Inputs!$B$3-100)*3)+Inputs!$B$27+Inputs!$B$28)))</f>
        <v/>
      </c>
      <c r="E531">
        <f>INDEX(FactorTable!$B$2:$Y$301, MATCH(ROUND(MIN(300,MAX(1,D531)),0), FactorTable!$A$2:$A$301,0), Skills!L18+1)</f>
        <v/>
      </c>
      <c r="F531">
        <f>IF(Skills!M18=TRUE,(Skills!K18/10)*(E531/1000),Skills!K18/10)+Skills!N18</f>
        <v/>
      </c>
      <c r="G531">
        <f>Calc!G18</f>
        <v/>
      </c>
      <c r="H531">
        <f>Calc!H18</f>
        <v/>
      </c>
      <c r="I531">
        <f>IF(Skills!T18&lt;&gt;"",1+(Skills!T18/10)*(R516/1000)/100,1)</f>
        <v/>
      </c>
      <c r="J531" t="inlineStr"/>
      <c r="K531" t="inlineStr"/>
      <c r="L531" t="inlineStr"/>
      <c r="M531" t="inlineStr"/>
      <c r="N531" t="inlineStr"/>
      <c r="O531" t="n">
        <v>0</v>
      </c>
      <c r="P531">
        <f>IF(B547=0,0,O531/B547)</f>
        <v/>
      </c>
      <c r="S531" t="n">
        <v>0</v>
      </c>
      <c r="V531">
        <f>IFERROR(1/IF(Inputs!$B$4="pvp",15,MAX(0.1,Skills!D18-IF(Skills!E18=TRUE,Inputs!$B$31,0))),0)</f>
        <v/>
      </c>
    </row>
    <row r="532">
      <c r="A532">
        <f>Skills!A19</f>
        <v/>
      </c>
      <c r="B532">
        <f>Skills!B19</f>
        <v/>
      </c>
      <c r="C532">
        <f>Inputs!$B$3&gt;=50</f>
        <v/>
      </c>
      <c r="D532">
        <f>IF(Skills!C19=1,60+Inputs!$B$24+Inputs!$B$28,IF(Skills!C19=2,90+Inputs!$B$25+Inputs!$B$28,IF(Skills!C19=3,120+Inputs!$B$26+Inputs!$B$28,MAX(0,(Inputs!$B$3-100)*3)+Inputs!$B$27+Inputs!$B$28)))</f>
        <v/>
      </c>
      <c r="E532">
        <f>INDEX(FactorTable!$B$2:$Y$301, MATCH(ROUND(MIN(300,MAX(1,D532)),0), FactorTable!$A$2:$A$301,0), Skills!L19+1)</f>
        <v/>
      </c>
      <c r="F532">
        <f>IF(Skills!M19=TRUE,(Skills!K19/10)*(E532/1000),Skills!K19/10)+Skills!N19</f>
        <v/>
      </c>
      <c r="G532">
        <f>Calc!G19</f>
        <v/>
      </c>
      <c r="H532">
        <f>Calc!H19</f>
        <v/>
      </c>
      <c r="I532">
        <f>IF(Skills!T19&lt;&gt;"",1+(Skills!T19/10)*(R516/1000)/100,1)</f>
        <v/>
      </c>
      <c r="J532" t="inlineStr"/>
      <c r="K532" t="inlineStr"/>
      <c r="L532" t="inlineStr"/>
      <c r="M532" t="inlineStr"/>
      <c r="N532" t="inlineStr"/>
      <c r="O532" t="n">
        <v>0</v>
      </c>
      <c r="P532">
        <f>IF(B547=0,0,O532/B547)</f>
        <v/>
      </c>
      <c r="S532" t="n">
        <v>0</v>
      </c>
      <c r="V532">
        <f>IFERROR(1/IF(Inputs!$B$4="pvp",15,MAX(0.1,Skills!D19-IF(Skills!E19=TRUE,Inputs!$B$31,0))),0)</f>
        <v/>
      </c>
    </row>
    <row r="533">
      <c r="A533">
        <f>Skills!A20</f>
        <v/>
      </c>
      <c r="B533">
        <f>Skills!B20</f>
        <v/>
      </c>
      <c r="C533">
        <f>Inputs!$B$3&gt;=74</f>
        <v/>
      </c>
      <c r="D533">
        <f>IF(Skills!C20=1,60+Inputs!$B$24+Inputs!$B$28,IF(Skills!C20=2,90+Inputs!$B$25+Inputs!$B$28,IF(Skills!C20=3,120+Inputs!$B$26+Inputs!$B$28,MAX(0,(Inputs!$B$3-100)*3)+Inputs!$B$27+Inputs!$B$28)))</f>
        <v/>
      </c>
      <c r="E533">
        <f>INDEX(FactorTable!$B$2:$Y$301, MATCH(ROUND(MIN(300,MAX(1,D533)),0), FactorTable!$A$2:$A$301,0), Skills!L20+1)</f>
        <v/>
      </c>
      <c r="F533">
        <f>IF(Skills!M20=TRUE,(Skills!K20/10)*(E533/1000),Skills!K20/10)+Skills!N20</f>
        <v/>
      </c>
      <c r="G533">
        <f>Calc!G20</f>
        <v/>
      </c>
      <c r="H533">
        <f>Calc!H20</f>
        <v/>
      </c>
      <c r="I533">
        <f>IF(Skills!T20&lt;&gt;"",1+(Skills!T20/10)*(R516/1000)/100,1)</f>
        <v/>
      </c>
      <c r="J533" t="inlineStr"/>
      <c r="K533" t="inlineStr"/>
      <c r="L533" t="inlineStr"/>
      <c r="M533" t="inlineStr"/>
      <c r="N533" t="inlineStr"/>
      <c r="O533" t="n">
        <v>0</v>
      </c>
      <c r="P533">
        <f>IF(B547=0,0,O533/B547)</f>
        <v/>
      </c>
      <c r="S533" t="n">
        <v>0</v>
      </c>
      <c r="V533">
        <f>IFERROR(1/IF(Inputs!$B$4="pvp",15,MAX(0.1,Skills!D20-IF(Skills!E20=TRUE,Inputs!$B$31,0))),0)</f>
        <v/>
      </c>
    </row>
    <row r="534">
      <c r="A534">
        <f>Skills!A21</f>
        <v/>
      </c>
      <c r="B534">
        <f>Skills!B21</f>
        <v/>
      </c>
      <c r="C534">
        <f>Inputs!$B$3&gt;=74</f>
        <v/>
      </c>
      <c r="D534">
        <f>IF(Skills!C21=1,60+Inputs!$B$24+Inputs!$B$28,IF(Skills!C21=2,90+Inputs!$B$25+Inputs!$B$28,IF(Skills!C21=3,120+Inputs!$B$26+Inputs!$B$28,MAX(0,(Inputs!$B$3-100)*3)+Inputs!$B$27+Inputs!$B$28)))</f>
        <v/>
      </c>
      <c r="E534">
        <f>INDEX(FactorTable!$B$2:$Y$301, MATCH(ROUND(MIN(300,MAX(1,D534)),0), FactorTable!$A$2:$A$301,0), Skills!L21+1)</f>
        <v/>
      </c>
      <c r="F534">
        <f>IF(Skills!M21=TRUE,(Skills!K21/10)*(E534/1000),Skills!K21/10)+Skills!N21</f>
        <v/>
      </c>
      <c r="G534">
        <f>Calc!G21</f>
        <v/>
      </c>
      <c r="H534">
        <f>Calc!H21</f>
        <v/>
      </c>
      <c r="I534">
        <f>IF(Skills!T21&lt;&gt;"",1+(Skills!T21/10)*(R516/1000)/100,1)</f>
        <v/>
      </c>
      <c r="J534" t="inlineStr"/>
      <c r="K534" t="inlineStr"/>
      <c r="L534" t="inlineStr"/>
      <c r="M534" t="inlineStr"/>
      <c r="N534" t="inlineStr"/>
      <c r="O534" t="n">
        <v>0</v>
      </c>
      <c r="P534">
        <f>IF(B547=0,0,O534/B547)</f>
        <v/>
      </c>
      <c r="S534" t="n">
        <v>0</v>
      </c>
      <c r="V534">
        <f>IFERROR(1/IF(Inputs!$B$4="pvp",15,MAX(0.1,Skills!D21-IF(Skills!E21=TRUE,Inputs!$B$31,0))),0)</f>
        <v/>
      </c>
    </row>
    <row r="535">
      <c r="A535">
        <f>Skills!A22</f>
        <v/>
      </c>
      <c r="B535">
        <f>Skills!B22</f>
        <v/>
      </c>
      <c r="C535">
        <f>Inputs!$B$3&gt;=117</f>
        <v/>
      </c>
      <c r="D535">
        <f>IF(Skills!C22=1,60+Inputs!$B$24+Inputs!$B$28,IF(Skills!C22=2,90+Inputs!$B$25+Inputs!$B$28,IF(Skills!C22=3,120+Inputs!$B$26+Inputs!$B$28,MAX(0,(Inputs!$B$3-100)*3)+Inputs!$B$27+Inputs!$B$28)))</f>
        <v/>
      </c>
      <c r="E535">
        <f>INDEX(FactorTable!$B$2:$Y$301, MATCH(ROUND(MIN(300,MAX(1,D535)),0), FactorTable!$A$2:$A$301,0), Skills!L22+1)</f>
        <v/>
      </c>
      <c r="F535">
        <f>IF(Skills!M22=TRUE,(Skills!K22/10)*(E535/1000),Skills!K22/10)+Skills!N22</f>
        <v/>
      </c>
      <c r="G535">
        <f>Calc!G22</f>
        <v/>
      </c>
      <c r="H535">
        <f>Calc!H22</f>
        <v/>
      </c>
      <c r="I535">
        <f>IF(Skills!T22&lt;&gt;"",1+(Skills!T22/10)*(R516/1000)/100,1)</f>
        <v/>
      </c>
      <c r="J535" t="inlineStr"/>
      <c r="K535" t="inlineStr"/>
      <c r="L535" t="inlineStr"/>
      <c r="M535" t="inlineStr"/>
      <c r="N535" t="inlineStr"/>
      <c r="O535" t="n">
        <v>0</v>
      </c>
      <c r="P535">
        <f>IF(B547=0,0,O535/B547)</f>
        <v/>
      </c>
      <c r="S535" t="n">
        <v>0</v>
      </c>
      <c r="V535">
        <f>IFERROR(1/IF(Inputs!$B$4="pvp",15,MAX(0.1,Skills!D22-IF(Skills!E22=TRUE,Inputs!$B$31,0))),0)</f>
        <v/>
      </c>
    </row>
    <row r="536">
      <c r="A536">
        <f>Skills!A23</f>
        <v/>
      </c>
      <c r="B536">
        <f>Skills!B23</f>
        <v/>
      </c>
      <c r="C536">
        <f>Inputs!$B$3&gt;=120</f>
        <v/>
      </c>
      <c r="D536">
        <f>IF(Skills!C23=1,60+Inputs!$B$24+Inputs!$B$28,IF(Skills!C23=2,90+Inputs!$B$25+Inputs!$B$28,IF(Skills!C23=3,120+Inputs!$B$26+Inputs!$B$28,MAX(0,(Inputs!$B$3-100)*3)+Inputs!$B$27+Inputs!$B$28)))</f>
        <v/>
      </c>
      <c r="E536">
        <f>INDEX(FactorTable!$B$2:$Y$301, MATCH(ROUND(MIN(300,MAX(1,D536)),0), FactorTable!$A$2:$A$301,0), Skills!L23+1)</f>
        <v/>
      </c>
      <c r="F536">
        <f>IF(Skills!M23=TRUE,(Skills!K23/10)*(E536/1000),Skills!K23/10)+Skills!N23</f>
        <v/>
      </c>
      <c r="G536">
        <f>Calc!G23</f>
        <v/>
      </c>
      <c r="H536">
        <f>Calc!H23</f>
        <v/>
      </c>
      <c r="I536">
        <f>IF(Skills!T23&lt;&gt;"",1+(Skills!T23/10)*(R516/1000)/100,1)</f>
        <v/>
      </c>
      <c r="J536" t="inlineStr"/>
      <c r="K536" t="inlineStr"/>
      <c r="L536" t="inlineStr"/>
      <c r="M536" t="inlineStr"/>
      <c r="N536" t="inlineStr"/>
      <c r="O536" t="n">
        <v>0</v>
      </c>
      <c r="P536">
        <f>IF(B547=0,0,O536/B547)</f>
        <v/>
      </c>
      <c r="S536" t="n">
        <v>0</v>
      </c>
      <c r="V536">
        <f>IFERROR(1/IF(Inputs!$B$4="pvp",15,MAX(0.1,Skills!D23-IF(Skills!E23=TRUE,Inputs!$B$31,0))),0)</f>
        <v/>
      </c>
    </row>
    <row r="539">
      <c r="A539" t="inlineStr">
        <is>
          <t>Average Buff Multiplier (Magic Guard + Meditation, summed; then Infinity)</t>
        </is>
      </c>
      <c r="B539">
        <f>(1+(IF(C516=TRUE,F516*IF(AND(Inputs!$B$4&lt;&gt;"pvp",Inputs!$B$35&gt;0),(((S516-1)*(Skills!S3*(1+(Inputs!$B$33+IF(Inputs!$B$3&gt;=117,F535,0))/100))+MIN((Skills!S3*(1+(Inputs!$B$33+IF(Inputs!$B$3&gt;=117,F535,0))/100)),MAX(0,Inputs!$B$35-((S516-1)*Skills!D3))))/Inputs!$B$35),IF(Inputs!$B$4="pvp",MIN((Skills!S3*(1+(Inputs!$B$33+IF(Inputs!$B$3&gt;=117,F535,0))/100)),15)/15,(Skills!S3*(1+(Inputs!$B$33+IF(Inputs!$B$3&gt;=117,F535,0))/100))/Skills!D3)),0)+IF(C517=TRUE,F517*IF(AND(Inputs!$B$4&lt;&gt;"pvp",Inputs!$B$35&gt;0),(((S517-1)*(Skills!S4*(1+(Inputs!$B$33+IF(Inputs!$B$3&gt;=117,F535,0))/100))+MIN((Skills!S4*(1+(Inputs!$B$33+IF(Inputs!$B$3&gt;=117,F535,0))/100)),MAX(0,Inputs!$B$35-((S517-1)*Skills!D4))))/Inputs!$B$35),IF(Inputs!$B$4="pvp",MIN((Skills!S4*(1+(Inputs!$B$33+IF(Inputs!$B$3&gt;=117,F535,0))/100)),15)/15,(Skills!S4*(1+(Inputs!$B$33+IF(Inputs!$B$3&gt;=117,F535,0))/100))/Skills!D4)),0))/100)*IF(C529=TRUE,(1+F529*IF(AND(Inputs!$B$4&lt;&gt;"pvp",Inputs!$B$35&gt;0),(((S529-1)*(Skills!S16*(1+(Inputs!$B$33+IF(Inputs!$B$3&gt;=117,F535,0))/100))+MIN((Skills!S16*(1+(Inputs!$B$33+IF(Inputs!$B$3&gt;=117,F535,0))/100)),MAX(0,Inputs!$B$35-((S529-1)*Skills!D16))))/Inputs!$B$35),IF(Inputs!$B$4="pvp",MIN((Skills!S16*(1+(Inputs!$B$33+IF(Inputs!$B$3&gt;=117,F535,0))/100)),15)/15,(Skills!S16*(1+(Inputs!$B$33+IF(Inputs!$B$3&gt;=117,F535,0))/100))/Skills!D16))/100),1)</f>
        <v/>
      </c>
    </row>
    <row r="540">
      <c r="A540" t="inlineStr">
        <is>
          <t>Monster Damage Taken Bonus % (Freezing Breath - Weaken + Elemental Reset, summed)</t>
        </is>
      </c>
      <c r="B540">
        <f>IF(Inputs!$B$3&gt;=118,15*IF(Inputs!$B$4="pvp",MIN((30*(1+(Inputs!$B$33+IF(Inputs!$B$3&gt;=117,F535,0))/100)),15)/15,(30*(1+(Inputs!$B$33+IF(Inputs!$B$3&gt;=117,F535,0))/100))/Skills!D8),0)+IF(C527=TRUE,F527,0)</f>
        <v/>
      </c>
    </row>
    <row r="541">
      <c r="A541" t="inlineStr">
        <is>
          <t>Damage % Bonus (Frozen Break + Frost Clutch, flat)</t>
        </is>
      </c>
      <c r="B541">
        <f>IF(Inputs!$B$3&gt;=66,15,0)+IF(Inputs!$B$3&gt;=98,10,0)+IF(Inputs!$B$3&gt;=125,20,0)</f>
        <v/>
      </c>
    </row>
    <row r="542">
      <c r="A542" t="inlineStr">
        <is>
          <t>Attack Speed Bonus % (MP Eater - MP Boost, always-on once unlocked)</t>
        </is>
      </c>
      <c r="B542">
        <f>IF(C526=TRUE,F526+(F530-Calc!F17),0)</f>
        <v/>
      </c>
    </row>
    <row r="543">
      <c r="A543" t="inlineStr">
        <is>
          <t>Actions Per Second</t>
        </is>
      </c>
      <c r="B543">
        <f>1+MIN(150,150*(1-(1-Inputs!$B$10/150)*(1-B542/150)))/100</f>
        <v/>
      </c>
    </row>
    <row r="544">
      <c r="A544" t="inlineStr">
        <is>
          <t>Skill + Buff Cast Rate</t>
        </is>
      </c>
      <c r="B544">
        <f>IF(AND(Inputs!$B$4&lt;&gt;"pvp",Inputs!$B$35&gt;0),SUMPRODUCT((Skills!E2:E23=TRUE)*(C515:C536=TRUE)*S515:S536)/Inputs!$B$35,SUMPRODUCT((Skills!E2:E23=TRUE)*(C515:C536=TRUE)*V515:V536))</f>
        <v/>
      </c>
    </row>
    <row r="545">
      <c r="A545" t="inlineStr">
        <is>
          <t>Chain Lightning Casts Per Second</t>
        </is>
      </c>
      <c r="B545">
        <f>MAX(0,B543-B544)</f>
        <v/>
      </c>
    </row>
    <row r="547">
      <c r="A547" s="5" t="inlineStr">
        <is>
          <t>TOTAL DPS</t>
        </is>
      </c>
      <c r="B547" s="5">
        <f>SUM(O515:O536)</f>
        <v/>
      </c>
    </row>
    <row r="550">
      <c r="A550" s="5" t="inlineStr">
        <is>
          <t>Stat: SKILL_DAMAGE %</t>
        </is>
      </c>
    </row>
    <row r="551">
      <c r="A551" s="8" t="inlineStr">
        <is>
          <t>Key</t>
        </is>
      </c>
      <c r="B551" s="8" t="inlineStr">
        <is>
          <t>Name</t>
        </is>
      </c>
      <c r="C551" s="8" t="inlineStr">
        <is>
          <t>Unlocked</t>
        </is>
      </c>
      <c r="D551" s="8" t="inlineStr">
        <is>
          <t>InputLevel</t>
        </is>
      </c>
      <c r="E551" s="8" t="inlineStr">
        <is>
          <t>Factor</t>
        </is>
      </c>
      <c r="F551" s="8" t="inlineStr">
        <is>
          <t>CoefficientPercent</t>
        </is>
      </c>
      <c r="G551" s="8" t="inlineStr">
        <is>
          <t>EffectiveHits</t>
        </is>
      </c>
      <c r="H551" s="8" t="inlineStr">
        <is>
          <t>ProcProbability</t>
        </is>
      </c>
      <c r="I551" s="8" t="inlineStr">
        <is>
          <t>MapleHeroMultiplier</t>
        </is>
      </c>
      <c r="J551" s="8" t="inlineStr">
        <is>
          <t>BaseDamage</t>
        </is>
      </c>
      <c r="K551" s="8" t="inlineStr">
        <is>
          <t>BaseHitDamage</t>
        </is>
      </c>
      <c r="L551" s="8" t="inlineStr">
        <is>
          <t>NonCritAvg</t>
        </is>
      </c>
      <c r="M551" s="8" t="inlineStr">
        <is>
          <t>CritAvg</t>
        </is>
      </c>
      <c r="N551" s="8" t="inlineStr">
        <is>
          <t>ExpectedDamage(perHit)</t>
        </is>
      </c>
      <c r="O551" s="8" t="inlineStr">
        <is>
          <t>DPS</t>
        </is>
      </c>
      <c r="P551" s="8" t="inlineStr">
        <is>
          <t>% of Total</t>
        </is>
      </c>
      <c r="R551" t="inlineStr">
        <is>
          <t>helpers</t>
        </is>
      </c>
    </row>
    <row r="552">
      <c r="A552">
        <f>Skills!A2</f>
        <v/>
      </c>
      <c r="B552">
        <f>Skills!B2</f>
        <v/>
      </c>
      <c r="C552">
        <f>Inputs!$B$3&gt;=100</f>
        <v/>
      </c>
      <c r="D552" t="inlineStr"/>
      <c r="E552" t="inlineStr"/>
      <c r="F552">
        <f>T554+Skills!N2</f>
        <v/>
      </c>
      <c r="G552">
        <f>Calc!G2</f>
        <v/>
      </c>
      <c r="H552">
        <f>Calc!H2</f>
        <v/>
      </c>
      <c r="I552">
        <f>IF(Skills!T2&lt;&gt;"",1+(Skills!T2/10)*(R553/1000)/100,1)</f>
        <v/>
      </c>
      <c r="J552">
        <f>((Inputs!$B$5*(1+Inputs!$B$6/100))+((Inputs!$B$11*(1+Inputs!$B$12/100))-(Inputs!$B$11*(1+Inputs!$B$12/100)))*(1+Inputs!$B$6/100))*(F552/100)</f>
        <v/>
      </c>
      <c r="K552">
        <f>J552*(1+((Inputs!$B$11*(1+Inputs!$B$12/100))*0.01+Inputs!$B$13*0.0025)/100)*(1+(Inputs!$B$14+B578)/100)*(1+IF(Inputs!$B$4="pvp",0,(1-Summary!$B$51)*(Inputs!$B$19+Skills!O2+B577)+Summary!$B$51*(Inputs!$B$20+Skills!P2+B577))/100)*(1+Inputs!$B$15/100)*(5000/(6000+Inputs!$B$7*(1-Inputs!$B$18/100)))*(1+Inputs!$B$23/100)*(1+IF(C565=TRUE,F565,0)/100)*(1+IF(C573=TRUE,F573,0)/100)^5*(1+(IF(Skills!A2="CHAIN_LIGHTNING",Inputs!$B$16,(Inputs!$B$17+1)))/100)*(B576*I552)</f>
        <v/>
      </c>
      <c r="L552">
        <f>K552*(MIN(Inputs!$B$21+(F568-Calc!F18),Inputs!$B$22)/100+Inputs!$B$22/100)/2</f>
        <v/>
      </c>
      <c r="M552">
        <f>L552*(1+(Inputs!$B$9+(F571-Calc!F21))/100)</f>
        <v/>
      </c>
      <c r="N552">
        <f>L552*(1-MIN(Inputs!$B$8+((F570-Calc!F20)+(F569-Calc!F19)),100)/100)+M552*(MIN(Inputs!$B$8+((F570-Calc!F20)+(F569-Calc!F19)),100)/100)</f>
        <v/>
      </c>
      <c r="O552">
        <f>IF(C552,Skills!F2*N552*B582*IF(Inputs!$B$4="pvp",1,(1-Summary!$B$51)*(1)+Summary!$B$51*(MIN((6+Inputs!$B$32),Inputs!$B$37))),0)</f>
        <v/>
      </c>
      <c r="P552">
        <f>IF(B584=0,0,O552/B584)</f>
        <v/>
      </c>
      <c r="R552">
        <f>MAX(0,(Inputs!$B$3-100)*3)+Inputs!$B$27+Inputs!$B$28</f>
        <v/>
      </c>
      <c r="S552" t="n">
        <v>0</v>
      </c>
      <c r="T552">
        <f>MAX(0,(Inputs!$B$3-100)*3)+Inputs!$B$27+Inputs!$B$28</f>
        <v/>
      </c>
      <c r="V552">
        <f>IFERROR(1/IF(Inputs!$B$4="pvp",15,MAX(0.1,Skills!D2-IF(Skills!E2=TRUE,Inputs!$B$31,0))),0)</f>
        <v/>
      </c>
    </row>
    <row r="553">
      <c r="A553">
        <f>Skills!A3</f>
        <v/>
      </c>
      <c r="B553">
        <f>Skills!B3</f>
        <v/>
      </c>
      <c r="C553">
        <f>Inputs!$B$3&gt;=15</f>
        <v/>
      </c>
      <c r="D553">
        <f>IF(Skills!C3=1,60+Inputs!$B$24+Inputs!$B$28,IF(Skills!C3=2,90+Inputs!$B$25+Inputs!$B$28,IF(Skills!C3=3,120+Inputs!$B$26+Inputs!$B$28,MAX(0,(Inputs!$B$3-100)*3)+Inputs!$B$27+Inputs!$B$28)))</f>
        <v/>
      </c>
      <c r="E553">
        <f>INDEX(FactorTable!$B$2:$Y$301, MATCH(ROUND(MIN(300,MAX(1,D553)),0), FactorTable!$A$2:$A$301,0), Skills!L3+1)</f>
        <v/>
      </c>
      <c r="F553">
        <f>IF(Skills!M3=TRUE,(Skills!K3/10)*(E553/1000),Skills!K3/10)+Skills!N3</f>
        <v/>
      </c>
      <c r="G553">
        <f>Calc!G3</f>
        <v/>
      </c>
      <c r="H553">
        <f>Calc!H3</f>
        <v/>
      </c>
      <c r="I553">
        <f>IF(Skills!T3&lt;&gt;"",1+(Skills!T3/10)*(R553/1000)/100,1)</f>
        <v/>
      </c>
      <c r="J553" t="inlineStr"/>
      <c r="K553" t="inlineStr"/>
      <c r="L553" t="inlineStr"/>
      <c r="M553" t="inlineStr"/>
      <c r="N553" t="inlineStr"/>
      <c r="O553" t="n">
        <v>0</v>
      </c>
      <c r="P553">
        <f>IF(B584=0,0,O553/B584)</f>
        <v/>
      </c>
      <c r="R553">
        <f>INDEX(FactorTable!$B$2:$Y$301, MATCH(ROUND(MIN(300,MAX(1,R552)),0), FactorTable!$A$2:$A$301,0), 24)</f>
        <v/>
      </c>
      <c r="S553">
        <f>IF(AND(Inputs!$B$4&lt;&gt;"pvp",Inputs!$B$35&gt;0),(INT(Inputs!$B$35/IF(Inputs!$B$4="pvp",15,MAX(0.1,Skills!D3-IF(Skills!E3=TRUE,Inputs!$B$31,0))))+1),0)</f>
        <v/>
      </c>
      <c r="T553">
        <f>INDEX(FactorTable!$B$2:$Y$301, MATCH(ROUND(MIN(300,MAX(1,T552)),0), FactorTable!$A$2:$A$301,0), 22)</f>
        <v/>
      </c>
      <c r="V553">
        <f>IFERROR(1/IF(Inputs!$B$4="pvp",15,MAX(0.1,Skills!D3-IF(Skills!E3=TRUE,Inputs!$B$31,0))),0)</f>
        <v/>
      </c>
    </row>
    <row r="554">
      <c r="A554">
        <f>Skills!A4</f>
        <v/>
      </c>
      <c r="B554">
        <f>Skills!B4</f>
        <v/>
      </c>
      <c r="C554">
        <f>Inputs!$B$3&gt;=40</f>
        <v/>
      </c>
      <c r="D554">
        <f>IF(Skills!C4=1,60+Inputs!$B$24+Inputs!$B$28,IF(Skills!C4=2,90+Inputs!$B$25+Inputs!$B$28,IF(Skills!C4=3,120+Inputs!$B$26+Inputs!$B$28,MAX(0,(Inputs!$B$3-100)*3)+Inputs!$B$27+Inputs!$B$28)))</f>
        <v/>
      </c>
      <c r="E554">
        <f>INDEX(FactorTable!$B$2:$Y$301, MATCH(ROUND(MIN(300,MAX(1,D554)),0), FactorTable!$A$2:$A$301,0), Skills!L4+1)</f>
        <v/>
      </c>
      <c r="F554">
        <f>IF(Skills!M4=TRUE,(Skills!K4/10)*(E554/1000),Skills!K4/10)+Skills!N4</f>
        <v/>
      </c>
      <c r="G554">
        <f>Calc!G4</f>
        <v/>
      </c>
      <c r="H554">
        <f>Calc!H4</f>
        <v/>
      </c>
      <c r="I554">
        <f>IF(Skills!T4&lt;&gt;"",1+(Skills!T4/10)*(R553/1000)/100,1)</f>
        <v/>
      </c>
      <c r="J554" t="inlineStr"/>
      <c r="K554" t="inlineStr"/>
      <c r="L554" t="inlineStr"/>
      <c r="M554" t="inlineStr"/>
      <c r="N554" t="inlineStr"/>
      <c r="O554" t="n">
        <v>0</v>
      </c>
      <c r="P554">
        <f>IF(B584=0,0,O554/B584)</f>
        <v/>
      </c>
      <c r="S554">
        <f>IF(AND(Inputs!$B$4&lt;&gt;"pvp",Inputs!$B$35&gt;0),(INT(Inputs!$B$35/IF(Inputs!$B$4="pvp",15,MAX(0.1,Skills!D4-IF(Skills!E4=TRUE,Inputs!$B$31,0))))+1),0)</f>
        <v/>
      </c>
      <c r="T554">
        <f>290*T553/1000</f>
        <v/>
      </c>
      <c r="V554">
        <f>IFERROR(1/IF(Inputs!$B$4="pvp",15,MAX(0.1,Skills!D4-IF(Skills!E4=TRUE,Inputs!$B$31,0))),0)</f>
        <v/>
      </c>
    </row>
    <row r="555">
      <c r="A555">
        <f>Skills!A5</f>
        <v/>
      </c>
      <c r="B555">
        <f>Skills!B5</f>
        <v/>
      </c>
      <c r="C555">
        <f>Inputs!$B$3&gt;=38</f>
        <v/>
      </c>
      <c r="D555">
        <f>IF(Skills!C5=1,60+Inputs!$B$24+Inputs!$B$28,IF(Skills!C5=2,90+Inputs!$B$25+Inputs!$B$28,IF(Skills!C5=3,120+Inputs!$B$26+Inputs!$B$28,MAX(0,(Inputs!$B$3-100)*3)+Inputs!$B$27+Inputs!$B$28)))</f>
        <v/>
      </c>
      <c r="E555">
        <f>INDEX(FactorTable!$B$2:$Y$301, MATCH(ROUND(MIN(300,MAX(1,D555)),0), FactorTable!$A$2:$A$301,0), Skills!L5+1)</f>
        <v/>
      </c>
      <c r="F555">
        <f>IF(Skills!M5=TRUE,(Skills!K5/10)*(E555/1000),Skills!K5/10)+Skills!N5</f>
        <v/>
      </c>
      <c r="G555">
        <f>Calc!G5</f>
        <v/>
      </c>
      <c r="H555">
        <f>Calc!H5</f>
        <v/>
      </c>
      <c r="I555">
        <f>IF(Skills!T5&lt;&gt;"",1+(Skills!T5/10)*(R553/1000)/100,1)</f>
        <v/>
      </c>
      <c r="J555">
        <f>((Inputs!$B$5*(1+Inputs!$B$6/100))+((Inputs!$B$11*(1+Inputs!$B$12/100))-(Inputs!$B$11*(1+Inputs!$B$12/100)))*(1+Inputs!$B$6/100))*(F555/100)</f>
        <v/>
      </c>
      <c r="K555">
        <f>J555*(1+((Inputs!$B$11*(1+Inputs!$B$12/100))*0.01+Inputs!$B$13*0.0025)/100)*(1+(Inputs!$B$14+B578)/100)*(1+IF(Inputs!$B$4="pvp",0,(1-Summary!$B$51)*(Inputs!$B$19+Skills!O5+B577)+Summary!$B$51*(Inputs!$B$20+Skills!P5+B577))/100)*(1+Inputs!$B$15/100)*(5000/(6000+Inputs!$B$7*(1-Inputs!$B$18/100)))*(1+Inputs!$B$23/100)*(1+IF(C565=TRUE,F565,0)/100)*(1+IF(C573=TRUE,F573,0)/100)^5*(1+(IF(Skills!A5="CHAIN_LIGHTNING",Inputs!$B$16,(Inputs!$B$17+1)))/100)*(B576*I555)</f>
        <v/>
      </c>
      <c r="L555">
        <f>K555*(MIN(Inputs!$B$21+(F568-Calc!F18),Inputs!$B$22)/100+Inputs!$B$22/100)/2</f>
        <v/>
      </c>
      <c r="M555">
        <f>L555*(1+(Inputs!$B$9+(F571-Calc!F21))/100)</f>
        <v/>
      </c>
      <c r="N555">
        <f>L555*(1-MIN(Inputs!$B$8+((F570-Calc!F20)+(F569-Calc!F19)),100)/100)+M555*(MIN(Inputs!$B$8+((F570-Calc!F20)+(F569-Calc!F19)),100)/100)</f>
        <v/>
      </c>
      <c r="O555">
        <f>IF(C555,H555*N555*IF(AND(Inputs!$B$4&lt;&gt;"pvp",Inputs!$B$35&gt;0),((Skills!F5*((S555-1)*IF(Skills!G5&gt;0,Skills!H5/Skills!G5,1)+IF(Skills!G5&gt;0,MIN(Skills!H5,MAX(0,Inputs!$B$35-((S555-1)*IF(Inputs!$B$4="pvp",15,MAX(0.1,Skills!D5-IF(Skills!E5=TRUE,Inputs!$B$31,0))))))/Skills!G5,1)))/Inputs!$B$35),G555*V555)*IF(Inputs!$B$4="pvp",1,(1-Summary!$B$51)*(1)+Summary!$B$51*(MIN(Skills!Q5,Inputs!$B$37))),0)</f>
        <v/>
      </c>
      <c r="P555">
        <f>IF(B584=0,0,O555/B584)</f>
        <v/>
      </c>
      <c r="S555">
        <f>IF(AND(Inputs!$B$4&lt;&gt;"pvp",Inputs!$B$35&gt;0),(INT(Inputs!$B$35/IF(Inputs!$B$4="pvp",15,MAX(0.1,Skills!D5-IF(Skills!E5=TRUE,Inputs!$B$31,0))))+1),0)</f>
        <v/>
      </c>
      <c r="V555">
        <f>IFERROR(1/IF(Inputs!$B$4="pvp",15,MAX(0.1,Skills!D5-IF(Skills!E5=TRUE,Inputs!$B$31,0))),0)</f>
        <v/>
      </c>
    </row>
    <row r="556">
      <c r="A556">
        <f>Skills!A6</f>
        <v/>
      </c>
      <c r="B556">
        <f>Skills!B6</f>
        <v/>
      </c>
      <c r="C556">
        <f>Inputs!$B$3&gt;=63</f>
        <v/>
      </c>
      <c r="D556">
        <f>IF(Skills!C6=1,60+Inputs!$B$24+Inputs!$B$28,IF(Skills!C6=2,90+Inputs!$B$25+Inputs!$B$28,IF(Skills!C6=3,120+Inputs!$B$26+Inputs!$B$28,MAX(0,(Inputs!$B$3-100)*3)+Inputs!$B$27+Inputs!$B$28)))</f>
        <v/>
      </c>
      <c r="E556">
        <f>INDEX(FactorTable!$B$2:$Y$301, MATCH(ROUND(MIN(300,MAX(1,D556)),0), FactorTable!$A$2:$A$301,0), Skills!L6+1)</f>
        <v/>
      </c>
      <c r="F556">
        <f>IF(Skills!M6=TRUE,(Skills!K6/10)*(E556/1000),Skills!K6/10)+Skills!N6</f>
        <v/>
      </c>
      <c r="G556">
        <f>Calc!G6</f>
        <v/>
      </c>
      <c r="H556">
        <f>Calc!H6</f>
        <v/>
      </c>
      <c r="I556">
        <f>IF(Skills!T6&lt;&gt;"",1+(Skills!T6/10)*(R553/1000)/100,1)</f>
        <v/>
      </c>
      <c r="J556">
        <f>((Inputs!$B$5*(1+Inputs!$B$6/100))+((Inputs!$B$11*(1+Inputs!$B$12/100))-(Inputs!$B$11*(1+Inputs!$B$12/100)))*(1+Inputs!$B$6/100))*(F556/100)</f>
        <v/>
      </c>
      <c r="K556">
        <f>J556*(1+((Inputs!$B$11*(1+Inputs!$B$12/100))*0.01+Inputs!$B$13*0.0025)/100)*(1+(Inputs!$B$14+B578)/100)*(1+IF(Inputs!$B$4="pvp",0,(1-Summary!$B$51)*(Inputs!$B$19+Skills!O6+B577)+Summary!$B$51*(Inputs!$B$20+Skills!P6+B577))/100)*(1+Inputs!$B$15/100)*(5000/(6000+Inputs!$B$7*(1-Inputs!$B$18/100)))*(1+Inputs!$B$23/100)*(1+IF(C565=TRUE,F565,0)/100)*(1+IF(C573=TRUE,F573,0)/100)^5*(1+(IF(Skills!A6="CHAIN_LIGHTNING",Inputs!$B$16,(Inputs!$B$17+1)))/100)*(B576*I556)</f>
        <v/>
      </c>
      <c r="L556">
        <f>K556*(MIN(Inputs!$B$21+(F568-Calc!F18),Inputs!$B$22)/100+Inputs!$B$22/100)/2</f>
        <v/>
      </c>
      <c r="M556">
        <f>L556*(1+(Inputs!$B$9+(F571-Calc!F21))/100)</f>
        <v/>
      </c>
      <c r="N556">
        <f>L556*(1-MIN(Inputs!$B$8+((F570-Calc!F20)+(F569-Calc!F19)),100)/100)+M556*(MIN(Inputs!$B$8+((F570-Calc!F20)+(F569-Calc!F19)),100)/100)</f>
        <v/>
      </c>
      <c r="O556">
        <f>IF(C556,H556*N556*IF(AND(Inputs!$B$4&lt;&gt;"pvp",Inputs!$B$35&gt;0),((Skills!F6*((S556-1)*IF(Skills!G6&gt;0,Skills!H6/Skills!G6,1)+IF(Skills!G6&gt;0,MIN(Skills!H6,MAX(0,Inputs!$B$35-((S556-1)*IF(Inputs!$B$4="pvp",15,MAX(0.1,Skills!D6-IF(Skills!E6=TRUE,Inputs!$B$31,0))))))/Skills!G6,1)))/Inputs!$B$35),G556*V556)*IF(Inputs!$B$4="pvp",1,(1-Summary!$B$51)*(1)+Summary!$B$51*(MIN(Skills!Q6,Inputs!$B$37))),0)</f>
        <v/>
      </c>
      <c r="P556">
        <f>IF(B584=0,0,O556/B584)</f>
        <v/>
      </c>
      <c r="S556">
        <f>IF(AND(Inputs!$B$4&lt;&gt;"pvp",Inputs!$B$35&gt;0),(INT(Inputs!$B$35/IF(Inputs!$B$4="pvp",15,MAX(0.1,Skills!D6-IF(Skills!E6=TRUE,Inputs!$B$31,0))))+1),0)</f>
        <v/>
      </c>
      <c r="V556">
        <f>IFERROR(1/IF(Inputs!$B$4="pvp",15,MAX(0.1,Skills!D6-IF(Skills!E6=TRUE,Inputs!$B$31,0))),0)</f>
        <v/>
      </c>
    </row>
    <row r="557">
      <c r="A557">
        <f>Skills!A7</f>
        <v/>
      </c>
      <c r="B557">
        <f>Skills!B7</f>
        <v/>
      </c>
      <c r="C557">
        <f>Inputs!$B$3&gt;=69</f>
        <v/>
      </c>
      <c r="D557">
        <f>IF(Skills!C7=1,60+Inputs!$B$24+Inputs!$B$28,IF(Skills!C7=2,90+Inputs!$B$25+Inputs!$B$28,IF(Skills!C7=3,120+Inputs!$B$26+Inputs!$B$28,MAX(0,(Inputs!$B$3-100)*3)+Inputs!$B$27+Inputs!$B$28)))</f>
        <v/>
      </c>
      <c r="E557">
        <f>INDEX(FactorTable!$B$2:$Y$301, MATCH(ROUND(MIN(300,MAX(1,D557)),0), FactorTable!$A$2:$A$301,0), Skills!L7+1)</f>
        <v/>
      </c>
      <c r="F557">
        <f>IF(Skills!M7=TRUE,(Skills!K7/10)*(E557/1000),Skills!K7/10)+Skills!N7</f>
        <v/>
      </c>
      <c r="G557">
        <f>Calc!G7</f>
        <v/>
      </c>
      <c r="H557">
        <f>Calc!H7</f>
        <v/>
      </c>
      <c r="I557">
        <f>IF(Skills!T7&lt;&gt;"",1+(Skills!T7/10)*(R553/1000)/100,1)</f>
        <v/>
      </c>
      <c r="J557">
        <f>((Inputs!$B$5*(1+Inputs!$B$6/100))+((Inputs!$B$11*(1+Inputs!$B$12/100))-(Inputs!$B$11*(1+Inputs!$B$12/100)))*(1+Inputs!$B$6/100))*(F557/100)</f>
        <v/>
      </c>
      <c r="K557">
        <f>J557*(1+((Inputs!$B$11*(1+Inputs!$B$12/100))*0.01+Inputs!$B$13*0.0025)/100)*(1+(Inputs!$B$14+B578)/100)*(1+IF(Inputs!$B$4="pvp",0,(1-Summary!$B$51)*(Inputs!$B$19+Skills!O7+B577)+Summary!$B$51*(Inputs!$B$20+Skills!P7+B577))/100)*(1+Inputs!$B$15/100)*(5000/(6000+Inputs!$B$7*(1-Inputs!$B$18/100)))*(1+Inputs!$B$23/100)*(1+IF(C565=TRUE,F565,0)/100)*(1+IF(C573=TRUE,F573,0)/100)^5*(1+(IF(Skills!A7="CHAIN_LIGHTNING",Inputs!$B$16,(Inputs!$B$17+1)))/100)*(B576*I557)</f>
        <v/>
      </c>
      <c r="L557">
        <f>K557*(MIN(Inputs!$B$21+(F568-Calc!F18),Inputs!$B$22)/100+Inputs!$B$22/100)/2</f>
        <v/>
      </c>
      <c r="M557">
        <f>L557*(1+(Inputs!$B$9+(F571-Calc!F21))/100)</f>
        <v/>
      </c>
      <c r="N557">
        <f>L557*(1-MIN(Inputs!$B$8+((F570-Calc!F20)+(F569-Calc!F19)),100)/100)+M557*(MIN(Inputs!$B$8+((F570-Calc!F20)+(F569-Calc!F19)),100)/100)</f>
        <v/>
      </c>
      <c r="O557">
        <f>IF(C557,H557*N557*IF(AND(Inputs!$B$4&lt;&gt;"pvp",Inputs!$B$35&gt;0),((Skills!F7*((S557-1)*IF(Skills!G7&gt;0,Skills!H7/Skills!G7,1)+IF(Skills!G7&gt;0,MIN(Skills!H7,MAX(0,Inputs!$B$35-((S557-1)*IF(Inputs!$B$4="pvp",15,MAX(0.1,Skills!D7-IF(Skills!E7=TRUE,Inputs!$B$31,0))))))/Skills!G7,1)))/Inputs!$B$35),G557*V557)*IF(Inputs!$B$4="pvp",1,(1-Summary!$B$51)*(1)+Summary!$B$51*(MIN(Skills!Q7,Inputs!$B$37))),0)</f>
        <v/>
      </c>
      <c r="P557">
        <f>IF(B584=0,0,O557/B584)</f>
        <v/>
      </c>
      <c r="S557">
        <f>IF(AND(Inputs!$B$4&lt;&gt;"pvp",Inputs!$B$35&gt;0),(INT(Inputs!$B$35/IF(Inputs!$B$4="pvp",15,MAX(0.1,Skills!D7-IF(Skills!E7=TRUE,Inputs!$B$31,0))))+1),0)</f>
        <v/>
      </c>
      <c r="V557">
        <f>IFERROR(1/IF(Inputs!$B$4="pvp",15,MAX(0.1,Skills!D7-IF(Skills!E7=TRUE,Inputs!$B$31,0))),0)</f>
        <v/>
      </c>
    </row>
    <row r="558">
      <c r="A558">
        <f>Skills!A8</f>
        <v/>
      </c>
      <c r="B558">
        <f>Skills!B8</f>
        <v/>
      </c>
      <c r="C558">
        <f>Inputs!$B$3&gt;=103</f>
        <v/>
      </c>
      <c r="D558">
        <f>IF(Skills!C8=1,60+Inputs!$B$24+Inputs!$B$28,IF(Skills!C8=2,90+Inputs!$B$25+Inputs!$B$28,IF(Skills!C8=3,120+Inputs!$B$26+Inputs!$B$28,MAX(0,(Inputs!$B$3-100)*3)+Inputs!$B$27+Inputs!$B$28)))</f>
        <v/>
      </c>
      <c r="E558">
        <f>INDEX(FactorTable!$B$2:$Y$301, MATCH(ROUND(MIN(300,MAX(1,D558)),0), FactorTable!$A$2:$A$301,0), Skills!L8+1)</f>
        <v/>
      </c>
      <c r="F558">
        <f>IF(Skills!M8=TRUE,(Skills!K8/10)*(E558/1000),Skills!K8/10)+Skills!N8</f>
        <v/>
      </c>
      <c r="G558">
        <f>Calc!G8</f>
        <v/>
      </c>
      <c r="H558">
        <f>Calc!H8</f>
        <v/>
      </c>
      <c r="I558">
        <f>IF(Skills!T8&lt;&gt;"",1+(Skills!T8/10)*(R553/1000)/100,1)</f>
        <v/>
      </c>
      <c r="J558">
        <f>((Inputs!$B$5*(1+Inputs!$B$6/100))+((Inputs!$B$11*(1+Inputs!$B$12/100))-(Inputs!$B$11*(1+Inputs!$B$12/100)))*(1+Inputs!$B$6/100))*(F558/100)</f>
        <v/>
      </c>
      <c r="K558">
        <f>J558*(1+((Inputs!$B$11*(1+Inputs!$B$12/100))*0.01+Inputs!$B$13*0.0025)/100)*(1+(Inputs!$B$14+B578)/100)*(1+IF(Inputs!$B$4="pvp",0,(1-Summary!$B$51)*(Inputs!$B$19+Skills!O8+B577)+Summary!$B$51*(Inputs!$B$20+Skills!P8+B577))/100)*(1+Inputs!$B$15/100)*(5000/(6000+Inputs!$B$7*(1-Inputs!$B$18/100)))*(1+Inputs!$B$23/100)*(1+IF(C565=TRUE,F565,0)/100)*(1+IF(C573=TRUE,F573,0)/100)^5*(1+(IF(Skills!A8="CHAIN_LIGHTNING",Inputs!$B$16,(Inputs!$B$17+1)))/100)*(B576*I558)</f>
        <v/>
      </c>
      <c r="L558">
        <f>K558*(MIN(Inputs!$B$21+(F568-Calc!F18),Inputs!$B$22)/100+Inputs!$B$22/100)/2</f>
        <v/>
      </c>
      <c r="M558">
        <f>L558*(1+(Inputs!$B$9+(F571-Calc!F21))/100)</f>
        <v/>
      </c>
      <c r="N558">
        <f>L558*(1-MIN(Inputs!$B$8+((F570-Calc!F20)+(F569-Calc!F19)),100)/100)+M558*(MIN(Inputs!$B$8+((F570-Calc!F20)+(F569-Calc!F19)),100)/100)</f>
        <v/>
      </c>
      <c r="O558">
        <f>IF(C558,H558*N558*IF(AND(Inputs!$B$4&lt;&gt;"pvp",Inputs!$B$35&gt;0),((Skills!F8*((S558-1)*IF(Skills!G8&gt;0,Skills!H8/Skills!G8,1)+IF(Skills!G8&gt;0,MIN(Skills!H8,MAX(0,Inputs!$B$35-((S558-1)*IF(Inputs!$B$4="pvp",15,MAX(0.1,Skills!D8-IF(Skills!E8=TRUE,Inputs!$B$31,0))))))/Skills!G8,1)))/Inputs!$B$35),G558*V558)*IF(Inputs!$B$4="pvp",1,(1-Summary!$B$51)*(1)+Summary!$B$51*(MIN(Skills!Q8,Inputs!$B$37))),0)</f>
        <v/>
      </c>
      <c r="P558">
        <f>IF(B584=0,0,O558/B584)</f>
        <v/>
      </c>
      <c r="S558">
        <f>IF(AND(Inputs!$B$4&lt;&gt;"pvp",Inputs!$B$35&gt;0),(INT(Inputs!$B$35/IF(Inputs!$B$4="pvp",15,MAX(0.1,Skills!D8-IF(Skills!E8=TRUE,Inputs!$B$31,0))))+1),0)</f>
        <v/>
      </c>
      <c r="V558">
        <f>IFERROR(1/IF(Inputs!$B$4="pvp",15,MAX(0.1,Skills!D8-IF(Skills!E8=TRUE,Inputs!$B$31,0))),0)</f>
        <v/>
      </c>
    </row>
    <row r="559">
      <c r="A559">
        <f>Skills!A9</f>
        <v/>
      </c>
      <c r="B559">
        <f>Skills!B9</f>
        <v/>
      </c>
      <c r="C559">
        <f>Inputs!$B$3&gt;=105</f>
        <v/>
      </c>
      <c r="D559">
        <f>IF(Skills!C9=1,60+Inputs!$B$24+Inputs!$B$28,IF(Skills!C9=2,90+Inputs!$B$25+Inputs!$B$28,IF(Skills!C9=3,120+Inputs!$B$26+Inputs!$B$28,MAX(0,(Inputs!$B$3-100)*3)+Inputs!$B$27+Inputs!$B$28)))</f>
        <v/>
      </c>
      <c r="E559">
        <f>INDEX(FactorTable!$B$2:$Y$301, MATCH(ROUND(MIN(300,MAX(1,D559)),0), FactorTable!$A$2:$A$301,0), Skills!L9+1)</f>
        <v/>
      </c>
      <c r="F559">
        <f>IF(Skills!M9=TRUE,(Skills!K9/10)*(E559/1000),Skills!K9/10)+Skills!N9</f>
        <v/>
      </c>
      <c r="G559">
        <f>Calc!G9</f>
        <v/>
      </c>
      <c r="H559">
        <f>Calc!H9</f>
        <v/>
      </c>
      <c r="I559">
        <f>IF(Skills!T9&lt;&gt;"",1+(Skills!T9/10)*(R553/1000)/100,1)</f>
        <v/>
      </c>
      <c r="J559">
        <f>((Inputs!$B$5*(1+Inputs!$B$6/100))+((Inputs!$B$11*(1+Inputs!$B$12/100))-(Inputs!$B$11*(1+Inputs!$B$12/100)))*(1+Inputs!$B$6/100))*(F559/100)</f>
        <v/>
      </c>
      <c r="K559">
        <f>J559*(1+((Inputs!$B$11*(1+Inputs!$B$12/100))*0.01+Inputs!$B$13*0.0025)/100)*(1+(Inputs!$B$14+B578)/100)*(1+IF(Inputs!$B$4="pvp",0,(1-Summary!$B$51)*(Inputs!$B$19+Skills!O9+B577)+Summary!$B$51*(Inputs!$B$20+Skills!P9+B577))/100)*(1+Inputs!$B$15/100)*(5000/(6000+Inputs!$B$7*(1-Inputs!$B$18/100)))*(1+Inputs!$B$23/100)*(1+IF(C565=TRUE,F565,0)/100)*(1+IF(C573=TRUE,F573,0)/100)^5*(1+(IF(Skills!A9="CHAIN_LIGHTNING",Inputs!$B$16,(Inputs!$B$17+1)))/100)*(B576*I559)</f>
        <v/>
      </c>
      <c r="L559">
        <f>K559*(MIN(Inputs!$B$21+(F568-Calc!F18),Inputs!$B$22)/100+Inputs!$B$22/100)/2</f>
        <v/>
      </c>
      <c r="M559">
        <f>L559*(1+(Inputs!$B$9+(F571-Calc!F21))/100)</f>
        <v/>
      </c>
      <c r="N559">
        <f>L559*(1-MIN(Inputs!$B$8+((F570-Calc!F20)+(F569-Calc!F19)),100)/100)+M559*(MIN(Inputs!$B$8+((F570-Calc!F20)+(F569-Calc!F19)),100)/100)</f>
        <v/>
      </c>
      <c r="O559">
        <f>IF(C559,H559*N559*IF(AND(Inputs!$B$4&lt;&gt;"pvp",Inputs!$B$35&gt;0),((Skills!F9*((S559-1)*IF(Skills!G9&gt;0,Skills!H9/Skills!G9,1)+IF(Skills!G9&gt;0,MIN(Skills!H9,MAX(0,Inputs!$B$35-((S559-1)*IF(Inputs!$B$4="pvp",15,MAX(0.1,Skills!D9-IF(Skills!E9=TRUE,Inputs!$B$31,0))))))/Skills!G9,1)))/Inputs!$B$35),G559*V559)*IF(Inputs!$B$4="pvp",1,(1-Summary!$B$51)*(1)+Summary!$B$51*(MIN(Skills!Q9,Inputs!$B$37))),0)</f>
        <v/>
      </c>
      <c r="P559">
        <f>IF(B584=0,0,O559/B584)</f>
        <v/>
      </c>
      <c r="S559">
        <f>IF(AND(Inputs!$B$4&lt;&gt;"pvp",Inputs!$B$35&gt;0),(INT(Inputs!$B$35/IF(Inputs!$B$4="pvp",15,MAX(0.1,Skills!D9-IF(Skills!E9=TRUE,Inputs!$B$31,0))))+1),0)</f>
        <v/>
      </c>
      <c r="V559">
        <f>IFERROR(1/IF(Inputs!$B$4="pvp",15,MAX(0.1,Skills!D9-IF(Skills!E9=TRUE,Inputs!$B$31,0))),0)</f>
        <v/>
      </c>
    </row>
    <row r="560">
      <c r="A560">
        <f>Skills!A10</f>
        <v/>
      </c>
      <c r="B560">
        <f>Skills!B10</f>
        <v/>
      </c>
      <c r="C560">
        <f>Inputs!$B$3&gt;=113</f>
        <v/>
      </c>
      <c r="D560">
        <f>IF(Skills!C10=1,60+Inputs!$B$24+Inputs!$B$28,IF(Skills!C10=2,90+Inputs!$B$25+Inputs!$B$28,IF(Skills!C10=3,120+Inputs!$B$26+Inputs!$B$28,MAX(0,(Inputs!$B$3-100)*3)+Inputs!$B$27+Inputs!$B$28)))</f>
        <v/>
      </c>
      <c r="E560">
        <f>INDEX(FactorTable!$B$2:$Y$301, MATCH(ROUND(MIN(300,MAX(1,D560)),0), FactorTable!$A$2:$A$301,0), Skills!L10+1)</f>
        <v/>
      </c>
      <c r="F560">
        <f>IF(Skills!M10=TRUE,(Skills!K10/10)*(E560/1000),Skills!K10/10)+Skills!N10</f>
        <v/>
      </c>
      <c r="G560">
        <f>Calc!G10</f>
        <v/>
      </c>
      <c r="H560">
        <f>Calc!H10</f>
        <v/>
      </c>
      <c r="I560">
        <f>IF(Skills!T10&lt;&gt;"",1+(Skills!T10/10)*(R553/1000)/100,1)</f>
        <v/>
      </c>
      <c r="J560">
        <f>((Inputs!$B$5*(1+Inputs!$B$6/100))+((Inputs!$B$11*(1+Inputs!$B$12/100))-(Inputs!$B$11*(1+Inputs!$B$12/100)))*(1+Inputs!$B$6/100))*(F560/100)</f>
        <v/>
      </c>
      <c r="K560">
        <f>J560*(1+((Inputs!$B$11*(1+Inputs!$B$12/100))*0.01+Inputs!$B$13*0.0025)/100)*(1+(Inputs!$B$14+B578)/100)*(1+IF(Inputs!$B$4="pvp",0,(1-Summary!$B$51)*(Inputs!$B$19+Skills!O10+B577)+Summary!$B$51*(Inputs!$B$20+Skills!P10+B577))/100)*(1+Inputs!$B$15/100)*(5000/(6000+Inputs!$B$7*(1-Inputs!$B$18/100)))*(1+Inputs!$B$23/100)*(1+IF(C565=TRUE,F565,0)/100)*(1+IF(C573=TRUE,F573,0)/100)^5*(1+(IF(Skills!A10="CHAIN_LIGHTNING",Inputs!$B$16,(Inputs!$B$17+1)))/100)*(B576*I560)</f>
        <v/>
      </c>
      <c r="L560">
        <f>K560*(MIN(Inputs!$B$21+(F568-Calc!F18),Inputs!$B$22)/100+Inputs!$B$22/100)/2</f>
        <v/>
      </c>
      <c r="M560">
        <f>L560*(1+(Inputs!$B$9+(F571-Calc!F21))/100)</f>
        <v/>
      </c>
      <c r="N560">
        <f>L560*(1-MIN(Inputs!$B$8+((F570-Calc!F20)+(F569-Calc!F19)),100)/100)+M560*(MIN(Inputs!$B$8+((F570-Calc!F20)+(F569-Calc!F19)),100)/100)</f>
        <v/>
      </c>
      <c r="O560">
        <f>IF(C560,H560*N560*IF(AND(Inputs!$B$4&lt;&gt;"pvp",Inputs!$B$35&gt;0),((Skills!F10*((S560-1)*IF(Skills!G10&gt;0,Skills!H10/Skills!G10,1)+IF(Skills!G10&gt;0,MIN(Skills!H10,MAX(0,Inputs!$B$35-((S560-1)*IF(Inputs!$B$4="pvp",15,MAX(0.1,Skills!D10-IF(Skills!E9=TRUE,Inputs!$B$31,0))))))/Skills!G10,1)))/Inputs!$B$35),G560*V560)*IF(Inputs!$B$4="pvp",1,(1-Summary!$B$51)*(1)+Summary!$B$51*(MIN(Skills!Q10,Inputs!$B$37))),0)</f>
        <v/>
      </c>
      <c r="P560">
        <f>IF(B584=0,0,O560/B584)</f>
        <v/>
      </c>
      <c r="S560">
        <f>IF(AND(Inputs!$B$4&lt;&gt;"pvp",Inputs!$B$35&gt;0),(INT(Inputs!$B$35/IF(Inputs!$B$4="pvp",15,MAX(0.1,Skills!D10-IF(Skills!E9=TRUE,Inputs!$B$31,0))))+1),0)</f>
        <v/>
      </c>
      <c r="V560">
        <f>IFERROR(1/IF(Inputs!$B$4="pvp",15,MAX(0.1,Skills!D10-IF(Skills!E9=TRUE,Inputs!$B$31,0))),0)</f>
        <v/>
      </c>
    </row>
    <row r="561">
      <c r="A561">
        <f>Skills!A11</f>
        <v/>
      </c>
      <c r="B561">
        <f>Skills!B11</f>
        <v/>
      </c>
      <c r="C561">
        <f>Inputs!$B$3&gt;=107</f>
        <v/>
      </c>
      <c r="D561">
        <f>IF(Skills!C11=1,60+Inputs!$B$24+Inputs!$B$28,IF(Skills!C11=2,90+Inputs!$B$25+Inputs!$B$28,IF(Skills!C11=3,120+Inputs!$B$26+Inputs!$B$28,MAX(0,(Inputs!$B$3-100)*3)+Inputs!$B$27+Inputs!$B$28)))</f>
        <v/>
      </c>
      <c r="E561">
        <f>INDEX(FactorTable!$B$2:$Y$301, MATCH(ROUND(MIN(300,MAX(1,D561)),0), FactorTable!$A$2:$A$301,0), Skills!L11+1)</f>
        <v/>
      </c>
      <c r="F561">
        <f>IF(Skills!M11=TRUE,(Skills!K11/10)*(E561/1000),Skills!K11/10)+Skills!N11</f>
        <v/>
      </c>
      <c r="G561">
        <f>Calc!G11</f>
        <v/>
      </c>
      <c r="H561">
        <f>Calc!H11</f>
        <v/>
      </c>
      <c r="I561">
        <f>IF(Skills!T11&lt;&gt;"",1+(Skills!T11/10)*(R553/1000)/100,1)</f>
        <v/>
      </c>
      <c r="J561">
        <f>((Inputs!$B$5*(1+Inputs!$B$6/100))+((Inputs!$B$11*(1+Inputs!$B$12/100))-(Inputs!$B$11*(1+Inputs!$B$12/100)))*(1+Inputs!$B$6/100))*(F561/100)</f>
        <v/>
      </c>
      <c r="K561">
        <f>J561*(1+((Inputs!$B$11*(1+Inputs!$B$12/100))*0.01+Inputs!$B$13*0.0025)/100)*(1+(Inputs!$B$14+B578)/100)*(1+IF(Inputs!$B$4="pvp",0,(1-Summary!$B$51)*(Inputs!$B$19+Skills!O11+B577)+Summary!$B$51*(Inputs!$B$20+Skills!P11+B577))/100)*(1+Inputs!$B$15/100)*(5000/(6000+Inputs!$B$7*(1-Inputs!$B$18/100)))*(1+Inputs!$B$23/100)*(1+IF(C565=TRUE,F565,0)/100)*(1+IF(C573=TRUE,F573,0)/100)^5*(1+(IF(Skills!A11="CHAIN_LIGHTNING",Inputs!$B$16,(Inputs!$B$17+1)))/100)*(B576*I561)</f>
        <v/>
      </c>
      <c r="L561">
        <f>K561*(MIN(Inputs!$B$21+(F568-Calc!F18),Inputs!$B$22)/100+Inputs!$B$22/100)/2</f>
        <v/>
      </c>
      <c r="M561">
        <f>L561*(1+(Inputs!$B$9+(F571-Calc!F21))/100)</f>
        <v/>
      </c>
      <c r="N561">
        <f>L561*(1-MIN(Inputs!$B$8+((F570-Calc!F20)+(F569-Calc!F19)),100)/100)+M561*(MIN(Inputs!$B$8+((F570-Calc!F20)+(F569-Calc!F19)),100)/100)</f>
        <v/>
      </c>
      <c r="O561">
        <f>IF(C561,H561*N561*IF(AND(Inputs!$B$4&lt;&gt;"pvp",Inputs!$B$35&gt;0),((Skills!F11*((S561-1)*IF(Skills!G11&gt;0,Skills!H11/Skills!G11,1)+IF(Skills!G11&gt;0,MIN(Skills!H11,MAX(0,Inputs!$B$35-((S561-1)*IF(Inputs!$B$4="pvp",15,MAX(0.1,Skills!D11-IF(Skills!E11=TRUE,Inputs!$B$31,0))))))/Skills!G11,1)))/Inputs!$B$35),G561*V561)*IF(Inputs!$B$4="pvp",0.5,(1-Summary!$B$51)*0.5+Summary!$B$51*1)*IF(Inputs!$B$4="pvp",1,(1-Summary!$B$51)*(1)+Summary!$B$51*(MIN(Skills!Q11,Inputs!$B$37))),0)</f>
        <v/>
      </c>
      <c r="P561">
        <f>IF(B584=0,0,O561/B584)</f>
        <v/>
      </c>
      <c r="S561">
        <f>IF(AND(Inputs!$B$4&lt;&gt;"pvp",Inputs!$B$35&gt;0),(INT(Inputs!$B$35/IF(Inputs!$B$4="pvp",15,MAX(0.1,Skills!D11-IF(Skills!E11=TRUE,Inputs!$B$31,0))))+1),0)</f>
        <v/>
      </c>
      <c r="V561">
        <f>IFERROR(1/IF(Inputs!$B$4="pvp",15,MAX(0.1,Skills!D11-IF(Skills!E11=TRUE,Inputs!$B$31,0))),0)</f>
        <v/>
      </c>
    </row>
    <row r="562">
      <c r="A562">
        <f>Skills!A12</f>
        <v/>
      </c>
      <c r="B562">
        <f>Skills!B12</f>
        <v/>
      </c>
      <c r="C562">
        <f>Inputs!$B$3&gt;=115</f>
        <v/>
      </c>
      <c r="D562">
        <f>IF(Skills!C12=1,60+Inputs!$B$24+Inputs!$B$28,IF(Skills!C12=2,90+Inputs!$B$25+Inputs!$B$28,IF(Skills!C12=3,120+Inputs!$B$26+Inputs!$B$28,MAX(0,(Inputs!$B$3-100)*3)+Inputs!$B$27+Inputs!$B$28)))</f>
        <v/>
      </c>
      <c r="E562">
        <f>INDEX(FactorTable!$B$2:$Y$301, MATCH(ROUND(MIN(300,MAX(1,D562)),0), FactorTable!$A$2:$A$301,0), Skills!L12+1)</f>
        <v/>
      </c>
      <c r="F562">
        <f>IF(Skills!M12=TRUE,(Skills!K12/10)*(E562/1000),Skills!K12/10)+Skills!N12</f>
        <v/>
      </c>
      <c r="G562">
        <f>Calc!G12</f>
        <v/>
      </c>
      <c r="H562">
        <f>Calc!H12</f>
        <v/>
      </c>
      <c r="I562">
        <f>IF(Skills!T12&lt;&gt;"",1+(Skills!T12/10)*(R553/1000)/100,1)</f>
        <v/>
      </c>
      <c r="J562">
        <f>((Inputs!$B$5*(1+Inputs!$B$6/100))+((Inputs!$B$11*(1+Inputs!$B$12/100))-(Inputs!$B$11*(1+Inputs!$B$12/100)))*(1+Inputs!$B$6/100))*(F562/100)</f>
        <v/>
      </c>
      <c r="K562">
        <f>J562*(1+((Inputs!$B$11*(1+Inputs!$B$12/100))*0.01+Inputs!$B$13*0.0025)/100)*(1+(Inputs!$B$14+B578)/100)*(1+IF(Inputs!$B$4="pvp",0,(1-Summary!$B$51)*(Inputs!$B$19+Skills!O12+B577)+Summary!$B$51*(Inputs!$B$20+Skills!P12+B577))/100)*(1+Inputs!$B$15/100)*(5000/(6000+Inputs!$B$7*(1-Inputs!$B$18/100)))*(1+Inputs!$B$23/100)*(1+IF(C565=TRUE,F565,0)/100)*(1+IF(C573=TRUE,F573,0)/100)^5*(1+(IF(Skills!A12="CHAIN_LIGHTNING",Inputs!$B$16,(Inputs!$B$17+1)))/100)*(B576*I562)</f>
        <v/>
      </c>
      <c r="L562">
        <f>K562*(MIN(Inputs!$B$21+(F568-Calc!F18),Inputs!$B$22)/100+Inputs!$B$22/100)/2</f>
        <v/>
      </c>
      <c r="M562">
        <f>L562*(1+(Inputs!$B$9+(F571-Calc!F21))/100)</f>
        <v/>
      </c>
      <c r="N562">
        <f>L562*(1-MIN(Inputs!$B$8+((F570-Calc!F20)+(F569-Calc!F19)),100)/100)+M562*(MIN(Inputs!$B$8+((F570-Calc!F20)+(F569-Calc!F19)),100)/100)</f>
        <v/>
      </c>
      <c r="O562">
        <f>IF(C562,H562*N562*IF(AND(Inputs!$B$4&lt;&gt;"pvp",Inputs!$B$35&gt;0),((Skills!F12*((S562-1)*IF(Skills!G12&gt;0,Skills!H12/Skills!G12,1)+IF(Skills!G12&gt;0,MIN(Skills!H12,MAX(0,Inputs!$B$35-((S562-1)*IF(Inputs!$B$4="pvp",15,MAX(0.1,Skills!D12-IF(Skills!E12=TRUE,Inputs!$B$31,0))))))/Skills!G12,1)))/Inputs!$B$35),G562*V562)*IF(Inputs!$B$4="pvp",1,(1-Summary!$B$51)*(1)+Summary!$B$51*(MIN(Skills!Q12,Inputs!$B$37))),0)</f>
        <v/>
      </c>
      <c r="P562">
        <f>IF(B584=0,0,O562/B584)</f>
        <v/>
      </c>
      <c r="S562">
        <f>IF(AND(Inputs!$B$4&lt;&gt;"pvp",Inputs!$B$35&gt;0),(INT(Inputs!$B$35/IF(Inputs!$B$4="pvp",15,MAX(0.1,Skills!D12-IF(Skills!E12=TRUE,Inputs!$B$31,0))))+1),0)</f>
        <v/>
      </c>
      <c r="V562">
        <f>IFERROR(1/IF(Inputs!$B$4="pvp",15,MAX(0.1,Skills!D12-IF(Skills!E12=TRUE,Inputs!$B$31,0))),0)</f>
        <v/>
      </c>
    </row>
    <row r="563">
      <c r="A563">
        <f>Skills!A13</f>
        <v/>
      </c>
      <c r="B563">
        <f>Skills!B13</f>
        <v/>
      </c>
      <c r="C563">
        <f>Inputs!$B$3&gt;=49</f>
        <v/>
      </c>
      <c r="D563">
        <f>IF(Skills!C13=1,60+Inputs!$B$24+Inputs!$B$28,IF(Skills!C13=2,90+Inputs!$B$25+Inputs!$B$28,IF(Skills!C13=3,120+Inputs!$B$26+Inputs!$B$28,MAX(0,(Inputs!$B$3-100)*3)+Inputs!$B$27+Inputs!$B$28)))</f>
        <v/>
      </c>
      <c r="E563">
        <f>INDEX(FactorTable!$B$2:$Y$301, MATCH(ROUND(MIN(300,MAX(1,D563)),0), FactorTable!$A$2:$A$301,0), Skills!L13+1)</f>
        <v/>
      </c>
      <c r="F563">
        <f>IF(Skills!M13=TRUE,(Skills!K13/10)*(E563/1000),Skills!K13/10)+Skills!N13</f>
        <v/>
      </c>
      <c r="G563">
        <f>Calc!G13</f>
        <v/>
      </c>
      <c r="H563">
        <f>Calc!H13</f>
        <v/>
      </c>
      <c r="I563">
        <f>IF(Skills!T13&lt;&gt;"",1+(Skills!T13/10)*(R553/1000)/100,1)</f>
        <v/>
      </c>
      <c r="J563" t="inlineStr"/>
      <c r="K563" t="inlineStr"/>
      <c r="L563" t="inlineStr"/>
      <c r="M563" t="inlineStr"/>
      <c r="N563" t="inlineStr"/>
      <c r="O563" t="n">
        <v>0</v>
      </c>
      <c r="P563">
        <f>IF(B584=0,0,O563/B584)</f>
        <v/>
      </c>
      <c r="S563" t="n">
        <v>0</v>
      </c>
      <c r="V563">
        <f>IFERROR(1/IF(Inputs!$B$4="pvp",15,MAX(0.1,Skills!D13-IF(Skills!E13=TRUE,Inputs!$B$31,0))),0)</f>
        <v/>
      </c>
    </row>
    <row r="564">
      <c r="A564">
        <f>Skills!A14</f>
        <v/>
      </c>
      <c r="B564">
        <f>Skills!B14</f>
        <v/>
      </c>
      <c r="C564">
        <f>Inputs!$B$3&gt;=72</f>
        <v/>
      </c>
      <c r="D564">
        <f>IF(Skills!C14=1,60+Inputs!$B$24+Inputs!$B$28,IF(Skills!C14=2,90+Inputs!$B$25+Inputs!$B$28,IF(Skills!C14=3,120+Inputs!$B$26+Inputs!$B$28,MAX(0,(Inputs!$B$3-100)*3)+Inputs!$B$27+Inputs!$B$28)))</f>
        <v/>
      </c>
      <c r="E564">
        <f>INDEX(FactorTable!$B$2:$Y$301, MATCH(ROUND(MIN(300,MAX(1,D564)),0), FactorTable!$A$2:$A$301,0), Skills!L14+1)</f>
        <v/>
      </c>
      <c r="F564">
        <f>IF(Skills!M14=TRUE,(Skills!K14/10)*(E564/1000),Skills!K14/10)+Skills!N14</f>
        <v/>
      </c>
      <c r="G564">
        <f>Calc!G14</f>
        <v/>
      </c>
      <c r="H564">
        <f>Calc!H14</f>
        <v/>
      </c>
      <c r="I564">
        <f>IF(Skills!T14&lt;&gt;"",1+(Skills!T14/10)*(R553/1000)/100,1)</f>
        <v/>
      </c>
      <c r="J564" t="inlineStr"/>
      <c r="K564" t="inlineStr"/>
      <c r="L564" t="inlineStr"/>
      <c r="M564" t="inlineStr"/>
      <c r="N564" t="inlineStr"/>
      <c r="O564" t="n">
        <v>0</v>
      </c>
      <c r="P564">
        <f>IF(B584=0,0,O564/B584)</f>
        <v/>
      </c>
      <c r="S564" t="n">
        <v>0</v>
      </c>
      <c r="V564">
        <f>IFERROR(1/IF(Inputs!$B$4="pvp",15,MAX(0.1,Skills!D14-IF(Skills!E14=TRUE,Inputs!$B$31,0))),0)</f>
        <v/>
      </c>
    </row>
    <row r="565">
      <c r="A565">
        <f>Skills!A15</f>
        <v/>
      </c>
      <c r="B565">
        <f>Skills!B15</f>
        <v/>
      </c>
      <c r="C565">
        <f>Inputs!$B$3&gt;=75</f>
        <v/>
      </c>
      <c r="D565">
        <f>IF(Skills!C15=1,60+Inputs!$B$24+Inputs!$B$28,IF(Skills!C15=2,90+Inputs!$B$25+Inputs!$B$28,IF(Skills!C15=3,120+Inputs!$B$26+Inputs!$B$28,MAX(0,(Inputs!$B$3-100)*3)+Inputs!$B$27+Inputs!$B$28)))</f>
        <v/>
      </c>
      <c r="E565">
        <f>INDEX(FactorTable!$B$2:$Y$301, MATCH(ROUND(MIN(300,MAX(1,D565)),0), FactorTable!$A$2:$A$301,0), Skills!L15+1)</f>
        <v/>
      </c>
      <c r="F565">
        <f>IF(Skills!M15=TRUE,(Skills!K15/10)*(E565/1000),Skills!K15/10)+Skills!N15</f>
        <v/>
      </c>
      <c r="G565">
        <f>Calc!G15</f>
        <v/>
      </c>
      <c r="H565">
        <f>Calc!H15</f>
        <v/>
      </c>
      <c r="I565">
        <f>IF(Skills!T15&lt;&gt;"",1+(Skills!T15/10)*(R553/1000)/100,1)</f>
        <v/>
      </c>
      <c r="J565" t="inlineStr"/>
      <c r="K565" t="inlineStr"/>
      <c r="L565" t="inlineStr"/>
      <c r="M565" t="inlineStr"/>
      <c r="N565" t="inlineStr"/>
      <c r="O565" t="n">
        <v>0</v>
      </c>
      <c r="P565">
        <f>IF(B584=0,0,O565/B584)</f>
        <v/>
      </c>
      <c r="S565" t="n">
        <v>0</v>
      </c>
      <c r="V565">
        <f>IFERROR(1/IF(Inputs!$B$4="pvp",15,MAX(0.1,Skills!D15-IF(Skills!E15=TRUE,Inputs!$B$31,0))),0)</f>
        <v/>
      </c>
    </row>
    <row r="566">
      <c r="A566">
        <f>Skills!A16</f>
        <v/>
      </c>
      <c r="B566">
        <f>Skills!B16</f>
        <v/>
      </c>
      <c r="C566">
        <f>Inputs!$B$3&gt;=110</f>
        <v/>
      </c>
      <c r="D566">
        <f>IF(Skills!C16=1,60+Inputs!$B$24+Inputs!$B$28,IF(Skills!C16=2,90+Inputs!$B$25+Inputs!$B$28,IF(Skills!C16=3,120+Inputs!$B$26+Inputs!$B$28,MAX(0,(Inputs!$B$3-100)*3)+Inputs!$B$27+Inputs!$B$28)))</f>
        <v/>
      </c>
      <c r="E566">
        <f>INDEX(FactorTable!$B$2:$Y$301, MATCH(ROUND(MIN(300,MAX(1,D566)),0), FactorTable!$A$2:$A$301,0), Skills!L16+1)</f>
        <v/>
      </c>
      <c r="F566">
        <f>(Skills!K16/10)*(E566/1000)*64/45+Skills!N16</f>
        <v/>
      </c>
      <c r="G566">
        <f>Calc!G16</f>
        <v/>
      </c>
      <c r="H566">
        <f>Calc!H16</f>
        <v/>
      </c>
      <c r="I566">
        <f>IF(Skills!T16&lt;&gt;"",1+(Skills!T16/10)*(R553/1000)/100,1)</f>
        <v/>
      </c>
      <c r="J566" t="inlineStr"/>
      <c r="K566" t="inlineStr"/>
      <c r="L566" t="inlineStr"/>
      <c r="M566" t="inlineStr"/>
      <c r="N566" t="inlineStr"/>
      <c r="O566" t="n">
        <v>0</v>
      </c>
      <c r="P566">
        <f>IF(B584=0,0,O566/B584)</f>
        <v/>
      </c>
      <c r="S566">
        <f>IF(AND(Inputs!$B$4&lt;&gt;"pvp",Inputs!$B$35&gt;0),(INT(Inputs!$B$35/IF(Inputs!$B$4="pvp",15,MAX(0.1,Skills!D16-IF(Skills!E16=TRUE,Inputs!$B$31,0))))+1),0)</f>
        <v/>
      </c>
      <c r="V566">
        <f>IFERROR(1/IF(Inputs!$B$4="pvp",15,MAX(0.1,Skills!D16-IF(Skills!E16=TRUE,Inputs!$B$31,0))),0)</f>
        <v/>
      </c>
    </row>
    <row r="567">
      <c r="A567">
        <f>Skills!A17</f>
        <v/>
      </c>
      <c r="B567">
        <f>Skills!B17</f>
        <v/>
      </c>
      <c r="C567">
        <f>Inputs!$B$3&gt;=33</f>
        <v/>
      </c>
      <c r="D567">
        <f>IF(Skills!C17=1,60+Inputs!$B$24+Inputs!$B$28,IF(Skills!C17=2,90+Inputs!$B$25+Inputs!$B$28,IF(Skills!C17=3,120+Inputs!$B$26+Inputs!$B$28,MAX(0,(Inputs!$B$3-100)*3)+Inputs!$B$27+Inputs!$B$28)))</f>
        <v/>
      </c>
      <c r="E567">
        <f>INDEX(FactorTable!$B$2:$Y$301, MATCH(ROUND(MIN(300,MAX(1,D567)),0), FactorTable!$A$2:$A$301,0), Skills!L17+1)</f>
        <v/>
      </c>
      <c r="F567">
        <f>IF(Skills!M17=TRUE,(Skills!K17/10)*(E567/1000),Skills!K17/10)+Skills!N17</f>
        <v/>
      </c>
      <c r="G567">
        <f>Calc!G17</f>
        <v/>
      </c>
      <c r="H567">
        <f>Calc!H17</f>
        <v/>
      </c>
      <c r="I567">
        <f>IF(Skills!T17&lt;&gt;"",1+(Skills!T17/10)*(R553/1000)/100,1)</f>
        <v/>
      </c>
      <c r="J567" t="inlineStr"/>
      <c r="K567" t="inlineStr"/>
      <c r="L567" t="inlineStr"/>
      <c r="M567" t="inlineStr"/>
      <c r="N567" t="inlineStr"/>
      <c r="O567" t="n">
        <v>0</v>
      </c>
      <c r="P567">
        <f>IF(B584=0,0,O567/B584)</f>
        <v/>
      </c>
      <c r="S567" t="n">
        <v>0</v>
      </c>
      <c r="V567">
        <f>IFERROR(1/IF(Inputs!$B$4="pvp",15,MAX(0.1,Skills!D17-IF(Skills!E17=TRUE,Inputs!$B$31,0))),0)</f>
        <v/>
      </c>
    </row>
    <row r="568">
      <c r="A568">
        <f>Skills!A18</f>
        <v/>
      </c>
      <c r="B568">
        <f>Skills!B18</f>
        <v/>
      </c>
      <c r="C568">
        <f>Inputs!$B$3&gt;=43</f>
        <v/>
      </c>
      <c r="D568">
        <f>IF(Skills!C18=1,60+Inputs!$B$24+Inputs!$B$28,IF(Skills!C18=2,90+Inputs!$B$25+Inputs!$B$28,IF(Skills!C18=3,120+Inputs!$B$26+Inputs!$B$28,MAX(0,(Inputs!$B$3-100)*3)+Inputs!$B$27+Inputs!$B$28)))</f>
        <v/>
      </c>
      <c r="E568">
        <f>INDEX(FactorTable!$B$2:$Y$301, MATCH(ROUND(MIN(300,MAX(1,D568)),0), FactorTable!$A$2:$A$301,0), Skills!L18+1)</f>
        <v/>
      </c>
      <c r="F568">
        <f>IF(Skills!M18=TRUE,(Skills!K18/10)*(E568/1000),Skills!K18/10)+Skills!N18</f>
        <v/>
      </c>
      <c r="G568">
        <f>Calc!G18</f>
        <v/>
      </c>
      <c r="H568">
        <f>Calc!H18</f>
        <v/>
      </c>
      <c r="I568">
        <f>IF(Skills!T18&lt;&gt;"",1+(Skills!T18/10)*(R553/1000)/100,1)</f>
        <v/>
      </c>
      <c r="J568" t="inlineStr"/>
      <c r="K568" t="inlineStr"/>
      <c r="L568" t="inlineStr"/>
      <c r="M568" t="inlineStr"/>
      <c r="N568" t="inlineStr"/>
      <c r="O568" t="n">
        <v>0</v>
      </c>
      <c r="P568">
        <f>IF(B584=0,0,O568/B584)</f>
        <v/>
      </c>
      <c r="S568" t="n">
        <v>0</v>
      </c>
      <c r="V568">
        <f>IFERROR(1/IF(Inputs!$B$4="pvp",15,MAX(0.1,Skills!D18-IF(Skills!E18=TRUE,Inputs!$B$31,0))),0)</f>
        <v/>
      </c>
    </row>
    <row r="569">
      <c r="A569">
        <f>Skills!A19</f>
        <v/>
      </c>
      <c r="B569">
        <f>Skills!B19</f>
        <v/>
      </c>
      <c r="C569">
        <f>Inputs!$B$3&gt;=50</f>
        <v/>
      </c>
      <c r="D569">
        <f>IF(Skills!C19=1,60+Inputs!$B$24+Inputs!$B$28,IF(Skills!C19=2,90+Inputs!$B$25+Inputs!$B$28,IF(Skills!C19=3,120+Inputs!$B$26+Inputs!$B$28,MAX(0,(Inputs!$B$3-100)*3)+Inputs!$B$27+Inputs!$B$28)))</f>
        <v/>
      </c>
      <c r="E569">
        <f>INDEX(FactorTable!$B$2:$Y$301, MATCH(ROUND(MIN(300,MAX(1,D569)),0), FactorTable!$A$2:$A$301,0), Skills!L19+1)</f>
        <v/>
      </c>
      <c r="F569">
        <f>IF(Skills!M19=TRUE,(Skills!K19/10)*(E569/1000),Skills!K19/10)+Skills!N19</f>
        <v/>
      </c>
      <c r="G569">
        <f>Calc!G19</f>
        <v/>
      </c>
      <c r="H569">
        <f>Calc!H19</f>
        <v/>
      </c>
      <c r="I569">
        <f>IF(Skills!T19&lt;&gt;"",1+(Skills!T19/10)*(R553/1000)/100,1)</f>
        <v/>
      </c>
      <c r="J569" t="inlineStr"/>
      <c r="K569" t="inlineStr"/>
      <c r="L569" t="inlineStr"/>
      <c r="M569" t="inlineStr"/>
      <c r="N569" t="inlineStr"/>
      <c r="O569" t="n">
        <v>0</v>
      </c>
      <c r="P569">
        <f>IF(B584=0,0,O569/B584)</f>
        <v/>
      </c>
      <c r="S569" t="n">
        <v>0</v>
      </c>
      <c r="V569">
        <f>IFERROR(1/IF(Inputs!$B$4="pvp",15,MAX(0.1,Skills!D19-IF(Skills!E19=TRUE,Inputs!$B$31,0))),0)</f>
        <v/>
      </c>
    </row>
    <row r="570">
      <c r="A570">
        <f>Skills!A20</f>
        <v/>
      </c>
      <c r="B570">
        <f>Skills!B20</f>
        <v/>
      </c>
      <c r="C570">
        <f>Inputs!$B$3&gt;=74</f>
        <v/>
      </c>
      <c r="D570">
        <f>IF(Skills!C20=1,60+Inputs!$B$24+Inputs!$B$28,IF(Skills!C20=2,90+Inputs!$B$25+Inputs!$B$28,IF(Skills!C20=3,120+Inputs!$B$26+Inputs!$B$28,MAX(0,(Inputs!$B$3-100)*3)+Inputs!$B$27+Inputs!$B$28)))</f>
        <v/>
      </c>
      <c r="E570">
        <f>INDEX(FactorTable!$B$2:$Y$301, MATCH(ROUND(MIN(300,MAX(1,D570)),0), FactorTable!$A$2:$A$301,0), Skills!L20+1)</f>
        <v/>
      </c>
      <c r="F570">
        <f>IF(Skills!M20=TRUE,(Skills!K20/10)*(E570/1000),Skills!K20/10)+Skills!N20</f>
        <v/>
      </c>
      <c r="G570">
        <f>Calc!G20</f>
        <v/>
      </c>
      <c r="H570">
        <f>Calc!H20</f>
        <v/>
      </c>
      <c r="I570">
        <f>IF(Skills!T20&lt;&gt;"",1+(Skills!T20/10)*(R553/1000)/100,1)</f>
        <v/>
      </c>
      <c r="J570" t="inlineStr"/>
      <c r="K570" t="inlineStr"/>
      <c r="L570" t="inlineStr"/>
      <c r="M570" t="inlineStr"/>
      <c r="N570" t="inlineStr"/>
      <c r="O570" t="n">
        <v>0</v>
      </c>
      <c r="P570">
        <f>IF(B584=0,0,O570/B584)</f>
        <v/>
      </c>
      <c r="S570" t="n">
        <v>0</v>
      </c>
      <c r="V570">
        <f>IFERROR(1/IF(Inputs!$B$4="pvp",15,MAX(0.1,Skills!D20-IF(Skills!E20=TRUE,Inputs!$B$31,0))),0)</f>
        <v/>
      </c>
    </row>
    <row r="571">
      <c r="A571">
        <f>Skills!A21</f>
        <v/>
      </c>
      <c r="B571">
        <f>Skills!B21</f>
        <v/>
      </c>
      <c r="C571">
        <f>Inputs!$B$3&gt;=74</f>
        <v/>
      </c>
      <c r="D571">
        <f>IF(Skills!C21=1,60+Inputs!$B$24+Inputs!$B$28,IF(Skills!C21=2,90+Inputs!$B$25+Inputs!$B$28,IF(Skills!C21=3,120+Inputs!$B$26+Inputs!$B$28,MAX(0,(Inputs!$B$3-100)*3)+Inputs!$B$27+Inputs!$B$28)))</f>
        <v/>
      </c>
      <c r="E571">
        <f>INDEX(FactorTable!$B$2:$Y$301, MATCH(ROUND(MIN(300,MAX(1,D571)),0), FactorTable!$A$2:$A$301,0), Skills!L21+1)</f>
        <v/>
      </c>
      <c r="F571">
        <f>IF(Skills!M21=TRUE,(Skills!K21/10)*(E571/1000),Skills!K21/10)+Skills!N21</f>
        <v/>
      </c>
      <c r="G571">
        <f>Calc!G21</f>
        <v/>
      </c>
      <c r="H571">
        <f>Calc!H21</f>
        <v/>
      </c>
      <c r="I571">
        <f>IF(Skills!T21&lt;&gt;"",1+(Skills!T21/10)*(R553/1000)/100,1)</f>
        <v/>
      </c>
      <c r="J571" t="inlineStr"/>
      <c r="K571" t="inlineStr"/>
      <c r="L571" t="inlineStr"/>
      <c r="M571" t="inlineStr"/>
      <c r="N571" t="inlineStr"/>
      <c r="O571" t="n">
        <v>0</v>
      </c>
      <c r="P571">
        <f>IF(B584=0,0,O571/B584)</f>
        <v/>
      </c>
      <c r="S571" t="n">
        <v>0</v>
      </c>
      <c r="V571">
        <f>IFERROR(1/IF(Inputs!$B$4="pvp",15,MAX(0.1,Skills!D21-IF(Skills!E21=TRUE,Inputs!$B$31,0))),0)</f>
        <v/>
      </c>
    </row>
    <row r="572">
      <c r="A572">
        <f>Skills!A22</f>
        <v/>
      </c>
      <c r="B572">
        <f>Skills!B22</f>
        <v/>
      </c>
      <c r="C572">
        <f>Inputs!$B$3&gt;=117</f>
        <v/>
      </c>
      <c r="D572">
        <f>IF(Skills!C22=1,60+Inputs!$B$24+Inputs!$B$28,IF(Skills!C22=2,90+Inputs!$B$25+Inputs!$B$28,IF(Skills!C22=3,120+Inputs!$B$26+Inputs!$B$28,MAX(0,(Inputs!$B$3-100)*3)+Inputs!$B$27+Inputs!$B$28)))</f>
        <v/>
      </c>
      <c r="E572">
        <f>INDEX(FactorTable!$B$2:$Y$301, MATCH(ROUND(MIN(300,MAX(1,D572)),0), FactorTable!$A$2:$A$301,0), Skills!L22+1)</f>
        <v/>
      </c>
      <c r="F572">
        <f>IF(Skills!M22=TRUE,(Skills!K22/10)*(E572/1000),Skills!K22/10)+Skills!N22</f>
        <v/>
      </c>
      <c r="G572">
        <f>Calc!G22</f>
        <v/>
      </c>
      <c r="H572">
        <f>Calc!H22</f>
        <v/>
      </c>
      <c r="I572">
        <f>IF(Skills!T22&lt;&gt;"",1+(Skills!T22/10)*(R553/1000)/100,1)</f>
        <v/>
      </c>
      <c r="J572" t="inlineStr"/>
      <c r="K572" t="inlineStr"/>
      <c r="L572" t="inlineStr"/>
      <c r="M572" t="inlineStr"/>
      <c r="N572" t="inlineStr"/>
      <c r="O572" t="n">
        <v>0</v>
      </c>
      <c r="P572">
        <f>IF(B584=0,0,O572/B584)</f>
        <v/>
      </c>
      <c r="S572" t="n">
        <v>0</v>
      </c>
      <c r="V572">
        <f>IFERROR(1/IF(Inputs!$B$4="pvp",15,MAX(0.1,Skills!D22-IF(Skills!E22=TRUE,Inputs!$B$31,0))),0)</f>
        <v/>
      </c>
    </row>
    <row r="573">
      <c r="A573">
        <f>Skills!A23</f>
        <v/>
      </c>
      <c r="B573">
        <f>Skills!B23</f>
        <v/>
      </c>
      <c r="C573">
        <f>Inputs!$B$3&gt;=120</f>
        <v/>
      </c>
      <c r="D573">
        <f>IF(Skills!C23=1,60+Inputs!$B$24+Inputs!$B$28,IF(Skills!C23=2,90+Inputs!$B$25+Inputs!$B$28,IF(Skills!C23=3,120+Inputs!$B$26+Inputs!$B$28,MAX(0,(Inputs!$B$3-100)*3)+Inputs!$B$27+Inputs!$B$28)))</f>
        <v/>
      </c>
      <c r="E573">
        <f>INDEX(FactorTable!$B$2:$Y$301, MATCH(ROUND(MIN(300,MAX(1,D573)),0), FactorTable!$A$2:$A$301,0), Skills!L23+1)</f>
        <v/>
      </c>
      <c r="F573">
        <f>IF(Skills!M23=TRUE,(Skills!K23/10)*(E573/1000),Skills!K23/10)+Skills!N23</f>
        <v/>
      </c>
      <c r="G573">
        <f>Calc!G23</f>
        <v/>
      </c>
      <c r="H573">
        <f>Calc!H23</f>
        <v/>
      </c>
      <c r="I573">
        <f>IF(Skills!T23&lt;&gt;"",1+(Skills!T23/10)*(R553/1000)/100,1)</f>
        <v/>
      </c>
      <c r="J573" t="inlineStr"/>
      <c r="K573" t="inlineStr"/>
      <c r="L573" t="inlineStr"/>
      <c r="M573" t="inlineStr"/>
      <c r="N573" t="inlineStr"/>
      <c r="O573" t="n">
        <v>0</v>
      </c>
      <c r="P573">
        <f>IF(B584=0,0,O573/B584)</f>
        <v/>
      </c>
      <c r="S573" t="n">
        <v>0</v>
      </c>
      <c r="V573">
        <f>IFERROR(1/IF(Inputs!$B$4="pvp",15,MAX(0.1,Skills!D23-IF(Skills!E23=TRUE,Inputs!$B$31,0))),0)</f>
        <v/>
      </c>
    </row>
    <row r="576">
      <c r="A576" t="inlineStr">
        <is>
          <t>Average Buff Multiplier (Magic Guard + Meditation, summed; then Infinity)</t>
        </is>
      </c>
      <c r="B576">
        <f>(1+(IF(C553=TRUE,F553*IF(AND(Inputs!$B$4&lt;&gt;"pvp",Inputs!$B$35&gt;0),(((S553-1)*(Skills!S3*(1+(Inputs!$B$33+IF(Inputs!$B$3&gt;=117,F572,0))/100))+MIN((Skills!S3*(1+(Inputs!$B$33+IF(Inputs!$B$3&gt;=117,F572,0))/100)),MAX(0,Inputs!$B$35-((S553-1)*Skills!D3))))/Inputs!$B$35),IF(Inputs!$B$4="pvp",MIN((Skills!S3*(1+(Inputs!$B$33+IF(Inputs!$B$3&gt;=117,F572,0))/100)),15)/15,(Skills!S3*(1+(Inputs!$B$33+IF(Inputs!$B$3&gt;=117,F572,0))/100))/Skills!D3)),0)+IF(C554=TRUE,F554*IF(AND(Inputs!$B$4&lt;&gt;"pvp",Inputs!$B$35&gt;0),(((S554-1)*(Skills!S4*(1+(Inputs!$B$33+IF(Inputs!$B$3&gt;=117,F572,0))/100))+MIN((Skills!S4*(1+(Inputs!$B$33+IF(Inputs!$B$3&gt;=117,F572,0))/100)),MAX(0,Inputs!$B$35-((S554-1)*Skills!D4))))/Inputs!$B$35),IF(Inputs!$B$4="pvp",MIN((Skills!S4*(1+(Inputs!$B$33+IF(Inputs!$B$3&gt;=117,F572,0))/100)),15)/15,(Skills!S4*(1+(Inputs!$B$33+IF(Inputs!$B$3&gt;=117,F572,0))/100))/Skills!D4)),0))/100)*IF(C566=TRUE,(1+F566*IF(AND(Inputs!$B$4&lt;&gt;"pvp",Inputs!$B$35&gt;0),(((S566-1)*(Skills!S16*(1+(Inputs!$B$33+IF(Inputs!$B$3&gt;=117,F572,0))/100))+MIN((Skills!S16*(1+(Inputs!$B$33+IF(Inputs!$B$3&gt;=117,F572,0))/100)),MAX(0,Inputs!$B$35-((S566-1)*Skills!D16))))/Inputs!$B$35),IF(Inputs!$B$4="pvp",MIN((Skills!S16*(1+(Inputs!$B$33+IF(Inputs!$B$3&gt;=117,F572,0))/100)),15)/15,(Skills!S16*(1+(Inputs!$B$33+IF(Inputs!$B$3&gt;=117,F572,0))/100))/Skills!D16))/100),1)</f>
        <v/>
      </c>
    </row>
    <row r="577">
      <c r="A577" t="inlineStr">
        <is>
          <t>Monster Damage Taken Bonus % (Freezing Breath - Weaken + Elemental Reset, summed)</t>
        </is>
      </c>
      <c r="B577">
        <f>IF(Inputs!$B$3&gt;=118,15*IF(Inputs!$B$4="pvp",MIN((30*(1+(Inputs!$B$33+IF(Inputs!$B$3&gt;=117,F572,0))/100)),15)/15,(30*(1+(Inputs!$B$33+IF(Inputs!$B$3&gt;=117,F572,0))/100))/Skills!D8),0)+IF(C564=TRUE,F564,0)</f>
        <v/>
      </c>
    </row>
    <row r="578">
      <c r="A578" t="inlineStr">
        <is>
          <t>Damage % Bonus (Frozen Break + Frost Clutch, flat)</t>
        </is>
      </c>
      <c r="B578">
        <f>IF(Inputs!$B$3&gt;=66,15,0)+IF(Inputs!$B$3&gt;=98,10,0)+IF(Inputs!$B$3&gt;=125,20,0)</f>
        <v/>
      </c>
    </row>
    <row r="579">
      <c r="A579" t="inlineStr">
        <is>
          <t>Attack Speed Bonus % (MP Eater - MP Boost, always-on once unlocked)</t>
        </is>
      </c>
      <c r="B579">
        <f>IF(C563=TRUE,F563+(F567-Calc!F17),0)</f>
        <v/>
      </c>
    </row>
    <row r="580">
      <c r="A580" t="inlineStr">
        <is>
          <t>Actions Per Second</t>
        </is>
      </c>
      <c r="B580">
        <f>1+MIN(150,150*(1-(1-Inputs!$B$10/150)*(1-B579/150)))/100</f>
        <v/>
      </c>
    </row>
    <row r="581">
      <c r="A581" t="inlineStr">
        <is>
          <t>Skill + Buff Cast Rate</t>
        </is>
      </c>
      <c r="B581">
        <f>IF(AND(Inputs!$B$4&lt;&gt;"pvp",Inputs!$B$35&gt;0),SUMPRODUCT((Skills!E2:E23=TRUE)*(C552:C573=TRUE)*S552:S573)/Inputs!$B$35,SUMPRODUCT((Skills!E2:E23=TRUE)*(C552:C573=TRUE)*V552:V573))</f>
        <v/>
      </c>
    </row>
    <row r="582">
      <c r="A582" t="inlineStr">
        <is>
          <t>Chain Lightning Casts Per Second</t>
        </is>
      </c>
      <c r="B582">
        <f>MAX(0,B580-B581)</f>
        <v/>
      </c>
    </row>
    <row r="584">
      <c r="A584" s="5" t="inlineStr">
        <is>
          <t>TOTAL DPS</t>
        </is>
      </c>
      <c r="B584" s="5">
        <f>SUM(O552:O573)</f>
        <v/>
      </c>
    </row>
    <row r="587">
      <c r="A587" s="5" t="inlineStr">
        <is>
          <t>Stat: Skill Level Bonus — 1st Job</t>
        </is>
      </c>
    </row>
    <row r="588">
      <c r="A588" s="8" t="inlineStr">
        <is>
          <t>Key</t>
        </is>
      </c>
      <c r="B588" s="8" t="inlineStr">
        <is>
          <t>Name</t>
        </is>
      </c>
      <c r="C588" s="8" t="inlineStr">
        <is>
          <t>Unlocked</t>
        </is>
      </c>
      <c r="D588" s="8" t="inlineStr">
        <is>
          <t>InputLevel</t>
        </is>
      </c>
      <c r="E588" s="8" t="inlineStr">
        <is>
          <t>Factor</t>
        </is>
      </c>
      <c r="F588" s="8" t="inlineStr">
        <is>
          <t>CoefficientPercent</t>
        </is>
      </c>
      <c r="G588" s="8" t="inlineStr">
        <is>
          <t>EffectiveHits</t>
        </is>
      </c>
      <c r="H588" s="8" t="inlineStr">
        <is>
          <t>ProcProbability</t>
        </is>
      </c>
      <c r="I588" s="8" t="inlineStr">
        <is>
          <t>MapleHeroMultiplier</t>
        </is>
      </c>
      <c r="J588" s="8" t="inlineStr">
        <is>
          <t>BaseDamage</t>
        </is>
      </c>
      <c r="K588" s="8" t="inlineStr">
        <is>
          <t>BaseHitDamage</t>
        </is>
      </c>
      <c r="L588" s="8" t="inlineStr">
        <is>
          <t>NonCritAvg</t>
        </is>
      </c>
      <c r="M588" s="8" t="inlineStr">
        <is>
          <t>CritAvg</t>
        </is>
      </c>
      <c r="N588" s="8" t="inlineStr">
        <is>
          <t>ExpectedDamage(perHit)</t>
        </is>
      </c>
      <c r="O588" s="8" t="inlineStr">
        <is>
          <t>DPS</t>
        </is>
      </c>
      <c r="P588" s="8" t="inlineStr">
        <is>
          <t>% of Total</t>
        </is>
      </c>
      <c r="R588" t="inlineStr">
        <is>
          <t>helpers</t>
        </is>
      </c>
    </row>
    <row r="589">
      <c r="A589">
        <f>Skills!A2</f>
        <v/>
      </c>
      <c r="B589">
        <f>Skills!B2</f>
        <v/>
      </c>
      <c r="C589">
        <f>Inputs!$B$3&gt;=100</f>
        <v/>
      </c>
      <c r="D589" t="inlineStr"/>
      <c r="E589" t="inlineStr"/>
      <c r="F589">
        <f>T591+Skills!N2</f>
        <v/>
      </c>
      <c r="G589">
        <f>Calc!G2</f>
        <v/>
      </c>
      <c r="H589">
        <f>Calc!H2</f>
        <v/>
      </c>
      <c r="I589">
        <f>IF(Skills!T2&lt;&gt;"",1+(Skills!T2/10)*(R590/1000)/100,1)</f>
        <v/>
      </c>
      <c r="J589">
        <f>((Inputs!$B$5*(1+Inputs!$B$6/100))+((Inputs!$B$11*(1+Inputs!$B$12/100))-(Inputs!$B$11*(1+Inputs!$B$12/100)))*(1+Inputs!$B$6/100))*(F589/100)</f>
        <v/>
      </c>
      <c r="K589">
        <f>J589*(1+((Inputs!$B$11*(1+Inputs!$B$12/100))*0.01+Inputs!$B$13*0.0025)/100)*(1+(Inputs!$B$14+B615)/100)*(1+IF(Inputs!$B$4="pvp",0,(1-Summary!$B$51)*(Inputs!$B$19+Skills!O2+B614)+Summary!$B$51*(Inputs!$B$20+Skills!P2+B614))/100)*(1+Inputs!$B$15/100)*(5000/(6000+Inputs!$B$7*(1-Inputs!$B$18/100)))*(1+Inputs!$B$23/100)*(1+IF(C602=TRUE,F602,0)/100)*(1+IF(C610=TRUE,F610,0)/100)^5*(1+(IF(Skills!A2="CHAIN_LIGHTNING",Inputs!$B$16,Inputs!$B$17))/100)*(B613*I589)</f>
        <v/>
      </c>
      <c r="L589">
        <f>K589*(MIN(Inputs!$B$21+(F605-Calc!F18),Inputs!$B$22)/100+Inputs!$B$22/100)/2</f>
        <v/>
      </c>
      <c r="M589">
        <f>L589*(1+(Inputs!$B$9+(F608-Calc!F21))/100)</f>
        <v/>
      </c>
      <c r="N589">
        <f>L589*(1-MIN(Inputs!$B$8+((F607-Calc!F20)+(F606-Calc!F19)),100)/100)+M589*(MIN(Inputs!$B$8+((F607-Calc!F20)+(F606-Calc!F19)),100)/100)</f>
        <v/>
      </c>
      <c r="O589">
        <f>IF(C589,Skills!F2*N589*B619*IF(Inputs!$B$4="pvp",1,(1-Summary!$B$51)*(1)+Summary!$B$51*(MIN((6+Inputs!$B$32),Inputs!$B$37))),0)</f>
        <v/>
      </c>
      <c r="P589">
        <f>IF(B621=0,0,O589/B621)</f>
        <v/>
      </c>
      <c r="R589">
        <f>MAX(0,(Inputs!$B$3-100)*3)+Inputs!$B$27+Inputs!$B$28</f>
        <v/>
      </c>
      <c r="S589" t="n">
        <v>0</v>
      </c>
      <c r="T589">
        <f>MAX(0,(Inputs!$B$3-100)*3)+Inputs!$B$27+Inputs!$B$28</f>
        <v/>
      </c>
      <c r="V589">
        <f>IFERROR(1/IF(Inputs!$B$4="pvp",15,MAX(0.1,Skills!D2-IF(Skills!E2=TRUE,Inputs!$B$31,0))),0)</f>
        <v/>
      </c>
    </row>
    <row r="590">
      <c r="A590">
        <f>Skills!A3</f>
        <v/>
      </c>
      <c r="B590">
        <f>Skills!B3</f>
        <v/>
      </c>
      <c r="C590">
        <f>Inputs!$B$3&gt;=15</f>
        <v/>
      </c>
      <c r="D590">
        <f>IF(Skills!C3=1,60+(Inputs!$B$24+1)+Inputs!$B$28,IF(Skills!C3=2,90+Inputs!$B$25+Inputs!$B$28,IF(Skills!C3=3,120+Inputs!$B$26+Inputs!$B$28,MAX(0,(Inputs!$B$3-100)*3)+Inputs!$B$27+Inputs!$B$28)))</f>
        <v/>
      </c>
      <c r="E590">
        <f>INDEX(FactorTable!$B$2:$Y$301, MATCH(ROUND(MIN(300,MAX(1,D590)),0), FactorTable!$A$2:$A$301,0), Skills!L3+1)</f>
        <v/>
      </c>
      <c r="F590">
        <f>IF(Skills!M3=TRUE,(Skills!K3/10)*(E590/1000),Skills!K3/10)+Skills!N3</f>
        <v/>
      </c>
      <c r="G590">
        <f>Calc!G3</f>
        <v/>
      </c>
      <c r="H590">
        <f>Calc!H3</f>
        <v/>
      </c>
      <c r="I590">
        <f>IF(Skills!T3&lt;&gt;"",1+(Skills!T3/10)*(R590/1000)/100,1)</f>
        <v/>
      </c>
      <c r="J590" t="inlineStr"/>
      <c r="K590" t="inlineStr"/>
      <c r="L590" t="inlineStr"/>
      <c r="M590" t="inlineStr"/>
      <c r="N590" t="inlineStr"/>
      <c r="O590" t="n">
        <v>0</v>
      </c>
      <c r="P590">
        <f>IF(B621=0,0,O590/B621)</f>
        <v/>
      </c>
      <c r="R590">
        <f>INDEX(FactorTable!$B$2:$Y$301, MATCH(ROUND(MIN(300,MAX(1,R589)),0), FactorTable!$A$2:$A$301,0), 24)</f>
        <v/>
      </c>
      <c r="S590">
        <f>IF(AND(Inputs!$B$4&lt;&gt;"pvp",Inputs!$B$35&gt;0),(INT(Inputs!$B$35/IF(Inputs!$B$4="pvp",15,MAX(0.1,Skills!D3-IF(Skills!E3=TRUE,Inputs!$B$31,0))))+1),0)</f>
        <v/>
      </c>
      <c r="T590">
        <f>INDEX(FactorTable!$B$2:$Y$301, MATCH(ROUND(MIN(300,MAX(1,T589)),0), FactorTable!$A$2:$A$301,0), 22)</f>
        <v/>
      </c>
      <c r="V590">
        <f>IFERROR(1/IF(Inputs!$B$4="pvp",15,MAX(0.1,Skills!D3-IF(Skills!E3=TRUE,Inputs!$B$31,0))),0)</f>
        <v/>
      </c>
    </row>
    <row r="591">
      <c r="A591">
        <f>Skills!A4</f>
        <v/>
      </c>
      <c r="B591">
        <f>Skills!B4</f>
        <v/>
      </c>
      <c r="C591">
        <f>Inputs!$B$3&gt;=40</f>
        <v/>
      </c>
      <c r="D591">
        <f>IF(Skills!C4=1,60+(Inputs!$B$24+1)+Inputs!$B$28,IF(Skills!C4=2,90+Inputs!$B$25+Inputs!$B$28,IF(Skills!C4=3,120+Inputs!$B$26+Inputs!$B$28,MAX(0,(Inputs!$B$3-100)*3)+Inputs!$B$27+Inputs!$B$28)))</f>
        <v/>
      </c>
      <c r="E591">
        <f>INDEX(FactorTable!$B$2:$Y$301, MATCH(ROUND(MIN(300,MAX(1,D591)),0), FactorTable!$A$2:$A$301,0), Skills!L4+1)</f>
        <v/>
      </c>
      <c r="F591">
        <f>IF(Skills!M4=TRUE,(Skills!K4/10)*(E591/1000),Skills!K4/10)+Skills!N4</f>
        <v/>
      </c>
      <c r="G591">
        <f>Calc!G4</f>
        <v/>
      </c>
      <c r="H591">
        <f>Calc!H4</f>
        <v/>
      </c>
      <c r="I591">
        <f>IF(Skills!T4&lt;&gt;"",1+(Skills!T4/10)*(R590/1000)/100,1)</f>
        <v/>
      </c>
      <c r="J591" t="inlineStr"/>
      <c r="K591" t="inlineStr"/>
      <c r="L591" t="inlineStr"/>
      <c r="M591" t="inlineStr"/>
      <c r="N591" t="inlineStr"/>
      <c r="O591" t="n">
        <v>0</v>
      </c>
      <c r="P591">
        <f>IF(B621=0,0,O591/B621)</f>
        <v/>
      </c>
      <c r="S591">
        <f>IF(AND(Inputs!$B$4&lt;&gt;"pvp",Inputs!$B$35&gt;0),(INT(Inputs!$B$35/IF(Inputs!$B$4="pvp",15,MAX(0.1,Skills!D4-IF(Skills!E4=TRUE,Inputs!$B$31,0))))+1),0)</f>
        <v/>
      </c>
      <c r="T591">
        <f>290*T590/1000</f>
        <v/>
      </c>
      <c r="V591">
        <f>IFERROR(1/IF(Inputs!$B$4="pvp",15,MAX(0.1,Skills!D4-IF(Skills!E4=TRUE,Inputs!$B$31,0))),0)</f>
        <v/>
      </c>
    </row>
    <row r="592">
      <c r="A592">
        <f>Skills!A5</f>
        <v/>
      </c>
      <c r="B592">
        <f>Skills!B5</f>
        <v/>
      </c>
      <c r="C592">
        <f>Inputs!$B$3&gt;=38</f>
        <v/>
      </c>
      <c r="D592">
        <f>IF(Skills!C5=1,60+(Inputs!$B$24+1)+Inputs!$B$28,IF(Skills!C5=2,90+Inputs!$B$25+Inputs!$B$28,IF(Skills!C5=3,120+Inputs!$B$26+Inputs!$B$28,MAX(0,(Inputs!$B$3-100)*3)+Inputs!$B$27+Inputs!$B$28)))</f>
        <v/>
      </c>
      <c r="E592">
        <f>INDEX(FactorTable!$B$2:$Y$301, MATCH(ROUND(MIN(300,MAX(1,D592)),0), FactorTable!$A$2:$A$301,0), Skills!L5+1)</f>
        <v/>
      </c>
      <c r="F592">
        <f>IF(Skills!M5=TRUE,(Skills!K5/10)*(E592/1000),Skills!K5/10)+Skills!N5</f>
        <v/>
      </c>
      <c r="G592">
        <f>Calc!G5</f>
        <v/>
      </c>
      <c r="H592">
        <f>Calc!H5</f>
        <v/>
      </c>
      <c r="I592">
        <f>IF(Skills!T5&lt;&gt;"",1+(Skills!T5/10)*(R590/1000)/100,1)</f>
        <v/>
      </c>
      <c r="J592">
        <f>((Inputs!$B$5*(1+Inputs!$B$6/100))+((Inputs!$B$11*(1+Inputs!$B$12/100))-(Inputs!$B$11*(1+Inputs!$B$12/100)))*(1+Inputs!$B$6/100))*(F592/100)</f>
        <v/>
      </c>
      <c r="K592">
        <f>J592*(1+((Inputs!$B$11*(1+Inputs!$B$12/100))*0.01+Inputs!$B$13*0.0025)/100)*(1+(Inputs!$B$14+B615)/100)*(1+IF(Inputs!$B$4="pvp",0,(1-Summary!$B$51)*(Inputs!$B$19+Skills!O5+B614)+Summary!$B$51*(Inputs!$B$20+Skills!P5+B614))/100)*(1+Inputs!$B$15/100)*(5000/(6000+Inputs!$B$7*(1-Inputs!$B$18/100)))*(1+Inputs!$B$23/100)*(1+IF(C602=TRUE,F602,0)/100)*(1+IF(C610=TRUE,F610,0)/100)^5*(1+(IF(Skills!A5="CHAIN_LIGHTNING",Inputs!$B$16,Inputs!$B$17))/100)*(B613*I592)</f>
        <v/>
      </c>
      <c r="L592">
        <f>K592*(MIN(Inputs!$B$21+(F605-Calc!F18),Inputs!$B$22)/100+Inputs!$B$22/100)/2</f>
        <v/>
      </c>
      <c r="M592">
        <f>L592*(1+(Inputs!$B$9+(F608-Calc!F21))/100)</f>
        <v/>
      </c>
      <c r="N592">
        <f>L592*(1-MIN(Inputs!$B$8+((F607-Calc!F20)+(F606-Calc!F19)),100)/100)+M592*(MIN(Inputs!$B$8+((F607-Calc!F20)+(F606-Calc!F19)),100)/100)</f>
        <v/>
      </c>
      <c r="O592">
        <f>IF(C592,H592*N592*IF(AND(Inputs!$B$4&lt;&gt;"pvp",Inputs!$B$35&gt;0),((Skills!F5*((S592-1)*IF(Skills!G5&gt;0,Skills!H5/Skills!G5,1)+IF(Skills!G5&gt;0,MIN(Skills!H5,MAX(0,Inputs!$B$35-((S592-1)*IF(Inputs!$B$4="pvp",15,MAX(0.1,Skills!D5-IF(Skills!E5=TRUE,Inputs!$B$31,0))))))/Skills!G5,1)))/Inputs!$B$35),G592*V592)*IF(Inputs!$B$4="pvp",1,(1-Summary!$B$51)*(1)+Summary!$B$51*(MIN(Skills!Q5,Inputs!$B$37))),0)</f>
        <v/>
      </c>
      <c r="P592">
        <f>IF(B621=0,0,O592/B621)</f>
        <v/>
      </c>
      <c r="S592">
        <f>IF(AND(Inputs!$B$4&lt;&gt;"pvp",Inputs!$B$35&gt;0),(INT(Inputs!$B$35/IF(Inputs!$B$4="pvp",15,MAX(0.1,Skills!D5-IF(Skills!E5=TRUE,Inputs!$B$31,0))))+1),0)</f>
        <v/>
      </c>
      <c r="V592">
        <f>IFERROR(1/IF(Inputs!$B$4="pvp",15,MAX(0.1,Skills!D5-IF(Skills!E5=TRUE,Inputs!$B$31,0))),0)</f>
        <v/>
      </c>
    </row>
    <row r="593">
      <c r="A593">
        <f>Skills!A6</f>
        <v/>
      </c>
      <c r="B593">
        <f>Skills!B6</f>
        <v/>
      </c>
      <c r="C593">
        <f>Inputs!$B$3&gt;=63</f>
        <v/>
      </c>
      <c r="D593">
        <f>IF(Skills!C6=1,60+(Inputs!$B$24+1)+Inputs!$B$28,IF(Skills!C6=2,90+Inputs!$B$25+Inputs!$B$28,IF(Skills!C6=3,120+Inputs!$B$26+Inputs!$B$28,MAX(0,(Inputs!$B$3-100)*3)+Inputs!$B$27+Inputs!$B$28)))</f>
        <v/>
      </c>
      <c r="E593">
        <f>INDEX(FactorTable!$B$2:$Y$301, MATCH(ROUND(MIN(300,MAX(1,D593)),0), FactorTable!$A$2:$A$301,0), Skills!L6+1)</f>
        <v/>
      </c>
      <c r="F593">
        <f>IF(Skills!M6=TRUE,(Skills!K6/10)*(E593/1000),Skills!K6/10)+Skills!N6</f>
        <v/>
      </c>
      <c r="G593">
        <f>Calc!G6</f>
        <v/>
      </c>
      <c r="H593">
        <f>Calc!H6</f>
        <v/>
      </c>
      <c r="I593">
        <f>IF(Skills!T6&lt;&gt;"",1+(Skills!T6/10)*(R590/1000)/100,1)</f>
        <v/>
      </c>
      <c r="J593">
        <f>((Inputs!$B$5*(1+Inputs!$B$6/100))+((Inputs!$B$11*(1+Inputs!$B$12/100))-(Inputs!$B$11*(1+Inputs!$B$12/100)))*(1+Inputs!$B$6/100))*(F593/100)</f>
        <v/>
      </c>
      <c r="K593">
        <f>J593*(1+((Inputs!$B$11*(1+Inputs!$B$12/100))*0.01+Inputs!$B$13*0.0025)/100)*(1+(Inputs!$B$14+B615)/100)*(1+IF(Inputs!$B$4="pvp",0,(1-Summary!$B$51)*(Inputs!$B$19+Skills!O6+B614)+Summary!$B$51*(Inputs!$B$20+Skills!P6+B614))/100)*(1+Inputs!$B$15/100)*(5000/(6000+Inputs!$B$7*(1-Inputs!$B$18/100)))*(1+Inputs!$B$23/100)*(1+IF(C602=TRUE,F602,0)/100)*(1+IF(C610=TRUE,F610,0)/100)^5*(1+(IF(Skills!A6="CHAIN_LIGHTNING",Inputs!$B$16,Inputs!$B$17))/100)*(B613*I593)</f>
        <v/>
      </c>
      <c r="L593">
        <f>K593*(MIN(Inputs!$B$21+(F605-Calc!F18),Inputs!$B$22)/100+Inputs!$B$22/100)/2</f>
        <v/>
      </c>
      <c r="M593">
        <f>L593*(1+(Inputs!$B$9+(F608-Calc!F21))/100)</f>
        <v/>
      </c>
      <c r="N593">
        <f>L593*(1-MIN(Inputs!$B$8+((F607-Calc!F20)+(F606-Calc!F19)),100)/100)+M593*(MIN(Inputs!$B$8+((F607-Calc!F20)+(F606-Calc!F19)),100)/100)</f>
        <v/>
      </c>
      <c r="O593">
        <f>IF(C593,H593*N593*IF(AND(Inputs!$B$4&lt;&gt;"pvp",Inputs!$B$35&gt;0),((Skills!F6*((S593-1)*IF(Skills!G6&gt;0,Skills!H6/Skills!G6,1)+IF(Skills!G6&gt;0,MIN(Skills!H6,MAX(0,Inputs!$B$35-((S593-1)*IF(Inputs!$B$4="pvp",15,MAX(0.1,Skills!D6-IF(Skills!E6=TRUE,Inputs!$B$31,0))))))/Skills!G6,1)))/Inputs!$B$35),G593*V593)*IF(Inputs!$B$4="pvp",1,(1-Summary!$B$51)*(1)+Summary!$B$51*(MIN(Skills!Q6,Inputs!$B$37))),0)</f>
        <v/>
      </c>
      <c r="P593">
        <f>IF(B621=0,0,O593/B621)</f>
        <v/>
      </c>
      <c r="S593">
        <f>IF(AND(Inputs!$B$4&lt;&gt;"pvp",Inputs!$B$35&gt;0),(INT(Inputs!$B$35/IF(Inputs!$B$4="pvp",15,MAX(0.1,Skills!D6-IF(Skills!E6=TRUE,Inputs!$B$31,0))))+1),0)</f>
        <v/>
      </c>
      <c r="V593">
        <f>IFERROR(1/IF(Inputs!$B$4="pvp",15,MAX(0.1,Skills!D6-IF(Skills!E6=TRUE,Inputs!$B$31,0))),0)</f>
        <v/>
      </c>
    </row>
    <row r="594">
      <c r="A594">
        <f>Skills!A7</f>
        <v/>
      </c>
      <c r="B594">
        <f>Skills!B7</f>
        <v/>
      </c>
      <c r="C594">
        <f>Inputs!$B$3&gt;=69</f>
        <v/>
      </c>
      <c r="D594">
        <f>IF(Skills!C7=1,60+(Inputs!$B$24+1)+Inputs!$B$28,IF(Skills!C7=2,90+Inputs!$B$25+Inputs!$B$28,IF(Skills!C7=3,120+Inputs!$B$26+Inputs!$B$28,MAX(0,(Inputs!$B$3-100)*3)+Inputs!$B$27+Inputs!$B$28)))</f>
        <v/>
      </c>
      <c r="E594">
        <f>INDEX(FactorTable!$B$2:$Y$301, MATCH(ROUND(MIN(300,MAX(1,D594)),0), FactorTable!$A$2:$A$301,0), Skills!L7+1)</f>
        <v/>
      </c>
      <c r="F594">
        <f>IF(Skills!M7=TRUE,(Skills!K7/10)*(E594/1000),Skills!K7/10)+Skills!N7</f>
        <v/>
      </c>
      <c r="G594">
        <f>Calc!G7</f>
        <v/>
      </c>
      <c r="H594">
        <f>Calc!H7</f>
        <v/>
      </c>
      <c r="I594">
        <f>IF(Skills!T7&lt;&gt;"",1+(Skills!T7/10)*(R590/1000)/100,1)</f>
        <v/>
      </c>
      <c r="J594">
        <f>((Inputs!$B$5*(1+Inputs!$B$6/100))+((Inputs!$B$11*(1+Inputs!$B$12/100))-(Inputs!$B$11*(1+Inputs!$B$12/100)))*(1+Inputs!$B$6/100))*(F594/100)</f>
        <v/>
      </c>
      <c r="K594">
        <f>J594*(1+((Inputs!$B$11*(1+Inputs!$B$12/100))*0.01+Inputs!$B$13*0.0025)/100)*(1+(Inputs!$B$14+B615)/100)*(1+IF(Inputs!$B$4="pvp",0,(1-Summary!$B$51)*(Inputs!$B$19+Skills!O7+B614)+Summary!$B$51*(Inputs!$B$20+Skills!P7+B614))/100)*(1+Inputs!$B$15/100)*(5000/(6000+Inputs!$B$7*(1-Inputs!$B$18/100)))*(1+Inputs!$B$23/100)*(1+IF(C602=TRUE,F602,0)/100)*(1+IF(C610=TRUE,F610,0)/100)^5*(1+(IF(Skills!A7="CHAIN_LIGHTNING",Inputs!$B$16,Inputs!$B$17))/100)*(B613*I594)</f>
        <v/>
      </c>
      <c r="L594">
        <f>K594*(MIN(Inputs!$B$21+(F605-Calc!F18),Inputs!$B$22)/100+Inputs!$B$22/100)/2</f>
        <v/>
      </c>
      <c r="M594">
        <f>L594*(1+(Inputs!$B$9+(F608-Calc!F21))/100)</f>
        <v/>
      </c>
      <c r="N594">
        <f>L594*(1-MIN(Inputs!$B$8+((F607-Calc!F20)+(F606-Calc!F19)),100)/100)+M594*(MIN(Inputs!$B$8+((F607-Calc!F20)+(F606-Calc!F19)),100)/100)</f>
        <v/>
      </c>
      <c r="O594">
        <f>IF(C594,H594*N594*IF(AND(Inputs!$B$4&lt;&gt;"pvp",Inputs!$B$35&gt;0),((Skills!F7*((S594-1)*IF(Skills!G7&gt;0,Skills!H7/Skills!G7,1)+IF(Skills!G7&gt;0,MIN(Skills!H7,MAX(0,Inputs!$B$35-((S594-1)*IF(Inputs!$B$4="pvp",15,MAX(0.1,Skills!D7-IF(Skills!E7=TRUE,Inputs!$B$31,0))))))/Skills!G7,1)))/Inputs!$B$35),G594*V594)*IF(Inputs!$B$4="pvp",1,(1-Summary!$B$51)*(1)+Summary!$B$51*(MIN(Skills!Q7,Inputs!$B$37))),0)</f>
        <v/>
      </c>
      <c r="P594">
        <f>IF(B621=0,0,O594/B621)</f>
        <v/>
      </c>
      <c r="S594">
        <f>IF(AND(Inputs!$B$4&lt;&gt;"pvp",Inputs!$B$35&gt;0),(INT(Inputs!$B$35/IF(Inputs!$B$4="pvp",15,MAX(0.1,Skills!D7-IF(Skills!E7=TRUE,Inputs!$B$31,0))))+1),0)</f>
        <v/>
      </c>
      <c r="V594">
        <f>IFERROR(1/IF(Inputs!$B$4="pvp",15,MAX(0.1,Skills!D7-IF(Skills!E7=TRUE,Inputs!$B$31,0))),0)</f>
        <v/>
      </c>
    </row>
    <row r="595">
      <c r="A595">
        <f>Skills!A8</f>
        <v/>
      </c>
      <c r="B595">
        <f>Skills!B8</f>
        <v/>
      </c>
      <c r="C595">
        <f>Inputs!$B$3&gt;=103</f>
        <v/>
      </c>
      <c r="D595">
        <f>IF(Skills!C8=1,60+(Inputs!$B$24+1)+Inputs!$B$28,IF(Skills!C8=2,90+Inputs!$B$25+Inputs!$B$28,IF(Skills!C8=3,120+Inputs!$B$26+Inputs!$B$28,MAX(0,(Inputs!$B$3-100)*3)+Inputs!$B$27+Inputs!$B$28)))</f>
        <v/>
      </c>
      <c r="E595">
        <f>INDEX(FactorTable!$B$2:$Y$301, MATCH(ROUND(MIN(300,MAX(1,D595)),0), FactorTable!$A$2:$A$301,0), Skills!L8+1)</f>
        <v/>
      </c>
      <c r="F595">
        <f>IF(Skills!M8=TRUE,(Skills!K8/10)*(E595/1000),Skills!K8/10)+Skills!N8</f>
        <v/>
      </c>
      <c r="G595">
        <f>Calc!G8</f>
        <v/>
      </c>
      <c r="H595">
        <f>Calc!H8</f>
        <v/>
      </c>
      <c r="I595">
        <f>IF(Skills!T8&lt;&gt;"",1+(Skills!T8/10)*(R590/1000)/100,1)</f>
        <v/>
      </c>
      <c r="J595">
        <f>((Inputs!$B$5*(1+Inputs!$B$6/100))+((Inputs!$B$11*(1+Inputs!$B$12/100))-(Inputs!$B$11*(1+Inputs!$B$12/100)))*(1+Inputs!$B$6/100))*(F595/100)</f>
        <v/>
      </c>
      <c r="K595">
        <f>J595*(1+((Inputs!$B$11*(1+Inputs!$B$12/100))*0.01+Inputs!$B$13*0.0025)/100)*(1+(Inputs!$B$14+B615)/100)*(1+IF(Inputs!$B$4="pvp",0,(1-Summary!$B$51)*(Inputs!$B$19+Skills!O8+B614)+Summary!$B$51*(Inputs!$B$20+Skills!P8+B614))/100)*(1+Inputs!$B$15/100)*(5000/(6000+Inputs!$B$7*(1-Inputs!$B$18/100)))*(1+Inputs!$B$23/100)*(1+IF(C602=TRUE,F602,0)/100)*(1+IF(C610=TRUE,F610,0)/100)^5*(1+(IF(Skills!A8="CHAIN_LIGHTNING",Inputs!$B$16,Inputs!$B$17))/100)*(B613*I595)</f>
        <v/>
      </c>
      <c r="L595">
        <f>K595*(MIN(Inputs!$B$21+(F605-Calc!F18),Inputs!$B$22)/100+Inputs!$B$22/100)/2</f>
        <v/>
      </c>
      <c r="M595">
        <f>L595*(1+(Inputs!$B$9+(F608-Calc!F21))/100)</f>
        <v/>
      </c>
      <c r="N595">
        <f>L595*(1-MIN(Inputs!$B$8+((F607-Calc!F20)+(F606-Calc!F19)),100)/100)+M595*(MIN(Inputs!$B$8+((F607-Calc!F20)+(F606-Calc!F19)),100)/100)</f>
        <v/>
      </c>
      <c r="O595">
        <f>IF(C595,H595*N595*IF(AND(Inputs!$B$4&lt;&gt;"pvp",Inputs!$B$35&gt;0),((Skills!F8*((S595-1)*IF(Skills!G8&gt;0,Skills!H8/Skills!G8,1)+IF(Skills!G8&gt;0,MIN(Skills!H8,MAX(0,Inputs!$B$35-((S595-1)*IF(Inputs!$B$4="pvp",15,MAX(0.1,Skills!D8-IF(Skills!E8=TRUE,Inputs!$B$31,0))))))/Skills!G8,1)))/Inputs!$B$35),G595*V595)*IF(Inputs!$B$4="pvp",1,(1-Summary!$B$51)*(1)+Summary!$B$51*(MIN(Skills!Q8,Inputs!$B$37))),0)</f>
        <v/>
      </c>
      <c r="P595">
        <f>IF(B621=0,0,O595/B621)</f>
        <v/>
      </c>
      <c r="S595">
        <f>IF(AND(Inputs!$B$4&lt;&gt;"pvp",Inputs!$B$35&gt;0),(INT(Inputs!$B$35/IF(Inputs!$B$4="pvp",15,MAX(0.1,Skills!D8-IF(Skills!E8=TRUE,Inputs!$B$31,0))))+1),0)</f>
        <v/>
      </c>
      <c r="V595">
        <f>IFERROR(1/IF(Inputs!$B$4="pvp",15,MAX(0.1,Skills!D8-IF(Skills!E8=TRUE,Inputs!$B$31,0))),0)</f>
        <v/>
      </c>
    </row>
    <row r="596">
      <c r="A596">
        <f>Skills!A9</f>
        <v/>
      </c>
      <c r="B596">
        <f>Skills!B9</f>
        <v/>
      </c>
      <c r="C596">
        <f>Inputs!$B$3&gt;=105</f>
        <v/>
      </c>
      <c r="D596">
        <f>IF(Skills!C9=1,60+(Inputs!$B$24+1)+Inputs!$B$28,IF(Skills!C9=2,90+Inputs!$B$25+Inputs!$B$28,IF(Skills!C9=3,120+Inputs!$B$26+Inputs!$B$28,MAX(0,(Inputs!$B$3-100)*3)+Inputs!$B$27+Inputs!$B$28)))</f>
        <v/>
      </c>
      <c r="E596">
        <f>INDEX(FactorTable!$B$2:$Y$301, MATCH(ROUND(MIN(300,MAX(1,D596)),0), FactorTable!$A$2:$A$301,0), Skills!L9+1)</f>
        <v/>
      </c>
      <c r="F596">
        <f>IF(Skills!M9=TRUE,(Skills!K9/10)*(E596/1000),Skills!K9/10)+Skills!N9</f>
        <v/>
      </c>
      <c r="G596">
        <f>Calc!G9</f>
        <v/>
      </c>
      <c r="H596">
        <f>Calc!H9</f>
        <v/>
      </c>
      <c r="I596">
        <f>IF(Skills!T9&lt;&gt;"",1+(Skills!T9/10)*(R590/1000)/100,1)</f>
        <v/>
      </c>
      <c r="J596">
        <f>((Inputs!$B$5*(1+Inputs!$B$6/100))+((Inputs!$B$11*(1+Inputs!$B$12/100))-(Inputs!$B$11*(1+Inputs!$B$12/100)))*(1+Inputs!$B$6/100))*(F596/100)</f>
        <v/>
      </c>
      <c r="K596">
        <f>J596*(1+((Inputs!$B$11*(1+Inputs!$B$12/100))*0.01+Inputs!$B$13*0.0025)/100)*(1+(Inputs!$B$14+B615)/100)*(1+IF(Inputs!$B$4="pvp",0,(1-Summary!$B$51)*(Inputs!$B$19+Skills!O9+B614)+Summary!$B$51*(Inputs!$B$20+Skills!P9+B614))/100)*(1+Inputs!$B$15/100)*(5000/(6000+Inputs!$B$7*(1-Inputs!$B$18/100)))*(1+Inputs!$B$23/100)*(1+IF(C602=TRUE,F602,0)/100)*(1+IF(C610=TRUE,F610,0)/100)^5*(1+(IF(Skills!A9="CHAIN_LIGHTNING",Inputs!$B$16,Inputs!$B$17))/100)*(B613*I596)</f>
        <v/>
      </c>
      <c r="L596">
        <f>K596*(MIN(Inputs!$B$21+(F605-Calc!F18),Inputs!$B$22)/100+Inputs!$B$22/100)/2</f>
        <v/>
      </c>
      <c r="M596">
        <f>L596*(1+(Inputs!$B$9+(F608-Calc!F21))/100)</f>
        <v/>
      </c>
      <c r="N596">
        <f>L596*(1-MIN(Inputs!$B$8+((F607-Calc!F20)+(F606-Calc!F19)),100)/100)+M596*(MIN(Inputs!$B$8+((F607-Calc!F20)+(F606-Calc!F19)),100)/100)</f>
        <v/>
      </c>
      <c r="O596">
        <f>IF(C596,H596*N596*IF(AND(Inputs!$B$4&lt;&gt;"pvp",Inputs!$B$35&gt;0),((Skills!F9*((S596-1)*IF(Skills!G9&gt;0,Skills!H9/Skills!G9,1)+IF(Skills!G9&gt;0,MIN(Skills!H9,MAX(0,Inputs!$B$35-((S596-1)*IF(Inputs!$B$4="pvp",15,MAX(0.1,Skills!D9-IF(Skills!E9=TRUE,Inputs!$B$31,0))))))/Skills!G9,1)))/Inputs!$B$35),G596*V596)*IF(Inputs!$B$4="pvp",1,(1-Summary!$B$51)*(1)+Summary!$B$51*(MIN(Skills!Q9,Inputs!$B$37))),0)</f>
        <v/>
      </c>
      <c r="P596">
        <f>IF(B621=0,0,O596/B621)</f>
        <v/>
      </c>
      <c r="S596">
        <f>IF(AND(Inputs!$B$4&lt;&gt;"pvp",Inputs!$B$35&gt;0),(INT(Inputs!$B$35/IF(Inputs!$B$4="pvp",15,MAX(0.1,Skills!D9-IF(Skills!E9=TRUE,Inputs!$B$31,0))))+1),0)</f>
        <v/>
      </c>
      <c r="V596">
        <f>IFERROR(1/IF(Inputs!$B$4="pvp",15,MAX(0.1,Skills!D9-IF(Skills!E9=TRUE,Inputs!$B$31,0))),0)</f>
        <v/>
      </c>
    </row>
    <row r="597">
      <c r="A597">
        <f>Skills!A10</f>
        <v/>
      </c>
      <c r="B597">
        <f>Skills!B10</f>
        <v/>
      </c>
      <c r="C597">
        <f>Inputs!$B$3&gt;=113</f>
        <v/>
      </c>
      <c r="D597">
        <f>IF(Skills!C10=1,60+(Inputs!$B$24+1)+Inputs!$B$28,IF(Skills!C10=2,90+Inputs!$B$25+Inputs!$B$28,IF(Skills!C10=3,120+Inputs!$B$26+Inputs!$B$28,MAX(0,(Inputs!$B$3-100)*3)+Inputs!$B$27+Inputs!$B$28)))</f>
        <v/>
      </c>
      <c r="E597">
        <f>INDEX(FactorTable!$B$2:$Y$301, MATCH(ROUND(MIN(300,MAX(1,D597)),0), FactorTable!$A$2:$A$301,0), Skills!L10+1)</f>
        <v/>
      </c>
      <c r="F597">
        <f>IF(Skills!M10=TRUE,(Skills!K10/10)*(E597/1000),Skills!K10/10)+Skills!N10</f>
        <v/>
      </c>
      <c r="G597">
        <f>Calc!G10</f>
        <v/>
      </c>
      <c r="H597">
        <f>Calc!H10</f>
        <v/>
      </c>
      <c r="I597">
        <f>IF(Skills!T10&lt;&gt;"",1+(Skills!T10/10)*(R590/1000)/100,1)</f>
        <v/>
      </c>
      <c r="J597">
        <f>((Inputs!$B$5*(1+Inputs!$B$6/100))+((Inputs!$B$11*(1+Inputs!$B$12/100))-(Inputs!$B$11*(1+Inputs!$B$12/100)))*(1+Inputs!$B$6/100))*(F597/100)</f>
        <v/>
      </c>
      <c r="K597">
        <f>J597*(1+((Inputs!$B$11*(1+Inputs!$B$12/100))*0.01+Inputs!$B$13*0.0025)/100)*(1+(Inputs!$B$14+B615)/100)*(1+IF(Inputs!$B$4="pvp",0,(1-Summary!$B$51)*(Inputs!$B$19+Skills!O10+B614)+Summary!$B$51*(Inputs!$B$20+Skills!P10+B614))/100)*(1+Inputs!$B$15/100)*(5000/(6000+Inputs!$B$7*(1-Inputs!$B$18/100)))*(1+Inputs!$B$23/100)*(1+IF(C602=TRUE,F602,0)/100)*(1+IF(C610=TRUE,F610,0)/100)^5*(1+(IF(Skills!A10="CHAIN_LIGHTNING",Inputs!$B$16,Inputs!$B$17))/100)*(B613*I597)</f>
        <v/>
      </c>
      <c r="L597">
        <f>K597*(MIN(Inputs!$B$21+(F605-Calc!F18),Inputs!$B$22)/100+Inputs!$B$22/100)/2</f>
        <v/>
      </c>
      <c r="M597">
        <f>L597*(1+(Inputs!$B$9+(F608-Calc!F21))/100)</f>
        <v/>
      </c>
      <c r="N597">
        <f>L597*(1-MIN(Inputs!$B$8+((F607-Calc!F20)+(F606-Calc!F19)),100)/100)+M597*(MIN(Inputs!$B$8+((F607-Calc!F20)+(F606-Calc!F19)),100)/100)</f>
        <v/>
      </c>
      <c r="O597">
        <f>IF(C597,H597*N597*IF(AND(Inputs!$B$4&lt;&gt;"pvp",Inputs!$B$35&gt;0),((Skills!F10*((S597-1)*IF(Skills!G10&gt;0,Skills!H10/Skills!G10,1)+IF(Skills!G10&gt;0,MIN(Skills!H10,MAX(0,Inputs!$B$35-((S597-1)*IF(Inputs!$B$4="pvp",15,MAX(0.1,Skills!D10-IF(Skills!E9=TRUE,Inputs!$B$31,0))))))/Skills!G10,1)))/Inputs!$B$35),G597*V597)*IF(Inputs!$B$4="pvp",1,(1-Summary!$B$51)*(1)+Summary!$B$51*(MIN(Skills!Q10,Inputs!$B$37))),0)</f>
        <v/>
      </c>
      <c r="P597">
        <f>IF(B621=0,0,O597/B621)</f>
        <v/>
      </c>
      <c r="S597">
        <f>IF(AND(Inputs!$B$4&lt;&gt;"pvp",Inputs!$B$35&gt;0),(INT(Inputs!$B$35/IF(Inputs!$B$4="pvp",15,MAX(0.1,Skills!D10-IF(Skills!E9=TRUE,Inputs!$B$31,0))))+1),0)</f>
        <v/>
      </c>
      <c r="V597">
        <f>IFERROR(1/IF(Inputs!$B$4="pvp",15,MAX(0.1,Skills!D10-IF(Skills!E9=TRUE,Inputs!$B$31,0))),0)</f>
        <v/>
      </c>
    </row>
    <row r="598">
      <c r="A598">
        <f>Skills!A11</f>
        <v/>
      </c>
      <c r="B598">
        <f>Skills!B11</f>
        <v/>
      </c>
      <c r="C598">
        <f>Inputs!$B$3&gt;=107</f>
        <v/>
      </c>
      <c r="D598">
        <f>IF(Skills!C11=1,60+(Inputs!$B$24+1)+Inputs!$B$28,IF(Skills!C11=2,90+Inputs!$B$25+Inputs!$B$28,IF(Skills!C11=3,120+Inputs!$B$26+Inputs!$B$28,MAX(0,(Inputs!$B$3-100)*3)+Inputs!$B$27+Inputs!$B$28)))</f>
        <v/>
      </c>
      <c r="E598">
        <f>INDEX(FactorTable!$B$2:$Y$301, MATCH(ROUND(MIN(300,MAX(1,D598)),0), FactorTable!$A$2:$A$301,0), Skills!L11+1)</f>
        <v/>
      </c>
      <c r="F598">
        <f>IF(Skills!M11=TRUE,(Skills!K11/10)*(E598/1000),Skills!K11/10)+Skills!N11</f>
        <v/>
      </c>
      <c r="G598">
        <f>Calc!G11</f>
        <v/>
      </c>
      <c r="H598">
        <f>Calc!H11</f>
        <v/>
      </c>
      <c r="I598">
        <f>IF(Skills!T11&lt;&gt;"",1+(Skills!T11/10)*(R590/1000)/100,1)</f>
        <v/>
      </c>
      <c r="J598">
        <f>((Inputs!$B$5*(1+Inputs!$B$6/100))+((Inputs!$B$11*(1+Inputs!$B$12/100))-(Inputs!$B$11*(1+Inputs!$B$12/100)))*(1+Inputs!$B$6/100))*(F598/100)</f>
        <v/>
      </c>
      <c r="K598">
        <f>J598*(1+((Inputs!$B$11*(1+Inputs!$B$12/100))*0.01+Inputs!$B$13*0.0025)/100)*(1+(Inputs!$B$14+B615)/100)*(1+IF(Inputs!$B$4="pvp",0,(1-Summary!$B$51)*(Inputs!$B$19+Skills!O11+B614)+Summary!$B$51*(Inputs!$B$20+Skills!P11+B614))/100)*(1+Inputs!$B$15/100)*(5000/(6000+Inputs!$B$7*(1-Inputs!$B$18/100)))*(1+Inputs!$B$23/100)*(1+IF(C602=TRUE,F602,0)/100)*(1+IF(C610=TRUE,F610,0)/100)^5*(1+(IF(Skills!A11="CHAIN_LIGHTNING",Inputs!$B$16,Inputs!$B$17))/100)*(B613*I598)</f>
        <v/>
      </c>
      <c r="L598">
        <f>K598*(MIN(Inputs!$B$21+(F605-Calc!F18),Inputs!$B$22)/100+Inputs!$B$22/100)/2</f>
        <v/>
      </c>
      <c r="M598">
        <f>L598*(1+(Inputs!$B$9+(F608-Calc!F21))/100)</f>
        <v/>
      </c>
      <c r="N598">
        <f>L598*(1-MIN(Inputs!$B$8+((F607-Calc!F20)+(F606-Calc!F19)),100)/100)+M598*(MIN(Inputs!$B$8+((F607-Calc!F20)+(F606-Calc!F19)),100)/100)</f>
        <v/>
      </c>
      <c r="O598">
        <f>IF(C598,H598*N598*IF(AND(Inputs!$B$4&lt;&gt;"pvp",Inputs!$B$35&gt;0),((Skills!F11*((S598-1)*IF(Skills!G11&gt;0,Skills!H11/Skills!G11,1)+IF(Skills!G11&gt;0,MIN(Skills!H11,MAX(0,Inputs!$B$35-((S598-1)*IF(Inputs!$B$4="pvp",15,MAX(0.1,Skills!D11-IF(Skills!E11=TRUE,Inputs!$B$31,0))))))/Skills!G11,1)))/Inputs!$B$35),G598*V598)*IF(Inputs!$B$4="pvp",0.5,(1-Summary!$B$51)*0.5+Summary!$B$51*1)*IF(Inputs!$B$4="pvp",1,(1-Summary!$B$51)*(1)+Summary!$B$51*(MIN(Skills!Q11,Inputs!$B$37))),0)</f>
        <v/>
      </c>
      <c r="P598">
        <f>IF(B621=0,0,O598/B621)</f>
        <v/>
      </c>
      <c r="S598">
        <f>IF(AND(Inputs!$B$4&lt;&gt;"pvp",Inputs!$B$35&gt;0),(INT(Inputs!$B$35/IF(Inputs!$B$4="pvp",15,MAX(0.1,Skills!D11-IF(Skills!E11=TRUE,Inputs!$B$31,0))))+1),0)</f>
        <v/>
      </c>
      <c r="V598">
        <f>IFERROR(1/IF(Inputs!$B$4="pvp",15,MAX(0.1,Skills!D11-IF(Skills!E11=TRUE,Inputs!$B$31,0))),0)</f>
        <v/>
      </c>
    </row>
    <row r="599">
      <c r="A599">
        <f>Skills!A12</f>
        <v/>
      </c>
      <c r="B599">
        <f>Skills!B12</f>
        <v/>
      </c>
      <c r="C599">
        <f>Inputs!$B$3&gt;=115</f>
        <v/>
      </c>
      <c r="D599">
        <f>IF(Skills!C12=1,60+(Inputs!$B$24+1)+Inputs!$B$28,IF(Skills!C12=2,90+Inputs!$B$25+Inputs!$B$28,IF(Skills!C12=3,120+Inputs!$B$26+Inputs!$B$28,MAX(0,(Inputs!$B$3-100)*3)+Inputs!$B$27+Inputs!$B$28)))</f>
        <v/>
      </c>
      <c r="E599">
        <f>INDEX(FactorTable!$B$2:$Y$301, MATCH(ROUND(MIN(300,MAX(1,D599)),0), FactorTable!$A$2:$A$301,0), Skills!L12+1)</f>
        <v/>
      </c>
      <c r="F599">
        <f>IF(Skills!M12=TRUE,(Skills!K12/10)*(E599/1000),Skills!K12/10)+Skills!N12</f>
        <v/>
      </c>
      <c r="G599">
        <f>Calc!G12</f>
        <v/>
      </c>
      <c r="H599">
        <f>Calc!H12</f>
        <v/>
      </c>
      <c r="I599">
        <f>IF(Skills!T12&lt;&gt;"",1+(Skills!T12/10)*(R590/1000)/100,1)</f>
        <v/>
      </c>
      <c r="J599">
        <f>((Inputs!$B$5*(1+Inputs!$B$6/100))+((Inputs!$B$11*(1+Inputs!$B$12/100))-(Inputs!$B$11*(1+Inputs!$B$12/100)))*(1+Inputs!$B$6/100))*(F599/100)</f>
        <v/>
      </c>
      <c r="K599">
        <f>J599*(1+((Inputs!$B$11*(1+Inputs!$B$12/100))*0.01+Inputs!$B$13*0.0025)/100)*(1+(Inputs!$B$14+B615)/100)*(1+IF(Inputs!$B$4="pvp",0,(1-Summary!$B$51)*(Inputs!$B$19+Skills!O12+B614)+Summary!$B$51*(Inputs!$B$20+Skills!P12+B614))/100)*(1+Inputs!$B$15/100)*(5000/(6000+Inputs!$B$7*(1-Inputs!$B$18/100)))*(1+Inputs!$B$23/100)*(1+IF(C602=TRUE,F602,0)/100)*(1+IF(C610=TRUE,F610,0)/100)^5*(1+(IF(Skills!A12="CHAIN_LIGHTNING",Inputs!$B$16,Inputs!$B$17))/100)*(B613*I599)</f>
        <v/>
      </c>
      <c r="L599">
        <f>K599*(MIN(Inputs!$B$21+(F605-Calc!F18),Inputs!$B$22)/100+Inputs!$B$22/100)/2</f>
        <v/>
      </c>
      <c r="M599">
        <f>L599*(1+(Inputs!$B$9+(F608-Calc!F21))/100)</f>
        <v/>
      </c>
      <c r="N599">
        <f>L599*(1-MIN(Inputs!$B$8+((F607-Calc!F20)+(F606-Calc!F19)),100)/100)+M599*(MIN(Inputs!$B$8+((F607-Calc!F20)+(F606-Calc!F19)),100)/100)</f>
        <v/>
      </c>
      <c r="O599">
        <f>IF(C599,H599*N599*IF(AND(Inputs!$B$4&lt;&gt;"pvp",Inputs!$B$35&gt;0),((Skills!F12*((S599-1)*IF(Skills!G12&gt;0,Skills!H12/Skills!G12,1)+IF(Skills!G12&gt;0,MIN(Skills!H12,MAX(0,Inputs!$B$35-((S599-1)*IF(Inputs!$B$4="pvp",15,MAX(0.1,Skills!D12-IF(Skills!E12=TRUE,Inputs!$B$31,0))))))/Skills!G12,1)))/Inputs!$B$35),G599*V599)*IF(Inputs!$B$4="pvp",1,(1-Summary!$B$51)*(1)+Summary!$B$51*(MIN(Skills!Q12,Inputs!$B$37))),0)</f>
        <v/>
      </c>
      <c r="P599">
        <f>IF(B621=0,0,O599/B621)</f>
        <v/>
      </c>
      <c r="S599">
        <f>IF(AND(Inputs!$B$4&lt;&gt;"pvp",Inputs!$B$35&gt;0),(INT(Inputs!$B$35/IF(Inputs!$B$4="pvp",15,MAX(0.1,Skills!D12-IF(Skills!E12=TRUE,Inputs!$B$31,0))))+1),0)</f>
        <v/>
      </c>
      <c r="V599">
        <f>IFERROR(1/IF(Inputs!$B$4="pvp",15,MAX(0.1,Skills!D12-IF(Skills!E12=TRUE,Inputs!$B$31,0))),0)</f>
        <v/>
      </c>
    </row>
    <row r="600">
      <c r="A600">
        <f>Skills!A13</f>
        <v/>
      </c>
      <c r="B600">
        <f>Skills!B13</f>
        <v/>
      </c>
      <c r="C600">
        <f>Inputs!$B$3&gt;=49</f>
        <v/>
      </c>
      <c r="D600">
        <f>IF(Skills!C13=1,60+(Inputs!$B$24+1)+Inputs!$B$28,IF(Skills!C13=2,90+Inputs!$B$25+Inputs!$B$28,IF(Skills!C13=3,120+Inputs!$B$26+Inputs!$B$28,MAX(0,(Inputs!$B$3-100)*3)+Inputs!$B$27+Inputs!$B$28)))</f>
        <v/>
      </c>
      <c r="E600">
        <f>INDEX(FactorTable!$B$2:$Y$301, MATCH(ROUND(MIN(300,MAX(1,D600)),0), FactorTable!$A$2:$A$301,0), Skills!L13+1)</f>
        <v/>
      </c>
      <c r="F600">
        <f>IF(Skills!M13=TRUE,(Skills!K13/10)*(E600/1000),Skills!K13/10)+Skills!N13</f>
        <v/>
      </c>
      <c r="G600">
        <f>Calc!G13</f>
        <v/>
      </c>
      <c r="H600">
        <f>Calc!H13</f>
        <v/>
      </c>
      <c r="I600">
        <f>IF(Skills!T13&lt;&gt;"",1+(Skills!T13/10)*(R590/1000)/100,1)</f>
        <v/>
      </c>
      <c r="J600" t="inlineStr"/>
      <c r="K600" t="inlineStr"/>
      <c r="L600" t="inlineStr"/>
      <c r="M600" t="inlineStr"/>
      <c r="N600" t="inlineStr"/>
      <c r="O600" t="n">
        <v>0</v>
      </c>
      <c r="P600">
        <f>IF(B621=0,0,O600/B621)</f>
        <v/>
      </c>
      <c r="S600" t="n">
        <v>0</v>
      </c>
      <c r="V600">
        <f>IFERROR(1/IF(Inputs!$B$4="pvp",15,MAX(0.1,Skills!D13-IF(Skills!E13=TRUE,Inputs!$B$31,0))),0)</f>
        <v/>
      </c>
    </row>
    <row r="601">
      <c r="A601">
        <f>Skills!A14</f>
        <v/>
      </c>
      <c r="B601">
        <f>Skills!B14</f>
        <v/>
      </c>
      <c r="C601">
        <f>Inputs!$B$3&gt;=72</f>
        <v/>
      </c>
      <c r="D601">
        <f>IF(Skills!C14=1,60+(Inputs!$B$24+1)+Inputs!$B$28,IF(Skills!C14=2,90+Inputs!$B$25+Inputs!$B$28,IF(Skills!C14=3,120+Inputs!$B$26+Inputs!$B$28,MAX(0,(Inputs!$B$3-100)*3)+Inputs!$B$27+Inputs!$B$28)))</f>
        <v/>
      </c>
      <c r="E601">
        <f>INDEX(FactorTable!$B$2:$Y$301, MATCH(ROUND(MIN(300,MAX(1,D601)),0), FactorTable!$A$2:$A$301,0), Skills!L14+1)</f>
        <v/>
      </c>
      <c r="F601">
        <f>IF(Skills!M14=TRUE,(Skills!K14/10)*(E601/1000),Skills!K14/10)+Skills!N14</f>
        <v/>
      </c>
      <c r="G601">
        <f>Calc!G14</f>
        <v/>
      </c>
      <c r="H601">
        <f>Calc!H14</f>
        <v/>
      </c>
      <c r="I601">
        <f>IF(Skills!T14&lt;&gt;"",1+(Skills!T14/10)*(R590/1000)/100,1)</f>
        <v/>
      </c>
      <c r="J601" t="inlineStr"/>
      <c r="K601" t="inlineStr"/>
      <c r="L601" t="inlineStr"/>
      <c r="M601" t="inlineStr"/>
      <c r="N601" t="inlineStr"/>
      <c r="O601" t="n">
        <v>0</v>
      </c>
      <c r="P601">
        <f>IF(B621=0,0,O601/B621)</f>
        <v/>
      </c>
      <c r="S601" t="n">
        <v>0</v>
      </c>
      <c r="V601">
        <f>IFERROR(1/IF(Inputs!$B$4="pvp",15,MAX(0.1,Skills!D14-IF(Skills!E14=TRUE,Inputs!$B$31,0))),0)</f>
        <v/>
      </c>
    </row>
    <row r="602">
      <c r="A602">
        <f>Skills!A15</f>
        <v/>
      </c>
      <c r="B602">
        <f>Skills!B15</f>
        <v/>
      </c>
      <c r="C602">
        <f>Inputs!$B$3&gt;=75</f>
        <v/>
      </c>
      <c r="D602">
        <f>IF(Skills!C15=1,60+(Inputs!$B$24+1)+Inputs!$B$28,IF(Skills!C15=2,90+Inputs!$B$25+Inputs!$B$28,IF(Skills!C15=3,120+Inputs!$B$26+Inputs!$B$28,MAX(0,(Inputs!$B$3-100)*3)+Inputs!$B$27+Inputs!$B$28)))</f>
        <v/>
      </c>
      <c r="E602">
        <f>INDEX(FactorTable!$B$2:$Y$301, MATCH(ROUND(MIN(300,MAX(1,D602)),0), FactorTable!$A$2:$A$301,0), Skills!L15+1)</f>
        <v/>
      </c>
      <c r="F602">
        <f>IF(Skills!M15=TRUE,(Skills!K15/10)*(E602/1000),Skills!K15/10)+Skills!N15</f>
        <v/>
      </c>
      <c r="G602">
        <f>Calc!G15</f>
        <v/>
      </c>
      <c r="H602">
        <f>Calc!H15</f>
        <v/>
      </c>
      <c r="I602">
        <f>IF(Skills!T15&lt;&gt;"",1+(Skills!T15/10)*(R590/1000)/100,1)</f>
        <v/>
      </c>
      <c r="J602" t="inlineStr"/>
      <c r="K602" t="inlineStr"/>
      <c r="L602" t="inlineStr"/>
      <c r="M602" t="inlineStr"/>
      <c r="N602" t="inlineStr"/>
      <c r="O602" t="n">
        <v>0</v>
      </c>
      <c r="P602">
        <f>IF(B621=0,0,O602/B621)</f>
        <v/>
      </c>
      <c r="S602" t="n">
        <v>0</v>
      </c>
      <c r="V602">
        <f>IFERROR(1/IF(Inputs!$B$4="pvp",15,MAX(0.1,Skills!D15-IF(Skills!E15=TRUE,Inputs!$B$31,0))),0)</f>
        <v/>
      </c>
    </row>
    <row r="603">
      <c r="A603">
        <f>Skills!A16</f>
        <v/>
      </c>
      <c r="B603">
        <f>Skills!B16</f>
        <v/>
      </c>
      <c r="C603">
        <f>Inputs!$B$3&gt;=110</f>
        <v/>
      </c>
      <c r="D603">
        <f>IF(Skills!C16=1,60+(Inputs!$B$24+1)+Inputs!$B$28,IF(Skills!C16=2,90+Inputs!$B$25+Inputs!$B$28,IF(Skills!C16=3,120+Inputs!$B$26+Inputs!$B$28,MAX(0,(Inputs!$B$3-100)*3)+Inputs!$B$27+Inputs!$B$28)))</f>
        <v/>
      </c>
      <c r="E603">
        <f>INDEX(FactorTable!$B$2:$Y$301, MATCH(ROUND(MIN(300,MAX(1,D603)),0), FactorTable!$A$2:$A$301,0), Skills!L16+1)</f>
        <v/>
      </c>
      <c r="F603">
        <f>(Skills!K16/10)*(E603/1000)*64/45+Skills!N16</f>
        <v/>
      </c>
      <c r="G603">
        <f>Calc!G16</f>
        <v/>
      </c>
      <c r="H603">
        <f>Calc!H16</f>
        <v/>
      </c>
      <c r="I603">
        <f>IF(Skills!T16&lt;&gt;"",1+(Skills!T16/10)*(R590/1000)/100,1)</f>
        <v/>
      </c>
      <c r="J603" t="inlineStr"/>
      <c r="K603" t="inlineStr"/>
      <c r="L603" t="inlineStr"/>
      <c r="M603" t="inlineStr"/>
      <c r="N603" t="inlineStr"/>
      <c r="O603" t="n">
        <v>0</v>
      </c>
      <c r="P603">
        <f>IF(B621=0,0,O603/B621)</f>
        <v/>
      </c>
      <c r="S603">
        <f>IF(AND(Inputs!$B$4&lt;&gt;"pvp",Inputs!$B$35&gt;0),(INT(Inputs!$B$35/IF(Inputs!$B$4="pvp",15,MAX(0.1,Skills!D16-IF(Skills!E16=TRUE,Inputs!$B$31,0))))+1),0)</f>
        <v/>
      </c>
      <c r="V603">
        <f>IFERROR(1/IF(Inputs!$B$4="pvp",15,MAX(0.1,Skills!D16-IF(Skills!E16=TRUE,Inputs!$B$31,0))),0)</f>
        <v/>
      </c>
    </row>
    <row r="604">
      <c r="A604">
        <f>Skills!A17</f>
        <v/>
      </c>
      <c r="B604">
        <f>Skills!B17</f>
        <v/>
      </c>
      <c r="C604">
        <f>Inputs!$B$3&gt;=33</f>
        <v/>
      </c>
      <c r="D604">
        <f>IF(Skills!C17=1,60+(Inputs!$B$24+1)+Inputs!$B$28,IF(Skills!C17=2,90+Inputs!$B$25+Inputs!$B$28,IF(Skills!C17=3,120+Inputs!$B$26+Inputs!$B$28,MAX(0,(Inputs!$B$3-100)*3)+Inputs!$B$27+Inputs!$B$28)))</f>
        <v/>
      </c>
      <c r="E604">
        <f>INDEX(FactorTable!$B$2:$Y$301, MATCH(ROUND(MIN(300,MAX(1,D604)),0), FactorTable!$A$2:$A$301,0), Skills!L17+1)</f>
        <v/>
      </c>
      <c r="F604">
        <f>IF(Skills!M17=TRUE,(Skills!K17/10)*(E604/1000),Skills!K17/10)+Skills!N17</f>
        <v/>
      </c>
      <c r="G604">
        <f>Calc!G17</f>
        <v/>
      </c>
      <c r="H604">
        <f>Calc!H17</f>
        <v/>
      </c>
      <c r="I604">
        <f>IF(Skills!T17&lt;&gt;"",1+(Skills!T17/10)*(R590/1000)/100,1)</f>
        <v/>
      </c>
      <c r="J604" t="inlineStr"/>
      <c r="K604" t="inlineStr"/>
      <c r="L604" t="inlineStr"/>
      <c r="M604" t="inlineStr"/>
      <c r="N604" t="inlineStr"/>
      <c r="O604" t="n">
        <v>0</v>
      </c>
      <c r="P604">
        <f>IF(B621=0,0,O604/B621)</f>
        <v/>
      </c>
      <c r="S604" t="n">
        <v>0</v>
      </c>
      <c r="V604">
        <f>IFERROR(1/IF(Inputs!$B$4="pvp",15,MAX(0.1,Skills!D17-IF(Skills!E17=TRUE,Inputs!$B$31,0))),0)</f>
        <v/>
      </c>
    </row>
    <row r="605">
      <c r="A605">
        <f>Skills!A18</f>
        <v/>
      </c>
      <c r="B605">
        <f>Skills!B18</f>
        <v/>
      </c>
      <c r="C605">
        <f>Inputs!$B$3&gt;=43</f>
        <v/>
      </c>
      <c r="D605">
        <f>IF(Skills!C18=1,60+(Inputs!$B$24+1)+Inputs!$B$28,IF(Skills!C18=2,90+Inputs!$B$25+Inputs!$B$28,IF(Skills!C18=3,120+Inputs!$B$26+Inputs!$B$28,MAX(0,(Inputs!$B$3-100)*3)+Inputs!$B$27+Inputs!$B$28)))</f>
        <v/>
      </c>
      <c r="E605">
        <f>INDEX(FactorTable!$B$2:$Y$301, MATCH(ROUND(MIN(300,MAX(1,D605)),0), FactorTable!$A$2:$A$301,0), Skills!L18+1)</f>
        <v/>
      </c>
      <c r="F605">
        <f>IF(Skills!M18=TRUE,(Skills!K18/10)*(E605/1000),Skills!K18/10)+Skills!N18</f>
        <v/>
      </c>
      <c r="G605">
        <f>Calc!G18</f>
        <v/>
      </c>
      <c r="H605">
        <f>Calc!H18</f>
        <v/>
      </c>
      <c r="I605">
        <f>IF(Skills!T18&lt;&gt;"",1+(Skills!T18/10)*(R590/1000)/100,1)</f>
        <v/>
      </c>
      <c r="J605" t="inlineStr"/>
      <c r="K605" t="inlineStr"/>
      <c r="L605" t="inlineStr"/>
      <c r="M605" t="inlineStr"/>
      <c r="N605" t="inlineStr"/>
      <c r="O605" t="n">
        <v>0</v>
      </c>
      <c r="P605">
        <f>IF(B621=0,0,O605/B621)</f>
        <v/>
      </c>
      <c r="S605" t="n">
        <v>0</v>
      </c>
      <c r="V605">
        <f>IFERROR(1/IF(Inputs!$B$4="pvp",15,MAX(0.1,Skills!D18-IF(Skills!E18=TRUE,Inputs!$B$31,0))),0)</f>
        <v/>
      </c>
    </row>
    <row r="606">
      <c r="A606">
        <f>Skills!A19</f>
        <v/>
      </c>
      <c r="B606">
        <f>Skills!B19</f>
        <v/>
      </c>
      <c r="C606">
        <f>Inputs!$B$3&gt;=50</f>
        <v/>
      </c>
      <c r="D606">
        <f>IF(Skills!C19=1,60+(Inputs!$B$24+1)+Inputs!$B$28,IF(Skills!C19=2,90+Inputs!$B$25+Inputs!$B$28,IF(Skills!C19=3,120+Inputs!$B$26+Inputs!$B$28,MAX(0,(Inputs!$B$3-100)*3)+Inputs!$B$27+Inputs!$B$28)))</f>
        <v/>
      </c>
      <c r="E606">
        <f>INDEX(FactorTable!$B$2:$Y$301, MATCH(ROUND(MIN(300,MAX(1,D606)),0), FactorTable!$A$2:$A$301,0), Skills!L19+1)</f>
        <v/>
      </c>
      <c r="F606">
        <f>IF(Skills!M19=TRUE,(Skills!K19/10)*(E606/1000),Skills!K19/10)+Skills!N19</f>
        <v/>
      </c>
      <c r="G606">
        <f>Calc!G19</f>
        <v/>
      </c>
      <c r="H606">
        <f>Calc!H19</f>
        <v/>
      </c>
      <c r="I606">
        <f>IF(Skills!T19&lt;&gt;"",1+(Skills!T19/10)*(R590/1000)/100,1)</f>
        <v/>
      </c>
      <c r="J606" t="inlineStr"/>
      <c r="K606" t="inlineStr"/>
      <c r="L606" t="inlineStr"/>
      <c r="M606" t="inlineStr"/>
      <c r="N606" t="inlineStr"/>
      <c r="O606" t="n">
        <v>0</v>
      </c>
      <c r="P606">
        <f>IF(B621=0,0,O606/B621)</f>
        <v/>
      </c>
      <c r="S606" t="n">
        <v>0</v>
      </c>
      <c r="V606">
        <f>IFERROR(1/IF(Inputs!$B$4="pvp",15,MAX(0.1,Skills!D19-IF(Skills!E19=TRUE,Inputs!$B$31,0))),0)</f>
        <v/>
      </c>
    </row>
    <row r="607">
      <c r="A607">
        <f>Skills!A20</f>
        <v/>
      </c>
      <c r="B607">
        <f>Skills!B20</f>
        <v/>
      </c>
      <c r="C607">
        <f>Inputs!$B$3&gt;=74</f>
        <v/>
      </c>
      <c r="D607">
        <f>IF(Skills!C20=1,60+(Inputs!$B$24+1)+Inputs!$B$28,IF(Skills!C20=2,90+Inputs!$B$25+Inputs!$B$28,IF(Skills!C20=3,120+Inputs!$B$26+Inputs!$B$28,MAX(0,(Inputs!$B$3-100)*3)+Inputs!$B$27+Inputs!$B$28)))</f>
        <v/>
      </c>
      <c r="E607">
        <f>INDEX(FactorTable!$B$2:$Y$301, MATCH(ROUND(MIN(300,MAX(1,D607)),0), FactorTable!$A$2:$A$301,0), Skills!L20+1)</f>
        <v/>
      </c>
      <c r="F607">
        <f>IF(Skills!M20=TRUE,(Skills!K20/10)*(E607/1000),Skills!K20/10)+Skills!N20</f>
        <v/>
      </c>
      <c r="G607">
        <f>Calc!G20</f>
        <v/>
      </c>
      <c r="H607">
        <f>Calc!H20</f>
        <v/>
      </c>
      <c r="I607">
        <f>IF(Skills!T20&lt;&gt;"",1+(Skills!T20/10)*(R590/1000)/100,1)</f>
        <v/>
      </c>
      <c r="J607" t="inlineStr"/>
      <c r="K607" t="inlineStr"/>
      <c r="L607" t="inlineStr"/>
      <c r="M607" t="inlineStr"/>
      <c r="N607" t="inlineStr"/>
      <c r="O607" t="n">
        <v>0</v>
      </c>
      <c r="P607">
        <f>IF(B621=0,0,O607/B621)</f>
        <v/>
      </c>
      <c r="S607" t="n">
        <v>0</v>
      </c>
      <c r="V607">
        <f>IFERROR(1/IF(Inputs!$B$4="pvp",15,MAX(0.1,Skills!D20-IF(Skills!E20=TRUE,Inputs!$B$31,0))),0)</f>
        <v/>
      </c>
    </row>
    <row r="608">
      <c r="A608">
        <f>Skills!A21</f>
        <v/>
      </c>
      <c r="B608">
        <f>Skills!B21</f>
        <v/>
      </c>
      <c r="C608">
        <f>Inputs!$B$3&gt;=74</f>
        <v/>
      </c>
      <c r="D608">
        <f>IF(Skills!C21=1,60+(Inputs!$B$24+1)+Inputs!$B$28,IF(Skills!C21=2,90+Inputs!$B$25+Inputs!$B$28,IF(Skills!C21=3,120+Inputs!$B$26+Inputs!$B$28,MAX(0,(Inputs!$B$3-100)*3)+Inputs!$B$27+Inputs!$B$28)))</f>
        <v/>
      </c>
      <c r="E608">
        <f>INDEX(FactorTable!$B$2:$Y$301, MATCH(ROUND(MIN(300,MAX(1,D608)),0), FactorTable!$A$2:$A$301,0), Skills!L21+1)</f>
        <v/>
      </c>
      <c r="F608">
        <f>IF(Skills!M21=TRUE,(Skills!K21/10)*(E608/1000),Skills!K21/10)+Skills!N21</f>
        <v/>
      </c>
      <c r="G608">
        <f>Calc!G21</f>
        <v/>
      </c>
      <c r="H608">
        <f>Calc!H21</f>
        <v/>
      </c>
      <c r="I608">
        <f>IF(Skills!T21&lt;&gt;"",1+(Skills!T21/10)*(R590/1000)/100,1)</f>
        <v/>
      </c>
      <c r="J608" t="inlineStr"/>
      <c r="K608" t="inlineStr"/>
      <c r="L608" t="inlineStr"/>
      <c r="M608" t="inlineStr"/>
      <c r="N608" t="inlineStr"/>
      <c r="O608" t="n">
        <v>0</v>
      </c>
      <c r="P608">
        <f>IF(B621=0,0,O608/B621)</f>
        <v/>
      </c>
      <c r="S608" t="n">
        <v>0</v>
      </c>
      <c r="V608">
        <f>IFERROR(1/IF(Inputs!$B$4="pvp",15,MAX(0.1,Skills!D21-IF(Skills!E21=TRUE,Inputs!$B$31,0))),0)</f>
        <v/>
      </c>
    </row>
    <row r="609">
      <c r="A609">
        <f>Skills!A22</f>
        <v/>
      </c>
      <c r="B609">
        <f>Skills!B22</f>
        <v/>
      </c>
      <c r="C609">
        <f>Inputs!$B$3&gt;=117</f>
        <v/>
      </c>
      <c r="D609">
        <f>IF(Skills!C22=1,60+(Inputs!$B$24+1)+Inputs!$B$28,IF(Skills!C22=2,90+Inputs!$B$25+Inputs!$B$28,IF(Skills!C22=3,120+Inputs!$B$26+Inputs!$B$28,MAX(0,(Inputs!$B$3-100)*3)+Inputs!$B$27+Inputs!$B$28)))</f>
        <v/>
      </c>
      <c r="E609">
        <f>INDEX(FactorTable!$B$2:$Y$301, MATCH(ROUND(MIN(300,MAX(1,D609)),0), FactorTable!$A$2:$A$301,0), Skills!L22+1)</f>
        <v/>
      </c>
      <c r="F609">
        <f>IF(Skills!M22=TRUE,(Skills!K22/10)*(E609/1000),Skills!K22/10)+Skills!N22</f>
        <v/>
      </c>
      <c r="G609">
        <f>Calc!G22</f>
        <v/>
      </c>
      <c r="H609">
        <f>Calc!H22</f>
        <v/>
      </c>
      <c r="I609">
        <f>IF(Skills!T22&lt;&gt;"",1+(Skills!T22/10)*(R590/1000)/100,1)</f>
        <v/>
      </c>
      <c r="J609" t="inlineStr"/>
      <c r="K609" t="inlineStr"/>
      <c r="L609" t="inlineStr"/>
      <c r="M609" t="inlineStr"/>
      <c r="N609" t="inlineStr"/>
      <c r="O609" t="n">
        <v>0</v>
      </c>
      <c r="P609">
        <f>IF(B621=0,0,O609/B621)</f>
        <v/>
      </c>
      <c r="S609" t="n">
        <v>0</v>
      </c>
      <c r="V609">
        <f>IFERROR(1/IF(Inputs!$B$4="pvp",15,MAX(0.1,Skills!D22-IF(Skills!E22=TRUE,Inputs!$B$31,0))),0)</f>
        <v/>
      </c>
    </row>
    <row r="610">
      <c r="A610">
        <f>Skills!A23</f>
        <v/>
      </c>
      <c r="B610">
        <f>Skills!B23</f>
        <v/>
      </c>
      <c r="C610">
        <f>Inputs!$B$3&gt;=120</f>
        <v/>
      </c>
      <c r="D610">
        <f>IF(Skills!C23=1,60+(Inputs!$B$24+1)+Inputs!$B$28,IF(Skills!C23=2,90+Inputs!$B$25+Inputs!$B$28,IF(Skills!C23=3,120+Inputs!$B$26+Inputs!$B$28,MAX(0,(Inputs!$B$3-100)*3)+Inputs!$B$27+Inputs!$B$28)))</f>
        <v/>
      </c>
      <c r="E610">
        <f>INDEX(FactorTable!$B$2:$Y$301, MATCH(ROUND(MIN(300,MAX(1,D610)),0), FactorTable!$A$2:$A$301,0), Skills!L23+1)</f>
        <v/>
      </c>
      <c r="F610">
        <f>IF(Skills!M23=TRUE,(Skills!K23/10)*(E610/1000),Skills!K23/10)+Skills!N23</f>
        <v/>
      </c>
      <c r="G610">
        <f>Calc!G23</f>
        <v/>
      </c>
      <c r="H610">
        <f>Calc!H23</f>
        <v/>
      </c>
      <c r="I610">
        <f>IF(Skills!T23&lt;&gt;"",1+(Skills!T23/10)*(R590/1000)/100,1)</f>
        <v/>
      </c>
      <c r="J610" t="inlineStr"/>
      <c r="K610" t="inlineStr"/>
      <c r="L610" t="inlineStr"/>
      <c r="M610" t="inlineStr"/>
      <c r="N610" t="inlineStr"/>
      <c r="O610" t="n">
        <v>0</v>
      </c>
      <c r="P610">
        <f>IF(B621=0,0,O610/B621)</f>
        <v/>
      </c>
      <c r="S610" t="n">
        <v>0</v>
      </c>
      <c r="V610">
        <f>IFERROR(1/IF(Inputs!$B$4="pvp",15,MAX(0.1,Skills!D23-IF(Skills!E23=TRUE,Inputs!$B$31,0))),0)</f>
        <v/>
      </c>
    </row>
    <row r="613">
      <c r="A613" t="inlineStr">
        <is>
          <t>Average Buff Multiplier (Magic Guard + Meditation, summed; then Infinity)</t>
        </is>
      </c>
      <c r="B613">
        <f>(1+(IF(C590=TRUE,F590*IF(AND(Inputs!$B$4&lt;&gt;"pvp",Inputs!$B$35&gt;0),(((S590-1)*(Skills!S3*(1+(Inputs!$B$33+IF(Inputs!$B$3&gt;=117,F609,0))/100))+MIN((Skills!S3*(1+(Inputs!$B$33+IF(Inputs!$B$3&gt;=117,F609,0))/100)),MAX(0,Inputs!$B$35-((S590-1)*Skills!D3))))/Inputs!$B$35),IF(Inputs!$B$4="pvp",MIN((Skills!S3*(1+(Inputs!$B$33+IF(Inputs!$B$3&gt;=117,F609,0))/100)),15)/15,(Skills!S3*(1+(Inputs!$B$33+IF(Inputs!$B$3&gt;=117,F609,0))/100))/Skills!D3)),0)+IF(C591=TRUE,F591*IF(AND(Inputs!$B$4&lt;&gt;"pvp",Inputs!$B$35&gt;0),(((S591-1)*(Skills!S4*(1+(Inputs!$B$33+IF(Inputs!$B$3&gt;=117,F609,0))/100))+MIN((Skills!S4*(1+(Inputs!$B$33+IF(Inputs!$B$3&gt;=117,F609,0))/100)),MAX(0,Inputs!$B$35-((S591-1)*Skills!D4))))/Inputs!$B$35),IF(Inputs!$B$4="pvp",MIN((Skills!S4*(1+(Inputs!$B$33+IF(Inputs!$B$3&gt;=117,F609,0))/100)),15)/15,(Skills!S4*(1+(Inputs!$B$33+IF(Inputs!$B$3&gt;=117,F609,0))/100))/Skills!D4)),0))/100)*IF(C603=TRUE,(1+F603*IF(AND(Inputs!$B$4&lt;&gt;"pvp",Inputs!$B$35&gt;0),(((S603-1)*(Skills!S16*(1+(Inputs!$B$33+IF(Inputs!$B$3&gt;=117,F609,0))/100))+MIN((Skills!S16*(1+(Inputs!$B$33+IF(Inputs!$B$3&gt;=117,F609,0))/100)),MAX(0,Inputs!$B$35-((S603-1)*Skills!D16))))/Inputs!$B$35),IF(Inputs!$B$4="pvp",MIN((Skills!S16*(1+(Inputs!$B$33+IF(Inputs!$B$3&gt;=117,F609,0))/100)),15)/15,(Skills!S16*(1+(Inputs!$B$33+IF(Inputs!$B$3&gt;=117,F609,0))/100))/Skills!D16))/100),1)</f>
        <v/>
      </c>
    </row>
    <row r="614">
      <c r="A614" t="inlineStr">
        <is>
          <t>Monster Damage Taken Bonus % (Freezing Breath - Weaken + Elemental Reset, summed)</t>
        </is>
      </c>
      <c r="B614">
        <f>IF(Inputs!$B$3&gt;=118,15*IF(Inputs!$B$4="pvp",MIN((30*(1+(Inputs!$B$33+IF(Inputs!$B$3&gt;=117,F609,0))/100)),15)/15,(30*(1+(Inputs!$B$33+IF(Inputs!$B$3&gt;=117,F609,0))/100))/Skills!D8),0)+IF(C601=TRUE,F601,0)</f>
        <v/>
      </c>
    </row>
    <row r="615">
      <c r="A615" t="inlineStr">
        <is>
          <t>Damage % Bonus (Frozen Break + Frost Clutch, flat)</t>
        </is>
      </c>
      <c r="B615">
        <f>IF(Inputs!$B$3&gt;=66,15,0)+IF(Inputs!$B$3&gt;=98,10,0)+IF(Inputs!$B$3&gt;=125,20,0)</f>
        <v/>
      </c>
    </row>
    <row r="616">
      <c r="A616" t="inlineStr">
        <is>
          <t>Attack Speed Bonus % (MP Eater - MP Boost, always-on once unlocked)</t>
        </is>
      </c>
      <c r="B616">
        <f>IF(C600=TRUE,F600+(F604-Calc!F17),0)</f>
        <v/>
      </c>
    </row>
    <row r="617">
      <c r="A617" t="inlineStr">
        <is>
          <t>Actions Per Second</t>
        </is>
      </c>
      <c r="B617">
        <f>1+MIN(150,150*(1-(1-Inputs!$B$10/150)*(1-B616/150)))/100</f>
        <v/>
      </c>
    </row>
    <row r="618">
      <c r="A618" t="inlineStr">
        <is>
          <t>Skill + Buff Cast Rate</t>
        </is>
      </c>
      <c r="B618">
        <f>IF(AND(Inputs!$B$4&lt;&gt;"pvp",Inputs!$B$35&gt;0),SUMPRODUCT((Skills!E2:E23=TRUE)*(C589:C610=TRUE)*S589:S610)/Inputs!$B$35,SUMPRODUCT((Skills!E2:E23=TRUE)*(C589:C610=TRUE)*V589:V610))</f>
        <v/>
      </c>
    </row>
    <row r="619">
      <c r="A619" t="inlineStr">
        <is>
          <t>Chain Lightning Casts Per Second</t>
        </is>
      </c>
      <c r="B619">
        <f>MAX(0,B617-B618)</f>
        <v/>
      </c>
    </row>
    <row r="621">
      <c r="A621" s="5" t="inlineStr">
        <is>
          <t>TOTAL DPS</t>
        </is>
      </c>
      <c r="B621" s="5">
        <f>SUM(O589:O610)</f>
        <v/>
      </c>
    </row>
    <row r="624">
      <c r="A624" s="5" t="inlineStr">
        <is>
          <t>Stat: Skill Level Bonus — 2nd Job</t>
        </is>
      </c>
    </row>
    <row r="625">
      <c r="A625" s="8" t="inlineStr">
        <is>
          <t>Key</t>
        </is>
      </c>
      <c r="B625" s="8" t="inlineStr">
        <is>
          <t>Name</t>
        </is>
      </c>
      <c r="C625" s="8" t="inlineStr">
        <is>
          <t>Unlocked</t>
        </is>
      </c>
      <c r="D625" s="8" t="inlineStr">
        <is>
          <t>InputLevel</t>
        </is>
      </c>
      <c r="E625" s="8" t="inlineStr">
        <is>
          <t>Factor</t>
        </is>
      </c>
      <c r="F625" s="8" t="inlineStr">
        <is>
          <t>CoefficientPercent</t>
        </is>
      </c>
      <c r="G625" s="8" t="inlineStr">
        <is>
          <t>EffectiveHits</t>
        </is>
      </c>
      <c r="H625" s="8" t="inlineStr">
        <is>
          <t>ProcProbability</t>
        </is>
      </c>
      <c r="I625" s="8" t="inlineStr">
        <is>
          <t>MapleHeroMultiplier</t>
        </is>
      </c>
      <c r="J625" s="8" t="inlineStr">
        <is>
          <t>BaseDamage</t>
        </is>
      </c>
      <c r="K625" s="8" t="inlineStr">
        <is>
          <t>BaseHitDamage</t>
        </is>
      </c>
      <c r="L625" s="8" t="inlineStr">
        <is>
          <t>NonCritAvg</t>
        </is>
      </c>
      <c r="M625" s="8" t="inlineStr">
        <is>
          <t>CritAvg</t>
        </is>
      </c>
      <c r="N625" s="8" t="inlineStr">
        <is>
          <t>ExpectedDamage(perHit)</t>
        </is>
      </c>
      <c r="O625" s="8" t="inlineStr">
        <is>
          <t>DPS</t>
        </is>
      </c>
      <c r="P625" s="8" t="inlineStr">
        <is>
          <t>% of Total</t>
        </is>
      </c>
      <c r="R625" t="inlineStr">
        <is>
          <t>helpers</t>
        </is>
      </c>
    </row>
    <row r="626">
      <c r="A626">
        <f>Skills!A2</f>
        <v/>
      </c>
      <c r="B626">
        <f>Skills!B2</f>
        <v/>
      </c>
      <c r="C626">
        <f>Inputs!$B$3&gt;=100</f>
        <v/>
      </c>
      <c r="D626" t="inlineStr"/>
      <c r="E626" t="inlineStr"/>
      <c r="F626">
        <f>T628+Skills!N2</f>
        <v/>
      </c>
      <c r="G626">
        <f>Calc!G2</f>
        <v/>
      </c>
      <c r="H626">
        <f>Calc!H2</f>
        <v/>
      </c>
      <c r="I626">
        <f>IF(Skills!T2&lt;&gt;"",1+(Skills!T2/10)*(R627/1000)/100,1)</f>
        <v/>
      </c>
      <c r="J626">
        <f>((Inputs!$B$5*(1+Inputs!$B$6/100))+((Inputs!$B$11*(1+Inputs!$B$12/100))-(Inputs!$B$11*(1+Inputs!$B$12/100)))*(1+Inputs!$B$6/100))*(F626/100)</f>
        <v/>
      </c>
      <c r="K626">
        <f>J626*(1+((Inputs!$B$11*(1+Inputs!$B$12/100))*0.01+Inputs!$B$13*0.0025)/100)*(1+(Inputs!$B$14+B652)/100)*(1+IF(Inputs!$B$4="pvp",0,(1-Summary!$B$51)*(Inputs!$B$19+Skills!O2+B651)+Summary!$B$51*(Inputs!$B$20+Skills!P2+B651))/100)*(1+Inputs!$B$15/100)*(5000/(6000+Inputs!$B$7*(1-Inputs!$B$18/100)))*(1+Inputs!$B$23/100)*(1+IF(C639=TRUE,F639,0)/100)*(1+IF(C647=TRUE,F647,0)/100)^5*(1+(IF(Skills!A2="CHAIN_LIGHTNING",Inputs!$B$16,Inputs!$B$17))/100)*(B650*I626)</f>
        <v/>
      </c>
      <c r="L626">
        <f>K626*(MIN(Inputs!$B$21+(F642-Calc!F18),Inputs!$B$22)/100+Inputs!$B$22/100)/2</f>
        <v/>
      </c>
      <c r="M626">
        <f>L626*(1+(Inputs!$B$9+(F645-Calc!F21))/100)</f>
        <v/>
      </c>
      <c r="N626">
        <f>L626*(1-MIN(Inputs!$B$8+((F644-Calc!F20)+(F643-Calc!F19)),100)/100)+M626*(MIN(Inputs!$B$8+((F644-Calc!F20)+(F643-Calc!F19)),100)/100)</f>
        <v/>
      </c>
      <c r="O626">
        <f>IF(C626,Skills!F2*N626*B656*IF(Inputs!$B$4="pvp",1,(1-Summary!$B$51)*(1)+Summary!$B$51*(MIN((6+Inputs!$B$32),Inputs!$B$37))),0)</f>
        <v/>
      </c>
      <c r="P626">
        <f>IF(B658=0,0,O626/B658)</f>
        <v/>
      </c>
      <c r="R626">
        <f>MAX(0,(Inputs!$B$3-100)*3)+Inputs!$B$27+Inputs!$B$28</f>
        <v/>
      </c>
      <c r="S626" t="n">
        <v>0</v>
      </c>
      <c r="T626">
        <f>MAX(0,(Inputs!$B$3-100)*3)+Inputs!$B$27+Inputs!$B$28</f>
        <v/>
      </c>
      <c r="V626">
        <f>IFERROR(1/IF(Inputs!$B$4="pvp",15,MAX(0.1,Skills!D2-IF(Skills!E2=TRUE,Inputs!$B$31,0))),0)</f>
        <v/>
      </c>
    </row>
    <row r="627">
      <c r="A627">
        <f>Skills!A3</f>
        <v/>
      </c>
      <c r="B627">
        <f>Skills!B3</f>
        <v/>
      </c>
      <c r="C627">
        <f>Inputs!$B$3&gt;=15</f>
        <v/>
      </c>
      <c r="D627">
        <f>IF(Skills!C3=1,60+Inputs!$B$24+Inputs!$B$28,IF(Skills!C3=2,90+(Inputs!$B$25+1)+Inputs!$B$28,IF(Skills!C3=3,120+Inputs!$B$26+Inputs!$B$28,MAX(0,(Inputs!$B$3-100)*3)+Inputs!$B$27+Inputs!$B$28)))</f>
        <v/>
      </c>
      <c r="E627">
        <f>INDEX(FactorTable!$B$2:$Y$301, MATCH(ROUND(MIN(300,MAX(1,D627)),0), FactorTable!$A$2:$A$301,0), Skills!L3+1)</f>
        <v/>
      </c>
      <c r="F627">
        <f>IF(Skills!M3=TRUE,(Skills!K3/10)*(E627/1000),Skills!K3/10)+Skills!N3</f>
        <v/>
      </c>
      <c r="G627">
        <f>Calc!G3</f>
        <v/>
      </c>
      <c r="H627">
        <f>Calc!H3</f>
        <v/>
      </c>
      <c r="I627">
        <f>IF(Skills!T3&lt;&gt;"",1+(Skills!T3/10)*(R627/1000)/100,1)</f>
        <v/>
      </c>
      <c r="J627" t="inlineStr"/>
      <c r="K627" t="inlineStr"/>
      <c r="L627" t="inlineStr"/>
      <c r="M627" t="inlineStr"/>
      <c r="N627" t="inlineStr"/>
      <c r="O627" t="n">
        <v>0</v>
      </c>
      <c r="P627">
        <f>IF(B658=0,0,O627/B658)</f>
        <v/>
      </c>
      <c r="R627">
        <f>INDEX(FactorTable!$B$2:$Y$301, MATCH(ROUND(MIN(300,MAX(1,R626)),0), FactorTable!$A$2:$A$301,0), 24)</f>
        <v/>
      </c>
      <c r="S627">
        <f>IF(AND(Inputs!$B$4&lt;&gt;"pvp",Inputs!$B$35&gt;0),(INT(Inputs!$B$35/IF(Inputs!$B$4="pvp",15,MAX(0.1,Skills!D3-IF(Skills!E3=TRUE,Inputs!$B$31,0))))+1),0)</f>
        <v/>
      </c>
      <c r="T627">
        <f>INDEX(FactorTable!$B$2:$Y$301, MATCH(ROUND(MIN(300,MAX(1,T626)),0), FactorTable!$A$2:$A$301,0), 22)</f>
        <v/>
      </c>
      <c r="V627">
        <f>IFERROR(1/IF(Inputs!$B$4="pvp",15,MAX(0.1,Skills!D3-IF(Skills!E3=TRUE,Inputs!$B$31,0))),0)</f>
        <v/>
      </c>
    </row>
    <row r="628">
      <c r="A628">
        <f>Skills!A4</f>
        <v/>
      </c>
      <c r="B628">
        <f>Skills!B4</f>
        <v/>
      </c>
      <c r="C628">
        <f>Inputs!$B$3&gt;=40</f>
        <v/>
      </c>
      <c r="D628">
        <f>IF(Skills!C4=1,60+Inputs!$B$24+Inputs!$B$28,IF(Skills!C4=2,90+(Inputs!$B$25+1)+Inputs!$B$28,IF(Skills!C4=3,120+Inputs!$B$26+Inputs!$B$28,MAX(0,(Inputs!$B$3-100)*3)+Inputs!$B$27+Inputs!$B$28)))</f>
        <v/>
      </c>
      <c r="E628">
        <f>INDEX(FactorTable!$B$2:$Y$301, MATCH(ROUND(MIN(300,MAX(1,D628)),0), FactorTable!$A$2:$A$301,0), Skills!L4+1)</f>
        <v/>
      </c>
      <c r="F628">
        <f>IF(Skills!M4=TRUE,(Skills!K4/10)*(E628/1000),Skills!K4/10)+Skills!N4</f>
        <v/>
      </c>
      <c r="G628">
        <f>Calc!G4</f>
        <v/>
      </c>
      <c r="H628">
        <f>Calc!H4</f>
        <v/>
      </c>
      <c r="I628">
        <f>IF(Skills!T4&lt;&gt;"",1+(Skills!T4/10)*(R627/1000)/100,1)</f>
        <v/>
      </c>
      <c r="J628" t="inlineStr"/>
      <c r="K628" t="inlineStr"/>
      <c r="L628" t="inlineStr"/>
      <c r="M628" t="inlineStr"/>
      <c r="N628" t="inlineStr"/>
      <c r="O628" t="n">
        <v>0</v>
      </c>
      <c r="P628">
        <f>IF(B658=0,0,O628/B658)</f>
        <v/>
      </c>
      <c r="S628">
        <f>IF(AND(Inputs!$B$4&lt;&gt;"pvp",Inputs!$B$35&gt;0),(INT(Inputs!$B$35/IF(Inputs!$B$4="pvp",15,MAX(0.1,Skills!D4-IF(Skills!E4=TRUE,Inputs!$B$31,0))))+1),0)</f>
        <v/>
      </c>
      <c r="T628">
        <f>290*T627/1000</f>
        <v/>
      </c>
      <c r="V628">
        <f>IFERROR(1/IF(Inputs!$B$4="pvp",15,MAX(0.1,Skills!D4-IF(Skills!E4=TRUE,Inputs!$B$31,0))),0)</f>
        <v/>
      </c>
    </row>
    <row r="629">
      <c r="A629">
        <f>Skills!A5</f>
        <v/>
      </c>
      <c r="B629">
        <f>Skills!B5</f>
        <v/>
      </c>
      <c r="C629">
        <f>Inputs!$B$3&gt;=38</f>
        <v/>
      </c>
      <c r="D629">
        <f>IF(Skills!C5=1,60+Inputs!$B$24+Inputs!$B$28,IF(Skills!C5=2,90+(Inputs!$B$25+1)+Inputs!$B$28,IF(Skills!C5=3,120+Inputs!$B$26+Inputs!$B$28,MAX(0,(Inputs!$B$3-100)*3)+Inputs!$B$27+Inputs!$B$28)))</f>
        <v/>
      </c>
      <c r="E629">
        <f>INDEX(FactorTable!$B$2:$Y$301, MATCH(ROUND(MIN(300,MAX(1,D629)),0), FactorTable!$A$2:$A$301,0), Skills!L5+1)</f>
        <v/>
      </c>
      <c r="F629">
        <f>IF(Skills!M5=TRUE,(Skills!K5/10)*(E629/1000),Skills!K5/10)+Skills!N5</f>
        <v/>
      </c>
      <c r="G629">
        <f>Calc!G5</f>
        <v/>
      </c>
      <c r="H629">
        <f>Calc!H5</f>
        <v/>
      </c>
      <c r="I629">
        <f>IF(Skills!T5&lt;&gt;"",1+(Skills!T5/10)*(R627/1000)/100,1)</f>
        <v/>
      </c>
      <c r="J629">
        <f>((Inputs!$B$5*(1+Inputs!$B$6/100))+((Inputs!$B$11*(1+Inputs!$B$12/100))-(Inputs!$B$11*(1+Inputs!$B$12/100)))*(1+Inputs!$B$6/100))*(F629/100)</f>
        <v/>
      </c>
      <c r="K629">
        <f>J629*(1+((Inputs!$B$11*(1+Inputs!$B$12/100))*0.01+Inputs!$B$13*0.0025)/100)*(1+(Inputs!$B$14+B652)/100)*(1+IF(Inputs!$B$4="pvp",0,(1-Summary!$B$51)*(Inputs!$B$19+Skills!O5+B651)+Summary!$B$51*(Inputs!$B$20+Skills!P5+B651))/100)*(1+Inputs!$B$15/100)*(5000/(6000+Inputs!$B$7*(1-Inputs!$B$18/100)))*(1+Inputs!$B$23/100)*(1+IF(C639=TRUE,F639,0)/100)*(1+IF(C647=TRUE,F647,0)/100)^5*(1+(IF(Skills!A5="CHAIN_LIGHTNING",Inputs!$B$16,Inputs!$B$17))/100)*(B650*I629)</f>
        <v/>
      </c>
      <c r="L629">
        <f>K629*(MIN(Inputs!$B$21+(F642-Calc!F18),Inputs!$B$22)/100+Inputs!$B$22/100)/2</f>
        <v/>
      </c>
      <c r="M629">
        <f>L629*(1+(Inputs!$B$9+(F645-Calc!F21))/100)</f>
        <v/>
      </c>
      <c r="N629">
        <f>L629*(1-MIN(Inputs!$B$8+((F644-Calc!F20)+(F643-Calc!F19)),100)/100)+M629*(MIN(Inputs!$B$8+((F644-Calc!F20)+(F643-Calc!F19)),100)/100)</f>
        <v/>
      </c>
      <c r="O629">
        <f>IF(C629,H629*N629*IF(AND(Inputs!$B$4&lt;&gt;"pvp",Inputs!$B$35&gt;0),((Skills!F5*((S629-1)*IF(Skills!G5&gt;0,Skills!H5/Skills!G5,1)+IF(Skills!G5&gt;0,MIN(Skills!H5,MAX(0,Inputs!$B$35-((S629-1)*IF(Inputs!$B$4="pvp",15,MAX(0.1,Skills!D5-IF(Skills!E5=TRUE,Inputs!$B$31,0))))))/Skills!G5,1)))/Inputs!$B$35),G629*V629)*IF(Inputs!$B$4="pvp",1,(1-Summary!$B$51)*(1)+Summary!$B$51*(MIN(Skills!Q5,Inputs!$B$37))),0)</f>
        <v/>
      </c>
      <c r="P629">
        <f>IF(B658=0,0,O629/B658)</f>
        <v/>
      </c>
      <c r="S629">
        <f>IF(AND(Inputs!$B$4&lt;&gt;"pvp",Inputs!$B$35&gt;0),(INT(Inputs!$B$35/IF(Inputs!$B$4="pvp",15,MAX(0.1,Skills!D5-IF(Skills!E5=TRUE,Inputs!$B$31,0))))+1),0)</f>
        <v/>
      </c>
      <c r="V629">
        <f>IFERROR(1/IF(Inputs!$B$4="pvp",15,MAX(0.1,Skills!D5-IF(Skills!E5=TRUE,Inputs!$B$31,0))),0)</f>
        <v/>
      </c>
    </row>
    <row r="630">
      <c r="A630">
        <f>Skills!A6</f>
        <v/>
      </c>
      <c r="B630">
        <f>Skills!B6</f>
        <v/>
      </c>
      <c r="C630">
        <f>Inputs!$B$3&gt;=63</f>
        <v/>
      </c>
      <c r="D630">
        <f>IF(Skills!C6=1,60+Inputs!$B$24+Inputs!$B$28,IF(Skills!C6=2,90+(Inputs!$B$25+1)+Inputs!$B$28,IF(Skills!C6=3,120+Inputs!$B$26+Inputs!$B$28,MAX(0,(Inputs!$B$3-100)*3)+Inputs!$B$27+Inputs!$B$28)))</f>
        <v/>
      </c>
      <c r="E630">
        <f>INDEX(FactorTable!$B$2:$Y$301, MATCH(ROUND(MIN(300,MAX(1,D630)),0), FactorTable!$A$2:$A$301,0), Skills!L6+1)</f>
        <v/>
      </c>
      <c r="F630">
        <f>IF(Skills!M6=TRUE,(Skills!K6/10)*(E630/1000),Skills!K6/10)+Skills!N6</f>
        <v/>
      </c>
      <c r="G630">
        <f>Calc!G6</f>
        <v/>
      </c>
      <c r="H630">
        <f>Calc!H6</f>
        <v/>
      </c>
      <c r="I630">
        <f>IF(Skills!T6&lt;&gt;"",1+(Skills!T6/10)*(R627/1000)/100,1)</f>
        <v/>
      </c>
      <c r="J630">
        <f>((Inputs!$B$5*(1+Inputs!$B$6/100))+((Inputs!$B$11*(1+Inputs!$B$12/100))-(Inputs!$B$11*(1+Inputs!$B$12/100)))*(1+Inputs!$B$6/100))*(F630/100)</f>
        <v/>
      </c>
      <c r="K630">
        <f>J630*(1+((Inputs!$B$11*(1+Inputs!$B$12/100))*0.01+Inputs!$B$13*0.0025)/100)*(1+(Inputs!$B$14+B652)/100)*(1+IF(Inputs!$B$4="pvp",0,(1-Summary!$B$51)*(Inputs!$B$19+Skills!O6+B651)+Summary!$B$51*(Inputs!$B$20+Skills!P6+B651))/100)*(1+Inputs!$B$15/100)*(5000/(6000+Inputs!$B$7*(1-Inputs!$B$18/100)))*(1+Inputs!$B$23/100)*(1+IF(C639=TRUE,F639,0)/100)*(1+IF(C647=TRUE,F647,0)/100)^5*(1+(IF(Skills!A6="CHAIN_LIGHTNING",Inputs!$B$16,Inputs!$B$17))/100)*(B650*I630)</f>
        <v/>
      </c>
      <c r="L630">
        <f>K630*(MIN(Inputs!$B$21+(F642-Calc!F18),Inputs!$B$22)/100+Inputs!$B$22/100)/2</f>
        <v/>
      </c>
      <c r="M630">
        <f>L630*(1+(Inputs!$B$9+(F645-Calc!F21))/100)</f>
        <v/>
      </c>
      <c r="N630">
        <f>L630*(1-MIN(Inputs!$B$8+((F644-Calc!F20)+(F643-Calc!F19)),100)/100)+M630*(MIN(Inputs!$B$8+((F644-Calc!F20)+(F643-Calc!F19)),100)/100)</f>
        <v/>
      </c>
      <c r="O630">
        <f>IF(C630,H630*N630*IF(AND(Inputs!$B$4&lt;&gt;"pvp",Inputs!$B$35&gt;0),((Skills!F6*((S630-1)*IF(Skills!G6&gt;0,Skills!H6/Skills!G6,1)+IF(Skills!G6&gt;0,MIN(Skills!H6,MAX(0,Inputs!$B$35-((S630-1)*IF(Inputs!$B$4="pvp",15,MAX(0.1,Skills!D6-IF(Skills!E6=TRUE,Inputs!$B$31,0))))))/Skills!G6,1)))/Inputs!$B$35),G630*V630)*IF(Inputs!$B$4="pvp",1,(1-Summary!$B$51)*(1)+Summary!$B$51*(MIN(Skills!Q6,Inputs!$B$37))),0)</f>
        <v/>
      </c>
      <c r="P630">
        <f>IF(B658=0,0,O630/B658)</f>
        <v/>
      </c>
      <c r="S630">
        <f>IF(AND(Inputs!$B$4&lt;&gt;"pvp",Inputs!$B$35&gt;0),(INT(Inputs!$B$35/IF(Inputs!$B$4="pvp",15,MAX(0.1,Skills!D6-IF(Skills!E6=TRUE,Inputs!$B$31,0))))+1),0)</f>
        <v/>
      </c>
      <c r="V630">
        <f>IFERROR(1/IF(Inputs!$B$4="pvp",15,MAX(0.1,Skills!D6-IF(Skills!E6=TRUE,Inputs!$B$31,0))),0)</f>
        <v/>
      </c>
    </row>
    <row r="631">
      <c r="A631">
        <f>Skills!A7</f>
        <v/>
      </c>
      <c r="B631">
        <f>Skills!B7</f>
        <v/>
      </c>
      <c r="C631">
        <f>Inputs!$B$3&gt;=69</f>
        <v/>
      </c>
      <c r="D631">
        <f>IF(Skills!C7=1,60+Inputs!$B$24+Inputs!$B$28,IF(Skills!C7=2,90+(Inputs!$B$25+1)+Inputs!$B$28,IF(Skills!C7=3,120+Inputs!$B$26+Inputs!$B$28,MAX(0,(Inputs!$B$3-100)*3)+Inputs!$B$27+Inputs!$B$28)))</f>
        <v/>
      </c>
      <c r="E631">
        <f>INDEX(FactorTable!$B$2:$Y$301, MATCH(ROUND(MIN(300,MAX(1,D631)),0), FactorTable!$A$2:$A$301,0), Skills!L7+1)</f>
        <v/>
      </c>
      <c r="F631">
        <f>IF(Skills!M7=TRUE,(Skills!K7/10)*(E631/1000),Skills!K7/10)+Skills!N7</f>
        <v/>
      </c>
      <c r="G631">
        <f>Calc!G7</f>
        <v/>
      </c>
      <c r="H631">
        <f>Calc!H7</f>
        <v/>
      </c>
      <c r="I631">
        <f>IF(Skills!T7&lt;&gt;"",1+(Skills!T7/10)*(R627/1000)/100,1)</f>
        <v/>
      </c>
      <c r="J631">
        <f>((Inputs!$B$5*(1+Inputs!$B$6/100))+((Inputs!$B$11*(1+Inputs!$B$12/100))-(Inputs!$B$11*(1+Inputs!$B$12/100)))*(1+Inputs!$B$6/100))*(F631/100)</f>
        <v/>
      </c>
      <c r="K631">
        <f>J631*(1+((Inputs!$B$11*(1+Inputs!$B$12/100))*0.01+Inputs!$B$13*0.0025)/100)*(1+(Inputs!$B$14+B652)/100)*(1+IF(Inputs!$B$4="pvp",0,(1-Summary!$B$51)*(Inputs!$B$19+Skills!O7+B651)+Summary!$B$51*(Inputs!$B$20+Skills!P7+B651))/100)*(1+Inputs!$B$15/100)*(5000/(6000+Inputs!$B$7*(1-Inputs!$B$18/100)))*(1+Inputs!$B$23/100)*(1+IF(C639=TRUE,F639,0)/100)*(1+IF(C647=TRUE,F647,0)/100)^5*(1+(IF(Skills!A7="CHAIN_LIGHTNING",Inputs!$B$16,Inputs!$B$17))/100)*(B650*I631)</f>
        <v/>
      </c>
      <c r="L631">
        <f>K631*(MIN(Inputs!$B$21+(F642-Calc!F18),Inputs!$B$22)/100+Inputs!$B$22/100)/2</f>
        <v/>
      </c>
      <c r="M631">
        <f>L631*(1+(Inputs!$B$9+(F645-Calc!F21))/100)</f>
        <v/>
      </c>
      <c r="N631">
        <f>L631*(1-MIN(Inputs!$B$8+((F644-Calc!F20)+(F643-Calc!F19)),100)/100)+M631*(MIN(Inputs!$B$8+((F644-Calc!F20)+(F643-Calc!F19)),100)/100)</f>
        <v/>
      </c>
      <c r="O631">
        <f>IF(C631,H631*N631*IF(AND(Inputs!$B$4&lt;&gt;"pvp",Inputs!$B$35&gt;0),((Skills!F7*((S631-1)*IF(Skills!G7&gt;0,Skills!H7/Skills!G7,1)+IF(Skills!G7&gt;0,MIN(Skills!H7,MAX(0,Inputs!$B$35-((S631-1)*IF(Inputs!$B$4="pvp",15,MAX(0.1,Skills!D7-IF(Skills!E7=TRUE,Inputs!$B$31,0))))))/Skills!G7,1)))/Inputs!$B$35),G631*V631)*IF(Inputs!$B$4="pvp",1,(1-Summary!$B$51)*(1)+Summary!$B$51*(MIN(Skills!Q7,Inputs!$B$37))),0)</f>
        <v/>
      </c>
      <c r="P631">
        <f>IF(B658=0,0,O631/B658)</f>
        <v/>
      </c>
      <c r="S631">
        <f>IF(AND(Inputs!$B$4&lt;&gt;"pvp",Inputs!$B$35&gt;0),(INT(Inputs!$B$35/IF(Inputs!$B$4="pvp",15,MAX(0.1,Skills!D7-IF(Skills!E7=TRUE,Inputs!$B$31,0))))+1),0)</f>
        <v/>
      </c>
      <c r="V631">
        <f>IFERROR(1/IF(Inputs!$B$4="pvp",15,MAX(0.1,Skills!D7-IF(Skills!E7=TRUE,Inputs!$B$31,0))),0)</f>
        <v/>
      </c>
    </row>
    <row r="632">
      <c r="A632">
        <f>Skills!A8</f>
        <v/>
      </c>
      <c r="B632">
        <f>Skills!B8</f>
        <v/>
      </c>
      <c r="C632">
        <f>Inputs!$B$3&gt;=103</f>
        <v/>
      </c>
      <c r="D632">
        <f>IF(Skills!C8=1,60+Inputs!$B$24+Inputs!$B$28,IF(Skills!C8=2,90+(Inputs!$B$25+1)+Inputs!$B$28,IF(Skills!C8=3,120+Inputs!$B$26+Inputs!$B$28,MAX(0,(Inputs!$B$3-100)*3)+Inputs!$B$27+Inputs!$B$28)))</f>
        <v/>
      </c>
      <c r="E632">
        <f>INDEX(FactorTable!$B$2:$Y$301, MATCH(ROUND(MIN(300,MAX(1,D632)),0), FactorTable!$A$2:$A$301,0), Skills!L8+1)</f>
        <v/>
      </c>
      <c r="F632">
        <f>IF(Skills!M8=TRUE,(Skills!K8/10)*(E632/1000),Skills!K8/10)+Skills!N8</f>
        <v/>
      </c>
      <c r="G632">
        <f>Calc!G8</f>
        <v/>
      </c>
      <c r="H632">
        <f>Calc!H8</f>
        <v/>
      </c>
      <c r="I632">
        <f>IF(Skills!T8&lt;&gt;"",1+(Skills!T8/10)*(R627/1000)/100,1)</f>
        <v/>
      </c>
      <c r="J632">
        <f>((Inputs!$B$5*(1+Inputs!$B$6/100))+((Inputs!$B$11*(1+Inputs!$B$12/100))-(Inputs!$B$11*(1+Inputs!$B$12/100)))*(1+Inputs!$B$6/100))*(F632/100)</f>
        <v/>
      </c>
      <c r="K632">
        <f>J632*(1+((Inputs!$B$11*(1+Inputs!$B$12/100))*0.01+Inputs!$B$13*0.0025)/100)*(1+(Inputs!$B$14+B652)/100)*(1+IF(Inputs!$B$4="pvp",0,(1-Summary!$B$51)*(Inputs!$B$19+Skills!O8+B651)+Summary!$B$51*(Inputs!$B$20+Skills!P8+B651))/100)*(1+Inputs!$B$15/100)*(5000/(6000+Inputs!$B$7*(1-Inputs!$B$18/100)))*(1+Inputs!$B$23/100)*(1+IF(C639=TRUE,F639,0)/100)*(1+IF(C647=TRUE,F647,0)/100)^5*(1+(IF(Skills!A8="CHAIN_LIGHTNING",Inputs!$B$16,Inputs!$B$17))/100)*(B650*I632)</f>
        <v/>
      </c>
      <c r="L632">
        <f>K632*(MIN(Inputs!$B$21+(F642-Calc!F18),Inputs!$B$22)/100+Inputs!$B$22/100)/2</f>
        <v/>
      </c>
      <c r="M632">
        <f>L632*(1+(Inputs!$B$9+(F645-Calc!F21))/100)</f>
        <v/>
      </c>
      <c r="N632">
        <f>L632*(1-MIN(Inputs!$B$8+((F644-Calc!F20)+(F643-Calc!F19)),100)/100)+M632*(MIN(Inputs!$B$8+((F644-Calc!F20)+(F643-Calc!F19)),100)/100)</f>
        <v/>
      </c>
      <c r="O632">
        <f>IF(C632,H632*N632*IF(AND(Inputs!$B$4&lt;&gt;"pvp",Inputs!$B$35&gt;0),((Skills!F8*((S632-1)*IF(Skills!G8&gt;0,Skills!H8/Skills!G8,1)+IF(Skills!G8&gt;0,MIN(Skills!H8,MAX(0,Inputs!$B$35-((S632-1)*IF(Inputs!$B$4="pvp",15,MAX(0.1,Skills!D8-IF(Skills!E8=TRUE,Inputs!$B$31,0))))))/Skills!G8,1)))/Inputs!$B$35),G632*V632)*IF(Inputs!$B$4="pvp",1,(1-Summary!$B$51)*(1)+Summary!$B$51*(MIN(Skills!Q8,Inputs!$B$37))),0)</f>
        <v/>
      </c>
      <c r="P632">
        <f>IF(B658=0,0,O632/B658)</f>
        <v/>
      </c>
      <c r="S632">
        <f>IF(AND(Inputs!$B$4&lt;&gt;"pvp",Inputs!$B$35&gt;0),(INT(Inputs!$B$35/IF(Inputs!$B$4="pvp",15,MAX(0.1,Skills!D8-IF(Skills!E8=TRUE,Inputs!$B$31,0))))+1),0)</f>
        <v/>
      </c>
      <c r="V632">
        <f>IFERROR(1/IF(Inputs!$B$4="pvp",15,MAX(0.1,Skills!D8-IF(Skills!E8=TRUE,Inputs!$B$31,0))),0)</f>
        <v/>
      </c>
    </row>
    <row r="633">
      <c r="A633">
        <f>Skills!A9</f>
        <v/>
      </c>
      <c r="B633">
        <f>Skills!B9</f>
        <v/>
      </c>
      <c r="C633">
        <f>Inputs!$B$3&gt;=105</f>
        <v/>
      </c>
      <c r="D633">
        <f>IF(Skills!C9=1,60+Inputs!$B$24+Inputs!$B$28,IF(Skills!C9=2,90+(Inputs!$B$25+1)+Inputs!$B$28,IF(Skills!C9=3,120+Inputs!$B$26+Inputs!$B$28,MAX(0,(Inputs!$B$3-100)*3)+Inputs!$B$27+Inputs!$B$28)))</f>
        <v/>
      </c>
      <c r="E633">
        <f>INDEX(FactorTable!$B$2:$Y$301, MATCH(ROUND(MIN(300,MAX(1,D633)),0), FactorTable!$A$2:$A$301,0), Skills!L9+1)</f>
        <v/>
      </c>
      <c r="F633">
        <f>IF(Skills!M9=TRUE,(Skills!K9/10)*(E633/1000),Skills!K9/10)+Skills!N9</f>
        <v/>
      </c>
      <c r="G633">
        <f>Calc!G9</f>
        <v/>
      </c>
      <c r="H633">
        <f>Calc!H9</f>
        <v/>
      </c>
      <c r="I633">
        <f>IF(Skills!T9&lt;&gt;"",1+(Skills!T9/10)*(R627/1000)/100,1)</f>
        <v/>
      </c>
      <c r="J633">
        <f>((Inputs!$B$5*(1+Inputs!$B$6/100))+((Inputs!$B$11*(1+Inputs!$B$12/100))-(Inputs!$B$11*(1+Inputs!$B$12/100)))*(1+Inputs!$B$6/100))*(F633/100)</f>
        <v/>
      </c>
      <c r="K633">
        <f>J633*(1+((Inputs!$B$11*(1+Inputs!$B$12/100))*0.01+Inputs!$B$13*0.0025)/100)*(1+(Inputs!$B$14+B652)/100)*(1+IF(Inputs!$B$4="pvp",0,(1-Summary!$B$51)*(Inputs!$B$19+Skills!O9+B651)+Summary!$B$51*(Inputs!$B$20+Skills!P9+B651))/100)*(1+Inputs!$B$15/100)*(5000/(6000+Inputs!$B$7*(1-Inputs!$B$18/100)))*(1+Inputs!$B$23/100)*(1+IF(C639=TRUE,F639,0)/100)*(1+IF(C647=TRUE,F647,0)/100)^5*(1+(IF(Skills!A9="CHAIN_LIGHTNING",Inputs!$B$16,Inputs!$B$17))/100)*(B650*I633)</f>
        <v/>
      </c>
      <c r="L633">
        <f>K633*(MIN(Inputs!$B$21+(F642-Calc!F18),Inputs!$B$22)/100+Inputs!$B$22/100)/2</f>
        <v/>
      </c>
      <c r="M633">
        <f>L633*(1+(Inputs!$B$9+(F645-Calc!F21))/100)</f>
        <v/>
      </c>
      <c r="N633">
        <f>L633*(1-MIN(Inputs!$B$8+((F644-Calc!F20)+(F643-Calc!F19)),100)/100)+M633*(MIN(Inputs!$B$8+((F644-Calc!F20)+(F643-Calc!F19)),100)/100)</f>
        <v/>
      </c>
      <c r="O633">
        <f>IF(C633,H633*N633*IF(AND(Inputs!$B$4&lt;&gt;"pvp",Inputs!$B$35&gt;0),((Skills!F9*((S633-1)*IF(Skills!G9&gt;0,Skills!H9/Skills!G9,1)+IF(Skills!G9&gt;0,MIN(Skills!H9,MAX(0,Inputs!$B$35-((S633-1)*IF(Inputs!$B$4="pvp",15,MAX(0.1,Skills!D9-IF(Skills!E9=TRUE,Inputs!$B$31,0))))))/Skills!G9,1)))/Inputs!$B$35),G633*V633)*IF(Inputs!$B$4="pvp",1,(1-Summary!$B$51)*(1)+Summary!$B$51*(MIN(Skills!Q9,Inputs!$B$37))),0)</f>
        <v/>
      </c>
      <c r="P633">
        <f>IF(B658=0,0,O633/B658)</f>
        <v/>
      </c>
      <c r="S633">
        <f>IF(AND(Inputs!$B$4&lt;&gt;"pvp",Inputs!$B$35&gt;0),(INT(Inputs!$B$35/IF(Inputs!$B$4="pvp",15,MAX(0.1,Skills!D9-IF(Skills!E9=TRUE,Inputs!$B$31,0))))+1),0)</f>
        <v/>
      </c>
      <c r="V633">
        <f>IFERROR(1/IF(Inputs!$B$4="pvp",15,MAX(0.1,Skills!D9-IF(Skills!E9=TRUE,Inputs!$B$31,0))),0)</f>
        <v/>
      </c>
    </row>
    <row r="634">
      <c r="A634">
        <f>Skills!A10</f>
        <v/>
      </c>
      <c r="B634">
        <f>Skills!B10</f>
        <v/>
      </c>
      <c r="C634">
        <f>Inputs!$B$3&gt;=113</f>
        <v/>
      </c>
      <c r="D634">
        <f>IF(Skills!C10=1,60+Inputs!$B$24+Inputs!$B$28,IF(Skills!C10=2,90+(Inputs!$B$25+1)+Inputs!$B$28,IF(Skills!C10=3,120+Inputs!$B$26+Inputs!$B$28,MAX(0,(Inputs!$B$3-100)*3)+Inputs!$B$27+Inputs!$B$28)))</f>
        <v/>
      </c>
      <c r="E634">
        <f>INDEX(FactorTable!$B$2:$Y$301, MATCH(ROUND(MIN(300,MAX(1,D634)),0), FactorTable!$A$2:$A$301,0), Skills!L10+1)</f>
        <v/>
      </c>
      <c r="F634">
        <f>IF(Skills!M10=TRUE,(Skills!K10/10)*(E634/1000),Skills!K10/10)+Skills!N10</f>
        <v/>
      </c>
      <c r="G634">
        <f>Calc!G10</f>
        <v/>
      </c>
      <c r="H634">
        <f>Calc!H10</f>
        <v/>
      </c>
      <c r="I634">
        <f>IF(Skills!T10&lt;&gt;"",1+(Skills!T10/10)*(R627/1000)/100,1)</f>
        <v/>
      </c>
      <c r="J634">
        <f>((Inputs!$B$5*(1+Inputs!$B$6/100))+((Inputs!$B$11*(1+Inputs!$B$12/100))-(Inputs!$B$11*(1+Inputs!$B$12/100)))*(1+Inputs!$B$6/100))*(F634/100)</f>
        <v/>
      </c>
      <c r="K634">
        <f>J634*(1+((Inputs!$B$11*(1+Inputs!$B$12/100))*0.01+Inputs!$B$13*0.0025)/100)*(1+(Inputs!$B$14+B652)/100)*(1+IF(Inputs!$B$4="pvp",0,(1-Summary!$B$51)*(Inputs!$B$19+Skills!O10+B651)+Summary!$B$51*(Inputs!$B$20+Skills!P10+B651))/100)*(1+Inputs!$B$15/100)*(5000/(6000+Inputs!$B$7*(1-Inputs!$B$18/100)))*(1+Inputs!$B$23/100)*(1+IF(C639=TRUE,F639,0)/100)*(1+IF(C647=TRUE,F647,0)/100)^5*(1+(IF(Skills!A10="CHAIN_LIGHTNING",Inputs!$B$16,Inputs!$B$17))/100)*(B650*I634)</f>
        <v/>
      </c>
      <c r="L634">
        <f>K634*(MIN(Inputs!$B$21+(F642-Calc!F18),Inputs!$B$22)/100+Inputs!$B$22/100)/2</f>
        <v/>
      </c>
      <c r="M634">
        <f>L634*(1+(Inputs!$B$9+(F645-Calc!F21))/100)</f>
        <v/>
      </c>
      <c r="N634">
        <f>L634*(1-MIN(Inputs!$B$8+((F644-Calc!F20)+(F643-Calc!F19)),100)/100)+M634*(MIN(Inputs!$B$8+((F644-Calc!F20)+(F643-Calc!F19)),100)/100)</f>
        <v/>
      </c>
      <c r="O634">
        <f>IF(C634,H634*N634*IF(AND(Inputs!$B$4&lt;&gt;"pvp",Inputs!$B$35&gt;0),((Skills!F10*((S634-1)*IF(Skills!G10&gt;0,Skills!H10/Skills!G10,1)+IF(Skills!G10&gt;0,MIN(Skills!H10,MAX(0,Inputs!$B$35-((S634-1)*IF(Inputs!$B$4="pvp",15,MAX(0.1,Skills!D10-IF(Skills!E9=TRUE,Inputs!$B$31,0))))))/Skills!G10,1)))/Inputs!$B$35),G634*V634)*IF(Inputs!$B$4="pvp",1,(1-Summary!$B$51)*(1)+Summary!$B$51*(MIN(Skills!Q10,Inputs!$B$37))),0)</f>
        <v/>
      </c>
      <c r="P634">
        <f>IF(B658=0,0,O634/B658)</f>
        <v/>
      </c>
      <c r="S634">
        <f>IF(AND(Inputs!$B$4&lt;&gt;"pvp",Inputs!$B$35&gt;0),(INT(Inputs!$B$35/IF(Inputs!$B$4="pvp",15,MAX(0.1,Skills!D10-IF(Skills!E9=TRUE,Inputs!$B$31,0))))+1),0)</f>
        <v/>
      </c>
      <c r="V634">
        <f>IFERROR(1/IF(Inputs!$B$4="pvp",15,MAX(0.1,Skills!D10-IF(Skills!E9=TRUE,Inputs!$B$31,0))),0)</f>
        <v/>
      </c>
    </row>
    <row r="635">
      <c r="A635">
        <f>Skills!A11</f>
        <v/>
      </c>
      <c r="B635">
        <f>Skills!B11</f>
        <v/>
      </c>
      <c r="C635">
        <f>Inputs!$B$3&gt;=107</f>
        <v/>
      </c>
      <c r="D635">
        <f>IF(Skills!C11=1,60+Inputs!$B$24+Inputs!$B$28,IF(Skills!C11=2,90+(Inputs!$B$25+1)+Inputs!$B$28,IF(Skills!C11=3,120+Inputs!$B$26+Inputs!$B$28,MAX(0,(Inputs!$B$3-100)*3)+Inputs!$B$27+Inputs!$B$28)))</f>
        <v/>
      </c>
      <c r="E635">
        <f>INDEX(FactorTable!$B$2:$Y$301, MATCH(ROUND(MIN(300,MAX(1,D635)),0), FactorTable!$A$2:$A$301,0), Skills!L11+1)</f>
        <v/>
      </c>
      <c r="F635">
        <f>IF(Skills!M11=TRUE,(Skills!K11/10)*(E635/1000),Skills!K11/10)+Skills!N11</f>
        <v/>
      </c>
      <c r="G635">
        <f>Calc!G11</f>
        <v/>
      </c>
      <c r="H635">
        <f>Calc!H11</f>
        <v/>
      </c>
      <c r="I635">
        <f>IF(Skills!T11&lt;&gt;"",1+(Skills!T11/10)*(R627/1000)/100,1)</f>
        <v/>
      </c>
      <c r="J635">
        <f>((Inputs!$B$5*(1+Inputs!$B$6/100))+((Inputs!$B$11*(1+Inputs!$B$12/100))-(Inputs!$B$11*(1+Inputs!$B$12/100)))*(1+Inputs!$B$6/100))*(F635/100)</f>
        <v/>
      </c>
      <c r="K635">
        <f>J635*(1+((Inputs!$B$11*(1+Inputs!$B$12/100))*0.01+Inputs!$B$13*0.0025)/100)*(1+(Inputs!$B$14+B652)/100)*(1+IF(Inputs!$B$4="pvp",0,(1-Summary!$B$51)*(Inputs!$B$19+Skills!O11+B651)+Summary!$B$51*(Inputs!$B$20+Skills!P11+B651))/100)*(1+Inputs!$B$15/100)*(5000/(6000+Inputs!$B$7*(1-Inputs!$B$18/100)))*(1+Inputs!$B$23/100)*(1+IF(C639=TRUE,F639,0)/100)*(1+IF(C647=TRUE,F647,0)/100)^5*(1+(IF(Skills!A11="CHAIN_LIGHTNING",Inputs!$B$16,Inputs!$B$17))/100)*(B650*I635)</f>
        <v/>
      </c>
      <c r="L635">
        <f>K635*(MIN(Inputs!$B$21+(F642-Calc!F18),Inputs!$B$22)/100+Inputs!$B$22/100)/2</f>
        <v/>
      </c>
      <c r="M635">
        <f>L635*(1+(Inputs!$B$9+(F645-Calc!F21))/100)</f>
        <v/>
      </c>
      <c r="N635">
        <f>L635*(1-MIN(Inputs!$B$8+((F644-Calc!F20)+(F643-Calc!F19)),100)/100)+M635*(MIN(Inputs!$B$8+((F644-Calc!F20)+(F643-Calc!F19)),100)/100)</f>
        <v/>
      </c>
      <c r="O635">
        <f>IF(C635,H635*N635*IF(AND(Inputs!$B$4&lt;&gt;"pvp",Inputs!$B$35&gt;0),((Skills!F11*((S635-1)*IF(Skills!G11&gt;0,Skills!H11/Skills!G11,1)+IF(Skills!G11&gt;0,MIN(Skills!H11,MAX(0,Inputs!$B$35-((S635-1)*IF(Inputs!$B$4="pvp",15,MAX(0.1,Skills!D11-IF(Skills!E11=TRUE,Inputs!$B$31,0))))))/Skills!G11,1)))/Inputs!$B$35),G635*V635)*IF(Inputs!$B$4="pvp",0.5,(1-Summary!$B$51)*0.5+Summary!$B$51*1)*IF(Inputs!$B$4="pvp",1,(1-Summary!$B$51)*(1)+Summary!$B$51*(MIN(Skills!Q11,Inputs!$B$37))),0)</f>
        <v/>
      </c>
      <c r="P635">
        <f>IF(B658=0,0,O635/B658)</f>
        <v/>
      </c>
      <c r="S635">
        <f>IF(AND(Inputs!$B$4&lt;&gt;"pvp",Inputs!$B$35&gt;0),(INT(Inputs!$B$35/IF(Inputs!$B$4="pvp",15,MAX(0.1,Skills!D11-IF(Skills!E11=TRUE,Inputs!$B$31,0))))+1),0)</f>
        <v/>
      </c>
      <c r="V635">
        <f>IFERROR(1/IF(Inputs!$B$4="pvp",15,MAX(0.1,Skills!D11-IF(Skills!E11=TRUE,Inputs!$B$31,0))),0)</f>
        <v/>
      </c>
    </row>
    <row r="636">
      <c r="A636">
        <f>Skills!A12</f>
        <v/>
      </c>
      <c r="B636">
        <f>Skills!B12</f>
        <v/>
      </c>
      <c r="C636">
        <f>Inputs!$B$3&gt;=115</f>
        <v/>
      </c>
      <c r="D636">
        <f>IF(Skills!C12=1,60+Inputs!$B$24+Inputs!$B$28,IF(Skills!C12=2,90+(Inputs!$B$25+1)+Inputs!$B$28,IF(Skills!C12=3,120+Inputs!$B$26+Inputs!$B$28,MAX(0,(Inputs!$B$3-100)*3)+Inputs!$B$27+Inputs!$B$28)))</f>
        <v/>
      </c>
      <c r="E636">
        <f>INDEX(FactorTable!$B$2:$Y$301, MATCH(ROUND(MIN(300,MAX(1,D636)),0), FactorTable!$A$2:$A$301,0), Skills!L12+1)</f>
        <v/>
      </c>
      <c r="F636">
        <f>IF(Skills!M12=TRUE,(Skills!K12/10)*(E636/1000),Skills!K12/10)+Skills!N12</f>
        <v/>
      </c>
      <c r="G636">
        <f>Calc!G12</f>
        <v/>
      </c>
      <c r="H636">
        <f>Calc!H12</f>
        <v/>
      </c>
      <c r="I636">
        <f>IF(Skills!T12&lt;&gt;"",1+(Skills!T12/10)*(R627/1000)/100,1)</f>
        <v/>
      </c>
      <c r="J636">
        <f>((Inputs!$B$5*(1+Inputs!$B$6/100))+((Inputs!$B$11*(1+Inputs!$B$12/100))-(Inputs!$B$11*(1+Inputs!$B$12/100)))*(1+Inputs!$B$6/100))*(F636/100)</f>
        <v/>
      </c>
      <c r="K636">
        <f>J636*(1+((Inputs!$B$11*(1+Inputs!$B$12/100))*0.01+Inputs!$B$13*0.0025)/100)*(1+(Inputs!$B$14+B652)/100)*(1+IF(Inputs!$B$4="pvp",0,(1-Summary!$B$51)*(Inputs!$B$19+Skills!O12+B651)+Summary!$B$51*(Inputs!$B$20+Skills!P12+B651))/100)*(1+Inputs!$B$15/100)*(5000/(6000+Inputs!$B$7*(1-Inputs!$B$18/100)))*(1+Inputs!$B$23/100)*(1+IF(C639=TRUE,F639,0)/100)*(1+IF(C647=TRUE,F647,0)/100)^5*(1+(IF(Skills!A12="CHAIN_LIGHTNING",Inputs!$B$16,Inputs!$B$17))/100)*(B650*I636)</f>
        <v/>
      </c>
      <c r="L636">
        <f>K636*(MIN(Inputs!$B$21+(F642-Calc!F18),Inputs!$B$22)/100+Inputs!$B$22/100)/2</f>
        <v/>
      </c>
      <c r="M636">
        <f>L636*(1+(Inputs!$B$9+(F645-Calc!F21))/100)</f>
        <v/>
      </c>
      <c r="N636">
        <f>L636*(1-MIN(Inputs!$B$8+((F644-Calc!F20)+(F643-Calc!F19)),100)/100)+M636*(MIN(Inputs!$B$8+((F644-Calc!F20)+(F643-Calc!F19)),100)/100)</f>
        <v/>
      </c>
      <c r="O636">
        <f>IF(C636,H636*N636*IF(AND(Inputs!$B$4&lt;&gt;"pvp",Inputs!$B$35&gt;0),((Skills!F12*((S636-1)*IF(Skills!G12&gt;0,Skills!H12/Skills!G12,1)+IF(Skills!G12&gt;0,MIN(Skills!H12,MAX(0,Inputs!$B$35-((S636-1)*IF(Inputs!$B$4="pvp",15,MAX(0.1,Skills!D12-IF(Skills!E12=TRUE,Inputs!$B$31,0))))))/Skills!G12,1)))/Inputs!$B$35),G636*V636)*IF(Inputs!$B$4="pvp",1,(1-Summary!$B$51)*(1)+Summary!$B$51*(MIN(Skills!Q12,Inputs!$B$37))),0)</f>
        <v/>
      </c>
      <c r="P636">
        <f>IF(B658=0,0,O636/B658)</f>
        <v/>
      </c>
      <c r="S636">
        <f>IF(AND(Inputs!$B$4&lt;&gt;"pvp",Inputs!$B$35&gt;0),(INT(Inputs!$B$35/IF(Inputs!$B$4="pvp",15,MAX(0.1,Skills!D12-IF(Skills!E12=TRUE,Inputs!$B$31,0))))+1),0)</f>
        <v/>
      </c>
      <c r="V636">
        <f>IFERROR(1/IF(Inputs!$B$4="pvp",15,MAX(0.1,Skills!D12-IF(Skills!E12=TRUE,Inputs!$B$31,0))),0)</f>
        <v/>
      </c>
    </row>
    <row r="637">
      <c r="A637">
        <f>Skills!A13</f>
        <v/>
      </c>
      <c r="B637">
        <f>Skills!B13</f>
        <v/>
      </c>
      <c r="C637">
        <f>Inputs!$B$3&gt;=49</f>
        <v/>
      </c>
      <c r="D637">
        <f>IF(Skills!C13=1,60+Inputs!$B$24+Inputs!$B$28,IF(Skills!C13=2,90+(Inputs!$B$25+1)+Inputs!$B$28,IF(Skills!C13=3,120+Inputs!$B$26+Inputs!$B$28,MAX(0,(Inputs!$B$3-100)*3)+Inputs!$B$27+Inputs!$B$28)))</f>
        <v/>
      </c>
      <c r="E637">
        <f>INDEX(FactorTable!$B$2:$Y$301, MATCH(ROUND(MIN(300,MAX(1,D637)),0), FactorTable!$A$2:$A$301,0), Skills!L13+1)</f>
        <v/>
      </c>
      <c r="F637">
        <f>IF(Skills!M13=TRUE,(Skills!K13/10)*(E637/1000),Skills!K13/10)+Skills!N13</f>
        <v/>
      </c>
      <c r="G637">
        <f>Calc!G13</f>
        <v/>
      </c>
      <c r="H637">
        <f>Calc!H13</f>
        <v/>
      </c>
      <c r="I637">
        <f>IF(Skills!T13&lt;&gt;"",1+(Skills!T13/10)*(R627/1000)/100,1)</f>
        <v/>
      </c>
      <c r="J637" t="inlineStr"/>
      <c r="K637" t="inlineStr"/>
      <c r="L637" t="inlineStr"/>
      <c r="M637" t="inlineStr"/>
      <c r="N637" t="inlineStr"/>
      <c r="O637" t="n">
        <v>0</v>
      </c>
      <c r="P637">
        <f>IF(B658=0,0,O637/B658)</f>
        <v/>
      </c>
      <c r="S637" t="n">
        <v>0</v>
      </c>
      <c r="V637">
        <f>IFERROR(1/IF(Inputs!$B$4="pvp",15,MAX(0.1,Skills!D13-IF(Skills!E13=TRUE,Inputs!$B$31,0))),0)</f>
        <v/>
      </c>
    </row>
    <row r="638">
      <c r="A638">
        <f>Skills!A14</f>
        <v/>
      </c>
      <c r="B638">
        <f>Skills!B14</f>
        <v/>
      </c>
      <c r="C638">
        <f>Inputs!$B$3&gt;=72</f>
        <v/>
      </c>
      <c r="D638">
        <f>IF(Skills!C14=1,60+Inputs!$B$24+Inputs!$B$28,IF(Skills!C14=2,90+(Inputs!$B$25+1)+Inputs!$B$28,IF(Skills!C14=3,120+Inputs!$B$26+Inputs!$B$28,MAX(0,(Inputs!$B$3-100)*3)+Inputs!$B$27+Inputs!$B$28)))</f>
        <v/>
      </c>
      <c r="E638">
        <f>INDEX(FactorTable!$B$2:$Y$301, MATCH(ROUND(MIN(300,MAX(1,D638)),0), FactorTable!$A$2:$A$301,0), Skills!L14+1)</f>
        <v/>
      </c>
      <c r="F638">
        <f>IF(Skills!M14=TRUE,(Skills!K14/10)*(E638/1000),Skills!K14/10)+Skills!N14</f>
        <v/>
      </c>
      <c r="G638">
        <f>Calc!G14</f>
        <v/>
      </c>
      <c r="H638">
        <f>Calc!H14</f>
        <v/>
      </c>
      <c r="I638">
        <f>IF(Skills!T14&lt;&gt;"",1+(Skills!T14/10)*(R627/1000)/100,1)</f>
        <v/>
      </c>
      <c r="J638" t="inlineStr"/>
      <c r="K638" t="inlineStr"/>
      <c r="L638" t="inlineStr"/>
      <c r="M638" t="inlineStr"/>
      <c r="N638" t="inlineStr"/>
      <c r="O638" t="n">
        <v>0</v>
      </c>
      <c r="P638">
        <f>IF(B658=0,0,O638/B658)</f>
        <v/>
      </c>
      <c r="S638" t="n">
        <v>0</v>
      </c>
      <c r="V638">
        <f>IFERROR(1/IF(Inputs!$B$4="pvp",15,MAX(0.1,Skills!D14-IF(Skills!E14=TRUE,Inputs!$B$31,0))),0)</f>
        <v/>
      </c>
    </row>
    <row r="639">
      <c r="A639">
        <f>Skills!A15</f>
        <v/>
      </c>
      <c r="B639">
        <f>Skills!B15</f>
        <v/>
      </c>
      <c r="C639">
        <f>Inputs!$B$3&gt;=75</f>
        <v/>
      </c>
      <c r="D639">
        <f>IF(Skills!C15=1,60+Inputs!$B$24+Inputs!$B$28,IF(Skills!C15=2,90+(Inputs!$B$25+1)+Inputs!$B$28,IF(Skills!C15=3,120+Inputs!$B$26+Inputs!$B$28,MAX(0,(Inputs!$B$3-100)*3)+Inputs!$B$27+Inputs!$B$28)))</f>
        <v/>
      </c>
      <c r="E639">
        <f>INDEX(FactorTable!$B$2:$Y$301, MATCH(ROUND(MIN(300,MAX(1,D639)),0), FactorTable!$A$2:$A$301,0), Skills!L15+1)</f>
        <v/>
      </c>
      <c r="F639">
        <f>IF(Skills!M15=TRUE,(Skills!K15/10)*(E639/1000),Skills!K15/10)+Skills!N15</f>
        <v/>
      </c>
      <c r="G639">
        <f>Calc!G15</f>
        <v/>
      </c>
      <c r="H639">
        <f>Calc!H15</f>
        <v/>
      </c>
      <c r="I639">
        <f>IF(Skills!T15&lt;&gt;"",1+(Skills!T15/10)*(R627/1000)/100,1)</f>
        <v/>
      </c>
      <c r="J639" t="inlineStr"/>
      <c r="K639" t="inlineStr"/>
      <c r="L639" t="inlineStr"/>
      <c r="M639" t="inlineStr"/>
      <c r="N639" t="inlineStr"/>
      <c r="O639" t="n">
        <v>0</v>
      </c>
      <c r="P639">
        <f>IF(B658=0,0,O639/B658)</f>
        <v/>
      </c>
      <c r="S639" t="n">
        <v>0</v>
      </c>
      <c r="V639">
        <f>IFERROR(1/IF(Inputs!$B$4="pvp",15,MAX(0.1,Skills!D15-IF(Skills!E15=TRUE,Inputs!$B$31,0))),0)</f>
        <v/>
      </c>
    </row>
    <row r="640">
      <c r="A640">
        <f>Skills!A16</f>
        <v/>
      </c>
      <c r="B640">
        <f>Skills!B16</f>
        <v/>
      </c>
      <c r="C640">
        <f>Inputs!$B$3&gt;=110</f>
        <v/>
      </c>
      <c r="D640">
        <f>IF(Skills!C16=1,60+Inputs!$B$24+Inputs!$B$28,IF(Skills!C16=2,90+(Inputs!$B$25+1)+Inputs!$B$28,IF(Skills!C16=3,120+Inputs!$B$26+Inputs!$B$28,MAX(0,(Inputs!$B$3-100)*3)+Inputs!$B$27+Inputs!$B$28)))</f>
        <v/>
      </c>
      <c r="E640">
        <f>INDEX(FactorTable!$B$2:$Y$301, MATCH(ROUND(MIN(300,MAX(1,D640)),0), FactorTable!$A$2:$A$301,0), Skills!L16+1)</f>
        <v/>
      </c>
      <c r="F640">
        <f>(Skills!K16/10)*(E640/1000)*64/45+Skills!N16</f>
        <v/>
      </c>
      <c r="G640">
        <f>Calc!G16</f>
        <v/>
      </c>
      <c r="H640">
        <f>Calc!H16</f>
        <v/>
      </c>
      <c r="I640">
        <f>IF(Skills!T16&lt;&gt;"",1+(Skills!T16/10)*(R627/1000)/100,1)</f>
        <v/>
      </c>
      <c r="J640" t="inlineStr"/>
      <c r="K640" t="inlineStr"/>
      <c r="L640" t="inlineStr"/>
      <c r="M640" t="inlineStr"/>
      <c r="N640" t="inlineStr"/>
      <c r="O640" t="n">
        <v>0</v>
      </c>
      <c r="P640">
        <f>IF(B658=0,0,O640/B658)</f>
        <v/>
      </c>
      <c r="S640">
        <f>IF(AND(Inputs!$B$4&lt;&gt;"pvp",Inputs!$B$35&gt;0),(INT(Inputs!$B$35/IF(Inputs!$B$4="pvp",15,MAX(0.1,Skills!D16-IF(Skills!E16=TRUE,Inputs!$B$31,0))))+1),0)</f>
        <v/>
      </c>
      <c r="V640">
        <f>IFERROR(1/IF(Inputs!$B$4="pvp",15,MAX(0.1,Skills!D16-IF(Skills!E16=TRUE,Inputs!$B$31,0))),0)</f>
        <v/>
      </c>
    </row>
    <row r="641">
      <c r="A641">
        <f>Skills!A17</f>
        <v/>
      </c>
      <c r="B641">
        <f>Skills!B17</f>
        <v/>
      </c>
      <c r="C641">
        <f>Inputs!$B$3&gt;=33</f>
        <v/>
      </c>
      <c r="D641">
        <f>IF(Skills!C17=1,60+Inputs!$B$24+Inputs!$B$28,IF(Skills!C17=2,90+(Inputs!$B$25+1)+Inputs!$B$28,IF(Skills!C17=3,120+Inputs!$B$26+Inputs!$B$28,MAX(0,(Inputs!$B$3-100)*3)+Inputs!$B$27+Inputs!$B$28)))</f>
        <v/>
      </c>
      <c r="E641">
        <f>INDEX(FactorTable!$B$2:$Y$301, MATCH(ROUND(MIN(300,MAX(1,D641)),0), FactorTable!$A$2:$A$301,0), Skills!L17+1)</f>
        <v/>
      </c>
      <c r="F641">
        <f>IF(Skills!M17=TRUE,(Skills!K17/10)*(E641/1000),Skills!K17/10)+Skills!N17</f>
        <v/>
      </c>
      <c r="G641">
        <f>Calc!G17</f>
        <v/>
      </c>
      <c r="H641">
        <f>Calc!H17</f>
        <v/>
      </c>
      <c r="I641">
        <f>IF(Skills!T17&lt;&gt;"",1+(Skills!T17/10)*(R627/1000)/100,1)</f>
        <v/>
      </c>
      <c r="J641" t="inlineStr"/>
      <c r="K641" t="inlineStr"/>
      <c r="L641" t="inlineStr"/>
      <c r="M641" t="inlineStr"/>
      <c r="N641" t="inlineStr"/>
      <c r="O641" t="n">
        <v>0</v>
      </c>
      <c r="P641">
        <f>IF(B658=0,0,O641/B658)</f>
        <v/>
      </c>
      <c r="S641" t="n">
        <v>0</v>
      </c>
      <c r="V641">
        <f>IFERROR(1/IF(Inputs!$B$4="pvp",15,MAX(0.1,Skills!D17-IF(Skills!E17=TRUE,Inputs!$B$31,0))),0)</f>
        <v/>
      </c>
    </row>
    <row r="642">
      <c r="A642">
        <f>Skills!A18</f>
        <v/>
      </c>
      <c r="B642">
        <f>Skills!B18</f>
        <v/>
      </c>
      <c r="C642">
        <f>Inputs!$B$3&gt;=43</f>
        <v/>
      </c>
      <c r="D642">
        <f>IF(Skills!C18=1,60+Inputs!$B$24+Inputs!$B$28,IF(Skills!C18=2,90+(Inputs!$B$25+1)+Inputs!$B$28,IF(Skills!C18=3,120+Inputs!$B$26+Inputs!$B$28,MAX(0,(Inputs!$B$3-100)*3)+Inputs!$B$27+Inputs!$B$28)))</f>
        <v/>
      </c>
      <c r="E642">
        <f>INDEX(FactorTable!$B$2:$Y$301, MATCH(ROUND(MIN(300,MAX(1,D642)),0), FactorTable!$A$2:$A$301,0), Skills!L18+1)</f>
        <v/>
      </c>
      <c r="F642">
        <f>IF(Skills!M18=TRUE,(Skills!K18/10)*(E642/1000),Skills!K18/10)+Skills!N18</f>
        <v/>
      </c>
      <c r="G642">
        <f>Calc!G18</f>
        <v/>
      </c>
      <c r="H642">
        <f>Calc!H18</f>
        <v/>
      </c>
      <c r="I642">
        <f>IF(Skills!T18&lt;&gt;"",1+(Skills!T18/10)*(R627/1000)/100,1)</f>
        <v/>
      </c>
      <c r="J642" t="inlineStr"/>
      <c r="K642" t="inlineStr"/>
      <c r="L642" t="inlineStr"/>
      <c r="M642" t="inlineStr"/>
      <c r="N642" t="inlineStr"/>
      <c r="O642" t="n">
        <v>0</v>
      </c>
      <c r="P642">
        <f>IF(B658=0,0,O642/B658)</f>
        <v/>
      </c>
      <c r="S642" t="n">
        <v>0</v>
      </c>
      <c r="V642">
        <f>IFERROR(1/IF(Inputs!$B$4="pvp",15,MAX(0.1,Skills!D18-IF(Skills!E18=TRUE,Inputs!$B$31,0))),0)</f>
        <v/>
      </c>
    </row>
    <row r="643">
      <c r="A643">
        <f>Skills!A19</f>
        <v/>
      </c>
      <c r="B643">
        <f>Skills!B19</f>
        <v/>
      </c>
      <c r="C643">
        <f>Inputs!$B$3&gt;=50</f>
        <v/>
      </c>
      <c r="D643">
        <f>IF(Skills!C19=1,60+Inputs!$B$24+Inputs!$B$28,IF(Skills!C19=2,90+(Inputs!$B$25+1)+Inputs!$B$28,IF(Skills!C19=3,120+Inputs!$B$26+Inputs!$B$28,MAX(0,(Inputs!$B$3-100)*3)+Inputs!$B$27+Inputs!$B$28)))</f>
        <v/>
      </c>
      <c r="E643">
        <f>INDEX(FactorTable!$B$2:$Y$301, MATCH(ROUND(MIN(300,MAX(1,D643)),0), FactorTable!$A$2:$A$301,0), Skills!L19+1)</f>
        <v/>
      </c>
      <c r="F643">
        <f>IF(Skills!M19=TRUE,(Skills!K19/10)*(E643/1000),Skills!K19/10)+Skills!N19</f>
        <v/>
      </c>
      <c r="G643">
        <f>Calc!G19</f>
        <v/>
      </c>
      <c r="H643">
        <f>Calc!H19</f>
        <v/>
      </c>
      <c r="I643">
        <f>IF(Skills!T19&lt;&gt;"",1+(Skills!T19/10)*(R627/1000)/100,1)</f>
        <v/>
      </c>
      <c r="J643" t="inlineStr"/>
      <c r="K643" t="inlineStr"/>
      <c r="L643" t="inlineStr"/>
      <c r="M643" t="inlineStr"/>
      <c r="N643" t="inlineStr"/>
      <c r="O643" t="n">
        <v>0</v>
      </c>
      <c r="P643">
        <f>IF(B658=0,0,O643/B658)</f>
        <v/>
      </c>
      <c r="S643" t="n">
        <v>0</v>
      </c>
      <c r="V643">
        <f>IFERROR(1/IF(Inputs!$B$4="pvp",15,MAX(0.1,Skills!D19-IF(Skills!E19=TRUE,Inputs!$B$31,0))),0)</f>
        <v/>
      </c>
    </row>
    <row r="644">
      <c r="A644">
        <f>Skills!A20</f>
        <v/>
      </c>
      <c r="B644">
        <f>Skills!B20</f>
        <v/>
      </c>
      <c r="C644">
        <f>Inputs!$B$3&gt;=74</f>
        <v/>
      </c>
      <c r="D644">
        <f>IF(Skills!C20=1,60+Inputs!$B$24+Inputs!$B$28,IF(Skills!C20=2,90+(Inputs!$B$25+1)+Inputs!$B$28,IF(Skills!C20=3,120+Inputs!$B$26+Inputs!$B$28,MAX(0,(Inputs!$B$3-100)*3)+Inputs!$B$27+Inputs!$B$28)))</f>
        <v/>
      </c>
      <c r="E644">
        <f>INDEX(FactorTable!$B$2:$Y$301, MATCH(ROUND(MIN(300,MAX(1,D644)),0), FactorTable!$A$2:$A$301,0), Skills!L20+1)</f>
        <v/>
      </c>
      <c r="F644">
        <f>IF(Skills!M20=TRUE,(Skills!K20/10)*(E644/1000),Skills!K20/10)+Skills!N20</f>
        <v/>
      </c>
      <c r="G644">
        <f>Calc!G20</f>
        <v/>
      </c>
      <c r="H644">
        <f>Calc!H20</f>
        <v/>
      </c>
      <c r="I644">
        <f>IF(Skills!T20&lt;&gt;"",1+(Skills!T20/10)*(R627/1000)/100,1)</f>
        <v/>
      </c>
      <c r="J644" t="inlineStr"/>
      <c r="K644" t="inlineStr"/>
      <c r="L644" t="inlineStr"/>
      <c r="M644" t="inlineStr"/>
      <c r="N644" t="inlineStr"/>
      <c r="O644" t="n">
        <v>0</v>
      </c>
      <c r="P644">
        <f>IF(B658=0,0,O644/B658)</f>
        <v/>
      </c>
      <c r="S644" t="n">
        <v>0</v>
      </c>
      <c r="V644">
        <f>IFERROR(1/IF(Inputs!$B$4="pvp",15,MAX(0.1,Skills!D20-IF(Skills!E20=TRUE,Inputs!$B$31,0))),0)</f>
        <v/>
      </c>
    </row>
    <row r="645">
      <c r="A645">
        <f>Skills!A21</f>
        <v/>
      </c>
      <c r="B645">
        <f>Skills!B21</f>
        <v/>
      </c>
      <c r="C645">
        <f>Inputs!$B$3&gt;=74</f>
        <v/>
      </c>
      <c r="D645">
        <f>IF(Skills!C21=1,60+Inputs!$B$24+Inputs!$B$28,IF(Skills!C21=2,90+(Inputs!$B$25+1)+Inputs!$B$28,IF(Skills!C21=3,120+Inputs!$B$26+Inputs!$B$28,MAX(0,(Inputs!$B$3-100)*3)+Inputs!$B$27+Inputs!$B$28)))</f>
        <v/>
      </c>
      <c r="E645">
        <f>INDEX(FactorTable!$B$2:$Y$301, MATCH(ROUND(MIN(300,MAX(1,D645)),0), FactorTable!$A$2:$A$301,0), Skills!L21+1)</f>
        <v/>
      </c>
      <c r="F645">
        <f>IF(Skills!M21=TRUE,(Skills!K21/10)*(E645/1000),Skills!K21/10)+Skills!N21</f>
        <v/>
      </c>
      <c r="G645">
        <f>Calc!G21</f>
        <v/>
      </c>
      <c r="H645">
        <f>Calc!H21</f>
        <v/>
      </c>
      <c r="I645">
        <f>IF(Skills!T21&lt;&gt;"",1+(Skills!T21/10)*(R627/1000)/100,1)</f>
        <v/>
      </c>
      <c r="J645" t="inlineStr"/>
      <c r="K645" t="inlineStr"/>
      <c r="L645" t="inlineStr"/>
      <c r="M645" t="inlineStr"/>
      <c r="N645" t="inlineStr"/>
      <c r="O645" t="n">
        <v>0</v>
      </c>
      <c r="P645">
        <f>IF(B658=0,0,O645/B658)</f>
        <v/>
      </c>
      <c r="S645" t="n">
        <v>0</v>
      </c>
      <c r="V645">
        <f>IFERROR(1/IF(Inputs!$B$4="pvp",15,MAX(0.1,Skills!D21-IF(Skills!E21=TRUE,Inputs!$B$31,0))),0)</f>
        <v/>
      </c>
    </row>
    <row r="646">
      <c r="A646">
        <f>Skills!A22</f>
        <v/>
      </c>
      <c r="B646">
        <f>Skills!B22</f>
        <v/>
      </c>
      <c r="C646">
        <f>Inputs!$B$3&gt;=117</f>
        <v/>
      </c>
      <c r="D646">
        <f>IF(Skills!C22=1,60+Inputs!$B$24+Inputs!$B$28,IF(Skills!C22=2,90+(Inputs!$B$25+1)+Inputs!$B$28,IF(Skills!C22=3,120+Inputs!$B$26+Inputs!$B$28,MAX(0,(Inputs!$B$3-100)*3)+Inputs!$B$27+Inputs!$B$28)))</f>
        <v/>
      </c>
      <c r="E646">
        <f>INDEX(FactorTable!$B$2:$Y$301, MATCH(ROUND(MIN(300,MAX(1,D646)),0), FactorTable!$A$2:$A$301,0), Skills!L22+1)</f>
        <v/>
      </c>
      <c r="F646">
        <f>IF(Skills!M22=TRUE,(Skills!K22/10)*(E646/1000),Skills!K22/10)+Skills!N22</f>
        <v/>
      </c>
      <c r="G646">
        <f>Calc!G22</f>
        <v/>
      </c>
      <c r="H646">
        <f>Calc!H22</f>
        <v/>
      </c>
      <c r="I646">
        <f>IF(Skills!T22&lt;&gt;"",1+(Skills!T22/10)*(R627/1000)/100,1)</f>
        <v/>
      </c>
      <c r="J646" t="inlineStr"/>
      <c r="K646" t="inlineStr"/>
      <c r="L646" t="inlineStr"/>
      <c r="M646" t="inlineStr"/>
      <c r="N646" t="inlineStr"/>
      <c r="O646" t="n">
        <v>0</v>
      </c>
      <c r="P646">
        <f>IF(B658=0,0,O646/B658)</f>
        <v/>
      </c>
      <c r="S646" t="n">
        <v>0</v>
      </c>
      <c r="V646">
        <f>IFERROR(1/IF(Inputs!$B$4="pvp",15,MAX(0.1,Skills!D22-IF(Skills!E22=TRUE,Inputs!$B$31,0))),0)</f>
        <v/>
      </c>
    </row>
    <row r="647">
      <c r="A647">
        <f>Skills!A23</f>
        <v/>
      </c>
      <c r="B647">
        <f>Skills!B23</f>
        <v/>
      </c>
      <c r="C647">
        <f>Inputs!$B$3&gt;=120</f>
        <v/>
      </c>
      <c r="D647">
        <f>IF(Skills!C23=1,60+Inputs!$B$24+Inputs!$B$28,IF(Skills!C23=2,90+(Inputs!$B$25+1)+Inputs!$B$28,IF(Skills!C23=3,120+Inputs!$B$26+Inputs!$B$28,MAX(0,(Inputs!$B$3-100)*3)+Inputs!$B$27+Inputs!$B$28)))</f>
        <v/>
      </c>
      <c r="E647">
        <f>INDEX(FactorTable!$B$2:$Y$301, MATCH(ROUND(MIN(300,MAX(1,D647)),0), FactorTable!$A$2:$A$301,0), Skills!L23+1)</f>
        <v/>
      </c>
      <c r="F647">
        <f>IF(Skills!M23=TRUE,(Skills!K23/10)*(E647/1000),Skills!K23/10)+Skills!N23</f>
        <v/>
      </c>
      <c r="G647">
        <f>Calc!G23</f>
        <v/>
      </c>
      <c r="H647">
        <f>Calc!H23</f>
        <v/>
      </c>
      <c r="I647">
        <f>IF(Skills!T23&lt;&gt;"",1+(Skills!T23/10)*(R627/1000)/100,1)</f>
        <v/>
      </c>
      <c r="J647" t="inlineStr"/>
      <c r="K647" t="inlineStr"/>
      <c r="L647" t="inlineStr"/>
      <c r="M647" t="inlineStr"/>
      <c r="N647" t="inlineStr"/>
      <c r="O647" t="n">
        <v>0</v>
      </c>
      <c r="P647">
        <f>IF(B658=0,0,O647/B658)</f>
        <v/>
      </c>
      <c r="S647" t="n">
        <v>0</v>
      </c>
      <c r="V647">
        <f>IFERROR(1/IF(Inputs!$B$4="pvp",15,MAX(0.1,Skills!D23-IF(Skills!E23=TRUE,Inputs!$B$31,0))),0)</f>
        <v/>
      </c>
    </row>
    <row r="650">
      <c r="A650" t="inlineStr">
        <is>
          <t>Average Buff Multiplier (Magic Guard + Meditation, summed; then Infinity)</t>
        </is>
      </c>
      <c r="B650">
        <f>(1+(IF(C627=TRUE,F627*IF(AND(Inputs!$B$4&lt;&gt;"pvp",Inputs!$B$35&gt;0),(((S627-1)*(Skills!S3*(1+(Inputs!$B$33+IF(Inputs!$B$3&gt;=117,F646,0))/100))+MIN((Skills!S3*(1+(Inputs!$B$33+IF(Inputs!$B$3&gt;=117,F646,0))/100)),MAX(0,Inputs!$B$35-((S627-1)*Skills!D3))))/Inputs!$B$35),IF(Inputs!$B$4="pvp",MIN((Skills!S3*(1+(Inputs!$B$33+IF(Inputs!$B$3&gt;=117,F646,0))/100)),15)/15,(Skills!S3*(1+(Inputs!$B$33+IF(Inputs!$B$3&gt;=117,F646,0))/100))/Skills!D3)),0)+IF(C628=TRUE,F628*IF(AND(Inputs!$B$4&lt;&gt;"pvp",Inputs!$B$35&gt;0),(((S628-1)*(Skills!S4*(1+(Inputs!$B$33+IF(Inputs!$B$3&gt;=117,F646,0))/100))+MIN((Skills!S4*(1+(Inputs!$B$33+IF(Inputs!$B$3&gt;=117,F646,0))/100)),MAX(0,Inputs!$B$35-((S628-1)*Skills!D4))))/Inputs!$B$35),IF(Inputs!$B$4="pvp",MIN((Skills!S4*(1+(Inputs!$B$33+IF(Inputs!$B$3&gt;=117,F646,0))/100)),15)/15,(Skills!S4*(1+(Inputs!$B$33+IF(Inputs!$B$3&gt;=117,F646,0))/100))/Skills!D4)),0))/100)*IF(C640=TRUE,(1+F640*IF(AND(Inputs!$B$4&lt;&gt;"pvp",Inputs!$B$35&gt;0),(((S640-1)*(Skills!S16*(1+(Inputs!$B$33+IF(Inputs!$B$3&gt;=117,F646,0))/100))+MIN((Skills!S16*(1+(Inputs!$B$33+IF(Inputs!$B$3&gt;=117,F646,0))/100)),MAX(0,Inputs!$B$35-((S640-1)*Skills!D16))))/Inputs!$B$35),IF(Inputs!$B$4="pvp",MIN((Skills!S16*(1+(Inputs!$B$33+IF(Inputs!$B$3&gt;=117,F646,0))/100)),15)/15,(Skills!S16*(1+(Inputs!$B$33+IF(Inputs!$B$3&gt;=117,F646,0))/100))/Skills!D16))/100),1)</f>
        <v/>
      </c>
    </row>
    <row r="651">
      <c r="A651" t="inlineStr">
        <is>
          <t>Monster Damage Taken Bonus % (Freezing Breath - Weaken + Elemental Reset, summed)</t>
        </is>
      </c>
      <c r="B651">
        <f>IF(Inputs!$B$3&gt;=118,15*IF(Inputs!$B$4="pvp",MIN((30*(1+(Inputs!$B$33+IF(Inputs!$B$3&gt;=117,F646,0))/100)),15)/15,(30*(1+(Inputs!$B$33+IF(Inputs!$B$3&gt;=117,F646,0))/100))/Skills!D8),0)+IF(C638=TRUE,F638,0)</f>
        <v/>
      </c>
    </row>
    <row r="652">
      <c r="A652" t="inlineStr">
        <is>
          <t>Damage % Bonus (Frozen Break + Frost Clutch, flat)</t>
        </is>
      </c>
      <c r="B652">
        <f>IF(Inputs!$B$3&gt;=66,15,0)+IF(Inputs!$B$3&gt;=98,10,0)+IF(Inputs!$B$3&gt;=125,20,0)</f>
        <v/>
      </c>
    </row>
    <row r="653">
      <c r="A653" t="inlineStr">
        <is>
          <t>Attack Speed Bonus % (MP Eater - MP Boost, always-on once unlocked)</t>
        </is>
      </c>
      <c r="B653">
        <f>IF(C637=TRUE,F637+(F641-Calc!F17),0)</f>
        <v/>
      </c>
    </row>
    <row r="654">
      <c r="A654" t="inlineStr">
        <is>
          <t>Actions Per Second</t>
        </is>
      </c>
      <c r="B654">
        <f>1+MIN(150,150*(1-(1-Inputs!$B$10/150)*(1-B653/150)))/100</f>
        <v/>
      </c>
    </row>
    <row r="655">
      <c r="A655" t="inlineStr">
        <is>
          <t>Skill + Buff Cast Rate</t>
        </is>
      </c>
      <c r="B655">
        <f>IF(AND(Inputs!$B$4&lt;&gt;"pvp",Inputs!$B$35&gt;0),SUMPRODUCT((Skills!E2:E23=TRUE)*(C626:C647=TRUE)*S626:S647)/Inputs!$B$35,SUMPRODUCT((Skills!E2:E23=TRUE)*(C626:C647=TRUE)*V626:V647))</f>
        <v/>
      </c>
    </row>
    <row r="656">
      <c r="A656" t="inlineStr">
        <is>
          <t>Chain Lightning Casts Per Second</t>
        </is>
      </c>
      <c r="B656">
        <f>MAX(0,B654-B655)</f>
        <v/>
      </c>
    </row>
    <row r="658">
      <c r="A658" s="5" t="inlineStr">
        <is>
          <t>TOTAL DPS</t>
        </is>
      </c>
      <c r="B658" s="5">
        <f>SUM(O626:O647)</f>
        <v/>
      </c>
    </row>
    <row r="661">
      <c r="A661" s="5" t="inlineStr">
        <is>
          <t>Stat: Skill Level Bonus — 3rd Job</t>
        </is>
      </c>
    </row>
    <row r="662">
      <c r="A662" s="8" t="inlineStr">
        <is>
          <t>Key</t>
        </is>
      </c>
      <c r="B662" s="8" t="inlineStr">
        <is>
          <t>Name</t>
        </is>
      </c>
      <c r="C662" s="8" t="inlineStr">
        <is>
          <t>Unlocked</t>
        </is>
      </c>
      <c r="D662" s="8" t="inlineStr">
        <is>
          <t>InputLevel</t>
        </is>
      </c>
      <c r="E662" s="8" t="inlineStr">
        <is>
          <t>Factor</t>
        </is>
      </c>
      <c r="F662" s="8" t="inlineStr">
        <is>
          <t>CoefficientPercent</t>
        </is>
      </c>
      <c r="G662" s="8" t="inlineStr">
        <is>
          <t>EffectiveHits</t>
        </is>
      </c>
      <c r="H662" s="8" t="inlineStr">
        <is>
          <t>ProcProbability</t>
        </is>
      </c>
      <c r="I662" s="8" t="inlineStr">
        <is>
          <t>MapleHeroMultiplier</t>
        </is>
      </c>
      <c r="J662" s="8" t="inlineStr">
        <is>
          <t>BaseDamage</t>
        </is>
      </c>
      <c r="K662" s="8" t="inlineStr">
        <is>
          <t>BaseHitDamage</t>
        </is>
      </c>
      <c r="L662" s="8" t="inlineStr">
        <is>
          <t>NonCritAvg</t>
        </is>
      </c>
      <c r="M662" s="8" t="inlineStr">
        <is>
          <t>CritAvg</t>
        </is>
      </c>
      <c r="N662" s="8" t="inlineStr">
        <is>
          <t>ExpectedDamage(perHit)</t>
        </is>
      </c>
      <c r="O662" s="8" t="inlineStr">
        <is>
          <t>DPS</t>
        </is>
      </c>
      <c r="P662" s="8" t="inlineStr">
        <is>
          <t>% of Total</t>
        </is>
      </c>
      <c r="R662" t="inlineStr">
        <is>
          <t>helpers</t>
        </is>
      </c>
    </row>
    <row r="663">
      <c r="A663">
        <f>Skills!A2</f>
        <v/>
      </c>
      <c r="B663">
        <f>Skills!B2</f>
        <v/>
      </c>
      <c r="C663">
        <f>Inputs!$B$3&gt;=100</f>
        <v/>
      </c>
      <c r="D663" t="inlineStr"/>
      <c r="E663" t="inlineStr"/>
      <c r="F663">
        <f>T665+Skills!N2</f>
        <v/>
      </c>
      <c r="G663">
        <f>Calc!G2</f>
        <v/>
      </c>
      <c r="H663">
        <f>Calc!H2</f>
        <v/>
      </c>
      <c r="I663">
        <f>IF(Skills!T2&lt;&gt;"",1+(Skills!T2/10)*(R664/1000)/100,1)</f>
        <v/>
      </c>
      <c r="J663">
        <f>((Inputs!$B$5*(1+Inputs!$B$6/100))+((Inputs!$B$11*(1+Inputs!$B$12/100))-(Inputs!$B$11*(1+Inputs!$B$12/100)))*(1+Inputs!$B$6/100))*(F663/100)</f>
        <v/>
      </c>
      <c r="K663">
        <f>J663*(1+((Inputs!$B$11*(1+Inputs!$B$12/100))*0.01+Inputs!$B$13*0.0025)/100)*(1+(Inputs!$B$14+B689)/100)*(1+IF(Inputs!$B$4="pvp",0,(1-Summary!$B$51)*(Inputs!$B$19+Skills!O2+B688)+Summary!$B$51*(Inputs!$B$20+Skills!P2+B688))/100)*(1+Inputs!$B$15/100)*(5000/(6000+Inputs!$B$7*(1-Inputs!$B$18/100)))*(1+Inputs!$B$23/100)*(1+IF(C676=TRUE,F676,0)/100)*(1+IF(C684=TRUE,F684,0)/100)^5*(1+(IF(Skills!A2="CHAIN_LIGHTNING",Inputs!$B$16,Inputs!$B$17))/100)*(B687*I663)</f>
        <v/>
      </c>
      <c r="L663">
        <f>K663*(MIN(Inputs!$B$21+(F679-Calc!F18),Inputs!$B$22)/100+Inputs!$B$22/100)/2</f>
        <v/>
      </c>
      <c r="M663">
        <f>L663*(1+(Inputs!$B$9+(F682-Calc!F21))/100)</f>
        <v/>
      </c>
      <c r="N663">
        <f>L663*(1-MIN(Inputs!$B$8+((F681-Calc!F20)+(F680-Calc!F19)),100)/100)+M663*(MIN(Inputs!$B$8+((F681-Calc!F20)+(F680-Calc!F19)),100)/100)</f>
        <v/>
      </c>
      <c r="O663">
        <f>IF(C663,Skills!F2*N663*B693*IF(Inputs!$B$4="pvp",1,(1-Summary!$B$51)*(1)+Summary!$B$51*(MIN((6+Inputs!$B$32),Inputs!$B$37))),0)</f>
        <v/>
      </c>
      <c r="P663">
        <f>IF(B695=0,0,O663/B695)</f>
        <v/>
      </c>
      <c r="R663">
        <f>MAX(0,(Inputs!$B$3-100)*3)+Inputs!$B$27+Inputs!$B$28</f>
        <v/>
      </c>
      <c r="S663" t="n">
        <v>0</v>
      </c>
      <c r="T663">
        <f>MAX(0,(Inputs!$B$3-100)*3)+Inputs!$B$27+Inputs!$B$28</f>
        <v/>
      </c>
      <c r="V663">
        <f>IFERROR(1/IF(Inputs!$B$4="pvp",15,MAX(0.1,Skills!D2-IF(Skills!E2=TRUE,Inputs!$B$31,0))),0)</f>
        <v/>
      </c>
    </row>
    <row r="664">
      <c r="A664">
        <f>Skills!A3</f>
        <v/>
      </c>
      <c r="B664">
        <f>Skills!B3</f>
        <v/>
      </c>
      <c r="C664">
        <f>Inputs!$B$3&gt;=15</f>
        <v/>
      </c>
      <c r="D664">
        <f>IF(Skills!C3=1,60+Inputs!$B$24+Inputs!$B$28,IF(Skills!C3=2,90+Inputs!$B$25+Inputs!$B$28,IF(Skills!C3=3,120+(Inputs!$B$26+1)+Inputs!$B$28,MAX(0,(Inputs!$B$3-100)*3)+Inputs!$B$27+Inputs!$B$28)))</f>
        <v/>
      </c>
      <c r="E664">
        <f>INDEX(FactorTable!$B$2:$Y$301, MATCH(ROUND(MIN(300,MAX(1,D664)),0), FactorTable!$A$2:$A$301,0), Skills!L3+1)</f>
        <v/>
      </c>
      <c r="F664">
        <f>IF(Skills!M3=TRUE,(Skills!K3/10)*(E664/1000),Skills!K3/10)+Skills!N3</f>
        <v/>
      </c>
      <c r="G664">
        <f>Calc!G3</f>
        <v/>
      </c>
      <c r="H664">
        <f>Calc!H3</f>
        <v/>
      </c>
      <c r="I664">
        <f>IF(Skills!T3&lt;&gt;"",1+(Skills!T3/10)*(R664/1000)/100,1)</f>
        <v/>
      </c>
      <c r="J664" t="inlineStr"/>
      <c r="K664" t="inlineStr"/>
      <c r="L664" t="inlineStr"/>
      <c r="M664" t="inlineStr"/>
      <c r="N664" t="inlineStr"/>
      <c r="O664" t="n">
        <v>0</v>
      </c>
      <c r="P664">
        <f>IF(B695=0,0,O664/B695)</f>
        <v/>
      </c>
      <c r="R664">
        <f>INDEX(FactorTable!$B$2:$Y$301, MATCH(ROUND(MIN(300,MAX(1,R663)),0), FactorTable!$A$2:$A$301,0), 24)</f>
        <v/>
      </c>
      <c r="S664">
        <f>IF(AND(Inputs!$B$4&lt;&gt;"pvp",Inputs!$B$35&gt;0),(INT(Inputs!$B$35/IF(Inputs!$B$4="pvp",15,MAX(0.1,Skills!D3-IF(Skills!E3=TRUE,Inputs!$B$31,0))))+1),0)</f>
        <v/>
      </c>
      <c r="T664">
        <f>INDEX(FactorTable!$B$2:$Y$301, MATCH(ROUND(MIN(300,MAX(1,T663)),0), FactorTable!$A$2:$A$301,0), 22)</f>
        <v/>
      </c>
      <c r="V664">
        <f>IFERROR(1/IF(Inputs!$B$4="pvp",15,MAX(0.1,Skills!D3-IF(Skills!E3=TRUE,Inputs!$B$31,0))),0)</f>
        <v/>
      </c>
    </row>
    <row r="665">
      <c r="A665">
        <f>Skills!A4</f>
        <v/>
      </c>
      <c r="B665">
        <f>Skills!B4</f>
        <v/>
      </c>
      <c r="C665">
        <f>Inputs!$B$3&gt;=40</f>
        <v/>
      </c>
      <c r="D665">
        <f>IF(Skills!C4=1,60+Inputs!$B$24+Inputs!$B$28,IF(Skills!C4=2,90+Inputs!$B$25+Inputs!$B$28,IF(Skills!C4=3,120+(Inputs!$B$26+1)+Inputs!$B$28,MAX(0,(Inputs!$B$3-100)*3)+Inputs!$B$27+Inputs!$B$28)))</f>
        <v/>
      </c>
      <c r="E665">
        <f>INDEX(FactorTable!$B$2:$Y$301, MATCH(ROUND(MIN(300,MAX(1,D665)),0), FactorTable!$A$2:$A$301,0), Skills!L4+1)</f>
        <v/>
      </c>
      <c r="F665">
        <f>IF(Skills!M4=TRUE,(Skills!K4/10)*(E665/1000),Skills!K4/10)+Skills!N4</f>
        <v/>
      </c>
      <c r="G665">
        <f>Calc!G4</f>
        <v/>
      </c>
      <c r="H665">
        <f>Calc!H4</f>
        <v/>
      </c>
      <c r="I665">
        <f>IF(Skills!T4&lt;&gt;"",1+(Skills!T4/10)*(R664/1000)/100,1)</f>
        <v/>
      </c>
      <c r="J665" t="inlineStr"/>
      <c r="K665" t="inlineStr"/>
      <c r="L665" t="inlineStr"/>
      <c r="M665" t="inlineStr"/>
      <c r="N665" t="inlineStr"/>
      <c r="O665" t="n">
        <v>0</v>
      </c>
      <c r="P665">
        <f>IF(B695=0,0,O665/B695)</f>
        <v/>
      </c>
      <c r="S665">
        <f>IF(AND(Inputs!$B$4&lt;&gt;"pvp",Inputs!$B$35&gt;0),(INT(Inputs!$B$35/IF(Inputs!$B$4="pvp",15,MAX(0.1,Skills!D4-IF(Skills!E4=TRUE,Inputs!$B$31,0))))+1),0)</f>
        <v/>
      </c>
      <c r="T665">
        <f>290*T664/1000</f>
        <v/>
      </c>
      <c r="V665">
        <f>IFERROR(1/IF(Inputs!$B$4="pvp",15,MAX(0.1,Skills!D4-IF(Skills!E4=TRUE,Inputs!$B$31,0))),0)</f>
        <v/>
      </c>
    </row>
    <row r="666">
      <c r="A666">
        <f>Skills!A5</f>
        <v/>
      </c>
      <c r="B666">
        <f>Skills!B5</f>
        <v/>
      </c>
      <c r="C666">
        <f>Inputs!$B$3&gt;=38</f>
        <v/>
      </c>
      <c r="D666">
        <f>IF(Skills!C5=1,60+Inputs!$B$24+Inputs!$B$28,IF(Skills!C5=2,90+Inputs!$B$25+Inputs!$B$28,IF(Skills!C5=3,120+(Inputs!$B$26+1)+Inputs!$B$28,MAX(0,(Inputs!$B$3-100)*3)+Inputs!$B$27+Inputs!$B$28)))</f>
        <v/>
      </c>
      <c r="E666">
        <f>INDEX(FactorTable!$B$2:$Y$301, MATCH(ROUND(MIN(300,MAX(1,D666)),0), FactorTable!$A$2:$A$301,0), Skills!L5+1)</f>
        <v/>
      </c>
      <c r="F666">
        <f>IF(Skills!M5=TRUE,(Skills!K5/10)*(E666/1000),Skills!K5/10)+Skills!N5</f>
        <v/>
      </c>
      <c r="G666">
        <f>Calc!G5</f>
        <v/>
      </c>
      <c r="H666">
        <f>Calc!H5</f>
        <v/>
      </c>
      <c r="I666">
        <f>IF(Skills!T5&lt;&gt;"",1+(Skills!T5/10)*(R664/1000)/100,1)</f>
        <v/>
      </c>
      <c r="J666">
        <f>((Inputs!$B$5*(1+Inputs!$B$6/100))+((Inputs!$B$11*(1+Inputs!$B$12/100))-(Inputs!$B$11*(1+Inputs!$B$12/100)))*(1+Inputs!$B$6/100))*(F666/100)</f>
        <v/>
      </c>
      <c r="K666">
        <f>J666*(1+((Inputs!$B$11*(1+Inputs!$B$12/100))*0.01+Inputs!$B$13*0.0025)/100)*(1+(Inputs!$B$14+B689)/100)*(1+IF(Inputs!$B$4="pvp",0,(1-Summary!$B$51)*(Inputs!$B$19+Skills!O5+B688)+Summary!$B$51*(Inputs!$B$20+Skills!P5+B688))/100)*(1+Inputs!$B$15/100)*(5000/(6000+Inputs!$B$7*(1-Inputs!$B$18/100)))*(1+Inputs!$B$23/100)*(1+IF(C676=TRUE,F676,0)/100)*(1+IF(C684=TRUE,F684,0)/100)^5*(1+(IF(Skills!A5="CHAIN_LIGHTNING",Inputs!$B$16,Inputs!$B$17))/100)*(B687*I666)</f>
        <v/>
      </c>
      <c r="L666">
        <f>K666*(MIN(Inputs!$B$21+(F679-Calc!F18),Inputs!$B$22)/100+Inputs!$B$22/100)/2</f>
        <v/>
      </c>
      <c r="M666">
        <f>L666*(1+(Inputs!$B$9+(F682-Calc!F21))/100)</f>
        <v/>
      </c>
      <c r="N666">
        <f>L666*(1-MIN(Inputs!$B$8+((F681-Calc!F20)+(F680-Calc!F19)),100)/100)+M666*(MIN(Inputs!$B$8+((F681-Calc!F20)+(F680-Calc!F19)),100)/100)</f>
        <v/>
      </c>
      <c r="O666">
        <f>IF(C666,H666*N666*IF(AND(Inputs!$B$4&lt;&gt;"pvp",Inputs!$B$35&gt;0),((Skills!F5*((S666-1)*IF(Skills!G5&gt;0,Skills!H5/Skills!G5,1)+IF(Skills!G5&gt;0,MIN(Skills!H5,MAX(0,Inputs!$B$35-((S666-1)*IF(Inputs!$B$4="pvp",15,MAX(0.1,Skills!D5-IF(Skills!E5=TRUE,Inputs!$B$31,0))))))/Skills!G5,1)))/Inputs!$B$35),G666*V666)*IF(Inputs!$B$4="pvp",1,(1-Summary!$B$51)*(1)+Summary!$B$51*(MIN(Skills!Q5,Inputs!$B$37))),0)</f>
        <v/>
      </c>
      <c r="P666">
        <f>IF(B695=0,0,O666/B695)</f>
        <v/>
      </c>
      <c r="S666">
        <f>IF(AND(Inputs!$B$4&lt;&gt;"pvp",Inputs!$B$35&gt;0),(INT(Inputs!$B$35/IF(Inputs!$B$4="pvp",15,MAX(0.1,Skills!D5-IF(Skills!E5=TRUE,Inputs!$B$31,0))))+1),0)</f>
        <v/>
      </c>
      <c r="V666">
        <f>IFERROR(1/IF(Inputs!$B$4="pvp",15,MAX(0.1,Skills!D5-IF(Skills!E5=TRUE,Inputs!$B$31,0))),0)</f>
        <v/>
      </c>
    </row>
    <row r="667">
      <c r="A667">
        <f>Skills!A6</f>
        <v/>
      </c>
      <c r="B667">
        <f>Skills!B6</f>
        <v/>
      </c>
      <c r="C667">
        <f>Inputs!$B$3&gt;=63</f>
        <v/>
      </c>
      <c r="D667">
        <f>IF(Skills!C6=1,60+Inputs!$B$24+Inputs!$B$28,IF(Skills!C6=2,90+Inputs!$B$25+Inputs!$B$28,IF(Skills!C6=3,120+(Inputs!$B$26+1)+Inputs!$B$28,MAX(0,(Inputs!$B$3-100)*3)+Inputs!$B$27+Inputs!$B$28)))</f>
        <v/>
      </c>
      <c r="E667">
        <f>INDEX(FactorTable!$B$2:$Y$301, MATCH(ROUND(MIN(300,MAX(1,D667)),0), FactorTable!$A$2:$A$301,0), Skills!L6+1)</f>
        <v/>
      </c>
      <c r="F667">
        <f>IF(Skills!M6=TRUE,(Skills!K6/10)*(E667/1000),Skills!K6/10)+Skills!N6</f>
        <v/>
      </c>
      <c r="G667">
        <f>Calc!G6</f>
        <v/>
      </c>
      <c r="H667">
        <f>Calc!H6</f>
        <v/>
      </c>
      <c r="I667">
        <f>IF(Skills!T6&lt;&gt;"",1+(Skills!T6/10)*(R664/1000)/100,1)</f>
        <v/>
      </c>
      <c r="J667">
        <f>((Inputs!$B$5*(1+Inputs!$B$6/100))+((Inputs!$B$11*(1+Inputs!$B$12/100))-(Inputs!$B$11*(1+Inputs!$B$12/100)))*(1+Inputs!$B$6/100))*(F667/100)</f>
        <v/>
      </c>
      <c r="K667">
        <f>J667*(1+((Inputs!$B$11*(1+Inputs!$B$12/100))*0.01+Inputs!$B$13*0.0025)/100)*(1+(Inputs!$B$14+B689)/100)*(1+IF(Inputs!$B$4="pvp",0,(1-Summary!$B$51)*(Inputs!$B$19+Skills!O6+B688)+Summary!$B$51*(Inputs!$B$20+Skills!P6+B688))/100)*(1+Inputs!$B$15/100)*(5000/(6000+Inputs!$B$7*(1-Inputs!$B$18/100)))*(1+Inputs!$B$23/100)*(1+IF(C676=TRUE,F676,0)/100)*(1+IF(C684=TRUE,F684,0)/100)^5*(1+(IF(Skills!A6="CHAIN_LIGHTNING",Inputs!$B$16,Inputs!$B$17))/100)*(B687*I667)</f>
        <v/>
      </c>
      <c r="L667">
        <f>K667*(MIN(Inputs!$B$21+(F679-Calc!F18),Inputs!$B$22)/100+Inputs!$B$22/100)/2</f>
        <v/>
      </c>
      <c r="M667">
        <f>L667*(1+(Inputs!$B$9+(F682-Calc!F21))/100)</f>
        <v/>
      </c>
      <c r="N667">
        <f>L667*(1-MIN(Inputs!$B$8+((F681-Calc!F20)+(F680-Calc!F19)),100)/100)+M667*(MIN(Inputs!$B$8+((F681-Calc!F20)+(F680-Calc!F19)),100)/100)</f>
        <v/>
      </c>
      <c r="O667">
        <f>IF(C667,H667*N667*IF(AND(Inputs!$B$4&lt;&gt;"pvp",Inputs!$B$35&gt;0),((Skills!F6*((S667-1)*IF(Skills!G6&gt;0,Skills!H6/Skills!G6,1)+IF(Skills!G6&gt;0,MIN(Skills!H6,MAX(0,Inputs!$B$35-((S667-1)*IF(Inputs!$B$4="pvp",15,MAX(0.1,Skills!D6-IF(Skills!E6=TRUE,Inputs!$B$31,0))))))/Skills!G6,1)))/Inputs!$B$35),G667*V667)*IF(Inputs!$B$4="pvp",1,(1-Summary!$B$51)*(1)+Summary!$B$51*(MIN(Skills!Q6,Inputs!$B$37))),0)</f>
        <v/>
      </c>
      <c r="P667">
        <f>IF(B695=0,0,O667/B695)</f>
        <v/>
      </c>
      <c r="S667">
        <f>IF(AND(Inputs!$B$4&lt;&gt;"pvp",Inputs!$B$35&gt;0),(INT(Inputs!$B$35/IF(Inputs!$B$4="pvp",15,MAX(0.1,Skills!D6-IF(Skills!E6=TRUE,Inputs!$B$31,0))))+1),0)</f>
        <v/>
      </c>
      <c r="V667">
        <f>IFERROR(1/IF(Inputs!$B$4="pvp",15,MAX(0.1,Skills!D6-IF(Skills!E6=TRUE,Inputs!$B$31,0))),0)</f>
        <v/>
      </c>
    </row>
    <row r="668">
      <c r="A668">
        <f>Skills!A7</f>
        <v/>
      </c>
      <c r="B668">
        <f>Skills!B7</f>
        <v/>
      </c>
      <c r="C668">
        <f>Inputs!$B$3&gt;=69</f>
        <v/>
      </c>
      <c r="D668">
        <f>IF(Skills!C7=1,60+Inputs!$B$24+Inputs!$B$28,IF(Skills!C7=2,90+Inputs!$B$25+Inputs!$B$28,IF(Skills!C7=3,120+(Inputs!$B$26+1)+Inputs!$B$28,MAX(0,(Inputs!$B$3-100)*3)+Inputs!$B$27+Inputs!$B$28)))</f>
        <v/>
      </c>
      <c r="E668">
        <f>INDEX(FactorTable!$B$2:$Y$301, MATCH(ROUND(MIN(300,MAX(1,D668)),0), FactorTable!$A$2:$A$301,0), Skills!L7+1)</f>
        <v/>
      </c>
      <c r="F668">
        <f>IF(Skills!M7=TRUE,(Skills!K7/10)*(E668/1000),Skills!K7/10)+Skills!N7</f>
        <v/>
      </c>
      <c r="G668">
        <f>Calc!G7</f>
        <v/>
      </c>
      <c r="H668">
        <f>Calc!H7</f>
        <v/>
      </c>
      <c r="I668">
        <f>IF(Skills!T7&lt;&gt;"",1+(Skills!T7/10)*(R664/1000)/100,1)</f>
        <v/>
      </c>
      <c r="J668">
        <f>((Inputs!$B$5*(1+Inputs!$B$6/100))+((Inputs!$B$11*(1+Inputs!$B$12/100))-(Inputs!$B$11*(1+Inputs!$B$12/100)))*(1+Inputs!$B$6/100))*(F668/100)</f>
        <v/>
      </c>
      <c r="K668">
        <f>J668*(1+((Inputs!$B$11*(1+Inputs!$B$12/100))*0.01+Inputs!$B$13*0.0025)/100)*(1+(Inputs!$B$14+B689)/100)*(1+IF(Inputs!$B$4="pvp",0,(1-Summary!$B$51)*(Inputs!$B$19+Skills!O7+B688)+Summary!$B$51*(Inputs!$B$20+Skills!P7+B688))/100)*(1+Inputs!$B$15/100)*(5000/(6000+Inputs!$B$7*(1-Inputs!$B$18/100)))*(1+Inputs!$B$23/100)*(1+IF(C676=TRUE,F676,0)/100)*(1+IF(C684=TRUE,F684,0)/100)^5*(1+(IF(Skills!A7="CHAIN_LIGHTNING",Inputs!$B$16,Inputs!$B$17))/100)*(B687*I668)</f>
        <v/>
      </c>
      <c r="L668">
        <f>K668*(MIN(Inputs!$B$21+(F679-Calc!F18),Inputs!$B$22)/100+Inputs!$B$22/100)/2</f>
        <v/>
      </c>
      <c r="M668">
        <f>L668*(1+(Inputs!$B$9+(F682-Calc!F21))/100)</f>
        <v/>
      </c>
      <c r="N668">
        <f>L668*(1-MIN(Inputs!$B$8+((F681-Calc!F20)+(F680-Calc!F19)),100)/100)+M668*(MIN(Inputs!$B$8+((F681-Calc!F20)+(F680-Calc!F19)),100)/100)</f>
        <v/>
      </c>
      <c r="O668">
        <f>IF(C668,H668*N668*IF(AND(Inputs!$B$4&lt;&gt;"pvp",Inputs!$B$35&gt;0),((Skills!F7*((S668-1)*IF(Skills!G7&gt;0,Skills!H7/Skills!G7,1)+IF(Skills!G7&gt;0,MIN(Skills!H7,MAX(0,Inputs!$B$35-((S668-1)*IF(Inputs!$B$4="pvp",15,MAX(0.1,Skills!D7-IF(Skills!E7=TRUE,Inputs!$B$31,0))))))/Skills!G7,1)))/Inputs!$B$35),G668*V668)*IF(Inputs!$B$4="pvp",1,(1-Summary!$B$51)*(1)+Summary!$B$51*(MIN(Skills!Q7,Inputs!$B$37))),0)</f>
        <v/>
      </c>
      <c r="P668">
        <f>IF(B695=0,0,O668/B695)</f>
        <v/>
      </c>
      <c r="S668">
        <f>IF(AND(Inputs!$B$4&lt;&gt;"pvp",Inputs!$B$35&gt;0),(INT(Inputs!$B$35/IF(Inputs!$B$4="pvp",15,MAX(0.1,Skills!D7-IF(Skills!E7=TRUE,Inputs!$B$31,0))))+1),0)</f>
        <v/>
      </c>
      <c r="V668">
        <f>IFERROR(1/IF(Inputs!$B$4="pvp",15,MAX(0.1,Skills!D7-IF(Skills!E7=TRUE,Inputs!$B$31,0))),0)</f>
        <v/>
      </c>
    </row>
    <row r="669">
      <c r="A669">
        <f>Skills!A8</f>
        <v/>
      </c>
      <c r="B669">
        <f>Skills!B8</f>
        <v/>
      </c>
      <c r="C669">
        <f>Inputs!$B$3&gt;=103</f>
        <v/>
      </c>
      <c r="D669">
        <f>IF(Skills!C8=1,60+Inputs!$B$24+Inputs!$B$28,IF(Skills!C8=2,90+Inputs!$B$25+Inputs!$B$28,IF(Skills!C8=3,120+(Inputs!$B$26+1)+Inputs!$B$28,MAX(0,(Inputs!$B$3-100)*3)+Inputs!$B$27+Inputs!$B$28)))</f>
        <v/>
      </c>
      <c r="E669">
        <f>INDEX(FactorTable!$B$2:$Y$301, MATCH(ROUND(MIN(300,MAX(1,D669)),0), FactorTable!$A$2:$A$301,0), Skills!L8+1)</f>
        <v/>
      </c>
      <c r="F669">
        <f>IF(Skills!M8=TRUE,(Skills!K8/10)*(E669/1000),Skills!K8/10)+Skills!N8</f>
        <v/>
      </c>
      <c r="G669">
        <f>Calc!G8</f>
        <v/>
      </c>
      <c r="H669">
        <f>Calc!H8</f>
        <v/>
      </c>
      <c r="I669">
        <f>IF(Skills!T8&lt;&gt;"",1+(Skills!T8/10)*(R664/1000)/100,1)</f>
        <v/>
      </c>
      <c r="J669">
        <f>((Inputs!$B$5*(1+Inputs!$B$6/100))+((Inputs!$B$11*(1+Inputs!$B$12/100))-(Inputs!$B$11*(1+Inputs!$B$12/100)))*(1+Inputs!$B$6/100))*(F669/100)</f>
        <v/>
      </c>
      <c r="K669">
        <f>J669*(1+((Inputs!$B$11*(1+Inputs!$B$12/100))*0.01+Inputs!$B$13*0.0025)/100)*(1+(Inputs!$B$14+B689)/100)*(1+IF(Inputs!$B$4="pvp",0,(1-Summary!$B$51)*(Inputs!$B$19+Skills!O8+B688)+Summary!$B$51*(Inputs!$B$20+Skills!P8+B688))/100)*(1+Inputs!$B$15/100)*(5000/(6000+Inputs!$B$7*(1-Inputs!$B$18/100)))*(1+Inputs!$B$23/100)*(1+IF(C676=TRUE,F676,0)/100)*(1+IF(C684=TRUE,F684,0)/100)^5*(1+(IF(Skills!A8="CHAIN_LIGHTNING",Inputs!$B$16,Inputs!$B$17))/100)*(B687*I669)</f>
        <v/>
      </c>
      <c r="L669">
        <f>K669*(MIN(Inputs!$B$21+(F679-Calc!F18),Inputs!$B$22)/100+Inputs!$B$22/100)/2</f>
        <v/>
      </c>
      <c r="M669">
        <f>L669*(1+(Inputs!$B$9+(F682-Calc!F21))/100)</f>
        <v/>
      </c>
      <c r="N669">
        <f>L669*(1-MIN(Inputs!$B$8+((F681-Calc!F20)+(F680-Calc!F19)),100)/100)+M669*(MIN(Inputs!$B$8+((F681-Calc!F20)+(F680-Calc!F19)),100)/100)</f>
        <v/>
      </c>
      <c r="O669">
        <f>IF(C669,H669*N669*IF(AND(Inputs!$B$4&lt;&gt;"pvp",Inputs!$B$35&gt;0),((Skills!F8*((S669-1)*IF(Skills!G8&gt;0,Skills!H8/Skills!G8,1)+IF(Skills!G8&gt;0,MIN(Skills!H8,MAX(0,Inputs!$B$35-((S669-1)*IF(Inputs!$B$4="pvp",15,MAX(0.1,Skills!D8-IF(Skills!E8=TRUE,Inputs!$B$31,0))))))/Skills!G8,1)))/Inputs!$B$35),G669*V669)*IF(Inputs!$B$4="pvp",1,(1-Summary!$B$51)*(1)+Summary!$B$51*(MIN(Skills!Q8,Inputs!$B$37))),0)</f>
        <v/>
      </c>
      <c r="P669">
        <f>IF(B695=0,0,O669/B695)</f>
        <v/>
      </c>
      <c r="S669">
        <f>IF(AND(Inputs!$B$4&lt;&gt;"pvp",Inputs!$B$35&gt;0),(INT(Inputs!$B$35/IF(Inputs!$B$4="pvp",15,MAX(0.1,Skills!D8-IF(Skills!E8=TRUE,Inputs!$B$31,0))))+1),0)</f>
        <v/>
      </c>
      <c r="V669">
        <f>IFERROR(1/IF(Inputs!$B$4="pvp",15,MAX(0.1,Skills!D8-IF(Skills!E8=TRUE,Inputs!$B$31,0))),0)</f>
        <v/>
      </c>
    </row>
    <row r="670">
      <c r="A670">
        <f>Skills!A9</f>
        <v/>
      </c>
      <c r="B670">
        <f>Skills!B9</f>
        <v/>
      </c>
      <c r="C670">
        <f>Inputs!$B$3&gt;=105</f>
        <v/>
      </c>
      <c r="D670">
        <f>IF(Skills!C9=1,60+Inputs!$B$24+Inputs!$B$28,IF(Skills!C9=2,90+Inputs!$B$25+Inputs!$B$28,IF(Skills!C9=3,120+(Inputs!$B$26+1)+Inputs!$B$28,MAX(0,(Inputs!$B$3-100)*3)+Inputs!$B$27+Inputs!$B$28)))</f>
        <v/>
      </c>
      <c r="E670">
        <f>INDEX(FactorTable!$B$2:$Y$301, MATCH(ROUND(MIN(300,MAX(1,D670)),0), FactorTable!$A$2:$A$301,0), Skills!L9+1)</f>
        <v/>
      </c>
      <c r="F670">
        <f>IF(Skills!M9=TRUE,(Skills!K9/10)*(E670/1000),Skills!K9/10)+Skills!N9</f>
        <v/>
      </c>
      <c r="G670">
        <f>Calc!G9</f>
        <v/>
      </c>
      <c r="H670">
        <f>Calc!H9</f>
        <v/>
      </c>
      <c r="I670">
        <f>IF(Skills!T9&lt;&gt;"",1+(Skills!T9/10)*(R664/1000)/100,1)</f>
        <v/>
      </c>
      <c r="J670">
        <f>((Inputs!$B$5*(1+Inputs!$B$6/100))+((Inputs!$B$11*(1+Inputs!$B$12/100))-(Inputs!$B$11*(1+Inputs!$B$12/100)))*(1+Inputs!$B$6/100))*(F670/100)</f>
        <v/>
      </c>
      <c r="K670">
        <f>J670*(1+((Inputs!$B$11*(1+Inputs!$B$12/100))*0.01+Inputs!$B$13*0.0025)/100)*(1+(Inputs!$B$14+B689)/100)*(1+IF(Inputs!$B$4="pvp",0,(1-Summary!$B$51)*(Inputs!$B$19+Skills!O9+B688)+Summary!$B$51*(Inputs!$B$20+Skills!P9+B688))/100)*(1+Inputs!$B$15/100)*(5000/(6000+Inputs!$B$7*(1-Inputs!$B$18/100)))*(1+Inputs!$B$23/100)*(1+IF(C676=TRUE,F676,0)/100)*(1+IF(C684=TRUE,F684,0)/100)^5*(1+(IF(Skills!A9="CHAIN_LIGHTNING",Inputs!$B$16,Inputs!$B$17))/100)*(B687*I670)</f>
        <v/>
      </c>
      <c r="L670">
        <f>K670*(MIN(Inputs!$B$21+(F679-Calc!F18),Inputs!$B$22)/100+Inputs!$B$22/100)/2</f>
        <v/>
      </c>
      <c r="M670">
        <f>L670*(1+(Inputs!$B$9+(F682-Calc!F21))/100)</f>
        <v/>
      </c>
      <c r="N670">
        <f>L670*(1-MIN(Inputs!$B$8+((F681-Calc!F20)+(F680-Calc!F19)),100)/100)+M670*(MIN(Inputs!$B$8+((F681-Calc!F20)+(F680-Calc!F19)),100)/100)</f>
        <v/>
      </c>
      <c r="O670">
        <f>IF(C670,H670*N670*IF(AND(Inputs!$B$4&lt;&gt;"pvp",Inputs!$B$35&gt;0),((Skills!F9*((S670-1)*IF(Skills!G9&gt;0,Skills!H9/Skills!G9,1)+IF(Skills!G9&gt;0,MIN(Skills!H9,MAX(0,Inputs!$B$35-((S670-1)*IF(Inputs!$B$4="pvp",15,MAX(0.1,Skills!D9-IF(Skills!E9=TRUE,Inputs!$B$31,0))))))/Skills!G9,1)))/Inputs!$B$35),G670*V670)*IF(Inputs!$B$4="pvp",1,(1-Summary!$B$51)*(1)+Summary!$B$51*(MIN(Skills!Q9,Inputs!$B$37))),0)</f>
        <v/>
      </c>
      <c r="P670">
        <f>IF(B695=0,0,O670/B695)</f>
        <v/>
      </c>
      <c r="S670">
        <f>IF(AND(Inputs!$B$4&lt;&gt;"pvp",Inputs!$B$35&gt;0),(INT(Inputs!$B$35/IF(Inputs!$B$4="pvp",15,MAX(0.1,Skills!D9-IF(Skills!E9=TRUE,Inputs!$B$31,0))))+1),0)</f>
        <v/>
      </c>
      <c r="V670">
        <f>IFERROR(1/IF(Inputs!$B$4="pvp",15,MAX(0.1,Skills!D9-IF(Skills!E9=TRUE,Inputs!$B$31,0))),0)</f>
        <v/>
      </c>
    </row>
    <row r="671">
      <c r="A671">
        <f>Skills!A10</f>
        <v/>
      </c>
      <c r="B671">
        <f>Skills!B10</f>
        <v/>
      </c>
      <c r="C671">
        <f>Inputs!$B$3&gt;=113</f>
        <v/>
      </c>
      <c r="D671">
        <f>IF(Skills!C10=1,60+Inputs!$B$24+Inputs!$B$28,IF(Skills!C10=2,90+Inputs!$B$25+Inputs!$B$28,IF(Skills!C10=3,120+(Inputs!$B$26+1)+Inputs!$B$28,MAX(0,(Inputs!$B$3-100)*3)+Inputs!$B$27+Inputs!$B$28)))</f>
        <v/>
      </c>
      <c r="E671">
        <f>INDEX(FactorTable!$B$2:$Y$301, MATCH(ROUND(MIN(300,MAX(1,D671)),0), FactorTable!$A$2:$A$301,0), Skills!L10+1)</f>
        <v/>
      </c>
      <c r="F671">
        <f>IF(Skills!M10=TRUE,(Skills!K10/10)*(E671/1000),Skills!K10/10)+Skills!N10</f>
        <v/>
      </c>
      <c r="G671">
        <f>Calc!G10</f>
        <v/>
      </c>
      <c r="H671">
        <f>Calc!H10</f>
        <v/>
      </c>
      <c r="I671">
        <f>IF(Skills!T10&lt;&gt;"",1+(Skills!T10/10)*(R664/1000)/100,1)</f>
        <v/>
      </c>
      <c r="J671">
        <f>((Inputs!$B$5*(1+Inputs!$B$6/100))+((Inputs!$B$11*(1+Inputs!$B$12/100))-(Inputs!$B$11*(1+Inputs!$B$12/100)))*(1+Inputs!$B$6/100))*(F671/100)</f>
        <v/>
      </c>
      <c r="K671">
        <f>J671*(1+((Inputs!$B$11*(1+Inputs!$B$12/100))*0.01+Inputs!$B$13*0.0025)/100)*(1+(Inputs!$B$14+B689)/100)*(1+IF(Inputs!$B$4="pvp",0,(1-Summary!$B$51)*(Inputs!$B$19+Skills!O10+B688)+Summary!$B$51*(Inputs!$B$20+Skills!P10+B688))/100)*(1+Inputs!$B$15/100)*(5000/(6000+Inputs!$B$7*(1-Inputs!$B$18/100)))*(1+Inputs!$B$23/100)*(1+IF(C676=TRUE,F676,0)/100)*(1+IF(C684=TRUE,F684,0)/100)^5*(1+(IF(Skills!A10="CHAIN_LIGHTNING",Inputs!$B$16,Inputs!$B$17))/100)*(B687*I671)</f>
        <v/>
      </c>
      <c r="L671">
        <f>K671*(MIN(Inputs!$B$21+(F679-Calc!F18),Inputs!$B$22)/100+Inputs!$B$22/100)/2</f>
        <v/>
      </c>
      <c r="M671">
        <f>L671*(1+(Inputs!$B$9+(F682-Calc!F21))/100)</f>
        <v/>
      </c>
      <c r="N671">
        <f>L671*(1-MIN(Inputs!$B$8+((F681-Calc!F20)+(F680-Calc!F19)),100)/100)+M671*(MIN(Inputs!$B$8+((F681-Calc!F20)+(F680-Calc!F19)),100)/100)</f>
        <v/>
      </c>
      <c r="O671">
        <f>IF(C671,H671*N671*IF(AND(Inputs!$B$4&lt;&gt;"pvp",Inputs!$B$35&gt;0),((Skills!F10*((S671-1)*IF(Skills!G10&gt;0,Skills!H10/Skills!G10,1)+IF(Skills!G10&gt;0,MIN(Skills!H10,MAX(0,Inputs!$B$35-((S671-1)*IF(Inputs!$B$4="pvp",15,MAX(0.1,Skills!D10-IF(Skills!E9=TRUE,Inputs!$B$31,0))))))/Skills!G10,1)))/Inputs!$B$35),G671*V671)*IF(Inputs!$B$4="pvp",1,(1-Summary!$B$51)*(1)+Summary!$B$51*(MIN(Skills!Q10,Inputs!$B$37))),0)</f>
        <v/>
      </c>
      <c r="P671">
        <f>IF(B695=0,0,O671/B695)</f>
        <v/>
      </c>
      <c r="S671">
        <f>IF(AND(Inputs!$B$4&lt;&gt;"pvp",Inputs!$B$35&gt;0),(INT(Inputs!$B$35/IF(Inputs!$B$4="pvp",15,MAX(0.1,Skills!D10-IF(Skills!E9=TRUE,Inputs!$B$31,0))))+1),0)</f>
        <v/>
      </c>
      <c r="V671">
        <f>IFERROR(1/IF(Inputs!$B$4="pvp",15,MAX(0.1,Skills!D10-IF(Skills!E9=TRUE,Inputs!$B$31,0))),0)</f>
        <v/>
      </c>
    </row>
    <row r="672">
      <c r="A672">
        <f>Skills!A11</f>
        <v/>
      </c>
      <c r="B672">
        <f>Skills!B11</f>
        <v/>
      </c>
      <c r="C672">
        <f>Inputs!$B$3&gt;=107</f>
        <v/>
      </c>
      <c r="D672">
        <f>IF(Skills!C11=1,60+Inputs!$B$24+Inputs!$B$28,IF(Skills!C11=2,90+Inputs!$B$25+Inputs!$B$28,IF(Skills!C11=3,120+(Inputs!$B$26+1)+Inputs!$B$28,MAX(0,(Inputs!$B$3-100)*3)+Inputs!$B$27+Inputs!$B$28)))</f>
        <v/>
      </c>
      <c r="E672">
        <f>INDEX(FactorTable!$B$2:$Y$301, MATCH(ROUND(MIN(300,MAX(1,D672)),0), FactorTable!$A$2:$A$301,0), Skills!L11+1)</f>
        <v/>
      </c>
      <c r="F672">
        <f>IF(Skills!M11=TRUE,(Skills!K11/10)*(E672/1000),Skills!K11/10)+Skills!N11</f>
        <v/>
      </c>
      <c r="G672">
        <f>Calc!G11</f>
        <v/>
      </c>
      <c r="H672">
        <f>Calc!H11</f>
        <v/>
      </c>
      <c r="I672">
        <f>IF(Skills!T11&lt;&gt;"",1+(Skills!T11/10)*(R664/1000)/100,1)</f>
        <v/>
      </c>
      <c r="J672">
        <f>((Inputs!$B$5*(1+Inputs!$B$6/100))+((Inputs!$B$11*(1+Inputs!$B$12/100))-(Inputs!$B$11*(1+Inputs!$B$12/100)))*(1+Inputs!$B$6/100))*(F672/100)</f>
        <v/>
      </c>
      <c r="K672">
        <f>J672*(1+((Inputs!$B$11*(1+Inputs!$B$12/100))*0.01+Inputs!$B$13*0.0025)/100)*(1+(Inputs!$B$14+B689)/100)*(1+IF(Inputs!$B$4="pvp",0,(1-Summary!$B$51)*(Inputs!$B$19+Skills!O11+B688)+Summary!$B$51*(Inputs!$B$20+Skills!P11+B688))/100)*(1+Inputs!$B$15/100)*(5000/(6000+Inputs!$B$7*(1-Inputs!$B$18/100)))*(1+Inputs!$B$23/100)*(1+IF(C676=TRUE,F676,0)/100)*(1+IF(C684=TRUE,F684,0)/100)^5*(1+(IF(Skills!A11="CHAIN_LIGHTNING",Inputs!$B$16,Inputs!$B$17))/100)*(B687*I672)</f>
        <v/>
      </c>
      <c r="L672">
        <f>K672*(MIN(Inputs!$B$21+(F679-Calc!F18),Inputs!$B$22)/100+Inputs!$B$22/100)/2</f>
        <v/>
      </c>
      <c r="M672">
        <f>L672*(1+(Inputs!$B$9+(F682-Calc!F21))/100)</f>
        <v/>
      </c>
      <c r="N672">
        <f>L672*(1-MIN(Inputs!$B$8+((F681-Calc!F20)+(F680-Calc!F19)),100)/100)+M672*(MIN(Inputs!$B$8+((F681-Calc!F20)+(F680-Calc!F19)),100)/100)</f>
        <v/>
      </c>
      <c r="O672">
        <f>IF(C672,H672*N672*IF(AND(Inputs!$B$4&lt;&gt;"pvp",Inputs!$B$35&gt;0),((Skills!F11*((S672-1)*IF(Skills!G11&gt;0,Skills!H11/Skills!G11,1)+IF(Skills!G11&gt;0,MIN(Skills!H11,MAX(0,Inputs!$B$35-((S672-1)*IF(Inputs!$B$4="pvp",15,MAX(0.1,Skills!D11-IF(Skills!E11=TRUE,Inputs!$B$31,0))))))/Skills!G11,1)))/Inputs!$B$35),G672*V672)*IF(Inputs!$B$4="pvp",0.5,(1-Summary!$B$51)*0.5+Summary!$B$51*1)*IF(Inputs!$B$4="pvp",1,(1-Summary!$B$51)*(1)+Summary!$B$51*(MIN(Skills!Q11,Inputs!$B$37))),0)</f>
        <v/>
      </c>
      <c r="P672">
        <f>IF(B695=0,0,O672/B695)</f>
        <v/>
      </c>
      <c r="S672">
        <f>IF(AND(Inputs!$B$4&lt;&gt;"pvp",Inputs!$B$35&gt;0),(INT(Inputs!$B$35/IF(Inputs!$B$4="pvp",15,MAX(0.1,Skills!D11-IF(Skills!E11=TRUE,Inputs!$B$31,0))))+1),0)</f>
        <v/>
      </c>
      <c r="V672">
        <f>IFERROR(1/IF(Inputs!$B$4="pvp",15,MAX(0.1,Skills!D11-IF(Skills!E11=TRUE,Inputs!$B$31,0))),0)</f>
        <v/>
      </c>
    </row>
    <row r="673">
      <c r="A673">
        <f>Skills!A12</f>
        <v/>
      </c>
      <c r="B673">
        <f>Skills!B12</f>
        <v/>
      </c>
      <c r="C673">
        <f>Inputs!$B$3&gt;=115</f>
        <v/>
      </c>
      <c r="D673">
        <f>IF(Skills!C12=1,60+Inputs!$B$24+Inputs!$B$28,IF(Skills!C12=2,90+Inputs!$B$25+Inputs!$B$28,IF(Skills!C12=3,120+(Inputs!$B$26+1)+Inputs!$B$28,MAX(0,(Inputs!$B$3-100)*3)+Inputs!$B$27+Inputs!$B$28)))</f>
        <v/>
      </c>
      <c r="E673">
        <f>INDEX(FactorTable!$B$2:$Y$301, MATCH(ROUND(MIN(300,MAX(1,D673)),0), FactorTable!$A$2:$A$301,0), Skills!L12+1)</f>
        <v/>
      </c>
      <c r="F673">
        <f>IF(Skills!M12=TRUE,(Skills!K12/10)*(E673/1000),Skills!K12/10)+Skills!N12</f>
        <v/>
      </c>
      <c r="G673">
        <f>Calc!G12</f>
        <v/>
      </c>
      <c r="H673">
        <f>Calc!H12</f>
        <v/>
      </c>
      <c r="I673">
        <f>IF(Skills!T12&lt;&gt;"",1+(Skills!T12/10)*(R664/1000)/100,1)</f>
        <v/>
      </c>
      <c r="J673">
        <f>((Inputs!$B$5*(1+Inputs!$B$6/100))+((Inputs!$B$11*(1+Inputs!$B$12/100))-(Inputs!$B$11*(1+Inputs!$B$12/100)))*(1+Inputs!$B$6/100))*(F673/100)</f>
        <v/>
      </c>
      <c r="K673">
        <f>J673*(1+((Inputs!$B$11*(1+Inputs!$B$12/100))*0.01+Inputs!$B$13*0.0025)/100)*(1+(Inputs!$B$14+B689)/100)*(1+IF(Inputs!$B$4="pvp",0,(1-Summary!$B$51)*(Inputs!$B$19+Skills!O12+B688)+Summary!$B$51*(Inputs!$B$20+Skills!P12+B688))/100)*(1+Inputs!$B$15/100)*(5000/(6000+Inputs!$B$7*(1-Inputs!$B$18/100)))*(1+Inputs!$B$23/100)*(1+IF(C676=TRUE,F676,0)/100)*(1+IF(C684=TRUE,F684,0)/100)^5*(1+(IF(Skills!A12="CHAIN_LIGHTNING",Inputs!$B$16,Inputs!$B$17))/100)*(B687*I673)</f>
        <v/>
      </c>
      <c r="L673">
        <f>K673*(MIN(Inputs!$B$21+(F679-Calc!F18),Inputs!$B$22)/100+Inputs!$B$22/100)/2</f>
        <v/>
      </c>
      <c r="M673">
        <f>L673*(1+(Inputs!$B$9+(F682-Calc!F21))/100)</f>
        <v/>
      </c>
      <c r="N673">
        <f>L673*(1-MIN(Inputs!$B$8+((F681-Calc!F20)+(F680-Calc!F19)),100)/100)+M673*(MIN(Inputs!$B$8+((F681-Calc!F20)+(F680-Calc!F19)),100)/100)</f>
        <v/>
      </c>
      <c r="O673">
        <f>IF(C673,H673*N673*IF(AND(Inputs!$B$4&lt;&gt;"pvp",Inputs!$B$35&gt;0),((Skills!F12*((S673-1)*IF(Skills!G12&gt;0,Skills!H12/Skills!G12,1)+IF(Skills!G12&gt;0,MIN(Skills!H12,MAX(0,Inputs!$B$35-((S673-1)*IF(Inputs!$B$4="pvp",15,MAX(0.1,Skills!D12-IF(Skills!E12=TRUE,Inputs!$B$31,0))))))/Skills!G12,1)))/Inputs!$B$35),G673*V673)*IF(Inputs!$B$4="pvp",1,(1-Summary!$B$51)*(1)+Summary!$B$51*(MIN(Skills!Q12,Inputs!$B$37))),0)</f>
        <v/>
      </c>
      <c r="P673">
        <f>IF(B695=0,0,O673/B695)</f>
        <v/>
      </c>
      <c r="S673">
        <f>IF(AND(Inputs!$B$4&lt;&gt;"pvp",Inputs!$B$35&gt;0),(INT(Inputs!$B$35/IF(Inputs!$B$4="pvp",15,MAX(0.1,Skills!D12-IF(Skills!E12=TRUE,Inputs!$B$31,0))))+1),0)</f>
        <v/>
      </c>
      <c r="V673">
        <f>IFERROR(1/IF(Inputs!$B$4="pvp",15,MAX(0.1,Skills!D12-IF(Skills!E12=TRUE,Inputs!$B$31,0))),0)</f>
        <v/>
      </c>
    </row>
    <row r="674">
      <c r="A674">
        <f>Skills!A13</f>
        <v/>
      </c>
      <c r="B674">
        <f>Skills!B13</f>
        <v/>
      </c>
      <c r="C674">
        <f>Inputs!$B$3&gt;=49</f>
        <v/>
      </c>
      <c r="D674">
        <f>IF(Skills!C13=1,60+Inputs!$B$24+Inputs!$B$28,IF(Skills!C13=2,90+Inputs!$B$25+Inputs!$B$28,IF(Skills!C13=3,120+(Inputs!$B$26+1)+Inputs!$B$28,MAX(0,(Inputs!$B$3-100)*3)+Inputs!$B$27+Inputs!$B$28)))</f>
        <v/>
      </c>
      <c r="E674">
        <f>INDEX(FactorTable!$B$2:$Y$301, MATCH(ROUND(MIN(300,MAX(1,D674)),0), FactorTable!$A$2:$A$301,0), Skills!L13+1)</f>
        <v/>
      </c>
      <c r="F674">
        <f>IF(Skills!M13=TRUE,(Skills!K13/10)*(E674/1000),Skills!K13/10)+Skills!N13</f>
        <v/>
      </c>
      <c r="G674">
        <f>Calc!G13</f>
        <v/>
      </c>
      <c r="H674">
        <f>Calc!H13</f>
        <v/>
      </c>
      <c r="I674">
        <f>IF(Skills!T13&lt;&gt;"",1+(Skills!T13/10)*(R664/1000)/100,1)</f>
        <v/>
      </c>
      <c r="J674" t="inlineStr"/>
      <c r="K674" t="inlineStr"/>
      <c r="L674" t="inlineStr"/>
      <c r="M674" t="inlineStr"/>
      <c r="N674" t="inlineStr"/>
      <c r="O674" t="n">
        <v>0</v>
      </c>
      <c r="P674">
        <f>IF(B695=0,0,O674/B695)</f>
        <v/>
      </c>
      <c r="S674" t="n">
        <v>0</v>
      </c>
      <c r="V674">
        <f>IFERROR(1/IF(Inputs!$B$4="pvp",15,MAX(0.1,Skills!D13-IF(Skills!E13=TRUE,Inputs!$B$31,0))),0)</f>
        <v/>
      </c>
    </row>
    <row r="675">
      <c r="A675">
        <f>Skills!A14</f>
        <v/>
      </c>
      <c r="B675">
        <f>Skills!B14</f>
        <v/>
      </c>
      <c r="C675">
        <f>Inputs!$B$3&gt;=72</f>
        <v/>
      </c>
      <c r="D675">
        <f>IF(Skills!C14=1,60+Inputs!$B$24+Inputs!$B$28,IF(Skills!C14=2,90+Inputs!$B$25+Inputs!$B$28,IF(Skills!C14=3,120+(Inputs!$B$26+1)+Inputs!$B$28,MAX(0,(Inputs!$B$3-100)*3)+Inputs!$B$27+Inputs!$B$28)))</f>
        <v/>
      </c>
      <c r="E675">
        <f>INDEX(FactorTable!$B$2:$Y$301, MATCH(ROUND(MIN(300,MAX(1,D675)),0), FactorTable!$A$2:$A$301,0), Skills!L14+1)</f>
        <v/>
      </c>
      <c r="F675">
        <f>IF(Skills!M14=TRUE,(Skills!K14/10)*(E675/1000),Skills!K14/10)+Skills!N14</f>
        <v/>
      </c>
      <c r="G675">
        <f>Calc!G14</f>
        <v/>
      </c>
      <c r="H675">
        <f>Calc!H14</f>
        <v/>
      </c>
      <c r="I675">
        <f>IF(Skills!T14&lt;&gt;"",1+(Skills!T14/10)*(R664/1000)/100,1)</f>
        <v/>
      </c>
      <c r="J675" t="inlineStr"/>
      <c r="K675" t="inlineStr"/>
      <c r="L675" t="inlineStr"/>
      <c r="M675" t="inlineStr"/>
      <c r="N675" t="inlineStr"/>
      <c r="O675" t="n">
        <v>0</v>
      </c>
      <c r="P675">
        <f>IF(B695=0,0,O675/B695)</f>
        <v/>
      </c>
      <c r="S675" t="n">
        <v>0</v>
      </c>
      <c r="V675">
        <f>IFERROR(1/IF(Inputs!$B$4="pvp",15,MAX(0.1,Skills!D14-IF(Skills!E14=TRUE,Inputs!$B$31,0))),0)</f>
        <v/>
      </c>
    </row>
    <row r="676">
      <c r="A676">
        <f>Skills!A15</f>
        <v/>
      </c>
      <c r="B676">
        <f>Skills!B15</f>
        <v/>
      </c>
      <c r="C676">
        <f>Inputs!$B$3&gt;=75</f>
        <v/>
      </c>
      <c r="D676">
        <f>IF(Skills!C15=1,60+Inputs!$B$24+Inputs!$B$28,IF(Skills!C15=2,90+Inputs!$B$25+Inputs!$B$28,IF(Skills!C15=3,120+(Inputs!$B$26+1)+Inputs!$B$28,MAX(0,(Inputs!$B$3-100)*3)+Inputs!$B$27+Inputs!$B$28)))</f>
        <v/>
      </c>
      <c r="E676">
        <f>INDEX(FactorTable!$B$2:$Y$301, MATCH(ROUND(MIN(300,MAX(1,D676)),0), FactorTable!$A$2:$A$301,0), Skills!L15+1)</f>
        <v/>
      </c>
      <c r="F676">
        <f>IF(Skills!M15=TRUE,(Skills!K15/10)*(E676/1000),Skills!K15/10)+Skills!N15</f>
        <v/>
      </c>
      <c r="G676">
        <f>Calc!G15</f>
        <v/>
      </c>
      <c r="H676">
        <f>Calc!H15</f>
        <v/>
      </c>
      <c r="I676">
        <f>IF(Skills!T15&lt;&gt;"",1+(Skills!T15/10)*(R664/1000)/100,1)</f>
        <v/>
      </c>
      <c r="J676" t="inlineStr"/>
      <c r="K676" t="inlineStr"/>
      <c r="L676" t="inlineStr"/>
      <c r="M676" t="inlineStr"/>
      <c r="N676" t="inlineStr"/>
      <c r="O676" t="n">
        <v>0</v>
      </c>
      <c r="P676">
        <f>IF(B695=0,0,O676/B695)</f>
        <v/>
      </c>
      <c r="S676" t="n">
        <v>0</v>
      </c>
      <c r="V676">
        <f>IFERROR(1/IF(Inputs!$B$4="pvp",15,MAX(0.1,Skills!D15-IF(Skills!E15=TRUE,Inputs!$B$31,0))),0)</f>
        <v/>
      </c>
    </row>
    <row r="677">
      <c r="A677">
        <f>Skills!A16</f>
        <v/>
      </c>
      <c r="B677">
        <f>Skills!B16</f>
        <v/>
      </c>
      <c r="C677">
        <f>Inputs!$B$3&gt;=110</f>
        <v/>
      </c>
      <c r="D677">
        <f>IF(Skills!C16=1,60+Inputs!$B$24+Inputs!$B$28,IF(Skills!C16=2,90+Inputs!$B$25+Inputs!$B$28,IF(Skills!C16=3,120+(Inputs!$B$26+1)+Inputs!$B$28,MAX(0,(Inputs!$B$3-100)*3)+Inputs!$B$27+Inputs!$B$28)))</f>
        <v/>
      </c>
      <c r="E677">
        <f>INDEX(FactorTable!$B$2:$Y$301, MATCH(ROUND(MIN(300,MAX(1,D677)),0), FactorTable!$A$2:$A$301,0), Skills!L16+1)</f>
        <v/>
      </c>
      <c r="F677">
        <f>(Skills!K16/10)*(E677/1000)*64/45+Skills!N16</f>
        <v/>
      </c>
      <c r="G677">
        <f>Calc!G16</f>
        <v/>
      </c>
      <c r="H677">
        <f>Calc!H16</f>
        <v/>
      </c>
      <c r="I677">
        <f>IF(Skills!T16&lt;&gt;"",1+(Skills!T16/10)*(R664/1000)/100,1)</f>
        <v/>
      </c>
      <c r="J677" t="inlineStr"/>
      <c r="K677" t="inlineStr"/>
      <c r="L677" t="inlineStr"/>
      <c r="M677" t="inlineStr"/>
      <c r="N677" t="inlineStr"/>
      <c r="O677" t="n">
        <v>0</v>
      </c>
      <c r="P677">
        <f>IF(B695=0,0,O677/B695)</f>
        <v/>
      </c>
      <c r="S677">
        <f>IF(AND(Inputs!$B$4&lt;&gt;"pvp",Inputs!$B$35&gt;0),(INT(Inputs!$B$35/IF(Inputs!$B$4="pvp",15,MAX(0.1,Skills!D16-IF(Skills!E16=TRUE,Inputs!$B$31,0))))+1),0)</f>
        <v/>
      </c>
      <c r="V677">
        <f>IFERROR(1/IF(Inputs!$B$4="pvp",15,MAX(0.1,Skills!D16-IF(Skills!E16=TRUE,Inputs!$B$31,0))),0)</f>
        <v/>
      </c>
    </row>
    <row r="678">
      <c r="A678">
        <f>Skills!A17</f>
        <v/>
      </c>
      <c r="B678">
        <f>Skills!B17</f>
        <v/>
      </c>
      <c r="C678">
        <f>Inputs!$B$3&gt;=33</f>
        <v/>
      </c>
      <c r="D678">
        <f>IF(Skills!C17=1,60+Inputs!$B$24+Inputs!$B$28,IF(Skills!C17=2,90+Inputs!$B$25+Inputs!$B$28,IF(Skills!C17=3,120+(Inputs!$B$26+1)+Inputs!$B$28,MAX(0,(Inputs!$B$3-100)*3)+Inputs!$B$27+Inputs!$B$28)))</f>
        <v/>
      </c>
      <c r="E678">
        <f>INDEX(FactorTable!$B$2:$Y$301, MATCH(ROUND(MIN(300,MAX(1,D678)),0), FactorTable!$A$2:$A$301,0), Skills!L17+1)</f>
        <v/>
      </c>
      <c r="F678">
        <f>IF(Skills!M17=TRUE,(Skills!K17/10)*(E678/1000),Skills!K17/10)+Skills!N17</f>
        <v/>
      </c>
      <c r="G678">
        <f>Calc!G17</f>
        <v/>
      </c>
      <c r="H678">
        <f>Calc!H17</f>
        <v/>
      </c>
      <c r="I678">
        <f>IF(Skills!T17&lt;&gt;"",1+(Skills!T17/10)*(R664/1000)/100,1)</f>
        <v/>
      </c>
      <c r="J678" t="inlineStr"/>
      <c r="K678" t="inlineStr"/>
      <c r="L678" t="inlineStr"/>
      <c r="M678" t="inlineStr"/>
      <c r="N678" t="inlineStr"/>
      <c r="O678" t="n">
        <v>0</v>
      </c>
      <c r="P678">
        <f>IF(B695=0,0,O678/B695)</f>
        <v/>
      </c>
      <c r="S678" t="n">
        <v>0</v>
      </c>
      <c r="V678">
        <f>IFERROR(1/IF(Inputs!$B$4="pvp",15,MAX(0.1,Skills!D17-IF(Skills!E17=TRUE,Inputs!$B$31,0))),0)</f>
        <v/>
      </c>
    </row>
    <row r="679">
      <c r="A679">
        <f>Skills!A18</f>
        <v/>
      </c>
      <c r="B679">
        <f>Skills!B18</f>
        <v/>
      </c>
      <c r="C679">
        <f>Inputs!$B$3&gt;=43</f>
        <v/>
      </c>
      <c r="D679">
        <f>IF(Skills!C18=1,60+Inputs!$B$24+Inputs!$B$28,IF(Skills!C18=2,90+Inputs!$B$25+Inputs!$B$28,IF(Skills!C18=3,120+(Inputs!$B$26+1)+Inputs!$B$28,MAX(0,(Inputs!$B$3-100)*3)+Inputs!$B$27+Inputs!$B$28)))</f>
        <v/>
      </c>
      <c r="E679">
        <f>INDEX(FactorTable!$B$2:$Y$301, MATCH(ROUND(MIN(300,MAX(1,D679)),0), FactorTable!$A$2:$A$301,0), Skills!L18+1)</f>
        <v/>
      </c>
      <c r="F679">
        <f>IF(Skills!M18=TRUE,(Skills!K18/10)*(E679/1000),Skills!K18/10)+Skills!N18</f>
        <v/>
      </c>
      <c r="G679">
        <f>Calc!G18</f>
        <v/>
      </c>
      <c r="H679">
        <f>Calc!H18</f>
        <v/>
      </c>
      <c r="I679">
        <f>IF(Skills!T18&lt;&gt;"",1+(Skills!T18/10)*(R664/1000)/100,1)</f>
        <v/>
      </c>
      <c r="J679" t="inlineStr"/>
      <c r="K679" t="inlineStr"/>
      <c r="L679" t="inlineStr"/>
      <c r="M679" t="inlineStr"/>
      <c r="N679" t="inlineStr"/>
      <c r="O679" t="n">
        <v>0</v>
      </c>
      <c r="P679">
        <f>IF(B695=0,0,O679/B695)</f>
        <v/>
      </c>
      <c r="S679" t="n">
        <v>0</v>
      </c>
      <c r="V679">
        <f>IFERROR(1/IF(Inputs!$B$4="pvp",15,MAX(0.1,Skills!D18-IF(Skills!E18=TRUE,Inputs!$B$31,0))),0)</f>
        <v/>
      </c>
    </row>
    <row r="680">
      <c r="A680">
        <f>Skills!A19</f>
        <v/>
      </c>
      <c r="B680">
        <f>Skills!B19</f>
        <v/>
      </c>
      <c r="C680">
        <f>Inputs!$B$3&gt;=50</f>
        <v/>
      </c>
      <c r="D680">
        <f>IF(Skills!C19=1,60+Inputs!$B$24+Inputs!$B$28,IF(Skills!C19=2,90+Inputs!$B$25+Inputs!$B$28,IF(Skills!C19=3,120+(Inputs!$B$26+1)+Inputs!$B$28,MAX(0,(Inputs!$B$3-100)*3)+Inputs!$B$27+Inputs!$B$28)))</f>
        <v/>
      </c>
      <c r="E680">
        <f>INDEX(FactorTable!$B$2:$Y$301, MATCH(ROUND(MIN(300,MAX(1,D680)),0), FactorTable!$A$2:$A$301,0), Skills!L19+1)</f>
        <v/>
      </c>
      <c r="F680">
        <f>IF(Skills!M19=TRUE,(Skills!K19/10)*(E680/1000),Skills!K19/10)+Skills!N19</f>
        <v/>
      </c>
      <c r="G680">
        <f>Calc!G19</f>
        <v/>
      </c>
      <c r="H680">
        <f>Calc!H19</f>
        <v/>
      </c>
      <c r="I680">
        <f>IF(Skills!T19&lt;&gt;"",1+(Skills!T19/10)*(R664/1000)/100,1)</f>
        <v/>
      </c>
      <c r="J680" t="inlineStr"/>
      <c r="K680" t="inlineStr"/>
      <c r="L680" t="inlineStr"/>
      <c r="M680" t="inlineStr"/>
      <c r="N680" t="inlineStr"/>
      <c r="O680" t="n">
        <v>0</v>
      </c>
      <c r="P680">
        <f>IF(B695=0,0,O680/B695)</f>
        <v/>
      </c>
      <c r="S680" t="n">
        <v>0</v>
      </c>
      <c r="V680">
        <f>IFERROR(1/IF(Inputs!$B$4="pvp",15,MAX(0.1,Skills!D19-IF(Skills!E19=TRUE,Inputs!$B$31,0))),0)</f>
        <v/>
      </c>
    </row>
    <row r="681">
      <c r="A681">
        <f>Skills!A20</f>
        <v/>
      </c>
      <c r="B681">
        <f>Skills!B20</f>
        <v/>
      </c>
      <c r="C681">
        <f>Inputs!$B$3&gt;=74</f>
        <v/>
      </c>
      <c r="D681">
        <f>IF(Skills!C20=1,60+Inputs!$B$24+Inputs!$B$28,IF(Skills!C20=2,90+Inputs!$B$25+Inputs!$B$28,IF(Skills!C20=3,120+(Inputs!$B$26+1)+Inputs!$B$28,MAX(0,(Inputs!$B$3-100)*3)+Inputs!$B$27+Inputs!$B$28)))</f>
        <v/>
      </c>
      <c r="E681">
        <f>INDEX(FactorTable!$B$2:$Y$301, MATCH(ROUND(MIN(300,MAX(1,D681)),0), FactorTable!$A$2:$A$301,0), Skills!L20+1)</f>
        <v/>
      </c>
      <c r="F681">
        <f>IF(Skills!M20=TRUE,(Skills!K20/10)*(E681/1000),Skills!K20/10)+Skills!N20</f>
        <v/>
      </c>
      <c r="G681">
        <f>Calc!G20</f>
        <v/>
      </c>
      <c r="H681">
        <f>Calc!H20</f>
        <v/>
      </c>
      <c r="I681">
        <f>IF(Skills!T20&lt;&gt;"",1+(Skills!T20/10)*(R664/1000)/100,1)</f>
        <v/>
      </c>
      <c r="J681" t="inlineStr"/>
      <c r="K681" t="inlineStr"/>
      <c r="L681" t="inlineStr"/>
      <c r="M681" t="inlineStr"/>
      <c r="N681" t="inlineStr"/>
      <c r="O681" t="n">
        <v>0</v>
      </c>
      <c r="P681">
        <f>IF(B695=0,0,O681/B695)</f>
        <v/>
      </c>
      <c r="S681" t="n">
        <v>0</v>
      </c>
      <c r="V681">
        <f>IFERROR(1/IF(Inputs!$B$4="pvp",15,MAX(0.1,Skills!D20-IF(Skills!E20=TRUE,Inputs!$B$31,0))),0)</f>
        <v/>
      </c>
    </row>
    <row r="682">
      <c r="A682">
        <f>Skills!A21</f>
        <v/>
      </c>
      <c r="B682">
        <f>Skills!B21</f>
        <v/>
      </c>
      <c r="C682">
        <f>Inputs!$B$3&gt;=74</f>
        <v/>
      </c>
      <c r="D682">
        <f>IF(Skills!C21=1,60+Inputs!$B$24+Inputs!$B$28,IF(Skills!C21=2,90+Inputs!$B$25+Inputs!$B$28,IF(Skills!C21=3,120+(Inputs!$B$26+1)+Inputs!$B$28,MAX(0,(Inputs!$B$3-100)*3)+Inputs!$B$27+Inputs!$B$28)))</f>
        <v/>
      </c>
      <c r="E682">
        <f>INDEX(FactorTable!$B$2:$Y$301, MATCH(ROUND(MIN(300,MAX(1,D682)),0), FactorTable!$A$2:$A$301,0), Skills!L21+1)</f>
        <v/>
      </c>
      <c r="F682">
        <f>IF(Skills!M21=TRUE,(Skills!K21/10)*(E682/1000),Skills!K21/10)+Skills!N21</f>
        <v/>
      </c>
      <c r="G682">
        <f>Calc!G21</f>
        <v/>
      </c>
      <c r="H682">
        <f>Calc!H21</f>
        <v/>
      </c>
      <c r="I682">
        <f>IF(Skills!T21&lt;&gt;"",1+(Skills!T21/10)*(R664/1000)/100,1)</f>
        <v/>
      </c>
      <c r="J682" t="inlineStr"/>
      <c r="K682" t="inlineStr"/>
      <c r="L682" t="inlineStr"/>
      <c r="M682" t="inlineStr"/>
      <c r="N682" t="inlineStr"/>
      <c r="O682" t="n">
        <v>0</v>
      </c>
      <c r="P682">
        <f>IF(B695=0,0,O682/B695)</f>
        <v/>
      </c>
      <c r="S682" t="n">
        <v>0</v>
      </c>
      <c r="V682">
        <f>IFERROR(1/IF(Inputs!$B$4="pvp",15,MAX(0.1,Skills!D21-IF(Skills!E21=TRUE,Inputs!$B$31,0))),0)</f>
        <v/>
      </c>
    </row>
    <row r="683">
      <c r="A683">
        <f>Skills!A22</f>
        <v/>
      </c>
      <c r="B683">
        <f>Skills!B22</f>
        <v/>
      </c>
      <c r="C683">
        <f>Inputs!$B$3&gt;=117</f>
        <v/>
      </c>
      <c r="D683">
        <f>IF(Skills!C22=1,60+Inputs!$B$24+Inputs!$B$28,IF(Skills!C22=2,90+Inputs!$B$25+Inputs!$B$28,IF(Skills!C22=3,120+(Inputs!$B$26+1)+Inputs!$B$28,MAX(0,(Inputs!$B$3-100)*3)+Inputs!$B$27+Inputs!$B$28)))</f>
        <v/>
      </c>
      <c r="E683">
        <f>INDEX(FactorTable!$B$2:$Y$301, MATCH(ROUND(MIN(300,MAX(1,D683)),0), FactorTable!$A$2:$A$301,0), Skills!L22+1)</f>
        <v/>
      </c>
      <c r="F683">
        <f>IF(Skills!M22=TRUE,(Skills!K22/10)*(E683/1000),Skills!K22/10)+Skills!N22</f>
        <v/>
      </c>
      <c r="G683">
        <f>Calc!G22</f>
        <v/>
      </c>
      <c r="H683">
        <f>Calc!H22</f>
        <v/>
      </c>
      <c r="I683">
        <f>IF(Skills!T22&lt;&gt;"",1+(Skills!T22/10)*(R664/1000)/100,1)</f>
        <v/>
      </c>
      <c r="J683" t="inlineStr"/>
      <c r="K683" t="inlineStr"/>
      <c r="L683" t="inlineStr"/>
      <c r="M683" t="inlineStr"/>
      <c r="N683" t="inlineStr"/>
      <c r="O683" t="n">
        <v>0</v>
      </c>
      <c r="P683">
        <f>IF(B695=0,0,O683/B695)</f>
        <v/>
      </c>
      <c r="S683" t="n">
        <v>0</v>
      </c>
      <c r="V683">
        <f>IFERROR(1/IF(Inputs!$B$4="pvp",15,MAX(0.1,Skills!D22-IF(Skills!E22=TRUE,Inputs!$B$31,0))),0)</f>
        <v/>
      </c>
    </row>
    <row r="684">
      <c r="A684">
        <f>Skills!A23</f>
        <v/>
      </c>
      <c r="B684">
        <f>Skills!B23</f>
        <v/>
      </c>
      <c r="C684">
        <f>Inputs!$B$3&gt;=120</f>
        <v/>
      </c>
      <c r="D684">
        <f>IF(Skills!C23=1,60+Inputs!$B$24+Inputs!$B$28,IF(Skills!C23=2,90+Inputs!$B$25+Inputs!$B$28,IF(Skills!C23=3,120+(Inputs!$B$26+1)+Inputs!$B$28,MAX(0,(Inputs!$B$3-100)*3)+Inputs!$B$27+Inputs!$B$28)))</f>
        <v/>
      </c>
      <c r="E684">
        <f>INDEX(FactorTable!$B$2:$Y$301, MATCH(ROUND(MIN(300,MAX(1,D684)),0), FactorTable!$A$2:$A$301,0), Skills!L23+1)</f>
        <v/>
      </c>
      <c r="F684">
        <f>IF(Skills!M23=TRUE,(Skills!K23/10)*(E684/1000),Skills!K23/10)+Skills!N23</f>
        <v/>
      </c>
      <c r="G684">
        <f>Calc!G23</f>
        <v/>
      </c>
      <c r="H684">
        <f>Calc!H23</f>
        <v/>
      </c>
      <c r="I684">
        <f>IF(Skills!T23&lt;&gt;"",1+(Skills!T23/10)*(R664/1000)/100,1)</f>
        <v/>
      </c>
      <c r="J684" t="inlineStr"/>
      <c r="K684" t="inlineStr"/>
      <c r="L684" t="inlineStr"/>
      <c r="M684" t="inlineStr"/>
      <c r="N684" t="inlineStr"/>
      <c r="O684" t="n">
        <v>0</v>
      </c>
      <c r="P684">
        <f>IF(B695=0,0,O684/B695)</f>
        <v/>
      </c>
      <c r="S684" t="n">
        <v>0</v>
      </c>
      <c r="V684">
        <f>IFERROR(1/IF(Inputs!$B$4="pvp",15,MAX(0.1,Skills!D23-IF(Skills!E23=TRUE,Inputs!$B$31,0))),0)</f>
        <v/>
      </c>
    </row>
    <row r="687">
      <c r="A687" t="inlineStr">
        <is>
          <t>Average Buff Multiplier (Magic Guard + Meditation, summed; then Infinity)</t>
        </is>
      </c>
      <c r="B687">
        <f>(1+(IF(C664=TRUE,F664*IF(AND(Inputs!$B$4&lt;&gt;"pvp",Inputs!$B$35&gt;0),(((S664-1)*(Skills!S3*(1+(Inputs!$B$33+IF(Inputs!$B$3&gt;=117,F683,0))/100))+MIN((Skills!S3*(1+(Inputs!$B$33+IF(Inputs!$B$3&gt;=117,F683,0))/100)),MAX(0,Inputs!$B$35-((S664-1)*Skills!D3))))/Inputs!$B$35),IF(Inputs!$B$4="pvp",MIN((Skills!S3*(1+(Inputs!$B$33+IF(Inputs!$B$3&gt;=117,F683,0))/100)),15)/15,(Skills!S3*(1+(Inputs!$B$33+IF(Inputs!$B$3&gt;=117,F683,0))/100))/Skills!D3)),0)+IF(C665=TRUE,F665*IF(AND(Inputs!$B$4&lt;&gt;"pvp",Inputs!$B$35&gt;0),(((S665-1)*(Skills!S4*(1+(Inputs!$B$33+IF(Inputs!$B$3&gt;=117,F683,0))/100))+MIN((Skills!S4*(1+(Inputs!$B$33+IF(Inputs!$B$3&gt;=117,F683,0))/100)),MAX(0,Inputs!$B$35-((S665-1)*Skills!D4))))/Inputs!$B$35),IF(Inputs!$B$4="pvp",MIN((Skills!S4*(1+(Inputs!$B$33+IF(Inputs!$B$3&gt;=117,F683,0))/100)),15)/15,(Skills!S4*(1+(Inputs!$B$33+IF(Inputs!$B$3&gt;=117,F683,0))/100))/Skills!D4)),0))/100)*IF(C677=TRUE,(1+F677*IF(AND(Inputs!$B$4&lt;&gt;"pvp",Inputs!$B$35&gt;0),(((S677-1)*(Skills!S16*(1+(Inputs!$B$33+IF(Inputs!$B$3&gt;=117,F683,0))/100))+MIN((Skills!S16*(1+(Inputs!$B$33+IF(Inputs!$B$3&gt;=117,F683,0))/100)),MAX(0,Inputs!$B$35-((S677-1)*Skills!D16))))/Inputs!$B$35),IF(Inputs!$B$4="pvp",MIN((Skills!S16*(1+(Inputs!$B$33+IF(Inputs!$B$3&gt;=117,F683,0))/100)),15)/15,(Skills!S16*(1+(Inputs!$B$33+IF(Inputs!$B$3&gt;=117,F683,0))/100))/Skills!D16))/100),1)</f>
        <v/>
      </c>
    </row>
    <row r="688">
      <c r="A688" t="inlineStr">
        <is>
          <t>Monster Damage Taken Bonus % (Freezing Breath - Weaken + Elemental Reset, summed)</t>
        </is>
      </c>
      <c r="B688">
        <f>IF(Inputs!$B$3&gt;=118,15*IF(Inputs!$B$4="pvp",MIN((30*(1+(Inputs!$B$33+IF(Inputs!$B$3&gt;=117,F683,0))/100)),15)/15,(30*(1+(Inputs!$B$33+IF(Inputs!$B$3&gt;=117,F683,0))/100))/Skills!D8),0)+IF(C675=TRUE,F675,0)</f>
        <v/>
      </c>
    </row>
    <row r="689">
      <c r="A689" t="inlineStr">
        <is>
          <t>Damage % Bonus (Frozen Break + Frost Clutch, flat)</t>
        </is>
      </c>
      <c r="B689">
        <f>IF(Inputs!$B$3&gt;=66,15,0)+IF(Inputs!$B$3&gt;=98,10,0)+IF(Inputs!$B$3&gt;=125,20,0)</f>
        <v/>
      </c>
    </row>
    <row r="690">
      <c r="A690" t="inlineStr">
        <is>
          <t>Attack Speed Bonus % (MP Eater - MP Boost, always-on once unlocked)</t>
        </is>
      </c>
      <c r="B690">
        <f>IF(C674=TRUE,F674+(F678-Calc!F17),0)</f>
        <v/>
      </c>
    </row>
    <row r="691">
      <c r="A691" t="inlineStr">
        <is>
          <t>Actions Per Second</t>
        </is>
      </c>
      <c r="B691">
        <f>1+MIN(150,150*(1-(1-Inputs!$B$10/150)*(1-B690/150)))/100</f>
        <v/>
      </c>
    </row>
    <row r="692">
      <c r="A692" t="inlineStr">
        <is>
          <t>Skill + Buff Cast Rate</t>
        </is>
      </c>
      <c r="B692">
        <f>IF(AND(Inputs!$B$4&lt;&gt;"pvp",Inputs!$B$35&gt;0),SUMPRODUCT((Skills!E2:E23=TRUE)*(C663:C684=TRUE)*S663:S684)/Inputs!$B$35,SUMPRODUCT((Skills!E2:E23=TRUE)*(C663:C684=TRUE)*V663:V684))</f>
        <v/>
      </c>
    </row>
    <row r="693">
      <c r="A693" t="inlineStr">
        <is>
          <t>Chain Lightning Casts Per Second</t>
        </is>
      </c>
      <c r="B693">
        <f>MAX(0,B691-B692)</f>
        <v/>
      </c>
    </row>
    <row r="695">
      <c r="A695" s="5" t="inlineStr">
        <is>
          <t>TOTAL DPS</t>
        </is>
      </c>
      <c r="B695" s="5">
        <f>SUM(O663:O684)</f>
        <v/>
      </c>
    </row>
    <row r="698">
      <c r="A698" s="5" t="inlineStr">
        <is>
          <t>Stat: Skill Level Bonus — 4th Job</t>
        </is>
      </c>
    </row>
    <row r="699">
      <c r="A699" s="8" t="inlineStr">
        <is>
          <t>Key</t>
        </is>
      </c>
      <c r="B699" s="8" t="inlineStr">
        <is>
          <t>Name</t>
        </is>
      </c>
      <c r="C699" s="8" t="inlineStr">
        <is>
          <t>Unlocked</t>
        </is>
      </c>
      <c r="D699" s="8" t="inlineStr">
        <is>
          <t>InputLevel</t>
        </is>
      </c>
      <c r="E699" s="8" t="inlineStr">
        <is>
          <t>Factor</t>
        </is>
      </c>
      <c r="F699" s="8" t="inlineStr">
        <is>
          <t>CoefficientPercent</t>
        </is>
      </c>
      <c r="G699" s="8" t="inlineStr">
        <is>
          <t>EffectiveHits</t>
        </is>
      </c>
      <c r="H699" s="8" t="inlineStr">
        <is>
          <t>ProcProbability</t>
        </is>
      </c>
      <c r="I699" s="8" t="inlineStr">
        <is>
          <t>MapleHeroMultiplier</t>
        </is>
      </c>
      <c r="J699" s="8" t="inlineStr">
        <is>
          <t>BaseDamage</t>
        </is>
      </c>
      <c r="K699" s="8" t="inlineStr">
        <is>
          <t>BaseHitDamage</t>
        </is>
      </c>
      <c r="L699" s="8" t="inlineStr">
        <is>
          <t>NonCritAvg</t>
        </is>
      </c>
      <c r="M699" s="8" t="inlineStr">
        <is>
          <t>CritAvg</t>
        </is>
      </c>
      <c r="N699" s="8" t="inlineStr">
        <is>
          <t>ExpectedDamage(perHit)</t>
        </is>
      </c>
      <c r="O699" s="8" t="inlineStr">
        <is>
          <t>DPS</t>
        </is>
      </c>
      <c r="P699" s="8" t="inlineStr">
        <is>
          <t>% of Total</t>
        </is>
      </c>
      <c r="R699" t="inlineStr">
        <is>
          <t>helpers</t>
        </is>
      </c>
    </row>
    <row r="700">
      <c r="A700">
        <f>Skills!A2</f>
        <v/>
      </c>
      <c r="B700">
        <f>Skills!B2</f>
        <v/>
      </c>
      <c r="C700">
        <f>Inputs!$B$3&gt;=100</f>
        <v/>
      </c>
      <c r="D700" t="inlineStr"/>
      <c r="E700" t="inlineStr"/>
      <c r="F700">
        <f>T702+Skills!N2</f>
        <v/>
      </c>
      <c r="G700">
        <f>Calc!G2</f>
        <v/>
      </c>
      <c r="H700">
        <f>Calc!H2</f>
        <v/>
      </c>
      <c r="I700">
        <f>IF(Skills!T2&lt;&gt;"",1+(Skills!T2/10)*(R701/1000)/100,1)</f>
        <v/>
      </c>
      <c r="J700">
        <f>((Inputs!$B$5*(1+Inputs!$B$6/100))+((Inputs!$B$11*(1+Inputs!$B$12/100))-(Inputs!$B$11*(1+Inputs!$B$12/100)))*(1+Inputs!$B$6/100))*(F700/100)</f>
        <v/>
      </c>
      <c r="K700">
        <f>J700*(1+((Inputs!$B$11*(1+Inputs!$B$12/100))*0.01+Inputs!$B$13*0.0025)/100)*(1+(Inputs!$B$14+B726)/100)*(1+IF(Inputs!$B$4="pvp",0,(1-Summary!$B$51)*(Inputs!$B$19+Skills!O2+B725)+Summary!$B$51*(Inputs!$B$20+Skills!P2+B725))/100)*(1+Inputs!$B$15/100)*(5000/(6000+Inputs!$B$7*(1-Inputs!$B$18/100)))*(1+Inputs!$B$23/100)*(1+IF(C713=TRUE,F713,0)/100)*(1+IF(C721=TRUE,F721,0)/100)^5*(1+(IF(Skills!A2="CHAIN_LIGHTNING",Inputs!$B$16,Inputs!$B$17))/100)*(B724*I700)</f>
        <v/>
      </c>
      <c r="L700">
        <f>K700*(MIN(Inputs!$B$21+(F716-Calc!F18),Inputs!$B$22)/100+Inputs!$B$22/100)/2</f>
        <v/>
      </c>
      <c r="M700">
        <f>L700*(1+(Inputs!$B$9+(F719-Calc!F21))/100)</f>
        <v/>
      </c>
      <c r="N700">
        <f>L700*(1-MIN(Inputs!$B$8+((F718-Calc!F20)+(F717-Calc!F19)),100)/100)+M700*(MIN(Inputs!$B$8+((F718-Calc!F20)+(F717-Calc!F19)),100)/100)</f>
        <v/>
      </c>
      <c r="O700">
        <f>IF(C700,Skills!F2*N700*B730*IF(Inputs!$B$4="pvp",1,(1-Summary!$B$51)*(1)+Summary!$B$51*(MIN((6+Inputs!$B$32),Inputs!$B$37))),0)</f>
        <v/>
      </c>
      <c r="P700">
        <f>IF(B732=0,0,O700/B732)</f>
        <v/>
      </c>
      <c r="R700">
        <f>MAX(0,(Inputs!$B$3-100)*3)+(Inputs!$B$27+1)+Inputs!$B$28</f>
        <v/>
      </c>
      <c r="S700" t="n">
        <v>0</v>
      </c>
      <c r="T700">
        <f>MAX(0,(Inputs!$B$3-100)*3)+(Inputs!$B$27+1)+Inputs!$B$28</f>
        <v/>
      </c>
      <c r="V700">
        <f>IFERROR(1/IF(Inputs!$B$4="pvp",15,MAX(0.1,Skills!D2-IF(Skills!E2=TRUE,Inputs!$B$31,0))),0)</f>
        <v/>
      </c>
    </row>
    <row r="701">
      <c r="A701">
        <f>Skills!A3</f>
        <v/>
      </c>
      <c r="B701">
        <f>Skills!B3</f>
        <v/>
      </c>
      <c r="C701">
        <f>Inputs!$B$3&gt;=15</f>
        <v/>
      </c>
      <c r="D701">
        <f>IF(Skills!C3=1,60+Inputs!$B$24+Inputs!$B$28,IF(Skills!C3=2,90+Inputs!$B$25+Inputs!$B$28,IF(Skills!C3=3,120+Inputs!$B$26+Inputs!$B$28,MAX(0,(Inputs!$B$3-100)*3)+(Inputs!$B$27+1)+Inputs!$B$28)))</f>
        <v/>
      </c>
      <c r="E701">
        <f>INDEX(FactorTable!$B$2:$Y$301, MATCH(ROUND(MIN(300,MAX(1,D701)),0), FactorTable!$A$2:$A$301,0), Skills!L3+1)</f>
        <v/>
      </c>
      <c r="F701">
        <f>IF(Skills!M3=TRUE,(Skills!K3/10)*(E701/1000),Skills!K3/10)+Skills!N3</f>
        <v/>
      </c>
      <c r="G701">
        <f>Calc!G3</f>
        <v/>
      </c>
      <c r="H701">
        <f>Calc!H3</f>
        <v/>
      </c>
      <c r="I701">
        <f>IF(Skills!T3&lt;&gt;"",1+(Skills!T3/10)*(R701/1000)/100,1)</f>
        <v/>
      </c>
      <c r="J701" t="inlineStr"/>
      <c r="K701" t="inlineStr"/>
      <c r="L701" t="inlineStr"/>
      <c r="M701" t="inlineStr"/>
      <c r="N701" t="inlineStr"/>
      <c r="O701" t="n">
        <v>0</v>
      </c>
      <c r="P701">
        <f>IF(B732=0,0,O701/B732)</f>
        <v/>
      </c>
      <c r="R701">
        <f>INDEX(FactorTable!$B$2:$Y$301, MATCH(ROUND(MIN(300,MAX(1,R700)),0), FactorTable!$A$2:$A$301,0), 24)</f>
        <v/>
      </c>
      <c r="S701">
        <f>IF(AND(Inputs!$B$4&lt;&gt;"pvp",Inputs!$B$35&gt;0),(INT(Inputs!$B$35/IF(Inputs!$B$4="pvp",15,MAX(0.1,Skills!D3-IF(Skills!E3=TRUE,Inputs!$B$31,0))))+1),0)</f>
        <v/>
      </c>
      <c r="T701">
        <f>INDEX(FactorTable!$B$2:$Y$301, MATCH(ROUND(MIN(300,MAX(1,T700)),0), FactorTable!$A$2:$A$301,0), 22)</f>
        <v/>
      </c>
      <c r="V701">
        <f>IFERROR(1/IF(Inputs!$B$4="pvp",15,MAX(0.1,Skills!D3-IF(Skills!E3=TRUE,Inputs!$B$31,0))),0)</f>
        <v/>
      </c>
    </row>
    <row r="702">
      <c r="A702">
        <f>Skills!A4</f>
        <v/>
      </c>
      <c r="B702">
        <f>Skills!B4</f>
        <v/>
      </c>
      <c r="C702">
        <f>Inputs!$B$3&gt;=40</f>
        <v/>
      </c>
      <c r="D702">
        <f>IF(Skills!C4=1,60+Inputs!$B$24+Inputs!$B$28,IF(Skills!C4=2,90+Inputs!$B$25+Inputs!$B$28,IF(Skills!C4=3,120+Inputs!$B$26+Inputs!$B$28,MAX(0,(Inputs!$B$3-100)*3)+(Inputs!$B$27+1)+Inputs!$B$28)))</f>
        <v/>
      </c>
      <c r="E702">
        <f>INDEX(FactorTable!$B$2:$Y$301, MATCH(ROUND(MIN(300,MAX(1,D702)),0), FactorTable!$A$2:$A$301,0), Skills!L4+1)</f>
        <v/>
      </c>
      <c r="F702">
        <f>IF(Skills!M4=TRUE,(Skills!K4/10)*(E702/1000),Skills!K4/10)+Skills!N4</f>
        <v/>
      </c>
      <c r="G702">
        <f>Calc!G4</f>
        <v/>
      </c>
      <c r="H702">
        <f>Calc!H4</f>
        <v/>
      </c>
      <c r="I702">
        <f>IF(Skills!T4&lt;&gt;"",1+(Skills!T4/10)*(R701/1000)/100,1)</f>
        <v/>
      </c>
      <c r="J702" t="inlineStr"/>
      <c r="K702" t="inlineStr"/>
      <c r="L702" t="inlineStr"/>
      <c r="M702" t="inlineStr"/>
      <c r="N702" t="inlineStr"/>
      <c r="O702" t="n">
        <v>0</v>
      </c>
      <c r="P702">
        <f>IF(B732=0,0,O702/B732)</f>
        <v/>
      </c>
      <c r="S702">
        <f>IF(AND(Inputs!$B$4&lt;&gt;"pvp",Inputs!$B$35&gt;0),(INT(Inputs!$B$35/IF(Inputs!$B$4="pvp",15,MAX(0.1,Skills!D4-IF(Skills!E4=TRUE,Inputs!$B$31,0))))+1),0)</f>
        <v/>
      </c>
      <c r="T702">
        <f>290*T701/1000</f>
        <v/>
      </c>
      <c r="V702">
        <f>IFERROR(1/IF(Inputs!$B$4="pvp",15,MAX(0.1,Skills!D4-IF(Skills!E4=TRUE,Inputs!$B$31,0))),0)</f>
        <v/>
      </c>
    </row>
    <row r="703">
      <c r="A703">
        <f>Skills!A5</f>
        <v/>
      </c>
      <c r="B703">
        <f>Skills!B5</f>
        <v/>
      </c>
      <c r="C703">
        <f>Inputs!$B$3&gt;=38</f>
        <v/>
      </c>
      <c r="D703">
        <f>IF(Skills!C5=1,60+Inputs!$B$24+Inputs!$B$28,IF(Skills!C5=2,90+Inputs!$B$25+Inputs!$B$28,IF(Skills!C5=3,120+Inputs!$B$26+Inputs!$B$28,MAX(0,(Inputs!$B$3-100)*3)+(Inputs!$B$27+1)+Inputs!$B$28)))</f>
        <v/>
      </c>
      <c r="E703">
        <f>INDEX(FactorTable!$B$2:$Y$301, MATCH(ROUND(MIN(300,MAX(1,D703)),0), FactorTable!$A$2:$A$301,0), Skills!L5+1)</f>
        <v/>
      </c>
      <c r="F703">
        <f>IF(Skills!M5=TRUE,(Skills!K5/10)*(E703/1000),Skills!K5/10)+Skills!N5</f>
        <v/>
      </c>
      <c r="G703">
        <f>Calc!G5</f>
        <v/>
      </c>
      <c r="H703">
        <f>Calc!H5</f>
        <v/>
      </c>
      <c r="I703">
        <f>IF(Skills!T5&lt;&gt;"",1+(Skills!T5/10)*(R701/1000)/100,1)</f>
        <v/>
      </c>
      <c r="J703">
        <f>((Inputs!$B$5*(1+Inputs!$B$6/100))+((Inputs!$B$11*(1+Inputs!$B$12/100))-(Inputs!$B$11*(1+Inputs!$B$12/100)))*(1+Inputs!$B$6/100))*(F703/100)</f>
        <v/>
      </c>
      <c r="K703">
        <f>J703*(1+((Inputs!$B$11*(1+Inputs!$B$12/100))*0.01+Inputs!$B$13*0.0025)/100)*(1+(Inputs!$B$14+B726)/100)*(1+IF(Inputs!$B$4="pvp",0,(1-Summary!$B$51)*(Inputs!$B$19+Skills!O5+B725)+Summary!$B$51*(Inputs!$B$20+Skills!P5+B725))/100)*(1+Inputs!$B$15/100)*(5000/(6000+Inputs!$B$7*(1-Inputs!$B$18/100)))*(1+Inputs!$B$23/100)*(1+IF(C713=TRUE,F713,0)/100)*(1+IF(C721=TRUE,F721,0)/100)^5*(1+(IF(Skills!A5="CHAIN_LIGHTNING",Inputs!$B$16,Inputs!$B$17))/100)*(B724*I703)</f>
        <v/>
      </c>
      <c r="L703">
        <f>K703*(MIN(Inputs!$B$21+(F716-Calc!F18),Inputs!$B$22)/100+Inputs!$B$22/100)/2</f>
        <v/>
      </c>
      <c r="M703">
        <f>L703*(1+(Inputs!$B$9+(F719-Calc!F21))/100)</f>
        <v/>
      </c>
      <c r="N703">
        <f>L703*(1-MIN(Inputs!$B$8+((F718-Calc!F20)+(F717-Calc!F19)),100)/100)+M703*(MIN(Inputs!$B$8+((F718-Calc!F20)+(F717-Calc!F19)),100)/100)</f>
        <v/>
      </c>
      <c r="O703">
        <f>IF(C703,H703*N703*IF(AND(Inputs!$B$4&lt;&gt;"pvp",Inputs!$B$35&gt;0),((Skills!F5*((S703-1)*IF(Skills!G5&gt;0,Skills!H5/Skills!G5,1)+IF(Skills!G5&gt;0,MIN(Skills!H5,MAX(0,Inputs!$B$35-((S703-1)*IF(Inputs!$B$4="pvp",15,MAX(0.1,Skills!D5-IF(Skills!E5=TRUE,Inputs!$B$31,0))))))/Skills!G5,1)))/Inputs!$B$35),G703*V703)*IF(Inputs!$B$4="pvp",1,(1-Summary!$B$51)*(1)+Summary!$B$51*(MIN(Skills!Q5,Inputs!$B$37))),0)</f>
        <v/>
      </c>
      <c r="P703">
        <f>IF(B732=0,0,O703/B732)</f>
        <v/>
      </c>
      <c r="S703">
        <f>IF(AND(Inputs!$B$4&lt;&gt;"pvp",Inputs!$B$35&gt;0),(INT(Inputs!$B$35/IF(Inputs!$B$4="pvp",15,MAX(0.1,Skills!D5-IF(Skills!E5=TRUE,Inputs!$B$31,0))))+1),0)</f>
        <v/>
      </c>
      <c r="V703">
        <f>IFERROR(1/IF(Inputs!$B$4="pvp",15,MAX(0.1,Skills!D5-IF(Skills!E5=TRUE,Inputs!$B$31,0))),0)</f>
        <v/>
      </c>
    </row>
    <row r="704">
      <c r="A704">
        <f>Skills!A6</f>
        <v/>
      </c>
      <c r="B704">
        <f>Skills!B6</f>
        <v/>
      </c>
      <c r="C704">
        <f>Inputs!$B$3&gt;=63</f>
        <v/>
      </c>
      <c r="D704">
        <f>IF(Skills!C6=1,60+Inputs!$B$24+Inputs!$B$28,IF(Skills!C6=2,90+Inputs!$B$25+Inputs!$B$28,IF(Skills!C6=3,120+Inputs!$B$26+Inputs!$B$28,MAX(0,(Inputs!$B$3-100)*3)+(Inputs!$B$27+1)+Inputs!$B$28)))</f>
        <v/>
      </c>
      <c r="E704">
        <f>INDEX(FactorTable!$B$2:$Y$301, MATCH(ROUND(MIN(300,MAX(1,D704)),0), FactorTable!$A$2:$A$301,0), Skills!L6+1)</f>
        <v/>
      </c>
      <c r="F704">
        <f>IF(Skills!M6=TRUE,(Skills!K6/10)*(E704/1000),Skills!K6/10)+Skills!N6</f>
        <v/>
      </c>
      <c r="G704">
        <f>Calc!G6</f>
        <v/>
      </c>
      <c r="H704">
        <f>Calc!H6</f>
        <v/>
      </c>
      <c r="I704">
        <f>IF(Skills!T6&lt;&gt;"",1+(Skills!T6/10)*(R701/1000)/100,1)</f>
        <v/>
      </c>
      <c r="J704">
        <f>((Inputs!$B$5*(1+Inputs!$B$6/100))+((Inputs!$B$11*(1+Inputs!$B$12/100))-(Inputs!$B$11*(1+Inputs!$B$12/100)))*(1+Inputs!$B$6/100))*(F704/100)</f>
        <v/>
      </c>
      <c r="K704">
        <f>J704*(1+((Inputs!$B$11*(1+Inputs!$B$12/100))*0.01+Inputs!$B$13*0.0025)/100)*(1+(Inputs!$B$14+B726)/100)*(1+IF(Inputs!$B$4="pvp",0,(1-Summary!$B$51)*(Inputs!$B$19+Skills!O6+B725)+Summary!$B$51*(Inputs!$B$20+Skills!P6+B725))/100)*(1+Inputs!$B$15/100)*(5000/(6000+Inputs!$B$7*(1-Inputs!$B$18/100)))*(1+Inputs!$B$23/100)*(1+IF(C713=TRUE,F713,0)/100)*(1+IF(C721=TRUE,F721,0)/100)^5*(1+(IF(Skills!A6="CHAIN_LIGHTNING",Inputs!$B$16,Inputs!$B$17))/100)*(B724*I704)</f>
        <v/>
      </c>
      <c r="L704">
        <f>K704*(MIN(Inputs!$B$21+(F716-Calc!F18),Inputs!$B$22)/100+Inputs!$B$22/100)/2</f>
        <v/>
      </c>
      <c r="M704">
        <f>L704*(1+(Inputs!$B$9+(F719-Calc!F21))/100)</f>
        <v/>
      </c>
      <c r="N704">
        <f>L704*(1-MIN(Inputs!$B$8+((F718-Calc!F20)+(F717-Calc!F19)),100)/100)+M704*(MIN(Inputs!$B$8+((F718-Calc!F20)+(F717-Calc!F19)),100)/100)</f>
        <v/>
      </c>
      <c r="O704">
        <f>IF(C704,H704*N704*IF(AND(Inputs!$B$4&lt;&gt;"pvp",Inputs!$B$35&gt;0),((Skills!F6*((S704-1)*IF(Skills!G6&gt;0,Skills!H6/Skills!G6,1)+IF(Skills!G6&gt;0,MIN(Skills!H6,MAX(0,Inputs!$B$35-((S704-1)*IF(Inputs!$B$4="pvp",15,MAX(0.1,Skills!D6-IF(Skills!E6=TRUE,Inputs!$B$31,0))))))/Skills!G6,1)))/Inputs!$B$35),G704*V704)*IF(Inputs!$B$4="pvp",1,(1-Summary!$B$51)*(1)+Summary!$B$51*(MIN(Skills!Q6,Inputs!$B$37))),0)</f>
        <v/>
      </c>
      <c r="P704">
        <f>IF(B732=0,0,O704/B732)</f>
        <v/>
      </c>
      <c r="S704">
        <f>IF(AND(Inputs!$B$4&lt;&gt;"pvp",Inputs!$B$35&gt;0),(INT(Inputs!$B$35/IF(Inputs!$B$4="pvp",15,MAX(0.1,Skills!D6-IF(Skills!E6=TRUE,Inputs!$B$31,0))))+1),0)</f>
        <v/>
      </c>
      <c r="V704">
        <f>IFERROR(1/IF(Inputs!$B$4="pvp",15,MAX(0.1,Skills!D6-IF(Skills!E6=TRUE,Inputs!$B$31,0))),0)</f>
        <v/>
      </c>
    </row>
    <row r="705">
      <c r="A705">
        <f>Skills!A7</f>
        <v/>
      </c>
      <c r="B705">
        <f>Skills!B7</f>
        <v/>
      </c>
      <c r="C705">
        <f>Inputs!$B$3&gt;=69</f>
        <v/>
      </c>
      <c r="D705">
        <f>IF(Skills!C7=1,60+Inputs!$B$24+Inputs!$B$28,IF(Skills!C7=2,90+Inputs!$B$25+Inputs!$B$28,IF(Skills!C7=3,120+Inputs!$B$26+Inputs!$B$28,MAX(0,(Inputs!$B$3-100)*3)+(Inputs!$B$27+1)+Inputs!$B$28)))</f>
        <v/>
      </c>
      <c r="E705">
        <f>INDEX(FactorTable!$B$2:$Y$301, MATCH(ROUND(MIN(300,MAX(1,D705)),0), FactorTable!$A$2:$A$301,0), Skills!L7+1)</f>
        <v/>
      </c>
      <c r="F705">
        <f>IF(Skills!M7=TRUE,(Skills!K7/10)*(E705/1000),Skills!K7/10)+Skills!N7</f>
        <v/>
      </c>
      <c r="G705">
        <f>Calc!G7</f>
        <v/>
      </c>
      <c r="H705">
        <f>Calc!H7</f>
        <v/>
      </c>
      <c r="I705">
        <f>IF(Skills!T7&lt;&gt;"",1+(Skills!T7/10)*(R701/1000)/100,1)</f>
        <v/>
      </c>
      <c r="J705">
        <f>((Inputs!$B$5*(1+Inputs!$B$6/100))+((Inputs!$B$11*(1+Inputs!$B$12/100))-(Inputs!$B$11*(1+Inputs!$B$12/100)))*(1+Inputs!$B$6/100))*(F705/100)</f>
        <v/>
      </c>
      <c r="K705">
        <f>J705*(1+((Inputs!$B$11*(1+Inputs!$B$12/100))*0.01+Inputs!$B$13*0.0025)/100)*(1+(Inputs!$B$14+B726)/100)*(1+IF(Inputs!$B$4="pvp",0,(1-Summary!$B$51)*(Inputs!$B$19+Skills!O7+B725)+Summary!$B$51*(Inputs!$B$20+Skills!P7+B725))/100)*(1+Inputs!$B$15/100)*(5000/(6000+Inputs!$B$7*(1-Inputs!$B$18/100)))*(1+Inputs!$B$23/100)*(1+IF(C713=TRUE,F713,0)/100)*(1+IF(C721=TRUE,F721,0)/100)^5*(1+(IF(Skills!A7="CHAIN_LIGHTNING",Inputs!$B$16,Inputs!$B$17))/100)*(B724*I705)</f>
        <v/>
      </c>
      <c r="L705">
        <f>K705*(MIN(Inputs!$B$21+(F716-Calc!F18),Inputs!$B$22)/100+Inputs!$B$22/100)/2</f>
        <v/>
      </c>
      <c r="M705">
        <f>L705*(1+(Inputs!$B$9+(F719-Calc!F21))/100)</f>
        <v/>
      </c>
      <c r="N705">
        <f>L705*(1-MIN(Inputs!$B$8+((F718-Calc!F20)+(F717-Calc!F19)),100)/100)+M705*(MIN(Inputs!$B$8+((F718-Calc!F20)+(F717-Calc!F19)),100)/100)</f>
        <v/>
      </c>
      <c r="O705">
        <f>IF(C705,H705*N705*IF(AND(Inputs!$B$4&lt;&gt;"pvp",Inputs!$B$35&gt;0),((Skills!F7*((S705-1)*IF(Skills!G7&gt;0,Skills!H7/Skills!G7,1)+IF(Skills!G7&gt;0,MIN(Skills!H7,MAX(0,Inputs!$B$35-((S705-1)*IF(Inputs!$B$4="pvp",15,MAX(0.1,Skills!D7-IF(Skills!E7=TRUE,Inputs!$B$31,0))))))/Skills!G7,1)))/Inputs!$B$35),G705*V705)*IF(Inputs!$B$4="pvp",1,(1-Summary!$B$51)*(1)+Summary!$B$51*(MIN(Skills!Q7,Inputs!$B$37))),0)</f>
        <v/>
      </c>
      <c r="P705">
        <f>IF(B732=0,0,O705/B732)</f>
        <v/>
      </c>
      <c r="S705">
        <f>IF(AND(Inputs!$B$4&lt;&gt;"pvp",Inputs!$B$35&gt;0),(INT(Inputs!$B$35/IF(Inputs!$B$4="pvp",15,MAX(0.1,Skills!D7-IF(Skills!E7=TRUE,Inputs!$B$31,0))))+1),0)</f>
        <v/>
      </c>
      <c r="V705">
        <f>IFERROR(1/IF(Inputs!$B$4="pvp",15,MAX(0.1,Skills!D7-IF(Skills!E7=TRUE,Inputs!$B$31,0))),0)</f>
        <v/>
      </c>
    </row>
    <row r="706">
      <c r="A706">
        <f>Skills!A8</f>
        <v/>
      </c>
      <c r="B706">
        <f>Skills!B8</f>
        <v/>
      </c>
      <c r="C706">
        <f>Inputs!$B$3&gt;=103</f>
        <v/>
      </c>
      <c r="D706">
        <f>IF(Skills!C8=1,60+Inputs!$B$24+Inputs!$B$28,IF(Skills!C8=2,90+Inputs!$B$25+Inputs!$B$28,IF(Skills!C8=3,120+Inputs!$B$26+Inputs!$B$28,MAX(0,(Inputs!$B$3-100)*3)+(Inputs!$B$27+1)+Inputs!$B$28)))</f>
        <v/>
      </c>
      <c r="E706">
        <f>INDEX(FactorTable!$B$2:$Y$301, MATCH(ROUND(MIN(300,MAX(1,D706)),0), FactorTable!$A$2:$A$301,0), Skills!L8+1)</f>
        <v/>
      </c>
      <c r="F706">
        <f>IF(Skills!M8=TRUE,(Skills!K8/10)*(E706/1000),Skills!K8/10)+Skills!N8</f>
        <v/>
      </c>
      <c r="G706">
        <f>Calc!G8</f>
        <v/>
      </c>
      <c r="H706">
        <f>Calc!H8</f>
        <v/>
      </c>
      <c r="I706">
        <f>IF(Skills!T8&lt;&gt;"",1+(Skills!T8/10)*(R701/1000)/100,1)</f>
        <v/>
      </c>
      <c r="J706">
        <f>((Inputs!$B$5*(1+Inputs!$B$6/100))+((Inputs!$B$11*(1+Inputs!$B$12/100))-(Inputs!$B$11*(1+Inputs!$B$12/100)))*(1+Inputs!$B$6/100))*(F706/100)</f>
        <v/>
      </c>
      <c r="K706">
        <f>J706*(1+((Inputs!$B$11*(1+Inputs!$B$12/100))*0.01+Inputs!$B$13*0.0025)/100)*(1+(Inputs!$B$14+B726)/100)*(1+IF(Inputs!$B$4="pvp",0,(1-Summary!$B$51)*(Inputs!$B$19+Skills!O8+B725)+Summary!$B$51*(Inputs!$B$20+Skills!P8+B725))/100)*(1+Inputs!$B$15/100)*(5000/(6000+Inputs!$B$7*(1-Inputs!$B$18/100)))*(1+Inputs!$B$23/100)*(1+IF(C713=TRUE,F713,0)/100)*(1+IF(C721=TRUE,F721,0)/100)^5*(1+(IF(Skills!A8="CHAIN_LIGHTNING",Inputs!$B$16,Inputs!$B$17))/100)*(B724*I706)</f>
        <v/>
      </c>
      <c r="L706">
        <f>K706*(MIN(Inputs!$B$21+(F716-Calc!F18),Inputs!$B$22)/100+Inputs!$B$22/100)/2</f>
        <v/>
      </c>
      <c r="M706">
        <f>L706*(1+(Inputs!$B$9+(F719-Calc!F21))/100)</f>
        <v/>
      </c>
      <c r="N706">
        <f>L706*(1-MIN(Inputs!$B$8+((F718-Calc!F20)+(F717-Calc!F19)),100)/100)+M706*(MIN(Inputs!$B$8+((F718-Calc!F20)+(F717-Calc!F19)),100)/100)</f>
        <v/>
      </c>
      <c r="O706">
        <f>IF(C706,H706*N706*IF(AND(Inputs!$B$4&lt;&gt;"pvp",Inputs!$B$35&gt;0),((Skills!F8*((S706-1)*IF(Skills!G8&gt;0,Skills!H8/Skills!G8,1)+IF(Skills!G8&gt;0,MIN(Skills!H8,MAX(0,Inputs!$B$35-((S706-1)*IF(Inputs!$B$4="pvp",15,MAX(0.1,Skills!D8-IF(Skills!E8=TRUE,Inputs!$B$31,0))))))/Skills!G8,1)))/Inputs!$B$35),G706*V706)*IF(Inputs!$B$4="pvp",1,(1-Summary!$B$51)*(1)+Summary!$B$51*(MIN(Skills!Q8,Inputs!$B$37))),0)</f>
        <v/>
      </c>
      <c r="P706">
        <f>IF(B732=0,0,O706/B732)</f>
        <v/>
      </c>
      <c r="S706">
        <f>IF(AND(Inputs!$B$4&lt;&gt;"pvp",Inputs!$B$35&gt;0),(INT(Inputs!$B$35/IF(Inputs!$B$4="pvp",15,MAX(0.1,Skills!D8-IF(Skills!E8=TRUE,Inputs!$B$31,0))))+1),0)</f>
        <v/>
      </c>
      <c r="V706">
        <f>IFERROR(1/IF(Inputs!$B$4="pvp",15,MAX(0.1,Skills!D8-IF(Skills!E8=TRUE,Inputs!$B$31,0))),0)</f>
        <v/>
      </c>
    </row>
    <row r="707">
      <c r="A707">
        <f>Skills!A9</f>
        <v/>
      </c>
      <c r="B707">
        <f>Skills!B9</f>
        <v/>
      </c>
      <c r="C707">
        <f>Inputs!$B$3&gt;=105</f>
        <v/>
      </c>
      <c r="D707">
        <f>IF(Skills!C9=1,60+Inputs!$B$24+Inputs!$B$28,IF(Skills!C9=2,90+Inputs!$B$25+Inputs!$B$28,IF(Skills!C9=3,120+Inputs!$B$26+Inputs!$B$28,MAX(0,(Inputs!$B$3-100)*3)+(Inputs!$B$27+1)+Inputs!$B$28)))</f>
        <v/>
      </c>
      <c r="E707">
        <f>INDEX(FactorTable!$B$2:$Y$301, MATCH(ROUND(MIN(300,MAX(1,D707)),0), FactorTable!$A$2:$A$301,0), Skills!L9+1)</f>
        <v/>
      </c>
      <c r="F707">
        <f>IF(Skills!M9=TRUE,(Skills!K9/10)*(E707/1000),Skills!K9/10)+Skills!N9</f>
        <v/>
      </c>
      <c r="G707">
        <f>Calc!G9</f>
        <v/>
      </c>
      <c r="H707">
        <f>Calc!H9</f>
        <v/>
      </c>
      <c r="I707">
        <f>IF(Skills!T9&lt;&gt;"",1+(Skills!T9/10)*(R701/1000)/100,1)</f>
        <v/>
      </c>
      <c r="J707">
        <f>((Inputs!$B$5*(1+Inputs!$B$6/100))+((Inputs!$B$11*(1+Inputs!$B$12/100))-(Inputs!$B$11*(1+Inputs!$B$12/100)))*(1+Inputs!$B$6/100))*(F707/100)</f>
        <v/>
      </c>
      <c r="K707">
        <f>J707*(1+((Inputs!$B$11*(1+Inputs!$B$12/100))*0.01+Inputs!$B$13*0.0025)/100)*(1+(Inputs!$B$14+B726)/100)*(1+IF(Inputs!$B$4="pvp",0,(1-Summary!$B$51)*(Inputs!$B$19+Skills!O9+B725)+Summary!$B$51*(Inputs!$B$20+Skills!P9+B725))/100)*(1+Inputs!$B$15/100)*(5000/(6000+Inputs!$B$7*(1-Inputs!$B$18/100)))*(1+Inputs!$B$23/100)*(1+IF(C713=TRUE,F713,0)/100)*(1+IF(C721=TRUE,F721,0)/100)^5*(1+(IF(Skills!A9="CHAIN_LIGHTNING",Inputs!$B$16,Inputs!$B$17))/100)*(B724*I707)</f>
        <v/>
      </c>
      <c r="L707">
        <f>K707*(MIN(Inputs!$B$21+(F716-Calc!F18),Inputs!$B$22)/100+Inputs!$B$22/100)/2</f>
        <v/>
      </c>
      <c r="M707">
        <f>L707*(1+(Inputs!$B$9+(F719-Calc!F21))/100)</f>
        <v/>
      </c>
      <c r="N707">
        <f>L707*(1-MIN(Inputs!$B$8+((F718-Calc!F20)+(F717-Calc!F19)),100)/100)+M707*(MIN(Inputs!$B$8+((F718-Calc!F20)+(F717-Calc!F19)),100)/100)</f>
        <v/>
      </c>
      <c r="O707">
        <f>IF(C707,H707*N707*IF(AND(Inputs!$B$4&lt;&gt;"pvp",Inputs!$B$35&gt;0),((Skills!F9*((S707-1)*IF(Skills!G9&gt;0,Skills!H9/Skills!G9,1)+IF(Skills!G9&gt;0,MIN(Skills!H9,MAX(0,Inputs!$B$35-((S707-1)*IF(Inputs!$B$4="pvp",15,MAX(0.1,Skills!D9-IF(Skills!E9=TRUE,Inputs!$B$31,0))))))/Skills!G9,1)))/Inputs!$B$35),G707*V707)*IF(Inputs!$B$4="pvp",1,(1-Summary!$B$51)*(1)+Summary!$B$51*(MIN(Skills!Q9,Inputs!$B$37))),0)</f>
        <v/>
      </c>
      <c r="P707">
        <f>IF(B732=0,0,O707/B732)</f>
        <v/>
      </c>
      <c r="S707">
        <f>IF(AND(Inputs!$B$4&lt;&gt;"pvp",Inputs!$B$35&gt;0),(INT(Inputs!$B$35/IF(Inputs!$B$4="pvp",15,MAX(0.1,Skills!D9-IF(Skills!E9=TRUE,Inputs!$B$31,0))))+1),0)</f>
        <v/>
      </c>
      <c r="V707">
        <f>IFERROR(1/IF(Inputs!$B$4="pvp",15,MAX(0.1,Skills!D9-IF(Skills!E9=TRUE,Inputs!$B$31,0))),0)</f>
        <v/>
      </c>
    </row>
    <row r="708">
      <c r="A708">
        <f>Skills!A10</f>
        <v/>
      </c>
      <c r="B708">
        <f>Skills!B10</f>
        <v/>
      </c>
      <c r="C708">
        <f>Inputs!$B$3&gt;=113</f>
        <v/>
      </c>
      <c r="D708">
        <f>IF(Skills!C10=1,60+Inputs!$B$24+Inputs!$B$28,IF(Skills!C10=2,90+Inputs!$B$25+Inputs!$B$28,IF(Skills!C10=3,120+Inputs!$B$26+Inputs!$B$28,MAX(0,(Inputs!$B$3-100)*3)+(Inputs!$B$27+1)+Inputs!$B$28)))</f>
        <v/>
      </c>
      <c r="E708">
        <f>INDEX(FactorTable!$B$2:$Y$301, MATCH(ROUND(MIN(300,MAX(1,D708)),0), FactorTable!$A$2:$A$301,0), Skills!L10+1)</f>
        <v/>
      </c>
      <c r="F708">
        <f>IF(Skills!M10=TRUE,(Skills!K10/10)*(E708/1000),Skills!K10/10)+Skills!N10</f>
        <v/>
      </c>
      <c r="G708">
        <f>Calc!G10</f>
        <v/>
      </c>
      <c r="H708">
        <f>Calc!H10</f>
        <v/>
      </c>
      <c r="I708">
        <f>IF(Skills!T10&lt;&gt;"",1+(Skills!T10/10)*(R701/1000)/100,1)</f>
        <v/>
      </c>
      <c r="J708">
        <f>((Inputs!$B$5*(1+Inputs!$B$6/100))+((Inputs!$B$11*(1+Inputs!$B$12/100))-(Inputs!$B$11*(1+Inputs!$B$12/100)))*(1+Inputs!$B$6/100))*(F708/100)</f>
        <v/>
      </c>
      <c r="K708">
        <f>J708*(1+((Inputs!$B$11*(1+Inputs!$B$12/100))*0.01+Inputs!$B$13*0.0025)/100)*(1+(Inputs!$B$14+B726)/100)*(1+IF(Inputs!$B$4="pvp",0,(1-Summary!$B$51)*(Inputs!$B$19+Skills!O10+B725)+Summary!$B$51*(Inputs!$B$20+Skills!P10+B725))/100)*(1+Inputs!$B$15/100)*(5000/(6000+Inputs!$B$7*(1-Inputs!$B$18/100)))*(1+Inputs!$B$23/100)*(1+IF(C713=TRUE,F713,0)/100)*(1+IF(C721=TRUE,F721,0)/100)^5*(1+(IF(Skills!A10="CHAIN_LIGHTNING",Inputs!$B$16,Inputs!$B$17))/100)*(B724*I708)</f>
        <v/>
      </c>
      <c r="L708">
        <f>K708*(MIN(Inputs!$B$21+(F716-Calc!F18),Inputs!$B$22)/100+Inputs!$B$22/100)/2</f>
        <v/>
      </c>
      <c r="M708">
        <f>L708*(1+(Inputs!$B$9+(F719-Calc!F21))/100)</f>
        <v/>
      </c>
      <c r="N708">
        <f>L708*(1-MIN(Inputs!$B$8+((F718-Calc!F20)+(F717-Calc!F19)),100)/100)+M708*(MIN(Inputs!$B$8+((F718-Calc!F20)+(F717-Calc!F19)),100)/100)</f>
        <v/>
      </c>
      <c r="O708">
        <f>IF(C708,H708*N708*IF(AND(Inputs!$B$4&lt;&gt;"pvp",Inputs!$B$35&gt;0),((Skills!F10*((S708-1)*IF(Skills!G10&gt;0,Skills!H10/Skills!G10,1)+IF(Skills!G10&gt;0,MIN(Skills!H10,MAX(0,Inputs!$B$35-((S708-1)*IF(Inputs!$B$4="pvp",15,MAX(0.1,Skills!D10-IF(Skills!E9=TRUE,Inputs!$B$31,0))))))/Skills!G10,1)))/Inputs!$B$35),G708*V708)*IF(Inputs!$B$4="pvp",1,(1-Summary!$B$51)*(1)+Summary!$B$51*(MIN(Skills!Q10,Inputs!$B$37))),0)</f>
        <v/>
      </c>
      <c r="P708">
        <f>IF(B732=0,0,O708/B732)</f>
        <v/>
      </c>
      <c r="S708">
        <f>IF(AND(Inputs!$B$4&lt;&gt;"pvp",Inputs!$B$35&gt;0),(INT(Inputs!$B$35/IF(Inputs!$B$4="pvp",15,MAX(0.1,Skills!D10-IF(Skills!E9=TRUE,Inputs!$B$31,0))))+1),0)</f>
        <v/>
      </c>
      <c r="V708">
        <f>IFERROR(1/IF(Inputs!$B$4="pvp",15,MAX(0.1,Skills!D10-IF(Skills!E9=TRUE,Inputs!$B$31,0))),0)</f>
        <v/>
      </c>
    </row>
    <row r="709">
      <c r="A709">
        <f>Skills!A11</f>
        <v/>
      </c>
      <c r="B709">
        <f>Skills!B11</f>
        <v/>
      </c>
      <c r="C709">
        <f>Inputs!$B$3&gt;=107</f>
        <v/>
      </c>
      <c r="D709">
        <f>IF(Skills!C11=1,60+Inputs!$B$24+Inputs!$B$28,IF(Skills!C11=2,90+Inputs!$B$25+Inputs!$B$28,IF(Skills!C11=3,120+Inputs!$B$26+Inputs!$B$28,MAX(0,(Inputs!$B$3-100)*3)+(Inputs!$B$27+1)+Inputs!$B$28)))</f>
        <v/>
      </c>
      <c r="E709">
        <f>INDEX(FactorTable!$B$2:$Y$301, MATCH(ROUND(MIN(300,MAX(1,D709)),0), FactorTable!$A$2:$A$301,0), Skills!L11+1)</f>
        <v/>
      </c>
      <c r="F709">
        <f>IF(Skills!M11=TRUE,(Skills!K11/10)*(E709/1000),Skills!K11/10)+Skills!N11</f>
        <v/>
      </c>
      <c r="G709">
        <f>Calc!G11</f>
        <v/>
      </c>
      <c r="H709">
        <f>Calc!H11</f>
        <v/>
      </c>
      <c r="I709">
        <f>IF(Skills!T11&lt;&gt;"",1+(Skills!T11/10)*(R701/1000)/100,1)</f>
        <v/>
      </c>
      <c r="J709">
        <f>((Inputs!$B$5*(1+Inputs!$B$6/100))+((Inputs!$B$11*(1+Inputs!$B$12/100))-(Inputs!$B$11*(1+Inputs!$B$12/100)))*(1+Inputs!$B$6/100))*(F709/100)</f>
        <v/>
      </c>
      <c r="K709">
        <f>J709*(1+((Inputs!$B$11*(1+Inputs!$B$12/100))*0.01+Inputs!$B$13*0.0025)/100)*(1+(Inputs!$B$14+B726)/100)*(1+IF(Inputs!$B$4="pvp",0,(1-Summary!$B$51)*(Inputs!$B$19+Skills!O11+B725)+Summary!$B$51*(Inputs!$B$20+Skills!P11+B725))/100)*(1+Inputs!$B$15/100)*(5000/(6000+Inputs!$B$7*(1-Inputs!$B$18/100)))*(1+Inputs!$B$23/100)*(1+IF(C713=TRUE,F713,0)/100)*(1+IF(C721=TRUE,F721,0)/100)^5*(1+(IF(Skills!A11="CHAIN_LIGHTNING",Inputs!$B$16,Inputs!$B$17))/100)*(B724*I709)</f>
        <v/>
      </c>
      <c r="L709">
        <f>K709*(MIN(Inputs!$B$21+(F716-Calc!F18),Inputs!$B$22)/100+Inputs!$B$22/100)/2</f>
        <v/>
      </c>
      <c r="M709">
        <f>L709*(1+(Inputs!$B$9+(F719-Calc!F21))/100)</f>
        <v/>
      </c>
      <c r="N709">
        <f>L709*(1-MIN(Inputs!$B$8+((F718-Calc!F20)+(F717-Calc!F19)),100)/100)+M709*(MIN(Inputs!$B$8+((F718-Calc!F20)+(F717-Calc!F19)),100)/100)</f>
        <v/>
      </c>
      <c r="O709">
        <f>IF(C709,H709*N709*IF(AND(Inputs!$B$4&lt;&gt;"pvp",Inputs!$B$35&gt;0),((Skills!F11*((S709-1)*IF(Skills!G11&gt;0,Skills!H11/Skills!G11,1)+IF(Skills!G11&gt;0,MIN(Skills!H11,MAX(0,Inputs!$B$35-((S709-1)*IF(Inputs!$B$4="pvp",15,MAX(0.1,Skills!D11-IF(Skills!E11=TRUE,Inputs!$B$31,0))))))/Skills!G11,1)))/Inputs!$B$35),G709*V709)*IF(Inputs!$B$4="pvp",0.5,(1-Summary!$B$51)*0.5+Summary!$B$51*1)*IF(Inputs!$B$4="pvp",1,(1-Summary!$B$51)*(1)+Summary!$B$51*(MIN(Skills!Q11,Inputs!$B$37))),0)</f>
        <v/>
      </c>
      <c r="P709">
        <f>IF(B732=0,0,O709/B732)</f>
        <v/>
      </c>
      <c r="S709">
        <f>IF(AND(Inputs!$B$4&lt;&gt;"pvp",Inputs!$B$35&gt;0),(INT(Inputs!$B$35/IF(Inputs!$B$4="pvp",15,MAX(0.1,Skills!D11-IF(Skills!E11=TRUE,Inputs!$B$31,0))))+1),0)</f>
        <v/>
      </c>
      <c r="V709">
        <f>IFERROR(1/IF(Inputs!$B$4="pvp",15,MAX(0.1,Skills!D11-IF(Skills!E11=TRUE,Inputs!$B$31,0))),0)</f>
        <v/>
      </c>
    </row>
    <row r="710">
      <c r="A710">
        <f>Skills!A12</f>
        <v/>
      </c>
      <c r="B710">
        <f>Skills!B12</f>
        <v/>
      </c>
      <c r="C710">
        <f>Inputs!$B$3&gt;=115</f>
        <v/>
      </c>
      <c r="D710">
        <f>IF(Skills!C12=1,60+Inputs!$B$24+Inputs!$B$28,IF(Skills!C12=2,90+Inputs!$B$25+Inputs!$B$28,IF(Skills!C12=3,120+Inputs!$B$26+Inputs!$B$28,MAX(0,(Inputs!$B$3-100)*3)+(Inputs!$B$27+1)+Inputs!$B$28)))</f>
        <v/>
      </c>
      <c r="E710">
        <f>INDEX(FactorTable!$B$2:$Y$301, MATCH(ROUND(MIN(300,MAX(1,D710)),0), FactorTable!$A$2:$A$301,0), Skills!L12+1)</f>
        <v/>
      </c>
      <c r="F710">
        <f>IF(Skills!M12=TRUE,(Skills!K12/10)*(E710/1000),Skills!K12/10)+Skills!N12</f>
        <v/>
      </c>
      <c r="G710">
        <f>Calc!G12</f>
        <v/>
      </c>
      <c r="H710">
        <f>Calc!H12</f>
        <v/>
      </c>
      <c r="I710">
        <f>IF(Skills!T12&lt;&gt;"",1+(Skills!T12/10)*(R701/1000)/100,1)</f>
        <v/>
      </c>
      <c r="J710">
        <f>((Inputs!$B$5*(1+Inputs!$B$6/100))+((Inputs!$B$11*(1+Inputs!$B$12/100))-(Inputs!$B$11*(1+Inputs!$B$12/100)))*(1+Inputs!$B$6/100))*(F710/100)</f>
        <v/>
      </c>
      <c r="K710">
        <f>J710*(1+((Inputs!$B$11*(1+Inputs!$B$12/100))*0.01+Inputs!$B$13*0.0025)/100)*(1+(Inputs!$B$14+B726)/100)*(1+IF(Inputs!$B$4="pvp",0,(1-Summary!$B$51)*(Inputs!$B$19+Skills!O12+B725)+Summary!$B$51*(Inputs!$B$20+Skills!P12+B725))/100)*(1+Inputs!$B$15/100)*(5000/(6000+Inputs!$B$7*(1-Inputs!$B$18/100)))*(1+Inputs!$B$23/100)*(1+IF(C713=TRUE,F713,0)/100)*(1+IF(C721=TRUE,F721,0)/100)^5*(1+(IF(Skills!A12="CHAIN_LIGHTNING",Inputs!$B$16,Inputs!$B$17))/100)*(B724*I710)</f>
        <v/>
      </c>
      <c r="L710">
        <f>K710*(MIN(Inputs!$B$21+(F716-Calc!F18),Inputs!$B$22)/100+Inputs!$B$22/100)/2</f>
        <v/>
      </c>
      <c r="M710">
        <f>L710*(1+(Inputs!$B$9+(F719-Calc!F21))/100)</f>
        <v/>
      </c>
      <c r="N710">
        <f>L710*(1-MIN(Inputs!$B$8+((F718-Calc!F20)+(F717-Calc!F19)),100)/100)+M710*(MIN(Inputs!$B$8+((F718-Calc!F20)+(F717-Calc!F19)),100)/100)</f>
        <v/>
      </c>
      <c r="O710">
        <f>IF(C710,H710*N710*IF(AND(Inputs!$B$4&lt;&gt;"pvp",Inputs!$B$35&gt;0),((Skills!F12*((S710-1)*IF(Skills!G12&gt;0,Skills!H12/Skills!G12,1)+IF(Skills!G12&gt;0,MIN(Skills!H12,MAX(0,Inputs!$B$35-((S710-1)*IF(Inputs!$B$4="pvp",15,MAX(0.1,Skills!D12-IF(Skills!E12=TRUE,Inputs!$B$31,0))))))/Skills!G12,1)))/Inputs!$B$35),G710*V710)*IF(Inputs!$B$4="pvp",1,(1-Summary!$B$51)*(1)+Summary!$B$51*(MIN(Skills!Q12,Inputs!$B$37))),0)</f>
        <v/>
      </c>
      <c r="P710">
        <f>IF(B732=0,0,O710/B732)</f>
        <v/>
      </c>
      <c r="S710">
        <f>IF(AND(Inputs!$B$4&lt;&gt;"pvp",Inputs!$B$35&gt;0),(INT(Inputs!$B$35/IF(Inputs!$B$4="pvp",15,MAX(0.1,Skills!D12-IF(Skills!E12=TRUE,Inputs!$B$31,0))))+1),0)</f>
        <v/>
      </c>
      <c r="V710">
        <f>IFERROR(1/IF(Inputs!$B$4="pvp",15,MAX(0.1,Skills!D12-IF(Skills!E12=TRUE,Inputs!$B$31,0))),0)</f>
        <v/>
      </c>
    </row>
    <row r="711">
      <c r="A711">
        <f>Skills!A13</f>
        <v/>
      </c>
      <c r="B711">
        <f>Skills!B13</f>
        <v/>
      </c>
      <c r="C711">
        <f>Inputs!$B$3&gt;=49</f>
        <v/>
      </c>
      <c r="D711">
        <f>IF(Skills!C13=1,60+Inputs!$B$24+Inputs!$B$28,IF(Skills!C13=2,90+Inputs!$B$25+Inputs!$B$28,IF(Skills!C13=3,120+Inputs!$B$26+Inputs!$B$28,MAX(0,(Inputs!$B$3-100)*3)+(Inputs!$B$27+1)+Inputs!$B$28)))</f>
        <v/>
      </c>
      <c r="E711">
        <f>INDEX(FactorTable!$B$2:$Y$301, MATCH(ROUND(MIN(300,MAX(1,D711)),0), FactorTable!$A$2:$A$301,0), Skills!L13+1)</f>
        <v/>
      </c>
      <c r="F711">
        <f>IF(Skills!M13=TRUE,(Skills!K13/10)*(E711/1000),Skills!K13/10)+Skills!N13</f>
        <v/>
      </c>
      <c r="G711">
        <f>Calc!G13</f>
        <v/>
      </c>
      <c r="H711">
        <f>Calc!H13</f>
        <v/>
      </c>
      <c r="I711">
        <f>IF(Skills!T13&lt;&gt;"",1+(Skills!T13/10)*(R701/1000)/100,1)</f>
        <v/>
      </c>
      <c r="J711" t="inlineStr"/>
      <c r="K711" t="inlineStr"/>
      <c r="L711" t="inlineStr"/>
      <c r="M711" t="inlineStr"/>
      <c r="N711" t="inlineStr"/>
      <c r="O711" t="n">
        <v>0</v>
      </c>
      <c r="P711">
        <f>IF(B732=0,0,O711/B732)</f>
        <v/>
      </c>
      <c r="S711" t="n">
        <v>0</v>
      </c>
      <c r="V711">
        <f>IFERROR(1/IF(Inputs!$B$4="pvp",15,MAX(0.1,Skills!D13-IF(Skills!E13=TRUE,Inputs!$B$31,0))),0)</f>
        <v/>
      </c>
    </row>
    <row r="712">
      <c r="A712">
        <f>Skills!A14</f>
        <v/>
      </c>
      <c r="B712">
        <f>Skills!B14</f>
        <v/>
      </c>
      <c r="C712">
        <f>Inputs!$B$3&gt;=72</f>
        <v/>
      </c>
      <c r="D712">
        <f>IF(Skills!C14=1,60+Inputs!$B$24+Inputs!$B$28,IF(Skills!C14=2,90+Inputs!$B$25+Inputs!$B$28,IF(Skills!C14=3,120+Inputs!$B$26+Inputs!$B$28,MAX(0,(Inputs!$B$3-100)*3)+(Inputs!$B$27+1)+Inputs!$B$28)))</f>
        <v/>
      </c>
      <c r="E712">
        <f>INDEX(FactorTable!$B$2:$Y$301, MATCH(ROUND(MIN(300,MAX(1,D712)),0), FactorTable!$A$2:$A$301,0), Skills!L14+1)</f>
        <v/>
      </c>
      <c r="F712">
        <f>IF(Skills!M14=TRUE,(Skills!K14/10)*(E712/1000),Skills!K14/10)+Skills!N14</f>
        <v/>
      </c>
      <c r="G712">
        <f>Calc!G14</f>
        <v/>
      </c>
      <c r="H712">
        <f>Calc!H14</f>
        <v/>
      </c>
      <c r="I712">
        <f>IF(Skills!T14&lt;&gt;"",1+(Skills!T14/10)*(R701/1000)/100,1)</f>
        <v/>
      </c>
      <c r="J712" t="inlineStr"/>
      <c r="K712" t="inlineStr"/>
      <c r="L712" t="inlineStr"/>
      <c r="M712" t="inlineStr"/>
      <c r="N712" t="inlineStr"/>
      <c r="O712" t="n">
        <v>0</v>
      </c>
      <c r="P712">
        <f>IF(B732=0,0,O712/B732)</f>
        <v/>
      </c>
      <c r="S712" t="n">
        <v>0</v>
      </c>
      <c r="V712">
        <f>IFERROR(1/IF(Inputs!$B$4="pvp",15,MAX(0.1,Skills!D14-IF(Skills!E14=TRUE,Inputs!$B$31,0))),0)</f>
        <v/>
      </c>
    </row>
    <row r="713">
      <c r="A713">
        <f>Skills!A15</f>
        <v/>
      </c>
      <c r="B713">
        <f>Skills!B15</f>
        <v/>
      </c>
      <c r="C713">
        <f>Inputs!$B$3&gt;=75</f>
        <v/>
      </c>
      <c r="D713">
        <f>IF(Skills!C15=1,60+Inputs!$B$24+Inputs!$B$28,IF(Skills!C15=2,90+Inputs!$B$25+Inputs!$B$28,IF(Skills!C15=3,120+Inputs!$B$26+Inputs!$B$28,MAX(0,(Inputs!$B$3-100)*3)+(Inputs!$B$27+1)+Inputs!$B$28)))</f>
        <v/>
      </c>
      <c r="E713">
        <f>INDEX(FactorTable!$B$2:$Y$301, MATCH(ROUND(MIN(300,MAX(1,D713)),0), FactorTable!$A$2:$A$301,0), Skills!L15+1)</f>
        <v/>
      </c>
      <c r="F713">
        <f>IF(Skills!M15=TRUE,(Skills!K15/10)*(E713/1000),Skills!K15/10)+Skills!N15</f>
        <v/>
      </c>
      <c r="G713">
        <f>Calc!G15</f>
        <v/>
      </c>
      <c r="H713">
        <f>Calc!H15</f>
        <v/>
      </c>
      <c r="I713">
        <f>IF(Skills!T15&lt;&gt;"",1+(Skills!T15/10)*(R701/1000)/100,1)</f>
        <v/>
      </c>
      <c r="J713" t="inlineStr"/>
      <c r="K713" t="inlineStr"/>
      <c r="L713" t="inlineStr"/>
      <c r="M713" t="inlineStr"/>
      <c r="N713" t="inlineStr"/>
      <c r="O713" t="n">
        <v>0</v>
      </c>
      <c r="P713">
        <f>IF(B732=0,0,O713/B732)</f>
        <v/>
      </c>
      <c r="S713" t="n">
        <v>0</v>
      </c>
      <c r="V713">
        <f>IFERROR(1/IF(Inputs!$B$4="pvp",15,MAX(0.1,Skills!D15-IF(Skills!E15=TRUE,Inputs!$B$31,0))),0)</f>
        <v/>
      </c>
    </row>
    <row r="714">
      <c r="A714">
        <f>Skills!A16</f>
        <v/>
      </c>
      <c r="B714">
        <f>Skills!B16</f>
        <v/>
      </c>
      <c r="C714">
        <f>Inputs!$B$3&gt;=110</f>
        <v/>
      </c>
      <c r="D714">
        <f>IF(Skills!C16=1,60+Inputs!$B$24+Inputs!$B$28,IF(Skills!C16=2,90+Inputs!$B$25+Inputs!$B$28,IF(Skills!C16=3,120+Inputs!$B$26+Inputs!$B$28,MAX(0,(Inputs!$B$3-100)*3)+(Inputs!$B$27+1)+Inputs!$B$28)))</f>
        <v/>
      </c>
      <c r="E714">
        <f>INDEX(FactorTable!$B$2:$Y$301, MATCH(ROUND(MIN(300,MAX(1,D714)),0), FactorTable!$A$2:$A$301,0), Skills!L16+1)</f>
        <v/>
      </c>
      <c r="F714">
        <f>(Skills!K16/10)*(E714/1000)*64/45+Skills!N16</f>
        <v/>
      </c>
      <c r="G714">
        <f>Calc!G16</f>
        <v/>
      </c>
      <c r="H714">
        <f>Calc!H16</f>
        <v/>
      </c>
      <c r="I714">
        <f>IF(Skills!T16&lt;&gt;"",1+(Skills!T16/10)*(R701/1000)/100,1)</f>
        <v/>
      </c>
      <c r="J714" t="inlineStr"/>
      <c r="K714" t="inlineStr"/>
      <c r="L714" t="inlineStr"/>
      <c r="M714" t="inlineStr"/>
      <c r="N714" t="inlineStr"/>
      <c r="O714" t="n">
        <v>0</v>
      </c>
      <c r="P714">
        <f>IF(B732=0,0,O714/B732)</f>
        <v/>
      </c>
      <c r="S714">
        <f>IF(AND(Inputs!$B$4&lt;&gt;"pvp",Inputs!$B$35&gt;0),(INT(Inputs!$B$35/IF(Inputs!$B$4="pvp",15,MAX(0.1,Skills!D16-IF(Skills!E16=TRUE,Inputs!$B$31,0))))+1),0)</f>
        <v/>
      </c>
      <c r="V714">
        <f>IFERROR(1/IF(Inputs!$B$4="pvp",15,MAX(0.1,Skills!D16-IF(Skills!E16=TRUE,Inputs!$B$31,0))),0)</f>
        <v/>
      </c>
    </row>
    <row r="715">
      <c r="A715">
        <f>Skills!A17</f>
        <v/>
      </c>
      <c r="B715">
        <f>Skills!B17</f>
        <v/>
      </c>
      <c r="C715">
        <f>Inputs!$B$3&gt;=33</f>
        <v/>
      </c>
      <c r="D715">
        <f>IF(Skills!C17=1,60+Inputs!$B$24+Inputs!$B$28,IF(Skills!C17=2,90+Inputs!$B$25+Inputs!$B$28,IF(Skills!C17=3,120+Inputs!$B$26+Inputs!$B$28,MAX(0,(Inputs!$B$3-100)*3)+(Inputs!$B$27+1)+Inputs!$B$28)))</f>
        <v/>
      </c>
      <c r="E715">
        <f>INDEX(FactorTable!$B$2:$Y$301, MATCH(ROUND(MIN(300,MAX(1,D715)),0), FactorTable!$A$2:$A$301,0), Skills!L17+1)</f>
        <v/>
      </c>
      <c r="F715">
        <f>IF(Skills!M17=TRUE,(Skills!K17/10)*(E715/1000),Skills!K17/10)+Skills!N17</f>
        <v/>
      </c>
      <c r="G715">
        <f>Calc!G17</f>
        <v/>
      </c>
      <c r="H715">
        <f>Calc!H17</f>
        <v/>
      </c>
      <c r="I715">
        <f>IF(Skills!T17&lt;&gt;"",1+(Skills!T17/10)*(R701/1000)/100,1)</f>
        <v/>
      </c>
      <c r="J715" t="inlineStr"/>
      <c r="K715" t="inlineStr"/>
      <c r="L715" t="inlineStr"/>
      <c r="M715" t="inlineStr"/>
      <c r="N715" t="inlineStr"/>
      <c r="O715" t="n">
        <v>0</v>
      </c>
      <c r="P715">
        <f>IF(B732=0,0,O715/B732)</f>
        <v/>
      </c>
      <c r="S715" t="n">
        <v>0</v>
      </c>
      <c r="V715">
        <f>IFERROR(1/IF(Inputs!$B$4="pvp",15,MAX(0.1,Skills!D17-IF(Skills!E17=TRUE,Inputs!$B$31,0))),0)</f>
        <v/>
      </c>
    </row>
    <row r="716">
      <c r="A716">
        <f>Skills!A18</f>
        <v/>
      </c>
      <c r="B716">
        <f>Skills!B18</f>
        <v/>
      </c>
      <c r="C716">
        <f>Inputs!$B$3&gt;=43</f>
        <v/>
      </c>
      <c r="D716">
        <f>IF(Skills!C18=1,60+Inputs!$B$24+Inputs!$B$28,IF(Skills!C18=2,90+Inputs!$B$25+Inputs!$B$28,IF(Skills!C18=3,120+Inputs!$B$26+Inputs!$B$28,MAX(0,(Inputs!$B$3-100)*3)+(Inputs!$B$27+1)+Inputs!$B$28)))</f>
        <v/>
      </c>
      <c r="E716">
        <f>INDEX(FactorTable!$B$2:$Y$301, MATCH(ROUND(MIN(300,MAX(1,D716)),0), FactorTable!$A$2:$A$301,0), Skills!L18+1)</f>
        <v/>
      </c>
      <c r="F716">
        <f>IF(Skills!M18=TRUE,(Skills!K18/10)*(E716/1000),Skills!K18/10)+Skills!N18</f>
        <v/>
      </c>
      <c r="G716">
        <f>Calc!G18</f>
        <v/>
      </c>
      <c r="H716">
        <f>Calc!H18</f>
        <v/>
      </c>
      <c r="I716">
        <f>IF(Skills!T18&lt;&gt;"",1+(Skills!T18/10)*(R701/1000)/100,1)</f>
        <v/>
      </c>
      <c r="J716" t="inlineStr"/>
      <c r="K716" t="inlineStr"/>
      <c r="L716" t="inlineStr"/>
      <c r="M716" t="inlineStr"/>
      <c r="N716" t="inlineStr"/>
      <c r="O716" t="n">
        <v>0</v>
      </c>
      <c r="P716">
        <f>IF(B732=0,0,O716/B732)</f>
        <v/>
      </c>
      <c r="S716" t="n">
        <v>0</v>
      </c>
      <c r="V716">
        <f>IFERROR(1/IF(Inputs!$B$4="pvp",15,MAX(0.1,Skills!D18-IF(Skills!E18=TRUE,Inputs!$B$31,0))),0)</f>
        <v/>
      </c>
    </row>
    <row r="717">
      <c r="A717">
        <f>Skills!A19</f>
        <v/>
      </c>
      <c r="B717">
        <f>Skills!B19</f>
        <v/>
      </c>
      <c r="C717">
        <f>Inputs!$B$3&gt;=50</f>
        <v/>
      </c>
      <c r="D717">
        <f>IF(Skills!C19=1,60+Inputs!$B$24+Inputs!$B$28,IF(Skills!C19=2,90+Inputs!$B$25+Inputs!$B$28,IF(Skills!C19=3,120+Inputs!$B$26+Inputs!$B$28,MAX(0,(Inputs!$B$3-100)*3)+(Inputs!$B$27+1)+Inputs!$B$28)))</f>
        <v/>
      </c>
      <c r="E717">
        <f>INDEX(FactorTable!$B$2:$Y$301, MATCH(ROUND(MIN(300,MAX(1,D717)),0), FactorTable!$A$2:$A$301,0), Skills!L19+1)</f>
        <v/>
      </c>
      <c r="F717">
        <f>IF(Skills!M19=TRUE,(Skills!K19/10)*(E717/1000),Skills!K19/10)+Skills!N19</f>
        <v/>
      </c>
      <c r="G717">
        <f>Calc!G19</f>
        <v/>
      </c>
      <c r="H717">
        <f>Calc!H19</f>
        <v/>
      </c>
      <c r="I717">
        <f>IF(Skills!T19&lt;&gt;"",1+(Skills!T19/10)*(R701/1000)/100,1)</f>
        <v/>
      </c>
      <c r="J717" t="inlineStr"/>
      <c r="K717" t="inlineStr"/>
      <c r="L717" t="inlineStr"/>
      <c r="M717" t="inlineStr"/>
      <c r="N717" t="inlineStr"/>
      <c r="O717" t="n">
        <v>0</v>
      </c>
      <c r="P717">
        <f>IF(B732=0,0,O717/B732)</f>
        <v/>
      </c>
      <c r="S717" t="n">
        <v>0</v>
      </c>
      <c r="V717">
        <f>IFERROR(1/IF(Inputs!$B$4="pvp",15,MAX(0.1,Skills!D19-IF(Skills!E19=TRUE,Inputs!$B$31,0))),0)</f>
        <v/>
      </c>
    </row>
    <row r="718">
      <c r="A718">
        <f>Skills!A20</f>
        <v/>
      </c>
      <c r="B718">
        <f>Skills!B20</f>
        <v/>
      </c>
      <c r="C718">
        <f>Inputs!$B$3&gt;=74</f>
        <v/>
      </c>
      <c r="D718">
        <f>IF(Skills!C20=1,60+Inputs!$B$24+Inputs!$B$28,IF(Skills!C20=2,90+Inputs!$B$25+Inputs!$B$28,IF(Skills!C20=3,120+Inputs!$B$26+Inputs!$B$28,MAX(0,(Inputs!$B$3-100)*3)+(Inputs!$B$27+1)+Inputs!$B$28)))</f>
        <v/>
      </c>
      <c r="E718">
        <f>INDEX(FactorTable!$B$2:$Y$301, MATCH(ROUND(MIN(300,MAX(1,D718)),0), FactorTable!$A$2:$A$301,0), Skills!L20+1)</f>
        <v/>
      </c>
      <c r="F718">
        <f>IF(Skills!M20=TRUE,(Skills!K20/10)*(E718/1000),Skills!K20/10)+Skills!N20</f>
        <v/>
      </c>
      <c r="G718">
        <f>Calc!G20</f>
        <v/>
      </c>
      <c r="H718">
        <f>Calc!H20</f>
        <v/>
      </c>
      <c r="I718">
        <f>IF(Skills!T20&lt;&gt;"",1+(Skills!T20/10)*(R701/1000)/100,1)</f>
        <v/>
      </c>
      <c r="J718" t="inlineStr"/>
      <c r="K718" t="inlineStr"/>
      <c r="L718" t="inlineStr"/>
      <c r="M718" t="inlineStr"/>
      <c r="N718" t="inlineStr"/>
      <c r="O718" t="n">
        <v>0</v>
      </c>
      <c r="P718">
        <f>IF(B732=0,0,O718/B732)</f>
        <v/>
      </c>
      <c r="S718" t="n">
        <v>0</v>
      </c>
      <c r="V718">
        <f>IFERROR(1/IF(Inputs!$B$4="pvp",15,MAX(0.1,Skills!D20-IF(Skills!E20=TRUE,Inputs!$B$31,0))),0)</f>
        <v/>
      </c>
    </row>
    <row r="719">
      <c r="A719">
        <f>Skills!A21</f>
        <v/>
      </c>
      <c r="B719">
        <f>Skills!B21</f>
        <v/>
      </c>
      <c r="C719">
        <f>Inputs!$B$3&gt;=74</f>
        <v/>
      </c>
      <c r="D719">
        <f>IF(Skills!C21=1,60+Inputs!$B$24+Inputs!$B$28,IF(Skills!C21=2,90+Inputs!$B$25+Inputs!$B$28,IF(Skills!C21=3,120+Inputs!$B$26+Inputs!$B$28,MAX(0,(Inputs!$B$3-100)*3)+(Inputs!$B$27+1)+Inputs!$B$28)))</f>
        <v/>
      </c>
      <c r="E719">
        <f>INDEX(FactorTable!$B$2:$Y$301, MATCH(ROUND(MIN(300,MAX(1,D719)),0), FactorTable!$A$2:$A$301,0), Skills!L21+1)</f>
        <v/>
      </c>
      <c r="F719">
        <f>IF(Skills!M21=TRUE,(Skills!K21/10)*(E719/1000),Skills!K21/10)+Skills!N21</f>
        <v/>
      </c>
      <c r="G719">
        <f>Calc!G21</f>
        <v/>
      </c>
      <c r="H719">
        <f>Calc!H21</f>
        <v/>
      </c>
      <c r="I719">
        <f>IF(Skills!T21&lt;&gt;"",1+(Skills!T21/10)*(R701/1000)/100,1)</f>
        <v/>
      </c>
      <c r="J719" t="inlineStr"/>
      <c r="K719" t="inlineStr"/>
      <c r="L719" t="inlineStr"/>
      <c r="M719" t="inlineStr"/>
      <c r="N719" t="inlineStr"/>
      <c r="O719" t="n">
        <v>0</v>
      </c>
      <c r="P719">
        <f>IF(B732=0,0,O719/B732)</f>
        <v/>
      </c>
      <c r="S719" t="n">
        <v>0</v>
      </c>
      <c r="V719">
        <f>IFERROR(1/IF(Inputs!$B$4="pvp",15,MAX(0.1,Skills!D21-IF(Skills!E21=TRUE,Inputs!$B$31,0))),0)</f>
        <v/>
      </c>
    </row>
    <row r="720">
      <c r="A720">
        <f>Skills!A22</f>
        <v/>
      </c>
      <c r="B720">
        <f>Skills!B22</f>
        <v/>
      </c>
      <c r="C720">
        <f>Inputs!$B$3&gt;=117</f>
        <v/>
      </c>
      <c r="D720">
        <f>IF(Skills!C22=1,60+Inputs!$B$24+Inputs!$B$28,IF(Skills!C22=2,90+Inputs!$B$25+Inputs!$B$28,IF(Skills!C22=3,120+Inputs!$B$26+Inputs!$B$28,MAX(0,(Inputs!$B$3-100)*3)+(Inputs!$B$27+1)+Inputs!$B$28)))</f>
        <v/>
      </c>
      <c r="E720">
        <f>INDEX(FactorTable!$B$2:$Y$301, MATCH(ROUND(MIN(300,MAX(1,D720)),0), FactorTable!$A$2:$A$301,0), Skills!L22+1)</f>
        <v/>
      </c>
      <c r="F720">
        <f>IF(Skills!M22=TRUE,(Skills!K22/10)*(E720/1000),Skills!K22/10)+Skills!N22</f>
        <v/>
      </c>
      <c r="G720">
        <f>Calc!G22</f>
        <v/>
      </c>
      <c r="H720">
        <f>Calc!H22</f>
        <v/>
      </c>
      <c r="I720">
        <f>IF(Skills!T22&lt;&gt;"",1+(Skills!T22/10)*(R701/1000)/100,1)</f>
        <v/>
      </c>
      <c r="J720" t="inlineStr"/>
      <c r="K720" t="inlineStr"/>
      <c r="L720" t="inlineStr"/>
      <c r="M720" t="inlineStr"/>
      <c r="N720" t="inlineStr"/>
      <c r="O720" t="n">
        <v>0</v>
      </c>
      <c r="P720">
        <f>IF(B732=0,0,O720/B732)</f>
        <v/>
      </c>
      <c r="S720" t="n">
        <v>0</v>
      </c>
      <c r="V720">
        <f>IFERROR(1/IF(Inputs!$B$4="pvp",15,MAX(0.1,Skills!D22-IF(Skills!E22=TRUE,Inputs!$B$31,0))),0)</f>
        <v/>
      </c>
    </row>
    <row r="721">
      <c r="A721">
        <f>Skills!A23</f>
        <v/>
      </c>
      <c r="B721">
        <f>Skills!B23</f>
        <v/>
      </c>
      <c r="C721">
        <f>Inputs!$B$3&gt;=120</f>
        <v/>
      </c>
      <c r="D721">
        <f>IF(Skills!C23=1,60+Inputs!$B$24+Inputs!$B$28,IF(Skills!C23=2,90+Inputs!$B$25+Inputs!$B$28,IF(Skills!C23=3,120+Inputs!$B$26+Inputs!$B$28,MAX(0,(Inputs!$B$3-100)*3)+(Inputs!$B$27+1)+Inputs!$B$28)))</f>
        <v/>
      </c>
      <c r="E721">
        <f>INDEX(FactorTable!$B$2:$Y$301, MATCH(ROUND(MIN(300,MAX(1,D721)),0), FactorTable!$A$2:$A$301,0), Skills!L23+1)</f>
        <v/>
      </c>
      <c r="F721">
        <f>IF(Skills!M23=TRUE,(Skills!K23/10)*(E721/1000),Skills!K23/10)+Skills!N23</f>
        <v/>
      </c>
      <c r="G721">
        <f>Calc!G23</f>
        <v/>
      </c>
      <c r="H721">
        <f>Calc!H23</f>
        <v/>
      </c>
      <c r="I721">
        <f>IF(Skills!T23&lt;&gt;"",1+(Skills!T23/10)*(R701/1000)/100,1)</f>
        <v/>
      </c>
      <c r="J721" t="inlineStr"/>
      <c r="K721" t="inlineStr"/>
      <c r="L721" t="inlineStr"/>
      <c r="M721" t="inlineStr"/>
      <c r="N721" t="inlineStr"/>
      <c r="O721" t="n">
        <v>0</v>
      </c>
      <c r="P721">
        <f>IF(B732=0,0,O721/B732)</f>
        <v/>
      </c>
      <c r="S721" t="n">
        <v>0</v>
      </c>
      <c r="V721">
        <f>IFERROR(1/IF(Inputs!$B$4="pvp",15,MAX(0.1,Skills!D23-IF(Skills!E23=TRUE,Inputs!$B$31,0))),0)</f>
        <v/>
      </c>
    </row>
    <row r="724">
      <c r="A724" t="inlineStr">
        <is>
          <t>Average Buff Multiplier (Magic Guard + Meditation, summed; then Infinity)</t>
        </is>
      </c>
      <c r="B724">
        <f>(1+(IF(C701=TRUE,F701*IF(AND(Inputs!$B$4&lt;&gt;"pvp",Inputs!$B$35&gt;0),(((S701-1)*(Skills!S3*(1+(Inputs!$B$33+IF(Inputs!$B$3&gt;=117,F720,0))/100))+MIN((Skills!S3*(1+(Inputs!$B$33+IF(Inputs!$B$3&gt;=117,F720,0))/100)),MAX(0,Inputs!$B$35-((S701-1)*Skills!D3))))/Inputs!$B$35),IF(Inputs!$B$4="pvp",MIN((Skills!S3*(1+(Inputs!$B$33+IF(Inputs!$B$3&gt;=117,F720,0))/100)),15)/15,(Skills!S3*(1+(Inputs!$B$33+IF(Inputs!$B$3&gt;=117,F720,0))/100))/Skills!D3)),0)+IF(C702=TRUE,F702*IF(AND(Inputs!$B$4&lt;&gt;"pvp",Inputs!$B$35&gt;0),(((S702-1)*(Skills!S4*(1+(Inputs!$B$33+IF(Inputs!$B$3&gt;=117,F720,0))/100))+MIN((Skills!S4*(1+(Inputs!$B$33+IF(Inputs!$B$3&gt;=117,F720,0))/100)),MAX(0,Inputs!$B$35-((S702-1)*Skills!D4))))/Inputs!$B$35),IF(Inputs!$B$4="pvp",MIN((Skills!S4*(1+(Inputs!$B$33+IF(Inputs!$B$3&gt;=117,F720,0))/100)),15)/15,(Skills!S4*(1+(Inputs!$B$33+IF(Inputs!$B$3&gt;=117,F720,0))/100))/Skills!D4)),0))/100)*IF(C714=TRUE,(1+F714*IF(AND(Inputs!$B$4&lt;&gt;"pvp",Inputs!$B$35&gt;0),(((S714-1)*(Skills!S16*(1+(Inputs!$B$33+IF(Inputs!$B$3&gt;=117,F720,0))/100))+MIN((Skills!S16*(1+(Inputs!$B$33+IF(Inputs!$B$3&gt;=117,F720,0))/100)),MAX(0,Inputs!$B$35-((S714-1)*Skills!D16))))/Inputs!$B$35),IF(Inputs!$B$4="pvp",MIN((Skills!S16*(1+(Inputs!$B$33+IF(Inputs!$B$3&gt;=117,F720,0))/100)),15)/15,(Skills!S16*(1+(Inputs!$B$33+IF(Inputs!$B$3&gt;=117,F720,0))/100))/Skills!D16))/100),1)</f>
        <v/>
      </c>
    </row>
    <row r="725">
      <c r="A725" t="inlineStr">
        <is>
          <t>Monster Damage Taken Bonus % (Freezing Breath - Weaken + Elemental Reset, summed)</t>
        </is>
      </c>
      <c r="B725">
        <f>IF(Inputs!$B$3&gt;=118,15*IF(Inputs!$B$4="pvp",MIN((30*(1+(Inputs!$B$33+IF(Inputs!$B$3&gt;=117,F720,0))/100)),15)/15,(30*(1+(Inputs!$B$33+IF(Inputs!$B$3&gt;=117,F720,0))/100))/Skills!D8),0)+IF(C712=TRUE,F712,0)</f>
        <v/>
      </c>
    </row>
    <row r="726">
      <c r="A726" t="inlineStr">
        <is>
          <t>Damage % Bonus (Frozen Break + Frost Clutch, flat)</t>
        </is>
      </c>
      <c r="B726">
        <f>IF(Inputs!$B$3&gt;=66,15,0)+IF(Inputs!$B$3&gt;=98,10,0)+IF(Inputs!$B$3&gt;=125,20,0)</f>
        <v/>
      </c>
    </row>
    <row r="727">
      <c r="A727" t="inlineStr">
        <is>
          <t>Attack Speed Bonus % (MP Eater - MP Boost, always-on once unlocked)</t>
        </is>
      </c>
      <c r="B727">
        <f>IF(C711=TRUE,F711+(F715-Calc!F17),0)</f>
        <v/>
      </c>
    </row>
    <row r="728">
      <c r="A728" t="inlineStr">
        <is>
          <t>Actions Per Second</t>
        </is>
      </c>
      <c r="B728">
        <f>1+MIN(150,150*(1-(1-Inputs!$B$10/150)*(1-B727/150)))/100</f>
        <v/>
      </c>
    </row>
    <row r="729">
      <c r="A729" t="inlineStr">
        <is>
          <t>Skill + Buff Cast Rate</t>
        </is>
      </c>
      <c r="B729">
        <f>IF(AND(Inputs!$B$4&lt;&gt;"pvp",Inputs!$B$35&gt;0),SUMPRODUCT((Skills!E2:E23=TRUE)*(C700:C721=TRUE)*S700:S721)/Inputs!$B$35,SUMPRODUCT((Skills!E2:E23=TRUE)*(C700:C721=TRUE)*V700:V721))</f>
        <v/>
      </c>
    </row>
    <row r="730">
      <c r="A730" t="inlineStr">
        <is>
          <t>Chain Lightning Casts Per Second</t>
        </is>
      </c>
      <c r="B730">
        <f>MAX(0,B728-B729)</f>
        <v/>
      </c>
    </row>
    <row r="732">
      <c r="A732" s="5" t="inlineStr">
        <is>
          <t>TOTAL DPS</t>
        </is>
      </c>
      <c r="B732" s="5">
        <f>SUM(O700:O721)</f>
        <v/>
      </c>
    </row>
    <row r="735">
      <c r="A735" s="5" t="inlineStr">
        <is>
          <t>Stat: Skill Level Bonus — All Skills</t>
        </is>
      </c>
    </row>
    <row r="736">
      <c r="A736" s="8" t="inlineStr">
        <is>
          <t>Key</t>
        </is>
      </c>
      <c r="B736" s="8" t="inlineStr">
        <is>
          <t>Name</t>
        </is>
      </c>
      <c r="C736" s="8" t="inlineStr">
        <is>
          <t>Unlocked</t>
        </is>
      </c>
      <c r="D736" s="8" t="inlineStr">
        <is>
          <t>InputLevel</t>
        </is>
      </c>
      <c r="E736" s="8" t="inlineStr">
        <is>
          <t>Factor</t>
        </is>
      </c>
      <c r="F736" s="8" t="inlineStr">
        <is>
          <t>CoefficientPercent</t>
        </is>
      </c>
      <c r="G736" s="8" t="inlineStr">
        <is>
          <t>EffectiveHits</t>
        </is>
      </c>
      <c r="H736" s="8" t="inlineStr">
        <is>
          <t>ProcProbability</t>
        </is>
      </c>
      <c r="I736" s="8" t="inlineStr">
        <is>
          <t>MapleHeroMultiplier</t>
        </is>
      </c>
      <c r="J736" s="8" t="inlineStr">
        <is>
          <t>BaseDamage</t>
        </is>
      </c>
      <c r="K736" s="8" t="inlineStr">
        <is>
          <t>BaseHitDamage</t>
        </is>
      </c>
      <c r="L736" s="8" t="inlineStr">
        <is>
          <t>NonCritAvg</t>
        </is>
      </c>
      <c r="M736" s="8" t="inlineStr">
        <is>
          <t>CritAvg</t>
        </is>
      </c>
      <c r="N736" s="8" t="inlineStr">
        <is>
          <t>ExpectedDamage(perHit)</t>
        </is>
      </c>
      <c r="O736" s="8" t="inlineStr">
        <is>
          <t>DPS</t>
        </is>
      </c>
      <c r="P736" s="8" t="inlineStr">
        <is>
          <t>% of Total</t>
        </is>
      </c>
      <c r="R736" t="inlineStr">
        <is>
          <t>helpers</t>
        </is>
      </c>
    </row>
    <row r="737">
      <c r="A737">
        <f>Skills!A2</f>
        <v/>
      </c>
      <c r="B737">
        <f>Skills!B2</f>
        <v/>
      </c>
      <c r="C737">
        <f>Inputs!$B$3&gt;=100</f>
        <v/>
      </c>
      <c r="D737" t="inlineStr"/>
      <c r="E737" t="inlineStr"/>
      <c r="F737">
        <f>T739+Skills!N2</f>
        <v/>
      </c>
      <c r="G737">
        <f>Calc!G2</f>
        <v/>
      </c>
      <c r="H737">
        <f>Calc!H2</f>
        <v/>
      </c>
      <c r="I737">
        <f>IF(Skills!T2&lt;&gt;"",1+(Skills!T2/10)*(R738/1000)/100,1)</f>
        <v/>
      </c>
      <c r="J737">
        <f>((Inputs!$B$5*(1+Inputs!$B$6/100))+((Inputs!$B$11*(1+Inputs!$B$12/100))-(Inputs!$B$11*(1+Inputs!$B$12/100)))*(1+Inputs!$B$6/100))*(F737/100)</f>
        <v/>
      </c>
      <c r="K737">
        <f>J737*(1+((Inputs!$B$11*(1+Inputs!$B$12/100))*0.01+Inputs!$B$13*0.0025)/100)*(1+(Inputs!$B$14+B763)/100)*(1+IF(Inputs!$B$4="pvp",0,(1-Summary!$B$51)*(Inputs!$B$19+Skills!O2+B762)+Summary!$B$51*(Inputs!$B$20+Skills!P2+B762))/100)*(1+Inputs!$B$15/100)*(5000/(6000+Inputs!$B$7*(1-Inputs!$B$18/100)))*(1+Inputs!$B$23/100)*(1+IF(C750=TRUE,F750,0)/100)*(1+IF(C758=TRUE,F758,0)/100)^5*(1+(IF(Skills!A2="CHAIN_LIGHTNING",Inputs!$B$16,Inputs!$B$17))/100)*(B761*I737)</f>
        <v/>
      </c>
      <c r="L737">
        <f>K737*(MIN(Inputs!$B$21+(F753-Calc!F18),Inputs!$B$22)/100+Inputs!$B$22/100)/2</f>
        <v/>
      </c>
      <c r="M737">
        <f>L737*(1+(Inputs!$B$9+(F756-Calc!F21))/100)</f>
        <v/>
      </c>
      <c r="N737">
        <f>L737*(1-MIN(Inputs!$B$8+((F755-Calc!F20)+(F754-Calc!F19)),100)/100)+M737*(MIN(Inputs!$B$8+((F755-Calc!F20)+(F754-Calc!F19)),100)/100)</f>
        <v/>
      </c>
      <c r="O737">
        <f>IF(C737,Skills!F2*N737*B767*IF(Inputs!$B$4="pvp",1,(1-Summary!$B$51)*(1)+Summary!$B$51*(MIN((6+Inputs!$B$32),Inputs!$B$37))),0)</f>
        <v/>
      </c>
      <c r="P737">
        <f>IF(B769=0,0,O737/B769)</f>
        <v/>
      </c>
      <c r="R737">
        <f>MAX(0,(Inputs!$B$3-100)*3)+Inputs!$B$27+(Inputs!$B$28+1)</f>
        <v/>
      </c>
      <c r="S737" t="n">
        <v>0</v>
      </c>
      <c r="T737">
        <f>MAX(0,(Inputs!$B$3-100)*3)+Inputs!$B$27+(Inputs!$B$28+1)</f>
        <v/>
      </c>
      <c r="V737">
        <f>IFERROR(1/IF(Inputs!$B$4="pvp",15,MAX(0.1,Skills!D2-IF(Skills!E2=TRUE,Inputs!$B$31,0))),0)</f>
        <v/>
      </c>
    </row>
    <row r="738">
      <c r="A738">
        <f>Skills!A3</f>
        <v/>
      </c>
      <c r="B738">
        <f>Skills!B3</f>
        <v/>
      </c>
      <c r="C738">
        <f>Inputs!$B$3&gt;=15</f>
        <v/>
      </c>
      <c r="D738">
        <f>IF(Skills!C3=1,60+Inputs!$B$24+(Inputs!$B$28+1),IF(Skills!C3=2,90+Inputs!$B$25+(Inputs!$B$28+1),IF(Skills!C3=3,120+Inputs!$B$26+(Inputs!$B$28+1),MAX(0,(Inputs!$B$3-100)*3)+Inputs!$B$27+(Inputs!$B$28+1))))</f>
        <v/>
      </c>
      <c r="E738">
        <f>INDEX(FactorTable!$B$2:$Y$301, MATCH(ROUND(MIN(300,MAX(1,D738)),0), FactorTable!$A$2:$A$301,0), Skills!L3+1)</f>
        <v/>
      </c>
      <c r="F738">
        <f>IF(Skills!M3=TRUE,(Skills!K3/10)*(E738/1000),Skills!K3/10)+Skills!N3</f>
        <v/>
      </c>
      <c r="G738">
        <f>Calc!G3</f>
        <v/>
      </c>
      <c r="H738">
        <f>Calc!H3</f>
        <v/>
      </c>
      <c r="I738">
        <f>IF(Skills!T3&lt;&gt;"",1+(Skills!T3/10)*(R738/1000)/100,1)</f>
        <v/>
      </c>
      <c r="J738" t="inlineStr"/>
      <c r="K738" t="inlineStr"/>
      <c r="L738" t="inlineStr"/>
      <c r="M738" t="inlineStr"/>
      <c r="N738" t="inlineStr"/>
      <c r="O738" t="n">
        <v>0</v>
      </c>
      <c r="P738">
        <f>IF(B769=0,0,O738/B769)</f>
        <v/>
      </c>
      <c r="R738">
        <f>INDEX(FactorTable!$B$2:$Y$301, MATCH(ROUND(MIN(300,MAX(1,R737)),0), FactorTable!$A$2:$A$301,0), 24)</f>
        <v/>
      </c>
      <c r="S738">
        <f>IF(AND(Inputs!$B$4&lt;&gt;"pvp",Inputs!$B$35&gt;0),(INT(Inputs!$B$35/IF(Inputs!$B$4="pvp",15,MAX(0.1,Skills!D3-IF(Skills!E3=TRUE,Inputs!$B$31,0))))+1),0)</f>
        <v/>
      </c>
      <c r="T738">
        <f>INDEX(FactorTable!$B$2:$Y$301, MATCH(ROUND(MIN(300,MAX(1,T737)),0), FactorTable!$A$2:$A$301,0), 22)</f>
        <v/>
      </c>
      <c r="V738">
        <f>IFERROR(1/IF(Inputs!$B$4="pvp",15,MAX(0.1,Skills!D3-IF(Skills!E3=TRUE,Inputs!$B$31,0))),0)</f>
        <v/>
      </c>
    </row>
    <row r="739">
      <c r="A739">
        <f>Skills!A4</f>
        <v/>
      </c>
      <c r="B739">
        <f>Skills!B4</f>
        <v/>
      </c>
      <c r="C739">
        <f>Inputs!$B$3&gt;=40</f>
        <v/>
      </c>
      <c r="D739">
        <f>IF(Skills!C4=1,60+Inputs!$B$24+(Inputs!$B$28+1),IF(Skills!C4=2,90+Inputs!$B$25+(Inputs!$B$28+1),IF(Skills!C4=3,120+Inputs!$B$26+(Inputs!$B$28+1),MAX(0,(Inputs!$B$3-100)*3)+Inputs!$B$27+(Inputs!$B$28+1))))</f>
        <v/>
      </c>
      <c r="E739">
        <f>INDEX(FactorTable!$B$2:$Y$301, MATCH(ROUND(MIN(300,MAX(1,D739)),0), FactorTable!$A$2:$A$301,0), Skills!L4+1)</f>
        <v/>
      </c>
      <c r="F739">
        <f>IF(Skills!M4=TRUE,(Skills!K4/10)*(E739/1000),Skills!K4/10)+Skills!N4</f>
        <v/>
      </c>
      <c r="G739">
        <f>Calc!G4</f>
        <v/>
      </c>
      <c r="H739">
        <f>Calc!H4</f>
        <v/>
      </c>
      <c r="I739">
        <f>IF(Skills!T4&lt;&gt;"",1+(Skills!T4/10)*(R738/1000)/100,1)</f>
        <v/>
      </c>
      <c r="J739" t="inlineStr"/>
      <c r="K739" t="inlineStr"/>
      <c r="L739" t="inlineStr"/>
      <c r="M739" t="inlineStr"/>
      <c r="N739" t="inlineStr"/>
      <c r="O739" t="n">
        <v>0</v>
      </c>
      <c r="P739">
        <f>IF(B769=0,0,O739/B769)</f>
        <v/>
      </c>
      <c r="S739">
        <f>IF(AND(Inputs!$B$4&lt;&gt;"pvp",Inputs!$B$35&gt;0),(INT(Inputs!$B$35/IF(Inputs!$B$4="pvp",15,MAX(0.1,Skills!D4-IF(Skills!E4=TRUE,Inputs!$B$31,0))))+1),0)</f>
        <v/>
      </c>
      <c r="T739">
        <f>290*T738/1000</f>
        <v/>
      </c>
      <c r="V739">
        <f>IFERROR(1/IF(Inputs!$B$4="pvp",15,MAX(0.1,Skills!D4-IF(Skills!E4=TRUE,Inputs!$B$31,0))),0)</f>
        <v/>
      </c>
    </row>
    <row r="740">
      <c r="A740">
        <f>Skills!A5</f>
        <v/>
      </c>
      <c r="B740">
        <f>Skills!B5</f>
        <v/>
      </c>
      <c r="C740">
        <f>Inputs!$B$3&gt;=38</f>
        <v/>
      </c>
      <c r="D740">
        <f>IF(Skills!C5=1,60+Inputs!$B$24+(Inputs!$B$28+1),IF(Skills!C5=2,90+Inputs!$B$25+(Inputs!$B$28+1),IF(Skills!C5=3,120+Inputs!$B$26+(Inputs!$B$28+1),MAX(0,(Inputs!$B$3-100)*3)+Inputs!$B$27+(Inputs!$B$28+1))))</f>
        <v/>
      </c>
      <c r="E740">
        <f>INDEX(FactorTable!$B$2:$Y$301, MATCH(ROUND(MIN(300,MAX(1,D740)),0), FactorTable!$A$2:$A$301,0), Skills!L5+1)</f>
        <v/>
      </c>
      <c r="F740">
        <f>IF(Skills!M5=TRUE,(Skills!K5/10)*(E740/1000),Skills!K5/10)+Skills!N5</f>
        <v/>
      </c>
      <c r="G740">
        <f>Calc!G5</f>
        <v/>
      </c>
      <c r="H740">
        <f>Calc!H5</f>
        <v/>
      </c>
      <c r="I740">
        <f>IF(Skills!T5&lt;&gt;"",1+(Skills!T5/10)*(R738/1000)/100,1)</f>
        <v/>
      </c>
      <c r="J740">
        <f>((Inputs!$B$5*(1+Inputs!$B$6/100))+((Inputs!$B$11*(1+Inputs!$B$12/100))-(Inputs!$B$11*(1+Inputs!$B$12/100)))*(1+Inputs!$B$6/100))*(F740/100)</f>
        <v/>
      </c>
      <c r="K740">
        <f>J740*(1+((Inputs!$B$11*(1+Inputs!$B$12/100))*0.01+Inputs!$B$13*0.0025)/100)*(1+(Inputs!$B$14+B763)/100)*(1+IF(Inputs!$B$4="pvp",0,(1-Summary!$B$51)*(Inputs!$B$19+Skills!O5+B762)+Summary!$B$51*(Inputs!$B$20+Skills!P5+B762))/100)*(1+Inputs!$B$15/100)*(5000/(6000+Inputs!$B$7*(1-Inputs!$B$18/100)))*(1+Inputs!$B$23/100)*(1+IF(C750=TRUE,F750,0)/100)*(1+IF(C758=TRUE,F758,0)/100)^5*(1+(IF(Skills!A5="CHAIN_LIGHTNING",Inputs!$B$16,Inputs!$B$17))/100)*(B761*I740)</f>
        <v/>
      </c>
      <c r="L740">
        <f>K740*(MIN(Inputs!$B$21+(F753-Calc!F18),Inputs!$B$22)/100+Inputs!$B$22/100)/2</f>
        <v/>
      </c>
      <c r="M740">
        <f>L740*(1+(Inputs!$B$9+(F756-Calc!F21))/100)</f>
        <v/>
      </c>
      <c r="N740">
        <f>L740*(1-MIN(Inputs!$B$8+((F755-Calc!F20)+(F754-Calc!F19)),100)/100)+M740*(MIN(Inputs!$B$8+((F755-Calc!F20)+(F754-Calc!F19)),100)/100)</f>
        <v/>
      </c>
      <c r="O740">
        <f>IF(C740,H740*N740*IF(AND(Inputs!$B$4&lt;&gt;"pvp",Inputs!$B$35&gt;0),((Skills!F5*((S740-1)*IF(Skills!G5&gt;0,Skills!H5/Skills!G5,1)+IF(Skills!G5&gt;0,MIN(Skills!H5,MAX(0,Inputs!$B$35-((S740-1)*IF(Inputs!$B$4="pvp",15,MAX(0.1,Skills!D5-IF(Skills!E5=TRUE,Inputs!$B$31,0))))))/Skills!G5,1)))/Inputs!$B$35),G740*V740)*IF(Inputs!$B$4="pvp",1,(1-Summary!$B$51)*(1)+Summary!$B$51*(MIN(Skills!Q5,Inputs!$B$37))),0)</f>
        <v/>
      </c>
      <c r="P740">
        <f>IF(B769=0,0,O740/B769)</f>
        <v/>
      </c>
      <c r="S740">
        <f>IF(AND(Inputs!$B$4&lt;&gt;"pvp",Inputs!$B$35&gt;0),(INT(Inputs!$B$35/IF(Inputs!$B$4="pvp",15,MAX(0.1,Skills!D5-IF(Skills!E5=TRUE,Inputs!$B$31,0))))+1),0)</f>
        <v/>
      </c>
      <c r="V740">
        <f>IFERROR(1/IF(Inputs!$B$4="pvp",15,MAX(0.1,Skills!D5-IF(Skills!E5=TRUE,Inputs!$B$31,0))),0)</f>
        <v/>
      </c>
    </row>
    <row r="741">
      <c r="A741">
        <f>Skills!A6</f>
        <v/>
      </c>
      <c r="B741">
        <f>Skills!B6</f>
        <v/>
      </c>
      <c r="C741">
        <f>Inputs!$B$3&gt;=63</f>
        <v/>
      </c>
      <c r="D741">
        <f>IF(Skills!C6=1,60+Inputs!$B$24+(Inputs!$B$28+1),IF(Skills!C6=2,90+Inputs!$B$25+(Inputs!$B$28+1),IF(Skills!C6=3,120+Inputs!$B$26+(Inputs!$B$28+1),MAX(0,(Inputs!$B$3-100)*3)+Inputs!$B$27+(Inputs!$B$28+1))))</f>
        <v/>
      </c>
      <c r="E741">
        <f>INDEX(FactorTable!$B$2:$Y$301, MATCH(ROUND(MIN(300,MAX(1,D741)),0), FactorTable!$A$2:$A$301,0), Skills!L6+1)</f>
        <v/>
      </c>
      <c r="F741">
        <f>IF(Skills!M6=TRUE,(Skills!K6/10)*(E741/1000),Skills!K6/10)+Skills!N6</f>
        <v/>
      </c>
      <c r="G741">
        <f>Calc!G6</f>
        <v/>
      </c>
      <c r="H741">
        <f>Calc!H6</f>
        <v/>
      </c>
      <c r="I741">
        <f>IF(Skills!T6&lt;&gt;"",1+(Skills!T6/10)*(R738/1000)/100,1)</f>
        <v/>
      </c>
      <c r="J741">
        <f>((Inputs!$B$5*(1+Inputs!$B$6/100))+((Inputs!$B$11*(1+Inputs!$B$12/100))-(Inputs!$B$11*(1+Inputs!$B$12/100)))*(1+Inputs!$B$6/100))*(F741/100)</f>
        <v/>
      </c>
      <c r="K741">
        <f>J741*(1+((Inputs!$B$11*(1+Inputs!$B$12/100))*0.01+Inputs!$B$13*0.0025)/100)*(1+(Inputs!$B$14+B763)/100)*(1+IF(Inputs!$B$4="pvp",0,(1-Summary!$B$51)*(Inputs!$B$19+Skills!O6+B762)+Summary!$B$51*(Inputs!$B$20+Skills!P6+B762))/100)*(1+Inputs!$B$15/100)*(5000/(6000+Inputs!$B$7*(1-Inputs!$B$18/100)))*(1+Inputs!$B$23/100)*(1+IF(C750=TRUE,F750,0)/100)*(1+IF(C758=TRUE,F758,0)/100)^5*(1+(IF(Skills!A6="CHAIN_LIGHTNING",Inputs!$B$16,Inputs!$B$17))/100)*(B761*I741)</f>
        <v/>
      </c>
      <c r="L741">
        <f>K741*(MIN(Inputs!$B$21+(F753-Calc!F18),Inputs!$B$22)/100+Inputs!$B$22/100)/2</f>
        <v/>
      </c>
      <c r="M741">
        <f>L741*(1+(Inputs!$B$9+(F756-Calc!F21))/100)</f>
        <v/>
      </c>
      <c r="N741">
        <f>L741*(1-MIN(Inputs!$B$8+((F755-Calc!F20)+(F754-Calc!F19)),100)/100)+M741*(MIN(Inputs!$B$8+((F755-Calc!F20)+(F754-Calc!F19)),100)/100)</f>
        <v/>
      </c>
      <c r="O741">
        <f>IF(C741,H741*N741*IF(AND(Inputs!$B$4&lt;&gt;"pvp",Inputs!$B$35&gt;0),((Skills!F6*((S741-1)*IF(Skills!G6&gt;0,Skills!H6/Skills!G6,1)+IF(Skills!G6&gt;0,MIN(Skills!H6,MAX(0,Inputs!$B$35-((S741-1)*IF(Inputs!$B$4="pvp",15,MAX(0.1,Skills!D6-IF(Skills!E6=TRUE,Inputs!$B$31,0))))))/Skills!G6,1)))/Inputs!$B$35),G741*V741)*IF(Inputs!$B$4="pvp",1,(1-Summary!$B$51)*(1)+Summary!$B$51*(MIN(Skills!Q6,Inputs!$B$37))),0)</f>
        <v/>
      </c>
      <c r="P741">
        <f>IF(B769=0,0,O741/B769)</f>
        <v/>
      </c>
      <c r="S741">
        <f>IF(AND(Inputs!$B$4&lt;&gt;"pvp",Inputs!$B$35&gt;0),(INT(Inputs!$B$35/IF(Inputs!$B$4="pvp",15,MAX(0.1,Skills!D6-IF(Skills!E6=TRUE,Inputs!$B$31,0))))+1),0)</f>
        <v/>
      </c>
      <c r="V741">
        <f>IFERROR(1/IF(Inputs!$B$4="pvp",15,MAX(0.1,Skills!D6-IF(Skills!E6=TRUE,Inputs!$B$31,0))),0)</f>
        <v/>
      </c>
    </row>
    <row r="742">
      <c r="A742">
        <f>Skills!A7</f>
        <v/>
      </c>
      <c r="B742">
        <f>Skills!B7</f>
        <v/>
      </c>
      <c r="C742">
        <f>Inputs!$B$3&gt;=69</f>
        <v/>
      </c>
      <c r="D742">
        <f>IF(Skills!C7=1,60+Inputs!$B$24+(Inputs!$B$28+1),IF(Skills!C7=2,90+Inputs!$B$25+(Inputs!$B$28+1),IF(Skills!C7=3,120+Inputs!$B$26+(Inputs!$B$28+1),MAX(0,(Inputs!$B$3-100)*3)+Inputs!$B$27+(Inputs!$B$28+1))))</f>
        <v/>
      </c>
      <c r="E742">
        <f>INDEX(FactorTable!$B$2:$Y$301, MATCH(ROUND(MIN(300,MAX(1,D742)),0), FactorTable!$A$2:$A$301,0), Skills!L7+1)</f>
        <v/>
      </c>
      <c r="F742">
        <f>IF(Skills!M7=TRUE,(Skills!K7/10)*(E742/1000),Skills!K7/10)+Skills!N7</f>
        <v/>
      </c>
      <c r="G742">
        <f>Calc!G7</f>
        <v/>
      </c>
      <c r="H742">
        <f>Calc!H7</f>
        <v/>
      </c>
      <c r="I742">
        <f>IF(Skills!T7&lt;&gt;"",1+(Skills!T7/10)*(R738/1000)/100,1)</f>
        <v/>
      </c>
      <c r="J742">
        <f>((Inputs!$B$5*(1+Inputs!$B$6/100))+((Inputs!$B$11*(1+Inputs!$B$12/100))-(Inputs!$B$11*(1+Inputs!$B$12/100)))*(1+Inputs!$B$6/100))*(F742/100)</f>
        <v/>
      </c>
      <c r="K742">
        <f>J742*(1+((Inputs!$B$11*(1+Inputs!$B$12/100))*0.01+Inputs!$B$13*0.0025)/100)*(1+(Inputs!$B$14+B763)/100)*(1+IF(Inputs!$B$4="pvp",0,(1-Summary!$B$51)*(Inputs!$B$19+Skills!O7+B762)+Summary!$B$51*(Inputs!$B$20+Skills!P7+B762))/100)*(1+Inputs!$B$15/100)*(5000/(6000+Inputs!$B$7*(1-Inputs!$B$18/100)))*(1+Inputs!$B$23/100)*(1+IF(C750=TRUE,F750,0)/100)*(1+IF(C758=TRUE,F758,0)/100)^5*(1+(IF(Skills!A7="CHAIN_LIGHTNING",Inputs!$B$16,Inputs!$B$17))/100)*(B761*I742)</f>
        <v/>
      </c>
      <c r="L742">
        <f>K742*(MIN(Inputs!$B$21+(F753-Calc!F18),Inputs!$B$22)/100+Inputs!$B$22/100)/2</f>
        <v/>
      </c>
      <c r="M742">
        <f>L742*(1+(Inputs!$B$9+(F756-Calc!F21))/100)</f>
        <v/>
      </c>
      <c r="N742">
        <f>L742*(1-MIN(Inputs!$B$8+((F755-Calc!F20)+(F754-Calc!F19)),100)/100)+M742*(MIN(Inputs!$B$8+((F755-Calc!F20)+(F754-Calc!F19)),100)/100)</f>
        <v/>
      </c>
      <c r="O742">
        <f>IF(C742,H742*N742*IF(AND(Inputs!$B$4&lt;&gt;"pvp",Inputs!$B$35&gt;0),((Skills!F7*((S742-1)*IF(Skills!G7&gt;0,Skills!H7/Skills!G7,1)+IF(Skills!G7&gt;0,MIN(Skills!H7,MAX(0,Inputs!$B$35-((S742-1)*IF(Inputs!$B$4="pvp",15,MAX(0.1,Skills!D7-IF(Skills!E7=TRUE,Inputs!$B$31,0))))))/Skills!G7,1)))/Inputs!$B$35),G742*V742)*IF(Inputs!$B$4="pvp",1,(1-Summary!$B$51)*(1)+Summary!$B$51*(MIN(Skills!Q7,Inputs!$B$37))),0)</f>
        <v/>
      </c>
      <c r="P742">
        <f>IF(B769=0,0,O742/B769)</f>
        <v/>
      </c>
      <c r="S742">
        <f>IF(AND(Inputs!$B$4&lt;&gt;"pvp",Inputs!$B$35&gt;0),(INT(Inputs!$B$35/IF(Inputs!$B$4="pvp",15,MAX(0.1,Skills!D7-IF(Skills!E7=TRUE,Inputs!$B$31,0))))+1),0)</f>
        <v/>
      </c>
      <c r="V742">
        <f>IFERROR(1/IF(Inputs!$B$4="pvp",15,MAX(0.1,Skills!D7-IF(Skills!E7=TRUE,Inputs!$B$31,0))),0)</f>
        <v/>
      </c>
    </row>
    <row r="743">
      <c r="A743">
        <f>Skills!A8</f>
        <v/>
      </c>
      <c r="B743">
        <f>Skills!B8</f>
        <v/>
      </c>
      <c r="C743">
        <f>Inputs!$B$3&gt;=103</f>
        <v/>
      </c>
      <c r="D743">
        <f>IF(Skills!C8=1,60+Inputs!$B$24+(Inputs!$B$28+1),IF(Skills!C8=2,90+Inputs!$B$25+(Inputs!$B$28+1),IF(Skills!C8=3,120+Inputs!$B$26+(Inputs!$B$28+1),MAX(0,(Inputs!$B$3-100)*3)+Inputs!$B$27+(Inputs!$B$28+1))))</f>
        <v/>
      </c>
      <c r="E743">
        <f>INDEX(FactorTable!$B$2:$Y$301, MATCH(ROUND(MIN(300,MAX(1,D743)),0), FactorTable!$A$2:$A$301,0), Skills!L8+1)</f>
        <v/>
      </c>
      <c r="F743">
        <f>IF(Skills!M8=TRUE,(Skills!K8/10)*(E743/1000),Skills!K8/10)+Skills!N8</f>
        <v/>
      </c>
      <c r="G743">
        <f>Calc!G8</f>
        <v/>
      </c>
      <c r="H743">
        <f>Calc!H8</f>
        <v/>
      </c>
      <c r="I743">
        <f>IF(Skills!T8&lt;&gt;"",1+(Skills!T8/10)*(R738/1000)/100,1)</f>
        <v/>
      </c>
      <c r="J743">
        <f>((Inputs!$B$5*(1+Inputs!$B$6/100))+((Inputs!$B$11*(1+Inputs!$B$12/100))-(Inputs!$B$11*(1+Inputs!$B$12/100)))*(1+Inputs!$B$6/100))*(F743/100)</f>
        <v/>
      </c>
      <c r="K743">
        <f>J743*(1+((Inputs!$B$11*(1+Inputs!$B$12/100))*0.01+Inputs!$B$13*0.0025)/100)*(1+(Inputs!$B$14+B763)/100)*(1+IF(Inputs!$B$4="pvp",0,(1-Summary!$B$51)*(Inputs!$B$19+Skills!O8+B762)+Summary!$B$51*(Inputs!$B$20+Skills!P8+B762))/100)*(1+Inputs!$B$15/100)*(5000/(6000+Inputs!$B$7*(1-Inputs!$B$18/100)))*(1+Inputs!$B$23/100)*(1+IF(C750=TRUE,F750,0)/100)*(1+IF(C758=TRUE,F758,0)/100)^5*(1+(IF(Skills!A8="CHAIN_LIGHTNING",Inputs!$B$16,Inputs!$B$17))/100)*(B761*I743)</f>
        <v/>
      </c>
      <c r="L743">
        <f>K743*(MIN(Inputs!$B$21+(F753-Calc!F18),Inputs!$B$22)/100+Inputs!$B$22/100)/2</f>
        <v/>
      </c>
      <c r="M743">
        <f>L743*(1+(Inputs!$B$9+(F756-Calc!F21))/100)</f>
        <v/>
      </c>
      <c r="N743">
        <f>L743*(1-MIN(Inputs!$B$8+((F755-Calc!F20)+(F754-Calc!F19)),100)/100)+M743*(MIN(Inputs!$B$8+((F755-Calc!F20)+(F754-Calc!F19)),100)/100)</f>
        <v/>
      </c>
      <c r="O743">
        <f>IF(C743,H743*N743*IF(AND(Inputs!$B$4&lt;&gt;"pvp",Inputs!$B$35&gt;0),((Skills!F8*((S743-1)*IF(Skills!G8&gt;0,Skills!H8/Skills!G8,1)+IF(Skills!G8&gt;0,MIN(Skills!H8,MAX(0,Inputs!$B$35-((S743-1)*IF(Inputs!$B$4="pvp",15,MAX(0.1,Skills!D8-IF(Skills!E8=TRUE,Inputs!$B$31,0))))))/Skills!G8,1)))/Inputs!$B$35),G743*V743)*IF(Inputs!$B$4="pvp",1,(1-Summary!$B$51)*(1)+Summary!$B$51*(MIN(Skills!Q8,Inputs!$B$37))),0)</f>
        <v/>
      </c>
      <c r="P743">
        <f>IF(B769=0,0,O743/B769)</f>
        <v/>
      </c>
      <c r="S743">
        <f>IF(AND(Inputs!$B$4&lt;&gt;"pvp",Inputs!$B$35&gt;0),(INT(Inputs!$B$35/IF(Inputs!$B$4="pvp",15,MAX(0.1,Skills!D8-IF(Skills!E8=TRUE,Inputs!$B$31,0))))+1),0)</f>
        <v/>
      </c>
      <c r="V743">
        <f>IFERROR(1/IF(Inputs!$B$4="pvp",15,MAX(0.1,Skills!D8-IF(Skills!E8=TRUE,Inputs!$B$31,0))),0)</f>
        <v/>
      </c>
    </row>
    <row r="744">
      <c r="A744">
        <f>Skills!A9</f>
        <v/>
      </c>
      <c r="B744">
        <f>Skills!B9</f>
        <v/>
      </c>
      <c r="C744">
        <f>Inputs!$B$3&gt;=105</f>
        <v/>
      </c>
      <c r="D744">
        <f>IF(Skills!C9=1,60+Inputs!$B$24+(Inputs!$B$28+1),IF(Skills!C9=2,90+Inputs!$B$25+(Inputs!$B$28+1),IF(Skills!C9=3,120+Inputs!$B$26+(Inputs!$B$28+1),MAX(0,(Inputs!$B$3-100)*3)+Inputs!$B$27+(Inputs!$B$28+1))))</f>
        <v/>
      </c>
      <c r="E744">
        <f>INDEX(FactorTable!$B$2:$Y$301, MATCH(ROUND(MIN(300,MAX(1,D744)),0), FactorTable!$A$2:$A$301,0), Skills!L9+1)</f>
        <v/>
      </c>
      <c r="F744">
        <f>IF(Skills!M9=TRUE,(Skills!K9/10)*(E744/1000),Skills!K9/10)+Skills!N9</f>
        <v/>
      </c>
      <c r="G744">
        <f>Calc!G9</f>
        <v/>
      </c>
      <c r="H744">
        <f>Calc!H9</f>
        <v/>
      </c>
      <c r="I744">
        <f>IF(Skills!T9&lt;&gt;"",1+(Skills!T9/10)*(R738/1000)/100,1)</f>
        <v/>
      </c>
      <c r="J744">
        <f>((Inputs!$B$5*(1+Inputs!$B$6/100))+((Inputs!$B$11*(1+Inputs!$B$12/100))-(Inputs!$B$11*(1+Inputs!$B$12/100)))*(1+Inputs!$B$6/100))*(F744/100)</f>
        <v/>
      </c>
      <c r="K744">
        <f>J744*(1+((Inputs!$B$11*(1+Inputs!$B$12/100))*0.01+Inputs!$B$13*0.0025)/100)*(1+(Inputs!$B$14+B763)/100)*(1+IF(Inputs!$B$4="pvp",0,(1-Summary!$B$51)*(Inputs!$B$19+Skills!O9+B762)+Summary!$B$51*(Inputs!$B$20+Skills!P9+B762))/100)*(1+Inputs!$B$15/100)*(5000/(6000+Inputs!$B$7*(1-Inputs!$B$18/100)))*(1+Inputs!$B$23/100)*(1+IF(C750=TRUE,F750,0)/100)*(1+IF(C758=TRUE,F758,0)/100)^5*(1+(IF(Skills!A9="CHAIN_LIGHTNING",Inputs!$B$16,Inputs!$B$17))/100)*(B761*I744)</f>
        <v/>
      </c>
      <c r="L744">
        <f>K744*(MIN(Inputs!$B$21+(F753-Calc!F18),Inputs!$B$22)/100+Inputs!$B$22/100)/2</f>
        <v/>
      </c>
      <c r="M744">
        <f>L744*(1+(Inputs!$B$9+(F756-Calc!F21))/100)</f>
        <v/>
      </c>
      <c r="N744">
        <f>L744*(1-MIN(Inputs!$B$8+((F755-Calc!F20)+(F754-Calc!F19)),100)/100)+M744*(MIN(Inputs!$B$8+((F755-Calc!F20)+(F754-Calc!F19)),100)/100)</f>
        <v/>
      </c>
      <c r="O744">
        <f>IF(C744,H744*N744*IF(AND(Inputs!$B$4&lt;&gt;"pvp",Inputs!$B$35&gt;0),((Skills!F9*((S744-1)*IF(Skills!G9&gt;0,Skills!H9/Skills!G9,1)+IF(Skills!G9&gt;0,MIN(Skills!H9,MAX(0,Inputs!$B$35-((S744-1)*IF(Inputs!$B$4="pvp",15,MAX(0.1,Skills!D9-IF(Skills!E9=TRUE,Inputs!$B$31,0))))))/Skills!G9,1)))/Inputs!$B$35),G744*V744)*IF(Inputs!$B$4="pvp",1,(1-Summary!$B$51)*(1)+Summary!$B$51*(MIN(Skills!Q9,Inputs!$B$37))),0)</f>
        <v/>
      </c>
      <c r="P744">
        <f>IF(B769=0,0,O744/B769)</f>
        <v/>
      </c>
      <c r="S744">
        <f>IF(AND(Inputs!$B$4&lt;&gt;"pvp",Inputs!$B$35&gt;0),(INT(Inputs!$B$35/IF(Inputs!$B$4="pvp",15,MAX(0.1,Skills!D9-IF(Skills!E9=TRUE,Inputs!$B$31,0))))+1),0)</f>
        <v/>
      </c>
      <c r="V744">
        <f>IFERROR(1/IF(Inputs!$B$4="pvp",15,MAX(0.1,Skills!D9-IF(Skills!E9=TRUE,Inputs!$B$31,0))),0)</f>
        <v/>
      </c>
    </row>
    <row r="745">
      <c r="A745">
        <f>Skills!A10</f>
        <v/>
      </c>
      <c r="B745">
        <f>Skills!B10</f>
        <v/>
      </c>
      <c r="C745">
        <f>Inputs!$B$3&gt;=113</f>
        <v/>
      </c>
      <c r="D745">
        <f>IF(Skills!C10=1,60+Inputs!$B$24+(Inputs!$B$28+1),IF(Skills!C10=2,90+Inputs!$B$25+(Inputs!$B$28+1),IF(Skills!C10=3,120+Inputs!$B$26+(Inputs!$B$28+1),MAX(0,(Inputs!$B$3-100)*3)+Inputs!$B$27+(Inputs!$B$28+1))))</f>
        <v/>
      </c>
      <c r="E745">
        <f>INDEX(FactorTable!$B$2:$Y$301, MATCH(ROUND(MIN(300,MAX(1,D745)),0), FactorTable!$A$2:$A$301,0), Skills!L10+1)</f>
        <v/>
      </c>
      <c r="F745">
        <f>IF(Skills!M10=TRUE,(Skills!K10/10)*(E745/1000),Skills!K10/10)+Skills!N10</f>
        <v/>
      </c>
      <c r="G745">
        <f>Calc!G10</f>
        <v/>
      </c>
      <c r="H745">
        <f>Calc!H10</f>
        <v/>
      </c>
      <c r="I745">
        <f>IF(Skills!T10&lt;&gt;"",1+(Skills!T10/10)*(R738/1000)/100,1)</f>
        <v/>
      </c>
      <c r="J745">
        <f>((Inputs!$B$5*(1+Inputs!$B$6/100))+((Inputs!$B$11*(1+Inputs!$B$12/100))-(Inputs!$B$11*(1+Inputs!$B$12/100)))*(1+Inputs!$B$6/100))*(F745/100)</f>
        <v/>
      </c>
      <c r="K745">
        <f>J745*(1+((Inputs!$B$11*(1+Inputs!$B$12/100))*0.01+Inputs!$B$13*0.0025)/100)*(1+(Inputs!$B$14+B763)/100)*(1+IF(Inputs!$B$4="pvp",0,(1-Summary!$B$51)*(Inputs!$B$19+Skills!O10+B762)+Summary!$B$51*(Inputs!$B$20+Skills!P10+B762))/100)*(1+Inputs!$B$15/100)*(5000/(6000+Inputs!$B$7*(1-Inputs!$B$18/100)))*(1+Inputs!$B$23/100)*(1+IF(C750=TRUE,F750,0)/100)*(1+IF(C758=TRUE,F758,0)/100)^5*(1+(IF(Skills!A10="CHAIN_LIGHTNING",Inputs!$B$16,Inputs!$B$17))/100)*(B761*I745)</f>
        <v/>
      </c>
      <c r="L745">
        <f>K745*(MIN(Inputs!$B$21+(F753-Calc!F18),Inputs!$B$22)/100+Inputs!$B$22/100)/2</f>
        <v/>
      </c>
      <c r="M745">
        <f>L745*(1+(Inputs!$B$9+(F756-Calc!F21))/100)</f>
        <v/>
      </c>
      <c r="N745">
        <f>L745*(1-MIN(Inputs!$B$8+((F755-Calc!F20)+(F754-Calc!F19)),100)/100)+M745*(MIN(Inputs!$B$8+((F755-Calc!F20)+(F754-Calc!F19)),100)/100)</f>
        <v/>
      </c>
      <c r="O745">
        <f>IF(C745,H745*N745*IF(AND(Inputs!$B$4&lt;&gt;"pvp",Inputs!$B$35&gt;0),((Skills!F10*((S745-1)*IF(Skills!G10&gt;0,Skills!H10/Skills!G10,1)+IF(Skills!G10&gt;0,MIN(Skills!H10,MAX(0,Inputs!$B$35-((S745-1)*IF(Inputs!$B$4="pvp",15,MAX(0.1,Skills!D10-IF(Skills!E9=TRUE,Inputs!$B$31,0))))))/Skills!G10,1)))/Inputs!$B$35),G745*V745)*IF(Inputs!$B$4="pvp",1,(1-Summary!$B$51)*(1)+Summary!$B$51*(MIN(Skills!Q10,Inputs!$B$37))),0)</f>
        <v/>
      </c>
      <c r="P745">
        <f>IF(B769=0,0,O745/B769)</f>
        <v/>
      </c>
      <c r="S745">
        <f>IF(AND(Inputs!$B$4&lt;&gt;"pvp",Inputs!$B$35&gt;0),(INT(Inputs!$B$35/IF(Inputs!$B$4="pvp",15,MAX(0.1,Skills!D10-IF(Skills!E9=TRUE,Inputs!$B$31,0))))+1),0)</f>
        <v/>
      </c>
      <c r="V745">
        <f>IFERROR(1/IF(Inputs!$B$4="pvp",15,MAX(0.1,Skills!D10-IF(Skills!E9=TRUE,Inputs!$B$31,0))),0)</f>
        <v/>
      </c>
    </row>
    <row r="746">
      <c r="A746">
        <f>Skills!A11</f>
        <v/>
      </c>
      <c r="B746">
        <f>Skills!B11</f>
        <v/>
      </c>
      <c r="C746">
        <f>Inputs!$B$3&gt;=107</f>
        <v/>
      </c>
      <c r="D746">
        <f>IF(Skills!C11=1,60+Inputs!$B$24+(Inputs!$B$28+1),IF(Skills!C11=2,90+Inputs!$B$25+(Inputs!$B$28+1),IF(Skills!C11=3,120+Inputs!$B$26+(Inputs!$B$28+1),MAX(0,(Inputs!$B$3-100)*3)+Inputs!$B$27+(Inputs!$B$28+1))))</f>
        <v/>
      </c>
      <c r="E746">
        <f>INDEX(FactorTable!$B$2:$Y$301, MATCH(ROUND(MIN(300,MAX(1,D746)),0), FactorTable!$A$2:$A$301,0), Skills!L11+1)</f>
        <v/>
      </c>
      <c r="F746">
        <f>IF(Skills!M11=TRUE,(Skills!K11/10)*(E746/1000),Skills!K11/10)+Skills!N11</f>
        <v/>
      </c>
      <c r="G746">
        <f>Calc!G11</f>
        <v/>
      </c>
      <c r="H746">
        <f>Calc!H11</f>
        <v/>
      </c>
      <c r="I746">
        <f>IF(Skills!T11&lt;&gt;"",1+(Skills!T11/10)*(R738/1000)/100,1)</f>
        <v/>
      </c>
      <c r="J746">
        <f>((Inputs!$B$5*(1+Inputs!$B$6/100))+((Inputs!$B$11*(1+Inputs!$B$12/100))-(Inputs!$B$11*(1+Inputs!$B$12/100)))*(1+Inputs!$B$6/100))*(F746/100)</f>
        <v/>
      </c>
      <c r="K746">
        <f>J746*(1+((Inputs!$B$11*(1+Inputs!$B$12/100))*0.01+Inputs!$B$13*0.0025)/100)*(1+(Inputs!$B$14+B763)/100)*(1+IF(Inputs!$B$4="pvp",0,(1-Summary!$B$51)*(Inputs!$B$19+Skills!O11+B762)+Summary!$B$51*(Inputs!$B$20+Skills!P11+B762))/100)*(1+Inputs!$B$15/100)*(5000/(6000+Inputs!$B$7*(1-Inputs!$B$18/100)))*(1+Inputs!$B$23/100)*(1+IF(C750=TRUE,F750,0)/100)*(1+IF(C758=TRUE,F758,0)/100)^5*(1+(IF(Skills!A11="CHAIN_LIGHTNING",Inputs!$B$16,Inputs!$B$17))/100)*(B761*I746)</f>
        <v/>
      </c>
      <c r="L746">
        <f>K746*(MIN(Inputs!$B$21+(F753-Calc!F18),Inputs!$B$22)/100+Inputs!$B$22/100)/2</f>
        <v/>
      </c>
      <c r="M746">
        <f>L746*(1+(Inputs!$B$9+(F756-Calc!F21))/100)</f>
        <v/>
      </c>
      <c r="N746">
        <f>L746*(1-MIN(Inputs!$B$8+((F755-Calc!F20)+(F754-Calc!F19)),100)/100)+M746*(MIN(Inputs!$B$8+((F755-Calc!F20)+(F754-Calc!F19)),100)/100)</f>
        <v/>
      </c>
      <c r="O746">
        <f>IF(C746,H746*N746*IF(AND(Inputs!$B$4&lt;&gt;"pvp",Inputs!$B$35&gt;0),((Skills!F11*((S746-1)*IF(Skills!G11&gt;0,Skills!H11/Skills!G11,1)+IF(Skills!G11&gt;0,MIN(Skills!H11,MAX(0,Inputs!$B$35-((S746-1)*IF(Inputs!$B$4="pvp",15,MAX(0.1,Skills!D11-IF(Skills!E11=TRUE,Inputs!$B$31,0))))))/Skills!G11,1)))/Inputs!$B$35),G746*V746)*IF(Inputs!$B$4="pvp",0.5,(1-Summary!$B$51)*0.5+Summary!$B$51*1)*IF(Inputs!$B$4="pvp",1,(1-Summary!$B$51)*(1)+Summary!$B$51*(MIN(Skills!Q11,Inputs!$B$37))),0)</f>
        <v/>
      </c>
      <c r="P746">
        <f>IF(B769=0,0,O746/B769)</f>
        <v/>
      </c>
      <c r="S746">
        <f>IF(AND(Inputs!$B$4&lt;&gt;"pvp",Inputs!$B$35&gt;0),(INT(Inputs!$B$35/IF(Inputs!$B$4="pvp",15,MAX(0.1,Skills!D11-IF(Skills!E11=TRUE,Inputs!$B$31,0))))+1),0)</f>
        <v/>
      </c>
      <c r="V746">
        <f>IFERROR(1/IF(Inputs!$B$4="pvp",15,MAX(0.1,Skills!D11-IF(Skills!E11=TRUE,Inputs!$B$31,0))),0)</f>
        <v/>
      </c>
    </row>
    <row r="747">
      <c r="A747">
        <f>Skills!A12</f>
        <v/>
      </c>
      <c r="B747">
        <f>Skills!B12</f>
        <v/>
      </c>
      <c r="C747">
        <f>Inputs!$B$3&gt;=115</f>
        <v/>
      </c>
      <c r="D747">
        <f>IF(Skills!C12=1,60+Inputs!$B$24+(Inputs!$B$28+1),IF(Skills!C12=2,90+Inputs!$B$25+(Inputs!$B$28+1),IF(Skills!C12=3,120+Inputs!$B$26+(Inputs!$B$28+1),MAX(0,(Inputs!$B$3-100)*3)+Inputs!$B$27+(Inputs!$B$28+1))))</f>
        <v/>
      </c>
      <c r="E747">
        <f>INDEX(FactorTable!$B$2:$Y$301, MATCH(ROUND(MIN(300,MAX(1,D747)),0), FactorTable!$A$2:$A$301,0), Skills!L12+1)</f>
        <v/>
      </c>
      <c r="F747">
        <f>IF(Skills!M12=TRUE,(Skills!K12/10)*(E747/1000),Skills!K12/10)+Skills!N12</f>
        <v/>
      </c>
      <c r="G747">
        <f>Calc!G12</f>
        <v/>
      </c>
      <c r="H747">
        <f>Calc!H12</f>
        <v/>
      </c>
      <c r="I747">
        <f>IF(Skills!T12&lt;&gt;"",1+(Skills!T12/10)*(R738/1000)/100,1)</f>
        <v/>
      </c>
      <c r="J747">
        <f>((Inputs!$B$5*(1+Inputs!$B$6/100))+((Inputs!$B$11*(1+Inputs!$B$12/100))-(Inputs!$B$11*(1+Inputs!$B$12/100)))*(1+Inputs!$B$6/100))*(F747/100)</f>
        <v/>
      </c>
      <c r="K747">
        <f>J747*(1+((Inputs!$B$11*(1+Inputs!$B$12/100))*0.01+Inputs!$B$13*0.0025)/100)*(1+(Inputs!$B$14+B763)/100)*(1+IF(Inputs!$B$4="pvp",0,(1-Summary!$B$51)*(Inputs!$B$19+Skills!O12+B762)+Summary!$B$51*(Inputs!$B$20+Skills!P12+B762))/100)*(1+Inputs!$B$15/100)*(5000/(6000+Inputs!$B$7*(1-Inputs!$B$18/100)))*(1+Inputs!$B$23/100)*(1+IF(C750=TRUE,F750,0)/100)*(1+IF(C758=TRUE,F758,0)/100)^5*(1+(IF(Skills!A12="CHAIN_LIGHTNING",Inputs!$B$16,Inputs!$B$17))/100)*(B761*I747)</f>
        <v/>
      </c>
      <c r="L747">
        <f>K747*(MIN(Inputs!$B$21+(F753-Calc!F18),Inputs!$B$22)/100+Inputs!$B$22/100)/2</f>
        <v/>
      </c>
      <c r="M747">
        <f>L747*(1+(Inputs!$B$9+(F756-Calc!F21))/100)</f>
        <v/>
      </c>
      <c r="N747">
        <f>L747*(1-MIN(Inputs!$B$8+((F755-Calc!F20)+(F754-Calc!F19)),100)/100)+M747*(MIN(Inputs!$B$8+((F755-Calc!F20)+(F754-Calc!F19)),100)/100)</f>
        <v/>
      </c>
      <c r="O747">
        <f>IF(C747,H747*N747*IF(AND(Inputs!$B$4&lt;&gt;"pvp",Inputs!$B$35&gt;0),((Skills!F12*((S747-1)*IF(Skills!G12&gt;0,Skills!H12/Skills!G12,1)+IF(Skills!G12&gt;0,MIN(Skills!H12,MAX(0,Inputs!$B$35-((S747-1)*IF(Inputs!$B$4="pvp",15,MAX(0.1,Skills!D12-IF(Skills!E12=TRUE,Inputs!$B$31,0))))))/Skills!G12,1)))/Inputs!$B$35),G747*V747)*IF(Inputs!$B$4="pvp",1,(1-Summary!$B$51)*(1)+Summary!$B$51*(MIN(Skills!Q12,Inputs!$B$37))),0)</f>
        <v/>
      </c>
      <c r="P747">
        <f>IF(B769=0,0,O747/B769)</f>
        <v/>
      </c>
      <c r="S747">
        <f>IF(AND(Inputs!$B$4&lt;&gt;"pvp",Inputs!$B$35&gt;0),(INT(Inputs!$B$35/IF(Inputs!$B$4="pvp",15,MAX(0.1,Skills!D12-IF(Skills!E12=TRUE,Inputs!$B$31,0))))+1),0)</f>
        <v/>
      </c>
      <c r="V747">
        <f>IFERROR(1/IF(Inputs!$B$4="pvp",15,MAX(0.1,Skills!D12-IF(Skills!E12=TRUE,Inputs!$B$31,0))),0)</f>
        <v/>
      </c>
    </row>
    <row r="748">
      <c r="A748">
        <f>Skills!A13</f>
        <v/>
      </c>
      <c r="B748">
        <f>Skills!B13</f>
        <v/>
      </c>
      <c r="C748">
        <f>Inputs!$B$3&gt;=49</f>
        <v/>
      </c>
      <c r="D748">
        <f>IF(Skills!C13=1,60+Inputs!$B$24+(Inputs!$B$28+1),IF(Skills!C13=2,90+Inputs!$B$25+(Inputs!$B$28+1),IF(Skills!C13=3,120+Inputs!$B$26+(Inputs!$B$28+1),MAX(0,(Inputs!$B$3-100)*3)+Inputs!$B$27+(Inputs!$B$28+1))))</f>
        <v/>
      </c>
      <c r="E748">
        <f>INDEX(FactorTable!$B$2:$Y$301, MATCH(ROUND(MIN(300,MAX(1,D748)),0), FactorTable!$A$2:$A$301,0), Skills!L13+1)</f>
        <v/>
      </c>
      <c r="F748">
        <f>IF(Skills!M13=TRUE,(Skills!K13/10)*(E748/1000),Skills!K13/10)+Skills!N13</f>
        <v/>
      </c>
      <c r="G748">
        <f>Calc!G13</f>
        <v/>
      </c>
      <c r="H748">
        <f>Calc!H13</f>
        <v/>
      </c>
      <c r="I748">
        <f>IF(Skills!T13&lt;&gt;"",1+(Skills!T13/10)*(R738/1000)/100,1)</f>
        <v/>
      </c>
      <c r="J748" t="inlineStr"/>
      <c r="K748" t="inlineStr"/>
      <c r="L748" t="inlineStr"/>
      <c r="M748" t="inlineStr"/>
      <c r="N748" t="inlineStr"/>
      <c r="O748" t="n">
        <v>0</v>
      </c>
      <c r="P748">
        <f>IF(B769=0,0,O748/B769)</f>
        <v/>
      </c>
      <c r="S748" t="n">
        <v>0</v>
      </c>
      <c r="V748">
        <f>IFERROR(1/IF(Inputs!$B$4="pvp",15,MAX(0.1,Skills!D13-IF(Skills!E13=TRUE,Inputs!$B$31,0))),0)</f>
        <v/>
      </c>
    </row>
    <row r="749">
      <c r="A749">
        <f>Skills!A14</f>
        <v/>
      </c>
      <c r="B749">
        <f>Skills!B14</f>
        <v/>
      </c>
      <c r="C749">
        <f>Inputs!$B$3&gt;=72</f>
        <v/>
      </c>
      <c r="D749">
        <f>IF(Skills!C14=1,60+Inputs!$B$24+(Inputs!$B$28+1),IF(Skills!C14=2,90+Inputs!$B$25+(Inputs!$B$28+1),IF(Skills!C14=3,120+Inputs!$B$26+(Inputs!$B$28+1),MAX(0,(Inputs!$B$3-100)*3)+Inputs!$B$27+(Inputs!$B$28+1))))</f>
        <v/>
      </c>
      <c r="E749">
        <f>INDEX(FactorTable!$B$2:$Y$301, MATCH(ROUND(MIN(300,MAX(1,D749)),0), FactorTable!$A$2:$A$301,0), Skills!L14+1)</f>
        <v/>
      </c>
      <c r="F749">
        <f>IF(Skills!M14=TRUE,(Skills!K14/10)*(E749/1000),Skills!K14/10)+Skills!N14</f>
        <v/>
      </c>
      <c r="G749">
        <f>Calc!G14</f>
        <v/>
      </c>
      <c r="H749">
        <f>Calc!H14</f>
        <v/>
      </c>
      <c r="I749">
        <f>IF(Skills!T14&lt;&gt;"",1+(Skills!T14/10)*(R738/1000)/100,1)</f>
        <v/>
      </c>
      <c r="J749" t="inlineStr"/>
      <c r="K749" t="inlineStr"/>
      <c r="L749" t="inlineStr"/>
      <c r="M749" t="inlineStr"/>
      <c r="N749" t="inlineStr"/>
      <c r="O749" t="n">
        <v>0</v>
      </c>
      <c r="P749">
        <f>IF(B769=0,0,O749/B769)</f>
        <v/>
      </c>
      <c r="S749" t="n">
        <v>0</v>
      </c>
      <c r="V749">
        <f>IFERROR(1/IF(Inputs!$B$4="pvp",15,MAX(0.1,Skills!D14-IF(Skills!E14=TRUE,Inputs!$B$31,0))),0)</f>
        <v/>
      </c>
    </row>
    <row r="750">
      <c r="A750">
        <f>Skills!A15</f>
        <v/>
      </c>
      <c r="B750">
        <f>Skills!B15</f>
        <v/>
      </c>
      <c r="C750">
        <f>Inputs!$B$3&gt;=75</f>
        <v/>
      </c>
      <c r="D750">
        <f>IF(Skills!C15=1,60+Inputs!$B$24+(Inputs!$B$28+1),IF(Skills!C15=2,90+Inputs!$B$25+(Inputs!$B$28+1),IF(Skills!C15=3,120+Inputs!$B$26+(Inputs!$B$28+1),MAX(0,(Inputs!$B$3-100)*3)+Inputs!$B$27+(Inputs!$B$28+1))))</f>
        <v/>
      </c>
      <c r="E750">
        <f>INDEX(FactorTable!$B$2:$Y$301, MATCH(ROUND(MIN(300,MAX(1,D750)),0), FactorTable!$A$2:$A$301,0), Skills!L15+1)</f>
        <v/>
      </c>
      <c r="F750">
        <f>IF(Skills!M15=TRUE,(Skills!K15/10)*(E750/1000),Skills!K15/10)+Skills!N15</f>
        <v/>
      </c>
      <c r="G750">
        <f>Calc!G15</f>
        <v/>
      </c>
      <c r="H750">
        <f>Calc!H15</f>
        <v/>
      </c>
      <c r="I750">
        <f>IF(Skills!T15&lt;&gt;"",1+(Skills!T15/10)*(R738/1000)/100,1)</f>
        <v/>
      </c>
      <c r="J750" t="inlineStr"/>
      <c r="K750" t="inlineStr"/>
      <c r="L750" t="inlineStr"/>
      <c r="M750" t="inlineStr"/>
      <c r="N750" t="inlineStr"/>
      <c r="O750" t="n">
        <v>0</v>
      </c>
      <c r="P750">
        <f>IF(B769=0,0,O750/B769)</f>
        <v/>
      </c>
      <c r="S750" t="n">
        <v>0</v>
      </c>
      <c r="V750">
        <f>IFERROR(1/IF(Inputs!$B$4="pvp",15,MAX(0.1,Skills!D15-IF(Skills!E15=TRUE,Inputs!$B$31,0))),0)</f>
        <v/>
      </c>
    </row>
    <row r="751">
      <c r="A751">
        <f>Skills!A16</f>
        <v/>
      </c>
      <c r="B751">
        <f>Skills!B16</f>
        <v/>
      </c>
      <c r="C751">
        <f>Inputs!$B$3&gt;=110</f>
        <v/>
      </c>
      <c r="D751">
        <f>IF(Skills!C16=1,60+Inputs!$B$24+(Inputs!$B$28+1),IF(Skills!C16=2,90+Inputs!$B$25+(Inputs!$B$28+1),IF(Skills!C16=3,120+Inputs!$B$26+(Inputs!$B$28+1),MAX(0,(Inputs!$B$3-100)*3)+Inputs!$B$27+(Inputs!$B$28+1))))</f>
        <v/>
      </c>
      <c r="E751">
        <f>INDEX(FactorTable!$B$2:$Y$301, MATCH(ROUND(MIN(300,MAX(1,D751)),0), FactorTable!$A$2:$A$301,0), Skills!L16+1)</f>
        <v/>
      </c>
      <c r="F751">
        <f>(Skills!K16/10)*(E751/1000)*64/45+Skills!N16</f>
        <v/>
      </c>
      <c r="G751">
        <f>Calc!G16</f>
        <v/>
      </c>
      <c r="H751">
        <f>Calc!H16</f>
        <v/>
      </c>
      <c r="I751">
        <f>IF(Skills!T16&lt;&gt;"",1+(Skills!T16/10)*(R738/1000)/100,1)</f>
        <v/>
      </c>
      <c r="J751" t="inlineStr"/>
      <c r="K751" t="inlineStr"/>
      <c r="L751" t="inlineStr"/>
      <c r="M751" t="inlineStr"/>
      <c r="N751" t="inlineStr"/>
      <c r="O751" t="n">
        <v>0</v>
      </c>
      <c r="P751">
        <f>IF(B769=0,0,O751/B769)</f>
        <v/>
      </c>
      <c r="S751">
        <f>IF(AND(Inputs!$B$4&lt;&gt;"pvp",Inputs!$B$35&gt;0),(INT(Inputs!$B$35/IF(Inputs!$B$4="pvp",15,MAX(0.1,Skills!D16-IF(Skills!E16=TRUE,Inputs!$B$31,0))))+1),0)</f>
        <v/>
      </c>
      <c r="V751">
        <f>IFERROR(1/IF(Inputs!$B$4="pvp",15,MAX(0.1,Skills!D16-IF(Skills!E16=TRUE,Inputs!$B$31,0))),0)</f>
        <v/>
      </c>
    </row>
    <row r="752">
      <c r="A752">
        <f>Skills!A17</f>
        <v/>
      </c>
      <c r="B752">
        <f>Skills!B17</f>
        <v/>
      </c>
      <c r="C752">
        <f>Inputs!$B$3&gt;=33</f>
        <v/>
      </c>
      <c r="D752">
        <f>IF(Skills!C17=1,60+Inputs!$B$24+(Inputs!$B$28+1),IF(Skills!C17=2,90+Inputs!$B$25+(Inputs!$B$28+1),IF(Skills!C17=3,120+Inputs!$B$26+(Inputs!$B$28+1),MAX(0,(Inputs!$B$3-100)*3)+Inputs!$B$27+(Inputs!$B$28+1))))</f>
        <v/>
      </c>
      <c r="E752">
        <f>INDEX(FactorTable!$B$2:$Y$301, MATCH(ROUND(MIN(300,MAX(1,D752)),0), FactorTable!$A$2:$A$301,0), Skills!L17+1)</f>
        <v/>
      </c>
      <c r="F752">
        <f>IF(Skills!M17=TRUE,(Skills!K17/10)*(E752/1000),Skills!K17/10)+Skills!N17</f>
        <v/>
      </c>
      <c r="G752">
        <f>Calc!G17</f>
        <v/>
      </c>
      <c r="H752">
        <f>Calc!H17</f>
        <v/>
      </c>
      <c r="I752">
        <f>IF(Skills!T17&lt;&gt;"",1+(Skills!T17/10)*(R738/1000)/100,1)</f>
        <v/>
      </c>
      <c r="J752" t="inlineStr"/>
      <c r="K752" t="inlineStr"/>
      <c r="L752" t="inlineStr"/>
      <c r="M752" t="inlineStr"/>
      <c r="N752" t="inlineStr"/>
      <c r="O752" t="n">
        <v>0</v>
      </c>
      <c r="P752">
        <f>IF(B769=0,0,O752/B769)</f>
        <v/>
      </c>
      <c r="S752" t="n">
        <v>0</v>
      </c>
      <c r="V752">
        <f>IFERROR(1/IF(Inputs!$B$4="pvp",15,MAX(0.1,Skills!D17-IF(Skills!E17=TRUE,Inputs!$B$31,0))),0)</f>
        <v/>
      </c>
    </row>
    <row r="753">
      <c r="A753">
        <f>Skills!A18</f>
        <v/>
      </c>
      <c r="B753">
        <f>Skills!B18</f>
        <v/>
      </c>
      <c r="C753">
        <f>Inputs!$B$3&gt;=43</f>
        <v/>
      </c>
      <c r="D753">
        <f>IF(Skills!C18=1,60+Inputs!$B$24+(Inputs!$B$28+1),IF(Skills!C18=2,90+Inputs!$B$25+(Inputs!$B$28+1),IF(Skills!C18=3,120+Inputs!$B$26+(Inputs!$B$28+1),MAX(0,(Inputs!$B$3-100)*3)+Inputs!$B$27+(Inputs!$B$28+1))))</f>
        <v/>
      </c>
      <c r="E753">
        <f>INDEX(FactorTable!$B$2:$Y$301, MATCH(ROUND(MIN(300,MAX(1,D753)),0), FactorTable!$A$2:$A$301,0), Skills!L18+1)</f>
        <v/>
      </c>
      <c r="F753">
        <f>IF(Skills!M18=TRUE,(Skills!K18/10)*(E753/1000),Skills!K18/10)+Skills!N18</f>
        <v/>
      </c>
      <c r="G753">
        <f>Calc!G18</f>
        <v/>
      </c>
      <c r="H753">
        <f>Calc!H18</f>
        <v/>
      </c>
      <c r="I753">
        <f>IF(Skills!T18&lt;&gt;"",1+(Skills!T18/10)*(R738/1000)/100,1)</f>
        <v/>
      </c>
      <c r="J753" t="inlineStr"/>
      <c r="K753" t="inlineStr"/>
      <c r="L753" t="inlineStr"/>
      <c r="M753" t="inlineStr"/>
      <c r="N753" t="inlineStr"/>
      <c r="O753" t="n">
        <v>0</v>
      </c>
      <c r="P753">
        <f>IF(B769=0,0,O753/B769)</f>
        <v/>
      </c>
      <c r="S753" t="n">
        <v>0</v>
      </c>
      <c r="V753">
        <f>IFERROR(1/IF(Inputs!$B$4="pvp",15,MAX(0.1,Skills!D18-IF(Skills!E18=TRUE,Inputs!$B$31,0))),0)</f>
        <v/>
      </c>
    </row>
    <row r="754">
      <c r="A754">
        <f>Skills!A19</f>
        <v/>
      </c>
      <c r="B754">
        <f>Skills!B19</f>
        <v/>
      </c>
      <c r="C754">
        <f>Inputs!$B$3&gt;=50</f>
        <v/>
      </c>
      <c r="D754">
        <f>IF(Skills!C19=1,60+Inputs!$B$24+(Inputs!$B$28+1),IF(Skills!C19=2,90+Inputs!$B$25+(Inputs!$B$28+1),IF(Skills!C19=3,120+Inputs!$B$26+(Inputs!$B$28+1),MAX(0,(Inputs!$B$3-100)*3)+Inputs!$B$27+(Inputs!$B$28+1))))</f>
        <v/>
      </c>
      <c r="E754">
        <f>INDEX(FactorTable!$B$2:$Y$301, MATCH(ROUND(MIN(300,MAX(1,D754)),0), FactorTable!$A$2:$A$301,0), Skills!L19+1)</f>
        <v/>
      </c>
      <c r="F754">
        <f>IF(Skills!M19=TRUE,(Skills!K19/10)*(E754/1000),Skills!K19/10)+Skills!N19</f>
        <v/>
      </c>
      <c r="G754">
        <f>Calc!G19</f>
        <v/>
      </c>
      <c r="H754">
        <f>Calc!H19</f>
        <v/>
      </c>
      <c r="I754">
        <f>IF(Skills!T19&lt;&gt;"",1+(Skills!T19/10)*(R738/1000)/100,1)</f>
        <v/>
      </c>
      <c r="J754" t="inlineStr"/>
      <c r="K754" t="inlineStr"/>
      <c r="L754" t="inlineStr"/>
      <c r="M754" t="inlineStr"/>
      <c r="N754" t="inlineStr"/>
      <c r="O754" t="n">
        <v>0</v>
      </c>
      <c r="P754">
        <f>IF(B769=0,0,O754/B769)</f>
        <v/>
      </c>
      <c r="S754" t="n">
        <v>0</v>
      </c>
      <c r="V754">
        <f>IFERROR(1/IF(Inputs!$B$4="pvp",15,MAX(0.1,Skills!D19-IF(Skills!E19=TRUE,Inputs!$B$31,0))),0)</f>
        <v/>
      </c>
    </row>
    <row r="755">
      <c r="A755">
        <f>Skills!A20</f>
        <v/>
      </c>
      <c r="B755">
        <f>Skills!B20</f>
        <v/>
      </c>
      <c r="C755">
        <f>Inputs!$B$3&gt;=74</f>
        <v/>
      </c>
      <c r="D755">
        <f>IF(Skills!C20=1,60+Inputs!$B$24+(Inputs!$B$28+1),IF(Skills!C20=2,90+Inputs!$B$25+(Inputs!$B$28+1),IF(Skills!C20=3,120+Inputs!$B$26+(Inputs!$B$28+1),MAX(0,(Inputs!$B$3-100)*3)+Inputs!$B$27+(Inputs!$B$28+1))))</f>
        <v/>
      </c>
      <c r="E755">
        <f>INDEX(FactorTable!$B$2:$Y$301, MATCH(ROUND(MIN(300,MAX(1,D755)),0), FactorTable!$A$2:$A$301,0), Skills!L20+1)</f>
        <v/>
      </c>
      <c r="F755">
        <f>IF(Skills!M20=TRUE,(Skills!K20/10)*(E755/1000),Skills!K20/10)+Skills!N20</f>
        <v/>
      </c>
      <c r="G755">
        <f>Calc!G20</f>
        <v/>
      </c>
      <c r="H755">
        <f>Calc!H20</f>
        <v/>
      </c>
      <c r="I755">
        <f>IF(Skills!T20&lt;&gt;"",1+(Skills!T20/10)*(R738/1000)/100,1)</f>
        <v/>
      </c>
      <c r="J755" t="inlineStr"/>
      <c r="K755" t="inlineStr"/>
      <c r="L755" t="inlineStr"/>
      <c r="M755" t="inlineStr"/>
      <c r="N755" t="inlineStr"/>
      <c r="O755" t="n">
        <v>0</v>
      </c>
      <c r="P755">
        <f>IF(B769=0,0,O755/B769)</f>
        <v/>
      </c>
      <c r="S755" t="n">
        <v>0</v>
      </c>
      <c r="V755">
        <f>IFERROR(1/IF(Inputs!$B$4="pvp",15,MAX(0.1,Skills!D20-IF(Skills!E20=TRUE,Inputs!$B$31,0))),0)</f>
        <v/>
      </c>
    </row>
    <row r="756">
      <c r="A756">
        <f>Skills!A21</f>
        <v/>
      </c>
      <c r="B756">
        <f>Skills!B21</f>
        <v/>
      </c>
      <c r="C756">
        <f>Inputs!$B$3&gt;=74</f>
        <v/>
      </c>
      <c r="D756">
        <f>IF(Skills!C21=1,60+Inputs!$B$24+(Inputs!$B$28+1),IF(Skills!C21=2,90+Inputs!$B$25+(Inputs!$B$28+1),IF(Skills!C21=3,120+Inputs!$B$26+(Inputs!$B$28+1),MAX(0,(Inputs!$B$3-100)*3)+Inputs!$B$27+(Inputs!$B$28+1))))</f>
        <v/>
      </c>
      <c r="E756">
        <f>INDEX(FactorTable!$B$2:$Y$301, MATCH(ROUND(MIN(300,MAX(1,D756)),0), FactorTable!$A$2:$A$301,0), Skills!L21+1)</f>
        <v/>
      </c>
      <c r="F756">
        <f>IF(Skills!M21=TRUE,(Skills!K21/10)*(E756/1000),Skills!K21/10)+Skills!N21</f>
        <v/>
      </c>
      <c r="G756">
        <f>Calc!G21</f>
        <v/>
      </c>
      <c r="H756">
        <f>Calc!H21</f>
        <v/>
      </c>
      <c r="I756">
        <f>IF(Skills!T21&lt;&gt;"",1+(Skills!T21/10)*(R738/1000)/100,1)</f>
        <v/>
      </c>
      <c r="J756" t="inlineStr"/>
      <c r="K756" t="inlineStr"/>
      <c r="L756" t="inlineStr"/>
      <c r="M756" t="inlineStr"/>
      <c r="N756" t="inlineStr"/>
      <c r="O756" t="n">
        <v>0</v>
      </c>
      <c r="P756">
        <f>IF(B769=0,0,O756/B769)</f>
        <v/>
      </c>
      <c r="S756" t="n">
        <v>0</v>
      </c>
      <c r="V756">
        <f>IFERROR(1/IF(Inputs!$B$4="pvp",15,MAX(0.1,Skills!D21-IF(Skills!E21=TRUE,Inputs!$B$31,0))),0)</f>
        <v/>
      </c>
    </row>
    <row r="757">
      <c r="A757">
        <f>Skills!A22</f>
        <v/>
      </c>
      <c r="B757">
        <f>Skills!B22</f>
        <v/>
      </c>
      <c r="C757">
        <f>Inputs!$B$3&gt;=117</f>
        <v/>
      </c>
      <c r="D757">
        <f>IF(Skills!C22=1,60+Inputs!$B$24+(Inputs!$B$28+1),IF(Skills!C22=2,90+Inputs!$B$25+(Inputs!$B$28+1),IF(Skills!C22=3,120+Inputs!$B$26+(Inputs!$B$28+1),MAX(0,(Inputs!$B$3-100)*3)+Inputs!$B$27+(Inputs!$B$28+1))))</f>
        <v/>
      </c>
      <c r="E757">
        <f>INDEX(FactorTable!$B$2:$Y$301, MATCH(ROUND(MIN(300,MAX(1,D757)),0), FactorTable!$A$2:$A$301,0), Skills!L22+1)</f>
        <v/>
      </c>
      <c r="F757">
        <f>IF(Skills!M22=TRUE,(Skills!K22/10)*(E757/1000),Skills!K22/10)+Skills!N22</f>
        <v/>
      </c>
      <c r="G757">
        <f>Calc!G22</f>
        <v/>
      </c>
      <c r="H757">
        <f>Calc!H22</f>
        <v/>
      </c>
      <c r="I757">
        <f>IF(Skills!T22&lt;&gt;"",1+(Skills!T22/10)*(R738/1000)/100,1)</f>
        <v/>
      </c>
      <c r="J757" t="inlineStr"/>
      <c r="K757" t="inlineStr"/>
      <c r="L757" t="inlineStr"/>
      <c r="M757" t="inlineStr"/>
      <c r="N757" t="inlineStr"/>
      <c r="O757" t="n">
        <v>0</v>
      </c>
      <c r="P757">
        <f>IF(B769=0,0,O757/B769)</f>
        <v/>
      </c>
      <c r="S757" t="n">
        <v>0</v>
      </c>
      <c r="V757">
        <f>IFERROR(1/IF(Inputs!$B$4="pvp",15,MAX(0.1,Skills!D22-IF(Skills!E22=TRUE,Inputs!$B$31,0))),0)</f>
        <v/>
      </c>
    </row>
    <row r="758">
      <c r="A758">
        <f>Skills!A23</f>
        <v/>
      </c>
      <c r="B758">
        <f>Skills!B23</f>
        <v/>
      </c>
      <c r="C758">
        <f>Inputs!$B$3&gt;=120</f>
        <v/>
      </c>
      <c r="D758">
        <f>IF(Skills!C23=1,60+Inputs!$B$24+(Inputs!$B$28+1),IF(Skills!C23=2,90+Inputs!$B$25+(Inputs!$B$28+1),IF(Skills!C23=3,120+Inputs!$B$26+(Inputs!$B$28+1),MAX(0,(Inputs!$B$3-100)*3)+Inputs!$B$27+(Inputs!$B$28+1))))</f>
        <v/>
      </c>
      <c r="E758">
        <f>INDEX(FactorTable!$B$2:$Y$301, MATCH(ROUND(MIN(300,MAX(1,D758)),0), FactorTable!$A$2:$A$301,0), Skills!L23+1)</f>
        <v/>
      </c>
      <c r="F758">
        <f>IF(Skills!M23=TRUE,(Skills!K23/10)*(E758/1000),Skills!K23/10)+Skills!N23</f>
        <v/>
      </c>
      <c r="G758">
        <f>Calc!G23</f>
        <v/>
      </c>
      <c r="H758">
        <f>Calc!H23</f>
        <v/>
      </c>
      <c r="I758">
        <f>IF(Skills!T23&lt;&gt;"",1+(Skills!T23/10)*(R738/1000)/100,1)</f>
        <v/>
      </c>
      <c r="J758" t="inlineStr"/>
      <c r="K758" t="inlineStr"/>
      <c r="L758" t="inlineStr"/>
      <c r="M758" t="inlineStr"/>
      <c r="N758" t="inlineStr"/>
      <c r="O758" t="n">
        <v>0</v>
      </c>
      <c r="P758">
        <f>IF(B769=0,0,O758/B769)</f>
        <v/>
      </c>
      <c r="S758" t="n">
        <v>0</v>
      </c>
      <c r="V758">
        <f>IFERROR(1/IF(Inputs!$B$4="pvp",15,MAX(0.1,Skills!D23-IF(Skills!E23=TRUE,Inputs!$B$31,0))),0)</f>
        <v/>
      </c>
    </row>
    <row r="761">
      <c r="A761" t="inlineStr">
        <is>
          <t>Average Buff Multiplier (Magic Guard + Meditation, summed; then Infinity)</t>
        </is>
      </c>
      <c r="B761">
        <f>(1+(IF(C738=TRUE,F738*IF(AND(Inputs!$B$4&lt;&gt;"pvp",Inputs!$B$35&gt;0),(((S738-1)*(Skills!S3*(1+(Inputs!$B$33+IF(Inputs!$B$3&gt;=117,F757,0))/100))+MIN((Skills!S3*(1+(Inputs!$B$33+IF(Inputs!$B$3&gt;=117,F757,0))/100)),MAX(0,Inputs!$B$35-((S738-1)*Skills!D3))))/Inputs!$B$35),IF(Inputs!$B$4="pvp",MIN((Skills!S3*(1+(Inputs!$B$33+IF(Inputs!$B$3&gt;=117,F757,0))/100)),15)/15,(Skills!S3*(1+(Inputs!$B$33+IF(Inputs!$B$3&gt;=117,F757,0))/100))/Skills!D3)),0)+IF(C739=TRUE,F739*IF(AND(Inputs!$B$4&lt;&gt;"pvp",Inputs!$B$35&gt;0),(((S739-1)*(Skills!S4*(1+(Inputs!$B$33+IF(Inputs!$B$3&gt;=117,F757,0))/100))+MIN((Skills!S4*(1+(Inputs!$B$33+IF(Inputs!$B$3&gt;=117,F757,0))/100)),MAX(0,Inputs!$B$35-((S739-1)*Skills!D4))))/Inputs!$B$35),IF(Inputs!$B$4="pvp",MIN((Skills!S4*(1+(Inputs!$B$33+IF(Inputs!$B$3&gt;=117,F757,0))/100)),15)/15,(Skills!S4*(1+(Inputs!$B$33+IF(Inputs!$B$3&gt;=117,F757,0))/100))/Skills!D4)),0))/100)*IF(C751=TRUE,(1+F751*IF(AND(Inputs!$B$4&lt;&gt;"pvp",Inputs!$B$35&gt;0),(((S751-1)*(Skills!S16*(1+(Inputs!$B$33+IF(Inputs!$B$3&gt;=117,F757,0))/100))+MIN((Skills!S16*(1+(Inputs!$B$33+IF(Inputs!$B$3&gt;=117,F757,0))/100)),MAX(0,Inputs!$B$35-((S751-1)*Skills!D16))))/Inputs!$B$35),IF(Inputs!$B$4="pvp",MIN((Skills!S16*(1+(Inputs!$B$33+IF(Inputs!$B$3&gt;=117,F757,0))/100)),15)/15,(Skills!S16*(1+(Inputs!$B$33+IF(Inputs!$B$3&gt;=117,F757,0))/100))/Skills!D16))/100),1)</f>
        <v/>
      </c>
    </row>
    <row r="762">
      <c r="A762" t="inlineStr">
        <is>
          <t>Monster Damage Taken Bonus % (Freezing Breath - Weaken + Elemental Reset, summed)</t>
        </is>
      </c>
      <c r="B762">
        <f>IF(Inputs!$B$3&gt;=118,15*IF(Inputs!$B$4="pvp",MIN((30*(1+(Inputs!$B$33+IF(Inputs!$B$3&gt;=117,F757,0))/100)),15)/15,(30*(1+(Inputs!$B$33+IF(Inputs!$B$3&gt;=117,F757,0))/100))/Skills!D8),0)+IF(C749=TRUE,F749,0)</f>
        <v/>
      </c>
    </row>
    <row r="763">
      <c r="A763" t="inlineStr">
        <is>
          <t>Damage % Bonus (Frozen Break + Frost Clutch, flat)</t>
        </is>
      </c>
      <c r="B763">
        <f>IF(Inputs!$B$3&gt;=66,15,0)+IF(Inputs!$B$3&gt;=98,10,0)+IF(Inputs!$B$3&gt;=125,20,0)</f>
        <v/>
      </c>
    </row>
    <row r="764">
      <c r="A764" t="inlineStr">
        <is>
          <t>Attack Speed Bonus % (MP Eater - MP Boost, always-on once unlocked)</t>
        </is>
      </c>
      <c r="B764">
        <f>IF(C748=TRUE,F748+(F752-Calc!F17),0)</f>
        <v/>
      </c>
    </row>
    <row r="765">
      <c r="A765" t="inlineStr">
        <is>
          <t>Actions Per Second</t>
        </is>
      </c>
      <c r="B765">
        <f>1+MIN(150,150*(1-(1-Inputs!$B$10/150)*(1-B764/150)))/100</f>
        <v/>
      </c>
    </row>
    <row r="766">
      <c r="A766" t="inlineStr">
        <is>
          <t>Skill + Buff Cast Rate</t>
        </is>
      </c>
      <c r="B766">
        <f>IF(AND(Inputs!$B$4&lt;&gt;"pvp",Inputs!$B$35&gt;0),SUMPRODUCT((Skills!E2:E23=TRUE)*(C737:C758=TRUE)*S737:S758)/Inputs!$B$35,SUMPRODUCT((Skills!E2:E23=TRUE)*(C737:C758=TRUE)*V737:V758))</f>
        <v/>
      </c>
    </row>
    <row r="767">
      <c r="A767" t="inlineStr">
        <is>
          <t>Chain Lightning Casts Per Second</t>
        </is>
      </c>
      <c r="B767">
        <f>MAX(0,B765-B766)</f>
        <v/>
      </c>
    </row>
    <row r="769">
      <c r="A769" s="5" t="inlineStr">
        <is>
          <t>TOTAL DPS</t>
        </is>
      </c>
      <c r="B769" s="5">
        <f>SUM(O737:O758)</f>
        <v/>
      </c>
    </row>
    <row r="772">
      <c r="A772" s="5" t="inlineStr">
        <is>
          <t>Stat: Flat ATTACK</t>
        </is>
      </c>
    </row>
    <row r="773">
      <c r="A773" s="8" t="inlineStr">
        <is>
          <t>Key</t>
        </is>
      </c>
      <c r="B773" s="8" t="inlineStr">
        <is>
          <t>Name</t>
        </is>
      </c>
      <c r="C773" s="8" t="inlineStr">
        <is>
          <t>Unlocked</t>
        </is>
      </c>
      <c r="D773" s="8" t="inlineStr">
        <is>
          <t>InputLevel</t>
        </is>
      </c>
      <c r="E773" s="8" t="inlineStr">
        <is>
          <t>Factor</t>
        </is>
      </c>
      <c r="F773" s="8" t="inlineStr">
        <is>
          <t>CoefficientPercent</t>
        </is>
      </c>
      <c r="G773" s="8" t="inlineStr">
        <is>
          <t>EffectiveHits</t>
        </is>
      </c>
      <c r="H773" s="8" t="inlineStr">
        <is>
          <t>ProcProbability</t>
        </is>
      </c>
      <c r="I773" s="8" t="inlineStr">
        <is>
          <t>MapleHeroMultiplier</t>
        </is>
      </c>
      <c r="J773" s="8" t="inlineStr">
        <is>
          <t>BaseDamage</t>
        </is>
      </c>
      <c r="K773" s="8" t="inlineStr">
        <is>
          <t>BaseHitDamage</t>
        </is>
      </c>
      <c r="L773" s="8" t="inlineStr">
        <is>
          <t>NonCritAvg</t>
        </is>
      </c>
      <c r="M773" s="8" t="inlineStr">
        <is>
          <t>CritAvg</t>
        </is>
      </c>
      <c r="N773" s="8" t="inlineStr">
        <is>
          <t>ExpectedDamage(perHit)</t>
        </is>
      </c>
      <c r="O773" s="8" t="inlineStr">
        <is>
          <t>DPS</t>
        </is>
      </c>
      <c r="P773" s="8" t="inlineStr">
        <is>
          <t>% of Total</t>
        </is>
      </c>
      <c r="R773" t="inlineStr">
        <is>
          <t>helpers</t>
        </is>
      </c>
    </row>
    <row r="774">
      <c r="A774">
        <f>Skills!A2</f>
        <v/>
      </c>
      <c r="B774">
        <f>Skills!B2</f>
        <v/>
      </c>
      <c r="C774">
        <f>Inputs!$B$3&gt;=100</f>
        <v/>
      </c>
      <c r="D774" t="inlineStr"/>
      <c r="E774" t="inlineStr"/>
      <c r="F774">
        <f>T776+Skills!N2</f>
        <v/>
      </c>
      <c r="G774">
        <f>Calc!G2</f>
        <v/>
      </c>
      <c r="H774">
        <f>Calc!H2</f>
        <v/>
      </c>
      <c r="I774">
        <f>IF(Skills!T2&lt;&gt;"",1+(Skills!T2/10)*(R775/1000)/100,1)</f>
        <v/>
      </c>
      <c r="J774">
        <f>(((Inputs!$B$5+1)*(1+Inputs!$B$6/100))+((Inputs!$B$11*(1+Inputs!$B$12/100))-(Inputs!$B$11*(1+Inputs!$B$12/100)))*(1+Inputs!$B$6/100))*(F774/100)</f>
        <v/>
      </c>
      <c r="K774">
        <f>J774*(1+((Inputs!$B$11*(1+Inputs!$B$12/100))*0.01+Inputs!$B$13*0.0025)/100)*(1+(Inputs!$B$14+B800)/100)*(1+IF(Inputs!$B$4="pvp",0,(1-Summary!$B$51)*(Inputs!$B$19+Skills!O2+B799)+Summary!$B$51*(Inputs!$B$20+Skills!P2+B799))/100)*(1+Inputs!$B$15/100)*(5000/(6000+Inputs!$B$7*(1-Inputs!$B$18/100)))*(1+Inputs!$B$23/100)*(1+IF(C787=TRUE,F787,0)/100)*(1+IF(C795=TRUE,F795,0)/100)^5*(1+(IF(Skills!A2="CHAIN_LIGHTNING",Inputs!$B$16,Inputs!$B$17))/100)*(B798*I774)</f>
        <v/>
      </c>
      <c r="L774">
        <f>K774*(MIN(Inputs!$B$21+(F790-Calc!F18),Inputs!$B$22)/100+Inputs!$B$22/100)/2</f>
        <v/>
      </c>
      <c r="M774">
        <f>L774*(1+(Inputs!$B$9+(F793-Calc!F21))/100)</f>
        <v/>
      </c>
      <c r="N774">
        <f>L774*(1-MIN(Inputs!$B$8+((F792-Calc!F20)+(F791-Calc!F19)),100)/100)+M774*(MIN(Inputs!$B$8+((F792-Calc!F20)+(F791-Calc!F19)),100)/100)</f>
        <v/>
      </c>
      <c r="O774">
        <f>IF(C774,Skills!F2*N774*B804*IF(Inputs!$B$4="pvp",1,(1-Summary!$B$51)*(1)+Summary!$B$51*(MIN((6+Inputs!$B$32),Inputs!$B$37))),0)</f>
        <v/>
      </c>
      <c r="P774">
        <f>IF(B806=0,0,O774/B806)</f>
        <v/>
      </c>
      <c r="R774">
        <f>MAX(0,(Inputs!$B$3-100)*3)+Inputs!$B$27+Inputs!$B$28</f>
        <v/>
      </c>
      <c r="S774" t="n">
        <v>0</v>
      </c>
      <c r="T774">
        <f>MAX(0,(Inputs!$B$3-100)*3)+Inputs!$B$27+Inputs!$B$28</f>
        <v/>
      </c>
      <c r="V774">
        <f>IFERROR(1/IF(Inputs!$B$4="pvp",15,MAX(0.1,Skills!D2-IF(Skills!E2=TRUE,Inputs!$B$31,0))),0)</f>
        <v/>
      </c>
    </row>
    <row r="775">
      <c r="A775">
        <f>Skills!A3</f>
        <v/>
      </c>
      <c r="B775">
        <f>Skills!B3</f>
        <v/>
      </c>
      <c r="C775">
        <f>Inputs!$B$3&gt;=15</f>
        <v/>
      </c>
      <c r="D775">
        <f>IF(Skills!C3=1,60+Inputs!$B$24+Inputs!$B$28,IF(Skills!C3=2,90+Inputs!$B$25+Inputs!$B$28,IF(Skills!C3=3,120+Inputs!$B$26+Inputs!$B$28,MAX(0,(Inputs!$B$3-100)*3)+Inputs!$B$27+Inputs!$B$28)))</f>
        <v/>
      </c>
      <c r="E775">
        <f>INDEX(FactorTable!$B$2:$Y$301, MATCH(ROUND(MIN(300,MAX(1,D775)),0), FactorTable!$A$2:$A$301,0), Skills!L3+1)</f>
        <v/>
      </c>
      <c r="F775">
        <f>IF(Skills!M3=TRUE,(Skills!K3/10)*(E775/1000),Skills!K3/10)+Skills!N3</f>
        <v/>
      </c>
      <c r="G775">
        <f>Calc!G3</f>
        <v/>
      </c>
      <c r="H775">
        <f>Calc!H3</f>
        <v/>
      </c>
      <c r="I775">
        <f>IF(Skills!T3&lt;&gt;"",1+(Skills!T3/10)*(R775/1000)/100,1)</f>
        <v/>
      </c>
      <c r="J775" t="inlineStr"/>
      <c r="K775" t="inlineStr"/>
      <c r="L775" t="inlineStr"/>
      <c r="M775" t="inlineStr"/>
      <c r="N775" t="inlineStr"/>
      <c r="O775" t="n">
        <v>0</v>
      </c>
      <c r="P775">
        <f>IF(B806=0,0,O775/B806)</f>
        <v/>
      </c>
      <c r="R775">
        <f>INDEX(FactorTable!$B$2:$Y$301, MATCH(ROUND(MIN(300,MAX(1,R774)),0), FactorTable!$A$2:$A$301,0), 24)</f>
        <v/>
      </c>
      <c r="S775">
        <f>IF(AND(Inputs!$B$4&lt;&gt;"pvp",Inputs!$B$35&gt;0),(INT(Inputs!$B$35/IF(Inputs!$B$4="pvp",15,MAX(0.1,Skills!D3-IF(Skills!E3=TRUE,Inputs!$B$31,0))))+1),0)</f>
        <v/>
      </c>
      <c r="T775">
        <f>INDEX(FactorTable!$B$2:$Y$301, MATCH(ROUND(MIN(300,MAX(1,T774)),0), FactorTable!$A$2:$A$301,0), 22)</f>
        <v/>
      </c>
      <c r="V775">
        <f>IFERROR(1/IF(Inputs!$B$4="pvp",15,MAX(0.1,Skills!D3-IF(Skills!E3=TRUE,Inputs!$B$31,0))),0)</f>
        <v/>
      </c>
    </row>
    <row r="776">
      <c r="A776">
        <f>Skills!A4</f>
        <v/>
      </c>
      <c r="B776">
        <f>Skills!B4</f>
        <v/>
      </c>
      <c r="C776">
        <f>Inputs!$B$3&gt;=40</f>
        <v/>
      </c>
      <c r="D776">
        <f>IF(Skills!C4=1,60+Inputs!$B$24+Inputs!$B$28,IF(Skills!C4=2,90+Inputs!$B$25+Inputs!$B$28,IF(Skills!C4=3,120+Inputs!$B$26+Inputs!$B$28,MAX(0,(Inputs!$B$3-100)*3)+Inputs!$B$27+Inputs!$B$28)))</f>
        <v/>
      </c>
      <c r="E776">
        <f>INDEX(FactorTable!$B$2:$Y$301, MATCH(ROUND(MIN(300,MAX(1,D776)),0), FactorTable!$A$2:$A$301,0), Skills!L4+1)</f>
        <v/>
      </c>
      <c r="F776">
        <f>IF(Skills!M4=TRUE,(Skills!K4/10)*(E776/1000),Skills!K4/10)+Skills!N4</f>
        <v/>
      </c>
      <c r="G776">
        <f>Calc!G4</f>
        <v/>
      </c>
      <c r="H776">
        <f>Calc!H4</f>
        <v/>
      </c>
      <c r="I776">
        <f>IF(Skills!T4&lt;&gt;"",1+(Skills!T4/10)*(R775/1000)/100,1)</f>
        <v/>
      </c>
      <c r="J776" t="inlineStr"/>
      <c r="K776" t="inlineStr"/>
      <c r="L776" t="inlineStr"/>
      <c r="M776" t="inlineStr"/>
      <c r="N776" t="inlineStr"/>
      <c r="O776" t="n">
        <v>0</v>
      </c>
      <c r="P776">
        <f>IF(B806=0,0,O776/B806)</f>
        <v/>
      </c>
      <c r="S776">
        <f>IF(AND(Inputs!$B$4&lt;&gt;"pvp",Inputs!$B$35&gt;0),(INT(Inputs!$B$35/IF(Inputs!$B$4="pvp",15,MAX(0.1,Skills!D4-IF(Skills!E4=TRUE,Inputs!$B$31,0))))+1),0)</f>
        <v/>
      </c>
      <c r="T776">
        <f>290*T775/1000</f>
        <v/>
      </c>
      <c r="V776">
        <f>IFERROR(1/IF(Inputs!$B$4="pvp",15,MAX(0.1,Skills!D4-IF(Skills!E4=TRUE,Inputs!$B$31,0))),0)</f>
        <v/>
      </c>
    </row>
    <row r="777">
      <c r="A777">
        <f>Skills!A5</f>
        <v/>
      </c>
      <c r="B777">
        <f>Skills!B5</f>
        <v/>
      </c>
      <c r="C777">
        <f>Inputs!$B$3&gt;=38</f>
        <v/>
      </c>
      <c r="D777">
        <f>IF(Skills!C5=1,60+Inputs!$B$24+Inputs!$B$28,IF(Skills!C5=2,90+Inputs!$B$25+Inputs!$B$28,IF(Skills!C5=3,120+Inputs!$B$26+Inputs!$B$28,MAX(0,(Inputs!$B$3-100)*3)+Inputs!$B$27+Inputs!$B$28)))</f>
        <v/>
      </c>
      <c r="E777">
        <f>INDEX(FactorTable!$B$2:$Y$301, MATCH(ROUND(MIN(300,MAX(1,D777)),0), FactorTable!$A$2:$A$301,0), Skills!L5+1)</f>
        <v/>
      </c>
      <c r="F777">
        <f>IF(Skills!M5=TRUE,(Skills!K5/10)*(E777/1000),Skills!K5/10)+Skills!N5</f>
        <v/>
      </c>
      <c r="G777">
        <f>Calc!G5</f>
        <v/>
      </c>
      <c r="H777">
        <f>Calc!H5</f>
        <v/>
      </c>
      <c r="I777">
        <f>IF(Skills!T5&lt;&gt;"",1+(Skills!T5/10)*(R775/1000)/100,1)</f>
        <v/>
      </c>
      <c r="J777">
        <f>(((Inputs!$B$5+1)*(1+Inputs!$B$6/100))+((Inputs!$B$11*(1+Inputs!$B$12/100))-(Inputs!$B$11*(1+Inputs!$B$12/100)))*(1+Inputs!$B$6/100))*(F777/100)</f>
        <v/>
      </c>
      <c r="K777">
        <f>J777*(1+((Inputs!$B$11*(1+Inputs!$B$12/100))*0.01+Inputs!$B$13*0.0025)/100)*(1+(Inputs!$B$14+B800)/100)*(1+IF(Inputs!$B$4="pvp",0,(1-Summary!$B$51)*(Inputs!$B$19+Skills!O5+B799)+Summary!$B$51*(Inputs!$B$20+Skills!P5+B799))/100)*(1+Inputs!$B$15/100)*(5000/(6000+Inputs!$B$7*(1-Inputs!$B$18/100)))*(1+Inputs!$B$23/100)*(1+IF(C787=TRUE,F787,0)/100)*(1+IF(C795=TRUE,F795,0)/100)^5*(1+(IF(Skills!A5="CHAIN_LIGHTNING",Inputs!$B$16,Inputs!$B$17))/100)*(B798*I777)</f>
        <v/>
      </c>
      <c r="L777">
        <f>K777*(MIN(Inputs!$B$21+(F790-Calc!F18),Inputs!$B$22)/100+Inputs!$B$22/100)/2</f>
        <v/>
      </c>
      <c r="M777">
        <f>L777*(1+(Inputs!$B$9+(F793-Calc!F21))/100)</f>
        <v/>
      </c>
      <c r="N777">
        <f>L777*(1-MIN(Inputs!$B$8+((F792-Calc!F20)+(F791-Calc!F19)),100)/100)+M777*(MIN(Inputs!$B$8+((F792-Calc!F20)+(F791-Calc!F19)),100)/100)</f>
        <v/>
      </c>
      <c r="O777">
        <f>IF(C777,H777*N777*IF(AND(Inputs!$B$4&lt;&gt;"pvp",Inputs!$B$35&gt;0),((Skills!F5*((S777-1)*IF(Skills!G5&gt;0,Skills!H5/Skills!G5,1)+IF(Skills!G5&gt;0,MIN(Skills!H5,MAX(0,Inputs!$B$35-((S777-1)*IF(Inputs!$B$4="pvp",15,MAX(0.1,Skills!D5-IF(Skills!E5=TRUE,Inputs!$B$31,0))))))/Skills!G5,1)))/Inputs!$B$35),G777*V777)*IF(Inputs!$B$4="pvp",1,(1-Summary!$B$51)*(1)+Summary!$B$51*(MIN(Skills!Q5,Inputs!$B$37))),0)</f>
        <v/>
      </c>
      <c r="P777">
        <f>IF(B806=0,0,O777/B806)</f>
        <v/>
      </c>
      <c r="S777">
        <f>IF(AND(Inputs!$B$4&lt;&gt;"pvp",Inputs!$B$35&gt;0),(INT(Inputs!$B$35/IF(Inputs!$B$4="pvp",15,MAX(0.1,Skills!D5-IF(Skills!E5=TRUE,Inputs!$B$31,0))))+1),0)</f>
        <v/>
      </c>
      <c r="V777">
        <f>IFERROR(1/IF(Inputs!$B$4="pvp",15,MAX(0.1,Skills!D5-IF(Skills!E5=TRUE,Inputs!$B$31,0))),0)</f>
        <v/>
      </c>
    </row>
    <row r="778">
      <c r="A778">
        <f>Skills!A6</f>
        <v/>
      </c>
      <c r="B778">
        <f>Skills!B6</f>
        <v/>
      </c>
      <c r="C778">
        <f>Inputs!$B$3&gt;=63</f>
        <v/>
      </c>
      <c r="D778">
        <f>IF(Skills!C6=1,60+Inputs!$B$24+Inputs!$B$28,IF(Skills!C6=2,90+Inputs!$B$25+Inputs!$B$28,IF(Skills!C6=3,120+Inputs!$B$26+Inputs!$B$28,MAX(0,(Inputs!$B$3-100)*3)+Inputs!$B$27+Inputs!$B$28)))</f>
        <v/>
      </c>
      <c r="E778">
        <f>INDEX(FactorTable!$B$2:$Y$301, MATCH(ROUND(MIN(300,MAX(1,D778)),0), FactorTable!$A$2:$A$301,0), Skills!L6+1)</f>
        <v/>
      </c>
      <c r="F778">
        <f>IF(Skills!M6=TRUE,(Skills!K6/10)*(E778/1000),Skills!K6/10)+Skills!N6</f>
        <v/>
      </c>
      <c r="G778">
        <f>Calc!G6</f>
        <v/>
      </c>
      <c r="H778">
        <f>Calc!H6</f>
        <v/>
      </c>
      <c r="I778">
        <f>IF(Skills!T6&lt;&gt;"",1+(Skills!T6/10)*(R775/1000)/100,1)</f>
        <v/>
      </c>
      <c r="J778">
        <f>(((Inputs!$B$5+1)*(1+Inputs!$B$6/100))+((Inputs!$B$11*(1+Inputs!$B$12/100))-(Inputs!$B$11*(1+Inputs!$B$12/100)))*(1+Inputs!$B$6/100))*(F778/100)</f>
        <v/>
      </c>
      <c r="K778">
        <f>J778*(1+((Inputs!$B$11*(1+Inputs!$B$12/100))*0.01+Inputs!$B$13*0.0025)/100)*(1+(Inputs!$B$14+B800)/100)*(1+IF(Inputs!$B$4="pvp",0,(1-Summary!$B$51)*(Inputs!$B$19+Skills!O6+B799)+Summary!$B$51*(Inputs!$B$20+Skills!P6+B799))/100)*(1+Inputs!$B$15/100)*(5000/(6000+Inputs!$B$7*(1-Inputs!$B$18/100)))*(1+Inputs!$B$23/100)*(1+IF(C787=TRUE,F787,0)/100)*(1+IF(C795=TRUE,F795,0)/100)^5*(1+(IF(Skills!A6="CHAIN_LIGHTNING",Inputs!$B$16,Inputs!$B$17))/100)*(B798*I778)</f>
        <v/>
      </c>
      <c r="L778">
        <f>K778*(MIN(Inputs!$B$21+(F790-Calc!F18),Inputs!$B$22)/100+Inputs!$B$22/100)/2</f>
        <v/>
      </c>
      <c r="M778">
        <f>L778*(1+(Inputs!$B$9+(F793-Calc!F21))/100)</f>
        <v/>
      </c>
      <c r="N778">
        <f>L778*(1-MIN(Inputs!$B$8+((F792-Calc!F20)+(F791-Calc!F19)),100)/100)+M778*(MIN(Inputs!$B$8+((F792-Calc!F20)+(F791-Calc!F19)),100)/100)</f>
        <v/>
      </c>
      <c r="O778">
        <f>IF(C778,H778*N778*IF(AND(Inputs!$B$4&lt;&gt;"pvp",Inputs!$B$35&gt;0),((Skills!F6*((S778-1)*IF(Skills!G6&gt;0,Skills!H6/Skills!G6,1)+IF(Skills!G6&gt;0,MIN(Skills!H6,MAX(0,Inputs!$B$35-((S778-1)*IF(Inputs!$B$4="pvp",15,MAX(0.1,Skills!D6-IF(Skills!E6=TRUE,Inputs!$B$31,0))))))/Skills!G6,1)))/Inputs!$B$35),G778*V778)*IF(Inputs!$B$4="pvp",1,(1-Summary!$B$51)*(1)+Summary!$B$51*(MIN(Skills!Q6,Inputs!$B$37))),0)</f>
        <v/>
      </c>
      <c r="P778">
        <f>IF(B806=0,0,O778/B806)</f>
        <v/>
      </c>
      <c r="S778">
        <f>IF(AND(Inputs!$B$4&lt;&gt;"pvp",Inputs!$B$35&gt;0),(INT(Inputs!$B$35/IF(Inputs!$B$4="pvp",15,MAX(0.1,Skills!D6-IF(Skills!E6=TRUE,Inputs!$B$31,0))))+1),0)</f>
        <v/>
      </c>
      <c r="V778">
        <f>IFERROR(1/IF(Inputs!$B$4="pvp",15,MAX(0.1,Skills!D6-IF(Skills!E6=TRUE,Inputs!$B$31,0))),0)</f>
        <v/>
      </c>
    </row>
    <row r="779">
      <c r="A779">
        <f>Skills!A7</f>
        <v/>
      </c>
      <c r="B779">
        <f>Skills!B7</f>
        <v/>
      </c>
      <c r="C779">
        <f>Inputs!$B$3&gt;=69</f>
        <v/>
      </c>
      <c r="D779">
        <f>IF(Skills!C7=1,60+Inputs!$B$24+Inputs!$B$28,IF(Skills!C7=2,90+Inputs!$B$25+Inputs!$B$28,IF(Skills!C7=3,120+Inputs!$B$26+Inputs!$B$28,MAX(0,(Inputs!$B$3-100)*3)+Inputs!$B$27+Inputs!$B$28)))</f>
        <v/>
      </c>
      <c r="E779">
        <f>INDEX(FactorTable!$B$2:$Y$301, MATCH(ROUND(MIN(300,MAX(1,D779)),0), FactorTable!$A$2:$A$301,0), Skills!L7+1)</f>
        <v/>
      </c>
      <c r="F779">
        <f>IF(Skills!M7=TRUE,(Skills!K7/10)*(E779/1000),Skills!K7/10)+Skills!N7</f>
        <v/>
      </c>
      <c r="G779">
        <f>Calc!G7</f>
        <v/>
      </c>
      <c r="H779">
        <f>Calc!H7</f>
        <v/>
      </c>
      <c r="I779">
        <f>IF(Skills!T7&lt;&gt;"",1+(Skills!T7/10)*(R775/1000)/100,1)</f>
        <v/>
      </c>
      <c r="J779">
        <f>(((Inputs!$B$5+1)*(1+Inputs!$B$6/100))+((Inputs!$B$11*(1+Inputs!$B$12/100))-(Inputs!$B$11*(1+Inputs!$B$12/100)))*(1+Inputs!$B$6/100))*(F779/100)</f>
        <v/>
      </c>
      <c r="K779">
        <f>J779*(1+((Inputs!$B$11*(1+Inputs!$B$12/100))*0.01+Inputs!$B$13*0.0025)/100)*(1+(Inputs!$B$14+B800)/100)*(1+IF(Inputs!$B$4="pvp",0,(1-Summary!$B$51)*(Inputs!$B$19+Skills!O7+B799)+Summary!$B$51*(Inputs!$B$20+Skills!P7+B799))/100)*(1+Inputs!$B$15/100)*(5000/(6000+Inputs!$B$7*(1-Inputs!$B$18/100)))*(1+Inputs!$B$23/100)*(1+IF(C787=TRUE,F787,0)/100)*(1+IF(C795=TRUE,F795,0)/100)^5*(1+(IF(Skills!A7="CHAIN_LIGHTNING",Inputs!$B$16,Inputs!$B$17))/100)*(B798*I779)</f>
        <v/>
      </c>
      <c r="L779">
        <f>K779*(MIN(Inputs!$B$21+(F790-Calc!F18),Inputs!$B$22)/100+Inputs!$B$22/100)/2</f>
        <v/>
      </c>
      <c r="M779">
        <f>L779*(1+(Inputs!$B$9+(F793-Calc!F21))/100)</f>
        <v/>
      </c>
      <c r="N779">
        <f>L779*(1-MIN(Inputs!$B$8+((F792-Calc!F20)+(F791-Calc!F19)),100)/100)+M779*(MIN(Inputs!$B$8+((F792-Calc!F20)+(F791-Calc!F19)),100)/100)</f>
        <v/>
      </c>
      <c r="O779">
        <f>IF(C779,H779*N779*IF(AND(Inputs!$B$4&lt;&gt;"pvp",Inputs!$B$35&gt;0),((Skills!F7*((S779-1)*IF(Skills!G7&gt;0,Skills!H7/Skills!G7,1)+IF(Skills!G7&gt;0,MIN(Skills!H7,MAX(0,Inputs!$B$35-((S779-1)*IF(Inputs!$B$4="pvp",15,MAX(0.1,Skills!D7-IF(Skills!E7=TRUE,Inputs!$B$31,0))))))/Skills!G7,1)))/Inputs!$B$35),G779*V779)*IF(Inputs!$B$4="pvp",1,(1-Summary!$B$51)*(1)+Summary!$B$51*(MIN(Skills!Q7,Inputs!$B$37))),0)</f>
        <v/>
      </c>
      <c r="P779">
        <f>IF(B806=0,0,O779/B806)</f>
        <v/>
      </c>
      <c r="S779">
        <f>IF(AND(Inputs!$B$4&lt;&gt;"pvp",Inputs!$B$35&gt;0),(INT(Inputs!$B$35/IF(Inputs!$B$4="pvp",15,MAX(0.1,Skills!D7-IF(Skills!E7=TRUE,Inputs!$B$31,0))))+1),0)</f>
        <v/>
      </c>
      <c r="V779">
        <f>IFERROR(1/IF(Inputs!$B$4="pvp",15,MAX(0.1,Skills!D7-IF(Skills!E7=TRUE,Inputs!$B$31,0))),0)</f>
        <v/>
      </c>
    </row>
    <row r="780">
      <c r="A780">
        <f>Skills!A8</f>
        <v/>
      </c>
      <c r="B780">
        <f>Skills!B8</f>
        <v/>
      </c>
      <c r="C780">
        <f>Inputs!$B$3&gt;=103</f>
        <v/>
      </c>
      <c r="D780">
        <f>IF(Skills!C8=1,60+Inputs!$B$24+Inputs!$B$28,IF(Skills!C8=2,90+Inputs!$B$25+Inputs!$B$28,IF(Skills!C8=3,120+Inputs!$B$26+Inputs!$B$28,MAX(0,(Inputs!$B$3-100)*3)+Inputs!$B$27+Inputs!$B$28)))</f>
        <v/>
      </c>
      <c r="E780">
        <f>INDEX(FactorTable!$B$2:$Y$301, MATCH(ROUND(MIN(300,MAX(1,D780)),0), FactorTable!$A$2:$A$301,0), Skills!L8+1)</f>
        <v/>
      </c>
      <c r="F780">
        <f>IF(Skills!M8=TRUE,(Skills!K8/10)*(E780/1000),Skills!K8/10)+Skills!N8</f>
        <v/>
      </c>
      <c r="G780">
        <f>Calc!G8</f>
        <v/>
      </c>
      <c r="H780">
        <f>Calc!H8</f>
        <v/>
      </c>
      <c r="I780">
        <f>IF(Skills!T8&lt;&gt;"",1+(Skills!T8/10)*(R775/1000)/100,1)</f>
        <v/>
      </c>
      <c r="J780">
        <f>(((Inputs!$B$5+1)*(1+Inputs!$B$6/100))+((Inputs!$B$11*(1+Inputs!$B$12/100))-(Inputs!$B$11*(1+Inputs!$B$12/100)))*(1+Inputs!$B$6/100))*(F780/100)</f>
        <v/>
      </c>
      <c r="K780">
        <f>J780*(1+((Inputs!$B$11*(1+Inputs!$B$12/100))*0.01+Inputs!$B$13*0.0025)/100)*(1+(Inputs!$B$14+B800)/100)*(1+IF(Inputs!$B$4="pvp",0,(1-Summary!$B$51)*(Inputs!$B$19+Skills!O8+B799)+Summary!$B$51*(Inputs!$B$20+Skills!P8+B799))/100)*(1+Inputs!$B$15/100)*(5000/(6000+Inputs!$B$7*(1-Inputs!$B$18/100)))*(1+Inputs!$B$23/100)*(1+IF(C787=TRUE,F787,0)/100)*(1+IF(C795=TRUE,F795,0)/100)^5*(1+(IF(Skills!A8="CHAIN_LIGHTNING",Inputs!$B$16,Inputs!$B$17))/100)*(B798*I780)</f>
        <v/>
      </c>
      <c r="L780">
        <f>K780*(MIN(Inputs!$B$21+(F790-Calc!F18),Inputs!$B$22)/100+Inputs!$B$22/100)/2</f>
        <v/>
      </c>
      <c r="M780">
        <f>L780*(1+(Inputs!$B$9+(F793-Calc!F21))/100)</f>
        <v/>
      </c>
      <c r="N780">
        <f>L780*(1-MIN(Inputs!$B$8+((F792-Calc!F20)+(F791-Calc!F19)),100)/100)+M780*(MIN(Inputs!$B$8+((F792-Calc!F20)+(F791-Calc!F19)),100)/100)</f>
        <v/>
      </c>
      <c r="O780">
        <f>IF(C780,H780*N780*IF(AND(Inputs!$B$4&lt;&gt;"pvp",Inputs!$B$35&gt;0),((Skills!F8*((S780-1)*IF(Skills!G8&gt;0,Skills!H8/Skills!G8,1)+IF(Skills!G8&gt;0,MIN(Skills!H8,MAX(0,Inputs!$B$35-((S780-1)*IF(Inputs!$B$4="pvp",15,MAX(0.1,Skills!D8-IF(Skills!E8=TRUE,Inputs!$B$31,0))))))/Skills!G8,1)))/Inputs!$B$35),G780*V780)*IF(Inputs!$B$4="pvp",1,(1-Summary!$B$51)*(1)+Summary!$B$51*(MIN(Skills!Q8,Inputs!$B$37))),0)</f>
        <v/>
      </c>
      <c r="P780">
        <f>IF(B806=0,0,O780/B806)</f>
        <v/>
      </c>
      <c r="S780">
        <f>IF(AND(Inputs!$B$4&lt;&gt;"pvp",Inputs!$B$35&gt;0),(INT(Inputs!$B$35/IF(Inputs!$B$4="pvp",15,MAX(0.1,Skills!D8-IF(Skills!E8=TRUE,Inputs!$B$31,0))))+1),0)</f>
        <v/>
      </c>
      <c r="V780">
        <f>IFERROR(1/IF(Inputs!$B$4="pvp",15,MAX(0.1,Skills!D8-IF(Skills!E8=TRUE,Inputs!$B$31,0))),0)</f>
        <v/>
      </c>
    </row>
    <row r="781">
      <c r="A781">
        <f>Skills!A9</f>
        <v/>
      </c>
      <c r="B781">
        <f>Skills!B9</f>
        <v/>
      </c>
      <c r="C781">
        <f>Inputs!$B$3&gt;=105</f>
        <v/>
      </c>
      <c r="D781">
        <f>IF(Skills!C9=1,60+Inputs!$B$24+Inputs!$B$28,IF(Skills!C9=2,90+Inputs!$B$25+Inputs!$B$28,IF(Skills!C9=3,120+Inputs!$B$26+Inputs!$B$28,MAX(0,(Inputs!$B$3-100)*3)+Inputs!$B$27+Inputs!$B$28)))</f>
        <v/>
      </c>
      <c r="E781">
        <f>INDEX(FactorTable!$B$2:$Y$301, MATCH(ROUND(MIN(300,MAX(1,D781)),0), FactorTable!$A$2:$A$301,0), Skills!L9+1)</f>
        <v/>
      </c>
      <c r="F781">
        <f>IF(Skills!M9=TRUE,(Skills!K9/10)*(E781/1000),Skills!K9/10)+Skills!N9</f>
        <v/>
      </c>
      <c r="G781">
        <f>Calc!G9</f>
        <v/>
      </c>
      <c r="H781">
        <f>Calc!H9</f>
        <v/>
      </c>
      <c r="I781">
        <f>IF(Skills!T9&lt;&gt;"",1+(Skills!T9/10)*(R775/1000)/100,1)</f>
        <v/>
      </c>
      <c r="J781">
        <f>(((Inputs!$B$5+1)*(1+Inputs!$B$6/100))+((Inputs!$B$11*(1+Inputs!$B$12/100))-(Inputs!$B$11*(1+Inputs!$B$12/100)))*(1+Inputs!$B$6/100))*(F781/100)</f>
        <v/>
      </c>
      <c r="K781">
        <f>J781*(1+((Inputs!$B$11*(1+Inputs!$B$12/100))*0.01+Inputs!$B$13*0.0025)/100)*(1+(Inputs!$B$14+B800)/100)*(1+IF(Inputs!$B$4="pvp",0,(1-Summary!$B$51)*(Inputs!$B$19+Skills!O9+B799)+Summary!$B$51*(Inputs!$B$20+Skills!P9+B799))/100)*(1+Inputs!$B$15/100)*(5000/(6000+Inputs!$B$7*(1-Inputs!$B$18/100)))*(1+Inputs!$B$23/100)*(1+IF(C787=TRUE,F787,0)/100)*(1+IF(C795=TRUE,F795,0)/100)^5*(1+(IF(Skills!A9="CHAIN_LIGHTNING",Inputs!$B$16,Inputs!$B$17))/100)*(B798*I781)</f>
        <v/>
      </c>
      <c r="L781">
        <f>K781*(MIN(Inputs!$B$21+(F790-Calc!F18),Inputs!$B$22)/100+Inputs!$B$22/100)/2</f>
        <v/>
      </c>
      <c r="M781">
        <f>L781*(1+(Inputs!$B$9+(F793-Calc!F21))/100)</f>
        <v/>
      </c>
      <c r="N781">
        <f>L781*(1-MIN(Inputs!$B$8+((F792-Calc!F20)+(F791-Calc!F19)),100)/100)+M781*(MIN(Inputs!$B$8+((F792-Calc!F20)+(F791-Calc!F19)),100)/100)</f>
        <v/>
      </c>
      <c r="O781">
        <f>IF(C781,H781*N781*IF(AND(Inputs!$B$4&lt;&gt;"pvp",Inputs!$B$35&gt;0),((Skills!F9*((S781-1)*IF(Skills!G9&gt;0,Skills!H9/Skills!G9,1)+IF(Skills!G9&gt;0,MIN(Skills!H9,MAX(0,Inputs!$B$35-((S781-1)*IF(Inputs!$B$4="pvp",15,MAX(0.1,Skills!D9-IF(Skills!E9=TRUE,Inputs!$B$31,0))))))/Skills!G9,1)))/Inputs!$B$35),G781*V781)*IF(Inputs!$B$4="pvp",1,(1-Summary!$B$51)*(1)+Summary!$B$51*(MIN(Skills!Q9,Inputs!$B$37))),0)</f>
        <v/>
      </c>
      <c r="P781">
        <f>IF(B806=0,0,O781/B806)</f>
        <v/>
      </c>
      <c r="S781">
        <f>IF(AND(Inputs!$B$4&lt;&gt;"pvp",Inputs!$B$35&gt;0),(INT(Inputs!$B$35/IF(Inputs!$B$4="pvp",15,MAX(0.1,Skills!D9-IF(Skills!E9=TRUE,Inputs!$B$31,0))))+1),0)</f>
        <v/>
      </c>
      <c r="V781">
        <f>IFERROR(1/IF(Inputs!$B$4="pvp",15,MAX(0.1,Skills!D9-IF(Skills!E9=TRUE,Inputs!$B$31,0))),0)</f>
        <v/>
      </c>
    </row>
    <row r="782">
      <c r="A782">
        <f>Skills!A10</f>
        <v/>
      </c>
      <c r="B782">
        <f>Skills!B10</f>
        <v/>
      </c>
      <c r="C782">
        <f>Inputs!$B$3&gt;=113</f>
        <v/>
      </c>
      <c r="D782">
        <f>IF(Skills!C10=1,60+Inputs!$B$24+Inputs!$B$28,IF(Skills!C10=2,90+Inputs!$B$25+Inputs!$B$28,IF(Skills!C10=3,120+Inputs!$B$26+Inputs!$B$28,MAX(0,(Inputs!$B$3-100)*3)+Inputs!$B$27+Inputs!$B$28)))</f>
        <v/>
      </c>
      <c r="E782">
        <f>INDEX(FactorTable!$B$2:$Y$301, MATCH(ROUND(MIN(300,MAX(1,D782)),0), FactorTable!$A$2:$A$301,0), Skills!L10+1)</f>
        <v/>
      </c>
      <c r="F782">
        <f>IF(Skills!M10=TRUE,(Skills!K10/10)*(E782/1000),Skills!K10/10)+Skills!N10</f>
        <v/>
      </c>
      <c r="G782">
        <f>Calc!G10</f>
        <v/>
      </c>
      <c r="H782">
        <f>Calc!H10</f>
        <v/>
      </c>
      <c r="I782">
        <f>IF(Skills!T10&lt;&gt;"",1+(Skills!T10/10)*(R775/1000)/100,1)</f>
        <v/>
      </c>
      <c r="J782">
        <f>(((Inputs!$B$5+1)*(1+Inputs!$B$6/100))+((Inputs!$B$11*(1+Inputs!$B$12/100))-(Inputs!$B$11*(1+Inputs!$B$12/100)))*(1+Inputs!$B$6/100))*(F782/100)</f>
        <v/>
      </c>
      <c r="K782">
        <f>J782*(1+((Inputs!$B$11*(1+Inputs!$B$12/100))*0.01+Inputs!$B$13*0.0025)/100)*(1+(Inputs!$B$14+B800)/100)*(1+IF(Inputs!$B$4="pvp",0,(1-Summary!$B$51)*(Inputs!$B$19+Skills!O10+B799)+Summary!$B$51*(Inputs!$B$20+Skills!P10+B799))/100)*(1+Inputs!$B$15/100)*(5000/(6000+Inputs!$B$7*(1-Inputs!$B$18/100)))*(1+Inputs!$B$23/100)*(1+IF(C787=TRUE,F787,0)/100)*(1+IF(C795=TRUE,F795,0)/100)^5*(1+(IF(Skills!A10="CHAIN_LIGHTNING",Inputs!$B$16,Inputs!$B$17))/100)*(B798*I782)</f>
        <v/>
      </c>
      <c r="L782">
        <f>K782*(MIN(Inputs!$B$21+(F790-Calc!F18),Inputs!$B$22)/100+Inputs!$B$22/100)/2</f>
        <v/>
      </c>
      <c r="M782">
        <f>L782*(1+(Inputs!$B$9+(F793-Calc!F21))/100)</f>
        <v/>
      </c>
      <c r="N782">
        <f>L782*(1-MIN(Inputs!$B$8+((F792-Calc!F20)+(F791-Calc!F19)),100)/100)+M782*(MIN(Inputs!$B$8+((F792-Calc!F20)+(F791-Calc!F19)),100)/100)</f>
        <v/>
      </c>
      <c r="O782">
        <f>IF(C782,H782*N782*IF(AND(Inputs!$B$4&lt;&gt;"pvp",Inputs!$B$35&gt;0),((Skills!F10*((S782-1)*IF(Skills!G10&gt;0,Skills!H10/Skills!G10,1)+IF(Skills!G10&gt;0,MIN(Skills!H10,MAX(0,Inputs!$B$35-((S782-1)*IF(Inputs!$B$4="pvp",15,MAX(0.1,Skills!D10-IF(Skills!E9=TRUE,Inputs!$B$31,0))))))/Skills!G10,1)))/Inputs!$B$35),G782*V782)*IF(Inputs!$B$4="pvp",1,(1-Summary!$B$51)*(1)+Summary!$B$51*(MIN(Skills!Q10,Inputs!$B$37))),0)</f>
        <v/>
      </c>
      <c r="P782">
        <f>IF(B806=0,0,O782/B806)</f>
        <v/>
      </c>
      <c r="S782">
        <f>IF(AND(Inputs!$B$4&lt;&gt;"pvp",Inputs!$B$35&gt;0),(INT(Inputs!$B$35/IF(Inputs!$B$4="pvp",15,MAX(0.1,Skills!D10-IF(Skills!E9=TRUE,Inputs!$B$31,0))))+1),0)</f>
        <v/>
      </c>
      <c r="V782">
        <f>IFERROR(1/IF(Inputs!$B$4="pvp",15,MAX(0.1,Skills!D10-IF(Skills!E9=TRUE,Inputs!$B$31,0))),0)</f>
        <v/>
      </c>
    </row>
    <row r="783">
      <c r="A783">
        <f>Skills!A11</f>
        <v/>
      </c>
      <c r="B783">
        <f>Skills!B11</f>
        <v/>
      </c>
      <c r="C783">
        <f>Inputs!$B$3&gt;=107</f>
        <v/>
      </c>
      <c r="D783">
        <f>IF(Skills!C11=1,60+Inputs!$B$24+Inputs!$B$28,IF(Skills!C11=2,90+Inputs!$B$25+Inputs!$B$28,IF(Skills!C11=3,120+Inputs!$B$26+Inputs!$B$28,MAX(0,(Inputs!$B$3-100)*3)+Inputs!$B$27+Inputs!$B$28)))</f>
        <v/>
      </c>
      <c r="E783">
        <f>INDEX(FactorTable!$B$2:$Y$301, MATCH(ROUND(MIN(300,MAX(1,D783)),0), FactorTable!$A$2:$A$301,0), Skills!L11+1)</f>
        <v/>
      </c>
      <c r="F783">
        <f>IF(Skills!M11=TRUE,(Skills!K11/10)*(E783/1000),Skills!K11/10)+Skills!N11</f>
        <v/>
      </c>
      <c r="G783">
        <f>Calc!G11</f>
        <v/>
      </c>
      <c r="H783">
        <f>Calc!H11</f>
        <v/>
      </c>
      <c r="I783">
        <f>IF(Skills!T11&lt;&gt;"",1+(Skills!T11/10)*(R775/1000)/100,1)</f>
        <v/>
      </c>
      <c r="J783">
        <f>(((Inputs!$B$5+1)*(1+Inputs!$B$6/100))+((Inputs!$B$11*(1+Inputs!$B$12/100))-(Inputs!$B$11*(1+Inputs!$B$12/100)))*(1+Inputs!$B$6/100))*(F783/100)</f>
        <v/>
      </c>
      <c r="K783">
        <f>J783*(1+((Inputs!$B$11*(1+Inputs!$B$12/100))*0.01+Inputs!$B$13*0.0025)/100)*(1+(Inputs!$B$14+B800)/100)*(1+IF(Inputs!$B$4="pvp",0,(1-Summary!$B$51)*(Inputs!$B$19+Skills!O11+B799)+Summary!$B$51*(Inputs!$B$20+Skills!P11+B799))/100)*(1+Inputs!$B$15/100)*(5000/(6000+Inputs!$B$7*(1-Inputs!$B$18/100)))*(1+Inputs!$B$23/100)*(1+IF(C787=TRUE,F787,0)/100)*(1+IF(C795=TRUE,F795,0)/100)^5*(1+(IF(Skills!A11="CHAIN_LIGHTNING",Inputs!$B$16,Inputs!$B$17))/100)*(B798*I783)</f>
        <v/>
      </c>
      <c r="L783">
        <f>K783*(MIN(Inputs!$B$21+(F790-Calc!F18),Inputs!$B$22)/100+Inputs!$B$22/100)/2</f>
        <v/>
      </c>
      <c r="M783">
        <f>L783*(1+(Inputs!$B$9+(F793-Calc!F21))/100)</f>
        <v/>
      </c>
      <c r="N783">
        <f>L783*(1-MIN(Inputs!$B$8+((F792-Calc!F20)+(F791-Calc!F19)),100)/100)+M783*(MIN(Inputs!$B$8+((F792-Calc!F20)+(F791-Calc!F19)),100)/100)</f>
        <v/>
      </c>
      <c r="O783">
        <f>IF(C783,H783*N783*IF(AND(Inputs!$B$4&lt;&gt;"pvp",Inputs!$B$35&gt;0),((Skills!F11*((S783-1)*IF(Skills!G11&gt;0,Skills!H11/Skills!G11,1)+IF(Skills!G11&gt;0,MIN(Skills!H11,MAX(0,Inputs!$B$35-((S783-1)*IF(Inputs!$B$4="pvp",15,MAX(0.1,Skills!D11-IF(Skills!E11=TRUE,Inputs!$B$31,0))))))/Skills!G11,1)))/Inputs!$B$35),G783*V783)*IF(Inputs!$B$4="pvp",0.5,(1-Summary!$B$51)*0.5+Summary!$B$51*1)*IF(Inputs!$B$4="pvp",1,(1-Summary!$B$51)*(1)+Summary!$B$51*(MIN(Skills!Q11,Inputs!$B$37))),0)</f>
        <v/>
      </c>
      <c r="P783">
        <f>IF(B806=0,0,O783/B806)</f>
        <v/>
      </c>
      <c r="S783">
        <f>IF(AND(Inputs!$B$4&lt;&gt;"pvp",Inputs!$B$35&gt;0),(INT(Inputs!$B$35/IF(Inputs!$B$4="pvp",15,MAX(0.1,Skills!D11-IF(Skills!E11=TRUE,Inputs!$B$31,0))))+1),0)</f>
        <v/>
      </c>
      <c r="V783">
        <f>IFERROR(1/IF(Inputs!$B$4="pvp",15,MAX(0.1,Skills!D11-IF(Skills!E11=TRUE,Inputs!$B$31,0))),0)</f>
        <v/>
      </c>
    </row>
    <row r="784">
      <c r="A784">
        <f>Skills!A12</f>
        <v/>
      </c>
      <c r="B784">
        <f>Skills!B12</f>
        <v/>
      </c>
      <c r="C784">
        <f>Inputs!$B$3&gt;=115</f>
        <v/>
      </c>
      <c r="D784">
        <f>IF(Skills!C12=1,60+Inputs!$B$24+Inputs!$B$28,IF(Skills!C12=2,90+Inputs!$B$25+Inputs!$B$28,IF(Skills!C12=3,120+Inputs!$B$26+Inputs!$B$28,MAX(0,(Inputs!$B$3-100)*3)+Inputs!$B$27+Inputs!$B$28)))</f>
        <v/>
      </c>
      <c r="E784">
        <f>INDEX(FactorTable!$B$2:$Y$301, MATCH(ROUND(MIN(300,MAX(1,D784)),0), FactorTable!$A$2:$A$301,0), Skills!L12+1)</f>
        <v/>
      </c>
      <c r="F784">
        <f>IF(Skills!M12=TRUE,(Skills!K12/10)*(E784/1000),Skills!K12/10)+Skills!N12</f>
        <v/>
      </c>
      <c r="G784">
        <f>Calc!G12</f>
        <v/>
      </c>
      <c r="H784">
        <f>Calc!H12</f>
        <v/>
      </c>
      <c r="I784">
        <f>IF(Skills!T12&lt;&gt;"",1+(Skills!T12/10)*(R775/1000)/100,1)</f>
        <v/>
      </c>
      <c r="J784">
        <f>(((Inputs!$B$5+1)*(1+Inputs!$B$6/100))+((Inputs!$B$11*(1+Inputs!$B$12/100))-(Inputs!$B$11*(1+Inputs!$B$12/100)))*(1+Inputs!$B$6/100))*(F784/100)</f>
        <v/>
      </c>
      <c r="K784">
        <f>J784*(1+((Inputs!$B$11*(1+Inputs!$B$12/100))*0.01+Inputs!$B$13*0.0025)/100)*(1+(Inputs!$B$14+B800)/100)*(1+IF(Inputs!$B$4="pvp",0,(1-Summary!$B$51)*(Inputs!$B$19+Skills!O12+B799)+Summary!$B$51*(Inputs!$B$20+Skills!P12+B799))/100)*(1+Inputs!$B$15/100)*(5000/(6000+Inputs!$B$7*(1-Inputs!$B$18/100)))*(1+Inputs!$B$23/100)*(1+IF(C787=TRUE,F787,0)/100)*(1+IF(C795=TRUE,F795,0)/100)^5*(1+(IF(Skills!A12="CHAIN_LIGHTNING",Inputs!$B$16,Inputs!$B$17))/100)*(B798*I784)</f>
        <v/>
      </c>
      <c r="L784">
        <f>K784*(MIN(Inputs!$B$21+(F790-Calc!F18),Inputs!$B$22)/100+Inputs!$B$22/100)/2</f>
        <v/>
      </c>
      <c r="M784">
        <f>L784*(1+(Inputs!$B$9+(F793-Calc!F21))/100)</f>
        <v/>
      </c>
      <c r="N784">
        <f>L784*(1-MIN(Inputs!$B$8+((F792-Calc!F20)+(F791-Calc!F19)),100)/100)+M784*(MIN(Inputs!$B$8+((F792-Calc!F20)+(F791-Calc!F19)),100)/100)</f>
        <v/>
      </c>
      <c r="O784">
        <f>IF(C784,H784*N784*IF(AND(Inputs!$B$4&lt;&gt;"pvp",Inputs!$B$35&gt;0),((Skills!F12*((S784-1)*IF(Skills!G12&gt;0,Skills!H12/Skills!G12,1)+IF(Skills!G12&gt;0,MIN(Skills!H12,MAX(0,Inputs!$B$35-((S784-1)*IF(Inputs!$B$4="pvp",15,MAX(0.1,Skills!D12-IF(Skills!E12=TRUE,Inputs!$B$31,0))))))/Skills!G12,1)))/Inputs!$B$35),G784*V784)*IF(Inputs!$B$4="pvp",1,(1-Summary!$B$51)*(1)+Summary!$B$51*(MIN(Skills!Q12,Inputs!$B$37))),0)</f>
        <v/>
      </c>
      <c r="P784">
        <f>IF(B806=0,0,O784/B806)</f>
        <v/>
      </c>
      <c r="S784">
        <f>IF(AND(Inputs!$B$4&lt;&gt;"pvp",Inputs!$B$35&gt;0),(INT(Inputs!$B$35/IF(Inputs!$B$4="pvp",15,MAX(0.1,Skills!D12-IF(Skills!E12=TRUE,Inputs!$B$31,0))))+1),0)</f>
        <v/>
      </c>
      <c r="V784">
        <f>IFERROR(1/IF(Inputs!$B$4="pvp",15,MAX(0.1,Skills!D12-IF(Skills!E12=TRUE,Inputs!$B$31,0))),0)</f>
        <v/>
      </c>
    </row>
    <row r="785">
      <c r="A785">
        <f>Skills!A13</f>
        <v/>
      </c>
      <c r="B785">
        <f>Skills!B13</f>
        <v/>
      </c>
      <c r="C785">
        <f>Inputs!$B$3&gt;=49</f>
        <v/>
      </c>
      <c r="D785">
        <f>IF(Skills!C13=1,60+Inputs!$B$24+Inputs!$B$28,IF(Skills!C13=2,90+Inputs!$B$25+Inputs!$B$28,IF(Skills!C13=3,120+Inputs!$B$26+Inputs!$B$28,MAX(0,(Inputs!$B$3-100)*3)+Inputs!$B$27+Inputs!$B$28)))</f>
        <v/>
      </c>
      <c r="E785">
        <f>INDEX(FactorTable!$B$2:$Y$301, MATCH(ROUND(MIN(300,MAX(1,D785)),0), FactorTable!$A$2:$A$301,0), Skills!L13+1)</f>
        <v/>
      </c>
      <c r="F785">
        <f>IF(Skills!M13=TRUE,(Skills!K13/10)*(E785/1000),Skills!K13/10)+Skills!N13</f>
        <v/>
      </c>
      <c r="G785">
        <f>Calc!G13</f>
        <v/>
      </c>
      <c r="H785">
        <f>Calc!H13</f>
        <v/>
      </c>
      <c r="I785">
        <f>IF(Skills!T13&lt;&gt;"",1+(Skills!T13/10)*(R775/1000)/100,1)</f>
        <v/>
      </c>
      <c r="J785" t="inlineStr"/>
      <c r="K785" t="inlineStr"/>
      <c r="L785" t="inlineStr"/>
      <c r="M785" t="inlineStr"/>
      <c r="N785" t="inlineStr"/>
      <c r="O785" t="n">
        <v>0</v>
      </c>
      <c r="P785">
        <f>IF(B806=0,0,O785/B806)</f>
        <v/>
      </c>
      <c r="S785" t="n">
        <v>0</v>
      </c>
      <c r="V785">
        <f>IFERROR(1/IF(Inputs!$B$4="pvp",15,MAX(0.1,Skills!D13-IF(Skills!E13=TRUE,Inputs!$B$31,0))),0)</f>
        <v/>
      </c>
    </row>
    <row r="786">
      <c r="A786">
        <f>Skills!A14</f>
        <v/>
      </c>
      <c r="B786">
        <f>Skills!B14</f>
        <v/>
      </c>
      <c r="C786">
        <f>Inputs!$B$3&gt;=72</f>
        <v/>
      </c>
      <c r="D786">
        <f>IF(Skills!C14=1,60+Inputs!$B$24+Inputs!$B$28,IF(Skills!C14=2,90+Inputs!$B$25+Inputs!$B$28,IF(Skills!C14=3,120+Inputs!$B$26+Inputs!$B$28,MAX(0,(Inputs!$B$3-100)*3)+Inputs!$B$27+Inputs!$B$28)))</f>
        <v/>
      </c>
      <c r="E786">
        <f>INDEX(FactorTable!$B$2:$Y$301, MATCH(ROUND(MIN(300,MAX(1,D786)),0), FactorTable!$A$2:$A$301,0), Skills!L14+1)</f>
        <v/>
      </c>
      <c r="F786">
        <f>IF(Skills!M14=TRUE,(Skills!K14/10)*(E786/1000),Skills!K14/10)+Skills!N14</f>
        <v/>
      </c>
      <c r="G786">
        <f>Calc!G14</f>
        <v/>
      </c>
      <c r="H786">
        <f>Calc!H14</f>
        <v/>
      </c>
      <c r="I786">
        <f>IF(Skills!T14&lt;&gt;"",1+(Skills!T14/10)*(R775/1000)/100,1)</f>
        <v/>
      </c>
      <c r="J786" t="inlineStr"/>
      <c r="K786" t="inlineStr"/>
      <c r="L786" t="inlineStr"/>
      <c r="M786" t="inlineStr"/>
      <c r="N786" t="inlineStr"/>
      <c r="O786" t="n">
        <v>0</v>
      </c>
      <c r="P786">
        <f>IF(B806=0,0,O786/B806)</f>
        <v/>
      </c>
      <c r="S786" t="n">
        <v>0</v>
      </c>
      <c r="V786">
        <f>IFERROR(1/IF(Inputs!$B$4="pvp",15,MAX(0.1,Skills!D14-IF(Skills!E14=TRUE,Inputs!$B$31,0))),0)</f>
        <v/>
      </c>
    </row>
    <row r="787">
      <c r="A787">
        <f>Skills!A15</f>
        <v/>
      </c>
      <c r="B787">
        <f>Skills!B15</f>
        <v/>
      </c>
      <c r="C787">
        <f>Inputs!$B$3&gt;=75</f>
        <v/>
      </c>
      <c r="D787">
        <f>IF(Skills!C15=1,60+Inputs!$B$24+Inputs!$B$28,IF(Skills!C15=2,90+Inputs!$B$25+Inputs!$B$28,IF(Skills!C15=3,120+Inputs!$B$26+Inputs!$B$28,MAX(0,(Inputs!$B$3-100)*3)+Inputs!$B$27+Inputs!$B$28)))</f>
        <v/>
      </c>
      <c r="E787">
        <f>INDEX(FactorTable!$B$2:$Y$301, MATCH(ROUND(MIN(300,MAX(1,D787)),0), FactorTable!$A$2:$A$301,0), Skills!L15+1)</f>
        <v/>
      </c>
      <c r="F787">
        <f>IF(Skills!M15=TRUE,(Skills!K15/10)*(E787/1000),Skills!K15/10)+Skills!N15</f>
        <v/>
      </c>
      <c r="G787">
        <f>Calc!G15</f>
        <v/>
      </c>
      <c r="H787">
        <f>Calc!H15</f>
        <v/>
      </c>
      <c r="I787">
        <f>IF(Skills!T15&lt;&gt;"",1+(Skills!T15/10)*(R775/1000)/100,1)</f>
        <v/>
      </c>
      <c r="J787" t="inlineStr"/>
      <c r="K787" t="inlineStr"/>
      <c r="L787" t="inlineStr"/>
      <c r="M787" t="inlineStr"/>
      <c r="N787" t="inlineStr"/>
      <c r="O787" t="n">
        <v>0</v>
      </c>
      <c r="P787">
        <f>IF(B806=0,0,O787/B806)</f>
        <v/>
      </c>
      <c r="S787" t="n">
        <v>0</v>
      </c>
      <c r="V787">
        <f>IFERROR(1/IF(Inputs!$B$4="pvp",15,MAX(0.1,Skills!D15-IF(Skills!E15=TRUE,Inputs!$B$31,0))),0)</f>
        <v/>
      </c>
    </row>
    <row r="788">
      <c r="A788">
        <f>Skills!A16</f>
        <v/>
      </c>
      <c r="B788">
        <f>Skills!B16</f>
        <v/>
      </c>
      <c r="C788">
        <f>Inputs!$B$3&gt;=110</f>
        <v/>
      </c>
      <c r="D788">
        <f>IF(Skills!C16=1,60+Inputs!$B$24+Inputs!$B$28,IF(Skills!C16=2,90+Inputs!$B$25+Inputs!$B$28,IF(Skills!C16=3,120+Inputs!$B$26+Inputs!$B$28,MAX(0,(Inputs!$B$3-100)*3)+Inputs!$B$27+Inputs!$B$28)))</f>
        <v/>
      </c>
      <c r="E788">
        <f>INDEX(FactorTable!$B$2:$Y$301, MATCH(ROUND(MIN(300,MAX(1,D788)),0), FactorTable!$A$2:$A$301,0), Skills!L16+1)</f>
        <v/>
      </c>
      <c r="F788">
        <f>(Skills!K16/10)*(E788/1000)*64/45+Skills!N16</f>
        <v/>
      </c>
      <c r="G788">
        <f>Calc!G16</f>
        <v/>
      </c>
      <c r="H788">
        <f>Calc!H16</f>
        <v/>
      </c>
      <c r="I788">
        <f>IF(Skills!T16&lt;&gt;"",1+(Skills!T16/10)*(R775/1000)/100,1)</f>
        <v/>
      </c>
      <c r="J788" t="inlineStr"/>
      <c r="K788" t="inlineStr"/>
      <c r="L788" t="inlineStr"/>
      <c r="M788" t="inlineStr"/>
      <c r="N788" t="inlineStr"/>
      <c r="O788" t="n">
        <v>0</v>
      </c>
      <c r="P788">
        <f>IF(B806=0,0,O788/B806)</f>
        <v/>
      </c>
      <c r="S788">
        <f>IF(AND(Inputs!$B$4&lt;&gt;"pvp",Inputs!$B$35&gt;0),(INT(Inputs!$B$35/IF(Inputs!$B$4="pvp",15,MAX(0.1,Skills!D16-IF(Skills!E16=TRUE,Inputs!$B$31,0))))+1),0)</f>
        <v/>
      </c>
      <c r="V788">
        <f>IFERROR(1/IF(Inputs!$B$4="pvp",15,MAX(0.1,Skills!D16-IF(Skills!E16=TRUE,Inputs!$B$31,0))),0)</f>
        <v/>
      </c>
    </row>
    <row r="789">
      <c r="A789">
        <f>Skills!A17</f>
        <v/>
      </c>
      <c r="B789">
        <f>Skills!B17</f>
        <v/>
      </c>
      <c r="C789">
        <f>Inputs!$B$3&gt;=33</f>
        <v/>
      </c>
      <c r="D789">
        <f>IF(Skills!C17=1,60+Inputs!$B$24+Inputs!$B$28,IF(Skills!C17=2,90+Inputs!$B$25+Inputs!$B$28,IF(Skills!C17=3,120+Inputs!$B$26+Inputs!$B$28,MAX(0,(Inputs!$B$3-100)*3)+Inputs!$B$27+Inputs!$B$28)))</f>
        <v/>
      </c>
      <c r="E789">
        <f>INDEX(FactorTable!$B$2:$Y$301, MATCH(ROUND(MIN(300,MAX(1,D789)),0), FactorTable!$A$2:$A$301,0), Skills!L17+1)</f>
        <v/>
      </c>
      <c r="F789">
        <f>IF(Skills!M17=TRUE,(Skills!K17/10)*(E789/1000),Skills!K17/10)+Skills!N17</f>
        <v/>
      </c>
      <c r="G789">
        <f>Calc!G17</f>
        <v/>
      </c>
      <c r="H789">
        <f>Calc!H17</f>
        <v/>
      </c>
      <c r="I789">
        <f>IF(Skills!T17&lt;&gt;"",1+(Skills!T17/10)*(R775/1000)/100,1)</f>
        <v/>
      </c>
      <c r="J789" t="inlineStr"/>
      <c r="K789" t="inlineStr"/>
      <c r="L789" t="inlineStr"/>
      <c r="M789" t="inlineStr"/>
      <c r="N789" t="inlineStr"/>
      <c r="O789" t="n">
        <v>0</v>
      </c>
      <c r="P789">
        <f>IF(B806=0,0,O789/B806)</f>
        <v/>
      </c>
      <c r="S789" t="n">
        <v>0</v>
      </c>
      <c r="V789">
        <f>IFERROR(1/IF(Inputs!$B$4="pvp",15,MAX(0.1,Skills!D17-IF(Skills!E17=TRUE,Inputs!$B$31,0))),0)</f>
        <v/>
      </c>
    </row>
    <row r="790">
      <c r="A790">
        <f>Skills!A18</f>
        <v/>
      </c>
      <c r="B790">
        <f>Skills!B18</f>
        <v/>
      </c>
      <c r="C790">
        <f>Inputs!$B$3&gt;=43</f>
        <v/>
      </c>
      <c r="D790">
        <f>IF(Skills!C18=1,60+Inputs!$B$24+Inputs!$B$28,IF(Skills!C18=2,90+Inputs!$B$25+Inputs!$B$28,IF(Skills!C18=3,120+Inputs!$B$26+Inputs!$B$28,MAX(0,(Inputs!$B$3-100)*3)+Inputs!$B$27+Inputs!$B$28)))</f>
        <v/>
      </c>
      <c r="E790">
        <f>INDEX(FactorTable!$B$2:$Y$301, MATCH(ROUND(MIN(300,MAX(1,D790)),0), FactorTable!$A$2:$A$301,0), Skills!L18+1)</f>
        <v/>
      </c>
      <c r="F790">
        <f>IF(Skills!M18=TRUE,(Skills!K18/10)*(E790/1000),Skills!K18/10)+Skills!N18</f>
        <v/>
      </c>
      <c r="G790">
        <f>Calc!G18</f>
        <v/>
      </c>
      <c r="H790">
        <f>Calc!H18</f>
        <v/>
      </c>
      <c r="I790">
        <f>IF(Skills!T18&lt;&gt;"",1+(Skills!T18/10)*(R775/1000)/100,1)</f>
        <v/>
      </c>
      <c r="J790" t="inlineStr"/>
      <c r="K790" t="inlineStr"/>
      <c r="L790" t="inlineStr"/>
      <c r="M790" t="inlineStr"/>
      <c r="N790" t="inlineStr"/>
      <c r="O790" t="n">
        <v>0</v>
      </c>
      <c r="P790">
        <f>IF(B806=0,0,O790/B806)</f>
        <v/>
      </c>
      <c r="S790" t="n">
        <v>0</v>
      </c>
      <c r="V790">
        <f>IFERROR(1/IF(Inputs!$B$4="pvp",15,MAX(0.1,Skills!D18-IF(Skills!E18=TRUE,Inputs!$B$31,0))),0)</f>
        <v/>
      </c>
    </row>
    <row r="791">
      <c r="A791">
        <f>Skills!A19</f>
        <v/>
      </c>
      <c r="B791">
        <f>Skills!B19</f>
        <v/>
      </c>
      <c r="C791">
        <f>Inputs!$B$3&gt;=50</f>
        <v/>
      </c>
      <c r="D791">
        <f>IF(Skills!C19=1,60+Inputs!$B$24+Inputs!$B$28,IF(Skills!C19=2,90+Inputs!$B$25+Inputs!$B$28,IF(Skills!C19=3,120+Inputs!$B$26+Inputs!$B$28,MAX(0,(Inputs!$B$3-100)*3)+Inputs!$B$27+Inputs!$B$28)))</f>
        <v/>
      </c>
      <c r="E791">
        <f>INDEX(FactorTable!$B$2:$Y$301, MATCH(ROUND(MIN(300,MAX(1,D791)),0), FactorTable!$A$2:$A$301,0), Skills!L19+1)</f>
        <v/>
      </c>
      <c r="F791">
        <f>IF(Skills!M19=TRUE,(Skills!K19/10)*(E791/1000),Skills!K19/10)+Skills!N19</f>
        <v/>
      </c>
      <c r="G791">
        <f>Calc!G19</f>
        <v/>
      </c>
      <c r="H791">
        <f>Calc!H19</f>
        <v/>
      </c>
      <c r="I791">
        <f>IF(Skills!T19&lt;&gt;"",1+(Skills!T19/10)*(R775/1000)/100,1)</f>
        <v/>
      </c>
      <c r="J791" t="inlineStr"/>
      <c r="K791" t="inlineStr"/>
      <c r="L791" t="inlineStr"/>
      <c r="M791" t="inlineStr"/>
      <c r="N791" t="inlineStr"/>
      <c r="O791" t="n">
        <v>0</v>
      </c>
      <c r="P791">
        <f>IF(B806=0,0,O791/B806)</f>
        <v/>
      </c>
      <c r="S791" t="n">
        <v>0</v>
      </c>
      <c r="V791">
        <f>IFERROR(1/IF(Inputs!$B$4="pvp",15,MAX(0.1,Skills!D19-IF(Skills!E19=TRUE,Inputs!$B$31,0))),0)</f>
        <v/>
      </c>
    </row>
    <row r="792">
      <c r="A792">
        <f>Skills!A20</f>
        <v/>
      </c>
      <c r="B792">
        <f>Skills!B20</f>
        <v/>
      </c>
      <c r="C792">
        <f>Inputs!$B$3&gt;=74</f>
        <v/>
      </c>
      <c r="D792">
        <f>IF(Skills!C20=1,60+Inputs!$B$24+Inputs!$B$28,IF(Skills!C20=2,90+Inputs!$B$25+Inputs!$B$28,IF(Skills!C20=3,120+Inputs!$B$26+Inputs!$B$28,MAX(0,(Inputs!$B$3-100)*3)+Inputs!$B$27+Inputs!$B$28)))</f>
        <v/>
      </c>
      <c r="E792">
        <f>INDEX(FactorTable!$B$2:$Y$301, MATCH(ROUND(MIN(300,MAX(1,D792)),0), FactorTable!$A$2:$A$301,0), Skills!L20+1)</f>
        <v/>
      </c>
      <c r="F792">
        <f>IF(Skills!M20=TRUE,(Skills!K20/10)*(E792/1000),Skills!K20/10)+Skills!N20</f>
        <v/>
      </c>
      <c r="G792">
        <f>Calc!G20</f>
        <v/>
      </c>
      <c r="H792">
        <f>Calc!H20</f>
        <v/>
      </c>
      <c r="I792">
        <f>IF(Skills!T20&lt;&gt;"",1+(Skills!T20/10)*(R775/1000)/100,1)</f>
        <v/>
      </c>
      <c r="J792" t="inlineStr"/>
      <c r="K792" t="inlineStr"/>
      <c r="L792" t="inlineStr"/>
      <c r="M792" t="inlineStr"/>
      <c r="N792" t="inlineStr"/>
      <c r="O792" t="n">
        <v>0</v>
      </c>
      <c r="P792">
        <f>IF(B806=0,0,O792/B806)</f>
        <v/>
      </c>
      <c r="S792" t="n">
        <v>0</v>
      </c>
      <c r="V792">
        <f>IFERROR(1/IF(Inputs!$B$4="pvp",15,MAX(0.1,Skills!D20-IF(Skills!E20=TRUE,Inputs!$B$31,0))),0)</f>
        <v/>
      </c>
    </row>
    <row r="793">
      <c r="A793">
        <f>Skills!A21</f>
        <v/>
      </c>
      <c r="B793">
        <f>Skills!B21</f>
        <v/>
      </c>
      <c r="C793">
        <f>Inputs!$B$3&gt;=74</f>
        <v/>
      </c>
      <c r="D793">
        <f>IF(Skills!C21=1,60+Inputs!$B$24+Inputs!$B$28,IF(Skills!C21=2,90+Inputs!$B$25+Inputs!$B$28,IF(Skills!C21=3,120+Inputs!$B$26+Inputs!$B$28,MAX(0,(Inputs!$B$3-100)*3)+Inputs!$B$27+Inputs!$B$28)))</f>
        <v/>
      </c>
      <c r="E793">
        <f>INDEX(FactorTable!$B$2:$Y$301, MATCH(ROUND(MIN(300,MAX(1,D793)),0), FactorTable!$A$2:$A$301,0), Skills!L21+1)</f>
        <v/>
      </c>
      <c r="F793">
        <f>IF(Skills!M21=TRUE,(Skills!K21/10)*(E793/1000),Skills!K21/10)+Skills!N21</f>
        <v/>
      </c>
      <c r="G793">
        <f>Calc!G21</f>
        <v/>
      </c>
      <c r="H793">
        <f>Calc!H21</f>
        <v/>
      </c>
      <c r="I793">
        <f>IF(Skills!T21&lt;&gt;"",1+(Skills!T21/10)*(R775/1000)/100,1)</f>
        <v/>
      </c>
      <c r="J793" t="inlineStr"/>
      <c r="K793" t="inlineStr"/>
      <c r="L793" t="inlineStr"/>
      <c r="M793" t="inlineStr"/>
      <c r="N793" t="inlineStr"/>
      <c r="O793" t="n">
        <v>0</v>
      </c>
      <c r="P793">
        <f>IF(B806=0,0,O793/B806)</f>
        <v/>
      </c>
      <c r="S793" t="n">
        <v>0</v>
      </c>
      <c r="V793">
        <f>IFERROR(1/IF(Inputs!$B$4="pvp",15,MAX(0.1,Skills!D21-IF(Skills!E21=TRUE,Inputs!$B$31,0))),0)</f>
        <v/>
      </c>
    </row>
    <row r="794">
      <c r="A794">
        <f>Skills!A22</f>
        <v/>
      </c>
      <c r="B794">
        <f>Skills!B22</f>
        <v/>
      </c>
      <c r="C794">
        <f>Inputs!$B$3&gt;=117</f>
        <v/>
      </c>
      <c r="D794">
        <f>IF(Skills!C22=1,60+Inputs!$B$24+Inputs!$B$28,IF(Skills!C22=2,90+Inputs!$B$25+Inputs!$B$28,IF(Skills!C22=3,120+Inputs!$B$26+Inputs!$B$28,MAX(0,(Inputs!$B$3-100)*3)+Inputs!$B$27+Inputs!$B$28)))</f>
        <v/>
      </c>
      <c r="E794">
        <f>INDEX(FactorTable!$B$2:$Y$301, MATCH(ROUND(MIN(300,MAX(1,D794)),0), FactorTable!$A$2:$A$301,0), Skills!L22+1)</f>
        <v/>
      </c>
      <c r="F794">
        <f>IF(Skills!M22=TRUE,(Skills!K22/10)*(E794/1000),Skills!K22/10)+Skills!N22</f>
        <v/>
      </c>
      <c r="G794">
        <f>Calc!G22</f>
        <v/>
      </c>
      <c r="H794">
        <f>Calc!H22</f>
        <v/>
      </c>
      <c r="I794">
        <f>IF(Skills!T22&lt;&gt;"",1+(Skills!T22/10)*(R775/1000)/100,1)</f>
        <v/>
      </c>
      <c r="J794" t="inlineStr"/>
      <c r="K794" t="inlineStr"/>
      <c r="L794" t="inlineStr"/>
      <c r="M794" t="inlineStr"/>
      <c r="N794" t="inlineStr"/>
      <c r="O794" t="n">
        <v>0</v>
      </c>
      <c r="P794">
        <f>IF(B806=0,0,O794/B806)</f>
        <v/>
      </c>
      <c r="S794" t="n">
        <v>0</v>
      </c>
      <c r="V794">
        <f>IFERROR(1/IF(Inputs!$B$4="pvp",15,MAX(0.1,Skills!D22-IF(Skills!E22=TRUE,Inputs!$B$31,0))),0)</f>
        <v/>
      </c>
    </row>
    <row r="795">
      <c r="A795">
        <f>Skills!A23</f>
        <v/>
      </c>
      <c r="B795">
        <f>Skills!B23</f>
        <v/>
      </c>
      <c r="C795">
        <f>Inputs!$B$3&gt;=120</f>
        <v/>
      </c>
      <c r="D795">
        <f>IF(Skills!C23=1,60+Inputs!$B$24+Inputs!$B$28,IF(Skills!C23=2,90+Inputs!$B$25+Inputs!$B$28,IF(Skills!C23=3,120+Inputs!$B$26+Inputs!$B$28,MAX(0,(Inputs!$B$3-100)*3)+Inputs!$B$27+Inputs!$B$28)))</f>
        <v/>
      </c>
      <c r="E795">
        <f>INDEX(FactorTable!$B$2:$Y$301, MATCH(ROUND(MIN(300,MAX(1,D795)),0), FactorTable!$A$2:$A$301,0), Skills!L23+1)</f>
        <v/>
      </c>
      <c r="F795">
        <f>IF(Skills!M23=TRUE,(Skills!K23/10)*(E795/1000),Skills!K23/10)+Skills!N23</f>
        <v/>
      </c>
      <c r="G795">
        <f>Calc!G23</f>
        <v/>
      </c>
      <c r="H795">
        <f>Calc!H23</f>
        <v/>
      </c>
      <c r="I795">
        <f>IF(Skills!T23&lt;&gt;"",1+(Skills!T23/10)*(R775/1000)/100,1)</f>
        <v/>
      </c>
      <c r="J795" t="inlineStr"/>
      <c r="K795" t="inlineStr"/>
      <c r="L795" t="inlineStr"/>
      <c r="M795" t="inlineStr"/>
      <c r="N795" t="inlineStr"/>
      <c r="O795" t="n">
        <v>0</v>
      </c>
      <c r="P795">
        <f>IF(B806=0,0,O795/B806)</f>
        <v/>
      </c>
      <c r="S795" t="n">
        <v>0</v>
      </c>
      <c r="V795">
        <f>IFERROR(1/IF(Inputs!$B$4="pvp",15,MAX(0.1,Skills!D23-IF(Skills!E23=TRUE,Inputs!$B$31,0))),0)</f>
        <v/>
      </c>
    </row>
    <row r="798">
      <c r="A798" t="inlineStr">
        <is>
          <t>Average Buff Multiplier (Magic Guard + Meditation, summed; then Infinity)</t>
        </is>
      </c>
      <c r="B798">
        <f>(1+(IF(C775=TRUE,F775*IF(AND(Inputs!$B$4&lt;&gt;"pvp",Inputs!$B$35&gt;0),(((S775-1)*(Skills!S3*(1+(Inputs!$B$33+IF(Inputs!$B$3&gt;=117,F794,0))/100))+MIN((Skills!S3*(1+(Inputs!$B$33+IF(Inputs!$B$3&gt;=117,F794,0))/100)),MAX(0,Inputs!$B$35-((S775-1)*Skills!D3))))/Inputs!$B$35),IF(Inputs!$B$4="pvp",MIN((Skills!S3*(1+(Inputs!$B$33+IF(Inputs!$B$3&gt;=117,F794,0))/100)),15)/15,(Skills!S3*(1+(Inputs!$B$33+IF(Inputs!$B$3&gt;=117,F794,0))/100))/Skills!D3)),0)+IF(C776=TRUE,F776*IF(AND(Inputs!$B$4&lt;&gt;"pvp",Inputs!$B$35&gt;0),(((S776-1)*(Skills!S4*(1+(Inputs!$B$33+IF(Inputs!$B$3&gt;=117,F794,0))/100))+MIN((Skills!S4*(1+(Inputs!$B$33+IF(Inputs!$B$3&gt;=117,F794,0))/100)),MAX(0,Inputs!$B$35-((S776-1)*Skills!D4))))/Inputs!$B$35),IF(Inputs!$B$4="pvp",MIN((Skills!S4*(1+(Inputs!$B$33+IF(Inputs!$B$3&gt;=117,F794,0))/100)),15)/15,(Skills!S4*(1+(Inputs!$B$33+IF(Inputs!$B$3&gt;=117,F794,0))/100))/Skills!D4)),0))/100)*IF(C788=TRUE,(1+F788*IF(AND(Inputs!$B$4&lt;&gt;"pvp",Inputs!$B$35&gt;0),(((S788-1)*(Skills!S16*(1+(Inputs!$B$33+IF(Inputs!$B$3&gt;=117,F794,0))/100))+MIN((Skills!S16*(1+(Inputs!$B$33+IF(Inputs!$B$3&gt;=117,F794,0))/100)),MAX(0,Inputs!$B$35-((S788-1)*Skills!D16))))/Inputs!$B$35),IF(Inputs!$B$4="pvp",MIN((Skills!S16*(1+(Inputs!$B$33+IF(Inputs!$B$3&gt;=117,F794,0))/100)),15)/15,(Skills!S16*(1+(Inputs!$B$33+IF(Inputs!$B$3&gt;=117,F794,0))/100))/Skills!D16))/100),1)</f>
        <v/>
      </c>
    </row>
    <row r="799">
      <c r="A799" t="inlineStr">
        <is>
          <t>Monster Damage Taken Bonus % (Freezing Breath - Weaken + Elemental Reset, summed)</t>
        </is>
      </c>
      <c r="B799">
        <f>IF(Inputs!$B$3&gt;=118,15*IF(Inputs!$B$4="pvp",MIN((30*(1+(Inputs!$B$33+IF(Inputs!$B$3&gt;=117,F794,0))/100)),15)/15,(30*(1+(Inputs!$B$33+IF(Inputs!$B$3&gt;=117,F794,0))/100))/Skills!D8),0)+IF(C786=TRUE,F786,0)</f>
        <v/>
      </c>
    </row>
    <row r="800">
      <c r="A800" t="inlineStr">
        <is>
          <t>Damage % Bonus (Frozen Break + Frost Clutch, flat)</t>
        </is>
      </c>
      <c r="B800">
        <f>IF(Inputs!$B$3&gt;=66,15,0)+IF(Inputs!$B$3&gt;=98,10,0)+IF(Inputs!$B$3&gt;=125,20,0)</f>
        <v/>
      </c>
    </row>
    <row r="801">
      <c r="A801" t="inlineStr">
        <is>
          <t>Attack Speed Bonus % (MP Eater - MP Boost, always-on once unlocked)</t>
        </is>
      </c>
      <c r="B801">
        <f>IF(C785=TRUE,F785+(F789-Calc!F17),0)</f>
        <v/>
      </c>
    </row>
    <row r="802">
      <c r="A802" t="inlineStr">
        <is>
          <t>Actions Per Second</t>
        </is>
      </c>
      <c r="B802">
        <f>1+MIN(150,150*(1-(1-Inputs!$B$10/150)*(1-B801/150)))/100</f>
        <v/>
      </c>
    </row>
    <row r="803">
      <c r="A803" t="inlineStr">
        <is>
          <t>Skill + Buff Cast Rate</t>
        </is>
      </c>
      <c r="B803">
        <f>IF(AND(Inputs!$B$4&lt;&gt;"pvp",Inputs!$B$35&gt;0),SUMPRODUCT((Skills!E2:E23=TRUE)*(C774:C795=TRUE)*S774:S795)/Inputs!$B$35,SUMPRODUCT((Skills!E2:E23=TRUE)*(C774:C795=TRUE)*V774:V795))</f>
        <v/>
      </c>
    </row>
    <row r="804">
      <c r="A804" t="inlineStr">
        <is>
          <t>Chain Lightning Casts Per Second</t>
        </is>
      </c>
      <c r="B804">
        <f>MAX(0,B802-B803)</f>
        <v/>
      </c>
    </row>
    <row r="806">
      <c r="A806" s="5" t="inlineStr">
        <is>
          <t>TOTAL DPS</t>
        </is>
      </c>
      <c r="B806" s="5">
        <f>SUM(O774:O795)</f>
        <v/>
      </c>
    </row>
    <row r="809">
      <c r="A809" s="5" t="inlineStr">
        <is>
          <t>Stat: ATTACK %</t>
        </is>
      </c>
    </row>
    <row r="810">
      <c r="A810" s="8" t="inlineStr">
        <is>
          <t>Key</t>
        </is>
      </c>
      <c r="B810" s="8" t="inlineStr">
        <is>
          <t>Name</t>
        </is>
      </c>
      <c r="C810" s="8" t="inlineStr">
        <is>
          <t>Unlocked</t>
        </is>
      </c>
      <c r="D810" s="8" t="inlineStr">
        <is>
          <t>InputLevel</t>
        </is>
      </c>
      <c r="E810" s="8" t="inlineStr">
        <is>
          <t>Factor</t>
        </is>
      </c>
      <c r="F810" s="8" t="inlineStr">
        <is>
          <t>CoefficientPercent</t>
        </is>
      </c>
      <c r="G810" s="8" t="inlineStr">
        <is>
          <t>EffectiveHits</t>
        </is>
      </c>
      <c r="H810" s="8" t="inlineStr">
        <is>
          <t>ProcProbability</t>
        </is>
      </c>
      <c r="I810" s="8" t="inlineStr">
        <is>
          <t>MapleHeroMultiplier</t>
        </is>
      </c>
      <c r="J810" s="8" t="inlineStr">
        <is>
          <t>BaseDamage</t>
        </is>
      </c>
      <c r="K810" s="8" t="inlineStr">
        <is>
          <t>BaseHitDamage</t>
        </is>
      </c>
      <c r="L810" s="8" t="inlineStr">
        <is>
          <t>NonCritAvg</t>
        </is>
      </c>
      <c r="M810" s="8" t="inlineStr">
        <is>
          <t>CritAvg</t>
        </is>
      </c>
      <c r="N810" s="8" t="inlineStr">
        <is>
          <t>ExpectedDamage(perHit)</t>
        </is>
      </c>
      <c r="O810" s="8" t="inlineStr">
        <is>
          <t>DPS</t>
        </is>
      </c>
      <c r="P810" s="8" t="inlineStr">
        <is>
          <t>% of Total</t>
        </is>
      </c>
      <c r="R810" t="inlineStr">
        <is>
          <t>helpers</t>
        </is>
      </c>
    </row>
    <row r="811">
      <c r="A811">
        <f>Skills!A2</f>
        <v/>
      </c>
      <c r="B811">
        <f>Skills!B2</f>
        <v/>
      </c>
      <c r="C811">
        <f>Inputs!$B$3&gt;=100</f>
        <v/>
      </c>
      <c r="D811" t="inlineStr"/>
      <c r="E811" t="inlineStr"/>
      <c r="F811">
        <f>T813+Skills!N2</f>
        <v/>
      </c>
      <c r="G811">
        <f>Calc!G2</f>
        <v/>
      </c>
      <c r="H811">
        <f>Calc!H2</f>
        <v/>
      </c>
      <c r="I811">
        <f>IF(Skills!T2&lt;&gt;"",1+(Skills!T2/10)*(R812/1000)/100,1)</f>
        <v/>
      </c>
      <c r="J811">
        <f>((Inputs!$B$5*(1+(Inputs!$B$6+1)/100))+((Inputs!$B$11*(1+Inputs!$B$12/100))-(Inputs!$B$11*(1+Inputs!$B$12/100)))*(1+(Inputs!$B$6+1)/100))*(F811/100)</f>
        <v/>
      </c>
      <c r="K811">
        <f>J811*(1+((Inputs!$B$11*(1+Inputs!$B$12/100))*0.01+Inputs!$B$13*0.0025)/100)*(1+(Inputs!$B$14+B837)/100)*(1+IF(Inputs!$B$4="pvp",0,(1-Summary!$B$51)*(Inputs!$B$19+Skills!O2+B836)+Summary!$B$51*(Inputs!$B$20+Skills!P2+B836))/100)*(1+Inputs!$B$15/100)*(5000/(6000+Inputs!$B$7*(1-Inputs!$B$18/100)))*(1+Inputs!$B$23/100)*(1+IF(C824=TRUE,F824,0)/100)*(1+IF(C832=TRUE,F832,0)/100)^5*(1+(IF(Skills!A2="CHAIN_LIGHTNING",Inputs!$B$16,Inputs!$B$17))/100)*(B835*I811)</f>
        <v/>
      </c>
      <c r="L811">
        <f>K811*(MIN(Inputs!$B$21+(F827-Calc!F18),Inputs!$B$22)/100+Inputs!$B$22/100)/2</f>
        <v/>
      </c>
      <c r="M811">
        <f>L811*(1+(Inputs!$B$9+(F830-Calc!F21))/100)</f>
        <v/>
      </c>
      <c r="N811">
        <f>L811*(1-MIN(Inputs!$B$8+((F829-Calc!F20)+(F828-Calc!F19)),100)/100)+M811*(MIN(Inputs!$B$8+((F829-Calc!F20)+(F828-Calc!F19)),100)/100)</f>
        <v/>
      </c>
      <c r="O811">
        <f>IF(C811,Skills!F2*N811*B841*IF(Inputs!$B$4="pvp",1,(1-Summary!$B$51)*(1)+Summary!$B$51*(MIN((6+Inputs!$B$32),Inputs!$B$37))),0)</f>
        <v/>
      </c>
      <c r="P811">
        <f>IF(B843=0,0,O811/B843)</f>
        <v/>
      </c>
      <c r="R811">
        <f>MAX(0,(Inputs!$B$3-100)*3)+Inputs!$B$27+Inputs!$B$28</f>
        <v/>
      </c>
      <c r="S811" t="n">
        <v>0</v>
      </c>
      <c r="T811">
        <f>MAX(0,(Inputs!$B$3-100)*3)+Inputs!$B$27+Inputs!$B$28</f>
        <v/>
      </c>
      <c r="V811">
        <f>IFERROR(1/IF(Inputs!$B$4="pvp",15,MAX(0.1,Skills!D2-IF(Skills!E2=TRUE,Inputs!$B$31,0))),0)</f>
        <v/>
      </c>
    </row>
    <row r="812">
      <c r="A812">
        <f>Skills!A3</f>
        <v/>
      </c>
      <c r="B812">
        <f>Skills!B3</f>
        <v/>
      </c>
      <c r="C812">
        <f>Inputs!$B$3&gt;=15</f>
        <v/>
      </c>
      <c r="D812">
        <f>IF(Skills!C3=1,60+Inputs!$B$24+Inputs!$B$28,IF(Skills!C3=2,90+Inputs!$B$25+Inputs!$B$28,IF(Skills!C3=3,120+Inputs!$B$26+Inputs!$B$28,MAX(0,(Inputs!$B$3-100)*3)+Inputs!$B$27+Inputs!$B$28)))</f>
        <v/>
      </c>
      <c r="E812">
        <f>INDEX(FactorTable!$B$2:$Y$301, MATCH(ROUND(MIN(300,MAX(1,D812)),0), FactorTable!$A$2:$A$301,0), Skills!L3+1)</f>
        <v/>
      </c>
      <c r="F812">
        <f>IF(Skills!M3=TRUE,(Skills!K3/10)*(E812/1000),Skills!K3/10)+Skills!N3</f>
        <v/>
      </c>
      <c r="G812">
        <f>Calc!G3</f>
        <v/>
      </c>
      <c r="H812">
        <f>Calc!H3</f>
        <v/>
      </c>
      <c r="I812">
        <f>IF(Skills!T3&lt;&gt;"",1+(Skills!T3/10)*(R812/1000)/100,1)</f>
        <v/>
      </c>
      <c r="J812" t="inlineStr"/>
      <c r="K812" t="inlineStr"/>
      <c r="L812" t="inlineStr"/>
      <c r="M812" t="inlineStr"/>
      <c r="N812" t="inlineStr"/>
      <c r="O812" t="n">
        <v>0</v>
      </c>
      <c r="P812">
        <f>IF(B843=0,0,O812/B843)</f>
        <v/>
      </c>
      <c r="R812">
        <f>INDEX(FactorTable!$B$2:$Y$301, MATCH(ROUND(MIN(300,MAX(1,R811)),0), FactorTable!$A$2:$A$301,0), 24)</f>
        <v/>
      </c>
      <c r="S812">
        <f>IF(AND(Inputs!$B$4&lt;&gt;"pvp",Inputs!$B$35&gt;0),(INT(Inputs!$B$35/IF(Inputs!$B$4="pvp",15,MAX(0.1,Skills!D3-IF(Skills!E3=TRUE,Inputs!$B$31,0))))+1),0)</f>
        <v/>
      </c>
      <c r="T812">
        <f>INDEX(FactorTable!$B$2:$Y$301, MATCH(ROUND(MIN(300,MAX(1,T811)),0), FactorTable!$A$2:$A$301,0), 22)</f>
        <v/>
      </c>
      <c r="V812">
        <f>IFERROR(1/IF(Inputs!$B$4="pvp",15,MAX(0.1,Skills!D3-IF(Skills!E3=TRUE,Inputs!$B$31,0))),0)</f>
        <v/>
      </c>
    </row>
    <row r="813">
      <c r="A813">
        <f>Skills!A4</f>
        <v/>
      </c>
      <c r="B813">
        <f>Skills!B4</f>
        <v/>
      </c>
      <c r="C813">
        <f>Inputs!$B$3&gt;=40</f>
        <v/>
      </c>
      <c r="D813">
        <f>IF(Skills!C4=1,60+Inputs!$B$24+Inputs!$B$28,IF(Skills!C4=2,90+Inputs!$B$25+Inputs!$B$28,IF(Skills!C4=3,120+Inputs!$B$26+Inputs!$B$28,MAX(0,(Inputs!$B$3-100)*3)+Inputs!$B$27+Inputs!$B$28)))</f>
        <v/>
      </c>
      <c r="E813">
        <f>INDEX(FactorTable!$B$2:$Y$301, MATCH(ROUND(MIN(300,MAX(1,D813)),0), FactorTable!$A$2:$A$301,0), Skills!L4+1)</f>
        <v/>
      </c>
      <c r="F813">
        <f>IF(Skills!M4=TRUE,(Skills!K4/10)*(E813/1000),Skills!K4/10)+Skills!N4</f>
        <v/>
      </c>
      <c r="G813">
        <f>Calc!G4</f>
        <v/>
      </c>
      <c r="H813">
        <f>Calc!H4</f>
        <v/>
      </c>
      <c r="I813">
        <f>IF(Skills!T4&lt;&gt;"",1+(Skills!T4/10)*(R812/1000)/100,1)</f>
        <v/>
      </c>
      <c r="J813" t="inlineStr"/>
      <c r="K813" t="inlineStr"/>
      <c r="L813" t="inlineStr"/>
      <c r="M813" t="inlineStr"/>
      <c r="N813" t="inlineStr"/>
      <c r="O813" t="n">
        <v>0</v>
      </c>
      <c r="P813">
        <f>IF(B843=0,0,O813/B843)</f>
        <v/>
      </c>
      <c r="S813">
        <f>IF(AND(Inputs!$B$4&lt;&gt;"pvp",Inputs!$B$35&gt;0),(INT(Inputs!$B$35/IF(Inputs!$B$4="pvp",15,MAX(0.1,Skills!D4-IF(Skills!E4=TRUE,Inputs!$B$31,0))))+1),0)</f>
        <v/>
      </c>
      <c r="T813">
        <f>290*T812/1000</f>
        <v/>
      </c>
      <c r="V813">
        <f>IFERROR(1/IF(Inputs!$B$4="pvp",15,MAX(0.1,Skills!D4-IF(Skills!E4=TRUE,Inputs!$B$31,0))),0)</f>
        <v/>
      </c>
    </row>
    <row r="814">
      <c r="A814">
        <f>Skills!A5</f>
        <v/>
      </c>
      <c r="B814">
        <f>Skills!B5</f>
        <v/>
      </c>
      <c r="C814">
        <f>Inputs!$B$3&gt;=38</f>
        <v/>
      </c>
      <c r="D814">
        <f>IF(Skills!C5=1,60+Inputs!$B$24+Inputs!$B$28,IF(Skills!C5=2,90+Inputs!$B$25+Inputs!$B$28,IF(Skills!C5=3,120+Inputs!$B$26+Inputs!$B$28,MAX(0,(Inputs!$B$3-100)*3)+Inputs!$B$27+Inputs!$B$28)))</f>
        <v/>
      </c>
      <c r="E814">
        <f>INDEX(FactorTable!$B$2:$Y$301, MATCH(ROUND(MIN(300,MAX(1,D814)),0), FactorTable!$A$2:$A$301,0), Skills!L5+1)</f>
        <v/>
      </c>
      <c r="F814">
        <f>IF(Skills!M5=TRUE,(Skills!K5/10)*(E814/1000),Skills!K5/10)+Skills!N5</f>
        <v/>
      </c>
      <c r="G814">
        <f>Calc!G5</f>
        <v/>
      </c>
      <c r="H814">
        <f>Calc!H5</f>
        <v/>
      </c>
      <c r="I814">
        <f>IF(Skills!T5&lt;&gt;"",1+(Skills!T5/10)*(R812/1000)/100,1)</f>
        <v/>
      </c>
      <c r="J814">
        <f>((Inputs!$B$5*(1+(Inputs!$B$6+1)/100))+((Inputs!$B$11*(1+Inputs!$B$12/100))-(Inputs!$B$11*(1+Inputs!$B$12/100)))*(1+(Inputs!$B$6+1)/100))*(F814/100)</f>
        <v/>
      </c>
      <c r="K814">
        <f>J814*(1+((Inputs!$B$11*(1+Inputs!$B$12/100))*0.01+Inputs!$B$13*0.0025)/100)*(1+(Inputs!$B$14+B837)/100)*(1+IF(Inputs!$B$4="pvp",0,(1-Summary!$B$51)*(Inputs!$B$19+Skills!O5+B836)+Summary!$B$51*(Inputs!$B$20+Skills!P5+B836))/100)*(1+Inputs!$B$15/100)*(5000/(6000+Inputs!$B$7*(1-Inputs!$B$18/100)))*(1+Inputs!$B$23/100)*(1+IF(C824=TRUE,F824,0)/100)*(1+IF(C832=TRUE,F832,0)/100)^5*(1+(IF(Skills!A5="CHAIN_LIGHTNING",Inputs!$B$16,Inputs!$B$17))/100)*(B835*I814)</f>
        <v/>
      </c>
      <c r="L814">
        <f>K814*(MIN(Inputs!$B$21+(F827-Calc!F18),Inputs!$B$22)/100+Inputs!$B$22/100)/2</f>
        <v/>
      </c>
      <c r="M814">
        <f>L814*(1+(Inputs!$B$9+(F830-Calc!F21))/100)</f>
        <v/>
      </c>
      <c r="N814">
        <f>L814*(1-MIN(Inputs!$B$8+((F829-Calc!F20)+(F828-Calc!F19)),100)/100)+M814*(MIN(Inputs!$B$8+((F829-Calc!F20)+(F828-Calc!F19)),100)/100)</f>
        <v/>
      </c>
      <c r="O814">
        <f>IF(C814,H814*N814*IF(AND(Inputs!$B$4&lt;&gt;"pvp",Inputs!$B$35&gt;0),((Skills!F5*((S814-1)*IF(Skills!G5&gt;0,Skills!H5/Skills!G5,1)+IF(Skills!G5&gt;0,MIN(Skills!H5,MAX(0,Inputs!$B$35-((S814-1)*IF(Inputs!$B$4="pvp",15,MAX(0.1,Skills!D5-IF(Skills!E5=TRUE,Inputs!$B$31,0))))))/Skills!G5,1)))/Inputs!$B$35),G814*V814)*IF(Inputs!$B$4="pvp",1,(1-Summary!$B$51)*(1)+Summary!$B$51*(MIN(Skills!Q5,Inputs!$B$37))),0)</f>
        <v/>
      </c>
      <c r="P814">
        <f>IF(B843=0,0,O814/B843)</f>
        <v/>
      </c>
      <c r="S814">
        <f>IF(AND(Inputs!$B$4&lt;&gt;"pvp",Inputs!$B$35&gt;0),(INT(Inputs!$B$35/IF(Inputs!$B$4="pvp",15,MAX(0.1,Skills!D5-IF(Skills!E5=TRUE,Inputs!$B$31,0))))+1),0)</f>
        <v/>
      </c>
      <c r="V814">
        <f>IFERROR(1/IF(Inputs!$B$4="pvp",15,MAX(0.1,Skills!D5-IF(Skills!E5=TRUE,Inputs!$B$31,0))),0)</f>
        <v/>
      </c>
    </row>
    <row r="815">
      <c r="A815">
        <f>Skills!A6</f>
        <v/>
      </c>
      <c r="B815">
        <f>Skills!B6</f>
        <v/>
      </c>
      <c r="C815">
        <f>Inputs!$B$3&gt;=63</f>
        <v/>
      </c>
      <c r="D815">
        <f>IF(Skills!C6=1,60+Inputs!$B$24+Inputs!$B$28,IF(Skills!C6=2,90+Inputs!$B$25+Inputs!$B$28,IF(Skills!C6=3,120+Inputs!$B$26+Inputs!$B$28,MAX(0,(Inputs!$B$3-100)*3)+Inputs!$B$27+Inputs!$B$28)))</f>
        <v/>
      </c>
      <c r="E815">
        <f>INDEX(FactorTable!$B$2:$Y$301, MATCH(ROUND(MIN(300,MAX(1,D815)),0), FactorTable!$A$2:$A$301,0), Skills!L6+1)</f>
        <v/>
      </c>
      <c r="F815">
        <f>IF(Skills!M6=TRUE,(Skills!K6/10)*(E815/1000),Skills!K6/10)+Skills!N6</f>
        <v/>
      </c>
      <c r="G815">
        <f>Calc!G6</f>
        <v/>
      </c>
      <c r="H815">
        <f>Calc!H6</f>
        <v/>
      </c>
      <c r="I815">
        <f>IF(Skills!T6&lt;&gt;"",1+(Skills!T6/10)*(R812/1000)/100,1)</f>
        <v/>
      </c>
      <c r="J815">
        <f>((Inputs!$B$5*(1+(Inputs!$B$6+1)/100))+((Inputs!$B$11*(1+Inputs!$B$12/100))-(Inputs!$B$11*(1+Inputs!$B$12/100)))*(1+(Inputs!$B$6+1)/100))*(F815/100)</f>
        <v/>
      </c>
      <c r="K815">
        <f>J815*(1+((Inputs!$B$11*(1+Inputs!$B$12/100))*0.01+Inputs!$B$13*0.0025)/100)*(1+(Inputs!$B$14+B837)/100)*(1+IF(Inputs!$B$4="pvp",0,(1-Summary!$B$51)*(Inputs!$B$19+Skills!O6+B836)+Summary!$B$51*(Inputs!$B$20+Skills!P6+B836))/100)*(1+Inputs!$B$15/100)*(5000/(6000+Inputs!$B$7*(1-Inputs!$B$18/100)))*(1+Inputs!$B$23/100)*(1+IF(C824=TRUE,F824,0)/100)*(1+IF(C832=TRUE,F832,0)/100)^5*(1+(IF(Skills!A6="CHAIN_LIGHTNING",Inputs!$B$16,Inputs!$B$17))/100)*(B835*I815)</f>
        <v/>
      </c>
      <c r="L815">
        <f>K815*(MIN(Inputs!$B$21+(F827-Calc!F18),Inputs!$B$22)/100+Inputs!$B$22/100)/2</f>
        <v/>
      </c>
      <c r="M815">
        <f>L815*(1+(Inputs!$B$9+(F830-Calc!F21))/100)</f>
        <v/>
      </c>
      <c r="N815">
        <f>L815*(1-MIN(Inputs!$B$8+((F829-Calc!F20)+(F828-Calc!F19)),100)/100)+M815*(MIN(Inputs!$B$8+((F829-Calc!F20)+(F828-Calc!F19)),100)/100)</f>
        <v/>
      </c>
      <c r="O815">
        <f>IF(C815,H815*N815*IF(AND(Inputs!$B$4&lt;&gt;"pvp",Inputs!$B$35&gt;0),((Skills!F6*((S815-1)*IF(Skills!G6&gt;0,Skills!H6/Skills!G6,1)+IF(Skills!G6&gt;0,MIN(Skills!H6,MAX(0,Inputs!$B$35-((S815-1)*IF(Inputs!$B$4="pvp",15,MAX(0.1,Skills!D6-IF(Skills!E6=TRUE,Inputs!$B$31,0))))))/Skills!G6,1)))/Inputs!$B$35),G815*V815)*IF(Inputs!$B$4="pvp",1,(1-Summary!$B$51)*(1)+Summary!$B$51*(MIN(Skills!Q6,Inputs!$B$37))),0)</f>
        <v/>
      </c>
      <c r="P815">
        <f>IF(B843=0,0,O815/B843)</f>
        <v/>
      </c>
      <c r="S815">
        <f>IF(AND(Inputs!$B$4&lt;&gt;"pvp",Inputs!$B$35&gt;0),(INT(Inputs!$B$35/IF(Inputs!$B$4="pvp",15,MAX(0.1,Skills!D6-IF(Skills!E6=TRUE,Inputs!$B$31,0))))+1),0)</f>
        <v/>
      </c>
      <c r="V815">
        <f>IFERROR(1/IF(Inputs!$B$4="pvp",15,MAX(0.1,Skills!D6-IF(Skills!E6=TRUE,Inputs!$B$31,0))),0)</f>
        <v/>
      </c>
    </row>
    <row r="816">
      <c r="A816">
        <f>Skills!A7</f>
        <v/>
      </c>
      <c r="B816">
        <f>Skills!B7</f>
        <v/>
      </c>
      <c r="C816">
        <f>Inputs!$B$3&gt;=69</f>
        <v/>
      </c>
      <c r="D816">
        <f>IF(Skills!C7=1,60+Inputs!$B$24+Inputs!$B$28,IF(Skills!C7=2,90+Inputs!$B$25+Inputs!$B$28,IF(Skills!C7=3,120+Inputs!$B$26+Inputs!$B$28,MAX(0,(Inputs!$B$3-100)*3)+Inputs!$B$27+Inputs!$B$28)))</f>
        <v/>
      </c>
      <c r="E816">
        <f>INDEX(FactorTable!$B$2:$Y$301, MATCH(ROUND(MIN(300,MAX(1,D816)),0), FactorTable!$A$2:$A$301,0), Skills!L7+1)</f>
        <v/>
      </c>
      <c r="F816">
        <f>IF(Skills!M7=TRUE,(Skills!K7/10)*(E816/1000),Skills!K7/10)+Skills!N7</f>
        <v/>
      </c>
      <c r="G816">
        <f>Calc!G7</f>
        <v/>
      </c>
      <c r="H816">
        <f>Calc!H7</f>
        <v/>
      </c>
      <c r="I816">
        <f>IF(Skills!T7&lt;&gt;"",1+(Skills!T7/10)*(R812/1000)/100,1)</f>
        <v/>
      </c>
      <c r="J816">
        <f>((Inputs!$B$5*(1+(Inputs!$B$6+1)/100))+((Inputs!$B$11*(1+Inputs!$B$12/100))-(Inputs!$B$11*(1+Inputs!$B$12/100)))*(1+(Inputs!$B$6+1)/100))*(F816/100)</f>
        <v/>
      </c>
      <c r="K816">
        <f>J816*(1+((Inputs!$B$11*(1+Inputs!$B$12/100))*0.01+Inputs!$B$13*0.0025)/100)*(1+(Inputs!$B$14+B837)/100)*(1+IF(Inputs!$B$4="pvp",0,(1-Summary!$B$51)*(Inputs!$B$19+Skills!O7+B836)+Summary!$B$51*(Inputs!$B$20+Skills!P7+B836))/100)*(1+Inputs!$B$15/100)*(5000/(6000+Inputs!$B$7*(1-Inputs!$B$18/100)))*(1+Inputs!$B$23/100)*(1+IF(C824=TRUE,F824,0)/100)*(1+IF(C832=TRUE,F832,0)/100)^5*(1+(IF(Skills!A7="CHAIN_LIGHTNING",Inputs!$B$16,Inputs!$B$17))/100)*(B835*I816)</f>
        <v/>
      </c>
      <c r="L816">
        <f>K816*(MIN(Inputs!$B$21+(F827-Calc!F18),Inputs!$B$22)/100+Inputs!$B$22/100)/2</f>
        <v/>
      </c>
      <c r="M816">
        <f>L816*(1+(Inputs!$B$9+(F830-Calc!F21))/100)</f>
        <v/>
      </c>
      <c r="N816">
        <f>L816*(1-MIN(Inputs!$B$8+((F829-Calc!F20)+(F828-Calc!F19)),100)/100)+M816*(MIN(Inputs!$B$8+((F829-Calc!F20)+(F828-Calc!F19)),100)/100)</f>
        <v/>
      </c>
      <c r="O816">
        <f>IF(C816,H816*N816*IF(AND(Inputs!$B$4&lt;&gt;"pvp",Inputs!$B$35&gt;0),((Skills!F7*((S816-1)*IF(Skills!G7&gt;0,Skills!H7/Skills!G7,1)+IF(Skills!G7&gt;0,MIN(Skills!H7,MAX(0,Inputs!$B$35-((S816-1)*IF(Inputs!$B$4="pvp",15,MAX(0.1,Skills!D7-IF(Skills!E7=TRUE,Inputs!$B$31,0))))))/Skills!G7,1)))/Inputs!$B$35),G816*V816)*IF(Inputs!$B$4="pvp",1,(1-Summary!$B$51)*(1)+Summary!$B$51*(MIN(Skills!Q7,Inputs!$B$37))),0)</f>
        <v/>
      </c>
      <c r="P816">
        <f>IF(B843=0,0,O816/B843)</f>
        <v/>
      </c>
      <c r="S816">
        <f>IF(AND(Inputs!$B$4&lt;&gt;"pvp",Inputs!$B$35&gt;0),(INT(Inputs!$B$35/IF(Inputs!$B$4="pvp",15,MAX(0.1,Skills!D7-IF(Skills!E7=TRUE,Inputs!$B$31,0))))+1),0)</f>
        <v/>
      </c>
      <c r="V816">
        <f>IFERROR(1/IF(Inputs!$B$4="pvp",15,MAX(0.1,Skills!D7-IF(Skills!E7=TRUE,Inputs!$B$31,0))),0)</f>
        <v/>
      </c>
    </row>
    <row r="817">
      <c r="A817">
        <f>Skills!A8</f>
        <v/>
      </c>
      <c r="B817">
        <f>Skills!B8</f>
        <v/>
      </c>
      <c r="C817">
        <f>Inputs!$B$3&gt;=103</f>
        <v/>
      </c>
      <c r="D817">
        <f>IF(Skills!C8=1,60+Inputs!$B$24+Inputs!$B$28,IF(Skills!C8=2,90+Inputs!$B$25+Inputs!$B$28,IF(Skills!C8=3,120+Inputs!$B$26+Inputs!$B$28,MAX(0,(Inputs!$B$3-100)*3)+Inputs!$B$27+Inputs!$B$28)))</f>
        <v/>
      </c>
      <c r="E817">
        <f>INDEX(FactorTable!$B$2:$Y$301, MATCH(ROUND(MIN(300,MAX(1,D817)),0), FactorTable!$A$2:$A$301,0), Skills!L8+1)</f>
        <v/>
      </c>
      <c r="F817">
        <f>IF(Skills!M8=TRUE,(Skills!K8/10)*(E817/1000),Skills!K8/10)+Skills!N8</f>
        <v/>
      </c>
      <c r="G817">
        <f>Calc!G8</f>
        <v/>
      </c>
      <c r="H817">
        <f>Calc!H8</f>
        <v/>
      </c>
      <c r="I817">
        <f>IF(Skills!T8&lt;&gt;"",1+(Skills!T8/10)*(R812/1000)/100,1)</f>
        <v/>
      </c>
      <c r="J817">
        <f>((Inputs!$B$5*(1+(Inputs!$B$6+1)/100))+((Inputs!$B$11*(1+Inputs!$B$12/100))-(Inputs!$B$11*(1+Inputs!$B$12/100)))*(1+(Inputs!$B$6+1)/100))*(F817/100)</f>
        <v/>
      </c>
      <c r="K817">
        <f>J817*(1+((Inputs!$B$11*(1+Inputs!$B$12/100))*0.01+Inputs!$B$13*0.0025)/100)*(1+(Inputs!$B$14+B837)/100)*(1+IF(Inputs!$B$4="pvp",0,(1-Summary!$B$51)*(Inputs!$B$19+Skills!O8+B836)+Summary!$B$51*(Inputs!$B$20+Skills!P8+B836))/100)*(1+Inputs!$B$15/100)*(5000/(6000+Inputs!$B$7*(1-Inputs!$B$18/100)))*(1+Inputs!$B$23/100)*(1+IF(C824=TRUE,F824,0)/100)*(1+IF(C832=TRUE,F832,0)/100)^5*(1+(IF(Skills!A8="CHAIN_LIGHTNING",Inputs!$B$16,Inputs!$B$17))/100)*(B835*I817)</f>
        <v/>
      </c>
      <c r="L817">
        <f>K817*(MIN(Inputs!$B$21+(F827-Calc!F18),Inputs!$B$22)/100+Inputs!$B$22/100)/2</f>
        <v/>
      </c>
      <c r="M817">
        <f>L817*(1+(Inputs!$B$9+(F830-Calc!F21))/100)</f>
        <v/>
      </c>
      <c r="N817">
        <f>L817*(1-MIN(Inputs!$B$8+((F829-Calc!F20)+(F828-Calc!F19)),100)/100)+M817*(MIN(Inputs!$B$8+((F829-Calc!F20)+(F828-Calc!F19)),100)/100)</f>
        <v/>
      </c>
      <c r="O817">
        <f>IF(C817,H817*N817*IF(AND(Inputs!$B$4&lt;&gt;"pvp",Inputs!$B$35&gt;0),((Skills!F8*((S817-1)*IF(Skills!G8&gt;0,Skills!H8/Skills!G8,1)+IF(Skills!G8&gt;0,MIN(Skills!H8,MAX(0,Inputs!$B$35-((S817-1)*IF(Inputs!$B$4="pvp",15,MAX(0.1,Skills!D8-IF(Skills!E8=TRUE,Inputs!$B$31,0))))))/Skills!G8,1)))/Inputs!$B$35),G817*V817)*IF(Inputs!$B$4="pvp",1,(1-Summary!$B$51)*(1)+Summary!$B$51*(MIN(Skills!Q8,Inputs!$B$37))),0)</f>
        <v/>
      </c>
      <c r="P817">
        <f>IF(B843=0,0,O817/B843)</f>
        <v/>
      </c>
      <c r="S817">
        <f>IF(AND(Inputs!$B$4&lt;&gt;"pvp",Inputs!$B$35&gt;0),(INT(Inputs!$B$35/IF(Inputs!$B$4="pvp",15,MAX(0.1,Skills!D8-IF(Skills!E8=TRUE,Inputs!$B$31,0))))+1),0)</f>
        <v/>
      </c>
      <c r="V817">
        <f>IFERROR(1/IF(Inputs!$B$4="pvp",15,MAX(0.1,Skills!D8-IF(Skills!E8=TRUE,Inputs!$B$31,0))),0)</f>
        <v/>
      </c>
    </row>
    <row r="818">
      <c r="A818">
        <f>Skills!A9</f>
        <v/>
      </c>
      <c r="B818">
        <f>Skills!B9</f>
        <v/>
      </c>
      <c r="C818">
        <f>Inputs!$B$3&gt;=105</f>
        <v/>
      </c>
      <c r="D818">
        <f>IF(Skills!C9=1,60+Inputs!$B$24+Inputs!$B$28,IF(Skills!C9=2,90+Inputs!$B$25+Inputs!$B$28,IF(Skills!C9=3,120+Inputs!$B$26+Inputs!$B$28,MAX(0,(Inputs!$B$3-100)*3)+Inputs!$B$27+Inputs!$B$28)))</f>
        <v/>
      </c>
      <c r="E818">
        <f>INDEX(FactorTable!$B$2:$Y$301, MATCH(ROUND(MIN(300,MAX(1,D818)),0), FactorTable!$A$2:$A$301,0), Skills!L9+1)</f>
        <v/>
      </c>
      <c r="F818">
        <f>IF(Skills!M9=TRUE,(Skills!K9/10)*(E818/1000),Skills!K9/10)+Skills!N9</f>
        <v/>
      </c>
      <c r="G818">
        <f>Calc!G9</f>
        <v/>
      </c>
      <c r="H818">
        <f>Calc!H9</f>
        <v/>
      </c>
      <c r="I818">
        <f>IF(Skills!T9&lt;&gt;"",1+(Skills!T9/10)*(R812/1000)/100,1)</f>
        <v/>
      </c>
      <c r="J818">
        <f>((Inputs!$B$5*(1+(Inputs!$B$6+1)/100))+((Inputs!$B$11*(1+Inputs!$B$12/100))-(Inputs!$B$11*(1+Inputs!$B$12/100)))*(1+(Inputs!$B$6+1)/100))*(F818/100)</f>
        <v/>
      </c>
      <c r="K818">
        <f>J818*(1+((Inputs!$B$11*(1+Inputs!$B$12/100))*0.01+Inputs!$B$13*0.0025)/100)*(1+(Inputs!$B$14+B837)/100)*(1+IF(Inputs!$B$4="pvp",0,(1-Summary!$B$51)*(Inputs!$B$19+Skills!O9+B836)+Summary!$B$51*(Inputs!$B$20+Skills!P9+B836))/100)*(1+Inputs!$B$15/100)*(5000/(6000+Inputs!$B$7*(1-Inputs!$B$18/100)))*(1+Inputs!$B$23/100)*(1+IF(C824=TRUE,F824,0)/100)*(1+IF(C832=TRUE,F832,0)/100)^5*(1+(IF(Skills!A9="CHAIN_LIGHTNING",Inputs!$B$16,Inputs!$B$17))/100)*(B835*I818)</f>
        <v/>
      </c>
      <c r="L818">
        <f>K818*(MIN(Inputs!$B$21+(F827-Calc!F18),Inputs!$B$22)/100+Inputs!$B$22/100)/2</f>
        <v/>
      </c>
      <c r="M818">
        <f>L818*(1+(Inputs!$B$9+(F830-Calc!F21))/100)</f>
        <v/>
      </c>
      <c r="N818">
        <f>L818*(1-MIN(Inputs!$B$8+((F829-Calc!F20)+(F828-Calc!F19)),100)/100)+M818*(MIN(Inputs!$B$8+((F829-Calc!F20)+(F828-Calc!F19)),100)/100)</f>
        <v/>
      </c>
      <c r="O818">
        <f>IF(C818,H818*N818*IF(AND(Inputs!$B$4&lt;&gt;"pvp",Inputs!$B$35&gt;0),((Skills!F9*((S818-1)*IF(Skills!G9&gt;0,Skills!H9/Skills!G9,1)+IF(Skills!G9&gt;0,MIN(Skills!H9,MAX(0,Inputs!$B$35-((S818-1)*IF(Inputs!$B$4="pvp",15,MAX(0.1,Skills!D9-IF(Skills!E9=TRUE,Inputs!$B$31,0))))))/Skills!G9,1)))/Inputs!$B$35),G818*V818)*IF(Inputs!$B$4="pvp",1,(1-Summary!$B$51)*(1)+Summary!$B$51*(MIN(Skills!Q9,Inputs!$B$37))),0)</f>
        <v/>
      </c>
      <c r="P818">
        <f>IF(B843=0,0,O818/B843)</f>
        <v/>
      </c>
      <c r="S818">
        <f>IF(AND(Inputs!$B$4&lt;&gt;"pvp",Inputs!$B$35&gt;0),(INT(Inputs!$B$35/IF(Inputs!$B$4="pvp",15,MAX(0.1,Skills!D9-IF(Skills!E9=TRUE,Inputs!$B$31,0))))+1),0)</f>
        <v/>
      </c>
      <c r="V818">
        <f>IFERROR(1/IF(Inputs!$B$4="pvp",15,MAX(0.1,Skills!D9-IF(Skills!E9=TRUE,Inputs!$B$31,0))),0)</f>
        <v/>
      </c>
    </row>
    <row r="819">
      <c r="A819">
        <f>Skills!A10</f>
        <v/>
      </c>
      <c r="B819">
        <f>Skills!B10</f>
        <v/>
      </c>
      <c r="C819">
        <f>Inputs!$B$3&gt;=113</f>
        <v/>
      </c>
      <c r="D819">
        <f>IF(Skills!C10=1,60+Inputs!$B$24+Inputs!$B$28,IF(Skills!C10=2,90+Inputs!$B$25+Inputs!$B$28,IF(Skills!C10=3,120+Inputs!$B$26+Inputs!$B$28,MAX(0,(Inputs!$B$3-100)*3)+Inputs!$B$27+Inputs!$B$28)))</f>
        <v/>
      </c>
      <c r="E819">
        <f>INDEX(FactorTable!$B$2:$Y$301, MATCH(ROUND(MIN(300,MAX(1,D819)),0), FactorTable!$A$2:$A$301,0), Skills!L10+1)</f>
        <v/>
      </c>
      <c r="F819">
        <f>IF(Skills!M10=TRUE,(Skills!K10/10)*(E819/1000),Skills!K10/10)+Skills!N10</f>
        <v/>
      </c>
      <c r="G819">
        <f>Calc!G10</f>
        <v/>
      </c>
      <c r="H819">
        <f>Calc!H10</f>
        <v/>
      </c>
      <c r="I819">
        <f>IF(Skills!T10&lt;&gt;"",1+(Skills!T10/10)*(R812/1000)/100,1)</f>
        <v/>
      </c>
      <c r="J819">
        <f>((Inputs!$B$5*(1+(Inputs!$B$6+1)/100))+((Inputs!$B$11*(1+Inputs!$B$12/100))-(Inputs!$B$11*(1+Inputs!$B$12/100)))*(1+(Inputs!$B$6+1)/100))*(F819/100)</f>
        <v/>
      </c>
      <c r="K819">
        <f>J819*(1+((Inputs!$B$11*(1+Inputs!$B$12/100))*0.01+Inputs!$B$13*0.0025)/100)*(1+(Inputs!$B$14+B837)/100)*(1+IF(Inputs!$B$4="pvp",0,(1-Summary!$B$51)*(Inputs!$B$19+Skills!O10+B836)+Summary!$B$51*(Inputs!$B$20+Skills!P10+B836))/100)*(1+Inputs!$B$15/100)*(5000/(6000+Inputs!$B$7*(1-Inputs!$B$18/100)))*(1+Inputs!$B$23/100)*(1+IF(C824=TRUE,F824,0)/100)*(1+IF(C832=TRUE,F832,0)/100)^5*(1+(IF(Skills!A10="CHAIN_LIGHTNING",Inputs!$B$16,Inputs!$B$17))/100)*(B835*I819)</f>
        <v/>
      </c>
      <c r="L819">
        <f>K819*(MIN(Inputs!$B$21+(F827-Calc!F18),Inputs!$B$22)/100+Inputs!$B$22/100)/2</f>
        <v/>
      </c>
      <c r="M819">
        <f>L819*(1+(Inputs!$B$9+(F830-Calc!F21))/100)</f>
        <v/>
      </c>
      <c r="N819">
        <f>L819*(1-MIN(Inputs!$B$8+((F829-Calc!F20)+(F828-Calc!F19)),100)/100)+M819*(MIN(Inputs!$B$8+((F829-Calc!F20)+(F828-Calc!F19)),100)/100)</f>
        <v/>
      </c>
      <c r="O819">
        <f>IF(C819,H819*N819*IF(AND(Inputs!$B$4&lt;&gt;"pvp",Inputs!$B$35&gt;0),((Skills!F10*((S819-1)*IF(Skills!G10&gt;0,Skills!H10/Skills!G10,1)+IF(Skills!G10&gt;0,MIN(Skills!H10,MAX(0,Inputs!$B$35-((S819-1)*IF(Inputs!$B$4="pvp",15,MAX(0.1,Skills!D10-IF(Skills!E9=TRUE,Inputs!$B$31,0))))))/Skills!G10,1)))/Inputs!$B$35),G819*V819)*IF(Inputs!$B$4="pvp",1,(1-Summary!$B$51)*(1)+Summary!$B$51*(MIN(Skills!Q10,Inputs!$B$37))),0)</f>
        <v/>
      </c>
      <c r="P819">
        <f>IF(B843=0,0,O819/B843)</f>
        <v/>
      </c>
      <c r="S819">
        <f>IF(AND(Inputs!$B$4&lt;&gt;"pvp",Inputs!$B$35&gt;0),(INT(Inputs!$B$35/IF(Inputs!$B$4="pvp",15,MAX(0.1,Skills!D10-IF(Skills!E9=TRUE,Inputs!$B$31,0))))+1),0)</f>
        <v/>
      </c>
      <c r="V819">
        <f>IFERROR(1/IF(Inputs!$B$4="pvp",15,MAX(0.1,Skills!D10-IF(Skills!E9=TRUE,Inputs!$B$31,0))),0)</f>
        <v/>
      </c>
    </row>
    <row r="820">
      <c r="A820">
        <f>Skills!A11</f>
        <v/>
      </c>
      <c r="B820">
        <f>Skills!B11</f>
        <v/>
      </c>
      <c r="C820">
        <f>Inputs!$B$3&gt;=107</f>
        <v/>
      </c>
      <c r="D820">
        <f>IF(Skills!C11=1,60+Inputs!$B$24+Inputs!$B$28,IF(Skills!C11=2,90+Inputs!$B$25+Inputs!$B$28,IF(Skills!C11=3,120+Inputs!$B$26+Inputs!$B$28,MAX(0,(Inputs!$B$3-100)*3)+Inputs!$B$27+Inputs!$B$28)))</f>
        <v/>
      </c>
      <c r="E820">
        <f>INDEX(FactorTable!$B$2:$Y$301, MATCH(ROUND(MIN(300,MAX(1,D820)),0), FactorTable!$A$2:$A$301,0), Skills!L11+1)</f>
        <v/>
      </c>
      <c r="F820">
        <f>IF(Skills!M11=TRUE,(Skills!K11/10)*(E820/1000),Skills!K11/10)+Skills!N11</f>
        <v/>
      </c>
      <c r="G820">
        <f>Calc!G11</f>
        <v/>
      </c>
      <c r="H820">
        <f>Calc!H11</f>
        <v/>
      </c>
      <c r="I820">
        <f>IF(Skills!T11&lt;&gt;"",1+(Skills!T11/10)*(R812/1000)/100,1)</f>
        <v/>
      </c>
      <c r="J820">
        <f>((Inputs!$B$5*(1+(Inputs!$B$6+1)/100))+((Inputs!$B$11*(1+Inputs!$B$12/100))-(Inputs!$B$11*(1+Inputs!$B$12/100)))*(1+(Inputs!$B$6+1)/100))*(F820/100)</f>
        <v/>
      </c>
      <c r="K820">
        <f>J820*(1+((Inputs!$B$11*(1+Inputs!$B$12/100))*0.01+Inputs!$B$13*0.0025)/100)*(1+(Inputs!$B$14+B837)/100)*(1+IF(Inputs!$B$4="pvp",0,(1-Summary!$B$51)*(Inputs!$B$19+Skills!O11+B836)+Summary!$B$51*(Inputs!$B$20+Skills!P11+B836))/100)*(1+Inputs!$B$15/100)*(5000/(6000+Inputs!$B$7*(1-Inputs!$B$18/100)))*(1+Inputs!$B$23/100)*(1+IF(C824=TRUE,F824,0)/100)*(1+IF(C832=TRUE,F832,0)/100)^5*(1+(IF(Skills!A11="CHAIN_LIGHTNING",Inputs!$B$16,Inputs!$B$17))/100)*(B835*I820)</f>
        <v/>
      </c>
      <c r="L820">
        <f>K820*(MIN(Inputs!$B$21+(F827-Calc!F18),Inputs!$B$22)/100+Inputs!$B$22/100)/2</f>
        <v/>
      </c>
      <c r="M820">
        <f>L820*(1+(Inputs!$B$9+(F830-Calc!F21))/100)</f>
        <v/>
      </c>
      <c r="N820">
        <f>L820*(1-MIN(Inputs!$B$8+((F829-Calc!F20)+(F828-Calc!F19)),100)/100)+M820*(MIN(Inputs!$B$8+((F829-Calc!F20)+(F828-Calc!F19)),100)/100)</f>
        <v/>
      </c>
      <c r="O820">
        <f>IF(C820,H820*N820*IF(AND(Inputs!$B$4&lt;&gt;"pvp",Inputs!$B$35&gt;0),((Skills!F11*((S820-1)*IF(Skills!G11&gt;0,Skills!H11/Skills!G11,1)+IF(Skills!G11&gt;0,MIN(Skills!H11,MAX(0,Inputs!$B$35-((S820-1)*IF(Inputs!$B$4="pvp",15,MAX(0.1,Skills!D11-IF(Skills!E11=TRUE,Inputs!$B$31,0))))))/Skills!G11,1)))/Inputs!$B$35),G820*V820)*IF(Inputs!$B$4="pvp",0.5,(1-Summary!$B$51)*0.5+Summary!$B$51*1)*IF(Inputs!$B$4="pvp",1,(1-Summary!$B$51)*(1)+Summary!$B$51*(MIN(Skills!Q11,Inputs!$B$37))),0)</f>
        <v/>
      </c>
      <c r="P820">
        <f>IF(B843=0,0,O820/B843)</f>
        <v/>
      </c>
      <c r="S820">
        <f>IF(AND(Inputs!$B$4&lt;&gt;"pvp",Inputs!$B$35&gt;0),(INT(Inputs!$B$35/IF(Inputs!$B$4="pvp",15,MAX(0.1,Skills!D11-IF(Skills!E11=TRUE,Inputs!$B$31,0))))+1),0)</f>
        <v/>
      </c>
      <c r="V820">
        <f>IFERROR(1/IF(Inputs!$B$4="pvp",15,MAX(0.1,Skills!D11-IF(Skills!E11=TRUE,Inputs!$B$31,0))),0)</f>
        <v/>
      </c>
    </row>
    <row r="821">
      <c r="A821">
        <f>Skills!A12</f>
        <v/>
      </c>
      <c r="B821">
        <f>Skills!B12</f>
        <v/>
      </c>
      <c r="C821">
        <f>Inputs!$B$3&gt;=115</f>
        <v/>
      </c>
      <c r="D821">
        <f>IF(Skills!C12=1,60+Inputs!$B$24+Inputs!$B$28,IF(Skills!C12=2,90+Inputs!$B$25+Inputs!$B$28,IF(Skills!C12=3,120+Inputs!$B$26+Inputs!$B$28,MAX(0,(Inputs!$B$3-100)*3)+Inputs!$B$27+Inputs!$B$28)))</f>
        <v/>
      </c>
      <c r="E821">
        <f>INDEX(FactorTable!$B$2:$Y$301, MATCH(ROUND(MIN(300,MAX(1,D821)),0), FactorTable!$A$2:$A$301,0), Skills!L12+1)</f>
        <v/>
      </c>
      <c r="F821">
        <f>IF(Skills!M12=TRUE,(Skills!K12/10)*(E821/1000),Skills!K12/10)+Skills!N12</f>
        <v/>
      </c>
      <c r="G821">
        <f>Calc!G12</f>
        <v/>
      </c>
      <c r="H821">
        <f>Calc!H12</f>
        <v/>
      </c>
      <c r="I821">
        <f>IF(Skills!T12&lt;&gt;"",1+(Skills!T12/10)*(R812/1000)/100,1)</f>
        <v/>
      </c>
      <c r="J821">
        <f>((Inputs!$B$5*(1+(Inputs!$B$6+1)/100))+((Inputs!$B$11*(1+Inputs!$B$12/100))-(Inputs!$B$11*(1+Inputs!$B$12/100)))*(1+(Inputs!$B$6+1)/100))*(F821/100)</f>
        <v/>
      </c>
      <c r="K821">
        <f>J821*(1+((Inputs!$B$11*(1+Inputs!$B$12/100))*0.01+Inputs!$B$13*0.0025)/100)*(1+(Inputs!$B$14+B837)/100)*(1+IF(Inputs!$B$4="pvp",0,(1-Summary!$B$51)*(Inputs!$B$19+Skills!O12+B836)+Summary!$B$51*(Inputs!$B$20+Skills!P12+B836))/100)*(1+Inputs!$B$15/100)*(5000/(6000+Inputs!$B$7*(1-Inputs!$B$18/100)))*(1+Inputs!$B$23/100)*(1+IF(C824=TRUE,F824,0)/100)*(1+IF(C832=TRUE,F832,0)/100)^5*(1+(IF(Skills!A12="CHAIN_LIGHTNING",Inputs!$B$16,Inputs!$B$17))/100)*(B835*I821)</f>
        <v/>
      </c>
      <c r="L821">
        <f>K821*(MIN(Inputs!$B$21+(F827-Calc!F18),Inputs!$B$22)/100+Inputs!$B$22/100)/2</f>
        <v/>
      </c>
      <c r="M821">
        <f>L821*(1+(Inputs!$B$9+(F830-Calc!F21))/100)</f>
        <v/>
      </c>
      <c r="N821">
        <f>L821*(1-MIN(Inputs!$B$8+((F829-Calc!F20)+(F828-Calc!F19)),100)/100)+M821*(MIN(Inputs!$B$8+((F829-Calc!F20)+(F828-Calc!F19)),100)/100)</f>
        <v/>
      </c>
      <c r="O821">
        <f>IF(C821,H821*N821*IF(AND(Inputs!$B$4&lt;&gt;"pvp",Inputs!$B$35&gt;0),((Skills!F12*((S821-1)*IF(Skills!G12&gt;0,Skills!H12/Skills!G12,1)+IF(Skills!G12&gt;0,MIN(Skills!H12,MAX(0,Inputs!$B$35-((S821-1)*IF(Inputs!$B$4="pvp",15,MAX(0.1,Skills!D12-IF(Skills!E12=TRUE,Inputs!$B$31,0))))))/Skills!G12,1)))/Inputs!$B$35),G821*V821)*IF(Inputs!$B$4="pvp",1,(1-Summary!$B$51)*(1)+Summary!$B$51*(MIN(Skills!Q12,Inputs!$B$37))),0)</f>
        <v/>
      </c>
      <c r="P821">
        <f>IF(B843=0,0,O821/B843)</f>
        <v/>
      </c>
      <c r="S821">
        <f>IF(AND(Inputs!$B$4&lt;&gt;"pvp",Inputs!$B$35&gt;0),(INT(Inputs!$B$35/IF(Inputs!$B$4="pvp",15,MAX(0.1,Skills!D12-IF(Skills!E12=TRUE,Inputs!$B$31,0))))+1),0)</f>
        <v/>
      </c>
      <c r="V821">
        <f>IFERROR(1/IF(Inputs!$B$4="pvp",15,MAX(0.1,Skills!D12-IF(Skills!E12=TRUE,Inputs!$B$31,0))),0)</f>
        <v/>
      </c>
    </row>
    <row r="822">
      <c r="A822">
        <f>Skills!A13</f>
        <v/>
      </c>
      <c r="B822">
        <f>Skills!B13</f>
        <v/>
      </c>
      <c r="C822">
        <f>Inputs!$B$3&gt;=49</f>
        <v/>
      </c>
      <c r="D822">
        <f>IF(Skills!C13=1,60+Inputs!$B$24+Inputs!$B$28,IF(Skills!C13=2,90+Inputs!$B$25+Inputs!$B$28,IF(Skills!C13=3,120+Inputs!$B$26+Inputs!$B$28,MAX(0,(Inputs!$B$3-100)*3)+Inputs!$B$27+Inputs!$B$28)))</f>
        <v/>
      </c>
      <c r="E822">
        <f>INDEX(FactorTable!$B$2:$Y$301, MATCH(ROUND(MIN(300,MAX(1,D822)),0), FactorTable!$A$2:$A$301,0), Skills!L13+1)</f>
        <v/>
      </c>
      <c r="F822">
        <f>IF(Skills!M13=TRUE,(Skills!K13/10)*(E822/1000),Skills!K13/10)+Skills!N13</f>
        <v/>
      </c>
      <c r="G822">
        <f>Calc!G13</f>
        <v/>
      </c>
      <c r="H822">
        <f>Calc!H13</f>
        <v/>
      </c>
      <c r="I822">
        <f>IF(Skills!T13&lt;&gt;"",1+(Skills!T13/10)*(R812/1000)/100,1)</f>
        <v/>
      </c>
      <c r="J822" t="inlineStr"/>
      <c r="K822" t="inlineStr"/>
      <c r="L822" t="inlineStr"/>
      <c r="M822" t="inlineStr"/>
      <c r="N822" t="inlineStr"/>
      <c r="O822" t="n">
        <v>0</v>
      </c>
      <c r="P822">
        <f>IF(B843=0,0,O822/B843)</f>
        <v/>
      </c>
      <c r="S822" t="n">
        <v>0</v>
      </c>
      <c r="V822">
        <f>IFERROR(1/IF(Inputs!$B$4="pvp",15,MAX(0.1,Skills!D13-IF(Skills!E13=TRUE,Inputs!$B$31,0))),0)</f>
        <v/>
      </c>
    </row>
    <row r="823">
      <c r="A823">
        <f>Skills!A14</f>
        <v/>
      </c>
      <c r="B823">
        <f>Skills!B14</f>
        <v/>
      </c>
      <c r="C823">
        <f>Inputs!$B$3&gt;=72</f>
        <v/>
      </c>
      <c r="D823">
        <f>IF(Skills!C14=1,60+Inputs!$B$24+Inputs!$B$28,IF(Skills!C14=2,90+Inputs!$B$25+Inputs!$B$28,IF(Skills!C14=3,120+Inputs!$B$26+Inputs!$B$28,MAX(0,(Inputs!$B$3-100)*3)+Inputs!$B$27+Inputs!$B$28)))</f>
        <v/>
      </c>
      <c r="E823">
        <f>INDEX(FactorTable!$B$2:$Y$301, MATCH(ROUND(MIN(300,MAX(1,D823)),0), FactorTable!$A$2:$A$301,0), Skills!L14+1)</f>
        <v/>
      </c>
      <c r="F823">
        <f>IF(Skills!M14=TRUE,(Skills!K14/10)*(E823/1000),Skills!K14/10)+Skills!N14</f>
        <v/>
      </c>
      <c r="G823">
        <f>Calc!G14</f>
        <v/>
      </c>
      <c r="H823">
        <f>Calc!H14</f>
        <v/>
      </c>
      <c r="I823">
        <f>IF(Skills!T14&lt;&gt;"",1+(Skills!T14/10)*(R812/1000)/100,1)</f>
        <v/>
      </c>
      <c r="J823" t="inlineStr"/>
      <c r="K823" t="inlineStr"/>
      <c r="L823" t="inlineStr"/>
      <c r="M823" t="inlineStr"/>
      <c r="N823" t="inlineStr"/>
      <c r="O823" t="n">
        <v>0</v>
      </c>
      <c r="P823">
        <f>IF(B843=0,0,O823/B843)</f>
        <v/>
      </c>
      <c r="S823" t="n">
        <v>0</v>
      </c>
      <c r="V823">
        <f>IFERROR(1/IF(Inputs!$B$4="pvp",15,MAX(0.1,Skills!D14-IF(Skills!E14=TRUE,Inputs!$B$31,0))),0)</f>
        <v/>
      </c>
    </row>
    <row r="824">
      <c r="A824">
        <f>Skills!A15</f>
        <v/>
      </c>
      <c r="B824">
        <f>Skills!B15</f>
        <v/>
      </c>
      <c r="C824">
        <f>Inputs!$B$3&gt;=75</f>
        <v/>
      </c>
      <c r="D824">
        <f>IF(Skills!C15=1,60+Inputs!$B$24+Inputs!$B$28,IF(Skills!C15=2,90+Inputs!$B$25+Inputs!$B$28,IF(Skills!C15=3,120+Inputs!$B$26+Inputs!$B$28,MAX(0,(Inputs!$B$3-100)*3)+Inputs!$B$27+Inputs!$B$28)))</f>
        <v/>
      </c>
      <c r="E824">
        <f>INDEX(FactorTable!$B$2:$Y$301, MATCH(ROUND(MIN(300,MAX(1,D824)),0), FactorTable!$A$2:$A$301,0), Skills!L15+1)</f>
        <v/>
      </c>
      <c r="F824">
        <f>IF(Skills!M15=TRUE,(Skills!K15/10)*(E824/1000),Skills!K15/10)+Skills!N15</f>
        <v/>
      </c>
      <c r="G824">
        <f>Calc!G15</f>
        <v/>
      </c>
      <c r="H824">
        <f>Calc!H15</f>
        <v/>
      </c>
      <c r="I824">
        <f>IF(Skills!T15&lt;&gt;"",1+(Skills!T15/10)*(R812/1000)/100,1)</f>
        <v/>
      </c>
      <c r="J824" t="inlineStr"/>
      <c r="K824" t="inlineStr"/>
      <c r="L824" t="inlineStr"/>
      <c r="M824" t="inlineStr"/>
      <c r="N824" t="inlineStr"/>
      <c r="O824" t="n">
        <v>0</v>
      </c>
      <c r="P824">
        <f>IF(B843=0,0,O824/B843)</f>
        <v/>
      </c>
      <c r="S824" t="n">
        <v>0</v>
      </c>
      <c r="V824">
        <f>IFERROR(1/IF(Inputs!$B$4="pvp",15,MAX(0.1,Skills!D15-IF(Skills!E15=TRUE,Inputs!$B$31,0))),0)</f>
        <v/>
      </c>
    </row>
    <row r="825">
      <c r="A825">
        <f>Skills!A16</f>
        <v/>
      </c>
      <c r="B825">
        <f>Skills!B16</f>
        <v/>
      </c>
      <c r="C825">
        <f>Inputs!$B$3&gt;=110</f>
        <v/>
      </c>
      <c r="D825">
        <f>IF(Skills!C16=1,60+Inputs!$B$24+Inputs!$B$28,IF(Skills!C16=2,90+Inputs!$B$25+Inputs!$B$28,IF(Skills!C16=3,120+Inputs!$B$26+Inputs!$B$28,MAX(0,(Inputs!$B$3-100)*3)+Inputs!$B$27+Inputs!$B$28)))</f>
        <v/>
      </c>
      <c r="E825">
        <f>INDEX(FactorTable!$B$2:$Y$301, MATCH(ROUND(MIN(300,MAX(1,D825)),0), FactorTable!$A$2:$A$301,0), Skills!L16+1)</f>
        <v/>
      </c>
      <c r="F825">
        <f>(Skills!K16/10)*(E825/1000)*64/45+Skills!N16</f>
        <v/>
      </c>
      <c r="G825">
        <f>Calc!G16</f>
        <v/>
      </c>
      <c r="H825">
        <f>Calc!H16</f>
        <v/>
      </c>
      <c r="I825">
        <f>IF(Skills!T16&lt;&gt;"",1+(Skills!T16/10)*(R812/1000)/100,1)</f>
        <v/>
      </c>
      <c r="J825" t="inlineStr"/>
      <c r="K825" t="inlineStr"/>
      <c r="L825" t="inlineStr"/>
      <c r="M825" t="inlineStr"/>
      <c r="N825" t="inlineStr"/>
      <c r="O825" t="n">
        <v>0</v>
      </c>
      <c r="P825">
        <f>IF(B843=0,0,O825/B843)</f>
        <v/>
      </c>
      <c r="S825">
        <f>IF(AND(Inputs!$B$4&lt;&gt;"pvp",Inputs!$B$35&gt;0),(INT(Inputs!$B$35/IF(Inputs!$B$4="pvp",15,MAX(0.1,Skills!D16-IF(Skills!E16=TRUE,Inputs!$B$31,0))))+1),0)</f>
        <v/>
      </c>
      <c r="V825">
        <f>IFERROR(1/IF(Inputs!$B$4="pvp",15,MAX(0.1,Skills!D16-IF(Skills!E16=TRUE,Inputs!$B$31,0))),0)</f>
        <v/>
      </c>
    </row>
    <row r="826">
      <c r="A826">
        <f>Skills!A17</f>
        <v/>
      </c>
      <c r="B826">
        <f>Skills!B17</f>
        <v/>
      </c>
      <c r="C826">
        <f>Inputs!$B$3&gt;=33</f>
        <v/>
      </c>
      <c r="D826">
        <f>IF(Skills!C17=1,60+Inputs!$B$24+Inputs!$B$28,IF(Skills!C17=2,90+Inputs!$B$25+Inputs!$B$28,IF(Skills!C17=3,120+Inputs!$B$26+Inputs!$B$28,MAX(0,(Inputs!$B$3-100)*3)+Inputs!$B$27+Inputs!$B$28)))</f>
        <v/>
      </c>
      <c r="E826">
        <f>INDEX(FactorTable!$B$2:$Y$301, MATCH(ROUND(MIN(300,MAX(1,D826)),0), FactorTable!$A$2:$A$301,0), Skills!L17+1)</f>
        <v/>
      </c>
      <c r="F826">
        <f>IF(Skills!M17=TRUE,(Skills!K17/10)*(E826/1000),Skills!K17/10)+Skills!N17</f>
        <v/>
      </c>
      <c r="G826">
        <f>Calc!G17</f>
        <v/>
      </c>
      <c r="H826">
        <f>Calc!H17</f>
        <v/>
      </c>
      <c r="I826">
        <f>IF(Skills!T17&lt;&gt;"",1+(Skills!T17/10)*(R812/1000)/100,1)</f>
        <v/>
      </c>
      <c r="J826" t="inlineStr"/>
      <c r="K826" t="inlineStr"/>
      <c r="L826" t="inlineStr"/>
      <c r="M826" t="inlineStr"/>
      <c r="N826" t="inlineStr"/>
      <c r="O826" t="n">
        <v>0</v>
      </c>
      <c r="P826">
        <f>IF(B843=0,0,O826/B843)</f>
        <v/>
      </c>
      <c r="S826" t="n">
        <v>0</v>
      </c>
      <c r="V826">
        <f>IFERROR(1/IF(Inputs!$B$4="pvp",15,MAX(0.1,Skills!D17-IF(Skills!E17=TRUE,Inputs!$B$31,0))),0)</f>
        <v/>
      </c>
    </row>
    <row r="827">
      <c r="A827">
        <f>Skills!A18</f>
        <v/>
      </c>
      <c r="B827">
        <f>Skills!B18</f>
        <v/>
      </c>
      <c r="C827">
        <f>Inputs!$B$3&gt;=43</f>
        <v/>
      </c>
      <c r="D827">
        <f>IF(Skills!C18=1,60+Inputs!$B$24+Inputs!$B$28,IF(Skills!C18=2,90+Inputs!$B$25+Inputs!$B$28,IF(Skills!C18=3,120+Inputs!$B$26+Inputs!$B$28,MAX(0,(Inputs!$B$3-100)*3)+Inputs!$B$27+Inputs!$B$28)))</f>
        <v/>
      </c>
      <c r="E827">
        <f>INDEX(FactorTable!$B$2:$Y$301, MATCH(ROUND(MIN(300,MAX(1,D827)),0), FactorTable!$A$2:$A$301,0), Skills!L18+1)</f>
        <v/>
      </c>
      <c r="F827">
        <f>IF(Skills!M18=TRUE,(Skills!K18/10)*(E827/1000),Skills!K18/10)+Skills!N18</f>
        <v/>
      </c>
      <c r="G827">
        <f>Calc!G18</f>
        <v/>
      </c>
      <c r="H827">
        <f>Calc!H18</f>
        <v/>
      </c>
      <c r="I827">
        <f>IF(Skills!T18&lt;&gt;"",1+(Skills!T18/10)*(R812/1000)/100,1)</f>
        <v/>
      </c>
      <c r="J827" t="inlineStr"/>
      <c r="K827" t="inlineStr"/>
      <c r="L827" t="inlineStr"/>
      <c r="M827" t="inlineStr"/>
      <c r="N827" t="inlineStr"/>
      <c r="O827" t="n">
        <v>0</v>
      </c>
      <c r="P827">
        <f>IF(B843=0,0,O827/B843)</f>
        <v/>
      </c>
      <c r="S827" t="n">
        <v>0</v>
      </c>
      <c r="V827">
        <f>IFERROR(1/IF(Inputs!$B$4="pvp",15,MAX(0.1,Skills!D18-IF(Skills!E18=TRUE,Inputs!$B$31,0))),0)</f>
        <v/>
      </c>
    </row>
    <row r="828">
      <c r="A828">
        <f>Skills!A19</f>
        <v/>
      </c>
      <c r="B828">
        <f>Skills!B19</f>
        <v/>
      </c>
      <c r="C828">
        <f>Inputs!$B$3&gt;=50</f>
        <v/>
      </c>
      <c r="D828">
        <f>IF(Skills!C19=1,60+Inputs!$B$24+Inputs!$B$28,IF(Skills!C19=2,90+Inputs!$B$25+Inputs!$B$28,IF(Skills!C19=3,120+Inputs!$B$26+Inputs!$B$28,MAX(0,(Inputs!$B$3-100)*3)+Inputs!$B$27+Inputs!$B$28)))</f>
        <v/>
      </c>
      <c r="E828">
        <f>INDEX(FactorTable!$B$2:$Y$301, MATCH(ROUND(MIN(300,MAX(1,D828)),0), FactorTable!$A$2:$A$301,0), Skills!L19+1)</f>
        <v/>
      </c>
      <c r="F828">
        <f>IF(Skills!M19=TRUE,(Skills!K19/10)*(E828/1000),Skills!K19/10)+Skills!N19</f>
        <v/>
      </c>
      <c r="G828">
        <f>Calc!G19</f>
        <v/>
      </c>
      <c r="H828">
        <f>Calc!H19</f>
        <v/>
      </c>
      <c r="I828">
        <f>IF(Skills!T19&lt;&gt;"",1+(Skills!T19/10)*(R812/1000)/100,1)</f>
        <v/>
      </c>
      <c r="J828" t="inlineStr"/>
      <c r="K828" t="inlineStr"/>
      <c r="L828" t="inlineStr"/>
      <c r="M828" t="inlineStr"/>
      <c r="N828" t="inlineStr"/>
      <c r="O828" t="n">
        <v>0</v>
      </c>
      <c r="P828">
        <f>IF(B843=0,0,O828/B843)</f>
        <v/>
      </c>
      <c r="S828" t="n">
        <v>0</v>
      </c>
      <c r="V828">
        <f>IFERROR(1/IF(Inputs!$B$4="pvp",15,MAX(0.1,Skills!D19-IF(Skills!E19=TRUE,Inputs!$B$31,0))),0)</f>
        <v/>
      </c>
    </row>
    <row r="829">
      <c r="A829">
        <f>Skills!A20</f>
        <v/>
      </c>
      <c r="B829">
        <f>Skills!B20</f>
        <v/>
      </c>
      <c r="C829">
        <f>Inputs!$B$3&gt;=74</f>
        <v/>
      </c>
      <c r="D829">
        <f>IF(Skills!C20=1,60+Inputs!$B$24+Inputs!$B$28,IF(Skills!C20=2,90+Inputs!$B$25+Inputs!$B$28,IF(Skills!C20=3,120+Inputs!$B$26+Inputs!$B$28,MAX(0,(Inputs!$B$3-100)*3)+Inputs!$B$27+Inputs!$B$28)))</f>
        <v/>
      </c>
      <c r="E829">
        <f>INDEX(FactorTable!$B$2:$Y$301, MATCH(ROUND(MIN(300,MAX(1,D829)),0), FactorTable!$A$2:$A$301,0), Skills!L20+1)</f>
        <v/>
      </c>
      <c r="F829">
        <f>IF(Skills!M20=TRUE,(Skills!K20/10)*(E829/1000),Skills!K20/10)+Skills!N20</f>
        <v/>
      </c>
      <c r="G829">
        <f>Calc!G20</f>
        <v/>
      </c>
      <c r="H829">
        <f>Calc!H20</f>
        <v/>
      </c>
      <c r="I829">
        <f>IF(Skills!T20&lt;&gt;"",1+(Skills!T20/10)*(R812/1000)/100,1)</f>
        <v/>
      </c>
      <c r="J829" t="inlineStr"/>
      <c r="K829" t="inlineStr"/>
      <c r="L829" t="inlineStr"/>
      <c r="M829" t="inlineStr"/>
      <c r="N829" t="inlineStr"/>
      <c r="O829" t="n">
        <v>0</v>
      </c>
      <c r="P829">
        <f>IF(B843=0,0,O829/B843)</f>
        <v/>
      </c>
      <c r="S829" t="n">
        <v>0</v>
      </c>
      <c r="V829">
        <f>IFERROR(1/IF(Inputs!$B$4="pvp",15,MAX(0.1,Skills!D20-IF(Skills!E20=TRUE,Inputs!$B$31,0))),0)</f>
        <v/>
      </c>
    </row>
    <row r="830">
      <c r="A830">
        <f>Skills!A21</f>
        <v/>
      </c>
      <c r="B830">
        <f>Skills!B21</f>
        <v/>
      </c>
      <c r="C830">
        <f>Inputs!$B$3&gt;=74</f>
        <v/>
      </c>
      <c r="D830">
        <f>IF(Skills!C21=1,60+Inputs!$B$24+Inputs!$B$28,IF(Skills!C21=2,90+Inputs!$B$25+Inputs!$B$28,IF(Skills!C21=3,120+Inputs!$B$26+Inputs!$B$28,MAX(0,(Inputs!$B$3-100)*3)+Inputs!$B$27+Inputs!$B$28)))</f>
        <v/>
      </c>
      <c r="E830">
        <f>INDEX(FactorTable!$B$2:$Y$301, MATCH(ROUND(MIN(300,MAX(1,D830)),0), FactorTable!$A$2:$A$301,0), Skills!L21+1)</f>
        <v/>
      </c>
      <c r="F830">
        <f>IF(Skills!M21=TRUE,(Skills!K21/10)*(E830/1000),Skills!K21/10)+Skills!N21</f>
        <v/>
      </c>
      <c r="G830">
        <f>Calc!G21</f>
        <v/>
      </c>
      <c r="H830">
        <f>Calc!H21</f>
        <v/>
      </c>
      <c r="I830">
        <f>IF(Skills!T21&lt;&gt;"",1+(Skills!T21/10)*(R812/1000)/100,1)</f>
        <v/>
      </c>
      <c r="J830" t="inlineStr"/>
      <c r="K830" t="inlineStr"/>
      <c r="L830" t="inlineStr"/>
      <c r="M830" t="inlineStr"/>
      <c r="N830" t="inlineStr"/>
      <c r="O830" t="n">
        <v>0</v>
      </c>
      <c r="P830">
        <f>IF(B843=0,0,O830/B843)</f>
        <v/>
      </c>
      <c r="S830" t="n">
        <v>0</v>
      </c>
      <c r="V830">
        <f>IFERROR(1/IF(Inputs!$B$4="pvp",15,MAX(0.1,Skills!D21-IF(Skills!E21=TRUE,Inputs!$B$31,0))),0)</f>
        <v/>
      </c>
    </row>
    <row r="831">
      <c r="A831">
        <f>Skills!A22</f>
        <v/>
      </c>
      <c r="B831">
        <f>Skills!B22</f>
        <v/>
      </c>
      <c r="C831">
        <f>Inputs!$B$3&gt;=117</f>
        <v/>
      </c>
      <c r="D831">
        <f>IF(Skills!C22=1,60+Inputs!$B$24+Inputs!$B$28,IF(Skills!C22=2,90+Inputs!$B$25+Inputs!$B$28,IF(Skills!C22=3,120+Inputs!$B$26+Inputs!$B$28,MAX(0,(Inputs!$B$3-100)*3)+Inputs!$B$27+Inputs!$B$28)))</f>
        <v/>
      </c>
      <c r="E831">
        <f>INDEX(FactorTable!$B$2:$Y$301, MATCH(ROUND(MIN(300,MAX(1,D831)),0), FactorTable!$A$2:$A$301,0), Skills!L22+1)</f>
        <v/>
      </c>
      <c r="F831">
        <f>IF(Skills!M22=TRUE,(Skills!K22/10)*(E831/1000),Skills!K22/10)+Skills!N22</f>
        <v/>
      </c>
      <c r="G831">
        <f>Calc!G22</f>
        <v/>
      </c>
      <c r="H831">
        <f>Calc!H22</f>
        <v/>
      </c>
      <c r="I831">
        <f>IF(Skills!T22&lt;&gt;"",1+(Skills!T22/10)*(R812/1000)/100,1)</f>
        <v/>
      </c>
      <c r="J831" t="inlineStr"/>
      <c r="K831" t="inlineStr"/>
      <c r="L831" t="inlineStr"/>
      <c r="M831" t="inlineStr"/>
      <c r="N831" t="inlineStr"/>
      <c r="O831" t="n">
        <v>0</v>
      </c>
      <c r="P831">
        <f>IF(B843=0,0,O831/B843)</f>
        <v/>
      </c>
      <c r="S831" t="n">
        <v>0</v>
      </c>
      <c r="V831">
        <f>IFERROR(1/IF(Inputs!$B$4="pvp",15,MAX(0.1,Skills!D22-IF(Skills!E22=TRUE,Inputs!$B$31,0))),0)</f>
        <v/>
      </c>
    </row>
    <row r="832">
      <c r="A832">
        <f>Skills!A23</f>
        <v/>
      </c>
      <c r="B832">
        <f>Skills!B23</f>
        <v/>
      </c>
      <c r="C832">
        <f>Inputs!$B$3&gt;=120</f>
        <v/>
      </c>
      <c r="D832">
        <f>IF(Skills!C23=1,60+Inputs!$B$24+Inputs!$B$28,IF(Skills!C23=2,90+Inputs!$B$25+Inputs!$B$28,IF(Skills!C23=3,120+Inputs!$B$26+Inputs!$B$28,MAX(0,(Inputs!$B$3-100)*3)+Inputs!$B$27+Inputs!$B$28)))</f>
        <v/>
      </c>
      <c r="E832">
        <f>INDEX(FactorTable!$B$2:$Y$301, MATCH(ROUND(MIN(300,MAX(1,D832)),0), FactorTable!$A$2:$A$301,0), Skills!L23+1)</f>
        <v/>
      </c>
      <c r="F832">
        <f>IF(Skills!M23=TRUE,(Skills!K23/10)*(E832/1000),Skills!K23/10)+Skills!N23</f>
        <v/>
      </c>
      <c r="G832">
        <f>Calc!G23</f>
        <v/>
      </c>
      <c r="H832">
        <f>Calc!H23</f>
        <v/>
      </c>
      <c r="I832">
        <f>IF(Skills!T23&lt;&gt;"",1+(Skills!T23/10)*(R812/1000)/100,1)</f>
        <v/>
      </c>
      <c r="J832" t="inlineStr"/>
      <c r="K832" t="inlineStr"/>
      <c r="L832" t="inlineStr"/>
      <c r="M832" t="inlineStr"/>
      <c r="N832" t="inlineStr"/>
      <c r="O832" t="n">
        <v>0</v>
      </c>
      <c r="P832">
        <f>IF(B843=0,0,O832/B843)</f>
        <v/>
      </c>
      <c r="S832" t="n">
        <v>0</v>
      </c>
      <c r="V832">
        <f>IFERROR(1/IF(Inputs!$B$4="pvp",15,MAX(0.1,Skills!D23-IF(Skills!E23=TRUE,Inputs!$B$31,0))),0)</f>
        <v/>
      </c>
    </row>
    <row r="835">
      <c r="A835" t="inlineStr">
        <is>
          <t>Average Buff Multiplier (Magic Guard + Meditation, summed; then Infinity)</t>
        </is>
      </c>
      <c r="B835">
        <f>(1+(IF(C812=TRUE,F812*IF(AND(Inputs!$B$4&lt;&gt;"pvp",Inputs!$B$35&gt;0),(((S812-1)*(Skills!S3*(1+(Inputs!$B$33+IF(Inputs!$B$3&gt;=117,F831,0))/100))+MIN((Skills!S3*(1+(Inputs!$B$33+IF(Inputs!$B$3&gt;=117,F831,0))/100)),MAX(0,Inputs!$B$35-((S812-1)*Skills!D3))))/Inputs!$B$35),IF(Inputs!$B$4="pvp",MIN((Skills!S3*(1+(Inputs!$B$33+IF(Inputs!$B$3&gt;=117,F831,0))/100)),15)/15,(Skills!S3*(1+(Inputs!$B$33+IF(Inputs!$B$3&gt;=117,F831,0))/100))/Skills!D3)),0)+IF(C813=TRUE,F813*IF(AND(Inputs!$B$4&lt;&gt;"pvp",Inputs!$B$35&gt;0),(((S813-1)*(Skills!S4*(1+(Inputs!$B$33+IF(Inputs!$B$3&gt;=117,F831,0))/100))+MIN((Skills!S4*(1+(Inputs!$B$33+IF(Inputs!$B$3&gt;=117,F831,0))/100)),MAX(0,Inputs!$B$35-((S813-1)*Skills!D4))))/Inputs!$B$35),IF(Inputs!$B$4="pvp",MIN((Skills!S4*(1+(Inputs!$B$33+IF(Inputs!$B$3&gt;=117,F831,0))/100)),15)/15,(Skills!S4*(1+(Inputs!$B$33+IF(Inputs!$B$3&gt;=117,F831,0))/100))/Skills!D4)),0))/100)*IF(C825=TRUE,(1+F825*IF(AND(Inputs!$B$4&lt;&gt;"pvp",Inputs!$B$35&gt;0),(((S825-1)*(Skills!S16*(1+(Inputs!$B$33+IF(Inputs!$B$3&gt;=117,F831,0))/100))+MIN((Skills!S16*(1+(Inputs!$B$33+IF(Inputs!$B$3&gt;=117,F831,0))/100)),MAX(0,Inputs!$B$35-((S825-1)*Skills!D16))))/Inputs!$B$35),IF(Inputs!$B$4="pvp",MIN((Skills!S16*(1+(Inputs!$B$33+IF(Inputs!$B$3&gt;=117,F831,0))/100)),15)/15,(Skills!S16*(1+(Inputs!$B$33+IF(Inputs!$B$3&gt;=117,F831,0))/100))/Skills!D16))/100),1)</f>
        <v/>
      </c>
    </row>
    <row r="836">
      <c r="A836" t="inlineStr">
        <is>
          <t>Monster Damage Taken Bonus % (Freezing Breath - Weaken + Elemental Reset, summed)</t>
        </is>
      </c>
      <c r="B836">
        <f>IF(Inputs!$B$3&gt;=118,15*IF(Inputs!$B$4="pvp",MIN((30*(1+(Inputs!$B$33+IF(Inputs!$B$3&gt;=117,F831,0))/100)),15)/15,(30*(1+(Inputs!$B$33+IF(Inputs!$B$3&gt;=117,F831,0))/100))/Skills!D8),0)+IF(C823=TRUE,F823,0)</f>
        <v/>
      </c>
    </row>
    <row r="837">
      <c r="A837" t="inlineStr">
        <is>
          <t>Damage % Bonus (Frozen Break + Frost Clutch, flat)</t>
        </is>
      </c>
      <c r="B837">
        <f>IF(Inputs!$B$3&gt;=66,15,0)+IF(Inputs!$B$3&gt;=98,10,0)+IF(Inputs!$B$3&gt;=125,20,0)</f>
        <v/>
      </c>
    </row>
    <row r="838">
      <c r="A838" t="inlineStr">
        <is>
          <t>Attack Speed Bonus % (MP Eater - MP Boost, always-on once unlocked)</t>
        </is>
      </c>
      <c r="B838">
        <f>IF(C822=TRUE,F822+(F826-Calc!F17),0)</f>
        <v/>
      </c>
    </row>
    <row r="839">
      <c r="A839" t="inlineStr">
        <is>
          <t>Actions Per Second</t>
        </is>
      </c>
      <c r="B839">
        <f>1+MIN(150,150*(1-(1-Inputs!$B$10/150)*(1-B838/150)))/100</f>
        <v/>
      </c>
    </row>
    <row r="840">
      <c r="A840" t="inlineStr">
        <is>
          <t>Skill + Buff Cast Rate</t>
        </is>
      </c>
      <c r="B840">
        <f>IF(AND(Inputs!$B$4&lt;&gt;"pvp",Inputs!$B$35&gt;0),SUMPRODUCT((Skills!E2:E23=TRUE)*(C811:C832=TRUE)*S811:S832)/Inputs!$B$35,SUMPRODUCT((Skills!E2:E23=TRUE)*(C811:C832=TRUE)*V811:V832))</f>
        <v/>
      </c>
    </row>
    <row r="841">
      <c r="A841" t="inlineStr">
        <is>
          <t>Chain Lightning Casts Per Second</t>
        </is>
      </c>
      <c r="B841">
        <f>MAX(0,B839-B840)</f>
        <v/>
      </c>
    </row>
    <row r="843">
      <c r="A843" s="5" t="inlineStr">
        <is>
          <t>TOTAL DPS</t>
        </is>
      </c>
      <c r="B843" s="5">
        <f>SUM(O811:O832)</f>
        <v/>
      </c>
    </row>
    <row r="846">
      <c r="A846" s="5" t="inlineStr">
        <is>
          <t>Stat: Skill Cooldown Decrease (seconds)</t>
        </is>
      </c>
    </row>
    <row r="847">
      <c r="A847" s="8" t="inlineStr">
        <is>
          <t>Key</t>
        </is>
      </c>
      <c r="B847" s="8" t="inlineStr">
        <is>
          <t>Name</t>
        </is>
      </c>
      <c r="C847" s="8" t="inlineStr">
        <is>
          <t>Unlocked</t>
        </is>
      </c>
      <c r="D847" s="8" t="inlineStr">
        <is>
          <t>InputLevel</t>
        </is>
      </c>
      <c r="E847" s="8" t="inlineStr">
        <is>
          <t>Factor</t>
        </is>
      </c>
      <c r="F847" s="8" t="inlineStr">
        <is>
          <t>CoefficientPercent</t>
        </is>
      </c>
      <c r="G847" s="8" t="inlineStr">
        <is>
          <t>EffectiveHits</t>
        </is>
      </c>
      <c r="H847" s="8" t="inlineStr">
        <is>
          <t>ProcProbability</t>
        </is>
      </c>
      <c r="I847" s="8" t="inlineStr">
        <is>
          <t>MapleHeroMultiplier</t>
        </is>
      </c>
      <c r="J847" s="8" t="inlineStr">
        <is>
          <t>BaseDamage</t>
        </is>
      </c>
      <c r="K847" s="8" t="inlineStr">
        <is>
          <t>BaseHitDamage</t>
        </is>
      </c>
      <c r="L847" s="8" t="inlineStr">
        <is>
          <t>NonCritAvg</t>
        </is>
      </c>
      <c r="M847" s="8" t="inlineStr">
        <is>
          <t>CritAvg</t>
        </is>
      </c>
      <c r="N847" s="8" t="inlineStr">
        <is>
          <t>ExpectedDamage(perHit)</t>
        </is>
      </c>
      <c r="O847" s="8" t="inlineStr">
        <is>
          <t>DPS</t>
        </is>
      </c>
      <c r="P847" s="8" t="inlineStr">
        <is>
          <t>% of Total</t>
        </is>
      </c>
      <c r="R847" t="inlineStr">
        <is>
          <t>helpers</t>
        </is>
      </c>
    </row>
    <row r="848">
      <c r="A848">
        <f>Skills!A2</f>
        <v/>
      </c>
      <c r="B848">
        <f>Skills!B2</f>
        <v/>
      </c>
      <c r="C848">
        <f>Inputs!$B$3&gt;=100</f>
        <v/>
      </c>
      <c r="D848" t="inlineStr"/>
      <c r="E848" t="inlineStr"/>
      <c r="F848">
        <f>T850+Skills!N2</f>
        <v/>
      </c>
      <c r="G848">
        <f>Calc!G2</f>
        <v/>
      </c>
      <c r="H848">
        <f>Calc!H2</f>
        <v/>
      </c>
      <c r="I848">
        <f>IF(Skills!T2&lt;&gt;"",1+(Skills!T2/10)*(R849/1000)/100,1)</f>
        <v/>
      </c>
      <c r="J848">
        <f>((Inputs!$B$5*(1+Inputs!$B$6/100))+((Inputs!$B$11*(1+Inputs!$B$12/100))-(Inputs!$B$11*(1+Inputs!$B$12/100)))*(1+Inputs!$B$6/100))*(F848/100)</f>
        <v/>
      </c>
      <c r="K848">
        <f>J848*(1+((Inputs!$B$11*(1+Inputs!$B$12/100))*0.01+Inputs!$B$13*0.0025)/100)*(1+(Inputs!$B$14+B874)/100)*(1+IF(Inputs!$B$4="pvp",0,(1-Summary!$B$51)*(Inputs!$B$19+Skills!O2+B873)+Summary!$B$51*(Inputs!$B$20+Skills!P2+B873))/100)*(1+Inputs!$B$15/100)*(5000/(6000+Inputs!$B$7*(1-Inputs!$B$18/100)))*(1+Inputs!$B$23/100)*(1+IF(C861=TRUE,F861,0)/100)*(1+IF(C869=TRUE,F869,0)/100)^5*(1+(IF(Skills!A2="CHAIN_LIGHTNING",Inputs!$B$16,Inputs!$B$17))/100)*(B872*I848)</f>
        <v/>
      </c>
      <c r="L848">
        <f>K848*(MIN(Inputs!$B$21+(F864-Calc!F18),Inputs!$B$22)/100+Inputs!$B$22/100)/2</f>
        <v/>
      </c>
      <c r="M848">
        <f>L848*(1+(Inputs!$B$9+(F867-Calc!F21))/100)</f>
        <v/>
      </c>
      <c r="N848">
        <f>L848*(1-MIN(Inputs!$B$8+((F866-Calc!F20)+(F865-Calc!F19)),100)/100)+M848*(MIN(Inputs!$B$8+((F866-Calc!F20)+(F865-Calc!F19)),100)/100)</f>
        <v/>
      </c>
      <c r="O848">
        <f>IF(C848,Skills!F2*N848*B878*IF(Inputs!$B$4="pvp",1,(1-Summary!$B$51)*(1)+Summary!$B$51*(MIN((6+Inputs!$B$32),Inputs!$B$37))),0)</f>
        <v/>
      </c>
      <c r="P848">
        <f>IF(B880=0,0,O848/B880)</f>
        <v/>
      </c>
      <c r="R848">
        <f>MAX(0,(Inputs!$B$3-100)*3)+Inputs!$B$27+Inputs!$B$28</f>
        <v/>
      </c>
      <c r="S848" t="n">
        <v>0</v>
      </c>
      <c r="T848">
        <f>MAX(0,(Inputs!$B$3-100)*3)+Inputs!$B$27+Inputs!$B$28</f>
        <v/>
      </c>
      <c r="V848">
        <f>IFERROR(1/IF(Inputs!$B$4="pvp",15,MAX(0.1,Skills!D2-IF(Skills!E2=TRUE,(Inputs!$B$31+1),0))),0)</f>
        <v/>
      </c>
    </row>
    <row r="849">
      <c r="A849">
        <f>Skills!A3</f>
        <v/>
      </c>
      <c r="B849">
        <f>Skills!B3</f>
        <v/>
      </c>
      <c r="C849">
        <f>Inputs!$B$3&gt;=15</f>
        <v/>
      </c>
      <c r="D849">
        <f>IF(Skills!C3=1,60+Inputs!$B$24+Inputs!$B$28,IF(Skills!C3=2,90+Inputs!$B$25+Inputs!$B$28,IF(Skills!C3=3,120+Inputs!$B$26+Inputs!$B$28,MAX(0,(Inputs!$B$3-100)*3)+Inputs!$B$27+Inputs!$B$28)))</f>
        <v/>
      </c>
      <c r="E849">
        <f>INDEX(FactorTable!$B$2:$Y$301, MATCH(ROUND(MIN(300,MAX(1,D849)),0), FactorTable!$A$2:$A$301,0), Skills!L3+1)</f>
        <v/>
      </c>
      <c r="F849">
        <f>IF(Skills!M3=TRUE,(Skills!K3/10)*(E849/1000),Skills!K3/10)+Skills!N3</f>
        <v/>
      </c>
      <c r="G849">
        <f>Calc!G3</f>
        <v/>
      </c>
      <c r="H849">
        <f>Calc!H3</f>
        <v/>
      </c>
      <c r="I849">
        <f>IF(Skills!T3&lt;&gt;"",1+(Skills!T3/10)*(R849/1000)/100,1)</f>
        <v/>
      </c>
      <c r="J849" t="inlineStr"/>
      <c r="K849" t="inlineStr"/>
      <c r="L849" t="inlineStr"/>
      <c r="M849" t="inlineStr"/>
      <c r="N849" t="inlineStr"/>
      <c r="O849" t="n">
        <v>0</v>
      </c>
      <c r="P849">
        <f>IF(B880=0,0,O849/B880)</f>
        <v/>
      </c>
      <c r="R849">
        <f>INDEX(FactorTable!$B$2:$Y$301, MATCH(ROUND(MIN(300,MAX(1,R848)),0), FactorTable!$A$2:$A$301,0), 24)</f>
        <v/>
      </c>
      <c r="S849">
        <f>IF(AND(Inputs!$B$4&lt;&gt;"pvp",Inputs!$B$35&gt;0),(INT(Inputs!$B$35/IF(Inputs!$B$4="pvp",15,MAX(0.1,Skills!D3-IF(Skills!E3=TRUE,(Inputs!$B$31+1),0))))+1),0)</f>
        <v/>
      </c>
      <c r="T849">
        <f>INDEX(FactorTable!$B$2:$Y$301, MATCH(ROUND(MIN(300,MAX(1,T848)),0), FactorTable!$A$2:$A$301,0), 22)</f>
        <v/>
      </c>
      <c r="V849">
        <f>IFERROR(1/IF(Inputs!$B$4="pvp",15,MAX(0.1,Skills!D3-IF(Skills!E3=TRUE,(Inputs!$B$31+1),0))),0)</f>
        <v/>
      </c>
    </row>
    <row r="850">
      <c r="A850">
        <f>Skills!A4</f>
        <v/>
      </c>
      <c r="B850">
        <f>Skills!B4</f>
        <v/>
      </c>
      <c r="C850">
        <f>Inputs!$B$3&gt;=40</f>
        <v/>
      </c>
      <c r="D850">
        <f>IF(Skills!C4=1,60+Inputs!$B$24+Inputs!$B$28,IF(Skills!C4=2,90+Inputs!$B$25+Inputs!$B$28,IF(Skills!C4=3,120+Inputs!$B$26+Inputs!$B$28,MAX(0,(Inputs!$B$3-100)*3)+Inputs!$B$27+Inputs!$B$28)))</f>
        <v/>
      </c>
      <c r="E850">
        <f>INDEX(FactorTable!$B$2:$Y$301, MATCH(ROUND(MIN(300,MAX(1,D850)),0), FactorTable!$A$2:$A$301,0), Skills!L4+1)</f>
        <v/>
      </c>
      <c r="F850">
        <f>IF(Skills!M4=TRUE,(Skills!K4/10)*(E850/1000),Skills!K4/10)+Skills!N4</f>
        <v/>
      </c>
      <c r="G850">
        <f>Calc!G4</f>
        <v/>
      </c>
      <c r="H850">
        <f>Calc!H4</f>
        <v/>
      </c>
      <c r="I850">
        <f>IF(Skills!T4&lt;&gt;"",1+(Skills!T4/10)*(R849/1000)/100,1)</f>
        <v/>
      </c>
      <c r="J850" t="inlineStr"/>
      <c r="K850" t="inlineStr"/>
      <c r="L850" t="inlineStr"/>
      <c r="M850" t="inlineStr"/>
      <c r="N850" t="inlineStr"/>
      <c r="O850" t="n">
        <v>0</v>
      </c>
      <c r="P850">
        <f>IF(B880=0,0,O850/B880)</f>
        <v/>
      </c>
      <c r="S850">
        <f>IF(AND(Inputs!$B$4&lt;&gt;"pvp",Inputs!$B$35&gt;0),(INT(Inputs!$B$35/IF(Inputs!$B$4="pvp",15,MAX(0.1,Skills!D4-IF(Skills!E4=TRUE,(Inputs!$B$31+1),0))))+1),0)</f>
        <v/>
      </c>
      <c r="T850">
        <f>290*T849/1000</f>
        <v/>
      </c>
      <c r="V850">
        <f>IFERROR(1/IF(Inputs!$B$4="pvp",15,MAX(0.1,Skills!D4-IF(Skills!E4=TRUE,(Inputs!$B$31+1),0))),0)</f>
        <v/>
      </c>
    </row>
    <row r="851">
      <c r="A851">
        <f>Skills!A5</f>
        <v/>
      </c>
      <c r="B851">
        <f>Skills!B5</f>
        <v/>
      </c>
      <c r="C851">
        <f>Inputs!$B$3&gt;=38</f>
        <v/>
      </c>
      <c r="D851">
        <f>IF(Skills!C5=1,60+Inputs!$B$24+Inputs!$B$28,IF(Skills!C5=2,90+Inputs!$B$25+Inputs!$B$28,IF(Skills!C5=3,120+Inputs!$B$26+Inputs!$B$28,MAX(0,(Inputs!$B$3-100)*3)+Inputs!$B$27+Inputs!$B$28)))</f>
        <v/>
      </c>
      <c r="E851">
        <f>INDEX(FactorTable!$B$2:$Y$301, MATCH(ROUND(MIN(300,MAX(1,D851)),0), FactorTable!$A$2:$A$301,0), Skills!L5+1)</f>
        <v/>
      </c>
      <c r="F851">
        <f>IF(Skills!M5=TRUE,(Skills!K5/10)*(E851/1000),Skills!K5/10)+Skills!N5</f>
        <v/>
      </c>
      <c r="G851">
        <f>Calc!G5</f>
        <v/>
      </c>
      <c r="H851">
        <f>Calc!H5</f>
        <v/>
      </c>
      <c r="I851">
        <f>IF(Skills!T5&lt;&gt;"",1+(Skills!T5/10)*(R849/1000)/100,1)</f>
        <v/>
      </c>
      <c r="J851">
        <f>((Inputs!$B$5*(1+Inputs!$B$6/100))+((Inputs!$B$11*(1+Inputs!$B$12/100))-(Inputs!$B$11*(1+Inputs!$B$12/100)))*(1+Inputs!$B$6/100))*(F851/100)</f>
        <v/>
      </c>
      <c r="K851">
        <f>J851*(1+((Inputs!$B$11*(1+Inputs!$B$12/100))*0.01+Inputs!$B$13*0.0025)/100)*(1+(Inputs!$B$14+B874)/100)*(1+IF(Inputs!$B$4="pvp",0,(1-Summary!$B$51)*(Inputs!$B$19+Skills!O5+B873)+Summary!$B$51*(Inputs!$B$20+Skills!P5+B873))/100)*(1+Inputs!$B$15/100)*(5000/(6000+Inputs!$B$7*(1-Inputs!$B$18/100)))*(1+Inputs!$B$23/100)*(1+IF(C861=TRUE,F861,0)/100)*(1+IF(C869=TRUE,F869,0)/100)^5*(1+(IF(Skills!A5="CHAIN_LIGHTNING",Inputs!$B$16,Inputs!$B$17))/100)*(B872*I851)</f>
        <v/>
      </c>
      <c r="L851">
        <f>K851*(MIN(Inputs!$B$21+(F864-Calc!F18),Inputs!$B$22)/100+Inputs!$B$22/100)/2</f>
        <v/>
      </c>
      <c r="M851">
        <f>L851*(1+(Inputs!$B$9+(F867-Calc!F21))/100)</f>
        <v/>
      </c>
      <c r="N851">
        <f>L851*(1-MIN(Inputs!$B$8+((F866-Calc!F20)+(F865-Calc!F19)),100)/100)+M851*(MIN(Inputs!$B$8+((F866-Calc!F20)+(F865-Calc!F19)),100)/100)</f>
        <v/>
      </c>
      <c r="O851">
        <f>IF(C851,H851*N851*IF(AND(Inputs!$B$4&lt;&gt;"pvp",Inputs!$B$35&gt;0),((Skills!F5*((S851-1)*IF(Skills!G5&gt;0,Skills!H5/Skills!G5,1)+IF(Skills!G5&gt;0,MIN(Skills!H5,MAX(0,Inputs!$B$35-((S851-1)*IF(Inputs!$B$4="pvp",15,MAX(0.1,Skills!D5-IF(Skills!E5=TRUE,(Inputs!$B$31+1),0))))))/Skills!G5,1)))/Inputs!$B$35),G851*V851)*IF(Inputs!$B$4="pvp",1,(1-Summary!$B$51)*(1)+Summary!$B$51*(MIN(Skills!Q5,Inputs!$B$37))),0)</f>
        <v/>
      </c>
      <c r="P851">
        <f>IF(B880=0,0,O851/B880)</f>
        <v/>
      </c>
      <c r="S851">
        <f>IF(AND(Inputs!$B$4&lt;&gt;"pvp",Inputs!$B$35&gt;0),(INT(Inputs!$B$35/IF(Inputs!$B$4="pvp",15,MAX(0.1,Skills!D5-IF(Skills!E5=TRUE,(Inputs!$B$31+1),0))))+1),0)</f>
        <v/>
      </c>
      <c r="V851">
        <f>IFERROR(1/IF(Inputs!$B$4="pvp",15,MAX(0.1,Skills!D5-IF(Skills!E5=TRUE,(Inputs!$B$31+1),0))),0)</f>
        <v/>
      </c>
    </row>
    <row r="852">
      <c r="A852">
        <f>Skills!A6</f>
        <v/>
      </c>
      <c r="B852">
        <f>Skills!B6</f>
        <v/>
      </c>
      <c r="C852">
        <f>Inputs!$B$3&gt;=63</f>
        <v/>
      </c>
      <c r="D852">
        <f>IF(Skills!C6=1,60+Inputs!$B$24+Inputs!$B$28,IF(Skills!C6=2,90+Inputs!$B$25+Inputs!$B$28,IF(Skills!C6=3,120+Inputs!$B$26+Inputs!$B$28,MAX(0,(Inputs!$B$3-100)*3)+Inputs!$B$27+Inputs!$B$28)))</f>
        <v/>
      </c>
      <c r="E852">
        <f>INDEX(FactorTable!$B$2:$Y$301, MATCH(ROUND(MIN(300,MAX(1,D852)),0), FactorTable!$A$2:$A$301,0), Skills!L6+1)</f>
        <v/>
      </c>
      <c r="F852">
        <f>IF(Skills!M6=TRUE,(Skills!K6/10)*(E852/1000),Skills!K6/10)+Skills!N6</f>
        <v/>
      </c>
      <c r="G852">
        <f>Calc!G6</f>
        <v/>
      </c>
      <c r="H852">
        <f>Calc!H6</f>
        <v/>
      </c>
      <c r="I852">
        <f>IF(Skills!T6&lt;&gt;"",1+(Skills!T6/10)*(R849/1000)/100,1)</f>
        <v/>
      </c>
      <c r="J852">
        <f>((Inputs!$B$5*(1+Inputs!$B$6/100))+((Inputs!$B$11*(1+Inputs!$B$12/100))-(Inputs!$B$11*(1+Inputs!$B$12/100)))*(1+Inputs!$B$6/100))*(F852/100)</f>
        <v/>
      </c>
      <c r="K852">
        <f>J852*(1+((Inputs!$B$11*(1+Inputs!$B$12/100))*0.01+Inputs!$B$13*0.0025)/100)*(1+(Inputs!$B$14+B874)/100)*(1+IF(Inputs!$B$4="pvp",0,(1-Summary!$B$51)*(Inputs!$B$19+Skills!O6+B873)+Summary!$B$51*(Inputs!$B$20+Skills!P6+B873))/100)*(1+Inputs!$B$15/100)*(5000/(6000+Inputs!$B$7*(1-Inputs!$B$18/100)))*(1+Inputs!$B$23/100)*(1+IF(C861=TRUE,F861,0)/100)*(1+IF(C869=TRUE,F869,0)/100)^5*(1+(IF(Skills!A6="CHAIN_LIGHTNING",Inputs!$B$16,Inputs!$B$17))/100)*(B872*I852)</f>
        <v/>
      </c>
      <c r="L852">
        <f>K852*(MIN(Inputs!$B$21+(F864-Calc!F18),Inputs!$B$22)/100+Inputs!$B$22/100)/2</f>
        <v/>
      </c>
      <c r="M852">
        <f>L852*(1+(Inputs!$B$9+(F867-Calc!F21))/100)</f>
        <v/>
      </c>
      <c r="N852">
        <f>L852*(1-MIN(Inputs!$B$8+((F866-Calc!F20)+(F865-Calc!F19)),100)/100)+M852*(MIN(Inputs!$B$8+((F866-Calc!F20)+(F865-Calc!F19)),100)/100)</f>
        <v/>
      </c>
      <c r="O852">
        <f>IF(C852,H852*N852*IF(AND(Inputs!$B$4&lt;&gt;"pvp",Inputs!$B$35&gt;0),((Skills!F6*((S852-1)*IF(Skills!G6&gt;0,Skills!H6/Skills!G6,1)+IF(Skills!G6&gt;0,MIN(Skills!H6,MAX(0,Inputs!$B$35-((S852-1)*IF(Inputs!$B$4="pvp",15,MAX(0.1,Skills!D6-IF(Skills!E6=TRUE,(Inputs!$B$31+1),0))))))/Skills!G6,1)))/Inputs!$B$35),G852*V852)*IF(Inputs!$B$4="pvp",1,(1-Summary!$B$51)*(1)+Summary!$B$51*(MIN(Skills!Q6,Inputs!$B$37))),0)</f>
        <v/>
      </c>
      <c r="P852">
        <f>IF(B880=0,0,O852/B880)</f>
        <v/>
      </c>
      <c r="S852">
        <f>IF(AND(Inputs!$B$4&lt;&gt;"pvp",Inputs!$B$35&gt;0),(INT(Inputs!$B$35/IF(Inputs!$B$4="pvp",15,MAX(0.1,Skills!D6-IF(Skills!E6=TRUE,(Inputs!$B$31+1),0))))+1),0)</f>
        <v/>
      </c>
      <c r="V852">
        <f>IFERROR(1/IF(Inputs!$B$4="pvp",15,MAX(0.1,Skills!D6-IF(Skills!E6=TRUE,(Inputs!$B$31+1),0))),0)</f>
        <v/>
      </c>
    </row>
    <row r="853">
      <c r="A853">
        <f>Skills!A7</f>
        <v/>
      </c>
      <c r="B853">
        <f>Skills!B7</f>
        <v/>
      </c>
      <c r="C853">
        <f>Inputs!$B$3&gt;=69</f>
        <v/>
      </c>
      <c r="D853">
        <f>IF(Skills!C7=1,60+Inputs!$B$24+Inputs!$B$28,IF(Skills!C7=2,90+Inputs!$B$25+Inputs!$B$28,IF(Skills!C7=3,120+Inputs!$B$26+Inputs!$B$28,MAX(0,(Inputs!$B$3-100)*3)+Inputs!$B$27+Inputs!$B$28)))</f>
        <v/>
      </c>
      <c r="E853">
        <f>INDEX(FactorTable!$B$2:$Y$301, MATCH(ROUND(MIN(300,MAX(1,D853)),0), FactorTable!$A$2:$A$301,0), Skills!L7+1)</f>
        <v/>
      </c>
      <c r="F853">
        <f>IF(Skills!M7=TRUE,(Skills!K7/10)*(E853/1000),Skills!K7/10)+Skills!N7</f>
        <v/>
      </c>
      <c r="G853">
        <f>Calc!G7</f>
        <v/>
      </c>
      <c r="H853">
        <f>Calc!H7</f>
        <v/>
      </c>
      <c r="I853">
        <f>IF(Skills!T7&lt;&gt;"",1+(Skills!T7/10)*(R849/1000)/100,1)</f>
        <v/>
      </c>
      <c r="J853">
        <f>((Inputs!$B$5*(1+Inputs!$B$6/100))+((Inputs!$B$11*(1+Inputs!$B$12/100))-(Inputs!$B$11*(1+Inputs!$B$12/100)))*(1+Inputs!$B$6/100))*(F853/100)</f>
        <v/>
      </c>
      <c r="K853">
        <f>J853*(1+((Inputs!$B$11*(1+Inputs!$B$12/100))*0.01+Inputs!$B$13*0.0025)/100)*(1+(Inputs!$B$14+B874)/100)*(1+IF(Inputs!$B$4="pvp",0,(1-Summary!$B$51)*(Inputs!$B$19+Skills!O7+B873)+Summary!$B$51*(Inputs!$B$20+Skills!P7+B873))/100)*(1+Inputs!$B$15/100)*(5000/(6000+Inputs!$B$7*(1-Inputs!$B$18/100)))*(1+Inputs!$B$23/100)*(1+IF(C861=TRUE,F861,0)/100)*(1+IF(C869=TRUE,F869,0)/100)^5*(1+(IF(Skills!A7="CHAIN_LIGHTNING",Inputs!$B$16,Inputs!$B$17))/100)*(B872*I853)</f>
        <v/>
      </c>
      <c r="L853">
        <f>K853*(MIN(Inputs!$B$21+(F864-Calc!F18),Inputs!$B$22)/100+Inputs!$B$22/100)/2</f>
        <v/>
      </c>
      <c r="M853">
        <f>L853*(1+(Inputs!$B$9+(F867-Calc!F21))/100)</f>
        <v/>
      </c>
      <c r="N853">
        <f>L853*(1-MIN(Inputs!$B$8+((F866-Calc!F20)+(F865-Calc!F19)),100)/100)+M853*(MIN(Inputs!$B$8+((F866-Calc!F20)+(F865-Calc!F19)),100)/100)</f>
        <v/>
      </c>
      <c r="O853">
        <f>IF(C853,H853*N853*IF(AND(Inputs!$B$4&lt;&gt;"pvp",Inputs!$B$35&gt;0),((Skills!F7*((S853-1)*IF(Skills!G7&gt;0,Skills!H7/Skills!G7,1)+IF(Skills!G7&gt;0,MIN(Skills!H7,MAX(0,Inputs!$B$35-((S853-1)*IF(Inputs!$B$4="pvp",15,MAX(0.1,Skills!D7-IF(Skills!E7=TRUE,(Inputs!$B$31+1),0))))))/Skills!G7,1)))/Inputs!$B$35),G853*V853)*IF(Inputs!$B$4="pvp",1,(1-Summary!$B$51)*(1)+Summary!$B$51*(MIN(Skills!Q7,Inputs!$B$37))),0)</f>
        <v/>
      </c>
      <c r="P853">
        <f>IF(B880=0,0,O853/B880)</f>
        <v/>
      </c>
      <c r="S853">
        <f>IF(AND(Inputs!$B$4&lt;&gt;"pvp",Inputs!$B$35&gt;0),(INT(Inputs!$B$35/IF(Inputs!$B$4="pvp",15,MAX(0.1,Skills!D7-IF(Skills!E7=TRUE,(Inputs!$B$31+1),0))))+1),0)</f>
        <v/>
      </c>
      <c r="V853">
        <f>IFERROR(1/IF(Inputs!$B$4="pvp",15,MAX(0.1,Skills!D7-IF(Skills!E7=TRUE,(Inputs!$B$31+1),0))),0)</f>
        <v/>
      </c>
    </row>
    <row r="854">
      <c r="A854">
        <f>Skills!A8</f>
        <v/>
      </c>
      <c r="B854">
        <f>Skills!B8</f>
        <v/>
      </c>
      <c r="C854">
        <f>Inputs!$B$3&gt;=103</f>
        <v/>
      </c>
      <c r="D854">
        <f>IF(Skills!C8=1,60+Inputs!$B$24+Inputs!$B$28,IF(Skills!C8=2,90+Inputs!$B$25+Inputs!$B$28,IF(Skills!C8=3,120+Inputs!$B$26+Inputs!$B$28,MAX(0,(Inputs!$B$3-100)*3)+Inputs!$B$27+Inputs!$B$28)))</f>
        <v/>
      </c>
      <c r="E854">
        <f>INDEX(FactorTable!$B$2:$Y$301, MATCH(ROUND(MIN(300,MAX(1,D854)),0), FactorTable!$A$2:$A$301,0), Skills!L8+1)</f>
        <v/>
      </c>
      <c r="F854">
        <f>IF(Skills!M8=TRUE,(Skills!K8/10)*(E854/1000),Skills!K8/10)+Skills!N8</f>
        <v/>
      </c>
      <c r="G854">
        <f>Calc!G8</f>
        <v/>
      </c>
      <c r="H854">
        <f>Calc!H8</f>
        <v/>
      </c>
      <c r="I854">
        <f>IF(Skills!T8&lt;&gt;"",1+(Skills!T8/10)*(R849/1000)/100,1)</f>
        <v/>
      </c>
      <c r="J854">
        <f>((Inputs!$B$5*(1+Inputs!$B$6/100))+((Inputs!$B$11*(1+Inputs!$B$12/100))-(Inputs!$B$11*(1+Inputs!$B$12/100)))*(1+Inputs!$B$6/100))*(F854/100)</f>
        <v/>
      </c>
      <c r="K854">
        <f>J854*(1+((Inputs!$B$11*(1+Inputs!$B$12/100))*0.01+Inputs!$B$13*0.0025)/100)*(1+(Inputs!$B$14+B874)/100)*(1+IF(Inputs!$B$4="pvp",0,(1-Summary!$B$51)*(Inputs!$B$19+Skills!O8+B873)+Summary!$B$51*(Inputs!$B$20+Skills!P8+B873))/100)*(1+Inputs!$B$15/100)*(5000/(6000+Inputs!$B$7*(1-Inputs!$B$18/100)))*(1+Inputs!$B$23/100)*(1+IF(C861=TRUE,F861,0)/100)*(1+IF(C869=TRUE,F869,0)/100)^5*(1+(IF(Skills!A8="CHAIN_LIGHTNING",Inputs!$B$16,Inputs!$B$17))/100)*(B872*I854)</f>
        <v/>
      </c>
      <c r="L854">
        <f>K854*(MIN(Inputs!$B$21+(F864-Calc!F18),Inputs!$B$22)/100+Inputs!$B$22/100)/2</f>
        <v/>
      </c>
      <c r="M854">
        <f>L854*(1+(Inputs!$B$9+(F867-Calc!F21))/100)</f>
        <v/>
      </c>
      <c r="N854">
        <f>L854*(1-MIN(Inputs!$B$8+((F866-Calc!F20)+(F865-Calc!F19)),100)/100)+M854*(MIN(Inputs!$B$8+((F866-Calc!F20)+(F865-Calc!F19)),100)/100)</f>
        <v/>
      </c>
      <c r="O854">
        <f>IF(C854,H854*N854*IF(AND(Inputs!$B$4&lt;&gt;"pvp",Inputs!$B$35&gt;0),((Skills!F8*((S854-1)*IF(Skills!G8&gt;0,Skills!H8/Skills!G8,1)+IF(Skills!G8&gt;0,MIN(Skills!H8,MAX(0,Inputs!$B$35-((S854-1)*IF(Inputs!$B$4="pvp",15,MAX(0.1,Skills!D8-IF(Skills!E8=TRUE,(Inputs!$B$31+1),0))))))/Skills!G8,1)))/Inputs!$B$35),G854*V854)*IF(Inputs!$B$4="pvp",1,(1-Summary!$B$51)*(1)+Summary!$B$51*(MIN(Skills!Q8,Inputs!$B$37))),0)</f>
        <v/>
      </c>
      <c r="P854">
        <f>IF(B880=0,0,O854/B880)</f>
        <v/>
      </c>
      <c r="S854">
        <f>IF(AND(Inputs!$B$4&lt;&gt;"pvp",Inputs!$B$35&gt;0),(INT(Inputs!$B$35/IF(Inputs!$B$4="pvp",15,MAX(0.1,Skills!D8-IF(Skills!E8=TRUE,(Inputs!$B$31+1),0))))+1),0)</f>
        <v/>
      </c>
      <c r="V854">
        <f>IFERROR(1/IF(Inputs!$B$4="pvp",15,MAX(0.1,Skills!D8-IF(Skills!E8=TRUE,(Inputs!$B$31+1),0))),0)</f>
        <v/>
      </c>
    </row>
    <row r="855">
      <c r="A855">
        <f>Skills!A9</f>
        <v/>
      </c>
      <c r="B855">
        <f>Skills!B9</f>
        <v/>
      </c>
      <c r="C855">
        <f>Inputs!$B$3&gt;=105</f>
        <v/>
      </c>
      <c r="D855">
        <f>IF(Skills!C9=1,60+Inputs!$B$24+Inputs!$B$28,IF(Skills!C9=2,90+Inputs!$B$25+Inputs!$B$28,IF(Skills!C9=3,120+Inputs!$B$26+Inputs!$B$28,MAX(0,(Inputs!$B$3-100)*3)+Inputs!$B$27+Inputs!$B$28)))</f>
        <v/>
      </c>
      <c r="E855">
        <f>INDEX(FactorTable!$B$2:$Y$301, MATCH(ROUND(MIN(300,MAX(1,D855)),0), FactorTable!$A$2:$A$301,0), Skills!L9+1)</f>
        <v/>
      </c>
      <c r="F855">
        <f>IF(Skills!M9=TRUE,(Skills!K9/10)*(E855/1000),Skills!K9/10)+Skills!N9</f>
        <v/>
      </c>
      <c r="G855">
        <f>Calc!G9</f>
        <v/>
      </c>
      <c r="H855">
        <f>Calc!H9</f>
        <v/>
      </c>
      <c r="I855">
        <f>IF(Skills!T9&lt;&gt;"",1+(Skills!T9/10)*(R849/1000)/100,1)</f>
        <v/>
      </c>
      <c r="J855">
        <f>((Inputs!$B$5*(1+Inputs!$B$6/100))+((Inputs!$B$11*(1+Inputs!$B$12/100))-(Inputs!$B$11*(1+Inputs!$B$12/100)))*(1+Inputs!$B$6/100))*(F855/100)</f>
        <v/>
      </c>
      <c r="K855">
        <f>J855*(1+((Inputs!$B$11*(1+Inputs!$B$12/100))*0.01+Inputs!$B$13*0.0025)/100)*(1+(Inputs!$B$14+B874)/100)*(1+IF(Inputs!$B$4="pvp",0,(1-Summary!$B$51)*(Inputs!$B$19+Skills!O9+B873)+Summary!$B$51*(Inputs!$B$20+Skills!P9+B873))/100)*(1+Inputs!$B$15/100)*(5000/(6000+Inputs!$B$7*(1-Inputs!$B$18/100)))*(1+Inputs!$B$23/100)*(1+IF(C861=TRUE,F861,0)/100)*(1+IF(C869=TRUE,F869,0)/100)^5*(1+(IF(Skills!A9="CHAIN_LIGHTNING",Inputs!$B$16,Inputs!$B$17))/100)*(B872*I855)</f>
        <v/>
      </c>
      <c r="L855">
        <f>K855*(MIN(Inputs!$B$21+(F864-Calc!F18),Inputs!$B$22)/100+Inputs!$B$22/100)/2</f>
        <v/>
      </c>
      <c r="M855">
        <f>L855*(1+(Inputs!$B$9+(F867-Calc!F21))/100)</f>
        <v/>
      </c>
      <c r="N855">
        <f>L855*(1-MIN(Inputs!$B$8+((F866-Calc!F20)+(F865-Calc!F19)),100)/100)+M855*(MIN(Inputs!$B$8+((F866-Calc!F20)+(F865-Calc!F19)),100)/100)</f>
        <v/>
      </c>
      <c r="O855">
        <f>IF(C855,H855*N855*IF(AND(Inputs!$B$4&lt;&gt;"pvp",Inputs!$B$35&gt;0),((Skills!F9*((S855-1)*IF(Skills!G9&gt;0,Skills!H9/Skills!G9,1)+IF(Skills!G9&gt;0,MIN(Skills!H9,MAX(0,Inputs!$B$35-((S855-1)*IF(Inputs!$B$4="pvp",15,MAX(0.1,Skills!D9-IF(Skills!E9=TRUE,(Inputs!$B$31+1),0))))))/Skills!G9,1)))/Inputs!$B$35),G855*V855)*IF(Inputs!$B$4="pvp",1,(1-Summary!$B$51)*(1)+Summary!$B$51*(MIN(Skills!Q9,Inputs!$B$37))),0)</f>
        <v/>
      </c>
      <c r="P855">
        <f>IF(B880=0,0,O855/B880)</f>
        <v/>
      </c>
      <c r="S855">
        <f>IF(AND(Inputs!$B$4&lt;&gt;"pvp",Inputs!$B$35&gt;0),(INT(Inputs!$B$35/IF(Inputs!$B$4="pvp",15,MAX(0.1,Skills!D9-IF(Skills!E9=TRUE,(Inputs!$B$31+1),0))))+1),0)</f>
        <v/>
      </c>
      <c r="V855">
        <f>IFERROR(1/IF(Inputs!$B$4="pvp",15,MAX(0.1,Skills!D9-IF(Skills!E9=TRUE,(Inputs!$B$31+1),0))),0)</f>
        <v/>
      </c>
    </row>
    <row r="856">
      <c r="A856">
        <f>Skills!A10</f>
        <v/>
      </c>
      <c r="B856">
        <f>Skills!B10</f>
        <v/>
      </c>
      <c r="C856">
        <f>Inputs!$B$3&gt;=113</f>
        <v/>
      </c>
      <c r="D856">
        <f>IF(Skills!C10=1,60+Inputs!$B$24+Inputs!$B$28,IF(Skills!C10=2,90+Inputs!$B$25+Inputs!$B$28,IF(Skills!C10=3,120+Inputs!$B$26+Inputs!$B$28,MAX(0,(Inputs!$B$3-100)*3)+Inputs!$B$27+Inputs!$B$28)))</f>
        <v/>
      </c>
      <c r="E856">
        <f>INDEX(FactorTable!$B$2:$Y$301, MATCH(ROUND(MIN(300,MAX(1,D856)),0), FactorTable!$A$2:$A$301,0), Skills!L10+1)</f>
        <v/>
      </c>
      <c r="F856">
        <f>IF(Skills!M10=TRUE,(Skills!K10/10)*(E856/1000),Skills!K10/10)+Skills!N10</f>
        <v/>
      </c>
      <c r="G856">
        <f>Calc!G10</f>
        <v/>
      </c>
      <c r="H856">
        <f>Calc!H10</f>
        <v/>
      </c>
      <c r="I856">
        <f>IF(Skills!T10&lt;&gt;"",1+(Skills!T10/10)*(R849/1000)/100,1)</f>
        <v/>
      </c>
      <c r="J856">
        <f>((Inputs!$B$5*(1+Inputs!$B$6/100))+((Inputs!$B$11*(1+Inputs!$B$12/100))-(Inputs!$B$11*(1+Inputs!$B$12/100)))*(1+Inputs!$B$6/100))*(F856/100)</f>
        <v/>
      </c>
      <c r="K856">
        <f>J856*(1+((Inputs!$B$11*(1+Inputs!$B$12/100))*0.01+Inputs!$B$13*0.0025)/100)*(1+(Inputs!$B$14+B874)/100)*(1+IF(Inputs!$B$4="pvp",0,(1-Summary!$B$51)*(Inputs!$B$19+Skills!O10+B873)+Summary!$B$51*(Inputs!$B$20+Skills!P10+B873))/100)*(1+Inputs!$B$15/100)*(5000/(6000+Inputs!$B$7*(1-Inputs!$B$18/100)))*(1+Inputs!$B$23/100)*(1+IF(C861=TRUE,F861,0)/100)*(1+IF(C869=TRUE,F869,0)/100)^5*(1+(IF(Skills!A10="CHAIN_LIGHTNING",Inputs!$B$16,Inputs!$B$17))/100)*(B872*I856)</f>
        <v/>
      </c>
      <c r="L856">
        <f>K856*(MIN(Inputs!$B$21+(F864-Calc!F18),Inputs!$B$22)/100+Inputs!$B$22/100)/2</f>
        <v/>
      </c>
      <c r="M856">
        <f>L856*(1+(Inputs!$B$9+(F867-Calc!F21))/100)</f>
        <v/>
      </c>
      <c r="N856">
        <f>L856*(1-MIN(Inputs!$B$8+((F866-Calc!F20)+(F865-Calc!F19)),100)/100)+M856*(MIN(Inputs!$B$8+((F866-Calc!F20)+(F865-Calc!F19)),100)/100)</f>
        <v/>
      </c>
      <c r="O856">
        <f>IF(C856,H856*N856*IF(AND(Inputs!$B$4&lt;&gt;"pvp",Inputs!$B$35&gt;0),((Skills!F10*((S856-1)*IF(Skills!G10&gt;0,Skills!H10/Skills!G10,1)+IF(Skills!G10&gt;0,MIN(Skills!H10,MAX(0,Inputs!$B$35-((S856-1)*IF(Inputs!$B$4="pvp",15,MAX(0.1,Skills!D10-IF(Skills!E9=TRUE,(Inputs!$B$31+1),0))))))/Skills!G10,1)))/Inputs!$B$35),G856*V856)*IF(Inputs!$B$4="pvp",1,(1-Summary!$B$51)*(1)+Summary!$B$51*(MIN(Skills!Q10,Inputs!$B$37))),0)</f>
        <v/>
      </c>
      <c r="P856">
        <f>IF(B880=0,0,O856/B880)</f>
        <v/>
      </c>
      <c r="S856">
        <f>IF(AND(Inputs!$B$4&lt;&gt;"pvp",Inputs!$B$35&gt;0),(INT(Inputs!$B$35/IF(Inputs!$B$4="pvp",15,MAX(0.1,Skills!D10-IF(Skills!E9=TRUE,(Inputs!$B$31+1),0))))+1),0)</f>
        <v/>
      </c>
      <c r="V856">
        <f>IFERROR(1/IF(Inputs!$B$4="pvp",15,MAX(0.1,Skills!D10-IF(Skills!E9=TRUE,(Inputs!$B$31+1),0))),0)</f>
        <v/>
      </c>
    </row>
    <row r="857">
      <c r="A857">
        <f>Skills!A11</f>
        <v/>
      </c>
      <c r="B857">
        <f>Skills!B11</f>
        <v/>
      </c>
      <c r="C857">
        <f>Inputs!$B$3&gt;=107</f>
        <v/>
      </c>
      <c r="D857">
        <f>IF(Skills!C11=1,60+Inputs!$B$24+Inputs!$B$28,IF(Skills!C11=2,90+Inputs!$B$25+Inputs!$B$28,IF(Skills!C11=3,120+Inputs!$B$26+Inputs!$B$28,MAX(0,(Inputs!$B$3-100)*3)+Inputs!$B$27+Inputs!$B$28)))</f>
        <v/>
      </c>
      <c r="E857">
        <f>INDEX(FactorTable!$B$2:$Y$301, MATCH(ROUND(MIN(300,MAX(1,D857)),0), FactorTable!$A$2:$A$301,0), Skills!L11+1)</f>
        <v/>
      </c>
      <c r="F857">
        <f>IF(Skills!M11=TRUE,(Skills!K11/10)*(E857/1000),Skills!K11/10)+Skills!N11</f>
        <v/>
      </c>
      <c r="G857">
        <f>Calc!G11</f>
        <v/>
      </c>
      <c r="H857">
        <f>Calc!H11</f>
        <v/>
      </c>
      <c r="I857">
        <f>IF(Skills!T11&lt;&gt;"",1+(Skills!T11/10)*(R849/1000)/100,1)</f>
        <v/>
      </c>
      <c r="J857">
        <f>((Inputs!$B$5*(1+Inputs!$B$6/100))+((Inputs!$B$11*(1+Inputs!$B$12/100))-(Inputs!$B$11*(1+Inputs!$B$12/100)))*(1+Inputs!$B$6/100))*(F857/100)</f>
        <v/>
      </c>
      <c r="K857">
        <f>J857*(1+((Inputs!$B$11*(1+Inputs!$B$12/100))*0.01+Inputs!$B$13*0.0025)/100)*(1+(Inputs!$B$14+B874)/100)*(1+IF(Inputs!$B$4="pvp",0,(1-Summary!$B$51)*(Inputs!$B$19+Skills!O11+B873)+Summary!$B$51*(Inputs!$B$20+Skills!P11+B873))/100)*(1+Inputs!$B$15/100)*(5000/(6000+Inputs!$B$7*(1-Inputs!$B$18/100)))*(1+Inputs!$B$23/100)*(1+IF(C861=TRUE,F861,0)/100)*(1+IF(C869=TRUE,F869,0)/100)^5*(1+(IF(Skills!A11="CHAIN_LIGHTNING",Inputs!$B$16,Inputs!$B$17))/100)*(B872*I857)</f>
        <v/>
      </c>
      <c r="L857">
        <f>K857*(MIN(Inputs!$B$21+(F864-Calc!F18),Inputs!$B$22)/100+Inputs!$B$22/100)/2</f>
        <v/>
      </c>
      <c r="M857">
        <f>L857*(1+(Inputs!$B$9+(F867-Calc!F21))/100)</f>
        <v/>
      </c>
      <c r="N857">
        <f>L857*(1-MIN(Inputs!$B$8+((F866-Calc!F20)+(F865-Calc!F19)),100)/100)+M857*(MIN(Inputs!$B$8+((F866-Calc!F20)+(F865-Calc!F19)),100)/100)</f>
        <v/>
      </c>
      <c r="O857">
        <f>IF(C857,H857*N857*IF(AND(Inputs!$B$4&lt;&gt;"pvp",Inputs!$B$35&gt;0),((Skills!F11*((S857-1)*IF(Skills!G11&gt;0,Skills!H11/Skills!G11,1)+IF(Skills!G11&gt;0,MIN(Skills!H11,MAX(0,Inputs!$B$35-((S857-1)*IF(Inputs!$B$4="pvp",15,MAX(0.1,Skills!D11-IF(Skills!E11=TRUE,(Inputs!$B$31+1),0))))))/Skills!G11,1)))/Inputs!$B$35),G857*V857)*IF(Inputs!$B$4="pvp",0.5,(1-Summary!$B$51)*0.5+Summary!$B$51*1)*IF(Inputs!$B$4="pvp",1,(1-Summary!$B$51)*(1)+Summary!$B$51*(MIN(Skills!Q11,Inputs!$B$37))),0)</f>
        <v/>
      </c>
      <c r="P857">
        <f>IF(B880=0,0,O857/B880)</f>
        <v/>
      </c>
      <c r="S857">
        <f>IF(AND(Inputs!$B$4&lt;&gt;"pvp",Inputs!$B$35&gt;0),(INT(Inputs!$B$35/IF(Inputs!$B$4="pvp",15,MAX(0.1,Skills!D11-IF(Skills!E11=TRUE,(Inputs!$B$31+1),0))))+1),0)</f>
        <v/>
      </c>
      <c r="V857">
        <f>IFERROR(1/IF(Inputs!$B$4="pvp",15,MAX(0.1,Skills!D11-IF(Skills!E11=TRUE,(Inputs!$B$31+1),0))),0)</f>
        <v/>
      </c>
    </row>
    <row r="858">
      <c r="A858">
        <f>Skills!A12</f>
        <v/>
      </c>
      <c r="B858">
        <f>Skills!B12</f>
        <v/>
      </c>
      <c r="C858">
        <f>Inputs!$B$3&gt;=115</f>
        <v/>
      </c>
      <c r="D858">
        <f>IF(Skills!C12=1,60+Inputs!$B$24+Inputs!$B$28,IF(Skills!C12=2,90+Inputs!$B$25+Inputs!$B$28,IF(Skills!C12=3,120+Inputs!$B$26+Inputs!$B$28,MAX(0,(Inputs!$B$3-100)*3)+Inputs!$B$27+Inputs!$B$28)))</f>
        <v/>
      </c>
      <c r="E858">
        <f>INDEX(FactorTable!$B$2:$Y$301, MATCH(ROUND(MIN(300,MAX(1,D858)),0), FactorTable!$A$2:$A$301,0), Skills!L12+1)</f>
        <v/>
      </c>
      <c r="F858">
        <f>IF(Skills!M12=TRUE,(Skills!K12/10)*(E858/1000),Skills!K12/10)+Skills!N12</f>
        <v/>
      </c>
      <c r="G858">
        <f>Calc!G12</f>
        <v/>
      </c>
      <c r="H858">
        <f>Calc!H12</f>
        <v/>
      </c>
      <c r="I858">
        <f>IF(Skills!T12&lt;&gt;"",1+(Skills!T12/10)*(R849/1000)/100,1)</f>
        <v/>
      </c>
      <c r="J858">
        <f>((Inputs!$B$5*(1+Inputs!$B$6/100))+((Inputs!$B$11*(1+Inputs!$B$12/100))-(Inputs!$B$11*(1+Inputs!$B$12/100)))*(1+Inputs!$B$6/100))*(F858/100)</f>
        <v/>
      </c>
      <c r="K858">
        <f>J858*(1+((Inputs!$B$11*(1+Inputs!$B$12/100))*0.01+Inputs!$B$13*0.0025)/100)*(1+(Inputs!$B$14+B874)/100)*(1+IF(Inputs!$B$4="pvp",0,(1-Summary!$B$51)*(Inputs!$B$19+Skills!O12+B873)+Summary!$B$51*(Inputs!$B$20+Skills!P12+B873))/100)*(1+Inputs!$B$15/100)*(5000/(6000+Inputs!$B$7*(1-Inputs!$B$18/100)))*(1+Inputs!$B$23/100)*(1+IF(C861=TRUE,F861,0)/100)*(1+IF(C869=TRUE,F869,0)/100)^5*(1+(IF(Skills!A12="CHAIN_LIGHTNING",Inputs!$B$16,Inputs!$B$17))/100)*(B872*I858)</f>
        <v/>
      </c>
      <c r="L858">
        <f>K858*(MIN(Inputs!$B$21+(F864-Calc!F18),Inputs!$B$22)/100+Inputs!$B$22/100)/2</f>
        <v/>
      </c>
      <c r="M858">
        <f>L858*(1+(Inputs!$B$9+(F867-Calc!F21))/100)</f>
        <v/>
      </c>
      <c r="N858">
        <f>L858*(1-MIN(Inputs!$B$8+((F866-Calc!F20)+(F865-Calc!F19)),100)/100)+M858*(MIN(Inputs!$B$8+((F866-Calc!F20)+(F865-Calc!F19)),100)/100)</f>
        <v/>
      </c>
      <c r="O858">
        <f>IF(C858,H858*N858*IF(AND(Inputs!$B$4&lt;&gt;"pvp",Inputs!$B$35&gt;0),((Skills!F12*((S858-1)*IF(Skills!G12&gt;0,Skills!H12/Skills!G12,1)+IF(Skills!G12&gt;0,MIN(Skills!H12,MAX(0,Inputs!$B$35-((S858-1)*IF(Inputs!$B$4="pvp",15,MAX(0.1,Skills!D12-IF(Skills!E12=TRUE,(Inputs!$B$31+1),0))))))/Skills!G12,1)))/Inputs!$B$35),G858*V858)*IF(Inputs!$B$4="pvp",1,(1-Summary!$B$51)*(1)+Summary!$B$51*(MIN(Skills!Q12,Inputs!$B$37))),0)</f>
        <v/>
      </c>
      <c r="P858">
        <f>IF(B880=0,0,O858/B880)</f>
        <v/>
      </c>
      <c r="S858">
        <f>IF(AND(Inputs!$B$4&lt;&gt;"pvp",Inputs!$B$35&gt;0),(INT(Inputs!$B$35/IF(Inputs!$B$4="pvp",15,MAX(0.1,Skills!D12-IF(Skills!E12=TRUE,(Inputs!$B$31+1),0))))+1),0)</f>
        <v/>
      </c>
      <c r="V858">
        <f>IFERROR(1/IF(Inputs!$B$4="pvp",15,MAX(0.1,Skills!D12-IF(Skills!E12=TRUE,(Inputs!$B$31+1),0))),0)</f>
        <v/>
      </c>
    </row>
    <row r="859">
      <c r="A859">
        <f>Skills!A13</f>
        <v/>
      </c>
      <c r="B859">
        <f>Skills!B13</f>
        <v/>
      </c>
      <c r="C859">
        <f>Inputs!$B$3&gt;=49</f>
        <v/>
      </c>
      <c r="D859">
        <f>IF(Skills!C13=1,60+Inputs!$B$24+Inputs!$B$28,IF(Skills!C13=2,90+Inputs!$B$25+Inputs!$B$28,IF(Skills!C13=3,120+Inputs!$B$26+Inputs!$B$28,MAX(0,(Inputs!$B$3-100)*3)+Inputs!$B$27+Inputs!$B$28)))</f>
        <v/>
      </c>
      <c r="E859">
        <f>INDEX(FactorTable!$B$2:$Y$301, MATCH(ROUND(MIN(300,MAX(1,D859)),0), FactorTable!$A$2:$A$301,0), Skills!L13+1)</f>
        <v/>
      </c>
      <c r="F859">
        <f>IF(Skills!M13=TRUE,(Skills!K13/10)*(E859/1000),Skills!K13/10)+Skills!N13</f>
        <v/>
      </c>
      <c r="G859">
        <f>Calc!G13</f>
        <v/>
      </c>
      <c r="H859">
        <f>Calc!H13</f>
        <v/>
      </c>
      <c r="I859">
        <f>IF(Skills!T13&lt;&gt;"",1+(Skills!T13/10)*(R849/1000)/100,1)</f>
        <v/>
      </c>
      <c r="J859" t="inlineStr"/>
      <c r="K859" t="inlineStr"/>
      <c r="L859" t="inlineStr"/>
      <c r="M859" t="inlineStr"/>
      <c r="N859" t="inlineStr"/>
      <c r="O859" t="n">
        <v>0</v>
      </c>
      <c r="P859">
        <f>IF(B880=0,0,O859/B880)</f>
        <v/>
      </c>
      <c r="S859" t="n">
        <v>0</v>
      </c>
      <c r="V859">
        <f>IFERROR(1/IF(Inputs!$B$4="pvp",15,MAX(0.1,Skills!D13-IF(Skills!E13=TRUE,(Inputs!$B$31+1),0))),0)</f>
        <v/>
      </c>
    </row>
    <row r="860">
      <c r="A860">
        <f>Skills!A14</f>
        <v/>
      </c>
      <c r="B860">
        <f>Skills!B14</f>
        <v/>
      </c>
      <c r="C860">
        <f>Inputs!$B$3&gt;=72</f>
        <v/>
      </c>
      <c r="D860">
        <f>IF(Skills!C14=1,60+Inputs!$B$24+Inputs!$B$28,IF(Skills!C14=2,90+Inputs!$B$25+Inputs!$B$28,IF(Skills!C14=3,120+Inputs!$B$26+Inputs!$B$28,MAX(0,(Inputs!$B$3-100)*3)+Inputs!$B$27+Inputs!$B$28)))</f>
        <v/>
      </c>
      <c r="E860">
        <f>INDEX(FactorTable!$B$2:$Y$301, MATCH(ROUND(MIN(300,MAX(1,D860)),0), FactorTable!$A$2:$A$301,0), Skills!L14+1)</f>
        <v/>
      </c>
      <c r="F860">
        <f>IF(Skills!M14=TRUE,(Skills!K14/10)*(E860/1000),Skills!K14/10)+Skills!N14</f>
        <v/>
      </c>
      <c r="G860">
        <f>Calc!G14</f>
        <v/>
      </c>
      <c r="H860">
        <f>Calc!H14</f>
        <v/>
      </c>
      <c r="I860">
        <f>IF(Skills!T14&lt;&gt;"",1+(Skills!T14/10)*(R849/1000)/100,1)</f>
        <v/>
      </c>
      <c r="J860" t="inlineStr"/>
      <c r="K860" t="inlineStr"/>
      <c r="L860" t="inlineStr"/>
      <c r="M860" t="inlineStr"/>
      <c r="N860" t="inlineStr"/>
      <c r="O860" t="n">
        <v>0</v>
      </c>
      <c r="P860">
        <f>IF(B880=0,0,O860/B880)</f>
        <v/>
      </c>
      <c r="S860" t="n">
        <v>0</v>
      </c>
      <c r="V860">
        <f>IFERROR(1/IF(Inputs!$B$4="pvp",15,MAX(0.1,Skills!D14-IF(Skills!E14=TRUE,(Inputs!$B$31+1),0))),0)</f>
        <v/>
      </c>
    </row>
    <row r="861">
      <c r="A861">
        <f>Skills!A15</f>
        <v/>
      </c>
      <c r="B861">
        <f>Skills!B15</f>
        <v/>
      </c>
      <c r="C861">
        <f>Inputs!$B$3&gt;=75</f>
        <v/>
      </c>
      <c r="D861">
        <f>IF(Skills!C15=1,60+Inputs!$B$24+Inputs!$B$28,IF(Skills!C15=2,90+Inputs!$B$25+Inputs!$B$28,IF(Skills!C15=3,120+Inputs!$B$26+Inputs!$B$28,MAX(0,(Inputs!$B$3-100)*3)+Inputs!$B$27+Inputs!$B$28)))</f>
        <v/>
      </c>
      <c r="E861">
        <f>INDEX(FactorTable!$B$2:$Y$301, MATCH(ROUND(MIN(300,MAX(1,D861)),0), FactorTable!$A$2:$A$301,0), Skills!L15+1)</f>
        <v/>
      </c>
      <c r="F861">
        <f>IF(Skills!M15=TRUE,(Skills!K15/10)*(E861/1000),Skills!K15/10)+Skills!N15</f>
        <v/>
      </c>
      <c r="G861">
        <f>Calc!G15</f>
        <v/>
      </c>
      <c r="H861">
        <f>Calc!H15</f>
        <v/>
      </c>
      <c r="I861">
        <f>IF(Skills!T15&lt;&gt;"",1+(Skills!T15/10)*(R849/1000)/100,1)</f>
        <v/>
      </c>
      <c r="J861" t="inlineStr"/>
      <c r="K861" t="inlineStr"/>
      <c r="L861" t="inlineStr"/>
      <c r="M861" t="inlineStr"/>
      <c r="N861" t="inlineStr"/>
      <c r="O861" t="n">
        <v>0</v>
      </c>
      <c r="P861">
        <f>IF(B880=0,0,O861/B880)</f>
        <v/>
      </c>
      <c r="S861" t="n">
        <v>0</v>
      </c>
      <c r="V861">
        <f>IFERROR(1/IF(Inputs!$B$4="pvp",15,MAX(0.1,Skills!D15-IF(Skills!E15=TRUE,(Inputs!$B$31+1),0))),0)</f>
        <v/>
      </c>
    </row>
    <row r="862">
      <c r="A862">
        <f>Skills!A16</f>
        <v/>
      </c>
      <c r="B862">
        <f>Skills!B16</f>
        <v/>
      </c>
      <c r="C862">
        <f>Inputs!$B$3&gt;=110</f>
        <v/>
      </c>
      <c r="D862">
        <f>IF(Skills!C16=1,60+Inputs!$B$24+Inputs!$B$28,IF(Skills!C16=2,90+Inputs!$B$25+Inputs!$B$28,IF(Skills!C16=3,120+Inputs!$B$26+Inputs!$B$28,MAX(0,(Inputs!$B$3-100)*3)+Inputs!$B$27+Inputs!$B$28)))</f>
        <v/>
      </c>
      <c r="E862">
        <f>INDEX(FactorTable!$B$2:$Y$301, MATCH(ROUND(MIN(300,MAX(1,D862)),0), FactorTable!$A$2:$A$301,0), Skills!L16+1)</f>
        <v/>
      </c>
      <c r="F862">
        <f>(Skills!K16/10)*(E862/1000)*64/45+Skills!N16</f>
        <v/>
      </c>
      <c r="G862">
        <f>Calc!G16</f>
        <v/>
      </c>
      <c r="H862">
        <f>Calc!H16</f>
        <v/>
      </c>
      <c r="I862">
        <f>IF(Skills!T16&lt;&gt;"",1+(Skills!T16/10)*(R849/1000)/100,1)</f>
        <v/>
      </c>
      <c r="J862" t="inlineStr"/>
      <c r="K862" t="inlineStr"/>
      <c r="L862" t="inlineStr"/>
      <c r="M862" t="inlineStr"/>
      <c r="N862" t="inlineStr"/>
      <c r="O862" t="n">
        <v>0</v>
      </c>
      <c r="P862">
        <f>IF(B880=0,0,O862/B880)</f>
        <v/>
      </c>
      <c r="S862">
        <f>IF(AND(Inputs!$B$4&lt;&gt;"pvp",Inputs!$B$35&gt;0),(INT(Inputs!$B$35/IF(Inputs!$B$4="pvp",15,MAX(0.1,Skills!D16-IF(Skills!E16=TRUE,(Inputs!$B$31+1),0))))+1),0)</f>
        <v/>
      </c>
      <c r="V862">
        <f>IFERROR(1/IF(Inputs!$B$4="pvp",15,MAX(0.1,Skills!D16-IF(Skills!E16=TRUE,(Inputs!$B$31+1),0))),0)</f>
        <v/>
      </c>
    </row>
    <row r="863">
      <c r="A863">
        <f>Skills!A17</f>
        <v/>
      </c>
      <c r="B863">
        <f>Skills!B17</f>
        <v/>
      </c>
      <c r="C863">
        <f>Inputs!$B$3&gt;=33</f>
        <v/>
      </c>
      <c r="D863">
        <f>IF(Skills!C17=1,60+Inputs!$B$24+Inputs!$B$28,IF(Skills!C17=2,90+Inputs!$B$25+Inputs!$B$28,IF(Skills!C17=3,120+Inputs!$B$26+Inputs!$B$28,MAX(0,(Inputs!$B$3-100)*3)+Inputs!$B$27+Inputs!$B$28)))</f>
        <v/>
      </c>
      <c r="E863">
        <f>INDEX(FactorTable!$B$2:$Y$301, MATCH(ROUND(MIN(300,MAX(1,D863)),0), FactorTable!$A$2:$A$301,0), Skills!L17+1)</f>
        <v/>
      </c>
      <c r="F863">
        <f>IF(Skills!M17=TRUE,(Skills!K17/10)*(E863/1000),Skills!K17/10)+Skills!N17</f>
        <v/>
      </c>
      <c r="G863">
        <f>Calc!G17</f>
        <v/>
      </c>
      <c r="H863">
        <f>Calc!H17</f>
        <v/>
      </c>
      <c r="I863">
        <f>IF(Skills!T17&lt;&gt;"",1+(Skills!T17/10)*(R849/1000)/100,1)</f>
        <v/>
      </c>
      <c r="J863" t="inlineStr"/>
      <c r="K863" t="inlineStr"/>
      <c r="L863" t="inlineStr"/>
      <c r="M863" t="inlineStr"/>
      <c r="N863" t="inlineStr"/>
      <c r="O863" t="n">
        <v>0</v>
      </c>
      <c r="P863">
        <f>IF(B880=0,0,O863/B880)</f>
        <v/>
      </c>
      <c r="S863" t="n">
        <v>0</v>
      </c>
      <c r="V863">
        <f>IFERROR(1/IF(Inputs!$B$4="pvp",15,MAX(0.1,Skills!D17-IF(Skills!E17=TRUE,(Inputs!$B$31+1),0))),0)</f>
        <v/>
      </c>
    </row>
    <row r="864">
      <c r="A864">
        <f>Skills!A18</f>
        <v/>
      </c>
      <c r="B864">
        <f>Skills!B18</f>
        <v/>
      </c>
      <c r="C864">
        <f>Inputs!$B$3&gt;=43</f>
        <v/>
      </c>
      <c r="D864">
        <f>IF(Skills!C18=1,60+Inputs!$B$24+Inputs!$B$28,IF(Skills!C18=2,90+Inputs!$B$25+Inputs!$B$28,IF(Skills!C18=3,120+Inputs!$B$26+Inputs!$B$28,MAX(0,(Inputs!$B$3-100)*3)+Inputs!$B$27+Inputs!$B$28)))</f>
        <v/>
      </c>
      <c r="E864">
        <f>INDEX(FactorTable!$B$2:$Y$301, MATCH(ROUND(MIN(300,MAX(1,D864)),0), FactorTable!$A$2:$A$301,0), Skills!L18+1)</f>
        <v/>
      </c>
      <c r="F864">
        <f>IF(Skills!M18=TRUE,(Skills!K18/10)*(E864/1000),Skills!K18/10)+Skills!N18</f>
        <v/>
      </c>
      <c r="G864">
        <f>Calc!G18</f>
        <v/>
      </c>
      <c r="H864">
        <f>Calc!H18</f>
        <v/>
      </c>
      <c r="I864">
        <f>IF(Skills!T18&lt;&gt;"",1+(Skills!T18/10)*(R849/1000)/100,1)</f>
        <v/>
      </c>
      <c r="J864" t="inlineStr"/>
      <c r="K864" t="inlineStr"/>
      <c r="L864" t="inlineStr"/>
      <c r="M864" t="inlineStr"/>
      <c r="N864" t="inlineStr"/>
      <c r="O864" t="n">
        <v>0</v>
      </c>
      <c r="P864">
        <f>IF(B880=0,0,O864/B880)</f>
        <v/>
      </c>
      <c r="S864" t="n">
        <v>0</v>
      </c>
      <c r="V864">
        <f>IFERROR(1/IF(Inputs!$B$4="pvp",15,MAX(0.1,Skills!D18-IF(Skills!E18=TRUE,(Inputs!$B$31+1),0))),0)</f>
        <v/>
      </c>
    </row>
    <row r="865">
      <c r="A865">
        <f>Skills!A19</f>
        <v/>
      </c>
      <c r="B865">
        <f>Skills!B19</f>
        <v/>
      </c>
      <c r="C865">
        <f>Inputs!$B$3&gt;=50</f>
        <v/>
      </c>
      <c r="D865">
        <f>IF(Skills!C19=1,60+Inputs!$B$24+Inputs!$B$28,IF(Skills!C19=2,90+Inputs!$B$25+Inputs!$B$28,IF(Skills!C19=3,120+Inputs!$B$26+Inputs!$B$28,MAX(0,(Inputs!$B$3-100)*3)+Inputs!$B$27+Inputs!$B$28)))</f>
        <v/>
      </c>
      <c r="E865">
        <f>INDEX(FactorTable!$B$2:$Y$301, MATCH(ROUND(MIN(300,MAX(1,D865)),0), FactorTable!$A$2:$A$301,0), Skills!L19+1)</f>
        <v/>
      </c>
      <c r="F865">
        <f>IF(Skills!M19=TRUE,(Skills!K19/10)*(E865/1000),Skills!K19/10)+Skills!N19</f>
        <v/>
      </c>
      <c r="G865">
        <f>Calc!G19</f>
        <v/>
      </c>
      <c r="H865">
        <f>Calc!H19</f>
        <v/>
      </c>
      <c r="I865">
        <f>IF(Skills!T19&lt;&gt;"",1+(Skills!T19/10)*(R849/1000)/100,1)</f>
        <v/>
      </c>
      <c r="J865" t="inlineStr"/>
      <c r="K865" t="inlineStr"/>
      <c r="L865" t="inlineStr"/>
      <c r="M865" t="inlineStr"/>
      <c r="N865" t="inlineStr"/>
      <c r="O865" t="n">
        <v>0</v>
      </c>
      <c r="P865">
        <f>IF(B880=0,0,O865/B880)</f>
        <v/>
      </c>
      <c r="S865" t="n">
        <v>0</v>
      </c>
      <c r="V865">
        <f>IFERROR(1/IF(Inputs!$B$4="pvp",15,MAX(0.1,Skills!D19-IF(Skills!E19=TRUE,(Inputs!$B$31+1),0))),0)</f>
        <v/>
      </c>
    </row>
    <row r="866">
      <c r="A866">
        <f>Skills!A20</f>
        <v/>
      </c>
      <c r="B866">
        <f>Skills!B20</f>
        <v/>
      </c>
      <c r="C866">
        <f>Inputs!$B$3&gt;=74</f>
        <v/>
      </c>
      <c r="D866">
        <f>IF(Skills!C20=1,60+Inputs!$B$24+Inputs!$B$28,IF(Skills!C20=2,90+Inputs!$B$25+Inputs!$B$28,IF(Skills!C20=3,120+Inputs!$B$26+Inputs!$B$28,MAX(0,(Inputs!$B$3-100)*3)+Inputs!$B$27+Inputs!$B$28)))</f>
        <v/>
      </c>
      <c r="E866">
        <f>INDEX(FactorTable!$B$2:$Y$301, MATCH(ROUND(MIN(300,MAX(1,D866)),0), FactorTable!$A$2:$A$301,0), Skills!L20+1)</f>
        <v/>
      </c>
      <c r="F866">
        <f>IF(Skills!M20=TRUE,(Skills!K20/10)*(E866/1000),Skills!K20/10)+Skills!N20</f>
        <v/>
      </c>
      <c r="G866">
        <f>Calc!G20</f>
        <v/>
      </c>
      <c r="H866">
        <f>Calc!H20</f>
        <v/>
      </c>
      <c r="I866">
        <f>IF(Skills!T20&lt;&gt;"",1+(Skills!T20/10)*(R849/1000)/100,1)</f>
        <v/>
      </c>
      <c r="J866" t="inlineStr"/>
      <c r="K866" t="inlineStr"/>
      <c r="L866" t="inlineStr"/>
      <c r="M866" t="inlineStr"/>
      <c r="N866" t="inlineStr"/>
      <c r="O866" t="n">
        <v>0</v>
      </c>
      <c r="P866">
        <f>IF(B880=0,0,O866/B880)</f>
        <v/>
      </c>
      <c r="S866" t="n">
        <v>0</v>
      </c>
      <c r="V866">
        <f>IFERROR(1/IF(Inputs!$B$4="pvp",15,MAX(0.1,Skills!D20-IF(Skills!E20=TRUE,(Inputs!$B$31+1),0))),0)</f>
        <v/>
      </c>
    </row>
    <row r="867">
      <c r="A867">
        <f>Skills!A21</f>
        <v/>
      </c>
      <c r="B867">
        <f>Skills!B21</f>
        <v/>
      </c>
      <c r="C867">
        <f>Inputs!$B$3&gt;=74</f>
        <v/>
      </c>
      <c r="D867">
        <f>IF(Skills!C21=1,60+Inputs!$B$24+Inputs!$B$28,IF(Skills!C21=2,90+Inputs!$B$25+Inputs!$B$28,IF(Skills!C21=3,120+Inputs!$B$26+Inputs!$B$28,MAX(0,(Inputs!$B$3-100)*3)+Inputs!$B$27+Inputs!$B$28)))</f>
        <v/>
      </c>
      <c r="E867">
        <f>INDEX(FactorTable!$B$2:$Y$301, MATCH(ROUND(MIN(300,MAX(1,D867)),0), FactorTable!$A$2:$A$301,0), Skills!L21+1)</f>
        <v/>
      </c>
      <c r="F867">
        <f>IF(Skills!M21=TRUE,(Skills!K21/10)*(E867/1000),Skills!K21/10)+Skills!N21</f>
        <v/>
      </c>
      <c r="G867">
        <f>Calc!G21</f>
        <v/>
      </c>
      <c r="H867">
        <f>Calc!H21</f>
        <v/>
      </c>
      <c r="I867">
        <f>IF(Skills!T21&lt;&gt;"",1+(Skills!T21/10)*(R849/1000)/100,1)</f>
        <v/>
      </c>
      <c r="J867" t="inlineStr"/>
      <c r="K867" t="inlineStr"/>
      <c r="L867" t="inlineStr"/>
      <c r="M867" t="inlineStr"/>
      <c r="N867" t="inlineStr"/>
      <c r="O867" t="n">
        <v>0</v>
      </c>
      <c r="P867">
        <f>IF(B880=0,0,O867/B880)</f>
        <v/>
      </c>
      <c r="S867" t="n">
        <v>0</v>
      </c>
      <c r="V867">
        <f>IFERROR(1/IF(Inputs!$B$4="pvp",15,MAX(0.1,Skills!D21-IF(Skills!E21=TRUE,(Inputs!$B$31+1),0))),0)</f>
        <v/>
      </c>
    </row>
    <row r="868">
      <c r="A868">
        <f>Skills!A22</f>
        <v/>
      </c>
      <c r="B868">
        <f>Skills!B22</f>
        <v/>
      </c>
      <c r="C868">
        <f>Inputs!$B$3&gt;=117</f>
        <v/>
      </c>
      <c r="D868">
        <f>IF(Skills!C22=1,60+Inputs!$B$24+Inputs!$B$28,IF(Skills!C22=2,90+Inputs!$B$25+Inputs!$B$28,IF(Skills!C22=3,120+Inputs!$B$26+Inputs!$B$28,MAX(0,(Inputs!$B$3-100)*3)+Inputs!$B$27+Inputs!$B$28)))</f>
        <v/>
      </c>
      <c r="E868">
        <f>INDEX(FactorTable!$B$2:$Y$301, MATCH(ROUND(MIN(300,MAX(1,D868)),0), FactorTable!$A$2:$A$301,0), Skills!L22+1)</f>
        <v/>
      </c>
      <c r="F868">
        <f>IF(Skills!M22=TRUE,(Skills!K22/10)*(E868/1000),Skills!K22/10)+Skills!N22</f>
        <v/>
      </c>
      <c r="G868">
        <f>Calc!G22</f>
        <v/>
      </c>
      <c r="H868">
        <f>Calc!H22</f>
        <v/>
      </c>
      <c r="I868">
        <f>IF(Skills!T22&lt;&gt;"",1+(Skills!T22/10)*(R849/1000)/100,1)</f>
        <v/>
      </c>
      <c r="J868" t="inlineStr"/>
      <c r="K868" t="inlineStr"/>
      <c r="L868" t="inlineStr"/>
      <c r="M868" t="inlineStr"/>
      <c r="N868" t="inlineStr"/>
      <c r="O868" t="n">
        <v>0</v>
      </c>
      <c r="P868">
        <f>IF(B880=0,0,O868/B880)</f>
        <v/>
      </c>
      <c r="S868" t="n">
        <v>0</v>
      </c>
      <c r="V868">
        <f>IFERROR(1/IF(Inputs!$B$4="pvp",15,MAX(0.1,Skills!D22-IF(Skills!E22=TRUE,(Inputs!$B$31+1),0))),0)</f>
        <v/>
      </c>
    </row>
    <row r="869">
      <c r="A869">
        <f>Skills!A23</f>
        <v/>
      </c>
      <c r="B869">
        <f>Skills!B23</f>
        <v/>
      </c>
      <c r="C869">
        <f>Inputs!$B$3&gt;=120</f>
        <v/>
      </c>
      <c r="D869">
        <f>IF(Skills!C23=1,60+Inputs!$B$24+Inputs!$B$28,IF(Skills!C23=2,90+Inputs!$B$25+Inputs!$B$28,IF(Skills!C23=3,120+Inputs!$B$26+Inputs!$B$28,MAX(0,(Inputs!$B$3-100)*3)+Inputs!$B$27+Inputs!$B$28)))</f>
        <v/>
      </c>
      <c r="E869">
        <f>INDEX(FactorTable!$B$2:$Y$301, MATCH(ROUND(MIN(300,MAX(1,D869)),0), FactorTable!$A$2:$A$301,0), Skills!L23+1)</f>
        <v/>
      </c>
      <c r="F869">
        <f>IF(Skills!M23=TRUE,(Skills!K23/10)*(E869/1000),Skills!K23/10)+Skills!N23</f>
        <v/>
      </c>
      <c r="G869">
        <f>Calc!G23</f>
        <v/>
      </c>
      <c r="H869">
        <f>Calc!H23</f>
        <v/>
      </c>
      <c r="I869">
        <f>IF(Skills!T23&lt;&gt;"",1+(Skills!T23/10)*(R849/1000)/100,1)</f>
        <v/>
      </c>
      <c r="J869" t="inlineStr"/>
      <c r="K869" t="inlineStr"/>
      <c r="L869" t="inlineStr"/>
      <c r="M869" t="inlineStr"/>
      <c r="N869" t="inlineStr"/>
      <c r="O869" t="n">
        <v>0</v>
      </c>
      <c r="P869">
        <f>IF(B880=0,0,O869/B880)</f>
        <v/>
      </c>
      <c r="S869" t="n">
        <v>0</v>
      </c>
      <c r="V869">
        <f>IFERROR(1/IF(Inputs!$B$4="pvp",15,MAX(0.1,Skills!D23-IF(Skills!E23=TRUE,(Inputs!$B$31+1),0))),0)</f>
        <v/>
      </c>
    </row>
    <row r="872">
      <c r="A872" t="inlineStr">
        <is>
          <t>Average Buff Multiplier (Magic Guard + Meditation, summed; then Infinity)</t>
        </is>
      </c>
      <c r="B872">
        <f>(1+(IF(C849=TRUE,F849*IF(AND(Inputs!$B$4&lt;&gt;"pvp",Inputs!$B$35&gt;0),(((S849-1)*(Skills!S3*(1+(Inputs!$B$33+IF(Inputs!$B$3&gt;=117,F868,0))/100))+MIN((Skills!S3*(1+(Inputs!$B$33+IF(Inputs!$B$3&gt;=117,F868,0))/100)),MAX(0,Inputs!$B$35-((S849-1)*Skills!D3))))/Inputs!$B$35),IF(Inputs!$B$4="pvp",MIN((Skills!S3*(1+(Inputs!$B$33+IF(Inputs!$B$3&gt;=117,F868,0))/100)),15)/15,(Skills!S3*(1+(Inputs!$B$33+IF(Inputs!$B$3&gt;=117,F868,0))/100))/Skills!D3)),0)+IF(C850=TRUE,F850*IF(AND(Inputs!$B$4&lt;&gt;"pvp",Inputs!$B$35&gt;0),(((S850-1)*(Skills!S4*(1+(Inputs!$B$33+IF(Inputs!$B$3&gt;=117,F868,0))/100))+MIN((Skills!S4*(1+(Inputs!$B$33+IF(Inputs!$B$3&gt;=117,F868,0))/100)),MAX(0,Inputs!$B$35-((S850-1)*Skills!D4))))/Inputs!$B$35),IF(Inputs!$B$4="pvp",MIN((Skills!S4*(1+(Inputs!$B$33+IF(Inputs!$B$3&gt;=117,F868,0))/100)),15)/15,(Skills!S4*(1+(Inputs!$B$33+IF(Inputs!$B$3&gt;=117,F868,0))/100))/Skills!D4)),0))/100)*IF(C862=TRUE,(1+F862*IF(AND(Inputs!$B$4&lt;&gt;"pvp",Inputs!$B$35&gt;0),(((S862-1)*(Skills!S16*(1+(Inputs!$B$33+IF(Inputs!$B$3&gt;=117,F868,0))/100))+MIN((Skills!S16*(1+(Inputs!$B$33+IF(Inputs!$B$3&gt;=117,F868,0))/100)),MAX(0,Inputs!$B$35-((S862-1)*Skills!D16))))/Inputs!$B$35),IF(Inputs!$B$4="pvp",MIN((Skills!S16*(1+(Inputs!$B$33+IF(Inputs!$B$3&gt;=117,F868,0))/100)),15)/15,(Skills!S16*(1+(Inputs!$B$33+IF(Inputs!$B$3&gt;=117,F868,0))/100))/Skills!D16))/100),1)</f>
        <v/>
      </c>
    </row>
    <row r="873">
      <c r="A873" t="inlineStr">
        <is>
          <t>Monster Damage Taken Bonus % (Freezing Breath - Weaken + Elemental Reset, summed)</t>
        </is>
      </c>
      <c r="B873">
        <f>IF(Inputs!$B$3&gt;=118,15*IF(Inputs!$B$4="pvp",MIN((30*(1+(Inputs!$B$33+IF(Inputs!$B$3&gt;=117,F868,0))/100)),15)/15,(30*(1+(Inputs!$B$33+IF(Inputs!$B$3&gt;=117,F868,0))/100))/Skills!D8),0)+IF(C860=TRUE,F860,0)</f>
        <v/>
      </c>
    </row>
    <row r="874">
      <c r="A874" t="inlineStr">
        <is>
          <t>Damage % Bonus (Frozen Break + Frost Clutch, flat)</t>
        </is>
      </c>
      <c r="B874">
        <f>IF(Inputs!$B$3&gt;=66,15,0)+IF(Inputs!$B$3&gt;=98,10,0)+IF(Inputs!$B$3&gt;=125,20,0)</f>
        <v/>
      </c>
    </row>
    <row r="875">
      <c r="A875" t="inlineStr">
        <is>
          <t>Attack Speed Bonus % (MP Eater - MP Boost, always-on once unlocked)</t>
        </is>
      </c>
      <c r="B875">
        <f>IF(C859=TRUE,F859+(F863-Calc!F17),0)</f>
        <v/>
      </c>
    </row>
    <row r="876">
      <c r="A876" t="inlineStr">
        <is>
          <t>Actions Per Second</t>
        </is>
      </c>
      <c r="B876">
        <f>1+MIN(150,150*(1-(1-Inputs!$B$10/150)*(1-B875/150)))/100</f>
        <v/>
      </c>
    </row>
    <row r="877">
      <c r="A877" t="inlineStr">
        <is>
          <t>Skill + Buff Cast Rate</t>
        </is>
      </c>
      <c r="B877">
        <f>IF(AND(Inputs!$B$4&lt;&gt;"pvp",Inputs!$B$35&gt;0),SUMPRODUCT((Skills!E2:E23=TRUE)*(C848:C869=TRUE)*S848:S869)/Inputs!$B$35,SUMPRODUCT((Skills!E2:E23=TRUE)*(C848:C869=TRUE)*V848:V869))</f>
        <v/>
      </c>
    </row>
    <row r="878">
      <c r="A878" t="inlineStr">
        <is>
          <t>Chain Lightning Casts Per Second</t>
        </is>
      </c>
      <c r="B878">
        <f>MAX(0,B876-B877)</f>
        <v/>
      </c>
    </row>
    <row r="880">
      <c r="A880" s="5" t="inlineStr">
        <is>
          <t>TOTAL DPS</t>
        </is>
      </c>
      <c r="B880" s="5">
        <f>SUM(O848:O869)</f>
        <v/>
      </c>
    </row>
    <row r="883">
      <c r="A883" s="5" t="inlineStr">
        <is>
          <t>Stat: Basic Attack Target Increase (flat)</t>
        </is>
      </c>
    </row>
    <row r="884">
      <c r="A884" s="8" t="inlineStr">
        <is>
          <t>Key</t>
        </is>
      </c>
      <c r="B884" s="8" t="inlineStr">
        <is>
          <t>Name</t>
        </is>
      </c>
      <c r="C884" s="8" t="inlineStr">
        <is>
          <t>Unlocked</t>
        </is>
      </c>
      <c r="D884" s="8" t="inlineStr">
        <is>
          <t>InputLevel</t>
        </is>
      </c>
      <c r="E884" s="8" t="inlineStr">
        <is>
          <t>Factor</t>
        </is>
      </c>
      <c r="F884" s="8" t="inlineStr">
        <is>
          <t>CoefficientPercent</t>
        </is>
      </c>
      <c r="G884" s="8" t="inlineStr">
        <is>
          <t>EffectiveHits</t>
        </is>
      </c>
      <c r="H884" s="8" t="inlineStr">
        <is>
          <t>ProcProbability</t>
        </is>
      </c>
      <c r="I884" s="8" t="inlineStr">
        <is>
          <t>MapleHeroMultiplier</t>
        </is>
      </c>
      <c r="J884" s="8" t="inlineStr">
        <is>
          <t>BaseDamage</t>
        </is>
      </c>
      <c r="K884" s="8" t="inlineStr">
        <is>
          <t>BaseHitDamage</t>
        </is>
      </c>
      <c r="L884" s="8" t="inlineStr">
        <is>
          <t>NonCritAvg</t>
        </is>
      </c>
      <c r="M884" s="8" t="inlineStr">
        <is>
          <t>CritAvg</t>
        </is>
      </c>
      <c r="N884" s="8" t="inlineStr">
        <is>
          <t>ExpectedDamage(perHit)</t>
        </is>
      </c>
      <c r="O884" s="8" t="inlineStr">
        <is>
          <t>DPS</t>
        </is>
      </c>
      <c r="P884" s="8" t="inlineStr">
        <is>
          <t>% of Total</t>
        </is>
      </c>
      <c r="R884" t="inlineStr">
        <is>
          <t>helpers</t>
        </is>
      </c>
    </row>
    <row r="885">
      <c r="A885">
        <f>Skills!A2</f>
        <v/>
      </c>
      <c r="B885">
        <f>Skills!B2</f>
        <v/>
      </c>
      <c r="C885">
        <f>Inputs!$B$3&gt;=100</f>
        <v/>
      </c>
      <c r="D885" t="inlineStr"/>
      <c r="E885" t="inlineStr"/>
      <c r="F885">
        <f>T887+Skills!N2</f>
        <v/>
      </c>
      <c r="G885">
        <f>Calc!G2</f>
        <v/>
      </c>
      <c r="H885">
        <f>Calc!H2</f>
        <v/>
      </c>
      <c r="I885">
        <f>IF(Skills!T2&lt;&gt;"",1+(Skills!T2/10)*(R886/1000)/100,1)</f>
        <v/>
      </c>
      <c r="J885">
        <f>((Inputs!$B$5*(1+Inputs!$B$6/100))+((Inputs!$B$11*(1+Inputs!$B$12/100))-(Inputs!$B$11*(1+Inputs!$B$12/100)))*(1+Inputs!$B$6/100))*(F885/100)</f>
        <v/>
      </c>
      <c r="K885">
        <f>J885*(1+((Inputs!$B$11*(1+Inputs!$B$12/100))*0.01+Inputs!$B$13*0.0025)/100)*(1+(Inputs!$B$14+B911)/100)*(1+IF(Inputs!$B$4="pvp",0,(1-Summary!$B$51)*(Inputs!$B$19+Skills!O2+B910)+Summary!$B$51*(Inputs!$B$20+Skills!P2+B910))/100)*(1+Inputs!$B$15/100)*(5000/(6000+Inputs!$B$7*(1-Inputs!$B$18/100)))*(1+Inputs!$B$23/100)*(1+IF(C898=TRUE,F898,0)/100)*(1+IF(C906=TRUE,F906,0)/100)^5*(1+(IF(Skills!A2="CHAIN_LIGHTNING",Inputs!$B$16,Inputs!$B$17))/100)*(B909*I885)</f>
        <v/>
      </c>
      <c r="L885">
        <f>K885*(MIN(Inputs!$B$21+(F901-Calc!F18),Inputs!$B$22)/100+Inputs!$B$22/100)/2</f>
        <v/>
      </c>
      <c r="M885">
        <f>L885*(1+(Inputs!$B$9+(F904-Calc!F21))/100)</f>
        <v/>
      </c>
      <c r="N885">
        <f>L885*(1-MIN(Inputs!$B$8+((F903-Calc!F20)+(F902-Calc!F19)),100)/100)+M885*(MIN(Inputs!$B$8+((F903-Calc!F20)+(F902-Calc!F19)),100)/100)</f>
        <v/>
      </c>
      <c r="O885">
        <f>IF(C885,Skills!F2*N885*B915*IF(Inputs!$B$4="pvp",1,(1-Summary!$B$51)*(1)+Summary!$B$51*(MIN((6+(Inputs!$B$32+1)),Inputs!$B$37))),0)</f>
        <v/>
      </c>
      <c r="P885">
        <f>IF(B917=0,0,O885/B917)</f>
        <v/>
      </c>
      <c r="R885">
        <f>MAX(0,(Inputs!$B$3-100)*3)+Inputs!$B$27+Inputs!$B$28</f>
        <v/>
      </c>
      <c r="S885" t="n">
        <v>0</v>
      </c>
      <c r="T885">
        <f>MAX(0,(Inputs!$B$3-100)*3)+Inputs!$B$27+Inputs!$B$28</f>
        <v/>
      </c>
      <c r="V885">
        <f>IFERROR(1/IF(Inputs!$B$4="pvp",15,MAX(0.1,Skills!D2-IF(Skills!E2=TRUE,Inputs!$B$31,0))),0)</f>
        <v/>
      </c>
    </row>
    <row r="886">
      <c r="A886">
        <f>Skills!A3</f>
        <v/>
      </c>
      <c r="B886">
        <f>Skills!B3</f>
        <v/>
      </c>
      <c r="C886">
        <f>Inputs!$B$3&gt;=15</f>
        <v/>
      </c>
      <c r="D886">
        <f>IF(Skills!C3=1,60+Inputs!$B$24+Inputs!$B$28,IF(Skills!C3=2,90+Inputs!$B$25+Inputs!$B$28,IF(Skills!C3=3,120+Inputs!$B$26+Inputs!$B$28,MAX(0,(Inputs!$B$3-100)*3)+Inputs!$B$27+Inputs!$B$28)))</f>
        <v/>
      </c>
      <c r="E886">
        <f>INDEX(FactorTable!$B$2:$Y$301, MATCH(ROUND(MIN(300,MAX(1,D886)),0), FactorTable!$A$2:$A$301,0), Skills!L3+1)</f>
        <v/>
      </c>
      <c r="F886">
        <f>IF(Skills!M3=TRUE,(Skills!K3/10)*(E886/1000),Skills!K3/10)+Skills!N3</f>
        <v/>
      </c>
      <c r="G886">
        <f>Calc!G3</f>
        <v/>
      </c>
      <c r="H886">
        <f>Calc!H3</f>
        <v/>
      </c>
      <c r="I886">
        <f>IF(Skills!T3&lt;&gt;"",1+(Skills!T3/10)*(R886/1000)/100,1)</f>
        <v/>
      </c>
      <c r="J886" t="inlineStr"/>
      <c r="K886" t="inlineStr"/>
      <c r="L886" t="inlineStr"/>
      <c r="M886" t="inlineStr"/>
      <c r="N886" t="inlineStr"/>
      <c r="O886" t="n">
        <v>0</v>
      </c>
      <c r="P886">
        <f>IF(B917=0,0,O886/B917)</f>
        <v/>
      </c>
      <c r="R886">
        <f>INDEX(FactorTable!$B$2:$Y$301, MATCH(ROUND(MIN(300,MAX(1,R885)),0), FactorTable!$A$2:$A$301,0), 24)</f>
        <v/>
      </c>
      <c r="S886">
        <f>IF(AND(Inputs!$B$4&lt;&gt;"pvp",Inputs!$B$35&gt;0),(INT(Inputs!$B$35/IF(Inputs!$B$4="pvp",15,MAX(0.1,Skills!D3-IF(Skills!E3=TRUE,Inputs!$B$31,0))))+1),0)</f>
        <v/>
      </c>
      <c r="T886">
        <f>INDEX(FactorTable!$B$2:$Y$301, MATCH(ROUND(MIN(300,MAX(1,T885)),0), FactorTable!$A$2:$A$301,0), 22)</f>
        <v/>
      </c>
      <c r="V886">
        <f>IFERROR(1/IF(Inputs!$B$4="pvp",15,MAX(0.1,Skills!D3-IF(Skills!E3=TRUE,Inputs!$B$31,0))),0)</f>
        <v/>
      </c>
    </row>
    <row r="887">
      <c r="A887">
        <f>Skills!A4</f>
        <v/>
      </c>
      <c r="B887">
        <f>Skills!B4</f>
        <v/>
      </c>
      <c r="C887">
        <f>Inputs!$B$3&gt;=40</f>
        <v/>
      </c>
      <c r="D887">
        <f>IF(Skills!C4=1,60+Inputs!$B$24+Inputs!$B$28,IF(Skills!C4=2,90+Inputs!$B$25+Inputs!$B$28,IF(Skills!C4=3,120+Inputs!$B$26+Inputs!$B$28,MAX(0,(Inputs!$B$3-100)*3)+Inputs!$B$27+Inputs!$B$28)))</f>
        <v/>
      </c>
      <c r="E887">
        <f>INDEX(FactorTable!$B$2:$Y$301, MATCH(ROUND(MIN(300,MAX(1,D887)),0), FactorTable!$A$2:$A$301,0), Skills!L4+1)</f>
        <v/>
      </c>
      <c r="F887">
        <f>IF(Skills!M4=TRUE,(Skills!K4/10)*(E887/1000),Skills!K4/10)+Skills!N4</f>
        <v/>
      </c>
      <c r="G887">
        <f>Calc!G4</f>
        <v/>
      </c>
      <c r="H887">
        <f>Calc!H4</f>
        <v/>
      </c>
      <c r="I887">
        <f>IF(Skills!T4&lt;&gt;"",1+(Skills!T4/10)*(R886/1000)/100,1)</f>
        <v/>
      </c>
      <c r="J887" t="inlineStr"/>
      <c r="K887" t="inlineStr"/>
      <c r="L887" t="inlineStr"/>
      <c r="M887" t="inlineStr"/>
      <c r="N887" t="inlineStr"/>
      <c r="O887" t="n">
        <v>0</v>
      </c>
      <c r="P887">
        <f>IF(B917=0,0,O887/B917)</f>
        <v/>
      </c>
      <c r="S887">
        <f>IF(AND(Inputs!$B$4&lt;&gt;"pvp",Inputs!$B$35&gt;0),(INT(Inputs!$B$35/IF(Inputs!$B$4="pvp",15,MAX(0.1,Skills!D4-IF(Skills!E4=TRUE,Inputs!$B$31,0))))+1),0)</f>
        <v/>
      </c>
      <c r="T887">
        <f>290*T886/1000</f>
        <v/>
      </c>
      <c r="V887">
        <f>IFERROR(1/IF(Inputs!$B$4="pvp",15,MAX(0.1,Skills!D4-IF(Skills!E4=TRUE,Inputs!$B$31,0))),0)</f>
        <v/>
      </c>
    </row>
    <row r="888">
      <c r="A888">
        <f>Skills!A5</f>
        <v/>
      </c>
      <c r="B888">
        <f>Skills!B5</f>
        <v/>
      </c>
      <c r="C888">
        <f>Inputs!$B$3&gt;=38</f>
        <v/>
      </c>
      <c r="D888">
        <f>IF(Skills!C5=1,60+Inputs!$B$24+Inputs!$B$28,IF(Skills!C5=2,90+Inputs!$B$25+Inputs!$B$28,IF(Skills!C5=3,120+Inputs!$B$26+Inputs!$B$28,MAX(0,(Inputs!$B$3-100)*3)+Inputs!$B$27+Inputs!$B$28)))</f>
        <v/>
      </c>
      <c r="E888">
        <f>INDEX(FactorTable!$B$2:$Y$301, MATCH(ROUND(MIN(300,MAX(1,D888)),0), FactorTable!$A$2:$A$301,0), Skills!L5+1)</f>
        <v/>
      </c>
      <c r="F888">
        <f>IF(Skills!M5=TRUE,(Skills!K5/10)*(E888/1000),Skills!K5/10)+Skills!N5</f>
        <v/>
      </c>
      <c r="G888">
        <f>Calc!G5</f>
        <v/>
      </c>
      <c r="H888">
        <f>Calc!H5</f>
        <v/>
      </c>
      <c r="I888">
        <f>IF(Skills!T5&lt;&gt;"",1+(Skills!T5/10)*(R886/1000)/100,1)</f>
        <v/>
      </c>
      <c r="J888">
        <f>((Inputs!$B$5*(1+Inputs!$B$6/100))+((Inputs!$B$11*(1+Inputs!$B$12/100))-(Inputs!$B$11*(1+Inputs!$B$12/100)))*(1+Inputs!$B$6/100))*(F888/100)</f>
        <v/>
      </c>
      <c r="K888">
        <f>J888*(1+((Inputs!$B$11*(1+Inputs!$B$12/100))*0.01+Inputs!$B$13*0.0025)/100)*(1+(Inputs!$B$14+B911)/100)*(1+IF(Inputs!$B$4="pvp",0,(1-Summary!$B$51)*(Inputs!$B$19+Skills!O5+B910)+Summary!$B$51*(Inputs!$B$20+Skills!P5+B910))/100)*(1+Inputs!$B$15/100)*(5000/(6000+Inputs!$B$7*(1-Inputs!$B$18/100)))*(1+Inputs!$B$23/100)*(1+IF(C898=TRUE,F898,0)/100)*(1+IF(C906=TRUE,F906,0)/100)^5*(1+(IF(Skills!A5="CHAIN_LIGHTNING",Inputs!$B$16,Inputs!$B$17))/100)*(B909*I888)</f>
        <v/>
      </c>
      <c r="L888">
        <f>K888*(MIN(Inputs!$B$21+(F901-Calc!F18),Inputs!$B$22)/100+Inputs!$B$22/100)/2</f>
        <v/>
      </c>
      <c r="M888">
        <f>L888*(1+(Inputs!$B$9+(F904-Calc!F21))/100)</f>
        <v/>
      </c>
      <c r="N888">
        <f>L888*(1-MIN(Inputs!$B$8+((F903-Calc!F20)+(F902-Calc!F19)),100)/100)+M888*(MIN(Inputs!$B$8+((F903-Calc!F20)+(F902-Calc!F19)),100)/100)</f>
        <v/>
      </c>
      <c r="O888">
        <f>IF(C888,H888*N888*IF(AND(Inputs!$B$4&lt;&gt;"pvp",Inputs!$B$35&gt;0),((Skills!F5*((S888-1)*IF(Skills!G5&gt;0,Skills!H5/Skills!G5,1)+IF(Skills!G5&gt;0,MIN(Skills!H5,MAX(0,Inputs!$B$35-((S888-1)*IF(Inputs!$B$4="pvp",15,MAX(0.1,Skills!D5-IF(Skills!E5=TRUE,Inputs!$B$31,0))))))/Skills!G5,1)))/Inputs!$B$35),G888*V888)*IF(Inputs!$B$4="pvp",1,(1-Summary!$B$51)*(1)+Summary!$B$51*(MIN(Skills!Q5,Inputs!$B$37))),0)</f>
        <v/>
      </c>
      <c r="P888">
        <f>IF(B917=0,0,O888/B917)</f>
        <v/>
      </c>
      <c r="S888">
        <f>IF(AND(Inputs!$B$4&lt;&gt;"pvp",Inputs!$B$35&gt;0),(INT(Inputs!$B$35/IF(Inputs!$B$4="pvp",15,MAX(0.1,Skills!D5-IF(Skills!E5=TRUE,Inputs!$B$31,0))))+1),0)</f>
        <v/>
      </c>
      <c r="V888">
        <f>IFERROR(1/IF(Inputs!$B$4="pvp",15,MAX(0.1,Skills!D5-IF(Skills!E5=TRUE,Inputs!$B$31,0))),0)</f>
        <v/>
      </c>
    </row>
    <row r="889">
      <c r="A889">
        <f>Skills!A6</f>
        <v/>
      </c>
      <c r="B889">
        <f>Skills!B6</f>
        <v/>
      </c>
      <c r="C889">
        <f>Inputs!$B$3&gt;=63</f>
        <v/>
      </c>
      <c r="D889">
        <f>IF(Skills!C6=1,60+Inputs!$B$24+Inputs!$B$28,IF(Skills!C6=2,90+Inputs!$B$25+Inputs!$B$28,IF(Skills!C6=3,120+Inputs!$B$26+Inputs!$B$28,MAX(0,(Inputs!$B$3-100)*3)+Inputs!$B$27+Inputs!$B$28)))</f>
        <v/>
      </c>
      <c r="E889">
        <f>INDEX(FactorTable!$B$2:$Y$301, MATCH(ROUND(MIN(300,MAX(1,D889)),0), FactorTable!$A$2:$A$301,0), Skills!L6+1)</f>
        <v/>
      </c>
      <c r="F889">
        <f>IF(Skills!M6=TRUE,(Skills!K6/10)*(E889/1000),Skills!K6/10)+Skills!N6</f>
        <v/>
      </c>
      <c r="G889">
        <f>Calc!G6</f>
        <v/>
      </c>
      <c r="H889">
        <f>Calc!H6</f>
        <v/>
      </c>
      <c r="I889">
        <f>IF(Skills!T6&lt;&gt;"",1+(Skills!T6/10)*(R886/1000)/100,1)</f>
        <v/>
      </c>
      <c r="J889">
        <f>((Inputs!$B$5*(1+Inputs!$B$6/100))+((Inputs!$B$11*(1+Inputs!$B$12/100))-(Inputs!$B$11*(1+Inputs!$B$12/100)))*(1+Inputs!$B$6/100))*(F889/100)</f>
        <v/>
      </c>
      <c r="K889">
        <f>J889*(1+((Inputs!$B$11*(1+Inputs!$B$12/100))*0.01+Inputs!$B$13*0.0025)/100)*(1+(Inputs!$B$14+B911)/100)*(1+IF(Inputs!$B$4="pvp",0,(1-Summary!$B$51)*(Inputs!$B$19+Skills!O6+B910)+Summary!$B$51*(Inputs!$B$20+Skills!P6+B910))/100)*(1+Inputs!$B$15/100)*(5000/(6000+Inputs!$B$7*(1-Inputs!$B$18/100)))*(1+Inputs!$B$23/100)*(1+IF(C898=TRUE,F898,0)/100)*(1+IF(C906=TRUE,F906,0)/100)^5*(1+(IF(Skills!A6="CHAIN_LIGHTNING",Inputs!$B$16,Inputs!$B$17))/100)*(B909*I889)</f>
        <v/>
      </c>
      <c r="L889">
        <f>K889*(MIN(Inputs!$B$21+(F901-Calc!F18),Inputs!$B$22)/100+Inputs!$B$22/100)/2</f>
        <v/>
      </c>
      <c r="M889">
        <f>L889*(1+(Inputs!$B$9+(F904-Calc!F21))/100)</f>
        <v/>
      </c>
      <c r="N889">
        <f>L889*(1-MIN(Inputs!$B$8+((F903-Calc!F20)+(F902-Calc!F19)),100)/100)+M889*(MIN(Inputs!$B$8+((F903-Calc!F20)+(F902-Calc!F19)),100)/100)</f>
        <v/>
      </c>
      <c r="O889">
        <f>IF(C889,H889*N889*IF(AND(Inputs!$B$4&lt;&gt;"pvp",Inputs!$B$35&gt;0),((Skills!F6*((S889-1)*IF(Skills!G6&gt;0,Skills!H6/Skills!G6,1)+IF(Skills!G6&gt;0,MIN(Skills!H6,MAX(0,Inputs!$B$35-((S889-1)*IF(Inputs!$B$4="pvp",15,MAX(0.1,Skills!D6-IF(Skills!E6=TRUE,Inputs!$B$31,0))))))/Skills!G6,1)))/Inputs!$B$35),G889*V889)*IF(Inputs!$B$4="pvp",1,(1-Summary!$B$51)*(1)+Summary!$B$51*(MIN(Skills!Q6,Inputs!$B$37))),0)</f>
        <v/>
      </c>
      <c r="P889">
        <f>IF(B917=0,0,O889/B917)</f>
        <v/>
      </c>
      <c r="S889">
        <f>IF(AND(Inputs!$B$4&lt;&gt;"pvp",Inputs!$B$35&gt;0),(INT(Inputs!$B$35/IF(Inputs!$B$4="pvp",15,MAX(0.1,Skills!D6-IF(Skills!E6=TRUE,Inputs!$B$31,0))))+1),0)</f>
        <v/>
      </c>
      <c r="V889">
        <f>IFERROR(1/IF(Inputs!$B$4="pvp",15,MAX(0.1,Skills!D6-IF(Skills!E6=TRUE,Inputs!$B$31,0))),0)</f>
        <v/>
      </c>
    </row>
    <row r="890">
      <c r="A890">
        <f>Skills!A7</f>
        <v/>
      </c>
      <c r="B890">
        <f>Skills!B7</f>
        <v/>
      </c>
      <c r="C890">
        <f>Inputs!$B$3&gt;=69</f>
        <v/>
      </c>
      <c r="D890">
        <f>IF(Skills!C7=1,60+Inputs!$B$24+Inputs!$B$28,IF(Skills!C7=2,90+Inputs!$B$25+Inputs!$B$28,IF(Skills!C7=3,120+Inputs!$B$26+Inputs!$B$28,MAX(0,(Inputs!$B$3-100)*3)+Inputs!$B$27+Inputs!$B$28)))</f>
        <v/>
      </c>
      <c r="E890">
        <f>INDEX(FactorTable!$B$2:$Y$301, MATCH(ROUND(MIN(300,MAX(1,D890)),0), FactorTable!$A$2:$A$301,0), Skills!L7+1)</f>
        <v/>
      </c>
      <c r="F890">
        <f>IF(Skills!M7=TRUE,(Skills!K7/10)*(E890/1000),Skills!K7/10)+Skills!N7</f>
        <v/>
      </c>
      <c r="G890">
        <f>Calc!G7</f>
        <v/>
      </c>
      <c r="H890">
        <f>Calc!H7</f>
        <v/>
      </c>
      <c r="I890">
        <f>IF(Skills!T7&lt;&gt;"",1+(Skills!T7/10)*(R886/1000)/100,1)</f>
        <v/>
      </c>
      <c r="J890">
        <f>((Inputs!$B$5*(1+Inputs!$B$6/100))+((Inputs!$B$11*(1+Inputs!$B$12/100))-(Inputs!$B$11*(1+Inputs!$B$12/100)))*(1+Inputs!$B$6/100))*(F890/100)</f>
        <v/>
      </c>
      <c r="K890">
        <f>J890*(1+((Inputs!$B$11*(1+Inputs!$B$12/100))*0.01+Inputs!$B$13*0.0025)/100)*(1+(Inputs!$B$14+B911)/100)*(1+IF(Inputs!$B$4="pvp",0,(1-Summary!$B$51)*(Inputs!$B$19+Skills!O7+B910)+Summary!$B$51*(Inputs!$B$20+Skills!P7+B910))/100)*(1+Inputs!$B$15/100)*(5000/(6000+Inputs!$B$7*(1-Inputs!$B$18/100)))*(1+Inputs!$B$23/100)*(1+IF(C898=TRUE,F898,0)/100)*(1+IF(C906=TRUE,F906,0)/100)^5*(1+(IF(Skills!A7="CHAIN_LIGHTNING",Inputs!$B$16,Inputs!$B$17))/100)*(B909*I890)</f>
        <v/>
      </c>
      <c r="L890">
        <f>K890*(MIN(Inputs!$B$21+(F901-Calc!F18),Inputs!$B$22)/100+Inputs!$B$22/100)/2</f>
        <v/>
      </c>
      <c r="M890">
        <f>L890*(1+(Inputs!$B$9+(F904-Calc!F21))/100)</f>
        <v/>
      </c>
      <c r="N890">
        <f>L890*(1-MIN(Inputs!$B$8+((F903-Calc!F20)+(F902-Calc!F19)),100)/100)+M890*(MIN(Inputs!$B$8+((F903-Calc!F20)+(F902-Calc!F19)),100)/100)</f>
        <v/>
      </c>
      <c r="O890">
        <f>IF(C890,H890*N890*IF(AND(Inputs!$B$4&lt;&gt;"pvp",Inputs!$B$35&gt;0),((Skills!F7*((S890-1)*IF(Skills!G7&gt;0,Skills!H7/Skills!G7,1)+IF(Skills!G7&gt;0,MIN(Skills!H7,MAX(0,Inputs!$B$35-((S890-1)*IF(Inputs!$B$4="pvp",15,MAX(0.1,Skills!D7-IF(Skills!E7=TRUE,Inputs!$B$31,0))))))/Skills!G7,1)))/Inputs!$B$35),G890*V890)*IF(Inputs!$B$4="pvp",1,(1-Summary!$B$51)*(1)+Summary!$B$51*(MIN(Skills!Q7,Inputs!$B$37))),0)</f>
        <v/>
      </c>
      <c r="P890">
        <f>IF(B917=0,0,O890/B917)</f>
        <v/>
      </c>
      <c r="S890">
        <f>IF(AND(Inputs!$B$4&lt;&gt;"pvp",Inputs!$B$35&gt;0),(INT(Inputs!$B$35/IF(Inputs!$B$4="pvp",15,MAX(0.1,Skills!D7-IF(Skills!E7=TRUE,Inputs!$B$31,0))))+1),0)</f>
        <v/>
      </c>
      <c r="V890">
        <f>IFERROR(1/IF(Inputs!$B$4="pvp",15,MAX(0.1,Skills!D7-IF(Skills!E7=TRUE,Inputs!$B$31,0))),0)</f>
        <v/>
      </c>
    </row>
    <row r="891">
      <c r="A891">
        <f>Skills!A8</f>
        <v/>
      </c>
      <c r="B891">
        <f>Skills!B8</f>
        <v/>
      </c>
      <c r="C891">
        <f>Inputs!$B$3&gt;=103</f>
        <v/>
      </c>
      <c r="D891">
        <f>IF(Skills!C8=1,60+Inputs!$B$24+Inputs!$B$28,IF(Skills!C8=2,90+Inputs!$B$25+Inputs!$B$28,IF(Skills!C8=3,120+Inputs!$B$26+Inputs!$B$28,MAX(0,(Inputs!$B$3-100)*3)+Inputs!$B$27+Inputs!$B$28)))</f>
        <v/>
      </c>
      <c r="E891">
        <f>INDEX(FactorTable!$B$2:$Y$301, MATCH(ROUND(MIN(300,MAX(1,D891)),0), FactorTable!$A$2:$A$301,0), Skills!L8+1)</f>
        <v/>
      </c>
      <c r="F891">
        <f>IF(Skills!M8=TRUE,(Skills!K8/10)*(E891/1000),Skills!K8/10)+Skills!N8</f>
        <v/>
      </c>
      <c r="G891">
        <f>Calc!G8</f>
        <v/>
      </c>
      <c r="H891">
        <f>Calc!H8</f>
        <v/>
      </c>
      <c r="I891">
        <f>IF(Skills!T8&lt;&gt;"",1+(Skills!T8/10)*(R886/1000)/100,1)</f>
        <v/>
      </c>
      <c r="J891">
        <f>((Inputs!$B$5*(1+Inputs!$B$6/100))+((Inputs!$B$11*(1+Inputs!$B$12/100))-(Inputs!$B$11*(1+Inputs!$B$12/100)))*(1+Inputs!$B$6/100))*(F891/100)</f>
        <v/>
      </c>
      <c r="K891">
        <f>J891*(1+((Inputs!$B$11*(1+Inputs!$B$12/100))*0.01+Inputs!$B$13*0.0025)/100)*(1+(Inputs!$B$14+B911)/100)*(1+IF(Inputs!$B$4="pvp",0,(1-Summary!$B$51)*(Inputs!$B$19+Skills!O8+B910)+Summary!$B$51*(Inputs!$B$20+Skills!P8+B910))/100)*(1+Inputs!$B$15/100)*(5000/(6000+Inputs!$B$7*(1-Inputs!$B$18/100)))*(1+Inputs!$B$23/100)*(1+IF(C898=TRUE,F898,0)/100)*(1+IF(C906=TRUE,F906,0)/100)^5*(1+(IF(Skills!A8="CHAIN_LIGHTNING",Inputs!$B$16,Inputs!$B$17))/100)*(B909*I891)</f>
        <v/>
      </c>
      <c r="L891">
        <f>K891*(MIN(Inputs!$B$21+(F901-Calc!F18),Inputs!$B$22)/100+Inputs!$B$22/100)/2</f>
        <v/>
      </c>
      <c r="M891">
        <f>L891*(1+(Inputs!$B$9+(F904-Calc!F21))/100)</f>
        <v/>
      </c>
      <c r="N891">
        <f>L891*(1-MIN(Inputs!$B$8+((F903-Calc!F20)+(F902-Calc!F19)),100)/100)+M891*(MIN(Inputs!$B$8+((F903-Calc!F20)+(F902-Calc!F19)),100)/100)</f>
        <v/>
      </c>
      <c r="O891">
        <f>IF(C891,H891*N891*IF(AND(Inputs!$B$4&lt;&gt;"pvp",Inputs!$B$35&gt;0),((Skills!F8*((S891-1)*IF(Skills!G8&gt;0,Skills!H8/Skills!G8,1)+IF(Skills!G8&gt;0,MIN(Skills!H8,MAX(0,Inputs!$B$35-((S891-1)*IF(Inputs!$B$4="pvp",15,MAX(0.1,Skills!D8-IF(Skills!E8=TRUE,Inputs!$B$31,0))))))/Skills!G8,1)))/Inputs!$B$35),G891*V891)*IF(Inputs!$B$4="pvp",1,(1-Summary!$B$51)*(1)+Summary!$B$51*(MIN(Skills!Q8,Inputs!$B$37))),0)</f>
        <v/>
      </c>
      <c r="P891">
        <f>IF(B917=0,0,O891/B917)</f>
        <v/>
      </c>
      <c r="S891">
        <f>IF(AND(Inputs!$B$4&lt;&gt;"pvp",Inputs!$B$35&gt;0),(INT(Inputs!$B$35/IF(Inputs!$B$4="pvp",15,MAX(0.1,Skills!D8-IF(Skills!E8=TRUE,Inputs!$B$31,0))))+1),0)</f>
        <v/>
      </c>
      <c r="V891">
        <f>IFERROR(1/IF(Inputs!$B$4="pvp",15,MAX(0.1,Skills!D8-IF(Skills!E8=TRUE,Inputs!$B$31,0))),0)</f>
        <v/>
      </c>
    </row>
    <row r="892">
      <c r="A892">
        <f>Skills!A9</f>
        <v/>
      </c>
      <c r="B892">
        <f>Skills!B9</f>
        <v/>
      </c>
      <c r="C892">
        <f>Inputs!$B$3&gt;=105</f>
        <v/>
      </c>
      <c r="D892">
        <f>IF(Skills!C9=1,60+Inputs!$B$24+Inputs!$B$28,IF(Skills!C9=2,90+Inputs!$B$25+Inputs!$B$28,IF(Skills!C9=3,120+Inputs!$B$26+Inputs!$B$28,MAX(0,(Inputs!$B$3-100)*3)+Inputs!$B$27+Inputs!$B$28)))</f>
        <v/>
      </c>
      <c r="E892">
        <f>INDEX(FactorTable!$B$2:$Y$301, MATCH(ROUND(MIN(300,MAX(1,D892)),0), FactorTable!$A$2:$A$301,0), Skills!L9+1)</f>
        <v/>
      </c>
      <c r="F892">
        <f>IF(Skills!M9=TRUE,(Skills!K9/10)*(E892/1000),Skills!K9/10)+Skills!N9</f>
        <v/>
      </c>
      <c r="G892">
        <f>Calc!G9</f>
        <v/>
      </c>
      <c r="H892">
        <f>Calc!H9</f>
        <v/>
      </c>
      <c r="I892">
        <f>IF(Skills!T9&lt;&gt;"",1+(Skills!T9/10)*(R886/1000)/100,1)</f>
        <v/>
      </c>
      <c r="J892">
        <f>((Inputs!$B$5*(1+Inputs!$B$6/100))+((Inputs!$B$11*(1+Inputs!$B$12/100))-(Inputs!$B$11*(1+Inputs!$B$12/100)))*(1+Inputs!$B$6/100))*(F892/100)</f>
        <v/>
      </c>
      <c r="K892">
        <f>J892*(1+((Inputs!$B$11*(1+Inputs!$B$12/100))*0.01+Inputs!$B$13*0.0025)/100)*(1+(Inputs!$B$14+B911)/100)*(1+IF(Inputs!$B$4="pvp",0,(1-Summary!$B$51)*(Inputs!$B$19+Skills!O9+B910)+Summary!$B$51*(Inputs!$B$20+Skills!P9+B910))/100)*(1+Inputs!$B$15/100)*(5000/(6000+Inputs!$B$7*(1-Inputs!$B$18/100)))*(1+Inputs!$B$23/100)*(1+IF(C898=TRUE,F898,0)/100)*(1+IF(C906=TRUE,F906,0)/100)^5*(1+(IF(Skills!A9="CHAIN_LIGHTNING",Inputs!$B$16,Inputs!$B$17))/100)*(B909*I892)</f>
        <v/>
      </c>
      <c r="L892">
        <f>K892*(MIN(Inputs!$B$21+(F901-Calc!F18),Inputs!$B$22)/100+Inputs!$B$22/100)/2</f>
        <v/>
      </c>
      <c r="M892">
        <f>L892*(1+(Inputs!$B$9+(F904-Calc!F21))/100)</f>
        <v/>
      </c>
      <c r="N892">
        <f>L892*(1-MIN(Inputs!$B$8+((F903-Calc!F20)+(F902-Calc!F19)),100)/100)+M892*(MIN(Inputs!$B$8+((F903-Calc!F20)+(F902-Calc!F19)),100)/100)</f>
        <v/>
      </c>
      <c r="O892">
        <f>IF(C892,H892*N892*IF(AND(Inputs!$B$4&lt;&gt;"pvp",Inputs!$B$35&gt;0),((Skills!F9*((S892-1)*IF(Skills!G9&gt;0,Skills!H9/Skills!G9,1)+IF(Skills!G9&gt;0,MIN(Skills!H9,MAX(0,Inputs!$B$35-((S892-1)*IF(Inputs!$B$4="pvp",15,MAX(0.1,Skills!D9-IF(Skills!E9=TRUE,Inputs!$B$31,0))))))/Skills!G9,1)))/Inputs!$B$35),G892*V892)*IF(Inputs!$B$4="pvp",1,(1-Summary!$B$51)*(1)+Summary!$B$51*(MIN(Skills!Q9,Inputs!$B$37))),0)</f>
        <v/>
      </c>
      <c r="P892">
        <f>IF(B917=0,0,O892/B917)</f>
        <v/>
      </c>
      <c r="S892">
        <f>IF(AND(Inputs!$B$4&lt;&gt;"pvp",Inputs!$B$35&gt;0),(INT(Inputs!$B$35/IF(Inputs!$B$4="pvp",15,MAX(0.1,Skills!D9-IF(Skills!E9=TRUE,Inputs!$B$31,0))))+1),0)</f>
        <v/>
      </c>
      <c r="V892">
        <f>IFERROR(1/IF(Inputs!$B$4="pvp",15,MAX(0.1,Skills!D9-IF(Skills!E9=TRUE,Inputs!$B$31,0))),0)</f>
        <v/>
      </c>
    </row>
    <row r="893">
      <c r="A893">
        <f>Skills!A10</f>
        <v/>
      </c>
      <c r="B893">
        <f>Skills!B10</f>
        <v/>
      </c>
      <c r="C893">
        <f>Inputs!$B$3&gt;=113</f>
        <v/>
      </c>
      <c r="D893">
        <f>IF(Skills!C10=1,60+Inputs!$B$24+Inputs!$B$28,IF(Skills!C10=2,90+Inputs!$B$25+Inputs!$B$28,IF(Skills!C10=3,120+Inputs!$B$26+Inputs!$B$28,MAX(0,(Inputs!$B$3-100)*3)+Inputs!$B$27+Inputs!$B$28)))</f>
        <v/>
      </c>
      <c r="E893">
        <f>INDEX(FactorTable!$B$2:$Y$301, MATCH(ROUND(MIN(300,MAX(1,D893)),0), FactorTable!$A$2:$A$301,0), Skills!L10+1)</f>
        <v/>
      </c>
      <c r="F893">
        <f>IF(Skills!M10=TRUE,(Skills!K10/10)*(E893/1000),Skills!K10/10)+Skills!N10</f>
        <v/>
      </c>
      <c r="G893">
        <f>Calc!G10</f>
        <v/>
      </c>
      <c r="H893">
        <f>Calc!H10</f>
        <v/>
      </c>
      <c r="I893">
        <f>IF(Skills!T10&lt;&gt;"",1+(Skills!T10/10)*(R886/1000)/100,1)</f>
        <v/>
      </c>
      <c r="J893">
        <f>((Inputs!$B$5*(1+Inputs!$B$6/100))+((Inputs!$B$11*(1+Inputs!$B$12/100))-(Inputs!$B$11*(1+Inputs!$B$12/100)))*(1+Inputs!$B$6/100))*(F893/100)</f>
        <v/>
      </c>
      <c r="K893">
        <f>J893*(1+((Inputs!$B$11*(1+Inputs!$B$12/100))*0.01+Inputs!$B$13*0.0025)/100)*(1+(Inputs!$B$14+B911)/100)*(1+IF(Inputs!$B$4="pvp",0,(1-Summary!$B$51)*(Inputs!$B$19+Skills!O10+B910)+Summary!$B$51*(Inputs!$B$20+Skills!P10+B910))/100)*(1+Inputs!$B$15/100)*(5000/(6000+Inputs!$B$7*(1-Inputs!$B$18/100)))*(1+Inputs!$B$23/100)*(1+IF(C898=TRUE,F898,0)/100)*(1+IF(C906=TRUE,F906,0)/100)^5*(1+(IF(Skills!A10="CHAIN_LIGHTNING",Inputs!$B$16,Inputs!$B$17))/100)*(B909*I893)</f>
        <v/>
      </c>
      <c r="L893">
        <f>K893*(MIN(Inputs!$B$21+(F901-Calc!F18),Inputs!$B$22)/100+Inputs!$B$22/100)/2</f>
        <v/>
      </c>
      <c r="M893">
        <f>L893*(1+(Inputs!$B$9+(F904-Calc!F21))/100)</f>
        <v/>
      </c>
      <c r="N893">
        <f>L893*(1-MIN(Inputs!$B$8+((F903-Calc!F20)+(F902-Calc!F19)),100)/100)+M893*(MIN(Inputs!$B$8+((F903-Calc!F20)+(F902-Calc!F19)),100)/100)</f>
        <v/>
      </c>
      <c r="O893">
        <f>IF(C893,H893*N893*IF(AND(Inputs!$B$4&lt;&gt;"pvp",Inputs!$B$35&gt;0),((Skills!F10*((S893-1)*IF(Skills!G10&gt;0,Skills!H10/Skills!G10,1)+IF(Skills!G10&gt;0,MIN(Skills!H10,MAX(0,Inputs!$B$35-((S893-1)*IF(Inputs!$B$4="pvp",15,MAX(0.1,Skills!D10-IF(Skills!E9=TRUE,Inputs!$B$31,0))))))/Skills!G10,1)))/Inputs!$B$35),G893*V893)*IF(Inputs!$B$4="pvp",1,(1-Summary!$B$51)*(1)+Summary!$B$51*(MIN(Skills!Q10,Inputs!$B$37))),0)</f>
        <v/>
      </c>
      <c r="P893">
        <f>IF(B917=0,0,O893/B917)</f>
        <v/>
      </c>
      <c r="S893">
        <f>IF(AND(Inputs!$B$4&lt;&gt;"pvp",Inputs!$B$35&gt;0),(INT(Inputs!$B$35/IF(Inputs!$B$4="pvp",15,MAX(0.1,Skills!D10-IF(Skills!E9=TRUE,Inputs!$B$31,0))))+1),0)</f>
        <v/>
      </c>
      <c r="V893">
        <f>IFERROR(1/IF(Inputs!$B$4="pvp",15,MAX(0.1,Skills!D10-IF(Skills!E9=TRUE,Inputs!$B$31,0))),0)</f>
        <v/>
      </c>
    </row>
    <row r="894">
      <c r="A894">
        <f>Skills!A11</f>
        <v/>
      </c>
      <c r="B894">
        <f>Skills!B11</f>
        <v/>
      </c>
      <c r="C894">
        <f>Inputs!$B$3&gt;=107</f>
        <v/>
      </c>
      <c r="D894">
        <f>IF(Skills!C11=1,60+Inputs!$B$24+Inputs!$B$28,IF(Skills!C11=2,90+Inputs!$B$25+Inputs!$B$28,IF(Skills!C11=3,120+Inputs!$B$26+Inputs!$B$28,MAX(0,(Inputs!$B$3-100)*3)+Inputs!$B$27+Inputs!$B$28)))</f>
        <v/>
      </c>
      <c r="E894">
        <f>INDEX(FactorTable!$B$2:$Y$301, MATCH(ROUND(MIN(300,MAX(1,D894)),0), FactorTable!$A$2:$A$301,0), Skills!L11+1)</f>
        <v/>
      </c>
      <c r="F894">
        <f>IF(Skills!M11=TRUE,(Skills!K11/10)*(E894/1000),Skills!K11/10)+Skills!N11</f>
        <v/>
      </c>
      <c r="G894">
        <f>Calc!G11</f>
        <v/>
      </c>
      <c r="H894">
        <f>Calc!H11</f>
        <v/>
      </c>
      <c r="I894">
        <f>IF(Skills!T11&lt;&gt;"",1+(Skills!T11/10)*(R886/1000)/100,1)</f>
        <v/>
      </c>
      <c r="J894">
        <f>((Inputs!$B$5*(1+Inputs!$B$6/100))+((Inputs!$B$11*(1+Inputs!$B$12/100))-(Inputs!$B$11*(1+Inputs!$B$12/100)))*(1+Inputs!$B$6/100))*(F894/100)</f>
        <v/>
      </c>
      <c r="K894">
        <f>J894*(1+((Inputs!$B$11*(1+Inputs!$B$12/100))*0.01+Inputs!$B$13*0.0025)/100)*(1+(Inputs!$B$14+B911)/100)*(1+IF(Inputs!$B$4="pvp",0,(1-Summary!$B$51)*(Inputs!$B$19+Skills!O11+B910)+Summary!$B$51*(Inputs!$B$20+Skills!P11+B910))/100)*(1+Inputs!$B$15/100)*(5000/(6000+Inputs!$B$7*(1-Inputs!$B$18/100)))*(1+Inputs!$B$23/100)*(1+IF(C898=TRUE,F898,0)/100)*(1+IF(C906=TRUE,F906,0)/100)^5*(1+(IF(Skills!A11="CHAIN_LIGHTNING",Inputs!$B$16,Inputs!$B$17))/100)*(B909*I894)</f>
        <v/>
      </c>
      <c r="L894">
        <f>K894*(MIN(Inputs!$B$21+(F901-Calc!F18),Inputs!$B$22)/100+Inputs!$B$22/100)/2</f>
        <v/>
      </c>
      <c r="M894">
        <f>L894*(1+(Inputs!$B$9+(F904-Calc!F21))/100)</f>
        <v/>
      </c>
      <c r="N894">
        <f>L894*(1-MIN(Inputs!$B$8+((F903-Calc!F20)+(F902-Calc!F19)),100)/100)+M894*(MIN(Inputs!$B$8+((F903-Calc!F20)+(F902-Calc!F19)),100)/100)</f>
        <v/>
      </c>
      <c r="O894">
        <f>IF(C894,H894*N894*IF(AND(Inputs!$B$4&lt;&gt;"pvp",Inputs!$B$35&gt;0),((Skills!F11*((S894-1)*IF(Skills!G11&gt;0,Skills!H11/Skills!G11,1)+IF(Skills!G11&gt;0,MIN(Skills!H11,MAX(0,Inputs!$B$35-((S894-1)*IF(Inputs!$B$4="pvp",15,MAX(0.1,Skills!D11-IF(Skills!E11=TRUE,Inputs!$B$31,0))))))/Skills!G11,1)))/Inputs!$B$35),G894*V894)*IF(Inputs!$B$4="pvp",0.5,(1-Summary!$B$51)*0.5+Summary!$B$51*1)*IF(Inputs!$B$4="pvp",1,(1-Summary!$B$51)*(1)+Summary!$B$51*(MIN(Skills!Q11,Inputs!$B$37))),0)</f>
        <v/>
      </c>
      <c r="P894">
        <f>IF(B917=0,0,O894/B917)</f>
        <v/>
      </c>
      <c r="S894">
        <f>IF(AND(Inputs!$B$4&lt;&gt;"pvp",Inputs!$B$35&gt;0),(INT(Inputs!$B$35/IF(Inputs!$B$4="pvp",15,MAX(0.1,Skills!D11-IF(Skills!E11=TRUE,Inputs!$B$31,0))))+1),0)</f>
        <v/>
      </c>
      <c r="V894">
        <f>IFERROR(1/IF(Inputs!$B$4="pvp",15,MAX(0.1,Skills!D11-IF(Skills!E11=TRUE,Inputs!$B$31,0))),0)</f>
        <v/>
      </c>
    </row>
    <row r="895">
      <c r="A895">
        <f>Skills!A12</f>
        <v/>
      </c>
      <c r="B895">
        <f>Skills!B12</f>
        <v/>
      </c>
      <c r="C895">
        <f>Inputs!$B$3&gt;=115</f>
        <v/>
      </c>
      <c r="D895">
        <f>IF(Skills!C12=1,60+Inputs!$B$24+Inputs!$B$28,IF(Skills!C12=2,90+Inputs!$B$25+Inputs!$B$28,IF(Skills!C12=3,120+Inputs!$B$26+Inputs!$B$28,MAX(0,(Inputs!$B$3-100)*3)+Inputs!$B$27+Inputs!$B$28)))</f>
        <v/>
      </c>
      <c r="E895">
        <f>INDEX(FactorTable!$B$2:$Y$301, MATCH(ROUND(MIN(300,MAX(1,D895)),0), FactorTable!$A$2:$A$301,0), Skills!L12+1)</f>
        <v/>
      </c>
      <c r="F895">
        <f>IF(Skills!M12=TRUE,(Skills!K12/10)*(E895/1000),Skills!K12/10)+Skills!N12</f>
        <v/>
      </c>
      <c r="G895">
        <f>Calc!G12</f>
        <v/>
      </c>
      <c r="H895">
        <f>Calc!H12</f>
        <v/>
      </c>
      <c r="I895">
        <f>IF(Skills!T12&lt;&gt;"",1+(Skills!T12/10)*(R886/1000)/100,1)</f>
        <v/>
      </c>
      <c r="J895">
        <f>((Inputs!$B$5*(1+Inputs!$B$6/100))+((Inputs!$B$11*(1+Inputs!$B$12/100))-(Inputs!$B$11*(1+Inputs!$B$12/100)))*(1+Inputs!$B$6/100))*(F895/100)</f>
        <v/>
      </c>
      <c r="K895">
        <f>J895*(1+((Inputs!$B$11*(1+Inputs!$B$12/100))*0.01+Inputs!$B$13*0.0025)/100)*(1+(Inputs!$B$14+B911)/100)*(1+IF(Inputs!$B$4="pvp",0,(1-Summary!$B$51)*(Inputs!$B$19+Skills!O12+B910)+Summary!$B$51*(Inputs!$B$20+Skills!P12+B910))/100)*(1+Inputs!$B$15/100)*(5000/(6000+Inputs!$B$7*(1-Inputs!$B$18/100)))*(1+Inputs!$B$23/100)*(1+IF(C898=TRUE,F898,0)/100)*(1+IF(C906=TRUE,F906,0)/100)^5*(1+(IF(Skills!A12="CHAIN_LIGHTNING",Inputs!$B$16,Inputs!$B$17))/100)*(B909*I895)</f>
        <v/>
      </c>
      <c r="L895">
        <f>K895*(MIN(Inputs!$B$21+(F901-Calc!F18),Inputs!$B$22)/100+Inputs!$B$22/100)/2</f>
        <v/>
      </c>
      <c r="M895">
        <f>L895*(1+(Inputs!$B$9+(F904-Calc!F21))/100)</f>
        <v/>
      </c>
      <c r="N895">
        <f>L895*(1-MIN(Inputs!$B$8+((F903-Calc!F20)+(F902-Calc!F19)),100)/100)+M895*(MIN(Inputs!$B$8+((F903-Calc!F20)+(F902-Calc!F19)),100)/100)</f>
        <v/>
      </c>
      <c r="O895">
        <f>IF(C895,H895*N895*IF(AND(Inputs!$B$4&lt;&gt;"pvp",Inputs!$B$35&gt;0),((Skills!F12*((S895-1)*IF(Skills!G12&gt;0,Skills!H12/Skills!G12,1)+IF(Skills!G12&gt;0,MIN(Skills!H12,MAX(0,Inputs!$B$35-((S895-1)*IF(Inputs!$B$4="pvp",15,MAX(0.1,Skills!D12-IF(Skills!E12=TRUE,Inputs!$B$31,0))))))/Skills!G12,1)))/Inputs!$B$35),G895*V895)*IF(Inputs!$B$4="pvp",1,(1-Summary!$B$51)*(1)+Summary!$B$51*(MIN(Skills!Q12,Inputs!$B$37))),0)</f>
        <v/>
      </c>
      <c r="P895">
        <f>IF(B917=0,0,O895/B917)</f>
        <v/>
      </c>
      <c r="S895">
        <f>IF(AND(Inputs!$B$4&lt;&gt;"pvp",Inputs!$B$35&gt;0),(INT(Inputs!$B$35/IF(Inputs!$B$4="pvp",15,MAX(0.1,Skills!D12-IF(Skills!E12=TRUE,Inputs!$B$31,0))))+1),0)</f>
        <v/>
      </c>
      <c r="V895">
        <f>IFERROR(1/IF(Inputs!$B$4="pvp",15,MAX(0.1,Skills!D12-IF(Skills!E12=TRUE,Inputs!$B$31,0))),0)</f>
        <v/>
      </c>
    </row>
    <row r="896">
      <c r="A896">
        <f>Skills!A13</f>
        <v/>
      </c>
      <c r="B896">
        <f>Skills!B13</f>
        <v/>
      </c>
      <c r="C896">
        <f>Inputs!$B$3&gt;=49</f>
        <v/>
      </c>
      <c r="D896">
        <f>IF(Skills!C13=1,60+Inputs!$B$24+Inputs!$B$28,IF(Skills!C13=2,90+Inputs!$B$25+Inputs!$B$28,IF(Skills!C13=3,120+Inputs!$B$26+Inputs!$B$28,MAX(0,(Inputs!$B$3-100)*3)+Inputs!$B$27+Inputs!$B$28)))</f>
        <v/>
      </c>
      <c r="E896">
        <f>INDEX(FactorTable!$B$2:$Y$301, MATCH(ROUND(MIN(300,MAX(1,D896)),0), FactorTable!$A$2:$A$301,0), Skills!L13+1)</f>
        <v/>
      </c>
      <c r="F896">
        <f>IF(Skills!M13=TRUE,(Skills!K13/10)*(E896/1000),Skills!K13/10)+Skills!N13</f>
        <v/>
      </c>
      <c r="G896">
        <f>Calc!G13</f>
        <v/>
      </c>
      <c r="H896">
        <f>Calc!H13</f>
        <v/>
      </c>
      <c r="I896">
        <f>IF(Skills!T13&lt;&gt;"",1+(Skills!T13/10)*(R886/1000)/100,1)</f>
        <v/>
      </c>
      <c r="J896" t="inlineStr"/>
      <c r="K896" t="inlineStr"/>
      <c r="L896" t="inlineStr"/>
      <c r="M896" t="inlineStr"/>
      <c r="N896" t="inlineStr"/>
      <c r="O896" t="n">
        <v>0</v>
      </c>
      <c r="P896">
        <f>IF(B917=0,0,O896/B917)</f>
        <v/>
      </c>
      <c r="S896" t="n">
        <v>0</v>
      </c>
      <c r="V896">
        <f>IFERROR(1/IF(Inputs!$B$4="pvp",15,MAX(0.1,Skills!D13-IF(Skills!E13=TRUE,Inputs!$B$31,0))),0)</f>
        <v/>
      </c>
    </row>
    <row r="897">
      <c r="A897">
        <f>Skills!A14</f>
        <v/>
      </c>
      <c r="B897">
        <f>Skills!B14</f>
        <v/>
      </c>
      <c r="C897">
        <f>Inputs!$B$3&gt;=72</f>
        <v/>
      </c>
      <c r="D897">
        <f>IF(Skills!C14=1,60+Inputs!$B$24+Inputs!$B$28,IF(Skills!C14=2,90+Inputs!$B$25+Inputs!$B$28,IF(Skills!C14=3,120+Inputs!$B$26+Inputs!$B$28,MAX(0,(Inputs!$B$3-100)*3)+Inputs!$B$27+Inputs!$B$28)))</f>
        <v/>
      </c>
      <c r="E897">
        <f>INDEX(FactorTable!$B$2:$Y$301, MATCH(ROUND(MIN(300,MAX(1,D897)),0), FactorTable!$A$2:$A$301,0), Skills!L14+1)</f>
        <v/>
      </c>
      <c r="F897">
        <f>IF(Skills!M14=TRUE,(Skills!K14/10)*(E897/1000),Skills!K14/10)+Skills!N14</f>
        <v/>
      </c>
      <c r="G897">
        <f>Calc!G14</f>
        <v/>
      </c>
      <c r="H897">
        <f>Calc!H14</f>
        <v/>
      </c>
      <c r="I897">
        <f>IF(Skills!T14&lt;&gt;"",1+(Skills!T14/10)*(R886/1000)/100,1)</f>
        <v/>
      </c>
      <c r="J897" t="inlineStr"/>
      <c r="K897" t="inlineStr"/>
      <c r="L897" t="inlineStr"/>
      <c r="M897" t="inlineStr"/>
      <c r="N897" t="inlineStr"/>
      <c r="O897" t="n">
        <v>0</v>
      </c>
      <c r="P897">
        <f>IF(B917=0,0,O897/B917)</f>
        <v/>
      </c>
      <c r="S897" t="n">
        <v>0</v>
      </c>
      <c r="V897">
        <f>IFERROR(1/IF(Inputs!$B$4="pvp",15,MAX(0.1,Skills!D14-IF(Skills!E14=TRUE,Inputs!$B$31,0))),0)</f>
        <v/>
      </c>
    </row>
    <row r="898">
      <c r="A898">
        <f>Skills!A15</f>
        <v/>
      </c>
      <c r="B898">
        <f>Skills!B15</f>
        <v/>
      </c>
      <c r="C898">
        <f>Inputs!$B$3&gt;=75</f>
        <v/>
      </c>
      <c r="D898">
        <f>IF(Skills!C15=1,60+Inputs!$B$24+Inputs!$B$28,IF(Skills!C15=2,90+Inputs!$B$25+Inputs!$B$28,IF(Skills!C15=3,120+Inputs!$B$26+Inputs!$B$28,MAX(0,(Inputs!$B$3-100)*3)+Inputs!$B$27+Inputs!$B$28)))</f>
        <v/>
      </c>
      <c r="E898">
        <f>INDEX(FactorTable!$B$2:$Y$301, MATCH(ROUND(MIN(300,MAX(1,D898)),0), FactorTable!$A$2:$A$301,0), Skills!L15+1)</f>
        <v/>
      </c>
      <c r="F898">
        <f>IF(Skills!M15=TRUE,(Skills!K15/10)*(E898/1000),Skills!K15/10)+Skills!N15</f>
        <v/>
      </c>
      <c r="G898">
        <f>Calc!G15</f>
        <v/>
      </c>
      <c r="H898">
        <f>Calc!H15</f>
        <v/>
      </c>
      <c r="I898">
        <f>IF(Skills!T15&lt;&gt;"",1+(Skills!T15/10)*(R886/1000)/100,1)</f>
        <v/>
      </c>
      <c r="J898" t="inlineStr"/>
      <c r="K898" t="inlineStr"/>
      <c r="L898" t="inlineStr"/>
      <c r="M898" t="inlineStr"/>
      <c r="N898" t="inlineStr"/>
      <c r="O898" t="n">
        <v>0</v>
      </c>
      <c r="P898">
        <f>IF(B917=0,0,O898/B917)</f>
        <v/>
      </c>
      <c r="S898" t="n">
        <v>0</v>
      </c>
      <c r="V898">
        <f>IFERROR(1/IF(Inputs!$B$4="pvp",15,MAX(0.1,Skills!D15-IF(Skills!E15=TRUE,Inputs!$B$31,0))),0)</f>
        <v/>
      </c>
    </row>
    <row r="899">
      <c r="A899">
        <f>Skills!A16</f>
        <v/>
      </c>
      <c r="B899">
        <f>Skills!B16</f>
        <v/>
      </c>
      <c r="C899">
        <f>Inputs!$B$3&gt;=110</f>
        <v/>
      </c>
      <c r="D899">
        <f>IF(Skills!C16=1,60+Inputs!$B$24+Inputs!$B$28,IF(Skills!C16=2,90+Inputs!$B$25+Inputs!$B$28,IF(Skills!C16=3,120+Inputs!$B$26+Inputs!$B$28,MAX(0,(Inputs!$B$3-100)*3)+Inputs!$B$27+Inputs!$B$28)))</f>
        <v/>
      </c>
      <c r="E899">
        <f>INDEX(FactorTable!$B$2:$Y$301, MATCH(ROUND(MIN(300,MAX(1,D899)),0), FactorTable!$A$2:$A$301,0), Skills!L16+1)</f>
        <v/>
      </c>
      <c r="F899">
        <f>(Skills!K16/10)*(E899/1000)*64/45+Skills!N16</f>
        <v/>
      </c>
      <c r="G899">
        <f>Calc!G16</f>
        <v/>
      </c>
      <c r="H899">
        <f>Calc!H16</f>
        <v/>
      </c>
      <c r="I899">
        <f>IF(Skills!T16&lt;&gt;"",1+(Skills!T16/10)*(R886/1000)/100,1)</f>
        <v/>
      </c>
      <c r="J899" t="inlineStr"/>
      <c r="K899" t="inlineStr"/>
      <c r="L899" t="inlineStr"/>
      <c r="M899" t="inlineStr"/>
      <c r="N899" t="inlineStr"/>
      <c r="O899" t="n">
        <v>0</v>
      </c>
      <c r="P899">
        <f>IF(B917=0,0,O899/B917)</f>
        <v/>
      </c>
      <c r="S899">
        <f>IF(AND(Inputs!$B$4&lt;&gt;"pvp",Inputs!$B$35&gt;0),(INT(Inputs!$B$35/IF(Inputs!$B$4="pvp",15,MAX(0.1,Skills!D16-IF(Skills!E16=TRUE,Inputs!$B$31,0))))+1),0)</f>
        <v/>
      </c>
      <c r="V899">
        <f>IFERROR(1/IF(Inputs!$B$4="pvp",15,MAX(0.1,Skills!D16-IF(Skills!E16=TRUE,Inputs!$B$31,0))),0)</f>
        <v/>
      </c>
    </row>
    <row r="900">
      <c r="A900">
        <f>Skills!A17</f>
        <v/>
      </c>
      <c r="B900">
        <f>Skills!B17</f>
        <v/>
      </c>
      <c r="C900">
        <f>Inputs!$B$3&gt;=33</f>
        <v/>
      </c>
      <c r="D900">
        <f>IF(Skills!C17=1,60+Inputs!$B$24+Inputs!$B$28,IF(Skills!C17=2,90+Inputs!$B$25+Inputs!$B$28,IF(Skills!C17=3,120+Inputs!$B$26+Inputs!$B$28,MAX(0,(Inputs!$B$3-100)*3)+Inputs!$B$27+Inputs!$B$28)))</f>
        <v/>
      </c>
      <c r="E900">
        <f>INDEX(FactorTable!$B$2:$Y$301, MATCH(ROUND(MIN(300,MAX(1,D900)),0), FactorTable!$A$2:$A$301,0), Skills!L17+1)</f>
        <v/>
      </c>
      <c r="F900">
        <f>IF(Skills!M17=TRUE,(Skills!K17/10)*(E900/1000),Skills!K17/10)+Skills!N17</f>
        <v/>
      </c>
      <c r="G900">
        <f>Calc!G17</f>
        <v/>
      </c>
      <c r="H900">
        <f>Calc!H17</f>
        <v/>
      </c>
      <c r="I900">
        <f>IF(Skills!T17&lt;&gt;"",1+(Skills!T17/10)*(R886/1000)/100,1)</f>
        <v/>
      </c>
      <c r="J900" t="inlineStr"/>
      <c r="K900" t="inlineStr"/>
      <c r="L900" t="inlineStr"/>
      <c r="M900" t="inlineStr"/>
      <c r="N900" t="inlineStr"/>
      <c r="O900" t="n">
        <v>0</v>
      </c>
      <c r="P900">
        <f>IF(B917=0,0,O900/B917)</f>
        <v/>
      </c>
      <c r="S900" t="n">
        <v>0</v>
      </c>
      <c r="V900">
        <f>IFERROR(1/IF(Inputs!$B$4="pvp",15,MAX(0.1,Skills!D17-IF(Skills!E17=TRUE,Inputs!$B$31,0))),0)</f>
        <v/>
      </c>
    </row>
    <row r="901">
      <c r="A901">
        <f>Skills!A18</f>
        <v/>
      </c>
      <c r="B901">
        <f>Skills!B18</f>
        <v/>
      </c>
      <c r="C901">
        <f>Inputs!$B$3&gt;=43</f>
        <v/>
      </c>
      <c r="D901">
        <f>IF(Skills!C18=1,60+Inputs!$B$24+Inputs!$B$28,IF(Skills!C18=2,90+Inputs!$B$25+Inputs!$B$28,IF(Skills!C18=3,120+Inputs!$B$26+Inputs!$B$28,MAX(0,(Inputs!$B$3-100)*3)+Inputs!$B$27+Inputs!$B$28)))</f>
        <v/>
      </c>
      <c r="E901">
        <f>INDEX(FactorTable!$B$2:$Y$301, MATCH(ROUND(MIN(300,MAX(1,D901)),0), FactorTable!$A$2:$A$301,0), Skills!L18+1)</f>
        <v/>
      </c>
      <c r="F901">
        <f>IF(Skills!M18=TRUE,(Skills!K18/10)*(E901/1000),Skills!K18/10)+Skills!N18</f>
        <v/>
      </c>
      <c r="G901">
        <f>Calc!G18</f>
        <v/>
      </c>
      <c r="H901">
        <f>Calc!H18</f>
        <v/>
      </c>
      <c r="I901">
        <f>IF(Skills!T18&lt;&gt;"",1+(Skills!T18/10)*(R886/1000)/100,1)</f>
        <v/>
      </c>
      <c r="J901" t="inlineStr"/>
      <c r="K901" t="inlineStr"/>
      <c r="L901" t="inlineStr"/>
      <c r="M901" t="inlineStr"/>
      <c r="N901" t="inlineStr"/>
      <c r="O901" t="n">
        <v>0</v>
      </c>
      <c r="P901">
        <f>IF(B917=0,0,O901/B917)</f>
        <v/>
      </c>
      <c r="S901" t="n">
        <v>0</v>
      </c>
      <c r="V901">
        <f>IFERROR(1/IF(Inputs!$B$4="pvp",15,MAX(0.1,Skills!D18-IF(Skills!E18=TRUE,Inputs!$B$31,0))),0)</f>
        <v/>
      </c>
    </row>
    <row r="902">
      <c r="A902">
        <f>Skills!A19</f>
        <v/>
      </c>
      <c r="B902">
        <f>Skills!B19</f>
        <v/>
      </c>
      <c r="C902">
        <f>Inputs!$B$3&gt;=50</f>
        <v/>
      </c>
      <c r="D902">
        <f>IF(Skills!C19=1,60+Inputs!$B$24+Inputs!$B$28,IF(Skills!C19=2,90+Inputs!$B$25+Inputs!$B$28,IF(Skills!C19=3,120+Inputs!$B$26+Inputs!$B$28,MAX(0,(Inputs!$B$3-100)*3)+Inputs!$B$27+Inputs!$B$28)))</f>
        <v/>
      </c>
      <c r="E902">
        <f>INDEX(FactorTable!$B$2:$Y$301, MATCH(ROUND(MIN(300,MAX(1,D902)),0), FactorTable!$A$2:$A$301,0), Skills!L19+1)</f>
        <v/>
      </c>
      <c r="F902">
        <f>IF(Skills!M19=TRUE,(Skills!K19/10)*(E902/1000),Skills!K19/10)+Skills!N19</f>
        <v/>
      </c>
      <c r="G902">
        <f>Calc!G19</f>
        <v/>
      </c>
      <c r="H902">
        <f>Calc!H19</f>
        <v/>
      </c>
      <c r="I902">
        <f>IF(Skills!T19&lt;&gt;"",1+(Skills!T19/10)*(R886/1000)/100,1)</f>
        <v/>
      </c>
      <c r="J902" t="inlineStr"/>
      <c r="K902" t="inlineStr"/>
      <c r="L902" t="inlineStr"/>
      <c r="M902" t="inlineStr"/>
      <c r="N902" t="inlineStr"/>
      <c r="O902" t="n">
        <v>0</v>
      </c>
      <c r="P902">
        <f>IF(B917=0,0,O902/B917)</f>
        <v/>
      </c>
      <c r="S902" t="n">
        <v>0</v>
      </c>
      <c r="V902">
        <f>IFERROR(1/IF(Inputs!$B$4="pvp",15,MAX(0.1,Skills!D19-IF(Skills!E19=TRUE,Inputs!$B$31,0))),0)</f>
        <v/>
      </c>
    </row>
    <row r="903">
      <c r="A903">
        <f>Skills!A20</f>
        <v/>
      </c>
      <c r="B903">
        <f>Skills!B20</f>
        <v/>
      </c>
      <c r="C903">
        <f>Inputs!$B$3&gt;=74</f>
        <v/>
      </c>
      <c r="D903">
        <f>IF(Skills!C20=1,60+Inputs!$B$24+Inputs!$B$28,IF(Skills!C20=2,90+Inputs!$B$25+Inputs!$B$28,IF(Skills!C20=3,120+Inputs!$B$26+Inputs!$B$28,MAX(0,(Inputs!$B$3-100)*3)+Inputs!$B$27+Inputs!$B$28)))</f>
        <v/>
      </c>
      <c r="E903">
        <f>INDEX(FactorTable!$B$2:$Y$301, MATCH(ROUND(MIN(300,MAX(1,D903)),0), FactorTable!$A$2:$A$301,0), Skills!L20+1)</f>
        <v/>
      </c>
      <c r="F903">
        <f>IF(Skills!M20=TRUE,(Skills!K20/10)*(E903/1000),Skills!K20/10)+Skills!N20</f>
        <v/>
      </c>
      <c r="G903">
        <f>Calc!G20</f>
        <v/>
      </c>
      <c r="H903">
        <f>Calc!H20</f>
        <v/>
      </c>
      <c r="I903">
        <f>IF(Skills!T20&lt;&gt;"",1+(Skills!T20/10)*(R886/1000)/100,1)</f>
        <v/>
      </c>
      <c r="J903" t="inlineStr"/>
      <c r="K903" t="inlineStr"/>
      <c r="L903" t="inlineStr"/>
      <c r="M903" t="inlineStr"/>
      <c r="N903" t="inlineStr"/>
      <c r="O903" t="n">
        <v>0</v>
      </c>
      <c r="P903">
        <f>IF(B917=0,0,O903/B917)</f>
        <v/>
      </c>
      <c r="S903" t="n">
        <v>0</v>
      </c>
      <c r="V903">
        <f>IFERROR(1/IF(Inputs!$B$4="pvp",15,MAX(0.1,Skills!D20-IF(Skills!E20=TRUE,Inputs!$B$31,0))),0)</f>
        <v/>
      </c>
    </row>
    <row r="904">
      <c r="A904">
        <f>Skills!A21</f>
        <v/>
      </c>
      <c r="B904">
        <f>Skills!B21</f>
        <v/>
      </c>
      <c r="C904">
        <f>Inputs!$B$3&gt;=74</f>
        <v/>
      </c>
      <c r="D904">
        <f>IF(Skills!C21=1,60+Inputs!$B$24+Inputs!$B$28,IF(Skills!C21=2,90+Inputs!$B$25+Inputs!$B$28,IF(Skills!C21=3,120+Inputs!$B$26+Inputs!$B$28,MAX(0,(Inputs!$B$3-100)*3)+Inputs!$B$27+Inputs!$B$28)))</f>
        <v/>
      </c>
      <c r="E904">
        <f>INDEX(FactorTable!$B$2:$Y$301, MATCH(ROUND(MIN(300,MAX(1,D904)),0), FactorTable!$A$2:$A$301,0), Skills!L21+1)</f>
        <v/>
      </c>
      <c r="F904">
        <f>IF(Skills!M21=TRUE,(Skills!K21/10)*(E904/1000),Skills!K21/10)+Skills!N21</f>
        <v/>
      </c>
      <c r="G904">
        <f>Calc!G21</f>
        <v/>
      </c>
      <c r="H904">
        <f>Calc!H21</f>
        <v/>
      </c>
      <c r="I904">
        <f>IF(Skills!T21&lt;&gt;"",1+(Skills!T21/10)*(R886/1000)/100,1)</f>
        <v/>
      </c>
      <c r="J904" t="inlineStr"/>
      <c r="K904" t="inlineStr"/>
      <c r="L904" t="inlineStr"/>
      <c r="M904" t="inlineStr"/>
      <c r="N904" t="inlineStr"/>
      <c r="O904" t="n">
        <v>0</v>
      </c>
      <c r="P904">
        <f>IF(B917=0,0,O904/B917)</f>
        <v/>
      </c>
      <c r="S904" t="n">
        <v>0</v>
      </c>
      <c r="V904">
        <f>IFERROR(1/IF(Inputs!$B$4="pvp",15,MAX(0.1,Skills!D21-IF(Skills!E21=TRUE,Inputs!$B$31,0))),0)</f>
        <v/>
      </c>
    </row>
    <row r="905">
      <c r="A905">
        <f>Skills!A22</f>
        <v/>
      </c>
      <c r="B905">
        <f>Skills!B22</f>
        <v/>
      </c>
      <c r="C905">
        <f>Inputs!$B$3&gt;=117</f>
        <v/>
      </c>
      <c r="D905">
        <f>IF(Skills!C22=1,60+Inputs!$B$24+Inputs!$B$28,IF(Skills!C22=2,90+Inputs!$B$25+Inputs!$B$28,IF(Skills!C22=3,120+Inputs!$B$26+Inputs!$B$28,MAX(0,(Inputs!$B$3-100)*3)+Inputs!$B$27+Inputs!$B$28)))</f>
        <v/>
      </c>
      <c r="E905">
        <f>INDEX(FactorTable!$B$2:$Y$301, MATCH(ROUND(MIN(300,MAX(1,D905)),0), FactorTable!$A$2:$A$301,0), Skills!L22+1)</f>
        <v/>
      </c>
      <c r="F905">
        <f>IF(Skills!M22=TRUE,(Skills!K22/10)*(E905/1000),Skills!K22/10)+Skills!N22</f>
        <v/>
      </c>
      <c r="G905">
        <f>Calc!G22</f>
        <v/>
      </c>
      <c r="H905">
        <f>Calc!H22</f>
        <v/>
      </c>
      <c r="I905">
        <f>IF(Skills!T22&lt;&gt;"",1+(Skills!T22/10)*(R886/1000)/100,1)</f>
        <v/>
      </c>
      <c r="J905" t="inlineStr"/>
      <c r="K905" t="inlineStr"/>
      <c r="L905" t="inlineStr"/>
      <c r="M905" t="inlineStr"/>
      <c r="N905" t="inlineStr"/>
      <c r="O905" t="n">
        <v>0</v>
      </c>
      <c r="P905">
        <f>IF(B917=0,0,O905/B917)</f>
        <v/>
      </c>
      <c r="S905" t="n">
        <v>0</v>
      </c>
      <c r="V905">
        <f>IFERROR(1/IF(Inputs!$B$4="pvp",15,MAX(0.1,Skills!D22-IF(Skills!E22=TRUE,Inputs!$B$31,0))),0)</f>
        <v/>
      </c>
    </row>
    <row r="906">
      <c r="A906">
        <f>Skills!A23</f>
        <v/>
      </c>
      <c r="B906">
        <f>Skills!B23</f>
        <v/>
      </c>
      <c r="C906">
        <f>Inputs!$B$3&gt;=120</f>
        <v/>
      </c>
      <c r="D906">
        <f>IF(Skills!C23=1,60+Inputs!$B$24+Inputs!$B$28,IF(Skills!C23=2,90+Inputs!$B$25+Inputs!$B$28,IF(Skills!C23=3,120+Inputs!$B$26+Inputs!$B$28,MAX(0,(Inputs!$B$3-100)*3)+Inputs!$B$27+Inputs!$B$28)))</f>
        <v/>
      </c>
      <c r="E906">
        <f>INDEX(FactorTable!$B$2:$Y$301, MATCH(ROUND(MIN(300,MAX(1,D906)),0), FactorTable!$A$2:$A$301,0), Skills!L23+1)</f>
        <v/>
      </c>
      <c r="F906">
        <f>IF(Skills!M23=TRUE,(Skills!K23/10)*(E906/1000),Skills!K23/10)+Skills!N23</f>
        <v/>
      </c>
      <c r="G906">
        <f>Calc!G23</f>
        <v/>
      </c>
      <c r="H906">
        <f>Calc!H23</f>
        <v/>
      </c>
      <c r="I906">
        <f>IF(Skills!T23&lt;&gt;"",1+(Skills!T23/10)*(R886/1000)/100,1)</f>
        <v/>
      </c>
      <c r="J906" t="inlineStr"/>
      <c r="K906" t="inlineStr"/>
      <c r="L906" t="inlineStr"/>
      <c r="M906" t="inlineStr"/>
      <c r="N906" t="inlineStr"/>
      <c r="O906" t="n">
        <v>0</v>
      </c>
      <c r="P906">
        <f>IF(B917=0,0,O906/B917)</f>
        <v/>
      </c>
      <c r="S906" t="n">
        <v>0</v>
      </c>
      <c r="V906">
        <f>IFERROR(1/IF(Inputs!$B$4="pvp",15,MAX(0.1,Skills!D23-IF(Skills!E23=TRUE,Inputs!$B$31,0))),0)</f>
        <v/>
      </c>
    </row>
    <row r="909">
      <c r="A909" t="inlineStr">
        <is>
          <t>Average Buff Multiplier (Magic Guard + Meditation, summed; then Infinity)</t>
        </is>
      </c>
      <c r="B909">
        <f>(1+(IF(C886=TRUE,F886*IF(AND(Inputs!$B$4&lt;&gt;"pvp",Inputs!$B$35&gt;0),(((S886-1)*(Skills!S3*(1+(Inputs!$B$33+IF(Inputs!$B$3&gt;=117,F905,0))/100))+MIN((Skills!S3*(1+(Inputs!$B$33+IF(Inputs!$B$3&gt;=117,F905,0))/100)),MAX(0,Inputs!$B$35-((S886-1)*Skills!D3))))/Inputs!$B$35),IF(Inputs!$B$4="pvp",MIN((Skills!S3*(1+(Inputs!$B$33+IF(Inputs!$B$3&gt;=117,F905,0))/100)),15)/15,(Skills!S3*(1+(Inputs!$B$33+IF(Inputs!$B$3&gt;=117,F905,0))/100))/Skills!D3)),0)+IF(C887=TRUE,F887*IF(AND(Inputs!$B$4&lt;&gt;"pvp",Inputs!$B$35&gt;0),(((S887-1)*(Skills!S4*(1+(Inputs!$B$33+IF(Inputs!$B$3&gt;=117,F905,0))/100))+MIN((Skills!S4*(1+(Inputs!$B$33+IF(Inputs!$B$3&gt;=117,F905,0))/100)),MAX(0,Inputs!$B$35-((S887-1)*Skills!D4))))/Inputs!$B$35),IF(Inputs!$B$4="pvp",MIN((Skills!S4*(1+(Inputs!$B$33+IF(Inputs!$B$3&gt;=117,F905,0))/100)),15)/15,(Skills!S4*(1+(Inputs!$B$33+IF(Inputs!$B$3&gt;=117,F905,0))/100))/Skills!D4)),0))/100)*IF(C899=TRUE,(1+F899*IF(AND(Inputs!$B$4&lt;&gt;"pvp",Inputs!$B$35&gt;0),(((S899-1)*(Skills!S16*(1+(Inputs!$B$33+IF(Inputs!$B$3&gt;=117,F905,0))/100))+MIN((Skills!S16*(1+(Inputs!$B$33+IF(Inputs!$B$3&gt;=117,F905,0))/100)),MAX(0,Inputs!$B$35-((S899-1)*Skills!D16))))/Inputs!$B$35),IF(Inputs!$B$4="pvp",MIN((Skills!S16*(1+(Inputs!$B$33+IF(Inputs!$B$3&gt;=117,F905,0))/100)),15)/15,(Skills!S16*(1+(Inputs!$B$33+IF(Inputs!$B$3&gt;=117,F905,0))/100))/Skills!D16))/100),1)</f>
        <v/>
      </c>
    </row>
    <row r="910">
      <c r="A910" t="inlineStr">
        <is>
          <t>Monster Damage Taken Bonus % (Freezing Breath - Weaken + Elemental Reset, summed)</t>
        </is>
      </c>
      <c r="B910">
        <f>IF(Inputs!$B$3&gt;=118,15*IF(Inputs!$B$4="pvp",MIN((30*(1+(Inputs!$B$33+IF(Inputs!$B$3&gt;=117,F905,0))/100)),15)/15,(30*(1+(Inputs!$B$33+IF(Inputs!$B$3&gt;=117,F905,0))/100))/Skills!D8),0)+IF(C897=TRUE,F897,0)</f>
        <v/>
      </c>
    </row>
    <row r="911">
      <c r="A911" t="inlineStr">
        <is>
          <t>Damage % Bonus (Frozen Break + Frost Clutch, flat)</t>
        </is>
      </c>
      <c r="B911">
        <f>IF(Inputs!$B$3&gt;=66,15,0)+IF(Inputs!$B$3&gt;=98,10,0)+IF(Inputs!$B$3&gt;=125,20,0)</f>
        <v/>
      </c>
    </row>
    <row r="912">
      <c r="A912" t="inlineStr">
        <is>
          <t>Attack Speed Bonus % (MP Eater - MP Boost, always-on once unlocked)</t>
        </is>
      </c>
      <c r="B912">
        <f>IF(C896=TRUE,F896+(F900-Calc!F17),0)</f>
        <v/>
      </c>
    </row>
    <row r="913">
      <c r="A913" t="inlineStr">
        <is>
          <t>Actions Per Second</t>
        </is>
      </c>
      <c r="B913">
        <f>1+MIN(150,150*(1-(1-Inputs!$B$10/150)*(1-B912/150)))/100</f>
        <v/>
      </c>
    </row>
    <row r="914">
      <c r="A914" t="inlineStr">
        <is>
          <t>Skill + Buff Cast Rate</t>
        </is>
      </c>
      <c r="B914">
        <f>IF(AND(Inputs!$B$4&lt;&gt;"pvp",Inputs!$B$35&gt;0),SUMPRODUCT((Skills!E2:E23=TRUE)*(C885:C906=TRUE)*S885:S906)/Inputs!$B$35,SUMPRODUCT((Skills!E2:E23=TRUE)*(C885:C906=TRUE)*V885:V906))</f>
        <v/>
      </c>
    </row>
    <row r="915">
      <c r="A915" t="inlineStr">
        <is>
          <t>Chain Lightning Casts Per Second</t>
        </is>
      </c>
      <c r="B915">
        <f>MAX(0,B913-B914)</f>
        <v/>
      </c>
    </row>
    <row r="917">
      <c r="A917" s="5" t="inlineStr">
        <is>
          <t>TOTAL DPS</t>
        </is>
      </c>
      <c r="B917" s="5">
        <f>SUM(O885:O906)</f>
        <v/>
      </c>
    </row>
    <row r="920">
      <c r="A920" s="5" t="inlineStr">
        <is>
          <t>Stat: Buff Duration Increase %</t>
        </is>
      </c>
    </row>
    <row r="921">
      <c r="A921" s="8" t="inlineStr">
        <is>
          <t>Key</t>
        </is>
      </c>
      <c r="B921" s="8" t="inlineStr">
        <is>
          <t>Name</t>
        </is>
      </c>
      <c r="C921" s="8" t="inlineStr">
        <is>
          <t>Unlocked</t>
        </is>
      </c>
      <c r="D921" s="8" t="inlineStr">
        <is>
          <t>InputLevel</t>
        </is>
      </c>
      <c r="E921" s="8" t="inlineStr">
        <is>
          <t>Factor</t>
        </is>
      </c>
      <c r="F921" s="8" t="inlineStr">
        <is>
          <t>CoefficientPercent</t>
        </is>
      </c>
      <c r="G921" s="8" t="inlineStr">
        <is>
          <t>EffectiveHits</t>
        </is>
      </c>
      <c r="H921" s="8" t="inlineStr">
        <is>
          <t>ProcProbability</t>
        </is>
      </c>
      <c r="I921" s="8" t="inlineStr">
        <is>
          <t>MapleHeroMultiplier</t>
        </is>
      </c>
      <c r="J921" s="8" t="inlineStr">
        <is>
          <t>BaseDamage</t>
        </is>
      </c>
      <c r="K921" s="8" t="inlineStr">
        <is>
          <t>BaseHitDamage</t>
        </is>
      </c>
      <c r="L921" s="8" t="inlineStr">
        <is>
          <t>NonCritAvg</t>
        </is>
      </c>
      <c r="M921" s="8" t="inlineStr">
        <is>
          <t>CritAvg</t>
        </is>
      </c>
      <c r="N921" s="8" t="inlineStr">
        <is>
          <t>ExpectedDamage(perHit)</t>
        </is>
      </c>
      <c r="O921" s="8" t="inlineStr">
        <is>
          <t>DPS</t>
        </is>
      </c>
      <c r="P921" s="8" t="inlineStr">
        <is>
          <t>% of Total</t>
        </is>
      </c>
      <c r="R921" t="inlineStr">
        <is>
          <t>helpers</t>
        </is>
      </c>
    </row>
    <row r="922">
      <c r="A922">
        <f>Skills!A2</f>
        <v/>
      </c>
      <c r="B922">
        <f>Skills!B2</f>
        <v/>
      </c>
      <c r="C922">
        <f>Inputs!$B$3&gt;=100</f>
        <v/>
      </c>
      <c r="D922" t="inlineStr"/>
      <c r="E922" t="inlineStr"/>
      <c r="F922">
        <f>T924+Skills!N2</f>
        <v/>
      </c>
      <c r="G922">
        <f>Calc!G2</f>
        <v/>
      </c>
      <c r="H922">
        <f>Calc!H2</f>
        <v/>
      </c>
      <c r="I922">
        <f>IF(Skills!T2&lt;&gt;"",1+(Skills!T2/10)*(R923/1000)/100,1)</f>
        <v/>
      </c>
      <c r="J922">
        <f>((Inputs!$B$5*(1+Inputs!$B$6/100))+((Inputs!$B$11*(1+Inputs!$B$12/100))-(Inputs!$B$11*(1+Inputs!$B$12/100)))*(1+Inputs!$B$6/100))*(F922/100)</f>
        <v/>
      </c>
      <c r="K922">
        <f>J922*(1+((Inputs!$B$11*(1+Inputs!$B$12/100))*0.01+Inputs!$B$13*0.0025)/100)*(1+(Inputs!$B$14+B948)/100)*(1+IF(Inputs!$B$4="pvp",0,(1-Summary!$B$51)*(Inputs!$B$19+Skills!O2+B947)+Summary!$B$51*(Inputs!$B$20+Skills!P2+B947))/100)*(1+Inputs!$B$15/100)*(5000/(6000+Inputs!$B$7*(1-Inputs!$B$18/100)))*(1+Inputs!$B$23/100)*(1+IF(C935=TRUE,F935,0)/100)*(1+IF(C943=TRUE,F943,0)/100)^5*(1+(IF(Skills!A2="CHAIN_LIGHTNING",Inputs!$B$16,Inputs!$B$17))/100)*(B946*I922)</f>
        <v/>
      </c>
      <c r="L922">
        <f>K922*(MIN(Inputs!$B$21+(F938-Calc!F18),Inputs!$B$22)/100+Inputs!$B$22/100)/2</f>
        <v/>
      </c>
      <c r="M922">
        <f>L922*(1+(Inputs!$B$9+(F941-Calc!F21))/100)</f>
        <v/>
      </c>
      <c r="N922">
        <f>L922*(1-MIN(Inputs!$B$8+((F940-Calc!F20)+(F939-Calc!F19)),100)/100)+M922*(MIN(Inputs!$B$8+((F940-Calc!F20)+(F939-Calc!F19)),100)/100)</f>
        <v/>
      </c>
      <c r="O922">
        <f>IF(C922,Skills!F2*N922*B952*IF(Inputs!$B$4="pvp",1,(1-Summary!$B$51)*(1)+Summary!$B$51*(MIN((6+Inputs!$B$32),Inputs!$B$37))),0)</f>
        <v/>
      </c>
      <c r="P922">
        <f>IF(B954=0,0,O922/B954)</f>
        <v/>
      </c>
      <c r="R922">
        <f>MAX(0,(Inputs!$B$3-100)*3)+Inputs!$B$27+Inputs!$B$28</f>
        <v/>
      </c>
      <c r="S922" t="n">
        <v>0</v>
      </c>
      <c r="T922">
        <f>MAX(0,(Inputs!$B$3-100)*3)+Inputs!$B$27+Inputs!$B$28</f>
        <v/>
      </c>
      <c r="V922">
        <f>IFERROR(1/IF(Inputs!$B$4="pvp",15,MAX(0.1,Skills!D2-IF(Skills!E2=TRUE,Inputs!$B$31,0))),0)</f>
        <v/>
      </c>
    </row>
    <row r="923">
      <c r="A923">
        <f>Skills!A3</f>
        <v/>
      </c>
      <c r="B923">
        <f>Skills!B3</f>
        <v/>
      </c>
      <c r="C923">
        <f>Inputs!$B$3&gt;=15</f>
        <v/>
      </c>
      <c r="D923">
        <f>IF(Skills!C3=1,60+Inputs!$B$24+Inputs!$B$28,IF(Skills!C3=2,90+Inputs!$B$25+Inputs!$B$28,IF(Skills!C3=3,120+Inputs!$B$26+Inputs!$B$28,MAX(0,(Inputs!$B$3-100)*3)+Inputs!$B$27+Inputs!$B$28)))</f>
        <v/>
      </c>
      <c r="E923">
        <f>INDEX(FactorTable!$B$2:$Y$301, MATCH(ROUND(MIN(300,MAX(1,D923)),0), FactorTable!$A$2:$A$301,0), Skills!L3+1)</f>
        <v/>
      </c>
      <c r="F923">
        <f>IF(Skills!M3=TRUE,(Skills!K3/10)*(E923/1000),Skills!K3/10)+Skills!N3</f>
        <v/>
      </c>
      <c r="G923">
        <f>Calc!G3</f>
        <v/>
      </c>
      <c r="H923">
        <f>Calc!H3</f>
        <v/>
      </c>
      <c r="I923">
        <f>IF(Skills!T3&lt;&gt;"",1+(Skills!T3/10)*(R923/1000)/100,1)</f>
        <v/>
      </c>
      <c r="J923" t="inlineStr"/>
      <c r="K923" t="inlineStr"/>
      <c r="L923" t="inlineStr"/>
      <c r="M923" t="inlineStr"/>
      <c r="N923" t="inlineStr"/>
      <c r="O923" t="n">
        <v>0</v>
      </c>
      <c r="P923">
        <f>IF(B954=0,0,O923/B954)</f>
        <v/>
      </c>
      <c r="R923">
        <f>INDEX(FactorTable!$B$2:$Y$301, MATCH(ROUND(MIN(300,MAX(1,R922)),0), FactorTable!$A$2:$A$301,0), 24)</f>
        <v/>
      </c>
      <c r="S923">
        <f>IF(AND(Inputs!$B$4&lt;&gt;"pvp",Inputs!$B$35&gt;0),(INT(Inputs!$B$35/IF(Inputs!$B$4="pvp",15,MAX(0.1,Skills!D3-IF(Skills!E3=TRUE,Inputs!$B$31,0))))+1),0)</f>
        <v/>
      </c>
      <c r="T923">
        <f>INDEX(FactorTable!$B$2:$Y$301, MATCH(ROUND(MIN(300,MAX(1,T922)),0), FactorTable!$A$2:$A$301,0), 22)</f>
        <v/>
      </c>
      <c r="V923">
        <f>IFERROR(1/IF(Inputs!$B$4="pvp",15,MAX(0.1,Skills!D3-IF(Skills!E3=TRUE,Inputs!$B$31,0))),0)</f>
        <v/>
      </c>
    </row>
    <row r="924">
      <c r="A924">
        <f>Skills!A4</f>
        <v/>
      </c>
      <c r="B924">
        <f>Skills!B4</f>
        <v/>
      </c>
      <c r="C924">
        <f>Inputs!$B$3&gt;=40</f>
        <v/>
      </c>
      <c r="D924">
        <f>IF(Skills!C4=1,60+Inputs!$B$24+Inputs!$B$28,IF(Skills!C4=2,90+Inputs!$B$25+Inputs!$B$28,IF(Skills!C4=3,120+Inputs!$B$26+Inputs!$B$28,MAX(0,(Inputs!$B$3-100)*3)+Inputs!$B$27+Inputs!$B$28)))</f>
        <v/>
      </c>
      <c r="E924">
        <f>INDEX(FactorTable!$B$2:$Y$301, MATCH(ROUND(MIN(300,MAX(1,D924)),0), FactorTable!$A$2:$A$301,0), Skills!L4+1)</f>
        <v/>
      </c>
      <c r="F924">
        <f>IF(Skills!M4=TRUE,(Skills!K4/10)*(E924/1000),Skills!K4/10)+Skills!N4</f>
        <v/>
      </c>
      <c r="G924">
        <f>Calc!G4</f>
        <v/>
      </c>
      <c r="H924">
        <f>Calc!H4</f>
        <v/>
      </c>
      <c r="I924">
        <f>IF(Skills!T4&lt;&gt;"",1+(Skills!T4/10)*(R923/1000)/100,1)</f>
        <v/>
      </c>
      <c r="J924" t="inlineStr"/>
      <c r="K924" t="inlineStr"/>
      <c r="L924" t="inlineStr"/>
      <c r="M924" t="inlineStr"/>
      <c r="N924" t="inlineStr"/>
      <c r="O924" t="n">
        <v>0</v>
      </c>
      <c r="P924">
        <f>IF(B954=0,0,O924/B954)</f>
        <v/>
      </c>
      <c r="S924">
        <f>IF(AND(Inputs!$B$4&lt;&gt;"pvp",Inputs!$B$35&gt;0),(INT(Inputs!$B$35/IF(Inputs!$B$4="pvp",15,MAX(0.1,Skills!D4-IF(Skills!E4=TRUE,Inputs!$B$31,0))))+1),0)</f>
        <v/>
      </c>
      <c r="T924">
        <f>290*T923/1000</f>
        <v/>
      </c>
      <c r="V924">
        <f>IFERROR(1/IF(Inputs!$B$4="pvp",15,MAX(0.1,Skills!D4-IF(Skills!E4=TRUE,Inputs!$B$31,0))),0)</f>
        <v/>
      </c>
    </row>
    <row r="925">
      <c r="A925">
        <f>Skills!A5</f>
        <v/>
      </c>
      <c r="B925">
        <f>Skills!B5</f>
        <v/>
      </c>
      <c r="C925">
        <f>Inputs!$B$3&gt;=38</f>
        <v/>
      </c>
      <c r="D925">
        <f>IF(Skills!C5=1,60+Inputs!$B$24+Inputs!$B$28,IF(Skills!C5=2,90+Inputs!$B$25+Inputs!$B$28,IF(Skills!C5=3,120+Inputs!$B$26+Inputs!$B$28,MAX(0,(Inputs!$B$3-100)*3)+Inputs!$B$27+Inputs!$B$28)))</f>
        <v/>
      </c>
      <c r="E925">
        <f>INDEX(FactorTable!$B$2:$Y$301, MATCH(ROUND(MIN(300,MAX(1,D925)),0), FactorTable!$A$2:$A$301,0), Skills!L5+1)</f>
        <v/>
      </c>
      <c r="F925">
        <f>IF(Skills!M5=TRUE,(Skills!K5/10)*(E925/1000),Skills!K5/10)+Skills!N5</f>
        <v/>
      </c>
      <c r="G925">
        <f>Calc!G5</f>
        <v/>
      </c>
      <c r="H925">
        <f>Calc!H5</f>
        <v/>
      </c>
      <c r="I925">
        <f>IF(Skills!T5&lt;&gt;"",1+(Skills!T5/10)*(R923/1000)/100,1)</f>
        <v/>
      </c>
      <c r="J925">
        <f>((Inputs!$B$5*(1+Inputs!$B$6/100))+((Inputs!$B$11*(1+Inputs!$B$12/100))-(Inputs!$B$11*(1+Inputs!$B$12/100)))*(1+Inputs!$B$6/100))*(F925/100)</f>
        <v/>
      </c>
      <c r="K925">
        <f>J925*(1+((Inputs!$B$11*(1+Inputs!$B$12/100))*0.01+Inputs!$B$13*0.0025)/100)*(1+(Inputs!$B$14+B948)/100)*(1+IF(Inputs!$B$4="pvp",0,(1-Summary!$B$51)*(Inputs!$B$19+Skills!O5+B947)+Summary!$B$51*(Inputs!$B$20+Skills!P5+B947))/100)*(1+Inputs!$B$15/100)*(5000/(6000+Inputs!$B$7*(1-Inputs!$B$18/100)))*(1+Inputs!$B$23/100)*(1+IF(C935=TRUE,F935,0)/100)*(1+IF(C943=TRUE,F943,0)/100)^5*(1+(IF(Skills!A5="CHAIN_LIGHTNING",Inputs!$B$16,Inputs!$B$17))/100)*(B946*I925)</f>
        <v/>
      </c>
      <c r="L925">
        <f>K925*(MIN(Inputs!$B$21+(F938-Calc!F18),Inputs!$B$22)/100+Inputs!$B$22/100)/2</f>
        <v/>
      </c>
      <c r="M925">
        <f>L925*(1+(Inputs!$B$9+(F941-Calc!F21))/100)</f>
        <v/>
      </c>
      <c r="N925">
        <f>L925*(1-MIN(Inputs!$B$8+((F940-Calc!F20)+(F939-Calc!F19)),100)/100)+M925*(MIN(Inputs!$B$8+((F940-Calc!F20)+(F939-Calc!F19)),100)/100)</f>
        <v/>
      </c>
      <c r="O925">
        <f>IF(C925,H925*N925*IF(AND(Inputs!$B$4&lt;&gt;"pvp",Inputs!$B$35&gt;0),((Skills!F5*((S925-1)*IF(Skills!G5&gt;0,Skills!H5/Skills!G5,1)+IF(Skills!G5&gt;0,MIN(Skills!H5,MAX(0,Inputs!$B$35-((S925-1)*IF(Inputs!$B$4="pvp",15,MAX(0.1,Skills!D5-IF(Skills!E5=TRUE,Inputs!$B$31,0))))))/Skills!G5,1)))/Inputs!$B$35),G925*V925)*IF(Inputs!$B$4="pvp",1,(1-Summary!$B$51)*(1)+Summary!$B$51*(MIN(Skills!Q5,Inputs!$B$37))),0)</f>
        <v/>
      </c>
      <c r="P925">
        <f>IF(B954=0,0,O925/B954)</f>
        <v/>
      </c>
      <c r="S925">
        <f>IF(AND(Inputs!$B$4&lt;&gt;"pvp",Inputs!$B$35&gt;0),(INT(Inputs!$B$35/IF(Inputs!$B$4="pvp",15,MAX(0.1,Skills!D5-IF(Skills!E5=TRUE,Inputs!$B$31,0))))+1),0)</f>
        <v/>
      </c>
      <c r="V925">
        <f>IFERROR(1/IF(Inputs!$B$4="pvp",15,MAX(0.1,Skills!D5-IF(Skills!E5=TRUE,Inputs!$B$31,0))),0)</f>
        <v/>
      </c>
    </row>
    <row r="926">
      <c r="A926">
        <f>Skills!A6</f>
        <v/>
      </c>
      <c r="B926">
        <f>Skills!B6</f>
        <v/>
      </c>
      <c r="C926">
        <f>Inputs!$B$3&gt;=63</f>
        <v/>
      </c>
      <c r="D926">
        <f>IF(Skills!C6=1,60+Inputs!$B$24+Inputs!$B$28,IF(Skills!C6=2,90+Inputs!$B$25+Inputs!$B$28,IF(Skills!C6=3,120+Inputs!$B$26+Inputs!$B$28,MAX(0,(Inputs!$B$3-100)*3)+Inputs!$B$27+Inputs!$B$28)))</f>
        <v/>
      </c>
      <c r="E926">
        <f>INDEX(FactorTable!$B$2:$Y$301, MATCH(ROUND(MIN(300,MAX(1,D926)),0), FactorTable!$A$2:$A$301,0), Skills!L6+1)</f>
        <v/>
      </c>
      <c r="F926">
        <f>IF(Skills!M6=TRUE,(Skills!K6/10)*(E926/1000),Skills!K6/10)+Skills!N6</f>
        <v/>
      </c>
      <c r="G926">
        <f>Calc!G6</f>
        <v/>
      </c>
      <c r="H926">
        <f>Calc!H6</f>
        <v/>
      </c>
      <c r="I926">
        <f>IF(Skills!T6&lt;&gt;"",1+(Skills!T6/10)*(R923/1000)/100,1)</f>
        <v/>
      </c>
      <c r="J926">
        <f>((Inputs!$B$5*(1+Inputs!$B$6/100))+((Inputs!$B$11*(1+Inputs!$B$12/100))-(Inputs!$B$11*(1+Inputs!$B$12/100)))*(1+Inputs!$B$6/100))*(F926/100)</f>
        <v/>
      </c>
      <c r="K926">
        <f>J926*(1+((Inputs!$B$11*(1+Inputs!$B$12/100))*0.01+Inputs!$B$13*0.0025)/100)*(1+(Inputs!$B$14+B948)/100)*(1+IF(Inputs!$B$4="pvp",0,(1-Summary!$B$51)*(Inputs!$B$19+Skills!O6+B947)+Summary!$B$51*(Inputs!$B$20+Skills!P6+B947))/100)*(1+Inputs!$B$15/100)*(5000/(6000+Inputs!$B$7*(1-Inputs!$B$18/100)))*(1+Inputs!$B$23/100)*(1+IF(C935=TRUE,F935,0)/100)*(1+IF(C943=TRUE,F943,0)/100)^5*(1+(IF(Skills!A6="CHAIN_LIGHTNING",Inputs!$B$16,Inputs!$B$17))/100)*(B946*I926)</f>
        <v/>
      </c>
      <c r="L926">
        <f>K926*(MIN(Inputs!$B$21+(F938-Calc!F18),Inputs!$B$22)/100+Inputs!$B$22/100)/2</f>
        <v/>
      </c>
      <c r="M926">
        <f>L926*(1+(Inputs!$B$9+(F941-Calc!F21))/100)</f>
        <v/>
      </c>
      <c r="N926">
        <f>L926*(1-MIN(Inputs!$B$8+((F940-Calc!F20)+(F939-Calc!F19)),100)/100)+M926*(MIN(Inputs!$B$8+((F940-Calc!F20)+(F939-Calc!F19)),100)/100)</f>
        <v/>
      </c>
      <c r="O926">
        <f>IF(C926,H926*N926*IF(AND(Inputs!$B$4&lt;&gt;"pvp",Inputs!$B$35&gt;0),((Skills!F6*((S926-1)*IF(Skills!G6&gt;0,Skills!H6/Skills!G6,1)+IF(Skills!G6&gt;0,MIN(Skills!H6,MAX(0,Inputs!$B$35-((S926-1)*IF(Inputs!$B$4="pvp",15,MAX(0.1,Skills!D6-IF(Skills!E6=TRUE,Inputs!$B$31,0))))))/Skills!G6,1)))/Inputs!$B$35),G926*V926)*IF(Inputs!$B$4="pvp",1,(1-Summary!$B$51)*(1)+Summary!$B$51*(MIN(Skills!Q6,Inputs!$B$37))),0)</f>
        <v/>
      </c>
      <c r="P926">
        <f>IF(B954=0,0,O926/B954)</f>
        <v/>
      </c>
      <c r="S926">
        <f>IF(AND(Inputs!$B$4&lt;&gt;"pvp",Inputs!$B$35&gt;0),(INT(Inputs!$B$35/IF(Inputs!$B$4="pvp",15,MAX(0.1,Skills!D6-IF(Skills!E6=TRUE,Inputs!$B$31,0))))+1),0)</f>
        <v/>
      </c>
      <c r="V926">
        <f>IFERROR(1/IF(Inputs!$B$4="pvp",15,MAX(0.1,Skills!D6-IF(Skills!E6=TRUE,Inputs!$B$31,0))),0)</f>
        <v/>
      </c>
    </row>
    <row r="927">
      <c r="A927">
        <f>Skills!A7</f>
        <v/>
      </c>
      <c r="B927">
        <f>Skills!B7</f>
        <v/>
      </c>
      <c r="C927">
        <f>Inputs!$B$3&gt;=69</f>
        <v/>
      </c>
      <c r="D927">
        <f>IF(Skills!C7=1,60+Inputs!$B$24+Inputs!$B$28,IF(Skills!C7=2,90+Inputs!$B$25+Inputs!$B$28,IF(Skills!C7=3,120+Inputs!$B$26+Inputs!$B$28,MAX(0,(Inputs!$B$3-100)*3)+Inputs!$B$27+Inputs!$B$28)))</f>
        <v/>
      </c>
      <c r="E927">
        <f>INDEX(FactorTable!$B$2:$Y$301, MATCH(ROUND(MIN(300,MAX(1,D927)),0), FactorTable!$A$2:$A$301,0), Skills!L7+1)</f>
        <v/>
      </c>
      <c r="F927">
        <f>IF(Skills!M7=TRUE,(Skills!K7/10)*(E927/1000),Skills!K7/10)+Skills!N7</f>
        <v/>
      </c>
      <c r="G927">
        <f>Calc!G7</f>
        <v/>
      </c>
      <c r="H927">
        <f>Calc!H7</f>
        <v/>
      </c>
      <c r="I927">
        <f>IF(Skills!T7&lt;&gt;"",1+(Skills!T7/10)*(R923/1000)/100,1)</f>
        <v/>
      </c>
      <c r="J927">
        <f>((Inputs!$B$5*(1+Inputs!$B$6/100))+((Inputs!$B$11*(1+Inputs!$B$12/100))-(Inputs!$B$11*(1+Inputs!$B$12/100)))*(1+Inputs!$B$6/100))*(F927/100)</f>
        <v/>
      </c>
      <c r="K927">
        <f>J927*(1+((Inputs!$B$11*(1+Inputs!$B$12/100))*0.01+Inputs!$B$13*0.0025)/100)*(1+(Inputs!$B$14+B948)/100)*(1+IF(Inputs!$B$4="pvp",0,(1-Summary!$B$51)*(Inputs!$B$19+Skills!O7+B947)+Summary!$B$51*(Inputs!$B$20+Skills!P7+B947))/100)*(1+Inputs!$B$15/100)*(5000/(6000+Inputs!$B$7*(1-Inputs!$B$18/100)))*(1+Inputs!$B$23/100)*(1+IF(C935=TRUE,F935,0)/100)*(1+IF(C943=TRUE,F943,0)/100)^5*(1+(IF(Skills!A7="CHAIN_LIGHTNING",Inputs!$B$16,Inputs!$B$17))/100)*(B946*I927)</f>
        <v/>
      </c>
      <c r="L927">
        <f>K927*(MIN(Inputs!$B$21+(F938-Calc!F18),Inputs!$B$22)/100+Inputs!$B$22/100)/2</f>
        <v/>
      </c>
      <c r="M927">
        <f>L927*(1+(Inputs!$B$9+(F941-Calc!F21))/100)</f>
        <v/>
      </c>
      <c r="N927">
        <f>L927*(1-MIN(Inputs!$B$8+((F940-Calc!F20)+(F939-Calc!F19)),100)/100)+M927*(MIN(Inputs!$B$8+((F940-Calc!F20)+(F939-Calc!F19)),100)/100)</f>
        <v/>
      </c>
      <c r="O927">
        <f>IF(C927,H927*N927*IF(AND(Inputs!$B$4&lt;&gt;"pvp",Inputs!$B$35&gt;0),((Skills!F7*((S927-1)*IF(Skills!G7&gt;0,Skills!H7/Skills!G7,1)+IF(Skills!G7&gt;0,MIN(Skills!H7,MAX(0,Inputs!$B$35-((S927-1)*IF(Inputs!$B$4="pvp",15,MAX(0.1,Skills!D7-IF(Skills!E7=TRUE,Inputs!$B$31,0))))))/Skills!G7,1)))/Inputs!$B$35),G927*V927)*IF(Inputs!$B$4="pvp",1,(1-Summary!$B$51)*(1)+Summary!$B$51*(MIN(Skills!Q7,Inputs!$B$37))),0)</f>
        <v/>
      </c>
      <c r="P927">
        <f>IF(B954=0,0,O927/B954)</f>
        <v/>
      </c>
      <c r="S927">
        <f>IF(AND(Inputs!$B$4&lt;&gt;"pvp",Inputs!$B$35&gt;0),(INT(Inputs!$B$35/IF(Inputs!$B$4="pvp",15,MAX(0.1,Skills!D7-IF(Skills!E7=TRUE,Inputs!$B$31,0))))+1),0)</f>
        <v/>
      </c>
      <c r="V927">
        <f>IFERROR(1/IF(Inputs!$B$4="pvp",15,MAX(0.1,Skills!D7-IF(Skills!E7=TRUE,Inputs!$B$31,0))),0)</f>
        <v/>
      </c>
    </row>
    <row r="928">
      <c r="A928">
        <f>Skills!A8</f>
        <v/>
      </c>
      <c r="B928">
        <f>Skills!B8</f>
        <v/>
      </c>
      <c r="C928">
        <f>Inputs!$B$3&gt;=103</f>
        <v/>
      </c>
      <c r="D928">
        <f>IF(Skills!C8=1,60+Inputs!$B$24+Inputs!$B$28,IF(Skills!C8=2,90+Inputs!$B$25+Inputs!$B$28,IF(Skills!C8=3,120+Inputs!$B$26+Inputs!$B$28,MAX(0,(Inputs!$B$3-100)*3)+Inputs!$B$27+Inputs!$B$28)))</f>
        <v/>
      </c>
      <c r="E928">
        <f>INDEX(FactorTable!$B$2:$Y$301, MATCH(ROUND(MIN(300,MAX(1,D928)),0), FactorTable!$A$2:$A$301,0), Skills!L8+1)</f>
        <v/>
      </c>
      <c r="F928">
        <f>IF(Skills!M8=TRUE,(Skills!K8/10)*(E928/1000),Skills!K8/10)+Skills!N8</f>
        <v/>
      </c>
      <c r="G928">
        <f>Calc!G8</f>
        <v/>
      </c>
      <c r="H928">
        <f>Calc!H8</f>
        <v/>
      </c>
      <c r="I928">
        <f>IF(Skills!T8&lt;&gt;"",1+(Skills!T8/10)*(R923/1000)/100,1)</f>
        <v/>
      </c>
      <c r="J928">
        <f>((Inputs!$B$5*(1+Inputs!$B$6/100))+((Inputs!$B$11*(1+Inputs!$B$12/100))-(Inputs!$B$11*(1+Inputs!$B$12/100)))*(1+Inputs!$B$6/100))*(F928/100)</f>
        <v/>
      </c>
      <c r="K928">
        <f>J928*(1+((Inputs!$B$11*(1+Inputs!$B$12/100))*0.01+Inputs!$B$13*0.0025)/100)*(1+(Inputs!$B$14+B948)/100)*(1+IF(Inputs!$B$4="pvp",0,(1-Summary!$B$51)*(Inputs!$B$19+Skills!O8+B947)+Summary!$B$51*(Inputs!$B$20+Skills!P8+B947))/100)*(1+Inputs!$B$15/100)*(5000/(6000+Inputs!$B$7*(1-Inputs!$B$18/100)))*(1+Inputs!$B$23/100)*(1+IF(C935=TRUE,F935,0)/100)*(1+IF(C943=TRUE,F943,0)/100)^5*(1+(IF(Skills!A8="CHAIN_LIGHTNING",Inputs!$B$16,Inputs!$B$17))/100)*(B946*I928)</f>
        <v/>
      </c>
      <c r="L928">
        <f>K928*(MIN(Inputs!$B$21+(F938-Calc!F18),Inputs!$B$22)/100+Inputs!$B$22/100)/2</f>
        <v/>
      </c>
      <c r="M928">
        <f>L928*(1+(Inputs!$B$9+(F941-Calc!F21))/100)</f>
        <v/>
      </c>
      <c r="N928">
        <f>L928*(1-MIN(Inputs!$B$8+((F940-Calc!F20)+(F939-Calc!F19)),100)/100)+M928*(MIN(Inputs!$B$8+((F940-Calc!F20)+(F939-Calc!F19)),100)/100)</f>
        <v/>
      </c>
      <c r="O928">
        <f>IF(C928,H928*N928*IF(AND(Inputs!$B$4&lt;&gt;"pvp",Inputs!$B$35&gt;0),((Skills!F8*((S928-1)*IF(Skills!G8&gt;0,Skills!H8/Skills!G8,1)+IF(Skills!G8&gt;0,MIN(Skills!H8,MAX(0,Inputs!$B$35-((S928-1)*IF(Inputs!$B$4="pvp",15,MAX(0.1,Skills!D8-IF(Skills!E8=TRUE,Inputs!$B$31,0))))))/Skills!G8,1)))/Inputs!$B$35),G928*V928)*IF(Inputs!$B$4="pvp",1,(1-Summary!$B$51)*(1)+Summary!$B$51*(MIN(Skills!Q8,Inputs!$B$37))),0)</f>
        <v/>
      </c>
      <c r="P928">
        <f>IF(B954=0,0,O928/B954)</f>
        <v/>
      </c>
      <c r="S928">
        <f>IF(AND(Inputs!$B$4&lt;&gt;"pvp",Inputs!$B$35&gt;0),(INT(Inputs!$B$35/IF(Inputs!$B$4="pvp",15,MAX(0.1,Skills!D8-IF(Skills!E8=TRUE,Inputs!$B$31,0))))+1),0)</f>
        <v/>
      </c>
      <c r="V928">
        <f>IFERROR(1/IF(Inputs!$B$4="pvp",15,MAX(0.1,Skills!D8-IF(Skills!E8=TRUE,Inputs!$B$31,0))),0)</f>
        <v/>
      </c>
    </row>
    <row r="929">
      <c r="A929">
        <f>Skills!A9</f>
        <v/>
      </c>
      <c r="B929">
        <f>Skills!B9</f>
        <v/>
      </c>
      <c r="C929">
        <f>Inputs!$B$3&gt;=105</f>
        <v/>
      </c>
      <c r="D929">
        <f>IF(Skills!C9=1,60+Inputs!$B$24+Inputs!$B$28,IF(Skills!C9=2,90+Inputs!$B$25+Inputs!$B$28,IF(Skills!C9=3,120+Inputs!$B$26+Inputs!$B$28,MAX(0,(Inputs!$B$3-100)*3)+Inputs!$B$27+Inputs!$B$28)))</f>
        <v/>
      </c>
      <c r="E929">
        <f>INDEX(FactorTable!$B$2:$Y$301, MATCH(ROUND(MIN(300,MAX(1,D929)),0), FactorTable!$A$2:$A$301,0), Skills!L9+1)</f>
        <v/>
      </c>
      <c r="F929">
        <f>IF(Skills!M9=TRUE,(Skills!K9/10)*(E929/1000),Skills!K9/10)+Skills!N9</f>
        <v/>
      </c>
      <c r="G929">
        <f>Calc!G9</f>
        <v/>
      </c>
      <c r="H929">
        <f>Calc!H9</f>
        <v/>
      </c>
      <c r="I929">
        <f>IF(Skills!T9&lt;&gt;"",1+(Skills!T9/10)*(R923/1000)/100,1)</f>
        <v/>
      </c>
      <c r="J929">
        <f>((Inputs!$B$5*(1+Inputs!$B$6/100))+((Inputs!$B$11*(1+Inputs!$B$12/100))-(Inputs!$B$11*(1+Inputs!$B$12/100)))*(1+Inputs!$B$6/100))*(F929/100)</f>
        <v/>
      </c>
      <c r="K929">
        <f>J929*(1+((Inputs!$B$11*(1+Inputs!$B$12/100))*0.01+Inputs!$B$13*0.0025)/100)*(1+(Inputs!$B$14+B948)/100)*(1+IF(Inputs!$B$4="pvp",0,(1-Summary!$B$51)*(Inputs!$B$19+Skills!O9+B947)+Summary!$B$51*(Inputs!$B$20+Skills!P9+B947))/100)*(1+Inputs!$B$15/100)*(5000/(6000+Inputs!$B$7*(1-Inputs!$B$18/100)))*(1+Inputs!$B$23/100)*(1+IF(C935=TRUE,F935,0)/100)*(1+IF(C943=TRUE,F943,0)/100)^5*(1+(IF(Skills!A9="CHAIN_LIGHTNING",Inputs!$B$16,Inputs!$B$17))/100)*(B946*I929)</f>
        <v/>
      </c>
      <c r="L929">
        <f>K929*(MIN(Inputs!$B$21+(F938-Calc!F18),Inputs!$B$22)/100+Inputs!$B$22/100)/2</f>
        <v/>
      </c>
      <c r="M929">
        <f>L929*(1+(Inputs!$B$9+(F941-Calc!F21))/100)</f>
        <v/>
      </c>
      <c r="N929">
        <f>L929*(1-MIN(Inputs!$B$8+((F940-Calc!F20)+(F939-Calc!F19)),100)/100)+M929*(MIN(Inputs!$B$8+((F940-Calc!F20)+(F939-Calc!F19)),100)/100)</f>
        <v/>
      </c>
      <c r="O929">
        <f>IF(C929,H929*N929*IF(AND(Inputs!$B$4&lt;&gt;"pvp",Inputs!$B$35&gt;0),((Skills!F9*((S929-1)*IF(Skills!G9&gt;0,Skills!H9/Skills!G9,1)+IF(Skills!G9&gt;0,MIN(Skills!H9,MAX(0,Inputs!$B$35-((S929-1)*IF(Inputs!$B$4="pvp",15,MAX(0.1,Skills!D9-IF(Skills!E9=TRUE,Inputs!$B$31,0))))))/Skills!G9,1)))/Inputs!$B$35),G929*V929)*IF(Inputs!$B$4="pvp",1,(1-Summary!$B$51)*(1)+Summary!$B$51*(MIN(Skills!Q9,Inputs!$B$37))),0)</f>
        <v/>
      </c>
      <c r="P929">
        <f>IF(B954=0,0,O929/B954)</f>
        <v/>
      </c>
      <c r="S929">
        <f>IF(AND(Inputs!$B$4&lt;&gt;"pvp",Inputs!$B$35&gt;0),(INT(Inputs!$B$35/IF(Inputs!$B$4="pvp",15,MAX(0.1,Skills!D9-IF(Skills!E9=TRUE,Inputs!$B$31,0))))+1),0)</f>
        <v/>
      </c>
      <c r="V929">
        <f>IFERROR(1/IF(Inputs!$B$4="pvp",15,MAX(0.1,Skills!D9-IF(Skills!E9=TRUE,Inputs!$B$31,0))),0)</f>
        <v/>
      </c>
    </row>
    <row r="930">
      <c r="A930">
        <f>Skills!A10</f>
        <v/>
      </c>
      <c r="B930">
        <f>Skills!B10</f>
        <v/>
      </c>
      <c r="C930">
        <f>Inputs!$B$3&gt;=113</f>
        <v/>
      </c>
      <c r="D930">
        <f>IF(Skills!C10=1,60+Inputs!$B$24+Inputs!$B$28,IF(Skills!C10=2,90+Inputs!$B$25+Inputs!$B$28,IF(Skills!C10=3,120+Inputs!$B$26+Inputs!$B$28,MAX(0,(Inputs!$B$3-100)*3)+Inputs!$B$27+Inputs!$B$28)))</f>
        <v/>
      </c>
      <c r="E930">
        <f>INDEX(FactorTable!$B$2:$Y$301, MATCH(ROUND(MIN(300,MAX(1,D930)),0), FactorTable!$A$2:$A$301,0), Skills!L10+1)</f>
        <v/>
      </c>
      <c r="F930">
        <f>IF(Skills!M10=TRUE,(Skills!K10/10)*(E930/1000),Skills!K10/10)+Skills!N10</f>
        <v/>
      </c>
      <c r="G930">
        <f>Calc!G10</f>
        <v/>
      </c>
      <c r="H930">
        <f>Calc!H10</f>
        <v/>
      </c>
      <c r="I930">
        <f>IF(Skills!T10&lt;&gt;"",1+(Skills!T10/10)*(R923/1000)/100,1)</f>
        <v/>
      </c>
      <c r="J930">
        <f>((Inputs!$B$5*(1+Inputs!$B$6/100))+((Inputs!$B$11*(1+Inputs!$B$12/100))-(Inputs!$B$11*(1+Inputs!$B$12/100)))*(1+Inputs!$B$6/100))*(F930/100)</f>
        <v/>
      </c>
      <c r="K930">
        <f>J930*(1+((Inputs!$B$11*(1+Inputs!$B$12/100))*0.01+Inputs!$B$13*0.0025)/100)*(1+(Inputs!$B$14+B948)/100)*(1+IF(Inputs!$B$4="pvp",0,(1-Summary!$B$51)*(Inputs!$B$19+Skills!O10+B947)+Summary!$B$51*(Inputs!$B$20+Skills!P10+B947))/100)*(1+Inputs!$B$15/100)*(5000/(6000+Inputs!$B$7*(1-Inputs!$B$18/100)))*(1+Inputs!$B$23/100)*(1+IF(C935=TRUE,F935,0)/100)*(1+IF(C943=TRUE,F943,0)/100)^5*(1+(IF(Skills!A10="CHAIN_LIGHTNING",Inputs!$B$16,Inputs!$B$17))/100)*(B946*I930)</f>
        <v/>
      </c>
      <c r="L930">
        <f>K930*(MIN(Inputs!$B$21+(F938-Calc!F18),Inputs!$B$22)/100+Inputs!$B$22/100)/2</f>
        <v/>
      </c>
      <c r="M930">
        <f>L930*(1+(Inputs!$B$9+(F941-Calc!F21))/100)</f>
        <v/>
      </c>
      <c r="N930">
        <f>L930*(1-MIN(Inputs!$B$8+((F940-Calc!F20)+(F939-Calc!F19)),100)/100)+M930*(MIN(Inputs!$B$8+((F940-Calc!F20)+(F939-Calc!F19)),100)/100)</f>
        <v/>
      </c>
      <c r="O930">
        <f>IF(C930,H930*N930*IF(AND(Inputs!$B$4&lt;&gt;"pvp",Inputs!$B$35&gt;0),((Skills!F10*((S930-1)*IF(Skills!G10&gt;0,Skills!H10/Skills!G10,1)+IF(Skills!G10&gt;0,MIN(Skills!H10,MAX(0,Inputs!$B$35-((S930-1)*IF(Inputs!$B$4="pvp",15,MAX(0.1,Skills!D10-IF(Skills!E9=TRUE,Inputs!$B$31,0))))))/Skills!G10,1)))/Inputs!$B$35),G930*V930)*IF(Inputs!$B$4="pvp",1,(1-Summary!$B$51)*(1)+Summary!$B$51*(MIN(Skills!Q10,Inputs!$B$37))),0)</f>
        <v/>
      </c>
      <c r="P930">
        <f>IF(B954=0,0,O930/B954)</f>
        <v/>
      </c>
      <c r="S930">
        <f>IF(AND(Inputs!$B$4&lt;&gt;"pvp",Inputs!$B$35&gt;0),(INT(Inputs!$B$35/IF(Inputs!$B$4="pvp",15,MAX(0.1,Skills!D10-IF(Skills!E9=TRUE,Inputs!$B$31,0))))+1),0)</f>
        <v/>
      </c>
      <c r="V930">
        <f>IFERROR(1/IF(Inputs!$B$4="pvp",15,MAX(0.1,Skills!D10-IF(Skills!E9=TRUE,Inputs!$B$31,0))),0)</f>
        <v/>
      </c>
    </row>
    <row r="931">
      <c r="A931">
        <f>Skills!A11</f>
        <v/>
      </c>
      <c r="B931">
        <f>Skills!B11</f>
        <v/>
      </c>
      <c r="C931">
        <f>Inputs!$B$3&gt;=107</f>
        <v/>
      </c>
      <c r="D931">
        <f>IF(Skills!C11=1,60+Inputs!$B$24+Inputs!$B$28,IF(Skills!C11=2,90+Inputs!$B$25+Inputs!$B$28,IF(Skills!C11=3,120+Inputs!$B$26+Inputs!$B$28,MAX(0,(Inputs!$B$3-100)*3)+Inputs!$B$27+Inputs!$B$28)))</f>
        <v/>
      </c>
      <c r="E931">
        <f>INDEX(FactorTable!$B$2:$Y$301, MATCH(ROUND(MIN(300,MAX(1,D931)),0), FactorTable!$A$2:$A$301,0), Skills!L11+1)</f>
        <v/>
      </c>
      <c r="F931">
        <f>IF(Skills!M11=TRUE,(Skills!K11/10)*(E931/1000),Skills!K11/10)+Skills!N11</f>
        <v/>
      </c>
      <c r="G931">
        <f>Calc!G11</f>
        <v/>
      </c>
      <c r="H931">
        <f>Calc!H11</f>
        <v/>
      </c>
      <c r="I931">
        <f>IF(Skills!T11&lt;&gt;"",1+(Skills!T11/10)*(R923/1000)/100,1)</f>
        <v/>
      </c>
      <c r="J931">
        <f>((Inputs!$B$5*(1+Inputs!$B$6/100))+((Inputs!$B$11*(1+Inputs!$B$12/100))-(Inputs!$B$11*(1+Inputs!$B$12/100)))*(1+Inputs!$B$6/100))*(F931/100)</f>
        <v/>
      </c>
      <c r="K931">
        <f>J931*(1+((Inputs!$B$11*(1+Inputs!$B$12/100))*0.01+Inputs!$B$13*0.0025)/100)*(1+(Inputs!$B$14+B948)/100)*(1+IF(Inputs!$B$4="pvp",0,(1-Summary!$B$51)*(Inputs!$B$19+Skills!O11+B947)+Summary!$B$51*(Inputs!$B$20+Skills!P11+B947))/100)*(1+Inputs!$B$15/100)*(5000/(6000+Inputs!$B$7*(1-Inputs!$B$18/100)))*(1+Inputs!$B$23/100)*(1+IF(C935=TRUE,F935,0)/100)*(1+IF(C943=TRUE,F943,0)/100)^5*(1+(IF(Skills!A11="CHAIN_LIGHTNING",Inputs!$B$16,Inputs!$B$17))/100)*(B946*I931)</f>
        <v/>
      </c>
      <c r="L931">
        <f>K931*(MIN(Inputs!$B$21+(F938-Calc!F18),Inputs!$B$22)/100+Inputs!$B$22/100)/2</f>
        <v/>
      </c>
      <c r="M931">
        <f>L931*(1+(Inputs!$B$9+(F941-Calc!F21))/100)</f>
        <v/>
      </c>
      <c r="N931">
        <f>L931*(1-MIN(Inputs!$B$8+((F940-Calc!F20)+(F939-Calc!F19)),100)/100)+M931*(MIN(Inputs!$B$8+((F940-Calc!F20)+(F939-Calc!F19)),100)/100)</f>
        <v/>
      </c>
      <c r="O931">
        <f>IF(C931,H931*N931*IF(AND(Inputs!$B$4&lt;&gt;"pvp",Inputs!$B$35&gt;0),((Skills!F11*((S931-1)*IF(Skills!G11&gt;0,Skills!H11/Skills!G11,1)+IF(Skills!G11&gt;0,MIN(Skills!H11,MAX(0,Inputs!$B$35-((S931-1)*IF(Inputs!$B$4="pvp",15,MAX(0.1,Skills!D11-IF(Skills!E11=TRUE,Inputs!$B$31,0))))))/Skills!G11,1)))/Inputs!$B$35),G931*V931)*IF(Inputs!$B$4="pvp",0.5,(1-Summary!$B$51)*0.5+Summary!$B$51*1)*IF(Inputs!$B$4="pvp",1,(1-Summary!$B$51)*(1)+Summary!$B$51*(MIN(Skills!Q11,Inputs!$B$37))),0)</f>
        <v/>
      </c>
      <c r="P931">
        <f>IF(B954=0,0,O931/B954)</f>
        <v/>
      </c>
      <c r="S931">
        <f>IF(AND(Inputs!$B$4&lt;&gt;"pvp",Inputs!$B$35&gt;0),(INT(Inputs!$B$35/IF(Inputs!$B$4="pvp",15,MAX(0.1,Skills!D11-IF(Skills!E11=TRUE,Inputs!$B$31,0))))+1),0)</f>
        <v/>
      </c>
      <c r="V931">
        <f>IFERROR(1/IF(Inputs!$B$4="pvp",15,MAX(0.1,Skills!D11-IF(Skills!E11=TRUE,Inputs!$B$31,0))),0)</f>
        <v/>
      </c>
    </row>
    <row r="932">
      <c r="A932">
        <f>Skills!A12</f>
        <v/>
      </c>
      <c r="B932">
        <f>Skills!B12</f>
        <v/>
      </c>
      <c r="C932">
        <f>Inputs!$B$3&gt;=115</f>
        <v/>
      </c>
      <c r="D932">
        <f>IF(Skills!C12=1,60+Inputs!$B$24+Inputs!$B$28,IF(Skills!C12=2,90+Inputs!$B$25+Inputs!$B$28,IF(Skills!C12=3,120+Inputs!$B$26+Inputs!$B$28,MAX(0,(Inputs!$B$3-100)*3)+Inputs!$B$27+Inputs!$B$28)))</f>
        <v/>
      </c>
      <c r="E932">
        <f>INDEX(FactorTable!$B$2:$Y$301, MATCH(ROUND(MIN(300,MAX(1,D932)),0), FactorTable!$A$2:$A$301,0), Skills!L12+1)</f>
        <v/>
      </c>
      <c r="F932">
        <f>IF(Skills!M12=TRUE,(Skills!K12/10)*(E932/1000),Skills!K12/10)+Skills!N12</f>
        <v/>
      </c>
      <c r="G932">
        <f>Calc!G12</f>
        <v/>
      </c>
      <c r="H932">
        <f>Calc!H12</f>
        <v/>
      </c>
      <c r="I932">
        <f>IF(Skills!T12&lt;&gt;"",1+(Skills!T12/10)*(R923/1000)/100,1)</f>
        <v/>
      </c>
      <c r="J932">
        <f>((Inputs!$B$5*(1+Inputs!$B$6/100))+((Inputs!$B$11*(1+Inputs!$B$12/100))-(Inputs!$B$11*(1+Inputs!$B$12/100)))*(1+Inputs!$B$6/100))*(F932/100)</f>
        <v/>
      </c>
      <c r="K932">
        <f>J932*(1+((Inputs!$B$11*(1+Inputs!$B$12/100))*0.01+Inputs!$B$13*0.0025)/100)*(1+(Inputs!$B$14+B948)/100)*(1+IF(Inputs!$B$4="pvp",0,(1-Summary!$B$51)*(Inputs!$B$19+Skills!O12+B947)+Summary!$B$51*(Inputs!$B$20+Skills!P12+B947))/100)*(1+Inputs!$B$15/100)*(5000/(6000+Inputs!$B$7*(1-Inputs!$B$18/100)))*(1+Inputs!$B$23/100)*(1+IF(C935=TRUE,F935,0)/100)*(1+IF(C943=TRUE,F943,0)/100)^5*(1+(IF(Skills!A12="CHAIN_LIGHTNING",Inputs!$B$16,Inputs!$B$17))/100)*(B946*I932)</f>
        <v/>
      </c>
      <c r="L932">
        <f>K932*(MIN(Inputs!$B$21+(F938-Calc!F18),Inputs!$B$22)/100+Inputs!$B$22/100)/2</f>
        <v/>
      </c>
      <c r="M932">
        <f>L932*(1+(Inputs!$B$9+(F941-Calc!F21))/100)</f>
        <v/>
      </c>
      <c r="N932">
        <f>L932*(1-MIN(Inputs!$B$8+((F940-Calc!F20)+(F939-Calc!F19)),100)/100)+M932*(MIN(Inputs!$B$8+((F940-Calc!F20)+(F939-Calc!F19)),100)/100)</f>
        <v/>
      </c>
      <c r="O932">
        <f>IF(C932,H932*N932*IF(AND(Inputs!$B$4&lt;&gt;"pvp",Inputs!$B$35&gt;0),((Skills!F12*((S932-1)*IF(Skills!G12&gt;0,Skills!H12/Skills!G12,1)+IF(Skills!G12&gt;0,MIN(Skills!H12,MAX(0,Inputs!$B$35-((S932-1)*IF(Inputs!$B$4="pvp",15,MAX(0.1,Skills!D12-IF(Skills!E12=TRUE,Inputs!$B$31,0))))))/Skills!G12,1)))/Inputs!$B$35),G932*V932)*IF(Inputs!$B$4="pvp",1,(1-Summary!$B$51)*(1)+Summary!$B$51*(MIN(Skills!Q12,Inputs!$B$37))),0)</f>
        <v/>
      </c>
      <c r="P932">
        <f>IF(B954=0,0,O932/B954)</f>
        <v/>
      </c>
      <c r="S932">
        <f>IF(AND(Inputs!$B$4&lt;&gt;"pvp",Inputs!$B$35&gt;0),(INT(Inputs!$B$35/IF(Inputs!$B$4="pvp",15,MAX(0.1,Skills!D12-IF(Skills!E12=TRUE,Inputs!$B$31,0))))+1),0)</f>
        <v/>
      </c>
      <c r="V932">
        <f>IFERROR(1/IF(Inputs!$B$4="pvp",15,MAX(0.1,Skills!D12-IF(Skills!E12=TRUE,Inputs!$B$31,0))),0)</f>
        <v/>
      </c>
    </row>
    <row r="933">
      <c r="A933">
        <f>Skills!A13</f>
        <v/>
      </c>
      <c r="B933">
        <f>Skills!B13</f>
        <v/>
      </c>
      <c r="C933">
        <f>Inputs!$B$3&gt;=49</f>
        <v/>
      </c>
      <c r="D933">
        <f>IF(Skills!C13=1,60+Inputs!$B$24+Inputs!$B$28,IF(Skills!C13=2,90+Inputs!$B$25+Inputs!$B$28,IF(Skills!C13=3,120+Inputs!$B$26+Inputs!$B$28,MAX(0,(Inputs!$B$3-100)*3)+Inputs!$B$27+Inputs!$B$28)))</f>
        <v/>
      </c>
      <c r="E933">
        <f>INDEX(FactorTable!$B$2:$Y$301, MATCH(ROUND(MIN(300,MAX(1,D933)),0), FactorTable!$A$2:$A$301,0), Skills!L13+1)</f>
        <v/>
      </c>
      <c r="F933">
        <f>IF(Skills!M13=TRUE,(Skills!K13/10)*(E933/1000),Skills!K13/10)+Skills!N13</f>
        <v/>
      </c>
      <c r="G933">
        <f>Calc!G13</f>
        <v/>
      </c>
      <c r="H933">
        <f>Calc!H13</f>
        <v/>
      </c>
      <c r="I933">
        <f>IF(Skills!T13&lt;&gt;"",1+(Skills!T13/10)*(R923/1000)/100,1)</f>
        <v/>
      </c>
      <c r="J933" t="inlineStr"/>
      <c r="K933" t="inlineStr"/>
      <c r="L933" t="inlineStr"/>
      <c r="M933" t="inlineStr"/>
      <c r="N933" t="inlineStr"/>
      <c r="O933" t="n">
        <v>0</v>
      </c>
      <c r="P933">
        <f>IF(B954=0,0,O933/B954)</f>
        <v/>
      </c>
      <c r="S933" t="n">
        <v>0</v>
      </c>
      <c r="V933">
        <f>IFERROR(1/IF(Inputs!$B$4="pvp",15,MAX(0.1,Skills!D13-IF(Skills!E13=TRUE,Inputs!$B$31,0))),0)</f>
        <v/>
      </c>
    </row>
    <row r="934">
      <c r="A934">
        <f>Skills!A14</f>
        <v/>
      </c>
      <c r="B934">
        <f>Skills!B14</f>
        <v/>
      </c>
      <c r="C934">
        <f>Inputs!$B$3&gt;=72</f>
        <v/>
      </c>
      <c r="D934">
        <f>IF(Skills!C14=1,60+Inputs!$B$24+Inputs!$B$28,IF(Skills!C14=2,90+Inputs!$B$25+Inputs!$B$28,IF(Skills!C14=3,120+Inputs!$B$26+Inputs!$B$28,MAX(0,(Inputs!$B$3-100)*3)+Inputs!$B$27+Inputs!$B$28)))</f>
        <v/>
      </c>
      <c r="E934">
        <f>INDEX(FactorTable!$B$2:$Y$301, MATCH(ROUND(MIN(300,MAX(1,D934)),0), FactorTable!$A$2:$A$301,0), Skills!L14+1)</f>
        <v/>
      </c>
      <c r="F934">
        <f>IF(Skills!M14=TRUE,(Skills!K14/10)*(E934/1000),Skills!K14/10)+Skills!N14</f>
        <v/>
      </c>
      <c r="G934">
        <f>Calc!G14</f>
        <v/>
      </c>
      <c r="H934">
        <f>Calc!H14</f>
        <v/>
      </c>
      <c r="I934">
        <f>IF(Skills!T14&lt;&gt;"",1+(Skills!T14/10)*(R923/1000)/100,1)</f>
        <v/>
      </c>
      <c r="J934" t="inlineStr"/>
      <c r="K934" t="inlineStr"/>
      <c r="L934" t="inlineStr"/>
      <c r="M934" t="inlineStr"/>
      <c r="N934" t="inlineStr"/>
      <c r="O934" t="n">
        <v>0</v>
      </c>
      <c r="P934">
        <f>IF(B954=0,0,O934/B954)</f>
        <v/>
      </c>
      <c r="S934" t="n">
        <v>0</v>
      </c>
      <c r="V934">
        <f>IFERROR(1/IF(Inputs!$B$4="pvp",15,MAX(0.1,Skills!D14-IF(Skills!E14=TRUE,Inputs!$B$31,0))),0)</f>
        <v/>
      </c>
    </row>
    <row r="935">
      <c r="A935">
        <f>Skills!A15</f>
        <v/>
      </c>
      <c r="B935">
        <f>Skills!B15</f>
        <v/>
      </c>
      <c r="C935">
        <f>Inputs!$B$3&gt;=75</f>
        <v/>
      </c>
      <c r="D935">
        <f>IF(Skills!C15=1,60+Inputs!$B$24+Inputs!$B$28,IF(Skills!C15=2,90+Inputs!$B$25+Inputs!$B$28,IF(Skills!C15=3,120+Inputs!$B$26+Inputs!$B$28,MAX(0,(Inputs!$B$3-100)*3)+Inputs!$B$27+Inputs!$B$28)))</f>
        <v/>
      </c>
      <c r="E935">
        <f>INDEX(FactorTable!$B$2:$Y$301, MATCH(ROUND(MIN(300,MAX(1,D935)),0), FactorTable!$A$2:$A$301,0), Skills!L15+1)</f>
        <v/>
      </c>
      <c r="F935">
        <f>IF(Skills!M15=TRUE,(Skills!K15/10)*(E935/1000),Skills!K15/10)+Skills!N15</f>
        <v/>
      </c>
      <c r="G935">
        <f>Calc!G15</f>
        <v/>
      </c>
      <c r="H935">
        <f>Calc!H15</f>
        <v/>
      </c>
      <c r="I935">
        <f>IF(Skills!T15&lt;&gt;"",1+(Skills!T15/10)*(R923/1000)/100,1)</f>
        <v/>
      </c>
      <c r="J935" t="inlineStr"/>
      <c r="K935" t="inlineStr"/>
      <c r="L935" t="inlineStr"/>
      <c r="M935" t="inlineStr"/>
      <c r="N935" t="inlineStr"/>
      <c r="O935" t="n">
        <v>0</v>
      </c>
      <c r="P935">
        <f>IF(B954=0,0,O935/B954)</f>
        <v/>
      </c>
      <c r="S935" t="n">
        <v>0</v>
      </c>
      <c r="V935">
        <f>IFERROR(1/IF(Inputs!$B$4="pvp",15,MAX(0.1,Skills!D15-IF(Skills!E15=TRUE,Inputs!$B$31,0))),0)</f>
        <v/>
      </c>
    </row>
    <row r="936">
      <c r="A936">
        <f>Skills!A16</f>
        <v/>
      </c>
      <c r="B936">
        <f>Skills!B16</f>
        <v/>
      </c>
      <c r="C936">
        <f>Inputs!$B$3&gt;=110</f>
        <v/>
      </c>
      <c r="D936">
        <f>IF(Skills!C16=1,60+Inputs!$B$24+Inputs!$B$28,IF(Skills!C16=2,90+Inputs!$B$25+Inputs!$B$28,IF(Skills!C16=3,120+Inputs!$B$26+Inputs!$B$28,MAX(0,(Inputs!$B$3-100)*3)+Inputs!$B$27+Inputs!$B$28)))</f>
        <v/>
      </c>
      <c r="E936">
        <f>INDEX(FactorTable!$B$2:$Y$301, MATCH(ROUND(MIN(300,MAX(1,D936)),0), FactorTable!$A$2:$A$301,0), Skills!L16+1)</f>
        <v/>
      </c>
      <c r="F936">
        <f>(Skills!K16/10)*(E936/1000)*64/45+Skills!N16</f>
        <v/>
      </c>
      <c r="G936">
        <f>Calc!G16</f>
        <v/>
      </c>
      <c r="H936">
        <f>Calc!H16</f>
        <v/>
      </c>
      <c r="I936">
        <f>IF(Skills!T16&lt;&gt;"",1+(Skills!T16/10)*(R923/1000)/100,1)</f>
        <v/>
      </c>
      <c r="J936" t="inlineStr"/>
      <c r="K936" t="inlineStr"/>
      <c r="L936" t="inlineStr"/>
      <c r="M936" t="inlineStr"/>
      <c r="N936" t="inlineStr"/>
      <c r="O936" t="n">
        <v>0</v>
      </c>
      <c r="P936">
        <f>IF(B954=0,0,O936/B954)</f>
        <v/>
      </c>
      <c r="S936">
        <f>IF(AND(Inputs!$B$4&lt;&gt;"pvp",Inputs!$B$35&gt;0),(INT(Inputs!$B$35/IF(Inputs!$B$4="pvp",15,MAX(0.1,Skills!D16-IF(Skills!E16=TRUE,Inputs!$B$31,0))))+1),0)</f>
        <v/>
      </c>
      <c r="V936">
        <f>IFERROR(1/IF(Inputs!$B$4="pvp",15,MAX(0.1,Skills!D16-IF(Skills!E16=TRUE,Inputs!$B$31,0))),0)</f>
        <v/>
      </c>
    </row>
    <row r="937">
      <c r="A937">
        <f>Skills!A17</f>
        <v/>
      </c>
      <c r="B937">
        <f>Skills!B17</f>
        <v/>
      </c>
      <c r="C937">
        <f>Inputs!$B$3&gt;=33</f>
        <v/>
      </c>
      <c r="D937">
        <f>IF(Skills!C17=1,60+Inputs!$B$24+Inputs!$B$28,IF(Skills!C17=2,90+Inputs!$B$25+Inputs!$B$28,IF(Skills!C17=3,120+Inputs!$B$26+Inputs!$B$28,MAX(0,(Inputs!$B$3-100)*3)+Inputs!$B$27+Inputs!$B$28)))</f>
        <v/>
      </c>
      <c r="E937">
        <f>INDEX(FactorTable!$B$2:$Y$301, MATCH(ROUND(MIN(300,MAX(1,D937)),0), FactorTable!$A$2:$A$301,0), Skills!L17+1)</f>
        <v/>
      </c>
      <c r="F937">
        <f>IF(Skills!M17=TRUE,(Skills!K17/10)*(E937/1000),Skills!K17/10)+Skills!N17</f>
        <v/>
      </c>
      <c r="G937">
        <f>Calc!G17</f>
        <v/>
      </c>
      <c r="H937">
        <f>Calc!H17</f>
        <v/>
      </c>
      <c r="I937">
        <f>IF(Skills!T17&lt;&gt;"",1+(Skills!T17/10)*(R923/1000)/100,1)</f>
        <v/>
      </c>
      <c r="J937" t="inlineStr"/>
      <c r="K937" t="inlineStr"/>
      <c r="L937" t="inlineStr"/>
      <c r="M937" t="inlineStr"/>
      <c r="N937" t="inlineStr"/>
      <c r="O937" t="n">
        <v>0</v>
      </c>
      <c r="P937">
        <f>IF(B954=0,0,O937/B954)</f>
        <v/>
      </c>
      <c r="S937" t="n">
        <v>0</v>
      </c>
      <c r="V937">
        <f>IFERROR(1/IF(Inputs!$B$4="pvp",15,MAX(0.1,Skills!D17-IF(Skills!E17=TRUE,Inputs!$B$31,0))),0)</f>
        <v/>
      </c>
    </row>
    <row r="938">
      <c r="A938">
        <f>Skills!A18</f>
        <v/>
      </c>
      <c r="B938">
        <f>Skills!B18</f>
        <v/>
      </c>
      <c r="C938">
        <f>Inputs!$B$3&gt;=43</f>
        <v/>
      </c>
      <c r="D938">
        <f>IF(Skills!C18=1,60+Inputs!$B$24+Inputs!$B$28,IF(Skills!C18=2,90+Inputs!$B$25+Inputs!$B$28,IF(Skills!C18=3,120+Inputs!$B$26+Inputs!$B$28,MAX(0,(Inputs!$B$3-100)*3)+Inputs!$B$27+Inputs!$B$28)))</f>
        <v/>
      </c>
      <c r="E938">
        <f>INDEX(FactorTable!$B$2:$Y$301, MATCH(ROUND(MIN(300,MAX(1,D938)),0), FactorTable!$A$2:$A$301,0), Skills!L18+1)</f>
        <v/>
      </c>
      <c r="F938">
        <f>IF(Skills!M18=TRUE,(Skills!K18/10)*(E938/1000),Skills!K18/10)+Skills!N18</f>
        <v/>
      </c>
      <c r="G938">
        <f>Calc!G18</f>
        <v/>
      </c>
      <c r="H938">
        <f>Calc!H18</f>
        <v/>
      </c>
      <c r="I938">
        <f>IF(Skills!T18&lt;&gt;"",1+(Skills!T18/10)*(R923/1000)/100,1)</f>
        <v/>
      </c>
      <c r="J938" t="inlineStr"/>
      <c r="K938" t="inlineStr"/>
      <c r="L938" t="inlineStr"/>
      <c r="M938" t="inlineStr"/>
      <c r="N938" t="inlineStr"/>
      <c r="O938" t="n">
        <v>0</v>
      </c>
      <c r="P938">
        <f>IF(B954=0,0,O938/B954)</f>
        <v/>
      </c>
      <c r="S938" t="n">
        <v>0</v>
      </c>
      <c r="V938">
        <f>IFERROR(1/IF(Inputs!$B$4="pvp",15,MAX(0.1,Skills!D18-IF(Skills!E18=TRUE,Inputs!$B$31,0))),0)</f>
        <v/>
      </c>
    </row>
    <row r="939">
      <c r="A939">
        <f>Skills!A19</f>
        <v/>
      </c>
      <c r="B939">
        <f>Skills!B19</f>
        <v/>
      </c>
      <c r="C939">
        <f>Inputs!$B$3&gt;=50</f>
        <v/>
      </c>
      <c r="D939">
        <f>IF(Skills!C19=1,60+Inputs!$B$24+Inputs!$B$28,IF(Skills!C19=2,90+Inputs!$B$25+Inputs!$B$28,IF(Skills!C19=3,120+Inputs!$B$26+Inputs!$B$28,MAX(0,(Inputs!$B$3-100)*3)+Inputs!$B$27+Inputs!$B$28)))</f>
        <v/>
      </c>
      <c r="E939">
        <f>INDEX(FactorTable!$B$2:$Y$301, MATCH(ROUND(MIN(300,MAX(1,D939)),0), FactorTable!$A$2:$A$301,0), Skills!L19+1)</f>
        <v/>
      </c>
      <c r="F939">
        <f>IF(Skills!M19=TRUE,(Skills!K19/10)*(E939/1000),Skills!K19/10)+Skills!N19</f>
        <v/>
      </c>
      <c r="G939">
        <f>Calc!G19</f>
        <v/>
      </c>
      <c r="H939">
        <f>Calc!H19</f>
        <v/>
      </c>
      <c r="I939">
        <f>IF(Skills!T19&lt;&gt;"",1+(Skills!T19/10)*(R923/1000)/100,1)</f>
        <v/>
      </c>
      <c r="J939" t="inlineStr"/>
      <c r="K939" t="inlineStr"/>
      <c r="L939" t="inlineStr"/>
      <c r="M939" t="inlineStr"/>
      <c r="N939" t="inlineStr"/>
      <c r="O939" t="n">
        <v>0</v>
      </c>
      <c r="P939">
        <f>IF(B954=0,0,O939/B954)</f>
        <v/>
      </c>
      <c r="S939" t="n">
        <v>0</v>
      </c>
      <c r="V939">
        <f>IFERROR(1/IF(Inputs!$B$4="pvp",15,MAX(0.1,Skills!D19-IF(Skills!E19=TRUE,Inputs!$B$31,0))),0)</f>
        <v/>
      </c>
    </row>
    <row r="940">
      <c r="A940">
        <f>Skills!A20</f>
        <v/>
      </c>
      <c r="B940">
        <f>Skills!B20</f>
        <v/>
      </c>
      <c r="C940">
        <f>Inputs!$B$3&gt;=74</f>
        <v/>
      </c>
      <c r="D940">
        <f>IF(Skills!C20=1,60+Inputs!$B$24+Inputs!$B$28,IF(Skills!C20=2,90+Inputs!$B$25+Inputs!$B$28,IF(Skills!C20=3,120+Inputs!$B$26+Inputs!$B$28,MAX(0,(Inputs!$B$3-100)*3)+Inputs!$B$27+Inputs!$B$28)))</f>
        <v/>
      </c>
      <c r="E940">
        <f>INDEX(FactorTable!$B$2:$Y$301, MATCH(ROUND(MIN(300,MAX(1,D940)),0), FactorTable!$A$2:$A$301,0), Skills!L20+1)</f>
        <v/>
      </c>
      <c r="F940">
        <f>IF(Skills!M20=TRUE,(Skills!K20/10)*(E940/1000),Skills!K20/10)+Skills!N20</f>
        <v/>
      </c>
      <c r="G940">
        <f>Calc!G20</f>
        <v/>
      </c>
      <c r="H940">
        <f>Calc!H20</f>
        <v/>
      </c>
      <c r="I940">
        <f>IF(Skills!T20&lt;&gt;"",1+(Skills!T20/10)*(R923/1000)/100,1)</f>
        <v/>
      </c>
      <c r="J940" t="inlineStr"/>
      <c r="K940" t="inlineStr"/>
      <c r="L940" t="inlineStr"/>
      <c r="M940" t="inlineStr"/>
      <c r="N940" t="inlineStr"/>
      <c r="O940" t="n">
        <v>0</v>
      </c>
      <c r="P940">
        <f>IF(B954=0,0,O940/B954)</f>
        <v/>
      </c>
      <c r="S940" t="n">
        <v>0</v>
      </c>
      <c r="V940">
        <f>IFERROR(1/IF(Inputs!$B$4="pvp",15,MAX(0.1,Skills!D20-IF(Skills!E20=TRUE,Inputs!$B$31,0))),0)</f>
        <v/>
      </c>
    </row>
    <row r="941">
      <c r="A941">
        <f>Skills!A21</f>
        <v/>
      </c>
      <c r="B941">
        <f>Skills!B21</f>
        <v/>
      </c>
      <c r="C941">
        <f>Inputs!$B$3&gt;=74</f>
        <v/>
      </c>
      <c r="D941">
        <f>IF(Skills!C21=1,60+Inputs!$B$24+Inputs!$B$28,IF(Skills!C21=2,90+Inputs!$B$25+Inputs!$B$28,IF(Skills!C21=3,120+Inputs!$B$26+Inputs!$B$28,MAX(0,(Inputs!$B$3-100)*3)+Inputs!$B$27+Inputs!$B$28)))</f>
        <v/>
      </c>
      <c r="E941">
        <f>INDEX(FactorTable!$B$2:$Y$301, MATCH(ROUND(MIN(300,MAX(1,D941)),0), FactorTable!$A$2:$A$301,0), Skills!L21+1)</f>
        <v/>
      </c>
      <c r="F941">
        <f>IF(Skills!M21=TRUE,(Skills!K21/10)*(E941/1000),Skills!K21/10)+Skills!N21</f>
        <v/>
      </c>
      <c r="G941">
        <f>Calc!G21</f>
        <v/>
      </c>
      <c r="H941">
        <f>Calc!H21</f>
        <v/>
      </c>
      <c r="I941">
        <f>IF(Skills!T21&lt;&gt;"",1+(Skills!T21/10)*(R923/1000)/100,1)</f>
        <v/>
      </c>
      <c r="J941" t="inlineStr"/>
      <c r="K941" t="inlineStr"/>
      <c r="L941" t="inlineStr"/>
      <c r="M941" t="inlineStr"/>
      <c r="N941" t="inlineStr"/>
      <c r="O941" t="n">
        <v>0</v>
      </c>
      <c r="P941">
        <f>IF(B954=0,0,O941/B954)</f>
        <v/>
      </c>
      <c r="S941" t="n">
        <v>0</v>
      </c>
      <c r="V941">
        <f>IFERROR(1/IF(Inputs!$B$4="pvp",15,MAX(0.1,Skills!D21-IF(Skills!E21=TRUE,Inputs!$B$31,0))),0)</f>
        <v/>
      </c>
    </row>
    <row r="942">
      <c r="A942">
        <f>Skills!A22</f>
        <v/>
      </c>
      <c r="B942">
        <f>Skills!B22</f>
        <v/>
      </c>
      <c r="C942">
        <f>Inputs!$B$3&gt;=117</f>
        <v/>
      </c>
      <c r="D942">
        <f>IF(Skills!C22=1,60+Inputs!$B$24+Inputs!$B$28,IF(Skills!C22=2,90+Inputs!$B$25+Inputs!$B$28,IF(Skills!C22=3,120+Inputs!$B$26+Inputs!$B$28,MAX(0,(Inputs!$B$3-100)*3)+Inputs!$B$27+Inputs!$B$28)))</f>
        <v/>
      </c>
      <c r="E942">
        <f>INDEX(FactorTable!$B$2:$Y$301, MATCH(ROUND(MIN(300,MAX(1,D942)),0), FactorTable!$A$2:$A$301,0), Skills!L22+1)</f>
        <v/>
      </c>
      <c r="F942">
        <f>IF(Skills!M22=TRUE,(Skills!K22/10)*(E942/1000),Skills!K22/10)+Skills!N22</f>
        <v/>
      </c>
      <c r="G942">
        <f>Calc!G22</f>
        <v/>
      </c>
      <c r="H942">
        <f>Calc!H22</f>
        <v/>
      </c>
      <c r="I942">
        <f>IF(Skills!T22&lt;&gt;"",1+(Skills!T22/10)*(R923/1000)/100,1)</f>
        <v/>
      </c>
      <c r="J942" t="inlineStr"/>
      <c r="K942" t="inlineStr"/>
      <c r="L942" t="inlineStr"/>
      <c r="M942" t="inlineStr"/>
      <c r="N942" t="inlineStr"/>
      <c r="O942" t="n">
        <v>0</v>
      </c>
      <c r="P942">
        <f>IF(B954=0,0,O942/B954)</f>
        <v/>
      </c>
      <c r="S942" t="n">
        <v>0</v>
      </c>
      <c r="V942">
        <f>IFERROR(1/IF(Inputs!$B$4="pvp",15,MAX(0.1,Skills!D22-IF(Skills!E22=TRUE,Inputs!$B$31,0))),0)</f>
        <v/>
      </c>
    </row>
    <row r="943">
      <c r="A943">
        <f>Skills!A23</f>
        <v/>
      </c>
      <c r="B943">
        <f>Skills!B23</f>
        <v/>
      </c>
      <c r="C943">
        <f>Inputs!$B$3&gt;=120</f>
        <v/>
      </c>
      <c r="D943">
        <f>IF(Skills!C23=1,60+Inputs!$B$24+Inputs!$B$28,IF(Skills!C23=2,90+Inputs!$B$25+Inputs!$B$28,IF(Skills!C23=3,120+Inputs!$B$26+Inputs!$B$28,MAX(0,(Inputs!$B$3-100)*3)+Inputs!$B$27+Inputs!$B$28)))</f>
        <v/>
      </c>
      <c r="E943">
        <f>INDEX(FactorTable!$B$2:$Y$301, MATCH(ROUND(MIN(300,MAX(1,D943)),0), FactorTable!$A$2:$A$301,0), Skills!L23+1)</f>
        <v/>
      </c>
      <c r="F943">
        <f>IF(Skills!M23=TRUE,(Skills!K23/10)*(E943/1000),Skills!K23/10)+Skills!N23</f>
        <v/>
      </c>
      <c r="G943">
        <f>Calc!G23</f>
        <v/>
      </c>
      <c r="H943">
        <f>Calc!H23</f>
        <v/>
      </c>
      <c r="I943">
        <f>IF(Skills!T23&lt;&gt;"",1+(Skills!T23/10)*(R923/1000)/100,1)</f>
        <v/>
      </c>
      <c r="J943" t="inlineStr"/>
      <c r="K943" t="inlineStr"/>
      <c r="L943" t="inlineStr"/>
      <c r="M943" t="inlineStr"/>
      <c r="N943" t="inlineStr"/>
      <c r="O943" t="n">
        <v>0</v>
      </c>
      <c r="P943">
        <f>IF(B954=0,0,O943/B954)</f>
        <v/>
      </c>
      <c r="S943" t="n">
        <v>0</v>
      </c>
      <c r="V943">
        <f>IFERROR(1/IF(Inputs!$B$4="pvp",15,MAX(0.1,Skills!D23-IF(Skills!E23=TRUE,Inputs!$B$31,0))),0)</f>
        <v/>
      </c>
    </row>
    <row r="946">
      <c r="A946" t="inlineStr">
        <is>
          <t>Average Buff Multiplier (Magic Guard + Meditation, summed; then Infinity)</t>
        </is>
      </c>
      <c r="B946">
        <f>(1+(IF(C923=TRUE,F923*IF(AND(Inputs!$B$4&lt;&gt;"pvp",Inputs!$B$35&gt;0),(((S923-1)*(Skills!S3*(1+((Inputs!$B$33+1)+IF(Inputs!$B$3&gt;=117,F942,0))/100))+MIN((Skills!S3*(1+((Inputs!$B$33+1)+IF(Inputs!$B$3&gt;=117,F942,0))/100)),MAX(0,Inputs!$B$35-((S923-1)*Skills!D3))))/Inputs!$B$35),IF(Inputs!$B$4="pvp",MIN((Skills!S3*(1+((Inputs!$B$33+1)+IF(Inputs!$B$3&gt;=117,F942,0))/100)),15)/15,(Skills!S3*(1+((Inputs!$B$33+1)+IF(Inputs!$B$3&gt;=117,F942,0))/100))/Skills!D3)),0)+IF(C924=TRUE,F924*IF(AND(Inputs!$B$4&lt;&gt;"pvp",Inputs!$B$35&gt;0),(((S924-1)*(Skills!S4*(1+((Inputs!$B$33+1)+IF(Inputs!$B$3&gt;=117,F942,0))/100))+MIN((Skills!S4*(1+((Inputs!$B$33+1)+IF(Inputs!$B$3&gt;=117,F942,0))/100)),MAX(0,Inputs!$B$35-((S924-1)*Skills!D4))))/Inputs!$B$35),IF(Inputs!$B$4="pvp",MIN((Skills!S4*(1+((Inputs!$B$33+1)+IF(Inputs!$B$3&gt;=117,F942,0))/100)),15)/15,(Skills!S4*(1+((Inputs!$B$33+1)+IF(Inputs!$B$3&gt;=117,F942,0))/100))/Skills!D4)),0))/100)*IF(C936=TRUE,(1+F936*IF(AND(Inputs!$B$4&lt;&gt;"pvp",Inputs!$B$35&gt;0),(((S936-1)*(Skills!S16*(1+((Inputs!$B$33+1)+IF(Inputs!$B$3&gt;=117,F942,0))/100))+MIN((Skills!S16*(1+((Inputs!$B$33+1)+IF(Inputs!$B$3&gt;=117,F942,0))/100)),MAX(0,Inputs!$B$35-((S936-1)*Skills!D16))))/Inputs!$B$35),IF(Inputs!$B$4="pvp",MIN((Skills!S16*(1+((Inputs!$B$33+1)+IF(Inputs!$B$3&gt;=117,F942,0))/100)),15)/15,(Skills!S16*(1+((Inputs!$B$33+1)+IF(Inputs!$B$3&gt;=117,F942,0))/100))/Skills!D16))/100),1)</f>
        <v/>
      </c>
    </row>
    <row r="947">
      <c r="A947" t="inlineStr">
        <is>
          <t>Monster Damage Taken Bonus % (Freezing Breath - Weaken + Elemental Reset, summed)</t>
        </is>
      </c>
      <c r="B947">
        <f>IF(Inputs!$B$3&gt;=118,15*IF(Inputs!$B$4="pvp",MIN((30*(1+((Inputs!$B$33+1)+IF(Inputs!$B$3&gt;=117,F942,0))/100)),15)/15,(30*(1+((Inputs!$B$33+1)+IF(Inputs!$B$3&gt;=117,F942,0))/100))/Skills!D8),0)+IF(C934=TRUE,F934,0)</f>
        <v/>
      </c>
    </row>
    <row r="948">
      <c r="A948" t="inlineStr">
        <is>
          <t>Damage % Bonus (Frozen Break + Frost Clutch, flat)</t>
        </is>
      </c>
      <c r="B948">
        <f>IF(Inputs!$B$3&gt;=66,15,0)+IF(Inputs!$B$3&gt;=98,10,0)+IF(Inputs!$B$3&gt;=125,20,0)</f>
        <v/>
      </c>
    </row>
    <row r="949">
      <c r="A949" t="inlineStr">
        <is>
          <t>Attack Speed Bonus % (MP Eater - MP Boost, always-on once unlocked)</t>
        </is>
      </c>
      <c r="B949">
        <f>IF(C933=TRUE,F933+(F937-Calc!F17),0)</f>
        <v/>
      </c>
    </row>
    <row r="950">
      <c r="A950" t="inlineStr">
        <is>
          <t>Actions Per Second</t>
        </is>
      </c>
      <c r="B950">
        <f>1+MIN(150,150*(1-(1-Inputs!$B$10/150)*(1-B949/150)))/100</f>
        <v/>
      </c>
    </row>
    <row r="951">
      <c r="A951" t="inlineStr">
        <is>
          <t>Skill + Buff Cast Rate</t>
        </is>
      </c>
      <c r="B951">
        <f>IF(AND(Inputs!$B$4&lt;&gt;"pvp",Inputs!$B$35&gt;0),SUMPRODUCT((Skills!E2:E23=TRUE)*(C922:C943=TRUE)*S922:S943)/Inputs!$B$35,SUMPRODUCT((Skills!E2:E23=TRUE)*(C922:C943=TRUE)*V922:V943))</f>
        <v/>
      </c>
    </row>
    <row r="952">
      <c r="A952" t="inlineStr">
        <is>
          <t>Chain Lightning Casts Per Second</t>
        </is>
      </c>
      <c r="B952">
        <f>MAX(0,B950-B951)</f>
        <v/>
      </c>
    </row>
    <row r="954">
      <c r="A954" s="5" t="inlineStr">
        <is>
          <t>TOTAL DPS</t>
        </is>
      </c>
      <c r="B954" s="5">
        <f>SUM(O922:O943)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8" t="inlineStr">
        <is>
          <t>Slot</t>
        </is>
      </c>
      <c r="B1" s="8" t="inlineStr">
        <is>
          <t>Rarity</t>
        </is>
      </c>
      <c r="C1" s="8" t="inlineStr">
        <is>
          <t>Line</t>
        </is>
      </c>
      <c r="D1" s="8" t="inlineStr">
        <is>
          <t>Stat</t>
        </is>
      </c>
      <c r="E1" s="8" t="inlineStr">
        <is>
          <t>Value</t>
        </is>
      </c>
      <c r="F1" s="8" t="inlineStr">
        <is>
          <t>Weight</t>
        </is>
      </c>
      <c r="G1" s="8" t="inlineStr">
        <is>
          <t>Prime</t>
        </is>
      </c>
      <c r="H1" s="8" t="inlineStr">
        <is>
          <t>DPSPerUnit</t>
        </is>
      </c>
      <c r="J1" s="10" t="inlineStr">
        <is>
          <t>Stat</t>
        </is>
      </c>
      <c r="K1" s="10" t="inlineStr">
        <is>
          <t>DPSPerUnit</t>
        </is>
      </c>
      <c r="M1" s="10" t="inlineStr">
        <is>
          <t>Rarity</t>
        </is>
      </c>
      <c r="N1" s="10" t="inlineStr">
        <is>
          <t>Rate</t>
        </is>
      </c>
      <c r="O1" s="10" t="inlineStr">
        <is>
          <t>MaxPity</t>
        </is>
      </c>
      <c r="Q1" s="10" t="inlineStr">
        <is>
          <t>SlotList</t>
        </is>
      </c>
    </row>
    <row r="2">
      <c r="A2" t="inlineStr">
        <is>
          <t>ALL</t>
        </is>
      </c>
      <c r="B2" t="inlineStr">
        <is>
          <t>normal</t>
        </is>
      </c>
      <c r="C2" t="n">
        <v>1</v>
      </c>
      <c r="D2" t="inlineStr">
        <is>
          <t>Critical Rate %</t>
        </is>
      </c>
      <c r="E2" t="n">
        <v>3</v>
      </c>
      <c r="F2" t="n">
        <v>2.5</v>
      </c>
      <c r="G2" t="b">
        <v>0</v>
      </c>
      <c r="H2">
        <f>IF(Inputs!$B$8&gt;=100,Sensitivity!H15,Sensitivity!H14)</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Sensitivity!H16</f>
        <v/>
      </c>
      <c r="J3" t="inlineStr">
        <is>
          <t>All Skill Level</t>
        </is>
      </c>
      <c r="K3">
        <f>Sensitivity!H24</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Sensitivity!H7</f>
        <v/>
      </c>
      <c r="J4" t="inlineStr">
        <is>
          <t>Attack Speed %</t>
        </is>
      </c>
      <c r="K4">
        <f>Sensitivity!H16</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Sensitivity!H12</f>
        <v/>
      </c>
      <c r="J5" t="inlineStr">
        <is>
          <t>Basic Attack Damage %</t>
        </is>
      </c>
      <c r="K5">
        <f>Sensitivity!H18</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Sensitivity!H13</f>
        <v/>
      </c>
      <c r="J6" t="inlineStr">
        <is>
          <t>Basic Attack Target Increase</t>
        </is>
      </c>
      <c r="K6">
        <f>Sensitivity!H28</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Sensitivity!H29</f>
        <v/>
      </c>
      <c r="M7" t="inlineStr">
        <is>
          <t>mystic</t>
        </is>
      </c>
      <c r="N7" t="n">
        <v>0</v>
      </c>
      <c r="O7" t="n">
        <v>0</v>
      </c>
      <c r="Q7" t="inlineStr">
        <is>
          <t>belt</t>
        </is>
      </c>
    </row>
    <row r="8">
      <c r="A8" t="inlineStr">
        <is>
          <t>ALL</t>
        </is>
      </c>
      <c r="B8" t="inlineStr">
        <is>
          <t>normal</t>
        </is>
      </c>
      <c r="C8" t="n">
        <v>1</v>
      </c>
      <c r="D8" t="inlineStr">
        <is>
          <t>Dex %</t>
        </is>
      </c>
      <c r="E8" t="n">
        <v>3</v>
      </c>
      <c r="F8" t="n">
        <v>4.5</v>
      </c>
      <c r="G8" t="b">
        <v>0</v>
      </c>
      <c r="H8" t="inlineStr">
        <is>
          <t>0</t>
        </is>
      </c>
      <c r="J8" t="inlineStr">
        <is>
          <t>Companion Summoning Time Increase %</t>
        </is>
      </c>
      <c r="K8">
        <f>Sensitivity!H15</f>
        <v/>
      </c>
      <c r="Q8" t="inlineStr">
        <is>
          <t>gloves</t>
        </is>
      </c>
    </row>
    <row r="9">
      <c r="A9" t="inlineStr">
        <is>
          <t>ALL</t>
        </is>
      </c>
      <c r="B9" t="inlineStr">
        <is>
          <t>normal</t>
        </is>
      </c>
      <c r="C9" t="n">
        <v>1</v>
      </c>
      <c r="D9" t="inlineStr">
        <is>
          <t>Int %</t>
        </is>
      </c>
      <c r="E9" t="n">
        <v>3</v>
      </c>
      <c r="F9" t="n">
        <v>4.5</v>
      </c>
      <c r="G9" t="b">
        <v>0</v>
      </c>
      <c r="H9">
        <f>Sensitivity!H6</f>
        <v/>
      </c>
      <c r="J9" t="inlineStr">
        <is>
          <t>Critical Damage %</t>
        </is>
      </c>
      <c r="K9">
        <f>Sensitivity!H15</f>
        <v/>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IF(Inputs!$B$8&gt;=100,Sensitivity!H15,Sensitivity!H14)</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Sensitivity!H7</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Sensitivity!H17</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t="inlineStr">
        <is>
          <t>0</t>
        </is>
      </c>
      <c r="Q14" t="inlineStr">
        <is>
          <t>face</t>
        </is>
      </c>
    </row>
    <row r="15">
      <c r="A15" t="inlineStr">
        <is>
          <t>ALL</t>
        </is>
      </c>
      <c r="B15" t="inlineStr">
        <is>
          <t>normal</t>
        </is>
      </c>
      <c r="C15" t="n">
        <v>1</v>
      </c>
      <c r="D15" t="inlineStr">
        <is>
          <t>Dex</t>
        </is>
      </c>
      <c r="E15" t="n">
        <v>50</v>
      </c>
      <c r="F15" t="n">
        <v>9.5</v>
      </c>
      <c r="G15" t="b">
        <v>0</v>
      </c>
      <c r="H15" t="inlineStr">
        <is>
          <t>0</t>
        </is>
      </c>
      <c r="J15" t="inlineStr">
        <is>
          <t>Dex %</t>
        </is>
      </c>
      <c r="K15" t="inlineStr">
        <is>
          <t>0</t>
        </is>
      </c>
      <c r="Q15" t="inlineStr">
        <is>
          <t>earrings</t>
        </is>
      </c>
    </row>
    <row r="16">
      <c r="A16" t="inlineStr">
        <is>
          <t>ALL</t>
        </is>
      </c>
      <c r="B16" t="inlineStr">
        <is>
          <t>normal</t>
        </is>
      </c>
      <c r="C16" t="n">
        <v>1</v>
      </c>
      <c r="D16" t="inlineStr">
        <is>
          <t>Int</t>
        </is>
      </c>
      <c r="E16" t="n">
        <v>50</v>
      </c>
      <c r="F16" t="n">
        <v>9.5</v>
      </c>
      <c r="G16" t="b">
        <v>0</v>
      </c>
      <c r="H16">
        <f>Sensitivity!H5</f>
        <v/>
      </c>
      <c r="J16" t="inlineStr">
        <is>
          <t>Final Damage %</t>
        </is>
      </c>
      <c r="K16">
        <f>Sensitivity!H11</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f>Sensitivity!H5</f>
        <v/>
      </c>
    </row>
    <row r="18">
      <c r="A18" t="inlineStr">
        <is>
          <t>ALL</t>
        </is>
      </c>
      <c r="B18" t="inlineStr">
        <is>
          <t>normal</t>
        </is>
      </c>
      <c r="C18" t="n">
        <v>2</v>
      </c>
      <c r="D18" t="inlineStr">
        <is>
          <t>Critical Rate %</t>
        </is>
      </c>
      <c r="E18" t="n">
        <v>3</v>
      </c>
      <c r="F18" t="n">
        <v>2.5</v>
      </c>
      <c r="G18" t="b">
        <v>0</v>
      </c>
      <c r="H18">
        <f>IF(Inputs!$B$8&gt;=100,Sensitivity!H15,Sensitivity!H14)</f>
        <v/>
      </c>
      <c r="J18" t="inlineStr">
        <is>
          <t>Int %</t>
        </is>
      </c>
      <c r="K18">
        <f>Sensitivity!H6</f>
        <v/>
      </c>
    </row>
    <row r="19">
      <c r="A19" t="inlineStr">
        <is>
          <t>ALL</t>
        </is>
      </c>
      <c r="B19" t="inlineStr">
        <is>
          <t>normal</t>
        </is>
      </c>
      <c r="C19" t="n">
        <v>2</v>
      </c>
      <c r="D19" t="inlineStr">
        <is>
          <t>Attack Speed %</t>
        </is>
      </c>
      <c r="E19" t="n">
        <v>3</v>
      </c>
      <c r="F19" t="n">
        <v>2.5</v>
      </c>
      <c r="G19" t="b">
        <v>0</v>
      </c>
      <c r="H19">
        <f>Sensitivity!H16</f>
        <v/>
      </c>
      <c r="J19" t="inlineStr">
        <is>
          <t>Luk</t>
        </is>
      </c>
      <c r="K19" t="inlineStr">
        <is>
          <t>0</t>
        </is>
      </c>
    </row>
    <row r="20">
      <c r="A20" t="inlineStr">
        <is>
          <t>ALL</t>
        </is>
      </c>
      <c r="B20" t="inlineStr">
        <is>
          <t>normal</t>
        </is>
      </c>
      <c r="C20" t="n">
        <v>2</v>
      </c>
      <c r="D20" t="inlineStr">
        <is>
          <t>Damage %</t>
        </is>
      </c>
      <c r="E20" t="n">
        <v>5</v>
      </c>
      <c r="F20" t="n">
        <v>4</v>
      </c>
      <c r="G20" t="b">
        <v>0</v>
      </c>
      <c r="H20">
        <f>Sensitivity!H7</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Sensitivity!H12</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Sensitivity!H13</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Sensitivity!H13</f>
        <v/>
      </c>
    </row>
    <row r="24">
      <c r="A24" t="inlineStr">
        <is>
          <t>ALL</t>
        </is>
      </c>
      <c r="B24" t="inlineStr">
        <is>
          <t>normal</t>
        </is>
      </c>
      <c r="C24" t="n">
        <v>2</v>
      </c>
      <c r="D24" t="inlineStr">
        <is>
          <t>Dex %</t>
        </is>
      </c>
      <c r="E24" t="n">
        <v>3</v>
      </c>
      <c r="F24" t="n">
        <v>4.5</v>
      </c>
      <c r="G24" t="b">
        <v>0</v>
      </c>
      <c r="H24" t="inlineStr">
        <is>
          <t>0</t>
        </is>
      </c>
      <c r="J24" t="inlineStr">
        <is>
          <t>Max HP %</t>
        </is>
      </c>
      <c r="K24" t="inlineStr">
        <is>
          <t>0</t>
        </is>
      </c>
    </row>
    <row r="25">
      <c r="A25" t="inlineStr">
        <is>
          <t>ALL</t>
        </is>
      </c>
      <c r="B25" t="inlineStr">
        <is>
          <t>normal</t>
        </is>
      </c>
      <c r="C25" t="n">
        <v>2</v>
      </c>
      <c r="D25" t="inlineStr">
        <is>
          <t>Int %</t>
        </is>
      </c>
      <c r="E25" t="n">
        <v>3</v>
      </c>
      <c r="F25" t="n">
        <v>4.5</v>
      </c>
      <c r="G25" t="b">
        <v>0</v>
      </c>
      <c r="H25">
        <f>Sensitivity!H6</f>
        <v/>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Sensitivity!H12</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Sensitivity!H27</f>
        <v/>
      </c>
    </row>
    <row r="28">
      <c r="A28" t="inlineStr">
        <is>
          <t>ALL</t>
        </is>
      </c>
      <c r="B28" t="inlineStr">
        <is>
          <t>normal</t>
        </is>
      </c>
      <c r="C28" t="n">
        <v>2</v>
      </c>
      <c r="D28" t="inlineStr">
        <is>
          <t>Max HP %</t>
        </is>
      </c>
      <c r="E28" t="n">
        <v>6</v>
      </c>
      <c r="F28" t="n">
        <v>9</v>
      </c>
      <c r="G28" t="b">
        <v>0</v>
      </c>
      <c r="H28" t="inlineStr">
        <is>
          <t>0</t>
        </is>
      </c>
      <c r="J28" t="inlineStr">
        <is>
          <t>Skill Damage %</t>
        </is>
      </c>
      <c r="K28">
        <f>Sensitivity!H19</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t="inlineStr">
        <is>
          <t>0</t>
        </is>
      </c>
    </row>
    <row r="32">
      <c r="A32" t="inlineStr">
        <is>
          <t>ALL</t>
        </is>
      </c>
      <c r="B32" t="inlineStr">
        <is>
          <t>normal</t>
        </is>
      </c>
      <c r="C32" t="n">
        <v>2</v>
      </c>
      <c r="D32" t="inlineStr">
        <is>
          <t>Int</t>
        </is>
      </c>
      <c r="E32" t="n">
        <v>50</v>
      </c>
      <c r="F32" t="n">
        <v>9.5</v>
      </c>
      <c r="G32" t="b">
        <v>0</v>
      </c>
      <c r="H32">
        <f>Sensitivity!H5</f>
        <v/>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IF(Inputs!$B$8&gt;=100,Sensitivity!H15,Sensitivity!H14)</f>
        <v/>
      </c>
    </row>
    <row r="35">
      <c r="A35" t="inlineStr">
        <is>
          <t>ALL</t>
        </is>
      </c>
      <c r="B35" t="inlineStr">
        <is>
          <t>normal</t>
        </is>
      </c>
      <c r="C35" t="n">
        <v>3</v>
      </c>
      <c r="D35" t="inlineStr">
        <is>
          <t>Attack Speed %</t>
        </is>
      </c>
      <c r="E35" t="n">
        <v>3</v>
      </c>
      <c r="F35" t="n">
        <v>2.5</v>
      </c>
      <c r="G35" t="b">
        <v>0</v>
      </c>
      <c r="H35">
        <f>Sensitivity!H16</f>
        <v/>
      </c>
    </row>
    <row r="36">
      <c r="A36" t="inlineStr">
        <is>
          <t>ALL</t>
        </is>
      </c>
      <c r="B36" t="inlineStr">
        <is>
          <t>normal</t>
        </is>
      </c>
      <c r="C36" t="n">
        <v>3</v>
      </c>
      <c r="D36" t="inlineStr">
        <is>
          <t>Damage %</t>
        </is>
      </c>
      <c r="E36" t="n">
        <v>5</v>
      </c>
      <c r="F36" t="n">
        <v>4</v>
      </c>
      <c r="G36" t="b">
        <v>0</v>
      </c>
      <c r="H36">
        <f>Sensitivity!H7</f>
        <v/>
      </c>
    </row>
    <row r="37">
      <c r="A37" t="inlineStr">
        <is>
          <t>ALL</t>
        </is>
      </c>
      <c r="B37" t="inlineStr">
        <is>
          <t>normal</t>
        </is>
      </c>
      <c r="C37" t="n">
        <v>3</v>
      </c>
      <c r="D37" t="inlineStr">
        <is>
          <t>Min Damage Multiplier %</t>
        </is>
      </c>
      <c r="E37" t="n">
        <v>3</v>
      </c>
      <c r="F37" t="n">
        <v>4</v>
      </c>
      <c r="G37" t="b">
        <v>0</v>
      </c>
      <c r="H37">
        <f>Sensitivity!H12</f>
        <v/>
      </c>
    </row>
    <row r="38">
      <c r="A38" t="inlineStr">
        <is>
          <t>ALL</t>
        </is>
      </c>
      <c r="B38" t="inlineStr">
        <is>
          <t>normal</t>
        </is>
      </c>
      <c r="C38" t="n">
        <v>3</v>
      </c>
      <c r="D38" t="inlineStr">
        <is>
          <t>Max Damage Multiplier %</t>
        </is>
      </c>
      <c r="E38" t="n">
        <v>3</v>
      </c>
      <c r="F38" t="n">
        <v>4</v>
      </c>
      <c r="G38" t="b">
        <v>0</v>
      </c>
      <c r="H38">
        <f>Sensitivity!H13</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t="inlineStr">
        <is>
          <t>0</t>
        </is>
      </c>
    </row>
    <row r="41">
      <c r="A41" t="inlineStr">
        <is>
          <t>ALL</t>
        </is>
      </c>
      <c r="B41" t="inlineStr">
        <is>
          <t>normal</t>
        </is>
      </c>
      <c r="C41" t="n">
        <v>3</v>
      </c>
      <c r="D41" t="inlineStr">
        <is>
          <t>Int %</t>
        </is>
      </c>
      <c r="E41" t="n">
        <v>3</v>
      </c>
      <c r="F41" t="n">
        <v>4.5</v>
      </c>
      <c r="G41" t="b">
        <v>0</v>
      </c>
      <c r="H41">
        <f>Sensitivity!H6</f>
        <v/>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t="inlineStr">
        <is>
          <t>0</t>
        </is>
      </c>
    </row>
    <row r="48">
      <c r="A48" t="inlineStr">
        <is>
          <t>ALL</t>
        </is>
      </c>
      <c r="B48" t="inlineStr">
        <is>
          <t>normal</t>
        </is>
      </c>
      <c r="C48" t="n">
        <v>3</v>
      </c>
      <c r="D48" t="inlineStr">
        <is>
          <t>Int</t>
        </is>
      </c>
      <c r="E48" t="n">
        <v>50</v>
      </c>
      <c r="F48" t="n">
        <v>9.5</v>
      </c>
      <c r="G48" t="b">
        <v>0</v>
      </c>
      <c r="H48">
        <f>Sensitivity!H5</f>
        <v/>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IF(Inputs!$B$8&gt;=100,Sensitivity!H15,Sensitivity!H14)</f>
        <v/>
      </c>
    </row>
    <row r="51">
      <c r="A51" t="inlineStr">
        <is>
          <t>ALL</t>
        </is>
      </c>
      <c r="B51" t="inlineStr">
        <is>
          <t>rare</t>
        </is>
      </c>
      <c r="C51" t="n">
        <v>1</v>
      </c>
      <c r="D51" t="inlineStr">
        <is>
          <t>Attack Speed %</t>
        </is>
      </c>
      <c r="E51" t="n">
        <v>3.5</v>
      </c>
      <c r="F51" t="n">
        <v>2.5</v>
      </c>
      <c r="G51" t="b">
        <v>1</v>
      </c>
      <c r="H51">
        <f>Sensitivity!H16</f>
        <v/>
      </c>
    </row>
    <row r="52">
      <c r="A52" t="inlineStr">
        <is>
          <t>ALL</t>
        </is>
      </c>
      <c r="B52" t="inlineStr">
        <is>
          <t>rare</t>
        </is>
      </c>
      <c r="C52" t="n">
        <v>1</v>
      </c>
      <c r="D52" t="inlineStr">
        <is>
          <t>Damage %</t>
        </is>
      </c>
      <c r="E52" t="n">
        <v>8</v>
      </c>
      <c r="F52" t="n">
        <v>4</v>
      </c>
      <c r="G52" t="b">
        <v>1</v>
      </c>
      <c r="H52">
        <f>Sensitivity!H7</f>
        <v/>
      </c>
    </row>
    <row r="53">
      <c r="A53" t="inlineStr">
        <is>
          <t>ALL</t>
        </is>
      </c>
      <c r="B53" t="inlineStr">
        <is>
          <t>rare</t>
        </is>
      </c>
      <c r="C53" t="n">
        <v>1</v>
      </c>
      <c r="D53" t="inlineStr">
        <is>
          <t>Min Damage Multiplier %</t>
        </is>
      </c>
      <c r="E53" t="n">
        <v>6</v>
      </c>
      <c r="F53" t="n">
        <v>4</v>
      </c>
      <c r="G53" t="b">
        <v>1</v>
      </c>
      <c r="H53">
        <f>Sensitivity!H12</f>
        <v/>
      </c>
    </row>
    <row r="54">
      <c r="A54" t="inlineStr">
        <is>
          <t>ALL</t>
        </is>
      </c>
      <c r="B54" t="inlineStr">
        <is>
          <t>rare</t>
        </is>
      </c>
      <c r="C54" t="n">
        <v>1</v>
      </c>
      <c r="D54" t="inlineStr">
        <is>
          <t>Max Damage Multiplier %</t>
        </is>
      </c>
      <c r="E54" t="n">
        <v>6</v>
      </c>
      <c r="F54" t="n">
        <v>4</v>
      </c>
      <c r="G54" t="b">
        <v>1</v>
      </c>
      <c r="H54">
        <f>Sensitivity!H13</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t="inlineStr">
        <is>
          <t>0</t>
        </is>
      </c>
    </row>
    <row r="57">
      <c r="A57" t="inlineStr">
        <is>
          <t>ALL</t>
        </is>
      </c>
      <c r="B57" t="inlineStr">
        <is>
          <t>rare</t>
        </is>
      </c>
      <c r="C57" t="n">
        <v>1</v>
      </c>
      <c r="D57" t="inlineStr">
        <is>
          <t>Int %</t>
        </is>
      </c>
      <c r="E57" t="n">
        <v>4.5</v>
      </c>
      <c r="F57" t="n">
        <v>4.5</v>
      </c>
      <c r="G57" t="b">
        <v>1</v>
      </c>
      <c r="H57">
        <f>Sensitivity!H6</f>
        <v/>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t="inlineStr">
        <is>
          <t>0</t>
        </is>
      </c>
    </row>
    <row r="64">
      <c r="A64" t="inlineStr">
        <is>
          <t>ALL</t>
        </is>
      </c>
      <c r="B64" t="inlineStr">
        <is>
          <t>rare</t>
        </is>
      </c>
      <c r="C64" t="n">
        <v>1</v>
      </c>
      <c r="D64" t="inlineStr">
        <is>
          <t>Int</t>
        </is>
      </c>
      <c r="E64" t="n">
        <v>100</v>
      </c>
      <c r="F64" t="n">
        <v>9.5</v>
      </c>
      <c r="G64" t="b">
        <v>1</v>
      </c>
      <c r="H64">
        <f>Sensitivity!H5</f>
        <v/>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IF(Inputs!$B$8&gt;=100,Sensitivity!H15,Sensitivity!H14)</f>
        <v/>
      </c>
    </row>
    <row r="67">
      <c r="A67" t="inlineStr">
        <is>
          <t>ALL</t>
        </is>
      </c>
      <c r="B67" t="inlineStr">
        <is>
          <t>rare</t>
        </is>
      </c>
      <c r="C67" t="n">
        <v>2</v>
      </c>
      <c r="D67" t="inlineStr">
        <is>
          <t>Critical Rate %</t>
        </is>
      </c>
      <c r="E67" t="n">
        <v>4.5</v>
      </c>
      <c r="F67" t="n">
        <v>0.6</v>
      </c>
      <c r="G67" t="b">
        <v>1</v>
      </c>
      <c r="H67">
        <f>IF(Inputs!$B$8&gt;=100,Sensitivity!H15,Sensitivity!H14)</f>
        <v/>
      </c>
    </row>
    <row r="68">
      <c r="A68" t="inlineStr">
        <is>
          <t>ALL</t>
        </is>
      </c>
      <c r="B68" t="inlineStr">
        <is>
          <t>rare</t>
        </is>
      </c>
      <c r="C68" t="n">
        <v>2</v>
      </c>
      <c r="D68" t="inlineStr">
        <is>
          <t>Attack Speed %</t>
        </is>
      </c>
      <c r="E68" t="n">
        <v>3</v>
      </c>
      <c r="F68" t="n">
        <v>1.9</v>
      </c>
      <c r="G68" t="b">
        <v>0</v>
      </c>
      <c r="H68">
        <f>Sensitivity!H16</f>
        <v/>
      </c>
    </row>
    <row r="69">
      <c r="A69" t="inlineStr">
        <is>
          <t>ALL</t>
        </is>
      </c>
      <c r="B69" t="inlineStr">
        <is>
          <t>rare</t>
        </is>
      </c>
      <c r="C69" t="n">
        <v>2</v>
      </c>
      <c r="D69" t="inlineStr">
        <is>
          <t>Attack Speed %</t>
        </is>
      </c>
      <c r="E69" t="n">
        <v>3.5</v>
      </c>
      <c r="F69" t="n">
        <v>0.6</v>
      </c>
      <c r="G69" t="b">
        <v>1</v>
      </c>
      <c r="H69">
        <f>Sensitivity!H16</f>
        <v/>
      </c>
    </row>
    <row r="70">
      <c r="A70" t="inlineStr">
        <is>
          <t>ALL</t>
        </is>
      </c>
      <c r="B70" t="inlineStr">
        <is>
          <t>rare</t>
        </is>
      </c>
      <c r="C70" t="n">
        <v>2</v>
      </c>
      <c r="D70" t="inlineStr">
        <is>
          <t>Damage %</t>
        </is>
      </c>
      <c r="E70" t="n">
        <v>5</v>
      </c>
      <c r="F70" t="n">
        <v>3.04</v>
      </c>
      <c r="G70" t="b">
        <v>0</v>
      </c>
      <c r="H70">
        <f>Sensitivity!H7</f>
        <v/>
      </c>
    </row>
    <row r="71">
      <c r="A71" t="inlineStr">
        <is>
          <t>ALL</t>
        </is>
      </c>
      <c r="B71" t="inlineStr">
        <is>
          <t>rare</t>
        </is>
      </c>
      <c r="C71" t="n">
        <v>2</v>
      </c>
      <c r="D71" t="inlineStr">
        <is>
          <t>Damage %</t>
        </is>
      </c>
      <c r="E71" t="n">
        <v>8</v>
      </c>
      <c r="F71" t="n">
        <v>0.96</v>
      </c>
      <c r="G71" t="b">
        <v>1</v>
      </c>
      <c r="H71">
        <f>Sensitivity!H7</f>
        <v/>
      </c>
    </row>
    <row r="72">
      <c r="A72" t="inlineStr">
        <is>
          <t>ALL</t>
        </is>
      </c>
      <c r="B72" t="inlineStr">
        <is>
          <t>rare</t>
        </is>
      </c>
      <c r="C72" t="n">
        <v>2</v>
      </c>
      <c r="D72" t="inlineStr">
        <is>
          <t>Min Damage Multiplier %</t>
        </is>
      </c>
      <c r="E72" t="n">
        <v>3</v>
      </c>
      <c r="F72" t="n">
        <v>3.04</v>
      </c>
      <c r="G72" t="b">
        <v>0</v>
      </c>
      <c r="H72">
        <f>Sensitivity!H12</f>
        <v/>
      </c>
    </row>
    <row r="73">
      <c r="A73" t="inlineStr">
        <is>
          <t>ALL</t>
        </is>
      </c>
      <c r="B73" t="inlineStr">
        <is>
          <t>rare</t>
        </is>
      </c>
      <c r="C73" t="n">
        <v>2</v>
      </c>
      <c r="D73" t="inlineStr">
        <is>
          <t>Min Damage Multiplier %</t>
        </is>
      </c>
      <c r="E73" t="n">
        <v>6</v>
      </c>
      <c r="F73" t="n">
        <v>0.96</v>
      </c>
      <c r="G73" t="b">
        <v>1</v>
      </c>
      <c r="H73">
        <f>Sensitivity!H12</f>
        <v/>
      </c>
    </row>
    <row r="74">
      <c r="A74" t="inlineStr">
        <is>
          <t>ALL</t>
        </is>
      </c>
      <c r="B74" t="inlineStr">
        <is>
          <t>rare</t>
        </is>
      </c>
      <c r="C74" t="n">
        <v>2</v>
      </c>
      <c r="D74" t="inlineStr">
        <is>
          <t>Max Damage Multiplier %</t>
        </is>
      </c>
      <c r="E74" t="n">
        <v>3</v>
      </c>
      <c r="F74" t="n">
        <v>3.04</v>
      </c>
      <c r="G74" t="b">
        <v>0</v>
      </c>
      <c r="H74">
        <f>Sensitivity!H13</f>
        <v/>
      </c>
    </row>
    <row r="75">
      <c r="A75" t="inlineStr">
        <is>
          <t>ALL</t>
        </is>
      </c>
      <c r="B75" t="inlineStr">
        <is>
          <t>rare</t>
        </is>
      </c>
      <c r="C75" t="n">
        <v>2</v>
      </c>
      <c r="D75" t="inlineStr">
        <is>
          <t>Max Damage Multiplier %</t>
        </is>
      </c>
      <c r="E75" t="n">
        <v>6</v>
      </c>
      <c r="F75" t="n">
        <v>0.96</v>
      </c>
      <c r="G75" t="b">
        <v>1</v>
      </c>
      <c r="H75">
        <f>Sensitivity!H13</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t="inlineStr">
        <is>
          <t>0</t>
        </is>
      </c>
    </row>
    <row r="79">
      <c r="A79" t="inlineStr">
        <is>
          <t>ALL</t>
        </is>
      </c>
      <c r="B79" t="inlineStr">
        <is>
          <t>rare</t>
        </is>
      </c>
      <c r="C79" t="n">
        <v>2</v>
      </c>
      <c r="D79" t="inlineStr">
        <is>
          <t>Dex %</t>
        </is>
      </c>
      <c r="E79" t="n">
        <v>4.5</v>
      </c>
      <c r="F79" t="n">
        <v>1.08</v>
      </c>
      <c r="G79" t="b">
        <v>1</v>
      </c>
      <c r="H79" t="inlineStr">
        <is>
          <t>0</t>
        </is>
      </c>
    </row>
    <row r="80">
      <c r="A80" t="inlineStr">
        <is>
          <t>ALL</t>
        </is>
      </c>
      <c r="B80" t="inlineStr">
        <is>
          <t>rare</t>
        </is>
      </c>
      <c r="C80" t="n">
        <v>2</v>
      </c>
      <c r="D80" t="inlineStr">
        <is>
          <t>Int %</t>
        </is>
      </c>
      <c r="E80" t="n">
        <v>3</v>
      </c>
      <c r="F80" t="n">
        <v>3.42</v>
      </c>
      <c r="G80" t="b">
        <v>0</v>
      </c>
      <c r="H80">
        <f>Sensitivity!H6</f>
        <v/>
      </c>
    </row>
    <row r="81">
      <c r="A81" t="inlineStr">
        <is>
          <t>ALL</t>
        </is>
      </c>
      <c r="B81" t="inlineStr">
        <is>
          <t>rare</t>
        </is>
      </c>
      <c r="C81" t="n">
        <v>2</v>
      </c>
      <c r="D81" t="inlineStr">
        <is>
          <t>Int %</t>
        </is>
      </c>
      <c r="E81" t="n">
        <v>4.5</v>
      </c>
      <c r="F81" t="n">
        <v>1.08</v>
      </c>
      <c r="G81" t="b">
        <v>1</v>
      </c>
      <c r="H81">
        <f>Sensitivity!H6</f>
        <v/>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t="inlineStr">
        <is>
          <t>0</t>
        </is>
      </c>
    </row>
    <row r="93">
      <c r="A93" t="inlineStr">
        <is>
          <t>ALL</t>
        </is>
      </c>
      <c r="B93" t="inlineStr">
        <is>
          <t>rare</t>
        </is>
      </c>
      <c r="C93" t="n">
        <v>2</v>
      </c>
      <c r="D93" t="inlineStr">
        <is>
          <t>Dex</t>
        </is>
      </c>
      <c r="E93" t="n">
        <v>100</v>
      </c>
      <c r="F93" t="n">
        <v>2.28</v>
      </c>
      <c r="G93" t="b">
        <v>1</v>
      </c>
      <c r="H93" t="inlineStr">
        <is>
          <t>0</t>
        </is>
      </c>
    </row>
    <row r="94">
      <c r="A94" t="inlineStr">
        <is>
          <t>ALL</t>
        </is>
      </c>
      <c r="B94" t="inlineStr">
        <is>
          <t>rare</t>
        </is>
      </c>
      <c r="C94" t="n">
        <v>2</v>
      </c>
      <c r="D94" t="inlineStr">
        <is>
          <t>Int</t>
        </is>
      </c>
      <c r="E94" t="n">
        <v>50</v>
      </c>
      <c r="F94" t="n">
        <v>7.22</v>
      </c>
      <c r="G94" t="b">
        <v>0</v>
      </c>
      <c r="H94">
        <f>Sensitivity!H5</f>
        <v/>
      </c>
    </row>
    <row r="95">
      <c r="A95" t="inlineStr">
        <is>
          <t>ALL</t>
        </is>
      </c>
      <c r="B95" t="inlineStr">
        <is>
          <t>rare</t>
        </is>
      </c>
      <c r="C95" t="n">
        <v>2</v>
      </c>
      <c r="D95" t="inlineStr">
        <is>
          <t>Int</t>
        </is>
      </c>
      <c r="E95" t="n">
        <v>100</v>
      </c>
      <c r="F95" t="n">
        <v>2.28</v>
      </c>
      <c r="G95" t="b">
        <v>1</v>
      </c>
      <c r="H95">
        <f>Sensitivity!H5</f>
        <v/>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IF(Inputs!$B$8&gt;=100,Sensitivity!H15,Sensitivity!H14)</f>
        <v/>
      </c>
    </row>
    <row r="99">
      <c r="A99" t="inlineStr">
        <is>
          <t>ALL</t>
        </is>
      </c>
      <c r="B99" t="inlineStr">
        <is>
          <t>rare</t>
        </is>
      </c>
      <c r="C99" t="n">
        <v>3</v>
      </c>
      <c r="D99" t="inlineStr">
        <is>
          <t>Critical Rate %</t>
        </is>
      </c>
      <c r="E99" t="n">
        <v>4.5</v>
      </c>
      <c r="F99" t="n">
        <v>0.2</v>
      </c>
      <c r="G99" t="b">
        <v>1</v>
      </c>
      <c r="H99">
        <f>IF(Inputs!$B$8&gt;=100,Sensitivity!H15,Sensitivity!H14)</f>
        <v/>
      </c>
    </row>
    <row r="100">
      <c r="A100" t="inlineStr">
        <is>
          <t>ALL</t>
        </is>
      </c>
      <c r="B100" t="inlineStr">
        <is>
          <t>rare</t>
        </is>
      </c>
      <c r="C100" t="n">
        <v>3</v>
      </c>
      <c r="D100" t="inlineStr">
        <is>
          <t>Attack Speed %</t>
        </is>
      </c>
      <c r="E100" t="n">
        <v>3</v>
      </c>
      <c r="F100" t="n">
        <v>2.3</v>
      </c>
      <c r="G100" t="b">
        <v>0</v>
      </c>
      <c r="H100">
        <f>Sensitivity!H16</f>
        <v/>
      </c>
    </row>
    <row r="101">
      <c r="A101" t="inlineStr">
        <is>
          <t>ALL</t>
        </is>
      </c>
      <c r="B101" t="inlineStr">
        <is>
          <t>rare</t>
        </is>
      </c>
      <c r="C101" t="n">
        <v>3</v>
      </c>
      <c r="D101" t="inlineStr">
        <is>
          <t>Attack Speed %</t>
        </is>
      </c>
      <c r="E101" t="n">
        <v>3.5</v>
      </c>
      <c r="F101" t="n">
        <v>0.2</v>
      </c>
      <c r="G101" t="b">
        <v>1</v>
      </c>
      <c r="H101">
        <f>Sensitivity!H16</f>
        <v/>
      </c>
    </row>
    <row r="102">
      <c r="A102" t="inlineStr">
        <is>
          <t>ALL</t>
        </is>
      </c>
      <c r="B102" t="inlineStr">
        <is>
          <t>rare</t>
        </is>
      </c>
      <c r="C102" t="n">
        <v>3</v>
      </c>
      <c r="D102" t="inlineStr">
        <is>
          <t>Damage %</t>
        </is>
      </c>
      <c r="E102" t="n">
        <v>5</v>
      </c>
      <c r="F102" t="n">
        <v>3.68</v>
      </c>
      <c r="G102" t="b">
        <v>0</v>
      </c>
      <c r="H102">
        <f>Sensitivity!H7</f>
        <v/>
      </c>
    </row>
    <row r="103">
      <c r="A103" t="inlineStr">
        <is>
          <t>ALL</t>
        </is>
      </c>
      <c r="B103" t="inlineStr">
        <is>
          <t>rare</t>
        </is>
      </c>
      <c r="C103" t="n">
        <v>3</v>
      </c>
      <c r="D103" t="inlineStr">
        <is>
          <t>Damage %</t>
        </is>
      </c>
      <c r="E103" t="n">
        <v>8</v>
      </c>
      <c r="F103" t="n">
        <v>0.32</v>
      </c>
      <c r="G103" t="b">
        <v>1</v>
      </c>
      <c r="H103">
        <f>Sensitivity!H7</f>
        <v/>
      </c>
    </row>
    <row r="104">
      <c r="A104" t="inlineStr">
        <is>
          <t>ALL</t>
        </is>
      </c>
      <c r="B104" t="inlineStr">
        <is>
          <t>rare</t>
        </is>
      </c>
      <c r="C104" t="n">
        <v>3</v>
      </c>
      <c r="D104" t="inlineStr">
        <is>
          <t>Min Damage Multiplier %</t>
        </is>
      </c>
      <c r="E104" t="n">
        <v>3</v>
      </c>
      <c r="F104" t="n">
        <v>3.68</v>
      </c>
      <c r="G104" t="b">
        <v>0</v>
      </c>
      <c r="H104">
        <f>Sensitivity!H12</f>
        <v/>
      </c>
    </row>
    <row r="105">
      <c r="A105" t="inlineStr">
        <is>
          <t>ALL</t>
        </is>
      </c>
      <c r="B105" t="inlineStr">
        <is>
          <t>rare</t>
        </is>
      </c>
      <c r="C105" t="n">
        <v>3</v>
      </c>
      <c r="D105" t="inlineStr">
        <is>
          <t>Min Damage Multiplier %</t>
        </is>
      </c>
      <c r="E105" t="n">
        <v>6</v>
      </c>
      <c r="F105" t="n">
        <v>0.32</v>
      </c>
      <c r="G105" t="b">
        <v>1</v>
      </c>
      <c r="H105">
        <f>Sensitivity!H12</f>
        <v/>
      </c>
    </row>
    <row r="106">
      <c r="A106" t="inlineStr">
        <is>
          <t>ALL</t>
        </is>
      </c>
      <c r="B106" t="inlineStr">
        <is>
          <t>rare</t>
        </is>
      </c>
      <c r="C106" t="n">
        <v>3</v>
      </c>
      <c r="D106" t="inlineStr">
        <is>
          <t>Max Damage Multiplier %</t>
        </is>
      </c>
      <c r="E106" t="n">
        <v>3</v>
      </c>
      <c r="F106" t="n">
        <v>3.68</v>
      </c>
      <c r="G106" t="b">
        <v>0</v>
      </c>
      <c r="H106">
        <f>Sensitivity!H13</f>
        <v/>
      </c>
    </row>
    <row r="107">
      <c r="A107" t="inlineStr">
        <is>
          <t>ALL</t>
        </is>
      </c>
      <c r="B107" t="inlineStr">
        <is>
          <t>rare</t>
        </is>
      </c>
      <c r="C107" t="n">
        <v>3</v>
      </c>
      <c r="D107" t="inlineStr">
        <is>
          <t>Max Damage Multiplier %</t>
        </is>
      </c>
      <c r="E107" t="n">
        <v>6</v>
      </c>
      <c r="F107" t="n">
        <v>0.32</v>
      </c>
      <c r="G107" t="b">
        <v>1</v>
      </c>
      <c r="H107">
        <f>Sensitivity!H13</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t="inlineStr">
        <is>
          <t>0</t>
        </is>
      </c>
    </row>
    <row r="111">
      <c r="A111" t="inlineStr">
        <is>
          <t>ALL</t>
        </is>
      </c>
      <c r="B111" t="inlineStr">
        <is>
          <t>rare</t>
        </is>
      </c>
      <c r="C111" t="n">
        <v>3</v>
      </c>
      <c r="D111" t="inlineStr">
        <is>
          <t>Dex %</t>
        </is>
      </c>
      <c r="E111" t="n">
        <v>4.5</v>
      </c>
      <c r="F111" t="n">
        <v>0.36</v>
      </c>
      <c r="G111" t="b">
        <v>1</v>
      </c>
      <c r="H111" t="inlineStr">
        <is>
          <t>0</t>
        </is>
      </c>
    </row>
    <row r="112">
      <c r="A112" t="inlineStr">
        <is>
          <t>ALL</t>
        </is>
      </c>
      <c r="B112" t="inlineStr">
        <is>
          <t>rare</t>
        </is>
      </c>
      <c r="C112" t="n">
        <v>3</v>
      </c>
      <c r="D112" t="inlineStr">
        <is>
          <t>Int %</t>
        </is>
      </c>
      <c r="E112" t="n">
        <v>3</v>
      </c>
      <c r="F112" t="n">
        <v>4.14</v>
      </c>
      <c r="G112" t="b">
        <v>0</v>
      </c>
      <c r="H112">
        <f>Sensitivity!H6</f>
        <v/>
      </c>
    </row>
    <row r="113">
      <c r="A113" t="inlineStr">
        <is>
          <t>ALL</t>
        </is>
      </c>
      <c r="B113" t="inlineStr">
        <is>
          <t>rare</t>
        </is>
      </c>
      <c r="C113" t="n">
        <v>3</v>
      </c>
      <c r="D113" t="inlineStr">
        <is>
          <t>Int %</t>
        </is>
      </c>
      <c r="E113" t="n">
        <v>4.5</v>
      </c>
      <c r="F113" t="n">
        <v>0.36</v>
      </c>
      <c r="G113" t="b">
        <v>1</v>
      </c>
      <c r="H113">
        <f>Sensitivity!H6</f>
        <v/>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t="inlineStr">
        <is>
          <t>0</t>
        </is>
      </c>
    </row>
    <row r="125">
      <c r="A125" t="inlineStr">
        <is>
          <t>ALL</t>
        </is>
      </c>
      <c r="B125" t="inlineStr">
        <is>
          <t>rare</t>
        </is>
      </c>
      <c r="C125" t="n">
        <v>3</v>
      </c>
      <c r="D125" t="inlineStr">
        <is>
          <t>Dex</t>
        </is>
      </c>
      <c r="E125" t="n">
        <v>100</v>
      </c>
      <c r="F125" t="n">
        <v>0.76</v>
      </c>
      <c r="G125" t="b">
        <v>1</v>
      </c>
      <c r="H125" t="inlineStr">
        <is>
          <t>0</t>
        </is>
      </c>
    </row>
    <row r="126">
      <c r="A126" t="inlineStr">
        <is>
          <t>ALL</t>
        </is>
      </c>
      <c r="B126" t="inlineStr">
        <is>
          <t>rare</t>
        </is>
      </c>
      <c r="C126" t="n">
        <v>3</v>
      </c>
      <c r="D126" t="inlineStr">
        <is>
          <t>Int</t>
        </is>
      </c>
      <c r="E126" t="n">
        <v>50</v>
      </c>
      <c r="F126" t="n">
        <v>8.74</v>
      </c>
      <c r="G126" t="b">
        <v>0</v>
      </c>
      <c r="H126">
        <f>Sensitivity!H5</f>
        <v/>
      </c>
    </row>
    <row r="127">
      <c r="A127" t="inlineStr">
        <is>
          <t>ALL</t>
        </is>
      </c>
      <c r="B127" t="inlineStr">
        <is>
          <t>rare</t>
        </is>
      </c>
      <c r="C127" t="n">
        <v>3</v>
      </c>
      <c r="D127" t="inlineStr">
        <is>
          <t>Int</t>
        </is>
      </c>
      <c r="E127" t="n">
        <v>100</v>
      </c>
      <c r="F127" t="n">
        <v>0.76</v>
      </c>
      <c r="G127" t="b">
        <v>1</v>
      </c>
      <c r="H127">
        <f>Sensitivity!H5</f>
        <v/>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IF(Inputs!$B$8&gt;=100,Sensitivity!H15,Sensitivity!H14)</f>
        <v/>
      </c>
    </row>
    <row r="131">
      <c r="A131" t="inlineStr">
        <is>
          <t>ALL</t>
        </is>
      </c>
      <c r="B131" t="inlineStr">
        <is>
          <t>epic</t>
        </is>
      </c>
      <c r="C131" t="n">
        <v>1</v>
      </c>
      <c r="D131" t="inlineStr">
        <is>
          <t>Attack Speed %</t>
        </is>
      </c>
      <c r="E131" t="n">
        <v>4</v>
      </c>
      <c r="F131" t="n">
        <v>2.5</v>
      </c>
      <c r="G131" t="b">
        <v>1</v>
      </c>
      <c r="H131">
        <f>Sensitivity!H16</f>
        <v/>
      </c>
    </row>
    <row r="132">
      <c r="A132" t="inlineStr">
        <is>
          <t>ALL</t>
        </is>
      </c>
      <c r="B132" t="inlineStr">
        <is>
          <t>epic</t>
        </is>
      </c>
      <c r="C132" t="n">
        <v>1</v>
      </c>
      <c r="D132" t="inlineStr">
        <is>
          <t>Damage %</t>
        </is>
      </c>
      <c r="E132" t="n">
        <v>12</v>
      </c>
      <c r="F132" t="n">
        <v>4</v>
      </c>
      <c r="G132" t="b">
        <v>1</v>
      </c>
      <c r="H132">
        <f>Sensitivity!H7</f>
        <v/>
      </c>
    </row>
    <row r="133">
      <c r="A133" t="inlineStr">
        <is>
          <t>ALL</t>
        </is>
      </c>
      <c r="B133" t="inlineStr">
        <is>
          <t>epic</t>
        </is>
      </c>
      <c r="C133" t="n">
        <v>1</v>
      </c>
      <c r="D133" t="inlineStr">
        <is>
          <t>Min Damage Multiplier %</t>
        </is>
      </c>
      <c r="E133" t="n">
        <v>8</v>
      </c>
      <c r="F133" t="n">
        <v>4</v>
      </c>
      <c r="G133" t="b">
        <v>1</v>
      </c>
      <c r="H133">
        <f>Sensitivity!H12</f>
        <v/>
      </c>
    </row>
    <row r="134">
      <c r="A134" t="inlineStr">
        <is>
          <t>ALL</t>
        </is>
      </c>
      <c r="B134" t="inlineStr">
        <is>
          <t>epic</t>
        </is>
      </c>
      <c r="C134" t="n">
        <v>1</v>
      </c>
      <c r="D134" t="inlineStr">
        <is>
          <t>Max Damage Multiplier %</t>
        </is>
      </c>
      <c r="E134" t="n">
        <v>8</v>
      </c>
      <c r="F134" t="n">
        <v>4</v>
      </c>
      <c r="G134" t="b">
        <v>1</v>
      </c>
      <c r="H134">
        <f>Sensitivity!H13</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t="inlineStr">
        <is>
          <t>0</t>
        </is>
      </c>
    </row>
    <row r="137">
      <c r="A137" t="inlineStr">
        <is>
          <t>ALL</t>
        </is>
      </c>
      <c r="B137" t="inlineStr">
        <is>
          <t>epic</t>
        </is>
      </c>
      <c r="C137" t="n">
        <v>1</v>
      </c>
      <c r="D137" t="inlineStr">
        <is>
          <t>Int %</t>
        </is>
      </c>
      <c r="E137" t="n">
        <v>6</v>
      </c>
      <c r="F137" t="n">
        <v>4.5</v>
      </c>
      <c r="G137" t="b">
        <v>1</v>
      </c>
      <c r="H137">
        <f>Sensitivity!H6</f>
        <v/>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t="inlineStr">
        <is>
          <t>0</t>
        </is>
      </c>
    </row>
    <row r="144">
      <c r="A144" t="inlineStr">
        <is>
          <t>ALL</t>
        </is>
      </c>
      <c r="B144" t="inlineStr">
        <is>
          <t>epic</t>
        </is>
      </c>
      <c r="C144" t="n">
        <v>1</v>
      </c>
      <c r="D144" t="inlineStr">
        <is>
          <t>Int</t>
        </is>
      </c>
      <c r="E144" t="n">
        <v>200</v>
      </c>
      <c r="F144" t="n">
        <v>9.25</v>
      </c>
      <c r="G144" t="b">
        <v>1</v>
      </c>
      <c r="H144">
        <f>Sensitivity!H5</f>
        <v/>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IF(Inputs!$B$8&gt;=100,Sensitivity!H15,Sensitivity!H14)</f>
        <v/>
      </c>
    </row>
    <row r="147">
      <c r="A147" t="inlineStr">
        <is>
          <t>ALL</t>
        </is>
      </c>
      <c r="B147" t="inlineStr">
        <is>
          <t>epic</t>
        </is>
      </c>
      <c r="C147" t="n">
        <v>2</v>
      </c>
      <c r="D147" t="inlineStr">
        <is>
          <t>Critical Rate %</t>
        </is>
      </c>
      <c r="E147" t="n">
        <v>6</v>
      </c>
      <c r="F147" t="n">
        <v>0.6</v>
      </c>
      <c r="G147" t="b">
        <v>1</v>
      </c>
      <c r="H147">
        <f>IF(Inputs!$B$8&gt;=100,Sensitivity!H15,Sensitivity!H14)</f>
        <v/>
      </c>
    </row>
    <row r="148">
      <c r="A148" t="inlineStr">
        <is>
          <t>ALL</t>
        </is>
      </c>
      <c r="B148" t="inlineStr">
        <is>
          <t>epic</t>
        </is>
      </c>
      <c r="C148" t="n">
        <v>2</v>
      </c>
      <c r="D148" t="inlineStr">
        <is>
          <t>Attack Speed %</t>
        </is>
      </c>
      <c r="E148" t="n">
        <v>3.5</v>
      </c>
      <c r="F148" t="n">
        <v>1.9</v>
      </c>
      <c r="G148" t="b">
        <v>0</v>
      </c>
      <c r="H148">
        <f>Sensitivity!H16</f>
        <v/>
      </c>
    </row>
    <row r="149">
      <c r="A149" t="inlineStr">
        <is>
          <t>ALL</t>
        </is>
      </c>
      <c r="B149" t="inlineStr">
        <is>
          <t>epic</t>
        </is>
      </c>
      <c r="C149" t="n">
        <v>2</v>
      </c>
      <c r="D149" t="inlineStr">
        <is>
          <t>Attack Speed %</t>
        </is>
      </c>
      <c r="E149" t="n">
        <v>4</v>
      </c>
      <c r="F149" t="n">
        <v>0.6</v>
      </c>
      <c r="G149" t="b">
        <v>1</v>
      </c>
      <c r="H149">
        <f>Sensitivity!H16</f>
        <v/>
      </c>
    </row>
    <row r="150">
      <c r="A150" t="inlineStr">
        <is>
          <t>ALL</t>
        </is>
      </c>
      <c r="B150" t="inlineStr">
        <is>
          <t>epic</t>
        </is>
      </c>
      <c r="C150" t="n">
        <v>2</v>
      </c>
      <c r="D150" t="inlineStr">
        <is>
          <t>Damage %</t>
        </is>
      </c>
      <c r="E150" t="n">
        <v>8</v>
      </c>
      <c r="F150" t="n">
        <v>3.04</v>
      </c>
      <c r="G150" t="b">
        <v>0</v>
      </c>
      <c r="H150">
        <f>Sensitivity!H7</f>
        <v/>
      </c>
    </row>
    <row r="151">
      <c r="A151" t="inlineStr">
        <is>
          <t>ALL</t>
        </is>
      </c>
      <c r="B151" t="inlineStr">
        <is>
          <t>epic</t>
        </is>
      </c>
      <c r="C151" t="n">
        <v>2</v>
      </c>
      <c r="D151" t="inlineStr">
        <is>
          <t>Damage %</t>
        </is>
      </c>
      <c r="E151" t="n">
        <v>12</v>
      </c>
      <c r="F151" t="n">
        <v>0.96</v>
      </c>
      <c r="G151" t="b">
        <v>1</v>
      </c>
      <c r="H151">
        <f>Sensitivity!H7</f>
        <v/>
      </c>
    </row>
    <row r="152">
      <c r="A152" t="inlineStr">
        <is>
          <t>ALL</t>
        </is>
      </c>
      <c r="B152" t="inlineStr">
        <is>
          <t>epic</t>
        </is>
      </c>
      <c r="C152" t="n">
        <v>2</v>
      </c>
      <c r="D152" t="inlineStr">
        <is>
          <t>Min Damage Multiplier %</t>
        </is>
      </c>
      <c r="E152" t="n">
        <v>6</v>
      </c>
      <c r="F152" t="n">
        <v>3.04</v>
      </c>
      <c r="G152" t="b">
        <v>0</v>
      </c>
      <c r="H152">
        <f>Sensitivity!H12</f>
        <v/>
      </c>
    </row>
    <row r="153">
      <c r="A153" t="inlineStr">
        <is>
          <t>ALL</t>
        </is>
      </c>
      <c r="B153" t="inlineStr">
        <is>
          <t>epic</t>
        </is>
      </c>
      <c r="C153" t="n">
        <v>2</v>
      </c>
      <c r="D153" t="inlineStr">
        <is>
          <t>Min Damage Multiplier %</t>
        </is>
      </c>
      <c r="E153" t="n">
        <v>8</v>
      </c>
      <c r="F153" t="n">
        <v>0.96</v>
      </c>
      <c r="G153" t="b">
        <v>1</v>
      </c>
      <c r="H153">
        <f>Sensitivity!H12</f>
        <v/>
      </c>
    </row>
    <row r="154">
      <c r="A154" t="inlineStr">
        <is>
          <t>ALL</t>
        </is>
      </c>
      <c r="B154" t="inlineStr">
        <is>
          <t>epic</t>
        </is>
      </c>
      <c r="C154" t="n">
        <v>2</v>
      </c>
      <c r="D154" t="inlineStr">
        <is>
          <t>Max Damage Multiplier %</t>
        </is>
      </c>
      <c r="E154" t="n">
        <v>6</v>
      </c>
      <c r="F154" t="n">
        <v>3.04</v>
      </c>
      <c r="G154" t="b">
        <v>0</v>
      </c>
      <c r="H154">
        <f>Sensitivity!H13</f>
        <v/>
      </c>
    </row>
    <row r="155">
      <c r="A155" t="inlineStr">
        <is>
          <t>ALL</t>
        </is>
      </c>
      <c r="B155" t="inlineStr">
        <is>
          <t>epic</t>
        </is>
      </c>
      <c r="C155" t="n">
        <v>2</v>
      </c>
      <c r="D155" t="inlineStr">
        <is>
          <t>Max Damage Multiplier %</t>
        </is>
      </c>
      <c r="E155" t="n">
        <v>8</v>
      </c>
      <c r="F155" t="n">
        <v>0.96</v>
      </c>
      <c r="G155" t="b">
        <v>1</v>
      </c>
      <c r="H155">
        <f>Sensitivity!H13</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t="inlineStr">
        <is>
          <t>0</t>
        </is>
      </c>
    </row>
    <row r="159">
      <c r="A159" t="inlineStr">
        <is>
          <t>ALL</t>
        </is>
      </c>
      <c r="B159" t="inlineStr">
        <is>
          <t>epic</t>
        </is>
      </c>
      <c r="C159" t="n">
        <v>2</v>
      </c>
      <c r="D159" t="inlineStr">
        <is>
          <t>Dex %</t>
        </is>
      </c>
      <c r="E159" t="n">
        <v>6</v>
      </c>
      <c r="F159" t="n">
        <v>1.08</v>
      </c>
      <c r="G159" t="b">
        <v>1</v>
      </c>
      <c r="H159" t="inlineStr">
        <is>
          <t>0</t>
        </is>
      </c>
    </row>
    <row r="160">
      <c r="A160" t="inlineStr">
        <is>
          <t>ALL</t>
        </is>
      </c>
      <c r="B160" t="inlineStr">
        <is>
          <t>epic</t>
        </is>
      </c>
      <c r="C160" t="n">
        <v>2</v>
      </c>
      <c r="D160" t="inlineStr">
        <is>
          <t>Int %</t>
        </is>
      </c>
      <c r="E160" t="n">
        <v>4.5</v>
      </c>
      <c r="F160" t="n">
        <v>3.42</v>
      </c>
      <c r="G160" t="b">
        <v>0</v>
      </c>
      <c r="H160">
        <f>Sensitivity!H6</f>
        <v/>
      </c>
    </row>
    <row r="161">
      <c r="A161" t="inlineStr">
        <is>
          <t>ALL</t>
        </is>
      </c>
      <c r="B161" t="inlineStr">
        <is>
          <t>epic</t>
        </is>
      </c>
      <c r="C161" t="n">
        <v>2</v>
      </c>
      <c r="D161" t="inlineStr">
        <is>
          <t>Int %</t>
        </is>
      </c>
      <c r="E161" t="n">
        <v>6</v>
      </c>
      <c r="F161" t="n">
        <v>1.08</v>
      </c>
      <c r="G161" t="b">
        <v>1</v>
      </c>
      <c r="H161">
        <f>Sensitivity!H6</f>
        <v/>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t="inlineStr">
        <is>
          <t>0</t>
        </is>
      </c>
    </row>
    <row r="173">
      <c r="A173" t="inlineStr">
        <is>
          <t>ALL</t>
        </is>
      </c>
      <c r="B173" t="inlineStr">
        <is>
          <t>epic</t>
        </is>
      </c>
      <c r="C173" t="n">
        <v>2</v>
      </c>
      <c r="D173" t="inlineStr">
        <is>
          <t>Dex</t>
        </is>
      </c>
      <c r="E173" t="n">
        <v>200</v>
      </c>
      <c r="F173" t="n">
        <v>2.22</v>
      </c>
      <c r="G173" t="b">
        <v>1</v>
      </c>
      <c r="H173" t="inlineStr">
        <is>
          <t>0</t>
        </is>
      </c>
    </row>
    <row r="174">
      <c r="A174" t="inlineStr">
        <is>
          <t>ALL</t>
        </is>
      </c>
      <c r="B174" t="inlineStr">
        <is>
          <t>epic</t>
        </is>
      </c>
      <c r="C174" t="n">
        <v>2</v>
      </c>
      <c r="D174" t="inlineStr">
        <is>
          <t>Int</t>
        </is>
      </c>
      <c r="E174" t="n">
        <v>100</v>
      </c>
      <c r="F174" t="n">
        <v>7.22</v>
      </c>
      <c r="G174" t="b">
        <v>0</v>
      </c>
      <c r="H174">
        <f>Sensitivity!H5</f>
        <v/>
      </c>
    </row>
    <row r="175">
      <c r="A175" t="inlineStr">
        <is>
          <t>ALL</t>
        </is>
      </c>
      <c r="B175" t="inlineStr">
        <is>
          <t>epic</t>
        </is>
      </c>
      <c r="C175" t="n">
        <v>2</v>
      </c>
      <c r="D175" t="inlineStr">
        <is>
          <t>Int</t>
        </is>
      </c>
      <c r="E175" t="n">
        <v>200</v>
      </c>
      <c r="F175" t="n">
        <v>2.22</v>
      </c>
      <c r="G175" t="b">
        <v>1</v>
      </c>
      <c r="H175">
        <f>Sensitivity!H5</f>
        <v/>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IF(Inputs!$B$8&gt;=100,Sensitivity!H15,Sensitivity!H14)</f>
        <v/>
      </c>
    </row>
    <row r="179">
      <c r="A179" t="inlineStr">
        <is>
          <t>ALL</t>
        </is>
      </c>
      <c r="B179" t="inlineStr">
        <is>
          <t>epic</t>
        </is>
      </c>
      <c r="C179" t="n">
        <v>3</v>
      </c>
      <c r="D179" t="inlineStr">
        <is>
          <t>Critical Rate %</t>
        </is>
      </c>
      <c r="E179" t="n">
        <v>6</v>
      </c>
      <c r="F179" t="n">
        <v>0.2</v>
      </c>
      <c r="G179" t="b">
        <v>1</v>
      </c>
      <c r="H179">
        <f>IF(Inputs!$B$8&gt;=100,Sensitivity!H15,Sensitivity!H14)</f>
        <v/>
      </c>
    </row>
    <row r="180">
      <c r="A180" t="inlineStr">
        <is>
          <t>ALL</t>
        </is>
      </c>
      <c r="B180" t="inlineStr">
        <is>
          <t>epic</t>
        </is>
      </c>
      <c r="C180" t="n">
        <v>3</v>
      </c>
      <c r="D180" t="inlineStr">
        <is>
          <t>Attack Speed %</t>
        </is>
      </c>
      <c r="E180" t="n">
        <v>3.5</v>
      </c>
      <c r="F180" t="n">
        <v>2.3</v>
      </c>
      <c r="G180" t="b">
        <v>0</v>
      </c>
      <c r="H180">
        <f>Sensitivity!H16</f>
        <v/>
      </c>
    </row>
    <row r="181">
      <c r="A181" t="inlineStr">
        <is>
          <t>ALL</t>
        </is>
      </c>
      <c r="B181" t="inlineStr">
        <is>
          <t>epic</t>
        </is>
      </c>
      <c r="C181" t="n">
        <v>3</v>
      </c>
      <c r="D181" t="inlineStr">
        <is>
          <t>Attack Speed %</t>
        </is>
      </c>
      <c r="E181" t="n">
        <v>4</v>
      </c>
      <c r="F181" t="n">
        <v>0.2</v>
      </c>
      <c r="G181" t="b">
        <v>1</v>
      </c>
      <c r="H181">
        <f>Sensitivity!H16</f>
        <v/>
      </c>
    </row>
    <row r="182">
      <c r="A182" t="inlineStr">
        <is>
          <t>ALL</t>
        </is>
      </c>
      <c r="B182" t="inlineStr">
        <is>
          <t>epic</t>
        </is>
      </c>
      <c r="C182" t="n">
        <v>3</v>
      </c>
      <c r="D182" t="inlineStr">
        <is>
          <t>Damage %</t>
        </is>
      </c>
      <c r="E182" t="n">
        <v>8</v>
      </c>
      <c r="F182" t="n">
        <v>3.68</v>
      </c>
      <c r="G182" t="b">
        <v>0</v>
      </c>
      <c r="H182">
        <f>Sensitivity!H7</f>
        <v/>
      </c>
    </row>
    <row r="183">
      <c r="A183" t="inlineStr">
        <is>
          <t>ALL</t>
        </is>
      </c>
      <c r="B183" t="inlineStr">
        <is>
          <t>epic</t>
        </is>
      </c>
      <c r="C183" t="n">
        <v>3</v>
      </c>
      <c r="D183" t="inlineStr">
        <is>
          <t>Damage %</t>
        </is>
      </c>
      <c r="E183" t="n">
        <v>12</v>
      </c>
      <c r="F183" t="n">
        <v>0.32</v>
      </c>
      <c r="G183" t="b">
        <v>1</v>
      </c>
      <c r="H183">
        <f>Sensitivity!H7</f>
        <v/>
      </c>
    </row>
    <row r="184">
      <c r="A184" t="inlineStr">
        <is>
          <t>ALL</t>
        </is>
      </c>
      <c r="B184" t="inlineStr">
        <is>
          <t>epic</t>
        </is>
      </c>
      <c r="C184" t="n">
        <v>3</v>
      </c>
      <c r="D184" t="inlineStr">
        <is>
          <t>Min Damage Multiplier %</t>
        </is>
      </c>
      <c r="E184" t="n">
        <v>6</v>
      </c>
      <c r="F184" t="n">
        <v>3.68</v>
      </c>
      <c r="G184" t="b">
        <v>0</v>
      </c>
      <c r="H184">
        <f>Sensitivity!H12</f>
        <v/>
      </c>
    </row>
    <row r="185">
      <c r="A185" t="inlineStr">
        <is>
          <t>ALL</t>
        </is>
      </c>
      <c r="B185" t="inlineStr">
        <is>
          <t>epic</t>
        </is>
      </c>
      <c r="C185" t="n">
        <v>3</v>
      </c>
      <c r="D185" t="inlineStr">
        <is>
          <t>Min Damage Multiplier %</t>
        </is>
      </c>
      <c r="E185" t="n">
        <v>8</v>
      </c>
      <c r="F185" t="n">
        <v>0.32</v>
      </c>
      <c r="G185" t="b">
        <v>1</v>
      </c>
      <c r="H185">
        <f>Sensitivity!H12</f>
        <v/>
      </c>
    </row>
    <row r="186">
      <c r="A186" t="inlineStr">
        <is>
          <t>ALL</t>
        </is>
      </c>
      <c r="B186" t="inlineStr">
        <is>
          <t>epic</t>
        </is>
      </c>
      <c r="C186" t="n">
        <v>3</v>
      </c>
      <c r="D186" t="inlineStr">
        <is>
          <t>Max Damage Multiplier %</t>
        </is>
      </c>
      <c r="E186" t="n">
        <v>6</v>
      </c>
      <c r="F186" t="n">
        <v>3.68</v>
      </c>
      <c r="G186" t="b">
        <v>0</v>
      </c>
      <c r="H186">
        <f>Sensitivity!H13</f>
        <v/>
      </c>
    </row>
    <row r="187">
      <c r="A187" t="inlineStr">
        <is>
          <t>ALL</t>
        </is>
      </c>
      <c r="B187" t="inlineStr">
        <is>
          <t>epic</t>
        </is>
      </c>
      <c r="C187" t="n">
        <v>3</v>
      </c>
      <c r="D187" t="inlineStr">
        <is>
          <t>Max Damage Multiplier %</t>
        </is>
      </c>
      <c r="E187" t="n">
        <v>8</v>
      </c>
      <c r="F187" t="n">
        <v>0.32</v>
      </c>
      <c r="G187" t="b">
        <v>1</v>
      </c>
      <c r="H187">
        <f>Sensitivity!H13</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t="inlineStr">
        <is>
          <t>0</t>
        </is>
      </c>
    </row>
    <row r="191">
      <c r="A191" t="inlineStr">
        <is>
          <t>ALL</t>
        </is>
      </c>
      <c r="B191" t="inlineStr">
        <is>
          <t>epic</t>
        </is>
      </c>
      <c r="C191" t="n">
        <v>3</v>
      </c>
      <c r="D191" t="inlineStr">
        <is>
          <t>Dex %</t>
        </is>
      </c>
      <c r="E191" t="n">
        <v>6</v>
      </c>
      <c r="F191" t="n">
        <v>0.36</v>
      </c>
      <c r="G191" t="b">
        <v>1</v>
      </c>
      <c r="H191" t="inlineStr">
        <is>
          <t>0</t>
        </is>
      </c>
    </row>
    <row r="192">
      <c r="A192" t="inlineStr">
        <is>
          <t>ALL</t>
        </is>
      </c>
      <c r="B192" t="inlineStr">
        <is>
          <t>epic</t>
        </is>
      </c>
      <c r="C192" t="n">
        <v>3</v>
      </c>
      <c r="D192" t="inlineStr">
        <is>
          <t>Int %</t>
        </is>
      </c>
      <c r="E192" t="n">
        <v>4.5</v>
      </c>
      <c r="F192" t="n">
        <v>4.14</v>
      </c>
      <c r="G192" t="b">
        <v>0</v>
      </c>
      <c r="H192">
        <f>Sensitivity!H6</f>
        <v/>
      </c>
    </row>
    <row r="193">
      <c r="A193" t="inlineStr">
        <is>
          <t>ALL</t>
        </is>
      </c>
      <c r="B193" t="inlineStr">
        <is>
          <t>epic</t>
        </is>
      </c>
      <c r="C193" t="n">
        <v>3</v>
      </c>
      <c r="D193" t="inlineStr">
        <is>
          <t>Int %</t>
        </is>
      </c>
      <c r="E193" t="n">
        <v>6</v>
      </c>
      <c r="F193" t="n">
        <v>0.36</v>
      </c>
      <c r="G193" t="b">
        <v>1</v>
      </c>
      <c r="H193">
        <f>Sensitivity!H6</f>
        <v/>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t="inlineStr">
        <is>
          <t>0</t>
        </is>
      </c>
    </row>
    <row r="205">
      <c r="A205" t="inlineStr">
        <is>
          <t>ALL</t>
        </is>
      </c>
      <c r="B205" t="inlineStr">
        <is>
          <t>epic</t>
        </is>
      </c>
      <c r="C205" t="n">
        <v>3</v>
      </c>
      <c r="D205" t="inlineStr">
        <is>
          <t>Dex</t>
        </is>
      </c>
      <c r="E205" t="n">
        <v>200</v>
      </c>
      <c r="F205" t="n">
        <v>0.74</v>
      </c>
      <c r="G205" t="b">
        <v>1</v>
      </c>
      <c r="H205" t="inlineStr">
        <is>
          <t>0</t>
        </is>
      </c>
    </row>
    <row r="206">
      <c r="A206" t="inlineStr">
        <is>
          <t>ALL</t>
        </is>
      </c>
      <c r="B206" t="inlineStr">
        <is>
          <t>epic</t>
        </is>
      </c>
      <c r="C206" t="n">
        <v>3</v>
      </c>
      <c r="D206" t="inlineStr">
        <is>
          <t>Int</t>
        </is>
      </c>
      <c r="E206" t="n">
        <v>100</v>
      </c>
      <c r="F206" t="n">
        <v>8.74</v>
      </c>
      <c r="G206" t="b">
        <v>0</v>
      </c>
      <c r="H206">
        <f>Sensitivity!H5</f>
        <v/>
      </c>
    </row>
    <row r="207">
      <c r="A207" t="inlineStr">
        <is>
          <t>ALL</t>
        </is>
      </c>
      <c r="B207" t="inlineStr">
        <is>
          <t>epic</t>
        </is>
      </c>
      <c r="C207" t="n">
        <v>3</v>
      </c>
      <c r="D207" t="inlineStr">
        <is>
          <t>Int</t>
        </is>
      </c>
      <c r="E207" t="n">
        <v>200</v>
      </c>
      <c r="F207" t="n">
        <v>0.74</v>
      </c>
      <c r="G207" t="b">
        <v>1</v>
      </c>
      <c r="H207">
        <f>Sensitivity!H5</f>
        <v/>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IF(Inputs!$B$8&gt;=100,Sensitivity!H15,Sensitivity!H14)</f>
        <v/>
      </c>
    </row>
    <row r="211">
      <c r="A211" t="inlineStr">
        <is>
          <t>ALL</t>
        </is>
      </c>
      <c r="B211" t="inlineStr">
        <is>
          <t>unique</t>
        </is>
      </c>
      <c r="C211" t="n">
        <v>1</v>
      </c>
      <c r="D211" t="inlineStr">
        <is>
          <t>Attack Speed %</t>
        </is>
      </c>
      <c r="E211" t="n">
        <v>5</v>
      </c>
      <c r="F211" t="n">
        <v>2.5</v>
      </c>
      <c r="G211" t="b">
        <v>1</v>
      </c>
      <c r="H211">
        <f>Sensitivity!H16</f>
        <v/>
      </c>
    </row>
    <row r="212">
      <c r="A212" t="inlineStr">
        <is>
          <t>ALL</t>
        </is>
      </c>
      <c r="B212" t="inlineStr">
        <is>
          <t>unique</t>
        </is>
      </c>
      <c r="C212" t="n">
        <v>1</v>
      </c>
      <c r="D212" t="inlineStr">
        <is>
          <t>Damage %</t>
        </is>
      </c>
      <c r="E212" t="n">
        <v>18</v>
      </c>
      <c r="F212" t="n">
        <v>4</v>
      </c>
      <c r="G212" t="b">
        <v>1</v>
      </c>
      <c r="H212">
        <f>Sensitivity!H7</f>
        <v/>
      </c>
    </row>
    <row r="213">
      <c r="A213" t="inlineStr">
        <is>
          <t>ALL</t>
        </is>
      </c>
      <c r="B213" t="inlineStr">
        <is>
          <t>unique</t>
        </is>
      </c>
      <c r="C213" t="n">
        <v>1</v>
      </c>
      <c r="D213" t="inlineStr">
        <is>
          <t>Min Damage Multiplier %</t>
        </is>
      </c>
      <c r="E213" t="n">
        <v>10</v>
      </c>
      <c r="F213" t="n">
        <v>4</v>
      </c>
      <c r="G213" t="b">
        <v>1</v>
      </c>
      <c r="H213">
        <f>Sensitivity!H12</f>
        <v/>
      </c>
    </row>
    <row r="214">
      <c r="A214" t="inlineStr">
        <is>
          <t>ALL</t>
        </is>
      </c>
      <c r="B214" t="inlineStr">
        <is>
          <t>unique</t>
        </is>
      </c>
      <c r="C214" t="n">
        <v>1</v>
      </c>
      <c r="D214" t="inlineStr">
        <is>
          <t>Max Damage Multiplier %</t>
        </is>
      </c>
      <c r="E214" t="n">
        <v>10</v>
      </c>
      <c r="F214" t="n">
        <v>4</v>
      </c>
      <c r="G214" t="b">
        <v>1</v>
      </c>
      <c r="H214">
        <f>Sensitivity!H13</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t="inlineStr">
        <is>
          <t>0</t>
        </is>
      </c>
    </row>
    <row r="217">
      <c r="A217" t="inlineStr">
        <is>
          <t>ALL</t>
        </is>
      </c>
      <c r="B217" t="inlineStr">
        <is>
          <t>unique</t>
        </is>
      </c>
      <c r="C217" t="n">
        <v>1</v>
      </c>
      <c r="D217" t="inlineStr">
        <is>
          <t>Int %</t>
        </is>
      </c>
      <c r="E217" t="n">
        <v>9</v>
      </c>
      <c r="F217" t="n">
        <v>4.5</v>
      </c>
      <c r="G217" t="b">
        <v>1</v>
      </c>
      <c r="H217">
        <f>Sensitivity!H6</f>
        <v/>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t="inlineStr">
        <is>
          <t>0</t>
        </is>
      </c>
    </row>
    <row r="224">
      <c r="A224" t="inlineStr">
        <is>
          <t>ALL</t>
        </is>
      </c>
      <c r="B224" t="inlineStr">
        <is>
          <t>unique</t>
        </is>
      </c>
      <c r="C224" t="n">
        <v>1</v>
      </c>
      <c r="D224" t="inlineStr">
        <is>
          <t>Int</t>
        </is>
      </c>
      <c r="E224" t="n">
        <v>400</v>
      </c>
      <c r="F224" t="n">
        <v>9.25</v>
      </c>
      <c r="G224" t="b">
        <v>1</v>
      </c>
      <c r="H224">
        <f>Sensitivity!H5</f>
        <v/>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IF(Inputs!$B$8&gt;=100,Sensitivity!H15,Sensitivity!H14)</f>
        <v/>
      </c>
    </row>
    <row r="227">
      <c r="A227" t="inlineStr">
        <is>
          <t>ALL</t>
        </is>
      </c>
      <c r="B227" t="inlineStr">
        <is>
          <t>unique</t>
        </is>
      </c>
      <c r="C227" t="n">
        <v>2</v>
      </c>
      <c r="D227" t="inlineStr">
        <is>
          <t>Critical Rate %</t>
        </is>
      </c>
      <c r="E227" t="n">
        <v>9</v>
      </c>
      <c r="F227" t="n">
        <v>0.6</v>
      </c>
      <c r="G227" t="b">
        <v>1</v>
      </c>
      <c r="H227">
        <f>IF(Inputs!$B$8&gt;=100,Sensitivity!H15,Sensitivity!H14)</f>
        <v/>
      </c>
    </row>
    <row r="228">
      <c r="A228" t="inlineStr">
        <is>
          <t>ALL</t>
        </is>
      </c>
      <c r="B228" t="inlineStr">
        <is>
          <t>unique</t>
        </is>
      </c>
      <c r="C228" t="n">
        <v>2</v>
      </c>
      <c r="D228" t="inlineStr">
        <is>
          <t>Attack Speed %</t>
        </is>
      </c>
      <c r="E228" t="n">
        <v>4</v>
      </c>
      <c r="F228" t="n">
        <v>1.9</v>
      </c>
      <c r="G228" t="b">
        <v>0</v>
      </c>
      <c r="H228">
        <f>Sensitivity!H16</f>
        <v/>
      </c>
    </row>
    <row r="229">
      <c r="A229" t="inlineStr">
        <is>
          <t>ALL</t>
        </is>
      </c>
      <c r="B229" t="inlineStr">
        <is>
          <t>unique</t>
        </is>
      </c>
      <c r="C229" t="n">
        <v>2</v>
      </c>
      <c r="D229" t="inlineStr">
        <is>
          <t>Attack Speed %</t>
        </is>
      </c>
      <c r="E229" t="n">
        <v>5</v>
      </c>
      <c r="F229" t="n">
        <v>0.6</v>
      </c>
      <c r="G229" t="b">
        <v>1</v>
      </c>
      <c r="H229">
        <f>Sensitivity!H16</f>
        <v/>
      </c>
    </row>
    <row r="230">
      <c r="A230" t="inlineStr">
        <is>
          <t>ALL</t>
        </is>
      </c>
      <c r="B230" t="inlineStr">
        <is>
          <t>unique</t>
        </is>
      </c>
      <c r="C230" t="n">
        <v>2</v>
      </c>
      <c r="D230" t="inlineStr">
        <is>
          <t>Damage %</t>
        </is>
      </c>
      <c r="E230" t="n">
        <v>12</v>
      </c>
      <c r="F230" t="n">
        <v>3.04</v>
      </c>
      <c r="G230" t="b">
        <v>0</v>
      </c>
      <c r="H230">
        <f>Sensitivity!H7</f>
        <v/>
      </c>
    </row>
    <row r="231">
      <c r="A231" t="inlineStr">
        <is>
          <t>ALL</t>
        </is>
      </c>
      <c r="B231" t="inlineStr">
        <is>
          <t>unique</t>
        </is>
      </c>
      <c r="C231" t="n">
        <v>2</v>
      </c>
      <c r="D231" t="inlineStr">
        <is>
          <t>Damage %</t>
        </is>
      </c>
      <c r="E231" t="n">
        <v>18</v>
      </c>
      <c r="F231" t="n">
        <v>0.96</v>
      </c>
      <c r="G231" t="b">
        <v>1</v>
      </c>
      <c r="H231">
        <f>Sensitivity!H7</f>
        <v/>
      </c>
    </row>
    <row r="232">
      <c r="A232" t="inlineStr">
        <is>
          <t>ALL</t>
        </is>
      </c>
      <c r="B232" t="inlineStr">
        <is>
          <t>unique</t>
        </is>
      </c>
      <c r="C232" t="n">
        <v>2</v>
      </c>
      <c r="D232" t="inlineStr">
        <is>
          <t>Min Damage Multiplier %</t>
        </is>
      </c>
      <c r="E232" t="n">
        <v>8</v>
      </c>
      <c r="F232" t="n">
        <v>3.04</v>
      </c>
      <c r="G232" t="b">
        <v>0</v>
      </c>
      <c r="H232">
        <f>Sensitivity!H12</f>
        <v/>
      </c>
    </row>
    <row r="233">
      <c r="A233" t="inlineStr">
        <is>
          <t>ALL</t>
        </is>
      </c>
      <c r="B233" t="inlineStr">
        <is>
          <t>unique</t>
        </is>
      </c>
      <c r="C233" t="n">
        <v>2</v>
      </c>
      <c r="D233" t="inlineStr">
        <is>
          <t>Min Damage Multiplier %</t>
        </is>
      </c>
      <c r="E233" t="n">
        <v>10</v>
      </c>
      <c r="F233" t="n">
        <v>0.96</v>
      </c>
      <c r="G233" t="b">
        <v>1</v>
      </c>
      <c r="H233">
        <f>Sensitivity!H12</f>
        <v/>
      </c>
    </row>
    <row r="234">
      <c r="A234" t="inlineStr">
        <is>
          <t>ALL</t>
        </is>
      </c>
      <c r="B234" t="inlineStr">
        <is>
          <t>unique</t>
        </is>
      </c>
      <c r="C234" t="n">
        <v>2</v>
      </c>
      <c r="D234" t="inlineStr">
        <is>
          <t>Max Damage Multiplier %</t>
        </is>
      </c>
      <c r="E234" t="n">
        <v>8</v>
      </c>
      <c r="F234" t="n">
        <v>3.04</v>
      </c>
      <c r="G234" t="b">
        <v>0</v>
      </c>
      <c r="H234">
        <f>Sensitivity!H13</f>
        <v/>
      </c>
    </row>
    <row r="235">
      <c r="A235" t="inlineStr">
        <is>
          <t>ALL</t>
        </is>
      </c>
      <c r="B235" t="inlineStr">
        <is>
          <t>unique</t>
        </is>
      </c>
      <c r="C235" t="n">
        <v>2</v>
      </c>
      <c r="D235" t="inlineStr">
        <is>
          <t>Max Damage Multiplier %</t>
        </is>
      </c>
      <c r="E235" t="n">
        <v>10</v>
      </c>
      <c r="F235" t="n">
        <v>0.96</v>
      </c>
      <c r="G235" t="b">
        <v>1</v>
      </c>
      <c r="H235">
        <f>Sensitivity!H13</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t="inlineStr">
        <is>
          <t>0</t>
        </is>
      </c>
    </row>
    <row r="239">
      <c r="A239" t="inlineStr">
        <is>
          <t>ALL</t>
        </is>
      </c>
      <c r="B239" t="inlineStr">
        <is>
          <t>unique</t>
        </is>
      </c>
      <c r="C239" t="n">
        <v>2</v>
      </c>
      <c r="D239" t="inlineStr">
        <is>
          <t>Dex %</t>
        </is>
      </c>
      <c r="E239" t="n">
        <v>9</v>
      </c>
      <c r="F239" t="n">
        <v>1.08</v>
      </c>
      <c r="G239" t="b">
        <v>1</v>
      </c>
      <c r="H239" t="inlineStr">
        <is>
          <t>0</t>
        </is>
      </c>
    </row>
    <row r="240">
      <c r="A240" t="inlineStr">
        <is>
          <t>ALL</t>
        </is>
      </c>
      <c r="B240" t="inlineStr">
        <is>
          <t>unique</t>
        </is>
      </c>
      <c r="C240" t="n">
        <v>2</v>
      </c>
      <c r="D240" t="inlineStr">
        <is>
          <t>Int %</t>
        </is>
      </c>
      <c r="E240" t="n">
        <v>6</v>
      </c>
      <c r="F240" t="n">
        <v>3.42</v>
      </c>
      <c r="G240" t="b">
        <v>0</v>
      </c>
      <c r="H240">
        <f>Sensitivity!H6</f>
        <v/>
      </c>
    </row>
    <row r="241">
      <c r="A241" t="inlineStr">
        <is>
          <t>ALL</t>
        </is>
      </c>
      <c r="B241" t="inlineStr">
        <is>
          <t>unique</t>
        </is>
      </c>
      <c r="C241" t="n">
        <v>2</v>
      </c>
      <c r="D241" t="inlineStr">
        <is>
          <t>Int %</t>
        </is>
      </c>
      <c r="E241" t="n">
        <v>9</v>
      </c>
      <c r="F241" t="n">
        <v>1.08</v>
      </c>
      <c r="G241" t="b">
        <v>1</v>
      </c>
      <c r="H241">
        <f>Sensitivity!H6</f>
        <v/>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t="inlineStr">
        <is>
          <t>0</t>
        </is>
      </c>
    </row>
    <row r="253">
      <c r="A253" t="inlineStr">
        <is>
          <t>ALL</t>
        </is>
      </c>
      <c r="B253" t="inlineStr">
        <is>
          <t>unique</t>
        </is>
      </c>
      <c r="C253" t="n">
        <v>2</v>
      </c>
      <c r="D253" t="inlineStr">
        <is>
          <t>Dex</t>
        </is>
      </c>
      <c r="E253" t="n">
        <v>400</v>
      </c>
      <c r="F253" t="n">
        <v>2.22</v>
      </c>
      <c r="G253" t="b">
        <v>1</v>
      </c>
      <c r="H253" t="inlineStr">
        <is>
          <t>0</t>
        </is>
      </c>
    </row>
    <row r="254">
      <c r="A254" t="inlineStr">
        <is>
          <t>ALL</t>
        </is>
      </c>
      <c r="B254" t="inlineStr">
        <is>
          <t>unique</t>
        </is>
      </c>
      <c r="C254" t="n">
        <v>2</v>
      </c>
      <c r="D254" t="inlineStr">
        <is>
          <t>Int</t>
        </is>
      </c>
      <c r="E254" t="n">
        <v>200</v>
      </c>
      <c r="F254" t="n">
        <v>7.03</v>
      </c>
      <c r="G254" t="b">
        <v>0</v>
      </c>
      <c r="H254">
        <f>Sensitivity!H5</f>
        <v/>
      </c>
    </row>
    <row r="255">
      <c r="A255" t="inlineStr">
        <is>
          <t>ALL</t>
        </is>
      </c>
      <c r="B255" t="inlineStr">
        <is>
          <t>unique</t>
        </is>
      </c>
      <c r="C255" t="n">
        <v>2</v>
      </c>
      <c r="D255" t="inlineStr">
        <is>
          <t>Int</t>
        </is>
      </c>
      <c r="E255" t="n">
        <v>400</v>
      </c>
      <c r="F255" t="n">
        <v>2.22</v>
      </c>
      <c r="G255" t="b">
        <v>1</v>
      </c>
      <c r="H255">
        <f>Sensitivity!H5</f>
        <v/>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IF(Inputs!$B$8&gt;=100,Sensitivity!H15,Sensitivity!H14)</f>
        <v/>
      </c>
    </row>
    <row r="259">
      <c r="A259" t="inlineStr">
        <is>
          <t>ALL</t>
        </is>
      </c>
      <c r="B259" t="inlineStr">
        <is>
          <t>unique</t>
        </is>
      </c>
      <c r="C259" t="n">
        <v>3</v>
      </c>
      <c r="D259" t="inlineStr">
        <is>
          <t>Critical Rate %</t>
        </is>
      </c>
      <c r="E259" t="n">
        <v>9</v>
      </c>
      <c r="F259" t="n">
        <v>0.2</v>
      </c>
      <c r="G259" t="b">
        <v>1</v>
      </c>
      <c r="H259">
        <f>IF(Inputs!$B$8&gt;=100,Sensitivity!H15,Sensitivity!H14)</f>
        <v/>
      </c>
    </row>
    <row r="260">
      <c r="A260" t="inlineStr">
        <is>
          <t>ALL</t>
        </is>
      </c>
      <c r="B260" t="inlineStr">
        <is>
          <t>unique</t>
        </is>
      </c>
      <c r="C260" t="n">
        <v>3</v>
      </c>
      <c r="D260" t="inlineStr">
        <is>
          <t>Attack Speed %</t>
        </is>
      </c>
      <c r="E260" t="n">
        <v>4</v>
      </c>
      <c r="F260" t="n">
        <v>2.3</v>
      </c>
      <c r="G260" t="b">
        <v>0</v>
      </c>
      <c r="H260">
        <f>Sensitivity!H16</f>
        <v/>
      </c>
    </row>
    <row r="261">
      <c r="A261" t="inlineStr">
        <is>
          <t>ALL</t>
        </is>
      </c>
      <c r="B261" t="inlineStr">
        <is>
          <t>unique</t>
        </is>
      </c>
      <c r="C261" t="n">
        <v>3</v>
      </c>
      <c r="D261" t="inlineStr">
        <is>
          <t>Attack Speed %</t>
        </is>
      </c>
      <c r="E261" t="n">
        <v>5</v>
      </c>
      <c r="F261" t="n">
        <v>0.2</v>
      </c>
      <c r="G261" t="b">
        <v>1</v>
      </c>
      <c r="H261">
        <f>Sensitivity!H16</f>
        <v/>
      </c>
    </row>
    <row r="262">
      <c r="A262" t="inlineStr">
        <is>
          <t>ALL</t>
        </is>
      </c>
      <c r="B262" t="inlineStr">
        <is>
          <t>unique</t>
        </is>
      </c>
      <c r="C262" t="n">
        <v>3</v>
      </c>
      <c r="D262" t="inlineStr">
        <is>
          <t>Damage %</t>
        </is>
      </c>
      <c r="E262" t="n">
        <v>12</v>
      </c>
      <c r="F262" t="n">
        <v>3.68</v>
      </c>
      <c r="G262" t="b">
        <v>0</v>
      </c>
      <c r="H262">
        <f>Sensitivity!H7</f>
        <v/>
      </c>
    </row>
    <row r="263">
      <c r="A263" t="inlineStr">
        <is>
          <t>ALL</t>
        </is>
      </c>
      <c r="B263" t="inlineStr">
        <is>
          <t>unique</t>
        </is>
      </c>
      <c r="C263" t="n">
        <v>3</v>
      </c>
      <c r="D263" t="inlineStr">
        <is>
          <t>Damage %</t>
        </is>
      </c>
      <c r="E263" t="n">
        <v>18</v>
      </c>
      <c r="F263" t="n">
        <v>0.32</v>
      </c>
      <c r="G263" t="b">
        <v>1</v>
      </c>
      <c r="H263">
        <f>Sensitivity!H7</f>
        <v/>
      </c>
    </row>
    <row r="264">
      <c r="A264" t="inlineStr">
        <is>
          <t>ALL</t>
        </is>
      </c>
      <c r="B264" t="inlineStr">
        <is>
          <t>unique</t>
        </is>
      </c>
      <c r="C264" t="n">
        <v>3</v>
      </c>
      <c r="D264" t="inlineStr">
        <is>
          <t>Min Damage Multiplier %</t>
        </is>
      </c>
      <c r="E264" t="n">
        <v>8</v>
      </c>
      <c r="F264" t="n">
        <v>3.68</v>
      </c>
      <c r="G264" t="b">
        <v>0</v>
      </c>
      <c r="H264">
        <f>Sensitivity!H12</f>
        <v/>
      </c>
    </row>
    <row r="265">
      <c r="A265" t="inlineStr">
        <is>
          <t>ALL</t>
        </is>
      </c>
      <c r="B265" t="inlineStr">
        <is>
          <t>unique</t>
        </is>
      </c>
      <c r="C265" t="n">
        <v>3</v>
      </c>
      <c r="D265" t="inlineStr">
        <is>
          <t>Min Damage Multiplier %</t>
        </is>
      </c>
      <c r="E265" t="n">
        <v>10</v>
      </c>
      <c r="F265" t="n">
        <v>0.32</v>
      </c>
      <c r="G265" t="b">
        <v>1</v>
      </c>
      <c r="H265">
        <f>Sensitivity!H12</f>
        <v/>
      </c>
    </row>
    <row r="266">
      <c r="A266" t="inlineStr">
        <is>
          <t>ALL</t>
        </is>
      </c>
      <c r="B266" t="inlineStr">
        <is>
          <t>unique</t>
        </is>
      </c>
      <c r="C266" t="n">
        <v>3</v>
      </c>
      <c r="D266" t="inlineStr">
        <is>
          <t>Max Damage Multiplier %</t>
        </is>
      </c>
      <c r="E266" t="n">
        <v>8</v>
      </c>
      <c r="F266" t="n">
        <v>3.68</v>
      </c>
      <c r="G266" t="b">
        <v>0</v>
      </c>
      <c r="H266">
        <f>Sensitivity!H13</f>
        <v/>
      </c>
    </row>
    <row r="267">
      <c r="A267" t="inlineStr">
        <is>
          <t>ALL</t>
        </is>
      </c>
      <c r="B267" t="inlineStr">
        <is>
          <t>unique</t>
        </is>
      </c>
      <c r="C267" t="n">
        <v>3</v>
      </c>
      <c r="D267" t="inlineStr">
        <is>
          <t>Max Damage Multiplier %</t>
        </is>
      </c>
      <c r="E267" t="n">
        <v>10</v>
      </c>
      <c r="F267" t="n">
        <v>0.32</v>
      </c>
      <c r="G267" t="b">
        <v>1</v>
      </c>
      <c r="H267">
        <f>Sensitivity!H13</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t="inlineStr">
        <is>
          <t>0</t>
        </is>
      </c>
    </row>
    <row r="271">
      <c r="A271" t="inlineStr">
        <is>
          <t>ALL</t>
        </is>
      </c>
      <c r="B271" t="inlineStr">
        <is>
          <t>unique</t>
        </is>
      </c>
      <c r="C271" t="n">
        <v>3</v>
      </c>
      <c r="D271" t="inlineStr">
        <is>
          <t>Dex %</t>
        </is>
      </c>
      <c r="E271" t="n">
        <v>9</v>
      </c>
      <c r="F271" t="n">
        <v>0.36</v>
      </c>
      <c r="G271" t="b">
        <v>1</v>
      </c>
      <c r="H271" t="inlineStr">
        <is>
          <t>0</t>
        </is>
      </c>
    </row>
    <row r="272">
      <c r="A272" t="inlineStr">
        <is>
          <t>ALL</t>
        </is>
      </c>
      <c r="B272" t="inlineStr">
        <is>
          <t>unique</t>
        </is>
      </c>
      <c r="C272" t="n">
        <v>3</v>
      </c>
      <c r="D272" t="inlineStr">
        <is>
          <t>Int %</t>
        </is>
      </c>
      <c r="E272" t="n">
        <v>6</v>
      </c>
      <c r="F272" t="n">
        <v>4.14</v>
      </c>
      <c r="G272" t="b">
        <v>0</v>
      </c>
      <c r="H272">
        <f>Sensitivity!H6</f>
        <v/>
      </c>
    </row>
    <row r="273">
      <c r="A273" t="inlineStr">
        <is>
          <t>ALL</t>
        </is>
      </c>
      <c r="B273" t="inlineStr">
        <is>
          <t>unique</t>
        </is>
      </c>
      <c r="C273" t="n">
        <v>3</v>
      </c>
      <c r="D273" t="inlineStr">
        <is>
          <t>Int %</t>
        </is>
      </c>
      <c r="E273" t="n">
        <v>9</v>
      </c>
      <c r="F273" t="n">
        <v>0.36</v>
      </c>
      <c r="G273" t="b">
        <v>1</v>
      </c>
      <c r="H273">
        <f>Sensitivity!H6</f>
        <v/>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t="inlineStr">
        <is>
          <t>0</t>
        </is>
      </c>
    </row>
    <row r="285">
      <c r="A285" t="inlineStr">
        <is>
          <t>ALL</t>
        </is>
      </c>
      <c r="B285" t="inlineStr">
        <is>
          <t>unique</t>
        </is>
      </c>
      <c r="C285" t="n">
        <v>3</v>
      </c>
      <c r="D285" t="inlineStr">
        <is>
          <t>Dex</t>
        </is>
      </c>
      <c r="E285" t="n">
        <v>400</v>
      </c>
      <c r="F285" t="n">
        <v>0.74</v>
      </c>
      <c r="G285" t="b">
        <v>1</v>
      </c>
      <c r="H285" t="inlineStr">
        <is>
          <t>0</t>
        </is>
      </c>
    </row>
    <row r="286">
      <c r="A286" t="inlineStr">
        <is>
          <t>ALL</t>
        </is>
      </c>
      <c r="B286" t="inlineStr">
        <is>
          <t>unique</t>
        </is>
      </c>
      <c r="C286" t="n">
        <v>3</v>
      </c>
      <c r="D286" t="inlineStr">
        <is>
          <t>Int</t>
        </is>
      </c>
      <c r="E286" t="n">
        <v>200</v>
      </c>
      <c r="F286" t="n">
        <v>8.51</v>
      </c>
      <c r="G286" t="b">
        <v>0</v>
      </c>
      <c r="H286">
        <f>Sensitivity!H5</f>
        <v/>
      </c>
    </row>
    <row r="287">
      <c r="A287" t="inlineStr">
        <is>
          <t>ALL</t>
        </is>
      </c>
      <c r="B287" t="inlineStr">
        <is>
          <t>unique</t>
        </is>
      </c>
      <c r="C287" t="n">
        <v>3</v>
      </c>
      <c r="D287" t="inlineStr">
        <is>
          <t>Int</t>
        </is>
      </c>
      <c r="E287" t="n">
        <v>400</v>
      </c>
      <c r="F287" t="n">
        <v>0.74</v>
      </c>
      <c r="G287" t="b">
        <v>1</v>
      </c>
      <c r="H287">
        <f>Sensitivity!H5</f>
        <v/>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IF(Inputs!$B$8&gt;=100,Sensitivity!H15,Sensitivity!H14)</f>
        <v/>
      </c>
    </row>
    <row r="291">
      <c r="A291" t="inlineStr">
        <is>
          <t>ALL</t>
        </is>
      </c>
      <c r="B291" t="inlineStr">
        <is>
          <t>legendary</t>
        </is>
      </c>
      <c r="C291" t="n">
        <v>1</v>
      </c>
      <c r="D291" t="inlineStr">
        <is>
          <t>Attack Speed %</t>
        </is>
      </c>
      <c r="E291" t="n">
        <v>7</v>
      </c>
      <c r="F291" t="n">
        <v>2.5</v>
      </c>
      <c r="G291" t="b">
        <v>0</v>
      </c>
      <c r="H291">
        <f>Sensitivity!H16</f>
        <v/>
      </c>
    </row>
    <row r="292">
      <c r="A292" t="inlineStr">
        <is>
          <t>ALL</t>
        </is>
      </c>
      <c r="B292" t="inlineStr">
        <is>
          <t>legendary</t>
        </is>
      </c>
      <c r="C292" t="n">
        <v>1</v>
      </c>
      <c r="D292" t="inlineStr">
        <is>
          <t>Damage %</t>
        </is>
      </c>
      <c r="E292" t="n">
        <v>25</v>
      </c>
      <c r="F292" t="n">
        <v>4</v>
      </c>
      <c r="G292" t="b">
        <v>0</v>
      </c>
      <c r="H292">
        <f>Sensitivity!H7</f>
        <v/>
      </c>
    </row>
    <row r="293">
      <c r="A293" t="inlineStr">
        <is>
          <t>ALL</t>
        </is>
      </c>
      <c r="B293" t="inlineStr">
        <is>
          <t>legendary</t>
        </is>
      </c>
      <c r="C293" t="n">
        <v>1</v>
      </c>
      <c r="D293" t="inlineStr">
        <is>
          <t>Min Damage Multiplier %</t>
        </is>
      </c>
      <c r="E293" t="n">
        <v>15</v>
      </c>
      <c r="F293" t="n">
        <v>4</v>
      </c>
      <c r="G293" t="b">
        <v>0</v>
      </c>
      <c r="H293">
        <f>Sensitivity!H12</f>
        <v/>
      </c>
    </row>
    <row r="294">
      <c r="A294" t="inlineStr">
        <is>
          <t>ALL</t>
        </is>
      </c>
      <c r="B294" t="inlineStr">
        <is>
          <t>legendary</t>
        </is>
      </c>
      <c r="C294" t="n">
        <v>1</v>
      </c>
      <c r="D294" t="inlineStr">
        <is>
          <t>Max Damage Multiplier %</t>
        </is>
      </c>
      <c r="E294" t="n">
        <v>15</v>
      </c>
      <c r="F294" t="n">
        <v>4</v>
      </c>
      <c r="G294" t="b">
        <v>0</v>
      </c>
      <c r="H294">
        <f>Sensitivity!H13</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t="inlineStr">
        <is>
          <t>0</t>
        </is>
      </c>
    </row>
    <row r="297">
      <c r="A297" t="inlineStr">
        <is>
          <t>ALL</t>
        </is>
      </c>
      <c r="B297" t="inlineStr">
        <is>
          <t>legendary</t>
        </is>
      </c>
      <c r="C297" t="n">
        <v>1</v>
      </c>
      <c r="D297" t="inlineStr">
        <is>
          <t>Int %</t>
        </is>
      </c>
      <c r="E297" t="n">
        <v>12</v>
      </c>
      <c r="F297" t="n">
        <v>4.5</v>
      </c>
      <c r="G297" t="b">
        <v>0</v>
      </c>
      <c r="H297">
        <f>Sensitivity!H6</f>
        <v/>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t="inlineStr">
        <is>
          <t>0</t>
        </is>
      </c>
    </row>
    <row r="304">
      <c r="A304" t="inlineStr">
        <is>
          <t>ALL</t>
        </is>
      </c>
      <c r="B304" t="inlineStr">
        <is>
          <t>legendary</t>
        </is>
      </c>
      <c r="C304" t="n">
        <v>1</v>
      </c>
      <c r="D304" t="inlineStr">
        <is>
          <t>Int</t>
        </is>
      </c>
      <c r="E304" t="n">
        <v>600</v>
      </c>
      <c r="F304" t="n">
        <v>9.25</v>
      </c>
      <c r="G304" t="b">
        <v>0</v>
      </c>
      <c r="H304">
        <f>Sensitivity!H5</f>
        <v/>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IF(Inputs!$B$8&gt;=100,Sensitivity!H15,Sensitivity!H14)</f>
        <v/>
      </c>
    </row>
    <row r="307">
      <c r="A307" t="inlineStr">
        <is>
          <t>ALL</t>
        </is>
      </c>
      <c r="B307" t="inlineStr">
        <is>
          <t>legendary</t>
        </is>
      </c>
      <c r="C307" t="n">
        <v>2</v>
      </c>
      <c r="D307" t="inlineStr">
        <is>
          <t>Critical Rate %</t>
        </is>
      </c>
      <c r="E307" t="n">
        <v>12</v>
      </c>
      <c r="F307" t="n">
        <v>0.6</v>
      </c>
      <c r="G307" t="b">
        <v>1</v>
      </c>
      <c r="H307">
        <f>IF(Inputs!$B$8&gt;=100,Sensitivity!H15,Sensitivity!H14)</f>
        <v/>
      </c>
    </row>
    <row r="308">
      <c r="A308" t="inlineStr">
        <is>
          <t>ALL</t>
        </is>
      </c>
      <c r="B308" t="inlineStr">
        <is>
          <t>legendary</t>
        </is>
      </c>
      <c r="C308" t="n">
        <v>2</v>
      </c>
      <c r="D308" t="inlineStr">
        <is>
          <t>Attack Speed %</t>
        </is>
      </c>
      <c r="E308" t="n">
        <v>5</v>
      </c>
      <c r="F308" t="n">
        <v>1.9</v>
      </c>
      <c r="G308" t="b">
        <v>0</v>
      </c>
      <c r="H308">
        <f>Sensitivity!H16</f>
        <v/>
      </c>
    </row>
    <row r="309">
      <c r="A309" t="inlineStr">
        <is>
          <t>ALL</t>
        </is>
      </c>
      <c r="B309" t="inlineStr">
        <is>
          <t>legendary</t>
        </is>
      </c>
      <c r="C309" t="n">
        <v>2</v>
      </c>
      <c r="D309" t="inlineStr">
        <is>
          <t>Attack Speed %</t>
        </is>
      </c>
      <c r="E309" t="n">
        <v>7</v>
      </c>
      <c r="F309" t="n">
        <v>0.6</v>
      </c>
      <c r="G309" t="b">
        <v>1</v>
      </c>
      <c r="H309">
        <f>Sensitivity!H16</f>
        <v/>
      </c>
    </row>
    <row r="310">
      <c r="A310" t="inlineStr">
        <is>
          <t>ALL</t>
        </is>
      </c>
      <c r="B310" t="inlineStr">
        <is>
          <t>legendary</t>
        </is>
      </c>
      <c r="C310" t="n">
        <v>2</v>
      </c>
      <c r="D310" t="inlineStr">
        <is>
          <t>Damage %</t>
        </is>
      </c>
      <c r="E310" t="n">
        <v>18</v>
      </c>
      <c r="F310" t="n">
        <v>3.04</v>
      </c>
      <c r="G310" t="b">
        <v>0</v>
      </c>
      <c r="H310">
        <f>Sensitivity!H7</f>
        <v/>
      </c>
    </row>
    <row r="311">
      <c r="A311" t="inlineStr">
        <is>
          <t>ALL</t>
        </is>
      </c>
      <c r="B311" t="inlineStr">
        <is>
          <t>legendary</t>
        </is>
      </c>
      <c r="C311" t="n">
        <v>2</v>
      </c>
      <c r="D311" t="inlineStr">
        <is>
          <t>Damage %</t>
        </is>
      </c>
      <c r="E311" t="n">
        <v>25</v>
      </c>
      <c r="F311" t="n">
        <v>0.96</v>
      </c>
      <c r="G311" t="b">
        <v>1</v>
      </c>
      <c r="H311">
        <f>Sensitivity!H7</f>
        <v/>
      </c>
    </row>
    <row r="312">
      <c r="A312" t="inlineStr">
        <is>
          <t>ALL</t>
        </is>
      </c>
      <c r="B312" t="inlineStr">
        <is>
          <t>legendary</t>
        </is>
      </c>
      <c r="C312" t="n">
        <v>2</v>
      </c>
      <c r="D312" t="inlineStr">
        <is>
          <t>Min Damage Multiplier %</t>
        </is>
      </c>
      <c r="E312" t="n">
        <v>10</v>
      </c>
      <c r="F312" t="n">
        <v>3.04</v>
      </c>
      <c r="G312" t="b">
        <v>0</v>
      </c>
      <c r="H312">
        <f>Sensitivity!H12</f>
        <v/>
      </c>
    </row>
    <row r="313">
      <c r="A313" t="inlineStr">
        <is>
          <t>ALL</t>
        </is>
      </c>
      <c r="B313" t="inlineStr">
        <is>
          <t>legendary</t>
        </is>
      </c>
      <c r="C313" t="n">
        <v>2</v>
      </c>
      <c r="D313" t="inlineStr">
        <is>
          <t>Min Damage Multiplier %</t>
        </is>
      </c>
      <c r="E313" t="n">
        <v>15</v>
      </c>
      <c r="F313" t="n">
        <v>0.96</v>
      </c>
      <c r="G313" t="b">
        <v>1</v>
      </c>
      <c r="H313">
        <f>Sensitivity!H12</f>
        <v/>
      </c>
    </row>
    <row r="314">
      <c r="A314" t="inlineStr">
        <is>
          <t>ALL</t>
        </is>
      </c>
      <c r="B314" t="inlineStr">
        <is>
          <t>legendary</t>
        </is>
      </c>
      <c r="C314" t="n">
        <v>2</v>
      </c>
      <c r="D314" t="inlineStr">
        <is>
          <t>Max Damage Multiplier %</t>
        </is>
      </c>
      <c r="E314" t="n">
        <v>10</v>
      </c>
      <c r="F314" t="n">
        <v>3.04</v>
      </c>
      <c r="G314" t="b">
        <v>0</v>
      </c>
      <c r="H314">
        <f>Sensitivity!H13</f>
        <v/>
      </c>
    </row>
    <row r="315">
      <c r="A315" t="inlineStr">
        <is>
          <t>ALL</t>
        </is>
      </c>
      <c r="B315" t="inlineStr">
        <is>
          <t>legendary</t>
        </is>
      </c>
      <c r="C315" t="n">
        <v>2</v>
      </c>
      <c r="D315" t="inlineStr">
        <is>
          <t>Max Damage Multiplier %</t>
        </is>
      </c>
      <c r="E315" t="n">
        <v>15</v>
      </c>
      <c r="F315" t="n">
        <v>0.96</v>
      </c>
      <c r="G315" t="b">
        <v>1</v>
      </c>
      <c r="H315">
        <f>Sensitivity!H13</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t="inlineStr">
        <is>
          <t>0</t>
        </is>
      </c>
    </row>
    <row r="319">
      <c r="A319" t="inlineStr">
        <is>
          <t>ALL</t>
        </is>
      </c>
      <c r="B319" t="inlineStr">
        <is>
          <t>legendary</t>
        </is>
      </c>
      <c r="C319" t="n">
        <v>2</v>
      </c>
      <c r="D319" t="inlineStr">
        <is>
          <t>Dex %</t>
        </is>
      </c>
      <c r="E319" t="n">
        <v>12</v>
      </c>
      <c r="F319" t="n">
        <v>1.08</v>
      </c>
      <c r="G319" t="b">
        <v>1</v>
      </c>
      <c r="H319" t="inlineStr">
        <is>
          <t>0</t>
        </is>
      </c>
    </row>
    <row r="320">
      <c r="A320" t="inlineStr">
        <is>
          <t>ALL</t>
        </is>
      </c>
      <c r="B320" t="inlineStr">
        <is>
          <t>legendary</t>
        </is>
      </c>
      <c r="C320" t="n">
        <v>2</v>
      </c>
      <c r="D320" t="inlineStr">
        <is>
          <t>Int %</t>
        </is>
      </c>
      <c r="E320" t="n">
        <v>9</v>
      </c>
      <c r="F320" t="n">
        <v>3.42</v>
      </c>
      <c r="G320" t="b">
        <v>0</v>
      </c>
      <c r="H320">
        <f>Sensitivity!H6</f>
        <v/>
      </c>
    </row>
    <row r="321">
      <c r="A321" t="inlineStr">
        <is>
          <t>ALL</t>
        </is>
      </c>
      <c r="B321" t="inlineStr">
        <is>
          <t>legendary</t>
        </is>
      </c>
      <c r="C321" t="n">
        <v>2</v>
      </c>
      <c r="D321" t="inlineStr">
        <is>
          <t>Int %</t>
        </is>
      </c>
      <c r="E321" t="n">
        <v>12</v>
      </c>
      <c r="F321" t="n">
        <v>1.08</v>
      </c>
      <c r="G321" t="b">
        <v>1</v>
      </c>
      <c r="H321">
        <f>Sensitivity!H6</f>
        <v/>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t="inlineStr">
        <is>
          <t>0</t>
        </is>
      </c>
    </row>
    <row r="333">
      <c r="A333" t="inlineStr">
        <is>
          <t>ALL</t>
        </is>
      </c>
      <c r="B333" t="inlineStr">
        <is>
          <t>legendary</t>
        </is>
      </c>
      <c r="C333" t="n">
        <v>2</v>
      </c>
      <c r="D333" t="inlineStr">
        <is>
          <t>Dex</t>
        </is>
      </c>
      <c r="E333" t="n">
        <v>600</v>
      </c>
      <c r="F333" t="n">
        <v>2.22</v>
      </c>
      <c r="G333" t="b">
        <v>1</v>
      </c>
      <c r="H333" t="inlineStr">
        <is>
          <t>0</t>
        </is>
      </c>
    </row>
    <row r="334">
      <c r="A334" t="inlineStr">
        <is>
          <t>ALL</t>
        </is>
      </c>
      <c r="B334" t="inlineStr">
        <is>
          <t>legendary</t>
        </is>
      </c>
      <c r="C334" t="n">
        <v>2</v>
      </c>
      <c r="D334" t="inlineStr">
        <is>
          <t>Int</t>
        </is>
      </c>
      <c r="E334" t="n">
        <v>400</v>
      </c>
      <c r="F334" t="n">
        <v>7.03</v>
      </c>
      <c r="G334" t="b">
        <v>0</v>
      </c>
      <c r="H334">
        <f>Sensitivity!H5</f>
        <v/>
      </c>
    </row>
    <row r="335">
      <c r="A335" t="inlineStr">
        <is>
          <t>ALL</t>
        </is>
      </c>
      <c r="B335" t="inlineStr">
        <is>
          <t>legendary</t>
        </is>
      </c>
      <c r="C335" t="n">
        <v>2</v>
      </c>
      <c r="D335" t="inlineStr">
        <is>
          <t>Int</t>
        </is>
      </c>
      <c r="E335" t="n">
        <v>600</v>
      </c>
      <c r="F335" t="n">
        <v>2.22</v>
      </c>
      <c r="G335" t="b">
        <v>1</v>
      </c>
      <c r="H335">
        <f>Sensitivity!H5</f>
        <v/>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IF(Inputs!$B$8&gt;=100,Sensitivity!H15,Sensitivity!H14)</f>
        <v/>
      </c>
    </row>
    <row r="339">
      <c r="A339" t="inlineStr">
        <is>
          <t>ALL</t>
        </is>
      </c>
      <c r="B339" t="inlineStr">
        <is>
          <t>legendary</t>
        </is>
      </c>
      <c r="C339" t="n">
        <v>3</v>
      </c>
      <c r="D339" t="inlineStr">
        <is>
          <t>Critical Rate %</t>
        </is>
      </c>
      <c r="E339" t="n">
        <v>12</v>
      </c>
      <c r="F339" t="n">
        <v>0.2</v>
      </c>
      <c r="G339" t="b">
        <v>1</v>
      </c>
      <c r="H339">
        <f>IF(Inputs!$B$8&gt;=100,Sensitivity!H15,Sensitivity!H14)</f>
        <v/>
      </c>
    </row>
    <row r="340">
      <c r="A340" t="inlineStr">
        <is>
          <t>ALL</t>
        </is>
      </c>
      <c r="B340" t="inlineStr">
        <is>
          <t>legendary</t>
        </is>
      </c>
      <c r="C340" t="n">
        <v>3</v>
      </c>
      <c r="D340" t="inlineStr">
        <is>
          <t>Attack Speed %</t>
        </is>
      </c>
      <c r="E340" t="n">
        <v>5</v>
      </c>
      <c r="F340" t="n">
        <v>2.3</v>
      </c>
      <c r="G340" t="b">
        <v>0</v>
      </c>
      <c r="H340">
        <f>Sensitivity!H16</f>
        <v/>
      </c>
    </row>
    <row r="341">
      <c r="A341" t="inlineStr">
        <is>
          <t>ALL</t>
        </is>
      </c>
      <c r="B341" t="inlineStr">
        <is>
          <t>legendary</t>
        </is>
      </c>
      <c r="C341" t="n">
        <v>3</v>
      </c>
      <c r="D341" t="inlineStr">
        <is>
          <t>Attack Speed %</t>
        </is>
      </c>
      <c r="E341" t="n">
        <v>7</v>
      </c>
      <c r="F341" t="n">
        <v>0.2</v>
      </c>
      <c r="G341" t="b">
        <v>1</v>
      </c>
      <c r="H341">
        <f>Sensitivity!H16</f>
        <v/>
      </c>
    </row>
    <row r="342">
      <c r="A342" t="inlineStr">
        <is>
          <t>ALL</t>
        </is>
      </c>
      <c r="B342" t="inlineStr">
        <is>
          <t>legendary</t>
        </is>
      </c>
      <c r="C342" t="n">
        <v>3</v>
      </c>
      <c r="D342" t="inlineStr">
        <is>
          <t>Damage %</t>
        </is>
      </c>
      <c r="E342" t="n">
        <v>18</v>
      </c>
      <c r="F342" t="n">
        <v>3.68</v>
      </c>
      <c r="G342" t="b">
        <v>0</v>
      </c>
      <c r="H342">
        <f>Sensitivity!H7</f>
        <v/>
      </c>
    </row>
    <row r="343">
      <c r="A343" t="inlineStr">
        <is>
          <t>ALL</t>
        </is>
      </c>
      <c r="B343" t="inlineStr">
        <is>
          <t>legendary</t>
        </is>
      </c>
      <c r="C343" t="n">
        <v>3</v>
      </c>
      <c r="D343" t="inlineStr">
        <is>
          <t>Damage %</t>
        </is>
      </c>
      <c r="E343" t="n">
        <v>25</v>
      </c>
      <c r="F343" t="n">
        <v>0.32</v>
      </c>
      <c r="G343" t="b">
        <v>1</v>
      </c>
      <c r="H343">
        <f>Sensitivity!H7</f>
        <v/>
      </c>
    </row>
    <row r="344">
      <c r="A344" t="inlineStr">
        <is>
          <t>ALL</t>
        </is>
      </c>
      <c r="B344" t="inlineStr">
        <is>
          <t>legendary</t>
        </is>
      </c>
      <c r="C344" t="n">
        <v>3</v>
      </c>
      <c r="D344" t="inlineStr">
        <is>
          <t>Min Damage Multiplier %</t>
        </is>
      </c>
      <c r="E344" t="n">
        <v>10</v>
      </c>
      <c r="F344" t="n">
        <v>3.68</v>
      </c>
      <c r="G344" t="b">
        <v>0</v>
      </c>
      <c r="H344">
        <f>Sensitivity!H12</f>
        <v/>
      </c>
    </row>
    <row r="345">
      <c r="A345" t="inlineStr">
        <is>
          <t>ALL</t>
        </is>
      </c>
      <c r="B345" t="inlineStr">
        <is>
          <t>legendary</t>
        </is>
      </c>
      <c r="C345" t="n">
        <v>3</v>
      </c>
      <c r="D345" t="inlineStr">
        <is>
          <t>Min Damage Multiplier %</t>
        </is>
      </c>
      <c r="E345" t="n">
        <v>15</v>
      </c>
      <c r="F345" t="n">
        <v>0.32</v>
      </c>
      <c r="G345" t="b">
        <v>1</v>
      </c>
      <c r="H345">
        <f>Sensitivity!H12</f>
        <v/>
      </c>
    </row>
    <row r="346">
      <c r="A346" t="inlineStr">
        <is>
          <t>ALL</t>
        </is>
      </c>
      <c r="B346" t="inlineStr">
        <is>
          <t>legendary</t>
        </is>
      </c>
      <c r="C346" t="n">
        <v>3</v>
      </c>
      <c r="D346" t="inlineStr">
        <is>
          <t>Max Damage Multiplier %</t>
        </is>
      </c>
      <c r="E346" t="n">
        <v>10</v>
      </c>
      <c r="F346" t="n">
        <v>3.68</v>
      </c>
      <c r="G346" t="b">
        <v>0</v>
      </c>
      <c r="H346">
        <f>Sensitivity!H13</f>
        <v/>
      </c>
    </row>
    <row r="347">
      <c r="A347" t="inlineStr">
        <is>
          <t>ALL</t>
        </is>
      </c>
      <c r="B347" t="inlineStr">
        <is>
          <t>legendary</t>
        </is>
      </c>
      <c r="C347" t="n">
        <v>3</v>
      </c>
      <c r="D347" t="inlineStr">
        <is>
          <t>Max Damage Multiplier %</t>
        </is>
      </c>
      <c r="E347" t="n">
        <v>15</v>
      </c>
      <c r="F347" t="n">
        <v>0.32</v>
      </c>
      <c r="G347" t="b">
        <v>1</v>
      </c>
      <c r="H347">
        <f>Sensitivity!H13</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t="inlineStr">
        <is>
          <t>0</t>
        </is>
      </c>
    </row>
    <row r="351">
      <c r="A351" t="inlineStr">
        <is>
          <t>ALL</t>
        </is>
      </c>
      <c r="B351" t="inlineStr">
        <is>
          <t>legendary</t>
        </is>
      </c>
      <c r="C351" t="n">
        <v>3</v>
      </c>
      <c r="D351" t="inlineStr">
        <is>
          <t>Dex %</t>
        </is>
      </c>
      <c r="E351" t="n">
        <v>12</v>
      </c>
      <c r="F351" t="n">
        <v>0.36</v>
      </c>
      <c r="G351" t="b">
        <v>1</v>
      </c>
      <c r="H351" t="inlineStr">
        <is>
          <t>0</t>
        </is>
      </c>
    </row>
    <row r="352">
      <c r="A352" t="inlineStr">
        <is>
          <t>ALL</t>
        </is>
      </c>
      <c r="B352" t="inlineStr">
        <is>
          <t>legendary</t>
        </is>
      </c>
      <c r="C352" t="n">
        <v>3</v>
      </c>
      <c r="D352" t="inlineStr">
        <is>
          <t>Int %</t>
        </is>
      </c>
      <c r="E352" t="n">
        <v>9</v>
      </c>
      <c r="F352" t="n">
        <v>4.14</v>
      </c>
      <c r="G352" t="b">
        <v>0</v>
      </c>
      <c r="H352">
        <f>Sensitivity!H6</f>
        <v/>
      </c>
    </row>
    <row r="353">
      <c r="A353" t="inlineStr">
        <is>
          <t>ALL</t>
        </is>
      </c>
      <c r="B353" t="inlineStr">
        <is>
          <t>legendary</t>
        </is>
      </c>
      <c r="C353" t="n">
        <v>3</v>
      </c>
      <c r="D353" t="inlineStr">
        <is>
          <t>Int %</t>
        </is>
      </c>
      <c r="E353" t="n">
        <v>12</v>
      </c>
      <c r="F353" t="n">
        <v>0.36</v>
      </c>
      <c r="G353" t="b">
        <v>1</v>
      </c>
      <c r="H353">
        <f>Sensitivity!H6</f>
        <v/>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t="inlineStr">
        <is>
          <t>0</t>
        </is>
      </c>
    </row>
    <row r="365">
      <c r="A365" t="inlineStr">
        <is>
          <t>ALL</t>
        </is>
      </c>
      <c r="B365" t="inlineStr">
        <is>
          <t>legendary</t>
        </is>
      </c>
      <c r="C365" t="n">
        <v>3</v>
      </c>
      <c r="D365" t="inlineStr">
        <is>
          <t>Dex</t>
        </is>
      </c>
      <c r="E365" t="n">
        <v>600</v>
      </c>
      <c r="F365" t="n">
        <v>0.74</v>
      </c>
      <c r="G365" t="b">
        <v>1</v>
      </c>
      <c r="H365" t="inlineStr">
        <is>
          <t>0</t>
        </is>
      </c>
    </row>
    <row r="366">
      <c r="A366" t="inlineStr">
        <is>
          <t>ALL</t>
        </is>
      </c>
      <c r="B366" t="inlineStr">
        <is>
          <t>legendary</t>
        </is>
      </c>
      <c r="C366" t="n">
        <v>3</v>
      </c>
      <c r="D366" t="inlineStr">
        <is>
          <t>Int</t>
        </is>
      </c>
      <c r="E366" t="n">
        <v>400</v>
      </c>
      <c r="F366" t="n">
        <v>8.51</v>
      </c>
      <c r="G366" t="b">
        <v>0</v>
      </c>
      <c r="H366">
        <f>Sensitivity!H5</f>
        <v/>
      </c>
    </row>
    <row r="367">
      <c r="A367" t="inlineStr">
        <is>
          <t>ALL</t>
        </is>
      </c>
      <c r="B367" t="inlineStr">
        <is>
          <t>legendary</t>
        </is>
      </c>
      <c r="C367" t="n">
        <v>3</v>
      </c>
      <c r="D367" t="inlineStr">
        <is>
          <t>Int</t>
        </is>
      </c>
      <c r="E367" t="n">
        <v>600</v>
      </c>
      <c r="F367" t="n">
        <v>0.74</v>
      </c>
      <c r="G367" t="b">
        <v>1</v>
      </c>
      <c r="H367">
        <f>Sensitivity!H5</f>
        <v/>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IF(Inputs!$B$8&gt;=100,Sensitivity!H15,Sensitivity!H14)</f>
        <v/>
      </c>
    </row>
    <row r="371">
      <c r="A371" t="inlineStr">
        <is>
          <t>ALL</t>
        </is>
      </c>
      <c r="B371" t="inlineStr">
        <is>
          <t>mystic</t>
        </is>
      </c>
      <c r="C371" t="n">
        <v>1</v>
      </c>
      <c r="D371" t="inlineStr">
        <is>
          <t>Attack Speed %</t>
        </is>
      </c>
      <c r="E371" t="n">
        <v>10</v>
      </c>
      <c r="F371" t="n">
        <v>2.5</v>
      </c>
      <c r="G371" t="b">
        <v>0</v>
      </c>
      <c r="H371">
        <f>Sensitivity!H16</f>
        <v/>
      </c>
    </row>
    <row r="372">
      <c r="A372" t="inlineStr">
        <is>
          <t>ALL</t>
        </is>
      </c>
      <c r="B372" t="inlineStr">
        <is>
          <t>mystic</t>
        </is>
      </c>
      <c r="C372" t="n">
        <v>1</v>
      </c>
      <c r="D372" t="inlineStr">
        <is>
          <t>Damage %</t>
        </is>
      </c>
      <c r="E372" t="n">
        <v>35</v>
      </c>
      <c r="F372" t="n">
        <v>4</v>
      </c>
      <c r="G372" t="b">
        <v>0</v>
      </c>
      <c r="H372">
        <f>Sensitivity!H7</f>
        <v/>
      </c>
    </row>
    <row r="373">
      <c r="A373" t="inlineStr">
        <is>
          <t>ALL</t>
        </is>
      </c>
      <c r="B373" t="inlineStr">
        <is>
          <t>mystic</t>
        </is>
      </c>
      <c r="C373" t="n">
        <v>1</v>
      </c>
      <c r="D373" t="inlineStr">
        <is>
          <t>Min Damage Multiplier %</t>
        </is>
      </c>
      <c r="E373" t="n">
        <v>25</v>
      </c>
      <c r="F373" t="n">
        <v>4</v>
      </c>
      <c r="G373" t="b">
        <v>0</v>
      </c>
      <c r="H373">
        <f>Sensitivity!H12</f>
        <v/>
      </c>
    </row>
    <row r="374">
      <c r="A374" t="inlineStr">
        <is>
          <t>ALL</t>
        </is>
      </c>
      <c r="B374" t="inlineStr">
        <is>
          <t>mystic</t>
        </is>
      </c>
      <c r="C374" t="n">
        <v>1</v>
      </c>
      <c r="D374" t="inlineStr">
        <is>
          <t>Max Damage Multiplier %</t>
        </is>
      </c>
      <c r="E374" t="n">
        <v>25</v>
      </c>
      <c r="F374" t="n">
        <v>4</v>
      </c>
      <c r="G374" t="b">
        <v>0</v>
      </c>
      <c r="H374">
        <f>Sensitivity!H13</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t="inlineStr">
        <is>
          <t>0</t>
        </is>
      </c>
    </row>
    <row r="377">
      <c r="A377" t="inlineStr">
        <is>
          <t>ALL</t>
        </is>
      </c>
      <c r="B377" t="inlineStr">
        <is>
          <t>mystic</t>
        </is>
      </c>
      <c r="C377" t="n">
        <v>1</v>
      </c>
      <c r="D377" t="inlineStr">
        <is>
          <t>Int %</t>
        </is>
      </c>
      <c r="E377" t="n">
        <v>15</v>
      </c>
      <c r="F377" t="n">
        <v>4.5</v>
      </c>
      <c r="G377" t="b">
        <v>0</v>
      </c>
      <c r="H377">
        <f>Sensitivity!H6</f>
        <v/>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t="inlineStr">
        <is>
          <t>0</t>
        </is>
      </c>
    </row>
    <row r="384">
      <c r="A384" t="inlineStr">
        <is>
          <t>ALL</t>
        </is>
      </c>
      <c r="B384" t="inlineStr">
        <is>
          <t>mystic</t>
        </is>
      </c>
      <c r="C384" t="n">
        <v>1</v>
      </c>
      <c r="D384" t="inlineStr">
        <is>
          <t>Int</t>
        </is>
      </c>
      <c r="E384" t="n">
        <v>1000</v>
      </c>
      <c r="F384" t="n">
        <v>9.25</v>
      </c>
      <c r="G384" t="b">
        <v>0</v>
      </c>
      <c r="H384">
        <f>Sensitivity!H5</f>
        <v/>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IF(Inputs!$B$8&gt;=100,Sensitivity!H15,Sensitivity!H14)</f>
        <v/>
      </c>
    </row>
    <row r="387">
      <c r="A387" t="inlineStr">
        <is>
          <t>ALL</t>
        </is>
      </c>
      <c r="B387" t="inlineStr">
        <is>
          <t>mystic</t>
        </is>
      </c>
      <c r="C387" t="n">
        <v>2</v>
      </c>
      <c r="D387" t="inlineStr">
        <is>
          <t>Critical Rate %</t>
        </is>
      </c>
      <c r="E387" t="n">
        <v>15</v>
      </c>
      <c r="F387" t="n">
        <v>0.6</v>
      </c>
      <c r="G387" t="b">
        <v>1</v>
      </c>
      <c r="H387">
        <f>IF(Inputs!$B$8&gt;=100,Sensitivity!H15,Sensitivity!H14)</f>
        <v/>
      </c>
    </row>
    <row r="388">
      <c r="A388" t="inlineStr">
        <is>
          <t>ALL</t>
        </is>
      </c>
      <c r="B388" t="inlineStr">
        <is>
          <t>mystic</t>
        </is>
      </c>
      <c r="C388" t="n">
        <v>2</v>
      </c>
      <c r="D388" t="inlineStr">
        <is>
          <t>Attack Speed %</t>
        </is>
      </c>
      <c r="E388" t="n">
        <v>7</v>
      </c>
      <c r="F388" t="n">
        <v>1.9</v>
      </c>
      <c r="G388" t="b">
        <v>0</v>
      </c>
      <c r="H388">
        <f>Sensitivity!H16</f>
        <v/>
      </c>
    </row>
    <row r="389">
      <c r="A389" t="inlineStr">
        <is>
          <t>ALL</t>
        </is>
      </c>
      <c r="B389" t="inlineStr">
        <is>
          <t>mystic</t>
        </is>
      </c>
      <c r="C389" t="n">
        <v>2</v>
      </c>
      <c r="D389" t="inlineStr">
        <is>
          <t>Attack Speed %</t>
        </is>
      </c>
      <c r="E389" t="n">
        <v>10</v>
      </c>
      <c r="F389" t="n">
        <v>0.6</v>
      </c>
      <c r="G389" t="b">
        <v>1</v>
      </c>
      <c r="H389">
        <f>Sensitivity!H16</f>
        <v/>
      </c>
    </row>
    <row r="390">
      <c r="A390" t="inlineStr">
        <is>
          <t>ALL</t>
        </is>
      </c>
      <c r="B390" t="inlineStr">
        <is>
          <t>mystic</t>
        </is>
      </c>
      <c r="C390" t="n">
        <v>2</v>
      </c>
      <c r="D390" t="inlineStr">
        <is>
          <t>Damage %</t>
        </is>
      </c>
      <c r="E390" t="n">
        <v>25</v>
      </c>
      <c r="F390" t="n">
        <v>3.04</v>
      </c>
      <c r="G390" t="b">
        <v>0</v>
      </c>
      <c r="H390">
        <f>Sensitivity!H7</f>
        <v/>
      </c>
    </row>
    <row r="391">
      <c r="A391" t="inlineStr">
        <is>
          <t>ALL</t>
        </is>
      </c>
      <c r="B391" t="inlineStr">
        <is>
          <t>mystic</t>
        </is>
      </c>
      <c r="C391" t="n">
        <v>2</v>
      </c>
      <c r="D391" t="inlineStr">
        <is>
          <t>Damage %</t>
        </is>
      </c>
      <c r="E391" t="n">
        <v>35</v>
      </c>
      <c r="F391" t="n">
        <v>0.96</v>
      </c>
      <c r="G391" t="b">
        <v>1</v>
      </c>
      <c r="H391">
        <f>Sensitivity!H7</f>
        <v/>
      </c>
    </row>
    <row r="392">
      <c r="A392" t="inlineStr">
        <is>
          <t>ALL</t>
        </is>
      </c>
      <c r="B392" t="inlineStr">
        <is>
          <t>mystic</t>
        </is>
      </c>
      <c r="C392" t="n">
        <v>2</v>
      </c>
      <c r="D392" t="inlineStr">
        <is>
          <t>Min Damage Multiplier %</t>
        </is>
      </c>
      <c r="E392" t="n">
        <v>15</v>
      </c>
      <c r="F392" t="n">
        <v>3.04</v>
      </c>
      <c r="G392" t="b">
        <v>0</v>
      </c>
      <c r="H392">
        <f>Sensitivity!H12</f>
        <v/>
      </c>
    </row>
    <row r="393">
      <c r="A393" t="inlineStr">
        <is>
          <t>ALL</t>
        </is>
      </c>
      <c r="B393" t="inlineStr">
        <is>
          <t>mystic</t>
        </is>
      </c>
      <c r="C393" t="n">
        <v>2</v>
      </c>
      <c r="D393" t="inlineStr">
        <is>
          <t>Min Damage Multiplier %</t>
        </is>
      </c>
      <c r="E393" t="n">
        <v>25</v>
      </c>
      <c r="F393" t="n">
        <v>0.96</v>
      </c>
      <c r="G393" t="b">
        <v>1</v>
      </c>
      <c r="H393">
        <f>Sensitivity!H12</f>
        <v/>
      </c>
    </row>
    <row r="394">
      <c r="A394" t="inlineStr">
        <is>
          <t>ALL</t>
        </is>
      </c>
      <c r="B394" t="inlineStr">
        <is>
          <t>mystic</t>
        </is>
      </c>
      <c r="C394" t="n">
        <v>2</v>
      </c>
      <c r="D394" t="inlineStr">
        <is>
          <t>Max Damage Multiplier %</t>
        </is>
      </c>
      <c r="E394" t="n">
        <v>15</v>
      </c>
      <c r="F394" t="n">
        <v>3.04</v>
      </c>
      <c r="G394" t="b">
        <v>0</v>
      </c>
      <c r="H394">
        <f>Sensitivity!H13</f>
        <v/>
      </c>
    </row>
    <row r="395">
      <c r="A395" t="inlineStr">
        <is>
          <t>ALL</t>
        </is>
      </c>
      <c r="B395" t="inlineStr">
        <is>
          <t>mystic</t>
        </is>
      </c>
      <c r="C395" t="n">
        <v>2</v>
      </c>
      <c r="D395" t="inlineStr">
        <is>
          <t>Max Damage Multiplier %</t>
        </is>
      </c>
      <c r="E395" t="n">
        <v>25</v>
      </c>
      <c r="F395" t="n">
        <v>0.96</v>
      </c>
      <c r="G395" t="b">
        <v>1</v>
      </c>
      <c r="H395">
        <f>Sensitivity!H13</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t="inlineStr">
        <is>
          <t>0</t>
        </is>
      </c>
    </row>
    <row r="399">
      <c r="A399" t="inlineStr">
        <is>
          <t>ALL</t>
        </is>
      </c>
      <c r="B399" t="inlineStr">
        <is>
          <t>mystic</t>
        </is>
      </c>
      <c r="C399" t="n">
        <v>2</v>
      </c>
      <c r="D399" t="inlineStr">
        <is>
          <t>Dex %</t>
        </is>
      </c>
      <c r="E399" t="n">
        <v>15</v>
      </c>
      <c r="F399" t="n">
        <v>1.08</v>
      </c>
      <c r="G399" t="b">
        <v>1</v>
      </c>
      <c r="H399" t="inlineStr">
        <is>
          <t>0</t>
        </is>
      </c>
    </row>
    <row r="400">
      <c r="A400" t="inlineStr">
        <is>
          <t>ALL</t>
        </is>
      </c>
      <c r="B400" t="inlineStr">
        <is>
          <t>mystic</t>
        </is>
      </c>
      <c r="C400" t="n">
        <v>2</v>
      </c>
      <c r="D400" t="inlineStr">
        <is>
          <t>Int %</t>
        </is>
      </c>
      <c r="E400" t="n">
        <v>12</v>
      </c>
      <c r="F400" t="n">
        <v>3.42</v>
      </c>
      <c r="G400" t="b">
        <v>0</v>
      </c>
      <c r="H400">
        <f>Sensitivity!H6</f>
        <v/>
      </c>
    </row>
    <row r="401">
      <c r="A401" t="inlineStr">
        <is>
          <t>ALL</t>
        </is>
      </c>
      <c r="B401" t="inlineStr">
        <is>
          <t>mystic</t>
        </is>
      </c>
      <c r="C401" t="n">
        <v>2</v>
      </c>
      <c r="D401" t="inlineStr">
        <is>
          <t>Int %</t>
        </is>
      </c>
      <c r="E401" t="n">
        <v>15</v>
      </c>
      <c r="F401" t="n">
        <v>1.08</v>
      </c>
      <c r="G401" t="b">
        <v>1</v>
      </c>
      <c r="H401">
        <f>Sensitivity!H6</f>
        <v/>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t="inlineStr">
        <is>
          <t>0</t>
        </is>
      </c>
    </row>
    <row r="413">
      <c r="A413" t="inlineStr">
        <is>
          <t>ALL</t>
        </is>
      </c>
      <c r="B413" t="inlineStr">
        <is>
          <t>mystic</t>
        </is>
      </c>
      <c r="C413" t="n">
        <v>2</v>
      </c>
      <c r="D413" t="inlineStr">
        <is>
          <t>Dex</t>
        </is>
      </c>
      <c r="E413" t="n">
        <v>1000</v>
      </c>
      <c r="F413" t="n">
        <v>2.22</v>
      </c>
      <c r="G413" t="b">
        <v>1</v>
      </c>
      <c r="H413" t="inlineStr">
        <is>
          <t>0</t>
        </is>
      </c>
    </row>
    <row r="414">
      <c r="A414" t="inlineStr">
        <is>
          <t>ALL</t>
        </is>
      </c>
      <c r="B414" t="inlineStr">
        <is>
          <t>mystic</t>
        </is>
      </c>
      <c r="C414" t="n">
        <v>2</v>
      </c>
      <c r="D414" t="inlineStr">
        <is>
          <t>Int</t>
        </is>
      </c>
      <c r="E414" t="n">
        <v>600</v>
      </c>
      <c r="F414" t="n">
        <v>7.03</v>
      </c>
      <c r="G414" t="b">
        <v>0</v>
      </c>
      <c r="H414">
        <f>Sensitivity!H5</f>
        <v/>
      </c>
    </row>
    <row r="415">
      <c r="A415" t="inlineStr">
        <is>
          <t>ALL</t>
        </is>
      </c>
      <c r="B415" t="inlineStr">
        <is>
          <t>mystic</t>
        </is>
      </c>
      <c r="C415" t="n">
        <v>2</v>
      </c>
      <c r="D415" t="inlineStr">
        <is>
          <t>Int</t>
        </is>
      </c>
      <c r="E415" t="n">
        <v>1000</v>
      </c>
      <c r="F415" t="n">
        <v>2.22</v>
      </c>
      <c r="G415" t="b">
        <v>1</v>
      </c>
      <c r="H415">
        <f>Sensitivity!H5</f>
        <v/>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IF(Inputs!$B$8&gt;=100,Sensitivity!H15,Sensitivity!H14)</f>
        <v/>
      </c>
    </row>
    <row r="419">
      <c r="A419" t="inlineStr">
        <is>
          <t>ALL</t>
        </is>
      </c>
      <c r="B419" t="inlineStr">
        <is>
          <t>mystic</t>
        </is>
      </c>
      <c r="C419" t="n">
        <v>3</v>
      </c>
      <c r="D419" t="inlineStr">
        <is>
          <t>Critical Rate %</t>
        </is>
      </c>
      <c r="E419" t="n">
        <v>15</v>
      </c>
      <c r="F419" t="n">
        <v>0.2</v>
      </c>
      <c r="G419" t="b">
        <v>1</v>
      </c>
      <c r="H419">
        <f>IF(Inputs!$B$8&gt;=100,Sensitivity!H15,Sensitivity!H14)</f>
        <v/>
      </c>
    </row>
    <row r="420">
      <c r="A420" t="inlineStr">
        <is>
          <t>ALL</t>
        </is>
      </c>
      <c r="B420" t="inlineStr">
        <is>
          <t>mystic</t>
        </is>
      </c>
      <c r="C420" t="n">
        <v>3</v>
      </c>
      <c r="D420" t="inlineStr">
        <is>
          <t>Attack Speed %</t>
        </is>
      </c>
      <c r="E420" t="n">
        <v>7</v>
      </c>
      <c r="F420" t="n">
        <v>2.3</v>
      </c>
      <c r="G420" t="b">
        <v>0</v>
      </c>
      <c r="H420">
        <f>Sensitivity!H16</f>
        <v/>
      </c>
    </row>
    <row r="421">
      <c r="A421" t="inlineStr">
        <is>
          <t>ALL</t>
        </is>
      </c>
      <c r="B421" t="inlineStr">
        <is>
          <t>mystic</t>
        </is>
      </c>
      <c r="C421" t="n">
        <v>3</v>
      </c>
      <c r="D421" t="inlineStr">
        <is>
          <t>Attack Speed %</t>
        </is>
      </c>
      <c r="E421" t="n">
        <v>10</v>
      </c>
      <c r="F421" t="n">
        <v>0.2</v>
      </c>
      <c r="G421" t="b">
        <v>1</v>
      </c>
      <c r="H421">
        <f>Sensitivity!H16</f>
        <v/>
      </c>
    </row>
    <row r="422">
      <c r="A422" t="inlineStr">
        <is>
          <t>ALL</t>
        </is>
      </c>
      <c r="B422" t="inlineStr">
        <is>
          <t>mystic</t>
        </is>
      </c>
      <c r="C422" t="n">
        <v>3</v>
      </c>
      <c r="D422" t="inlineStr">
        <is>
          <t>Damage %</t>
        </is>
      </c>
      <c r="E422" t="n">
        <v>25</v>
      </c>
      <c r="F422" t="n">
        <v>3.68</v>
      </c>
      <c r="G422" t="b">
        <v>0</v>
      </c>
      <c r="H422">
        <f>Sensitivity!H7</f>
        <v/>
      </c>
    </row>
    <row r="423">
      <c r="A423" t="inlineStr">
        <is>
          <t>ALL</t>
        </is>
      </c>
      <c r="B423" t="inlineStr">
        <is>
          <t>mystic</t>
        </is>
      </c>
      <c r="C423" t="n">
        <v>3</v>
      </c>
      <c r="D423" t="inlineStr">
        <is>
          <t>Damage %</t>
        </is>
      </c>
      <c r="E423" t="n">
        <v>35</v>
      </c>
      <c r="F423" t="n">
        <v>0.32</v>
      </c>
      <c r="G423" t="b">
        <v>1</v>
      </c>
      <c r="H423">
        <f>Sensitivity!H7</f>
        <v/>
      </c>
    </row>
    <row r="424">
      <c r="A424" t="inlineStr">
        <is>
          <t>ALL</t>
        </is>
      </c>
      <c r="B424" t="inlineStr">
        <is>
          <t>mystic</t>
        </is>
      </c>
      <c r="C424" t="n">
        <v>3</v>
      </c>
      <c r="D424" t="inlineStr">
        <is>
          <t>Min Damage Multiplier %</t>
        </is>
      </c>
      <c r="E424" t="n">
        <v>15</v>
      </c>
      <c r="F424" t="n">
        <v>3.68</v>
      </c>
      <c r="G424" t="b">
        <v>0</v>
      </c>
      <c r="H424">
        <f>Sensitivity!H12</f>
        <v/>
      </c>
    </row>
    <row r="425">
      <c r="A425" t="inlineStr">
        <is>
          <t>ALL</t>
        </is>
      </c>
      <c r="B425" t="inlineStr">
        <is>
          <t>mystic</t>
        </is>
      </c>
      <c r="C425" t="n">
        <v>3</v>
      </c>
      <c r="D425" t="inlineStr">
        <is>
          <t>Min Damage Multiplier %</t>
        </is>
      </c>
      <c r="E425" t="n">
        <v>25</v>
      </c>
      <c r="F425" t="n">
        <v>0.32</v>
      </c>
      <c r="G425" t="b">
        <v>1</v>
      </c>
      <c r="H425">
        <f>Sensitivity!H12</f>
        <v/>
      </c>
    </row>
    <row r="426">
      <c r="A426" t="inlineStr">
        <is>
          <t>ALL</t>
        </is>
      </c>
      <c r="B426" t="inlineStr">
        <is>
          <t>mystic</t>
        </is>
      </c>
      <c r="C426" t="n">
        <v>3</v>
      </c>
      <c r="D426" t="inlineStr">
        <is>
          <t>Max Damage Multiplier %</t>
        </is>
      </c>
      <c r="E426" t="n">
        <v>15</v>
      </c>
      <c r="F426" t="n">
        <v>3.68</v>
      </c>
      <c r="G426" t="b">
        <v>0</v>
      </c>
      <c r="H426">
        <f>Sensitivity!H13</f>
        <v/>
      </c>
    </row>
    <row r="427">
      <c r="A427" t="inlineStr">
        <is>
          <t>ALL</t>
        </is>
      </c>
      <c r="B427" t="inlineStr">
        <is>
          <t>mystic</t>
        </is>
      </c>
      <c r="C427" t="n">
        <v>3</v>
      </c>
      <c r="D427" t="inlineStr">
        <is>
          <t>Max Damage Multiplier %</t>
        </is>
      </c>
      <c r="E427" t="n">
        <v>25</v>
      </c>
      <c r="F427" t="n">
        <v>0.32</v>
      </c>
      <c r="G427" t="b">
        <v>1</v>
      </c>
      <c r="H427">
        <f>Sensitivity!H13</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t="inlineStr">
        <is>
          <t>0</t>
        </is>
      </c>
    </row>
    <row r="431">
      <c r="A431" t="inlineStr">
        <is>
          <t>ALL</t>
        </is>
      </c>
      <c r="B431" t="inlineStr">
        <is>
          <t>mystic</t>
        </is>
      </c>
      <c r="C431" t="n">
        <v>3</v>
      </c>
      <c r="D431" t="inlineStr">
        <is>
          <t>Dex %</t>
        </is>
      </c>
      <c r="E431" t="n">
        <v>15</v>
      </c>
      <c r="F431" t="n">
        <v>0.36</v>
      </c>
      <c r="G431" t="b">
        <v>1</v>
      </c>
      <c r="H431" t="inlineStr">
        <is>
          <t>0</t>
        </is>
      </c>
    </row>
    <row r="432">
      <c r="A432" t="inlineStr">
        <is>
          <t>ALL</t>
        </is>
      </c>
      <c r="B432" t="inlineStr">
        <is>
          <t>mystic</t>
        </is>
      </c>
      <c r="C432" t="n">
        <v>3</v>
      </c>
      <c r="D432" t="inlineStr">
        <is>
          <t>Int %</t>
        </is>
      </c>
      <c r="E432" t="n">
        <v>12</v>
      </c>
      <c r="F432" t="n">
        <v>4.14</v>
      </c>
      <c r="G432" t="b">
        <v>0</v>
      </c>
      <c r="H432">
        <f>Sensitivity!H6</f>
        <v/>
      </c>
    </row>
    <row r="433">
      <c r="A433" t="inlineStr">
        <is>
          <t>ALL</t>
        </is>
      </c>
      <c r="B433" t="inlineStr">
        <is>
          <t>mystic</t>
        </is>
      </c>
      <c r="C433" t="n">
        <v>3</v>
      </c>
      <c r="D433" t="inlineStr">
        <is>
          <t>Int %</t>
        </is>
      </c>
      <c r="E433" t="n">
        <v>15</v>
      </c>
      <c r="F433" t="n">
        <v>0.36</v>
      </c>
      <c r="G433" t="b">
        <v>1</v>
      </c>
      <c r="H433">
        <f>Sensitivity!H6</f>
        <v/>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t="inlineStr">
        <is>
          <t>0</t>
        </is>
      </c>
    </row>
    <row r="445">
      <c r="A445" t="inlineStr">
        <is>
          <t>ALL</t>
        </is>
      </c>
      <c r="B445" t="inlineStr">
        <is>
          <t>mystic</t>
        </is>
      </c>
      <c r="C445" t="n">
        <v>3</v>
      </c>
      <c r="D445" t="inlineStr">
        <is>
          <t>Dex</t>
        </is>
      </c>
      <c r="E445" t="n">
        <v>1000</v>
      </c>
      <c r="F445" t="n">
        <v>0.74</v>
      </c>
      <c r="G445" t="b">
        <v>1</v>
      </c>
      <c r="H445" t="inlineStr">
        <is>
          <t>0</t>
        </is>
      </c>
    </row>
    <row r="446">
      <c r="A446" t="inlineStr">
        <is>
          <t>ALL</t>
        </is>
      </c>
      <c r="B446" t="inlineStr">
        <is>
          <t>mystic</t>
        </is>
      </c>
      <c r="C446" t="n">
        <v>3</v>
      </c>
      <c r="D446" t="inlineStr">
        <is>
          <t>Int</t>
        </is>
      </c>
      <c r="E446" t="n">
        <v>600</v>
      </c>
      <c r="F446" t="n">
        <v>8.51</v>
      </c>
      <c r="G446" t="b">
        <v>0</v>
      </c>
      <c r="H446">
        <f>Sensitivity!H5</f>
        <v/>
      </c>
    </row>
    <row r="447">
      <c r="A447" t="inlineStr">
        <is>
          <t>ALL</t>
        </is>
      </c>
      <c r="B447" t="inlineStr">
        <is>
          <t>mystic</t>
        </is>
      </c>
      <c r="C447" t="n">
        <v>3</v>
      </c>
      <c r="D447" t="inlineStr">
        <is>
          <t>Int</t>
        </is>
      </c>
      <c r="E447" t="n">
        <v>1000</v>
      </c>
      <c r="F447" t="n">
        <v>0.74</v>
      </c>
      <c r="G447" t="b">
        <v>1</v>
      </c>
      <c r="H447">
        <f>Sensitivity!H5</f>
        <v/>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Sensitivity!H27</f>
        <v/>
      </c>
    </row>
    <row r="451">
      <c r="A451" t="inlineStr">
        <is>
          <t>head</t>
        </is>
      </c>
      <c r="B451" t="inlineStr">
        <is>
          <t>epic</t>
        </is>
      </c>
      <c r="C451" t="n">
        <v>2</v>
      </c>
      <c r="D451" t="inlineStr">
        <is>
          <t>Skill Cooldown Decrease (seconds)</t>
        </is>
      </c>
      <c r="E451" t="n">
        <v>0.5</v>
      </c>
      <c r="F451" t="n">
        <v>0.24</v>
      </c>
      <c r="G451" t="b">
        <v>1</v>
      </c>
      <c r="H451">
        <f>Sensitivity!H27</f>
        <v/>
      </c>
    </row>
    <row r="452">
      <c r="A452" t="inlineStr">
        <is>
          <t>head</t>
        </is>
      </c>
      <c r="B452" t="inlineStr">
        <is>
          <t>epic</t>
        </is>
      </c>
      <c r="C452" t="n">
        <v>3</v>
      </c>
      <c r="D452" t="inlineStr">
        <is>
          <t>Skill Cooldown Decrease (seconds)</t>
        </is>
      </c>
      <c r="E452" t="n">
        <v>0.5</v>
      </c>
      <c r="F452" t="n">
        <v>0.08</v>
      </c>
      <c r="G452" t="b">
        <v>1</v>
      </c>
      <c r="H452">
        <f>Sensitivity!H27</f>
        <v/>
      </c>
    </row>
    <row r="453">
      <c r="A453" t="inlineStr">
        <is>
          <t>head</t>
        </is>
      </c>
      <c r="B453" t="inlineStr">
        <is>
          <t>unique</t>
        </is>
      </c>
      <c r="C453" t="n">
        <v>1</v>
      </c>
      <c r="D453" t="inlineStr">
        <is>
          <t>Skill Cooldown Decrease (seconds)</t>
        </is>
      </c>
      <c r="E453" t="n">
        <v>1</v>
      </c>
      <c r="F453" t="n">
        <v>1</v>
      </c>
      <c r="G453" t="b">
        <v>1</v>
      </c>
      <c r="H453">
        <f>Sensitivity!H27</f>
        <v/>
      </c>
    </row>
    <row r="454">
      <c r="A454" t="inlineStr">
        <is>
          <t>head</t>
        </is>
      </c>
      <c r="B454" t="inlineStr">
        <is>
          <t>unique</t>
        </is>
      </c>
      <c r="C454" t="n">
        <v>2</v>
      </c>
      <c r="D454" t="inlineStr">
        <is>
          <t>Skill Cooldown Decrease (seconds)</t>
        </is>
      </c>
      <c r="E454" t="n">
        <v>1</v>
      </c>
      <c r="F454" t="n">
        <v>0.24</v>
      </c>
      <c r="G454" t="b">
        <v>1</v>
      </c>
      <c r="H454">
        <f>Sensitivity!H27</f>
        <v/>
      </c>
    </row>
    <row r="455">
      <c r="A455" t="inlineStr">
        <is>
          <t>head</t>
        </is>
      </c>
      <c r="B455" t="inlineStr">
        <is>
          <t>unique</t>
        </is>
      </c>
      <c r="C455" t="n">
        <v>2</v>
      </c>
      <c r="D455" t="inlineStr">
        <is>
          <t>Skill Cooldown Decrease (seconds)</t>
        </is>
      </c>
      <c r="E455" t="n">
        <v>0.5</v>
      </c>
      <c r="F455" t="n">
        <v>0.76</v>
      </c>
      <c r="G455" t="b">
        <v>0</v>
      </c>
      <c r="H455">
        <f>Sensitivity!H27</f>
        <v/>
      </c>
    </row>
    <row r="456">
      <c r="A456" t="inlineStr">
        <is>
          <t>head</t>
        </is>
      </c>
      <c r="B456" t="inlineStr">
        <is>
          <t>unique</t>
        </is>
      </c>
      <c r="C456" t="n">
        <v>3</v>
      </c>
      <c r="D456" t="inlineStr">
        <is>
          <t>Skill Cooldown Decrease (seconds)</t>
        </is>
      </c>
      <c r="E456" t="n">
        <v>1</v>
      </c>
      <c r="F456" t="n">
        <v>0.08</v>
      </c>
      <c r="G456" t="b">
        <v>1</v>
      </c>
      <c r="H456">
        <f>Sensitivity!H27</f>
        <v/>
      </c>
    </row>
    <row r="457">
      <c r="A457" t="inlineStr">
        <is>
          <t>head</t>
        </is>
      </c>
      <c r="B457" t="inlineStr">
        <is>
          <t>unique</t>
        </is>
      </c>
      <c r="C457" t="n">
        <v>3</v>
      </c>
      <c r="D457" t="inlineStr">
        <is>
          <t>Skill Cooldown Decrease (seconds)</t>
        </is>
      </c>
      <c r="E457" t="n">
        <v>0.5</v>
      </c>
      <c r="F457" t="n">
        <v>0.92</v>
      </c>
      <c r="G457" t="b">
        <v>0</v>
      </c>
      <c r="H457">
        <f>Sensitivity!H27</f>
        <v/>
      </c>
    </row>
    <row r="458">
      <c r="A458" t="inlineStr">
        <is>
          <t>head</t>
        </is>
      </c>
      <c r="B458" t="inlineStr">
        <is>
          <t>legendary</t>
        </is>
      </c>
      <c r="C458" t="n">
        <v>1</v>
      </c>
      <c r="D458" t="inlineStr">
        <is>
          <t>Skill Cooldown Decrease (seconds)</t>
        </is>
      </c>
      <c r="E458" t="n">
        <v>1.5</v>
      </c>
      <c r="F458" t="n">
        <v>1</v>
      </c>
      <c r="G458" t="b">
        <v>1</v>
      </c>
      <c r="H458">
        <f>Sensitivity!H27</f>
        <v/>
      </c>
    </row>
    <row r="459">
      <c r="A459" t="inlineStr">
        <is>
          <t>head</t>
        </is>
      </c>
      <c r="B459" t="inlineStr">
        <is>
          <t>legendary</t>
        </is>
      </c>
      <c r="C459" t="n">
        <v>2</v>
      </c>
      <c r="D459" t="inlineStr">
        <is>
          <t>Skill Cooldown Decrease (seconds)</t>
        </is>
      </c>
      <c r="E459" t="n">
        <v>1.5</v>
      </c>
      <c r="F459" t="n">
        <v>0.24</v>
      </c>
      <c r="G459" t="b">
        <v>1</v>
      </c>
      <c r="H459">
        <f>Sensitivity!H27</f>
        <v/>
      </c>
    </row>
    <row r="460">
      <c r="A460" t="inlineStr">
        <is>
          <t>head</t>
        </is>
      </c>
      <c r="B460" t="inlineStr">
        <is>
          <t>legendary</t>
        </is>
      </c>
      <c r="C460" t="n">
        <v>2</v>
      </c>
      <c r="D460" t="inlineStr">
        <is>
          <t>Skill Cooldown Decrease (seconds)</t>
        </is>
      </c>
      <c r="E460" t="n">
        <v>1</v>
      </c>
      <c r="F460" t="n">
        <v>0.76</v>
      </c>
      <c r="G460" t="b">
        <v>0</v>
      </c>
      <c r="H460">
        <f>Sensitivity!H27</f>
        <v/>
      </c>
    </row>
    <row r="461">
      <c r="A461" t="inlineStr">
        <is>
          <t>head</t>
        </is>
      </c>
      <c r="B461" t="inlineStr">
        <is>
          <t>legendary</t>
        </is>
      </c>
      <c r="C461" t="n">
        <v>3</v>
      </c>
      <c r="D461" t="inlineStr">
        <is>
          <t>Skill Cooldown Decrease (seconds)</t>
        </is>
      </c>
      <c r="E461" t="n">
        <v>1.5</v>
      </c>
      <c r="F461" t="n">
        <v>0.08</v>
      </c>
      <c r="G461" t="b">
        <v>1</v>
      </c>
      <c r="H461">
        <f>Sensitivity!H27</f>
        <v/>
      </c>
    </row>
    <row r="462">
      <c r="A462" t="inlineStr">
        <is>
          <t>head</t>
        </is>
      </c>
      <c r="B462" t="inlineStr">
        <is>
          <t>legendary</t>
        </is>
      </c>
      <c r="C462" t="n">
        <v>3</v>
      </c>
      <c r="D462" t="inlineStr">
        <is>
          <t>Skill Cooldown Decrease (seconds)</t>
        </is>
      </c>
      <c r="E462" t="n">
        <v>1</v>
      </c>
      <c r="F462" t="n">
        <v>0.92</v>
      </c>
      <c r="G462" t="b">
        <v>0</v>
      </c>
      <c r="H462">
        <f>Sensitivity!H27</f>
        <v/>
      </c>
    </row>
    <row r="463">
      <c r="A463" t="inlineStr">
        <is>
          <t>head</t>
        </is>
      </c>
      <c r="B463" t="inlineStr">
        <is>
          <t>mystic</t>
        </is>
      </c>
      <c r="C463" t="n">
        <v>1</v>
      </c>
      <c r="D463" t="inlineStr">
        <is>
          <t>Skill Cooldown Decrease (seconds)</t>
        </is>
      </c>
      <c r="E463" t="n">
        <v>2</v>
      </c>
      <c r="F463" t="n">
        <v>1</v>
      </c>
      <c r="G463" t="b">
        <v>1</v>
      </c>
      <c r="H463">
        <f>Sensitivity!H27</f>
        <v/>
      </c>
    </row>
    <row r="464">
      <c r="A464" t="inlineStr">
        <is>
          <t>head</t>
        </is>
      </c>
      <c r="B464" t="inlineStr">
        <is>
          <t>mystic</t>
        </is>
      </c>
      <c r="C464" t="n">
        <v>2</v>
      </c>
      <c r="D464" t="inlineStr">
        <is>
          <t>Skill Cooldown Decrease (seconds)</t>
        </is>
      </c>
      <c r="E464" t="n">
        <v>2</v>
      </c>
      <c r="F464" t="n">
        <v>0.24</v>
      </c>
      <c r="G464" t="b">
        <v>1</v>
      </c>
      <c r="H464">
        <f>Sensitivity!H27</f>
        <v/>
      </c>
    </row>
    <row r="465">
      <c r="A465" t="inlineStr">
        <is>
          <t>head</t>
        </is>
      </c>
      <c r="B465" t="inlineStr">
        <is>
          <t>mystic</t>
        </is>
      </c>
      <c r="C465" t="n">
        <v>2</v>
      </c>
      <c r="D465" t="inlineStr">
        <is>
          <t>Skill Cooldown Decrease (seconds)</t>
        </is>
      </c>
      <c r="E465" t="n">
        <v>1.5</v>
      </c>
      <c r="F465" t="n">
        <v>0.76</v>
      </c>
      <c r="G465" t="b">
        <v>0</v>
      </c>
      <c r="H465">
        <f>Sensitivity!H27</f>
        <v/>
      </c>
    </row>
    <row r="466">
      <c r="A466" t="inlineStr">
        <is>
          <t>head</t>
        </is>
      </c>
      <c r="B466" t="inlineStr">
        <is>
          <t>mystic</t>
        </is>
      </c>
      <c r="C466" t="n">
        <v>3</v>
      </c>
      <c r="D466" t="inlineStr">
        <is>
          <t>Skill Cooldown Decrease (seconds)</t>
        </is>
      </c>
      <c r="E466" t="n">
        <v>2</v>
      </c>
      <c r="F466" t="n">
        <v>0.08</v>
      </c>
      <c r="G466" t="b">
        <v>1</v>
      </c>
      <c r="H466">
        <f>Sensitivity!H27</f>
        <v/>
      </c>
    </row>
    <row r="467">
      <c r="A467" t="inlineStr">
        <is>
          <t>head</t>
        </is>
      </c>
      <c r="B467" t="inlineStr">
        <is>
          <t>mystic</t>
        </is>
      </c>
      <c r="C467" t="n">
        <v>3</v>
      </c>
      <c r="D467" t="inlineStr">
        <is>
          <t>Skill Cooldown Decrease (seconds)</t>
        </is>
      </c>
      <c r="E467" t="n">
        <v>1.5</v>
      </c>
      <c r="F467" t="n">
        <v>0.92</v>
      </c>
      <c r="G467" t="b">
        <v>0</v>
      </c>
      <c r="H467">
        <f>Sensitivity!H27</f>
        <v/>
      </c>
    </row>
    <row r="468">
      <c r="A468" t="inlineStr">
        <is>
          <t>cape</t>
        </is>
      </c>
      <c r="B468" t="inlineStr">
        <is>
          <t>epic</t>
        </is>
      </c>
      <c r="C468" t="n">
        <v>1</v>
      </c>
      <c r="D468" t="inlineStr">
        <is>
          <t>Final Damage %</t>
        </is>
      </c>
      <c r="E468" t="n">
        <v>3</v>
      </c>
      <c r="F468" t="n">
        <v>1</v>
      </c>
      <c r="G468" t="b">
        <v>1</v>
      </c>
      <c r="H468">
        <f>Sensitivity!H11</f>
        <v/>
      </c>
    </row>
    <row r="469">
      <c r="A469" t="inlineStr">
        <is>
          <t>cape</t>
        </is>
      </c>
      <c r="B469" t="inlineStr">
        <is>
          <t>epic</t>
        </is>
      </c>
      <c r="C469" t="n">
        <v>2</v>
      </c>
      <c r="D469" t="inlineStr">
        <is>
          <t>Final Damage %</t>
        </is>
      </c>
      <c r="E469" t="n">
        <v>3</v>
      </c>
      <c r="F469" t="n">
        <v>0.24</v>
      </c>
      <c r="G469" t="b">
        <v>1</v>
      </c>
      <c r="H469">
        <f>Sensitivity!H11</f>
        <v/>
      </c>
    </row>
    <row r="470">
      <c r="A470" t="inlineStr">
        <is>
          <t>cape</t>
        </is>
      </c>
      <c r="B470" t="inlineStr">
        <is>
          <t>epic</t>
        </is>
      </c>
      <c r="C470" t="n">
        <v>3</v>
      </c>
      <c r="D470" t="inlineStr">
        <is>
          <t>Final Damage %</t>
        </is>
      </c>
      <c r="E470" t="n">
        <v>3</v>
      </c>
      <c r="F470" t="n">
        <v>0.08</v>
      </c>
      <c r="G470" t="b">
        <v>1</v>
      </c>
      <c r="H470">
        <f>Sensitivity!H11</f>
        <v/>
      </c>
    </row>
    <row r="471">
      <c r="A471" t="inlineStr">
        <is>
          <t>cape</t>
        </is>
      </c>
      <c r="B471" t="inlineStr">
        <is>
          <t>unique</t>
        </is>
      </c>
      <c r="C471" t="n">
        <v>1</v>
      </c>
      <c r="D471" t="inlineStr">
        <is>
          <t>Final Damage %</t>
        </is>
      </c>
      <c r="E471" t="n">
        <v>5</v>
      </c>
      <c r="F471" t="n">
        <v>1</v>
      </c>
      <c r="G471" t="b">
        <v>1</v>
      </c>
      <c r="H471">
        <f>Sensitivity!H11</f>
        <v/>
      </c>
    </row>
    <row r="472">
      <c r="A472" t="inlineStr">
        <is>
          <t>cape</t>
        </is>
      </c>
      <c r="B472" t="inlineStr">
        <is>
          <t>unique</t>
        </is>
      </c>
      <c r="C472" t="n">
        <v>2</v>
      </c>
      <c r="D472" t="inlineStr">
        <is>
          <t>Final Damage %</t>
        </is>
      </c>
      <c r="E472" t="n">
        <v>5</v>
      </c>
      <c r="F472" t="n">
        <v>0.24</v>
      </c>
      <c r="G472" t="b">
        <v>1</v>
      </c>
      <c r="H472">
        <f>Sensitivity!H11</f>
        <v/>
      </c>
    </row>
    <row r="473">
      <c r="A473" t="inlineStr">
        <is>
          <t>cape</t>
        </is>
      </c>
      <c r="B473" t="inlineStr">
        <is>
          <t>unique</t>
        </is>
      </c>
      <c r="C473" t="n">
        <v>2</v>
      </c>
      <c r="D473" t="inlineStr">
        <is>
          <t>Final Damage %</t>
        </is>
      </c>
      <c r="E473" t="n">
        <v>3</v>
      </c>
      <c r="F473" t="n">
        <v>0.76</v>
      </c>
      <c r="G473" t="b">
        <v>0</v>
      </c>
      <c r="H473">
        <f>Sensitivity!H11</f>
        <v/>
      </c>
    </row>
    <row r="474">
      <c r="A474" t="inlineStr">
        <is>
          <t>cape</t>
        </is>
      </c>
      <c r="B474" t="inlineStr">
        <is>
          <t>unique</t>
        </is>
      </c>
      <c r="C474" t="n">
        <v>3</v>
      </c>
      <c r="D474" t="inlineStr">
        <is>
          <t>Final Damage %</t>
        </is>
      </c>
      <c r="E474" t="n">
        <v>5</v>
      </c>
      <c r="F474" t="n">
        <v>0.08</v>
      </c>
      <c r="G474" t="b">
        <v>1</v>
      </c>
      <c r="H474">
        <f>Sensitivity!H11</f>
        <v/>
      </c>
    </row>
    <row r="475">
      <c r="A475" t="inlineStr">
        <is>
          <t>cape</t>
        </is>
      </c>
      <c r="B475" t="inlineStr">
        <is>
          <t>unique</t>
        </is>
      </c>
      <c r="C475" t="n">
        <v>3</v>
      </c>
      <c r="D475" t="inlineStr">
        <is>
          <t>Final Damage %</t>
        </is>
      </c>
      <c r="E475" t="n">
        <v>3</v>
      </c>
      <c r="F475" t="n">
        <v>0.92</v>
      </c>
      <c r="G475" t="b">
        <v>0</v>
      </c>
      <c r="H475">
        <f>Sensitivity!H11</f>
        <v/>
      </c>
    </row>
    <row r="476">
      <c r="A476" t="inlineStr">
        <is>
          <t>cape</t>
        </is>
      </c>
      <c r="B476" t="inlineStr">
        <is>
          <t>legendary</t>
        </is>
      </c>
      <c r="C476" t="n">
        <v>1</v>
      </c>
      <c r="D476" t="inlineStr">
        <is>
          <t>Final Damage %</t>
        </is>
      </c>
      <c r="E476" t="n">
        <v>8</v>
      </c>
      <c r="F476" t="n">
        <v>1</v>
      </c>
      <c r="G476" t="b">
        <v>1</v>
      </c>
      <c r="H476">
        <f>Sensitivity!H11</f>
        <v/>
      </c>
    </row>
    <row r="477">
      <c r="A477" t="inlineStr">
        <is>
          <t>cape</t>
        </is>
      </c>
      <c r="B477" t="inlineStr">
        <is>
          <t>legendary</t>
        </is>
      </c>
      <c r="C477" t="n">
        <v>2</v>
      </c>
      <c r="D477" t="inlineStr">
        <is>
          <t>Final Damage %</t>
        </is>
      </c>
      <c r="E477" t="n">
        <v>8</v>
      </c>
      <c r="F477" t="n">
        <v>0.24</v>
      </c>
      <c r="G477" t="b">
        <v>1</v>
      </c>
      <c r="H477">
        <f>Sensitivity!H11</f>
        <v/>
      </c>
    </row>
    <row r="478">
      <c r="A478" t="inlineStr">
        <is>
          <t>cape</t>
        </is>
      </c>
      <c r="B478" t="inlineStr">
        <is>
          <t>legendary</t>
        </is>
      </c>
      <c r="C478" t="n">
        <v>2</v>
      </c>
      <c r="D478" t="inlineStr">
        <is>
          <t>Final Damage %</t>
        </is>
      </c>
      <c r="E478" t="n">
        <v>5</v>
      </c>
      <c r="F478" t="n">
        <v>0.76</v>
      </c>
      <c r="G478" t="b">
        <v>0</v>
      </c>
      <c r="H478">
        <f>Sensitivity!H11</f>
        <v/>
      </c>
    </row>
    <row r="479">
      <c r="A479" t="inlineStr">
        <is>
          <t>cape</t>
        </is>
      </c>
      <c r="B479" t="inlineStr">
        <is>
          <t>legendary</t>
        </is>
      </c>
      <c r="C479" t="n">
        <v>3</v>
      </c>
      <c r="D479" t="inlineStr">
        <is>
          <t>Final Damage %</t>
        </is>
      </c>
      <c r="E479" t="n">
        <v>8</v>
      </c>
      <c r="F479" t="n">
        <v>0.08</v>
      </c>
      <c r="G479" t="b">
        <v>1</v>
      </c>
      <c r="H479">
        <f>Sensitivity!H11</f>
        <v/>
      </c>
    </row>
    <row r="480">
      <c r="A480" t="inlineStr">
        <is>
          <t>cape</t>
        </is>
      </c>
      <c r="B480" t="inlineStr">
        <is>
          <t>legendary</t>
        </is>
      </c>
      <c r="C480" t="n">
        <v>3</v>
      </c>
      <c r="D480" t="inlineStr">
        <is>
          <t>Final Damage %</t>
        </is>
      </c>
      <c r="E480" t="n">
        <v>5</v>
      </c>
      <c r="F480" t="n">
        <v>0.92</v>
      </c>
      <c r="G480" t="b">
        <v>0</v>
      </c>
      <c r="H480">
        <f>Sensitivity!H11</f>
        <v/>
      </c>
    </row>
    <row r="481">
      <c r="A481" t="inlineStr">
        <is>
          <t>cape</t>
        </is>
      </c>
      <c r="B481" t="inlineStr">
        <is>
          <t>mystic</t>
        </is>
      </c>
      <c r="C481" t="n">
        <v>1</v>
      </c>
      <c r="D481" t="inlineStr">
        <is>
          <t>Final Damage %</t>
        </is>
      </c>
      <c r="E481" t="n">
        <v>12</v>
      </c>
      <c r="F481" t="n">
        <v>1</v>
      </c>
      <c r="G481" t="b">
        <v>1</v>
      </c>
      <c r="H481">
        <f>Sensitivity!H11</f>
        <v/>
      </c>
    </row>
    <row r="482">
      <c r="A482" t="inlineStr">
        <is>
          <t>cape</t>
        </is>
      </c>
      <c r="B482" t="inlineStr">
        <is>
          <t>mystic</t>
        </is>
      </c>
      <c r="C482" t="n">
        <v>2</v>
      </c>
      <c r="D482" t="inlineStr">
        <is>
          <t>Final Damage %</t>
        </is>
      </c>
      <c r="E482" t="n">
        <v>12</v>
      </c>
      <c r="F482" t="n">
        <v>0.24</v>
      </c>
      <c r="G482" t="b">
        <v>1</v>
      </c>
      <c r="H482">
        <f>Sensitivity!H11</f>
        <v/>
      </c>
    </row>
    <row r="483">
      <c r="A483" t="inlineStr">
        <is>
          <t>cape</t>
        </is>
      </c>
      <c r="B483" t="inlineStr">
        <is>
          <t>mystic</t>
        </is>
      </c>
      <c r="C483" t="n">
        <v>2</v>
      </c>
      <c r="D483" t="inlineStr">
        <is>
          <t>Final Damage %</t>
        </is>
      </c>
      <c r="E483" t="n">
        <v>8</v>
      </c>
      <c r="F483" t="n">
        <v>0.76</v>
      </c>
      <c r="G483" t="b">
        <v>0</v>
      </c>
      <c r="H483">
        <f>Sensitivity!H11</f>
        <v/>
      </c>
    </row>
    <row r="484">
      <c r="A484" t="inlineStr">
        <is>
          <t>cape</t>
        </is>
      </c>
      <c r="B484" t="inlineStr">
        <is>
          <t>mystic</t>
        </is>
      </c>
      <c r="C484" t="n">
        <v>3</v>
      </c>
      <c r="D484" t="inlineStr">
        <is>
          <t>Final Damage %</t>
        </is>
      </c>
      <c r="E484" t="n">
        <v>12</v>
      </c>
      <c r="F484" t="n">
        <v>0.08</v>
      </c>
      <c r="G484" t="b">
        <v>1</v>
      </c>
      <c r="H484">
        <f>Sensitivity!H11</f>
        <v/>
      </c>
    </row>
    <row r="485">
      <c r="A485" t="inlineStr">
        <is>
          <t>cape</t>
        </is>
      </c>
      <c r="B485" t="inlineStr">
        <is>
          <t>mystic</t>
        </is>
      </c>
      <c r="C485" t="n">
        <v>3</v>
      </c>
      <c r="D485" t="inlineStr">
        <is>
          <t>Final Damage %</t>
        </is>
      </c>
      <c r="E485" t="n">
        <v>8</v>
      </c>
      <c r="F485" t="n">
        <v>0.92</v>
      </c>
      <c r="G485" t="b">
        <v>0</v>
      </c>
      <c r="H485">
        <f>Sensitivity!H11</f>
        <v/>
      </c>
    </row>
    <row r="486">
      <c r="A486" t="inlineStr">
        <is>
          <t>chest</t>
        </is>
      </c>
      <c r="B486" t="inlineStr">
        <is>
          <t>unique</t>
        </is>
      </c>
      <c r="C486" t="n">
        <v>1</v>
      </c>
      <c r="D486" t="inlineStr">
        <is>
          <t>Basic Attack Target Increase</t>
        </is>
      </c>
      <c r="E486" t="n">
        <v>1</v>
      </c>
      <c r="F486" t="n">
        <v>1</v>
      </c>
      <c r="G486" t="b">
        <v>1</v>
      </c>
      <c r="H486">
        <f>Sensitivity!H28</f>
        <v/>
      </c>
    </row>
    <row r="487">
      <c r="A487" t="inlineStr">
        <is>
          <t>chest</t>
        </is>
      </c>
      <c r="B487" t="inlineStr">
        <is>
          <t>unique</t>
        </is>
      </c>
      <c r="C487" t="n">
        <v>2</v>
      </c>
      <c r="D487" t="inlineStr">
        <is>
          <t>Basic Attack Target Increase</t>
        </is>
      </c>
      <c r="E487" t="n">
        <v>1</v>
      </c>
      <c r="F487" t="n">
        <v>0.24</v>
      </c>
      <c r="G487" t="b">
        <v>1</v>
      </c>
      <c r="H487">
        <f>Sensitivity!H28</f>
        <v/>
      </c>
    </row>
    <row r="488">
      <c r="A488" t="inlineStr">
        <is>
          <t>chest</t>
        </is>
      </c>
      <c r="B488" t="inlineStr">
        <is>
          <t>unique</t>
        </is>
      </c>
      <c r="C488" t="n">
        <v>3</v>
      </c>
      <c r="D488" t="inlineStr">
        <is>
          <t>Basic Attack Target Increase</t>
        </is>
      </c>
      <c r="E488" t="n">
        <v>1</v>
      </c>
      <c r="F488" t="n">
        <v>0.08</v>
      </c>
      <c r="G488" t="b">
        <v>1</v>
      </c>
      <c r="H488">
        <f>Sensitivity!H28</f>
        <v/>
      </c>
    </row>
    <row r="489">
      <c r="A489" t="inlineStr">
        <is>
          <t>chest</t>
        </is>
      </c>
      <c r="B489" t="inlineStr">
        <is>
          <t>legendary</t>
        </is>
      </c>
      <c r="C489" t="n">
        <v>1</v>
      </c>
      <c r="D489" t="inlineStr">
        <is>
          <t>Basic Attack Target Increase</t>
        </is>
      </c>
      <c r="E489" t="n">
        <v>2</v>
      </c>
      <c r="F489" t="n">
        <v>1</v>
      </c>
      <c r="G489" t="b">
        <v>1</v>
      </c>
      <c r="H489">
        <f>Sensitivity!H28</f>
        <v/>
      </c>
    </row>
    <row r="490">
      <c r="A490" t="inlineStr">
        <is>
          <t>chest</t>
        </is>
      </c>
      <c r="B490" t="inlineStr">
        <is>
          <t>legendary</t>
        </is>
      </c>
      <c r="C490" t="n">
        <v>2</v>
      </c>
      <c r="D490" t="inlineStr">
        <is>
          <t>Basic Attack Target Increase</t>
        </is>
      </c>
      <c r="E490" t="n">
        <v>2</v>
      </c>
      <c r="F490" t="n">
        <v>0.24</v>
      </c>
      <c r="G490" t="b">
        <v>1</v>
      </c>
      <c r="H490">
        <f>Sensitivity!H28</f>
        <v/>
      </c>
    </row>
    <row r="491">
      <c r="A491" t="inlineStr">
        <is>
          <t>chest</t>
        </is>
      </c>
      <c r="B491" t="inlineStr">
        <is>
          <t>legendary</t>
        </is>
      </c>
      <c r="C491" t="n">
        <v>2</v>
      </c>
      <c r="D491" t="inlineStr">
        <is>
          <t>Basic Attack Target Increase</t>
        </is>
      </c>
      <c r="E491" t="n">
        <v>1</v>
      </c>
      <c r="F491" t="n">
        <v>0.76</v>
      </c>
      <c r="G491" t="b">
        <v>0</v>
      </c>
      <c r="H491">
        <f>Sensitivity!H28</f>
        <v/>
      </c>
    </row>
    <row r="492">
      <c r="A492" t="inlineStr">
        <is>
          <t>chest</t>
        </is>
      </c>
      <c r="B492" t="inlineStr">
        <is>
          <t>legendary</t>
        </is>
      </c>
      <c r="C492" t="n">
        <v>3</v>
      </c>
      <c r="D492" t="inlineStr">
        <is>
          <t>Basic Attack Target Increase</t>
        </is>
      </c>
      <c r="E492" t="n">
        <v>2</v>
      </c>
      <c r="F492" t="n">
        <v>0.08</v>
      </c>
      <c r="G492" t="b">
        <v>1</v>
      </c>
      <c r="H492">
        <f>Sensitivity!H28</f>
        <v/>
      </c>
    </row>
    <row r="493">
      <c r="A493" t="inlineStr">
        <is>
          <t>chest</t>
        </is>
      </c>
      <c r="B493" t="inlineStr">
        <is>
          <t>legendary</t>
        </is>
      </c>
      <c r="C493" t="n">
        <v>3</v>
      </c>
      <c r="D493" t="inlineStr">
        <is>
          <t>Basic Attack Target Increase</t>
        </is>
      </c>
      <c r="E493" t="n">
        <v>1</v>
      </c>
      <c r="F493" t="n">
        <v>0.92</v>
      </c>
      <c r="G493" t="b">
        <v>0</v>
      </c>
      <c r="H493">
        <f>Sensitivity!H28</f>
        <v/>
      </c>
    </row>
    <row r="494">
      <c r="A494" t="inlineStr">
        <is>
          <t>chest</t>
        </is>
      </c>
      <c r="B494" t="inlineStr">
        <is>
          <t>mystic</t>
        </is>
      </c>
      <c r="C494" t="n">
        <v>1</v>
      </c>
      <c r="D494" t="inlineStr">
        <is>
          <t>Basic Attack Target Increase</t>
        </is>
      </c>
      <c r="E494" t="n">
        <v>3</v>
      </c>
      <c r="F494" t="n">
        <v>1</v>
      </c>
      <c r="G494" t="b">
        <v>1</v>
      </c>
      <c r="H494">
        <f>Sensitivity!H28</f>
        <v/>
      </c>
    </row>
    <row r="495">
      <c r="A495" t="inlineStr">
        <is>
          <t>chest</t>
        </is>
      </c>
      <c r="B495" t="inlineStr">
        <is>
          <t>mystic</t>
        </is>
      </c>
      <c r="C495" t="n">
        <v>2</v>
      </c>
      <c r="D495" t="inlineStr">
        <is>
          <t>Basic Attack Target Increase</t>
        </is>
      </c>
      <c r="E495" t="n">
        <v>3</v>
      </c>
      <c r="F495" t="n">
        <v>0.24</v>
      </c>
      <c r="G495" t="b">
        <v>1</v>
      </c>
      <c r="H495">
        <f>Sensitivity!H28</f>
        <v/>
      </c>
    </row>
    <row r="496">
      <c r="A496" t="inlineStr">
        <is>
          <t>chest</t>
        </is>
      </c>
      <c r="B496" t="inlineStr">
        <is>
          <t>mystic</t>
        </is>
      </c>
      <c r="C496" t="n">
        <v>2</v>
      </c>
      <c r="D496" t="inlineStr">
        <is>
          <t>Basic Attack Target Increase</t>
        </is>
      </c>
      <c r="E496" t="n">
        <v>2</v>
      </c>
      <c r="F496" t="n">
        <v>0.76</v>
      </c>
      <c r="G496" t="b">
        <v>0</v>
      </c>
      <c r="H496">
        <f>Sensitivity!H28</f>
        <v/>
      </c>
    </row>
    <row r="497">
      <c r="A497" t="inlineStr">
        <is>
          <t>chest</t>
        </is>
      </c>
      <c r="B497" t="inlineStr">
        <is>
          <t>mystic</t>
        </is>
      </c>
      <c r="C497" t="n">
        <v>3</v>
      </c>
      <c r="D497" t="inlineStr">
        <is>
          <t>Basic Attack Target Increase</t>
        </is>
      </c>
      <c r="E497" t="n">
        <v>3</v>
      </c>
      <c r="F497" t="n">
        <v>0.08</v>
      </c>
      <c r="G497" t="b">
        <v>1</v>
      </c>
      <c r="H497">
        <f>Sensitivity!H28</f>
        <v/>
      </c>
    </row>
    <row r="498">
      <c r="A498" t="inlineStr">
        <is>
          <t>chest</t>
        </is>
      </c>
      <c r="B498" t="inlineStr">
        <is>
          <t>mystic</t>
        </is>
      </c>
      <c r="C498" t="n">
        <v>3</v>
      </c>
      <c r="D498" t="inlineStr">
        <is>
          <t>Basic Attack Target Increase</t>
        </is>
      </c>
      <c r="E498" t="n">
        <v>2</v>
      </c>
      <c r="F498" t="n">
        <v>0.92</v>
      </c>
      <c r="G498" t="b">
        <v>0</v>
      </c>
      <c r="H498">
        <f>Sensitivity!H28</f>
        <v/>
      </c>
    </row>
    <row r="499">
      <c r="A499" t="inlineStr">
        <is>
          <t>shoulders</t>
        </is>
      </c>
      <c r="B499" t="inlineStr">
        <is>
          <t>unique</t>
        </is>
      </c>
      <c r="C499" t="n">
        <v>1</v>
      </c>
      <c r="D499" t="inlineStr">
        <is>
          <t>Defense Penetration</t>
        </is>
      </c>
      <c r="E499" t="n">
        <v>8</v>
      </c>
      <c r="F499" t="n">
        <v>1</v>
      </c>
      <c r="G499" t="b">
        <v>1</v>
      </c>
      <c r="H499">
        <f>Sensitivity!H17</f>
        <v/>
      </c>
    </row>
    <row r="500">
      <c r="A500" t="inlineStr">
        <is>
          <t>shoulders</t>
        </is>
      </c>
      <c r="B500" t="inlineStr">
        <is>
          <t>unique</t>
        </is>
      </c>
      <c r="C500" t="n">
        <v>2</v>
      </c>
      <c r="D500" t="inlineStr">
        <is>
          <t>Defense Penetration</t>
        </is>
      </c>
      <c r="E500" t="n">
        <v>8</v>
      </c>
      <c r="F500" t="n">
        <v>0.24</v>
      </c>
      <c r="G500" t="b">
        <v>1</v>
      </c>
      <c r="H500">
        <f>Sensitivity!H17</f>
        <v/>
      </c>
    </row>
    <row r="501">
      <c r="A501" t="inlineStr">
        <is>
          <t>shoulders</t>
        </is>
      </c>
      <c r="B501" t="inlineStr">
        <is>
          <t>unique</t>
        </is>
      </c>
      <c r="C501" t="n">
        <v>3</v>
      </c>
      <c r="D501" t="inlineStr">
        <is>
          <t>Defense Penetration</t>
        </is>
      </c>
      <c r="E501" t="n">
        <v>8</v>
      </c>
      <c r="F501" t="n">
        <v>0.08</v>
      </c>
      <c r="G501" t="b">
        <v>1</v>
      </c>
      <c r="H501">
        <f>Sensitivity!H17</f>
        <v/>
      </c>
    </row>
    <row r="502">
      <c r="A502" t="inlineStr">
        <is>
          <t>shoulders</t>
        </is>
      </c>
      <c r="B502" t="inlineStr">
        <is>
          <t>legendary</t>
        </is>
      </c>
      <c r="C502" t="n">
        <v>1</v>
      </c>
      <c r="D502" t="inlineStr">
        <is>
          <t>Defense Penetration</t>
        </is>
      </c>
      <c r="E502" t="n">
        <v>12</v>
      </c>
      <c r="F502" t="n">
        <v>1</v>
      </c>
      <c r="G502" t="b">
        <v>1</v>
      </c>
      <c r="H502">
        <f>Sensitivity!H17</f>
        <v/>
      </c>
    </row>
    <row r="503">
      <c r="A503" t="inlineStr">
        <is>
          <t>shoulders</t>
        </is>
      </c>
      <c r="B503" t="inlineStr">
        <is>
          <t>legendary</t>
        </is>
      </c>
      <c r="C503" t="n">
        <v>2</v>
      </c>
      <c r="D503" t="inlineStr">
        <is>
          <t>Defense Penetration</t>
        </is>
      </c>
      <c r="E503" t="n">
        <v>12</v>
      </c>
      <c r="F503" t="n">
        <v>0.24</v>
      </c>
      <c r="G503" t="b">
        <v>1</v>
      </c>
      <c r="H503">
        <f>Sensitivity!H17</f>
        <v/>
      </c>
    </row>
    <row r="504">
      <c r="A504" t="inlineStr">
        <is>
          <t>shoulders</t>
        </is>
      </c>
      <c r="B504" t="inlineStr">
        <is>
          <t>legendary</t>
        </is>
      </c>
      <c r="C504" t="n">
        <v>2</v>
      </c>
      <c r="D504" t="inlineStr">
        <is>
          <t>Defense Penetration</t>
        </is>
      </c>
      <c r="E504" t="n">
        <v>8</v>
      </c>
      <c r="F504" t="n">
        <v>0.76</v>
      </c>
      <c r="G504" t="b">
        <v>0</v>
      </c>
      <c r="H504">
        <f>Sensitivity!H17</f>
        <v/>
      </c>
    </row>
    <row r="505">
      <c r="A505" t="inlineStr">
        <is>
          <t>shoulders</t>
        </is>
      </c>
      <c r="B505" t="inlineStr">
        <is>
          <t>legendary</t>
        </is>
      </c>
      <c r="C505" t="n">
        <v>3</v>
      </c>
      <c r="D505" t="inlineStr">
        <is>
          <t>Defense Penetration</t>
        </is>
      </c>
      <c r="E505" t="n">
        <v>12</v>
      </c>
      <c r="F505" t="n">
        <v>0.08</v>
      </c>
      <c r="G505" t="b">
        <v>1</v>
      </c>
      <c r="H505">
        <f>Sensitivity!H17</f>
        <v/>
      </c>
    </row>
    <row r="506">
      <c r="A506" t="inlineStr">
        <is>
          <t>shoulders</t>
        </is>
      </c>
      <c r="B506" t="inlineStr">
        <is>
          <t>legendary</t>
        </is>
      </c>
      <c r="C506" t="n">
        <v>3</v>
      </c>
      <c r="D506" t="inlineStr">
        <is>
          <t>Defense Penetration</t>
        </is>
      </c>
      <c r="E506" t="n">
        <v>8</v>
      </c>
      <c r="F506" t="n">
        <v>0.92</v>
      </c>
      <c r="G506" t="b">
        <v>0</v>
      </c>
      <c r="H506">
        <f>Sensitivity!H17</f>
        <v/>
      </c>
    </row>
    <row r="507">
      <c r="A507" t="inlineStr">
        <is>
          <t>shoulders</t>
        </is>
      </c>
      <c r="B507" t="inlineStr">
        <is>
          <t>mystic</t>
        </is>
      </c>
      <c r="C507" t="n">
        <v>1</v>
      </c>
      <c r="D507" t="inlineStr">
        <is>
          <t>Defense Penetration</t>
        </is>
      </c>
      <c r="E507" t="n">
        <v>20</v>
      </c>
      <c r="F507" t="n">
        <v>1</v>
      </c>
      <c r="G507" t="b">
        <v>1</v>
      </c>
      <c r="H507">
        <f>Sensitivity!H17</f>
        <v/>
      </c>
    </row>
    <row r="508">
      <c r="A508" t="inlineStr">
        <is>
          <t>shoulders</t>
        </is>
      </c>
      <c r="B508" t="inlineStr">
        <is>
          <t>mystic</t>
        </is>
      </c>
      <c r="C508" t="n">
        <v>2</v>
      </c>
      <c r="D508" t="inlineStr">
        <is>
          <t>Defense Penetration</t>
        </is>
      </c>
      <c r="E508" t="n">
        <v>20</v>
      </c>
      <c r="F508" t="n">
        <v>0.24</v>
      </c>
      <c r="G508" t="b">
        <v>1</v>
      </c>
      <c r="H508">
        <f>Sensitivity!H17</f>
        <v/>
      </c>
    </row>
    <row r="509">
      <c r="A509" t="inlineStr">
        <is>
          <t>shoulders</t>
        </is>
      </c>
      <c r="B509" t="inlineStr">
        <is>
          <t>mystic</t>
        </is>
      </c>
      <c r="C509" t="n">
        <v>2</v>
      </c>
      <c r="D509" t="inlineStr">
        <is>
          <t>Defense Penetration</t>
        </is>
      </c>
      <c r="E509" t="n">
        <v>12</v>
      </c>
      <c r="F509" t="n">
        <v>0.76</v>
      </c>
      <c r="G509" t="b">
        <v>0</v>
      </c>
      <c r="H509">
        <f>Sensitivity!H17</f>
        <v/>
      </c>
    </row>
    <row r="510">
      <c r="A510" t="inlineStr">
        <is>
          <t>shoulders</t>
        </is>
      </c>
      <c r="B510" t="inlineStr">
        <is>
          <t>mystic</t>
        </is>
      </c>
      <c r="C510" t="n">
        <v>3</v>
      </c>
      <c r="D510" t="inlineStr">
        <is>
          <t>Defense Penetration</t>
        </is>
      </c>
      <c r="E510" t="n">
        <v>20</v>
      </c>
      <c r="F510" t="n">
        <v>0.08</v>
      </c>
      <c r="G510" t="b">
        <v>1</v>
      </c>
      <c r="H510">
        <f>Sensitivity!H17</f>
        <v/>
      </c>
    </row>
    <row r="511">
      <c r="A511" t="inlineStr">
        <is>
          <t>shoulders</t>
        </is>
      </c>
      <c r="B511" t="inlineStr">
        <is>
          <t>mystic</t>
        </is>
      </c>
      <c r="C511" t="n">
        <v>3</v>
      </c>
      <c r="D511" t="inlineStr">
        <is>
          <t>Defense Penetration</t>
        </is>
      </c>
      <c r="E511" t="n">
        <v>12</v>
      </c>
      <c r="F511" t="n">
        <v>0.92</v>
      </c>
      <c r="G511" t="b">
        <v>0</v>
      </c>
      <c r="H511">
        <f>Sensitivity!H17</f>
        <v/>
      </c>
    </row>
    <row r="512">
      <c r="A512" t="inlineStr">
        <is>
          <t>legs</t>
        </is>
      </c>
      <c r="B512" t="inlineStr">
        <is>
          <t>epic</t>
        </is>
      </c>
      <c r="C512" t="n">
        <v>1</v>
      </c>
      <c r="D512" t="inlineStr">
        <is>
          <t>Final Damage %</t>
        </is>
      </c>
      <c r="E512" t="n">
        <v>3</v>
      </c>
      <c r="F512" t="n">
        <v>1</v>
      </c>
      <c r="G512" t="b">
        <v>1</v>
      </c>
      <c r="H512">
        <f>Sensitivity!H11</f>
        <v/>
      </c>
    </row>
    <row r="513">
      <c r="A513" t="inlineStr">
        <is>
          <t>legs</t>
        </is>
      </c>
      <c r="B513" t="inlineStr">
        <is>
          <t>epic</t>
        </is>
      </c>
      <c r="C513" t="n">
        <v>2</v>
      </c>
      <c r="D513" t="inlineStr">
        <is>
          <t>Final Damage %</t>
        </is>
      </c>
      <c r="E513" t="n">
        <v>3</v>
      </c>
      <c r="F513" t="n">
        <v>0.24</v>
      </c>
      <c r="G513" t="b">
        <v>1</v>
      </c>
      <c r="H513">
        <f>Sensitivity!H11</f>
        <v/>
      </c>
    </row>
    <row r="514">
      <c r="A514" t="inlineStr">
        <is>
          <t>legs</t>
        </is>
      </c>
      <c r="B514" t="inlineStr">
        <is>
          <t>epic</t>
        </is>
      </c>
      <c r="C514" t="n">
        <v>3</v>
      </c>
      <c r="D514" t="inlineStr">
        <is>
          <t>Final Damage %</t>
        </is>
      </c>
      <c r="E514" t="n">
        <v>3</v>
      </c>
      <c r="F514" t="n">
        <v>0.08</v>
      </c>
      <c r="G514" t="b">
        <v>1</v>
      </c>
      <c r="H514">
        <f>Sensitivity!H11</f>
        <v/>
      </c>
    </row>
    <row r="515">
      <c r="A515" t="inlineStr">
        <is>
          <t>legs</t>
        </is>
      </c>
      <c r="B515" t="inlineStr">
        <is>
          <t>unique</t>
        </is>
      </c>
      <c r="C515" t="n">
        <v>1</v>
      </c>
      <c r="D515" t="inlineStr">
        <is>
          <t>Final Damage %</t>
        </is>
      </c>
      <c r="E515" t="n">
        <v>5</v>
      </c>
      <c r="F515" t="n">
        <v>1</v>
      </c>
      <c r="G515" t="b">
        <v>1</v>
      </c>
      <c r="H515">
        <f>Sensitivity!H11</f>
        <v/>
      </c>
    </row>
    <row r="516">
      <c r="A516" t="inlineStr">
        <is>
          <t>legs</t>
        </is>
      </c>
      <c r="B516" t="inlineStr">
        <is>
          <t>unique</t>
        </is>
      </c>
      <c r="C516" t="n">
        <v>2</v>
      </c>
      <c r="D516" t="inlineStr">
        <is>
          <t>Final Damage %</t>
        </is>
      </c>
      <c r="E516" t="n">
        <v>5</v>
      </c>
      <c r="F516" t="n">
        <v>0.24</v>
      </c>
      <c r="G516" t="b">
        <v>1</v>
      </c>
      <c r="H516">
        <f>Sensitivity!H11</f>
        <v/>
      </c>
    </row>
    <row r="517">
      <c r="A517" t="inlineStr">
        <is>
          <t>legs</t>
        </is>
      </c>
      <c r="B517" t="inlineStr">
        <is>
          <t>unique</t>
        </is>
      </c>
      <c r="C517" t="n">
        <v>2</v>
      </c>
      <c r="D517" t="inlineStr">
        <is>
          <t>Final Damage %</t>
        </is>
      </c>
      <c r="E517" t="n">
        <v>3</v>
      </c>
      <c r="F517" t="n">
        <v>0.76</v>
      </c>
      <c r="G517" t="b">
        <v>0</v>
      </c>
      <c r="H517">
        <f>Sensitivity!H11</f>
        <v/>
      </c>
    </row>
    <row r="518">
      <c r="A518" t="inlineStr">
        <is>
          <t>legs</t>
        </is>
      </c>
      <c r="B518" t="inlineStr">
        <is>
          <t>unique</t>
        </is>
      </c>
      <c r="C518" t="n">
        <v>3</v>
      </c>
      <c r="D518" t="inlineStr">
        <is>
          <t>Final Damage %</t>
        </is>
      </c>
      <c r="E518" t="n">
        <v>5</v>
      </c>
      <c r="F518" t="n">
        <v>0.08</v>
      </c>
      <c r="G518" t="b">
        <v>1</v>
      </c>
      <c r="H518">
        <f>Sensitivity!H11</f>
        <v/>
      </c>
    </row>
    <row r="519">
      <c r="A519" t="inlineStr">
        <is>
          <t>legs</t>
        </is>
      </c>
      <c r="B519" t="inlineStr">
        <is>
          <t>unique</t>
        </is>
      </c>
      <c r="C519" t="n">
        <v>3</v>
      </c>
      <c r="D519" t="inlineStr">
        <is>
          <t>Final Damage %</t>
        </is>
      </c>
      <c r="E519" t="n">
        <v>3</v>
      </c>
      <c r="F519" t="n">
        <v>0.92</v>
      </c>
      <c r="G519" t="b">
        <v>0</v>
      </c>
      <c r="H519">
        <f>Sensitivity!H11</f>
        <v/>
      </c>
    </row>
    <row r="520">
      <c r="A520" t="inlineStr">
        <is>
          <t>legs</t>
        </is>
      </c>
      <c r="B520" t="inlineStr">
        <is>
          <t>legendary</t>
        </is>
      </c>
      <c r="C520" t="n">
        <v>1</v>
      </c>
      <c r="D520" t="inlineStr">
        <is>
          <t>Final Damage %</t>
        </is>
      </c>
      <c r="E520" t="n">
        <v>8</v>
      </c>
      <c r="F520" t="n">
        <v>1</v>
      </c>
      <c r="G520" t="b">
        <v>1</v>
      </c>
      <c r="H520">
        <f>Sensitivity!H11</f>
        <v/>
      </c>
    </row>
    <row r="521">
      <c r="A521" t="inlineStr">
        <is>
          <t>legs</t>
        </is>
      </c>
      <c r="B521" t="inlineStr">
        <is>
          <t>legendary</t>
        </is>
      </c>
      <c r="C521" t="n">
        <v>2</v>
      </c>
      <c r="D521" t="inlineStr">
        <is>
          <t>Final Damage %</t>
        </is>
      </c>
      <c r="E521" t="n">
        <v>8</v>
      </c>
      <c r="F521" t="n">
        <v>0.24</v>
      </c>
      <c r="G521" t="b">
        <v>1</v>
      </c>
      <c r="H521">
        <f>Sensitivity!H11</f>
        <v/>
      </c>
    </row>
    <row r="522">
      <c r="A522" t="inlineStr">
        <is>
          <t>legs</t>
        </is>
      </c>
      <c r="B522" t="inlineStr">
        <is>
          <t>legendary</t>
        </is>
      </c>
      <c r="C522" t="n">
        <v>2</v>
      </c>
      <c r="D522" t="inlineStr">
        <is>
          <t>Final Damage %</t>
        </is>
      </c>
      <c r="E522" t="n">
        <v>5</v>
      </c>
      <c r="F522" t="n">
        <v>0.76</v>
      </c>
      <c r="G522" t="b">
        <v>0</v>
      </c>
      <c r="H522">
        <f>Sensitivity!H11</f>
        <v/>
      </c>
    </row>
    <row r="523">
      <c r="A523" t="inlineStr">
        <is>
          <t>legs</t>
        </is>
      </c>
      <c r="B523" t="inlineStr">
        <is>
          <t>legendary</t>
        </is>
      </c>
      <c r="C523" t="n">
        <v>3</v>
      </c>
      <c r="D523" t="inlineStr">
        <is>
          <t>Final Damage %</t>
        </is>
      </c>
      <c r="E523" t="n">
        <v>8</v>
      </c>
      <c r="F523" t="n">
        <v>0.08</v>
      </c>
      <c r="G523" t="b">
        <v>1</v>
      </c>
      <c r="H523">
        <f>Sensitivity!H11</f>
        <v/>
      </c>
    </row>
    <row r="524">
      <c r="A524" t="inlineStr">
        <is>
          <t>legs</t>
        </is>
      </c>
      <c r="B524" t="inlineStr">
        <is>
          <t>legendary</t>
        </is>
      </c>
      <c r="C524" t="n">
        <v>3</v>
      </c>
      <c r="D524" t="inlineStr">
        <is>
          <t>Final Damage %</t>
        </is>
      </c>
      <c r="E524" t="n">
        <v>5</v>
      </c>
      <c r="F524" t="n">
        <v>0.92</v>
      </c>
      <c r="G524" t="b">
        <v>0</v>
      </c>
      <c r="H524">
        <f>Sensitivity!H11</f>
        <v/>
      </c>
    </row>
    <row r="525">
      <c r="A525" t="inlineStr">
        <is>
          <t>legs</t>
        </is>
      </c>
      <c r="B525" t="inlineStr">
        <is>
          <t>mystic</t>
        </is>
      </c>
      <c r="C525" t="n">
        <v>1</v>
      </c>
      <c r="D525" t="inlineStr">
        <is>
          <t>Final Damage %</t>
        </is>
      </c>
      <c r="E525" t="n">
        <v>12</v>
      </c>
      <c r="F525" t="n">
        <v>1</v>
      </c>
      <c r="G525" t="b">
        <v>1</v>
      </c>
      <c r="H525">
        <f>Sensitivity!H11</f>
        <v/>
      </c>
    </row>
    <row r="526">
      <c r="A526" t="inlineStr">
        <is>
          <t>legs</t>
        </is>
      </c>
      <c r="B526" t="inlineStr">
        <is>
          <t>mystic</t>
        </is>
      </c>
      <c r="C526" t="n">
        <v>2</v>
      </c>
      <c r="D526" t="inlineStr">
        <is>
          <t>Final Damage %</t>
        </is>
      </c>
      <c r="E526" t="n">
        <v>12</v>
      </c>
      <c r="F526" t="n">
        <v>0.24</v>
      </c>
      <c r="G526" t="b">
        <v>1</v>
      </c>
      <c r="H526">
        <f>Sensitivity!H11</f>
        <v/>
      </c>
    </row>
    <row r="527">
      <c r="A527" t="inlineStr">
        <is>
          <t>legs</t>
        </is>
      </c>
      <c r="B527" t="inlineStr">
        <is>
          <t>mystic</t>
        </is>
      </c>
      <c r="C527" t="n">
        <v>2</v>
      </c>
      <c r="D527" t="inlineStr">
        <is>
          <t>Final Damage %</t>
        </is>
      </c>
      <c r="E527" t="n">
        <v>8</v>
      </c>
      <c r="F527" t="n">
        <v>0.76</v>
      </c>
      <c r="G527" t="b">
        <v>0</v>
      </c>
      <c r="H527">
        <f>Sensitivity!H11</f>
        <v/>
      </c>
    </row>
    <row r="528">
      <c r="A528" t="inlineStr">
        <is>
          <t>legs</t>
        </is>
      </c>
      <c r="B528" t="inlineStr">
        <is>
          <t>mystic</t>
        </is>
      </c>
      <c r="C528" t="n">
        <v>3</v>
      </c>
      <c r="D528" t="inlineStr">
        <is>
          <t>Final Damage %</t>
        </is>
      </c>
      <c r="E528" t="n">
        <v>12</v>
      </c>
      <c r="F528" t="n">
        <v>0.08</v>
      </c>
      <c r="G528" t="b">
        <v>1</v>
      </c>
      <c r="H528">
        <f>Sensitivity!H11</f>
        <v/>
      </c>
    </row>
    <row r="529">
      <c r="A529" t="inlineStr">
        <is>
          <t>legs</t>
        </is>
      </c>
      <c r="B529" t="inlineStr">
        <is>
          <t>mystic</t>
        </is>
      </c>
      <c r="C529" t="n">
        <v>3</v>
      </c>
      <c r="D529" t="inlineStr">
        <is>
          <t>Final Damage %</t>
        </is>
      </c>
      <c r="E529" t="n">
        <v>8</v>
      </c>
      <c r="F529" t="n">
        <v>0.92</v>
      </c>
      <c r="G529" t="b">
        <v>0</v>
      </c>
      <c r="H529">
        <f>Sensitivity!H11</f>
        <v/>
      </c>
    </row>
    <row r="530">
      <c r="A530" t="inlineStr">
        <is>
          <t>belt</t>
        </is>
      </c>
      <c r="B530" t="inlineStr">
        <is>
          <t>epic</t>
        </is>
      </c>
      <c r="C530" t="n">
        <v>1</v>
      </c>
      <c r="D530" t="inlineStr">
        <is>
          <t>Buff Duration Increase %</t>
        </is>
      </c>
      <c r="E530" t="n">
        <v>5</v>
      </c>
      <c r="F530" t="n">
        <v>1</v>
      </c>
      <c r="G530" t="b">
        <v>1</v>
      </c>
      <c r="H530">
        <f>Sensitivity!H29</f>
        <v/>
      </c>
    </row>
    <row r="531">
      <c r="A531" t="inlineStr">
        <is>
          <t>belt</t>
        </is>
      </c>
      <c r="B531" t="inlineStr">
        <is>
          <t>epic</t>
        </is>
      </c>
      <c r="C531" t="n">
        <v>2</v>
      </c>
      <c r="D531" t="inlineStr">
        <is>
          <t>Buff Duration Increase %</t>
        </is>
      </c>
      <c r="E531" t="n">
        <v>5</v>
      </c>
      <c r="F531" t="n">
        <v>0.24</v>
      </c>
      <c r="G531" t="b">
        <v>1</v>
      </c>
      <c r="H531">
        <f>Sensitivity!H29</f>
        <v/>
      </c>
    </row>
    <row r="532">
      <c r="A532" t="inlineStr">
        <is>
          <t>belt</t>
        </is>
      </c>
      <c r="B532" t="inlineStr">
        <is>
          <t>epic</t>
        </is>
      </c>
      <c r="C532" t="n">
        <v>3</v>
      </c>
      <c r="D532" t="inlineStr">
        <is>
          <t>Buff Duration Increase %</t>
        </is>
      </c>
      <c r="E532" t="n">
        <v>5</v>
      </c>
      <c r="F532" t="n">
        <v>0.08</v>
      </c>
      <c r="G532" t="b">
        <v>1</v>
      </c>
      <c r="H532">
        <f>Sensitivity!H29</f>
        <v/>
      </c>
    </row>
    <row r="533">
      <c r="A533" t="inlineStr">
        <is>
          <t>belt</t>
        </is>
      </c>
      <c r="B533" t="inlineStr">
        <is>
          <t>unique</t>
        </is>
      </c>
      <c r="C533" t="n">
        <v>1</v>
      </c>
      <c r="D533" t="inlineStr">
        <is>
          <t>Buff Duration Increase %</t>
        </is>
      </c>
      <c r="E533" t="n">
        <v>8</v>
      </c>
      <c r="F533" t="n">
        <v>1</v>
      </c>
      <c r="G533" t="b">
        <v>1</v>
      </c>
      <c r="H533">
        <f>Sensitivity!H29</f>
        <v/>
      </c>
    </row>
    <row r="534">
      <c r="A534" t="inlineStr">
        <is>
          <t>belt</t>
        </is>
      </c>
      <c r="B534" t="inlineStr">
        <is>
          <t>unique</t>
        </is>
      </c>
      <c r="C534" t="n">
        <v>2</v>
      </c>
      <c r="D534" t="inlineStr">
        <is>
          <t>Buff Duration Increase %</t>
        </is>
      </c>
      <c r="E534" t="n">
        <v>8</v>
      </c>
      <c r="F534" t="n">
        <v>0.24</v>
      </c>
      <c r="G534" t="b">
        <v>1</v>
      </c>
      <c r="H534">
        <f>Sensitivity!H29</f>
        <v/>
      </c>
    </row>
    <row r="535">
      <c r="A535" t="inlineStr">
        <is>
          <t>belt</t>
        </is>
      </c>
      <c r="B535" t="inlineStr">
        <is>
          <t>unique</t>
        </is>
      </c>
      <c r="C535" t="n">
        <v>2</v>
      </c>
      <c r="D535" t="inlineStr">
        <is>
          <t>Buff Duration Increase %</t>
        </is>
      </c>
      <c r="E535" t="n">
        <v>5</v>
      </c>
      <c r="F535" t="n">
        <v>0.76</v>
      </c>
      <c r="G535" t="b">
        <v>0</v>
      </c>
      <c r="H535">
        <f>Sensitivity!H29</f>
        <v/>
      </c>
    </row>
    <row r="536">
      <c r="A536" t="inlineStr">
        <is>
          <t>belt</t>
        </is>
      </c>
      <c r="B536" t="inlineStr">
        <is>
          <t>unique</t>
        </is>
      </c>
      <c r="C536" t="n">
        <v>3</v>
      </c>
      <c r="D536" t="inlineStr">
        <is>
          <t>Buff Duration Increase %</t>
        </is>
      </c>
      <c r="E536" t="n">
        <v>8</v>
      </c>
      <c r="F536" t="n">
        <v>0.08</v>
      </c>
      <c r="G536" t="b">
        <v>1</v>
      </c>
      <c r="H536">
        <f>Sensitivity!H29</f>
        <v/>
      </c>
    </row>
    <row r="537">
      <c r="A537" t="inlineStr">
        <is>
          <t>belt</t>
        </is>
      </c>
      <c r="B537" t="inlineStr">
        <is>
          <t>unique</t>
        </is>
      </c>
      <c r="C537" t="n">
        <v>3</v>
      </c>
      <c r="D537" t="inlineStr">
        <is>
          <t>Buff Duration Increase %</t>
        </is>
      </c>
      <c r="E537" t="n">
        <v>5</v>
      </c>
      <c r="F537" t="n">
        <v>0.92</v>
      </c>
      <c r="G537" t="b">
        <v>0</v>
      </c>
      <c r="H537">
        <f>Sensitivity!H29</f>
        <v/>
      </c>
    </row>
    <row r="538">
      <c r="A538" t="inlineStr">
        <is>
          <t>belt</t>
        </is>
      </c>
      <c r="B538" t="inlineStr">
        <is>
          <t>legendary</t>
        </is>
      </c>
      <c r="C538" t="n">
        <v>1</v>
      </c>
      <c r="D538" t="inlineStr">
        <is>
          <t>Buff Duration Increase %</t>
        </is>
      </c>
      <c r="E538" t="n">
        <v>12</v>
      </c>
      <c r="F538" t="n">
        <v>1</v>
      </c>
      <c r="G538" t="b">
        <v>1</v>
      </c>
      <c r="H538">
        <f>Sensitivity!H29</f>
        <v/>
      </c>
    </row>
    <row r="539">
      <c r="A539" t="inlineStr">
        <is>
          <t>belt</t>
        </is>
      </c>
      <c r="B539" t="inlineStr">
        <is>
          <t>legendary</t>
        </is>
      </c>
      <c r="C539" t="n">
        <v>2</v>
      </c>
      <c r="D539" t="inlineStr">
        <is>
          <t>Buff Duration Increase %</t>
        </is>
      </c>
      <c r="E539" t="n">
        <v>12</v>
      </c>
      <c r="F539" t="n">
        <v>0.24</v>
      </c>
      <c r="G539" t="b">
        <v>1</v>
      </c>
      <c r="H539">
        <f>Sensitivity!H29</f>
        <v/>
      </c>
    </row>
    <row r="540">
      <c r="A540" t="inlineStr">
        <is>
          <t>belt</t>
        </is>
      </c>
      <c r="B540" t="inlineStr">
        <is>
          <t>legendary</t>
        </is>
      </c>
      <c r="C540" t="n">
        <v>2</v>
      </c>
      <c r="D540" t="inlineStr">
        <is>
          <t>Buff Duration Increase %</t>
        </is>
      </c>
      <c r="E540" t="n">
        <v>8</v>
      </c>
      <c r="F540" t="n">
        <v>0.76</v>
      </c>
      <c r="G540" t="b">
        <v>0</v>
      </c>
      <c r="H540">
        <f>Sensitivity!H29</f>
        <v/>
      </c>
    </row>
    <row r="541">
      <c r="A541" t="inlineStr">
        <is>
          <t>belt</t>
        </is>
      </c>
      <c r="B541" t="inlineStr">
        <is>
          <t>legendary</t>
        </is>
      </c>
      <c r="C541" t="n">
        <v>3</v>
      </c>
      <c r="D541" t="inlineStr">
        <is>
          <t>Buff Duration Increase %</t>
        </is>
      </c>
      <c r="E541" t="n">
        <v>12</v>
      </c>
      <c r="F541" t="n">
        <v>0.08</v>
      </c>
      <c r="G541" t="b">
        <v>1</v>
      </c>
      <c r="H541">
        <f>Sensitivity!H29</f>
        <v/>
      </c>
    </row>
    <row r="542">
      <c r="A542" t="inlineStr">
        <is>
          <t>belt</t>
        </is>
      </c>
      <c r="B542" t="inlineStr">
        <is>
          <t>legendary</t>
        </is>
      </c>
      <c r="C542" t="n">
        <v>3</v>
      </c>
      <c r="D542" t="inlineStr">
        <is>
          <t>Buff Duration Increase %</t>
        </is>
      </c>
      <c r="E542" t="n">
        <v>8</v>
      </c>
      <c r="F542" t="n">
        <v>0.92</v>
      </c>
      <c r="G542" t="b">
        <v>0</v>
      </c>
      <c r="H542">
        <f>Sensitivity!H29</f>
        <v/>
      </c>
    </row>
    <row r="543">
      <c r="A543" t="inlineStr">
        <is>
          <t>belt</t>
        </is>
      </c>
      <c r="B543" t="inlineStr">
        <is>
          <t>mystic</t>
        </is>
      </c>
      <c r="C543" t="n">
        <v>1</v>
      </c>
      <c r="D543" t="inlineStr">
        <is>
          <t>Buff Duration Increase %</t>
        </is>
      </c>
      <c r="E543" t="n">
        <v>20</v>
      </c>
      <c r="F543" t="n">
        <v>1</v>
      </c>
      <c r="G543" t="b">
        <v>1</v>
      </c>
      <c r="H543">
        <f>Sensitivity!H29</f>
        <v/>
      </c>
    </row>
    <row r="544">
      <c r="A544" t="inlineStr">
        <is>
          <t>belt</t>
        </is>
      </c>
      <c r="B544" t="inlineStr">
        <is>
          <t>mystic</t>
        </is>
      </c>
      <c r="C544" t="n">
        <v>2</v>
      </c>
      <c r="D544" t="inlineStr">
        <is>
          <t>Buff Duration Increase %</t>
        </is>
      </c>
      <c r="E544" t="n">
        <v>20</v>
      </c>
      <c r="F544" t="n">
        <v>0.24</v>
      </c>
      <c r="G544" t="b">
        <v>1</v>
      </c>
      <c r="H544">
        <f>Sensitivity!H29</f>
        <v/>
      </c>
    </row>
    <row r="545">
      <c r="A545" t="inlineStr">
        <is>
          <t>belt</t>
        </is>
      </c>
      <c r="B545" t="inlineStr">
        <is>
          <t>mystic</t>
        </is>
      </c>
      <c r="C545" t="n">
        <v>2</v>
      </c>
      <c r="D545" t="inlineStr">
        <is>
          <t>Buff Duration Increase %</t>
        </is>
      </c>
      <c r="E545" t="n">
        <v>12</v>
      </c>
      <c r="F545" t="n">
        <v>0.76</v>
      </c>
      <c r="G545" t="b">
        <v>0</v>
      </c>
      <c r="H545">
        <f>Sensitivity!H29</f>
        <v/>
      </c>
    </row>
    <row r="546">
      <c r="A546" t="inlineStr">
        <is>
          <t>belt</t>
        </is>
      </c>
      <c r="B546" t="inlineStr">
        <is>
          <t>mystic</t>
        </is>
      </c>
      <c r="C546" t="n">
        <v>3</v>
      </c>
      <c r="D546" t="inlineStr">
        <is>
          <t>Buff Duration Increase %</t>
        </is>
      </c>
      <c r="E546" t="n">
        <v>20</v>
      </c>
      <c r="F546" t="n">
        <v>0.08</v>
      </c>
      <c r="G546" t="b">
        <v>1</v>
      </c>
      <c r="H546">
        <f>Sensitivity!H29</f>
        <v/>
      </c>
    </row>
    <row r="547">
      <c r="A547" t="inlineStr">
        <is>
          <t>belt</t>
        </is>
      </c>
      <c r="B547" t="inlineStr">
        <is>
          <t>mystic</t>
        </is>
      </c>
      <c r="C547" t="n">
        <v>3</v>
      </c>
      <c r="D547" t="inlineStr">
        <is>
          <t>Buff Duration Increase %</t>
        </is>
      </c>
      <c r="E547" t="n">
        <v>12</v>
      </c>
      <c r="F547" t="n">
        <v>0.92</v>
      </c>
      <c r="G547" t="b">
        <v>0</v>
      </c>
      <c r="H547">
        <f>Sensitivity!H29</f>
        <v/>
      </c>
    </row>
    <row r="548">
      <c r="A548" t="inlineStr">
        <is>
          <t>gloves</t>
        </is>
      </c>
      <c r="B548" t="inlineStr">
        <is>
          <t>epic</t>
        </is>
      </c>
      <c r="C548" t="n">
        <v>1</v>
      </c>
      <c r="D548" t="inlineStr">
        <is>
          <t>Critical Damage %</t>
        </is>
      </c>
      <c r="E548" t="n">
        <v>10</v>
      </c>
      <c r="F548" t="n">
        <v>1</v>
      </c>
      <c r="G548" t="b">
        <v>1</v>
      </c>
      <c r="H548">
        <f>Sensitivity!H15</f>
        <v/>
      </c>
    </row>
    <row r="549">
      <c r="A549" t="inlineStr">
        <is>
          <t>gloves</t>
        </is>
      </c>
      <c r="B549" t="inlineStr">
        <is>
          <t>epic</t>
        </is>
      </c>
      <c r="C549" t="n">
        <v>2</v>
      </c>
      <c r="D549" t="inlineStr">
        <is>
          <t>Critical Damage %</t>
        </is>
      </c>
      <c r="E549" t="n">
        <v>10</v>
      </c>
      <c r="F549" t="n">
        <v>0.24</v>
      </c>
      <c r="G549" t="b">
        <v>1</v>
      </c>
      <c r="H549">
        <f>Sensitivity!H15</f>
        <v/>
      </c>
    </row>
    <row r="550">
      <c r="A550" t="inlineStr">
        <is>
          <t>gloves</t>
        </is>
      </c>
      <c r="B550" t="inlineStr">
        <is>
          <t>epic</t>
        </is>
      </c>
      <c r="C550" t="n">
        <v>3</v>
      </c>
      <c r="D550" t="inlineStr">
        <is>
          <t>Critical Damage %</t>
        </is>
      </c>
      <c r="E550" t="n">
        <v>10</v>
      </c>
      <c r="F550" t="n">
        <v>0.08</v>
      </c>
      <c r="G550" t="b">
        <v>1</v>
      </c>
      <c r="H550">
        <f>Sensitivity!H15</f>
        <v/>
      </c>
    </row>
    <row r="551">
      <c r="A551" t="inlineStr">
        <is>
          <t>gloves</t>
        </is>
      </c>
      <c r="B551" t="inlineStr">
        <is>
          <t>unique</t>
        </is>
      </c>
      <c r="C551" t="n">
        <v>1</v>
      </c>
      <c r="D551" t="inlineStr">
        <is>
          <t>Critical Damage %</t>
        </is>
      </c>
      <c r="E551" t="n">
        <v>20</v>
      </c>
      <c r="F551" t="n">
        <v>1</v>
      </c>
      <c r="G551" t="b">
        <v>1</v>
      </c>
      <c r="H551">
        <f>Sensitivity!H15</f>
        <v/>
      </c>
    </row>
    <row r="552">
      <c r="A552" t="inlineStr">
        <is>
          <t>gloves</t>
        </is>
      </c>
      <c r="B552" t="inlineStr">
        <is>
          <t>unique</t>
        </is>
      </c>
      <c r="C552" t="n">
        <v>2</v>
      </c>
      <c r="D552" t="inlineStr">
        <is>
          <t>Critical Damage %</t>
        </is>
      </c>
      <c r="E552" t="n">
        <v>20</v>
      </c>
      <c r="F552" t="n">
        <v>0.24</v>
      </c>
      <c r="G552" t="b">
        <v>1</v>
      </c>
      <c r="H552">
        <f>Sensitivity!H15</f>
        <v/>
      </c>
    </row>
    <row r="553">
      <c r="A553" t="inlineStr">
        <is>
          <t>gloves</t>
        </is>
      </c>
      <c r="B553" t="inlineStr">
        <is>
          <t>unique</t>
        </is>
      </c>
      <c r="C553" t="n">
        <v>2</v>
      </c>
      <c r="D553" t="inlineStr">
        <is>
          <t>Critical Damage %</t>
        </is>
      </c>
      <c r="E553" t="n">
        <v>10</v>
      </c>
      <c r="F553" t="n">
        <v>0.76</v>
      </c>
      <c r="G553" t="b">
        <v>0</v>
      </c>
      <c r="H553">
        <f>Sensitivity!H15</f>
        <v/>
      </c>
    </row>
    <row r="554">
      <c r="A554" t="inlineStr">
        <is>
          <t>gloves</t>
        </is>
      </c>
      <c r="B554" t="inlineStr">
        <is>
          <t>unique</t>
        </is>
      </c>
      <c r="C554" t="n">
        <v>3</v>
      </c>
      <c r="D554" t="inlineStr">
        <is>
          <t>Critical Damage %</t>
        </is>
      </c>
      <c r="E554" t="n">
        <v>20</v>
      </c>
      <c r="F554" t="n">
        <v>0.08</v>
      </c>
      <c r="G554" t="b">
        <v>1</v>
      </c>
      <c r="H554">
        <f>Sensitivity!H15</f>
        <v/>
      </c>
    </row>
    <row r="555">
      <c r="A555" t="inlineStr">
        <is>
          <t>gloves</t>
        </is>
      </c>
      <c r="B555" t="inlineStr">
        <is>
          <t>unique</t>
        </is>
      </c>
      <c r="C555" t="n">
        <v>3</v>
      </c>
      <c r="D555" t="inlineStr">
        <is>
          <t>Critical Damage %</t>
        </is>
      </c>
      <c r="E555" t="n">
        <v>10</v>
      </c>
      <c r="F555" t="n">
        <v>0.92</v>
      </c>
      <c r="G555" t="b">
        <v>0</v>
      </c>
      <c r="H555">
        <f>Sensitivity!H15</f>
        <v/>
      </c>
    </row>
    <row r="556">
      <c r="A556" t="inlineStr">
        <is>
          <t>gloves</t>
        </is>
      </c>
      <c r="B556" t="inlineStr">
        <is>
          <t>legendary</t>
        </is>
      </c>
      <c r="C556" t="n">
        <v>1</v>
      </c>
      <c r="D556" t="inlineStr">
        <is>
          <t>Critical Damage %</t>
        </is>
      </c>
      <c r="E556" t="n">
        <v>30</v>
      </c>
      <c r="F556" t="n">
        <v>1</v>
      </c>
      <c r="G556" t="b">
        <v>1</v>
      </c>
      <c r="H556">
        <f>Sensitivity!H15</f>
        <v/>
      </c>
    </row>
    <row r="557">
      <c r="A557" t="inlineStr">
        <is>
          <t>gloves</t>
        </is>
      </c>
      <c r="B557" t="inlineStr">
        <is>
          <t>legendary</t>
        </is>
      </c>
      <c r="C557" t="n">
        <v>2</v>
      </c>
      <c r="D557" t="inlineStr">
        <is>
          <t>Critical Damage %</t>
        </is>
      </c>
      <c r="E557" t="n">
        <v>30</v>
      </c>
      <c r="F557" t="n">
        <v>0.24</v>
      </c>
      <c r="G557" t="b">
        <v>1</v>
      </c>
      <c r="H557">
        <f>Sensitivity!H15</f>
        <v/>
      </c>
    </row>
    <row r="558">
      <c r="A558" t="inlineStr">
        <is>
          <t>gloves</t>
        </is>
      </c>
      <c r="B558" t="inlineStr">
        <is>
          <t>legendary</t>
        </is>
      </c>
      <c r="C558" t="n">
        <v>2</v>
      </c>
      <c r="D558" t="inlineStr">
        <is>
          <t>Critical Damage %</t>
        </is>
      </c>
      <c r="E558" t="n">
        <v>20</v>
      </c>
      <c r="F558" t="n">
        <v>0.76</v>
      </c>
      <c r="G558" t="b">
        <v>0</v>
      </c>
      <c r="H558">
        <f>Sensitivity!H15</f>
        <v/>
      </c>
    </row>
    <row r="559">
      <c r="A559" t="inlineStr">
        <is>
          <t>gloves</t>
        </is>
      </c>
      <c r="B559" t="inlineStr">
        <is>
          <t>legendary</t>
        </is>
      </c>
      <c r="C559" t="n">
        <v>3</v>
      </c>
      <c r="D559" t="inlineStr">
        <is>
          <t>Critical Damage %</t>
        </is>
      </c>
      <c r="E559" t="n">
        <v>30</v>
      </c>
      <c r="F559" t="n">
        <v>0.08</v>
      </c>
      <c r="G559" t="b">
        <v>1</v>
      </c>
      <c r="H559">
        <f>Sensitivity!H15</f>
        <v/>
      </c>
    </row>
    <row r="560">
      <c r="A560" t="inlineStr">
        <is>
          <t>gloves</t>
        </is>
      </c>
      <c r="B560" t="inlineStr">
        <is>
          <t>legendary</t>
        </is>
      </c>
      <c r="C560" t="n">
        <v>3</v>
      </c>
      <c r="D560" t="inlineStr">
        <is>
          <t>Critical Damage %</t>
        </is>
      </c>
      <c r="E560" t="n">
        <v>20</v>
      </c>
      <c r="F560" t="n">
        <v>0.92</v>
      </c>
      <c r="G560" t="b">
        <v>0</v>
      </c>
      <c r="H560">
        <f>Sensitivity!H15</f>
        <v/>
      </c>
    </row>
    <row r="561">
      <c r="A561" t="inlineStr">
        <is>
          <t>gloves</t>
        </is>
      </c>
      <c r="B561" t="inlineStr">
        <is>
          <t>mystic</t>
        </is>
      </c>
      <c r="C561" t="n">
        <v>1</v>
      </c>
      <c r="D561" t="inlineStr">
        <is>
          <t>Critical Damage %</t>
        </is>
      </c>
      <c r="E561" t="n">
        <v>50</v>
      </c>
      <c r="F561" t="n">
        <v>1</v>
      </c>
      <c r="G561" t="b">
        <v>1</v>
      </c>
      <c r="H561">
        <f>Sensitivity!H15</f>
        <v/>
      </c>
    </row>
    <row r="562">
      <c r="A562" t="inlineStr">
        <is>
          <t>gloves</t>
        </is>
      </c>
      <c r="B562" t="inlineStr">
        <is>
          <t>mystic</t>
        </is>
      </c>
      <c r="C562" t="n">
        <v>2</v>
      </c>
      <c r="D562" t="inlineStr">
        <is>
          <t>Critical Damage %</t>
        </is>
      </c>
      <c r="E562" t="n">
        <v>50</v>
      </c>
      <c r="F562" t="n">
        <v>0.24</v>
      </c>
      <c r="G562" t="b">
        <v>1</v>
      </c>
      <c r="H562">
        <f>Sensitivity!H15</f>
        <v/>
      </c>
    </row>
    <row r="563">
      <c r="A563" t="inlineStr">
        <is>
          <t>gloves</t>
        </is>
      </c>
      <c r="B563" t="inlineStr">
        <is>
          <t>mystic</t>
        </is>
      </c>
      <c r="C563" t="n">
        <v>2</v>
      </c>
      <c r="D563" t="inlineStr">
        <is>
          <t>Critical Damage %</t>
        </is>
      </c>
      <c r="E563" t="n">
        <v>30</v>
      </c>
      <c r="F563" t="n">
        <v>0.76</v>
      </c>
      <c r="G563" t="b">
        <v>0</v>
      </c>
      <c r="H563">
        <f>Sensitivity!H15</f>
        <v/>
      </c>
    </row>
    <row r="564">
      <c r="A564" t="inlineStr">
        <is>
          <t>gloves</t>
        </is>
      </c>
      <c r="B564" t="inlineStr">
        <is>
          <t>mystic</t>
        </is>
      </c>
      <c r="C564" t="n">
        <v>3</v>
      </c>
      <c r="D564" t="inlineStr">
        <is>
          <t>Critical Damage %</t>
        </is>
      </c>
      <c r="E564" t="n">
        <v>50</v>
      </c>
      <c r="F564" t="n">
        <v>0.08</v>
      </c>
      <c r="G564" t="b">
        <v>1</v>
      </c>
      <c r="H564">
        <f>Sensitivity!H15</f>
        <v/>
      </c>
    </row>
    <row r="565">
      <c r="A565" t="inlineStr">
        <is>
          <t>gloves</t>
        </is>
      </c>
      <c r="B565" t="inlineStr">
        <is>
          <t>mystic</t>
        </is>
      </c>
      <c r="C565" t="n">
        <v>3</v>
      </c>
      <c r="D565" t="inlineStr">
        <is>
          <t>Critical Damage %</t>
        </is>
      </c>
      <c r="E565" t="n">
        <v>30</v>
      </c>
      <c r="F565" t="n">
        <v>0.92</v>
      </c>
      <c r="G565" t="b">
        <v>0</v>
      </c>
      <c r="H565">
        <f>Sensitivity!H15</f>
        <v/>
      </c>
    </row>
    <row r="566">
      <c r="A566" t="inlineStr">
        <is>
          <t>boots</t>
        </is>
      </c>
      <c r="B566" t="inlineStr">
        <is>
          <t>epic</t>
        </is>
      </c>
      <c r="C566" t="n">
        <v>1</v>
      </c>
      <c r="D566" t="inlineStr">
        <is>
          <t>Companion Summoning Time Increase %</t>
        </is>
      </c>
      <c r="E566" t="n">
        <v>5</v>
      </c>
      <c r="F566" t="n">
        <v>1</v>
      </c>
      <c r="G566" t="b">
        <v>1</v>
      </c>
      <c r="H566">
        <f>Sensitivity!H15</f>
        <v/>
      </c>
    </row>
    <row r="567">
      <c r="A567" t="inlineStr">
        <is>
          <t>boots</t>
        </is>
      </c>
      <c r="B567" t="inlineStr">
        <is>
          <t>epic</t>
        </is>
      </c>
      <c r="C567" t="n">
        <v>2</v>
      </c>
      <c r="D567" t="inlineStr">
        <is>
          <t>Companion Summoning Time Increase %</t>
        </is>
      </c>
      <c r="E567" t="n">
        <v>5</v>
      </c>
      <c r="F567" t="n">
        <v>0.24</v>
      </c>
      <c r="G567" t="b">
        <v>1</v>
      </c>
      <c r="H567">
        <f>Sensitivity!H15</f>
        <v/>
      </c>
    </row>
    <row r="568">
      <c r="A568" t="inlineStr">
        <is>
          <t>boots</t>
        </is>
      </c>
      <c r="B568" t="inlineStr">
        <is>
          <t>epic</t>
        </is>
      </c>
      <c r="C568" t="n">
        <v>3</v>
      </c>
      <c r="D568" t="inlineStr">
        <is>
          <t>Companion Summoning Time Increase %</t>
        </is>
      </c>
      <c r="E568" t="n">
        <v>5</v>
      </c>
      <c r="F568" t="n">
        <v>0.08</v>
      </c>
      <c r="G568" t="b">
        <v>1</v>
      </c>
      <c r="H568">
        <f>Sensitivity!H15</f>
        <v/>
      </c>
    </row>
    <row r="569">
      <c r="A569" t="inlineStr">
        <is>
          <t>boots</t>
        </is>
      </c>
      <c r="B569" t="inlineStr">
        <is>
          <t>unique</t>
        </is>
      </c>
      <c r="C569" t="n">
        <v>1</v>
      </c>
      <c r="D569" t="inlineStr">
        <is>
          <t>Companion Summoning Time Increase %</t>
        </is>
      </c>
      <c r="E569" t="n">
        <v>8</v>
      </c>
      <c r="F569" t="n">
        <v>1</v>
      </c>
      <c r="G569" t="b">
        <v>1</v>
      </c>
      <c r="H569">
        <f>Sensitivity!H15</f>
        <v/>
      </c>
    </row>
    <row r="570">
      <c r="A570" t="inlineStr">
        <is>
          <t>boots</t>
        </is>
      </c>
      <c r="B570" t="inlineStr">
        <is>
          <t>unique</t>
        </is>
      </c>
      <c r="C570" t="n">
        <v>2</v>
      </c>
      <c r="D570" t="inlineStr">
        <is>
          <t>Companion Summoning Time Increase %</t>
        </is>
      </c>
      <c r="E570" t="n">
        <v>8</v>
      </c>
      <c r="F570" t="n">
        <v>0.24</v>
      </c>
      <c r="G570" t="b">
        <v>1</v>
      </c>
      <c r="H570">
        <f>Sensitivity!H15</f>
        <v/>
      </c>
    </row>
    <row r="571">
      <c r="A571" t="inlineStr">
        <is>
          <t>boots</t>
        </is>
      </c>
      <c r="B571" t="inlineStr">
        <is>
          <t>unique</t>
        </is>
      </c>
      <c r="C571" t="n">
        <v>2</v>
      </c>
      <c r="D571" t="inlineStr">
        <is>
          <t>Companion Summoning Time Increase %</t>
        </is>
      </c>
      <c r="E571" t="n">
        <v>5</v>
      </c>
      <c r="F571" t="n">
        <v>0.76</v>
      </c>
      <c r="G571" t="b">
        <v>0</v>
      </c>
      <c r="H571">
        <f>Sensitivity!H15</f>
        <v/>
      </c>
    </row>
    <row r="572">
      <c r="A572" t="inlineStr">
        <is>
          <t>boots</t>
        </is>
      </c>
      <c r="B572" t="inlineStr">
        <is>
          <t>unique</t>
        </is>
      </c>
      <c r="C572" t="n">
        <v>3</v>
      </c>
      <c r="D572" t="inlineStr">
        <is>
          <t>Companion Summoning Time Increase %</t>
        </is>
      </c>
      <c r="E572" t="n">
        <v>8</v>
      </c>
      <c r="F572" t="n">
        <v>0.08</v>
      </c>
      <c r="G572" t="b">
        <v>1</v>
      </c>
      <c r="H572">
        <f>Sensitivity!H15</f>
        <v/>
      </c>
    </row>
    <row r="573">
      <c r="A573" t="inlineStr">
        <is>
          <t>boots</t>
        </is>
      </c>
      <c r="B573" t="inlineStr">
        <is>
          <t>unique</t>
        </is>
      </c>
      <c r="C573" t="n">
        <v>3</v>
      </c>
      <c r="D573" t="inlineStr">
        <is>
          <t>Companion Summoning Time Increase %</t>
        </is>
      </c>
      <c r="E573" t="n">
        <v>5</v>
      </c>
      <c r="F573" t="n">
        <v>0.92</v>
      </c>
      <c r="G573" t="b">
        <v>0</v>
      </c>
      <c r="H573">
        <f>Sensitivity!H15</f>
        <v/>
      </c>
    </row>
    <row r="574">
      <c r="A574" t="inlineStr">
        <is>
          <t>boots</t>
        </is>
      </c>
      <c r="B574" t="inlineStr">
        <is>
          <t>legendary</t>
        </is>
      </c>
      <c r="C574" t="n">
        <v>1</v>
      </c>
      <c r="D574" t="inlineStr">
        <is>
          <t>Companion Summoning Time Increase %</t>
        </is>
      </c>
      <c r="E574" t="n">
        <v>12</v>
      </c>
      <c r="F574" t="n">
        <v>1</v>
      </c>
      <c r="G574" t="b">
        <v>1</v>
      </c>
      <c r="H574">
        <f>Sensitivity!H15</f>
        <v/>
      </c>
    </row>
    <row r="575">
      <c r="A575" t="inlineStr">
        <is>
          <t>boots</t>
        </is>
      </c>
      <c r="B575" t="inlineStr">
        <is>
          <t>legendary</t>
        </is>
      </c>
      <c r="C575" t="n">
        <v>2</v>
      </c>
      <c r="D575" t="inlineStr">
        <is>
          <t>Companion Summoning Time Increase %</t>
        </is>
      </c>
      <c r="E575" t="n">
        <v>12</v>
      </c>
      <c r="F575" t="n">
        <v>0.24</v>
      </c>
      <c r="G575" t="b">
        <v>1</v>
      </c>
      <c r="H575">
        <f>Sensitivity!H15</f>
        <v/>
      </c>
    </row>
    <row r="576">
      <c r="A576" t="inlineStr">
        <is>
          <t>boots</t>
        </is>
      </c>
      <c r="B576" t="inlineStr">
        <is>
          <t>legendary</t>
        </is>
      </c>
      <c r="C576" t="n">
        <v>2</v>
      </c>
      <c r="D576" t="inlineStr">
        <is>
          <t>Companion Summoning Time Increase %</t>
        </is>
      </c>
      <c r="E576" t="n">
        <v>8</v>
      </c>
      <c r="F576" t="n">
        <v>0.76</v>
      </c>
      <c r="G576" t="b">
        <v>0</v>
      </c>
      <c r="H576">
        <f>Sensitivity!H15</f>
        <v/>
      </c>
    </row>
    <row r="577">
      <c r="A577" t="inlineStr">
        <is>
          <t>boots</t>
        </is>
      </c>
      <c r="B577" t="inlineStr">
        <is>
          <t>legendary</t>
        </is>
      </c>
      <c r="C577" t="n">
        <v>3</v>
      </c>
      <c r="D577" t="inlineStr">
        <is>
          <t>Companion Summoning Time Increase %</t>
        </is>
      </c>
      <c r="E577" t="n">
        <v>12</v>
      </c>
      <c r="F577" t="n">
        <v>0.08</v>
      </c>
      <c r="G577" t="b">
        <v>1</v>
      </c>
      <c r="H577">
        <f>Sensitivity!H15</f>
        <v/>
      </c>
    </row>
    <row r="578">
      <c r="A578" t="inlineStr">
        <is>
          <t>boots</t>
        </is>
      </c>
      <c r="B578" t="inlineStr">
        <is>
          <t>legendary</t>
        </is>
      </c>
      <c r="C578" t="n">
        <v>3</v>
      </c>
      <c r="D578" t="inlineStr">
        <is>
          <t>Companion Summoning Time Increase %</t>
        </is>
      </c>
      <c r="E578" t="n">
        <v>8</v>
      </c>
      <c r="F578" t="n">
        <v>0.92</v>
      </c>
      <c r="G578" t="b">
        <v>0</v>
      </c>
      <c r="H578">
        <f>Sensitivity!H15</f>
        <v/>
      </c>
    </row>
    <row r="579">
      <c r="A579" t="inlineStr">
        <is>
          <t>boots</t>
        </is>
      </c>
      <c r="B579" t="inlineStr">
        <is>
          <t>mystic</t>
        </is>
      </c>
      <c r="C579" t="n">
        <v>1</v>
      </c>
      <c r="D579" t="inlineStr">
        <is>
          <t>Companion Summoning Time Increase %</t>
        </is>
      </c>
      <c r="E579" t="n">
        <v>20</v>
      </c>
      <c r="F579" t="n">
        <v>1</v>
      </c>
      <c r="G579" t="b">
        <v>1</v>
      </c>
      <c r="H579">
        <f>Sensitivity!H15</f>
        <v/>
      </c>
    </row>
    <row r="580">
      <c r="A580" t="inlineStr">
        <is>
          <t>boots</t>
        </is>
      </c>
      <c r="B580" t="inlineStr">
        <is>
          <t>mystic</t>
        </is>
      </c>
      <c r="C580" t="n">
        <v>2</v>
      </c>
      <c r="D580" t="inlineStr">
        <is>
          <t>Companion Summoning Time Increase %</t>
        </is>
      </c>
      <c r="E580" t="n">
        <v>20</v>
      </c>
      <c r="F580" t="n">
        <v>0.24</v>
      </c>
      <c r="G580" t="b">
        <v>1</v>
      </c>
      <c r="H580">
        <f>Sensitivity!H15</f>
        <v/>
      </c>
    </row>
    <row r="581">
      <c r="A581" t="inlineStr">
        <is>
          <t>boots</t>
        </is>
      </c>
      <c r="B581" t="inlineStr">
        <is>
          <t>mystic</t>
        </is>
      </c>
      <c r="C581" t="n">
        <v>2</v>
      </c>
      <c r="D581" t="inlineStr">
        <is>
          <t>Companion Summoning Time Increase %</t>
        </is>
      </c>
      <c r="E581" t="n">
        <v>12</v>
      </c>
      <c r="F581" t="n">
        <v>0.76</v>
      </c>
      <c r="G581" t="b">
        <v>0</v>
      </c>
      <c r="H581">
        <f>Sensitivity!H15</f>
        <v/>
      </c>
    </row>
    <row r="582">
      <c r="A582" t="inlineStr">
        <is>
          <t>boots</t>
        </is>
      </c>
      <c r="B582" t="inlineStr">
        <is>
          <t>mystic</t>
        </is>
      </c>
      <c r="C582" t="n">
        <v>3</v>
      </c>
      <c r="D582" t="inlineStr">
        <is>
          <t>Companion Summoning Time Increase %</t>
        </is>
      </c>
      <c r="E582" t="n">
        <v>20</v>
      </c>
      <c r="F582" t="n">
        <v>0.08</v>
      </c>
      <c r="G582" t="b">
        <v>1</v>
      </c>
      <c r="H582">
        <f>Sensitivity!H15</f>
        <v/>
      </c>
    </row>
    <row r="583">
      <c r="A583" t="inlineStr">
        <is>
          <t>boots</t>
        </is>
      </c>
      <c r="B583" t="inlineStr">
        <is>
          <t>mystic</t>
        </is>
      </c>
      <c r="C583" t="n">
        <v>3</v>
      </c>
      <c r="D583" t="inlineStr">
        <is>
          <t>Companion Summoning Time Increase %</t>
        </is>
      </c>
      <c r="E583" t="n">
        <v>12</v>
      </c>
      <c r="F583" t="n">
        <v>0.92</v>
      </c>
      <c r="G583" t="b">
        <v>0</v>
      </c>
      <c r="H583">
        <f>Sensitivity!H15</f>
        <v/>
      </c>
    </row>
    <row r="584">
      <c r="A584" t="inlineStr">
        <is>
          <t>ring</t>
        </is>
      </c>
      <c r="B584" t="inlineStr">
        <is>
          <t>epic</t>
        </is>
      </c>
      <c r="C584" t="n">
        <v>1</v>
      </c>
      <c r="D584" t="inlineStr">
        <is>
          <t>All Skill Level</t>
        </is>
      </c>
      <c r="E584" t="n">
        <v>5</v>
      </c>
      <c r="F584" t="n">
        <v>1</v>
      </c>
      <c r="G584" t="b">
        <v>1</v>
      </c>
      <c r="H584">
        <f>Sensitivity!H24</f>
        <v/>
      </c>
    </row>
    <row r="585">
      <c r="A585" t="inlineStr">
        <is>
          <t>ring</t>
        </is>
      </c>
      <c r="B585" t="inlineStr">
        <is>
          <t>epic</t>
        </is>
      </c>
      <c r="C585" t="n">
        <v>2</v>
      </c>
      <c r="D585" t="inlineStr">
        <is>
          <t>All Skill Level</t>
        </is>
      </c>
      <c r="E585" t="n">
        <v>5</v>
      </c>
      <c r="F585" t="n">
        <v>0.24</v>
      </c>
      <c r="G585" t="b">
        <v>1</v>
      </c>
      <c r="H585">
        <f>Sensitivity!H24</f>
        <v/>
      </c>
    </row>
    <row r="586">
      <c r="A586" t="inlineStr">
        <is>
          <t>ring</t>
        </is>
      </c>
      <c r="B586" t="inlineStr">
        <is>
          <t>epic</t>
        </is>
      </c>
      <c r="C586" t="n">
        <v>3</v>
      </c>
      <c r="D586" t="inlineStr">
        <is>
          <t>All Skill Level</t>
        </is>
      </c>
      <c r="E586" t="n">
        <v>5</v>
      </c>
      <c r="F586" t="n">
        <v>0.08</v>
      </c>
      <c r="G586" t="b">
        <v>1</v>
      </c>
      <c r="H586">
        <f>Sensitivity!H24</f>
        <v/>
      </c>
    </row>
    <row r="587">
      <c r="A587" t="inlineStr">
        <is>
          <t>ring</t>
        </is>
      </c>
      <c r="B587" t="inlineStr">
        <is>
          <t>unique</t>
        </is>
      </c>
      <c r="C587" t="n">
        <v>1</v>
      </c>
      <c r="D587" t="inlineStr">
        <is>
          <t>All Skill Level</t>
        </is>
      </c>
      <c r="E587" t="n">
        <v>8</v>
      </c>
      <c r="F587" t="n">
        <v>1</v>
      </c>
      <c r="G587" t="b">
        <v>1</v>
      </c>
      <c r="H587">
        <f>Sensitivity!H24</f>
        <v/>
      </c>
    </row>
    <row r="588">
      <c r="A588" t="inlineStr">
        <is>
          <t>ring</t>
        </is>
      </c>
      <c r="B588" t="inlineStr">
        <is>
          <t>unique</t>
        </is>
      </c>
      <c r="C588" t="n">
        <v>2</v>
      </c>
      <c r="D588" t="inlineStr">
        <is>
          <t>All Skill Level</t>
        </is>
      </c>
      <c r="E588" t="n">
        <v>8</v>
      </c>
      <c r="F588" t="n">
        <v>0.24</v>
      </c>
      <c r="G588" t="b">
        <v>1</v>
      </c>
      <c r="H588">
        <f>Sensitivity!H24</f>
        <v/>
      </c>
    </row>
    <row r="589">
      <c r="A589" t="inlineStr">
        <is>
          <t>ring</t>
        </is>
      </c>
      <c r="B589" t="inlineStr">
        <is>
          <t>unique</t>
        </is>
      </c>
      <c r="C589" t="n">
        <v>2</v>
      </c>
      <c r="D589" t="inlineStr">
        <is>
          <t>All Skill Level</t>
        </is>
      </c>
      <c r="E589" t="n">
        <v>5</v>
      </c>
      <c r="F589" t="n">
        <v>0.76</v>
      </c>
      <c r="G589" t="b">
        <v>0</v>
      </c>
      <c r="H589">
        <f>Sensitivity!H24</f>
        <v/>
      </c>
    </row>
    <row r="590">
      <c r="A590" t="inlineStr">
        <is>
          <t>ring</t>
        </is>
      </c>
      <c r="B590" t="inlineStr">
        <is>
          <t>unique</t>
        </is>
      </c>
      <c r="C590" t="n">
        <v>3</v>
      </c>
      <c r="D590" t="inlineStr">
        <is>
          <t>All Skill Level</t>
        </is>
      </c>
      <c r="E590" t="n">
        <v>8</v>
      </c>
      <c r="F590" t="n">
        <v>0.08</v>
      </c>
      <c r="G590" t="b">
        <v>1</v>
      </c>
      <c r="H590">
        <f>Sensitivity!H24</f>
        <v/>
      </c>
    </row>
    <row r="591">
      <c r="A591" t="inlineStr">
        <is>
          <t>ring</t>
        </is>
      </c>
      <c r="B591" t="inlineStr">
        <is>
          <t>unique</t>
        </is>
      </c>
      <c r="C591" t="n">
        <v>3</v>
      </c>
      <c r="D591" t="inlineStr">
        <is>
          <t>All Skill Level</t>
        </is>
      </c>
      <c r="E591" t="n">
        <v>5</v>
      </c>
      <c r="F591" t="n">
        <v>0.92</v>
      </c>
      <c r="G591" t="b">
        <v>0</v>
      </c>
      <c r="H591">
        <f>Sensitivity!H24</f>
        <v/>
      </c>
    </row>
    <row r="592">
      <c r="A592" t="inlineStr">
        <is>
          <t>ring</t>
        </is>
      </c>
      <c r="B592" t="inlineStr">
        <is>
          <t>legendary</t>
        </is>
      </c>
      <c r="C592" t="n">
        <v>1</v>
      </c>
      <c r="D592" t="inlineStr">
        <is>
          <t>All Skill Level</t>
        </is>
      </c>
      <c r="E592" t="n">
        <v>12</v>
      </c>
      <c r="F592" t="n">
        <v>1</v>
      </c>
      <c r="G592" t="b">
        <v>1</v>
      </c>
      <c r="H592">
        <f>Sensitivity!H24</f>
        <v/>
      </c>
    </row>
    <row r="593">
      <c r="A593" t="inlineStr">
        <is>
          <t>ring</t>
        </is>
      </c>
      <c r="B593" t="inlineStr">
        <is>
          <t>legendary</t>
        </is>
      </c>
      <c r="C593" t="n">
        <v>2</v>
      </c>
      <c r="D593" t="inlineStr">
        <is>
          <t>All Skill Level</t>
        </is>
      </c>
      <c r="E593" t="n">
        <v>12</v>
      </c>
      <c r="F593" t="n">
        <v>0.24</v>
      </c>
      <c r="G593" t="b">
        <v>1</v>
      </c>
      <c r="H593">
        <f>Sensitivity!H24</f>
        <v/>
      </c>
    </row>
    <row r="594">
      <c r="A594" t="inlineStr">
        <is>
          <t>ring</t>
        </is>
      </c>
      <c r="B594" t="inlineStr">
        <is>
          <t>legendary</t>
        </is>
      </c>
      <c r="C594" t="n">
        <v>2</v>
      </c>
      <c r="D594" t="inlineStr">
        <is>
          <t>All Skill Level</t>
        </is>
      </c>
      <c r="E594" t="n">
        <v>8</v>
      </c>
      <c r="F594" t="n">
        <v>0.76</v>
      </c>
      <c r="G594" t="b">
        <v>0</v>
      </c>
      <c r="H594">
        <f>Sensitivity!H24</f>
        <v/>
      </c>
    </row>
    <row r="595">
      <c r="A595" t="inlineStr">
        <is>
          <t>ring</t>
        </is>
      </c>
      <c r="B595" t="inlineStr">
        <is>
          <t>legendary</t>
        </is>
      </c>
      <c r="C595" t="n">
        <v>3</v>
      </c>
      <c r="D595" t="inlineStr">
        <is>
          <t>All Skill Level</t>
        </is>
      </c>
      <c r="E595" t="n">
        <v>12</v>
      </c>
      <c r="F595" t="n">
        <v>0.08</v>
      </c>
      <c r="G595" t="b">
        <v>1</v>
      </c>
      <c r="H595">
        <f>Sensitivity!H24</f>
        <v/>
      </c>
    </row>
    <row r="596">
      <c r="A596" t="inlineStr">
        <is>
          <t>ring</t>
        </is>
      </c>
      <c r="B596" t="inlineStr">
        <is>
          <t>legendary</t>
        </is>
      </c>
      <c r="C596" t="n">
        <v>3</v>
      </c>
      <c r="D596" t="inlineStr">
        <is>
          <t>All Skill Level</t>
        </is>
      </c>
      <c r="E596" t="n">
        <v>8</v>
      </c>
      <c r="F596" t="n">
        <v>0.92</v>
      </c>
      <c r="G596" t="b">
        <v>0</v>
      </c>
      <c r="H596">
        <f>Sensitivity!H24</f>
        <v/>
      </c>
    </row>
    <row r="597">
      <c r="A597" t="inlineStr">
        <is>
          <t>ring</t>
        </is>
      </c>
      <c r="B597" t="inlineStr">
        <is>
          <t>mystic</t>
        </is>
      </c>
      <c r="C597" t="n">
        <v>1</v>
      </c>
      <c r="D597" t="inlineStr">
        <is>
          <t>All Skill Level</t>
        </is>
      </c>
      <c r="E597" t="n">
        <v>16</v>
      </c>
      <c r="F597" t="n">
        <v>1</v>
      </c>
      <c r="G597" t="b">
        <v>1</v>
      </c>
      <c r="H597">
        <f>Sensitivity!H24</f>
        <v/>
      </c>
    </row>
    <row r="598">
      <c r="A598" t="inlineStr">
        <is>
          <t>ring</t>
        </is>
      </c>
      <c r="B598" t="inlineStr">
        <is>
          <t>mystic</t>
        </is>
      </c>
      <c r="C598" t="n">
        <v>2</v>
      </c>
      <c r="D598" t="inlineStr">
        <is>
          <t>All Skill Level</t>
        </is>
      </c>
      <c r="E598" t="n">
        <v>16</v>
      </c>
      <c r="F598" t="n">
        <v>0.24</v>
      </c>
      <c r="G598" t="b">
        <v>1</v>
      </c>
      <c r="H598">
        <f>Sensitivity!H24</f>
        <v/>
      </c>
    </row>
    <row r="599">
      <c r="A599" t="inlineStr">
        <is>
          <t>ring</t>
        </is>
      </c>
      <c r="B599" t="inlineStr">
        <is>
          <t>mystic</t>
        </is>
      </c>
      <c r="C599" t="n">
        <v>2</v>
      </c>
      <c r="D599" t="inlineStr">
        <is>
          <t>All Skill Level</t>
        </is>
      </c>
      <c r="E599" t="n">
        <v>12</v>
      </c>
      <c r="F599" t="n">
        <v>0.76</v>
      </c>
      <c r="G599" t="b">
        <v>0</v>
      </c>
      <c r="H599">
        <f>Sensitivity!H24</f>
        <v/>
      </c>
    </row>
    <row r="600">
      <c r="A600" t="inlineStr">
        <is>
          <t>ring</t>
        </is>
      </c>
      <c r="B600" t="inlineStr">
        <is>
          <t>mystic</t>
        </is>
      </c>
      <c r="C600" t="n">
        <v>3</v>
      </c>
      <c r="D600" t="inlineStr">
        <is>
          <t>All Skill Level</t>
        </is>
      </c>
      <c r="E600" t="n">
        <v>16</v>
      </c>
      <c r="F600" t="n">
        <v>0.08</v>
      </c>
      <c r="G600" t="b">
        <v>1</v>
      </c>
      <c r="H600">
        <f>Sensitivity!H24</f>
        <v/>
      </c>
    </row>
    <row r="601">
      <c r="A601" t="inlineStr">
        <is>
          <t>ring</t>
        </is>
      </c>
      <c r="B601" t="inlineStr">
        <is>
          <t>mystic</t>
        </is>
      </c>
      <c r="C601" t="n">
        <v>3</v>
      </c>
      <c r="D601" t="inlineStr">
        <is>
          <t>All Skill Level</t>
        </is>
      </c>
      <c r="E601" t="n">
        <v>12</v>
      </c>
      <c r="F601" t="n">
        <v>0.92</v>
      </c>
      <c r="G601" t="b">
        <v>0</v>
      </c>
      <c r="H601">
        <f>Sensitivity!H24</f>
        <v/>
      </c>
    </row>
    <row r="602">
      <c r="A602" t="inlineStr">
        <is>
          <t>neck</t>
        </is>
      </c>
      <c r="B602" t="inlineStr">
        <is>
          <t>epic</t>
        </is>
      </c>
      <c r="C602" t="n">
        <v>1</v>
      </c>
      <c r="D602" t="inlineStr">
        <is>
          <t>All Skill Level</t>
        </is>
      </c>
      <c r="E602" t="n">
        <v>5</v>
      </c>
      <c r="F602" t="n">
        <v>1</v>
      </c>
      <c r="G602" t="b">
        <v>1</v>
      </c>
      <c r="H602">
        <f>Sensitivity!H24</f>
        <v/>
      </c>
    </row>
    <row r="603">
      <c r="A603" t="inlineStr">
        <is>
          <t>neck</t>
        </is>
      </c>
      <c r="B603" t="inlineStr">
        <is>
          <t>epic</t>
        </is>
      </c>
      <c r="C603" t="n">
        <v>2</v>
      </c>
      <c r="D603" t="inlineStr">
        <is>
          <t>All Skill Level</t>
        </is>
      </c>
      <c r="E603" t="n">
        <v>5</v>
      </c>
      <c r="F603" t="n">
        <v>0.24</v>
      </c>
      <c r="G603" t="b">
        <v>1</v>
      </c>
      <c r="H603">
        <f>Sensitivity!H24</f>
        <v/>
      </c>
    </row>
    <row r="604">
      <c r="A604" t="inlineStr">
        <is>
          <t>neck</t>
        </is>
      </c>
      <c r="B604" t="inlineStr">
        <is>
          <t>epic</t>
        </is>
      </c>
      <c r="C604" t="n">
        <v>3</v>
      </c>
      <c r="D604" t="inlineStr">
        <is>
          <t>All Skill Level</t>
        </is>
      </c>
      <c r="E604" t="n">
        <v>5</v>
      </c>
      <c r="F604" t="n">
        <v>0.08</v>
      </c>
      <c r="G604" t="b">
        <v>1</v>
      </c>
      <c r="H604">
        <f>Sensitivity!H24</f>
        <v/>
      </c>
    </row>
    <row r="605">
      <c r="A605" t="inlineStr">
        <is>
          <t>neck</t>
        </is>
      </c>
      <c r="B605" t="inlineStr">
        <is>
          <t>unique</t>
        </is>
      </c>
      <c r="C605" t="n">
        <v>1</v>
      </c>
      <c r="D605" t="inlineStr">
        <is>
          <t>All Skill Level</t>
        </is>
      </c>
      <c r="E605" t="n">
        <v>8</v>
      </c>
      <c r="F605" t="n">
        <v>1</v>
      </c>
      <c r="G605" t="b">
        <v>1</v>
      </c>
      <c r="H605">
        <f>Sensitivity!H24</f>
        <v/>
      </c>
    </row>
    <row r="606">
      <c r="A606" t="inlineStr">
        <is>
          <t>neck</t>
        </is>
      </c>
      <c r="B606" t="inlineStr">
        <is>
          <t>unique</t>
        </is>
      </c>
      <c r="C606" t="n">
        <v>2</v>
      </c>
      <c r="D606" t="inlineStr">
        <is>
          <t>All Skill Level</t>
        </is>
      </c>
      <c r="E606" t="n">
        <v>8</v>
      </c>
      <c r="F606" t="n">
        <v>0.24</v>
      </c>
      <c r="G606" t="b">
        <v>1</v>
      </c>
      <c r="H606">
        <f>Sensitivity!H24</f>
        <v/>
      </c>
    </row>
    <row r="607">
      <c r="A607" t="inlineStr">
        <is>
          <t>neck</t>
        </is>
      </c>
      <c r="B607" t="inlineStr">
        <is>
          <t>unique</t>
        </is>
      </c>
      <c r="C607" t="n">
        <v>2</v>
      </c>
      <c r="D607" t="inlineStr">
        <is>
          <t>All Skill Level</t>
        </is>
      </c>
      <c r="E607" t="n">
        <v>5</v>
      </c>
      <c r="F607" t="n">
        <v>0.76</v>
      </c>
      <c r="G607" t="b">
        <v>0</v>
      </c>
      <c r="H607">
        <f>Sensitivity!H24</f>
        <v/>
      </c>
    </row>
    <row r="608">
      <c r="A608" t="inlineStr">
        <is>
          <t>neck</t>
        </is>
      </c>
      <c r="B608" t="inlineStr">
        <is>
          <t>unique</t>
        </is>
      </c>
      <c r="C608" t="n">
        <v>3</v>
      </c>
      <c r="D608" t="inlineStr">
        <is>
          <t>All Skill Level</t>
        </is>
      </c>
      <c r="E608" t="n">
        <v>8</v>
      </c>
      <c r="F608" t="n">
        <v>0.08</v>
      </c>
      <c r="G608" t="b">
        <v>1</v>
      </c>
      <c r="H608">
        <f>Sensitivity!H24</f>
        <v/>
      </c>
    </row>
    <row r="609">
      <c r="A609" t="inlineStr">
        <is>
          <t>neck</t>
        </is>
      </c>
      <c r="B609" t="inlineStr">
        <is>
          <t>unique</t>
        </is>
      </c>
      <c r="C609" t="n">
        <v>3</v>
      </c>
      <c r="D609" t="inlineStr">
        <is>
          <t>All Skill Level</t>
        </is>
      </c>
      <c r="E609" t="n">
        <v>5</v>
      </c>
      <c r="F609" t="n">
        <v>0.92</v>
      </c>
      <c r="G609" t="b">
        <v>0</v>
      </c>
      <c r="H609">
        <f>Sensitivity!H24</f>
        <v/>
      </c>
    </row>
    <row r="610">
      <c r="A610" t="inlineStr">
        <is>
          <t>neck</t>
        </is>
      </c>
      <c r="B610" t="inlineStr">
        <is>
          <t>legendary</t>
        </is>
      </c>
      <c r="C610" t="n">
        <v>1</v>
      </c>
      <c r="D610" t="inlineStr">
        <is>
          <t>All Skill Level</t>
        </is>
      </c>
      <c r="E610" t="n">
        <v>12</v>
      </c>
      <c r="F610" t="n">
        <v>1</v>
      </c>
      <c r="G610" t="b">
        <v>1</v>
      </c>
      <c r="H610">
        <f>Sensitivity!H24</f>
        <v/>
      </c>
    </row>
    <row r="611">
      <c r="A611" t="inlineStr">
        <is>
          <t>neck</t>
        </is>
      </c>
      <c r="B611" t="inlineStr">
        <is>
          <t>legendary</t>
        </is>
      </c>
      <c r="C611" t="n">
        <v>2</v>
      </c>
      <c r="D611" t="inlineStr">
        <is>
          <t>All Skill Level</t>
        </is>
      </c>
      <c r="E611" t="n">
        <v>12</v>
      </c>
      <c r="F611" t="n">
        <v>0.24</v>
      </c>
      <c r="G611" t="b">
        <v>1</v>
      </c>
      <c r="H611">
        <f>Sensitivity!H24</f>
        <v/>
      </c>
    </row>
    <row r="612">
      <c r="A612" t="inlineStr">
        <is>
          <t>neck</t>
        </is>
      </c>
      <c r="B612" t="inlineStr">
        <is>
          <t>legendary</t>
        </is>
      </c>
      <c r="C612" t="n">
        <v>2</v>
      </c>
      <c r="D612" t="inlineStr">
        <is>
          <t>All Skill Level</t>
        </is>
      </c>
      <c r="E612" t="n">
        <v>8</v>
      </c>
      <c r="F612" t="n">
        <v>0.76</v>
      </c>
      <c r="G612" t="b">
        <v>0</v>
      </c>
      <c r="H612">
        <f>Sensitivity!H24</f>
        <v/>
      </c>
    </row>
    <row r="613">
      <c r="A613" t="inlineStr">
        <is>
          <t>neck</t>
        </is>
      </c>
      <c r="B613" t="inlineStr">
        <is>
          <t>legendary</t>
        </is>
      </c>
      <c r="C613" t="n">
        <v>3</v>
      </c>
      <c r="D613" t="inlineStr">
        <is>
          <t>All Skill Level</t>
        </is>
      </c>
      <c r="E613" t="n">
        <v>12</v>
      </c>
      <c r="F613" t="n">
        <v>0.08</v>
      </c>
      <c r="G613" t="b">
        <v>1</v>
      </c>
      <c r="H613">
        <f>Sensitivity!H24</f>
        <v/>
      </c>
    </row>
    <row r="614">
      <c r="A614" t="inlineStr">
        <is>
          <t>neck</t>
        </is>
      </c>
      <c r="B614" t="inlineStr">
        <is>
          <t>legendary</t>
        </is>
      </c>
      <c r="C614" t="n">
        <v>3</v>
      </c>
      <c r="D614" t="inlineStr">
        <is>
          <t>All Skill Level</t>
        </is>
      </c>
      <c r="E614" t="n">
        <v>8</v>
      </c>
      <c r="F614" t="n">
        <v>0.92</v>
      </c>
      <c r="G614" t="b">
        <v>0</v>
      </c>
      <c r="H614">
        <f>Sensitivity!H24</f>
        <v/>
      </c>
    </row>
    <row r="615">
      <c r="A615" t="inlineStr">
        <is>
          <t>neck</t>
        </is>
      </c>
      <c r="B615" t="inlineStr">
        <is>
          <t>mystic</t>
        </is>
      </c>
      <c r="C615" t="n">
        <v>1</v>
      </c>
      <c r="D615" t="inlineStr">
        <is>
          <t>All Skill Level</t>
        </is>
      </c>
      <c r="E615" t="n">
        <v>16</v>
      </c>
      <c r="F615" t="n">
        <v>1</v>
      </c>
      <c r="G615" t="b">
        <v>1</v>
      </c>
      <c r="H615">
        <f>Sensitivity!H24</f>
        <v/>
      </c>
    </row>
    <row r="616">
      <c r="A616" t="inlineStr">
        <is>
          <t>neck</t>
        </is>
      </c>
      <c r="B616" t="inlineStr">
        <is>
          <t>mystic</t>
        </is>
      </c>
      <c r="C616" t="n">
        <v>2</v>
      </c>
      <c r="D616" t="inlineStr">
        <is>
          <t>All Skill Level</t>
        </is>
      </c>
      <c r="E616" t="n">
        <v>16</v>
      </c>
      <c r="F616" t="n">
        <v>0.24</v>
      </c>
      <c r="G616" t="b">
        <v>1</v>
      </c>
      <c r="H616">
        <f>Sensitivity!H24</f>
        <v/>
      </c>
    </row>
    <row r="617">
      <c r="A617" t="inlineStr">
        <is>
          <t>neck</t>
        </is>
      </c>
      <c r="B617" t="inlineStr">
        <is>
          <t>mystic</t>
        </is>
      </c>
      <c r="C617" t="n">
        <v>2</v>
      </c>
      <c r="D617" t="inlineStr">
        <is>
          <t>All Skill Level</t>
        </is>
      </c>
      <c r="E617" t="n">
        <v>12</v>
      </c>
      <c r="F617" t="n">
        <v>0.76</v>
      </c>
      <c r="G617" t="b">
        <v>0</v>
      </c>
      <c r="H617">
        <f>Sensitivity!H24</f>
        <v/>
      </c>
    </row>
    <row r="618">
      <c r="A618" t="inlineStr">
        <is>
          <t>neck</t>
        </is>
      </c>
      <c r="B618" t="inlineStr">
        <is>
          <t>mystic</t>
        </is>
      </c>
      <c r="C618" t="n">
        <v>3</v>
      </c>
      <c r="D618" t="inlineStr">
        <is>
          <t>All Skill Level</t>
        </is>
      </c>
      <c r="E618" t="n">
        <v>16</v>
      </c>
      <c r="F618" t="n">
        <v>0.08</v>
      </c>
      <c r="G618" t="b">
        <v>1</v>
      </c>
      <c r="H618">
        <f>Sensitivity!H24</f>
        <v/>
      </c>
    </row>
    <row r="619">
      <c r="A619" t="inlineStr">
        <is>
          <t>neck</t>
        </is>
      </c>
      <c r="B619" t="inlineStr">
        <is>
          <t>mystic</t>
        </is>
      </c>
      <c r="C619" t="n">
        <v>3</v>
      </c>
      <c r="D619" t="inlineStr">
        <is>
          <t>All Skill Level</t>
        </is>
      </c>
      <c r="E619" t="n">
        <v>12</v>
      </c>
      <c r="F619" t="n">
        <v>0.92</v>
      </c>
      <c r="G619" t="b">
        <v>0</v>
      </c>
      <c r="H619">
        <f>Sensitivity!H24</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Sensitivity!H18</f>
        <v/>
      </c>
    </row>
    <row r="639">
      <c r="A639" t="inlineStr">
        <is>
          <t>ring2</t>
        </is>
      </c>
      <c r="B639" t="inlineStr">
        <is>
          <t>epic</t>
        </is>
      </c>
      <c r="C639" t="n">
        <v>2</v>
      </c>
      <c r="D639" t="inlineStr">
        <is>
          <t>Basic Attack Damage %</t>
        </is>
      </c>
      <c r="E639" t="n">
        <v>8</v>
      </c>
      <c r="F639" t="n">
        <v>0.24</v>
      </c>
      <c r="G639" t="b">
        <v>1</v>
      </c>
      <c r="H639">
        <f>Sensitivity!H18</f>
        <v/>
      </c>
    </row>
    <row r="640">
      <c r="A640" t="inlineStr">
        <is>
          <t>ring2</t>
        </is>
      </c>
      <c r="B640" t="inlineStr">
        <is>
          <t>epic</t>
        </is>
      </c>
      <c r="C640" t="n">
        <v>3</v>
      </c>
      <c r="D640" t="inlineStr">
        <is>
          <t>Basic Attack Damage %</t>
        </is>
      </c>
      <c r="E640" t="n">
        <v>8</v>
      </c>
      <c r="F640" t="n">
        <v>0.08</v>
      </c>
      <c r="G640" t="b">
        <v>1</v>
      </c>
      <c r="H640">
        <f>Sensitivity!H18</f>
        <v/>
      </c>
    </row>
    <row r="641">
      <c r="A641" t="inlineStr">
        <is>
          <t>ring2</t>
        </is>
      </c>
      <c r="B641" t="inlineStr">
        <is>
          <t>unique</t>
        </is>
      </c>
      <c r="C641" t="n">
        <v>1</v>
      </c>
      <c r="D641" t="inlineStr">
        <is>
          <t>Basic Attack Damage %</t>
        </is>
      </c>
      <c r="E641" t="n">
        <v>14</v>
      </c>
      <c r="F641" t="n">
        <v>1</v>
      </c>
      <c r="G641" t="b">
        <v>1</v>
      </c>
      <c r="H641">
        <f>Sensitivity!H18</f>
        <v/>
      </c>
    </row>
    <row r="642">
      <c r="A642" t="inlineStr">
        <is>
          <t>ring2</t>
        </is>
      </c>
      <c r="B642" t="inlineStr">
        <is>
          <t>unique</t>
        </is>
      </c>
      <c r="C642" t="n">
        <v>2</v>
      </c>
      <c r="D642" t="inlineStr">
        <is>
          <t>Basic Attack Damage %</t>
        </is>
      </c>
      <c r="E642" t="n">
        <v>14</v>
      </c>
      <c r="F642" t="n">
        <v>0.24</v>
      </c>
      <c r="G642" t="b">
        <v>1</v>
      </c>
      <c r="H642">
        <f>Sensitivity!H18</f>
        <v/>
      </c>
    </row>
    <row r="643">
      <c r="A643" t="inlineStr">
        <is>
          <t>ring2</t>
        </is>
      </c>
      <c r="B643" t="inlineStr">
        <is>
          <t>unique</t>
        </is>
      </c>
      <c r="C643" t="n">
        <v>2</v>
      </c>
      <c r="D643" t="inlineStr">
        <is>
          <t>Basic Attack Damage %</t>
        </is>
      </c>
      <c r="E643" t="n">
        <v>8</v>
      </c>
      <c r="F643" t="n">
        <v>0.76</v>
      </c>
      <c r="G643" t="b">
        <v>0</v>
      </c>
      <c r="H643">
        <f>Sensitivity!H18</f>
        <v/>
      </c>
    </row>
    <row r="644">
      <c r="A644" t="inlineStr">
        <is>
          <t>ring2</t>
        </is>
      </c>
      <c r="B644" t="inlineStr">
        <is>
          <t>unique</t>
        </is>
      </c>
      <c r="C644" t="n">
        <v>3</v>
      </c>
      <c r="D644" t="inlineStr">
        <is>
          <t>Basic Attack Damage %</t>
        </is>
      </c>
      <c r="E644" t="n">
        <v>14</v>
      </c>
      <c r="F644" t="n">
        <v>0.08</v>
      </c>
      <c r="G644" t="b">
        <v>1</v>
      </c>
      <c r="H644">
        <f>Sensitivity!H18</f>
        <v/>
      </c>
    </row>
    <row r="645">
      <c r="A645" t="inlineStr">
        <is>
          <t>ring2</t>
        </is>
      </c>
      <c r="B645" t="inlineStr">
        <is>
          <t>unique</t>
        </is>
      </c>
      <c r="C645" t="n">
        <v>3</v>
      </c>
      <c r="D645" t="inlineStr">
        <is>
          <t>Basic Attack Damage %</t>
        </is>
      </c>
      <c r="E645" t="n">
        <v>8</v>
      </c>
      <c r="F645" t="n">
        <v>0.92</v>
      </c>
      <c r="G645" t="b">
        <v>0</v>
      </c>
      <c r="H645">
        <f>Sensitivity!H18</f>
        <v/>
      </c>
    </row>
    <row r="646">
      <c r="A646" t="inlineStr">
        <is>
          <t>ring2</t>
        </is>
      </c>
      <c r="B646" t="inlineStr">
        <is>
          <t>legendary</t>
        </is>
      </c>
      <c r="C646" t="n">
        <v>1</v>
      </c>
      <c r="D646" t="inlineStr">
        <is>
          <t>Basic Attack Damage %</t>
        </is>
      </c>
      <c r="E646" t="n">
        <v>21</v>
      </c>
      <c r="F646" t="n">
        <v>1</v>
      </c>
      <c r="G646" t="b">
        <v>1</v>
      </c>
      <c r="H646">
        <f>Sensitivity!H18</f>
        <v/>
      </c>
    </row>
    <row r="647">
      <c r="A647" t="inlineStr">
        <is>
          <t>ring2</t>
        </is>
      </c>
      <c r="B647" t="inlineStr">
        <is>
          <t>legendary</t>
        </is>
      </c>
      <c r="C647" t="n">
        <v>2</v>
      </c>
      <c r="D647" t="inlineStr">
        <is>
          <t>Basic Attack Damage %</t>
        </is>
      </c>
      <c r="E647" t="n">
        <v>21</v>
      </c>
      <c r="F647" t="n">
        <v>0.24</v>
      </c>
      <c r="G647" t="b">
        <v>1</v>
      </c>
      <c r="H647">
        <f>Sensitivity!H18</f>
        <v/>
      </c>
    </row>
    <row r="648">
      <c r="A648" t="inlineStr">
        <is>
          <t>ring2</t>
        </is>
      </c>
      <c r="B648" t="inlineStr">
        <is>
          <t>legendary</t>
        </is>
      </c>
      <c r="C648" t="n">
        <v>2</v>
      </c>
      <c r="D648" t="inlineStr">
        <is>
          <t>Basic Attack Damage %</t>
        </is>
      </c>
      <c r="E648" t="n">
        <v>14</v>
      </c>
      <c r="F648" t="n">
        <v>0.76</v>
      </c>
      <c r="G648" t="b">
        <v>0</v>
      </c>
      <c r="H648">
        <f>Sensitivity!H18</f>
        <v/>
      </c>
    </row>
    <row r="649">
      <c r="A649" t="inlineStr">
        <is>
          <t>ring2</t>
        </is>
      </c>
      <c r="B649" t="inlineStr">
        <is>
          <t>legendary</t>
        </is>
      </c>
      <c r="C649" t="n">
        <v>3</v>
      </c>
      <c r="D649" t="inlineStr">
        <is>
          <t>Basic Attack Damage %</t>
        </is>
      </c>
      <c r="E649" t="n">
        <v>21</v>
      </c>
      <c r="F649" t="n">
        <v>0.08</v>
      </c>
      <c r="G649" t="b">
        <v>1</v>
      </c>
      <c r="H649">
        <f>Sensitivity!H18</f>
        <v/>
      </c>
    </row>
    <row r="650">
      <c r="A650" t="inlineStr">
        <is>
          <t>ring2</t>
        </is>
      </c>
      <c r="B650" t="inlineStr">
        <is>
          <t>legendary</t>
        </is>
      </c>
      <c r="C650" t="n">
        <v>3</v>
      </c>
      <c r="D650" t="inlineStr">
        <is>
          <t>Basic Attack Damage %</t>
        </is>
      </c>
      <c r="E650" t="n">
        <v>14</v>
      </c>
      <c r="F650" t="n">
        <v>0.92</v>
      </c>
      <c r="G650" t="b">
        <v>0</v>
      </c>
      <c r="H650">
        <f>Sensitivity!H18</f>
        <v/>
      </c>
    </row>
    <row r="651">
      <c r="A651" t="inlineStr">
        <is>
          <t>ring2</t>
        </is>
      </c>
      <c r="B651" t="inlineStr">
        <is>
          <t>mystic</t>
        </is>
      </c>
      <c r="C651" t="n">
        <v>1</v>
      </c>
      <c r="D651" t="inlineStr">
        <is>
          <t>Basic Attack Damage %</t>
        </is>
      </c>
      <c r="E651" t="n">
        <v>30</v>
      </c>
      <c r="F651" t="n">
        <v>1</v>
      </c>
      <c r="G651" t="b">
        <v>1</v>
      </c>
      <c r="H651">
        <f>Sensitivity!H18</f>
        <v/>
      </c>
    </row>
    <row r="652">
      <c r="A652" t="inlineStr">
        <is>
          <t>ring2</t>
        </is>
      </c>
      <c r="B652" t="inlineStr">
        <is>
          <t>mystic</t>
        </is>
      </c>
      <c r="C652" t="n">
        <v>2</v>
      </c>
      <c r="D652" t="inlineStr">
        <is>
          <t>Basic Attack Damage %</t>
        </is>
      </c>
      <c r="E652" t="n">
        <v>30</v>
      </c>
      <c r="F652" t="n">
        <v>0.24</v>
      </c>
      <c r="G652" t="b">
        <v>1</v>
      </c>
      <c r="H652">
        <f>Sensitivity!H18</f>
        <v/>
      </c>
    </row>
    <row r="653">
      <c r="A653" t="inlineStr">
        <is>
          <t>ring2</t>
        </is>
      </c>
      <c r="B653" t="inlineStr">
        <is>
          <t>mystic</t>
        </is>
      </c>
      <c r="C653" t="n">
        <v>2</v>
      </c>
      <c r="D653" t="inlineStr">
        <is>
          <t>Basic Attack Damage %</t>
        </is>
      </c>
      <c r="E653" t="n">
        <v>21</v>
      </c>
      <c r="F653" t="n">
        <v>0.76</v>
      </c>
      <c r="G653" t="b">
        <v>0</v>
      </c>
      <c r="H653">
        <f>Sensitivity!H18</f>
        <v/>
      </c>
    </row>
    <row r="654">
      <c r="A654" t="inlineStr">
        <is>
          <t>ring2</t>
        </is>
      </c>
      <c r="B654" t="inlineStr">
        <is>
          <t>mystic</t>
        </is>
      </c>
      <c r="C654" t="n">
        <v>3</v>
      </c>
      <c r="D654" t="inlineStr">
        <is>
          <t>Basic Attack Damage %</t>
        </is>
      </c>
      <c r="E654" t="n">
        <v>30</v>
      </c>
      <c r="F654" t="n">
        <v>0.08</v>
      </c>
      <c r="G654" t="b">
        <v>1</v>
      </c>
      <c r="H654">
        <f>Sensitivity!H18</f>
        <v/>
      </c>
    </row>
    <row r="655">
      <c r="A655" t="inlineStr">
        <is>
          <t>ring2</t>
        </is>
      </c>
      <c r="B655" t="inlineStr">
        <is>
          <t>mystic</t>
        </is>
      </c>
      <c r="C655" t="n">
        <v>3</v>
      </c>
      <c r="D655" t="inlineStr">
        <is>
          <t>Basic Attack Damage %</t>
        </is>
      </c>
      <c r="E655" t="n">
        <v>21</v>
      </c>
      <c r="F655" t="n">
        <v>0.92</v>
      </c>
      <c r="G655" t="b">
        <v>0</v>
      </c>
      <c r="H655">
        <f>Sensitivity!H18</f>
        <v/>
      </c>
    </row>
    <row r="656">
      <c r="A656" t="inlineStr">
        <is>
          <t>face</t>
        </is>
      </c>
      <c r="B656" t="inlineStr">
        <is>
          <t>epic</t>
        </is>
      </c>
      <c r="C656" t="n">
        <v>1</v>
      </c>
      <c r="D656" t="inlineStr">
        <is>
          <t>Final Damage %</t>
        </is>
      </c>
      <c r="E656" t="n">
        <v>3</v>
      </c>
      <c r="F656" t="n">
        <v>1</v>
      </c>
      <c r="G656" t="b">
        <v>1</v>
      </c>
      <c r="H656">
        <f>Sensitivity!H11</f>
        <v/>
      </c>
    </row>
    <row r="657">
      <c r="A657" t="inlineStr">
        <is>
          <t>face</t>
        </is>
      </c>
      <c r="B657" t="inlineStr">
        <is>
          <t>epic</t>
        </is>
      </c>
      <c r="C657" t="n">
        <v>2</v>
      </c>
      <c r="D657" t="inlineStr">
        <is>
          <t>Final Damage %</t>
        </is>
      </c>
      <c r="E657" t="n">
        <v>3</v>
      </c>
      <c r="F657" t="n">
        <v>0.24</v>
      </c>
      <c r="G657" t="b">
        <v>1</v>
      </c>
      <c r="H657">
        <f>Sensitivity!H11</f>
        <v/>
      </c>
    </row>
    <row r="658">
      <c r="A658" t="inlineStr">
        <is>
          <t>face</t>
        </is>
      </c>
      <c r="B658" t="inlineStr">
        <is>
          <t>epic</t>
        </is>
      </c>
      <c r="C658" t="n">
        <v>3</v>
      </c>
      <c r="D658" t="inlineStr">
        <is>
          <t>Final Damage %</t>
        </is>
      </c>
      <c r="E658" t="n">
        <v>3</v>
      </c>
      <c r="F658" t="n">
        <v>0.08</v>
      </c>
      <c r="G658" t="b">
        <v>1</v>
      </c>
      <c r="H658">
        <f>Sensitivity!H11</f>
        <v/>
      </c>
    </row>
    <row r="659">
      <c r="A659" t="inlineStr">
        <is>
          <t>face</t>
        </is>
      </c>
      <c r="B659" t="inlineStr">
        <is>
          <t>unique</t>
        </is>
      </c>
      <c r="C659" t="n">
        <v>1</v>
      </c>
      <c r="D659" t="inlineStr">
        <is>
          <t>Final Damage %</t>
        </is>
      </c>
      <c r="E659" t="n">
        <v>5</v>
      </c>
      <c r="F659" t="n">
        <v>1</v>
      </c>
      <c r="G659" t="b">
        <v>1</v>
      </c>
      <c r="H659">
        <f>Sensitivity!H11</f>
        <v/>
      </c>
    </row>
    <row r="660">
      <c r="A660" t="inlineStr">
        <is>
          <t>face</t>
        </is>
      </c>
      <c r="B660" t="inlineStr">
        <is>
          <t>unique</t>
        </is>
      </c>
      <c r="C660" t="n">
        <v>2</v>
      </c>
      <c r="D660" t="inlineStr">
        <is>
          <t>Final Damage %</t>
        </is>
      </c>
      <c r="E660" t="n">
        <v>5</v>
      </c>
      <c r="F660" t="n">
        <v>0.24</v>
      </c>
      <c r="G660" t="b">
        <v>1</v>
      </c>
      <c r="H660">
        <f>Sensitivity!H11</f>
        <v/>
      </c>
    </row>
    <row r="661">
      <c r="A661" t="inlineStr">
        <is>
          <t>face</t>
        </is>
      </c>
      <c r="B661" t="inlineStr">
        <is>
          <t>unique</t>
        </is>
      </c>
      <c r="C661" t="n">
        <v>2</v>
      </c>
      <c r="D661" t="inlineStr">
        <is>
          <t>Final Damage %</t>
        </is>
      </c>
      <c r="E661" t="n">
        <v>3</v>
      </c>
      <c r="F661" t="n">
        <v>0.76</v>
      </c>
      <c r="G661" t="b">
        <v>0</v>
      </c>
      <c r="H661">
        <f>Sensitivity!H11</f>
        <v/>
      </c>
    </row>
    <row r="662">
      <c r="A662" t="inlineStr">
        <is>
          <t>face</t>
        </is>
      </c>
      <c r="B662" t="inlineStr">
        <is>
          <t>unique</t>
        </is>
      </c>
      <c r="C662" t="n">
        <v>3</v>
      </c>
      <c r="D662" t="inlineStr">
        <is>
          <t>Final Damage %</t>
        </is>
      </c>
      <c r="E662" t="n">
        <v>5</v>
      </c>
      <c r="F662" t="n">
        <v>0.08</v>
      </c>
      <c r="G662" t="b">
        <v>1</v>
      </c>
      <c r="H662">
        <f>Sensitivity!H11</f>
        <v/>
      </c>
    </row>
    <row r="663">
      <c r="A663" t="inlineStr">
        <is>
          <t>face</t>
        </is>
      </c>
      <c r="B663" t="inlineStr">
        <is>
          <t>unique</t>
        </is>
      </c>
      <c r="C663" t="n">
        <v>3</v>
      </c>
      <c r="D663" t="inlineStr">
        <is>
          <t>Final Damage %</t>
        </is>
      </c>
      <c r="E663" t="n">
        <v>3</v>
      </c>
      <c r="F663" t="n">
        <v>0.92</v>
      </c>
      <c r="G663" t="b">
        <v>0</v>
      </c>
      <c r="H663">
        <f>Sensitivity!H11</f>
        <v/>
      </c>
    </row>
    <row r="664">
      <c r="A664" t="inlineStr">
        <is>
          <t>face</t>
        </is>
      </c>
      <c r="B664" t="inlineStr">
        <is>
          <t>legendary</t>
        </is>
      </c>
      <c r="C664" t="n">
        <v>1</v>
      </c>
      <c r="D664" t="inlineStr">
        <is>
          <t>Final Damage %</t>
        </is>
      </c>
      <c r="E664" t="n">
        <v>8</v>
      </c>
      <c r="F664" t="n">
        <v>1</v>
      </c>
      <c r="G664" t="b">
        <v>1</v>
      </c>
      <c r="H664">
        <f>Sensitivity!H11</f>
        <v/>
      </c>
    </row>
    <row r="665">
      <c r="A665" t="inlineStr">
        <is>
          <t>face</t>
        </is>
      </c>
      <c r="B665" t="inlineStr">
        <is>
          <t>legendary</t>
        </is>
      </c>
      <c r="C665" t="n">
        <v>2</v>
      </c>
      <c r="D665" t="inlineStr">
        <is>
          <t>Final Damage %</t>
        </is>
      </c>
      <c r="E665" t="n">
        <v>8</v>
      </c>
      <c r="F665" t="n">
        <v>0.24</v>
      </c>
      <c r="G665" t="b">
        <v>1</v>
      </c>
      <c r="H665">
        <f>Sensitivity!H11</f>
        <v/>
      </c>
    </row>
    <row r="666">
      <c r="A666" t="inlineStr">
        <is>
          <t>face</t>
        </is>
      </c>
      <c r="B666" t="inlineStr">
        <is>
          <t>legendary</t>
        </is>
      </c>
      <c r="C666" t="n">
        <v>2</v>
      </c>
      <c r="D666" t="inlineStr">
        <is>
          <t>Final Damage %</t>
        </is>
      </c>
      <c r="E666" t="n">
        <v>5</v>
      </c>
      <c r="F666" t="n">
        <v>0.76</v>
      </c>
      <c r="G666" t="b">
        <v>0</v>
      </c>
      <c r="H666">
        <f>Sensitivity!H11</f>
        <v/>
      </c>
    </row>
    <row r="667">
      <c r="A667" t="inlineStr">
        <is>
          <t>face</t>
        </is>
      </c>
      <c r="B667" t="inlineStr">
        <is>
          <t>legendary</t>
        </is>
      </c>
      <c r="C667" t="n">
        <v>3</v>
      </c>
      <c r="D667" t="inlineStr">
        <is>
          <t>Final Damage %</t>
        </is>
      </c>
      <c r="E667" t="n">
        <v>8</v>
      </c>
      <c r="F667" t="n">
        <v>0.08</v>
      </c>
      <c r="G667" t="b">
        <v>1</v>
      </c>
      <c r="H667">
        <f>Sensitivity!H11</f>
        <v/>
      </c>
    </row>
    <row r="668">
      <c r="A668" t="inlineStr">
        <is>
          <t>face</t>
        </is>
      </c>
      <c r="B668" t="inlineStr">
        <is>
          <t>legendary</t>
        </is>
      </c>
      <c r="C668" t="n">
        <v>3</v>
      </c>
      <c r="D668" t="inlineStr">
        <is>
          <t>Final Damage %</t>
        </is>
      </c>
      <c r="E668" t="n">
        <v>5</v>
      </c>
      <c r="F668" t="n">
        <v>0.92</v>
      </c>
      <c r="G668" t="b">
        <v>0</v>
      </c>
      <c r="H668">
        <f>Sensitivity!H11</f>
        <v/>
      </c>
    </row>
    <row r="669">
      <c r="A669" t="inlineStr">
        <is>
          <t>face</t>
        </is>
      </c>
      <c r="B669" t="inlineStr">
        <is>
          <t>mystic</t>
        </is>
      </c>
      <c r="C669" t="n">
        <v>1</v>
      </c>
      <c r="D669" t="inlineStr">
        <is>
          <t>Final Damage %</t>
        </is>
      </c>
      <c r="E669" t="n">
        <v>12</v>
      </c>
      <c r="F669" t="n">
        <v>1</v>
      </c>
      <c r="G669" t="b">
        <v>1</v>
      </c>
      <c r="H669">
        <f>Sensitivity!H11</f>
        <v/>
      </c>
    </row>
    <row r="670">
      <c r="A670" t="inlineStr">
        <is>
          <t>face</t>
        </is>
      </c>
      <c r="B670" t="inlineStr">
        <is>
          <t>mystic</t>
        </is>
      </c>
      <c r="C670" t="n">
        <v>2</v>
      </c>
      <c r="D670" t="inlineStr">
        <is>
          <t>Final Damage %</t>
        </is>
      </c>
      <c r="E670" t="n">
        <v>12</v>
      </c>
      <c r="F670" t="n">
        <v>0.24</v>
      </c>
      <c r="G670" t="b">
        <v>1</v>
      </c>
      <c r="H670">
        <f>Sensitivity!H11</f>
        <v/>
      </c>
    </row>
    <row r="671">
      <c r="A671" t="inlineStr">
        <is>
          <t>face</t>
        </is>
      </c>
      <c r="B671" t="inlineStr">
        <is>
          <t>mystic</t>
        </is>
      </c>
      <c r="C671" t="n">
        <v>2</v>
      </c>
      <c r="D671" t="inlineStr">
        <is>
          <t>Final Damage %</t>
        </is>
      </c>
      <c r="E671" t="n">
        <v>8</v>
      </c>
      <c r="F671" t="n">
        <v>0.76</v>
      </c>
      <c r="G671" t="b">
        <v>0</v>
      </c>
      <c r="H671">
        <f>Sensitivity!H11</f>
        <v/>
      </c>
    </row>
    <row r="672">
      <c r="A672" t="inlineStr">
        <is>
          <t>face</t>
        </is>
      </c>
      <c r="B672" t="inlineStr">
        <is>
          <t>mystic</t>
        </is>
      </c>
      <c r="C672" t="n">
        <v>3</v>
      </c>
      <c r="D672" t="inlineStr">
        <is>
          <t>Final Damage %</t>
        </is>
      </c>
      <c r="E672" t="n">
        <v>12</v>
      </c>
      <c r="F672" t="n">
        <v>0.08</v>
      </c>
      <c r="G672" t="b">
        <v>1</v>
      </c>
      <c r="H672">
        <f>Sensitivity!H11</f>
        <v/>
      </c>
    </row>
    <row r="673">
      <c r="A673" t="inlineStr">
        <is>
          <t>face</t>
        </is>
      </c>
      <c r="B673" t="inlineStr">
        <is>
          <t>mystic</t>
        </is>
      </c>
      <c r="C673" t="n">
        <v>3</v>
      </c>
      <c r="D673" t="inlineStr">
        <is>
          <t>Final Damage %</t>
        </is>
      </c>
      <c r="E673" t="n">
        <v>8</v>
      </c>
      <c r="F673" t="n">
        <v>0.92</v>
      </c>
      <c r="G673" t="b">
        <v>0</v>
      </c>
      <c r="H673">
        <f>Sensitivity!H11</f>
        <v/>
      </c>
    </row>
    <row r="674">
      <c r="A674" t="inlineStr">
        <is>
          <t>earrings</t>
        </is>
      </c>
      <c r="B674" t="inlineStr">
        <is>
          <t>epic</t>
        </is>
      </c>
      <c r="C674" t="n">
        <v>1</v>
      </c>
      <c r="D674" t="inlineStr">
        <is>
          <t>Skill Damage %</t>
        </is>
      </c>
      <c r="E674" t="n">
        <v>8</v>
      </c>
      <c r="F674" t="n">
        <v>1</v>
      </c>
      <c r="G674" t="b">
        <v>1</v>
      </c>
      <c r="H674">
        <f>Sensitivity!H19</f>
        <v/>
      </c>
    </row>
    <row r="675">
      <c r="A675" t="inlineStr">
        <is>
          <t>earrings</t>
        </is>
      </c>
      <c r="B675" t="inlineStr">
        <is>
          <t>epic</t>
        </is>
      </c>
      <c r="C675" t="n">
        <v>2</v>
      </c>
      <c r="D675" t="inlineStr">
        <is>
          <t>Skill Damage %</t>
        </is>
      </c>
      <c r="E675" t="n">
        <v>8</v>
      </c>
      <c r="F675" t="n">
        <v>0.24</v>
      </c>
      <c r="G675" t="b">
        <v>1</v>
      </c>
      <c r="H675">
        <f>Sensitivity!H19</f>
        <v/>
      </c>
    </row>
    <row r="676">
      <c r="A676" t="inlineStr">
        <is>
          <t>earrings</t>
        </is>
      </c>
      <c r="B676" t="inlineStr">
        <is>
          <t>epic</t>
        </is>
      </c>
      <c r="C676" t="n">
        <v>3</v>
      </c>
      <c r="D676" t="inlineStr">
        <is>
          <t>Skill Damage %</t>
        </is>
      </c>
      <c r="E676" t="n">
        <v>8</v>
      </c>
      <c r="F676" t="n">
        <v>0.08</v>
      </c>
      <c r="G676" t="b">
        <v>1</v>
      </c>
      <c r="H676">
        <f>Sensitivity!H19</f>
        <v/>
      </c>
    </row>
    <row r="677">
      <c r="A677" t="inlineStr">
        <is>
          <t>earrings</t>
        </is>
      </c>
      <c r="B677" t="inlineStr">
        <is>
          <t>unique</t>
        </is>
      </c>
      <c r="C677" t="n">
        <v>1</v>
      </c>
      <c r="D677" t="inlineStr">
        <is>
          <t>Skill Damage %</t>
        </is>
      </c>
      <c r="E677" t="n">
        <v>14</v>
      </c>
      <c r="F677" t="n">
        <v>1</v>
      </c>
      <c r="G677" t="b">
        <v>1</v>
      </c>
      <c r="H677">
        <f>Sensitivity!H19</f>
        <v/>
      </c>
    </row>
    <row r="678">
      <c r="A678" t="inlineStr">
        <is>
          <t>earrings</t>
        </is>
      </c>
      <c r="B678" t="inlineStr">
        <is>
          <t>unique</t>
        </is>
      </c>
      <c r="C678" t="n">
        <v>2</v>
      </c>
      <c r="D678" t="inlineStr">
        <is>
          <t>Skill Damage %</t>
        </is>
      </c>
      <c r="E678" t="n">
        <v>14</v>
      </c>
      <c r="F678" t="n">
        <v>0.24</v>
      </c>
      <c r="G678" t="b">
        <v>1</v>
      </c>
      <c r="H678">
        <f>Sensitivity!H19</f>
        <v/>
      </c>
    </row>
    <row r="679">
      <c r="A679" t="inlineStr">
        <is>
          <t>earrings</t>
        </is>
      </c>
      <c r="B679" t="inlineStr">
        <is>
          <t>unique</t>
        </is>
      </c>
      <c r="C679" t="n">
        <v>2</v>
      </c>
      <c r="D679" t="inlineStr">
        <is>
          <t>Skill Damage %</t>
        </is>
      </c>
      <c r="E679" t="n">
        <v>8</v>
      </c>
      <c r="F679" t="n">
        <v>0.76</v>
      </c>
      <c r="G679" t="b">
        <v>0</v>
      </c>
      <c r="H679">
        <f>Sensitivity!H19</f>
        <v/>
      </c>
    </row>
    <row r="680">
      <c r="A680" t="inlineStr">
        <is>
          <t>earrings</t>
        </is>
      </c>
      <c r="B680" t="inlineStr">
        <is>
          <t>unique</t>
        </is>
      </c>
      <c r="C680" t="n">
        <v>3</v>
      </c>
      <c r="D680" t="inlineStr">
        <is>
          <t>Skill Damage %</t>
        </is>
      </c>
      <c r="E680" t="n">
        <v>14</v>
      </c>
      <c r="F680" t="n">
        <v>0.08</v>
      </c>
      <c r="G680" t="b">
        <v>1</v>
      </c>
      <c r="H680">
        <f>Sensitivity!H19</f>
        <v/>
      </c>
    </row>
    <row r="681">
      <c r="A681" t="inlineStr">
        <is>
          <t>earrings</t>
        </is>
      </c>
      <c r="B681" t="inlineStr">
        <is>
          <t>unique</t>
        </is>
      </c>
      <c r="C681" t="n">
        <v>3</v>
      </c>
      <c r="D681" t="inlineStr">
        <is>
          <t>Skill Damage %</t>
        </is>
      </c>
      <c r="E681" t="n">
        <v>8</v>
      </c>
      <c r="F681" t="n">
        <v>0.92</v>
      </c>
      <c r="G681" t="b">
        <v>0</v>
      </c>
      <c r="H681">
        <f>Sensitivity!H19</f>
        <v/>
      </c>
    </row>
    <row r="682">
      <c r="A682" t="inlineStr">
        <is>
          <t>earrings</t>
        </is>
      </c>
      <c r="B682" t="inlineStr">
        <is>
          <t>legendary</t>
        </is>
      </c>
      <c r="C682" t="n">
        <v>1</v>
      </c>
      <c r="D682" t="inlineStr">
        <is>
          <t>Skill Damage %</t>
        </is>
      </c>
      <c r="E682" t="n">
        <v>21</v>
      </c>
      <c r="F682" t="n">
        <v>1</v>
      </c>
      <c r="G682" t="b">
        <v>1</v>
      </c>
      <c r="H682">
        <f>Sensitivity!H19</f>
        <v/>
      </c>
    </row>
    <row r="683">
      <c r="A683" t="inlineStr">
        <is>
          <t>earrings</t>
        </is>
      </c>
      <c r="B683" t="inlineStr">
        <is>
          <t>legendary</t>
        </is>
      </c>
      <c r="C683" t="n">
        <v>2</v>
      </c>
      <c r="D683" t="inlineStr">
        <is>
          <t>Skill Damage %</t>
        </is>
      </c>
      <c r="E683" t="n">
        <v>21</v>
      </c>
      <c r="F683" t="n">
        <v>0.24</v>
      </c>
      <c r="G683" t="b">
        <v>1</v>
      </c>
      <c r="H683">
        <f>Sensitivity!H19</f>
        <v/>
      </c>
    </row>
    <row r="684">
      <c r="A684" t="inlineStr">
        <is>
          <t>earrings</t>
        </is>
      </c>
      <c r="B684" t="inlineStr">
        <is>
          <t>legendary</t>
        </is>
      </c>
      <c r="C684" t="n">
        <v>2</v>
      </c>
      <c r="D684" t="inlineStr">
        <is>
          <t>Skill Damage %</t>
        </is>
      </c>
      <c r="E684" t="n">
        <v>14</v>
      </c>
      <c r="F684" t="n">
        <v>0.76</v>
      </c>
      <c r="G684" t="b">
        <v>0</v>
      </c>
      <c r="H684">
        <f>Sensitivity!H19</f>
        <v/>
      </c>
    </row>
    <row r="685">
      <c r="A685" t="inlineStr">
        <is>
          <t>earrings</t>
        </is>
      </c>
      <c r="B685" t="inlineStr">
        <is>
          <t>legendary</t>
        </is>
      </c>
      <c r="C685" t="n">
        <v>3</v>
      </c>
      <c r="D685" t="inlineStr">
        <is>
          <t>Skill Damage %</t>
        </is>
      </c>
      <c r="E685" t="n">
        <v>21</v>
      </c>
      <c r="F685" t="n">
        <v>0.08</v>
      </c>
      <c r="G685" t="b">
        <v>1</v>
      </c>
      <c r="H685">
        <f>Sensitivity!H19</f>
        <v/>
      </c>
    </row>
    <row r="686">
      <c r="A686" t="inlineStr">
        <is>
          <t>earrings</t>
        </is>
      </c>
      <c r="B686" t="inlineStr">
        <is>
          <t>legendary</t>
        </is>
      </c>
      <c r="C686" t="n">
        <v>3</v>
      </c>
      <c r="D686" t="inlineStr">
        <is>
          <t>Skill Damage %</t>
        </is>
      </c>
      <c r="E686" t="n">
        <v>14</v>
      </c>
      <c r="F686" t="n">
        <v>0.92</v>
      </c>
      <c r="G686" t="b">
        <v>0</v>
      </c>
      <c r="H686">
        <f>Sensitivity!H19</f>
        <v/>
      </c>
    </row>
    <row r="687">
      <c r="A687" t="inlineStr">
        <is>
          <t>earrings</t>
        </is>
      </c>
      <c r="B687" t="inlineStr">
        <is>
          <t>mystic</t>
        </is>
      </c>
      <c r="C687" t="n">
        <v>1</v>
      </c>
      <c r="D687" t="inlineStr">
        <is>
          <t>Skill Damage %</t>
        </is>
      </c>
      <c r="E687" t="n">
        <v>30</v>
      </c>
      <c r="F687" t="n">
        <v>1</v>
      </c>
      <c r="G687" t="b">
        <v>1</v>
      </c>
      <c r="H687">
        <f>Sensitivity!H19</f>
        <v/>
      </c>
    </row>
    <row r="688">
      <c r="A688" t="inlineStr">
        <is>
          <t>earrings</t>
        </is>
      </c>
      <c r="B688" t="inlineStr">
        <is>
          <t>mystic</t>
        </is>
      </c>
      <c r="C688" t="n">
        <v>2</v>
      </c>
      <c r="D688" t="inlineStr">
        <is>
          <t>Skill Damage %</t>
        </is>
      </c>
      <c r="E688" t="n">
        <v>30</v>
      </c>
      <c r="F688" t="n">
        <v>0.24</v>
      </c>
      <c r="G688" t="b">
        <v>1</v>
      </c>
      <c r="H688">
        <f>Sensitivity!H19</f>
        <v/>
      </c>
    </row>
    <row r="689">
      <c r="A689" t="inlineStr">
        <is>
          <t>earrings</t>
        </is>
      </c>
      <c r="B689" t="inlineStr">
        <is>
          <t>mystic</t>
        </is>
      </c>
      <c r="C689" t="n">
        <v>2</v>
      </c>
      <c r="D689" t="inlineStr">
        <is>
          <t>Skill Damage %</t>
        </is>
      </c>
      <c r="E689" t="n">
        <v>21</v>
      </c>
      <c r="F689" t="n">
        <v>0.76</v>
      </c>
      <c r="G689" t="b">
        <v>0</v>
      </c>
      <c r="H689">
        <f>Sensitivity!H19</f>
        <v/>
      </c>
    </row>
    <row r="690">
      <c r="A690" t="inlineStr">
        <is>
          <t>earrings</t>
        </is>
      </c>
      <c r="B690" t="inlineStr">
        <is>
          <t>mystic</t>
        </is>
      </c>
      <c r="C690" t="n">
        <v>3</v>
      </c>
      <c r="D690" t="inlineStr">
        <is>
          <t>Skill Damage %</t>
        </is>
      </c>
      <c r="E690" t="n">
        <v>30</v>
      </c>
      <c r="F690" t="n">
        <v>0.08</v>
      </c>
      <c r="G690" t="b">
        <v>1</v>
      </c>
      <c r="H690">
        <f>Sensitivity!H19</f>
        <v/>
      </c>
    </row>
    <row r="691">
      <c r="A691" t="inlineStr">
        <is>
          <t>earrings</t>
        </is>
      </c>
      <c r="B691" t="inlineStr">
        <is>
          <t>mystic</t>
        </is>
      </c>
      <c r="C691" t="n">
        <v>3</v>
      </c>
      <c r="D691" t="inlineStr">
        <is>
          <t>Skill Damage %</t>
        </is>
      </c>
      <c r="E691" t="n">
        <v>21</v>
      </c>
      <c r="F691" t="n">
        <v>0.92</v>
      </c>
      <c r="G691" t="b">
        <v>0</v>
      </c>
      <c r="H691">
        <f>Sensitivity!H19</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8" t="inlineStr">
        <is>
          <t>Slot</t>
        </is>
      </c>
      <c r="B5" s="8" t="inlineStr">
        <is>
          <t>Potential Type</t>
        </is>
      </c>
      <c r="C5" s="8" t="inlineStr">
        <is>
          <t>Current Rarity</t>
        </is>
      </c>
      <c r="D5" s="8" t="inlineStr">
        <is>
          <t>Current Pity Count</t>
        </is>
      </c>
      <c r="E5" s="8" t="inlineStr">
        <is>
          <t>Line 1 Stat</t>
        </is>
      </c>
      <c r="F5" s="8" t="inlineStr">
        <is>
          <t>Line 1 Value</t>
        </is>
      </c>
      <c r="G5" s="8" t="inlineStr">
        <is>
          <t>Line 2 Stat</t>
        </is>
      </c>
      <c r="H5" s="8" t="inlineStr">
        <is>
          <t>Line 2 Value</t>
        </is>
      </c>
      <c r="I5" s="8" t="inlineStr">
        <is>
          <t>Line 3 Stat</t>
        </is>
      </c>
      <c r="J5" s="8"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2026-09-16T10:42:00Z</dcterms:created>
  <dcterms:modified xsi:type="dcterms:W3CDTF">2026-09-16T10:42:00Z</dcterms:modified>
</cp:coreProperties>
</file>