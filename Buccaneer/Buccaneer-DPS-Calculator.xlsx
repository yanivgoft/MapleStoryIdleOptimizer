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Buccaneer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100*(1-((10+IF(Inputs!$B$3&gt;=94,5,0))/((10+IF(Inputs!$B$3&gt;=94,5,0))+5/(Summary!$B$63*(1+IF(Inputs!$B$3&gt;=104,1,0))))))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100*((10+IF(Inputs!$B$3&gt;=94,5,0))/((10+IF(Inputs!$B$3&gt;=94,5,0))+5/(Summary!$B$63*(1+IF(Inputs!$B$3&gt;=104,1,0)))))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100*((10+IF(Inputs!$B$3&gt;=94,5,0))/((10+IF(Inputs!$B$3&gt;=94,5,0))+5/(Summary!$B$63*(1+IF(Inputs!$B$3&gt;=104,1,0)))))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0</v>
      </c>
      <c r="N13" t="b">
        <v>0</v>
      </c>
      <c r="O13" t="n">
        <v>0</v>
      </c>
      <c r="P13" t="n">
        <v>0</v>
      </c>
      <c r="Q13" t="n">
        <v>0</v>
      </c>
      <c r="R13" t="n">
        <v>0</v>
      </c>
      <c r="S13" t="inlineStr">
        <is>
          <t>ATTACK</t>
        </is>
      </c>
      <c r="T13" t="n">
        <v>0</v>
      </c>
      <c r="U13" t="inlineStr"/>
      <c r="V13" t="inlineStr"/>
      <c r="W13" t="inlineStr">
        <is>
          <t>FLAGGED ASSUMPTION (no individual wiki page exists, no cooldown stated): 'Rolls a six-sided die every 7 sec to increase Attack by 0-5% in proportion to the number on the die for 5 sec.' The flat, unconditional '+20% Attack' base effect of this same skill is Magic-Critical-pattern (assumed already reflected in your own Inputs!ATTACK_PCT, see PASSIVE_DELTA_SLOT) — this row models ONLY the random dice component, approximated at its average roll (2.5%, the midpoint of 0-5%) treated as an always-active flat bonus once unlocked, rather than an actual RNG/duty-cycle process (the 'no repeat within 30s' rule and the 7s-roll/5s-duration timing are not modeled). factorIndex 0 (non-scaling placeholder — no data exists on whether the 0-5% range itself grows with level), baseDamage 25 tenths%.</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T1" t="inlineStr">
        <is>
          <t>BossOnlyDPS</t>
        </is>
      </c>
      <c r="V1" t="inlineStr">
        <is>
          <t>NormalOnlyDPS</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J2*(1+Summary!$B$51/100)*(1+Inputs!$B$15/100)*(1+Inputs!$B$16/100)*(5000/(6000+Inputs!$B$42*(1-Inputs!$B$19/100)))*(1+(Inputs!$B$24+Summary!$B$65)/100)*(1+(IF(Skills!A2="HOOK_BOMBER",Inputs!$B$17,Inputs!$B$18))/100)*(Summary!$B$57*I2)</f>
        <v/>
      </c>
      <c r="L2">
        <f>K2*(MIN(Inputs!$B$22,Inputs!$B$23)/100+Inputs!$B$23/100)/2</f>
        <v/>
      </c>
      <c r="M2">
        <f>L2*(1+(Inputs!$B$10+Summary!$B$64)/100)</f>
        <v/>
      </c>
      <c r="N2">
        <f>L2*(1-MIN((Inputs!$B$9+Summary!$B$58),100)/100)+M2*(MIN((Inputs!$B$9+Summary!$B$58),100)/100)</f>
        <v/>
      </c>
      <c r="O2">
        <f>(1-Summary!$B$55)*T2+Summary!$B$55*V2</f>
        <v/>
      </c>
      <c r="P2">
        <f>IF(Summary!$B$3=0,0,O2/Summary!$B$3)</f>
        <v/>
      </c>
      <c r="Q2" t="n">
        <v>0</v>
      </c>
      <c r="R2" t="n">
        <v>0</v>
      </c>
      <c r="S2">
        <f>IFERROR(O2/N2,0)</f>
        <v/>
      </c>
      <c r="T2">
        <f>IF(C2,(Skills!G2*N2*Summary!$B$63)*IF(Inputs!$B$38="pvp",1,1+(Inputs!$B$20+Skills!P2+Summary!$B$59)/100),0)</f>
        <v/>
      </c>
      <c r="V2">
        <f>IF(C2,(Skills!G2*N2*Summary!$B$63)*IF(Inputs!$B$38="pvp",1,(1+(Inputs!$B$21+Skills!Q2+Summary!$B$59)/100)*(MIN(Skills!R2,Inputs!$B$37))),0)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J3*(1+Summary!$B$51/100)*(1+Inputs!$B$15/100)*(1+Inputs!$B$16/100)*(5000/(6000+Inputs!$B$42*(1-Inputs!$B$19/100)))*(1+(Inputs!$B$24+Summary!$B$65)/100)*(1+(IF(Skills!A3="HOOK_BOMBER",Inputs!$B$17,Inputs!$B$18))/100)*(Summary!$B$57*I3)</f>
        <v/>
      </c>
      <c r="L3">
        <f>K3*(MIN(Inputs!$B$22,Inputs!$B$23)/100+Inputs!$B$23/100)/2</f>
        <v/>
      </c>
      <c r="M3">
        <f>L3*(1+(Inputs!$B$10+Summary!$B$64)/100)</f>
        <v/>
      </c>
      <c r="N3">
        <f>L3*(1-MIN((Inputs!$B$9+Summary!$B$58),100)/100)+M3*(MIN((Inputs!$B$9+Summary!$B$58),100)/100)</f>
        <v/>
      </c>
      <c r="O3">
        <f>(1-Summary!$B$55)*T3+Summary!$B$55*V3</f>
        <v/>
      </c>
      <c r="P3">
        <f>IF(Summary!$B$3=0,0,O3/Summary!$B$3)</f>
        <v/>
      </c>
      <c r="Q3" t="n">
        <v>0</v>
      </c>
      <c r="R3" t="n">
        <v>0</v>
      </c>
      <c r="S3">
        <f>IFERROR(O3/N3,0)</f>
        <v/>
      </c>
      <c r="T3">
        <f>IF(C3,(Skills!G3*H3*N3*Summary!$B$63)*IF(Inputs!$B$38="pvp",1,1+(Inputs!$B$20+Skills!P3+Summary!$B$59)/100),0)</f>
        <v/>
      </c>
      <c r="V3">
        <f>IF(C3,(Skills!G3*H3*N3*Summary!$B$63)*IF(Inputs!$B$38="pvp",1,(1+(Inputs!$B$21+Skills!Q3+Summary!$B$59)/100)*(MIN(Skills!R3,Inputs!$B$37))),0)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J4*(1+Summary!$B$51/100)*(1+Inputs!$B$15/100)*(1+Inputs!$B$16/100)*(5000/(6000+Inputs!$B$42*(1-Inputs!$B$19/100)))*(1+(Inputs!$B$24+Summary!$B$65)/100)*(1+1.0*IF(C12=TRUE,F12,0)/100)*(1+(IF(Skills!A4="HOOK_BOMBER",Inputs!$B$17,Inputs!$B$18))/100)*(Summary!$B$57*I4)</f>
        <v/>
      </c>
      <c r="L4">
        <f>K4*(MIN(Inputs!$B$22,Inputs!$B$23)/100+Inputs!$B$23/100)/2</f>
        <v/>
      </c>
      <c r="M4">
        <f>L4*(1+(Inputs!$B$10+Summary!$B$64)/100)</f>
        <v/>
      </c>
      <c r="N4">
        <f>L4*(1-MIN((Inputs!$B$9+Summary!$B$58),100)/100)+M4*(MIN((Inputs!$B$9+Summary!$B$58),100)/100)</f>
        <v/>
      </c>
      <c r="O4">
        <f>(1-Summary!$B$55)*T4+Summary!$B$55*V4</f>
        <v/>
      </c>
      <c r="P4">
        <f>IF(Summary!$B$3=0,0,O4/Summary!$B$3)</f>
        <v/>
      </c>
      <c r="Q4" t="n">
        <v>0</v>
      </c>
      <c r="R4" t="n">
        <v>0</v>
      </c>
      <c r="S4">
        <f>IFERROR(O4/N4,0)</f>
        <v/>
      </c>
      <c r="T4">
        <f>IF(C4,(Skills!G4*H4*N4*Summary!$B$63)*IF(Inputs!$B$38="pvp",1,1+(Inputs!$B$20+Skills!P4+Summary!$B$59)/100),0)</f>
        <v/>
      </c>
      <c r="V4">
        <f>IF(C4,(Skills!G4*H4*N4*Summary!$B$63)*IF(Inputs!$B$38="pvp",1,(1+(Inputs!$B$21+Skills!Q4+Summary!$B$59)/100)*(MIN(Skills!R4,Inputs!$B$37))),0)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(1-Summary!$B$55)*T5+Summary!$B$55*V5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J6*(1+Summary!$B$51/100)*(1+Inputs!$B$15/100)*(1+Inputs!$B$16/100)*(5000/(6000+Inputs!$B$42*(1-Inputs!$B$19/100)))*(1+(Inputs!$B$24+Summary!$B$65)/100)*(1+(IF(Skills!A6="HOOK_BOMBER",Inputs!$B$17,Inputs!$B$18))/100)*(Summary!$B$57*I6)</f>
        <v/>
      </c>
      <c r="L6">
        <f>K6*(MIN(Inputs!$B$22,Inputs!$B$23)/100+Inputs!$B$23/100)/2</f>
        <v/>
      </c>
      <c r="M6">
        <f>L6*(1+(Inputs!$B$10+Summary!$B$64)/100)</f>
        <v/>
      </c>
      <c r="N6">
        <f>L6*(1-MIN((Inputs!$B$9+Summary!$B$58),100)/100)+M6*(MIN((Inputs!$B$9+Summary!$B$58),100)/100)</f>
        <v/>
      </c>
      <c r="O6">
        <f>(1-Summary!$B$55)*T6+Summary!$B$55*V6</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c r="T6">
        <f>IF(C6,(H6*N6*IF(AND(Inputs!$B$38&lt;&gt;"pvp",Inputs!$B$43&gt;0),((Skills!G6*((R6-1)*IF(Skills!H6&gt;0,Skills!I6/Skills!H6,1)+IF(Skills!H6&gt;0,MIN(Skills!I6,MAX(0,MAX(0,Inputs!$B$43-Summary!$B$67)-((R6-1)*IF(Inputs!$B$38="pvp",15,MAX(0.1,Skills!D6-IF(Skills!E6=TRUE,Inputs!$B$32,0))))))/Skills!H6,1)))/Inputs!$B$43),G6*Q6))*IF(Inputs!$B$38="pvp",1,1+(Inputs!$B$20+Skills!P6+Summary!$B$59)/100),0)</f>
        <v/>
      </c>
      <c r="V6">
        <f>IF(C6,(H6*N6*IF(AND(Inputs!$B$38&lt;&gt;"pvp",Inputs!$B$43&gt;0),((Skills!G6*((R6-1)*IF(Skills!H6&gt;0,Skills!I6/Skills!H6,1)+IF(Skills!H6&gt;0,MIN(Skills!I6,MAX(0,MAX(0,Inputs!$B$43-Summary!$B$67)-((R6-1)*IF(Inputs!$B$38="pvp",15,MAX(0.1,Skills!D6-IF(Skills!E6=TRUE,Inputs!$B$32,0))))))/Skills!H6,1)))/Inputs!$B$43),G6*Q6))*IF(Inputs!$B$38="pvp",1,(1+(Inputs!$B$21+Skills!Q6+Summary!$B$59)/100)*(MIN(Skills!R6,Inputs!$B$37))),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J7*(1+Summary!$B$51/100)*(1+Inputs!$B$15/100)*(1+Inputs!$B$16/100)*(5000/(6000+Inputs!$B$42*(1-Inputs!$B$19/100)))*(1+(Inputs!$B$24+Summary!$B$65)/100)*(1+(IF(Skills!A7="HOOK_BOMBER",Inputs!$B$17,Inputs!$B$18))/100)*(Summary!$B$57*I7)</f>
        <v/>
      </c>
      <c r="L7">
        <f>K7*(MIN(Inputs!$B$22,Inputs!$B$23)/100+Inputs!$B$23/100)/2</f>
        <v/>
      </c>
      <c r="M7">
        <f>L7*(1+(Inputs!$B$10+Summary!$B$64)/100)</f>
        <v/>
      </c>
      <c r="N7">
        <f>L7*(1-MIN((Inputs!$B$9+Summary!$B$58),100)/100)+M7*(MIN((Inputs!$B$9+Summary!$B$58),100)/100)</f>
        <v/>
      </c>
      <c r="O7">
        <f>(1-Summary!$B$55)*T7+Summary!$B$55*V7</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IFERROR(O7/N7,0)</f>
        <v/>
      </c>
      <c r="T7">
        <f>IF(C7,(H7*N7*IF(AND(Inputs!$B$38&lt;&gt;"pvp",Inputs!$B$43&gt;0),((Skills!G7*((R7-1)*IF(Skills!H7&gt;0,Skills!I7/Skills!H7,1)+IF(Skills!H7&gt;0,MIN(Skills!I7,MAX(0,MAX(0,Inputs!$B$43-Summary!$B$67)-((R7-1)*IF(Inputs!$B$38="pvp",15,MAX(0.1,Skills!D7-IF(Skills!E7=TRUE,Inputs!$B$32,0))))))/Skills!H7,1)))/Inputs!$B$43),G7*Q7))*IF(Inputs!$B$38="pvp",1,1+(Inputs!$B$20+Skills!P7+Summary!$B$59)/100),0)</f>
        <v/>
      </c>
      <c r="V7">
        <f>IF(C7,(H7*N7*IF(AND(Inputs!$B$38&lt;&gt;"pvp",Inputs!$B$43&gt;0),((Skills!G7*((R7-1)*IF(Skills!H7&gt;0,Skills!I7/Skills!H7,1)+IF(Skills!H7&gt;0,MIN(Skills!I7,MAX(0,MAX(0,Inputs!$B$43-Summary!$B$67)-((R7-1)*IF(Inputs!$B$38="pvp",15,MAX(0.1,Skills!D7-IF(Skills!E7=TRUE,Inputs!$B$32,0))))))/Skills!H7,1)))/Inputs!$B$43),G7*Q7))*IF(Inputs!$B$38="pvp",1,(1+(Inputs!$B$21+Skills!Q7+Summary!$B$59)/100)*(MIN(Skills!R7,Inputs!$B$37))),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J8*(1+Summary!$B$51/100)*(1+Inputs!$B$15/100)*(1+Inputs!$B$16/100)*(5000/(6000+Inputs!$B$42*(1-Inputs!$B$19/100)))*(1+(Inputs!$B$24+Summary!$B$65)/100)*(1+(IF(Skills!A8="HOOK_BOMBER",Inputs!$B$17,Inputs!$B$18))/100)*(Summary!$B$57*I8)</f>
        <v/>
      </c>
      <c r="L8">
        <f>K8*(MIN(Inputs!$B$22,Inputs!$B$23)/100+Inputs!$B$23/100)/2</f>
        <v/>
      </c>
      <c r="M8">
        <f>L8*(1+(Inputs!$B$10+Summary!$B$64)/100)</f>
        <v/>
      </c>
      <c r="N8">
        <f>L8*(1-MIN((Inputs!$B$9+Summary!$B$58),100)/100)+M8*(MIN((Inputs!$B$9+Summary!$B$58),100)/100)</f>
        <v/>
      </c>
      <c r="O8">
        <f>(1-Summary!$B$55)*T8+Summary!$B$55*V8</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c r="T8">
        <f>IF(C8,(H8*N8*IF(AND(Inputs!$B$38&lt;&gt;"pvp",Inputs!$B$43&gt;0),((Skills!G8*((R8-1)*IF(Skills!H8&gt;0,Skills!I8/Skills!H8,1)+IF(Skills!H8&gt;0,MIN(Skills!I8,MAX(0,MAX(0,Inputs!$B$43-Summary!$B$67)-((R8-1)*IF(Inputs!$B$38="pvp",15,MAX(0.1,Skills!D8-IF(Skills!E8=TRUE,Inputs!$B$32,0))))))/Skills!H8,1)))/Inputs!$B$43),G8*Q8))*IF(Inputs!$B$38="pvp",1,1+(Inputs!$B$20+Skills!P8+Summary!$B$59)/100),0)</f>
        <v/>
      </c>
      <c r="V8">
        <f>IF(C8,(H8*N8*IF(AND(Inputs!$B$38&lt;&gt;"pvp",Inputs!$B$43&gt;0),((Skills!G8*((R8-1)*IF(Skills!H8&gt;0,Skills!I8/Skills!H8,1)+IF(Skills!H8&gt;0,MIN(Skills!I8,MAX(0,MAX(0,Inputs!$B$43-Summary!$B$67)-((R8-1)*IF(Inputs!$B$38="pvp",15,MAX(0.1,Skills!D8-IF(Skills!E8=TRUE,Inputs!$B$32,0))))))/Skills!H8,1)))/Inputs!$B$43),G8*Q8))*IF(Inputs!$B$38="pvp",1,(1+(Inputs!$B$21+Skills!Q8+Summary!$B$59)/100)*(MIN(Skills!R8,Inputs!$B$37))),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J9*(1+Summary!$B$51/100)*(1+Inputs!$B$15/100)*(1+Inputs!$B$16/100)*(5000/(6000+Inputs!$B$42*(1-Inputs!$B$19/100)))*(1+(Inputs!$B$24+Summary!$B$65)/100)*(1+(IF(Skills!A9="HOOK_BOMBER",Inputs!$B$17,Inputs!$B$18))/100)*(Summary!$B$57*I9)</f>
        <v/>
      </c>
      <c r="L9">
        <f>K9*(MIN(Inputs!$B$22,Inputs!$B$23)/100+Inputs!$B$23/100)/2</f>
        <v/>
      </c>
      <c r="M9">
        <f>L9*(1+(Inputs!$B$10+Summary!$B$64)/100)</f>
        <v/>
      </c>
      <c r="N9">
        <f>L9*(1-MIN((Inputs!$B$9+Summary!$B$58),100)/100)+M9*(MIN((Inputs!$B$9+Summary!$B$58),100)/100)</f>
        <v/>
      </c>
      <c r="O9">
        <f>(1-Summary!$B$55)*T9+Summary!$B$55*V9</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c r="T9">
        <f>IF(C9,(H9*N9*IF(AND(Inputs!$B$38&lt;&gt;"pvp",Inputs!$B$43&gt;0),((Skills!G9*((R9-1)*IF(Skills!H9&gt;0,Skills!I9/Skills!H9,1)+IF(Skills!H9&gt;0,MIN(Skills!I9,MAX(0,MAX(0,Inputs!$B$43-Summary!$B$67)-((R9-1)*IF(Inputs!$B$38="pvp",15,MAX(0.1,Skills!D9-IF(Skills!E9=TRUE,Inputs!$B$32,0))))))/Skills!H9,1)))/Inputs!$B$43),G9*Q9))*IF(Inputs!$B$38="pvp",1,1+(Inputs!$B$20+Skills!P9+Summary!$B$59)/100),0)</f>
        <v/>
      </c>
      <c r="V9">
        <f>IF(C9,(H9*N9*IF(AND(Inputs!$B$38&lt;&gt;"pvp",Inputs!$B$43&gt;0),((Skills!G9*((R9-1)*IF(Skills!H9&gt;0,Skills!I9/Skills!H9,1)+IF(Skills!H9&gt;0,MIN(Skills!I9,MAX(0,MAX(0,Inputs!$B$43-Summary!$B$67)-((R9-1)*IF(Inputs!$B$38="pvp",15,MAX(0.1,Skills!D9-IF(Skills!E9=TRUE,Inputs!$B$32,0))))))/Skills!H9,1)))/Inputs!$B$43),G9*Q9))*IF(Inputs!$B$38="pvp",1,(1+(Inputs!$B$21+Skills!Q9+Summary!$B$59)/100)*(MIN(Skills!R9,Inputs!$B$37))),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J10*(1+Summary!$B$51/100)*(1+Inputs!$B$15/100)*(1+Inputs!$B$16/100)*(5000/(6000+Inputs!$B$42*(1-Inputs!$B$19/100)))*(1+(Inputs!$B$24+Summary!$B$65)/100)*(1+(IF(Skills!A10="HOOK_BOMBER",Inputs!$B$17,Inputs!$B$18))/100)*(Summary!$B$57*I10)</f>
        <v/>
      </c>
      <c r="L10">
        <f>K10*(MIN(Inputs!$B$22,Inputs!$B$23)/100+Inputs!$B$23/100)/2</f>
        <v/>
      </c>
      <c r="M10">
        <f>L10*(1+(Inputs!$B$10+Summary!$B$64)/100)</f>
        <v/>
      </c>
      <c r="N10">
        <f>L10*(1-MIN((Inputs!$B$9+Summary!$B$58),100)/100)+M10*(MIN((Inputs!$B$9+Summary!$B$58),100)/100)</f>
        <v/>
      </c>
      <c r="O10">
        <f>(1-Summary!$B$55)*T10+Summary!$B$55*V10</f>
        <v/>
      </c>
      <c r="P10">
        <f>IF(Summary!$B$3=0,0,O10/Summary!$B$3)</f>
        <v/>
      </c>
      <c r="Q10">
        <f>IFERROR(1/IF(Inputs!$B$38="pvp",15,MAX(0.1,Skills!D10-IF(Skills!E10=TRUE,Inputs!$B$32,0))),0)</f>
        <v/>
      </c>
      <c r="R10">
        <f>IF(AND(Inputs!$B$38&lt;&gt;"pvp",Inputs!$B$43&gt;0),IF(MAX(0,Inputs!$B$43-Summary!$B$67)&lt;=0,0,(INT(MAX(0,Inputs!$B$43-Summary!$B$67)/IF(Inputs!$B$38="pvp",15,MAX(0.1,Skills!D10-IF(Skills!E10=TRUE,Inputs!$B$32,0))))+1)),0)</f>
        <v/>
      </c>
      <c r="S10">
        <f>IFERROR(O10/N10,0)</f>
        <v/>
      </c>
      <c r="T10">
        <f>IF(C10,(H10*N10*IF(AND(Inputs!$B$38&lt;&gt;"pvp",Inputs!$B$43&gt;0),((Skills!G10*((R10-1)*IF(Skills!H10&gt;0,Skills!I10/Skills!H10,1)+IF(Skills!H10&gt;0,MIN(Skills!I10,MAX(0,MAX(0,Inputs!$B$43-Summary!$B$67)-((R10-1)*IF(Inputs!$B$38="pvp",15,MAX(0.1,Skills!D10-IF(Skills!E10=TRUE,Inputs!$B$32,0))))))/Skills!H10,1)))/Inputs!$B$43),G10*Q10))*IF(Inputs!$B$38="pvp",1,1+(Inputs!$B$20+Skills!P10+Summary!$B$59)/100),0)</f>
        <v/>
      </c>
      <c r="V10">
        <f>IF(C10,(H10*N10*IF(AND(Inputs!$B$38&lt;&gt;"pvp",Inputs!$B$43&gt;0),((Skills!G10*((R10-1)*IF(Skills!H10&gt;0,Skills!I10/Skills!H10,1)+IF(Skills!H10&gt;0,MIN(Skills!I10,MAX(0,MAX(0,Inputs!$B$43-Summary!$B$67)-((R10-1)*IF(Inputs!$B$38="pvp",15,MAX(0.1,Skills!D10-IF(Skills!E10=TRUE,Inputs!$B$32,0))))))/Skills!H10,1)))/Inputs!$B$43),G10*Q10))*IF(Inputs!$B$38="pvp",1,(1+(Inputs!$B$21+Skills!Q10+Summary!$B$59)/100)*(MIN(Skills!R10,Inputs!$B$37))),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J11*(1+Summary!$B$51/100)*(1+Inputs!$B$15/100)*(1+Inputs!$B$16/100)*(5000/(6000+Inputs!$B$42*(1-Inputs!$B$19/100)))*(1+(Inputs!$B$24+Summary!$B$65)/100)*(1+(IF(Skills!A11="HOOK_BOMBER",Inputs!$B$17,Inputs!$B$18))/100)*(Summary!$B$57*I11)</f>
        <v/>
      </c>
      <c r="L11">
        <f>K11*(MIN(Inputs!$B$22,Inputs!$B$23)/100+Inputs!$B$23/100)/2</f>
        <v/>
      </c>
      <c r="M11">
        <f>L11*(1+(Inputs!$B$10+Summary!$B$64)/100)</f>
        <v/>
      </c>
      <c r="N11">
        <f>L11*(1-MIN((Inputs!$B$9+Summary!$B$58),100)/100)+M11*(MIN((Inputs!$B$9+Summary!$B$58),100)/100)</f>
        <v/>
      </c>
      <c r="O11">
        <f>(1-Summary!$B$55)*T11+Summary!$B$55*V11</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c r="T11">
        <f>IF(C11,(H11*N11*IF(AND(Inputs!$B$38&lt;&gt;"pvp",Inputs!$B$43&gt;0),((Skills!G11*((R11-1)*IF(Skills!H11&gt;0,Skills!I11/Skills!H11,1)+IF(Skills!H11&gt;0,MIN(Skills!I11,MAX(0,MAX(0,Inputs!$B$43-Summary!$B$67)-((R11-1)*IF(Inputs!$B$38="pvp",15,MAX(0.1,Skills!D11-IF(Skills!E11=TRUE,Inputs!$B$32,0))))))/Skills!H11,1)))/Inputs!$B$43),G11*Q11))*IF(Inputs!$B$38="pvp",1,1+(Inputs!$B$20+Skills!P11+Summary!$B$59)/100),0)</f>
        <v/>
      </c>
      <c r="V11">
        <f>IF(C11,(H11*N11*IF(AND(Inputs!$B$38&lt;&gt;"pvp",Inputs!$B$43&gt;0),((Skills!G11*((R11-1)*IF(Skills!H11&gt;0,Skills!I11/Skills!H11,1)+IF(Skills!H11&gt;0,MIN(Skills!I11,MAX(0,MAX(0,Inputs!$B$43-Summary!$B$67)-((R11-1)*IF(Inputs!$B$38="pvp",15,MAX(0.1,Skills!D11-IF(Skills!E11=TRUE,Inputs!$B$32,0))))))/Skills!H11,1)))/Inputs!$B$43),G11*Q11))*IF(Inputs!$B$38="pvp",1,(1+(Inputs!$B$21+Skills!Q11+Summary!$B$59)/100)*(MIN(Skills!R11,Inputs!$B$37))),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(1-Summary!$B$55)*T13+Summary!$B$55*V13</f>
        <v/>
      </c>
      <c r="P13">
        <f>IF(Summary!$B$3=0,0,O13/Summary!$B$3)</f>
        <v/>
      </c>
      <c r="Q13" t="n">
        <v>0</v>
      </c>
      <c r="R13" t="n">
        <v>0</v>
      </c>
      <c r="S13">
        <f>IFERROR(O13/N13,0)</f>
        <v/>
      </c>
      <c r="T13" t="n">
        <v>0</v>
      </c>
      <c r="V13" t="n">
        <v>0</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(1-Summary!$B$55)*T14+Summary!$B$55*V14</f>
        <v/>
      </c>
      <c r="P14">
        <f>IF(Summary!$B$3=0,0,O14/Summary!$B$3)</f>
        <v/>
      </c>
      <c r="Q14" t="n">
        <v>0</v>
      </c>
      <c r="R14" t="n">
        <v>0</v>
      </c>
      <c r="S14">
        <f>IFERROR(O14/N14,0)</f>
        <v/>
      </c>
      <c r="T14" t="n">
        <v>0</v>
      </c>
      <c r="V14" t="n">
        <v>0</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(1-Summary!$B$55)*T15+Summary!$B$55*V15</f>
        <v/>
      </c>
      <c r="P15">
        <f>IF(Summary!$B$3=0,0,O15/Summary!$B$3)</f>
        <v/>
      </c>
      <c r="Q15" t="n">
        <v>0</v>
      </c>
      <c r="R15" t="n">
        <v>0</v>
      </c>
      <c r="S15">
        <f>IFERROR(O15/N15,0)</f>
        <v/>
      </c>
      <c r="T15" t="n">
        <v>0</v>
      </c>
      <c r="V15" t="n">
        <v>0</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(1-Summary!$B$55)*T16+Summary!$B$55*V16</f>
        <v/>
      </c>
      <c r="P16">
        <f>IF(Summary!$B$3=0,0,O16/Summary!$B$3)</f>
        <v/>
      </c>
      <c r="Q16" t="n">
        <v>0</v>
      </c>
      <c r="R16" t="n">
        <v>0</v>
      </c>
      <c r="S16">
        <f>IFERROR(O16/N16,0)</f>
        <v/>
      </c>
      <c r="T16" t="n">
        <v>0</v>
      </c>
      <c r="V16" t="n">
        <v>0</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(1-Summary!$B$55)*T17+Summary!$B$55*V17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(1-Summary!$B$55)*T18+Summary!$B$55*V18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(1-Summary!$B$55)*T19+Summary!$B$55*V19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(1-Summary!$B$55)*T20+Summary!$B$55*V20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(1-Summary!$B$55)*T21+Summary!$B$55*V21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(1-Summary!$B$55)*T22+Summary!$B$55*V22</f>
        <v/>
      </c>
      <c r="P22">
        <f>IF(Summary!$B$3=0,0,O22/Summary!$B$3)</f>
        <v/>
      </c>
      <c r="Q22" t="n">
        <v>0</v>
      </c>
      <c r="R22" t="n">
        <v>0</v>
      </c>
      <c r="S22">
        <f>IFERROR(O22/N22,0)</f>
        <v/>
      </c>
      <c r="T22" t="n">
        <v>0</v>
      </c>
      <c r="V22"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SUM(Calc!O2:O22)</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(Hook Bomber)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Hook Bomber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(Roll of the Dice's dice component only)</t>
        </is>
      </c>
      <c r="B57">
        <f>1+(((Calc!C13=TRUE)*Calc!F13))/100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Buccaneer has no Nimble-Feet-style live AS buff)</t>
        </is>
      </c>
      <c r="B60" t="n">
        <v>0</v>
      </c>
    </row>
    <row r="61">
      <c r="A61" t="inlineStr">
        <is>
          <t>Actions Per Second</t>
        </is>
      </c>
      <c r="B61">
        <f>1+MIN(150,150*(1-(1-Inputs!$B$11/150)*(1-B60/150)))/100</f>
        <v/>
      </c>
    </row>
    <row r="62">
      <c r="A62" t="inlineStr">
        <is>
          <t>Skill + Buff Cast Rate (subtracted from Hook Bomber, 1/s)</t>
        </is>
      </c>
      <c r="B62">
        <f>IF(AND(Inputs!$B$38&lt;&gt;"pvp",Inputs!$B$43&gt;0),SUMPRODUCT((Skills!E2:E22=TRUE)*(Calc!C2:C22=TRUE)*Calc!R2:R22*Skills!F2:F22)/Inputs!$B$43,SUMPRODUCT((Skills!E2:E22=TRUE)*(Calc!C2:C22=TRUE)*Calc!Q2:Q22*Skills!F2:F22))</f>
        <v/>
      </c>
    </row>
    <row r="63">
      <c r="A63" t="inlineStr">
        <is>
          <t>Hook Bomber (Basic Attack) Casts Per Second</t>
        </is>
      </c>
      <c r="B63">
        <f>MAX(0,B61-B62)</f>
        <v/>
      </c>
    </row>
    <row r="64">
      <c r="A64" t="inlineStr">
        <is>
          <t>Global Critical Damage Bonus % (unused — no live Crit-Damage-buff source exists)</t>
        </is>
      </c>
      <c r="B64" t="n">
        <v>0</v>
      </c>
    </row>
    <row r="65">
      <c r="A65" t="inlineStr">
        <is>
          <t>Global Final Damage Bonus % (Serpent Scale + Crossbones + Time Leap + Speed Infusion)</t>
        </is>
      </c>
      <c r="B65">
        <f>((Calc!C5=TRUE)*Calc!F5*((10+IF(Inputs!$B$3&gt;=94,5,0))/((10+IF(Inputs!$B$3&gt;=94,5,0))+5/(Summary!$B$63*(1+IF(Inputs!$B$3&gt;=104,1,0))))))+((Calc!C14=TRUE)*Calc!F14)+((Calc!C15=TRUE)*Calc!F15)+((Inputs!$B$3&gt;=110)*20*(B61-1))</f>
        <v/>
      </c>
    </row>
    <row r="66">
      <c r="A66" t="inlineStr">
        <is>
          <t>Hook Bomber (Basic Attack) DPS</t>
        </is>
      </c>
      <c r="B66">
        <f>Calc!O2</f>
        <v/>
      </c>
    </row>
    <row r="67">
      <c r="A67" t="inlineStr">
        <is>
          <t>Buff-Casting Startup Delay (s, before first damage-skill cast; fixed-duration only)</t>
        </is>
      </c>
      <c r="B67">
        <f>IF(AND(Inputs!$B$38&lt;&gt;"pvp",Inputs!$B$43&gt;0),SUMPRODUCT((Skills!T2:T22&gt;0)*(Skills!E2:E22=TRUE)*(Calc!C2:C22=TRUE))/B61,0)</f>
        <v/>
      </c>
    </row>
    <row r="68">
      <c r="A68" t="inlineStr">
        <is>
          <t>Boss-Only Total DPS (Sensitivity baseline)</t>
        </is>
      </c>
      <c r="B68">
        <f>SUM(Calc!T2:T22)</f>
        <v/>
      </c>
    </row>
    <row r="69">
      <c r="A69" t="inlineStr">
        <is>
          <t>Normal-Only Total DPS (Sensitivity baseline)</t>
        </is>
      </c>
      <c r="B69">
        <f>SUM(Calc!V2:V22)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41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B68</f>
        <v/>
      </c>
      <c r="H5">
        <f>Summary!$B$3*(((1-Summary!$B$55)*IFERROR(B66/Summary!$B$68,1)+Summary!$B$55*IFERROR(B67/Summary!$B$69,1))-1)</f>
        <v/>
      </c>
      <c r="I5">
        <f>((1-Summary!$B$55)*IFERROR(B66/Summary!$B$68,1)+Summary!$B$55*IFERROR(B67/Summary!$B$69,1))*100</f>
        <v/>
      </c>
    </row>
    <row r="6">
      <c r="A6" t="inlineStr">
        <is>
          <t>STR %</t>
        </is>
      </c>
      <c r="B6">
        <f>IFERROR(1/(I6-100),"n/a")</f>
        <v/>
      </c>
      <c r="C6" t="inlineStr">
        <is>
          <t>pct</t>
        </is>
      </c>
      <c r="D6">
        <f>Inputs!$B$13</f>
        <v/>
      </c>
      <c r="E6">
        <f>(Inputs!$B$13+1)</f>
        <v/>
      </c>
      <c r="F6">
        <f>Summary!$B$3</f>
        <v/>
      </c>
      <c r="G6">
        <f>B106</f>
        <v/>
      </c>
      <c r="H6">
        <f>Summary!$B$3*(((1-Summary!$B$55)*IFERROR(B104/Summary!$B$68,1)+Summary!$B$55*IFERROR(B105/Summary!$B$69,1))-1)</f>
        <v/>
      </c>
      <c r="I6">
        <f>((1-Summary!$B$55)*IFERROR(B104/Summary!$B$68,1)+Summary!$B$55*IFERROR(B105/Summary!$B$69,1))*100</f>
        <v/>
      </c>
    </row>
    <row r="7">
      <c r="A7" t="inlineStr">
        <is>
          <t>DEX</t>
        </is>
      </c>
      <c r="B7">
        <f>IFERROR(1/(I7-100),"n/a")</f>
        <v/>
      </c>
      <c r="C7" t="inlineStr">
        <is>
          <t>flat</t>
        </is>
      </c>
      <c r="D7">
        <f>Inputs!$B$14</f>
        <v/>
      </c>
      <c r="E7">
        <f>(Inputs!$B$14+1)</f>
        <v/>
      </c>
      <c r="F7">
        <f>Summary!$B$3</f>
        <v/>
      </c>
      <c r="G7">
        <f>B144</f>
        <v/>
      </c>
      <c r="H7">
        <f>Summary!$B$3*(((1-Summary!$B$55)*IFERROR(B142/Summary!$B$68,1)+Summary!$B$55*IFERROR(B143/Summary!$B$69,1))-1)</f>
        <v/>
      </c>
      <c r="I7">
        <f>((1-Summary!$B$55)*IFERROR(B142/Summary!$B$68,1)+Summary!$B$55*IFERROR(B143/Summary!$B$69,1))*100</f>
        <v/>
      </c>
    </row>
    <row r="8">
      <c r="A8" t="inlineStr">
        <is>
          <t>DAMAGE %</t>
        </is>
      </c>
      <c r="B8">
        <f>IFERROR(1/(I8-100),"n/a")</f>
        <v/>
      </c>
      <c r="C8" t="inlineStr">
        <is>
          <t>pct</t>
        </is>
      </c>
      <c r="D8">
        <f>Inputs!$B$15</f>
        <v/>
      </c>
      <c r="E8">
        <f>(Inputs!$B$15+1)</f>
        <v/>
      </c>
      <c r="F8">
        <f>Summary!$B$3</f>
        <v/>
      </c>
      <c r="G8">
        <f>B182</f>
        <v/>
      </c>
      <c r="H8">
        <f>Summary!$B$3*(((1-Summary!$B$55)*IFERROR(B180/Summary!$B$68,1)+Summary!$B$55*IFERROR(B181/Summary!$B$69,1))-1)</f>
        <v/>
      </c>
      <c r="I8">
        <f>((1-Summary!$B$55)*IFERROR(B180/Summary!$B$68,1)+Summary!$B$55*IFERROR(B181/Summary!$B$69,1))*100</f>
        <v/>
      </c>
    </row>
    <row r="9">
      <c r="A9" t="inlineStr">
        <is>
          <t>DAMAGE_AMP %</t>
        </is>
      </c>
      <c r="B9">
        <f>IFERROR(1/(I9-100),"n/a")</f>
        <v/>
      </c>
      <c r="C9" t="inlineStr">
        <is>
          <t>pct</t>
        </is>
      </c>
      <c r="D9">
        <f>Inputs!$B$16</f>
        <v/>
      </c>
      <c r="E9">
        <f>(Inputs!$B$16+1)</f>
        <v/>
      </c>
      <c r="F9">
        <f>Summary!$B$3</f>
        <v/>
      </c>
      <c r="G9">
        <f>B220</f>
        <v/>
      </c>
      <c r="H9">
        <f>Summary!$B$3*(((1-Summary!$B$55)*IFERROR(B218/Summary!$B$68,1)+Summary!$B$55*IFERROR(B219/Summary!$B$69,1))-1)</f>
        <v/>
      </c>
      <c r="I9">
        <f>((1-Summary!$B$55)*IFERROR(B218/Summary!$B$68,1)+Summary!$B$55*IFERROR(B219/Summary!$B$69,1))*100</f>
        <v/>
      </c>
    </row>
    <row r="10">
      <c r="A10" t="inlineStr">
        <is>
          <t>BOSS_DAMAGE %</t>
        </is>
      </c>
      <c r="B10">
        <f>IFERROR(1/(I10-100),"n/a")</f>
        <v/>
      </c>
      <c r="C10" t="inlineStr">
        <is>
          <t>pct</t>
        </is>
      </c>
      <c r="D10">
        <f>Inputs!$B$20</f>
        <v/>
      </c>
      <c r="E10">
        <f>(Inputs!$B$20+1)</f>
        <v/>
      </c>
      <c r="F10">
        <f>Summary!$B$3</f>
        <v/>
      </c>
      <c r="G10">
        <f>B258</f>
        <v/>
      </c>
      <c r="H10">
        <f>Summary!$B$3*(((1-Summary!$B$55)*IFERROR(B256/Summary!$B$68,1)+Summary!$B$55*IFERROR(B257/Summary!$B$69,1))-1)</f>
        <v/>
      </c>
      <c r="I10">
        <f>((1-Summary!$B$55)*IFERROR(B256/Summary!$B$68,1)+Summary!$B$55*IFERROR(B257/Summary!$B$69,1))*100</f>
        <v/>
      </c>
    </row>
    <row r="11">
      <c r="A11" t="inlineStr">
        <is>
          <t>NORMAL_DAMAGE %</t>
        </is>
      </c>
      <c r="B11">
        <f>IFERROR(1/(I11-100),"n/a")</f>
        <v/>
      </c>
      <c r="C11" t="inlineStr">
        <is>
          <t>pct</t>
        </is>
      </c>
      <c r="D11">
        <f>Inputs!$B$21</f>
        <v/>
      </c>
      <c r="E11">
        <f>(Inputs!$B$21+1)</f>
        <v/>
      </c>
      <c r="F11">
        <f>Summary!$B$3</f>
        <v/>
      </c>
      <c r="G11">
        <f>B296</f>
        <v/>
      </c>
      <c r="H11">
        <f>Summary!$B$3*(((1-Summary!$B$55)*IFERROR(B294/Summary!$B$68,1)+Summary!$B$55*IFERROR(B295/Summary!$B$69,1))-1)</f>
        <v/>
      </c>
      <c r="I11">
        <f>((1-Summary!$B$55)*IFERROR(B294/Summary!$B$68,1)+Summary!$B$55*IFERROR(B295/Summary!$B$69,1))*100</f>
        <v/>
      </c>
    </row>
    <row r="12">
      <c r="A12" t="inlineStr">
        <is>
          <t>FINAL_DAMAGE % (multiplicative source)</t>
        </is>
      </c>
      <c r="B12">
        <f>IFERROR(1/(I12-100),"n/a")</f>
        <v/>
      </c>
      <c r="C12" t="inlineStr">
        <is>
          <t>mult</t>
        </is>
      </c>
      <c r="D12">
        <f>Inputs!$B$24</f>
        <v/>
      </c>
      <c r="E12">
        <f>((((1+Inputs!$B$24/100)*(1.01))-1)*100)</f>
        <v/>
      </c>
      <c r="F12">
        <f>Summary!$B$3</f>
        <v/>
      </c>
      <c r="G12">
        <f>B334</f>
        <v/>
      </c>
      <c r="H12">
        <f>Summary!$B$3*(((1-Summary!$B$55)*IFERROR(B332/Summary!$B$68,1)+Summary!$B$55*IFERROR(B333/Summary!$B$69,1))-1)</f>
        <v/>
      </c>
      <c r="I12">
        <f>((1-Summary!$B$55)*IFERROR(B332/Summary!$B$68,1)+Summary!$B$55*IFERROR(B333/Summary!$B$69,1))*100</f>
        <v/>
      </c>
    </row>
    <row r="13">
      <c r="A13" t="inlineStr">
        <is>
          <t>MIN_DAMAGE %</t>
        </is>
      </c>
      <c r="B13">
        <f>IFERROR(1/(I13-100),"n/a")</f>
        <v/>
      </c>
      <c r="C13" t="inlineStr">
        <is>
          <t>pct</t>
        </is>
      </c>
      <c r="D13">
        <f>Inputs!$B$22</f>
        <v/>
      </c>
      <c r="E13">
        <f>(Inputs!$B$22+1)</f>
        <v/>
      </c>
      <c r="F13">
        <f>Summary!$B$3</f>
        <v/>
      </c>
      <c r="G13">
        <f>B372</f>
        <v/>
      </c>
      <c r="H13">
        <f>Summary!$B$3*(((1-Summary!$B$55)*IFERROR(B370/Summary!$B$68,1)+Summary!$B$55*IFERROR(B371/Summary!$B$69,1))-1)</f>
        <v/>
      </c>
      <c r="I13">
        <f>((1-Summary!$B$55)*IFERROR(B370/Summary!$B$68,1)+Summary!$B$55*IFERROR(B371/Summary!$B$69,1))*100</f>
        <v/>
      </c>
    </row>
    <row r="14">
      <c r="A14" t="inlineStr">
        <is>
          <t>MAX_DAMAGE %</t>
        </is>
      </c>
      <c r="B14">
        <f>IFERROR(1/(I14-100),"n/a")</f>
        <v/>
      </c>
      <c r="C14" t="inlineStr">
        <is>
          <t>pct</t>
        </is>
      </c>
      <c r="D14">
        <f>Inputs!$B$23</f>
        <v/>
      </c>
      <c r="E14">
        <f>(Inputs!$B$23+1)</f>
        <v/>
      </c>
      <c r="F14">
        <f>Summary!$B$3</f>
        <v/>
      </c>
      <c r="G14">
        <f>B410</f>
        <v/>
      </c>
      <c r="H14">
        <f>Summary!$B$3*(((1-Summary!$B$55)*IFERROR(B408/Summary!$B$68,1)+Summary!$B$55*IFERROR(B409/Summary!$B$69,1))-1)</f>
        <v/>
      </c>
      <c r="I14">
        <f>((1-Summary!$B$55)*IFERROR(B408/Summary!$B$68,1)+Summary!$B$55*IFERROR(B409/Summary!$B$69,1))*100</f>
        <v/>
      </c>
    </row>
    <row r="15">
      <c r="A15" t="inlineStr">
        <is>
          <t>CRIT_RATE %</t>
        </is>
      </c>
      <c r="B15">
        <f>IFERROR(1/(I15-100),"n/a")</f>
        <v/>
      </c>
      <c r="C15" t="inlineStr">
        <is>
          <t>pct</t>
        </is>
      </c>
      <c r="D15">
        <f>Inputs!$B$9</f>
        <v/>
      </c>
      <c r="E15">
        <f>(Inputs!$B$9+1)</f>
        <v/>
      </c>
      <c r="F15">
        <f>Summary!$B$3</f>
        <v/>
      </c>
      <c r="G15">
        <f>B448</f>
        <v/>
      </c>
      <c r="H15">
        <f>Summary!$B$3*(((1-Summary!$B$55)*IFERROR(B446/Summary!$B$68,1)+Summary!$B$55*IFERROR(B447/Summary!$B$69,1))-1)</f>
        <v/>
      </c>
      <c r="I15">
        <f>((1-Summary!$B$55)*IFERROR(B446/Summary!$B$68,1)+Summary!$B$55*IFERROR(B447/Summary!$B$69,1))*100</f>
        <v/>
      </c>
    </row>
    <row r="16">
      <c r="A16" t="inlineStr">
        <is>
          <t>CRIT_DAMAGE %</t>
        </is>
      </c>
      <c r="B16">
        <f>IFERROR(1/(I16-100),"n/a")</f>
        <v/>
      </c>
      <c r="C16" t="inlineStr">
        <is>
          <t>pct</t>
        </is>
      </c>
      <c r="D16">
        <f>Inputs!$B$10</f>
        <v/>
      </c>
      <c r="E16">
        <f>(Inputs!$B$10+1)</f>
        <v/>
      </c>
      <c r="F16">
        <f>Summary!$B$3</f>
        <v/>
      </c>
      <c r="G16">
        <f>B486</f>
        <v/>
      </c>
      <c r="H16">
        <f>Summary!$B$3*(((1-Summary!$B$55)*IFERROR(B484/Summary!$B$68,1)+Summary!$B$55*IFERROR(B485/Summary!$B$69,1))-1)</f>
        <v/>
      </c>
      <c r="I16">
        <f>((1-Summary!$B$55)*IFERROR(B484/Summary!$B$68,1)+Summary!$B$55*IFERROR(B485/Summary!$B$69,1))*100</f>
        <v/>
      </c>
    </row>
    <row r="17">
      <c r="A17" t="inlineStr">
        <is>
          <t>ATTACK_SPEED % (diminishing returns, factor 150)</t>
        </is>
      </c>
      <c r="B17">
        <f>IFERROR(1/(I17-100),"n/a")</f>
        <v/>
      </c>
      <c r="C17" t="inlineStr">
        <is>
          <t>dr150</t>
        </is>
      </c>
      <c r="D17">
        <f>Inputs!$B$11</f>
        <v/>
      </c>
      <c r="E17">
        <f>((1-(1-Inputs!$B$11/150)*(1-1/150))*150)</f>
        <v/>
      </c>
      <c r="F17">
        <f>Summary!$B$3</f>
        <v/>
      </c>
      <c r="G17">
        <f>B524</f>
        <v/>
      </c>
      <c r="H17">
        <f>Summary!$B$3*(((1-Summary!$B$55)*IFERROR(B522/Summary!$B$68,1)+Summary!$B$55*IFERROR(B523/Summary!$B$69,1))-1)</f>
        <v/>
      </c>
      <c r="I17">
        <f>((1-Summary!$B$55)*IFERROR(B522/Summary!$B$68,1)+Summary!$B$55*IFERROR(B523/Summary!$B$69,1))*100</f>
        <v/>
      </c>
    </row>
    <row r="18">
      <c r="A18" t="inlineStr">
        <is>
          <t>DEF_PEN % (diminishing returns, factor 100)</t>
        </is>
      </c>
      <c r="B18">
        <f>IFERROR(1/(I18-100),"n/a")</f>
        <v/>
      </c>
      <c r="C18" t="inlineStr">
        <is>
          <t>dr100</t>
        </is>
      </c>
      <c r="D18">
        <f>Inputs!$B$19</f>
        <v/>
      </c>
      <c r="E18">
        <f>((1-(1-Inputs!$B$19/100)*(1-1/100))*100)</f>
        <v/>
      </c>
      <c r="F18">
        <f>Summary!$B$3</f>
        <v/>
      </c>
      <c r="G18">
        <f>B562</f>
        <v/>
      </c>
      <c r="H18">
        <f>Summary!$B$3*(((1-Summary!$B$55)*IFERROR(B560/Summary!$B$68,1)+Summary!$B$55*IFERROR(B561/Summary!$B$69,1))-1)</f>
        <v/>
      </c>
      <c r="I18">
        <f>((1-Summary!$B$55)*IFERROR(B560/Summary!$B$68,1)+Summary!$B$55*IFERROR(B561/Summary!$B$69,1))*100</f>
        <v/>
      </c>
    </row>
    <row r="19">
      <c r="A19" t="inlineStr">
        <is>
          <t>BASIC_ATTACK_DAMAGE %</t>
        </is>
      </c>
      <c r="B19">
        <f>IFERROR(1/(I19-100),"n/a")</f>
        <v/>
      </c>
      <c r="C19" t="inlineStr">
        <is>
          <t>pct</t>
        </is>
      </c>
      <c r="D19">
        <f>Inputs!$B$17</f>
        <v/>
      </c>
      <c r="E19">
        <f>(Inputs!$B$17+1)</f>
        <v/>
      </c>
      <c r="F19">
        <f>Summary!$B$3</f>
        <v/>
      </c>
      <c r="G19">
        <f>B600</f>
        <v/>
      </c>
      <c r="H19">
        <f>Summary!$B$3*(((1-Summary!$B$55)*IFERROR(B598/Summary!$B$68,1)+Summary!$B$55*IFERROR(B599/Summary!$B$69,1))-1)</f>
        <v/>
      </c>
      <c r="I19">
        <f>((1-Summary!$B$55)*IFERROR(B598/Summary!$B$68,1)+Summary!$B$55*IFERROR(B599/Summary!$B$69,1))*100</f>
        <v/>
      </c>
    </row>
    <row r="20">
      <c r="A20" t="inlineStr">
        <is>
          <t>SKILL_DAMAGE %</t>
        </is>
      </c>
      <c r="B20">
        <f>IFERROR(1/(I20-100),"n/a")</f>
        <v/>
      </c>
      <c r="C20" t="inlineStr">
        <is>
          <t>pct</t>
        </is>
      </c>
      <c r="D20">
        <f>Inputs!$B$18</f>
        <v/>
      </c>
      <c r="E20">
        <f>(Inputs!$B$18+1)</f>
        <v/>
      </c>
      <c r="F20">
        <f>Summary!$B$3</f>
        <v/>
      </c>
      <c r="G20">
        <f>B638</f>
        <v/>
      </c>
      <c r="H20">
        <f>Summary!$B$3*(((1-Summary!$B$55)*IFERROR(B636/Summary!$B$68,1)+Summary!$B$55*IFERROR(B637/Summary!$B$69,1))-1)</f>
        <v/>
      </c>
      <c r="I20">
        <f>((1-Summary!$B$55)*IFERROR(B636/Summary!$B$68,1)+Summary!$B$55*IFERROR(B637/Summary!$B$69,1))*100</f>
        <v/>
      </c>
    </row>
    <row r="21">
      <c r="A21" t="inlineStr">
        <is>
          <t>Skill Level Bonus — 1st Job</t>
        </is>
      </c>
      <c r="B21">
        <f>IFERROR(1/(I21-100),"n/a")</f>
        <v/>
      </c>
      <c r="C21" t="inlineStr">
        <is>
          <t>level</t>
        </is>
      </c>
      <c r="D21">
        <f>Inputs!$B$25</f>
        <v/>
      </c>
      <c r="E21">
        <f>(Inputs!$B$25+1)</f>
        <v/>
      </c>
      <c r="F21">
        <f>Summary!$B$3</f>
        <v/>
      </c>
      <c r="G21">
        <f>B676</f>
        <v/>
      </c>
      <c r="H21">
        <f>Summary!$B$3*(((1-Summary!$B$55)*IFERROR(B674/Summary!$B$68,1)+Summary!$B$55*IFERROR(B675/Summary!$B$69,1))-1)</f>
        <v/>
      </c>
      <c r="I21">
        <f>((1-Summary!$B$55)*IFERROR(B674/Summary!$B$68,1)+Summary!$B$55*IFERROR(B675/Summary!$B$69,1))*100</f>
        <v/>
      </c>
    </row>
    <row r="22">
      <c r="A22" t="inlineStr">
        <is>
          <t>Skill Level Bonus — 2nd Job</t>
        </is>
      </c>
      <c r="B22">
        <f>IFERROR(1/(I22-100),"n/a")</f>
        <v/>
      </c>
      <c r="C22" t="inlineStr">
        <is>
          <t>level</t>
        </is>
      </c>
      <c r="D22">
        <f>Inputs!$B$26</f>
        <v/>
      </c>
      <c r="E22">
        <f>(Inputs!$B$26+1)</f>
        <v/>
      </c>
      <c r="F22">
        <f>Summary!$B$3</f>
        <v/>
      </c>
      <c r="G22">
        <f>B714</f>
        <v/>
      </c>
      <c r="H22">
        <f>Summary!$B$3*(((1-Summary!$B$55)*IFERROR(B712/Summary!$B$68,1)+Summary!$B$55*IFERROR(B713/Summary!$B$69,1))-1)</f>
        <v/>
      </c>
      <c r="I22">
        <f>((1-Summary!$B$55)*IFERROR(B712/Summary!$B$68,1)+Summary!$B$55*IFERROR(B713/Summary!$B$69,1))*100</f>
        <v/>
      </c>
    </row>
    <row r="23">
      <c r="A23" t="inlineStr">
        <is>
          <t>Skill Level Bonus — 3rd Job</t>
        </is>
      </c>
      <c r="B23">
        <f>IFERROR(1/(I23-100),"n/a")</f>
        <v/>
      </c>
      <c r="C23" t="inlineStr">
        <is>
          <t>level</t>
        </is>
      </c>
      <c r="D23">
        <f>Inputs!$B$27</f>
        <v/>
      </c>
      <c r="E23">
        <f>(Inputs!$B$27+1)</f>
        <v/>
      </c>
      <c r="F23">
        <f>Summary!$B$3</f>
        <v/>
      </c>
      <c r="G23">
        <f>B752</f>
        <v/>
      </c>
      <c r="H23">
        <f>Summary!$B$3*(((1-Summary!$B$55)*IFERROR(B750/Summary!$B$68,1)+Summary!$B$55*IFERROR(B751/Summary!$B$69,1))-1)</f>
        <v/>
      </c>
      <c r="I23">
        <f>((1-Summary!$B$55)*IFERROR(B750/Summary!$B$68,1)+Summary!$B$55*IFERROR(B751/Summary!$B$69,1))*100</f>
        <v/>
      </c>
    </row>
    <row r="24">
      <c r="A24" t="inlineStr">
        <is>
          <t>Skill Level Bonus — 4th Job</t>
        </is>
      </c>
      <c r="B24">
        <f>IFERROR(1/(I24-100),"n/a")</f>
        <v/>
      </c>
      <c r="C24" t="inlineStr">
        <is>
          <t>level</t>
        </is>
      </c>
      <c r="D24">
        <f>Inputs!$B$28</f>
        <v/>
      </c>
      <c r="E24">
        <f>(Inputs!$B$28+1)</f>
        <v/>
      </c>
      <c r="F24">
        <f>Summary!$B$3</f>
        <v/>
      </c>
      <c r="G24">
        <f>B790</f>
        <v/>
      </c>
      <c r="H24">
        <f>Summary!$B$3*(((1-Summary!$B$55)*IFERROR(B788/Summary!$B$68,1)+Summary!$B$55*IFERROR(B789/Summary!$B$69,1))-1)</f>
        <v/>
      </c>
      <c r="I24">
        <f>((1-Summary!$B$55)*IFERROR(B788/Summary!$B$68,1)+Summary!$B$55*IFERROR(B789/Summary!$B$69,1))*100</f>
        <v/>
      </c>
    </row>
    <row r="25">
      <c r="A25" t="inlineStr">
        <is>
          <t>Skill Level Bonus — All Skills</t>
        </is>
      </c>
      <c r="B25">
        <f>IFERROR(1/(I25-100),"n/a")</f>
        <v/>
      </c>
      <c r="C25" t="inlineStr">
        <is>
          <t>level</t>
        </is>
      </c>
      <c r="D25">
        <f>Inputs!$B$29</f>
        <v/>
      </c>
      <c r="E25">
        <f>(Inputs!$B$29+1)</f>
        <v/>
      </c>
      <c r="F25">
        <f>Summary!$B$3</f>
        <v/>
      </c>
      <c r="G25">
        <f>B828</f>
        <v/>
      </c>
      <c r="H25">
        <f>Summary!$B$3*(((1-Summary!$B$55)*IFERROR(B826/Summary!$B$68,1)+Summary!$B$55*IFERROR(B827/Summary!$B$69,1))-1)</f>
        <v/>
      </c>
      <c r="I25">
        <f>((1-Summary!$B$55)*IFERROR(B826/Summary!$B$68,1)+Summary!$B$55*IFERROR(B827/Summary!$B$69,1))*100</f>
        <v/>
      </c>
    </row>
    <row r="26">
      <c r="A26" t="inlineStr">
        <is>
          <t>Flat ATTACK</t>
        </is>
      </c>
      <c r="B26">
        <f>IFERROR(1/(I26-100),"n/a")</f>
        <v/>
      </c>
      <c r="C26" t="inlineStr">
        <is>
          <t>flat</t>
        </is>
      </c>
      <c r="D26">
        <f>Inputs!$B$6</f>
        <v/>
      </c>
      <c r="E26">
        <f>(Inputs!$B$6+1)</f>
        <v/>
      </c>
      <c r="F26">
        <f>Summary!$B$3</f>
        <v/>
      </c>
      <c r="G26">
        <f>B866</f>
        <v/>
      </c>
      <c r="H26">
        <f>Summary!$B$3*(((1-Summary!$B$55)*IFERROR(B864/Summary!$B$68,1)+Summary!$B$55*IFERROR(B865/Summary!$B$69,1))-1)</f>
        <v/>
      </c>
      <c r="I26">
        <f>((1-Summary!$B$55)*IFERROR(B864/Summary!$B$68,1)+Summary!$B$55*IFERROR(B865/Summary!$B$69,1))*100</f>
        <v/>
      </c>
    </row>
    <row r="27">
      <c r="A27" t="inlineStr">
        <is>
          <t>ATTACK %</t>
        </is>
      </c>
      <c r="B27">
        <f>IFERROR(1/(I27-100),"n/a")</f>
        <v/>
      </c>
      <c r="C27" t="inlineStr">
        <is>
          <t>pct</t>
        </is>
      </c>
      <c r="D27">
        <f>Inputs!$B$7</f>
        <v/>
      </c>
      <c r="E27">
        <f>(Inputs!$B$7+1)</f>
        <v/>
      </c>
      <c r="F27">
        <f>Summary!$B$3</f>
        <v/>
      </c>
      <c r="G27">
        <f>B904</f>
        <v/>
      </c>
      <c r="H27">
        <f>Summary!$B$3*(((1-Summary!$B$55)*IFERROR(B902/Summary!$B$68,1)+Summary!$B$55*IFERROR(B903/Summary!$B$69,1))-1)</f>
        <v/>
      </c>
      <c r="I27">
        <f>((1-Summary!$B$55)*IFERROR(B902/Summary!$B$68,1)+Summary!$B$55*IFERROR(B903/Summary!$B$69,1))*100</f>
        <v/>
      </c>
    </row>
    <row r="28">
      <c r="A28" t="inlineStr">
        <is>
          <t>Skill Cooldown Decrease (seconds)</t>
        </is>
      </c>
      <c r="B28">
        <f>IFERROR(1/(I28-100),"n/a")</f>
        <v/>
      </c>
      <c r="C28" t="inlineStr">
        <is>
          <t>flat</t>
        </is>
      </c>
      <c r="D28">
        <f>Inputs!$B$32</f>
        <v/>
      </c>
      <c r="E28">
        <f>(Inputs!$B$32+1)</f>
        <v/>
      </c>
      <c r="F28">
        <f>Summary!$B$3</f>
        <v/>
      </c>
      <c r="G28">
        <f>B942</f>
        <v/>
      </c>
      <c r="H28">
        <f>Summary!$B$3*(((1-Summary!$B$55)*IFERROR(B940/Summary!$B$68,1)+Summary!$B$55*IFERROR(B941/Summary!$B$69,1))-1)</f>
        <v/>
      </c>
      <c r="I28">
        <f>((1-Summary!$B$55)*IFERROR(B940/Summary!$B$68,1)+Summary!$B$55*IFERROR(B941/Summary!$B$69,1))*100</f>
        <v/>
      </c>
    </row>
    <row r="29">
      <c r="A29" t="inlineStr">
        <is>
          <t>Basic Attack Target Increase (flat)</t>
        </is>
      </c>
      <c r="B29">
        <f>IFERROR(1/(I29-100),"n/a")</f>
        <v/>
      </c>
      <c r="C29" t="inlineStr">
        <is>
          <t>flat</t>
        </is>
      </c>
      <c r="D29">
        <f>Inputs!$B$33</f>
        <v/>
      </c>
      <c r="E29">
        <f>(Inputs!$B$33+1)</f>
        <v/>
      </c>
      <c r="F29">
        <f>Summary!$B$3</f>
        <v/>
      </c>
      <c r="G29">
        <f>B980</f>
        <v/>
      </c>
      <c r="H29">
        <f>Summary!$B$3*(((1-Summary!$B$55)*IFERROR(B978/Summary!$B$68,1)+Summary!$B$55*IFERROR(B979/Summary!$B$69,1))-1)</f>
        <v/>
      </c>
      <c r="I29">
        <f>((1-Summary!$B$55)*IFERROR(B978/Summary!$B$68,1)+Summary!$B$55*IFERROR(B979/Summary!$B$69,1))*100</f>
        <v/>
      </c>
    </row>
    <row r="30">
      <c r="A30" t="inlineStr">
        <is>
          <t>Buff Duration Increase %</t>
        </is>
      </c>
      <c r="B30">
        <f>IFERROR(1/(I30-100),"n/a")</f>
        <v/>
      </c>
      <c r="C30" t="inlineStr">
        <is>
          <t>pct</t>
        </is>
      </c>
      <c r="D30">
        <f>Inputs!$B$34</f>
        <v/>
      </c>
      <c r="E30">
        <f>(Inputs!$B$34+1)</f>
        <v/>
      </c>
      <c r="F30">
        <f>Summary!$B$3</f>
        <v/>
      </c>
      <c r="G30">
        <f>B1018</f>
        <v/>
      </c>
      <c r="H30">
        <f>Summary!$B$3*(((1-Summary!$B$55)*IFERROR(B1016/Summary!$B$68,1)+Summary!$B$55*IFERROR(B1017/Summary!$B$69,1))-1)</f>
        <v/>
      </c>
      <c r="I30">
        <f>((1-Summary!$B$55)*IFERROR(B1016/Summary!$B$68,1)+Summary!$B$55*IFERROR(B1017/Summary!$B$69,1))*100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nputs!$B$16/100)*(5000/(6000+Inputs!$B$42*(1-(Inputs!$B$19+0)/100)))*(1+(Inputs!$B$24+((C55=TRUE)*(F55-Calc!F22))+B64)/100)*(1+(IF(Skills!A2="HOOK_BOMBER",Inputs!$B$17+((C54=TRUE)*(F54-Calc!F21)),Inputs!$B$18+0))/100)*((1+(((C46=TRUE)*F46)+((C52=TRUE)*(F52-Calc!F19)))/100)*I35)</f>
        <v/>
      </c>
      <c r="L35">
        <f>K35*(MIN(Inputs!$B$22+((C53=TRUE)*(F53-Calc!F20)),Inputs!$B$23+0)/100+(Inputs!$B$23+0)/100)/2</f>
        <v/>
      </c>
      <c r="M35">
        <f>L35*(1+(Inputs!$B$10+0+B63)/100)</f>
        <v/>
      </c>
      <c r="N35">
        <f>L35*(1-MIN((Inputs!$B$9+((C49=TRUE)*(F49-Calc!F16))+B58),100)/100)+M35*(MIN((Inputs!$B$9+((C49=TRUE)*(F49-Calc!F16))+B58),100)/100)</f>
        <v/>
      </c>
      <c r="O35">
        <f>(1-Summary!$B$55)*T35+Summary!$B$55*V35</f>
        <v/>
      </c>
      <c r="P35">
        <f>IF(B68=0,0,O35/B68)</f>
        <v/>
      </c>
      <c r="Q35" t="n">
        <v>0</v>
      </c>
      <c r="R35" t="n">
        <v>0</v>
      </c>
      <c r="S35">
        <f>IFERROR(O35/N35,0)</f>
        <v/>
      </c>
      <c r="T35">
        <f>IF(C35,(Skills!G2*N35*B62)*IF(Inputs!$B$38="pvp",1,1+(Inputs!$B$20+0+Skills!P2)/100),0)</f>
        <v/>
      </c>
      <c r="U35">
        <f>MAX(0,(Inputs!$B$3-100)*3)+Inputs!$B$28+Inputs!$B$29</f>
        <v/>
      </c>
      <c r="V35">
        <f>IF(C35,(Skills!G2*N35*B62)*IF(Inputs!$B$38="pvp",1,(1+(Inputs!$B$21+Skills!Q2)/100)*(MIN((6+Inputs!$B$33),Inputs!$B$37))),0)</f>
        <v/>
      </c>
    </row>
    <row r="36">
      <c r="A36">
        <f>Skills!A3</f>
        <v/>
      </c>
      <c r="B36">
        <f>Skills!B3</f>
        <v/>
      </c>
      <c r="C36">
        <f>Inputs!$B$3&gt;=35</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((Inputs!$B$6*(1+Inputs!$B$7/100))+((((Inputs!$B$12+1)*(1+Inputs!$B$13/100))-(Inputs!$B$12*(1+Inputs!$B$13/100)))+0.25*(Inputs!$B$14-Inputs!$B$14))*(1+Inputs!$B$7/100))*(F36/100)</f>
        <v/>
      </c>
      <c r="K36">
        <f>J36*(1+(((Inputs!$B$12+1)*(1+Inputs!$B$13/100))*0.01+Inputs!$B$14*0.0025)/100)*(1+Inputs!$B$15/100)*(1+Inputs!$B$16/100)*(5000/(6000+Inputs!$B$42*(1-(Inputs!$B$19+0)/100)))*(1+(Inputs!$B$24+((C55=TRUE)*(F55-Calc!F22))+B64)/100)*(1+(IF(Skills!A3="HOOK_BOMBER",Inputs!$B$17+((C54=TRUE)*(F54-Calc!F21)),Inputs!$B$18+0))/100)*((1+(((C46=TRUE)*F46)+((C52=TRUE)*(F52-Calc!F19)))/100)*I36)</f>
        <v/>
      </c>
      <c r="L36">
        <f>K36*(MIN(Inputs!$B$22+((C53=TRUE)*(F53-Calc!F20)),Inputs!$B$23+0)/100+(Inputs!$B$23+0)/100)/2</f>
        <v/>
      </c>
      <c r="M36">
        <f>L36*(1+(Inputs!$B$10+0+B63)/100)</f>
        <v/>
      </c>
      <c r="N36">
        <f>L36*(1-MIN((Inputs!$B$9+((C49=TRUE)*(F49-Calc!F16))+B58),100)/100)+M36*(MIN((Inputs!$B$9+((C49=TRUE)*(F49-Calc!F16))+B58),100)/100)</f>
        <v/>
      </c>
      <c r="O36">
        <f>(1-Summary!$B$55)*T36+Summary!$B$55*V36</f>
        <v/>
      </c>
      <c r="P36">
        <f>IF(B68=0,0,O36/B68)</f>
        <v/>
      </c>
      <c r="Q36" t="n">
        <v>0</v>
      </c>
      <c r="R36" t="n">
        <v>0</v>
      </c>
      <c r="S36">
        <f>IFERROR(O36/N36,0)</f>
        <v/>
      </c>
      <c r="T36">
        <f>IF(C36,(Skills!G3*H36*N36*B62)*IF(Inputs!$B$38="pvp",1,1+(Inputs!$B$20+0+Skills!P3)/100),0)</f>
        <v/>
      </c>
      <c r="U36">
        <f>INDEX(FactorTable!$B$2:$Y$301, MATCH(ROUND(MIN(300,MAX(1,U35)),0), FactorTable!$A$2:$A$301,0), 22)</f>
        <v/>
      </c>
      <c r="V36">
        <f>IF(C36,(Skills!G3*H36*N36*B62)*IF(Inputs!$B$38="pvp",1,(1+(Inputs!$B$21+Skills!Q3)/100)*(MIN(Skills!R3,Inputs!$B$37))),0)</f>
        <v/>
      </c>
    </row>
    <row r="37">
      <c r="A37">
        <f>Skills!A4</f>
        <v/>
      </c>
      <c r="B37">
        <f>Skills!B4</f>
        <v/>
      </c>
      <c r="C37">
        <f>Inputs!$B$3&gt;=60</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((Inputs!$B$6*(1+Inputs!$B$7/100))+((((Inputs!$B$12+1)*(1+Inputs!$B$13/100))-(Inputs!$B$12*(1+Inputs!$B$13/100)))+0.25*(Inputs!$B$14-Inputs!$B$14))*(1+Inputs!$B$7/100))*(F37/100)</f>
        <v/>
      </c>
      <c r="K37">
        <f>J37*(1+(((Inputs!$B$12+1)*(1+Inputs!$B$13/100))*0.01+Inputs!$B$14*0.0025)/100)*(1+Inputs!$B$15/100)*(1+Inputs!$B$16/100)*(5000/(6000+Inputs!$B$42*(1-(Inputs!$B$19+0)/100)))*(1+(Inputs!$B$24+((C55=TRUE)*(F55-Calc!F22))+B64)/100)*(1+1.0*IF(C45=TRUE,F45,0)/100)*(1+(IF(Skills!A4="HOOK_BOMBER",Inputs!$B$17+((C54=TRUE)*(F54-Calc!F21)),Inputs!$B$18+0))/100)*((1+(((C46=TRUE)*F46)+((C52=TRUE)*(F52-Calc!F19)))/100)*I37)</f>
        <v/>
      </c>
      <c r="L37">
        <f>K37*(MIN(Inputs!$B$22+((C53=TRUE)*(F53-Calc!F20)),Inputs!$B$23+0)/100+(Inputs!$B$23+0)/100)/2</f>
        <v/>
      </c>
      <c r="M37">
        <f>L37*(1+(Inputs!$B$10+0+B63)/100)</f>
        <v/>
      </c>
      <c r="N37">
        <f>L37*(1-MIN((Inputs!$B$9+((C49=TRUE)*(F49-Calc!F16))+B58),100)/100)+M37*(MIN((Inputs!$B$9+((C49=TRUE)*(F49-Calc!F16))+B58),100)/100)</f>
        <v/>
      </c>
      <c r="O37">
        <f>(1-Summary!$B$55)*T37+Summary!$B$55*V37</f>
        <v/>
      </c>
      <c r="P37">
        <f>IF(B68=0,0,O37/B68)</f>
        <v/>
      </c>
      <c r="Q37" t="n">
        <v>0</v>
      </c>
      <c r="R37" t="n">
        <v>0</v>
      </c>
      <c r="S37">
        <f>IFERROR(O37/N37,0)</f>
        <v/>
      </c>
      <c r="T37">
        <f>IF(C37,(Skills!G4*H37*N37*B62)*IF(Inputs!$B$38="pvp",1,1+(Inputs!$B$20+0+Skills!P4)/100),0)</f>
        <v/>
      </c>
      <c r="U37">
        <f>290*U36/1000</f>
        <v/>
      </c>
      <c r="V37">
        <f>IF(C37,(Skills!G4*H37*N37*B62)*IF(Inputs!$B$38="pvp",1,(1+(Inputs!$B$21+Skills!Q4)/100)*(MIN(Skills!R4,Inputs!$B$37))),0)</f>
        <v/>
      </c>
    </row>
    <row r="38">
      <c r="A38">
        <f>Skills!A5</f>
        <v/>
      </c>
      <c r="B38">
        <f>Skills!B5</f>
        <v/>
      </c>
      <c r="C38">
        <f>Inputs!$B$3&gt;=60</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t="inlineStr"/>
      <c r="K38" t="inlineStr"/>
      <c r="L38" t="inlineStr"/>
      <c r="M38" t="inlineStr"/>
      <c r="N38" t="inlineStr"/>
      <c r="O38">
        <f>(1-Summary!$B$55)*T38+Summary!$B$55*V38</f>
        <v/>
      </c>
      <c r="P38">
        <f>IF(B68=0,0,O38/B68)</f>
        <v/>
      </c>
      <c r="Q38" t="n">
        <v>0</v>
      </c>
      <c r="R38" t="n">
        <v>0</v>
      </c>
      <c r="S38">
        <f>IFERROR(O38/N38,0)</f>
        <v/>
      </c>
      <c r="T38" t="n">
        <v>0</v>
      </c>
      <c r="V38" t="n">
        <v>0</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nputs!$B$16/100)*(5000/(6000+Inputs!$B$42*(1-(Inputs!$B$19+0)/100)))*(1+(Inputs!$B$24+((C55=TRUE)*(F55-Calc!F22))+B64)/100)*(1+(IF(Skills!A6="HOOK_BOMBER",Inputs!$B$17+((C54=TRUE)*(F54-Calc!F21)),Inputs!$B$18+0))/100)*((1+(((C46=TRUE)*F46)+((C52=TRUE)*(F52-Calc!F19)))/100)*I39)</f>
        <v/>
      </c>
      <c r="L39">
        <f>K39*(MIN(Inputs!$B$22+((C53=TRUE)*(F53-Calc!F20)),Inputs!$B$23+0)/100+(Inputs!$B$23+0)/100)/2</f>
        <v/>
      </c>
      <c r="M39">
        <f>L39*(1+(Inputs!$B$10+0+B63)/100)</f>
        <v/>
      </c>
      <c r="N39">
        <f>L39*(1-MIN((Inputs!$B$9+((C49=TRUE)*(F49-Calc!F16))+B58),100)/100)+M39*(MIN((Inputs!$B$9+((C49=TRUE)*(F49-Calc!F16))+B58),100)/100)</f>
        <v/>
      </c>
      <c r="O39">
        <f>(1-Summary!$B$55)*T39+Summary!$B$55*V39</f>
        <v/>
      </c>
      <c r="P39">
        <f>IF(B68=0,0,O39/B68)</f>
        <v/>
      </c>
      <c r="Q39">
        <f>IFERROR(1/IF(Inputs!$B$38="pvp",15,MAX(0.1,Skills!D6-IF(Skills!E6=TRUE,Inputs!$B$32,0))),0)</f>
        <v/>
      </c>
      <c r="R39">
        <f>IF(AND(Inputs!$B$38&lt;&gt;"pvp",Inputs!$B$43&gt;0),IF(MAX(0,Inputs!$B$43-B65)&lt;=0,0,(INT(MAX(0,Inputs!$B$43-B65)/IF(Inputs!$B$38="pvp",15,MAX(0.1,Skills!D6-IF(Skills!E6=TRUE,Inputs!$B$32,0))))+1)),0)</f>
        <v/>
      </c>
      <c r="S39">
        <f>IFERROR(O39/N39,0)</f>
        <v/>
      </c>
      <c r="T39">
        <f>IF(C39,(H39*N39*IF(AND(Inputs!$B$38&lt;&gt;"pvp",Inputs!$B$43&gt;0),((Skills!G6*((R39-1)*IF(Skills!H6&gt;0,Skills!I6/Skills!H6,1)+IF(Skills!H6&gt;0,MIN(Skills!I6,MAX(0,MAX(0,Inputs!$B$43-B65)-((R39-1)*IF(Inputs!$B$38="pvp",15,MAX(0.1,Skills!D6-IF(Skills!E6=TRUE,Inputs!$B$32,0))))))/Skills!H6,1)))/Inputs!$B$43),G39*Q39))*IF(Inputs!$B$38="pvp",1,1+(Inputs!$B$20+0+Skills!P6)/100),0)</f>
        <v/>
      </c>
      <c r="V39">
        <f>IF(C39,(H39*N39*IF(AND(Inputs!$B$38&lt;&gt;"pvp",Inputs!$B$43&gt;0),((Skills!G6*((R39-1)*IF(Skills!H6&gt;0,Skills!I6/Skills!H6,1)+IF(Skills!H6&gt;0,MIN(Skills!I6,MAX(0,MAX(0,Inputs!$B$43-B65)-((R39-1)*IF(Inputs!$B$38="pvp",15,MAX(0.1,Skills!D6-IF(Skills!E6=TRUE,Inputs!$B$32,0))))))/Skills!H6,1)))/Inputs!$B$43),G39*Q39))*IF(Inputs!$B$38="pvp",1,(1+(Inputs!$B$21+Skills!Q6)/100)*(MIN(Skills!R6,Inputs!$B$37))),0)</f>
        <v/>
      </c>
    </row>
    <row r="40">
      <c r="A40">
        <f>Skills!A7</f>
        <v/>
      </c>
      <c r="B40">
        <f>Skills!B7</f>
        <v/>
      </c>
      <c r="C40">
        <f>Inputs!$B$3&gt;=100</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nputs!$B$16/100)*(5000/(6000+Inputs!$B$42*(1-(Inputs!$B$19+0)/100)))*(1+(Inputs!$B$24+((C55=TRUE)*(F55-Calc!F22))+B64)/100)*(1+(IF(Skills!A7="HOOK_BOMBER",Inputs!$B$17+((C54=TRUE)*(F54-Calc!F21)),Inputs!$B$18+0))/100)*((1+(((C46=TRUE)*F46)+((C52=TRUE)*(F52-Calc!F19)))/100)*I40)</f>
        <v/>
      </c>
      <c r="L40">
        <f>K40*(MIN(Inputs!$B$22+((C53=TRUE)*(F53-Calc!F20)),Inputs!$B$23+0)/100+(Inputs!$B$23+0)/100)/2</f>
        <v/>
      </c>
      <c r="M40">
        <f>L40*(1+(Inputs!$B$10+0+B63)/100)</f>
        <v/>
      </c>
      <c r="N40">
        <f>L40*(1-MIN((Inputs!$B$9+((C49=TRUE)*(F49-Calc!F16))+B58),100)/100)+M40*(MIN((Inputs!$B$9+((C49=TRUE)*(F49-Calc!F16))+B58),100)/100)</f>
        <v/>
      </c>
      <c r="O40">
        <f>(1-Summary!$B$55)*T40+Summary!$B$55*V40</f>
        <v/>
      </c>
      <c r="P40">
        <f>IF(B68=0,0,O40/B68)</f>
        <v/>
      </c>
      <c r="Q40">
        <f>IFERROR(1/IF(Inputs!$B$38="pvp",15,MAX(0.1,Skills!D7-IF(Skills!E7=TRUE,Inputs!$B$32,0))),0)</f>
        <v/>
      </c>
      <c r="R40">
        <f>IF(AND(Inputs!$B$38&lt;&gt;"pvp",Inputs!$B$43&gt;0),IF(MAX(0,Inputs!$B$43-B65)&lt;=0,0,(INT(MAX(0,Inputs!$B$43-B65)/IF(Inputs!$B$38="pvp",15,MAX(0.1,Skills!D7-IF(Skills!E7=TRUE,Inputs!$B$32,0))))+1)),0)</f>
        <v/>
      </c>
      <c r="S40">
        <f>IFERROR(O40/N40,0)</f>
        <v/>
      </c>
      <c r="T40">
        <f>IF(C40,(H40*N40*IF(AND(Inputs!$B$38&lt;&gt;"pvp",Inputs!$B$43&gt;0),((Skills!G7*((R40-1)*IF(Skills!H7&gt;0,Skills!I7/Skills!H7,1)+IF(Skills!H7&gt;0,MIN(Skills!I7,MAX(0,MAX(0,Inputs!$B$43-B65)-((R40-1)*IF(Inputs!$B$38="pvp",15,MAX(0.1,Skills!D7-IF(Skills!E7=TRUE,Inputs!$B$32,0))))))/Skills!H7,1)))/Inputs!$B$43),G40*Q40))*IF(Inputs!$B$38="pvp",1,1+(Inputs!$B$20+0+Skills!P7)/100),0)</f>
        <v/>
      </c>
      <c r="V40">
        <f>IF(C40,(H40*N40*IF(AND(Inputs!$B$38&lt;&gt;"pvp",Inputs!$B$43&gt;0),((Skills!G7*((R40-1)*IF(Skills!H7&gt;0,Skills!I7/Skills!H7,1)+IF(Skills!H7&gt;0,MIN(Skills!I7,MAX(0,MAX(0,Inputs!$B$43-B65)-((R40-1)*IF(Inputs!$B$38="pvp",15,MAX(0.1,Skills!D7-IF(Skills!E7=TRUE,Inputs!$B$32,0))))))/Skills!H7,1)))/Inputs!$B$43),G40*Q40))*IF(Inputs!$B$38="pvp",1,(1+(Inputs!$B$21+Skills!Q7)/100)*(MIN(Skills!R7,Inputs!$B$37))),0)</f>
        <v/>
      </c>
    </row>
    <row r="41">
      <c r="A41">
        <f>Skills!A8</f>
        <v/>
      </c>
      <c r="B41">
        <f>Skills!B8</f>
        <v/>
      </c>
      <c r="C41">
        <f>Inputs!$B$3&gt;=110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nputs!$B$16/100)*(5000/(6000+Inputs!$B$42*(1-(Inputs!$B$19+0)/100)))*(1+(Inputs!$B$24+((C55=TRUE)*(F55-Calc!F22))+B64)/100)*(1+(IF(Skills!A8="HOOK_BOMBER",Inputs!$B$17+((C54=TRUE)*(F54-Calc!F21)),Inputs!$B$18+0))/100)*((1+(((C46=TRUE)*F46)+((C52=TRUE)*(F52-Calc!F19)))/100)*I41)</f>
        <v/>
      </c>
      <c r="L41">
        <f>K41*(MIN(Inputs!$B$22+((C53=TRUE)*(F53-Calc!F20)),Inputs!$B$23+0)/100+(Inputs!$B$23+0)/100)/2</f>
        <v/>
      </c>
      <c r="M41">
        <f>L41*(1+(Inputs!$B$10+0+B63)/100)</f>
        <v/>
      </c>
      <c r="N41">
        <f>L41*(1-MIN((Inputs!$B$9+((C49=TRUE)*(F49-Calc!F16))+B58),100)/100)+M41*(MIN((Inputs!$B$9+((C49=TRUE)*(F49-Calc!F16))+B58),100)/100)</f>
        <v/>
      </c>
      <c r="O41">
        <f>(1-Summary!$B$55)*T41+Summary!$B$55*V41</f>
        <v/>
      </c>
      <c r="P41">
        <f>IF(B68=0,0,O41/B68)</f>
        <v/>
      </c>
      <c r="Q41">
        <f>IFERROR(1/IF(Inputs!$B$38="pvp",15,MAX(0.1,Skills!D8-IF(Skills!E8=TRUE,Inputs!$B$32,0))),0)</f>
        <v/>
      </c>
      <c r="R41">
        <f>IF(AND(Inputs!$B$38&lt;&gt;"pvp",Inputs!$B$43&gt;0),IF(MAX(0,Inputs!$B$43-B65)&lt;=0,0,(INT(MAX(0,Inputs!$B$43-B65)/IF(Inputs!$B$38="pvp",15,MAX(0.1,Skills!D8-IF(Skills!E8=TRUE,Inputs!$B$32,0))))+1)),0)</f>
        <v/>
      </c>
      <c r="S41">
        <f>IFERROR(O41/N41,0)</f>
        <v/>
      </c>
      <c r="T41">
        <f>IF(C41,(H41*N41*IF(AND(Inputs!$B$38&lt;&gt;"pvp",Inputs!$B$43&gt;0),((Skills!G8*((R41-1)*IF(Skills!H8&gt;0,Skills!I8/Skills!H8,1)+IF(Skills!H8&gt;0,MIN(Skills!I8,MAX(0,MAX(0,Inputs!$B$43-B65)-((R41-1)*IF(Inputs!$B$38="pvp",15,MAX(0.1,Skills!D8-IF(Skills!E8=TRUE,Inputs!$B$32,0))))))/Skills!H8,1)))/Inputs!$B$43),G41*Q41))*IF(Inputs!$B$38="pvp",1,1+(Inputs!$B$20+0+Skills!P8)/100),0)</f>
        <v/>
      </c>
      <c r="V41">
        <f>IF(C41,(H41*N41*IF(AND(Inputs!$B$38&lt;&gt;"pvp",Inputs!$B$43&gt;0),((Skills!G8*((R41-1)*IF(Skills!H8&gt;0,Skills!I8/Skills!H8,1)+IF(Skills!H8&gt;0,MIN(Skills!I8,MAX(0,MAX(0,Inputs!$B$43-B65)-((R41-1)*IF(Inputs!$B$38="pvp",15,MAX(0.1,Skills!D8-IF(Skills!E8=TRUE,Inputs!$B$32,0))))))/Skills!H8,1)))/Inputs!$B$43),G41*Q41))*IF(Inputs!$B$38="pvp",1,(1+(Inputs!$B$21+Skills!Q8)/100)*(MIN(Skills!R8,Inputs!$B$37))),0)</f>
        <v/>
      </c>
    </row>
    <row r="42">
      <c r="A42">
        <f>Skills!A9</f>
        <v/>
      </c>
      <c r="B42">
        <f>Skills!B9</f>
        <v/>
      </c>
      <c r="C42">
        <f>Inputs!$B$3&gt;=110</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nputs!$B$16/100)*(5000/(6000+Inputs!$B$42*(1-(Inputs!$B$19+0)/100)))*(1+(Inputs!$B$24+((C55=TRUE)*(F55-Calc!F22))+B64)/100)*(1+(IF(Skills!A9="HOOK_BOMBER",Inputs!$B$17+((C54=TRUE)*(F54-Calc!F21)),Inputs!$B$18+0))/100)*((1+(((C46=TRUE)*F46)+((C52=TRUE)*(F52-Calc!F19)))/100)*I42)</f>
        <v/>
      </c>
      <c r="L42">
        <f>K42*(MIN(Inputs!$B$22+((C53=TRUE)*(F53-Calc!F20)),Inputs!$B$23+0)/100+(Inputs!$B$23+0)/100)/2</f>
        <v/>
      </c>
      <c r="M42">
        <f>L42*(1+(Inputs!$B$10+0+B63)/100)</f>
        <v/>
      </c>
      <c r="N42">
        <f>L42*(1-MIN((Inputs!$B$9+((C49=TRUE)*(F49-Calc!F16))+B58),100)/100)+M42*(MIN((Inputs!$B$9+((C49=TRUE)*(F49-Calc!F16))+B58),100)/100)</f>
        <v/>
      </c>
      <c r="O42">
        <f>(1-Summary!$B$55)*T42+Summary!$B$55*V42</f>
        <v/>
      </c>
      <c r="P42">
        <f>IF(B68=0,0,O42/B68)</f>
        <v/>
      </c>
      <c r="Q42">
        <f>IFERROR(1/IF(Inputs!$B$38="pvp",15,MAX(0.1,Skills!D9-IF(Skills!E9=TRUE,Inputs!$B$32,0))),0)</f>
        <v/>
      </c>
      <c r="R42">
        <f>IF(AND(Inputs!$B$38&lt;&gt;"pvp",Inputs!$B$43&gt;0),IF(MAX(0,Inputs!$B$43-B65)&lt;=0,0,(INT(MAX(0,Inputs!$B$43-B65)/IF(Inputs!$B$38="pvp",15,MAX(0.1,Skills!D9-IF(Skills!E9=TRUE,Inputs!$B$32,0))))+1)),0)</f>
        <v/>
      </c>
      <c r="S42">
        <f>IFERROR(O42/N42,0)</f>
        <v/>
      </c>
      <c r="T42">
        <f>IF(C42,(H42*N42*IF(AND(Inputs!$B$38&lt;&gt;"pvp",Inputs!$B$43&gt;0),((Skills!G9*((R42-1)*IF(Skills!H9&gt;0,Skills!I9/Skills!H9,1)+IF(Skills!H9&gt;0,MIN(Skills!I9,MAX(0,MAX(0,Inputs!$B$43-B65)-((R42-1)*IF(Inputs!$B$38="pvp",15,MAX(0.1,Skills!D9-IF(Skills!E9=TRUE,Inputs!$B$32,0))))))/Skills!H9,1)))/Inputs!$B$43),G42*Q42))*IF(Inputs!$B$38="pvp",1,1+(Inputs!$B$20+0+Skills!P9)/100),0)</f>
        <v/>
      </c>
      <c r="V42">
        <f>IF(C42,(H42*N42*IF(AND(Inputs!$B$38&lt;&gt;"pvp",Inputs!$B$43&gt;0),((Skills!G9*((R42-1)*IF(Skills!H9&gt;0,Skills!I9/Skills!H9,1)+IF(Skills!H9&gt;0,MIN(Skills!I9,MAX(0,MAX(0,Inputs!$B$43-B65)-((R42-1)*IF(Inputs!$B$38="pvp",15,MAX(0.1,Skills!D9-IF(Skills!E9=TRUE,Inputs!$B$32,0))))))/Skills!H9,1)))/Inputs!$B$43),G42*Q42))*IF(Inputs!$B$38="pvp",1,(1+(Inputs!$B$21+Skills!Q9)/100)*(MIN(Skills!R9,Inputs!$B$37))),0)</f>
        <v/>
      </c>
    </row>
    <row r="43">
      <c r="A43">
        <f>Skills!A10</f>
        <v/>
      </c>
      <c r="B43">
        <f>Skills!B10</f>
        <v/>
      </c>
      <c r="C43">
        <f>Inputs!$B$3&gt;=103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nputs!$B$16/100)*(5000/(6000+Inputs!$B$42*(1-(Inputs!$B$19+0)/100)))*(1+(Inputs!$B$24+((C55=TRUE)*(F55-Calc!F22))+B64)/100)*(1+(IF(Skills!A10="HOOK_BOMBER",Inputs!$B$17+((C54=TRUE)*(F54-Calc!F21)),Inputs!$B$18+0))/100)*((1+(((C46=TRUE)*F46)+((C52=TRUE)*(F52-Calc!F19)))/100)*I43)</f>
        <v/>
      </c>
      <c r="L43">
        <f>K43*(MIN(Inputs!$B$22+((C53=TRUE)*(F53-Calc!F20)),Inputs!$B$23+0)/100+(Inputs!$B$23+0)/100)/2</f>
        <v/>
      </c>
      <c r="M43">
        <f>L43*(1+(Inputs!$B$10+0+B63)/100)</f>
        <v/>
      </c>
      <c r="N43">
        <f>L43*(1-MIN((Inputs!$B$9+((C49=TRUE)*(F49-Calc!F16))+B58),100)/100)+M43*(MIN((Inputs!$B$9+((C49=TRUE)*(F49-Calc!F16))+B58),100)/100)</f>
        <v/>
      </c>
      <c r="O43">
        <f>(1-Summary!$B$55)*T43+Summary!$B$55*V43</f>
        <v/>
      </c>
      <c r="P43">
        <f>IF(B68=0,0,O43/B68)</f>
        <v/>
      </c>
      <c r="Q43">
        <f>IFERROR(1/IF(Inputs!$B$38="pvp",15,MAX(0.1,Skills!D10-IF(Skills!E10=TRUE,Inputs!$B$32,0))),0)</f>
        <v/>
      </c>
      <c r="R43">
        <f>IF(AND(Inputs!$B$38&lt;&gt;"pvp",Inputs!$B$43&gt;0),IF(MAX(0,Inputs!$B$43-B65)&lt;=0,0,(INT(MAX(0,Inputs!$B$43-B65)/IF(Inputs!$B$38="pvp",15,MAX(0.1,Skills!D10-IF(Skills!E10=TRUE,Inputs!$B$32,0))))+1)),0)</f>
        <v/>
      </c>
      <c r="S43">
        <f>IFERROR(O43/N43,0)</f>
        <v/>
      </c>
      <c r="T43">
        <f>IF(C43,(H43*N43*IF(AND(Inputs!$B$38&lt;&gt;"pvp",Inputs!$B$43&gt;0),((Skills!G10*((R43-1)*IF(Skills!H10&gt;0,Skills!I10/Skills!H10,1)+IF(Skills!H10&gt;0,MIN(Skills!I10,MAX(0,MAX(0,Inputs!$B$43-B65)-((R43-1)*IF(Inputs!$B$38="pvp",15,MAX(0.1,Skills!D10-IF(Skills!E10=TRUE,Inputs!$B$32,0))))))/Skills!H10,1)))/Inputs!$B$43),G43*Q43))*IF(Inputs!$B$38="pvp",1,1+(Inputs!$B$20+0+Skills!P10)/100),0)</f>
        <v/>
      </c>
      <c r="V43">
        <f>IF(C43,(H43*N43*IF(AND(Inputs!$B$38&lt;&gt;"pvp",Inputs!$B$43&gt;0),((Skills!G10*((R43-1)*IF(Skills!H10&gt;0,Skills!I10/Skills!H10,1)+IF(Skills!H10&gt;0,MIN(Skills!I10,MAX(0,MAX(0,Inputs!$B$43-B65)-((R43-1)*IF(Inputs!$B$38="pvp",15,MAX(0.1,Skills!D10-IF(Skills!E10=TRUE,Inputs!$B$32,0))))))/Skills!H10,1)))/Inputs!$B$43),G43*Q43))*IF(Inputs!$B$38="pvp",1,(1+(Inputs!$B$21+Skills!Q10)/100)*(MIN(Skills!R10,Inputs!$B$37))),0)</f>
        <v/>
      </c>
    </row>
    <row r="44">
      <c r="A44">
        <f>Skills!A11</f>
        <v/>
      </c>
      <c r="B44">
        <f>Skills!B11</f>
        <v/>
      </c>
      <c r="C44">
        <f>Inputs!$B$3&gt;=113</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nputs!$B$16/100)*(5000/(6000+Inputs!$B$42*(1-(Inputs!$B$19+0)/100)))*(1+(Inputs!$B$24+((C55=TRUE)*(F55-Calc!F22))+B64)/100)*(1+(IF(Skills!A11="HOOK_BOMBER",Inputs!$B$17+((C54=TRUE)*(F54-Calc!F21)),Inputs!$B$18+0))/100)*((1+(((C46=TRUE)*F46)+((C52=TRUE)*(F52-Calc!F19)))/100)*I44)</f>
        <v/>
      </c>
      <c r="L44">
        <f>K44*(MIN(Inputs!$B$22+((C53=TRUE)*(F53-Calc!F20)),Inputs!$B$23+0)/100+(Inputs!$B$23+0)/100)/2</f>
        <v/>
      </c>
      <c r="M44">
        <f>L44*(1+(Inputs!$B$10+0+B63)/100)</f>
        <v/>
      </c>
      <c r="N44">
        <f>L44*(1-MIN((Inputs!$B$9+((C49=TRUE)*(F49-Calc!F16))+B58),100)/100)+M44*(MIN((Inputs!$B$9+((C49=TRUE)*(F49-Calc!F16))+B58),100)/100)</f>
        <v/>
      </c>
      <c r="O44">
        <f>(1-Summary!$B$55)*T44+Summary!$B$55*V44</f>
        <v/>
      </c>
      <c r="P44">
        <f>IF(B68=0,0,O44/B68)</f>
        <v/>
      </c>
      <c r="Q44">
        <f>IFERROR(1/IF(Inputs!$B$38="pvp",15,MAX(0.1,Skills!D11-IF(Skills!E11=TRUE,Inputs!$B$32,0))),0)</f>
        <v/>
      </c>
      <c r="R44">
        <f>IF(AND(Inputs!$B$38&lt;&gt;"pvp",Inputs!$B$43&gt;0),IF(MAX(0,Inputs!$B$43-B65)&lt;=0,0,(INT(MAX(0,Inputs!$B$43-B65)/IF(Inputs!$B$38="pvp",15,MAX(0.1,Skills!D11-IF(Skills!E11=TRUE,Inputs!$B$32,0))))+1)),0)</f>
        <v/>
      </c>
      <c r="S44">
        <f>IFERROR(O44/N44,0)</f>
        <v/>
      </c>
      <c r="T44">
        <f>IF(C44,(H44*N44*IF(AND(Inputs!$B$38&lt;&gt;"pvp",Inputs!$B$43&gt;0),((Skills!G11*((R44-1)*IF(Skills!H11&gt;0,Skills!I11/Skills!H11,1)+IF(Skills!H11&gt;0,MIN(Skills!I11,MAX(0,MAX(0,Inputs!$B$43-B65)-((R44-1)*IF(Inputs!$B$38="pvp",15,MAX(0.1,Skills!D11-IF(Skills!E11=TRUE,Inputs!$B$32,0))))))/Skills!H11,1)))/Inputs!$B$43),G44*Q44))*IF(Inputs!$B$38="pvp",1,1+(Inputs!$B$20+0+Skills!P11)/100),0)</f>
        <v/>
      </c>
      <c r="V44">
        <f>IF(C44,(H44*N44*IF(AND(Inputs!$B$38&lt;&gt;"pvp",Inputs!$B$43&gt;0),((Skills!G11*((R44-1)*IF(Skills!H11&gt;0,Skills!I11/Skills!H11,1)+IF(Skills!H11&gt;0,MIN(Skills!I11,MAX(0,MAX(0,Inputs!$B$43-B65)-((R44-1)*IF(Inputs!$B$38="pvp",15,MAX(0.1,Skills!D11-IF(Skills!E11=TRUE,Inputs!$B$32,0))))))/Skills!H11,1)))/Inputs!$B$43),G44*Q44))*IF(Inputs!$B$38="pvp",1,(1+(Inputs!$B$21+Skills!Q11)/100)*(MIN(Skills!R11,Inputs!$B$37))),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c r="T45" t="inlineStr"/>
      <c r="V45" t="inlineStr"/>
    </row>
    <row r="46">
      <c r="A46">
        <f>Skills!A13</f>
        <v/>
      </c>
      <c r="B46">
        <f>Skills!B13</f>
        <v/>
      </c>
      <c r="C46">
        <f>Inputs!$B$3&gt;=66</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f>(1-Summary!$B$55)*T46+Summary!$B$55*V46</f>
        <v/>
      </c>
      <c r="P46">
        <f>IF(B68=0,0,O46/B68)</f>
        <v/>
      </c>
      <c r="Q46" t="n">
        <v>0</v>
      </c>
      <c r="R46" t="n">
        <v>0</v>
      </c>
      <c r="S46">
        <f>IFERROR(O46/N46,0)</f>
        <v/>
      </c>
      <c r="T46" t="n">
        <v>0</v>
      </c>
      <c r="V46" t="n">
        <v>0</v>
      </c>
    </row>
    <row r="47">
      <c r="A47">
        <f>Skills!A14</f>
        <v/>
      </c>
      <c r="B47">
        <f>Skills!B14</f>
        <v/>
      </c>
      <c r="C47">
        <f>Inputs!$B$3&gt;=107</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f>(1-Summary!$B$55)*T47+Summary!$B$55*V47</f>
        <v/>
      </c>
      <c r="P47">
        <f>IF(B68=0,0,O47/B68)</f>
        <v/>
      </c>
      <c r="Q47" t="n">
        <v>0</v>
      </c>
      <c r="R47" t="n">
        <v>0</v>
      </c>
      <c r="S47">
        <f>IFERROR(O47/N47,0)</f>
        <v/>
      </c>
      <c r="T47" t="n">
        <v>0</v>
      </c>
      <c r="V47" t="n">
        <v>0</v>
      </c>
    </row>
    <row r="48">
      <c r="A48">
        <f>Skills!A15</f>
        <v/>
      </c>
      <c r="B48">
        <f>Skills!B15</f>
        <v/>
      </c>
      <c r="C48">
        <f>Inputs!$B$3&gt;=115</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f>(1-Summary!$B$55)*T48+Summary!$B$55*V48</f>
        <v/>
      </c>
      <c r="P48">
        <f>IF(B68=0,0,O48/B68)</f>
        <v/>
      </c>
      <c r="Q48" t="n">
        <v>0</v>
      </c>
      <c r="R48" t="n">
        <v>0</v>
      </c>
      <c r="S48">
        <f>IFERROR(O48/N48,0)</f>
        <v/>
      </c>
      <c r="T48" t="n">
        <v>0</v>
      </c>
      <c r="V48" t="n">
        <v>0</v>
      </c>
    </row>
    <row r="49">
      <c r="A49">
        <f>Skills!A16</f>
        <v/>
      </c>
      <c r="B49">
        <f>Skills!B16</f>
        <v/>
      </c>
      <c r="C49">
        <f>Inputs!$B$3&gt;=15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f>(1-Summary!$B$55)*T49+Summary!$B$55*V49</f>
        <v/>
      </c>
      <c r="P49">
        <f>IF(B68=0,0,O49/B68)</f>
        <v/>
      </c>
      <c r="Q49" t="n">
        <v>0</v>
      </c>
      <c r="R49" t="n">
        <v>0</v>
      </c>
      <c r="S49">
        <f>IFERROR(O49/N49,0)</f>
        <v/>
      </c>
      <c r="T49" t="n">
        <v>0</v>
      </c>
      <c r="V49" t="n">
        <v>0</v>
      </c>
    </row>
    <row r="50">
      <c r="A50">
        <f>Skills!A17</f>
        <v/>
      </c>
      <c r="B50">
        <f>Skills!B17</f>
        <v/>
      </c>
      <c r="C50">
        <f>Inputs!$B$3&gt;=10</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f>(1-Summary!$B$55)*T50+Summary!$B$55*V50</f>
        <v/>
      </c>
      <c r="P50">
        <f>IF(B68=0,0,O50/B68)</f>
        <v/>
      </c>
      <c r="Q50" t="n">
        <v>0</v>
      </c>
      <c r="R50" t="n">
        <v>0</v>
      </c>
      <c r="S50">
        <f>IFERROR(O50/N50,0)</f>
        <v/>
      </c>
      <c r="T50" t="n">
        <v>0</v>
      </c>
      <c r="V50" t="n">
        <v>0</v>
      </c>
    </row>
    <row r="51">
      <c r="A51">
        <f>Skills!A18</f>
        <v/>
      </c>
      <c r="B51">
        <f>Skills!B18</f>
        <v/>
      </c>
      <c r="C51">
        <f>Inputs!$B$3&gt;=33</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f>(1-Summary!$B$55)*T51+Summary!$B$55*V51</f>
        <v/>
      </c>
      <c r="P51">
        <f>IF(B68=0,0,O51/B68)</f>
        <v/>
      </c>
      <c r="Q51" t="n">
        <v>0</v>
      </c>
      <c r="R51" t="n">
        <v>0</v>
      </c>
      <c r="S51">
        <f>IFERROR(O51/N51,0)</f>
        <v/>
      </c>
      <c r="T51" t="n">
        <v>0</v>
      </c>
      <c r="V51" t="n">
        <v>0</v>
      </c>
    </row>
    <row r="52">
      <c r="A52">
        <f>Skills!A19</f>
        <v/>
      </c>
      <c r="B52">
        <f>Skills!B19</f>
        <v/>
      </c>
      <c r="C52">
        <f>Inputs!$B$3&gt;=40</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f>(1-Summary!$B$55)*T52+Summary!$B$55*V52</f>
        <v/>
      </c>
      <c r="P52">
        <f>IF(B68=0,0,O52/B68)</f>
        <v/>
      </c>
      <c r="Q52" t="n">
        <v>0</v>
      </c>
      <c r="R52" t="n">
        <v>0</v>
      </c>
      <c r="S52">
        <f>IFERROR(O52/N52,0)</f>
        <v/>
      </c>
      <c r="T52" t="n">
        <v>0</v>
      </c>
      <c r="V52" t="n">
        <v>0</v>
      </c>
    </row>
    <row r="53">
      <c r="A53">
        <f>Skills!A20</f>
        <v/>
      </c>
      <c r="B53">
        <f>Skills!B20</f>
        <v/>
      </c>
      <c r="C53">
        <f>Inputs!$B$3&gt;=43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f>(1-Summary!$B$55)*T53+Summary!$B$55*V53</f>
        <v/>
      </c>
      <c r="P53">
        <f>IF(B68=0,0,O53/B68)</f>
        <v/>
      </c>
      <c r="Q53" t="n">
        <v>0</v>
      </c>
      <c r="R53" t="n">
        <v>0</v>
      </c>
      <c r="S53">
        <f>IFERROR(O53/N53,0)</f>
        <v/>
      </c>
      <c r="T53" t="n">
        <v>0</v>
      </c>
      <c r="V53" t="n">
        <v>0</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f>(1-Summary!$B$55)*T54+Summary!$B$55*V54</f>
        <v/>
      </c>
      <c r="P54">
        <f>IF(B68=0,0,O54/B68)</f>
        <v/>
      </c>
      <c r="Q54" t="n">
        <v>0</v>
      </c>
      <c r="R54" t="n">
        <v>0</v>
      </c>
      <c r="S54">
        <f>IFERROR(O54/N54,0)</f>
        <v/>
      </c>
      <c r="T54" t="n">
        <v>0</v>
      </c>
      <c r="V54" t="n">
        <v>0</v>
      </c>
    </row>
    <row r="55">
      <c r="A55">
        <f>Skills!A22</f>
        <v/>
      </c>
      <c r="B55">
        <f>Skills!B22</f>
        <v/>
      </c>
      <c r="C55">
        <f>Inputs!$B$3&gt;=75</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f>(1-Summary!$B$55)*T55+Summary!$B$55*V55</f>
        <v/>
      </c>
      <c r="P55">
        <f>IF(B68=0,0,O55/B68)</f>
        <v/>
      </c>
      <c r="Q55" t="n">
        <v>0</v>
      </c>
      <c r="R55" t="n">
        <v>0</v>
      </c>
      <c r="S55">
        <f>IFERROR(O55/N55,0)</f>
        <v/>
      </c>
      <c r="T55" t="n">
        <v>0</v>
      </c>
      <c r="V55" t="n">
        <v>0</v>
      </c>
    </row>
    <row r="57">
      <c r="A57" t="inlineStr">
        <is>
          <t>Attack% Bucket Multiplier</t>
        </is>
      </c>
      <c r="B57">
        <f>(1+(((C46=TRUE)*F46)+((C52=TRUE)*(F52-Calc!F19)))/100)</f>
        <v/>
      </c>
    </row>
    <row r="58">
      <c r="A58" t="inlineStr">
        <is>
          <t>Global Crit Rate Bonus %</t>
        </is>
      </c>
      <c r="B58" t="n">
        <v>0</v>
      </c>
    </row>
    <row r="59">
      <c r="A59" t="inlineStr">
        <is>
          <t>Attack Speed Buff Bonus % (unused)</t>
        </is>
      </c>
      <c r="B59" t="n">
        <v>0</v>
      </c>
    </row>
    <row r="60">
      <c r="A60" t="inlineStr">
        <is>
          <t>Actions Per Second</t>
        </is>
      </c>
      <c r="B60">
        <f>1+MIN(150,150*(1-(1-(Inputs!$B$11+((C50=TRUE)*(F50-Calc!F17))+((C51=TRUE)*(F51-Calc!F18)))/150)*(1-B59/150)))/100</f>
        <v/>
      </c>
    </row>
    <row r="61">
      <c r="A61" t="inlineStr">
        <is>
          <t>Skill + Buff Cast Rate</t>
        </is>
      </c>
      <c r="B61">
        <f>IF(AND(Inputs!$B$38&lt;&gt;"pvp",Inputs!$B$43&gt;0),SUMPRODUCT((Skills!E2:E22=TRUE)*(C35:C55=TRUE)*R35:R55*Skills!F2:F22)/Inputs!$B$43,SUMPRODUCT((Skills!E2:E22=TRUE)*(C35:C55=TRUE)*Q35:Q55*Skills!F2:F22))</f>
        <v/>
      </c>
    </row>
    <row r="62">
      <c r="A62" t="inlineStr">
        <is>
          <t>Hook Bomber Casts Per Second</t>
        </is>
      </c>
      <c r="B62">
        <f>MAX(0,B60-B61)</f>
        <v/>
      </c>
    </row>
    <row r="63">
      <c r="A63" t="inlineStr">
        <is>
          <t>Global Critical Damage Bonus % (unused)</t>
        </is>
      </c>
      <c r="B63" t="n">
        <v>0</v>
      </c>
    </row>
    <row r="64">
      <c r="A64" t="inlineStr">
        <is>
          <t>Global Final Damage Bonus % (Serpent Scale + Crossbones + Time Leap + Speed Infusion)</t>
        </is>
      </c>
      <c r="B64">
        <f>((C38=TRUE)*F38*((10+IF(Inputs!$B$3&gt;=94,5,0))/((10+IF(Inputs!$B$3&gt;=94,5,0))+5/(B62*(1+IF(Inputs!$B$3&gt;=104,1,0))))))+((C47=TRUE)*F47)+((C48=TRUE)*F48)+((Inputs!$B$3&gt;=110)*20*(B60-1))</f>
        <v/>
      </c>
    </row>
    <row r="65">
      <c r="A65" t="inlineStr">
        <is>
          <t>Buff-Casting Startup Delay (s, fixed-duration only)</t>
        </is>
      </c>
      <c r="B65">
        <f>IF(AND(Inputs!$B$38&lt;&gt;"pvp",Inputs!$B$43&gt;0),SUMPRODUCT((Skills!T2:T22&gt;0)*(Skills!E2:E22=TRUE)*(C35:C55=TRUE))/B60,0)</f>
        <v/>
      </c>
    </row>
    <row r="66">
      <c r="A66" t="inlineStr">
        <is>
          <t>Boss-Only Total DPS (this block's swept value)</t>
        </is>
      </c>
      <c r="B66">
        <f>SUM(T35:T55)</f>
        <v/>
      </c>
    </row>
    <row r="67">
      <c r="A67" t="inlineStr">
        <is>
          <t>Normal-Only Total DPS (this block's swept value)</t>
        </is>
      </c>
      <c r="B67">
        <f>SUM(V35:V55)</f>
        <v/>
      </c>
    </row>
    <row r="68">
      <c r="A68" s="5" t="inlineStr">
        <is>
          <t>TOTAL DPS</t>
        </is>
      </c>
      <c r="B68" s="5">
        <f>SUM(O35:O55)</f>
        <v/>
      </c>
    </row>
    <row r="71">
      <c r="A71" s="5" t="inlineStr">
        <is>
          <t>Stat: STR %</t>
        </is>
      </c>
    </row>
    <row r="72">
      <c r="A72" s="9" t="inlineStr">
        <is>
          <t>Key</t>
        </is>
      </c>
      <c r="B72" s="9" t="inlineStr">
        <is>
          <t>Name</t>
        </is>
      </c>
      <c r="C72" s="9" t="inlineStr">
        <is>
          <t>Unlocked</t>
        </is>
      </c>
      <c r="D72" s="9" t="inlineStr">
        <is>
          <t>InputLevel</t>
        </is>
      </c>
      <c r="E72" s="9" t="inlineStr">
        <is>
          <t>Factor</t>
        </is>
      </c>
      <c r="F72" s="9" t="inlineStr">
        <is>
          <t>CoefficientPercent</t>
        </is>
      </c>
      <c r="G72" s="9" t="inlineStr">
        <is>
          <t>EffectiveHits</t>
        </is>
      </c>
      <c r="H72" s="9" t="inlineStr">
        <is>
          <t>ProcProbability</t>
        </is>
      </c>
      <c r="I72" s="9" t="inlineStr">
        <is>
          <t>MapleHeroMultiplier</t>
        </is>
      </c>
      <c r="J72" s="9" t="inlineStr">
        <is>
          <t>BaseDamage</t>
        </is>
      </c>
      <c r="K72" s="9" t="inlineStr">
        <is>
          <t>BaseHitDamage</t>
        </is>
      </c>
      <c r="L72" s="9" t="inlineStr">
        <is>
          <t>NonCritAvg</t>
        </is>
      </c>
      <c r="M72" s="9" t="inlineStr">
        <is>
          <t>CritAvg</t>
        </is>
      </c>
      <c r="N72" s="9" t="inlineStr">
        <is>
          <t>ExpectedDamage(perHit)</t>
        </is>
      </c>
      <c r="O72" s="9" t="inlineStr">
        <is>
          <t>DPS</t>
        </is>
      </c>
      <c r="P72" s="9" t="inlineStr">
        <is>
          <t>% of Total</t>
        </is>
      </c>
      <c r="Q72" s="9" t="inlineStr">
        <is>
          <t>InvCooldown</t>
        </is>
      </c>
      <c r="R72" s="9" t="inlineStr">
        <is>
          <t>CastsInFight</t>
        </is>
      </c>
      <c r="S72" s="9"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((Inputs!$B$6*(1+Inputs!$B$7/100))+(((Inputs!$B$12*(1+(Inputs!$B$13+1)/100))-(Inputs!$B$12*(1+Inputs!$B$13/100)))+0.25*(Inputs!$B$14-Inputs!$B$14))*(1+Inputs!$B$7/100))*(F73/100)</f>
        <v/>
      </c>
      <c r="K73">
        <f>J73*(1+((Inputs!$B$12*(1+(Inputs!$B$13+1)/100))*0.01+Inputs!$B$14*0.0025)/100)*(1+Inputs!$B$15/100)*(1+Inputs!$B$16/100)*(5000/(6000+Inputs!$B$42*(1-(Inputs!$B$19+0)/100)))*(1+(Inputs!$B$24+((C93=TRUE)*(F93-Calc!F22))+B102)/100)*(1+(IF(Skills!A2="HOOK_BOMBER",Inputs!$B$17+((C92=TRUE)*(F92-Calc!F21)),Inputs!$B$18+0))/100)*((1+(((C84=TRUE)*F84)+((C90=TRUE)*(F90-Calc!F19)))/100)*I73)</f>
        <v/>
      </c>
      <c r="L73">
        <f>K73*(MIN(Inputs!$B$22+((C91=TRUE)*(F91-Calc!F20)),Inputs!$B$23+0)/100+(Inputs!$B$23+0)/100)/2</f>
        <v/>
      </c>
      <c r="M73">
        <f>L73*(1+(Inputs!$B$10+0+B101)/100)</f>
        <v/>
      </c>
      <c r="N73">
        <f>L73*(1-MIN((Inputs!$B$9+((C87=TRUE)*(F87-Calc!F16))+B96),100)/100)+M73*(MIN((Inputs!$B$9+((C87=TRUE)*(F87-Calc!F16))+B96),100)/100)</f>
        <v/>
      </c>
      <c r="O73">
        <f>(1-Summary!$B$55)*T73+Summary!$B$55*V73</f>
        <v/>
      </c>
      <c r="P73">
        <f>IF(B106=0,0,O73/B106)</f>
        <v/>
      </c>
      <c r="Q73" t="n">
        <v>0</v>
      </c>
      <c r="R73" t="n">
        <v>0</v>
      </c>
      <c r="S73">
        <f>IFERROR(O73/N73,0)</f>
        <v/>
      </c>
      <c r="T73">
        <f>IF(C73,(Skills!G2*N73*B100)*IF(Inputs!$B$38="pvp",1,1+(Inputs!$B$20+0+Skills!P2)/100),0)</f>
        <v/>
      </c>
      <c r="U73">
        <f>MAX(0,(Inputs!$B$3-100)*3)+Inputs!$B$28+Inputs!$B$29</f>
        <v/>
      </c>
      <c r="V73">
        <f>IF(C73,(Skills!G2*N73*B100)*IF(Inputs!$B$38="pvp",1,(1+(Inputs!$B$21+Skills!Q2)/100)*(MIN((6+Inputs!$B$33),Inputs!$B$37))),0)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((Inputs!$B$6*(1+Inputs!$B$7/100))+(((Inputs!$B$12*(1+(Inputs!$B$13+1)/100))-(Inputs!$B$12*(1+Inputs!$B$13/100)))+0.25*(Inputs!$B$14-Inputs!$B$14))*(1+Inputs!$B$7/100))*(F74/100)</f>
        <v/>
      </c>
      <c r="K74">
        <f>J74*(1+((Inputs!$B$12*(1+(Inputs!$B$13+1)/100))*0.01+Inputs!$B$14*0.0025)/100)*(1+Inputs!$B$15/100)*(1+Inputs!$B$16/100)*(5000/(6000+Inputs!$B$42*(1-(Inputs!$B$19+0)/100)))*(1+(Inputs!$B$24+((C93=TRUE)*(F93-Calc!F22))+B102)/100)*(1+(IF(Skills!A3="HOOK_BOMBER",Inputs!$B$17+((C92=TRUE)*(F92-Calc!F21)),Inputs!$B$18+0))/100)*((1+(((C84=TRUE)*F84)+((C90=TRUE)*(F90-Calc!F19)))/100)*I74)</f>
        <v/>
      </c>
      <c r="L74">
        <f>K74*(MIN(Inputs!$B$22+((C91=TRUE)*(F91-Calc!F20)),Inputs!$B$23+0)/100+(Inputs!$B$23+0)/100)/2</f>
        <v/>
      </c>
      <c r="M74">
        <f>L74*(1+(Inputs!$B$10+0+B101)/100)</f>
        <v/>
      </c>
      <c r="N74">
        <f>L74*(1-MIN((Inputs!$B$9+((C87=TRUE)*(F87-Calc!F16))+B96),100)/100)+M74*(MIN((Inputs!$B$9+((C87=TRUE)*(F87-Calc!F16))+B96),100)/100)</f>
        <v/>
      </c>
      <c r="O74">
        <f>(1-Summary!$B$55)*T74+Summary!$B$55*V74</f>
        <v/>
      </c>
      <c r="P74">
        <f>IF(B106=0,0,O74/B106)</f>
        <v/>
      </c>
      <c r="Q74" t="n">
        <v>0</v>
      </c>
      <c r="R74" t="n">
        <v>0</v>
      </c>
      <c r="S74">
        <f>IFERROR(O74/N74,0)</f>
        <v/>
      </c>
      <c r="T74">
        <f>IF(C74,(Skills!G3*H74*N74*B100)*IF(Inputs!$B$38="pvp",1,1+(Inputs!$B$20+0+Skills!P3)/100),0)</f>
        <v/>
      </c>
      <c r="U74">
        <f>INDEX(FactorTable!$B$2:$Y$301, MATCH(ROUND(MIN(300,MAX(1,U73)),0), FactorTable!$A$2:$A$301,0), 22)</f>
        <v/>
      </c>
      <c r="V74">
        <f>IF(C74,(Skills!G3*H74*N74*B100)*IF(Inputs!$B$38="pvp",1,(1+(Inputs!$B$21+Skills!Q3)/100)*(MIN(Skills!R3,Inputs!$B$37))),0)</f>
        <v/>
      </c>
    </row>
    <row r="75">
      <c r="A75">
        <f>Skills!A4</f>
        <v/>
      </c>
      <c r="B75">
        <f>Skills!B4</f>
        <v/>
      </c>
      <c r="C75">
        <f>Inputs!$B$3&gt;=60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((Inputs!$B$6*(1+Inputs!$B$7/100))+(((Inputs!$B$12*(1+(Inputs!$B$13+1)/100))-(Inputs!$B$12*(1+Inputs!$B$13/100)))+0.25*(Inputs!$B$14-Inputs!$B$14))*(1+Inputs!$B$7/100))*(F75/100)</f>
        <v/>
      </c>
      <c r="K75">
        <f>J75*(1+((Inputs!$B$12*(1+(Inputs!$B$13+1)/100))*0.01+Inputs!$B$14*0.0025)/100)*(1+Inputs!$B$15/100)*(1+Inputs!$B$16/100)*(5000/(6000+Inputs!$B$42*(1-(Inputs!$B$19+0)/100)))*(1+(Inputs!$B$24+((C93=TRUE)*(F93-Calc!F22))+B102)/100)*(1+1.0*IF(C83=TRUE,F83,0)/100)*(1+(IF(Skills!A4="HOOK_BOMBER",Inputs!$B$17+((C92=TRUE)*(F92-Calc!F21)),Inputs!$B$18+0))/100)*((1+(((C84=TRUE)*F84)+((C90=TRUE)*(F90-Calc!F19)))/100)*I75)</f>
        <v/>
      </c>
      <c r="L75">
        <f>K75*(MIN(Inputs!$B$22+((C91=TRUE)*(F91-Calc!F20)),Inputs!$B$23+0)/100+(Inputs!$B$23+0)/100)/2</f>
        <v/>
      </c>
      <c r="M75">
        <f>L75*(1+(Inputs!$B$10+0+B101)/100)</f>
        <v/>
      </c>
      <c r="N75">
        <f>L75*(1-MIN((Inputs!$B$9+((C87=TRUE)*(F87-Calc!F16))+B96),100)/100)+M75*(MIN((Inputs!$B$9+((C87=TRUE)*(F87-Calc!F16))+B96),100)/100)</f>
        <v/>
      </c>
      <c r="O75">
        <f>(1-Summary!$B$55)*T75+Summary!$B$55*V75</f>
        <v/>
      </c>
      <c r="P75">
        <f>IF(B106=0,0,O75/B106)</f>
        <v/>
      </c>
      <c r="Q75" t="n">
        <v>0</v>
      </c>
      <c r="R75" t="n">
        <v>0</v>
      </c>
      <c r="S75">
        <f>IFERROR(O75/N75,0)</f>
        <v/>
      </c>
      <c r="T75">
        <f>IF(C75,(Skills!G4*H75*N75*B100)*IF(Inputs!$B$38="pvp",1,1+(Inputs!$B$20+0+Skills!P4)/100),0)</f>
        <v/>
      </c>
      <c r="U75">
        <f>290*U74/1000</f>
        <v/>
      </c>
      <c r="V75">
        <f>IF(C75,(Skills!G4*H75*N75*B100)*IF(Inputs!$B$38="pvp",1,(1+(Inputs!$B$21+Skills!Q4)/100)*(MIN(Skills!R4,Inputs!$B$37))),0)</f>
        <v/>
      </c>
    </row>
    <row r="76">
      <c r="A76">
        <f>Skills!A5</f>
        <v/>
      </c>
      <c r="B76">
        <f>Skills!B5</f>
        <v/>
      </c>
      <c r="C76">
        <f>Inputs!$B$3&gt;=60</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(1-Summary!$B$55)*T76+Summary!$B$55*V76</f>
        <v/>
      </c>
      <c r="P76">
        <f>IF(B106=0,0,O76/B106)</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((Inputs!$B$6*(1+Inputs!$B$7/100))+(((Inputs!$B$12*(1+(Inputs!$B$13+1)/100))-(Inputs!$B$12*(1+Inputs!$B$13/100)))+0.25*(Inputs!$B$14-Inputs!$B$14))*(1+Inputs!$B$7/100))*(F77/100)</f>
        <v/>
      </c>
      <c r="K77">
        <f>J77*(1+((Inputs!$B$12*(1+(Inputs!$B$13+1)/100))*0.01+Inputs!$B$14*0.0025)/100)*(1+Inputs!$B$15/100)*(1+Inputs!$B$16/100)*(5000/(6000+Inputs!$B$42*(1-(Inputs!$B$19+0)/100)))*(1+(Inputs!$B$24+((C93=TRUE)*(F93-Calc!F22))+B102)/100)*(1+(IF(Skills!A6="HOOK_BOMBER",Inputs!$B$17+((C92=TRUE)*(F92-Calc!F21)),Inputs!$B$18+0))/100)*((1+(((C84=TRUE)*F84)+((C90=TRUE)*(F90-Calc!F19)))/100)*I77)</f>
        <v/>
      </c>
      <c r="L77">
        <f>K77*(MIN(Inputs!$B$22+((C91=TRUE)*(F91-Calc!F20)),Inputs!$B$23+0)/100+(Inputs!$B$23+0)/100)/2</f>
        <v/>
      </c>
      <c r="M77">
        <f>L77*(1+(Inputs!$B$10+0+B101)/100)</f>
        <v/>
      </c>
      <c r="N77">
        <f>L77*(1-MIN((Inputs!$B$9+((C87=TRUE)*(F87-Calc!F16))+B96),100)/100)+M77*(MIN((Inputs!$B$9+((C87=TRUE)*(F87-Calc!F16))+B96),100)/100)</f>
        <v/>
      </c>
      <c r="O77">
        <f>(1-Summary!$B$55)*T77+Summary!$B$55*V77</f>
        <v/>
      </c>
      <c r="P77">
        <f>IF(B106=0,0,O77/B106)</f>
        <v/>
      </c>
      <c r="Q77">
        <f>IFERROR(1/IF(Inputs!$B$38="pvp",15,MAX(0.1,Skills!D6-IF(Skills!E6=TRUE,Inputs!$B$32,0))),0)</f>
        <v/>
      </c>
      <c r="R77">
        <f>IF(AND(Inputs!$B$38&lt;&gt;"pvp",Inputs!$B$43&gt;0),IF(MAX(0,Inputs!$B$43-B103)&lt;=0,0,(INT(MAX(0,Inputs!$B$43-B103)/IF(Inputs!$B$38="pvp",15,MAX(0.1,Skills!D6-IF(Skills!E6=TRUE,Inputs!$B$32,0))))+1)),0)</f>
        <v/>
      </c>
      <c r="S77">
        <f>IFERROR(O77/N77,0)</f>
        <v/>
      </c>
      <c r="T77">
        <f>IF(C77,(H77*N77*IF(AND(Inputs!$B$38&lt;&gt;"pvp",Inputs!$B$43&gt;0),((Skills!G6*((R77-1)*IF(Skills!H6&gt;0,Skills!I6/Skills!H6,1)+IF(Skills!H6&gt;0,MIN(Skills!I6,MAX(0,MAX(0,Inputs!$B$43-B103)-((R77-1)*IF(Inputs!$B$38="pvp",15,MAX(0.1,Skills!D6-IF(Skills!E6=TRUE,Inputs!$B$32,0))))))/Skills!H6,1)))/Inputs!$B$43),G77*Q77))*IF(Inputs!$B$38="pvp",1,1+(Inputs!$B$20+0+Skills!P6)/100),0)</f>
        <v/>
      </c>
      <c r="V77">
        <f>IF(C77,(H77*N77*IF(AND(Inputs!$B$38&lt;&gt;"pvp",Inputs!$B$43&gt;0),((Skills!G6*((R77-1)*IF(Skills!H6&gt;0,Skills!I6/Skills!H6,1)+IF(Skills!H6&gt;0,MIN(Skills!I6,MAX(0,MAX(0,Inputs!$B$43-B103)-((R77-1)*IF(Inputs!$B$38="pvp",15,MAX(0.1,Skills!D6-IF(Skills!E6=TRUE,Inputs!$B$32,0))))))/Skills!H6,1)))/Inputs!$B$43),G77*Q77))*IF(Inputs!$B$38="pvp",1,(1+(Inputs!$B$21+Skills!Q6)/100)*(MIN(Skills!R6,Inputs!$B$37))),0)</f>
        <v/>
      </c>
    </row>
    <row r="78">
      <c r="A78">
        <f>Skills!A7</f>
        <v/>
      </c>
      <c r="B78">
        <f>Skills!B7</f>
        <v/>
      </c>
      <c r="C78">
        <f>Inputs!$B$3&gt;=100</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((Inputs!$B$6*(1+Inputs!$B$7/100))+(((Inputs!$B$12*(1+(Inputs!$B$13+1)/100))-(Inputs!$B$12*(1+Inputs!$B$13/100)))+0.25*(Inputs!$B$14-Inputs!$B$14))*(1+Inputs!$B$7/100))*(F78/100)</f>
        <v/>
      </c>
      <c r="K78">
        <f>J78*(1+((Inputs!$B$12*(1+(Inputs!$B$13+1)/100))*0.01+Inputs!$B$14*0.0025)/100)*(1+Inputs!$B$15/100)*(1+Inputs!$B$16/100)*(5000/(6000+Inputs!$B$42*(1-(Inputs!$B$19+0)/100)))*(1+(Inputs!$B$24+((C93=TRUE)*(F93-Calc!F22))+B102)/100)*(1+(IF(Skills!A7="HOOK_BOMBER",Inputs!$B$17+((C92=TRUE)*(F92-Calc!F21)),Inputs!$B$18+0))/100)*((1+(((C84=TRUE)*F84)+((C90=TRUE)*(F90-Calc!F19)))/100)*I78)</f>
        <v/>
      </c>
      <c r="L78">
        <f>K78*(MIN(Inputs!$B$22+((C91=TRUE)*(F91-Calc!F20)),Inputs!$B$23+0)/100+(Inputs!$B$23+0)/100)/2</f>
        <v/>
      </c>
      <c r="M78">
        <f>L78*(1+(Inputs!$B$10+0+B101)/100)</f>
        <v/>
      </c>
      <c r="N78">
        <f>L78*(1-MIN((Inputs!$B$9+((C87=TRUE)*(F87-Calc!F16))+B96),100)/100)+M78*(MIN((Inputs!$B$9+((C87=TRUE)*(F87-Calc!F16))+B96),100)/100)</f>
        <v/>
      </c>
      <c r="O78">
        <f>(1-Summary!$B$55)*T78+Summary!$B$55*V78</f>
        <v/>
      </c>
      <c r="P78">
        <f>IF(B106=0,0,O78/B106)</f>
        <v/>
      </c>
      <c r="Q78">
        <f>IFERROR(1/IF(Inputs!$B$38="pvp",15,MAX(0.1,Skills!D7-IF(Skills!E7=TRUE,Inputs!$B$32,0))),0)</f>
        <v/>
      </c>
      <c r="R78">
        <f>IF(AND(Inputs!$B$38&lt;&gt;"pvp",Inputs!$B$43&gt;0),IF(MAX(0,Inputs!$B$43-B103)&lt;=0,0,(INT(MAX(0,Inputs!$B$43-B103)/IF(Inputs!$B$38="pvp",15,MAX(0.1,Skills!D7-IF(Skills!E7=TRUE,Inputs!$B$32,0))))+1)),0)</f>
        <v/>
      </c>
      <c r="S78">
        <f>IFERROR(O78/N78,0)</f>
        <v/>
      </c>
      <c r="T78">
        <f>IF(C78,(H78*N78*IF(AND(Inputs!$B$38&lt;&gt;"pvp",Inputs!$B$43&gt;0),((Skills!G7*((R78-1)*IF(Skills!H7&gt;0,Skills!I7/Skills!H7,1)+IF(Skills!H7&gt;0,MIN(Skills!I7,MAX(0,MAX(0,Inputs!$B$43-B103)-((R78-1)*IF(Inputs!$B$38="pvp",15,MAX(0.1,Skills!D7-IF(Skills!E7=TRUE,Inputs!$B$32,0))))))/Skills!H7,1)))/Inputs!$B$43),G78*Q78))*IF(Inputs!$B$38="pvp",1,1+(Inputs!$B$20+0+Skills!P7)/100),0)</f>
        <v/>
      </c>
      <c r="V78">
        <f>IF(C78,(H78*N78*IF(AND(Inputs!$B$38&lt;&gt;"pvp",Inputs!$B$43&gt;0),((Skills!G7*((R78-1)*IF(Skills!H7&gt;0,Skills!I7/Skills!H7,1)+IF(Skills!H7&gt;0,MIN(Skills!I7,MAX(0,MAX(0,Inputs!$B$43-B103)-((R78-1)*IF(Inputs!$B$38="pvp",15,MAX(0.1,Skills!D7-IF(Skills!E7=TRUE,Inputs!$B$32,0))))))/Skills!H7,1)))/Inputs!$B$43),G78*Q78))*IF(Inputs!$B$38="pvp",1,(1+(Inputs!$B$21+Skills!Q7)/100)*(MIN(Skills!R7,Inputs!$B$37))),0)</f>
        <v/>
      </c>
    </row>
    <row r="79">
      <c r="A79">
        <f>Skills!A8</f>
        <v/>
      </c>
      <c r="B79">
        <f>Skills!B8</f>
        <v/>
      </c>
      <c r="C79">
        <f>Inputs!$B$3&gt;=110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((Inputs!$B$6*(1+Inputs!$B$7/100))+(((Inputs!$B$12*(1+(Inputs!$B$13+1)/100))-(Inputs!$B$12*(1+Inputs!$B$13/100)))+0.25*(Inputs!$B$14-Inputs!$B$14))*(1+Inputs!$B$7/100))*(F79/100)</f>
        <v/>
      </c>
      <c r="K79">
        <f>J79*(1+((Inputs!$B$12*(1+(Inputs!$B$13+1)/100))*0.01+Inputs!$B$14*0.0025)/100)*(1+Inputs!$B$15/100)*(1+Inputs!$B$16/100)*(5000/(6000+Inputs!$B$42*(1-(Inputs!$B$19+0)/100)))*(1+(Inputs!$B$24+((C93=TRUE)*(F93-Calc!F22))+B102)/100)*(1+(IF(Skills!A8="HOOK_BOMBER",Inputs!$B$17+((C92=TRUE)*(F92-Calc!F21)),Inputs!$B$18+0))/100)*((1+(((C84=TRUE)*F84)+((C90=TRUE)*(F90-Calc!F19)))/100)*I79)</f>
        <v/>
      </c>
      <c r="L79">
        <f>K79*(MIN(Inputs!$B$22+((C91=TRUE)*(F91-Calc!F20)),Inputs!$B$23+0)/100+(Inputs!$B$23+0)/100)/2</f>
        <v/>
      </c>
      <c r="M79">
        <f>L79*(1+(Inputs!$B$10+0+B101)/100)</f>
        <v/>
      </c>
      <c r="N79">
        <f>L79*(1-MIN((Inputs!$B$9+((C87=TRUE)*(F87-Calc!F16))+B96),100)/100)+M79*(MIN((Inputs!$B$9+((C87=TRUE)*(F87-Calc!F16))+B96),100)/100)</f>
        <v/>
      </c>
      <c r="O79">
        <f>(1-Summary!$B$55)*T79+Summary!$B$55*V79</f>
        <v/>
      </c>
      <c r="P79">
        <f>IF(B106=0,0,O79/B106)</f>
        <v/>
      </c>
      <c r="Q79">
        <f>IFERROR(1/IF(Inputs!$B$38="pvp",15,MAX(0.1,Skills!D8-IF(Skills!E8=TRUE,Inputs!$B$32,0))),0)</f>
        <v/>
      </c>
      <c r="R79">
        <f>IF(AND(Inputs!$B$38&lt;&gt;"pvp",Inputs!$B$43&gt;0),IF(MAX(0,Inputs!$B$43-B103)&lt;=0,0,(INT(MAX(0,Inputs!$B$43-B103)/IF(Inputs!$B$38="pvp",15,MAX(0.1,Skills!D8-IF(Skills!E8=TRUE,Inputs!$B$32,0))))+1)),0)</f>
        <v/>
      </c>
      <c r="S79">
        <f>IFERROR(O79/N79,0)</f>
        <v/>
      </c>
      <c r="T79">
        <f>IF(C79,(H79*N79*IF(AND(Inputs!$B$38&lt;&gt;"pvp",Inputs!$B$43&gt;0),((Skills!G8*((R79-1)*IF(Skills!H8&gt;0,Skills!I8/Skills!H8,1)+IF(Skills!H8&gt;0,MIN(Skills!I8,MAX(0,MAX(0,Inputs!$B$43-B103)-((R79-1)*IF(Inputs!$B$38="pvp",15,MAX(0.1,Skills!D8-IF(Skills!E8=TRUE,Inputs!$B$32,0))))))/Skills!H8,1)))/Inputs!$B$43),G79*Q79))*IF(Inputs!$B$38="pvp",1,1+(Inputs!$B$20+0+Skills!P8)/100),0)</f>
        <v/>
      </c>
      <c r="V79">
        <f>IF(C79,(H79*N79*IF(AND(Inputs!$B$38&lt;&gt;"pvp",Inputs!$B$43&gt;0),((Skills!G8*((R79-1)*IF(Skills!H8&gt;0,Skills!I8/Skills!H8,1)+IF(Skills!H8&gt;0,MIN(Skills!I8,MAX(0,MAX(0,Inputs!$B$43-B103)-((R79-1)*IF(Inputs!$B$38="pvp",15,MAX(0.1,Skills!D8-IF(Skills!E8=TRUE,Inputs!$B$32,0))))))/Skills!H8,1)))/Inputs!$B$43),G79*Q79))*IF(Inputs!$B$38="pvp",1,(1+(Inputs!$B$21+Skills!Q8)/100)*(MIN(Skills!R8,Inputs!$B$37))),0)</f>
        <v/>
      </c>
    </row>
    <row r="80">
      <c r="A80">
        <f>Skills!A9</f>
        <v/>
      </c>
      <c r="B80">
        <f>Skills!B9</f>
        <v/>
      </c>
      <c r="C80">
        <f>Inputs!$B$3&gt;=110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((Inputs!$B$6*(1+Inputs!$B$7/100))+(((Inputs!$B$12*(1+(Inputs!$B$13+1)/100))-(Inputs!$B$12*(1+Inputs!$B$13/100)))+0.25*(Inputs!$B$14-Inputs!$B$14))*(1+Inputs!$B$7/100))*(F80/100)</f>
        <v/>
      </c>
      <c r="K80">
        <f>J80*(1+((Inputs!$B$12*(1+(Inputs!$B$13+1)/100))*0.01+Inputs!$B$14*0.0025)/100)*(1+Inputs!$B$15/100)*(1+Inputs!$B$16/100)*(5000/(6000+Inputs!$B$42*(1-(Inputs!$B$19+0)/100)))*(1+(Inputs!$B$24+((C93=TRUE)*(F93-Calc!F22))+B102)/100)*(1+(IF(Skills!A9="HOOK_BOMBER",Inputs!$B$17+((C92=TRUE)*(F92-Calc!F21)),Inputs!$B$18+0))/100)*((1+(((C84=TRUE)*F84)+((C90=TRUE)*(F90-Calc!F19)))/100)*I80)</f>
        <v/>
      </c>
      <c r="L80">
        <f>K80*(MIN(Inputs!$B$22+((C91=TRUE)*(F91-Calc!F20)),Inputs!$B$23+0)/100+(Inputs!$B$23+0)/100)/2</f>
        <v/>
      </c>
      <c r="M80">
        <f>L80*(1+(Inputs!$B$10+0+B101)/100)</f>
        <v/>
      </c>
      <c r="N80">
        <f>L80*(1-MIN((Inputs!$B$9+((C87=TRUE)*(F87-Calc!F16))+B96),100)/100)+M80*(MIN((Inputs!$B$9+((C87=TRUE)*(F87-Calc!F16))+B96),100)/100)</f>
        <v/>
      </c>
      <c r="O80">
        <f>(1-Summary!$B$55)*T80+Summary!$B$55*V80</f>
        <v/>
      </c>
      <c r="P80">
        <f>IF(B106=0,0,O80/B106)</f>
        <v/>
      </c>
      <c r="Q80">
        <f>IFERROR(1/IF(Inputs!$B$38="pvp",15,MAX(0.1,Skills!D9-IF(Skills!E9=TRUE,Inputs!$B$32,0))),0)</f>
        <v/>
      </c>
      <c r="R80">
        <f>IF(AND(Inputs!$B$38&lt;&gt;"pvp",Inputs!$B$43&gt;0),IF(MAX(0,Inputs!$B$43-B103)&lt;=0,0,(INT(MAX(0,Inputs!$B$43-B103)/IF(Inputs!$B$38="pvp",15,MAX(0.1,Skills!D9-IF(Skills!E9=TRUE,Inputs!$B$32,0))))+1)),0)</f>
        <v/>
      </c>
      <c r="S80">
        <f>IFERROR(O80/N80,0)</f>
        <v/>
      </c>
      <c r="T80">
        <f>IF(C80,(H80*N80*IF(AND(Inputs!$B$38&lt;&gt;"pvp",Inputs!$B$43&gt;0),((Skills!G9*((R80-1)*IF(Skills!H9&gt;0,Skills!I9/Skills!H9,1)+IF(Skills!H9&gt;0,MIN(Skills!I9,MAX(0,MAX(0,Inputs!$B$43-B103)-((R80-1)*IF(Inputs!$B$38="pvp",15,MAX(0.1,Skills!D9-IF(Skills!E9=TRUE,Inputs!$B$32,0))))))/Skills!H9,1)))/Inputs!$B$43),G80*Q80))*IF(Inputs!$B$38="pvp",1,1+(Inputs!$B$20+0+Skills!P9)/100),0)</f>
        <v/>
      </c>
      <c r="V80">
        <f>IF(C80,(H80*N80*IF(AND(Inputs!$B$38&lt;&gt;"pvp",Inputs!$B$43&gt;0),((Skills!G9*((R80-1)*IF(Skills!H9&gt;0,Skills!I9/Skills!H9,1)+IF(Skills!H9&gt;0,MIN(Skills!I9,MAX(0,MAX(0,Inputs!$B$43-B103)-((R80-1)*IF(Inputs!$B$38="pvp",15,MAX(0.1,Skills!D9-IF(Skills!E9=TRUE,Inputs!$B$32,0))))))/Skills!H9,1)))/Inputs!$B$43),G80*Q80))*IF(Inputs!$B$38="pvp",1,(1+(Inputs!$B$21+Skills!Q9)/100)*(MIN(Skills!R9,Inputs!$B$37))),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((Inputs!$B$6*(1+Inputs!$B$7/100))+(((Inputs!$B$12*(1+(Inputs!$B$13+1)/100))-(Inputs!$B$12*(1+Inputs!$B$13/100)))+0.25*(Inputs!$B$14-Inputs!$B$14))*(1+Inputs!$B$7/100))*(F81/100)</f>
        <v/>
      </c>
      <c r="K81">
        <f>J81*(1+((Inputs!$B$12*(1+(Inputs!$B$13+1)/100))*0.01+Inputs!$B$14*0.0025)/100)*(1+Inputs!$B$15/100)*(1+Inputs!$B$16/100)*(5000/(6000+Inputs!$B$42*(1-(Inputs!$B$19+0)/100)))*(1+(Inputs!$B$24+((C93=TRUE)*(F93-Calc!F22))+B102)/100)*(1+(IF(Skills!A10="HOOK_BOMBER",Inputs!$B$17+((C92=TRUE)*(F92-Calc!F21)),Inputs!$B$18+0))/100)*((1+(((C84=TRUE)*F84)+((C90=TRUE)*(F90-Calc!F19)))/100)*I81)</f>
        <v/>
      </c>
      <c r="L81">
        <f>K81*(MIN(Inputs!$B$22+((C91=TRUE)*(F91-Calc!F20)),Inputs!$B$23+0)/100+(Inputs!$B$23+0)/100)/2</f>
        <v/>
      </c>
      <c r="M81">
        <f>L81*(1+(Inputs!$B$10+0+B101)/100)</f>
        <v/>
      </c>
      <c r="N81">
        <f>L81*(1-MIN((Inputs!$B$9+((C87=TRUE)*(F87-Calc!F16))+B96),100)/100)+M81*(MIN((Inputs!$B$9+((C87=TRUE)*(F87-Calc!F16))+B96),100)/100)</f>
        <v/>
      </c>
      <c r="O81">
        <f>(1-Summary!$B$55)*T81+Summary!$B$55*V81</f>
        <v/>
      </c>
      <c r="P81">
        <f>IF(B106=0,0,O81/B106)</f>
        <v/>
      </c>
      <c r="Q81">
        <f>IFERROR(1/IF(Inputs!$B$38="pvp",15,MAX(0.1,Skills!D10-IF(Skills!E10=TRUE,Inputs!$B$32,0))),0)</f>
        <v/>
      </c>
      <c r="R81">
        <f>IF(AND(Inputs!$B$38&lt;&gt;"pvp",Inputs!$B$43&gt;0),IF(MAX(0,Inputs!$B$43-B103)&lt;=0,0,(INT(MAX(0,Inputs!$B$43-B103)/IF(Inputs!$B$38="pvp",15,MAX(0.1,Skills!D10-IF(Skills!E10=TRUE,Inputs!$B$32,0))))+1)),0)</f>
        <v/>
      </c>
      <c r="S81">
        <f>IFERROR(O81/N81,0)</f>
        <v/>
      </c>
      <c r="T81">
        <f>IF(C81,(H81*N81*IF(AND(Inputs!$B$38&lt;&gt;"pvp",Inputs!$B$43&gt;0),((Skills!G10*((R81-1)*IF(Skills!H10&gt;0,Skills!I10/Skills!H10,1)+IF(Skills!H10&gt;0,MIN(Skills!I10,MAX(0,MAX(0,Inputs!$B$43-B103)-((R81-1)*IF(Inputs!$B$38="pvp",15,MAX(0.1,Skills!D10-IF(Skills!E10=TRUE,Inputs!$B$32,0))))))/Skills!H10,1)))/Inputs!$B$43),G81*Q81))*IF(Inputs!$B$38="pvp",1,1+(Inputs!$B$20+0+Skills!P10)/100),0)</f>
        <v/>
      </c>
      <c r="V81">
        <f>IF(C81,(H81*N81*IF(AND(Inputs!$B$38&lt;&gt;"pvp",Inputs!$B$43&gt;0),((Skills!G10*((R81-1)*IF(Skills!H10&gt;0,Skills!I10/Skills!H10,1)+IF(Skills!H10&gt;0,MIN(Skills!I10,MAX(0,MAX(0,Inputs!$B$43-B103)-((R81-1)*IF(Inputs!$B$38="pvp",15,MAX(0.1,Skills!D10-IF(Skills!E10=TRUE,Inputs!$B$32,0))))))/Skills!H10,1)))/Inputs!$B$43),G81*Q81))*IF(Inputs!$B$38="pvp",1,(1+(Inputs!$B$21+Skills!Q10)/100)*(MIN(Skills!R10,Inputs!$B$37))),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((Inputs!$B$6*(1+Inputs!$B$7/100))+(((Inputs!$B$12*(1+(Inputs!$B$13+1)/100))-(Inputs!$B$12*(1+Inputs!$B$13/100)))+0.25*(Inputs!$B$14-Inputs!$B$14))*(1+Inputs!$B$7/100))*(F82/100)</f>
        <v/>
      </c>
      <c r="K82">
        <f>J82*(1+((Inputs!$B$12*(1+(Inputs!$B$13+1)/100))*0.01+Inputs!$B$14*0.0025)/100)*(1+Inputs!$B$15/100)*(1+Inputs!$B$16/100)*(5000/(6000+Inputs!$B$42*(1-(Inputs!$B$19+0)/100)))*(1+(Inputs!$B$24+((C93=TRUE)*(F93-Calc!F22))+B102)/100)*(1+(IF(Skills!A11="HOOK_BOMBER",Inputs!$B$17+((C92=TRUE)*(F92-Calc!F21)),Inputs!$B$18+0))/100)*((1+(((C84=TRUE)*F84)+((C90=TRUE)*(F90-Calc!F19)))/100)*I82)</f>
        <v/>
      </c>
      <c r="L82">
        <f>K82*(MIN(Inputs!$B$22+((C91=TRUE)*(F91-Calc!F20)),Inputs!$B$23+0)/100+(Inputs!$B$23+0)/100)/2</f>
        <v/>
      </c>
      <c r="M82">
        <f>L82*(1+(Inputs!$B$10+0+B101)/100)</f>
        <v/>
      </c>
      <c r="N82">
        <f>L82*(1-MIN((Inputs!$B$9+((C87=TRUE)*(F87-Calc!F16))+B96),100)/100)+M82*(MIN((Inputs!$B$9+((C87=TRUE)*(F87-Calc!F16))+B96),100)/100)</f>
        <v/>
      </c>
      <c r="O82">
        <f>(1-Summary!$B$55)*T82+Summary!$B$55*V82</f>
        <v/>
      </c>
      <c r="P82">
        <f>IF(B106=0,0,O82/B106)</f>
        <v/>
      </c>
      <c r="Q82">
        <f>IFERROR(1/IF(Inputs!$B$38="pvp",15,MAX(0.1,Skills!D11-IF(Skills!E11=TRUE,Inputs!$B$32,0))),0)</f>
        <v/>
      </c>
      <c r="R82">
        <f>IF(AND(Inputs!$B$38&lt;&gt;"pvp",Inputs!$B$43&gt;0),IF(MAX(0,Inputs!$B$43-B103)&lt;=0,0,(INT(MAX(0,Inputs!$B$43-B103)/IF(Inputs!$B$38="pvp",15,MAX(0.1,Skills!D11-IF(Skills!E11=TRUE,Inputs!$B$32,0))))+1)),0)</f>
        <v/>
      </c>
      <c r="S82">
        <f>IFERROR(O82/N82,0)</f>
        <v/>
      </c>
      <c r="T82">
        <f>IF(C82,(H82*N82*IF(AND(Inputs!$B$38&lt;&gt;"pvp",Inputs!$B$43&gt;0),((Skills!G11*((R82-1)*IF(Skills!H11&gt;0,Skills!I11/Skills!H11,1)+IF(Skills!H11&gt;0,MIN(Skills!I11,MAX(0,MAX(0,Inputs!$B$43-B103)-((R82-1)*IF(Inputs!$B$38="pvp",15,MAX(0.1,Skills!D11-IF(Skills!E11=TRUE,Inputs!$B$32,0))))))/Skills!H11,1)))/Inputs!$B$43),G82*Q82))*IF(Inputs!$B$38="pvp",1,1+(Inputs!$B$20+0+Skills!P11)/100),0)</f>
        <v/>
      </c>
      <c r="V82">
        <f>IF(C82,(H82*N82*IF(AND(Inputs!$B$38&lt;&gt;"pvp",Inputs!$B$43&gt;0),((Skills!G11*((R82-1)*IF(Skills!H11&gt;0,Skills!I11/Skills!H11,1)+IF(Skills!H11&gt;0,MIN(Skills!I11,MAX(0,MAX(0,Inputs!$B$43-B103)-((R82-1)*IF(Inputs!$B$38="pvp",15,MAX(0.1,Skills!D11-IF(Skills!E11=TRUE,Inputs!$B$32,0))))))/Skills!H11,1)))/Inputs!$B$43),G82*Q82))*IF(Inputs!$B$38="pvp",1,(1+(Inputs!$B$21+Skills!Q11)/100)*(MIN(Skills!R11,Inputs!$B$37))),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Inputs!$B$3&gt;=66</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(1-Summary!$B$55)*T84+Summary!$B$55*V84</f>
        <v/>
      </c>
      <c r="P84">
        <f>IF(B106=0,0,O84/B106)</f>
        <v/>
      </c>
      <c r="Q84" t="n">
        <v>0</v>
      </c>
      <c r="R84" t="n">
        <v>0</v>
      </c>
      <c r="S84">
        <f>IFERROR(O84/N84,0)</f>
        <v/>
      </c>
      <c r="T84" t="n">
        <v>0</v>
      </c>
      <c r="V84" t="n">
        <v>0</v>
      </c>
    </row>
    <row r="85">
      <c r="A85">
        <f>Skills!A14</f>
        <v/>
      </c>
      <c r="B85">
        <f>Skills!B14</f>
        <v/>
      </c>
      <c r="C85">
        <f>Inputs!$B$3&gt;=107</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(1-Summary!$B$55)*T85+Summary!$B$55*V85</f>
        <v/>
      </c>
      <c r="P85">
        <f>IF(B106=0,0,O85/B106)</f>
        <v/>
      </c>
      <c r="Q85" t="n">
        <v>0</v>
      </c>
      <c r="R85" t="n">
        <v>0</v>
      </c>
      <c r="S85">
        <f>IFERROR(O85/N85,0)</f>
        <v/>
      </c>
      <c r="T85" t="n">
        <v>0</v>
      </c>
      <c r="V85" t="n">
        <v>0</v>
      </c>
    </row>
    <row r="86">
      <c r="A86">
        <f>Skills!A15</f>
        <v/>
      </c>
      <c r="B86">
        <f>Skills!B15</f>
        <v/>
      </c>
      <c r="C86">
        <f>Inputs!$B$3&gt;=115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(1-Summary!$B$55)*T86+Summary!$B$55*V86</f>
        <v/>
      </c>
      <c r="P86">
        <f>IF(B106=0,0,O86/B106)</f>
        <v/>
      </c>
      <c r="Q86" t="n">
        <v>0</v>
      </c>
      <c r="R86" t="n">
        <v>0</v>
      </c>
      <c r="S86">
        <f>IFERROR(O86/N86,0)</f>
        <v/>
      </c>
      <c r="T86" t="n">
        <v>0</v>
      </c>
      <c r="V86" t="n">
        <v>0</v>
      </c>
    </row>
    <row r="87">
      <c r="A87">
        <f>Skills!A16</f>
        <v/>
      </c>
      <c r="B87">
        <f>Skills!B16</f>
        <v/>
      </c>
      <c r="C87">
        <f>Inputs!$B$3&gt;=15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(1-Summary!$B$55)*T87+Summary!$B$55*V87</f>
        <v/>
      </c>
      <c r="P87">
        <f>IF(B106=0,0,O87/B106)</f>
        <v/>
      </c>
      <c r="Q87" t="n">
        <v>0</v>
      </c>
      <c r="R87" t="n">
        <v>0</v>
      </c>
      <c r="S87">
        <f>IFERROR(O87/N87,0)</f>
        <v/>
      </c>
      <c r="T87" t="n">
        <v>0</v>
      </c>
      <c r="V87" t="n">
        <v>0</v>
      </c>
    </row>
    <row r="88">
      <c r="A88">
        <f>Skills!A17</f>
        <v/>
      </c>
      <c r="B88">
        <f>Skills!B17</f>
        <v/>
      </c>
      <c r="C88">
        <f>Inputs!$B$3&gt;=10</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(1-Summary!$B$55)*T88+Summary!$B$55*V88</f>
        <v/>
      </c>
      <c r="P88">
        <f>IF(B106=0,0,O88/B106)</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(1-Summary!$B$55)*T89+Summary!$B$55*V89</f>
        <v/>
      </c>
      <c r="P89">
        <f>IF(B106=0,0,O89/B106)</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(1-Summary!$B$55)*T90+Summary!$B$55*V90</f>
        <v/>
      </c>
      <c r="P90">
        <f>IF(B106=0,0,O90/B106)</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(1-Summary!$B$55)*T91+Summary!$B$55*V91</f>
        <v/>
      </c>
      <c r="P91">
        <f>IF(B106=0,0,O91/B106)</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(1-Summary!$B$55)*T92+Summary!$B$55*V92</f>
        <v/>
      </c>
      <c r="P92">
        <f>IF(B106=0,0,O92/B106)</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(1-Summary!$B$55)*T93+Summary!$B$55*V93</f>
        <v/>
      </c>
      <c r="P93">
        <f>IF(B106=0,0,O93/B106)</f>
        <v/>
      </c>
      <c r="Q93" t="n">
        <v>0</v>
      </c>
      <c r="R93" t="n">
        <v>0</v>
      </c>
      <c r="S93">
        <f>IFERROR(O93/N93,0)</f>
        <v/>
      </c>
      <c r="T93" t="n">
        <v>0</v>
      </c>
      <c r="V93" t="n">
        <v>0</v>
      </c>
    </row>
    <row r="95">
      <c r="A95" t="inlineStr">
        <is>
          <t>Attack% Bucket Multiplier</t>
        </is>
      </c>
      <c r="B95">
        <f>(1+(((C84=TRUE)*F84)+((C90=TRUE)*(F90-Calc!F19)))/100)</f>
        <v/>
      </c>
    </row>
    <row r="96">
      <c r="A96" t="inlineStr">
        <is>
          <t>Global Crit Rate Bonus %</t>
        </is>
      </c>
      <c r="B96" t="n">
        <v>0</v>
      </c>
    </row>
    <row r="97">
      <c r="A97" t="inlineStr">
        <is>
          <t>Attack Speed Buff Bonus % (unused)</t>
        </is>
      </c>
      <c r="B97" t="n">
        <v>0</v>
      </c>
    </row>
    <row r="98">
      <c r="A98" t="inlineStr">
        <is>
          <t>Actions Per Second</t>
        </is>
      </c>
      <c r="B98">
        <f>1+MIN(150,150*(1-(1-(Inputs!$B$11+((C88=TRUE)*(F88-Calc!F17))+((C89=TRUE)*(F89-Calc!F18)))/150)*(1-B97/150)))/100</f>
        <v/>
      </c>
    </row>
    <row r="99">
      <c r="A99" t="inlineStr">
        <is>
          <t>Skill + Buff Cast Rate</t>
        </is>
      </c>
      <c r="B99">
        <f>IF(AND(Inputs!$B$38&lt;&gt;"pvp",Inputs!$B$43&gt;0),SUMPRODUCT((Skills!E2:E22=TRUE)*(C73:C93=TRUE)*R73:R93*Skills!F2:F22)/Inputs!$B$43,SUMPRODUCT((Skills!E2:E22=TRUE)*(C73:C93=TRUE)*Q73:Q93*Skills!F2:F22))</f>
        <v/>
      </c>
    </row>
    <row r="100">
      <c r="A100" t="inlineStr">
        <is>
          <t>Hook Bomber Casts Per Second</t>
        </is>
      </c>
      <c r="B100">
        <f>MAX(0,B98-B99)</f>
        <v/>
      </c>
    </row>
    <row r="101">
      <c r="A101" t="inlineStr">
        <is>
          <t>Global Critical Damage Bonus % (unused)</t>
        </is>
      </c>
      <c r="B101" t="n">
        <v>0</v>
      </c>
    </row>
    <row r="102">
      <c r="A102" t="inlineStr">
        <is>
          <t>Global Final Damage Bonus % (Serpent Scale + Crossbones + Time Leap + Speed Infusion)</t>
        </is>
      </c>
      <c r="B102">
        <f>((C76=TRUE)*F76*((10+IF(Inputs!$B$3&gt;=94,5,0))/((10+IF(Inputs!$B$3&gt;=94,5,0))+5/(B100*(1+IF(Inputs!$B$3&gt;=104,1,0))))))+((C85=TRUE)*F85)+((C86=TRUE)*F86)+((Inputs!$B$3&gt;=110)*20*(B98-1))</f>
        <v/>
      </c>
    </row>
    <row r="103">
      <c r="A103" t="inlineStr">
        <is>
          <t>Buff-Casting Startup Delay (s, fixed-duration only)</t>
        </is>
      </c>
      <c r="B103">
        <f>IF(AND(Inputs!$B$38&lt;&gt;"pvp",Inputs!$B$43&gt;0),SUMPRODUCT((Skills!T2:T22&gt;0)*(Skills!E2:E22=TRUE)*(C73:C93=TRUE))/B98,0)</f>
        <v/>
      </c>
    </row>
    <row r="104">
      <c r="A104" t="inlineStr">
        <is>
          <t>Boss-Only Total DPS (this block's swept value)</t>
        </is>
      </c>
      <c r="B104">
        <f>SUM(T73:T93)</f>
        <v/>
      </c>
    </row>
    <row r="105">
      <c r="A105" t="inlineStr">
        <is>
          <t>Normal-Only Total DPS (this block's swept value)</t>
        </is>
      </c>
      <c r="B105">
        <f>SUM(V73:V93)</f>
        <v/>
      </c>
    </row>
    <row r="106">
      <c r="A106" s="5" t="inlineStr">
        <is>
          <t>TOTAL DPS</t>
        </is>
      </c>
      <c r="B106" s="5">
        <f>SUM(O73:O93)</f>
        <v/>
      </c>
    </row>
    <row r="109">
      <c r="A109" s="5" t="inlineStr">
        <is>
          <t>Stat: DEX</t>
        </is>
      </c>
    </row>
    <row r="110">
      <c r="A110" s="9" t="inlineStr">
        <is>
          <t>Key</t>
        </is>
      </c>
      <c r="B110" s="9" t="inlineStr">
        <is>
          <t>Name</t>
        </is>
      </c>
      <c r="C110" s="9" t="inlineStr">
        <is>
          <t>Unlocked</t>
        </is>
      </c>
      <c r="D110" s="9" t="inlineStr">
        <is>
          <t>InputLevel</t>
        </is>
      </c>
      <c r="E110" s="9" t="inlineStr">
        <is>
          <t>Factor</t>
        </is>
      </c>
      <c r="F110" s="9" t="inlineStr">
        <is>
          <t>CoefficientPercent</t>
        </is>
      </c>
      <c r="G110" s="9" t="inlineStr">
        <is>
          <t>EffectiveHits</t>
        </is>
      </c>
      <c r="H110" s="9" t="inlineStr">
        <is>
          <t>ProcProbability</t>
        </is>
      </c>
      <c r="I110" s="9" t="inlineStr">
        <is>
          <t>MapleHeroMultiplier</t>
        </is>
      </c>
      <c r="J110" s="9" t="inlineStr">
        <is>
          <t>BaseDamage</t>
        </is>
      </c>
      <c r="K110" s="9" t="inlineStr">
        <is>
          <t>BaseHitDamage</t>
        </is>
      </c>
      <c r="L110" s="9" t="inlineStr">
        <is>
          <t>NonCritAvg</t>
        </is>
      </c>
      <c r="M110" s="9" t="inlineStr">
        <is>
          <t>CritAvg</t>
        </is>
      </c>
      <c r="N110" s="9" t="inlineStr">
        <is>
          <t>ExpectedDamage(perHit)</t>
        </is>
      </c>
      <c r="O110" s="9" t="inlineStr">
        <is>
          <t>DPS</t>
        </is>
      </c>
      <c r="P110" s="9" t="inlineStr">
        <is>
          <t>% of Total</t>
        </is>
      </c>
      <c r="Q110" s="9" t="inlineStr">
        <is>
          <t>InvCooldown</t>
        </is>
      </c>
      <c r="R110" s="9" t="inlineStr">
        <is>
          <t>CastsInFight</t>
        </is>
      </c>
      <c r="S110" s="9" t="inlineStr">
        <is>
          <t>HitRate(perSec)</t>
        </is>
      </c>
      <c r="U110" t="inlineStr">
        <is>
          <t>helpers</t>
        </is>
      </c>
    </row>
    <row r="111">
      <c r="A111">
        <f>Skills!A2</f>
        <v/>
      </c>
      <c r="B111">
        <f>Skills!B2</f>
        <v/>
      </c>
      <c r="C111">
        <f>Inputs!$B$3&gt;=100</f>
        <v/>
      </c>
      <c r="D111" t="inlineStr"/>
      <c r="E111" t="inlineStr"/>
      <c r="F111">
        <f>U113+Skills!O2</f>
        <v/>
      </c>
      <c r="G111">
        <f>Skills!G2*IF(Skills!H2&gt;0,Skills!I2/Skills!H2,1)</f>
        <v/>
      </c>
      <c r="H111">
        <f>1-(1-Skills!J2/100)^Skills!K2</f>
        <v/>
      </c>
      <c r="I111" t="inlineStr">
        <is>
          <t>1</t>
        </is>
      </c>
      <c r="J111">
        <f>((Inputs!$B$6*(1+Inputs!$B$7/100))+(((Inputs!$B$12*(1+Inputs!$B$13/100))-(Inputs!$B$12*(1+Inputs!$B$13/100)))+0.25*((Inputs!$B$14+1)-Inputs!$B$14))*(1+Inputs!$B$7/100))*(F111/100)</f>
        <v/>
      </c>
      <c r="K111">
        <f>J111*(1+((Inputs!$B$12*(1+Inputs!$B$13/100))*0.01+(Inputs!$B$14+1)*0.0025)/100)*(1+Inputs!$B$15/100)*(1+Inputs!$B$16/100)*(5000/(6000+Inputs!$B$42*(1-(Inputs!$B$19+0)/100)))*(1+(Inputs!$B$24+((C131=TRUE)*(F131-Calc!F22))+B140)/100)*(1+(IF(Skills!A2="HOOK_BOMBER",Inputs!$B$17+((C130=TRUE)*(F130-Calc!F21)),Inputs!$B$18+0))/100)*((1+(((C122=TRUE)*F122)+((C128=TRUE)*(F128-Calc!F19)))/100)*I111)</f>
        <v/>
      </c>
      <c r="L111">
        <f>K111*(MIN(Inputs!$B$22+((C129=TRUE)*(F129-Calc!F20)),Inputs!$B$23+0)/100+(Inputs!$B$23+0)/100)/2</f>
        <v/>
      </c>
      <c r="M111">
        <f>L111*(1+(Inputs!$B$10+0+B139)/100)</f>
        <v/>
      </c>
      <c r="N111">
        <f>L111*(1-MIN((Inputs!$B$9+((C125=TRUE)*(F125-Calc!F16))+B134),100)/100)+M111*(MIN((Inputs!$B$9+((C125=TRUE)*(F125-Calc!F16))+B134),100)/100)</f>
        <v/>
      </c>
      <c r="O111">
        <f>(1-Summary!$B$55)*T111+Summary!$B$55*V111</f>
        <v/>
      </c>
      <c r="P111">
        <f>IF(B144=0,0,O111/B144)</f>
        <v/>
      </c>
      <c r="Q111" t="n">
        <v>0</v>
      </c>
      <c r="R111" t="n">
        <v>0</v>
      </c>
      <c r="S111">
        <f>IFERROR(O111/N111,0)</f>
        <v/>
      </c>
      <c r="T111">
        <f>IF(C111,(Skills!G2*N111*B138)*IF(Inputs!$B$38="pvp",1,1+(Inputs!$B$20+0+Skills!P2)/100),0)</f>
        <v/>
      </c>
      <c r="U111">
        <f>MAX(0,(Inputs!$B$3-100)*3)+Inputs!$B$28+Inputs!$B$29</f>
        <v/>
      </c>
      <c r="V111">
        <f>IF(C111,(Skills!G2*N111*B138)*IF(Inputs!$B$38="pvp",1,(1+(Inputs!$B$21+Skills!Q2)/100)*(MIN((6+Inputs!$B$33),Inputs!$B$37))),0)</f>
        <v/>
      </c>
    </row>
    <row r="112">
      <c r="A112">
        <f>Skills!A3</f>
        <v/>
      </c>
      <c r="B112">
        <f>Skills!B3</f>
        <v/>
      </c>
      <c r="C112">
        <f>Inputs!$B$3&gt;=35</f>
        <v/>
      </c>
      <c r="D112">
        <f>IF(Skills!C3=1,60+Inputs!$B$25+Inputs!$B$29,IF(Skills!C3=2,90+Inputs!$B$26+Inputs!$B$29,IF(Skills!C3=3,120+Inputs!$B$27+Inputs!$B$29,MAX(0,(Inputs!$B$3-100)*3)+Inputs!$B$28+Inputs!$B$29)))</f>
        <v/>
      </c>
      <c r="E112">
        <f>INDEX(FactorTable!$B$2:$Y$301, MATCH(ROUND(MIN(300,MAX(1,D112)),0), FactorTable!$A$2:$A$301,0), Skills!M3+1)</f>
        <v/>
      </c>
      <c r="F112">
        <f>IF(Skills!N3=TRUE,(Skills!L3/10)*(E112/1000),Skills!L3/10)+Skills!O3</f>
        <v/>
      </c>
      <c r="G112">
        <f>Skills!G3*IF(Skills!H3&gt;0,Skills!I3/Skills!H3,1)</f>
        <v/>
      </c>
      <c r="H112">
        <f>1-(1-Skills!J3/100)^Skills!K3</f>
        <v/>
      </c>
      <c r="I112" t="inlineStr">
        <is>
          <t>1</t>
        </is>
      </c>
      <c r="J112">
        <f>((Inputs!$B$6*(1+Inputs!$B$7/100))+(((Inputs!$B$12*(1+Inputs!$B$13/100))-(Inputs!$B$12*(1+Inputs!$B$13/100)))+0.25*((Inputs!$B$14+1)-Inputs!$B$14))*(1+Inputs!$B$7/100))*(F112/100)</f>
        <v/>
      </c>
      <c r="K112">
        <f>J112*(1+((Inputs!$B$12*(1+Inputs!$B$13/100))*0.01+(Inputs!$B$14+1)*0.0025)/100)*(1+Inputs!$B$15/100)*(1+Inputs!$B$16/100)*(5000/(6000+Inputs!$B$42*(1-(Inputs!$B$19+0)/100)))*(1+(Inputs!$B$24+((C131=TRUE)*(F131-Calc!F22))+B140)/100)*(1+(IF(Skills!A3="HOOK_BOMBER",Inputs!$B$17+((C130=TRUE)*(F130-Calc!F21)),Inputs!$B$18+0))/100)*((1+(((C122=TRUE)*F122)+((C128=TRUE)*(F128-Calc!F19)))/100)*I112)</f>
        <v/>
      </c>
      <c r="L112">
        <f>K112*(MIN(Inputs!$B$22+((C129=TRUE)*(F129-Calc!F20)),Inputs!$B$23+0)/100+(Inputs!$B$23+0)/100)/2</f>
        <v/>
      </c>
      <c r="M112">
        <f>L112*(1+(Inputs!$B$10+0+B139)/100)</f>
        <v/>
      </c>
      <c r="N112">
        <f>L112*(1-MIN((Inputs!$B$9+((C125=TRUE)*(F125-Calc!F16))+B134),100)/100)+M112*(MIN((Inputs!$B$9+((C125=TRUE)*(F125-Calc!F16))+B134),100)/100)</f>
        <v/>
      </c>
      <c r="O112">
        <f>(1-Summary!$B$55)*T112+Summary!$B$55*V112</f>
        <v/>
      </c>
      <c r="P112">
        <f>IF(B144=0,0,O112/B144)</f>
        <v/>
      </c>
      <c r="Q112" t="n">
        <v>0</v>
      </c>
      <c r="R112" t="n">
        <v>0</v>
      </c>
      <c r="S112">
        <f>IFERROR(O112/N112,0)</f>
        <v/>
      </c>
      <c r="T112">
        <f>IF(C112,(Skills!G3*H112*N112*B138)*IF(Inputs!$B$38="pvp",1,1+(Inputs!$B$20+0+Skills!P3)/100),0)</f>
        <v/>
      </c>
      <c r="U112">
        <f>INDEX(FactorTable!$B$2:$Y$301, MATCH(ROUND(MIN(300,MAX(1,U111)),0), FactorTable!$A$2:$A$301,0), 22)</f>
        <v/>
      </c>
      <c r="V112">
        <f>IF(C112,(Skills!G3*H112*N112*B138)*IF(Inputs!$B$38="pvp",1,(1+(Inputs!$B$21+Skills!Q3)/100)*(MIN(Skills!R3,Inputs!$B$37))),0)</f>
        <v/>
      </c>
    </row>
    <row r="113">
      <c r="A113">
        <f>Skills!A4</f>
        <v/>
      </c>
      <c r="B113">
        <f>Skills!B4</f>
        <v/>
      </c>
      <c r="C113">
        <f>Inputs!$B$3&gt;=60</f>
        <v/>
      </c>
      <c r="D113">
        <f>IF(Skills!C4=1,60+Inputs!$B$25+Inputs!$B$29,IF(Skills!C4=2,90+Inputs!$B$26+Inputs!$B$29,IF(Skills!C4=3,120+Inputs!$B$27+Inputs!$B$29,MAX(0,(Inputs!$B$3-100)*3)+Inputs!$B$28+Inputs!$B$29)))</f>
        <v/>
      </c>
      <c r="E113">
        <f>INDEX(FactorTable!$B$2:$Y$301, MATCH(ROUND(MIN(300,MAX(1,D113)),0), FactorTable!$A$2:$A$301,0), Skills!M4+1)</f>
        <v/>
      </c>
      <c r="F113">
        <f>IF(Skills!N4=TRUE,(Skills!L4/10)*(E113/1000),Skills!L4/10)+Skills!O4</f>
        <v/>
      </c>
      <c r="G113">
        <f>Skills!G4*IF(Skills!H4&gt;0,Skills!I4/Skills!H4,1)</f>
        <v/>
      </c>
      <c r="H113">
        <f>1-(1-Skills!J4/100)^Skills!K4</f>
        <v/>
      </c>
      <c r="I113" t="inlineStr">
        <is>
          <t>1</t>
        </is>
      </c>
      <c r="J113">
        <f>((Inputs!$B$6*(1+Inputs!$B$7/100))+(((Inputs!$B$12*(1+Inputs!$B$13/100))-(Inputs!$B$12*(1+Inputs!$B$13/100)))+0.25*((Inputs!$B$14+1)-Inputs!$B$14))*(1+Inputs!$B$7/100))*(F113/100)</f>
        <v/>
      </c>
      <c r="K113">
        <f>J113*(1+((Inputs!$B$12*(1+Inputs!$B$13/100))*0.01+(Inputs!$B$14+1)*0.0025)/100)*(1+Inputs!$B$15/100)*(1+Inputs!$B$16/100)*(5000/(6000+Inputs!$B$42*(1-(Inputs!$B$19+0)/100)))*(1+(Inputs!$B$24+((C131=TRUE)*(F131-Calc!F22))+B140)/100)*(1+1.0*IF(C121=TRUE,F121,0)/100)*(1+(IF(Skills!A4="HOOK_BOMBER",Inputs!$B$17+((C130=TRUE)*(F130-Calc!F21)),Inputs!$B$18+0))/100)*((1+(((C122=TRUE)*F122)+((C128=TRUE)*(F128-Calc!F19)))/100)*I113)</f>
        <v/>
      </c>
      <c r="L113">
        <f>K113*(MIN(Inputs!$B$22+((C129=TRUE)*(F129-Calc!F20)),Inputs!$B$23+0)/100+(Inputs!$B$23+0)/100)/2</f>
        <v/>
      </c>
      <c r="M113">
        <f>L113*(1+(Inputs!$B$10+0+B139)/100)</f>
        <v/>
      </c>
      <c r="N113">
        <f>L113*(1-MIN((Inputs!$B$9+((C125=TRUE)*(F125-Calc!F16))+B134),100)/100)+M113*(MIN((Inputs!$B$9+((C125=TRUE)*(F125-Calc!F16))+B134),100)/100)</f>
        <v/>
      </c>
      <c r="O113">
        <f>(1-Summary!$B$55)*T113+Summary!$B$55*V113</f>
        <v/>
      </c>
      <c r="P113">
        <f>IF(B144=0,0,O113/B144)</f>
        <v/>
      </c>
      <c r="Q113" t="n">
        <v>0</v>
      </c>
      <c r="R113" t="n">
        <v>0</v>
      </c>
      <c r="S113">
        <f>IFERROR(O113/N113,0)</f>
        <v/>
      </c>
      <c r="T113">
        <f>IF(C113,(Skills!G4*H113*N113*B138)*IF(Inputs!$B$38="pvp",1,1+(Inputs!$B$20+0+Skills!P4)/100),0)</f>
        <v/>
      </c>
      <c r="U113">
        <f>290*U112/1000</f>
        <v/>
      </c>
      <c r="V113">
        <f>IF(C113,(Skills!G4*H113*N113*B138)*IF(Inputs!$B$38="pvp",1,(1+(Inputs!$B$21+Skills!Q4)/100)*(MIN(Skills!R4,Inputs!$B$37))),0)</f>
        <v/>
      </c>
    </row>
    <row r="114">
      <c r="A114">
        <f>Skills!A5</f>
        <v/>
      </c>
      <c r="B114">
        <f>Skills!B5</f>
        <v/>
      </c>
      <c r="C114">
        <f>Inputs!$B$3&gt;=60</f>
        <v/>
      </c>
      <c r="D114">
        <f>IF(Skills!C5=1,60+Inputs!$B$25+Inputs!$B$29,IF(Skills!C5=2,90+Inputs!$B$26+Inputs!$B$29,IF(Skills!C5=3,120+Inputs!$B$27+Inputs!$B$29,MAX(0,(Inputs!$B$3-100)*3)+Inputs!$B$28+Inputs!$B$29)))</f>
        <v/>
      </c>
      <c r="E114">
        <f>INDEX(FactorTable!$B$2:$Y$301, MATCH(ROUND(MIN(300,MAX(1,D114)),0), FactorTable!$A$2:$A$301,0), Skills!M5+1)</f>
        <v/>
      </c>
      <c r="F114">
        <f>IF(Skills!N5=TRUE,(Skills!L5/10)*(E114/1000),Skills!L5/10)+Skills!O5</f>
        <v/>
      </c>
      <c r="G114">
        <f>Skills!G5*IF(Skills!H5&gt;0,Skills!I5/Skills!H5,1)</f>
        <v/>
      </c>
      <c r="H114">
        <f>1-(1-Skills!J5/100)^Skills!K5</f>
        <v/>
      </c>
      <c r="I114" t="inlineStr">
        <is>
          <t>1</t>
        </is>
      </c>
      <c r="J114" t="inlineStr"/>
      <c r="K114" t="inlineStr"/>
      <c r="L114" t="inlineStr"/>
      <c r="M114" t="inlineStr"/>
      <c r="N114" t="inlineStr"/>
      <c r="O114">
        <f>(1-Summary!$B$55)*T114+Summary!$B$55*V114</f>
        <v/>
      </c>
      <c r="P114">
        <f>IF(B144=0,0,O114/B144)</f>
        <v/>
      </c>
      <c r="Q114" t="n">
        <v>0</v>
      </c>
      <c r="R114" t="n">
        <v>0</v>
      </c>
      <c r="S114">
        <f>IFERROR(O114/N114,0)</f>
        <v/>
      </c>
      <c r="T114" t="n">
        <v>0</v>
      </c>
      <c r="V114" t="n">
        <v>0</v>
      </c>
    </row>
    <row r="115">
      <c r="A115">
        <f>Skills!A6</f>
        <v/>
      </c>
      <c r="B115">
        <f>Skills!B6</f>
        <v/>
      </c>
      <c r="C115">
        <f>Inputs!$B$3&gt;=63</f>
        <v/>
      </c>
      <c r="D115">
        <f>IF(Skills!C6=1,60+Inputs!$B$25+Inputs!$B$29,IF(Skills!C6=2,90+Inputs!$B$26+Inputs!$B$29,IF(Skills!C6=3,120+Inputs!$B$27+Inputs!$B$29,MAX(0,(Inputs!$B$3-100)*3)+Inputs!$B$28+Inputs!$B$29)))</f>
        <v/>
      </c>
      <c r="E115">
        <f>INDEX(FactorTable!$B$2:$Y$301, MATCH(ROUND(MIN(300,MAX(1,D115)),0), FactorTable!$A$2:$A$301,0), Skills!M6+1)</f>
        <v/>
      </c>
      <c r="F115">
        <f>IF(Skills!N6=TRUE,(Skills!L6/10)*(E115/1000),Skills!L6/10)+Skills!O6</f>
        <v/>
      </c>
      <c r="G115">
        <f>Skills!G6*IF(Skills!H6&gt;0,Skills!I6/Skills!H6,1)</f>
        <v/>
      </c>
      <c r="H115">
        <f>1-(1-Skills!J6/100)^Skills!K6</f>
        <v/>
      </c>
      <c r="I115" t="inlineStr">
        <is>
          <t>1</t>
        </is>
      </c>
      <c r="J115">
        <f>((Inputs!$B$6*(1+Inputs!$B$7/100))+(((Inputs!$B$12*(1+Inputs!$B$13/100))-(Inputs!$B$12*(1+Inputs!$B$13/100)))+0.25*((Inputs!$B$14+1)-Inputs!$B$14))*(1+Inputs!$B$7/100))*(F115/100)</f>
        <v/>
      </c>
      <c r="K115">
        <f>J115*(1+((Inputs!$B$12*(1+Inputs!$B$13/100))*0.01+(Inputs!$B$14+1)*0.0025)/100)*(1+Inputs!$B$15/100)*(1+Inputs!$B$16/100)*(5000/(6000+Inputs!$B$42*(1-(Inputs!$B$19+0)/100)))*(1+(Inputs!$B$24+((C131=TRUE)*(F131-Calc!F22))+B140)/100)*(1+(IF(Skills!A6="HOOK_BOMBER",Inputs!$B$17+((C130=TRUE)*(F130-Calc!F21)),Inputs!$B$18+0))/100)*((1+(((C122=TRUE)*F122)+((C128=TRUE)*(F128-Calc!F19)))/100)*I115)</f>
        <v/>
      </c>
      <c r="L115">
        <f>K115*(MIN(Inputs!$B$22+((C129=TRUE)*(F129-Calc!F20)),Inputs!$B$23+0)/100+(Inputs!$B$23+0)/100)/2</f>
        <v/>
      </c>
      <c r="M115">
        <f>L115*(1+(Inputs!$B$10+0+B139)/100)</f>
        <v/>
      </c>
      <c r="N115">
        <f>L115*(1-MIN((Inputs!$B$9+((C125=TRUE)*(F125-Calc!F16))+B134),100)/100)+M115*(MIN((Inputs!$B$9+((C125=TRUE)*(F125-Calc!F16))+B134),100)/100)</f>
        <v/>
      </c>
      <c r="O115">
        <f>(1-Summary!$B$55)*T115+Summary!$B$55*V115</f>
        <v/>
      </c>
      <c r="P115">
        <f>IF(B144=0,0,O115/B144)</f>
        <v/>
      </c>
      <c r="Q115">
        <f>IFERROR(1/IF(Inputs!$B$38="pvp",15,MAX(0.1,Skills!D6-IF(Skills!E6=TRUE,Inputs!$B$32,0))),0)</f>
        <v/>
      </c>
      <c r="R115">
        <f>IF(AND(Inputs!$B$38&lt;&gt;"pvp",Inputs!$B$43&gt;0),IF(MAX(0,Inputs!$B$43-B141)&lt;=0,0,(INT(MAX(0,Inputs!$B$43-B141)/IF(Inputs!$B$38="pvp",15,MAX(0.1,Skills!D6-IF(Skills!E6=TRUE,Inputs!$B$32,0))))+1)),0)</f>
        <v/>
      </c>
      <c r="S115">
        <f>IFERROR(O115/N115,0)</f>
        <v/>
      </c>
      <c r="T115">
        <f>IF(C115,(H115*N115*IF(AND(Inputs!$B$38&lt;&gt;"pvp",Inputs!$B$43&gt;0),((Skills!G6*((R115-1)*IF(Skills!H6&gt;0,Skills!I6/Skills!H6,1)+IF(Skills!H6&gt;0,MIN(Skills!I6,MAX(0,MAX(0,Inputs!$B$43-B141)-((R115-1)*IF(Inputs!$B$38="pvp",15,MAX(0.1,Skills!D6-IF(Skills!E6=TRUE,Inputs!$B$32,0))))))/Skills!H6,1)))/Inputs!$B$43),G115*Q115))*IF(Inputs!$B$38="pvp",1,1+(Inputs!$B$20+0+Skills!P6)/100),0)</f>
        <v/>
      </c>
      <c r="V115">
        <f>IF(C115,(H115*N115*IF(AND(Inputs!$B$38&lt;&gt;"pvp",Inputs!$B$43&gt;0),((Skills!G6*((R115-1)*IF(Skills!H6&gt;0,Skills!I6/Skills!H6,1)+IF(Skills!H6&gt;0,MIN(Skills!I6,MAX(0,MAX(0,Inputs!$B$43-B141)-((R115-1)*IF(Inputs!$B$38="pvp",15,MAX(0.1,Skills!D6-IF(Skills!E6=TRUE,Inputs!$B$32,0))))))/Skills!H6,1)))/Inputs!$B$43),G115*Q115))*IF(Inputs!$B$38="pvp",1,(1+(Inputs!$B$21+Skills!Q6)/100)*(MIN(Skills!R6,Inputs!$B$37))),0)</f>
        <v/>
      </c>
    </row>
    <row r="116">
      <c r="A116">
        <f>Skills!A7</f>
        <v/>
      </c>
      <c r="B116">
        <f>Skills!B7</f>
        <v/>
      </c>
      <c r="C116">
        <f>Inputs!$B$3&gt;=100</f>
        <v/>
      </c>
      <c r="D116">
        <f>IF(Skills!C7=1,60+Inputs!$B$25+Inputs!$B$29,IF(Skills!C7=2,90+Inputs!$B$26+Inputs!$B$29,IF(Skills!C7=3,120+Inputs!$B$27+Inputs!$B$29,MAX(0,(Inputs!$B$3-100)*3)+Inputs!$B$28+Inputs!$B$29)))</f>
        <v/>
      </c>
      <c r="E116">
        <f>INDEX(FactorTable!$B$2:$Y$301, MATCH(ROUND(MIN(300,MAX(1,D116)),0), FactorTable!$A$2:$A$301,0), Skills!M7+1)</f>
        <v/>
      </c>
      <c r="F116">
        <f>IF(Skills!N7=TRUE,(Skills!L7/10)*(E116/1000),Skills!L7/10)+Skills!O7</f>
        <v/>
      </c>
      <c r="G116">
        <f>Skills!G7*IF(Skills!H7&gt;0,Skills!I7/Skills!H7,1)</f>
        <v/>
      </c>
      <c r="H116">
        <f>1-(1-Skills!J7/100)^Skills!K7</f>
        <v/>
      </c>
      <c r="I116" t="inlineStr">
        <is>
          <t>1</t>
        </is>
      </c>
      <c r="J116">
        <f>((Inputs!$B$6*(1+Inputs!$B$7/100))+(((Inputs!$B$12*(1+Inputs!$B$13/100))-(Inputs!$B$12*(1+Inputs!$B$13/100)))+0.25*((Inputs!$B$14+1)-Inputs!$B$14))*(1+Inputs!$B$7/100))*(F116/100)</f>
        <v/>
      </c>
      <c r="K116">
        <f>J116*(1+((Inputs!$B$12*(1+Inputs!$B$13/100))*0.01+(Inputs!$B$14+1)*0.0025)/100)*(1+Inputs!$B$15/100)*(1+Inputs!$B$16/100)*(5000/(6000+Inputs!$B$42*(1-(Inputs!$B$19+0)/100)))*(1+(Inputs!$B$24+((C131=TRUE)*(F131-Calc!F22))+B140)/100)*(1+(IF(Skills!A7="HOOK_BOMBER",Inputs!$B$17+((C130=TRUE)*(F130-Calc!F21)),Inputs!$B$18+0))/100)*((1+(((C122=TRUE)*F122)+((C128=TRUE)*(F128-Calc!F19)))/100)*I116)</f>
        <v/>
      </c>
      <c r="L116">
        <f>K116*(MIN(Inputs!$B$22+((C129=TRUE)*(F129-Calc!F20)),Inputs!$B$23+0)/100+(Inputs!$B$23+0)/100)/2</f>
        <v/>
      </c>
      <c r="M116">
        <f>L116*(1+(Inputs!$B$10+0+B139)/100)</f>
        <v/>
      </c>
      <c r="N116">
        <f>L116*(1-MIN((Inputs!$B$9+((C125=TRUE)*(F125-Calc!F16))+B134),100)/100)+M116*(MIN((Inputs!$B$9+((C125=TRUE)*(F125-Calc!F16))+B134),100)/100)</f>
        <v/>
      </c>
      <c r="O116">
        <f>(1-Summary!$B$55)*T116+Summary!$B$55*V116</f>
        <v/>
      </c>
      <c r="P116">
        <f>IF(B144=0,0,O116/B144)</f>
        <v/>
      </c>
      <c r="Q116">
        <f>IFERROR(1/IF(Inputs!$B$38="pvp",15,MAX(0.1,Skills!D7-IF(Skills!E7=TRUE,Inputs!$B$32,0))),0)</f>
        <v/>
      </c>
      <c r="R116">
        <f>IF(AND(Inputs!$B$38&lt;&gt;"pvp",Inputs!$B$43&gt;0),IF(MAX(0,Inputs!$B$43-B141)&lt;=0,0,(INT(MAX(0,Inputs!$B$43-B141)/IF(Inputs!$B$38="pvp",15,MAX(0.1,Skills!D7-IF(Skills!E7=TRUE,Inputs!$B$32,0))))+1)),0)</f>
        <v/>
      </c>
      <c r="S116">
        <f>IFERROR(O116/N116,0)</f>
        <v/>
      </c>
      <c r="T116">
        <f>IF(C116,(H116*N116*IF(AND(Inputs!$B$38&lt;&gt;"pvp",Inputs!$B$43&gt;0),((Skills!G7*((R116-1)*IF(Skills!H7&gt;0,Skills!I7/Skills!H7,1)+IF(Skills!H7&gt;0,MIN(Skills!I7,MAX(0,MAX(0,Inputs!$B$43-B141)-((R116-1)*IF(Inputs!$B$38="pvp",15,MAX(0.1,Skills!D7-IF(Skills!E7=TRUE,Inputs!$B$32,0))))))/Skills!H7,1)))/Inputs!$B$43),G116*Q116))*IF(Inputs!$B$38="pvp",1,1+(Inputs!$B$20+0+Skills!P7)/100),0)</f>
        <v/>
      </c>
      <c r="V116">
        <f>IF(C116,(H116*N116*IF(AND(Inputs!$B$38&lt;&gt;"pvp",Inputs!$B$43&gt;0),((Skills!G7*((R116-1)*IF(Skills!H7&gt;0,Skills!I7/Skills!H7,1)+IF(Skills!H7&gt;0,MIN(Skills!I7,MAX(0,MAX(0,Inputs!$B$43-B141)-((R116-1)*IF(Inputs!$B$38="pvp",15,MAX(0.1,Skills!D7-IF(Skills!E7=TRUE,Inputs!$B$32,0))))))/Skills!H7,1)))/Inputs!$B$43),G116*Q116))*IF(Inputs!$B$38="pvp",1,(1+(Inputs!$B$21+Skills!Q7)/100)*(MIN(Skills!R7,Inputs!$B$37))),0)</f>
        <v/>
      </c>
    </row>
    <row r="117">
      <c r="A117">
        <f>Skills!A8</f>
        <v/>
      </c>
      <c r="B117">
        <f>Skills!B8</f>
        <v/>
      </c>
      <c r="C117">
        <f>Inputs!$B$3&gt;=110</f>
        <v/>
      </c>
      <c r="D117">
        <f>IF(Skills!C8=1,60+Inputs!$B$25+Inputs!$B$29,IF(Skills!C8=2,90+Inputs!$B$26+Inputs!$B$29,IF(Skills!C8=3,120+Inputs!$B$27+Inputs!$B$29,MAX(0,(Inputs!$B$3-100)*3)+Inputs!$B$28+Inputs!$B$29)))</f>
        <v/>
      </c>
      <c r="E117">
        <f>INDEX(FactorTable!$B$2:$Y$301, MATCH(ROUND(MIN(300,MAX(1,D117)),0), FactorTable!$A$2:$A$301,0), Skills!M8+1)</f>
        <v/>
      </c>
      <c r="F117">
        <f>IF(Skills!N8=TRUE,(Skills!L8/10)*(E117/1000),Skills!L8/10)+Skills!O8</f>
        <v/>
      </c>
      <c r="G117">
        <f>Skills!G8*IF(Skills!H8&gt;0,Skills!I8/Skills!H8,1)</f>
        <v/>
      </c>
      <c r="H117">
        <f>1-(1-Skills!J8/100)^Skills!K8</f>
        <v/>
      </c>
      <c r="I117" t="inlineStr">
        <is>
          <t>1</t>
        </is>
      </c>
      <c r="J117">
        <f>((Inputs!$B$6*(1+Inputs!$B$7/100))+(((Inputs!$B$12*(1+Inputs!$B$13/100))-(Inputs!$B$12*(1+Inputs!$B$13/100)))+0.25*((Inputs!$B$14+1)-Inputs!$B$14))*(1+Inputs!$B$7/100))*(F117/100)</f>
        <v/>
      </c>
      <c r="K117">
        <f>J117*(1+((Inputs!$B$12*(1+Inputs!$B$13/100))*0.01+(Inputs!$B$14+1)*0.0025)/100)*(1+Inputs!$B$15/100)*(1+Inputs!$B$16/100)*(5000/(6000+Inputs!$B$42*(1-(Inputs!$B$19+0)/100)))*(1+(Inputs!$B$24+((C131=TRUE)*(F131-Calc!F22))+B140)/100)*(1+(IF(Skills!A8="HOOK_BOMBER",Inputs!$B$17+((C130=TRUE)*(F130-Calc!F21)),Inputs!$B$18+0))/100)*((1+(((C122=TRUE)*F122)+((C128=TRUE)*(F128-Calc!F19)))/100)*I117)</f>
        <v/>
      </c>
      <c r="L117">
        <f>K117*(MIN(Inputs!$B$22+((C129=TRUE)*(F129-Calc!F20)),Inputs!$B$23+0)/100+(Inputs!$B$23+0)/100)/2</f>
        <v/>
      </c>
      <c r="M117">
        <f>L117*(1+(Inputs!$B$10+0+B139)/100)</f>
        <v/>
      </c>
      <c r="N117">
        <f>L117*(1-MIN((Inputs!$B$9+((C125=TRUE)*(F125-Calc!F16))+B134),100)/100)+M117*(MIN((Inputs!$B$9+((C125=TRUE)*(F125-Calc!F16))+B134),100)/100)</f>
        <v/>
      </c>
      <c r="O117">
        <f>(1-Summary!$B$55)*T117+Summary!$B$55*V117</f>
        <v/>
      </c>
      <c r="P117">
        <f>IF(B144=0,0,O117/B144)</f>
        <v/>
      </c>
      <c r="Q117">
        <f>IFERROR(1/IF(Inputs!$B$38="pvp",15,MAX(0.1,Skills!D8-IF(Skills!E8=TRUE,Inputs!$B$32,0))),0)</f>
        <v/>
      </c>
      <c r="R117">
        <f>IF(AND(Inputs!$B$38&lt;&gt;"pvp",Inputs!$B$43&gt;0),IF(MAX(0,Inputs!$B$43-B141)&lt;=0,0,(INT(MAX(0,Inputs!$B$43-B141)/IF(Inputs!$B$38="pvp",15,MAX(0.1,Skills!D8-IF(Skills!E8=TRUE,Inputs!$B$32,0))))+1)),0)</f>
        <v/>
      </c>
      <c r="S117">
        <f>IFERROR(O117/N117,0)</f>
        <v/>
      </c>
      <c r="T117">
        <f>IF(C117,(H117*N117*IF(AND(Inputs!$B$38&lt;&gt;"pvp",Inputs!$B$43&gt;0),((Skills!G8*((R117-1)*IF(Skills!H8&gt;0,Skills!I8/Skills!H8,1)+IF(Skills!H8&gt;0,MIN(Skills!I8,MAX(0,MAX(0,Inputs!$B$43-B141)-((R117-1)*IF(Inputs!$B$38="pvp",15,MAX(0.1,Skills!D8-IF(Skills!E8=TRUE,Inputs!$B$32,0))))))/Skills!H8,1)))/Inputs!$B$43),G117*Q117))*IF(Inputs!$B$38="pvp",1,1+(Inputs!$B$20+0+Skills!P8)/100),0)</f>
        <v/>
      </c>
      <c r="V117">
        <f>IF(C117,(H117*N117*IF(AND(Inputs!$B$38&lt;&gt;"pvp",Inputs!$B$43&gt;0),((Skills!G8*((R117-1)*IF(Skills!H8&gt;0,Skills!I8/Skills!H8,1)+IF(Skills!H8&gt;0,MIN(Skills!I8,MAX(0,MAX(0,Inputs!$B$43-B141)-((R117-1)*IF(Inputs!$B$38="pvp",15,MAX(0.1,Skills!D8-IF(Skills!E8=TRUE,Inputs!$B$32,0))))))/Skills!H8,1)))/Inputs!$B$43),G117*Q117))*IF(Inputs!$B$38="pvp",1,(1+(Inputs!$B$21+Skills!Q8)/100)*(MIN(Skills!R8,Inputs!$B$37))),0)</f>
        <v/>
      </c>
    </row>
    <row r="118">
      <c r="A118">
        <f>Skills!A9</f>
        <v/>
      </c>
      <c r="B118">
        <f>Skills!B9</f>
        <v/>
      </c>
      <c r="C118">
        <f>Inputs!$B$3&gt;=110</f>
        <v/>
      </c>
      <c r="D118">
        <f>IF(Skills!C9=1,60+Inputs!$B$25+Inputs!$B$29,IF(Skills!C9=2,90+Inputs!$B$26+Inputs!$B$29,IF(Skills!C9=3,120+Inputs!$B$27+Inputs!$B$29,MAX(0,(Inputs!$B$3-100)*3)+Inputs!$B$28+Inputs!$B$29)))</f>
        <v/>
      </c>
      <c r="E118">
        <f>INDEX(FactorTable!$B$2:$Y$301, MATCH(ROUND(MIN(300,MAX(1,D118)),0), FactorTable!$A$2:$A$301,0), Skills!M9+1)</f>
        <v/>
      </c>
      <c r="F118">
        <f>IF(Skills!N9=TRUE,(Skills!L9/10)*(E118/1000),Skills!L9/10)+Skills!O9</f>
        <v/>
      </c>
      <c r="G118">
        <f>Skills!G9*IF(Skills!H9&gt;0,Skills!I9/Skills!H9,1)</f>
        <v/>
      </c>
      <c r="H118">
        <f>1-(1-Skills!J9/100)^Skills!K9</f>
        <v/>
      </c>
      <c r="I118" t="inlineStr">
        <is>
          <t>1</t>
        </is>
      </c>
      <c r="J118">
        <f>((Inputs!$B$6*(1+Inputs!$B$7/100))+(((Inputs!$B$12*(1+Inputs!$B$13/100))-(Inputs!$B$12*(1+Inputs!$B$13/100)))+0.25*((Inputs!$B$14+1)-Inputs!$B$14))*(1+Inputs!$B$7/100))*(F118/100)</f>
        <v/>
      </c>
      <c r="K118">
        <f>J118*(1+((Inputs!$B$12*(1+Inputs!$B$13/100))*0.01+(Inputs!$B$14+1)*0.0025)/100)*(1+Inputs!$B$15/100)*(1+Inputs!$B$16/100)*(5000/(6000+Inputs!$B$42*(1-(Inputs!$B$19+0)/100)))*(1+(Inputs!$B$24+((C131=TRUE)*(F131-Calc!F22))+B140)/100)*(1+(IF(Skills!A9="HOOK_BOMBER",Inputs!$B$17+((C130=TRUE)*(F130-Calc!F21)),Inputs!$B$18+0))/100)*((1+(((C122=TRUE)*F122)+((C128=TRUE)*(F128-Calc!F19)))/100)*I118)</f>
        <v/>
      </c>
      <c r="L118">
        <f>K118*(MIN(Inputs!$B$22+((C129=TRUE)*(F129-Calc!F20)),Inputs!$B$23+0)/100+(Inputs!$B$23+0)/100)/2</f>
        <v/>
      </c>
      <c r="M118">
        <f>L118*(1+(Inputs!$B$10+0+B139)/100)</f>
        <v/>
      </c>
      <c r="N118">
        <f>L118*(1-MIN((Inputs!$B$9+((C125=TRUE)*(F125-Calc!F16))+B134),100)/100)+M118*(MIN((Inputs!$B$9+((C125=TRUE)*(F125-Calc!F16))+B134),100)/100)</f>
        <v/>
      </c>
      <c r="O118">
        <f>(1-Summary!$B$55)*T118+Summary!$B$55*V118</f>
        <v/>
      </c>
      <c r="P118">
        <f>IF(B144=0,0,O118/B144)</f>
        <v/>
      </c>
      <c r="Q118">
        <f>IFERROR(1/IF(Inputs!$B$38="pvp",15,MAX(0.1,Skills!D9-IF(Skills!E9=TRUE,Inputs!$B$32,0))),0)</f>
        <v/>
      </c>
      <c r="R118">
        <f>IF(AND(Inputs!$B$38&lt;&gt;"pvp",Inputs!$B$43&gt;0),IF(MAX(0,Inputs!$B$43-B141)&lt;=0,0,(INT(MAX(0,Inputs!$B$43-B141)/IF(Inputs!$B$38="pvp",15,MAX(0.1,Skills!D9-IF(Skills!E9=TRUE,Inputs!$B$32,0))))+1)),0)</f>
        <v/>
      </c>
      <c r="S118">
        <f>IFERROR(O118/N118,0)</f>
        <v/>
      </c>
      <c r="T118">
        <f>IF(C118,(H118*N118*IF(AND(Inputs!$B$38&lt;&gt;"pvp",Inputs!$B$43&gt;0),((Skills!G9*((R118-1)*IF(Skills!H9&gt;0,Skills!I9/Skills!H9,1)+IF(Skills!H9&gt;0,MIN(Skills!I9,MAX(0,MAX(0,Inputs!$B$43-B141)-((R118-1)*IF(Inputs!$B$38="pvp",15,MAX(0.1,Skills!D9-IF(Skills!E9=TRUE,Inputs!$B$32,0))))))/Skills!H9,1)))/Inputs!$B$43),G118*Q118))*IF(Inputs!$B$38="pvp",1,1+(Inputs!$B$20+0+Skills!P9)/100),0)</f>
        <v/>
      </c>
      <c r="V118">
        <f>IF(C118,(H118*N118*IF(AND(Inputs!$B$38&lt;&gt;"pvp",Inputs!$B$43&gt;0),((Skills!G9*((R118-1)*IF(Skills!H9&gt;0,Skills!I9/Skills!H9,1)+IF(Skills!H9&gt;0,MIN(Skills!I9,MAX(0,MAX(0,Inputs!$B$43-B141)-((R118-1)*IF(Inputs!$B$38="pvp",15,MAX(0.1,Skills!D9-IF(Skills!E9=TRUE,Inputs!$B$32,0))))))/Skills!H9,1)))/Inputs!$B$43),G118*Q118))*IF(Inputs!$B$38="pvp",1,(1+(Inputs!$B$21+Skills!Q9)/100)*(MIN(Skills!R9,Inputs!$B$37))),0)</f>
        <v/>
      </c>
    </row>
    <row r="119">
      <c r="A119">
        <f>Skills!A10</f>
        <v/>
      </c>
      <c r="B119">
        <f>Skills!B10</f>
        <v/>
      </c>
      <c r="C119">
        <f>Inputs!$B$3&gt;=103</f>
        <v/>
      </c>
      <c r="D119">
        <f>IF(Skills!C10=1,60+Inputs!$B$25+Inputs!$B$29,IF(Skills!C10=2,90+Inputs!$B$26+Inputs!$B$29,IF(Skills!C10=3,120+Inputs!$B$27+Inputs!$B$29,MAX(0,(Inputs!$B$3-100)*3)+Inputs!$B$28+Inputs!$B$29)))</f>
        <v/>
      </c>
      <c r="E119">
        <f>INDEX(FactorTable!$B$2:$Y$301, MATCH(ROUND(MIN(300,MAX(1,D119)),0), FactorTable!$A$2:$A$301,0), Skills!M10+1)</f>
        <v/>
      </c>
      <c r="F119">
        <f>IF(Skills!N10=TRUE,(Skills!L10/10)*(E119/1000),Skills!L10/10)+Skills!O10</f>
        <v/>
      </c>
      <c r="G119">
        <f>Skills!G10*IF(Skills!H10&gt;0,Skills!I10/Skills!H10,1)</f>
        <v/>
      </c>
      <c r="H119">
        <f>1-(1-Skills!J10/100)^Skills!K10</f>
        <v/>
      </c>
      <c r="I119" t="inlineStr">
        <is>
          <t>1</t>
        </is>
      </c>
      <c r="J119">
        <f>((Inputs!$B$6*(1+Inputs!$B$7/100))+(((Inputs!$B$12*(1+Inputs!$B$13/100))-(Inputs!$B$12*(1+Inputs!$B$13/100)))+0.25*((Inputs!$B$14+1)-Inputs!$B$14))*(1+Inputs!$B$7/100))*(F119/100)</f>
        <v/>
      </c>
      <c r="K119">
        <f>J119*(1+((Inputs!$B$12*(1+Inputs!$B$13/100))*0.01+(Inputs!$B$14+1)*0.0025)/100)*(1+Inputs!$B$15/100)*(1+Inputs!$B$16/100)*(5000/(6000+Inputs!$B$42*(1-(Inputs!$B$19+0)/100)))*(1+(Inputs!$B$24+((C131=TRUE)*(F131-Calc!F22))+B140)/100)*(1+(IF(Skills!A10="HOOK_BOMBER",Inputs!$B$17+((C130=TRUE)*(F130-Calc!F21)),Inputs!$B$18+0))/100)*((1+(((C122=TRUE)*F122)+((C128=TRUE)*(F128-Calc!F19)))/100)*I119)</f>
        <v/>
      </c>
      <c r="L119">
        <f>K119*(MIN(Inputs!$B$22+((C129=TRUE)*(F129-Calc!F20)),Inputs!$B$23+0)/100+(Inputs!$B$23+0)/100)/2</f>
        <v/>
      </c>
      <c r="M119">
        <f>L119*(1+(Inputs!$B$10+0+B139)/100)</f>
        <v/>
      </c>
      <c r="N119">
        <f>L119*(1-MIN((Inputs!$B$9+((C125=TRUE)*(F125-Calc!F16))+B134),100)/100)+M119*(MIN((Inputs!$B$9+((C125=TRUE)*(F125-Calc!F16))+B134),100)/100)</f>
        <v/>
      </c>
      <c r="O119">
        <f>(1-Summary!$B$55)*T119+Summary!$B$55*V119</f>
        <v/>
      </c>
      <c r="P119">
        <f>IF(B144=0,0,O119/B144)</f>
        <v/>
      </c>
      <c r="Q119">
        <f>IFERROR(1/IF(Inputs!$B$38="pvp",15,MAX(0.1,Skills!D10-IF(Skills!E10=TRUE,Inputs!$B$32,0))),0)</f>
        <v/>
      </c>
      <c r="R119">
        <f>IF(AND(Inputs!$B$38&lt;&gt;"pvp",Inputs!$B$43&gt;0),IF(MAX(0,Inputs!$B$43-B141)&lt;=0,0,(INT(MAX(0,Inputs!$B$43-B141)/IF(Inputs!$B$38="pvp",15,MAX(0.1,Skills!D10-IF(Skills!E10=TRUE,Inputs!$B$32,0))))+1)),0)</f>
        <v/>
      </c>
      <c r="S119">
        <f>IFERROR(O119/N119,0)</f>
        <v/>
      </c>
      <c r="T119">
        <f>IF(C119,(H119*N119*IF(AND(Inputs!$B$38&lt;&gt;"pvp",Inputs!$B$43&gt;0),((Skills!G10*((R119-1)*IF(Skills!H10&gt;0,Skills!I10/Skills!H10,1)+IF(Skills!H10&gt;0,MIN(Skills!I10,MAX(0,MAX(0,Inputs!$B$43-B141)-((R119-1)*IF(Inputs!$B$38="pvp",15,MAX(0.1,Skills!D10-IF(Skills!E10=TRUE,Inputs!$B$32,0))))))/Skills!H10,1)))/Inputs!$B$43),G119*Q119))*IF(Inputs!$B$38="pvp",1,1+(Inputs!$B$20+0+Skills!P10)/100),0)</f>
        <v/>
      </c>
      <c r="V119">
        <f>IF(C119,(H119*N119*IF(AND(Inputs!$B$38&lt;&gt;"pvp",Inputs!$B$43&gt;0),((Skills!G10*((R119-1)*IF(Skills!H10&gt;0,Skills!I10/Skills!H10,1)+IF(Skills!H10&gt;0,MIN(Skills!I10,MAX(0,MAX(0,Inputs!$B$43-B141)-((R119-1)*IF(Inputs!$B$38="pvp",15,MAX(0.1,Skills!D10-IF(Skills!E10=TRUE,Inputs!$B$32,0))))))/Skills!H10,1)))/Inputs!$B$43),G119*Q119))*IF(Inputs!$B$38="pvp",1,(1+(Inputs!$B$21+Skills!Q10)/100)*(MIN(Skills!R10,Inputs!$B$37))),0)</f>
        <v/>
      </c>
    </row>
    <row r="120">
      <c r="A120">
        <f>Skills!A11</f>
        <v/>
      </c>
      <c r="B120">
        <f>Skills!B11</f>
        <v/>
      </c>
      <c r="C120">
        <f>Inputs!$B$3&gt;=113</f>
        <v/>
      </c>
      <c r="D120">
        <f>IF(Skills!C11=1,60+Inputs!$B$25+Inputs!$B$29,IF(Skills!C11=2,90+Inputs!$B$26+Inputs!$B$29,IF(Skills!C11=3,120+Inputs!$B$27+Inputs!$B$29,MAX(0,(Inputs!$B$3-100)*3)+Inputs!$B$28+Inputs!$B$29)))</f>
        <v/>
      </c>
      <c r="E120">
        <f>INDEX(FactorTable!$B$2:$Y$301, MATCH(ROUND(MIN(300,MAX(1,D120)),0), FactorTable!$A$2:$A$301,0), Skills!M11+1)</f>
        <v/>
      </c>
      <c r="F120">
        <f>IF(Skills!N11=TRUE,(Skills!L11/10)*(E120/1000),Skills!L11/10)+Skills!O11</f>
        <v/>
      </c>
      <c r="G120">
        <f>Skills!G11*IF(Skills!H11&gt;0,Skills!I11/Skills!H11,1)</f>
        <v/>
      </c>
      <c r="H120">
        <f>1-(1-Skills!J11/100)^Skills!K11</f>
        <v/>
      </c>
      <c r="I120" t="inlineStr">
        <is>
          <t>1</t>
        </is>
      </c>
      <c r="J120">
        <f>((Inputs!$B$6*(1+Inputs!$B$7/100))+(((Inputs!$B$12*(1+Inputs!$B$13/100))-(Inputs!$B$12*(1+Inputs!$B$13/100)))+0.25*((Inputs!$B$14+1)-Inputs!$B$14))*(1+Inputs!$B$7/100))*(F120/100)</f>
        <v/>
      </c>
      <c r="K120">
        <f>J120*(1+((Inputs!$B$12*(1+Inputs!$B$13/100))*0.01+(Inputs!$B$14+1)*0.0025)/100)*(1+Inputs!$B$15/100)*(1+Inputs!$B$16/100)*(5000/(6000+Inputs!$B$42*(1-(Inputs!$B$19+0)/100)))*(1+(Inputs!$B$24+((C131=TRUE)*(F131-Calc!F22))+B140)/100)*(1+(IF(Skills!A11="HOOK_BOMBER",Inputs!$B$17+((C130=TRUE)*(F130-Calc!F21)),Inputs!$B$18+0))/100)*((1+(((C122=TRUE)*F122)+((C128=TRUE)*(F128-Calc!F19)))/100)*I120)</f>
        <v/>
      </c>
      <c r="L120">
        <f>K120*(MIN(Inputs!$B$22+((C129=TRUE)*(F129-Calc!F20)),Inputs!$B$23+0)/100+(Inputs!$B$23+0)/100)/2</f>
        <v/>
      </c>
      <c r="M120">
        <f>L120*(1+(Inputs!$B$10+0+B139)/100)</f>
        <v/>
      </c>
      <c r="N120">
        <f>L120*(1-MIN((Inputs!$B$9+((C125=TRUE)*(F125-Calc!F16))+B134),100)/100)+M120*(MIN((Inputs!$B$9+((C125=TRUE)*(F125-Calc!F16))+B134),100)/100)</f>
        <v/>
      </c>
      <c r="O120">
        <f>(1-Summary!$B$55)*T120+Summary!$B$55*V120</f>
        <v/>
      </c>
      <c r="P120">
        <f>IF(B144=0,0,O120/B144)</f>
        <v/>
      </c>
      <c r="Q120">
        <f>IFERROR(1/IF(Inputs!$B$38="pvp",15,MAX(0.1,Skills!D11-IF(Skills!E11=TRUE,Inputs!$B$32,0))),0)</f>
        <v/>
      </c>
      <c r="R120">
        <f>IF(AND(Inputs!$B$38&lt;&gt;"pvp",Inputs!$B$43&gt;0),IF(MAX(0,Inputs!$B$43-B141)&lt;=0,0,(INT(MAX(0,Inputs!$B$43-B141)/IF(Inputs!$B$38="pvp",15,MAX(0.1,Skills!D11-IF(Skills!E11=TRUE,Inputs!$B$32,0))))+1)),0)</f>
        <v/>
      </c>
      <c r="S120">
        <f>IFERROR(O120/N120,0)</f>
        <v/>
      </c>
      <c r="T120">
        <f>IF(C120,(H120*N120*IF(AND(Inputs!$B$38&lt;&gt;"pvp",Inputs!$B$43&gt;0),((Skills!G11*((R120-1)*IF(Skills!H11&gt;0,Skills!I11/Skills!H11,1)+IF(Skills!H11&gt;0,MIN(Skills!I11,MAX(0,MAX(0,Inputs!$B$43-B141)-((R120-1)*IF(Inputs!$B$38="pvp",15,MAX(0.1,Skills!D11-IF(Skills!E11=TRUE,Inputs!$B$32,0))))))/Skills!H11,1)))/Inputs!$B$43),G120*Q120))*IF(Inputs!$B$38="pvp",1,1+(Inputs!$B$20+0+Skills!P11)/100),0)</f>
        <v/>
      </c>
      <c r="V120">
        <f>IF(C120,(H120*N120*IF(AND(Inputs!$B$38&lt;&gt;"pvp",Inputs!$B$43&gt;0),((Skills!G11*((R120-1)*IF(Skills!H11&gt;0,Skills!I11/Skills!H11,1)+IF(Skills!H11&gt;0,MIN(Skills!I11,MAX(0,MAX(0,Inputs!$B$43-B141)-((R120-1)*IF(Inputs!$B$38="pvp",15,MAX(0.1,Skills!D11-IF(Skills!E11=TRUE,Inputs!$B$32,0))))))/Skills!H11,1)))/Inputs!$B$43),G120*Q120))*IF(Inputs!$B$38="pvp",1,(1+(Inputs!$B$21+Skills!Q11)/100)*(MIN(Skills!R11,Inputs!$B$37))),0)</f>
        <v/>
      </c>
    </row>
    <row r="121">
      <c r="A121">
        <f>Skills!A12</f>
        <v/>
      </c>
      <c r="B121">
        <f>Skills!B12</f>
        <v/>
      </c>
      <c r="C121">
        <f>Inputs!$B$3&gt;=100</f>
        <v/>
      </c>
      <c r="D121">
        <f>IF(Skills!C12=1,60+Inputs!$B$25+Inputs!$B$29,IF(Skills!C12=2,90+Inputs!$B$26+Inputs!$B$29,IF(Skills!C12=3,120+Inputs!$B$27+Inputs!$B$29,MAX(0,(Inputs!$B$3-100)*3)+Inputs!$B$28+Inputs!$B$29)))</f>
        <v/>
      </c>
      <c r="E121">
        <f>INDEX(FactorTable!$B$2:$Y$301, MATCH(ROUND(MIN(300,MAX(1,D121)),0), FactorTable!$A$2:$A$301,0), Skills!M12+1)</f>
        <v/>
      </c>
      <c r="F121">
        <f>IF(Skills!N12=TRUE,(Skills!L12/10)*(E121/1000),Skills!L12/10)+Skills!O12</f>
        <v/>
      </c>
      <c r="G121" t="inlineStr"/>
      <c r="H121" t="inlineStr"/>
      <c r="I121" t="inlineStr">
        <is>
          <t>1</t>
        </is>
      </c>
      <c r="J121" t="inlineStr"/>
      <c r="K121" t="inlineStr"/>
      <c r="L121" t="inlineStr"/>
      <c r="M121" t="inlineStr"/>
      <c r="N121" t="inlineStr"/>
      <c r="O121" t="inlineStr"/>
      <c r="P121" t="inlineStr"/>
      <c r="Q121" t="inlineStr"/>
      <c r="R121" t="inlineStr"/>
      <c r="S121" t="inlineStr"/>
      <c r="T121" t="inlineStr"/>
      <c r="V121" t="inlineStr"/>
    </row>
    <row r="122">
      <c r="A122">
        <f>Skills!A13</f>
        <v/>
      </c>
      <c r="B122">
        <f>Skills!B13</f>
        <v/>
      </c>
      <c r="C122">
        <f>Inputs!$B$3&gt;=66</f>
        <v/>
      </c>
      <c r="D122">
        <f>IF(Skills!C13=1,60+Inputs!$B$25+Inputs!$B$29,IF(Skills!C13=2,90+Inputs!$B$26+Inputs!$B$29,IF(Skills!C13=3,120+Inputs!$B$27+Inputs!$B$29,MAX(0,(Inputs!$B$3-100)*3)+Inputs!$B$28+Inputs!$B$29)))</f>
        <v/>
      </c>
      <c r="E122">
        <f>INDEX(FactorTable!$B$2:$Y$301, MATCH(ROUND(MIN(300,MAX(1,D122)),0), FactorTable!$A$2:$A$301,0), Skills!M13+1)</f>
        <v/>
      </c>
      <c r="F122">
        <f>IF(Skills!N13=TRUE,(Skills!L13/10)*(E122/1000),Skills!L13/10)+Skills!O13</f>
        <v/>
      </c>
      <c r="G122">
        <f>Skills!G13*IF(Skills!H13&gt;0,Skills!I13/Skills!H13,1)</f>
        <v/>
      </c>
      <c r="H122">
        <f>1-(1-Skills!J13/100)^Skills!K13</f>
        <v/>
      </c>
      <c r="I122" t="inlineStr">
        <is>
          <t>1</t>
        </is>
      </c>
      <c r="J122" t="inlineStr"/>
      <c r="K122" t="inlineStr"/>
      <c r="L122" t="inlineStr"/>
      <c r="M122" t="inlineStr"/>
      <c r="N122" t="inlineStr"/>
      <c r="O122">
        <f>(1-Summary!$B$55)*T122+Summary!$B$55*V122</f>
        <v/>
      </c>
      <c r="P122">
        <f>IF(B144=0,0,O122/B144)</f>
        <v/>
      </c>
      <c r="Q122" t="n">
        <v>0</v>
      </c>
      <c r="R122" t="n">
        <v>0</v>
      </c>
      <c r="S122">
        <f>IFERROR(O122/N122,0)</f>
        <v/>
      </c>
      <c r="T122" t="n">
        <v>0</v>
      </c>
      <c r="V122" t="n">
        <v>0</v>
      </c>
    </row>
    <row r="123">
      <c r="A123">
        <f>Skills!A14</f>
        <v/>
      </c>
      <c r="B123">
        <f>Skills!B14</f>
        <v/>
      </c>
      <c r="C123">
        <f>Inputs!$B$3&gt;=107</f>
        <v/>
      </c>
      <c r="D123">
        <f>IF(Skills!C14=1,60+Inputs!$B$25+Inputs!$B$29,IF(Skills!C14=2,90+Inputs!$B$26+Inputs!$B$29,IF(Skills!C14=3,120+Inputs!$B$27+Inputs!$B$29,MAX(0,(Inputs!$B$3-100)*3)+Inputs!$B$28+Inputs!$B$29)))</f>
        <v/>
      </c>
      <c r="E123">
        <f>INDEX(FactorTable!$B$2:$Y$301, MATCH(ROUND(MIN(300,MAX(1,D123)),0), FactorTable!$A$2:$A$301,0), Skills!M14+1)</f>
        <v/>
      </c>
      <c r="F123">
        <f>IF(Skills!N14=TRUE,(Skills!L14/10)*(E123/1000),Skills!L14/10)+Skills!O14</f>
        <v/>
      </c>
      <c r="G123">
        <f>Skills!G14*IF(Skills!H14&gt;0,Skills!I14/Skills!H14,1)</f>
        <v/>
      </c>
      <c r="H123">
        <f>1-(1-Skills!J14/100)^Skills!K14</f>
        <v/>
      </c>
      <c r="I123" t="inlineStr">
        <is>
          <t>1</t>
        </is>
      </c>
      <c r="J123" t="inlineStr"/>
      <c r="K123" t="inlineStr"/>
      <c r="L123" t="inlineStr"/>
      <c r="M123" t="inlineStr"/>
      <c r="N123" t="inlineStr"/>
      <c r="O123">
        <f>(1-Summary!$B$55)*T123+Summary!$B$55*V123</f>
        <v/>
      </c>
      <c r="P123">
        <f>IF(B144=0,0,O123/B144)</f>
        <v/>
      </c>
      <c r="Q123" t="n">
        <v>0</v>
      </c>
      <c r="R123" t="n">
        <v>0</v>
      </c>
      <c r="S123">
        <f>IFERROR(O123/N123,0)</f>
        <v/>
      </c>
      <c r="T123" t="n">
        <v>0</v>
      </c>
      <c r="V123" t="n">
        <v>0</v>
      </c>
    </row>
    <row r="124">
      <c r="A124">
        <f>Skills!A15</f>
        <v/>
      </c>
      <c r="B124">
        <f>Skills!B15</f>
        <v/>
      </c>
      <c r="C124">
        <f>Inputs!$B$3&gt;=115</f>
        <v/>
      </c>
      <c r="D124">
        <f>IF(Skills!C15=1,60+Inputs!$B$25+Inputs!$B$29,IF(Skills!C15=2,90+Inputs!$B$26+Inputs!$B$29,IF(Skills!C15=3,120+Inputs!$B$27+Inputs!$B$29,MAX(0,(Inputs!$B$3-100)*3)+Inputs!$B$28+Inputs!$B$29)))</f>
        <v/>
      </c>
      <c r="E124">
        <f>INDEX(FactorTable!$B$2:$Y$301, MATCH(ROUND(MIN(300,MAX(1,D124)),0), FactorTable!$A$2:$A$301,0), Skills!M15+1)</f>
        <v/>
      </c>
      <c r="F124">
        <f>IF(Skills!N15=TRUE,(Skills!L15/10)*(E124/1000),Skills!L15/10)+Skills!O15</f>
        <v/>
      </c>
      <c r="G124">
        <f>Skills!G15*IF(Skills!H15&gt;0,Skills!I15/Skills!H15,1)</f>
        <v/>
      </c>
      <c r="H124">
        <f>1-(1-Skills!J15/100)^Skills!K15</f>
        <v/>
      </c>
      <c r="I124" t="inlineStr">
        <is>
          <t>1</t>
        </is>
      </c>
      <c r="J124" t="inlineStr"/>
      <c r="K124" t="inlineStr"/>
      <c r="L124" t="inlineStr"/>
      <c r="M124" t="inlineStr"/>
      <c r="N124" t="inlineStr"/>
      <c r="O124">
        <f>(1-Summary!$B$55)*T124+Summary!$B$55*V124</f>
        <v/>
      </c>
      <c r="P124">
        <f>IF(B144=0,0,O124/B144)</f>
        <v/>
      </c>
      <c r="Q124" t="n">
        <v>0</v>
      </c>
      <c r="R124" t="n">
        <v>0</v>
      </c>
      <c r="S124">
        <f>IFERROR(O124/N124,0)</f>
        <v/>
      </c>
      <c r="T124" t="n">
        <v>0</v>
      </c>
      <c r="V124" t="n">
        <v>0</v>
      </c>
    </row>
    <row r="125">
      <c r="A125">
        <f>Skills!A16</f>
        <v/>
      </c>
      <c r="B125">
        <f>Skills!B16</f>
        <v/>
      </c>
      <c r="C125">
        <f>Inputs!$B$3&gt;=15</f>
        <v/>
      </c>
      <c r="D125">
        <f>IF(Skills!C16=1,60+Inputs!$B$25+Inputs!$B$29,IF(Skills!C16=2,90+Inputs!$B$26+Inputs!$B$29,IF(Skills!C16=3,120+Inputs!$B$27+Inputs!$B$29,MAX(0,(Inputs!$B$3-100)*3)+Inputs!$B$28+Inputs!$B$29)))</f>
        <v/>
      </c>
      <c r="E125">
        <f>INDEX(FactorTable!$B$2:$Y$301, MATCH(ROUND(MIN(300,MAX(1,D125)),0), FactorTable!$A$2:$A$301,0), Skills!M16+1)</f>
        <v/>
      </c>
      <c r="F125">
        <f>IF(Skills!N16=TRUE,(Skills!L16/10)*(E125/1000),Skills!L16/10)+Skills!O16</f>
        <v/>
      </c>
      <c r="G125">
        <f>Skills!G16*IF(Skills!H16&gt;0,Skills!I16/Skills!H16,1)</f>
        <v/>
      </c>
      <c r="H125">
        <f>1-(1-Skills!J16/100)^Skills!K16</f>
        <v/>
      </c>
      <c r="I125" t="inlineStr">
        <is>
          <t>1</t>
        </is>
      </c>
      <c r="J125" t="inlineStr"/>
      <c r="K125" t="inlineStr"/>
      <c r="L125" t="inlineStr"/>
      <c r="M125" t="inlineStr"/>
      <c r="N125" t="inlineStr"/>
      <c r="O125">
        <f>(1-Summary!$B$55)*T125+Summary!$B$55*V125</f>
        <v/>
      </c>
      <c r="P125">
        <f>IF(B144=0,0,O125/B144)</f>
        <v/>
      </c>
      <c r="Q125" t="n">
        <v>0</v>
      </c>
      <c r="R125" t="n">
        <v>0</v>
      </c>
      <c r="S125">
        <f>IFERROR(O125/N125,0)</f>
        <v/>
      </c>
      <c r="T125" t="n">
        <v>0</v>
      </c>
      <c r="V125" t="n">
        <v>0</v>
      </c>
    </row>
    <row r="126">
      <c r="A126">
        <f>Skills!A17</f>
        <v/>
      </c>
      <c r="B126">
        <f>Skills!B17</f>
        <v/>
      </c>
      <c r="C126">
        <f>Inputs!$B$3&gt;=10</f>
        <v/>
      </c>
      <c r="D126">
        <f>IF(Skills!C17=1,60+Inputs!$B$25+Inputs!$B$29,IF(Skills!C17=2,90+Inputs!$B$26+Inputs!$B$29,IF(Skills!C17=3,120+Inputs!$B$27+Inputs!$B$29,MAX(0,(Inputs!$B$3-100)*3)+Inputs!$B$28+Inputs!$B$29)))</f>
        <v/>
      </c>
      <c r="E126">
        <f>INDEX(FactorTable!$B$2:$Y$301, MATCH(ROUND(MIN(300,MAX(1,D126)),0), FactorTable!$A$2:$A$301,0), Skills!M17+1)</f>
        <v/>
      </c>
      <c r="F126">
        <f>IF(Skills!N17=TRUE,(Skills!L17/10)*(E126/1000),Skills!L17/10)+Skills!O17</f>
        <v/>
      </c>
      <c r="G126">
        <f>Skills!G17*IF(Skills!H17&gt;0,Skills!I17/Skills!H17,1)</f>
        <v/>
      </c>
      <c r="H126">
        <f>1-(1-Skills!J17/100)^Skills!K17</f>
        <v/>
      </c>
      <c r="I126" t="inlineStr">
        <is>
          <t>1</t>
        </is>
      </c>
      <c r="J126" t="inlineStr"/>
      <c r="K126" t="inlineStr"/>
      <c r="L126" t="inlineStr"/>
      <c r="M126" t="inlineStr"/>
      <c r="N126" t="inlineStr"/>
      <c r="O126">
        <f>(1-Summary!$B$55)*T126+Summary!$B$55*V126</f>
        <v/>
      </c>
      <c r="P126">
        <f>IF(B144=0,0,O126/B144)</f>
        <v/>
      </c>
      <c r="Q126" t="n">
        <v>0</v>
      </c>
      <c r="R126" t="n">
        <v>0</v>
      </c>
      <c r="S126">
        <f>IFERROR(O126/N126,0)</f>
        <v/>
      </c>
      <c r="T126" t="n">
        <v>0</v>
      </c>
      <c r="V126" t="n">
        <v>0</v>
      </c>
    </row>
    <row r="127">
      <c r="A127">
        <f>Skills!A18</f>
        <v/>
      </c>
      <c r="B127">
        <f>Skills!B18</f>
        <v/>
      </c>
      <c r="C127">
        <f>Inputs!$B$3&gt;=33</f>
        <v/>
      </c>
      <c r="D127">
        <f>IF(Skills!C18=1,60+Inputs!$B$25+Inputs!$B$29,IF(Skills!C18=2,90+Inputs!$B$26+Inputs!$B$29,IF(Skills!C18=3,120+Inputs!$B$27+Inputs!$B$29,MAX(0,(Inputs!$B$3-100)*3)+Inputs!$B$28+Inputs!$B$29)))</f>
        <v/>
      </c>
      <c r="E127">
        <f>INDEX(FactorTable!$B$2:$Y$301, MATCH(ROUND(MIN(300,MAX(1,D127)),0), FactorTable!$A$2:$A$301,0), Skills!M18+1)</f>
        <v/>
      </c>
      <c r="F127">
        <f>IF(Skills!N18=TRUE,(Skills!L18/10)*(E127/1000),Skills!L18/10)+Skills!O18</f>
        <v/>
      </c>
      <c r="G127">
        <f>Skills!G18*IF(Skills!H18&gt;0,Skills!I18/Skills!H18,1)</f>
        <v/>
      </c>
      <c r="H127">
        <f>1-(1-Skills!J18/100)^Skills!K18</f>
        <v/>
      </c>
      <c r="I127" t="inlineStr">
        <is>
          <t>1</t>
        </is>
      </c>
      <c r="J127" t="inlineStr"/>
      <c r="K127" t="inlineStr"/>
      <c r="L127" t="inlineStr"/>
      <c r="M127" t="inlineStr"/>
      <c r="N127" t="inlineStr"/>
      <c r="O127">
        <f>(1-Summary!$B$55)*T127+Summary!$B$55*V127</f>
        <v/>
      </c>
      <c r="P127">
        <f>IF(B144=0,0,O127/B144)</f>
        <v/>
      </c>
      <c r="Q127" t="n">
        <v>0</v>
      </c>
      <c r="R127" t="n">
        <v>0</v>
      </c>
      <c r="S127">
        <f>IFERROR(O127/N127,0)</f>
        <v/>
      </c>
      <c r="T127" t="n">
        <v>0</v>
      </c>
      <c r="V127" t="n">
        <v>0</v>
      </c>
    </row>
    <row r="128">
      <c r="A128">
        <f>Skills!A19</f>
        <v/>
      </c>
      <c r="B128">
        <f>Skills!B19</f>
        <v/>
      </c>
      <c r="C128">
        <f>Inputs!$B$3&gt;=40</f>
        <v/>
      </c>
      <c r="D128">
        <f>IF(Skills!C19=1,60+Inputs!$B$25+Inputs!$B$29,IF(Skills!C19=2,90+Inputs!$B$26+Inputs!$B$29,IF(Skills!C19=3,120+Inputs!$B$27+Inputs!$B$29,MAX(0,(Inputs!$B$3-100)*3)+Inputs!$B$28+Inputs!$B$29)))</f>
        <v/>
      </c>
      <c r="E128">
        <f>INDEX(FactorTable!$B$2:$Y$301, MATCH(ROUND(MIN(300,MAX(1,D128)),0), FactorTable!$A$2:$A$301,0), Skills!M19+1)</f>
        <v/>
      </c>
      <c r="F128">
        <f>IF(Skills!N19=TRUE,(Skills!L19/10)*(E128/1000),Skills!L19/10)+Skills!O19</f>
        <v/>
      </c>
      <c r="G128">
        <f>Skills!G19*IF(Skills!H19&gt;0,Skills!I19/Skills!H19,1)</f>
        <v/>
      </c>
      <c r="H128">
        <f>1-(1-Skills!J19/100)^Skills!K19</f>
        <v/>
      </c>
      <c r="I128" t="inlineStr">
        <is>
          <t>1</t>
        </is>
      </c>
      <c r="J128" t="inlineStr"/>
      <c r="K128" t="inlineStr"/>
      <c r="L128" t="inlineStr"/>
      <c r="M128" t="inlineStr"/>
      <c r="N128" t="inlineStr"/>
      <c r="O128">
        <f>(1-Summary!$B$55)*T128+Summary!$B$55*V128</f>
        <v/>
      </c>
      <c r="P128">
        <f>IF(B144=0,0,O128/B144)</f>
        <v/>
      </c>
      <c r="Q128" t="n">
        <v>0</v>
      </c>
      <c r="R128" t="n">
        <v>0</v>
      </c>
      <c r="S128">
        <f>IFERROR(O128/N128,0)</f>
        <v/>
      </c>
      <c r="T128" t="n">
        <v>0</v>
      </c>
      <c r="V128" t="n">
        <v>0</v>
      </c>
    </row>
    <row r="129">
      <c r="A129">
        <f>Skills!A20</f>
        <v/>
      </c>
      <c r="B129">
        <f>Skills!B20</f>
        <v/>
      </c>
      <c r="C129">
        <f>Inputs!$B$3&gt;=43</f>
        <v/>
      </c>
      <c r="D129">
        <f>IF(Skills!C20=1,60+Inputs!$B$25+Inputs!$B$29,IF(Skills!C20=2,90+Inputs!$B$26+Inputs!$B$29,IF(Skills!C20=3,120+Inputs!$B$27+Inputs!$B$29,MAX(0,(Inputs!$B$3-100)*3)+Inputs!$B$28+Inputs!$B$29)))</f>
        <v/>
      </c>
      <c r="E129">
        <f>INDEX(FactorTable!$B$2:$Y$301, MATCH(ROUND(MIN(300,MAX(1,D129)),0), FactorTable!$A$2:$A$301,0), Skills!M20+1)</f>
        <v/>
      </c>
      <c r="F129">
        <f>IF(Skills!N20=TRUE,(Skills!L20/10)*(E129/1000),Skills!L20/10)+Skills!O20</f>
        <v/>
      </c>
      <c r="G129">
        <f>Skills!G20*IF(Skills!H20&gt;0,Skills!I20/Skills!H20,1)</f>
        <v/>
      </c>
      <c r="H129">
        <f>1-(1-Skills!J20/100)^Skills!K20</f>
        <v/>
      </c>
      <c r="I129" t="inlineStr">
        <is>
          <t>1</t>
        </is>
      </c>
      <c r="J129" t="inlineStr"/>
      <c r="K129" t="inlineStr"/>
      <c r="L129" t="inlineStr"/>
      <c r="M129" t="inlineStr"/>
      <c r="N129" t="inlineStr"/>
      <c r="O129">
        <f>(1-Summary!$B$55)*T129+Summary!$B$55*V129</f>
        <v/>
      </c>
      <c r="P129">
        <f>IF(B144=0,0,O129/B144)</f>
        <v/>
      </c>
      <c r="Q129" t="n">
        <v>0</v>
      </c>
      <c r="R129" t="n">
        <v>0</v>
      </c>
      <c r="S129">
        <f>IFERROR(O129/N129,0)</f>
        <v/>
      </c>
      <c r="T129" t="n">
        <v>0</v>
      </c>
      <c r="V129" t="n">
        <v>0</v>
      </c>
    </row>
    <row r="130">
      <c r="A130">
        <f>Skills!A21</f>
        <v/>
      </c>
      <c r="B130">
        <f>Skills!B21</f>
        <v/>
      </c>
      <c r="C130">
        <f>Inputs!$B$3&gt;=38</f>
        <v/>
      </c>
      <c r="D130">
        <f>IF(Skills!C21=1,60+Inputs!$B$25+Inputs!$B$29,IF(Skills!C21=2,90+Inputs!$B$26+Inputs!$B$29,IF(Skills!C21=3,120+Inputs!$B$27+Inputs!$B$29,MAX(0,(Inputs!$B$3-100)*3)+Inputs!$B$28+Inputs!$B$29)))</f>
        <v/>
      </c>
      <c r="E130">
        <f>INDEX(FactorTable!$B$2:$Y$301, MATCH(ROUND(MIN(300,MAX(1,D130)),0), FactorTable!$A$2:$A$301,0), Skills!M21+1)</f>
        <v/>
      </c>
      <c r="F130">
        <f>IF(Skills!N21=TRUE,(Skills!L21/10)*(E130/1000),Skills!L21/10)+Skills!O21</f>
        <v/>
      </c>
      <c r="G130">
        <f>Skills!G21*IF(Skills!H21&gt;0,Skills!I21/Skills!H21,1)</f>
        <v/>
      </c>
      <c r="H130">
        <f>1-(1-Skills!J21/100)^Skills!K21</f>
        <v/>
      </c>
      <c r="I130" t="inlineStr">
        <is>
          <t>1</t>
        </is>
      </c>
      <c r="J130" t="inlineStr"/>
      <c r="K130" t="inlineStr"/>
      <c r="L130" t="inlineStr"/>
      <c r="M130" t="inlineStr"/>
      <c r="N130" t="inlineStr"/>
      <c r="O130">
        <f>(1-Summary!$B$55)*T130+Summary!$B$55*V130</f>
        <v/>
      </c>
      <c r="P130">
        <f>IF(B144=0,0,O130/B144)</f>
        <v/>
      </c>
      <c r="Q130" t="n">
        <v>0</v>
      </c>
      <c r="R130" t="n">
        <v>0</v>
      </c>
      <c r="S130">
        <f>IFERROR(O130/N130,0)</f>
        <v/>
      </c>
      <c r="T130" t="n">
        <v>0</v>
      </c>
      <c r="V130" t="n">
        <v>0</v>
      </c>
    </row>
    <row r="131">
      <c r="A131">
        <f>Skills!A22</f>
        <v/>
      </c>
      <c r="B131">
        <f>Skills!B22</f>
        <v/>
      </c>
      <c r="C131">
        <f>Inputs!$B$3&gt;=75</f>
        <v/>
      </c>
      <c r="D131">
        <f>IF(Skills!C22=1,60+Inputs!$B$25+Inputs!$B$29,IF(Skills!C22=2,90+Inputs!$B$26+Inputs!$B$29,IF(Skills!C22=3,120+Inputs!$B$27+Inputs!$B$29,MAX(0,(Inputs!$B$3-100)*3)+Inputs!$B$28+Inputs!$B$29)))</f>
        <v/>
      </c>
      <c r="E131">
        <f>INDEX(FactorTable!$B$2:$Y$301, MATCH(ROUND(MIN(300,MAX(1,D131)),0), FactorTable!$A$2:$A$301,0), Skills!M22+1)</f>
        <v/>
      </c>
      <c r="F131">
        <f>IF(Skills!N22=TRUE,(Skills!L22/10)*(E131/1000),Skills!L22/10)+Skills!O22</f>
        <v/>
      </c>
      <c r="G131">
        <f>Skills!G22*IF(Skills!H22&gt;0,Skills!I22/Skills!H22,1)</f>
        <v/>
      </c>
      <c r="H131">
        <f>1-(1-Skills!J22/100)^Skills!K22</f>
        <v/>
      </c>
      <c r="I131" t="inlineStr">
        <is>
          <t>1</t>
        </is>
      </c>
      <c r="J131" t="inlineStr"/>
      <c r="K131" t="inlineStr"/>
      <c r="L131" t="inlineStr"/>
      <c r="M131" t="inlineStr"/>
      <c r="N131" t="inlineStr"/>
      <c r="O131">
        <f>(1-Summary!$B$55)*T131+Summary!$B$55*V131</f>
        <v/>
      </c>
      <c r="P131">
        <f>IF(B144=0,0,O131/B144)</f>
        <v/>
      </c>
      <c r="Q131" t="n">
        <v>0</v>
      </c>
      <c r="R131" t="n">
        <v>0</v>
      </c>
      <c r="S131">
        <f>IFERROR(O131/N131,0)</f>
        <v/>
      </c>
      <c r="T131" t="n">
        <v>0</v>
      </c>
      <c r="V131" t="n">
        <v>0</v>
      </c>
    </row>
    <row r="133">
      <c r="A133" t="inlineStr">
        <is>
          <t>Attack% Bucket Multiplier</t>
        </is>
      </c>
      <c r="B133">
        <f>(1+(((C122=TRUE)*F122)+((C128=TRUE)*(F128-Calc!F19)))/100)</f>
        <v/>
      </c>
    </row>
    <row r="134">
      <c r="A134" t="inlineStr">
        <is>
          <t>Global Crit Rate Bonus %</t>
        </is>
      </c>
      <c r="B134" t="n">
        <v>0</v>
      </c>
    </row>
    <row r="135">
      <c r="A135" t="inlineStr">
        <is>
          <t>Attack Speed Buff Bonus % (unused)</t>
        </is>
      </c>
      <c r="B135" t="n">
        <v>0</v>
      </c>
    </row>
    <row r="136">
      <c r="A136" t="inlineStr">
        <is>
          <t>Actions Per Second</t>
        </is>
      </c>
      <c r="B136">
        <f>1+MIN(150,150*(1-(1-(Inputs!$B$11+((C126=TRUE)*(F126-Calc!F17))+((C127=TRUE)*(F127-Calc!F18)))/150)*(1-B135/150)))/100</f>
        <v/>
      </c>
    </row>
    <row r="137">
      <c r="A137" t="inlineStr">
        <is>
          <t>Skill + Buff Cast Rate</t>
        </is>
      </c>
      <c r="B137">
        <f>IF(AND(Inputs!$B$38&lt;&gt;"pvp",Inputs!$B$43&gt;0),SUMPRODUCT((Skills!E2:E22=TRUE)*(C111:C131=TRUE)*R111:R131*Skills!F2:F22)/Inputs!$B$43,SUMPRODUCT((Skills!E2:E22=TRUE)*(C111:C131=TRUE)*Q111:Q131*Skills!F2:F22))</f>
        <v/>
      </c>
    </row>
    <row r="138">
      <c r="A138" t="inlineStr">
        <is>
          <t>Hook Bomber Casts Per Second</t>
        </is>
      </c>
      <c r="B138">
        <f>MAX(0,B136-B137)</f>
        <v/>
      </c>
    </row>
    <row r="139">
      <c r="A139" t="inlineStr">
        <is>
          <t>Global Critical Damage Bonus % (unused)</t>
        </is>
      </c>
      <c r="B139" t="n">
        <v>0</v>
      </c>
    </row>
    <row r="140">
      <c r="A140" t="inlineStr">
        <is>
          <t>Global Final Damage Bonus % (Serpent Scale + Crossbones + Time Leap + Speed Infusion)</t>
        </is>
      </c>
      <c r="B140">
        <f>((C114=TRUE)*F114*((10+IF(Inputs!$B$3&gt;=94,5,0))/((10+IF(Inputs!$B$3&gt;=94,5,0))+5/(B138*(1+IF(Inputs!$B$3&gt;=104,1,0))))))+((C123=TRUE)*F123)+((C124=TRUE)*F124)+((Inputs!$B$3&gt;=110)*20*(B136-1))</f>
        <v/>
      </c>
    </row>
    <row r="141">
      <c r="A141" t="inlineStr">
        <is>
          <t>Buff-Casting Startup Delay (s, fixed-duration only)</t>
        </is>
      </c>
      <c r="B141">
        <f>IF(AND(Inputs!$B$38&lt;&gt;"pvp",Inputs!$B$43&gt;0),SUMPRODUCT((Skills!T2:T22&gt;0)*(Skills!E2:E22=TRUE)*(C111:C131=TRUE))/B136,0)</f>
        <v/>
      </c>
    </row>
    <row r="142">
      <c r="A142" t="inlineStr">
        <is>
          <t>Boss-Only Total DPS (this block's swept value)</t>
        </is>
      </c>
      <c r="B142">
        <f>SUM(T111:T131)</f>
        <v/>
      </c>
    </row>
    <row r="143">
      <c r="A143" t="inlineStr">
        <is>
          <t>Normal-Only Total DPS (this block's swept value)</t>
        </is>
      </c>
      <c r="B143">
        <f>SUM(V111:V131)</f>
        <v/>
      </c>
    </row>
    <row r="144">
      <c r="A144" s="5" t="inlineStr">
        <is>
          <t>TOTAL DPS</t>
        </is>
      </c>
      <c r="B144" s="5">
        <f>SUM(O111:O131)</f>
        <v/>
      </c>
    </row>
    <row r="147">
      <c r="A147" s="5" t="inlineStr">
        <is>
          <t>Stat: DAMAGE %</t>
        </is>
      </c>
    </row>
    <row r="148">
      <c r="A148" s="9" t="inlineStr">
        <is>
          <t>Key</t>
        </is>
      </c>
      <c r="B148" s="9" t="inlineStr">
        <is>
          <t>Name</t>
        </is>
      </c>
      <c r="C148" s="9" t="inlineStr">
        <is>
          <t>Unlocked</t>
        </is>
      </c>
      <c r="D148" s="9" t="inlineStr">
        <is>
          <t>InputLevel</t>
        </is>
      </c>
      <c r="E148" s="9" t="inlineStr">
        <is>
          <t>Factor</t>
        </is>
      </c>
      <c r="F148" s="9" t="inlineStr">
        <is>
          <t>CoefficientPercent</t>
        </is>
      </c>
      <c r="G148" s="9" t="inlineStr">
        <is>
          <t>EffectiveHits</t>
        </is>
      </c>
      <c r="H148" s="9" t="inlineStr">
        <is>
          <t>ProcProbability</t>
        </is>
      </c>
      <c r="I148" s="9" t="inlineStr">
        <is>
          <t>MapleHeroMultiplier</t>
        </is>
      </c>
      <c r="J148" s="9" t="inlineStr">
        <is>
          <t>BaseDamage</t>
        </is>
      </c>
      <c r="K148" s="9" t="inlineStr">
        <is>
          <t>BaseHitDamage</t>
        </is>
      </c>
      <c r="L148" s="9" t="inlineStr">
        <is>
          <t>NonCritAvg</t>
        </is>
      </c>
      <c r="M148" s="9" t="inlineStr">
        <is>
          <t>CritAvg</t>
        </is>
      </c>
      <c r="N148" s="9" t="inlineStr">
        <is>
          <t>ExpectedDamage(perHit)</t>
        </is>
      </c>
      <c r="O148" s="9" t="inlineStr">
        <is>
          <t>DPS</t>
        </is>
      </c>
      <c r="P148" s="9" t="inlineStr">
        <is>
          <t>% of Total</t>
        </is>
      </c>
      <c r="Q148" s="9" t="inlineStr">
        <is>
          <t>InvCooldown</t>
        </is>
      </c>
      <c r="R148" s="9" t="inlineStr">
        <is>
          <t>CastsInFight</t>
        </is>
      </c>
      <c r="S148" s="9" t="inlineStr">
        <is>
          <t>HitRate(perSec)</t>
        </is>
      </c>
      <c r="U148" t="inlineStr">
        <is>
          <t>helpers</t>
        </is>
      </c>
    </row>
    <row r="149">
      <c r="A149">
        <f>Skills!A2</f>
        <v/>
      </c>
      <c r="B149">
        <f>Skills!B2</f>
        <v/>
      </c>
      <c r="C149">
        <f>Inputs!$B$3&gt;=100</f>
        <v/>
      </c>
      <c r="D149" t="inlineStr"/>
      <c r="E149" t="inlineStr"/>
      <c r="F149">
        <f>U151+Skills!O2</f>
        <v/>
      </c>
      <c r="G149">
        <f>Skills!G2*IF(Skills!H2&gt;0,Skills!I2/Skills!H2,1)</f>
        <v/>
      </c>
      <c r="H149">
        <f>1-(1-Skills!J2/100)^Skills!K2</f>
        <v/>
      </c>
      <c r="I149" t="inlineStr">
        <is>
          <t>1</t>
        </is>
      </c>
      <c r="J149">
        <f>((Inputs!$B$6*(1+Inputs!$B$7/100))+(((Inputs!$B$12*(1+Inputs!$B$13/100))-(Inputs!$B$12*(1+Inputs!$B$13/100)))+0.25*(Inputs!$B$14-Inputs!$B$14))*(1+Inputs!$B$7/100))*(F149/100)</f>
        <v/>
      </c>
      <c r="K149">
        <f>J149*(1+((Inputs!$B$12*(1+Inputs!$B$13/100))*0.01+Inputs!$B$14*0.0025)/100)*(1+(Inputs!$B$15+1)/100)*(1+Inputs!$B$16/100)*(5000/(6000+Inputs!$B$42*(1-(Inputs!$B$19+0)/100)))*(1+(Inputs!$B$24+((C169=TRUE)*(F169-Calc!F22))+B178)/100)*(1+(IF(Skills!A2="HOOK_BOMBER",Inputs!$B$17+((C168=TRUE)*(F168-Calc!F21)),Inputs!$B$18+0))/100)*((1+(((C160=TRUE)*F160)+((C166=TRUE)*(F166-Calc!F19)))/100)*I149)</f>
        <v/>
      </c>
      <c r="L149">
        <f>K149*(MIN(Inputs!$B$22+((C167=TRUE)*(F167-Calc!F20)),Inputs!$B$23+0)/100+(Inputs!$B$23+0)/100)/2</f>
        <v/>
      </c>
      <c r="M149">
        <f>L149*(1+(Inputs!$B$10+0+B177)/100)</f>
        <v/>
      </c>
      <c r="N149">
        <f>L149*(1-MIN((Inputs!$B$9+((C163=TRUE)*(F163-Calc!F16))+B172),100)/100)+M149*(MIN((Inputs!$B$9+((C163=TRUE)*(F163-Calc!F16))+B172),100)/100)</f>
        <v/>
      </c>
      <c r="O149">
        <f>(1-Summary!$B$55)*T149+Summary!$B$55*V149</f>
        <v/>
      </c>
      <c r="P149">
        <f>IF(B182=0,0,O149/B182)</f>
        <v/>
      </c>
      <c r="Q149" t="n">
        <v>0</v>
      </c>
      <c r="R149" t="n">
        <v>0</v>
      </c>
      <c r="S149">
        <f>IFERROR(O149/N149,0)</f>
        <v/>
      </c>
      <c r="T149">
        <f>IF(C149,(Skills!G2*N149*B176)*IF(Inputs!$B$38="pvp",1,1+(Inputs!$B$20+0+Skills!P2)/100),0)</f>
        <v/>
      </c>
      <c r="U149">
        <f>MAX(0,(Inputs!$B$3-100)*3)+Inputs!$B$28+Inputs!$B$29</f>
        <v/>
      </c>
      <c r="V149">
        <f>IF(C149,(Skills!G2*N149*B176)*IF(Inputs!$B$38="pvp",1,(1+(Inputs!$B$21+Skills!Q2)/100)*(MIN((6+Inputs!$B$33),Inputs!$B$37))),0)</f>
        <v/>
      </c>
    </row>
    <row r="150">
      <c r="A150">
        <f>Skills!A3</f>
        <v/>
      </c>
      <c r="B150">
        <f>Skills!B3</f>
        <v/>
      </c>
      <c r="C150">
        <f>Inputs!$B$3&gt;=35</f>
        <v/>
      </c>
      <c r="D150">
        <f>IF(Skills!C3=1,60+Inputs!$B$25+Inputs!$B$29,IF(Skills!C3=2,90+Inputs!$B$26+Inputs!$B$29,IF(Skills!C3=3,120+Inputs!$B$27+Inputs!$B$29,MAX(0,(Inputs!$B$3-100)*3)+Inputs!$B$28+Inputs!$B$29)))</f>
        <v/>
      </c>
      <c r="E150">
        <f>INDEX(FactorTable!$B$2:$Y$301, MATCH(ROUND(MIN(300,MAX(1,D150)),0), FactorTable!$A$2:$A$301,0), Skills!M3+1)</f>
        <v/>
      </c>
      <c r="F150">
        <f>IF(Skills!N3=TRUE,(Skills!L3/10)*(E150/1000),Skills!L3/10)+Skills!O3</f>
        <v/>
      </c>
      <c r="G150">
        <f>Skills!G3*IF(Skills!H3&gt;0,Skills!I3/Skills!H3,1)</f>
        <v/>
      </c>
      <c r="H150">
        <f>1-(1-Skills!J3/100)^Skills!K3</f>
        <v/>
      </c>
      <c r="I150" t="inlineStr">
        <is>
          <t>1</t>
        </is>
      </c>
      <c r="J150">
        <f>((Inputs!$B$6*(1+Inputs!$B$7/100))+(((Inputs!$B$12*(1+Inputs!$B$13/100))-(Inputs!$B$12*(1+Inputs!$B$13/100)))+0.25*(Inputs!$B$14-Inputs!$B$14))*(1+Inputs!$B$7/100))*(F150/100)</f>
        <v/>
      </c>
      <c r="K150">
        <f>J150*(1+((Inputs!$B$12*(1+Inputs!$B$13/100))*0.01+Inputs!$B$14*0.0025)/100)*(1+(Inputs!$B$15+1)/100)*(1+Inputs!$B$16/100)*(5000/(6000+Inputs!$B$42*(1-(Inputs!$B$19+0)/100)))*(1+(Inputs!$B$24+((C169=TRUE)*(F169-Calc!F22))+B178)/100)*(1+(IF(Skills!A3="HOOK_BOMBER",Inputs!$B$17+((C168=TRUE)*(F168-Calc!F21)),Inputs!$B$18+0))/100)*((1+(((C160=TRUE)*F160)+((C166=TRUE)*(F166-Calc!F19)))/100)*I150)</f>
        <v/>
      </c>
      <c r="L150">
        <f>K150*(MIN(Inputs!$B$22+((C167=TRUE)*(F167-Calc!F20)),Inputs!$B$23+0)/100+(Inputs!$B$23+0)/100)/2</f>
        <v/>
      </c>
      <c r="M150">
        <f>L150*(1+(Inputs!$B$10+0+B177)/100)</f>
        <v/>
      </c>
      <c r="N150">
        <f>L150*(1-MIN((Inputs!$B$9+((C163=TRUE)*(F163-Calc!F16))+B172),100)/100)+M150*(MIN((Inputs!$B$9+((C163=TRUE)*(F163-Calc!F16))+B172),100)/100)</f>
        <v/>
      </c>
      <c r="O150">
        <f>(1-Summary!$B$55)*T150+Summary!$B$55*V150</f>
        <v/>
      </c>
      <c r="P150">
        <f>IF(B182=0,0,O150/B182)</f>
        <v/>
      </c>
      <c r="Q150" t="n">
        <v>0</v>
      </c>
      <c r="R150" t="n">
        <v>0</v>
      </c>
      <c r="S150">
        <f>IFERROR(O150/N150,0)</f>
        <v/>
      </c>
      <c r="T150">
        <f>IF(C150,(Skills!G3*H150*N150*B176)*IF(Inputs!$B$38="pvp",1,1+(Inputs!$B$20+0+Skills!P3)/100),0)</f>
        <v/>
      </c>
      <c r="U150">
        <f>INDEX(FactorTable!$B$2:$Y$301, MATCH(ROUND(MIN(300,MAX(1,U149)),0), FactorTable!$A$2:$A$301,0), 22)</f>
        <v/>
      </c>
      <c r="V150">
        <f>IF(C150,(Skills!G3*H150*N150*B176)*IF(Inputs!$B$38="pvp",1,(1+(Inputs!$B$21+Skills!Q3)/100)*(MIN(Skills!R3,Inputs!$B$37))),0)</f>
        <v/>
      </c>
    </row>
    <row r="151">
      <c r="A151">
        <f>Skills!A4</f>
        <v/>
      </c>
      <c r="B151">
        <f>Skills!B4</f>
        <v/>
      </c>
      <c r="C151">
        <f>Inputs!$B$3&gt;=60</f>
        <v/>
      </c>
      <c r="D151">
        <f>IF(Skills!C4=1,60+Inputs!$B$25+Inputs!$B$29,IF(Skills!C4=2,90+Inputs!$B$26+Inputs!$B$29,IF(Skills!C4=3,120+Inputs!$B$27+Inputs!$B$29,MAX(0,(Inputs!$B$3-100)*3)+Inputs!$B$28+Inputs!$B$29)))</f>
        <v/>
      </c>
      <c r="E151">
        <f>INDEX(FactorTable!$B$2:$Y$301, MATCH(ROUND(MIN(300,MAX(1,D151)),0), FactorTable!$A$2:$A$301,0), Skills!M4+1)</f>
        <v/>
      </c>
      <c r="F151">
        <f>IF(Skills!N4=TRUE,(Skills!L4/10)*(E151/1000),Skills!L4/10)+Skills!O4</f>
        <v/>
      </c>
      <c r="G151">
        <f>Skills!G4*IF(Skills!H4&gt;0,Skills!I4/Skills!H4,1)</f>
        <v/>
      </c>
      <c r="H151">
        <f>1-(1-Skills!J4/100)^Skills!K4</f>
        <v/>
      </c>
      <c r="I151" t="inlineStr">
        <is>
          <t>1</t>
        </is>
      </c>
      <c r="J151">
        <f>((Inputs!$B$6*(1+Inputs!$B$7/100))+(((Inputs!$B$12*(1+Inputs!$B$13/100))-(Inputs!$B$12*(1+Inputs!$B$13/100)))+0.25*(Inputs!$B$14-Inputs!$B$14))*(1+Inputs!$B$7/100))*(F151/100)</f>
        <v/>
      </c>
      <c r="K151">
        <f>J151*(1+((Inputs!$B$12*(1+Inputs!$B$13/100))*0.01+Inputs!$B$14*0.0025)/100)*(1+(Inputs!$B$15+1)/100)*(1+Inputs!$B$16/100)*(5000/(6000+Inputs!$B$42*(1-(Inputs!$B$19+0)/100)))*(1+(Inputs!$B$24+((C169=TRUE)*(F169-Calc!F22))+B178)/100)*(1+1.0*IF(C159=TRUE,F159,0)/100)*(1+(IF(Skills!A4="HOOK_BOMBER",Inputs!$B$17+((C168=TRUE)*(F168-Calc!F21)),Inputs!$B$18+0))/100)*((1+(((C160=TRUE)*F160)+((C166=TRUE)*(F166-Calc!F19)))/100)*I151)</f>
        <v/>
      </c>
      <c r="L151">
        <f>K151*(MIN(Inputs!$B$22+((C167=TRUE)*(F167-Calc!F20)),Inputs!$B$23+0)/100+(Inputs!$B$23+0)/100)/2</f>
        <v/>
      </c>
      <c r="M151">
        <f>L151*(1+(Inputs!$B$10+0+B177)/100)</f>
        <v/>
      </c>
      <c r="N151">
        <f>L151*(1-MIN((Inputs!$B$9+((C163=TRUE)*(F163-Calc!F16))+B172),100)/100)+M151*(MIN((Inputs!$B$9+((C163=TRUE)*(F163-Calc!F16))+B172),100)/100)</f>
        <v/>
      </c>
      <c r="O151">
        <f>(1-Summary!$B$55)*T151+Summary!$B$55*V151</f>
        <v/>
      </c>
      <c r="P151">
        <f>IF(B182=0,0,O151/B182)</f>
        <v/>
      </c>
      <c r="Q151" t="n">
        <v>0</v>
      </c>
      <c r="R151" t="n">
        <v>0</v>
      </c>
      <c r="S151">
        <f>IFERROR(O151/N151,0)</f>
        <v/>
      </c>
      <c r="T151">
        <f>IF(C151,(Skills!G4*H151*N151*B176)*IF(Inputs!$B$38="pvp",1,1+(Inputs!$B$20+0+Skills!P4)/100),0)</f>
        <v/>
      </c>
      <c r="U151">
        <f>290*U150/1000</f>
        <v/>
      </c>
      <c r="V151">
        <f>IF(C151,(Skills!G4*H151*N151*B176)*IF(Inputs!$B$38="pvp",1,(1+(Inputs!$B$21+Skills!Q4)/100)*(MIN(Skills!R4,Inputs!$B$37))),0)</f>
        <v/>
      </c>
    </row>
    <row r="152">
      <c r="A152">
        <f>Skills!A5</f>
        <v/>
      </c>
      <c r="B152">
        <f>Skills!B5</f>
        <v/>
      </c>
      <c r="C152">
        <f>Inputs!$B$3&gt;=60</f>
        <v/>
      </c>
      <c r="D152">
        <f>IF(Skills!C5=1,60+Inputs!$B$25+Inputs!$B$29,IF(Skills!C5=2,90+Inputs!$B$26+Inputs!$B$29,IF(Skills!C5=3,120+Inputs!$B$27+Inputs!$B$29,MAX(0,(Inputs!$B$3-100)*3)+Inputs!$B$28+Inputs!$B$29)))</f>
        <v/>
      </c>
      <c r="E152">
        <f>INDEX(FactorTable!$B$2:$Y$301, MATCH(ROUND(MIN(300,MAX(1,D152)),0), FactorTable!$A$2:$A$301,0), Skills!M5+1)</f>
        <v/>
      </c>
      <c r="F152">
        <f>IF(Skills!N5=TRUE,(Skills!L5/10)*(E152/1000),Skills!L5/10)+Skills!O5</f>
        <v/>
      </c>
      <c r="G152">
        <f>Skills!G5*IF(Skills!H5&gt;0,Skills!I5/Skills!H5,1)</f>
        <v/>
      </c>
      <c r="H152">
        <f>1-(1-Skills!J5/100)^Skills!K5</f>
        <v/>
      </c>
      <c r="I152" t="inlineStr">
        <is>
          <t>1</t>
        </is>
      </c>
      <c r="J152" t="inlineStr"/>
      <c r="K152" t="inlineStr"/>
      <c r="L152" t="inlineStr"/>
      <c r="M152" t="inlineStr"/>
      <c r="N152" t="inlineStr"/>
      <c r="O152">
        <f>(1-Summary!$B$55)*T152+Summary!$B$55*V152</f>
        <v/>
      </c>
      <c r="P152">
        <f>IF(B182=0,0,O152/B182)</f>
        <v/>
      </c>
      <c r="Q152" t="n">
        <v>0</v>
      </c>
      <c r="R152" t="n">
        <v>0</v>
      </c>
      <c r="S152">
        <f>IFERROR(O152/N152,0)</f>
        <v/>
      </c>
      <c r="T152" t="n">
        <v>0</v>
      </c>
      <c r="V152" t="n">
        <v>0</v>
      </c>
    </row>
    <row r="153">
      <c r="A153">
        <f>Skills!A6</f>
        <v/>
      </c>
      <c r="B153">
        <f>Skills!B6</f>
        <v/>
      </c>
      <c r="C153">
        <f>Inputs!$B$3&gt;=63</f>
        <v/>
      </c>
      <c r="D153">
        <f>IF(Skills!C6=1,60+Inputs!$B$25+Inputs!$B$29,IF(Skills!C6=2,90+Inputs!$B$26+Inputs!$B$29,IF(Skills!C6=3,120+Inputs!$B$27+Inputs!$B$29,MAX(0,(Inputs!$B$3-100)*3)+Inputs!$B$28+Inputs!$B$29)))</f>
        <v/>
      </c>
      <c r="E153">
        <f>INDEX(FactorTable!$B$2:$Y$301, MATCH(ROUND(MIN(300,MAX(1,D153)),0), FactorTable!$A$2:$A$301,0), Skills!M6+1)</f>
        <v/>
      </c>
      <c r="F153">
        <f>IF(Skills!N6=TRUE,(Skills!L6/10)*(E153/1000),Skills!L6/10)+Skills!O6</f>
        <v/>
      </c>
      <c r="G153">
        <f>Skills!G6*IF(Skills!H6&gt;0,Skills!I6/Skills!H6,1)</f>
        <v/>
      </c>
      <c r="H153">
        <f>1-(1-Skills!J6/100)^Skills!K6</f>
        <v/>
      </c>
      <c r="I153" t="inlineStr">
        <is>
          <t>1</t>
        </is>
      </c>
      <c r="J153">
        <f>((Inputs!$B$6*(1+Inputs!$B$7/100))+(((Inputs!$B$12*(1+Inputs!$B$13/100))-(Inputs!$B$12*(1+Inputs!$B$13/100)))+0.25*(Inputs!$B$14-Inputs!$B$14))*(1+Inputs!$B$7/100))*(F153/100)</f>
        <v/>
      </c>
      <c r="K153">
        <f>J153*(1+((Inputs!$B$12*(1+Inputs!$B$13/100))*0.01+Inputs!$B$14*0.0025)/100)*(1+(Inputs!$B$15+1)/100)*(1+Inputs!$B$16/100)*(5000/(6000+Inputs!$B$42*(1-(Inputs!$B$19+0)/100)))*(1+(Inputs!$B$24+((C169=TRUE)*(F169-Calc!F22))+B178)/100)*(1+(IF(Skills!A6="HOOK_BOMBER",Inputs!$B$17+((C168=TRUE)*(F168-Calc!F21)),Inputs!$B$18+0))/100)*((1+(((C160=TRUE)*F160)+((C166=TRUE)*(F166-Calc!F19)))/100)*I153)</f>
        <v/>
      </c>
      <c r="L153">
        <f>K153*(MIN(Inputs!$B$22+((C167=TRUE)*(F167-Calc!F20)),Inputs!$B$23+0)/100+(Inputs!$B$23+0)/100)/2</f>
        <v/>
      </c>
      <c r="M153">
        <f>L153*(1+(Inputs!$B$10+0+B177)/100)</f>
        <v/>
      </c>
      <c r="N153">
        <f>L153*(1-MIN((Inputs!$B$9+((C163=TRUE)*(F163-Calc!F16))+B172),100)/100)+M153*(MIN((Inputs!$B$9+((C163=TRUE)*(F163-Calc!F16))+B172),100)/100)</f>
        <v/>
      </c>
      <c r="O153">
        <f>(1-Summary!$B$55)*T153+Summary!$B$55*V153</f>
        <v/>
      </c>
      <c r="P153">
        <f>IF(B182=0,0,O153/B182)</f>
        <v/>
      </c>
      <c r="Q153">
        <f>IFERROR(1/IF(Inputs!$B$38="pvp",15,MAX(0.1,Skills!D6-IF(Skills!E6=TRUE,Inputs!$B$32,0))),0)</f>
        <v/>
      </c>
      <c r="R153">
        <f>IF(AND(Inputs!$B$38&lt;&gt;"pvp",Inputs!$B$43&gt;0),IF(MAX(0,Inputs!$B$43-B179)&lt;=0,0,(INT(MAX(0,Inputs!$B$43-B179)/IF(Inputs!$B$38="pvp",15,MAX(0.1,Skills!D6-IF(Skills!E6=TRUE,Inputs!$B$32,0))))+1)),0)</f>
        <v/>
      </c>
      <c r="S153">
        <f>IFERROR(O153/N153,0)</f>
        <v/>
      </c>
      <c r="T153">
        <f>IF(C153,(H153*N153*IF(AND(Inputs!$B$38&lt;&gt;"pvp",Inputs!$B$43&gt;0),((Skills!G6*((R153-1)*IF(Skills!H6&gt;0,Skills!I6/Skills!H6,1)+IF(Skills!H6&gt;0,MIN(Skills!I6,MAX(0,MAX(0,Inputs!$B$43-B179)-((R153-1)*IF(Inputs!$B$38="pvp",15,MAX(0.1,Skills!D6-IF(Skills!E6=TRUE,Inputs!$B$32,0))))))/Skills!H6,1)))/Inputs!$B$43),G153*Q153))*IF(Inputs!$B$38="pvp",1,1+(Inputs!$B$20+0+Skills!P6)/100),0)</f>
        <v/>
      </c>
      <c r="V153">
        <f>IF(C153,(H153*N153*IF(AND(Inputs!$B$38&lt;&gt;"pvp",Inputs!$B$43&gt;0),((Skills!G6*((R153-1)*IF(Skills!H6&gt;0,Skills!I6/Skills!H6,1)+IF(Skills!H6&gt;0,MIN(Skills!I6,MAX(0,MAX(0,Inputs!$B$43-B179)-((R153-1)*IF(Inputs!$B$38="pvp",15,MAX(0.1,Skills!D6-IF(Skills!E6=TRUE,Inputs!$B$32,0))))))/Skills!H6,1)))/Inputs!$B$43),G153*Q153))*IF(Inputs!$B$38="pvp",1,(1+(Inputs!$B$21+Skills!Q6)/100)*(MIN(Skills!R6,Inputs!$B$37))),0)</f>
        <v/>
      </c>
    </row>
    <row r="154">
      <c r="A154">
        <f>Skills!A7</f>
        <v/>
      </c>
      <c r="B154">
        <f>Skills!B7</f>
        <v/>
      </c>
      <c r="C154">
        <f>Inputs!$B$3&gt;=100</f>
        <v/>
      </c>
      <c r="D154">
        <f>IF(Skills!C7=1,60+Inputs!$B$25+Inputs!$B$29,IF(Skills!C7=2,90+Inputs!$B$26+Inputs!$B$29,IF(Skills!C7=3,120+Inputs!$B$27+Inputs!$B$29,MAX(0,(Inputs!$B$3-100)*3)+Inputs!$B$28+Inputs!$B$29)))</f>
        <v/>
      </c>
      <c r="E154">
        <f>INDEX(FactorTable!$B$2:$Y$301, MATCH(ROUND(MIN(300,MAX(1,D154)),0), FactorTable!$A$2:$A$301,0), Skills!M7+1)</f>
        <v/>
      </c>
      <c r="F154">
        <f>IF(Skills!N7=TRUE,(Skills!L7/10)*(E154/1000),Skills!L7/10)+Skills!O7</f>
        <v/>
      </c>
      <c r="G154">
        <f>Skills!G7*IF(Skills!H7&gt;0,Skills!I7/Skills!H7,1)</f>
        <v/>
      </c>
      <c r="H154">
        <f>1-(1-Skills!J7/100)^Skills!K7</f>
        <v/>
      </c>
      <c r="I154" t="inlineStr">
        <is>
          <t>1</t>
        </is>
      </c>
      <c r="J154">
        <f>((Inputs!$B$6*(1+Inputs!$B$7/100))+(((Inputs!$B$12*(1+Inputs!$B$13/100))-(Inputs!$B$12*(1+Inputs!$B$13/100)))+0.25*(Inputs!$B$14-Inputs!$B$14))*(1+Inputs!$B$7/100))*(F154/100)</f>
        <v/>
      </c>
      <c r="K154">
        <f>J154*(1+((Inputs!$B$12*(1+Inputs!$B$13/100))*0.01+Inputs!$B$14*0.0025)/100)*(1+(Inputs!$B$15+1)/100)*(1+Inputs!$B$16/100)*(5000/(6000+Inputs!$B$42*(1-(Inputs!$B$19+0)/100)))*(1+(Inputs!$B$24+((C169=TRUE)*(F169-Calc!F22))+B178)/100)*(1+(IF(Skills!A7="HOOK_BOMBER",Inputs!$B$17+((C168=TRUE)*(F168-Calc!F21)),Inputs!$B$18+0))/100)*((1+(((C160=TRUE)*F160)+((C166=TRUE)*(F166-Calc!F19)))/100)*I154)</f>
        <v/>
      </c>
      <c r="L154">
        <f>K154*(MIN(Inputs!$B$22+((C167=TRUE)*(F167-Calc!F20)),Inputs!$B$23+0)/100+(Inputs!$B$23+0)/100)/2</f>
        <v/>
      </c>
      <c r="M154">
        <f>L154*(1+(Inputs!$B$10+0+B177)/100)</f>
        <v/>
      </c>
      <c r="N154">
        <f>L154*(1-MIN((Inputs!$B$9+((C163=TRUE)*(F163-Calc!F16))+B172),100)/100)+M154*(MIN((Inputs!$B$9+((C163=TRUE)*(F163-Calc!F16))+B172),100)/100)</f>
        <v/>
      </c>
      <c r="O154">
        <f>(1-Summary!$B$55)*T154+Summary!$B$55*V154</f>
        <v/>
      </c>
      <c r="P154">
        <f>IF(B182=0,0,O154/B182)</f>
        <v/>
      </c>
      <c r="Q154">
        <f>IFERROR(1/IF(Inputs!$B$38="pvp",15,MAX(0.1,Skills!D7-IF(Skills!E7=TRUE,Inputs!$B$32,0))),0)</f>
        <v/>
      </c>
      <c r="R154">
        <f>IF(AND(Inputs!$B$38&lt;&gt;"pvp",Inputs!$B$43&gt;0),IF(MAX(0,Inputs!$B$43-B179)&lt;=0,0,(INT(MAX(0,Inputs!$B$43-B179)/IF(Inputs!$B$38="pvp",15,MAX(0.1,Skills!D7-IF(Skills!E7=TRUE,Inputs!$B$32,0))))+1)),0)</f>
        <v/>
      </c>
      <c r="S154">
        <f>IFERROR(O154/N154,0)</f>
        <v/>
      </c>
      <c r="T154">
        <f>IF(C154,(H154*N154*IF(AND(Inputs!$B$38&lt;&gt;"pvp",Inputs!$B$43&gt;0),((Skills!G7*((R154-1)*IF(Skills!H7&gt;0,Skills!I7/Skills!H7,1)+IF(Skills!H7&gt;0,MIN(Skills!I7,MAX(0,MAX(0,Inputs!$B$43-B179)-((R154-1)*IF(Inputs!$B$38="pvp",15,MAX(0.1,Skills!D7-IF(Skills!E7=TRUE,Inputs!$B$32,0))))))/Skills!H7,1)))/Inputs!$B$43),G154*Q154))*IF(Inputs!$B$38="pvp",1,1+(Inputs!$B$20+0+Skills!P7)/100),0)</f>
        <v/>
      </c>
      <c r="V154">
        <f>IF(C154,(H154*N154*IF(AND(Inputs!$B$38&lt;&gt;"pvp",Inputs!$B$43&gt;0),((Skills!G7*((R154-1)*IF(Skills!H7&gt;0,Skills!I7/Skills!H7,1)+IF(Skills!H7&gt;0,MIN(Skills!I7,MAX(0,MAX(0,Inputs!$B$43-B179)-((R154-1)*IF(Inputs!$B$38="pvp",15,MAX(0.1,Skills!D7-IF(Skills!E7=TRUE,Inputs!$B$32,0))))))/Skills!H7,1)))/Inputs!$B$43),G154*Q154))*IF(Inputs!$B$38="pvp",1,(1+(Inputs!$B$21+Skills!Q7)/100)*(MIN(Skills!R7,Inputs!$B$37))),0)</f>
        <v/>
      </c>
    </row>
    <row r="155">
      <c r="A155">
        <f>Skills!A8</f>
        <v/>
      </c>
      <c r="B155">
        <f>Skills!B8</f>
        <v/>
      </c>
      <c r="C155">
        <f>Inputs!$B$3&gt;=110</f>
        <v/>
      </c>
      <c r="D155">
        <f>IF(Skills!C8=1,60+Inputs!$B$25+Inputs!$B$29,IF(Skills!C8=2,90+Inputs!$B$26+Inputs!$B$29,IF(Skills!C8=3,120+Inputs!$B$27+Inputs!$B$29,MAX(0,(Inputs!$B$3-100)*3)+Inputs!$B$28+Inputs!$B$29)))</f>
        <v/>
      </c>
      <c r="E155">
        <f>INDEX(FactorTable!$B$2:$Y$301, MATCH(ROUND(MIN(300,MAX(1,D155)),0), FactorTable!$A$2:$A$301,0), Skills!M8+1)</f>
        <v/>
      </c>
      <c r="F155">
        <f>IF(Skills!N8=TRUE,(Skills!L8/10)*(E155/1000),Skills!L8/10)+Skills!O8</f>
        <v/>
      </c>
      <c r="G155">
        <f>Skills!G8*IF(Skills!H8&gt;0,Skills!I8/Skills!H8,1)</f>
        <v/>
      </c>
      <c r="H155">
        <f>1-(1-Skills!J8/100)^Skills!K8</f>
        <v/>
      </c>
      <c r="I155" t="inlineStr">
        <is>
          <t>1</t>
        </is>
      </c>
      <c r="J155">
        <f>((Inputs!$B$6*(1+Inputs!$B$7/100))+(((Inputs!$B$12*(1+Inputs!$B$13/100))-(Inputs!$B$12*(1+Inputs!$B$13/100)))+0.25*(Inputs!$B$14-Inputs!$B$14))*(1+Inputs!$B$7/100))*(F155/100)</f>
        <v/>
      </c>
      <c r="K155">
        <f>J155*(1+((Inputs!$B$12*(1+Inputs!$B$13/100))*0.01+Inputs!$B$14*0.0025)/100)*(1+(Inputs!$B$15+1)/100)*(1+Inputs!$B$16/100)*(5000/(6000+Inputs!$B$42*(1-(Inputs!$B$19+0)/100)))*(1+(Inputs!$B$24+((C169=TRUE)*(F169-Calc!F22))+B178)/100)*(1+(IF(Skills!A8="HOOK_BOMBER",Inputs!$B$17+((C168=TRUE)*(F168-Calc!F21)),Inputs!$B$18+0))/100)*((1+(((C160=TRUE)*F160)+((C166=TRUE)*(F166-Calc!F19)))/100)*I155)</f>
        <v/>
      </c>
      <c r="L155">
        <f>K155*(MIN(Inputs!$B$22+((C167=TRUE)*(F167-Calc!F20)),Inputs!$B$23+0)/100+(Inputs!$B$23+0)/100)/2</f>
        <v/>
      </c>
      <c r="M155">
        <f>L155*(1+(Inputs!$B$10+0+B177)/100)</f>
        <v/>
      </c>
      <c r="N155">
        <f>L155*(1-MIN((Inputs!$B$9+((C163=TRUE)*(F163-Calc!F16))+B172),100)/100)+M155*(MIN((Inputs!$B$9+((C163=TRUE)*(F163-Calc!F16))+B172),100)/100)</f>
        <v/>
      </c>
      <c r="O155">
        <f>(1-Summary!$B$55)*T155+Summary!$B$55*V155</f>
        <v/>
      </c>
      <c r="P155">
        <f>IF(B182=0,0,O155/B182)</f>
        <v/>
      </c>
      <c r="Q155">
        <f>IFERROR(1/IF(Inputs!$B$38="pvp",15,MAX(0.1,Skills!D8-IF(Skills!E8=TRUE,Inputs!$B$32,0))),0)</f>
        <v/>
      </c>
      <c r="R155">
        <f>IF(AND(Inputs!$B$38&lt;&gt;"pvp",Inputs!$B$43&gt;0),IF(MAX(0,Inputs!$B$43-B179)&lt;=0,0,(INT(MAX(0,Inputs!$B$43-B179)/IF(Inputs!$B$38="pvp",15,MAX(0.1,Skills!D8-IF(Skills!E8=TRUE,Inputs!$B$32,0))))+1)),0)</f>
        <v/>
      </c>
      <c r="S155">
        <f>IFERROR(O155/N155,0)</f>
        <v/>
      </c>
      <c r="T155">
        <f>IF(C155,(H155*N155*IF(AND(Inputs!$B$38&lt;&gt;"pvp",Inputs!$B$43&gt;0),((Skills!G8*((R155-1)*IF(Skills!H8&gt;0,Skills!I8/Skills!H8,1)+IF(Skills!H8&gt;0,MIN(Skills!I8,MAX(0,MAX(0,Inputs!$B$43-B179)-((R155-1)*IF(Inputs!$B$38="pvp",15,MAX(0.1,Skills!D8-IF(Skills!E8=TRUE,Inputs!$B$32,0))))))/Skills!H8,1)))/Inputs!$B$43),G155*Q155))*IF(Inputs!$B$38="pvp",1,1+(Inputs!$B$20+0+Skills!P8)/100),0)</f>
        <v/>
      </c>
      <c r="V155">
        <f>IF(C155,(H155*N155*IF(AND(Inputs!$B$38&lt;&gt;"pvp",Inputs!$B$43&gt;0),((Skills!G8*((R155-1)*IF(Skills!H8&gt;0,Skills!I8/Skills!H8,1)+IF(Skills!H8&gt;0,MIN(Skills!I8,MAX(0,MAX(0,Inputs!$B$43-B179)-((R155-1)*IF(Inputs!$B$38="pvp",15,MAX(0.1,Skills!D8-IF(Skills!E8=TRUE,Inputs!$B$32,0))))))/Skills!H8,1)))/Inputs!$B$43),G155*Q155))*IF(Inputs!$B$38="pvp",1,(1+(Inputs!$B$21+Skills!Q8)/100)*(MIN(Skills!R8,Inputs!$B$37))),0)</f>
        <v/>
      </c>
    </row>
    <row r="156">
      <c r="A156">
        <f>Skills!A9</f>
        <v/>
      </c>
      <c r="B156">
        <f>Skills!B9</f>
        <v/>
      </c>
      <c r="C156">
        <f>Inputs!$B$3&gt;=110</f>
        <v/>
      </c>
      <c r="D156">
        <f>IF(Skills!C9=1,60+Inputs!$B$25+Inputs!$B$29,IF(Skills!C9=2,90+Inputs!$B$26+Inputs!$B$29,IF(Skills!C9=3,120+Inputs!$B$27+Inputs!$B$29,MAX(0,(Inputs!$B$3-100)*3)+Inputs!$B$28+Inputs!$B$29)))</f>
        <v/>
      </c>
      <c r="E156">
        <f>INDEX(FactorTable!$B$2:$Y$301, MATCH(ROUND(MIN(300,MAX(1,D156)),0), FactorTable!$A$2:$A$301,0), Skills!M9+1)</f>
        <v/>
      </c>
      <c r="F156">
        <f>IF(Skills!N9=TRUE,(Skills!L9/10)*(E156/1000),Skills!L9/10)+Skills!O9</f>
        <v/>
      </c>
      <c r="G156">
        <f>Skills!G9*IF(Skills!H9&gt;0,Skills!I9/Skills!H9,1)</f>
        <v/>
      </c>
      <c r="H156">
        <f>1-(1-Skills!J9/100)^Skills!K9</f>
        <v/>
      </c>
      <c r="I156" t="inlineStr">
        <is>
          <t>1</t>
        </is>
      </c>
      <c r="J156">
        <f>((Inputs!$B$6*(1+Inputs!$B$7/100))+(((Inputs!$B$12*(1+Inputs!$B$13/100))-(Inputs!$B$12*(1+Inputs!$B$13/100)))+0.25*(Inputs!$B$14-Inputs!$B$14))*(1+Inputs!$B$7/100))*(F156/100)</f>
        <v/>
      </c>
      <c r="K156">
        <f>J156*(1+((Inputs!$B$12*(1+Inputs!$B$13/100))*0.01+Inputs!$B$14*0.0025)/100)*(1+(Inputs!$B$15+1)/100)*(1+Inputs!$B$16/100)*(5000/(6000+Inputs!$B$42*(1-(Inputs!$B$19+0)/100)))*(1+(Inputs!$B$24+((C169=TRUE)*(F169-Calc!F22))+B178)/100)*(1+(IF(Skills!A9="HOOK_BOMBER",Inputs!$B$17+((C168=TRUE)*(F168-Calc!F21)),Inputs!$B$18+0))/100)*((1+(((C160=TRUE)*F160)+((C166=TRUE)*(F166-Calc!F19)))/100)*I156)</f>
        <v/>
      </c>
      <c r="L156">
        <f>K156*(MIN(Inputs!$B$22+((C167=TRUE)*(F167-Calc!F20)),Inputs!$B$23+0)/100+(Inputs!$B$23+0)/100)/2</f>
        <v/>
      </c>
      <c r="M156">
        <f>L156*(1+(Inputs!$B$10+0+B177)/100)</f>
        <v/>
      </c>
      <c r="N156">
        <f>L156*(1-MIN((Inputs!$B$9+((C163=TRUE)*(F163-Calc!F16))+B172),100)/100)+M156*(MIN((Inputs!$B$9+((C163=TRUE)*(F163-Calc!F16))+B172),100)/100)</f>
        <v/>
      </c>
      <c r="O156">
        <f>(1-Summary!$B$55)*T156+Summary!$B$55*V156</f>
        <v/>
      </c>
      <c r="P156">
        <f>IF(B182=0,0,O156/B182)</f>
        <v/>
      </c>
      <c r="Q156">
        <f>IFERROR(1/IF(Inputs!$B$38="pvp",15,MAX(0.1,Skills!D9-IF(Skills!E9=TRUE,Inputs!$B$32,0))),0)</f>
        <v/>
      </c>
      <c r="R156">
        <f>IF(AND(Inputs!$B$38&lt;&gt;"pvp",Inputs!$B$43&gt;0),IF(MAX(0,Inputs!$B$43-B179)&lt;=0,0,(INT(MAX(0,Inputs!$B$43-B179)/IF(Inputs!$B$38="pvp",15,MAX(0.1,Skills!D9-IF(Skills!E9=TRUE,Inputs!$B$32,0))))+1)),0)</f>
        <v/>
      </c>
      <c r="S156">
        <f>IFERROR(O156/N156,0)</f>
        <v/>
      </c>
      <c r="T156">
        <f>IF(C156,(H156*N156*IF(AND(Inputs!$B$38&lt;&gt;"pvp",Inputs!$B$43&gt;0),((Skills!G9*((R156-1)*IF(Skills!H9&gt;0,Skills!I9/Skills!H9,1)+IF(Skills!H9&gt;0,MIN(Skills!I9,MAX(0,MAX(0,Inputs!$B$43-B179)-((R156-1)*IF(Inputs!$B$38="pvp",15,MAX(0.1,Skills!D9-IF(Skills!E9=TRUE,Inputs!$B$32,0))))))/Skills!H9,1)))/Inputs!$B$43),G156*Q156))*IF(Inputs!$B$38="pvp",1,1+(Inputs!$B$20+0+Skills!P9)/100),0)</f>
        <v/>
      </c>
      <c r="V156">
        <f>IF(C156,(H156*N156*IF(AND(Inputs!$B$38&lt;&gt;"pvp",Inputs!$B$43&gt;0),((Skills!G9*((R156-1)*IF(Skills!H9&gt;0,Skills!I9/Skills!H9,1)+IF(Skills!H9&gt;0,MIN(Skills!I9,MAX(0,MAX(0,Inputs!$B$43-B179)-((R156-1)*IF(Inputs!$B$38="pvp",15,MAX(0.1,Skills!D9-IF(Skills!E9=TRUE,Inputs!$B$32,0))))))/Skills!H9,1)))/Inputs!$B$43),G156*Q156))*IF(Inputs!$B$38="pvp",1,(1+(Inputs!$B$21+Skills!Q9)/100)*(MIN(Skills!R9,Inputs!$B$37))),0)</f>
        <v/>
      </c>
    </row>
    <row r="157">
      <c r="A157">
        <f>Skills!A10</f>
        <v/>
      </c>
      <c r="B157">
        <f>Skills!B10</f>
        <v/>
      </c>
      <c r="C157">
        <f>Inputs!$B$3&gt;=103</f>
        <v/>
      </c>
      <c r="D157">
        <f>IF(Skills!C10=1,60+Inputs!$B$25+Inputs!$B$29,IF(Skills!C10=2,90+Inputs!$B$26+Inputs!$B$29,IF(Skills!C10=3,120+Inputs!$B$27+Inputs!$B$29,MAX(0,(Inputs!$B$3-100)*3)+Inputs!$B$28+Inputs!$B$29)))</f>
        <v/>
      </c>
      <c r="E157">
        <f>INDEX(FactorTable!$B$2:$Y$301, MATCH(ROUND(MIN(300,MAX(1,D157)),0), FactorTable!$A$2:$A$301,0), Skills!M10+1)</f>
        <v/>
      </c>
      <c r="F157">
        <f>IF(Skills!N10=TRUE,(Skills!L10/10)*(E157/1000),Skills!L10/10)+Skills!O10</f>
        <v/>
      </c>
      <c r="G157">
        <f>Skills!G10*IF(Skills!H10&gt;0,Skills!I10/Skills!H10,1)</f>
        <v/>
      </c>
      <c r="H157">
        <f>1-(1-Skills!J10/100)^Skills!K10</f>
        <v/>
      </c>
      <c r="I157" t="inlineStr">
        <is>
          <t>1</t>
        </is>
      </c>
      <c r="J157">
        <f>((Inputs!$B$6*(1+Inputs!$B$7/100))+(((Inputs!$B$12*(1+Inputs!$B$13/100))-(Inputs!$B$12*(1+Inputs!$B$13/100)))+0.25*(Inputs!$B$14-Inputs!$B$14))*(1+Inputs!$B$7/100))*(F157/100)</f>
        <v/>
      </c>
      <c r="K157">
        <f>J157*(1+((Inputs!$B$12*(1+Inputs!$B$13/100))*0.01+Inputs!$B$14*0.0025)/100)*(1+(Inputs!$B$15+1)/100)*(1+Inputs!$B$16/100)*(5000/(6000+Inputs!$B$42*(1-(Inputs!$B$19+0)/100)))*(1+(Inputs!$B$24+((C169=TRUE)*(F169-Calc!F22))+B178)/100)*(1+(IF(Skills!A10="HOOK_BOMBER",Inputs!$B$17+((C168=TRUE)*(F168-Calc!F21)),Inputs!$B$18+0))/100)*((1+(((C160=TRUE)*F160)+((C166=TRUE)*(F166-Calc!F19)))/100)*I157)</f>
        <v/>
      </c>
      <c r="L157">
        <f>K157*(MIN(Inputs!$B$22+((C167=TRUE)*(F167-Calc!F20)),Inputs!$B$23+0)/100+(Inputs!$B$23+0)/100)/2</f>
        <v/>
      </c>
      <c r="M157">
        <f>L157*(1+(Inputs!$B$10+0+B177)/100)</f>
        <v/>
      </c>
      <c r="N157">
        <f>L157*(1-MIN((Inputs!$B$9+((C163=TRUE)*(F163-Calc!F16))+B172),100)/100)+M157*(MIN((Inputs!$B$9+((C163=TRUE)*(F163-Calc!F16))+B172),100)/100)</f>
        <v/>
      </c>
      <c r="O157">
        <f>(1-Summary!$B$55)*T157+Summary!$B$55*V157</f>
        <v/>
      </c>
      <c r="P157">
        <f>IF(B182=0,0,O157/B182)</f>
        <v/>
      </c>
      <c r="Q157">
        <f>IFERROR(1/IF(Inputs!$B$38="pvp",15,MAX(0.1,Skills!D10-IF(Skills!E10=TRUE,Inputs!$B$32,0))),0)</f>
        <v/>
      </c>
      <c r="R157">
        <f>IF(AND(Inputs!$B$38&lt;&gt;"pvp",Inputs!$B$43&gt;0),IF(MAX(0,Inputs!$B$43-B179)&lt;=0,0,(INT(MAX(0,Inputs!$B$43-B179)/IF(Inputs!$B$38="pvp",15,MAX(0.1,Skills!D10-IF(Skills!E10=TRUE,Inputs!$B$32,0))))+1)),0)</f>
        <v/>
      </c>
      <c r="S157">
        <f>IFERROR(O157/N157,0)</f>
        <v/>
      </c>
      <c r="T157">
        <f>IF(C157,(H157*N157*IF(AND(Inputs!$B$38&lt;&gt;"pvp",Inputs!$B$43&gt;0),((Skills!G10*((R157-1)*IF(Skills!H10&gt;0,Skills!I10/Skills!H10,1)+IF(Skills!H10&gt;0,MIN(Skills!I10,MAX(0,MAX(0,Inputs!$B$43-B179)-((R157-1)*IF(Inputs!$B$38="pvp",15,MAX(0.1,Skills!D10-IF(Skills!E10=TRUE,Inputs!$B$32,0))))))/Skills!H10,1)))/Inputs!$B$43),G157*Q157))*IF(Inputs!$B$38="pvp",1,1+(Inputs!$B$20+0+Skills!P10)/100),0)</f>
        <v/>
      </c>
      <c r="V157">
        <f>IF(C157,(H157*N157*IF(AND(Inputs!$B$38&lt;&gt;"pvp",Inputs!$B$43&gt;0),((Skills!G10*((R157-1)*IF(Skills!H10&gt;0,Skills!I10/Skills!H10,1)+IF(Skills!H10&gt;0,MIN(Skills!I10,MAX(0,MAX(0,Inputs!$B$43-B179)-((R157-1)*IF(Inputs!$B$38="pvp",15,MAX(0.1,Skills!D10-IF(Skills!E10=TRUE,Inputs!$B$32,0))))))/Skills!H10,1)))/Inputs!$B$43),G157*Q157))*IF(Inputs!$B$38="pvp",1,(1+(Inputs!$B$21+Skills!Q10)/100)*(MIN(Skills!R10,Inputs!$B$37))),0)</f>
        <v/>
      </c>
    </row>
    <row r="158">
      <c r="A158">
        <f>Skills!A11</f>
        <v/>
      </c>
      <c r="B158">
        <f>Skills!B11</f>
        <v/>
      </c>
      <c r="C158">
        <f>Inputs!$B$3&gt;=113</f>
        <v/>
      </c>
      <c r="D158">
        <f>IF(Skills!C11=1,60+Inputs!$B$25+Inputs!$B$29,IF(Skills!C11=2,90+Inputs!$B$26+Inputs!$B$29,IF(Skills!C11=3,120+Inputs!$B$27+Inputs!$B$29,MAX(0,(Inputs!$B$3-100)*3)+Inputs!$B$28+Inputs!$B$29)))</f>
        <v/>
      </c>
      <c r="E158">
        <f>INDEX(FactorTable!$B$2:$Y$301, MATCH(ROUND(MIN(300,MAX(1,D158)),0), FactorTable!$A$2:$A$301,0), Skills!M11+1)</f>
        <v/>
      </c>
      <c r="F158">
        <f>IF(Skills!N11=TRUE,(Skills!L11/10)*(E158/1000),Skills!L11/10)+Skills!O11</f>
        <v/>
      </c>
      <c r="G158">
        <f>Skills!G11*IF(Skills!H11&gt;0,Skills!I11/Skills!H11,1)</f>
        <v/>
      </c>
      <c r="H158">
        <f>1-(1-Skills!J11/100)^Skills!K11</f>
        <v/>
      </c>
      <c r="I158" t="inlineStr">
        <is>
          <t>1</t>
        </is>
      </c>
      <c r="J158">
        <f>((Inputs!$B$6*(1+Inputs!$B$7/100))+(((Inputs!$B$12*(1+Inputs!$B$13/100))-(Inputs!$B$12*(1+Inputs!$B$13/100)))+0.25*(Inputs!$B$14-Inputs!$B$14))*(1+Inputs!$B$7/100))*(F158/100)</f>
        <v/>
      </c>
      <c r="K158">
        <f>J158*(1+((Inputs!$B$12*(1+Inputs!$B$13/100))*0.01+Inputs!$B$14*0.0025)/100)*(1+(Inputs!$B$15+1)/100)*(1+Inputs!$B$16/100)*(5000/(6000+Inputs!$B$42*(1-(Inputs!$B$19+0)/100)))*(1+(Inputs!$B$24+((C169=TRUE)*(F169-Calc!F22))+B178)/100)*(1+(IF(Skills!A11="HOOK_BOMBER",Inputs!$B$17+((C168=TRUE)*(F168-Calc!F21)),Inputs!$B$18+0))/100)*((1+(((C160=TRUE)*F160)+((C166=TRUE)*(F166-Calc!F19)))/100)*I158)</f>
        <v/>
      </c>
      <c r="L158">
        <f>K158*(MIN(Inputs!$B$22+((C167=TRUE)*(F167-Calc!F20)),Inputs!$B$23+0)/100+(Inputs!$B$23+0)/100)/2</f>
        <v/>
      </c>
      <c r="M158">
        <f>L158*(1+(Inputs!$B$10+0+B177)/100)</f>
        <v/>
      </c>
      <c r="N158">
        <f>L158*(1-MIN((Inputs!$B$9+((C163=TRUE)*(F163-Calc!F16))+B172),100)/100)+M158*(MIN((Inputs!$B$9+((C163=TRUE)*(F163-Calc!F16))+B172),100)/100)</f>
        <v/>
      </c>
      <c r="O158">
        <f>(1-Summary!$B$55)*T158+Summary!$B$55*V158</f>
        <v/>
      </c>
      <c r="P158">
        <f>IF(B182=0,0,O158/B182)</f>
        <v/>
      </c>
      <c r="Q158">
        <f>IFERROR(1/IF(Inputs!$B$38="pvp",15,MAX(0.1,Skills!D11-IF(Skills!E11=TRUE,Inputs!$B$32,0))),0)</f>
        <v/>
      </c>
      <c r="R158">
        <f>IF(AND(Inputs!$B$38&lt;&gt;"pvp",Inputs!$B$43&gt;0),IF(MAX(0,Inputs!$B$43-B179)&lt;=0,0,(INT(MAX(0,Inputs!$B$43-B179)/IF(Inputs!$B$38="pvp",15,MAX(0.1,Skills!D11-IF(Skills!E11=TRUE,Inputs!$B$32,0))))+1)),0)</f>
        <v/>
      </c>
      <c r="S158">
        <f>IFERROR(O158/N158,0)</f>
        <v/>
      </c>
      <c r="T158">
        <f>IF(C158,(H158*N158*IF(AND(Inputs!$B$38&lt;&gt;"pvp",Inputs!$B$43&gt;0),((Skills!G11*((R158-1)*IF(Skills!H11&gt;0,Skills!I11/Skills!H11,1)+IF(Skills!H11&gt;0,MIN(Skills!I11,MAX(0,MAX(0,Inputs!$B$43-B179)-((R158-1)*IF(Inputs!$B$38="pvp",15,MAX(0.1,Skills!D11-IF(Skills!E11=TRUE,Inputs!$B$32,0))))))/Skills!H11,1)))/Inputs!$B$43),G158*Q158))*IF(Inputs!$B$38="pvp",1,1+(Inputs!$B$20+0+Skills!P11)/100),0)</f>
        <v/>
      </c>
      <c r="V158">
        <f>IF(C158,(H158*N158*IF(AND(Inputs!$B$38&lt;&gt;"pvp",Inputs!$B$43&gt;0),((Skills!G11*((R158-1)*IF(Skills!H11&gt;0,Skills!I11/Skills!H11,1)+IF(Skills!H11&gt;0,MIN(Skills!I11,MAX(0,MAX(0,Inputs!$B$43-B179)-((R158-1)*IF(Inputs!$B$38="pvp",15,MAX(0.1,Skills!D11-IF(Skills!E11=TRUE,Inputs!$B$32,0))))))/Skills!H11,1)))/Inputs!$B$43),G158*Q158))*IF(Inputs!$B$38="pvp",1,(1+(Inputs!$B$21+Skills!Q11)/100)*(MIN(Skills!R11,Inputs!$B$37))),0)</f>
        <v/>
      </c>
    </row>
    <row r="159">
      <c r="A159">
        <f>Skills!A12</f>
        <v/>
      </c>
      <c r="B159">
        <f>Skills!B12</f>
        <v/>
      </c>
      <c r="C159">
        <f>Inputs!$B$3&gt;=100</f>
        <v/>
      </c>
      <c r="D159">
        <f>IF(Skills!C12=1,60+Inputs!$B$25+Inputs!$B$29,IF(Skills!C12=2,90+Inputs!$B$26+Inputs!$B$29,IF(Skills!C12=3,120+Inputs!$B$27+Inputs!$B$29,MAX(0,(Inputs!$B$3-100)*3)+Inputs!$B$28+Inputs!$B$29)))</f>
        <v/>
      </c>
      <c r="E159">
        <f>INDEX(FactorTable!$B$2:$Y$301, MATCH(ROUND(MIN(300,MAX(1,D159)),0), FactorTable!$A$2:$A$301,0), Skills!M12+1)</f>
        <v/>
      </c>
      <c r="F159">
        <f>IF(Skills!N12=TRUE,(Skills!L12/10)*(E159/1000),Skills!L12/10)+Skills!O12</f>
        <v/>
      </c>
      <c r="G159" t="inlineStr"/>
      <c r="H159" t="inlineStr"/>
      <c r="I159" t="inlineStr">
        <is>
          <t>1</t>
        </is>
      </c>
      <c r="J159" t="inlineStr"/>
      <c r="K159" t="inlineStr"/>
      <c r="L159" t="inlineStr"/>
      <c r="M159" t="inlineStr"/>
      <c r="N159" t="inlineStr"/>
      <c r="O159" t="inlineStr"/>
      <c r="P159" t="inlineStr"/>
      <c r="Q159" t="inlineStr"/>
      <c r="R159" t="inlineStr"/>
      <c r="S159" t="inlineStr"/>
      <c r="T159" t="inlineStr"/>
      <c r="V159" t="inlineStr"/>
    </row>
    <row r="160">
      <c r="A160">
        <f>Skills!A13</f>
        <v/>
      </c>
      <c r="B160">
        <f>Skills!B13</f>
        <v/>
      </c>
      <c r="C160">
        <f>Inputs!$B$3&gt;=66</f>
        <v/>
      </c>
      <c r="D160">
        <f>IF(Skills!C13=1,60+Inputs!$B$25+Inputs!$B$29,IF(Skills!C13=2,90+Inputs!$B$26+Inputs!$B$29,IF(Skills!C13=3,120+Inputs!$B$27+Inputs!$B$29,MAX(0,(Inputs!$B$3-100)*3)+Inputs!$B$28+Inputs!$B$29)))</f>
        <v/>
      </c>
      <c r="E160">
        <f>INDEX(FactorTable!$B$2:$Y$301, MATCH(ROUND(MIN(300,MAX(1,D160)),0), FactorTable!$A$2:$A$301,0), Skills!M13+1)</f>
        <v/>
      </c>
      <c r="F160">
        <f>IF(Skills!N13=TRUE,(Skills!L13/10)*(E160/1000),Skills!L13/10)+Skills!O13</f>
        <v/>
      </c>
      <c r="G160">
        <f>Skills!G13*IF(Skills!H13&gt;0,Skills!I13/Skills!H13,1)</f>
        <v/>
      </c>
      <c r="H160">
        <f>1-(1-Skills!J13/100)^Skills!K13</f>
        <v/>
      </c>
      <c r="I160" t="inlineStr">
        <is>
          <t>1</t>
        </is>
      </c>
      <c r="J160" t="inlineStr"/>
      <c r="K160" t="inlineStr"/>
      <c r="L160" t="inlineStr"/>
      <c r="M160" t="inlineStr"/>
      <c r="N160" t="inlineStr"/>
      <c r="O160">
        <f>(1-Summary!$B$55)*T160+Summary!$B$55*V160</f>
        <v/>
      </c>
      <c r="P160">
        <f>IF(B182=0,0,O160/B182)</f>
        <v/>
      </c>
      <c r="Q160" t="n">
        <v>0</v>
      </c>
      <c r="R160" t="n">
        <v>0</v>
      </c>
      <c r="S160">
        <f>IFERROR(O160/N160,0)</f>
        <v/>
      </c>
      <c r="T160" t="n">
        <v>0</v>
      </c>
      <c r="V160" t="n">
        <v>0</v>
      </c>
    </row>
    <row r="161">
      <c r="A161">
        <f>Skills!A14</f>
        <v/>
      </c>
      <c r="B161">
        <f>Skills!B14</f>
        <v/>
      </c>
      <c r="C161">
        <f>Inputs!$B$3&gt;=107</f>
        <v/>
      </c>
      <c r="D161">
        <f>IF(Skills!C14=1,60+Inputs!$B$25+Inputs!$B$29,IF(Skills!C14=2,90+Inputs!$B$26+Inputs!$B$29,IF(Skills!C14=3,120+Inputs!$B$27+Inputs!$B$29,MAX(0,(Inputs!$B$3-100)*3)+Inputs!$B$28+Inputs!$B$29)))</f>
        <v/>
      </c>
      <c r="E161">
        <f>INDEX(FactorTable!$B$2:$Y$301, MATCH(ROUND(MIN(300,MAX(1,D161)),0), FactorTable!$A$2:$A$301,0), Skills!M14+1)</f>
        <v/>
      </c>
      <c r="F161">
        <f>IF(Skills!N14=TRUE,(Skills!L14/10)*(E161/1000),Skills!L14/10)+Skills!O14</f>
        <v/>
      </c>
      <c r="G161">
        <f>Skills!G14*IF(Skills!H14&gt;0,Skills!I14/Skills!H14,1)</f>
        <v/>
      </c>
      <c r="H161">
        <f>1-(1-Skills!J14/100)^Skills!K14</f>
        <v/>
      </c>
      <c r="I161" t="inlineStr">
        <is>
          <t>1</t>
        </is>
      </c>
      <c r="J161" t="inlineStr"/>
      <c r="K161" t="inlineStr"/>
      <c r="L161" t="inlineStr"/>
      <c r="M161" t="inlineStr"/>
      <c r="N161" t="inlineStr"/>
      <c r="O161">
        <f>(1-Summary!$B$55)*T161+Summary!$B$55*V161</f>
        <v/>
      </c>
      <c r="P161">
        <f>IF(B182=0,0,O161/B182)</f>
        <v/>
      </c>
      <c r="Q161" t="n">
        <v>0</v>
      </c>
      <c r="R161" t="n">
        <v>0</v>
      </c>
      <c r="S161">
        <f>IFERROR(O161/N161,0)</f>
        <v/>
      </c>
      <c r="T161" t="n">
        <v>0</v>
      </c>
      <c r="V161" t="n">
        <v>0</v>
      </c>
    </row>
    <row r="162">
      <c r="A162">
        <f>Skills!A15</f>
        <v/>
      </c>
      <c r="B162">
        <f>Skills!B15</f>
        <v/>
      </c>
      <c r="C162">
        <f>Inputs!$B$3&gt;=115</f>
        <v/>
      </c>
      <c r="D162">
        <f>IF(Skills!C15=1,60+Inputs!$B$25+Inputs!$B$29,IF(Skills!C15=2,90+Inputs!$B$26+Inputs!$B$29,IF(Skills!C15=3,120+Inputs!$B$27+Inputs!$B$29,MAX(0,(Inputs!$B$3-100)*3)+Inputs!$B$28+Inputs!$B$29)))</f>
        <v/>
      </c>
      <c r="E162">
        <f>INDEX(FactorTable!$B$2:$Y$301, MATCH(ROUND(MIN(300,MAX(1,D162)),0), FactorTable!$A$2:$A$301,0), Skills!M15+1)</f>
        <v/>
      </c>
      <c r="F162">
        <f>IF(Skills!N15=TRUE,(Skills!L15/10)*(E162/1000),Skills!L15/10)+Skills!O15</f>
        <v/>
      </c>
      <c r="G162">
        <f>Skills!G15*IF(Skills!H15&gt;0,Skills!I15/Skills!H15,1)</f>
        <v/>
      </c>
      <c r="H162">
        <f>1-(1-Skills!J15/100)^Skills!K15</f>
        <v/>
      </c>
      <c r="I162" t="inlineStr">
        <is>
          <t>1</t>
        </is>
      </c>
      <c r="J162" t="inlineStr"/>
      <c r="K162" t="inlineStr"/>
      <c r="L162" t="inlineStr"/>
      <c r="M162" t="inlineStr"/>
      <c r="N162" t="inlineStr"/>
      <c r="O162">
        <f>(1-Summary!$B$55)*T162+Summary!$B$55*V162</f>
        <v/>
      </c>
      <c r="P162">
        <f>IF(B182=0,0,O162/B182)</f>
        <v/>
      </c>
      <c r="Q162" t="n">
        <v>0</v>
      </c>
      <c r="R162" t="n">
        <v>0</v>
      </c>
      <c r="S162">
        <f>IFERROR(O162/N162,0)</f>
        <v/>
      </c>
      <c r="T162" t="n">
        <v>0</v>
      </c>
      <c r="V162" t="n">
        <v>0</v>
      </c>
    </row>
    <row r="163">
      <c r="A163">
        <f>Skills!A16</f>
        <v/>
      </c>
      <c r="B163">
        <f>Skills!B16</f>
        <v/>
      </c>
      <c r="C163">
        <f>Inputs!$B$3&gt;=15</f>
        <v/>
      </c>
      <c r="D163">
        <f>IF(Skills!C16=1,60+Inputs!$B$25+Inputs!$B$29,IF(Skills!C16=2,90+Inputs!$B$26+Inputs!$B$29,IF(Skills!C16=3,120+Inputs!$B$27+Inputs!$B$29,MAX(0,(Inputs!$B$3-100)*3)+Inputs!$B$28+Inputs!$B$29)))</f>
        <v/>
      </c>
      <c r="E163">
        <f>INDEX(FactorTable!$B$2:$Y$301, MATCH(ROUND(MIN(300,MAX(1,D163)),0), FactorTable!$A$2:$A$301,0), Skills!M16+1)</f>
        <v/>
      </c>
      <c r="F163">
        <f>IF(Skills!N16=TRUE,(Skills!L16/10)*(E163/1000),Skills!L16/10)+Skills!O16</f>
        <v/>
      </c>
      <c r="G163">
        <f>Skills!G16*IF(Skills!H16&gt;0,Skills!I16/Skills!H16,1)</f>
        <v/>
      </c>
      <c r="H163">
        <f>1-(1-Skills!J16/100)^Skills!K16</f>
        <v/>
      </c>
      <c r="I163" t="inlineStr">
        <is>
          <t>1</t>
        </is>
      </c>
      <c r="J163" t="inlineStr"/>
      <c r="K163" t="inlineStr"/>
      <c r="L163" t="inlineStr"/>
      <c r="M163" t="inlineStr"/>
      <c r="N163" t="inlineStr"/>
      <c r="O163">
        <f>(1-Summary!$B$55)*T163+Summary!$B$55*V163</f>
        <v/>
      </c>
      <c r="P163">
        <f>IF(B182=0,0,O163/B182)</f>
        <v/>
      </c>
      <c r="Q163" t="n">
        <v>0</v>
      </c>
      <c r="R163" t="n">
        <v>0</v>
      </c>
      <c r="S163">
        <f>IFERROR(O163/N163,0)</f>
        <v/>
      </c>
      <c r="T163" t="n">
        <v>0</v>
      </c>
      <c r="V163" t="n">
        <v>0</v>
      </c>
    </row>
    <row r="164">
      <c r="A164">
        <f>Skills!A17</f>
        <v/>
      </c>
      <c r="B164">
        <f>Skills!B17</f>
        <v/>
      </c>
      <c r="C164">
        <f>Inputs!$B$3&gt;=10</f>
        <v/>
      </c>
      <c r="D164">
        <f>IF(Skills!C17=1,60+Inputs!$B$25+Inputs!$B$29,IF(Skills!C17=2,90+Inputs!$B$26+Inputs!$B$29,IF(Skills!C17=3,120+Inputs!$B$27+Inputs!$B$29,MAX(0,(Inputs!$B$3-100)*3)+Inputs!$B$28+Inputs!$B$29)))</f>
        <v/>
      </c>
      <c r="E164">
        <f>INDEX(FactorTable!$B$2:$Y$301, MATCH(ROUND(MIN(300,MAX(1,D164)),0), FactorTable!$A$2:$A$301,0), Skills!M17+1)</f>
        <v/>
      </c>
      <c r="F164">
        <f>IF(Skills!N17=TRUE,(Skills!L17/10)*(E164/1000),Skills!L17/10)+Skills!O17</f>
        <v/>
      </c>
      <c r="G164">
        <f>Skills!G17*IF(Skills!H17&gt;0,Skills!I17/Skills!H17,1)</f>
        <v/>
      </c>
      <c r="H164">
        <f>1-(1-Skills!J17/100)^Skills!K17</f>
        <v/>
      </c>
      <c r="I164" t="inlineStr">
        <is>
          <t>1</t>
        </is>
      </c>
      <c r="J164" t="inlineStr"/>
      <c r="K164" t="inlineStr"/>
      <c r="L164" t="inlineStr"/>
      <c r="M164" t="inlineStr"/>
      <c r="N164" t="inlineStr"/>
      <c r="O164">
        <f>(1-Summary!$B$55)*T164+Summary!$B$55*V164</f>
        <v/>
      </c>
      <c r="P164">
        <f>IF(B182=0,0,O164/B182)</f>
        <v/>
      </c>
      <c r="Q164" t="n">
        <v>0</v>
      </c>
      <c r="R164" t="n">
        <v>0</v>
      </c>
      <c r="S164">
        <f>IFERROR(O164/N164,0)</f>
        <v/>
      </c>
      <c r="T164" t="n">
        <v>0</v>
      </c>
      <c r="V164" t="n">
        <v>0</v>
      </c>
    </row>
    <row r="165">
      <c r="A165">
        <f>Skills!A18</f>
        <v/>
      </c>
      <c r="B165">
        <f>Skills!B18</f>
        <v/>
      </c>
      <c r="C165">
        <f>Inputs!$B$3&gt;=33</f>
        <v/>
      </c>
      <c r="D165">
        <f>IF(Skills!C18=1,60+Inputs!$B$25+Inputs!$B$29,IF(Skills!C18=2,90+Inputs!$B$26+Inputs!$B$29,IF(Skills!C18=3,120+Inputs!$B$27+Inputs!$B$29,MAX(0,(Inputs!$B$3-100)*3)+Inputs!$B$28+Inputs!$B$29)))</f>
        <v/>
      </c>
      <c r="E165">
        <f>INDEX(FactorTable!$B$2:$Y$301, MATCH(ROUND(MIN(300,MAX(1,D165)),0), FactorTable!$A$2:$A$301,0), Skills!M18+1)</f>
        <v/>
      </c>
      <c r="F165">
        <f>IF(Skills!N18=TRUE,(Skills!L18/10)*(E165/1000),Skills!L18/10)+Skills!O18</f>
        <v/>
      </c>
      <c r="G165">
        <f>Skills!G18*IF(Skills!H18&gt;0,Skills!I18/Skills!H18,1)</f>
        <v/>
      </c>
      <c r="H165">
        <f>1-(1-Skills!J18/100)^Skills!K18</f>
        <v/>
      </c>
      <c r="I165" t="inlineStr">
        <is>
          <t>1</t>
        </is>
      </c>
      <c r="J165" t="inlineStr"/>
      <c r="K165" t="inlineStr"/>
      <c r="L165" t="inlineStr"/>
      <c r="M165" t="inlineStr"/>
      <c r="N165" t="inlineStr"/>
      <c r="O165">
        <f>(1-Summary!$B$55)*T165+Summary!$B$55*V165</f>
        <v/>
      </c>
      <c r="P165">
        <f>IF(B182=0,0,O165/B182)</f>
        <v/>
      </c>
      <c r="Q165" t="n">
        <v>0</v>
      </c>
      <c r="R165" t="n">
        <v>0</v>
      </c>
      <c r="S165">
        <f>IFERROR(O165/N165,0)</f>
        <v/>
      </c>
      <c r="T165" t="n">
        <v>0</v>
      </c>
      <c r="V165" t="n">
        <v>0</v>
      </c>
    </row>
    <row r="166">
      <c r="A166">
        <f>Skills!A19</f>
        <v/>
      </c>
      <c r="B166">
        <f>Skills!B19</f>
        <v/>
      </c>
      <c r="C166">
        <f>Inputs!$B$3&gt;=40</f>
        <v/>
      </c>
      <c r="D166">
        <f>IF(Skills!C19=1,60+Inputs!$B$25+Inputs!$B$29,IF(Skills!C19=2,90+Inputs!$B$26+Inputs!$B$29,IF(Skills!C19=3,120+Inputs!$B$27+Inputs!$B$29,MAX(0,(Inputs!$B$3-100)*3)+Inputs!$B$28+Inputs!$B$29)))</f>
        <v/>
      </c>
      <c r="E166">
        <f>INDEX(FactorTable!$B$2:$Y$301, MATCH(ROUND(MIN(300,MAX(1,D166)),0), FactorTable!$A$2:$A$301,0), Skills!M19+1)</f>
        <v/>
      </c>
      <c r="F166">
        <f>IF(Skills!N19=TRUE,(Skills!L19/10)*(E166/1000),Skills!L19/10)+Skills!O19</f>
        <v/>
      </c>
      <c r="G166">
        <f>Skills!G19*IF(Skills!H19&gt;0,Skills!I19/Skills!H19,1)</f>
        <v/>
      </c>
      <c r="H166">
        <f>1-(1-Skills!J19/100)^Skills!K19</f>
        <v/>
      </c>
      <c r="I166" t="inlineStr">
        <is>
          <t>1</t>
        </is>
      </c>
      <c r="J166" t="inlineStr"/>
      <c r="K166" t="inlineStr"/>
      <c r="L166" t="inlineStr"/>
      <c r="M166" t="inlineStr"/>
      <c r="N166" t="inlineStr"/>
      <c r="O166">
        <f>(1-Summary!$B$55)*T166+Summary!$B$55*V166</f>
        <v/>
      </c>
      <c r="P166">
        <f>IF(B182=0,0,O166/B182)</f>
        <v/>
      </c>
      <c r="Q166" t="n">
        <v>0</v>
      </c>
      <c r="R166" t="n">
        <v>0</v>
      </c>
      <c r="S166">
        <f>IFERROR(O166/N166,0)</f>
        <v/>
      </c>
      <c r="T166" t="n">
        <v>0</v>
      </c>
      <c r="V166" t="n">
        <v>0</v>
      </c>
    </row>
    <row r="167">
      <c r="A167">
        <f>Skills!A20</f>
        <v/>
      </c>
      <c r="B167">
        <f>Skills!B20</f>
        <v/>
      </c>
      <c r="C167">
        <f>Inputs!$B$3&gt;=43</f>
        <v/>
      </c>
      <c r="D167">
        <f>IF(Skills!C20=1,60+Inputs!$B$25+Inputs!$B$29,IF(Skills!C20=2,90+Inputs!$B$26+Inputs!$B$29,IF(Skills!C20=3,120+Inputs!$B$27+Inputs!$B$29,MAX(0,(Inputs!$B$3-100)*3)+Inputs!$B$28+Inputs!$B$29)))</f>
        <v/>
      </c>
      <c r="E167">
        <f>INDEX(FactorTable!$B$2:$Y$301, MATCH(ROUND(MIN(300,MAX(1,D167)),0), FactorTable!$A$2:$A$301,0), Skills!M20+1)</f>
        <v/>
      </c>
      <c r="F167">
        <f>IF(Skills!N20=TRUE,(Skills!L20/10)*(E167/1000),Skills!L20/10)+Skills!O20</f>
        <v/>
      </c>
      <c r="G167">
        <f>Skills!G20*IF(Skills!H20&gt;0,Skills!I20/Skills!H20,1)</f>
        <v/>
      </c>
      <c r="H167">
        <f>1-(1-Skills!J20/100)^Skills!K20</f>
        <v/>
      </c>
      <c r="I167" t="inlineStr">
        <is>
          <t>1</t>
        </is>
      </c>
      <c r="J167" t="inlineStr"/>
      <c r="K167" t="inlineStr"/>
      <c r="L167" t="inlineStr"/>
      <c r="M167" t="inlineStr"/>
      <c r="N167" t="inlineStr"/>
      <c r="O167">
        <f>(1-Summary!$B$55)*T167+Summary!$B$55*V167</f>
        <v/>
      </c>
      <c r="P167">
        <f>IF(B182=0,0,O167/B182)</f>
        <v/>
      </c>
      <c r="Q167" t="n">
        <v>0</v>
      </c>
      <c r="R167" t="n">
        <v>0</v>
      </c>
      <c r="S167">
        <f>IFERROR(O167/N167,0)</f>
        <v/>
      </c>
      <c r="T167" t="n">
        <v>0</v>
      </c>
      <c r="V167" t="n">
        <v>0</v>
      </c>
    </row>
    <row r="168">
      <c r="A168">
        <f>Skills!A21</f>
        <v/>
      </c>
      <c r="B168">
        <f>Skills!B21</f>
        <v/>
      </c>
      <c r="C168">
        <f>Inputs!$B$3&gt;=38</f>
        <v/>
      </c>
      <c r="D168">
        <f>IF(Skills!C21=1,60+Inputs!$B$25+Inputs!$B$29,IF(Skills!C21=2,90+Inputs!$B$26+Inputs!$B$29,IF(Skills!C21=3,120+Inputs!$B$27+Inputs!$B$29,MAX(0,(Inputs!$B$3-100)*3)+Inputs!$B$28+Inputs!$B$29)))</f>
        <v/>
      </c>
      <c r="E168">
        <f>INDEX(FactorTable!$B$2:$Y$301, MATCH(ROUND(MIN(300,MAX(1,D168)),0), FactorTable!$A$2:$A$301,0), Skills!M21+1)</f>
        <v/>
      </c>
      <c r="F168">
        <f>IF(Skills!N21=TRUE,(Skills!L21/10)*(E168/1000),Skills!L21/10)+Skills!O21</f>
        <v/>
      </c>
      <c r="G168">
        <f>Skills!G21*IF(Skills!H21&gt;0,Skills!I21/Skills!H21,1)</f>
        <v/>
      </c>
      <c r="H168">
        <f>1-(1-Skills!J21/100)^Skills!K21</f>
        <v/>
      </c>
      <c r="I168" t="inlineStr">
        <is>
          <t>1</t>
        </is>
      </c>
      <c r="J168" t="inlineStr"/>
      <c r="K168" t="inlineStr"/>
      <c r="L168" t="inlineStr"/>
      <c r="M168" t="inlineStr"/>
      <c r="N168" t="inlineStr"/>
      <c r="O168">
        <f>(1-Summary!$B$55)*T168+Summary!$B$55*V168</f>
        <v/>
      </c>
      <c r="P168">
        <f>IF(B182=0,0,O168/B182)</f>
        <v/>
      </c>
      <c r="Q168" t="n">
        <v>0</v>
      </c>
      <c r="R168" t="n">
        <v>0</v>
      </c>
      <c r="S168">
        <f>IFERROR(O168/N168,0)</f>
        <v/>
      </c>
      <c r="T168" t="n">
        <v>0</v>
      </c>
      <c r="V168" t="n">
        <v>0</v>
      </c>
    </row>
    <row r="169">
      <c r="A169">
        <f>Skills!A22</f>
        <v/>
      </c>
      <c r="B169">
        <f>Skills!B22</f>
        <v/>
      </c>
      <c r="C169">
        <f>Inputs!$B$3&gt;=75</f>
        <v/>
      </c>
      <c r="D169">
        <f>IF(Skills!C22=1,60+Inputs!$B$25+Inputs!$B$29,IF(Skills!C22=2,90+Inputs!$B$26+Inputs!$B$29,IF(Skills!C22=3,120+Inputs!$B$27+Inputs!$B$29,MAX(0,(Inputs!$B$3-100)*3)+Inputs!$B$28+Inputs!$B$29)))</f>
        <v/>
      </c>
      <c r="E169">
        <f>INDEX(FactorTable!$B$2:$Y$301, MATCH(ROUND(MIN(300,MAX(1,D169)),0), FactorTable!$A$2:$A$301,0), Skills!M22+1)</f>
        <v/>
      </c>
      <c r="F169">
        <f>IF(Skills!N22=TRUE,(Skills!L22/10)*(E169/1000),Skills!L22/10)+Skills!O22</f>
        <v/>
      </c>
      <c r="G169">
        <f>Skills!G22*IF(Skills!H22&gt;0,Skills!I22/Skills!H22,1)</f>
        <v/>
      </c>
      <c r="H169">
        <f>1-(1-Skills!J22/100)^Skills!K22</f>
        <v/>
      </c>
      <c r="I169" t="inlineStr">
        <is>
          <t>1</t>
        </is>
      </c>
      <c r="J169" t="inlineStr"/>
      <c r="K169" t="inlineStr"/>
      <c r="L169" t="inlineStr"/>
      <c r="M169" t="inlineStr"/>
      <c r="N169" t="inlineStr"/>
      <c r="O169">
        <f>(1-Summary!$B$55)*T169+Summary!$B$55*V169</f>
        <v/>
      </c>
      <c r="P169">
        <f>IF(B182=0,0,O169/B182)</f>
        <v/>
      </c>
      <c r="Q169" t="n">
        <v>0</v>
      </c>
      <c r="R169" t="n">
        <v>0</v>
      </c>
      <c r="S169">
        <f>IFERROR(O169/N169,0)</f>
        <v/>
      </c>
      <c r="T169" t="n">
        <v>0</v>
      </c>
      <c r="V169" t="n">
        <v>0</v>
      </c>
    </row>
    <row r="171">
      <c r="A171" t="inlineStr">
        <is>
          <t>Attack% Bucket Multiplier</t>
        </is>
      </c>
      <c r="B171">
        <f>(1+(((C160=TRUE)*F160)+((C166=TRUE)*(F166-Calc!F19)))/100)</f>
        <v/>
      </c>
    </row>
    <row r="172">
      <c r="A172" t="inlineStr">
        <is>
          <t>Global Crit Rate Bonus %</t>
        </is>
      </c>
      <c r="B172" t="n">
        <v>0</v>
      </c>
    </row>
    <row r="173">
      <c r="A173" t="inlineStr">
        <is>
          <t>Attack Speed Buff Bonus % (unused)</t>
        </is>
      </c>
      <c r="B173" t="n">
        <v>0</v>
      </c>
    </row>
    <row r="174">
      <c r="A174" t="inlineStr">
        <is>
          <t>Actions Per Second</t>
        </is>
      </c>
      <c r="B174">
        <f>1+MIN(150,150*(1-(1-(Inputs!$B$11+((C164=TRUE)*(F164-Calc!F17))+((C165=TRUE)*(F165-Calc!F18)))/150)*(1-B173/150)))/100</f>
        <v/>
      </c>
    </row>
    <row r="175">
      <c r="A175" t="inlineStr">
        <is>
          <t>Skill + Buff Cast Rate</t>
        </is>
      </c>
      <c r="B175">
        <f>IF(AND(Inputs!$B$38&lt;&gt;"pvp",Inputs!$B$43&gt;0),SUMPRODUCT((Skills!E2:E22=TRUE)*(C149:C169=TRUE)*R149:R169*Skills!F2:F22)/Inputs!$B$43,SUMPRODUCT((Skills!E2:E22=TRUE)*(C149:C169=TRUE)*Q149:Q169*Skills!F2:F22))</f>
        <v/>
      </c>
    </row>
    <row r="176">
      <c r="A176" t="inlineStr">
        <is>
          <t>Hook Bomber Casts Per Second</t>
        </is>
      </c>
      <c r="B176">
        <f>MAX(0,B174-B175)</f>
        <v/>
      </c>
    </row>
    <row r="177">
      <c r="A177" t="inlineStr">
        <is>
          <t>Global Critical Damage Bonus % (unused)</t>
        </is>
      </c>
      <c r="B177" t="n">
        <v>0</v>
      </c>
    </row>
    <row r="178">
      <c r="A178" t="inlineStr">
        <is>
          <t>Global Final Damage Bonus % (Serpent Scale + Crossbones + Time Leap + Speed Infusion)</t>
        </is>
      </c>
      <c r="B178">
        <f>((C152=TRUE)*F152*((10+IF(Inputs!$B$3&gt;=94,5,0))/((10+IF(Inputs!$B$3&gt;=94,5,0))+5/(B176*(1+IF(Inputs!$B$3&gt;=104,1,0))))))+((C161=TRUE)*F161)+((C162=TRUE)*F162)+((Inputs!$B$3&gt;=110)*20*(B174-1))</f>
        <v/>
      </c>
    </row>
    <row r="179">
      <c r="A179" t="inlineStr">
        <is>
          <t>Buff-Casting Startup Delay (s, fixed-duration only)</t>
        </is>
      </c>
      <c r="B179">
        <f>IF(AND(Inputs!$B$38&lt;&gt;"pvp",Inputs!$B$43&gt;0),SUMPRODUCT((Skills!T2:T22&gt;0)*(Skills!E2:E22=TRUE)*(C149:C169=TRUE))/B174,0)</f>
        <v/>
      </c>
    </row>
    <row r="180">
      <c r="A180" t="inlineStr">
        <is>
          <t>Boss-Only Total DPS (this block's swept value)</t>
        </is>
      </c>
      <c r="B180">
        <f>SUM(T149:T169)</f>
        <v/>
      </c>
    </row>
    <row r="181">
      <c r="A181" t="inlineStr">
        <is>
          <t>Normal-Only Total DPS (this block's swept value)</t>
        </is>
      </c>
      <c r="B181">
        <f>SUM(V149:V169)</f>
        <v/>
      </c>
    </row>
    <row r="182">
      <c r="A182" s="5" t="inlineStr">
        <is>
          <t>TOTAL DPS</t>
        </is>
      </c>
      <c r="B182" s="5">
        <f>SUM(O149:O169)</f>
        <v/>
      </c>
    </row>
    <row r="185">
      <c r="A185" s="5" t="inlineStr">
        <is>
          <t>Stat: DAMAGE_AMP %</t>
        </is>
      </c>
    </row>
    <row r="186">
      <c r="A186" s="9" t="inlineStr">
        <is>
          <t>Key</t>
        </is>
      </c>
      <c r="B186" s="9" t="inlineStr">
        <is>
          <t>Name</t>
        </is>
      </c>
      <c r="C186" s="9" t="inlineStr">
        <is>
          <t>Unlocked</t>
        </is>
      </c>
      <c r="D186" s="9" t="inlineStr">
        <is>
          <t>InputLevel</t>
        </is>
      </c>
      <c r="E186" s="9" t="inlineStr">
        <is>
          <t>Factor</t>
        </is>
      </c>
      <c r="F186" s="9" t="inlineStr">
        <is>
          <t>CoefficientPercent</t>
        </is>
      </c>
      <c r="G186" s="9" t="inlineStr">
        <is>
          <t>EffectiveHits</t>
        </is>
      </c>
      <c r="H186" s="9" t="inlineStr">
        <is>
          <t>ProcProbability</t>
        </is>
      </c>
      <c r="I186" s="9" t="inlineStr">
        <is>
          <t>MapleHeroMultiplier</t>
        </is>
      </c>
      <c r="J186" s="9" t="inlineStr">
        <is>
          <t>BaseDamage</t>
        </is>
      </c>
      <c r="K186" s="9" t="inlineStr">
        <is>
          <t>BaseHitDamage</t>
        </is>
      </c>
      <c r="L186" s="9" t="inlineStr">
        <is>
          <t>NonCritAvg</t>
        </is>
      </c>
      <c r="M186" s="9" t="inlineStr">
        <is>
          <t>CritAvg</t>
        </is>
      </c>
      <c r="N186" s="9" t="inlineStr">
        <is>
          <t>ExpectedDamage(perHit)</t>
        </is>
      </c>
      <c r="O186" s="9" t="inlineStr">
        <is>
          <t>DPS</t>
        </is>
      </c>
      <c r="P186" s="9" t="inlineStr">
        <is>
          <t>% of Total</t>
        </is>
      </c>
      <c r="Q186" s="9" t="inlineStr">
        <is>
          <t>InvCooldown</t>
        </is>
      </c>
      <c r="R186" s="9" t="inlineStr">
        <is>
          <t>CastsInFight</t>
        </is>
      </c>
      <c r="S186" s="9" t="inlineStr">
        <is>
          <t>HitRate(perSec)</t>
        </is>
      </c>
      <c r="U186" t="inlineStr">
        <is>
          <t>helpers</t>
        </is>
      </c>
    </row>
    <row r="187">
      <c r="A187">
        <f>Skills!A2</f>
        <v/>
      </c>
      <c r="B187">
        <f>Skills!B2</f>
        <v/>
      </c>
      <c r="C187">
        <f>Inputs!$B$3&gt;=100</f>
        <v/>
      </c>
      <c r="D187" t="inlineStr"/>
      <c r="E187" t="inlineStr"/>
      <c r="F187">
        <f>U189+Skills!O2</f>
        <v/>
      </c>
      <c r="G187">
        <f>Skills!G2*IF(Skills!H2&gt;0,Skills!I2/Skills!H2,1)</f>
        <v/>
      </c>
      <c r="H187">
        <f>1-(1-Skills!J2/100)^Skills!K2</f>
        <v/>
      </c>
      <c r="I187" t="inlineStr">
        <is>
          <t>1</t>
        </is>
      </c>
      <c r="J187">
        <f>((Inputs!$B$6*(1+Inputs!$B$7/100))+(((Inputs!$B$12*(1+Inputs!$B$13/100))-(Inputs!$B$12*(1+Inputs!$B$13/100)))+0.25*(Inputs!$B$14-Inputs!$B$14))*(1+Inputs!$B$7/100))*(F187/100)</f>
        <v/>
      </c>
      <c r="K187">
        <f>J187*(1+((Inputs!$B$12*(1+Inputs!$B$13/100))*0.01+Inputs!$B$14*0.0025)/100)*(1+Inputs!$B$15/100)*(1+(Inputs!$B$16+1)/100)*(5000/(6000+Inputs!$B$42*(1-(Inputs!$B$19+0)/100)))*(1+(Inputs!$B$24+((C207=TRUE)*(F207-Calc!F22))+B216)/100)*(1+(IF(Skills!A2="HOOK_BOMBER",Inputs!$B$17+((C206=TRUE)*(F206-Calc!F21)),Inputs!$B$18+0))/100)*((1+(((C198=TRUE)*F198)+((C204=TRUE)*(F204-Calc!F19)))/100)*I187)</f>
        <v/>
      </c>
      <c r="L187">
        <f>K187*(MIN(Inputs!$B$22+((C205=TRUE)*(F205-Calc!F20)),Inputs!$B$23+0)/100+(Inputs!$B$23+0)/100)/2</f>
        <v/>
      </c>
      <c r="M187">
        <f>L187*(1+(Inputs!$B$10+0+B215)/100)</f>
        <v/>
      </c>
      <c r="N187">
        <f>L187*(1-MIN((Inputs!$B$9+((C201=TRUE)*(F201-Calc!F16))+B210),100)/100)+M187*(MIN((Inputs!$B$9+((C201=TRUE)*(F201-Calc!F16))+B210),100)/100)</f>
        <v/>
      </c>
      <c r="O187">
        <f>(1-Summary!$B$55)*T187+Summary!$B$55*V187</f>
        <v/>
      </c>
      <c r="P187">
        <f>IF(B220=0,0,O187/B220)</f>
        <v/>
      </c>
      <c r="Q187" t="n">
        <v>0</v>
      </c>
      <c r="R187" t="n">
        <v>0</v>
      </c>
      <c r="S187">
        <f>IFERROR(O187/N187,0)</f>
        <v/>
      </c>
      <c r="T187">
        <f>IF(C187,(Skills!G2*N187*B214)*IF(Inputs!$B$38="pvp",1,1+(Inputs!$B$20+0+Skills!P2)/100),0)</f>
        <v/>
      </c>
      <c r="U187">
        <f>MAX(0,(Inputs!$B$3-100)*3)+Inputs!$B$28+Inputs!$B$29</f>
        <v/>
      </c>
      <c r="V187">
        <f>IF(C187,(Skills!G2*N187*B214)*IF(Inputs!$B$38="pvp",1,(1+(Inputs!$B$21+Skills!Q2)/100)*(MIN((6+Inputs!$B$33),Inputs!$B$37))),0)</f>
        <v/>
      </c>
    </row>
    <row r="188">
      <c r="A188">
        <f>Skills!A3</f>
        <v/>
      </c>
      <c r="B188">
        <f>Skills!B3</f>
        <v/>
      </c>
      <c r="C188">
        <f>Inputs!$B$3&gt;=35</f>
        <v/>
      </c>
      <c r="D188">
        <f>IF(Skills!C3=1,60+Inputs!$B$25+Inputs!$B$29,IF(Skills!C3=2,90+Inputs!$B$26+Inputs!$B$29,IF(Skills!C3=3,120+Inputs!$B$27+Inputs!$B$29,MAX(0,(Inputs!$B$3-100)*3)+Inputs!$B$28+Inputs!$B$29)))</f>
        <v/>
      </c>
      <c r="E188">
        <f>INDEX(FactorTable!$B$2:$Y$301, MATCH(ROUND(MIN(300,MAX(1,D188)),0), FactorTable!$A$2:$A$301,0), Skills!M3+1)</f>
        <v/>
      </c>
      <c r="F188">
        <f>IF(Skills!N3=TRUE,(Skills!L3/10)*(E188/1000),Skills!L3/10)+Skills!O3</f>
        <v/>
      </c>
      <c r="G188">
        <f>Skills!G3*IF(Skills!H3&gt;0,Skills!I3/Skills!H3,1)</f>
        <v/>
      </c>
      <c r="H188">
        <f>1-(1-Skills!J3/100)^Skills!K3</f>
        <v/>
      </c>
      <c r="I188" t="inlineStr">
        <is>
          <t>1</t>
        </is>
      </c>
      <c r="J188">
        <f>((Inputs!$B$6*(1+Inputs!$B$7/100))+(((Inputs!$B$12*(1+Inputs!$B$13/100))-(Inputs!$B$12*(1+Inputs!$B$13/100)))+0.25*(Inputs!$B$14-Inputs!$B$14))*(1+Inputs!$B$7/100))*(F188/100)</f>
        <v/>
      </c>
      <c r="K188">
        <f>J188*(1+((Inputs!$B$12*(1+Inputs!$B$13/100))*0.01+Inputs!$B$14*0.0025)/100)*(1+Inputs!$B$15/100)*(1+(Inputs!$B$16+1)/100)*(5000/(6000+Inputs!$B$42*(1-(Inputs!$B$19+0)/100)))*(1+(Inputs!$B$24+((C207=TRUE)*(F207-Calc!F22))+B216)/100)*(1+(IF(Skills!A3="HOOK_BOMBER",Inputs!$B$17+((C206=TRUE)*(F206-Calc!F21)),Inputs!$B$18+0))/100)*((1+(((C198=TRUE)*F198)+((C204=TRUE)*(F204-Calc!F19)))/100)*I188)</f>
        <v/>
      </c>
      <c r="L188">
        <f>K188*(MIN(Inputs!$B$22+((C205=TRUE)*(F205-Calc!F20)),Inputs!$B$23+0)/100+(Inputs!$B$23+0)/100)/2</f>
        <v/>
      </c>
      <c r="M188">
        <f>L188*(1+(Inputs!$B$10+0+B215)/100)</f>
        <v/>
      </c>
      <c r="N188">
        <f>L188*(1-MIN((Inputs!$B$9+((C201=TRUE)*(F201-Calc!F16))+B210),100)/100)+M188*(MIN((Inputs!$B$9+((C201=TRUE)*(F201-Calc!F16))+B210),100)/100)</f>
        <v/>
      </c>
      <c r="O188">
        <f>(1-Summary!$B$55)*T188+Summary!$B$55*V188</f>
        <v/>
      </c>
      <c r="P188">
        <f>IF(B220=0,0,O188/B220)</f>
        <v/>
      </c>
      <c r="Q188" t="n">
        <v>0</v>
      </c>
      <c r="R188" t="n">
        <v>0</v>
      </c>
      <c r="S188">
        <f>IFERROR(O188/N188,0)</f>
        <v/>
      </c>
      <c r="T188">
        <f>IF(C188,(Skills!G3*H188*N188*B214)*IF(Inputs!$B$38="pvp",1,1+(Inputs!$B$20+0+Skills!P3)/100),0)</f>
        <v/>
      </c>
      <c r="U188">
        <f>INDEX(FactorTable!$B$2:$Y$301, MATCH(ROUND(MIN(300,MAX(1,U187)),0), FactorTable!$A$2:$A$301,0), 22)</f>
        <v/>
      </c>
      <c r="V188">
        <f>IF(C188,(Skills!G3*H188*N188*B214)*IF(Inputs!$B$38="pvp",1,(1+(Inputs!$B$21+Skills!Q3)/100)*(MIN(Skills!R3,Inputs!$B$37))),0)</f>
        <v/>
      </c>
    </row>
    <row r="189">
      <c r="A189">
        <f>Skills!A4</f>
        <v/>
      </c>
      <c r="B189">
        <f>Skills!B4</f>
        <v/>
      </c>
      <c r="C189">
        <f>Inputs!$B$3&gt;=60</f>
        <v/>
      </c>
      <c r="D189">
        <f>IF(Skills!C4=1,60+Inputs!$B$25+Inputs!$B$29,IF(Skills!C4=2,90+Inputs!$B$26+Inputs!$B$29,IF(Skills!C4=3,120+Inputs!$B$27+Inputs!$B$29,MAX(0,(Inputs!$B$3-100)*3)+Inputs!$B$28+Inputs!$B$29)))</f>
        <v/>
      </c>
      <c r="E189">
        <f>INDEX(FactorTable!$B$2:$Y$301, MATCH(ROUND(MIN(300,MAX(1,D189)),0), FactorTable!$A$2:$A$301,0), Skills!M4+1)</f>
        <v/>
      </c>
      <c r="F189">
        <f>IF(Skills!N4=TRUE,(Skills!L4/10)*(E189/1000),Skills!L4/10)+Skills!O4</f>
        <v/>
      </c>
      <c r="G189">
        <f>Skills!G4*IF(Skills!H4&gt;0,Skills!I4/Skills!H4,1)</f>
        <v/>
      </c>
      <c r="H189">
        <f>1-(1-Skills!J4/100)^Skills!K4</f>
        <v/>
      </c>
      <c r="I189" t="inlineStr">
        <is>
          <t>1</t>
        </is>
      </c>
      <c r="J189">
        <f>((Inputs!$B$6*(1+Inputs!$B$7/100))+(((Inputs!$B$12*(1+Inputs!$B$13/100))-(Inputs!$B$12*(1+Inputs!$B$13/100)))+0.25*(Inputs!$B$14-Inputs!$B$14))*(1+Inputs!$B$7/100))*(F189/100)</f>
        <v/>
      </c>
      <c r="K189">
        <f>J189*(1+((Inputs!$B$12*(1+Inputs!$B$13/100))*0.01+Inputs!$B$14*0.0025)/100)*(1+Inputs!$B$15/100)*(1+(Inputs!$B$16+1)/100)*(5000/(6000+Inputs!$B$42*(1-(Inputs!$B$19+0)/100)))*(1+(Inputs!$B$24+((C207=TRUE)*(F207-Calc!F22))+B216)/100)*(1+1.0*IF(C197=TRUE,F197,0)/100)*(1+(IF(Skills!A4="HOOK_BOMBER",Inputs!$B$17+((C206=TRUE)*(F206-Calc!F21)),Inputs!$B$18+0))/100)*((1+(((C198=TRUE)*F198)+((C204=TRUE)*(F204-Calc!F19)))/100)*I189)</f>
        <v/>
      </c>
      <c r="L189">
        <f>K189*(MIN(Inputs!$B$22+((C205=TRUE)*(F205-Calc!F20)),Inputs!$B$23+0)/100+(Inputs!$B$23+0)/100)/2</f>
        <v/>
      </c>
      <c r="M189">
        <f>L189*(1+(Inputs!$B$10+0+B215)/100)</f>
        <v/>
      </c>
      <c r="N189">
        <f>L189*(1-MIN((Inputs!$B$9+((C201=TRUE)*(F201-Calc!F16))+B210),100)/100)+M189*(MIN((Inputs!$B$9+((C201=TRUE)*(F201-Calc!F16))+B210),100)/100)</f>
        <v/>
      </c>
      <c r="O189">
        <f>(1-Summary!$B$55)*T189+Summary!$B$55*V189</f>
        <v/>
      </c>
      <c r="P189">
        <f>IF(B220=0,0,O189/B220)</f>
        <v/>
      </c>
      <c r="Q189" t="n">
        <v>0</v>
      </c>
      <c r="R189" t="n">
        <v>0</v>
      </c>
      <c r="S189">
        <f>IFERROR(O189/N189,0)</f>
        <v/>
      </c>
      <c r="T189">
        <f>IF(C189,(Skills!G4*H189*N189*B214)*IF(Inputs!$B$38="pvp",1,1+(Inputs!$B$20+0+Skills!P4)/100),0)</f>
        <v/>
      </c>
      <c r="U189">
        <f>290*U188/1000</f>
        <v/>
      </c>
      <c r="V189">
        <f>IF(C189,(Skills!G4*H189*N189*B214)*IF(Inputs!$B$38="pvp",1,(1+(Inputs!$B$21+Skills!Q4)/100)*(MIN(Skills!R4,Inputs!$B$37))),0)</f>
        <v/>
      </c>
    </row>
    <row r="190">
      <c r="A190">
        <f>Skills!A5</f>
        <v/>
      </c>
      <c r="B190">
        <f>Skills!B5</f>
        <v/>
      </c>
      <c r="C190">
        <f>Inputs!$B$3&gt;=60</f>
        <v/>
      </c>
      <c r="D190">
        <f>IF(Skills!C5=1,60+Inputs!$B$25+Inputs!$B$29,IF(Skills!C5=2,90+Inputs!$B$26+Inputs!$B$29,IF(Skills!C5=3,120+Inputs!$B$27+Inputs!$B$29,MAX(0,(Inputs!$B$3-100)*3)+Inputs!$B$28+Inputs!$B$29)))</f>
        <v/>
      </c>
      <c r="E190">
        <f>INDEX(FactorTable!$B$2:$Y$301, MATCH(ROUND(MIN(300,MAX(1,D190)),0), FactorTable!$A$2:$A$301,0), Skills!M5+1)</f>
        <v/>
      </c>
      <c r="F190">
        <f>IF(Skills!N5=TRUE,(Skills!L5/10)*(E190/1000),Skills!L5/10)+Skills!O5</f>
        <v/>
      </c>
      <c r="G190">
        <f>Skills!G5*IF(Skills!H5&gt;0,Skills!I5/Skills!H5,1)</f>
        <v/>
      </c>
      <c r="H190">
        <f>1-(1-Skills!J5/100)^Skills!K5</f>
        <v/>
      </c>
      <c r="I190" t="inlineStr">
        <is>
          <t>1</t>
        </is>
      </c>
      <c r="J190" t="inlineStr"/>
      <c r="K190" t="inlineStr"/>
      <c r="L190" t="inlineStr"/>
      <c r="M190" t="inlineStr"/>
      <c r="N190" t="inlineStr"/>
      <c r="O190">
        <f>(1-Summary!$B$55)*T190+Summary!$B$55*V190</f>
        <v/>
      </c>
      <c r="P190">
        <f>IF(B220=0,0,O190/B220)</f>
        <v/>
      </c>
      <c r="Q190" t="n">
        <v>0</v>
      </c>
      <c r="R190" t="n">
        <v>0</v>
      </c>
      <c r="S190">
        <f>IFERROR(O190/N190,0)</f>
        <v/>
      </c>
      <c r="T190" t="n">
        <v>0</v>
      </c>
      <c r="V190" t="n">
        <v>0</v>
      </c>
    </row>
    <row r="191">
      <c r="A191">
        <f>Skills!A6</f>
        <v/>
      </c>
      <c r="B191">
        <f>Skills!B6</f>
        <v/>
      </c>
      <c r="C191">
        <f>Inputs!$B$3&gt;=63</f>
        <v/>
      </c>
      <c r="D191">
        <f>IF(Skills!C6=1,60+Inputs!$B$25+Inputs!$B$29,IF(Skills!C6=2,90+Inputs!$B$26+Inputs!$B$29,IF(Skills!C6=3,120+Inputs!$B$27+Inputs!$B$29,MAX(0,(Inputs!$B$3-100)*3)+Inputs!$B$28+Inputs!$B$29)))</f>
        <v/>
      </c>
      <c r="E191">
        <f>INDEX(FactorTable!$B$2:$Y$301, MATCH(ROUND(MIN(300,MAX(1,D191)),0), FactorTable!$A$2:$A$301,0), Skills!M6+1)</f>
        <v/>
      </c>
      <c r="F191">
        <f>IF(Skills!N6=TRUE,(Skills!L6/10)*(E191/1000),Skills!L6/10)+Skills!O6</f>
        <v/>
      </c>
      <c r="G191">
        <f>Skills!G6*IF(Skills!H6&gt;0,Skills!I6/Skills!H6,1)</f>
        <v/>
      </c>
      <c r="H191">
        <f>1-(1-Skills!J6/100)^Skills!K6</f>
        <v/>
      </c>
      <c r="I191" t="inlineStr">
        <is>
          <t>1</t>
        </is>
      </c>
      <c r="J191">
        <f>((Inputs!$B$6*(1+Inputs!$B$7/100))+(((Inputs!$B$12*(1+Inputs!$B$13/100))-(Inputs!$B$12*(1+Inputs!$B$13/100)))+0.25*(Inputs!$B$14-Inputs!$B$14))*(1+Inputs!$B$7/100))*(F191/100)</f>
        <v/>
      </c>
      <c r="K191">
        <f>J191*(1+((Inputs!$B$12*(1+Inputs!$B$13/100))*0.01+Inputs!$B$14*0.0025)/100)*(1+Inputs!$B$15/100)*(1+(Inputs!$B$16+1)/100)*(5000/(6000+Inputs!$B$42*(1-(Inputs!$B$19+0)/100)))*(1+(Inputs!$B$24+((C207=TRUE)*(F207-Calc!F22))+B216)/100)*(1+(IF(Skills!A6="HOOK_BOMBER",Inputs!$B$17+((C206=TRUE)*(F206-Calc!F21)),Inputs!$B$18+0))/100)*((1+(((C198=TRUE)*F198)+((C204=TRUE)*(F204-Calc!F19)))/100)*I191)</f>
        <v/>
      </c>
      <c r="L191">
        <f>K191*(MIN(Inputs!$B$22+((C205=TRUE)*(F205-Calc!F20)),Inputs!$B$23+0)/100+(Inputs!$B$23+0)/100)/2</f>
        <v/>
      </c>
      <c r="M191">
        <f>L191*(1+(Inputs!$B$10+0+B215)/100)</f>
        <v/>
      </c>
      <c r="N191">
        <f>L191*(1-MIN((Inputs!$B$9+((C201=TRUE)*(F201-Calc!F16))+B210),100)/100)+M191*(MIN((Inputs!$B$9+((C201=TRUE)*(F201-Calc!F16))+B210),100)/100)</f>
        <v/>
      </c>
      <c r="O191">
        <f>(1-Summary!$B$55)*T191+Summary!$B$55*V191</f>
        <v/>
      </c>
      <c r="P191">
        <f>IF(B220=0,0,O191/B220)</f>
        <v/>
      </c>
      <c r="Q191">
        <f>IFERROR(1/IF(Inputs!$B$38="pvp",15,MAX(0.1,Skills!D6-IF(Skills!E6=TRUE,Inputs!$B$32,0))),0)</f>
        <v/>
      </c>
      <c r="R191">
        <f>IF(AND(Inputs!$B$38&lt;&gt;"pvp",Inputs!$B$43&gt;0),IF(MAX(0,Inputs!$B$43-B217)&lt;=0,0,(INT(MAX(0,Inputs!$B$43-B217)/IF(Inputs!$B$38="pvp",15,MAX(0.1,Skills!D6-IF(Skills!E6=TRUE,Inputs!$B$32,0))))+1)),0)</f>
        <v/>
      </c>
      <c r="S191">
        <f>IFERROR(O191/N191,0)</f>
        <v/>
      </c>
      <c r="T191">
        <f>IF(C191,(H191*N191*IF(AND(Inputs!$B$38&lt;&gt;"pvp",Inputs!$B$43&gt;0),((Skills!G6*((R191-1)*IF(Skills!H6&gt;0,Skills!I6/Skills!H6,1)+IF(Skills!H6&gt;0,MIN(Skills!I6,MAX(0,MAX(0,Inputs!$B$43-B217)-((R191-1)*IF(Inputs!$B$38="pvp",15,MAX(0.1,Skills!D6-IF(Skills!E6=TRUE,Inputs!$B$32,0))))))/Skills!H6,1)))/Inputs!$B$43),G191*Q191))*IF(Inputs!$B$38="pvp",1,1+(Inputs!$B$20+0+Skills!P6)/100),0)</f>
        <v/>
      </c>
      <c r="V191">
        <f>IF(C191,(H191*N191*IF(AND(Inputs!$B$38&lt;&gt;"pvp",Inputs!$B$43&gt;0),((Skills!G6*((R191-1)*IF(Skills!H6&gt;0,Skills!I6/Skills!H6,1)+IF(Skills!H6&gt;0,MIN(Skills!I6,MAX(0,MAX(0,Inputs!$B$43-B217)-((R191-1)*IF(Inputs!$B$38="pvp",15,MAX(0.1,Skills!D6-IF(Skills!E6=TRUE,Inputs!$B$32,0))))))/Skills!H6,1)))/Inputs!$B$43),G191*Q191))*IF(Inputs!$B$38="pvp",1,(1+(Inputs!$B$21+Skills!Q6)/100)*(MIN(Skills!R6,Inputs!$B$37))),0)</f>
        <v/>
      </c>
    </row>
    <row r="192">
      <c r="A192">
        <f>Skills!A7</f>
        <v/>
      </c>
      <c r="B192">
        <f>Skills!B7</f>
        <v/>
      </c>
      <c r="C192">
        <f>Inputs!$B$3&gt;=100</f>
        <v/>
      </c>
      <c r="D192">
        <f>IF(Skills!C7=1,60+Inputs!$B$25+Inputs!$B$29,IF(Skills!C7=2,90+Inputs!$B$26+Inputs!$B$29,IF(Skills!C7=3,120+Inputs!$B$27+Inputs!$B$29,MAX(0,(Inputs!$B$3-100)*3)+Inputs!$B$28+Inputs!$B$29)))</f>
        <v/>
      </c>
      <c r="E192">
        <f>INDEX(FactorTable!$B$2:$Y$301, MATCH(ROUND(MIN(300,MAX(1,D192)),0), FactorTable!$A$2:$A$301,0), Skills!M7+1)</f>
        <v/>
      </c>
      <c r="F192">
        <f>IF(Skills!N7=TRUE,(Skills!L7/10)*(E192/1000),Skills!L7/10)+Skills!O7</f>
        <v/>
      </c>
      <c r="G192">
        <f>Skills!G7*IF(Skills!H7&gt;0,Skills!I7/Skills!H7,1)</f>
        <v/>
      </c>
      <c r="H192">
        <f>1-(1-Skills!J7/100)^Skills!K7</f>
        <v/>
      </c>
      <c r="I192" t="inlineStr">
        <is>
          <t>1</t>
        </is>
      </c>
      <c r="J192">
        <f>((Inputs!$B$6*(1+Inputs!$B$7/100))+(((Inputs!$B$12*(1+Inputs!$B$13/100))-(Inputs!$B$12*(1+Inputs!$B$13/100)))+0.25*(Inputs!$B$14-Inputs!$B$14))*(1+Inputs!$B$7/100))*(F192/100)</f>
        <v/>
      </c>
      <c r="K192">
        <f>J192*(1+((Inputs!$B$12*(1+Inputs!$B$13/100))*0.01+Inputs!$B$14*0.0025)/100)*(1+Inputs!$B$15/100)*(1+(Inputs!$B$16+1)/100)*(5000/(6000+Inputs!$B$42*(1-(Inputs!$B$19+0)/100)))*(1+(Inputs!$B$24+((C207=TRUE)*(F207-Calc!F22))+B216)/100)*(1+(IF(Skills!A7="HOOK_BOMBER",Inputs!$B$17+((C206=TRUE)*(F206-Calc!F21)),Inputs!$B$18+0))/100)*((1+(((C198=TRUE)*F198)+((C204=TRUE)*(F204-Calc!F19)))/100)*I192)</f>
        <v/>
      </c>
      <c r="L192">
        <f>K192*(MIN(Inputs!$B$22+((C205=TRUE)*(F205-Calc!F20)),Inputs!$B$23+0)/100+(Inputs!$B$23+0)/100)/2</f>
        <v/>
      </c>
      <c r="M192">
        <f>L192*(1+(Inputs!$B$10+0+B215)/100)</f>
        <v/>
      </c>
      <c r="N192">
        <f>L192*(1-MIN((Inputs!$B$9+((C201=TRUE)*(F201-Calc!F16))+B210),100)/100)+M192*(MIN((Inputs!$B$9+((C201=TRUE)*(F201-Calc!F16))+B210),100)/100)</f>
        <v/>
      </c>
      <c r="O192">
        <f>(1-Summary!$B$55)*T192+Summary!$B$55*V192</f>
        <v/>
      </c>
      <c r="P192">
        <f>IF(B220=0,0,O192/B220)</f>
        <v/>
      </c>
      <c r="Q192">
        <f>IFERROR(1/IF(Inputs!$B$38="pvp",15,MAX(0.1,Skills!D7-IF(Skills!E7=TRUE,Inputs!$B$32,0))),0)</f>
        <v/>
      </c>
      <c r="R192">
        <f>IF(AND(Inputs!$B$38&lt;&gt;"pvp",Inputs!$B$43&gt;0),IF(MAX(0,Inputs!$B$43-B217)&lt;=0,0,(INT(MAX(0,Inputs!$B$43-B217)/IF(Inputs!$B$38="pvp",15,MAX(0.1,Skills!D7-IF(Skills!E7=TRUE,Inputs!$B$32,0))))+1)),0)</f>
        <v/>
      </c>
      <c r="S192">
        <f>IFERROR(O192/N192,0)</f>
        <v/>
      </c>
      <c r="T192">
        <f>IF(C192,(H192*N192*IF(AND(Inputs!$B$38&lt;&gt;"pvp",Inputs!$B$43&gt;0),((Skills!G7*((R192-1)*IF(Skills!H7&gt;0,Skills!I7/Skills!H7,1)+IF(Skills!H7&gt;0,MIN(Skills!I7,MAX(0,MAX(0,Inputs!$B$43-B217)-((R192-1)*IF(Inputs!$B$38="pvp",15,MAX(0.1,Skills!D7-IF(Skills!E7=TRUE,Inputs!$B$32,0))))))/Skills!H7,1)))/Inputs!$B$43),G192*Q192))*IF(Inputs!$B$38="pvp",1,1+(Inputs!$B$20+0+Skills!P7)/100),0)</f>
        <v/>
      </c>
      <c r="V192">
        <f>IF(C192,(H192*N192*IF(AND(Inputs!$B$38&lt;&gt;"pvp",Inputs!$B$43&gt;0),((Skills!G7*((R192-1)*IF(Skills!H7&gt;0,Skills!I7/Skills!H7,1)+IF(Skills!H7&gt;0,MIN(Skills!I7,MAX(0,MAX(0,Inputs!$B$43-B217)-((R192-1)*IF(Inputs!$B$38="pvp",15,MAX(0.1,Skills!D7-IF(Skills!E7=TRUE,Inputs!$B$32,0))))))/Skills!H7,1)))/Inputs!$B$43),G192*Q192))*IF(Inputs!$B$38="pvp",1,(1+(Inputs!$B$21+Skills!Q7)/100)*(MIN(Skills!R7,Inputs!$B$37))),0)</f>
        <v/>
      </c>
    </row>
    <row r="193">
      <c r="A193">
        <f>Skills!A8</f>
        <v/>
      </c>
      <c r="B193">
        <f>Skills!B8</f>
        <v/>
      </c>
      <c r="C193">
        <f>Inputs!$B$3&gt;=110</f>
        <v/>
      </c>
      <c r="D193">
        <f>IF(Skills!C8=1,60+Inputs!$B$25+Inputs!$B$29,IF(Skills!C8=2,90+Inputs!$B$26+Inputs!$B$29,IF(Skills!C8=3,120+Inputs!$B$27+Inputs!$B$29,MAX(0,(Inputs!$B$3-100)*3)+Inputs!$B$28+Inputs!$B$29)))</f>
        <v/>
      </c>
      <c r="E193">
        <f>INDEX(FactorTable!$B$2:$Y$301, MATCH(ROUND(MIN(300,MAX(1,D193)),0), FactorTable!$A$2:$A$301,0), Skills!M8+1)</f>
        <v/>
      </c>
      <c r="F193">
        <f>IF(Skills!N8=TRUE,(Skills!L8/10)*(E193/1000),Skills!L8/10)+Skills!O8</f>
        <v/>
      </c>
      <c r="G193">
        <f>Skills!G8*IF(Skills!H8&gt;0,Skills!I8/Skills!H8,1)</f>
        <v/>
      </c>
      <c r="H193">
        <f>1-(1-Skills!J8/100)^Skills!K8</f>
        <v/>
      </c>
      <c r="I193" t="inlineStr">
        <is>
          <t>1</t>
        </is>
      </c>
      <c r="J193">
        <f>((Inputs!$B$6*(1+Inputs!$B$7/100))+(((Inputs!$B$12*(1+Inputs!$B$13/100))-(Inputs!$B$12*(1+Inputs!$B$13/100)))+0.25*(Inputs!$B$14-Inputs!$B$14))*(1+Inputs!$B$7/100))*(F193/100)</f>
        <v/>
      </c>
      <c r="K193">
        <f>J193*(1+((Inputs!$B$12*(1+Inputs!$B$13/100))*0.01+Inputs!$B$14*0.0025)/100)*(1+Inputs!$B$15/100)*(1+(Inputs!$B$16+1)/100)*(5000/(6000+Inputs!$B$42*(1-(Inputs!$B$19+0)/100)))*(1+(Inputs!$B$24+((C207=TRUE)*(F207-Calc!F22))+B216)/100)*(1+(IF(Skills!A8="HOOK_BOMBER",Inputs!$B$17+((C206=TRUE)*(F206-Calc!F21)),Inputs!$B$18+0))/100)*((1+(((C198=TRUE)*F198)+((C204=TRUE)*(F204-Calc!F19)))/100)*I193)</f>
        <v/>
      </c>
      <c r="L193">
        <f>K193*(MIN(Inputs!$B$22+((C205=TRUE)*(F205-Calc!F20)),Inputs!$B$23+0)/100+(Inputs!$B$23+0)/100)/2</f>
        <v/>
      </c>
      <c r="M193">
        <f>L193*(1+(Inputs!$B$10+0+B215)/100)</f>
        <v/>
      </c>
      <c r="N193">
        <f>L193*(1-MIN((Inputs!$B$9+((C201=TRUE)*(F201-Calc!F16))+B210),100)/100)+M193*(MIN((Inputs!$B$9+((C201=TRUE)*(F201-Calc!F16))+B210),100)/100)</f>
        <v/>
      </c>
      <c r="O193">
        <f>(1-Summary!$B$55)*T193+Summary!$B$55*V193</f>
        <v/>
      </c>
      <c r="P193">
        <f>IF(B220=0,0,O193/B220)</f>
        <v/>
      </c>
      <c r="Q193">
        <f>IFERROR(1/IF(Inputs!$B$38="pvp",15,MAX(0.1,Skills!D8-IF(Skills!E8=TRUE,Inputs!$B$32,0))),0)</f>
        <v/>
      </c>
      <c r="R193">
        <f>IF(AND(Inputs!$B$38&lt;&gt;"pvp",Inputs!$B$43&gt;0),IF(MAX(0,Inputs!$B$43-B217)&lt;=0,0,(INT(MAX(0,Inputs!$B$43-B217)/IF(Inputs!$B$38="pvp",15,MAX(0.1,Skills!D8-IF(Skills!E8=TRUE,Inputs!$B$32,0))))+1)),0)</f>
        <v/>
      </c>
      <c r="S193">
        <f>IFERROR(O193/N193,0)</f>
        <v/>
      </c>
      <c r="T193">
        <f>IF(C193,(H193*N193*IF(AND(Inputs!$B$38&lt;&gt;"pvp",Inputs!$B$43&gt;0),((Skills!G8*((R193-1)*IF(Skills!H8&gt;0,Skills!I8/Skills!H8,1)+IF(Skills!H8&gt;0,MIN(Skills!I8,MAX(0,MAX(0,Inputs!$B$43-B217)-((R193-1)*IF(Inputs!$B$38="pvp",15,MAX(0.1,Skills!D8-IF(Skills!E8=TRUE,Inputs!$B$32,0))))))/Skills!H8,1)))/Inputs!$B$43),G193*Q193))*IF(Inputs!$B$38="pvp",1,1+(Inputs!$B$20+0+Skills!P8)/100),0)</f>
        <v/>
      </c>
      <c r="V193">
        <f>IF(C193,(H193*N193*IF(AND(Inputs!$B$38&lt;&gt;"pvp",Inputs!$B$43&gt;0),((Skills!G8*((R193-1)*IF(Skills!H8&gt;0,Skills!I8/Skills!H8,1)+IF(Skills!H8&gt;0,MIN(Skills!I8,MAX(0,MAX(0,Inputs!$B$43-B217)-((R193-1)*IF(Inputs!$B$38="pvp",15,MAX(0.1,Skills!D8-IF(Skills!E8=TRUE,Inputs!$B$32,0))))))/Skills!H8,1)))/Inputs!$B$43),G193*Q193))*IF(Inputs!$B$38="pvp",1,(1+(Inputs!$B$21+Skills!Q8)/100)*(MIN(Skills!R8,Inputs!$B$37))),0)</f>
        <v/>
      </c>
    </row>
    <row r="194">
      <c r="A194">
        <f>Skills!A9</f>
        <v/>
      </c>
      <c r="B194">
        <f>Skills!B9</f>
        <v/>
      </c>
      <c r="C194">
        <f>Inputs!$B$3&gt;=110</f>
        <v/>
      </c>
      <c r="D194">
        <f>IF(Skills!C9=1,60+Inputs!$B$25+Inputs!$B$29,IF(Skills!C9=2,90+Inputs!$B$26+Inputs!$B$29,IF(Skills!C9=3,120+Inputs!$B$27+Inputs!$B$29,MAX(0,(Inputs!$B$3-100)*3)+Inputs!$B$28+Inputs!$B$29)))</f>
        <v/>
      </c>
      <c r="E194">
        <f>INDEX(FactorTable!$B$2:$Y$301, MATCH(ROUND(MIN(300,MAX(1,D194)),0), FactorTable!$A$2:$A$301,0), Skills!M9+1)</f>
        <v/>
      </c>
      <c r="F194">
        <f>IF(Skills!N9=TRUE,(Skills!L9/10)*(E194/1000),Skills!L9/10)+Skills!O9</f>
        <v/>
      </c>
      <c r="G194">
        <f>Skills!G9*IF(Skills!H9&gt;0,Skills!I9/Skills!H9,1)</f>
        <v/>
      </c>
      <c r="H194">
        <f>1-(1-Skills!J9/100)^Skills!K9</f>
        <v/>
      </c>
      <c r="I194" t="inlineStr">
        <is>
          <t>1</t>
        </is>
      </c>
      <c r="J194">
        <f>((Inputs!$B$6*(1+Inputs!$B$7/100))+(((Inputs!$B$12*(1+Inputs!$B$13/100))-(Inputs!$B$12*(1+Inputs!$B$13/100)))+0.25*(Inputs!$B$14-Inputs!$B$14))*(1+Inputs!$B$7/100))*(F194/100)</f>
        <v/>
      </c>
      <c r="K194">
        <f>J194*(1+((Inputs!$B$12*(1+Inputs!$B$13/100))*0.01+Inputs!$B$14*0.0025)/100)*(1+Inputs!$B$15/100)*(1+(Inputs!$B$16+1)/100)*(5000/(6000+Inputs!$B$42*(1-(Inputs!$B$19+0)/100)))*(1+(Inputs!$B$24+((C207=TRUE)*(F207-Calc!F22))+B216)/100)*(1+(IF(Skills!A9="HOOK_BOMBER",Inputs!$B$17+((C206=TRUE)*(F206-Calc!F21)),Inputs!$B$18+0))/100)*((1+(((C198=TRUE)*F198)+((C204=TRUE)*(F204-Calc!F19)))/100)*I194)</f>
        <v/>
      </c>
      <c r="L194">
        <f>K194*(MIN(Inputs!$B$22+((C205=TRUE)*(F205-Calc!F20)),Inputs!$B$23+0)/100+(Inputs!$B$23+0)/100)/2</f>
        <v/>
      </c>
      <c r="M194">
        <f>L194*(1+(Inputs!$B$10+0+B215)/100)</f>
        <v/>
      </c>
      <c r="N194">
        <f>L194*(1-MIN((Inputs!$B$9+((C201=TRUE)*(F201-Calc!F16))+B210),100)/100)+M194*(MIN((Inputs!$B$9+((C201=TRUE)*(F201-Calc!F16))+B210),100)/100)</f>
        <v/>
      </c>
      <c r="O194">
        <f>(1-Summary!$B$55)*T194+Summary!$B$55*V194</f>
        <v/>
      </c>
      <c r="P194">
        <f>IF(B220=0,0,O194/B220)</f>
        <v/>
      </c>
      <c r="Q194">
        <f>IFERROR(1/IF(Inputs!$B$38="pvp",15,MAX(0.1,Skills!D9-IF(Skills!E9=TRUE,Inputs!$B$32,0))),0)</f>
        <v/>
      </c>
      <c r="R194">
        <f>IF(AND(Inputs!$B$38&lt;&gt;"pvp",Inputs!$B$43&gt;0),IF(MAX(0,Inputs!$B$43-B217)&lt;=0,0,(INT(MAX(0,Inputs!$B$43-B217)/IF(Inputs!$B$38="pvp",15,MAX(0.1,Skills!D9-IF(Skills!E9=TRUE,Inputs!$B$32,0))))+1)),0)</f>
        <v/>
      </c>
      <c r="S194">
        <f>IFERROR(O194/N194,0)</f>
        <v/>
      </c>
      <c r="T194">
        <f>IF(C194,(H194*N194*IF(AND(Inputs!$B$38&lt;&gt;"pvp",Inputs!$B$43&gt;0),((Skills!G9*((R194-1)*IF(Skills!H9&gt;0,Skills!I9/Skills!H9,1)+IF(Skills!H9&gt;0,MIN(Skills!I9,MAX(0,MAX(0,Inputs!$B$43-B217)-((R194-1)*IF(Inputs!$B$38="pvp",15,MAX(0.1,Skills!D9-IF(Skills!E9=TRUE,Inputs!$B$32,0))))))/Skills!H9,1)))/Inputs!$B$43),G194*Q194))*IF(Inputs!$B$38="pvp",1,1+(Inputs!$B$20+0+Skills!P9)/100),0)</f>
        <v/>
      </c>
      <c r="V194">
        <f>IF(C194,(H194*N194*IF(AND(Inputs!$B$38&lt;&gt;"pvp",Inputs!$B$43&gt;0),((Skills!G9*((R194-1)*IF(Skills!H9&gt;0,Skills!I9/Skills!H9,1)+IF(Skills!H9&gt;0,MIN(Skills!I9,MAX(0,MAX(0,Inputs!$B$43-B217)-((R194-1)*IF(Inputs!$B$38="pvp",15,MAX(0.1,Skills!D9-IF(Skills!E9=TRUE,Inputs!$B$32,0))))))/Skills!H9,1)))/Inputs!$B$43),G194*Q194))*IF(Inputs!$B$38="pvp",1,(1+(Inputs!$B$21+Skills!Q9)/100)*(MIN(Skills!R9,Inputs!$B$37))),0)</f>
        <v/>
      </c>
    </row>
    <row r="195">
      <c r="A195">
        <f>Skills!A10</f>
        <v/>
      </c>
      <c r="B195">
        <f>Skills!B10</f>
        <v/>
      </c>
      <c r="C195">
        <f>Inputs!$B$3&gt;=103</f>
        <v/>
      </c>
      <c r="D195">
        <f>IF(Skills!C10=1,60+Inputs!$B$25+Inputs!$B$29,IF(Skills!C10=2,90+Inputs!$B$26+Inputs!$B$29,IF(Skills!C10=3,120+Inputs!$B$27+Inputs!$B$29,MAX(0,(Inputs!$B$3-100)*3)+Inputs!$B$28+Inputs!$B$29)))</f>
        <v/>
      </c>
      <c r="E195">
        <f>INDEX(FactorTable!$B$2:$Y$301, MATCH(ROUND(MIN(300,MAX(1,D195)),0), FactorTable!$A$2:$A$301,0), Skills!M10+1)</f>
        <v/>
      </c>
      <c r="F195">
        <f>IF(Skills!N10=TRUE,(Skills!L10/10)*(E195/1000),Skills!L10/10)+Skills!O10</f>
        <v/>
      </c>
      <c r="G195">
        <f>Skills!G10*IF(Skills!H10&gt;0,Skills!I10/Skills!H10,1)</f>
        <v/>
      </c>
      <c r="H195">
        <f>1-(1-Skills!J10/100)^Skills!K10</f>
        <v/>
      </c>
      <c r="I195" t="inlineStr">
        <is>
          <t>1</t>
        </is>
      </c>
      <c r="J195">
        <f>((Inputs!$B$6*(1+Inputs!$B$7/100))+(((Inputs!$B$12*(1+Inputs!$B$13/100))-(Inputs!$B$12*(1+Inputs!$B$13/100)))+0.25*(Inputs!$B$14-Inputs!$B$14))*(1+Inputs!$B$7/100))*(F195/100)</f>
        <v/>
      </c>
      <c r="K195">
        <f>J195*(1+((Inputs!$B$12*(1+Inputs!$B$13/100))*0.01+Inputs!$B$14*0.0025)/100)*(1+Inputs!$B$15/100)*(1+(Inputs!$B$16+1)/100)*(5000/(6000+Inputs!$B$42*(1-(Inputs!$B$19+0)/100)))*(1+(Inputs!$B$24+((C207=TRUE)*(F207-Calc!F22))+B216)/100)*(1+(IF(Skills!A10="HOOK_BOMBER",Inputs!$B$17+((C206=TRUE)*(F206-Calc!F21)),Inputs!$B$18+0))/100)*((1+(((C198=TRUE)*F198)+((C204=TRUE)*(F204-Calc!F19)))/100)*I195)</f>
        <v/>
      </c>
      <c r="L195">
        <f>K195*(MIN(Inputs!$B$22+((C205=TRUE)*(F205-Calc!F20)),Inputs!$B$23+0)/100+(Inputs!$B$23+0)/100)/2</f>
        <v/>
      </c>
      <c r="M195">
        <f>L195*(1+(Inputs!$B$10+0+B215)/100)</f>
        <v/>
      </c>
      <c r="N195">
        <f>L195*(1-MIN((Inputs!$B$9+((C201=TRUE)*(F201-Calc!F16))+B210),100)/100)+M195*(MIN((Inputs!$B$9+((C201=TRUE)*(F201-Calc!F16))+B210),100)/100)</f>
        <v/>
      </c>
      <c r="O195">
        <f>(1-Summary!$B$55)*T195+Summary!$B$55*V195</f>
        <v/>
      </c>
      <c r="P195">
        <f>IF(B220=0,0,O195/B220)</f>
        <v/>
      </c>
      <c r="Q195">
        <f>IFERROR(1/IF(Inputs!$B$38="pvp",15,MAX(0.1,Skills!D10-IF(Skills!E10=TRUE,Inputs!$B$32,0))),0)</f>
        <v/>
      </c>
      <c r="R195">
        <f>IF(AND(Inputs!$B$38&lt;&gt;"pvp",Inputs!$B$43&gt;0),IF(MAX(0,Inputs!$B$43-B217)&lt;=0,0,(INT(MAX(0,Inputs!$B$43-B217)/IF(Inputs!$B$38="pvp",15,MAX(0.1,Skills!D10-IF(Skills!E10=TRUE,Inputs!$B$32,0))))+1)),0)</f>
        <v/>
      </c>
      <c r="S195">
        <f>IFERROR(O195/N195,0)</f>
        <v/>
      </c>
      <c r="T195">
        <f>IF(C195,(H195*N195*IF(AND(Inputs!$B$38&lt;&gt;"pvp",Inputs!$B$43&gt;0),((Skills!G10*((R195-1)*IF(Skills!H10&gt;0,Skills!I10/Skills!H10,1)+IF(Skills!H10&gt;0,MIN(Skills!I10,MAX(0,MAX(0,Inputs!$B$43-B217)-((R195-1)*IF(Inputs!$B$38="pvp",15,MAX(0.1,Skills!D10-IF(Skills!E10=TRUE,Inputs!$B$32,0))))))/Skills!H10,1)))/Inputs!$B$43),G195*Q195))*IF(Inputs!$B$38="pvp",1,1+(Inputs!$B$20+0+Skills!P10)/100),0)</f>
        <v/>
      </c>
      <c r="V195">
        <f>IF(C195,(H195*N195*IF(AND(Inputs!$B$38&lt;&gt;"pvp",Inputs!$B$43&gt;0),((Skills!G10*((R195-1)*IF(Skills!H10&gt;0,Skills!I10/Skills!H10,1)+IF(Skills!H10&gt;0,MIN(Skills!I10,MAX(0,MAX(0,Inputs!$B$43-B217)-((R195-1)*IF(Inputs!$B$38="pvp",15,MAX(0.1,Skills!D10-IF(Skills!E10=TRUE,Inputs!$B$32,0))))))/Skills!H10,1)))/Inputs!$B$43),G195*Q195))*IF(Inputs!$B$38="pvp",1,(1+(Inputs!$B$21+Skills!Q10)/100)*(MIN(Skills!R10,Inputs!$B$37))),0)</f>
        <v/>
      </c>
    </row>
    <row r="196">
      <c r="A196">
        <f>Skills!A11</f>
        <v/>
      </c>
      <c r="B196">
        <f>Skills!B11</f>
        <v/>
      </c>
      <c r="C196">
        <f>Inputs!$B$3&gt;=113</f>
        <v/>
      </c>
      <c r="D196">
        <f>IF(Skills!C11=1,60+Inputs!$B$25+Inputs!$B$29,IF(Skills!C11=2,90+Inputs!$B$26+Inputs!$B$29,IF(Skills!C11=3,120+Inputs!$B$27+Inputs!$B$29,MAX(0,(Inputs!$B$3-100)*3)+Inputs!$B$28+Inputs!$B$29)))</f>
        <v/>
      </c>
      <c r="E196">
        <f>INDEX(FactorTable!$B$2:$Y$301, MATCH(ROUND(MIN(300,MAX(1,D196)),0), FactorTable!$A$2:$A$301,0), Skills!M11+1)</f>
        <v/>
      </c>
      <c r="F196">
        <f>IF(Skills!N11=TRUE,(Skills!L11/10)*(E196/1000),Skills!L11/10)+Skills!O11</f>
        <v/>
      </c>
      <c r="G196">
        <f>Skills!G11*IF(Skills!H11&gt;0,Skills!I11/Skills!H11,1)</f>
        <v/>
      </c>
      <c r="H196">
        <f>1-(1-Skills!J11/100)^Skills!K11</f>
        <v/>
      </c>
      <c r="I196" t="inlineStr">
        <is>
          <t>1</t>
        </is>
      </c>
      <c r="J196">
        <f>((Inputs!$B$6*(1+Inputs!$B$7/100))+(((Inputs!$B$12*(1+Inputs!$B$13/100))-(Inputs!$B$12*(1+Inputs!$B$13/100)))+0.25*(Inputs!$B$14-Inputs!$B$14))*(1+Inputs!$B$7/100))*(F196/100)</f>
        <v/>
      </c>
      <c r="K196">
        <f>J196*(1+((Inputs!$B$12*(1+Inputs!$B$13/100))*0.01+Inputs!$B$14*0.0025)/100)*(1+Inputs!$B$15/100)*(1+(Inputs!$B$16+1)/100)*(5000/(6000+Inputs!$B$42*(1-(Inputs!$B$19+0)/100)))*(1+(Inputs!$B$24+((C207=TRUE)*(F207-Calc!F22))+B216)/100)*(1+(IF(Skills!A11="HOOK_BOMBER",Inputs!$B$17+((C206=TRUE)*(F206-Calc!F21)),Inputs!$B$18+0))/100)*((1+(((C198=TRUE)*F198)+((C204=TRUE)*(F204-Calc!F19)))/100)*I196)</f>
        <v/>
      </c>
      <c r="L196">
        <f>K196*(MIN(Inputs!$B$22+((C205=TRUE)*(F205-Calc!F20)),Inputs!$B$23+0)/100+(Inputs!$B$23+0)/100)/2</f>
        <v/>
      </c>
      <c r="M196">
        <f>L196*(1+(Inputs!$B$10+0+B215)/100)</f>
        <v/>
      </c>
      <c r="N196">
        <f>L196*(1-MIN((Inputs!$B$9+((C201=TRUE)*(F201-Calc!F16))+B210),100)/100)+M196*(MIN((Inputs!$B$9+((C201=TRUE)*(F201-Calc!F16))+B210),100)/100)</f>
        <v/>
      </c>
      <c r="O196">
        <f>(1-Summary!$B$55)*T196+Summary!$B$55*V196</f>
        <v/>
      </c>
      <c r="P196">
        <f>IF(B220=0,0,O196/B220)</f>
        <v/>
      </c>
      <c r="Q196">
        <f>IFERROR(1/IF(Inputs!$B$38="pvp",15,MAX(0.1,Skills!D11-IF(Skills!E11=TRUE,Inputs!$B$32,0))),0)</f>
        <v/>
      </c>
      <c r="R196">
        <f>IF(AND(Inputs!$B$38&lt;&gt;"pvp",Inputs!$B$43&gt;0),IF(MAX(0,Inputs!$B$43-B217)&lt;=0,0,(INT(MAX(0,Inputs!$B$43-B217)/IF(Inputs!$B$38="pvp",15,MAX(0.1,Skills!D11-IF(Skills!E11=TRUE,Inputs!$B$32,0))))+1)),0)</f>
        <v/>
      </c>
      <c r="S196">
        <f>IFERROR(O196/N196,0)</f>
        <v/>
      </c>
      <c r="T196">
        <f>IF(C196,(H196*N196*IF(AND(Inputs!$B$38&lt;&gt;"pvp",Inputs!$B$43&gt;0),((Skills!G11*((R196-1)*IF(Skills!H11&gt;0,Skills!I11/Skills!H11,1)+IF(Skills!H11&gt;0,MIN(Skills!I11,MAX(0,MAX(0,Inputs!$B$43-B217)-((R196-1)*IF(Inputs!$B$38="pvp",15,MAX(0.1,Skills!D11-IF(Skills!E11=TRUE,Inputs!$B$32,0))))))/Skills!H11,1)))/Inputs!$B$43),G196*Q196))*IF(Inputs!$B$38="pvp",1,1+(Inputs!$B$20+0+Skills!P11)/100),0)</f>
        <v/>
      </c>
      <c r="V196">
        <f>IF(C196,(H196*N196*IF(AND(Inputs!$B$38&lt;&gt;"pvp",Inputs!$B$43&gt;0),((Skills!G11*((R196-1)*IF(Skills!H11&gt;0,Skills!I11/Skills!H11,1)+IF(Skills!H11&gt;0,MIN(Skills!I11,MAX(0,MAX(0,Inputs!$B$43-B217)-((R196-1)*IF(Inputs!$B$38="pvp",15,MAX(0.1,Skills!D11-IF(Skills!E11=TRUE,Inputs!$B$32,0))))))/Skills!H11,1)))/Inputs!$B$43),G196*Q196))*IF(Inputs!$B$38="pvp",1,(1+(Inputs!$B$21+Skills!Q11)/100)*(MIN(Skills!R11,Inputs!$B$37))),0)</f>
        <v/>
      </c>
    </row>
    <row r="197">
      <c r="A197">
        <f>Skills!A12</f>
        <v/>
      </c>
      <c r="B197">
        <f>Skills!B12</f>
        <v/>
      </c>
      <c r="C197">
        <f>Inputs!$B$3&gt;=100</f>
        <v/>
      </c>
      <c r="D197">
        <f>IF(Skills!C12=1,60+Inputs!$B$25+Inputs!$B$29,IF(Skills!C12=2,90+Inputs!$B$26+Inputs!$B$29,IF(Skills!C12=3,120+Inputs!$B$27+Inputs!$B$29,MAX(0,(Inputs!$B$3-100)*3)+Inputs!$B$28+Inputs!$B$29)))</f>
        <v/>
      </c>
      <c r="E197">
        <f>INDEX(FactorTable!$B$2:$Y$301, MATCH(ROUND(MIN(300,MAX(1,D197)),0), FactorTable!$A$2:$A$301,0), Skills!M12+1)</f>
        <v/>
      </c>
      <c r="F197">
        <f>IF(Skills!N12=TRUE,(Skills!L12/10)*(E197/1000),Skills!L12/10)+Skills!O12</f>
        <v/>
      </c>
      <c r="G197" t="inlineStr"/>
      <c r="H197" t="inlineStr"/>
      <c r="I197" t="inlineStr">
        <is>
          <t>1</t>
        </is>
      </c>
      <c r="J197" t="inlineStr"/>
      <c r="K197" t="inlineStr"/>
      <c r="L197" t="inlineStr"/>
      <c r="M197" t="inlineStr"/>
      <c r="N197" t="inlineStr"/>
      <c r="O197" t="inlineStr"/>
      <c r="P197" t="inlineStr"/>
      <c r="Q197" t="inlineStr"/>
      <c r="R197" t="inlineStr"/>
      <c r="S197" t="inlineStr"/>
      <c r="T197" t="inlineStr"/>
      <c r="V197" t="inlineStr"/>
    </row>
    <row r="198">
      <c r="A198">
        <f>Skills!A13</f>
        <v/>
      </c>
      <c r="B198">
        <f>Skills!B13</f>
        <v/>
      </c>
      <c r="C198">
        <f>Inputs!$B$3&gt;=66</f>
        <v/>
      </c>
      <c r="D198">
        <f>IF(Skills!C13=1,60+Inputs!$B$25+Inputs!$B$29,IF(Skills!C13=2,90+Inputs!$B$26+Inputs!$B$29,IF(Skills!C13=3,120+Inputs!$B$27+Inputs!$B$29,MAX(0,(Inputs!$B$3-100)*3)+Inputs!$B$28+Inputs!$B$29)))</f>
        <v/>
      </c>
      <c r="E198">
        <f>INDEX(FactorTable!$B$2:$Y$301, MATCH(ROUND(MIN(300,MAX(1,D198)),0), FactorTable!$A$2:$A$301,0), Skills!M13+1)</f>
        <v/>
      </c>
      <c r="F198">
        <f>IF(Skills!N13=TRUE,(Skills!L13/10)*(E198/1000),Skills!L13/10)+Skills!O13</f>
        <v/>
      </c>
      <c r="G198">
        <f>Skills!G13*IF(Skills!H13&gt;0,Skills!I13/Skills!H13,1)</f>
        <v/>
      </c>
      <c r="H198">
        <f>1-(1-Skills!J13/100)^Skills!K13</f>
        <v/>
      </c>
      <c r="I198" t="inlineStr">
        <is>
          <t>1</t>
        </is>
      </c>
      <c r="J198" t="inlineStr"/>
      <c r="K198" t="inlineStr"/>
      <c r="L198" t="inlineStr"/>
      <c r="M198" t="inlineStr"/>
      <c r="N198" t="inlineStr"/>
      <c r="O198">
        <f>(1-Summary!$B$55)*T198+Summary!$B$55*V198</f>
        <v/>
      </c>
      <c r="P198">
        <f>IF(B220=0,0,O198/B220)</f>
        <v/>
      </c>
      <c r="Q198" t="n">
        <v>0</v>
      </c>
      <c r="R198" t="n">
        <v>0</v>
      </c>
      <c r="S198">
        <f>IFERROR(O198/N198,0)</f>
        <v/>
      </c>
      <c r="T198" t="n">
        <v>0</v>
      </c>
      <c r="V198" t="n">
        <v>0</v>
      </c>
    </row>
    <row r="199">
      <c r="A199">
        <f>Skills!A14</f>
        <v/>
      </c>
      <c r="B199">
        <f>Skills!B14</f>
        <v/>
      </c>
      <c r="C199">
        <f>Inputs!$B$3&gt;=107</f>
        <v/>
      </c>
      <c r="D199">
        <f>IF(Skills!C14=1,60+Inputs!$B$25+Inputs!$B$29,IF(Skills!C14=2,90+Inputs!$B$26+Inputs!$B$29,IF(Skills!C14=3,120+Inputs!$B$27+Inputs!$B$29,MAX(0,(Inputs!$B$3-100)*3)+Inputs!$B$28+Inputs!$B$29)))</f>
        <v/>
      </c>
      <c r="E199">
        <f>INDEX(FactorTable!$B$2:$Y$301, MATCH(ROUND(MIN(300,MAX(1,D199)),0), FactorTable!$A$2:$A$301,0), Skills!M14+1)</f>
        <v/>
      </c>
      <c r="F199">
        <f>IF(Skills!N14=TRUE,(Skills!L14/10)*(E199/1000),Skills!L14/10)+Skills!O14</f>
        <v/>
      </c>
      <c r="G199">
        <f>Skills!G14*IF(Skills!H14&gt;0,Skills!I14/Skills!H14,1)</f>
        <v/>
      </c>
      <c r="H199">
        <f>1-(1-Skills!J14/100)^Skills!K14</f>
        <v/>
      </c>
      <c r="I199" t="inlineStr">
        <is>
          <t>1</t>
        </is>
      </c>
      <c r="J199" t="inlineStr"/>
      <c r="K199" t="inlineStr"/>
      <c r="L199" t="inlineStr"/>
      <c r="M199" t="inlineStr"/>
      <c r="N199" t="inlineStr"/>
      <c r="O199">
        <f>(1-Summary!$B$55)*T199+Summary!$B$55*V199</f>
        <v/>
      </c>
      <c r="P199">
        <f>IF(B220=0,0,O199/B220)</f>
        <v/>
      </c>
      <c r="Q199" t="n">
        <v>0</v>
      </c>
      <c r="R199" t="n">
        <v>0</v>
      </c>
      <c r="S199">
        <f>IFERROR(O199/N199,0)</f>
        <v/>
      </c>
      <c r="T199" t="n">
        <v>0</v>
      </c>
      <c r="V199" t="n">
        <v>0</v>
      </c>
    </row>
    <row r="200">
      <c r="A200">
        <f>Skills!A15</f>
        <v/>
      </c>
      <c r="B200">
        <f>Skills!B15</f>
        <v/>
      </c>
      <c r="C200">
        <f>Inputs!$B$3&gt;=115</f>
        <v/>
      </c>
      <c r="D200">
        <f>IF(Skills!C15=1,60+Inputs!$B$25+Inputs!$B$29,IF(Skills!C15=2,90+Inputs!$B$26+Inputs!$B$29,IF(Skills!C15=3,120+Inputs!$B$27+Inputs!$B$29,MAX(0,(Inputs!$B$3-100)*3)+Inputs!$B$28+Inputs!$B$29)))</f>
        <v/>
      </c>
      <c r="E200">
        <f>INDEX(FactorTable!$B$2:$Y$301, MATCH(ROUND(MIN(300,MAX(1,D200)),0), FactorTable!$A$2:$A$301,0), Skills!M15+1)</f>
        <v/>
      </c>
      <c r="F200">
        <f>IF(Skills!N15=TRUE,(Skills!L15/10)*(E200/1000),Skills!L15/10)+Skills!O15</f>
        <v/>
      </c>
      <c r="G200">
        <f>Skills!G15*IF(Skills!H15&gt;0,Skills!I15/Skills!H15,1)</f>
        <v/>
      </c>
      <c r="H200">
        <f>1-(1-Skills!J15/100)^Skills!K15</f>
        <v/>
      </c>
      <c r="I200" t="inlineStr">
        <is>
          <t>1</t>
        </is>
      </c>
      <c r="J200" t="inlineStr"/>
      <c r="K200" t="inlineStr"/>
      <c r="L200" t="inlineStr"/>
      <c r="M200" t="inlineStr"/>
      <c r="N200" t="inlineStr"/>
      <c r="O200">
        <f>(1-Summary!$B$55)*T200+Summary!$B$55*V200</f>
        <v/>
      </c>
      <c r="P200">
        <f>IF(B220=0,0,O200/B220)</f>
        <v/>
      </c>
      <c r="Q200" t="n">
        <v>0</v>
      </c>
      <c r="R200" t="n">
        <v>0</v>
      </c>
      <c r="S200">
        <f>IFERROR(O200/N200,0)</f>
        <v/>
      </c>
      <c r="T200" t="n">
        <v>0</v>
      </c>
      <c r="V200" t="n">
        <v>0</v>
      </c>
    </row>
    <row r="201">
      <c r="A201">
        <f>Skills!A16</f>
        <v/>
      </c>
      <c r="B201">
        <f>Skills!B16</f>
        <v/>
      </c>
      <c r="C201">
        <f>Inputs!$B$3&gt;=15</f>
        <v/>
      </c>
      <c r="D201">
        <f>IF(Skills!C16=1,60+Inputs!$B$25+Inputs!$B$29,IF(Skills!C16=2,90+Inputs!$B$26+Inputs!$B$29,IF(Skills!C16=3,120+Inputs!$B$27+Inputs!$B$29,MAX(0,(Inputs!$B$3-100)*3)+Inputs!$B$28+Inputs!$B$29)))</f>
        <v/>
      </c>
      <c r="E201">
        <f>INDEX(FactorTable!$B$2:$Y$301, MATCH(ROUND(MIN(300,MAX(1,D201)),0), FactorTable!$A$2:$A$301,0), Skills!M16+1)</f>
        <v/>
      </c>
      <c r="F201">
        <f>IF(Skills!N16=TRUE,(Skills!L16/10)*(E201/1000),Skills!L16/10)+Skills!O16</f>
        <v/>
      </c>
      <c r="G201">
        <f>Skills!G16*IF(Skills!H16&gt;0,Skills!I16/Skills!H16,1)</f>
        <v/>
      </c>
      <c r="H201">
        <f>1-(1-Skills!J16/100)^Skills!K16</f>
        <v/>
      </c>
      <c r="I201" t="inlineStr">
        <is>
          <t>1</t>
        </is>
      </c>
      <c r="J201" t="inlineStr"/>
      <c r="K201" t="inlineStr"/>
      <c r="L201" t="inlineStr"/>
      <c r="M201" t="inlineStr"/>
      <c r="N201" t="inlineStr"/>
      <c r="O201">
        <f>(1-Summary!$B$55)*T201+Summary!$B$55*V201</f>
        <v/>
      </c>
      <c r="P201">
        <f>IF(B220=0,0,O201/B220)</f>
        <v/>
      </c>
      <c r="Q201" t="n">
        <v>0</v>
      </c>
      <c r="R201" t="n">
        <v>0</v>
      </c>
      <c r="S201">
        <f>IFERROR(O201/N201,0)</f>
        <v/>
      </c>
      <c r="T201" t="n">
        <v>0</v>
      </c>
      <c r="V201" t="n">
        <v>0</v>
      </c>
    </row>
    <row r="202">
      <c r="A202">
        <f>Skills!A17</f>
        <v/>
      </c>
      <c r="B202">
        <f>Skills!B17</f>
        <v/>
      </c>
      <c r="C202">
        <f>Inputs!$B$3&gt;=10</f>
        <v/>
      </c>
      <c r="D202">
        <f>IF(Skills!C17=1,60+Inputs!$B$25+Inputs!$B$29,IF(Skills!C17=2,90+Inputs!$B$26+Inputs!$B$29,IF(Skills!C17=3,120+Inputs!$B$27+Inputs!$B$29,MAX(0,(Inputs!$B$3-100)*3)+Inputs!$B$28+Inputs!$B$29)))</f>
        <v/>
      </c>
      <c r="E202">
        <f>INDEX(FactorTable!$B$2:$Y$301, MATCH(ROUND(MIN(300,MAX(1,D202)),0), FactorTable!$A$2:$A$301,0), Skills!M17+1)</f>
        <v/>
      </c>
      <c r="F202">
        <f>IF(Skills!N17=TRUE,(Skills!L17/10)*(E202/1000),Skills!L17/10)+Skills!O17</f>
        <v/>
      </c>
      <c r="G202">
        <f>Skills!G17*IF(Skills!H17&gt;0,Skills!I17/Skills!H17,1)</f>
        <v/>
      </c>
      <c r="H202">
        <f>1-(1-Skills!J17/100)^Skills!K17</f>
        <v/>
      </c>
      <c r="I202" t="inlineStr">
        <is>
          <t>1</t>
        </is>
      </c>
      <c r="J202" t="inlineStr"/>
      <c r="K202" t="inlineStr"/>
      <c r="L202" t="inlineStr"/>
      <c r="M202" t="inlineStr"/>
      <c r="N202" t="inlineStr"/>
      <c r="O202">
        <f>(1-Summary!$B$55)*T202+Summary!$B$55*V202</f>
        <v/>
      </c>
      <c r="P202">
        <f>IF(B220=0,0,O202/B220)</f>
        <v/>
      </c>
      <c r="Q202" t="n">
        <v>0</v>
      </c>
      <c r="R202" t="n">
        <v>0</v>
      </c>
      <c r="S202">
        <f>IFERROR(O202/N202,0)</f>
        <v/>
      </c>
      <c r="T202" t="n">
        <v>0</v>
      </c>
      <c r="V202" t="n">
        <v>0</v>
      </c>
    </row>
    <row r="203">
      <c r="A203">
        <f>Skills!A18</f>
        <v/>
      </c>
      <c r="B203">
        <f>Skills!B18</f>
        <v/>
      </c>
      <c r="C203">
        <f>Inputs!$B$3&gt;=33</f>
        <v/>
      </c>
      <c r="D203">
        <f>IF(Skills!C18=1,60+Inputs!$B$25+Inputs!$B$29,IF(Skills!C18=2,90+Inputs!$B$26+Inputs!$B$29,IF(Skills!C18=3,120+Inputs!$B$27+Inputs!$B$29,MAX(0,(Inputs!$B$3-100)*3)+Inputs!$B$28+Inputs!$B$29)))</f>
        <v/>
      </c>
      <c r="E203">
        <f>INDEX(FactorTable!$B$2:$Y$301, MATCH(ROUND(MIN(300,MAX(1,D203)),0), FactorTable!$A$2:$A$301,0), Skills!M18+1)</f>
        <v/>
      </c>
      <c r="F203">
        <f>IF(Skills!N18=TRUE,(Skills!L18/10)*(E203/1000),Skills!L18/10)+Skills!O18</f>
        <v/>
      </c>
      <c r="G203">
        <f>Skills!G18*IF(Skills!H18&gt;0,Skills!I18/Skills!H18,1)</f>
        <v/>
      </c>
      <c r="H203">
        <f>1-(1-Skills!J18/100)^Skills!K18</f>
        <v/>
      </c>
      <c r="I203" t="inlineStr">
        <is>
          <t>1</t>
        </is>
      </c>
      <c r="J203" t="inlineStr"/>
      <c r="K203" t="inlineStr"/>
      <c r="L203" t="inlineStr"/>
      <c r="M203" t="inlineStr"/>
      <c r="N203" t="inlineStr"/>
      <c r="O203">
        <f>(1-Summary!$B$55)*T203+Summary!$B$55*V203</f>
        <v/>
      </c>
      <c r="P203">
        <f>IF(B220=0,0,O203/B220)</f>
        <v/>
      </c>
      <c r="Q203" t="n">
        <v>0</v>
      </c>
      <c r="R203" t="n">
        <v>0</v>
      </c>
      <c r="S203">
        <f>IFERROR(O203/N203,0)</f>
        <v/>
      </c>
      <c r="T203" t="n">
        <v>0</v>
      </c>
      <c r="V203" t="n">
        <v>0</v>
      </c>
    </row>
    <row r="204">
      <c r="A204">
        <f>Skills!A19</f>
        <v/>
      </c>
      <c r="B204">
        <f>Skills!B19</f>
        <v/>
      </c>
      <c r="C204">
        <f>Inputs!$B$3&gt;=40</f>
        <v/>
      </c>
      <c r="D204">
        <f>IF(Skills!C19=1,60+Inputs!$B$25+Inputs!$B$29,IF(Skills!C19=2,90+Inputs!$B$26+Inputs!$B$29,IF(Skills!C19=3,120+Inputs!$B$27+Inputs!$B$29,MAX(0,(Inputs!$B$3-100)*3)+Inputs!$B$28+Inputs!$B$29)))</f>
        <v/>
      </c>
      <c r="E204">
        <f>INDEX(FactorTable!$B$2:$Y$301, MATCH(ROUND(MIN(300,MAX(1,D204)),0), FactorTable!$A$2:$A$301,0), Skills!M19+1)</f>
        <v/>
      </c>
      <c r="F204">
        <f>IF(Skills!N19=TRUE,(Skills!L19/10)*(E204/1000),Skills!L19/10)+Skills!O19</f>
        <v/>
      </c>
      <c r="G204">
        <f>Skills!G19*IF(Skills!H19&gt;0,Skills!I19/Skills!H19,1)</f>
        <v/>
      </c>
      <c r="H204">
        <f>1-(1-Skills!J19/100)^Skills!K19</f>
        <v/>
      </c>
      <c r="I204" t="inlineStr">
        <is>
          <t>1</t>
        </is>
      </c>
      <c r="J204" t="inlineStr"/>
      <c r="K204" t="inlineStr"/>
      <c r="L204" t="inlineStr"/>
      <c r="M204" t="inlineStr"/>
      <c r="N204" t="inlineStr"/>
      <c r="O204">
        <f>(1-Summary!$B$55)*T204+Summary!$B$55*V204</f>
        <v/>
      </c>
      <c r="P204">
        <f>IF(B220=0,0,O204/B220)</f>
        <v/>
      </c>
      <c r="Q204" t="n">
        <v>0</v>
      </c>
      <c r="R204" t="n">
        <v>0</v>
      </c>
      <c r="S204">
        <f>IFERROR(O204/N204,0)</f>
        <v/>
      </c>
      <c r="T204" t="n">
        <v>0</v>
      </c>
      <c r="V204" t="n">
        <v>0</v>
      </c>
    </row>
    <row r="205">
      <c r="A205">
        <f>Skills!A20</f>
        <v/>
      </c>
      <c r="B205">
        <f>Skills!B20</f>
        <v/>
      </c>
      <c r="C205">
        <f>Inputs!$B$3&gt;=43</f>
        <v/>
      </c>
      <c r="D205">
        <f>IF(Skills!C20=1,60+Inputs!$B$25+Inputs!$B$29,IF(Skills!C20=2,90+Inputs!$B$26+Inputs!$B$29,IF(Skills!C20=3,120+Inputs!$B$27+Inputs!$B$29,MAX(0,(Inputs!$B$3-100)*3)+Inputs!$B$28+Inputs!$B$29)))</f>
        <v/>
      </c>
      <c r="E205">
        <f>INDEX(FactorTable!$B$2:$Y$301, MATCH(ROUND(MIN(300,MAX(1,D205)),0), FactorTable!$A$2:$A$301,0), Skills!M20+1)</f>
        <v/>
      </c>
      <c r="F205">
        <f>IF(Skills!N20=TRUE,(Skills!L20/10)*(E205/1000),Skills!L20/10)+Skills!O20</f>
        <v/>
      </c>
      <c r="G205">
        <f>Skills!G20*IF(Skills!H20&gt;0,Skills!I20/Skills!H20,1)</f>
        <v/>
      </c>
      <c r="H205">
        <f>1-(1-Skills!J20/100)^Skills!K20</f>
        <v/>
      </c>
      <c r="I205" t="inlineStr">
        <is>
          <t>1</t>
        </is>
      </c>
      <c r="J205" t="inlineStr"/>
      <c r="K205" t="inlineStr"/>
      <c r="L205" t="inlineStr"/>
      <c r="M205" t="inlineStr"/>
      <c r="N205" t="inlineStr"/>
      <c r="O205">
        <f>(1-Summary!$B$55)*T205+Summary!$B$55*V205</f>
        <v/>
      </c>
      <c r="P205">
        <f>IF(B220=0,0,O205/B220)</f>
        <v/>
      </c>
      <c r="Q205" t="n">
        <v>0</v>
      </c>
      <c r="R205" t="n">
        <v>0</v>
      </c>
      <c r="S205">
        <f>IFERROR(O205/N205,0)</f>
        <v/>
      </c>
      <c r="T205" t="n">
        <v>0</v>
      </c>
      <c r="V205" t="n">
        <v>0</v>
      </c>
    </row>
    <row r="206">
      <c r="A206">
        <f>Skills!A21</f>
        <v/>
      </c>
      <c r="B206">
        <f>Skills!B21</f>
        <v/>
      </c>
      <c r="C206">
        <f>Inputs!$B$3&gt;=38</f>
        <v/>
      </c>
      <c r="D206">
        <f>IF(Skills!C21=1,60+Inputs!$B$25+Inputs!$B$29,IF(Skills!C21=2,90+Inputs!$B$26+Inputs!$B$29,IF(Skills!C21=3,120+Inputs!$B$27+Inputs!$B$29,MAX(0,(Inputs!$B$3-100)*3)+Inputs!$B$28+Inputs!$B$29)))</f>
        <v/>
      </c>
      <c r="E206">
        <f>INDEX(FactorTable!$B$2:$Y$301, MATCH(ROUND(MIN(300,MAX(1,D206)),0), FactorTable!$A$2:$A$301,0), Skills!M21+1)</f>
        <v/>
      </c>
      <c r="F206">
        <f>IF(Skills!N21=TRUE,(Skills!L21/10)*(E206/1000),Skills!L21/10)+Skills!O21</f>
        <v/>
      </c>
      <c r="G206">
        <f>Skills!G21*IF(Skills!H21&gt;0,Skills!I21/Skills!H21,1)</f>
        <v/>
      </c>
      <c r="H206">
        <f>1-(1-Skills!J21/100)^Skills!K21</f>
        <v/>
      </c>
      <c r="I206" t="inlineStr">
        <is>
          <t>1</t>
        </is>
      </c>
      <c r="J206" t="inlineStr"/>
      <c r="K206" t="inlineStr"/>
      <c r="L206" t="inlineStr"/>
      <c r="M206" t="inlineStr"/>
      <c r="N206" t="inlineStr"/>
      <c r="O206">
        <f>(1-Summary!$B$55)*T206+Summary!$B$55*V206</f>
        <v/>
      </c>
      <c r="P206">
        <f>IF(B220=0,0,O206/B220)</f>
        <v/>
      </c>
      <c r="Q206" t="n">
        <v>0</v>
      </c>
      <c r="R206" t="n">
        <v>0</v>
      </c>
      <c r="S206">
        <f>IFERROR(O206/N206,0)</f>
        <v/>
      </c>
      <c r="T206" t="n">
        <v>0</v>
      </c>
      <c r="V206" t="n">
        <v>0</v>
      </c>
    </row>
    <row r="207">
      <c r="A207">
        <f>Skills!A22</f>
        <v/>
      </c>
      <c r="B207">
        <f>Skills!B22</f>
        <v/>
      </c>
      <c r="C207">
        <f>Inputs!$B$3&gt;=75</f>
        <v/>
      </c>
      <c r="D207">
        <f>IF(Skills!C22=1,60+Inputs!$B$25+Inputs!$B$29,IF(Skills!C22=2,90+Inputs!$B$26+Inputs!$B$29,IF(Skills!C22=3,120+Inputs!$B$27+Inputs!$B$29,MAX(0,(Inputs!$B$3-100)*3)+Inputs!$B$28+Inputs!$B$29)))</f>
        <v/>
      </c>
      <c r="E207">
        <f>INDEX(FactorTable!$B$2:$Y$301, MATCH(ROUND(MIN(300,MAX(1,D207)),0), FactorTable!$A$2:$A$301,0), Skills!M22+1)</f>
        <v/>
      </c>
      <c r="F207">
        <f>IF(Skills!N22=TRUE,(Skills!L22/10)*(E207/1000),Skills!L22/10)+Skills!O22</f>
        <v/>
      </c>
      <c r="G207">
        <f>Skills!G22*IF(Skills!H22&gt;0,Skills!I22/Skills!H22,1)</f>
        <v/>
      </c>
      <c r="H207">
        <f>1-(1-Skills!J22/100)^Skills!K22</f>
        <v/>
      </c>
      <c r="I207" t="inlineStr">
        <is>
          <t>1</t>
        </is>
      </c>
      <c r="J207" t="inlineStr"/>
      <c r="K207" t="inlineStr"/>
      <c r="L207" t="inlineStr"/>
      <c r="M207" t="inlineStr"/>
      <c r="N207" t="inlineStr"/>
      <c r="O207">
        <f>(1-Summary!$B$55)*T207+Summary!$B$55*V207</f>
        <v/>
      </c>
      <c r="P207">
        <f>IF(B220=0,0,O207/B220)</f>
        <v/>
      </c>
      <c r="Q207" t="n">
        <v>0</v>
      </c>
      <c r="R207" t="n">
        <v>0</v>
      </c>
      <c r="S207">
        <f>IFERROR(O207/N207,0)</f>
        <v/>
      </c>
      <c r="T207" t="n">
        <v>0</v>
      </c>
      <c r="V207" t="n">
        <v>0</v>
      </c>
    </row>
    <row r="209">
      <c r="A209" t="inlineStr">
        <is>
          <t>Attack% Bucket Multiplier</t>
        </is>
      </c>
      <c r="B209">
        <f>(1+(((C198=TRUE)*F198)+((C204=TRUE)*(F204-Calc!F19)))/100)</f>
        <v/>
      </c>
    </row>
    <row r="210">
      <c r="A210" t="inlineStr">
        <is>
          <t>Global Crit Rate Bonus %</t>
        </is>
      </c>
      <c r="B210" t="n">
        <v>0</v>
      </c>
    </row>
    <row r="211">
      <c r="A211" t="inlineStr">
        <is>
          <t>Attack Speed Buff Bonus % (unused)</t>
        </is>
      </c>
      <c r="B211" t="n">
        <v>0</v>
      </c>
    </row>
    <row r="212">
      <c r="A212" t="inlineStr">
        <is>
          <t>Actions Per Second</t>
        </is>
      </c>
      <c r="B212">
        <f>1+MIN(150,150*(1-(1-(Inputs!$B$11+((C202=TRUE)*(F202-Calc!F17))+((C203=TRUE)*(F203-Calc!F18)))/150)*(1-B211/150)))/100</f>
        <v/>
      </c>
    </row>
    <row r="213">
      <c r="A213" t="inlineStr">
        <is>
          <t>Skill + Buff Cast Rate</t>
        </is>
      </c>
      <c r="B213">
        <f>IF(AND(Inputs!$B$38&lt;&gt;"pvp",Inputs!$B$43&gt;0),SUMPRODUCT((Skills!E2:E22=TRUE)*(C187:C207=TRUE)*R187:R207*Skills!F2:F22)/Inputs!$B$43,SUMPRODUCT((Skills!E2:E22=TRUE)*(C187:C207=TRUE)*Q187:Q207*Skills!F2:F22))</f>
        <v/>
      </c>
    </row>
    <row r="214">
      <c r="A214" t="inlineStr">
        <is>
          <t>Hook Bomber Casts Per Second</t>
        </is>
      </c>
      <c r="B214">
        <f>MAX(0,B212-B213)</f>
        <v/>
      </c>
    </row>
    <row r="215">
      <c r="A215" t="inlineStr">
        <is>
          <t>Global Critical Damage Bonus % (unused)</t>
        </is>
      </c>
      <c r="B215" t="n">
        <v>0</v>
      </c>
    </row>
    <row r="216">
      <c r="A216" t="inlineStr">
        <is>
          <t>Global Final Damage Bonus % (Serpent Scale + Crossbones + Time Leap + Speed Infusion)</t>
        </is>
      </c>
      <c r="B216">
        <f>((C190=TRUE)*F190*((10+IF(Inputs!$B$3&gt;=94,5,0))/((10+IF(Inputs!$B$3&gt;=94,5,0))+5/(B214*(1+IF(Inputs!$B$3&gt;=104,1,0))))))+((C199=TRUE)*F199)+((C200=TRUE)*F200)+((Inputs!$B$3&gt;=110)*20*(B212-1))</f>
        <v/>
      </c>
    </row>
    <row r="217">
      <c r="A217" t="inlineStr">
        <is>
          <t>Buff-Casting Startup Delay (s, fixed-duration only)</t>
        </is>
      </c>
      <c r="B217">
        <f>IF(AND(Inputs!$B$38&lt;&gt;"pvp",Inputs!$B$43&gt;0),SUMPRODUCT((Skills!T2:T22&gt;0)*(Skills!E2:E22=TRUE)*(C187:C207=TRUE))/B212,0)</f>
        <v/>
      </c>
    </row>
    <row r="218">
      <c r="A218" t="inlineStr">
        <is>
          <t>Boss-Only Total DPS (this block's swept value)</t>
        </is>
      </c>
      <c r="B218">
        <f>SUM(T187:T207)</f>
        <v/>
      </c>
    </row>
    <row r="219">
      <c r="A219" t="inlineStr">
        <is>
          <t>Normal-Only Total DPS (this block's swept value)</t>
        </is>
      </c>
      <c r="B219">
        <f>SUM(V187:V207)</f>
        <v/>
      </c>
    </row>
    <row r="220">
      <c r="A220" s="5" t="inlineStr">
        <is>
          <t>TOTAL DPS</t>
        </is>
      </c>
      <c r="B220" s="5">
        <f>SUM(O187:O207)</f>
        <v/>
      </c>
    </row>
    <row r="223">
      <c r="A223" s="5" t="inlineStr">
        <is>
          <t>Stat: BOSS_DAMAGE %</t>
        </is>
      </c>
    </row>
    <row r="224">
      <c r="A224" s="9" t="inlineStr">
        <is>
          <t>Key</t>
        </is>
      </c>
      <c r="B224" s="9" t="inlineStr">
        <is>
          <t>Name</t>
        </is>
      </c>
      <c r="C224" s="9" t="inlineStr">
        <is>
          <t>Unlocked</t>
        </is>
      </c>
      <c r="D224" s="9" t="inlineStr">
        <is>
          <t>InputLevel</t>
        </is>
      </c>
      <c r="E224" s="9" t="inlineStr">
        <is>
          <t>Factor</t>
        </is>
      </c>
      <c r="F224" s="9" t="inlineStr">
        <is>
          <t>CoefficientPercent</t>
        </is>
      </c>
      <c r="G224" s="9" t="inlineStr">
        <is>
          <t>EffectiveHits</t>
        </is>
      </c>
      <c r="H224" s="9" t="inlineStr">
        <is>
          <t>ProcProbability</t>
        </is>
      </c>
      <c r="I224" s="9" t="inlineStr">
        <is>
          <t>MapleHeroMultiplier</t>
        </is>
      </c>
      <c r="J224" s="9" t="inlineStr">
        <is>
          <t>BaseDamage</t>
        </is>
      </c>
      <c r="K224" s="9" t="inlineStr">
        <is>
          <t>BaseHitDamage</t>
        </is>
      </c>
      <c r="L224" s="9" t="inlineStr">
        <is>
          <t>NonCritAvg</t>
        </is>
      </c>
      <c r="M224" s="9" t="inlineStr">
        <is>
          <t>CritAvg</t>
        </is>
      </c>
      <c r="N224" s="9" t="inlineStr">
        <is>
          <t>ExpectedDamage(perHit)</t>
        </is>
      </c>
      <c r="O224" s="9" t="inlineStr">
        <is>
          <t>DPS</t>
        </is>
      </c>
      <c r="P224" s="9" t="inlineStr">
        <is>
          <t>% of Total</t>
        </is>
      </c>
      <c r="Q224" s="9" t="inlineStr">
        <is>
          <t>InvCooldown</t>
        </is>
      </c>
      <c r="R224" s="9" t="inlineStr">
        <is>
          <t>CastsInFight</t>
        </is>
      </c>
      <c r="S224" s="9"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((Inputs!$B$6*(1+Inputs!$B$7/100))+(((Inputs!$B$12*(1+Inputs!$B$13/100))-(Inputs!$B$12*(1+Inputs!$B$13/100)))+0.25*(Inputs!$B$14-Inputs!$B$14))*(1+Inputs!$B$7/100))*(F225/100)</f>
        <v/>
      </c>
      <c r="K225">
        <f>J225*(1+((Inputs!$B$12*(1+Inputs!$B$13/100))*0.01+Inputs!$B$14*0.0025)/100)*(1+Inputs!$B$15/100)*(1+Inputs!$B$16/100)*(5000/(6000+Inputs!$B$42*(1-(Inputs!$B$19+0)/100)))*(1+(Inputs!$B$24+((C245=TRUE)*(F245-Calc!F22))+B254)/100)*(1+(IF(Skills!A2="HOOK_BOMBER",Inputs!$B$17+((C244=TRUE)*(F244-Calc!F21)),Inputs!$B$18+0))/100)*((1+(((C236=TRUE)*F236)+((C242=TRUE)*(F242-Calc!F19)))/100)*I225)</f>
        <v/>
      </c>
      <c r="L225">
        <f>K225*(MIN(Inputs!$B$22+((C243=TRUE)*(F243-Calc!F20)),Inputs!$B$23+0)/100+(Inputs!$B$23+0)/100)/2</f>
        <v/>
      </c>
      <c r="M225">
        <f>L225*(1+(Inputs!$B$10+0+B253)/100)</f>
        <v/>
      </c>
      <c r="N225">
        <f>L225*(1-MIN((Inputs!$B$9+((C239=TRUE)*(F239-Calc!F16))+B248),100)/100)+M225*(MIN((Inputs!$B$9+((C239=TRUE)*(F239-Calc!F16))+B248),100)/100)</f>
        <v/>
      </c>
      <c r="O225">
        <f>(1-Summary!$B$55)*T225+Summary!$B$55*V225</f>
        <v/>
      </c>
      <c r="P225">
        <f>IF(B258=0,0,O225/B258)</f>
        <v/>
      </c>
      <c r="Q225" t="n">
        <v>0</v>
      </c>
      <c r="R225" t="n">
        <v>0</v>
      </c>
      <c r="S225">
        <f>IFERROR(O225/N225,0)</f>
        <v/>
      </c>
      <c r="T225">
        <f>IF(C225,(Skills!G2*N225*B252)*IF(Inputs!$B$38="pvp",1,1+((Inputs!$B$20+1)+0+Skills!P2)/100),0)</f>
        <v/>
      </c>
      <c r="U225">
        <f>MAX(0,(Inputs!$B$3-100)*3)+Inputs!$B$28+Inputs!$B$29</f>
        <v/>
      </c>
      <c r="V225">
        <f>IF(C225,(Skills!G2*N225*B252)*IF(Inputs!$B$38="pvp",1,(1+(Inputs!$B$21+Skills!Q2)/100)*(MIN((6+Inputs!$B$33),Inputs!$B$37))),0)</f>
        <v/>
      </c>
    </row>
    <row r="226">
      <c r="A226">
        <f>Skills!A3</f>
        <v/>
      </c>
      <c r="B226">
        <f>Skills!B3</f>
        <v/>
      </c>
      <c r="C226">
        <f>Inputs!$B$3&gt;=35</f>
        <v/>
      </c>
      <c r="D226">
        <f>IF(Skills!C3=1,60+Inputs!$B$25+Inputs!$B$29,IF(Skills!C3=2,90+Inputs!$B$26+Inputs!$B$29,IF(Skills!C3=3,120+Inputs!$B$27+Inputs!$B$29,MAX(0,(Inputs!$B$3-100)*3)+Inputs!$B$28+Inputs!$B$29)))</f>
        <v/>
      </c>
      <c r="E226">
        <f>INDEX(FactorTable!$B$2:$Y$301, MATCH(ROUND(MIN(300,MAX(1,D226)),0), FactorTable!$A$2:$A$301,0), Skills!M3+1)</f>
        <v/>
      </c>
      <c r="F226">
        <f>IF(Skills!N3=TRUE,(Skills!L3/10)*(E226/1000),Skills!L3/10)+Skills!O3</f>
        <v/>
      </c>
      <c r="G226">
        <f>Skills!G3*IF(Skills!H3&gt;0,Skills!I3/Skills!H3,1)</f>
        <v/>
      </c>
      <c r="H226">
        <f>1-(1-Skills!J3/100)^Skills!K3</f>
        <v/>
      </c>
      <c r="I226" t="inlineStr">
        <is>
          <t>1</t>
        </is>
      </c>
      <c r="J226">
        <f>((Inputs!$B$6*(1+Inputs!$B$7/100))+(((Inputs!$B$12*(1+Inputs!$B$13/100))-(Inputs!$B$12*(1+Inputs!$B$13/100)))+0.25*(Inputs!$B$14-Inputs!$B$14))*(1+Inputs!$B$7/100))*(F226/100)</f>
        <v/>
      </c>
      <c r="K226">
        <f>J226*(1+((Inputs!$B$12*(1+Inputs!$B$13/100))*0.01+Inputs!$B$14*0.0025)/100)*(1+Inputs!$B$15/100)*(1+Inputs!$B$16/100)*(5000/(6000+Inputs!$B$42*(1-(Inputs!$B$19+0)/100)))*(1+(Inputs!$B$24+((C245=TRUE)*(F245-Calc!F22))+B254)/100)*(1+(IF(Skills!A3="HOOK_BOMBER",Inputs!$B$17+((C244=TRUE)*(F244-Calc!F21)),Inputs!$B$18+0))/100)*((1+(((C236=TRUE)*F236)+((C242=TRUE)*(F242-Calc!F19)))/100)*I226)</f>
        <v/>
      </c>
      <c r="L226">
        <f>K226*(MIN(Inputs!$B$22+((C243=TRUE)*(F243-Calc!F20)),Inputs!$B$23+0)/100+(Inputs!$B$23+0)/100)/2</f>
        <v/>
      </c>
      <c r="M226">
        <f>L226*(1+(Inputs!$B$10+0+B253)/100)</f>
        <v/>
      </c>
      <c r="N226">
        <f>L226*(1-MIN((Inputs!$B$9+((C239=TRUE)*(F239-Calc!F16))+B248),100)/100)+M226*(MIN((Inputs!$B$9+((C239=TRUE)*(F239-Calc!F16))+B248),100)/100)</f>
        <v/>
      </c>
      <c r="O226">
        <f>(1-Summary!$B$55)*T226+Summary!$B$55*V226</f>
        <v/>
      </c>
      <c r="P226">
        <f>IF(B258=0,0,O226/B258)</f>
        <v/>
      </c>
      <c r="Q226" t="n">
        <v>0</v>
      </c>
      <c r="R226" t="n">
        <v>0</v>
      </c>
      <c r="S226">
        <f>IFERROR(O226/N226,0)</f>
        <v/>
      </c>
      <c r="T226">
        <f>IF(C226,(Skills!G3*H226*N226*B252)*IF(Inputs!$B$38="pvp",1,1+((Inputs!$B$20+1)+0+Skills!P3)/100),0)</f>
        <v/>
      </c>
      <c r="U226">
        <f>INDEX(FactorTable!$B$2:$Y$301, MATCH(ROUND(MIN(300,MAX(1,U225)),0), FactorTable!$A$2:$A$301,0), 22)</f>
        <v/>
      </c>
      <c r="V226">
        <f>IF(C226,(Skills!G3*H226*N226*B252)*IF(Inputs!$B$38="pvp",1,(1+(Inputs!$B$21+Skills!Q3)/100)*(MIN(Skills!R3,Inputs!$B$37))),0)</f>
        <v/>
      </c>
    </row>
    <row r="227">
      <c r="A227">
        <f>Skills!A4</f>
        <v/>
      </c>
      <c r="B227">
        <f>Skills!B4</f>
        <v/>
      </c>
      <c r="C227">
        <f>Inputs!$B$3&gt;=60</f>
        <v/>
      </c>
      <c r="D227">
        <f>IF(Skills!C4=1,60+Inputs!$B$25+Inputs!$B$29,IF(Skills!C4=2,90+Inputs!$B$26+Inputs!$B$29,IF(Skills!C4=3,120+Inputs!$B$27+Inputs!$B$29,MAX(0,(Inputs!$B$3-100)*3)+Inputs!$B$28+Inputs!$B$29)))</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((Inputs!$B$6*(1+Inputs!$B$7/100))+(((Inputs!$B$12*(1+Inputs!$B$13/100))-(Inputs!$B$12*(1+Inputs!$B$13/100)))+0.25*(Inputs!$B$14-Inputs!$B$14))*(1+Inputs!$B$7/100))*(F227/100)</f>
        <v/>
      </c>
      <c r="K227">
        <f>J227*(1+((Inputs!$B$12*(1+Inputs!$B$13/100))*0.01+Inputs!$B$14*0.0025)/100)*(1+Inputs!$B$15/100)*(1+Inputs!$B$16/100)*(5000/(6000+Inputs!$B$42*(1-(Inputs!$B$19+0)/100)))*(1+(Inputs!$B$24+((C245=TRUE)*(F245-Calc!F22))+B254)/100)*(1+1.0*IF(C235=TRUE,F235,0)/100)*(1+(IF(Skills!A4="HOOK_BOMBER",Inputs!$B$17+((C244=TRUE)*(F244-Calc!F21)),Inputs!$B$18+0))/100)*((1+(((C236=TRUE)*F236)+((C242=TRUE)*(F242-Calc!F19)))/100)*I227)</f>
        <v/>
      </c>
      <c r="L227">
        <f>K227*(MIN(Inputs!$B$22+((C243=TRUE)*(F243-Calc!F20)),Inputs!$B$23+0)/100+(Inputs!$B$23+0)/100)/2</f>
        <v/>
      </c>
      <c r="M227">
        <f>L227*(1+(Inputs!$B$10+0+B253)/100)</f>
        <v/>
      </c>
      <c r="N227">
        <f>L227*(1-MIN((Inputs!$B$9+((C239=TRUE)*(F239-Calc!F16))+B248),100)/100)+M227*(MIN((Inputs!$B$9+((C239=TRUE)*(F239-Calc!F16))+B248),100)/100)</f>
        <v/>
      </c>
      <c r="O227">
        <f>(1-Summary!$B$55)*T227+Summary!$B$55*V227</f>
        <v/>
      </c>
      <c r="P227">
        <f>IF(B258=0,0,O227/B258)</f>
        <v/>
      </c>
      <c r="Q227" t="n">
        <v>0</v>
      </c>
      <c r="R227" t="n">
        <v>0</v>
      </c>
      <c r="S227">
        <f>IFERROR(O227/N227,0)</f>
        <v/>
      </c>
      <c r="T227">
        <f>IF(C227,(Skills!G4*H227*N227*B252)*IF(Inputs!$B$38="pvp",1,1+((Inputs!$B$20+1)+0+Skills!P4)/100),0)</f>
        <v/>
      </c>
      <c r="U227">
        <f>290*U226/1000</f>
        <v/>
      </c>
      <c r="V227">
        <f>IF(C227,(Skills!G4*H227*N227*B252)*IF(Inputs!$B$38="pvp",1,(1+(Inputs!$B$21+Skills!Q4)/100)*(MIN(Skills!R4,Inputs!$B$37))),0)</f>
        <v/>
      </c>
    </row>
    <row r="228">
      <c r="A228">
        <f>Skills!A5</f>
        <v/>
      </c>
      <c r="B228">
        <f>Skills!B5</f>
        <v/>
      </c>
      <c r="C228">
        <f>Inputs!$B$3&gt;=60</f>
        <v/>
      </c>
      <c r="D228">
        <f>IF(Skills!C5=1,60+Inputs!$B$25+Inputs!$B$29,IF(Skills!C5=2,90+Inputs!$B$26+Inputs!$B$29,IF(Skills!C5=3,120+Inputs!$B$27+Inputs!$B$29,MAX(0,(Inputs!$B$3-100)*3)+Inputs!$B$28+Inputs!$B$29)))</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t="inlineStr"/>
      <c r="K228" t="inlineStr"/>
      <c r="L228" t="inlineStr"/>
      <c r="M228" t="inlineStr"/>
      <c r="N228" t="inlineStr"/>
      <c r="O228">
        <f>(1-Summary!$B$55)*T228+Summary!$B$55*V228</f>
        <v/>
      </c>
      <c r="P228">
        <f>IF(B258=0,0,O228/B258)</f>
        <v/>
      </c>
      <c r="Q228" t="n">
        <v>0</v>
      </c>
      <c r="R228" t="n">
        <v>0</v>
      </c>
      <c r="S228">
        <f>IFERROR(O228/N228,0)</f>
        <v/>
      </c>
      <c r="T228" t="n">
        <v>0</v>
      </c>
      <c r="V228" t="n">
        <v>0</v>
      </c>
    </row>
    <row r="229">
      <c r="A229">
        <f>Skills!A6</f>
        <v/>
      </c>
      <c r="B229">
        <f>Skills!B6</f>
        <v/>
      </c>
      <c r="C229">
        <f>Inputs!$B$3&gt;=63</f>
        <v/>
      </c>
      <c r="D229">
        <f>IF(Skills!C6=1,60+Inputs!$B$25+Inputs!$B$29,IF(Skills!C6=2,90+Inputs!$B$26+Inputs!$B$29,IF(Skills!C6=3,120+Inputs!$B$27+Inputs!$B$29,MAX(0,(Inputs!$B$3-100)*3)+Inputs!$B$28+Inputs!$B$29)))</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((Inputs!$B$6*(1+Inputs!$B$7/100))+(((Inputs!$B$12*(1+Inputs!$B$13/100))-(Inputs!$B$12*(1+Inputs!$B$13/100)))+0.25*(Inputs!$B$14-Inputs!$B$14))*(1+Inputs!$B$7/100))*(F229/100)</f>
        <v/>
      </c>
      <c r="K229">
        <f>J229*(1+((Inputs!$B$12*(1+Inputs!$B$13/100))*0.01+Inputs!$B$14*0.0025)/100)*(1+Inputs!$B$15/100)*(1+Inputs!$B$16/100)*(5000/(6000+Inputs!$B$42*(1-(Inputs!$B$19+0)/100)))*(1+(Inputs!$B$24+((C245=TRUE)*(F245-Calc!F22))+B254)/100)*(1+(IF(Skills!A6="HOOK_BOMBER",Inputs!$B$17+((C244=TRUE)*(F244-Calc!F21)),Inputs!$B$18+0))/100)*((1+(((C236=TRUE)*F236)+((C242=TRUE)*(F242-Calc!F19)))/100)*I229)</f>
        <v/>
      </c>
      <c r="L229">
        <f>K229*(MIN(Inputs!$B$22+((C243=TRUE)*(F243-Calc!F20)),Inputs!$B$23+0)/100+(Inputs!$B$23+0)/100)/2</f>
        <v/>
      </c>
      <c r="M229">
        <f>L229*(1+(Inputs!$B$10+0+B253)/100)</f>
        <v/>
      </c>
      <c r="N229">
        <f>L229*(1-MIN((Inputs!$B$9+((C239=TRUE)*(F239-Calc!F16))+B248),100)/100)+M229*(MIN((Inputs!$B$9+((C239=TRUE)*(F239-Calc!F16))+B248),100)/100)</f>
        <v/>
      </c>
      <c r="O229">
        <f>(1-Summary!$B$55)*T229+Summary!$B$55*V229</f>
        <v/>
      </c>
      <c r="P229">
        <f>IF(B258=0,0,O229/B258)</f>
        <v/>
      </c>
      <c r="Q229">
        <f>IFERROR(1/IF(Inputs!$B$38="pvp",15,MAX(0.1,Skills!D6-IF(Skills!E6=TRUE,Inputs!$B$32,0))),0)</f>
        <v/>
      </c>
      <c r="R229">
        <f>IF(AND(Inputs!$B$38&lt;&gt;"pvp",Inputs!$B$43&gt;0),IF(MAX(0,Inputs!$B$43-B255)&lt;=0,0,(INT(MAX(0,Inputs!$B$43-B255)/IF(Inputs!$B$38="pvp",15,MAX(0.1,Skills!D6-IF(Skills!E6=TRUE,Inputs!$B$32,0))))+1)),0)</f>
        <v/>
      </c>
      <c r="S229">
        <f>IFERROR(O229/N229,0)</f>
        <v/>
      </c>
      <c r="T229">
        <f>IF(C229,(H229*N229*IF(AND(Inputs!$B$38&lt;&gt;"pvp",Inputs!$B$43&gt;0),((Skills!G6*((R229-1)*IF(Skills!H6&gt;0,Skills!I6/Skills!H6,1)+IF(Skills!H6&gt;0,MIN(Skills!I6,MAX(0,MAX(0,Inputs!$B$43-B255)-((R229-1)*IF(Inputs!$B$38="pvp",15,MAX(0.1,Skills!D6-IF(Skills!E6=TRUE,Inputs!$B$32,0))))))/Skills!H6,1)))/Inputs!$B$43),G229*Q229))*IF(Inputs!$B$38="pvp",1,1+((Inputs!$B$20+1)+0+Skills!P6)/100),0)</f>
        <v/>
      </c>
      <c r="V229">
        <f>IF(C229,(H229*N229*IF(AND(Inputs!$B$38&lt;&gt;"pvp",Inputs!$B$43&gt;0),((Skills!G6*((R229-1)*IF(Skills!H6&gt;0,Skills!I6/Skills!H6,1)+IF(Skills!H6&gt;0,MIN(Skills!I6,MAX(0,MAX(0,Inputs!$B$43-B255)-((R229-1)*IF(Inputs!$B$38="pvp",15,MAX(0.1,Skills!D6-IF(Skills!E6=TRUE,Inputs!$B$32,0))))))/Skills!H6,1)))/Inputs!$B$43),G229*Q229))*IF(Inputs!$B$38="pvp",1,(1+(Inputs!$B$21+Skills!Q6)/100)*(MIN(Skills!R6,Inputs!$B$37))),0)</f>
        <v/>
      </c>
    </row>
    <row r="230">
      <c r="A230">
        <f>Skills!A7</f>
        <v/>
      </c>
      <c r="B230">
        <f>Skills!B7</f>
        <v/>
      </c>
      <c r="C230">
        <f>Inputs!$B$3&gt;=100</f>
        <v/>
      </c>
      <c r="D230">
        <f>IF(Skills!C7=1,60+Inputs!$B$25+Inputs!$B$29,IF(Skills!C7=2,90+Inputs!$B$26+Inputs!$B$29,IF(Skills!C7=3,120+Inputs!$B$27+Inputs!$B$29,MAX(0,(Inputs!$B$3-100)*3)+Inputs!$B$28+Inputs!$B$29)))</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((Inputs!$B$6*(1+Inputs!$B$7/100))+(((Inputs!$B$12*(1+Inputs!$B$13/100))-(Inputs!$B$12*(1+Inputs!$B$13/100)))+0.25*(Inputs!$B$14-Inputs!$B$14))*(1+Inputs!$B$7/100))*(F230/100)</f>
        <v/>
      </c>
      <c r="K230">
        <f>J230*(1+((Inputs!$B$12*(1+Inputs!$B$13/100))*0.01+Inputs!$B$14*0.0025)/100)*(1+Inputs!$B$15/100)*(1+Inputs!$B$16/100)*(5000/(6000+Inputs!$B$42*(1-(Inputs!$B$19+0)/100)))*(1+(Inputs!$B$24+((C245=TRUE)*(F245-Calc!F22))+B254)/100)*(1+(IF(Skills!A7="HOOK_BOMBER",Inputs!$B$17+((C244=TRUE)*(F244-Calc!F21)),Inputs!$B$18+0))/100)*((1+(((C236=TRUE)*F236)+((C242=TRUE)*(F242-Calc!F19)))/100)*I230)</f>
        <v/>
      </c>
      <c r="L230">
        <f>K230*(MIN(Inputs!$B$22+((C243=TRUE)*(F243-Calc!F20)),Inputs!$B$23+0)/100+(Inputs!$B$23+0)/100)/2</f>
        <v/>
      </c>
      <c r="M230">
        <f>L230*(1+(Inputs!$B$10+0+B253)/100)</f>
        <v/>
      </c>
      <c r="N230">
        <f>L230*(1-MIN((Inputs!$B$9+((C239=TRUE)*(F239-Calc!F16))+B248),100)/100)+M230*(MIN((Inputs!$B$9+((C239=TRUE)*(F239-Calc!F16))+B248),100)/100)</f>
        <v/>
      </c>
      <c r="O230">
        <f>(1-Summary!$B$55)*T230+Summary!$B$55*V230</f>
        <v/>
      </c>
      <c r="P230">
        <f>IF(B258=0,0,O230/B258)</f>
        <v/>
      </c>
      <c r="Q230">
        <f>IFERROR(1/IF(Inputs!$B$38="pvp",15,MAX(0.1,Skills!D7-IF(Skills!E7=TRUE,Inputs!$B$32,0))),0)</f>
        <v/>
      </c>
      <c r="R230">
        <f>IF(AND(Inputs!$B$38&lt;&gt;"pvp",Inputs!$B$43&gt;0),IF(MAX(0,Inputs!$B$43-B255)&lt;=0,0,(INT(MAX(0,Inputs!$B$43-B255)/IF(Inputs!$B$38="pvp",15,MAX(0.1,Skills!D7-IF(Skills!E7=TRUE,Inputs!$B$32,0))))+1)),0)</f>
        <v/>
      </c>
      <c r="S230">
        <f>IFERROR(O230/N230,0)</f>
        <v/>
      </c>
      <c r="T230">
        <f>IF(C230,(H230*N230*IF(AND(Inputs!$B$38&lt;&gt;"pvp",Inputs!$B$43&gt;0),((Skills!G7*((R230-1)*IF(Skills!H7&gt;0,Skills!I7/Skills!H7,1)+IF(Skills!H7&gt;0,MIN(Skills!I7,MAX(0,MAX(0,Inputs!$B$43-B255)-((R230-1)*IF(Inputs!$B$38="pvp",15,MAX(0.1,Skills!D7-IF(Skills!E7=TRUE,Inputs!$B$32,0))))))/Skills!H7,1)))/Inputs!$B$43),G230*Q230))*IF(Inputs!$B$38="pvp",1,1+((Inputs!$B$20+1)+0+Skills!P7)/100),0)</f>
        <v/>
      </c>
      <c r="V230">
        <f>IF(C230,(H230*N230*IF(AND(Inputs!$B$38&lt;&gt;"pvp",Inputs!$B$43&gt;0),((Skills!G7*((R230-1)*IF(Skills!H7&gt;0,Skills!I7/Skills!H7,1)+IF(Skills!H7&gt;0,MIN(Skills!I7,MAX(0,MAX(0,Inputs!$B$43-B255)-((R230-1)*IF(Inputs!$B$38="pvp",15,MAX(0.1,Skills!D7-IF(Skills!E7=TRUE,Inputs!$B$32,0))))))/Skills!H7,1)))/Inputs!$B$43),G230*Q230))*IF(Inputs!$B$38="pvp",1,(1+(Inputs!$B$21+Skills!Q7)/100)*(MIN(Skills!R7,Inputs!$B$37))),0)</f>
        <v/>
      </c>
    </row>
    <row r="231">
      <c r="A231">
        <f>Skills!A8</f>
        <v/>
      </c>
      <c r="B231">
        <f>Skills!B8</f>
        <v/>
      </c>
      <c r="C231">
        <f>Inputs!$B$3&gt;=110</f>
        <v/>
      </c>
      <c r="D231">
        <f>IF(Skills!C8=1,60+Inputs!$B$25+Inputs!$B$29,IF(Skills!C8=2,90+Inputs!$B$26+Inputs!$B$29,IF(Skills!C8=3,120+Inputs!$B$27+Inputs!$B$29,MAX(0,(Inputs!$B$3-100)*3)+Inputs!$B$28+Inputs!$B$29)))</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f>((Inputs!$B$6*(1+Inputs!$B$7/100))+(((Inputs!$B$12*(1+Inputs!$B$13/100))-(Inputs!$B$12*(1+Inputs!$B$13/100)))+0.25*(Inputs!$B$14-Inputs!$B$14))*(1+Inputs!$B$7/100))*(F231/100)</f>
        <v/>
      </c>
      <c r="K231">
        <f>J231*(1+((Inputs!$B$12*(1+Inputs!$B$13/100))*0.01+Inputs!$B$14*0.0025)/100)*(1+Inputs!$B$15/100)*(1+Inputs!$B$16/100)*(5000/(6000+Inputs!$B$42*(1-(Inputs!$B$19+0)/100)))*(1+(Inputs!$B$24+((C245=TRUE)*(F245-Calc!F22))+B254)/100)*(1+(IF(Skills!A8="HOOK_BOMBER",Inputs!$B$17+((C244=TRUE)*(F244-Calc!F21)),Inputs!$B$18+0))/100)*((1+(((C236=TRUE)*F236)+((C242=TRUE)*(F242-Calc!F19)))/100)*I231)</f>
        <v/>
      </c>
      <c r="L231">
        <f>K231*(MIN(Inputs!$B$22+((C243=TRUE)*(F243-Calc!F20)),Inputs!$B$23+0)/100+(Inputs!$B$23+0)/100)/2</f>
        <v/>
      </c>
      <c r="M231">
        <f>L231*(1+(Inputs!$B$10+0+B253)/100)</f>
        <v/>
      </c>
      <c r="N231">
        <f>L231*(1-MIN((Inputs!$B$9+((C239=TRUE)*(F239-Calc!F16))+B248),100)/100)+M231*(MIN((Inputs!$B$9+((C239=TRUE)*(F239-Calc!F16))+B248),100)/100)</f>
        <v/>
      </c>
      <c r="O231">
        <f>(1-Summary!$B$55)*T231+Summary!$B$55*V231</f>
        <v/>
      </c>
      <c r="P231">
        <f>IF(B258=0,0,O231/B258)</f>
        <v/>
      </c>
      <c r="Q231">
        <f>IFERROR(1/IF(Inputs!$B$38="pvp",15,MAX(0.1,Skills!D8-IF(Skills!E8=TRUE,Inputs!$B$32,0))),0)</f>
        <v/>
      </c>
      <c r="R231">
        <f>IF(AND(Inputs!$B$38&lt;&gt;"pvp",Inputs!$B$43&gt;0),IF(MAX(0,Inputs!$B$43-B255)&lt;=0,0,(INT(MAX(0,Inputs!$B$43-B255)/IF(Inputs!$B$38="pvp",15,MAX(0.1,Skills!D8-IF(Skills!E8=TRUE,Inputs!$B$32,0))))+1)),0)</f>
        <v/>
      </c>
      <c r="S231">
        <f>IFERROR(O231/N231,0)</f>
        <v/>
      </c>
      <c r="T231">
        <f>IF(C231,(H231*N231*IF(AND(Inputs!$B$38&lt;&gt;"pvp",Inputs!$B$43&gt;0),((Skills!G8*((R231-1)*IF(Skills!H8&gt;0,Skills!I8/Skills!H8,1)+IF(Skills!H8&gt;0,MIN(Skills!I8,MAX(0,MAX(0,Inputs!$B$43-B255)-((R231-1)*IF(Inputs!$B$38="pvp",15,MAX(0.1,Skills!D8-IF(Skills!E8=TRUE,Inputs!$B$32,0))))))/Skills!H8,1)))/Inputs!$B$43),G231*Q231))*IF(Inputs!$B$38="pvp",1,1+((Inputs!$B$20+1)+0+Skills!P8)/100),0)</f>
        <v/>
      </c>
      <c r="V231">
        <f>IF(C231,(H231*N231*IF(AND(Inputs!$B$38&lt;&gt;"pvp",Inputs!$B$43&gt;0),((Skills!G8*((R231-1)*IF(Skills!H8&gt;0,Skills!I8/Skills!H8,1)+IF(Skills!H8&gt;0,MIN(Skills!I8,MAX(0,MAX(0,Inputs!$B$43-B255)-((R231-1)*IF(Inputs!$B$38="pvp",15,MAX(0.1,Skills!D8-IF(Skills!E8=TRUE,Inputs!$B$32,0))))))/Skills!H8,1)))/Inputs!$B$43),G231*Q231))*IF(Inputs!$B$38="pvp",1,(1+(Inputs!$B$21+Skills!Q8)/100)*(MIN(Skills!R8,Inputs!$B$37))),0)</f>
        <v/>
      </c>
    </row>
    <row r="232">
      <c r="A232">
        <f>Skills!A9</f>
        <v/>
      </c>
      <c r="B232">
        <f>Skills!B9</f>
        <v/>
      </c>
      <c r="C232">
        <f>Inputs!$B$3&gt;=110</f>
        <v/>
      </c>
      <c r="D232">
        <f>IF(Skills!C9=1,60+Inputs!$B$25+Inputs!$B$29,IF(Skills!C9=2,90+Inputs!$B$26+Inputs!$B$29,IF(Skills!C9=3,120+Inputs!$B$27+Inputs!$B$29,MAX(0,(Inputs!$B$3-100)*3)+Inputs!$B$28+Inputs!$B$29)))</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((Inputs!$B$6*(1+Inputs!$B$7/100))+(((Inputs!$B$12*(1+Inputs!$B$13/100))-(Inputs!$B$12*(1+Inputs!$B$13/100)))+0.25*(Inputs!$B$14-Inputs!$B$14))*(1+Inputs!$B$7/100))*(F232/100)</f>
        <v/>
      </c>
      <c r="K232">
        <f>J232*(1+((Inputs!$B$12*(1+Inputs!$B$13/100))*0.01+Inputs!$B$14*0.0025)/100)*(1+Inputs!$B$15/100)*(1+Inputs!$B$16/100)*(5000/(6000+Inputs!$B$42*(1-(Inputs!$B$19+0)/100)))*(1+(Inputs!$B$24+((C245=TRUE)*(F245-Calc!F22))+B254)/100)*(1+(IF(Skills!A9="HOOK_BOMBER",Inputs!$B$17+((C244=TRUE)*(F244-Calc!F21)),Inputs!$B$18+0))/100)*((1+(((C236=TRUE)*F236)+((C242=TRUE)*(F242-Calc!F19)))/100)*I232)</f>
        <v/>
      </c>
      <c r="L232">
        <f>K232*(MIN(Inputs!$B$22+((C243=TRUE)*(F243-Calc!F20)),Inputs!$B$23+0)/100+(Inputs!$B$23+0)/100)/2</f>
        <v/>
      </c>
      <c r="M232">
        <f>L232*(1+(Inputs!$B$10+0+B253)/100)</f>
        <v/>
      </c>
      <c r="N232">
        <f>L232*(1-MIN((Inputs!$B$9+((C239=TRUE)*(F239-Calc!F16))+B248),100)/100)+M232*(MIN((Inputs!$B$9+((C239=TRUE)*(F239-Calc!F16))+B248),100)/100)</f>
        <v/>
      </c>
      <c r="O232">
        <f>(1-Summary!$B$55)*T232+Summary!$B$55*V232</f>
        <v/>
      </c>
      <c r="P232">
        <f>IF(B258=0,0,O232/B258)</f>
        <v/>
      </c>
      <c r="Q232">
        <f>IFERROR(1/IF(Inputs!$B$38="pvp",15,MAX(0.1,Skills!D9-IF(Skills!E9=TRUE,Inputs!$B$32,0))),0)</f>
        <v/>
      </c>
      <c r="R232">
        <f>IF(AND(Inputs!$B$38&lt;&gt;"pvp",Inputs!$B$43&gt;0),IF(MAX(0,Inputs!$B$43-B255)&lt;=0,0,(INT(MAX(0,Inputs!$B$43-B255)/IF(Inputs!$B$38="pvp",15,MAX(0.1,Skills!D9-IF(Skills!E9=TRUE,Inputs!$B$32,0))))+1)),0)</f>
        <v/>
      </c>
      <c r="S232">
        <f>IFERROR(O232/N232,0)</f>
        <v/>
      </c>
      <c r="T232">
        <f>IF(C232,(H232*N232*IF(AND(Inputs!$B$38&lt;&gt;"pvp",Inputs!$B$43&gt;0),((Skills!G9*((R232-1)*IF(Skills!H9&gt;0,Skills!I9/Skills!H9,1)+IF(Skills!H9&gt;0,MIN(Skills!I9,MAX(0,MAX(0,Inputs!$B$43-B255)-((R232-1)*IF(Inputs!$B$38="pvp",15,MAX(0.1,Skills!D9-IF(Skills!E9=TRUE,Inputs!$B$32,0))))))/Skills!H9,1)))/Inputs!$B$43),G232*Q232))*IF(Inputs!$B$38="pvp",1,1+((Inputs!$B$20+1)+0+Skills!P9)/100),0)</f>
        <v/>
      </c>
      <c r="V232">
        <f>IF(C232,(H232*N232*IF(AND(Inputs!$B$38&lt;&gt;"pvp",Inputs!$B$43&gt;0),((Skills!G9*((R232-1)*IF(Skills!H9&gt;0,Skills!I9/Skills!H9,1)+IF(Skills!H9&gt;0,MIN(Skills!I9,MAX(0,MAX(0,Inputs!$B$43-B255)-((R232-1)*IF(Inputs!$B$38="pvp",15,MAX(0.1,Skills!D9-IF(Skills!E9=TRUE,Inputs!$B$32,0))))))/Skills!H9,1)))/Inputs!$B$43),G232*Q232))*IF(Inputs!$B$38="pvp",1,(1+(Inputs!$B$21+Skills!Q9)/100)*(MIN(Skills!R9,Inputs!$B$37))),0)</f>
        <v/>
      </c>
    </row>
    <row r="233">
      <c r="A233">
        <f>Skills!A10</f>
        <v/>
      </c>
      <c r="B233">
        <f>Skills!B10</f>
        <v/>
      </c>
      <c r="C233">
        <f>Inputs!$B$3&gt;=103</f>
        <v/>
      </c>
      <c r="D233">
        <f>IF(Skills!C10=1,60+Inputs!$B$25+Inputs!$B$29,IF(Skills!C10=2,90+Inputs!$B$26+Inputs!$B$29,IF(Skills!C10=3,120+Inputs!$B$27+Inputs!$B$29,MAX(0,(Inputs!$B$3-100)*3)+Inputs!$B$28+Inputs!$B$29)))</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((Inputs!$B$6*(1+Inputs!$B$7/100))+(((Inputs!$B$12*(1+Inputs!$B$13/100))-(Inputs!$B$12*(1+Inputs!$B$13/100)))+0.25*(Inputs!$B$14-Inputs!$B$14))*(1+Inputs!$B$7/100))*(F233/100)</f>
        <v/>
      </c>
      <c r="K233">
        <f>J233*(1+((Inputs!$B$12*(1+Inputs!$B$13/100))*0.01+Inputs!$B$14*0.0025)/100)*(1+Inputs!$B$15/100)*(1+Inputs!$B$16/100)*(5000/(6000+Inputs!$B$42*(1-(Inputs!$B$19+0)/100)))*(1+(Inputs!$B$24+((C245=TRUE)*(F245-Calc!F22))+B254)/100)*(1+(IF(Skills!A10="HOOK_BOMBER",Inputs!$B$17+((C244=TRUE)*(F244-Calc!F21)),Inputs!$B$18+0))/100)*((1+(((C236=TRUE)*F236)+((C242=TRUE)*(F242-Calc!F19)))/100)*I233)</f>
        <v/>
      </c>
      <c r="L233">
        <f>K233*(MIN(Inputs!$B$22+((C243=TRUE)*(F243-Calc!F20)),Inputs!$B$23+0)/100+(Inputs!$B$23+0)/100)/2</f>
        <v/>
      </c>
      <c r="M233">
        <f>L233*(1+(Inputs!$B$10+0+B253)/100)</f>
        <v/>
      </c>
      <c r="N233">
        <f>L233*(1-MIN((Inputs!$B$9+((C239=TRUE)*(F239-Calc!F16))+B248),100)/100)+M233*(MIN((Inputs!$B$9+((C239=TRUE)*(F239-Calc!F16))+B248),100)/100)</f>
        <v/>
      </c>
      <c r="O233">
        <f>(1-Summary!$B$55)*T233+Summary!$B$55*V233</f>
        <v/>
      </c>
      <c r="P233">
        <f>IF(B258=0,0,O233/B258)</f>
        <v/>
      </c>
      <c r="Q233">
        <f>IFERROR(1/IF(Inputs!$B$38="pvp",15,MAX(0.1,Skills!D10-IF(Skills!E10=TRUE,Inputs!$B$32,0))),0)</f>
        <v/>
      </c>
      <c r="R233">
        <f>IF(AND(Inputs!$B$38&lt;&gt;"pvp",Inputs!$B$43&gt;0),IF(MAX(0,Inputs!$B$43-B255)&lt;=0,0,(INT(MAX(0,Inputs!$B$43-B255)/IF(Inputs!$B$38="pvp",15,MAX(0.1,Skills!D10-IF(Skills!E10=TRUE,Inputs!$B$32,0))))+1)),0)</f>
        <v/>
      </c>
      <c r="S233">
        <f>IFERROR(O233/N233,0)</f>
        <v/>
      </c>
      <c r="T233">
        <f>IF(C233,(H233*N233*IF(AND(Inputs!$B$38&lt;&gt;"pvp",Inputs!$B$43&gt;0),((Skills!G10*((R233-1)*IF(Skills!H10&gt;0,Skills!I10/Skills!H10,1)+IF(Skills!H10&gt;0,MIN(Skills!I10,MAX(0,MAX(0,Inputs!$B$43-B255)-((R233-1)*IF(Inputs!$B$38="pvp",15,MAX(0.1,Skills!D10-IF(Skills!E10=TRUE,Inputs!$B$32,0))))))/Skills!H10,1)))/Inputs!$B$43),G233*Q233))*IF(Inputs!$B$38="pvp",1,1+((Inputs!$B$20+1)+0+Skills!P10)/100),0)</f>
        <v/>
      </c>
      <c r="V233">
        <f>IF(C233,(H233*N233*IF(AND(Inputs!$B$38&lt;&gt;"pvp",Inputs!$B$43&gt;0),((Skills!G10*((R233-1)*IF(Skills!H10&gt;0,Skills!I10/Skills!H10,1)+IF(Skills!H10&gt;0,MIN(Skills!I10,MAX(0,MAX(0,Inputs!$B$43-B255)-((R233-1)*IF(Inputs!$B$38="pvp",15,MAX(0.1,Skills!D10-IF(Skills!E10=TRUE,Inputs!$B$32,0))))))/Skills!H10,1)))/Inputs!$B$43),G233*Q233))*IF(Inputs!$B$38="pvp",1,(1+(Inputs!$B$21+Skills!Q10)/100)*(MIN(Skills!R10,Inputs!$B$37))),0)</f>
        <v/>
      </c>
    </row>
    <row r="234">
      <c r="A234">
        <f>Skills!A11</f>
        <v/>
      </c>
      <c r="B234">
        <f>Skills!B11</f>
        <v/>
      </c>
      <c r="C234">
        <f>Inputs!$B$3&gt;=113</f>
        <v/>
      </c>
      <c r="D234">
        <f>IF(Skills!C11=1,60+Inputs!$B$25+Inputs!$B$29,IF(Skills!C11=2,90+Inputs!$B$26+Inputs!$B$29,IF(Skills!C11=3,120+Inputs!$B$27+Inputs!$B$29,MAX(0,(Inputs!$B$3-100)*3)+Inputs!$B$28+Inputs!$B$29)))</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f>((Inputs!$B$6*(1+Inputs!$B$7/100))+(((Inputs!$B$12*(1+Inputs!$B$13/100))-(Inputs!$B$12*(1+Inputs!$B$13/100)))+0.25*(Inputs!$B$14-Inputs!$B$14))*(1+Inputs!$B$7/100))*(F234/100)</f>
        <v/>
      </c>
      <c r="K234">
        <f>J234*(1+((Inputs!$B$12*(1+Inputs!$B$13/100))*0.01+Inputs!$B$14*0.0025)/100)*(1+Inputs!$B$15/100)*(1+Inputs!$B$16/100)*(5000/(6000+Inputs!$B$42*(1-(Inputs!$B$19+0)/100)))*(1+(Inputs!$B$24+((C245=TRUE)*(F245-Calc!F22))+B254)/100)*(1+(IF(Skills!A11="HOOK_BOMBER",Inputs!$B$17+((C244=TRUE)*(F244-Calc!F21)),Inputs!$B$18+0))/100)*((1+(((C236=TRUE)*F236)+((C242=TRUE)*(F242-Calc!F19)))/100)*I234)</f>
        <v/>
      </c>
      <c r="L234">
        <f>K234*(MIN(Inputs!$B$22+((C243=TRUE)*(F243-Calc!F20)),Inputs!$B$23+0)/100+(Inputs!$B$23+0)/100)/2</f>
        <v/>
      </c>
      <c r="M234">
        <f>L234*(1+(Inputs!$B$10+0+B253)/100)</f>
        <v/>
      </c>
      <c r="N234">
        <f>L234*(1-MIN((Inputs!$B$9+((C239=TRUE)*(F239-Calc!F16))+B248),100)/100)+M234*(MIN((Inputs!$B$9+((C239=TRUE)*(F239-Calc!F16))+B248),100)/100)</f>
        <v/>
      </c>
      <c r="O234">
        <f>(1-Summary!$B$55)*T234+Summary!$B$55*V234</f>
        <v/>
      </c>
      <c r="P234">
        <f>IF(B258=0,0,O234/B258)</f>
        <v/>
      </c>
      <c r="Q234">
        <f>IFERROR(1/IF(Inputs!$B$38="pvp",15,MAX(0.1,Skills!D11-IF(Skills!E11=TRUE,Inputs!$B$32,0))),0)</f>
        <v/>
      </c>
      <c r="R234">
        <f>IF(AND(Inputs!$B$38&lt;&gt;"pvp",Inputs!$B$43&gt;0),IF(MAX(0,Inputs!$B$43-B255)&lt;=0,0,(INT(MAX(0,Inputs!$B$43-B255)/IF(Inputs!$B$38="pvp",15,MAX(0.1,Skills!D11-IF(Skills!E11=TRUE,Inputs!$B$32,0))))+1)),0)</f>
        <v/>
      </c>
      <c r="S234">
        <f>IFERROR(O234/N234,0)</f>
        <v/>
      </c>
      <c r="T234">
        <f>IF(C234,(H234*N234*IF(AND(Inputs!$B$38&lt;&gt;"pvp",Inputs!$B$43&gt;0),((Skills!G11*((R234-1)*IF(Skills!H11&gt;0,Skills!I11/Skills!H11,1)+IF(Skills!H11&gt;0,MIN(Skills!I11,MAX(0,MAX(0,Inputs!$B$43-B255)-((R234-1)*IF(Inputs!$B$38="pvp",15,MAX(0.1,Skills!D11-IF(Skills!E11=TRUE,Inputs!$B$32,0))))))/Skills!H11,1)))/Inputs!$B$43),G234*Q234))*IF(Inputs!$B$38="pvp",1,1+((Inputs!$B$20+1)+0+Skills!P11)/100),0)</f>
        <v/>
      </c>
      <c r="V234">
        <f>IF(C234,(H234*N234*IF(AND(Inputs!$B$38&lt;&gt;"pvp",Inputs!$B$43&gt;0),((Skills!G11*((R234-1)*IF(Skills!H11&gt;0,Skills!I11/Skills!H11,1)+IF(Skills!H11&gt;0,MIN(Skills!I11,MAX(0,MAX(0,Inputs!$B$43-B255)-((R234-1)*IF(Inputs!$B$38="pvp",15,MAX(0.1,Skills!D11-IF(Skills!E11=TRUE,Inputs!$B$32,0))))))/Skills!H11,1)))/Inputs!$B$43),G234*Q234))*IF(Inputs!$B$38="pvp",1,(1+(Inputs!$B$21+Skills!Q11)/100)*(MIN(Skills!R11,Inputs!$B$37))),0)</f>
        <v/>
      </c>
    </row>
    <row r="235">
      <c r="A235">
        <f>Skills!A12</f>
        <v/>
      </c>
      <c r="B235">
        <f>Skills!B12</f>
        <v/>
      </c>
      <c r="C235">
        <f>Inputs!$B$3&gt;=100</f>
        <v/>
      </c>
      <c r="D235">
        <f>IF(Skills!C12=1,60+Inputs!$B$25+Inputs!$B$29,IF(Skills!C12=2,90+Inputs!$B$26+Inputs!$B$29,IF(Skills!C12=3,120+Inputs!$B$27+Inputs!$B$29,MAX(0,(Inputs!$B$3-100)*3)+Inputs!$B$28+Inputs!$B$29)))</f>
        <v/>
      </c>
      <c r="E235">
        <f>INDEX(FactorTable!$B$2:$Y$301, MATCH(ROUND(MIN(300,MAX(1,D235)),0), FactorTable!$A$2:$A$301,0), Skills!M12+1)</f>
        <v/>
      </c>
      <c r="F235">
        <f>IF(Skills!N12=TRUE,(Skills!L12/10)*(E235/1000),Skills!L12/10)+Skills!O12</f>
        <v/>
      </c>
      <c r="G235" t="inlineStr"/>
      <c r="H235" t="inlineStr"/>
      <c r="I235" t="inlineStr">
        <is>
          <t>1</t>
        </is>
      </c>
      <c r="J235" t="inlineStr"/>
      <c r="K235" t="inlineStr"/>
      <c r="L235" t="inlineStr"/>
      <c r="M235" t="inlineStr"/>
      <c r="N235" t="inlineStr"/>
      <c r="O235" t="inlineStr"/>
      <c r="P235" t="inlineStr"/>
      <c r="Q235" t="inlineStr"/>
      <c r="R235" t="inlineStr"/>
      <c r="S235" t="inlineStr"/>
      <c r="T235" t="inlineStr"/>
      <c r="V235" t="inlineStr"/>
    </row>
    <row r="236">
      <c r="A236">
        <f>Skills!A13</f>
        <v/>
      </c>
      <c r="B236">
        <f>Skills!B13</f>
        <v/>
      </c>
      <c r="C236">
        <f>Inputs!$B$3&gt;=66</f>
        <v/>
      </c>
      <c r="D236">
        <f>IF(Skills!C13=1,60+Inputs!$B$25+Inputs!$B$29,IF(Skills!C13=2,90+Inputs!$B$26+Inputs!$B$29,IF(Skills!C13=3,120+Inputs!$B$27+Inputs!$B$29,MAX(0,(Inputs!$B$3-100)*3)+Inputs!$B$28+Inputs!$B$29)))</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t="inlineStr"/>
      <c r="K236" t="inlineStr"/>
      <c r="L236" t="inlineStr"/>
      <c r="M236" t="inlineStr"/>
      <c r="N236" t="inlineStr"/>
      <c r="O236">
        <f>(1-Summary!$B$55)*T236+Summary!$B$55*V236</f>
        <v/>
      </c>
      <c r="P236">
        <f>IF(B258=0,0,O236/B258)</f>
        <v/>
      </c>
      <c r="Q236" t="n">
        <v>0</v>
      </c>
      <c r="R236" t="n">
        <v>0</v>
      </c>
      <c r="S236">
        <f>IFERROR(O236/N236,0)</f>
        <v/>
      </c>
      <c r="T236" t="n">
        <v>0</v>
      </c>
      <c r="V236" t="n">
        <v>0</v>
      </c>
    </row>
    <row r="237">
      <c r="A237">
        <f>Skills!A14</f>
        <v/>
      </c>
      <c r="B237">
        <f>Skills!B14</f>
        <v/>
      </c>
      <c r="C237">
        <f>Inputs!$B$3&gt;=107</f>
        <v/>
      </c>
      <c r="D237">
        <f>IF(Skills!C14=1,60+Inputs!$B$25+Inputs!$B$29,IF(Skills!C14=2,90+Inputs!$B$26+Inputs!$B$29,IF(Skills!C14=3,120+Inputs!$B$27+Inputs!$B$29,MAX(0,(Inputs!$B$3-100)*3)+Inputs!$B$28+Inputs!$B$29)))</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t="inlineStr"/>
      <c r="K237" t="inlineStr"/>
      <c r="L237" t="inlineStr"/>
      <c r="M237" t="inlineStr"/>
      <c r="N237" t="inlineStr"/>
      <c r="O237">
        <f>(1-Summary!$B$55)*T237+Summary!$B$55*V237</f>
        <v/>
      </c>
      <c r="P237">
        <f>IF(B258=0,0,O237/B258)</f>
        <v/>
      </c>
      <c r="Q237" t="n">
        <v>0</v>
      </c>
      <c r="R237" t="n">
        <v>0</v>
      </c>
      <c r="S237">
        <f>IFERROR(O237/N237,0)</f>
        <v/>
      </c>
      <c r="T237" t="n">
        <v>0</v>
      </c>
      <c r="V237" t="n">
        <v>0</v>
      </c>
    </row>
    <row r="238">
      <c r="A238">
        <f>Skills!A15</f>
        <v/>
      </c>
      <c r="B238">
        <f>Skills!B15</f>
        <v/>
      </c>
      <c r="C238">
        <f>Inputs!$B$3&gt;=115</f>
        <v/>
      </c>
      <c r="D238">
        <f>IF(Skills!C15=1,60+Inputs!$B$25+Inputs!$B$29,IF(Skills!C15=2,90+Inputs!$B$26+Inputs!$B$29,IF(Skills!C15=3,120+Inputs!$B$27+Inputs!$B$29,MAX(0,(Inputs!$B$3-100)*3)+Inputs!$B$28+Inputs!$B$29)))</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t="inlineStr"/>
      <c r="K238" t="inlineStr"/>
      <c r="L238" t="inlineStr"/>
      <c r="M238" t="inlineStr"/>
      <c r="N238" t="inlineStr"/>
      <c r="O238">
        <f>(1-Summary!$B$55)*T238+Summary!$B$55*V238</f>
        <v/>
      </c>
      <c r="P238">
        <f>IF(B258=0,0,O238/B258)</f>
        <v/>
      </c>
      <c r="Q238" t="n">
        <v>0</v>
      </c>
      <c r="R238" t="n">
        <v>0</v>
      </c>
      <c r="S238">
        <f>IFERROR(O238/N238,0)</f>
        <v/>
      </c>
      <c r="T238" t="n">
        <v>0</v>
      </c>
      <c r="V238" t="n">
        <v>0</v>
      </c>
    </row>
    <row r="239">
      <c r="A239">
        <f>Skills!A16</f>
        <v/>
      </c>
      <c r="B239">
        <f>Skills!B16</f>
        <v/>
      </c>
      <c r="C239">
        <f>Inputs!$B$3&gt;=15</f>
        <v/>
      </c>
      <c r="D239">
        <f>IF(Skills!C16=1,60+Inputs!$B$25+Inputs!$B$29,IF(Skills!C16=2,90+Inputs!$B$26+Inputs!$B$29,IF(Skills!C16=3,120+Inputs!$B$27+Inputs!$B$29,MAX(0,(Inputs!$B$3-100)*3)+Inputs!$B$28+Inputs!$B$29)))</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f>(1-Summary!$B$55)*T239+Summary!$B$55*V239</f>
        <v/>
      </c>
      <c r="P239">
        <f>IF(B258=0,0,O239/B258)</f>
        <v/>
      </c>
      <c r="Q239" t="n">
        <v>0</v>
      </c>
      <c r="R239" t="n">
        <v>0</v>
      </c>
      <c r="S239">
        <f>IFERROR(O239/N239,0)</f>
        <v/>
      </c>
      <c r="T239" t="n">
        <v>0</v>
      </c>
      <c r="V239" t="n">
        <v>0</v>
      </c>
    </row>
    <row r="240">
      <c r="A240">
        <f>Skills!A17</f>
        <v/>
      </c>
      <c r="B240">
        <f>Skills!B17</f>
        <v/>
      </c>
      <c r="C240">
        <f>Inputs!$B$3&gt;=10</f>
        <v/>
      </c>
      <c r="D240">
        <f>IF(Skills!C17=1,60+Inputs!$B$25+Inputs!$B$29,IF(Skills!C17=2,90+Inputs!$B$26+Inputs!$B$29,IF(Skills!C17=3,120+Inputs!$B$27+Inputs!$B$29,MAX(0,(Inputs!$B$3-100)*3)+Inputs!$B$28+Inputs!$B$29)))</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t="inlineStr"/>
      <c r="K240" t="inlineStr"/>
      <c r="L240" t="inlineStr"/>
      <c r="M240" t="inlineStr"/>
      <c r="N240" t="inlineStr"/>
      <c r="O240">
        <f>(1-Summary!$B$55)*T240+Summary!$B$55*V240</f>
        <v/>
      </c>
      <c r="P240">
        <f>IF(B258=0,0,O240/B258)</f>
        <v/>
      </c>
      <c r="Q240" t="n">
        <v>0</v>
      </c>
      <c r="R240" t="n">
        <v>0</v>
      </c>
      <c r="S240">
        <f>IFERROR(O240/N240,0)</f>
        <v/>
      </c>
      <c r="T240" t="n">
        <v>0</v>
      </c>
      <c r="V240" t="n">
        <v>0</v>
      </c>
    </row>
    <row r="241">
      <c r="A241">
        <f>Skills!A18</f>
        <v/>
      </c>
      <c r="B241">
        <f>Skills!B18</f>
        <v/>
      </c>
      <c r="C241">
        <f>Inputs!$B$3&gt;=33</f>
        <v/>
      </c>
      <c r="D241">
        <f>IF(Skills!C18=1,60+Inputs!$B$25+Inputs!$B$29,IF(Skills!C18=2,90+Inputs!$B$26+Inputs!$B$29,IF(Skills!C18=3,120+Inputs!$B$27+Inputs!$B$29,MAX(0,(Inputs!$B$3-100)*3)+Inputs!$B$28+Inputs!$B$29)))</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f>(1-Summary!$B$55)*T241+Summary!$B$55*V241</f>
        <v/>
      </c>
      <c r="P241">
        <f>IF(B258=0,0,O241/B258)</f>
        <v/>
      </c>
      <c r="Q241" t="n">
        <v>0</v>
      </c>
      <c r="R241" t="n">
        <v>0</v>
      </c>
      <c r="S241">
        <f>IFERROR(O241/N241,0)</f>
        <v/>
      </c>
      <c r="T241" t="n">
        <v>0</v>
      </c>
      <c r="V241" t="n">
        <v>0</v>
      </c>
    </row>
    <row r="242">
      <c r="A242">
        <f>Skills!A19</f>
        <v/>
      </c>
      <c r="B242">
        <f>Skills!B19</f>
        <v/>
      </c>
      <c r="C242">
        <f>Inputs!$B$3&gt;=40</f>
        <v/>
      </c>
      <c r="D242">
        <f>IF(Skills!C19=1,60+Inputs!$B$25+Inputs!$B$29,IF(Skills!C19=2,90+Inputs!$B$26+Inputs!$B$29,IF(Skills!C19=3,120+Inputs!$B$27+Inputs!$B$29,MAX(0,(Inputs!$B$3-100)*3)+Inputs!$B$28+Inputs!$B$29)))</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f>(1-Summary!$B$55)*T242+Summary!$B$55*V242</f>
        <v/>
      </c>
      <c r="P242">
        <f>IF(B258=0,0,O242/B258)</f>
        <v/>
      </c>
      <c r="Q242" t="n">
        <v>0</v>
      </c>
      <c r="R242" t="n">
        <v>0</v>
      </c>
      <c r="S242">
        <f>IFERROR(O242/N242,0)</f>
        <v/>
      </c>
      <c r="T242" t="n">
        <v>0</v>
      </c>
      <c r="V242" t="n">
        <v>0</v>
      </c>
    </row>
    <row r="243">
      <c r="A243">
        <f>Skills!A20</f>
        <v/>
      </c>
      <c r="B243">
        <f>Skills!B20</f>
        <v/>
      </c>
      <c r="C243">
        <f>Inputs!$B$3&gt;=43</f>
        <v/>
      </c>
      <c r="D243">
        <f>IF(Skills!C20=1,60+Inputs!$B$25+Inputs!$B$29,IF(Skills!C20=2,90+Inputs!$B$26+Inputs!$B$29,IF(Skills!C20=3,120+Inputs!$B$27+Inputs!$B$29,MAX(0,(Inputs!$B$3-100)*3)+Inputs!$B$28+Inputs!$B$29)))</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f>(1-Summary!$B$55)*T243+Summary!$B$55*V243</f>
        <v/>
      </c>
      <c r="P243">
        <f>IF(B258=0,0,O243/B258)</f>
        <v/>
      </c>
      <c r="Q243" t="n">
        <v>0</v>
      </c>
      <c r="R243" t="n">
        <v>0</v>
      </c>
      <c r="S243">
        <f>IFERROR(O243/N243,0)</f>
        <v/>
      </c>
      <c r="T243" t="n">
        <v>0</v>
      </c>
      <c r="V243" t="n">
        <v>0</v>
      </c>
    </row>
    <row r="244">
      <c r="A244">
        <f>Skills!A21</f>
        <v/>
      </c>
      <c r="B244">
        <f>Skills!B21</f>
        <v/>
      </c>
      <c r="C244">
        <f>Inputs!$B$3&gt;=38</f>
        <v/>
      </c>
      <c r="D244">
        <f>IF(Skills!C21=1,60+Inputs!$B$25+Inputs!$B$29,IF(Skills!C21=2,90+Inputs!$B$26+Inputs!$B$29,IF(Skills!C21=3,120+Inputs!$B$27+Inputs!$B$29,MAX(0,(Inputs!$B$3-100)*3)+Inputs!$B$28+Inputs!$B$29)))</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f>(1-Summary!$B$55)*T244+Summary!$B$55*V244</f>
        <v/>
      </c>
      <c r="P244">
        <f>IF(B258=0,0,O244/B258)</f>
        <v/>
      </c>
      <c r="Q244" t="n">
        <v>0</v>
      </c>
      <c r="R244" t="n">
        <v>0</v>
      </c>
      <c r="S244">
        <f>IFERROR(O244/N244,0)</f>
        <v/>
      </c>
      <c r="T244" t="n">
        <v>0</v>
      </c>
      <c r="V244" t="n">
        <v>0</v>
      </c>
    </row>
    <row r="245">
      <c r="A245">
        <f>Skills!A22</f>
        <v/>
      </c>
      <c r="B245">
        <f>Skills!B22</f>
        <v/>
      </c>
      <c r="C245">
        <f>Inputs!$B$3&gt;=75</f>
        <v/>
      </c>
      <c r="D245">
        <f>IF(Skills!C22=1,60+Inputs!$B$25+Inputs!$B$29,IF(Skills!C22=2,90+Inputs!$B$26+Inputs!$B$29,IF(Skills!C22=3,120+Inputs!$B$27+Inputs!$B$29,MAX(0,(Inputs!$B$3-100)*3)+Inputs!$B$28+Inputs!$B$29)))</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f>(1-Summary!$B$55)*T245+Summary!$B$55*V245</f>
        <v/>
      </c>
      <c r="P245">
        <f>IF(B258=0,0,O245/B258)</f>
        <v/>
      </c>
      <c r="Q245" t="n">
        <v>0</v>
      </c>
      <c r="R245" t="n">
        <v>0</v>
      </c>
      <c r="S245">
        <f>IFERROR(O245/N245,0)</f>
        <v/>
      </c>
      <c r="T245" t="n">
        <v>0</v>
      </c>
      <c r="V245" t="n">
        <v>0</v>
      </c>
    </row>
    <row r="247">
      <c r="A247" t="inlineStr">
        <is>
          <t>Attack% Bucket Multiplier</t>
        </is>
      </c>
      <c r="B247">
        <f>(1+(((C236=TRUE)*F236)+((C242=TRUE)*(F242-Calc!F19)))/100)</f>
        <v/>
      </c>
    </row>
    <row r="248">
      <c r="A248" t="inlineStr">
        <is>
          <t>Global Crit Rate Bonus %</t>
        </is>
      </c>
      <c r="B248" t="n">
        <v>0</v>
      </c>
    </row>
    <row r="249">
      <c r="A249" t="inlineStr">
        <is>
          <t>Attack Speed Buff Bonus % (unused)</t>
        </is>
      </c>
      <c r="B249" t="n">
        <v>0</v>
      </c>
    </row>
    <row r="250">
      <c r="A250" t="inlineStr">
        <is>
          <t>Actions Per Second</t>
        </is>
      </c>
      <c r="B250">
        <f>1+MIN(150,150*(1-(1-(Inputs!$B$11+((C240=TRUE)*(F240-Calc!F17))+((C241=TRUE)*(F241-Calc!F18)))/150)*(1-B249/150)))/100</f>
        <v/>
      </c>
    </row>
    <row r="251">
      <c r="A251" t="inlineStr">
        <is>
          <t>Skill + Buff Cast Rate</t>
        </is>
      </c>
      <c r="B251">
        <f>IF(AND(Inputs!$B$38&lt;&gt;"pvp",Inputs!$B$43&gt;0),SUMPRODUCT((Skills!E2:E22=TRUE)*(C225:C245=TRUE)*R225:R245*Skills!F2:F22)/Inputs!$B$43,SUMPRODUCT((Skills!E2:E22=TRUE)*(C225:C245=TRUE)*Q225:Q245*Skills!F2:F22))</f>
        <v/>
      </c>
    </row>
    <row r="252">
      <c r="A252" t="inlineStr">
        <is>
          <t>Hook Bomber Casts Per Second</t>
        </is>
      </c>
      <c r="B252">
        <f>MAX(0,B250-B251)</f>
        <v/>
      </c>
    </row>
    <row r="253">
      <c r="A253" t="inlineStr">
        <is>
          <t>Global Critical Damage Bonus % (unused)</t>
        </is>
      </c>
      <c r="B253" t="n">
        <v>0</v>
      </c>
    </row>
    <row r="254">
      <c r="A254" t="inlineStr">
        <is>
          <t>Global Final Damage Bonus % (Serpent Scale + Crossbones + Time Leap + Speed Infusion)</t>
        </is>
      </c>
      <c r="B254">
        <f>((C228=TRUE)*F228*((10+IF(Inputs!$B$3&gt;=94,5,0))/((10+IF(Inputs!$B$3&gt;=94,5,0))+5/(B252*(1+IF(Inputs!$B$3&gt;=104,1,0))))))+((C237=TRUE)*F237)+((C238=TRUE)*F238)+((Inputs!$B$3&gt;=110)*20*(B250-1))</f>
        <v/>
      </c>
    </row>
    <row r="255">
      <c r="A255" t="inlineStr">
        <is>
          <t>Buff-Casting Startup Delay (s, fixed-duration only)</t>
        </is>
      </c>
      <c r="B255">
        <f>IF(AND(Inputs!$B$38&lt;&gt;"pvp",Inputs!$B$43&gt;0),SUMPRODUCT((Skills!T2:T22&gt;0)*(Skills!E2:E22=TRUE)*(C225:C245=TRUE))/B250,0)</f>
        <v/>
      </c>
    </row>
    <row r="256">
      <c r="A256" t="inlineStr">
        <is>
          <t>Boss-Only Total DPS (this block's swept value)</t>
        </is>
      </c>
      <c r="B256">
        <f>SUM(T225:T245)</f>
        <v/>
      </c>
    </row>
    <row r="257">
      <c r="A257" t="inlineStr">
        <is>
          <t>Normal-Only Total DPS (this block's swept value)</t>
        </is>
      </c>
      <c r="B257">
        <f>SUM(V225:V245)</f>
        <v/>
      </c>
    </row>
    <row r="258">
      <c r="A258" s="5" t="inlineStr">
        <is>
          <t>TOTAL DPS</t>
        </is>
      </c>
      <c r="B258" s="5">
        <f>SUM(O225:O245)</f>
        <v/>
      </c>
    </row>
    <row r="261">
      <c r="A261" s="5" t="inlineStr">
        <is>
          <t>Stat: NORMAL_DAMAGE %</t>
        </is>
      </c>
    </row>
    <row r="262">
      <c r="A262" s="9" t="inlineStr">
        <is>
          <t>Key</t>
        </is>
      </c>
      <c r="B262" s="9" t="inlineStr">
        <is>
          <t>Name</t>
        </is>
      </c>
      <c r="C262" s="9" t="inlineStr">
        <is>
          <t>Unlocked</t>
        </is>
      </c>
      <c r="D262" s="9" t="inlineStr">
        <is>
          <t>InputLevel</t>
        </is>
      </c>
      <c r="E262" s="9" t="inlineStr">
        <is>
          <t>Factor</t>
        </is>
      </c>
      <c r="F262" s="9" t="inlineStr">
        <is>
          <t>CoefficientPercent</t>
        </is>
      </c>
      <c r="G262" s="9" t="inlineStr">
        <is>
          <t>EffectiveHits</t>
        </is>
      </c>
      <c r="H262" s="9" t="inlineStr">
        <is>
          <t>ProcProbability</t>
        </is>
      </c>
      <c r="I262" s="9" t="inlineStr">
        <is>
          <t>MapleHeroMultiplier</t>
        </is>
      </c>
      <c r="J262" s="9" t="inlineStr">
        <is>
          <t>BaseDamage</t>
        </is>
      </c>
      <c r="K262" s="9" t="inlineStr">
        <is>
          <t>BaseHitDamage</t>
        </is>
      </c>
      <c r="L262" s="9" t="inlineStr">
        <is>
          <t>NonCritAvg</t>
        </is>
      </c>
      <c r="M262" s="9" t="inlineStr">
        <is>
          <t>CritAvg</t>
        </is>
      </c>
      <c r="N262" s="9" t="inlineStr">
        <is>
          <t>ExpectedDamage(perHit)</t>
        </is>
      </c>
      <c r="O262" s="9" t="inlineStr">
        <is>
          <t>DPS</t>
        </is>
      </c>
      <c r="P262" s="9" t="inlineStr">
        <is>
          <t>% of Total</t>
        </is>
      </c>
      <c r="Q262" s="9" t="inlineStr">
        <is>
          <t>InvCooldown</t>
        </is>
      </c>
      <c r="R262" s="9" t="inlineStr">
        <is>
          <t>CastsInFight</t>
        </is>
      </c>
      <c r="S262" s="9" t="inlineStr">
        <is>
          <t>HitRate(perSec)</t>
        </is>
      </c>
      <c r="U262" t="inlineStr">
        <is>
          <t>helpers</t>
        </is>
      </c>
    </row>
    <row r="263">
      <c r="A263">
        <f>Skills!A2</f>
        <v/>
      </c>
      <c r="B263">
        <f>Skills!B2</f>
        <v/>
      </c>
      <c r="C263">
        <f>Inputs!$B$3&gt;=100</f>
        <v/>
      </c>
      <c r="D263" t="inlineStr"/>
      <c r="E263" t="inlineStr"/>
      <c r="F263">
        <f>U265+Skills!O2</f>
        <v/>
      </c>
      <c r="G263">
        <f>Skills!G2*IF(Skills!H2&gt;0,Skills!I2/Skills!H2,1)</f>
        <v/>
      </c>
      <c r="H263">
        <f>1-(1-Skills!J2/100)^Skills!K2</f>
        <v/>
      </c>
      <c r="I263" t="inlineStr">
        <is>
          <t>1</t>
        </is>
      </c>
      <c r="J263">
        <f>((Inputs!$B$6*(1+Inputs!$B$7/100))+(((Inputs!$B$12*(1+Inputs!$B$13/100))-(Inputs!$B$12*(1+Inputs!$B$13/100)))+0.25*(Inputs!$B$14-Inputs!$B$14))*(1+Inputs!$B$7/100))*(F263/100)</f>
        <v/>
      </c>
      <c r="K263">
        <f>J263*(1+((Inputs!$B$12*(1+Inputs!$B$13/100))*0.01+Inputs!$B$14*0.0025)/100)*(1+Inputs!$B$15/100)*(1+Inputs!$B$16/100)*(5000/(6000+Inputs!$B$42*(1-(Inputs!$B$19+0)/100)))*(1+(Inputs!$B$24+((C283=TRUE)*(F283-Calc!F22))+B292)/100)*(1+(IF(Skills!A2="HOOK_BOMBER",Inputs!$B$17+((C282=TRUE)*(F282-Calc!F21)),Inputs!$B$18+0))/100)*((1+(((C274=TRUE)*F274)+((C280=TRUE)*(F280-Calc!F19)))/100)*I263)</f>
        <v/>
      </c>
      <c r="L263">
        <f>K263*(MIN(Inputs!$B$22+((C281=TRUE)*(F281-Calc!F20)),Inputs!$B$23+0)/100+(Inputs!$B$23+0)/100)/2</f>
        <v/>
      </c>
      <c r="M263">
        <f>L263*(1+(Inputs!$B$10+0+B291)/100)</f>
        <v/>
      </c>
      <c r="N263">
        <f>L263*(1-MIN((Inputs!$B$9+((C277=TRUE)*(F277-Calc!F16))+B286),100)/100)+M263*(MIN((Inputs!$B$9+((C277=TRUE)*(F277-Calc!F16))+B286),100)/100)</f>
        <v/>
      </c>
      <c r="O263">
        <f>(1-Summary!$B$55)*T263+Summary!$B$55*V263</f>
        <v/>
      </c>
      <c r="P263">
        <f>IF(B296=0,0,O263/B296)</f>
        <v/>
      </c>
      <c r="Q263" t="n">
        <v>0</v>
      </c>
      <c r="R263" t="n">
        <v>0</v>
      </c>
      <c r="S263">
        <f>IFERROR(O263/N263,0)</f>
        <v/>
      </c>
      <c r="T263">
        <f>IF(C263,(Skills!G2*N263*B290)*IF(Inputs!$B$38="pvp",1,1+(Inputs!$B$20+0+Skills!P2)/100),0)</f>
        <v/>
      </c>
      <c r="U263">
        <f>MAX(0,(Inputs!$B$3-100)*3)+Inputs!$B$28+Inputs!$B$29</f>
        <v/>
      </c>
      <c r="V263">
        <f>IF(C263,(Skills!G2*N263*B290)*IF(Inputs!$B$38="pvp",1,(1+((Inputs!$B$21+1)+Skills!Q2)/100)*(MIN((6+Inputs!$B$33),Inputs!$B$37))),0)</f>
        <v/>
      </c>
    </row>
    <row r="264">
      <c r="A264">
        <f>Skills!A3</f>
        <v/>
      </c>
      <c r="B264">
        <f>Skills!B3</f>
        <v/>
      </c>
      <c r="C264">
        <f>Inputs!$B$3&gt;=35</f>
        <v/>
      </c>
      <c r="D264">
        <f>IF(Skills!C3=1,60+Inputs!$B$25+Inputs!$B$29,IF(Skills!C3=2,90+Inputs!$B$26+Inputs!$B$29,IF(Skills!C3=3,120+Inputs!$B$27+Inputs!$B$29,MAX(0,(Inputs!$B$3-100)*3)+Inputs!$B$28+Inputs!$B$29)))</f>
        <v/>
      </c>
      <c r="E264">
        <f>INDEX(FactorTable!$B$2:$Y$301, MATCH(ROUND(MIN(300,MAX(1,D264)),0), FactorTable!$A$2:$A$301,0), Skills!M3+1)</f>
        <v/>
      </c>
      <c r="F264">
        <f>IF(Skills!N3=TRUE,(Skills!L3/10)*(E264/1000),Skills!L3/10)+Skills!O3</f>
        <v/>
      </c>
      <c r="G264">
        <f>Skills!G3*IF(Skills!H3&gt;0,Skills!I3/Skills!H3,1)</f>
        <v/>
      </c>
      <c r="H264">
        <f>1-(1-Skills!J3/100)^Skills!K3</f>
        <v/>
      </c>
      <c r="I264" t="inlineStr">
        <is>
          <t>1</t>
        </is>
      </c>
      <c r="J264">
        <f>((Inputs!$B$6*(1+Inputs!$B$7/100))+(((Inputs!$B$12*(1+Inputs!$B$13/100))-(Inputs!$B$12*(1+Inputs!$B$13/100)))+0.25*(Inputs!$B$14-Inputs!$B$14))*(1+Inputs!$B$7/100))*(F264/100)</f>
        <v/>
      </c>
      <c r="K264">
        <f>J264*(1+((Inputs!$B$12*(1+Inputs!$B$13/100))*0.01+Inputs!$B$14*0.0025)/100)*(1+Inputs!$B$15/100)*(1+Inputs!$B$16/100)*(5000/(6000+Inputs!$B$42*(1-(Inputs!$B$19+0)/100)))*(1+(Inputs!$B$24+((C283=TRUE)*(F283-Calc!F22))+B292)/100)*(1+(IF(Skills!A3="HOOK_BOMBER",Inputs!$B$17+((C282=TRUE)*(F282-Calc!F21)),Inputs!$B$18+0))/100)*((1+(((C274=TRUE)*F274)+((C280=TRUE)*(F280-Calc!F19)))/100)*I264)</f>
        <v/>
      </c>
      <c r="L264">
        <f>K264*(MIN(Inputs!$B$22+((C281=TRUE)*(F281-Calc!F20)),Inputs!$B$23+0)/100+(Inputs!$B$23+0)/100)/2</f>
        <v/>
      </c>
      <c r="M264">
        <f>L264*(1+(Inputs!$B$10+0+B291)/100)</f>
        <v/>
      </c>
      <c r="N264">
        <f>L264*(1-MIN((Inputs!$B$9+((C277=TRUE)*(F277-Calc!F16))+B286),100)/100)+M264*(MIN((Inputs!$B$9+((C277=TRUE)*(F277-Calc!F16))+B286),100)/100)</f>
        <v/>
      </c>
      <c r="O264">
        <f>(1-Summary!$B$55)*T264+Summary!$B$55*V264</f>
        <v/>
      </c>
      <c r="P264">
        <f>IF(B296=0,0,O264/B296)</f>
        <v/>
      </c>
      <c r="Q264" t="n">
        <v>0</v>
      </c>
      <c r="R264" t="n">
        <v>0</v>
      </c>
      <c r="S264">
        <f>IFERROR(O264/N264,0)</f>
        <v/>
      </c>
      <c r="T264">
        <f>IF(C264,(Skills!G3*H264*N264*B290)*IF(Inputs!$B$38="pvp",1,1+(Inputs!$B$20+0+Skills!P3)/100),0)</f>
        <v/>
      </c>
      <c r="U264">
        <f>INDEX(FactorTable!$B$2:$Y$301, MATCH(ROUND(MIN(300,MAX(1,U263)),0), FactorTable!$A$2:$A$301,0), 22)</f>
        <v/>
      </c>
      <c r="V264">
        <f>IF(C264,(Skills!G3*H264*N264*B290)*IF(Inputs!$B$38="pvp",1,(1+((Inputs!$B$21+1)+Skills!Q3)/100)*(MIN(Skills!R3,Inputs!$B$37))),0)</f>
        <v/>
      </c>
    </row>
    <row r="265">
      <c r="A265">
        <f>Skills!A4</f>
        <v/>
      </c>
      <c r="B265">
        <f>Skills!B4</f>
        <v/>
      </c>
      <c r="C265">
        <f>Inputs!$B$3&gt;=60</f>
        <v/>
      </c>
      <c r="D265">
        <f>IF(Skills!C4=1,60+Inputs!$B$25+Inputs!$B$29,IF(Skills!C4=2,90+Inputs!$B$26+Inputs!$B$29,IF(Skills!C4=3,120+Inputs!$B$27+Inputs!$B$29,MAX(0,(Inputs!$B$3-100)*3)+Inputs!$B$28+Inputs!$B$29)))</f>
        <v/>
      </c>
      <c r="E265">
        <f>INDEX(FactorTable!$B$2:$Y$301, MATCH(ROUND(MIN(300,MAX(1,D265)),0), FactorTable!$A$2:$A$301,0), Skills!M4+1)</f>
        <v/>
      </c>
      <c r="F265">
        <f>IF(Skills!N4=TRUE,(Skills!L4/10)*(E265/1000),Skills!L4/10)+Skills!O4</f>
        <v/>
      </c>
      <c r="G265">
        <f>Skills!G4*IF(Skills!H4&gt;0,Skills!I4/Skills!H4,1)</f>
        <v/>
      </c>
      <c r="H265">
        <f>1-(1-Skills!J4/100)^Skills!K4</f>
        <v/>
      </c>
      <c r="I265" t="inlineStr">
        <is>
          <t>1</t>
        </is>
      </c>
      <c r="J265">
        <f>((Inputs!$B$6*(1+Inputs!$B$7/100))+(((Inputs!$B$12*(1+Inputs!$B$13/100))-(Inputs!$B$12*(1+Inputs!$B$13/100)))+0.25*(Inputs!$B$14-Inputs!$B$14))*(1+Inputs!$B$7/100))*(F265/100)</f>
        <v/>
      </c>
      <c r="K265">
        <f>J265*(1+((Inputs!$B$12*(1+Inputs!$B$13/100))*0.01+Inputs!$B$14*0.0025)/100)*(1+Inputs!$B$15/100)*(1+Inputs!$B$16/100)*(5000/(6000+Inputs!$B$42*(1-(Inputs!$B$19+0)/100)))*(1+(Inputs!$B$24+((C283=TRUE)*(F283-Calc!F22))+B292)/100)*(1+1.0*IF(C273=TRUE,F273,0)/100)*(1+(IF(Skills!A4="HOOK_BOMBER",Inputs!$B$17+((C282=TRUE)*(F282-Calc!F21)),Inputs!$B$18+0))/100)*((1+(((C274=TRUE)*F274)+((C280=TRUE)*(F280-Calc!F19)))/100)*I265)</f>
        <v/>
      </c>
      <c r="L265">
        <f>K265*(MIN(Inputs!$B$22+((C281=TRUE)*(F281-Calc!F20)),Inputs!$B$23+0)/100+(Inputs!$B$23+0)/100)/2</f>
        <v/>
      </c>
      <c r="M265">
        <f>L265*(1+(Inputs!$B$10+0+B291)/100)</f>
        <v/>
      </c>
      <c r="N265">
        <f>L265*(1-MIN((Inputs!$B$9+((C277=TRUE)*(F277-Calc!F16))+B286),100)/100)+M265*(MIN((Inputs!$B$9+((C277=TRUE)*(F277-Calc!F16))+B286),100)/100)</f>
        <v/>
      </c>
      <c r="O265">
        <f>(1-Summary!$B$55)*T265+Summary!$B$55*V265</f>
        <v/>
      </c>
      <c r="P265">
        <f>IF(B296=0,0,O265/B296)</f>
        <v/>
      </c>
      <c r="Q265" t="n">
        <v>0</v>
      </c>
      <c r="R265" t="n">
        <v>0</v>
      </c>
      <c r="S265">
        <f>IFERROR(O265/N265,0)</f>
        <v/>
      </c>
      <c r="T265">
        <f>IF(C265,(Skills!G4*H265*N265*B290)*IF(Inputs!$B$38="pvp",1,1+(Inputs!$B$20+0+Skills!P4)/100),0)</f>
        <v/>
      </c>
      <c r="U265">
        <f>290*U264/1000</f>
        <v/>
      </c>
      <c r="V265">
        <f>IF(C265,(Skills!G4*H265*N265*B290)*IF(Inputs!$B$38="pvp",1,(1+((Inputs!$B$21+1)+Skills!Q4)/100)*(MIN(Skills!R4,Inputs!$B$37))),0)</f>
        <v/>
      </c>
    </row>
    <row r="266">
      <c r="A266">
        <f>Skills!A5</f>
        <v/>
      </c>
      <c r="B266">
        <f>Skills!B5</f>
        <v/>
      </c>
      <c r="C266">
        <f>Inputs!$B$3&gt;=60</f>
        <v/>
      </c>
      <c r="D266">
        <f>IF(Skills!C5=1,60+Inputs!$B$25+Inputs!$B$29,IF(Skills!C5=2,90+Inputs!$B$26+Inputs!$B$29,IF(Skills!C5=3,120+Inputs!$B$27+Inputs!$B$29,MAX(0,(Inputs!$B$3-100)*3)+Inputs!$B$28+Inputs!$B$29)))</f>
        <v/>
      </c>
      <c r="E266">
        <f>INDEX(FactorTable!$B$2:$Y$301, MATCH(ROUND(MIN(300,MAX(1,D266)),0), FactorTable!$A$2:$A$301,0), Skills!M5+1)</f>
        <v/>
      </c>
      <c r="F266">
        <f>IF(Skills!N5=TRUE,(Skills!L5/10)*(E266/1000),Skills!L5/10)+Skills!O5</f>
        <v/>
      </c>
      <c r="G266">
        <f>Skills!G5*IF(Skills!H5&gt;0,Skills!I5/Skills!H5,1)</f>
        <v/>
      </c>
      <c r="H266">
        <f>1-(1-Skills!J5/100)^Skills!K5</f>
        <v/>
      </c>
      <c r="I266" t="inlineStr">
        <is>
          <t>1</t>
        </is>
      </c>
      <c r="J266" t="inlineStr"/>
      <c r="K266" t="inlineStr"/>
      <c r="L266" t="inlineStr"/>
      <c r="M266" t="inlineStr"/>
      <c r="N266" t="inlineStr"/>
      <c r="O266">
        <f>(1-Summary!$B$55)*T266+Summary!$B$55*V266</f>
        <v/>
      </c>
      <c r="P266">
        <f>IF(B296=0,0,O266/B296)</f>
        <v/>
      </c>
      <c r="Q266" t="n">
        <v>0</v>
      </c>
      <c r="R266" t="n">
        <v>0</v>
      </c>
      <c r="S266">
        <f>IFERROR(O266/N266,0)</f>
        <v/>
      </c>
      <c r="T266" t="n">
        <v>0</v>
      </c>
      <c r="V266" t="n">
        <v>0</v>
      </c>
    </row>
    <row r="267">
      <c r="A267">
        <f>Skills!A6</f>
        <v/>
      </c>
      <c r="B267">
        <f>Skills!B6</f>
        <v/>
      </c>
      <c r="C267">
        <f>Inputs!$B$3&gt;=63</f>
        <v/>
      </c>
      <c r="D267">
        <f>IF(Skills!C6=1,60+Inputs!$B$25+Inputs!$B$29,IF(Skills!C6=2,90+Inputs!$B$26+Inputs!$B$29,IF(Skills!C6=3,120+Inputs!$B$27+Inputs!$B$29,MAX(0,(Inputs!$B$3-100)*3)+Inputs!$B$28+Inputs!$B$29)))</f>
        <v/>
      </c>
      <c r="E267">
        <f>INDEX(FactorTable!$B$2:$Y$301, MATCH(ROUND(MIN(300,MAX(1,D267)),0), FactorTable!$A$2:$A$301,0), Skills!M6+1)</f>
        <v/>
      </c>
      <c r="F267">
        <f>IF(Skills!N6=TRUE,(Skills!L6/10)*(E267/1000),Skills!L6/10)+Skills!O6</f>
        <v/>
      </c>
      <c r="G267">
        <f>Skills!G6*IF(Skills!H6&gt;0,Skills!I6/Skills!H6,1)</f>
        <v/>
      </c>
      <c r="H267">
        <f>1-(1-Skills!J6/100)^Skills!K6</f>
        <v/>
      </c>
      <c r="I267" t="inlineStr">
        <is>
          <t>1</t>
        </is>
      </c>
      <c r="J267">
        <f>((Inputs!$B$6*(1+Inputs!$B$7/100))+(((Inputs!$B$12*(1+Inputs!$B$13/100))-(Inputs!$B$12*(1+Inputs!$B$13/100)))+0.25*(Inputs!$B$14-Inputs!$B$14))*(1+Inputs!$B$7/100))*(F267/100)</f>
        <v/>
      </c>
      <c r="K267">
        <f>J267*(1+((Inputs!$B$12*(1+Inputs!$B$13/100))*0.01+Inputs!$B$14*0.0025)/100)*(1+Inputs!$B$15/100)*(1+Inputs!$B$16/100)*(5000/(6000+Inputs!$B$42*(1-(Inputs!$B$19+0)/100)))*(1+(Inputs!$B$24+((C283=TRUE)*(F283-Calc!F22))+B292)/100)*(1+(IF(Skills!A6="HOOK_BOMBER",Inputs!$B$17+((C282=TRUE)*(F282-Calc!F21)),Inputs!$B$18+0))/100)*((1+(((C274=TRUE)*F274)+((C280=TRUE)*(F280-Calc!F19)))/100)*I267)</f>
        <v/>
      </c>
      <c r="L267">
        <f>K267*(MIN(Inputs!$B$22+((C281=TRUE)*(F281-Calc!F20)),Inputs!$B$23+0)/100+(Inputs!$B$23+0)/100)/2</f>
        <v/>
      </c>
      <c r="M267">
        <f>L267*(1+(Inputs!$B$10+0+B291)/100)</f>
        <v/>
      </c>
      <c r="N267">
        <f>L267*(1-MIN((Inputs!$B$9+((C277=TRUE)*(F277-Calc!F16))+B286),100)/100)+M267*(MIN((Inputs!$B$9+((C277=TRUE)*(F277-Calc!F16))+B286),100)/100)</f>
        <v/>
      </c>
      <c r="O267">
        <f>(1-Summary!$B$55)*T267+Summary!$B$55*V267</f>
        <v/>
      </c>
      <c r="P267">
        <f>IF(B296=0,0,O267/B296)</f>
        <v/>
      </c>
      <c r="Q267">
        <f>IFERROR(1/IF(Inputs!$B$38="pvp",15,MAX(0.1,Skills!D6-IF(Skills!E6=TRUE,Inputs!$B$32,0))),0)</f>
        <v/>
      </c>
      <c r="R267">
        <f>IF(AND(Inputs!$B$38&lt;&gt;"pvp",Inputs!$B$43&gt;0),IF(MAX(0,Inputs!$B$43-B293)&lt;=0,0,(INT(MAX(0,Inputs!$B$43-B293)/IF(Inputs!$B$38="pvp",15,MAX(0.1,Skills!D6-IF(Skills!E6=TRUE,Inputs!$B$32,0))))+1)),0)</f>
        <v/>
      </c>
      <c r="S267">
        <f>IFERROR(O267/N267,0)</f>
        <v/>
      </c>
      <c r="T267">
        <f>IF(C267,(H267*N267*IF(AND(Inputs!$B$38&lt;&gt;"pvp",Inputs!$B$43&gt;0),((Skills!G6*((R267-1)*IF(Skills!H6&gt;0,Skills!I6/Skills!H6,1)+IF(Skills!H6&gt;0,MIN(Skills!I6,MAX(0,MAX(0,Inputs!$B$43-B293)-((R267-1)*IF(Inputs!$B$38="pvp",15,MAX(0.1,Skills!D6-IF(Skills!E6=TRUE,Inputs!$B$32,0))))))/Skills!H6,1)))/Inputs!$B$43),G267*Q267))*IF(Inputs!$B$38="pvp",1,1+(Inputs!$B$20+0+Skills!P6)/100),0)</f>
        <v/>
      </c>
      <c r="V267">
        <f>IF(C267,(H267*N267*IF(AND(Inputs!$B$38&lt;&gt;"pvp",Inputs!$B$43&gt;0),((Skills!G6*((R267-1)*IF(Skills!H6&gt;0,Skills!I6/Skills!H6,1)+IF(Skills!H6&gt;0,MIN(Skills!I6,MAX(0,MAX(0,Inputs!$B$43-B293)-((R267-1)*IF(Inputs!$B$38="pvp",15,MAX(0.1,Skills!D6-IF(Skills!E6=TRUE,Inputs!$B$32,0))))))/Skills!H6,1)))/Inputs!$B$43),G267*Q267))*IF(Inputs!$B$38="pvp",1,(1+((Inputs!$B$21+1)+Skills!Q6)/100)*(MIN(Skills!R6,Inputs!$B$37))),0)</f>
        <v/>
      </c>
    </row>
    <row r="268">
      <c r="A268">
        <f>Skills!A7</f>
        <v/>
      </c>
      <c r="B268">
        <f>Skills!B7</f>
        <v/>
      </c>
      <c r="C268">
        <f>Inputs!$B$3&gt;=100</f>
        <v/>
      </c>
      <c r="D268">
        <f>IF(Skills!C7=1,60+Inputs!$B$25+Inputs!$B$29,IF(Skills!C7=2,90+Inputs!$B$26+Inputs!$B$29,IF(Skills!C7=3,120+Inputs!$B$27+Inputs!$B$29,MAX(0,(Inputs!$B$3-100)*3)+Inputs!$B$28+Inputs!$B$29)))</f>
        <v/>
      </c>
      <c r="E268">
        <f>INDEX(FactorTable!$B$2:$Y$301, MATCH(ROUND(MIN(300,MAX(1,D268)),0), FactorTable!$A$2:$A$301,0), Skills!M7+1)</f>
        <v/>
      </c>
      <c r="F268">
        <f>IF(Skills!N7=TRUE,(Skills!L7/10)*(E268/1000),Skills!L7/10)+Skills!O7</f>
        <v/>
      </c>
      <c r="G268">
        <f>Skills!G7*IF(Skills!H7&gt;0,Skills!I7/Skills!H7,1)</f>
        <v/>
      </c>
      <c r="H268">
        <f>1-(1-Skills!J7/100)^Skills!K7</f>
        <v/>
      </c>
      <c r="I268" t="inlineStr">
        <is>
          <t>1</t>
        </is>
      </c>
      <c r="J268">
        <f>((Inputs!$B$6*(1+Inputs!$B$7/100))+(((Inputs!$B$12*(1+Inputs!$B$13/100))-(Inputs!$B$12*(1+Inputs!$B$13/100)))+0.25*(Inputs!$B$14-Inputs!$B$14))*(1+Inputs!$B$7/100))*(F268/100)</f>
        <v/>
      </c>
      <c r="K268">
        <f>J268*(1+((Inputs!$B$12*(1+Inputs!$B$13/100))*0.01+Inputs!$B$14*0.0025)/100)*(1+Inputs!$B$15/100)*(1+Inputs!$B$16/100)*(5000/(6000+Inputs!$B$42*(1-(Inputs!$B$19+0)/100)))*(1+(Inputs!$B$24+((C283=TRUE)*(F283-Calc!F22))+B292)/100)*(1+(IF(Skills!A7="HOOK_BOMBER",Inputs!$B$17+((C282=TRUE)*(F282-Calc!F21)),Inputs!$B$18+0))/100)*((1+(((C274=TRUE)*F274)+((C280=TRUE)*(F280-Calc!F19)))/100)*I268)</f>
        <v/>
      </c>
      <c r="L268">
        <f>K268*(MIN(Inputs!$B$22+((C281=TRUE)*(F281-Calc!F20)),Inputs!$B$23+0)/100+(Inputs!$B$23+0)/100)/2</f>
        <v/>
      </c>
      <c r="M268">
        <f>L268*(1+(Inputs!$B$10+0+B291)/100)</f>
        <v/>
      </c>
      <c r="N268">
        <f>L268*(1-MIN((Inputs!$B$9+((C277=TRUE)*(F277-Calc!F16))+B286),100)/100)+M268*(MIN((Inputs!$B$9+((C277=TRUE)*(F277-Calc!F16))+B286),100)/100)</f>
        <v/>
      </c>
      <c r="O268">
        <f>(1-Summary!$B$55)*T268+Summary!$B$55*V268</f>
        <v/>
      </c>
      <c r="P268">
        <f>IF(B296=0,0,O268/B296)</f>
        <v/>
      </c>
      <c r="Q268">
        <f>IFERROR(1/IF(Inputs!$B$38="pvp",15,MAX(0.1,Skills!D7-IF(Skills!E7=TRUE,Inputs!$B$32,0))),0)</f>
        <v/>
      </c>
      <c r="R268">
        <f>IF(AND(Inputs!$B$38&lt;&gt;"pvp",Inputs!$B$43&gt;0),IF(MAX(0,Inputs!$B$43-B293)&lt;=0,0,(INT(MAX(0,Inputs!$B$43-B293)/IF(Inputs!$B$38="pvp",15,MAX(0.1,Skills!D7-IF(Skills!E7=TRUE,Inputs!$B$32,0))))+1)),0)</f>
        <v/>
      </c>
      <c r="S268">
        <f>IFERROR(O268/N268,0)</f>
        <v/>
      </c>
      <c r="T268">
        <f>IF(C268,(H268*N268*IF(AND(Inputs!$B$38&lt;&gt;"pvp",Inputs!$B$43&gt;0),((Skills!G7*((R268-1)*IF(Skills!H7&gt;0,Skills!I7/Skills!H7,1)+IF(Skills!H7&gt;0,MIN(Skills!I7,MAX(0,MAX(0,Inputs!$B$43-B293)-((R268-1)*IF(Inputs!$B$38="pvp",15,MAX(0.1,Skills!D7-IF(Skills!E7=TRUE,Inputs!$B$32,0))))))/Skills!H7,1)))/Inputs!$B$43),G268*Q268))*IF(Inputs!$B$38="pvp",1,1+(Inputs!$B$20+0+Skills!P7)/100),0)</f>
        <v/>
      </c>
      <c r="V268">
        <f>IF(C268,(H268*N268*IF(AND(Inputs!$B$38&lt;&gt;"pvp",Inputs!$B$43&gt;0),((Skills!G7*((R268-1)*IF(Skills!H7&gt;0,Skills!I7/Skills!H7,1)+IF(Skills!H7&gt;0,MIN(Skills!I7,MAX(0,MAX(0,Inputs!$B$43-B293)-((R268-1)*IF(Inputs!$B$38="pvp",15,MAX(0.1,Skills!D7-IF(Skills!E7=TRUE,Inputs!$B$32,0))))))/Skills!H7,1)))/Inputs!$B$43),G268*Q268))*IF(Inputs!$B$38="pvp",1,(1+((Inputs!$B$21+1)+Skills!Q7)/100)*(MIN(Skills!R7,Inputs!$B$37))),0)</f>
        <v/>
      </c>
    </row>
    <row r="269">
      <c r="A269">
        <f>Skills!A8</f>
        <v/>
      </c>
      <c r="B269">
        <f>Skills!B8</f>
        <v/>
      </c>
      <c r="C269">
        <f>Inputs!$B$3&gt;=110</f>
        <v/>
      </c>
      <c r="D269">
        <f>IF(Skills!C8=1,60+Inputs!$B$25+Inputs!$B$29,IF(Skills!C8=2,90+Inputs!$B$26+Inputs!$B$29,IF(Skills!C8=3,120+Inputs!$B$27+Inputs!$B$29,MAX(0,(Inputs!$B$3-100)*3)+Inputs!$B$28+Inputs!$B$29)))</f>
        <v/>
      </c>
      <c r="E269">
        <f>INDEX(FactorTable!$B$2:$Y$301, MATCH(ROUND(MIN(300,MAX(1,D269)),0), FactorTable!$A$2:$A$301,0), Skills!M8+1)</f>
        <v/>
      </c>
      <c r="F269">
        <f>IF(Skills!N8=TRUE,(Skills!L8/10)*(E269/1000),Skills!L8/10)+Skills!O8</f>
        <v/>
      </c>
      <c r="G269">
        <f>Skills!G8*IF(Skills!H8&gt;0,Skills!I8/Skills!H8,1)</f>
        <v/>
      </c>
      <c r="H269">
        <f>1-(1-Skills!J8/100)^Skills!K8</f>
        <v/>
      </c>
      <c r="I269" t="inlineStr">
        <is>
          <t>1</t>
        </is>
      </c>
      <c r="J269">
        <f>((Inputs!$B$6*(1+Inputs!$B$7/100))+(((Inputs!$B$12*(1+Inputs!$B$13/100))-(Inputs!$B$12*(1+Inputs!$B$13/100)))+0.25*(Inputs!$B$14-Inputs!$B$14))*(1+Inputs!$B$7/100))*(F269/100)</f>
        <v/>
      </c>
      <c r="K269">
        <f>J269*(1+((Inputs!$B$12*(1+Inputs!$B$13/100))*0.01+Inputs!$B$14*0.0025)/100)*(1+Inputs!$B$15/100)*(1+Inputs!$B$16/100)*(5000/(6000+Inputs!$B$42*(1-(Inputs!$B$19+0)/100)))*(1+(Inputs!$B$24+((C283=TRUE)*(F283-Calc!F22))+B292)/100)*(1+(IF(Skills!A8="HOOK_BOMBER",Inputs!$B$17+((C282=TRUE)*(F282-Calc!F21)),Inputs!$B$18+0))/100)*((1+(((C274=TRUE)*F274)+((C280=TRUE)*(F280-Calc!F19)))/100)*I269)</f>
        <v/>
      </c>
      <c r="L269">
        <f>K269*(MIN(Inputs!$B$22+((C281=TRUE)*(F281-Calc!F20)),Inputs!$B$23+0)/100+(Inputs!$B$23+0)/100)/2</f>
        <v/>
      </c>
      <c r="M269">
        <f>L269*(1+(Inputs!$B$10+0+B291)/100)</f>
        <v/>
      </c>
      <c r="N269">
        <f>L269*(1-MIN((Inputs!$B$9+((C277=TRUE)*(F277-Calc!F16))+B286),100)/100)+M269*(MIN((Inputs!$B$9+((C277=TRUE)*(F277-Calc!F16))+B286),100)/100)</f>
        <v/>
      </c>
      <c r="O269">
        <f>(1-Summary!$B$55)*T269+Summary!$B$55*V269</f>
        <v/>
      </c>
      <c r="P269">
        <f>IF(B296=0,0,O269/B296)</f>
        <v/>
      </c>
      <c r="Q269">
        <f>IFERROR(1/IF(Inputs!$B$38="pvp",15,MAX(0.1,Skills!D8-IF(Skills!E8=TRUE,Inputs!$B$32,0))),0)</f>
        <v/>
      </c>
      <c r="R269">
        <f>IF(AND(Inputs!$B$38&lt;&gt;"pvp",Inputs!$B$43&gt;0),IF(MAX(0,Inputs!$B$43-B293)&lt;=0,0,(INT(MAX(0,Inputs!$B$43-B293)/IF(Inputs!$B$38="pvp",15,MAX(0.1,Skills!D8-IF(Skills!E8=TRUE,Inputs!$B$32,0))))+1)),0)</f>
        <v/>
      </c>
      <c r="S269">
        <f>IFERROR(O269/N269,0)</f>
        <v/>
      </c>
      <c r="T269">
        <f>IF(C269,(H269*N269*IF(AND(Inputs!$B$38&lt;&gt;"pvp",Inputs!$B$43&gt;0),((Skills!G8*((R269-1)*IF(Skills!H8&gt;0,Skills!I8/Skills!H8,1)+IF(Skills!H8&gt;0,MIN(Skills!I8,MAX(0,MAX(0,Inputs!$B$43-B293)-((R269-1)*IF(Inputs!$B$38="pvp",15,MAX(0.1,Skills!D8-IF(Skills!E8=TRUE,Inputs!$B$32,0))))))/Skills!H8,1)))/Inputs!$B$43),G269*Q269))*IF(Inputs!$B$38="pvp",1,1+(Inputs!$B$20+0+Skills!P8)/100),0)</f>
        <v/>
      </c>
      <c r="V269">
        <f>IF(C269,(H269*N269*IF(AND(Inputs!$B$38&lt;&gt;"pvp",Inputs!$B$43&gt;0),((Skills!G8*((R269-1)*IF(Skills!H8&gt;0,Skills!I8/Skills!H8,1)+IF(Skills!H8&gt;0,MIN(Skills!I8,MAX(0,MAX(0,Inputs!$B$43-B293)-((R269-1)*IF(Inputs!$B$38="pvp",15,MAX(0.1,Skills!D8-IF(Skills!E8=TRUE,Inputs!$B$32,0))))))/Skills!H8,1)))/Inputs!$B$43),G269*Q269))*IF(Inputs!$B$38="pvp",1,(1+((Inputs!$B$21+1)+Skills!Q8)/100)*(MIN(Skills!R8,Inputs!$B$37))),0)</f>
        <v/>
      </c>
    </row>
    <row r="270">
      <c r="A270">
        <f>Skills!A9</f>
        <v/>
      </c>
      <c r="B270">
        <f>Skills!B9</f>
        <v/>
      </c>
      <c r="C270">
        <f>Inputs!$B$3&gt;=110</f>
        <v/>
      </c>
      <c r="D270">
        <f>IF(Skills!C9=1,60+Inputs!$B$25+Inputs!$B$29,IF(Skills!C9=2,90+Inputs!$B$26+Inputs!$B$29,IF(Skills!C9=3,120+Inputs!$B$27+Inputs!$B$29,MAX(0,(Inputs!$B$3-100)*3)+Inputs!$B$28+Inputs!$B$29)))</f>
        <v/>
      </c>
      <c r="E270">
        <f>INDEX(FactorTable!$B$2:$Y$301, MATCH(ROUND(MIN(300,MAX(1,D270)),0), FactorTable!$A$2:$A$301,0), Skills!M9+1)</f>
        <v/>
      </c>
      <c r="F270">
        <f>IF(Skills!N9=TRUE,(Skills!L9/10)*(E270/1000),Skills!L9/10)+Skills!O9</f>
        <v/>
      </c>
      <c r="G270">
        <f>Skills!G9*IF(Skills!H9&gt;0,Skills!I9/Skills!H9,1)</f>
        <v/>
      </c>
      <c r="H270">
        <f>1-(1-Skills!J9/100)^Skills!K9</f>
        <v/>
      </c>
      <c r="I270" t="inlineStr">
        <is>
          <t>1</t>
        </is>
      </c>
      <c r="J270">
        <f>((Inputs!$B$6*(1+Inputs!$B$7/100))+(((Inputs!$B$12*(1+Inputs!$B$13/100))-(Inputs!$B$12*(1+Inputs!$B$13/100)))+0.25*(Inputs!$B$14-Inputs!$B$14))*(1+Inputs!$B$7/100))*(F270/100)</f>
        <v/>
      </c>
      <c r="K270">
        <f>J270*(1+((Inputs!$B$12*(1+Inputs!$B$13/100))*0.01+Inputs!$B$14*0.0025)/100)*(1+Inputs!$B$15/100)*(1+Inputs!$B$16/100)*(5000/(6000+Inputs!$B$42*(1-(Inputs!$B$19+0)/100)))*(1+(Inputs!$B$24+((C283=TRUE)*(F283-Calc!F22))+B292)/100)*(1+(IF(Skills!A9="HOOK_BOMBER",Inputs!$B$17+((C282=TRUE)*(F282-Calc!F21)),Inputs!$B$18+0))/100)*((1+(((C274=TRUE)*F274)+((C280=TRUE)*(F280-Calc!F19)))/100)*I270)</f>
        <v/>
      </c>
      <c r="L270">
        <f>K270*(MIN(Inputs!$B$22+((C281=TRUE)*(F281-Calc!F20)),Inputs!$B$23+0)/100+(Inputs!$B$23+0)/100)/2</f>
        <v/>
      </c>
      <c r="M270">
        <f>L270*(1+(Inputs!$B$10+0+B291)/100)</f>
        <v/>
      </c>
      <c r="N270">
        <f>L270*(1-MIN((Inputs!$B$9+((C277=TRUE)*(F277-Calc!F16))+B286),100)/100)+M270*(MIN((Inputs!$B$9+((C277=TRUE)*(F277-Calc!F16))+B286),100)/100)</f>
        <v/>
      </c>
      <c r="O270">
        <f>(1-Summary!$B$55)*T270+Summary!$B$55*V270</f>
        <v/>
      </c>
      <c r="P270">
        <f>IF(B296=0,0,O270/B296)</f>
        <v/>
      </c>
      <c r="Q270">
        <f>IFERROR(1/IF(Inputs!$B$38="pvp",15,MAX(0.1,Skills!D9-IF(Skills!E9=TRUE,Inputs!$B$32,0))),0)</f>
        <v/>
      </c>
      <c r="R270">
        <f>IF(AND(Inputs!$B$38&lt;&gt;"pvp",Inputs!$B$43&gt;0),IF(MAX(0,Inputs!$B$43-B293)&lt;=0,0,(INT(MAX(0,Inputs!$B$43-B293)/IF(Inputs!$B$38="pvp",15,MAX(0.1,Skills!D9-IF(Skills!E9=TRUE,Inputs!$B$32,0))))+1)),0)</f>
        <v/>
      </c>
      <c r="S270">
        <f>IFERROR(O270/N270,0)</f>
        <v/>
      </c>
      <c r="T270">
        <f>IF(C270,(H270*N270*IF(AND(Inputs!$B$38&lt;&gt;"pvp",Inputs!$B$43&gt;0),((Skills!G9*((R270-1)*IF(Skills!H9&gt;0,Skills!I9/Skills!H9,1)+IF(Skills!H9&gt;0,MIN(Skills!I9,MAX(0,MAX(0,Inputs!$B$43-B293)-((R270-1)*IF(Inputs!$B$38="pvp",15,MAX(0.1,Skills!D9-IF(Skills!E9=TRUE,Inputs!$B$32,0))))))/Skills!H9,1)))/Inputs!$B$43),G270*Q270))*IF(Inputs!$B$38="pvp",1,1+(Inputs!$B$20+0+Skills!P9)/100),0)</f>
        <v/>
      </c>
      <c r="V270">
        <f>IF(C270,(H270*N270*IF(AND(Inputs!$B$38&lt;&gt;"pvp",Inputs!$B$43&gt;0),((Skills!G9*((R270-1)*IF(Skills!H9&gt;0,Skills!I9/Skills!H9,1)+IF(Skills!H9&gt;0,MIN(Skills!I9,MAX(0,MAX(0,Inputs!$B$43-B293)-((R270-1)*IF(Inputs!$B$38="pvp",15,MAX(0.1,Skills!D9-IF(Skills!E9=TRUE,Inputs!$B$32,0))))))/Skills!H9,1)))/Inputs!$B$43),G270*Q270))*IF(Inputs!$B$38="pvp",1,(1+((Inputs!$B$21+1)+Skills!Q9)/100)*(MIN(Skills!R9,Inputs!$B$37))),0)</f>
        <v/>
      </c>
    </row>
    <row r="271">
      <c r="A271">
        <f>Skills!A10</f>
        <v/>
      </c>
      <c r="B271">
        <f>Skills!B10</f>
        <v/>
      </c>
      <c r="C271">
        <f>Inputs!$B$3&gt;=103</f>
        <v/>
      </c>
      <c r="D271">
        <f>IF(Skills!C10=1,60+Inputs!$B$25+Inputs!$B$29,IF(Skills!C10=2,90+Inputs!$B$26+Inputs!$B$29,IF(Skills!C10=3,120+Inputs!$B$27+Inputs!$B$29,MAX(0,(Inputs!$B$3-100)*3)+Inputs!$B$28+Inputs!$B$29)))</f>
        <v/>
      </c>
      <c r="E271">
        <f>INDEX(FactorTable!$B$2:$Y$301, MATCH(ROUND(MIN(300,MAX(1,D271)),0), FactorTable!$A$2:$A$301,0), Skills!M10+1)</f>
        <v/>
      </c>
      <c r="F271">
        <f>IF(Skills!N10=TRUE,(Skills!L10/10)*(E271/1000),Skills!L10/10)+Skills!O10</f>
        <v/>
      </c>
      <c r="G271">
        <f>Skills!G10*IF(Skills!H10&gt;0,Skills!I10/Skills!H10,1)</f>
        <v/>
      </c>
      <c r="H271">
        <f>1-(1-Skills!J10/100)^Skills!K10</f>
        <v/>
      </c>
      <c r="I271" t="inlineStr">
        <is>
          <t>1</t>
        </is>
      </c>
      <c r="J271">
        <f>((Inputs!$B$6*(1+Inputs!$B$7/100))+(((Inputs!$B$12*(1+Inputs!$B$13/100))-(Inputs!$B$12*(1+Inputs!$B$13/100)))+0.25*(Inputs!$B$14-Inputs!$B$14))*(1+Inputs!$B$7/100))*(F271/100)</f>
        <v/>
      </c>
      <c r="K271">
        <f>J271*(1+((Inputs!$B$12*(1+Inputs!$B$13/100))*0.01+Inputs!$B$14*0.0025)/100)*(1+Inputs!$B$15/100)*(1+Inputs!$B$16/100)*(5000/(6000+Inputs!$B$42*(1-(Inputs!$B$19+0)/100)))*(1+(Inputs!$B$24+((C283=TRUE)*(F283-Calc!F22))+B292)/100)*(1+(IF(Skills!A10="HOOK_BOMBER",Inputs!$B$17+((C282=TRUE)*(F282-Calc!F21)),Inputs!$B$18+0))/100)*((1+(((C274=TRUE)*F274)+((C280=TRUE)*(F280-Calc!F19)))/100)*I271)</f>
        <v/>
      </c>
      <c r="L271">
        <f>K271*(MIN(Inputs!$B$22+((C281=TRUE)*(F281-Calc!F20)),Inputs!$B$23+0)/100+(Inputs!$B$23+0)/100)/2</f>
        <v/>
      </c>
      <c r="M271">
        <f>L271*(1+(Inputs!$B$10+0+B291)/100)</f>
        <v/>
      </c>
      <c r="N271">
        <f>L271*(1-MIN((Inputs!$B$9+((C277=TRUE)*(F277-Calc!F16))+B286),100)/100)+M271*(MIN((Inputs!$B$9+((C277=TRUE)*(F277-Calc!F16))+B286),100)/100)</f>
        <v/>
      </c>
      <c r="O271">
        <f>(1-Summary!$B$55)*T271+Summary!$B$55*V271</f>
        <v/>
      </c>
      <c r="P271">
        <f>IF(B296=0,0,O271/B296)</f>
        <v/>
      </c>
      <c r="Q271">
        <f>IFERROR(1/IF(Inputs!$B$38="pvp",15,MAX(0.1,Skills!D10-IF(Skills!E10=TRUE,Inputs!$B$32,0))),0)</f>
        <v/>
      </c>
      <c r="R271">
        <f>IF(AND(Inputs!$B$38&lt;&gt;"pvp",Inputs!$B$43&gt;0),IF(MAX(0,Inputs!$B$43-B293)&lt;=0,0,(INT(MAX(0,Inputs!$B$43-B293)/IF(Inputs!$B$38="pvp",15,MAX(0.1,Skills!D10-IF(Skills!E10=TRUE,Inputs!$B$32,0))))+1)),0)</f>
        <v/>
      </c>
      <c r="S271">
        <f>IFERROR(O271/N271,0)</f>
        <v/>
      </c>
      <c r="T271">
        <f>IF(C271,(H271*N271*IF(AND(Inputs!$B$38&lt;&gt;"pvp",Inputs!$B$43&gt;0),((Skills!G10*((R271-1)*IF(Skills!H10&gt;0,Skills!I10/Skills!H10,1)+IF(Skills!H10&gt;0,MIN(Skills!I10,MAX(0,MAX(0,Inputs!$B$43-B293)-((R271-1)*IF(Inputs!$B$38="pvp",15,MAX(0.1,Skills!D10-IF(Skills!E10=TRUE,Inputs!$B$32,0))))))/Skills!H10,1)))/Inputs!$B$43),G271*Q271))*IF(Inputs!$B$38="pvp",1,1+(Inputs!$B$20+0+Skills!P10)/100),0)</f>
        <v/>
      </c>
      <c r="V271">
        <f>IF(C271,(H271*N271*IF(AND(Inputs!$B$38&lt;&gt;"pvp",Inputs!$B$43&gt;0),((Skills!G10*((R271-1)*IF(Skills!H10&gt;0,Skills!I10/Skills!H10,1)+IF(Skills!H10&gt;0,MIN(Skills!I10,MAX(0,MAX(0,Inputs!$B$43-B293)-((R271-1)*IF(Inputs!$B$38="pvp",15,MAX(0.1,Skills!D10-IF(Skills!E10=TRUE,Inputs!$B$32,0))))))/Skills!H10,1)))/Inputs!$B$43),G271*Q271))*IF(Inputs!$B$38="pvp",1,(1+((Inputs!$B$21+1)+Skills!Q10)/100)*(MIN(Skills!R10,Inputs!$B$37))),0)</f>
        <v/>
      </c>
    </row>
    <row r="272">
      <c r="A272">
        <f>Skills!A11</f>
        <v/>
      </c>
      <c r="B272">
        <f>Skills!B11</f>
        <v/>
      </c>
      <c r="C272">
        <f>Inputs!$B$3&gt;=113</f>
        <v/>
      </c>
      <c r="D272">
        <f>IF(Skills!C11=1,60+Inputs!$B$25+Inputs!$B$29,IF(Skills!C11=2,90+Inputs!$B$26+Inputs!$B$29,IF(Skills!C11=3,120+Inputs!$B$27+Inputs!$B$29,MAX(0,(Inputs!$B$3-100)*3)+Inputs!$B$28+Inputs!$B$29)))</f>
        <v/>
      </c>
      <c r="E272">
        <f>INDEX(FactorTable!$B$2:$Y$301, MATCH(ROUND(MIN(300,MAX(1,D272)),0), FactorTable!$A$2:$A$301,0), Skills!M11+1)</f>
        <v/>
      </c>
      <c r="F272">
        <f>IF(Skills!N11=TRUE,(Skills!L11/10)*(E272/1000),Skills!L11/10)+Skills!O11</f>
        <v/>
      </c>
      <c r="G272">
        <f>Skills!G11*IF(Skills!H11&gt;0,Skills!I11/Skills!H11,1)</f>
        <v/>
      </c>
      <c r="H272">
        <f>1-(1-Skills!J11/100)^Skills!K11</f>
        <v/>
      </c>
      <c r="I272" t="inlineStr">
        <is>
          <t>1</t>
        </is>
      </c>
      <c r="J272">
        <f>((Inputs!$B$6*(1+Inputs!$B$7/100))+(((Inputs!$B$12*(1+Inputs!$B$13/100))-(Inputs!$B$12*(1+Inputs!$B$13/100)))+0.25*(Inputs!$B$14-Inputs!$B$14))*(1+Inputs!$B$7/100))*(F272/100)</f>
        <v/>
      </c>
      <c r="K272">
        <f>J272*(1+((Inputs!$B$12*(1+Inputs!$B$13/100))*0.01+Inputs!$B$14*0.0025)/100)*(1+Inputs!$B$15/100)*(1+Inputs!$B$16/100)*(5000/(6000+Inputs!$B$42*(1-(Inputs!$B$19+0)/100)))*(1+(Inputs!$B$24+((C283=TRUE)*(F283-Calc!F22))+B292)/100)*(1+(IF(Skills!A11="HOOK_BOMBER",Inputs!$B$17+((C282=TRUE)*(F282-Calc!F21)),Inputs!$B$18+0))/100)*((1+(((C274=TRUE)*F274)+((C280=TRUE)*(F280-Calc!F19)))/100)*I272)</f>
        <v/>
      </c>
      <c r="L272">
        <f>K272*(MIN(Inputs!$B$22+((C281=TRUE)*(F281-Calc!F20)),Inputs!$B$23+0)/100+(Inputs!$B$23+0)/100)/2</f>
        <v/>
      </c>
      <c r="M272">
        <f>L272*(1+(Inputs!$B$10+0+B291)/100)</f>
        <v/>
      </c>
      <c r="N272">
        <f>L272*(1-MIN((Inputs!$B$9+((C277=TRUE)*(F277-Calc!F16))+B286),100)/100)+M272*(MIN((Inputs!$B$9+((C277=TRUE)*(F277-Calc!F16))+B286),100)/100)</f>
        <v/>
      </c>
      <c r="O272">
        <f>(1-Summary!$B$55)*T272+Summary!$B$55*V272</f>
        <v/>
      </c>
      <c r="P272">
        <f>IF(B296=0,0,O272/B296)</f>
        <v/>
      </c>
      <c r="Q272">
        <f>IFERROR(1/IF(Inputs!$B$38="pvp",15,MAX(0.1,Skills!D11-IF(Skills!E11=TRUE,Inputs!$B$32,0))),0)</f>
        <v/>
      </c>
      <c r="R272">
        <f>IF(AND(Inputs!$B$38&lt;&gt;"pvp",Inputs!$B$43&gt;0),IF(MAX(0,Inputs!$B$43-B293)&lt;=0,0,(INT(MAX(0,Inputs!$B$43-B293)/IF(Inputs!$B$38="pvp",15,MAX(0.1,Skills!D11-IF(Skills!E11=TRUE,Inputs!$B$32,0))))+1)),0)</f>
        <v/>
      </c>
      <c r="S272">
        <f>IFERROR(O272/N272,0)</f>
        <v/>
      </c>
      <c r="T272">
        <f>IF(C272,(H272*N272*IF(AND(Inputs!$B$38&lt;&gt;"pvp",Inputs!$B$43&gt;0),((Skills!G11*((R272-1)*IF(Skills!H11&gt;0,Skills!I11/Skills!H11,1)+IF(Skills!H11&gt;0,MIN(Skills!I11,MAX(0,MAX(0,Inputs!$B$43-B293)-((R272-1)*IF(Inputs!$B$38="pvp",15,MAX(0.1,Skills!D11-IF(Skills!E11=TRUE,Inputs!$B$32,0))))))/Skills!H11,1)))/Inputs!$B$43),G272*Q272))*IF(Inputs!$B$38="pvp",1,1+(Inputs!$B$20+0+Skills!P11)/100),0)</f>
        <v/>
      </c>
      <c r="V272">
        <f>IF(C272,(H272*N272*IF(AND(Inputs!$B$38&lt;&gt;"pvp",Inputs!$B$43&gt;0),((Skills!G11*((R272-1)*IF(Skills!H11&gt;0,Skills!I11/Skills!H11,1)+IF(Skills!H11&gt;0,MIN(Skills!I11,MAX(0,MAX(0,Inputs!$B$43-B293)-((R272-1)*IF(Inputs!$B$38="pvp",15,MAX(0.1,Skills!D11-IF(Skills!E11=TRUE,Inputs!$B$32,0))))))/Skills!H11,1)))/Inputs!$B$43),G272*Q272))*IF(Inputs!$B$38="pvp",1,(1+((Inputs!$B$21+1)+Skills!Q11)/100)*(MIN(Skills!R11,Inputs!$B$37))),0)</f>
        <v/>
      </c>
    </row>
    <row r="273">
      <c r="A273">
        <f>Skills!A12</f>
        <v/>
      </c>
      <c r="B273">
        <f>Skills!B12</f>
        <v/>
      </c>
      <c r="C273">
        <f>Inputs!$B$3&gt;=100</f>
        <v/>
      </c>
      <c r="D273">
        <f>IF(Skills!C12=1,60+Inputs!$B$25+Inputs!$B$29,IF(Skills!C12=2,90+Inputs!$B$26+Inputs!$B$29,IF(Skills!C12=3,120+Inputs!$B$27+Inputs!$B$29,MAX(0,(Inputs!$B$3-100)*3)+Inputs!$B$28+Inputs!$B$29)))</f>
        <v/>
      </c>
      <c r="E273">
        <f>INDEX(FactorTable!$B$2:$Y$301, MATCH(ROUND(MIN(300,MAX(1,D273)),0), FactorTable!$A$2:$A$301,0), Skills!M12+1)</f>
        <v/>
      </c>
      <c r="F273">
        <f>IF(Skills!N12=TRUE,(Skills!L12/10)*(E273/1000),Skills!L12/10)+Skills!O12</f>
        <v/>
      </c>
      <c r="G273" t="inlineStr"/>
      <c r="H273" t="inlineStr"/>
      <c r="I273" t="inlineStr">
        <is>
          <t>1</t>
        </is>
      </c>
      <c r="J273" t="inlineStr"/>
      <c r="K273" t="inlineStr"/>
      <c r="L273" t="inlineStr"/>
      <c r="M273" t="inlineStr"/>
      <c r="N273" t="inlineStr"/>
      <c r="O273" t="inlineStr"/>
      <c r="P273" t="inlineStr"/>
      <c r="Q273" t="inlineStr"/>
      <c r="R273" t="inlineStr"/>
      <c r="S273" t="inlineStr"/>
      <c r="T273" t="inlineStr"/>
      <c r="V273" t="inlineStr"/>
    </row>
    <row r="274">
      <c r="A274">
        <f>Skills!A13</f>
        <v/>
      </c>
      <c r="B274">
        <f>Skills!B13</f>
        <v/>
      </c>
      <c r="C274">
        <f>Inputs!$B$3&gt;=66</f>
        <v/>
      </c>
      <c r="D274">
        <f>IF(Skills!C13=1,60+Inputs!$B$25+Inputs!$B$29,IF(Skills!C13=2,90+Inputs!$B$26+Inputs!$B$29,IF(Skills!C13=3,120+Inputs!$B$27+Inputs!$B$29,MAX(0,(Inputs!$B$3-100)*3)+Inputs!$B$28+Inputs!$B$29)))</f>
        <v/>
      </c>
      <c r="E274">
        <f>INDEX(FactorTable!$B$2:$Y$301, MATCH(ROUND(MIN(300,MAX(1,D274)),0), FactorTable!$A$2:$A$301,0), Skills!M13+1)</f>
        <v/>
      </c>
      <c r="F274">
        <f>IF(Skills!N13=TRUE,(Skills!L13/10)*(E274/1000),Skills!L13/10)+Skills!O13</f>
        <v/>
      </c>
      <c r="G274">
        <f>Skills!G13*IF(Skills!H13&gt;0,Skills!I13/Skills!H13,1)</f>
        <v/>
      </c>
      <c r="H274">
        <f>1-(1-Skills!J13/100)^Skills!K13</f>
        <v/>
      </c>
      <c r="I274" t="inlineStr">
        <is>
          <t>1</t>
        </is>
      </c>
      <c r="J274" t="inlineStr"/>
      <c r="K274" t="inlineStr"/>
      <c r="L274" t="inlineStr"/>
      <c r="M274" t="inlineStr"/>
      <c r="N274" t="inlineStr"/>
      <c r="O274">
        <f>(1-Summary!$B$55)*T274+Summary!$B$55*V274</f>
        <v/>
      </c>
      <c r="P274">
        <f>IF(B296=0,0,O274/B296)</f>
        <v/>
      </c>
      <c r="Q274" t="n">
        <v>0</v>
      </c>
      <c r="R274" t="n">
        <v>0</v>
      </c>
      <c r="S274">
        <f>IFERROR(O274/N274,0)</f>
        <v/>
      </c>
      <c r="T274" t="n">
        <v>0</v>
      </c>
      <c r="V274" t="n">
        <v>0</v>
      </c>
    </row>
    <row r="275">
      <c r="A275">
        <f>Skills!A14</f>
        <v/>
      </c>
      <c r="B275">
        <f>Skills!B14</f>
        <v/>
      </c>
      <c r="C275">
        <f>Inputs!$B$3&gt;=107</f>
        <v/>
      </c>
      <c r="D275">
        <f>IF(Skills!C14=1,60+Inputs!$B$25+Inputs!$B$29,IF(Skills!C14=2,90+Inputs!$B$26+Inputs!$B$29,IF(Skills!C14=3,120+Inputs!$B$27+Inputs!$B$29,MAX(0,(Inputs!$B$3-100)*3)+Inputs!$B$28+Inputs!$B$29)))</f>
        <v/>
      </c>
      <c r="E275">
        <f>INDEX(FactorTable!$B$2:$Y$301, MATCH(ROUND(MIN(300,MAX(1,D275)),0), FactorTable!$A$2:$A$301,0), Skills!M14+1)</f>
        <v/>
      </c>
      <c r="F275">
        <f>IF(Skills!N14=TRUE,(Skills!L14/10)*(E275/1000),Skills!L14/10)+Skills!O14</f>
        <v/>
      </c>
      <c r="G275">
        <f>Skills!G14*IF(Skills!H14&gt;0,Skills!I14/Skills!H14,1)</f>
        <v/>
      </c>
      <c r="H275">
        <f>1-(1-Skills!J14/100)^Skills!K14</f>
        <v/>
      </c>
      <c r="I275" t="inlineStr">
        <is>
          <t>1</t>
        </is>
      </c>
      <c r="J275" t="inlineStr"/>
      <c r="K275" t="inlineStr"/>
      <c r="L275" t="inlineStr"/>
      <c r="M275" t="inlineStr"/>
      <c r="N275" t="inlineStr"/>
      <c r="O275">
        <f>(1-Summary!$B$55)*T275+Summary!$B$55*V275</f>
        <v/>
      </c>
      <c r="P275">
        <f>IF(B296=0,0,O275/B296)</f>
        <v/>
      </c>
      <c r="Q275" t="n">
        <v>0</v>
      </c>
      <c r="R275" t="n">
        <v>0</v>
      </c>
      <c r="S275">
        <f>IFERROR(O275/N275,0)</f>
        <v/>
      </c>
      <c r="T275" t="n">
        <v>0</v>
      </c>
      <c r="V275" t="n">
        <v>0</v>
      </c>
    </row>
    <row r="276">
      <c r="A276">
        <f>Skills!A15</f>
        <v/>
      </c>
      <c r="B276">
        <f>Skills!B15</f>
        <v/>
      </c>
      <c r="C276">
        <f>Inputs!$B$3&gt;=115</f>
        <v/>
      </c>
      <c r="D276">
        <f>IF(Skills!C15=1,60+Inputs!$B$25+Inputs!$B$29,IF(Skills!C15=2,90+Inputs!$B$26+Inputs!$B$29,IF(Skills!C15=3,120+Inputs!$B$27+Inputs!$B$29,MAX(0,(Inputs!$B$3-100)*3)+Inputs!$B$28+Inputs!$B$29)))</f>
        <v/>
      </c>
      <c r="E276">
        <f>INDEX(FactorTable!$B$2:$Y$301, MATCH(ROUND(MIN(300,MAX(1,D276)),0), FactorTable!$A$2:$A$301,0), Skills!M15+1)</f>
        <v/>
      </c>
      <c r="F276">
        <f>IF(Skills!N15=TRUE,(Skills!L15/10)*(E276/1000),Skills!L15/10)+Skills!O15</f>
        <v/>
      </c>
      <c r="G276">
        <f>Skills!G15*IF(Skills!H15&gt;0,Skills!I15/Skills!H15,1)</f>
        <v/>
      </c>
      <c r="H276">
        <f>1-(1-Skills!J15/100)^Skills!K15</f>
        <v/>
      </c>
      <c r="I276" t="inlineStr">
        <is>
          <t>1</t>
        </is>
      </c>
      <c r="J276" t="inlineStr"/>
      <c r="K276" t="inlineStr"/>
      <c r="L276" t="inlineStr"/>
      <c r="M276" t="inlineStr"/>
      <c r="N276" t="inlineStr"/>
      <c r="O276">
        <f>(1-Summary!$B$55)*T276+Summary!$B$55*V276</f>
        <v/>
      </c>
      <c r="P276">
        <f>IF(B296=0,0,O276/B296)</f>
        <v/>
      </c>
      <c r="Q276" t="n">
        <v>0</v>
      </c>
      <c r="R276" t="n">
        <v>0</v>
      </c>
      <c r="S276">
        <f>IFERROR(O276/N276,0)</f>
        <v/>
      </c>
      <c r="T276" t="n">
        <v>0</v>
      </c>
      <c r="V276" t="n">
        <v>0</v>
      </c>
    </row>
    <row r="277">
      <c r="A277">
        <f>Skills!A16</f>
        <v/>
      </c>
      <c r="B277">
        <f>Skills!B16</f>
        <v/>
      </c>
      <c r="C277">
        <f>Inputs!$B$3&gt;=15</f>
        <v/>
      </c>
      <c r="D277">
        <f>IF(Skills!C16=1,60+Inputs!$B$25+Inputs!$B$29,IF(Skills!C16=2,90+Inputs!$B$26+Inputs!$B$29,IF(Skills!C16=3,120+Inputs!$B$27+Inputs!$B$29,MAX(0,(Inputs!$B$3-100)*3)+Inputs!$B$28+Inputs!$B$29)))</f>
        <v/>
      </c>
      <c r="E277">
        <f>INDEX(FactorTable!$B$2:$Y$301, MATCH(ROUND(MIN(300,MAX(1,D277)),0), FactorTable!$A$2:$A$301,0), Skills!M16+1)</f>
        <v/>
      </c>
      <c r="F277">
        <f>IF(Skills!N16=TRUE,(Skills!L16/10)*(E277/1000),Skills!L16/10)+Skills!O16</f>
        <v/>
      </c>
      <c r="G277">
        <f>Skills!G16*IF(Skills!H16&gt;0,Skills!I16/Skills!H16,1)</f>
        <v/>
      </c>
      <c r="H277">
        <f>1-(1-Skills!J16/100)^Skills!K16</f>
        <v/>
      </c>
      <c r="I277" t="inlineStr">
        <is>
          <t>1</t>
        </is>
      </c>
      <c r="J277" t="inlineStr"/>
      <c r="K277" t="inlineStr"/>
      <c r="L277" t="inlineStr"/>
      <c r="M277" t="inlineStr"/>
      <c r="N277" t="inlineStr"/>
      <c r="O277">
        <f>(1-Summary!$B$55)*T277+Summary!$B$55*V277</f>
        <v/>
      </c>
      <c r="P277">
        <f>IF(B296=0,0,O277/B296)</f>
        <v/>
      </c>
      <c r="Q277" t="n">
        <v>0</v>
      </c>
      <c r="R277" t="n">
        <v>0</v>
      </c>
      <c r="S277">
        <f>IFERROR(O277/N277,0)</f>
        <v/>
      </c>
      <c r="T277" t="n">
        <v>0</v>
      </c>
      <c r="V277" t="n">
        <v>0</v>
      </c>
    </row>
    <row r="278">
      <c r="A278">
        <f>Skills!A17</f>
        <v/>
      </c>
      <c r="B278">
        <f>Skills!B17</f>
        <v/>
      </c>
      <c r="C278">
        <f>Inputs!$B$3&gt;=10</f>
        <v/>
      </c>
      <c r="D278">
        <f>IF(Skills!C17=1,60+Inputs!$B$25+Inputs!$B$29,IF(Skills!C17=2,90+Inputs!$B$26+Inputs!$B$29,IF(Skills!C17=3,120+Inputs!$B$27+Inputs!$B$29,MAX(0,(Inputs!$B$3-100)*3)+Inputs!$B$28+Inputs!$B$29)))</f>
        <v/>
      </c>
      <c r="E278">
        <f>INDEX(FactorTable!$B$2:$Y$301, MATCH(ROUND(MIN(300,MAX(1,D278)),0), FactorTable!$A$2:$A$301,0), Skills!M17+1)</f>
        <v/>
      </c>
      <c r="F278">
        <f>IF(Skills!N17=TRUE,(Skills!L17/10)*(E278/1000),Skills!L17/10)+Skills!O17</f>
        <v/>
      </c>
      <c r="G278">
        <f>Skills!G17*IF(Skills!H17&gt;0,Skills!I17/Skills!H17,1)</f>
        <v/>
      </c>
      <c r="H278">
        <f>1-(1-Skills!J17/100)^Skills!K17</f>
        <v/>
      </c>
      <c r="I278" t="inlineStr">
        <is>
          <t>1</t>
        </is>
      </c>
      <c r="J278" t="inlineStr"/>
      <c r="K278" t="inlineStr"/>
      <c r="L278" t="inlineStr"/>
      <c r="M278" t="inlineStr"/>
      <c r="N278" t="inlineStr"/>
      <c r="O278">
        <f>(1-Summary!$B$55)*T278+Summary!$B$55*V278</f>
        <v/>
      </c>
      <c r="P278">
        <f>IF(B296=0,0,O278/B296)</f>
        <v/>
      </c>
      <c r="Q278" t="n">
        <v>0</v>
      </c>
      <c r="R278" t="n">
        <v>0</v>
      </c>
      <c r="S278">
        <f>IFERROR(O278/N278,0)</f>
        <v/>
      </c>
      <c r="T278" t="n">
        <v>0</v>
      </c>
      <c r="V278" t="n">
        <v>0</v>
      </c>
    </row>
    <row r="279">
      <c r="A279">
        <f>Skills!A18</f>
        <v/>
      </c>
      <c r="B279">
        <f>Skills!B18</f>
        <v/>
      </c>
      <c r="C279">
        <f>Inputs!$B$3&gt;=33</f>
        <v/>
      </c>
      <c r="D279">
        <f>IF(Skills!C18=1,60+Inputs!$B$25+Inputs!$B$29,IF(Skills!C18=2,90+Inputs!$B$26+Inputs!$B$29,IF(Skills!C18=3,120+Inputs!$B$27+Inputs!$B$29,MAX(0,(Inputs!$B$3-100)*3)+Inputs!$B$28+Inputs!$B$29)))</f>
        <v/>
      </c>
      <c r="E279">
        <f>INDEX(FactorTable!$B$2:$Y$301, MATCH(ROUND(MIN(300,MAX(1,D279)),0), FactorTable!$A$2:$A$301,0), Skills!M18+1)</f>
        <v/>
      </c>
      <c r="F279">
        <f>IF(Skills!N18=TRUE,(Skills!L18/10)*(E279/1000),Skills!L18/10)+Skills!O18</f>
        <v/>
      </c>
      <c r="G279">
        <f>Skills!G18*IF(Skills!H18&gt;0,Skills!I18/Skills!H18,1)</f>
        <v/>
      </c>
      <c r="H279">
        <f>1-(1-Skills!J18/100)^Skills!K18</f>
        <v/>
      </c>
      <c r="I279" t="inlineStr">
        <is>
          <t>1</t>
        </is>
      </c>
      <c r="J279" t="inlineStr"/>
      <c r="K279" t="inlineStr"/>
      <c r="L279" t="inlineStr"/>
      <c r="M279" t="inlineStr"/>
      <c r="N279" t="inlineStr"/>
      <c r="O279">
        <f>(1-Summary!$B$55)*T279+Summary!$B$55*V279</f>
        <v/>
      </c>
      <c r="P279">
        <f>IF(B296=0,0,O279/B296)</f>
        <v/>
      </c>
      <c r="Q279" t="n">
        <v>0</v>
      </c>
      <c r="R279" t="n">
        <v>0</v>
      </c>
      <c r="S279">
        <f>IFERROR(O279/N279,0)</f>
        <v/>
      </c>
      <c r="T279" t="n">
        <v>0</v>
      </c>
      <c r="V279" t="n">
        <v>0</v>
      </c>
    </row>
    <row r="280">
      <c r="A280">
        <f>Skills!A19</f>
        <v/>
      </c>
      <c r="B280">
        <f>Skills!B19</f>
        <v/>
      </c>
      <c r="C280">
        <f>Inputs!$B$3&gt;=40</f>
        <v/>
      </c>
      <c r="D280">
        <f>IF(Skills!C19=1,60+Inputs!$B$25+Inputs!$B$29,IF(Skills!C19=2,90+Inputs!$B$26+Inputs!$B$29,IF(Skills!C19=3,120+Inputs!$B$27+Inputs!$B$29,MAX(0,(Inputs!$B$3-100)*3)+Inputs!$B$28+Inputs!$B$29)))</f>
        <v/>
      </c>
      <c r="E280">
        <f>INDEX(FactorTable!$B$2:$Y$301, MATCH(ROUND(MIN(300,MAX(1,D280)),0), FactorTable!$A$2:$A$301,0), Skills!M19+1)</f>
        <v/>
      </c>
      <c r="F280">
        <f>IF(Skills!N19=TRUE,(Skills!L19/10)*(E280/1000),Skills!L19/10)+Skills!O19</f>
        <v/>
      </c>
      <c r="G280">
        <f>Skills!G19*IF(Skills!H19&gt;0,Skills!I19/Skills!H19,1)</f>
        <v/>
      </c>
      <c r="H280">
        <f>1-(1-Skills!J19/100)^Skills!K19</f>
        <v/>
      </c>
      <c r="I280" t="inlineStr">
        <is>
          <t>1</t>
        </is>
      </c>
      <c r="J280" t="inlineStr"/>
      <c r="K280" t="inlineStr"/>
      <c r="L280" t="inlineStr"/>
      <c r="M280" t="inlineStr"/>
      <c r="N280" t="inlineStr"/>
      <c r="O280">
        <f>(1-Summary!$B$55)*T280+Summary!$B$55*V280</f>
        <v/>
      </c>
      <c r="P280">
        <f>IF(B296=0,0,O280/B296)</f>
        <v/>
      </c>
      <c r="Q280" t="n">
        <v>0</v>
      </c>
      <c r="R280" t="n">
        <v>0</v>
      </c>
      <c r="S280">
        <f>IFERROR(O280/N280,0)</f>
        <v/>
      </c>
      <c r="T280" t="n">
        <v>0</v>
      </c>
      <c r="V280" t="n">
        <v>0</v>
      </c>
    </row>
    <row r="281">
      <c r="A281">
        <f>Skills!A20</f>
        <v/>
      </c>
      <c r="B281">
        <f>Skills!B20</f>
        <v/>
      </c>
      <c r="C281">
        <f>Inputs!$B$3&gt;=43</f>
        <v/>
      </c>
      <c r="D281">
        <f>IF(Skills!C20=1,60+Inputs!$B$25+Inputs!$B$29,IF(Skills!C20=2,90+Inputs!$B$26+Inputs!$B$29,IF(Skills!C20=3,120+Inputs!$B$27+Inputs!$B$29,MAX(0,(Inputs!$B$3-100)*3)+Inputs!$B$28+Inputs!$B$29)))</f>
        <v/>
      </c>
      <c r="E281">
        <f>INDEX(FactorTable!$B$2:$Y$301, MATCH(ROUND(MIN(300,MAX(1,D281)),0), FactorTable!$A$2:$A$301,0), Skills!M20+1)</f>
        <v/>
      </c>
      <c r="F281">
        <f>IF(Skills!N20=TRUE,(Skills!L20/10)*(E281/1000),Skills!L20/10)+Skills!O20</f>
        <v/>
      </c>
      <c r="G281">
        <f>Skills!G20*IF(Skills!H20&gt;0,Skills!I20/Skills!H20,1)</f>
        <v/>
      </c>
      <c r="H281">
        <f>1-(1-Skills!J20/100)^Skills!K20</f>
        <v/>
      </c>
      <c r="I281" t="inlineStr">
        <is>
          <t>1</t>
        </is>
      </c>
      <c r="J281" t="inlineStr"/>
      <c r="K281" t="inlineStr"/>
      <c r="L281" t="inlineStr"/>
      <c r="M281" t="inlineStr"/>
      <c r="N281" t="inlineStr"/>
      <c r="O281">
        <f>(1-Summary!$B$55)*T281+Summary!$B$55*V281</f>
        <v/>
      </c>
      <c r="P281">
        <f>IF(B296=0,0,O281/B296)</f>
        <v/>
      </c>
      <c r="Q281" t="n">
        <v>0</v>
      </c>
      <c r="R281" t="n">
        <v>0</v>
      </c>
      <c r="S281">
        <f>IFERROR(O281/N281,0)</f>
        <v/>
      </c>
      <c r="T281" t="n">
        <v>0</v>
      </c>
      <c r="V281" t="n">
        <v>0</v>
      </c>
    </row>
    <row r="282">
      <c r="A282">
        <f>Skills!A21</f>
        <v/>
      </c>
      <c r="B282">
        <f>Skills!B21</f>
        <v/>
      </c>
      <c r="C282">
        <f>Inputs!$B$3&gt;=38</f>
        <v/>
      </c>
      <c r="D282">
        <f>IF(Skills!C21=1,60+Inputs!$B$25+Inputs!$B$29,IF(Skills!C21=2,90+Inputs!$B$26+Inputs!$B$29,IF(Skills!C21=3,120+Inputs!$B$27+Inputs!$B$29,MAX(0,(Inputs!$B$3-100)*3)+Inputs!$B$28+Inputs!$B$29)))</f>
        <v/>
      </c>
      <c r="E282">
        <f>INDEX(FactorTable!$B$2:$Y$301, MATCH(ROUND(MIN(300,MAX(1,D282)),0), FactorTable!$A$2:$A$301,0), Skills!M21+1)</f>
        <v/>
      </c>
      <c r="F282">
        <f>IF(Skills!N21=TRUE,(Skills!L21/10)*(E282/1000),Skills!L21/10)+Skills!O21</f>
        <v/>
      </c>
      <c r="G282">
        <f>Skills!G21*IF(Skills!H21&gt;0,Skills!I21/Skills!H21,1)</f>
        <v/>
      </c>
      <c r="H282">
        <f>1-(1-Skills!J21/100)^Skills!K21</f>
        <v/>
      </c>
      <c r="I282" t="inlineStr">
        <is>
          <t>1</t>
        </is>
      </c>
      <c r="J282" t="inlineStr"/>
      <c r="K282" t="inlineStr"/>
      <c r="L282" t="inlineStr"/>
      <c r="M282" t="inlineStr"/>
      <c r="N282" t="inlineStr"/>
      <c r="O282">
        <f>(1-Summary!$B$55)*T282+Summary!$B$55*V282</f>
        <v/>
      </c>
      <c r="P282">
        <f>IF(B296=0,0,O282/B296)</f>
        <v/>
      </c>
      <c r="Q282" t="n">
        <v>0</v>
      </c>
      <c r="R282" t="n">
        <v>0</v>
      </c>
      <c r="S282">
        <f>IFERROR(O282/N282,0)</f>
        <v/>
      </c>
      <c r="T282" t="n">
        <v>0</v>
      </c>
      <c r="V282" t="n">
        <v>0</v>
      </c>
    </row>
    <row r="283">
      <c r="A283">
        <f>Skills!A22</f>
        <v/>
      </c>
      <c r="B283">
        <f>Skills!B22</f>
        <v/>
      </c>
      <c r="C283">
        <f>Inputs!$B$3&gt;=75</f>
        <v/>
      </c>
      <c r="D283">
        <f>IF(Skills!C22=1,60+Inputs!$B$25+Inputs!$B$29,IF(Skills!C22=2,90+Inputs!$B$26+Inputs!$B$29,IF(Skills!C22=3,120+Inputs!$B$27+Inputs!$B$29,MAX(0,(Inputs!$B$3-100)*3)+Inputs!$B$28+Inputs!$B$29)))</f>
        <v/>
      </c>
      <c r="E283">
        <f>INDEX(FactorTable!$B$2:$Y$301, MATCH(ROUND(MIN(300,MAX(1,D283)),0), FactorTable!$A$2:$A$301,0), Skills!M22+1)</f>
        <v/>
      </c>
      <c r="F283">
        <f>IF(Skills!N22=TRUE,(Skills!L22/10)*(E283/1000),Skills!L22/10)+Skills!O22</f>
        <v/>
      </c>
      <c r="G283">
        <f>Skills!G22*IF(Skills!H22&gt;0,Skills!I22/Skills!H22,1)</f>
        <v/>
      </c>
      <c r="H283">
        <f>1-(1-Skills!J22/100)^Skills!K22</f>
        <v/>
      </c>
      <c r="I283" t="inlineStr">
        <is>
          <t>1</t>
        </is>
      </c>
      <c r="J283" t="inlineStr"/>
      <c r="K283" t="inlineStr"/>
      <c r="L283" t="inlineStr"/>
      <c r="M283" t="inlineStr"/>
      <c r="N283" t="inlineStr"/>
      <c r="O283">
        <f>(1-Summary!$B$55)*T283+Summary!$B$55*V283</f>
        <v/>
      </c>
      <c r="P283">
        <f>IF(B296=0,0,O283/B296)</f>
        <v/>
      </c>
      <c r="Q283" t="n">
        <v>0</v>
      </c>
      <c r="R283" t="n">
        <v>0</v>
      </c>
      <c r="S283">
        <f>IFERROR(O283/N283,0)</f>
        <v/>
      </c>
      <c r="T283" t="n">
        <v>0</v>
      </c>
      <c r="V283" t="n">
        <v>0</v>
      </c>
    </row>
    <row r="285">
      <c r="A285" t="inlineStr">
        <is>
          <t>Attack% Bucket Multiplier</t>
        </is>
      </c>
      <c r="B285">
        <f>(1+(((C274=TRUE)*F274)+((C280=TRUE)*(F280-Calc!F19)))/100)</f>
        <v/>
      </c>
    </row>
    <row r="286">
      <c r="A286" t="inlineStr">
        <is>
          <t>Global Crit Rate Bonus %</t>
        </is>
      </c>
      <c r="B286" t="n">
        <v>0</v>
      </c>
    </row>
    <row r="287">
      <c r="A287" t="inlineStr">
        <is>
          <t>Attack Speed Buff Bonus % (unused)</t>
        </is>
      </c>
      <c r="B287" t="n">
        <v>0</v>
      </c>
    </row>
    <row r="288">
      <c r="A288" t="inlineStr">
        <is>
          <t>Actions Per Second</t>
        </is>
      </c>
      <c r="B288">
        <f>1+MIN(150,150*(1-(1-(Inputs!$B$11+((C278=TRUE)*(F278-Calc!F17))+((C279=TRUE)*(F279-Calc!F18)))/150)*(1-B287/150)))/100</f>
        <v/>
      </c>
    </row>
    <row r="289">
      <c r="A289" t="inlineStr">
        <is>
          <t>Skill + Buff Cast Rate</t>
        </is>
      </c>
      <c r="B289">
        <f>IF(AND(Inputs!$B$38&lt;&gt;"pvp",Inputs!$B$43&gt;0),SUMPRODUCT((Skills!E2:E22=TRUE)*(C263:C283=TRUE)*R263:R283*Skills!F2:F22)/Inputs!$B$43,SUMPRODUCT((Skills!E2:E22=TRUE)*(C263:C283=TRUE)*Q263:Q283*Skills!F2:F22))</f>
        <v/>
      </c>
    </row>
    <row r="290">
      <c r="A290" t="inlineStr">
        <is>
          <t>Hook Bomber Casts Per Second</t>
        </is>
      </c>
      <c r="B290">
        <f>MAX(0,B288-B289)</f>
        <v/>
      </c>
    </row>
    <row r="291">
      <c r="A291" t="inlineStr">
        <is>
          <t>Global Critical Damage Bonus % (unused)</t>
        </is>
      </c>
      <c r="B291" t="n">
        <v>0</v>
      </c>
    </row>
    <row r="292">
      <c r="A292" t="inlineStr">
        <is>
          <t>Global Final Damage Bonus % (Serpent Scale + Crossbones + Time Leap + Speed Infusion)</t>
        </is>
      </c>
      <c r="B292">
        <f>((C266=TRUE)*F266*((10+IF(Inputs!$B$3&gt;=94,5,0))/((10+IF(Inputs!$B$3&gt;=94,5,0))+5/(B290*(1+IF(Inputs!$B$3&gt;=104,1,0))))))+((C275=TRUE)*F275)+((C276=TRUE)*F276)+((Inputs!$B$3&gt;=110)*20*(B288-1))</f>
        <v/>
      </c>
    </row>
    <row r="293">
      <c r="A293" t="inlineStr">
        <is>
          <t>Buff-Casting Startup Delay (s, fixed-duration only)</t>
        </is>
      </c>
      <c r="B293">
        <f>IF(AND(Inputs!$B$38&lt;&gt;"pvp",Inputs!$B$43&gt;0),SUMPRODUCT((Skills!T2:T22&gt;0)*(Skills!E2:E22=TRUE)*(C263:C283=TRUE))/B288,0)</f>
        <v/>
      </c>
    </row>
    <row r="294">
      <c r="A294" t="inlineStr">
        <is>
          <t>Boss-Only Total DPS (this block's swept value)</t>
        </is>
      </c>
      <c r="B294">
        <f>SUM(T263:T283)</f>
        <v/>
      </c>
    </row>
    <row r="295">
      <c r="A295" t="inlineStr">
        <is>
          <t>Normal-Only Total DPS (this block's swept value)</t>
        </is>
      </c>
      <c r="B295">
        <f>SUM(V263:V283)</f>
        <v/>
      </c>
    </row>
    <row r="296">
      <c r="A296" s="5" t="inlineStr">
        <is>
          <t>TOTAL DPS</t>
        </is>
      </c>
      <c r="B296" s="5">
        <f>SUM(O263:O283)</f>
        <v/>
      </c>
    </row>
    <row r="299">
      <c r="A299" s="5" t="inlineStr">
        <is>
          <t>Stat: FINAL_DAMAGE % (multiplicative source)</t>
        </is>
      </c>
    </row>
    <row r="300">
      <c r="A300" s="9" t="inlineStr">
        <is>
          <t>Key</t>
        </is>
      </c>
      <c r="B300" s="9" t="inlineStr">
        <is>
          <t>Name</t>
        </is>
      </c>
      <c r="C300" s="9" t="inlineStr">
        <is>
          <t>Unlocked</t>
        </is>
      </c>
      <c r="D300" s="9" t="inlineStr">
        <is>
          <t>InputLevel</t>
        </is>
      </c>
      <c r="E300" s="9" t="inlineStr">
        <is>
          <t>Factor</t>
        </is>
      </c>
      <c r="F300" s="9" t="inlineStr">
        <is>
          <t>CoefficientPercent</t>
        </is>
      </c>
      <c r="G300" s="9" t="inlineStr">
        <is>
          <t>EffectiveHits</t>
        </is>
      </c>
      <c r="H300" s="9" t="inlineStr">
        <is>
          <t>ProcProbability</t>
        </is>
      </c>
      <c r="I300" s="9" t="inlineStr">
        <is>
          <t>MapleHeroMultiplier</t>
        </is>
      </c>
      <c r="J300" s="9" t="inlineStr">
        <is>
          <t>BaseDamage</t>
        </is>
      </c>
      <c r="K300" s="9" t="inlineStr">
        <is>
          <t>BaseHitDamage</t>
        </is>
      </c>
      <c r="L300" s="9" t="inlineStr">
        <is>
          <t>NonCritAvg</t>
        </is>
      </c>
      <c r="M300" s="9" t="inlineStr">
        <is>
          <t>CritAvg</t>
        </is>
      </c>
      <c r="N300" s="9" t="inlineStr">
        <is>
          <t>ExpectedDamage(perHit)</t>
        </is>
      </c>
      <c r="O300" s="9" t="inlineStr">
        <is>
          <t>DPS</t>
        </is>
      </c>
      <c r="P300" s="9" t="inlineStr">
        <is>
          <t>% of Total</t>
        </is>
      </c>
      <c r="Q300" s="9" t="inlineStr">
        <is>
          <t>InvCooldown</t>
        </is>
      </c>
      <c r="R300" s="9" t="inlineStr">
        <is>
          <t>CastsInFight</t>
        </is>
      </c>
      <c r="S300" s="9" t="inlineStr">
        <is>
          <t>HitRate(perSec)</t>
        </is>
      </c>
      <c r="U300" t="inlineStr">
        <is>
          <t>helpers</t>
        </is>
      </c>
    </row>
    <row r="301">
      <c r="A301">
        <f>Skills!A2</f>
        <v/>
      </c>
      <c r="B301">
        <f>Skills!B2</f>
        <v/>
      </c>
      <c r="C301">
        <f>Inputs!$B$3&gt;=100</f>
        <v/>
      </c>
      <c r="D301" t="inlineStr"/>
      <c r="E301" t="inlineStr"/>
      <c r="F301">
        <f>U303+Skills!O2</f>
        <v/>
      </c>
      <c r="G301">
        <f>Skills!G2*IF(Skills!H2&gt;0,Skills!I2/Skills!H2,1)</f>
        <v/>
      </c>
      <c r="H301">
        <f>1-(1-Skills!J2/100)^Skills!K2</f>
        <v/>
      </c>
      <c r="I301" t="inlineStr">
        <is>
          <t>1</t>
        </is>
      </c>
      <c r="J301">
        <f>((Inputs!$B$6*(1+Inputs!$B$7/100))+(((Inputs!$B$12*(1+Inputs!$B$13/100))-(Inputs!$B$12*(1+Inputs!$B$13/100)))+0.25*(Inputs!$B$14-Inputs!$B$14))*(1+Inputs!$B$7/100))*(F301/100)</f>
        <v/>
      </c>
      <c r="K301">
        <f>J301*(1+((Inputs!$B$12*(1+Inputs!$B$13/100))*0.01+Inputs!$B$14*0.0025)/100)*(1+Inputs!$B$15/100)*(1+Inputs!$B$16/100)*(5000/(6000+Inputs!$B$42*(1-(Inputs!$B$19+0)/100)))*(1+(((((1+Inputs!$B$24/100)*(1.01))-1)*100)+((C321=TRUE)*(F321-Calc!F22))+B330)/100)*(1+(IF(Skills!A2="HOOK_BOMBER",Inputs!$B$17+((C320=TRUE)*(F320-Calc!F21)),Inputs!$B$18+0))/100)*((1+(((C312=TRUE)*F312)+((C318=TRUE)*(F318-Calc!F19)))/100)*I301)</f>
        <v/>
      </c>
      <c r="L301">
        <f>K301*(MIN(Inputs!$B$22+((C319=TRUE)*(F319-Calc!F20)),Inputs!$B$23+0)/100+(Inputs!$B$23+0)/100)/2</f>
        <v/>
      </c>
      <c r="M301">
        <f>L301*(1+(Inputs!$B$10+0+B329)/100)</f>
        <v/>
      </c>
      <c r="N301">
        <f>L301*(1-MIN((Inputs!$B$9+((C315=TRUE)*(F315-Calc!F16))+B324),100)/100)+M301*(MIN((Inputs!$B$9+((C315=TRUE)*(F315-Calc!F16))+B324),100)/100)</f>
        <v/>
      </c>
      <c r="O301">
        <f>(1-Summary!$B$55)*T301+Summary!$B$55*V301</f>
        <v/>
      </c>
      <c r="P301">
        <f>IF(B334=0,0,O301/B334)</f>
        <v/>
      </c>
      <c r="Q301" t="n">
        <v>0</v>
      </c>
      <c r="R301" t="n">
        <v>0</v>
      </c>
      <c r="S301">
        <f>IFERROR(O301/N301,0)</f>
        <v/>
      </c>
      <c r="T301">
        <f>IF(C301,(Skills!G2*N301*B328)*IF(Inputs!$B$38="pvp",1,1+(Inputs!$B$20+0+Skills!P2)/100),0)</f>
        <v/>
      </c>
      <c r="U301">
        <f>MAX(0,(Inputs!$B$3-100)*3)+Inputs!$B$28+Inputs!$B$29</f>
        <v/>
      </c>
      <c r="V301">
        <f>IF(C301,(Skills!G2*N301*B328)*IF(Inputs!$B$38="pvp",1,(1+(Inputs!$B$21+Skills!Q2)/100)*(MIN((6+Inputs!$B$33),Inputs!$B$37))),0)</f>
        <v/>
      </c>
    </row>
    <row r="302">
      <c r="A302">
        <f>Skills!A3</f>
        <v/>
      </c>
      <c r="B302">
        <f>Skills!B3</f>
        <v/>
      </c>
      <c r="C302">
        <f>Inputs!$B$3&gt;=35</f>
        <v/>
      </c>
      <c r="D302">
        <f>IF(Skills!C3=1,60+Inputs!$B$25+Inputs!$B$29,IF(Skills!C3=2,90+Inputs!$B$26+Inputs!$B$29,IF(Skills!C3=3,120+Inputs!$B$27+Inputs!$B$29,MAX(0,(Inputs!$B$3-100)*3)+Inputs!$B$28+Inputs!$B$29)))</f>
        <v/>
      </c>
      <c r="E302">
        <f>INDEX(FactorTable!$B$2:$Y$301, MATCH(ROUND(MIN(300,MAX(1,D302)),0), FactorTable!$A$2:$A$301,0), Skills!M3+1)</f>
        <v/>
      </c>
      <c r="F302">
        <f>IF(Skills!N3=TRUE,(Skills!L3/10)*(E302/1000),Skills!L3/10)+Skills!O3</f>
        <v/>
      </c>
      <c r="G302">
        <f>Skills!G3*IF(Skills!H3&gt;0,Skills!I3/Skills!H3,1)</f>
        <v/>
      </c>
      <c r="H302">
        <f>1-(1-Skills!J3/100)^Skills!K3</f>
        <v/>
      </c>
      <c r="I302" t="inlineStr">
        <is>
          <t>1</t>
        </is>
      </c>
      <c r="J302">
        <f>((Inputs!$B$6*(1+Inputs!$B$7/100))+(((Inputs!$B$12*(1+Inputs!$B$13/100))-(Inputs!$B$12*(1+Inputs!$B$13/100)))+0.25*(Inputs!$B$14-Inputs!$B$14))*(1+Inputs!$B$7/100))*(F302/100)</f>
        <v/>
      </c>
      <c r="K302">
        <f>J302*(1+((Inputs!$B$12*(1+Inputs!$B$13/100))*0.01+Inputs!$B$14*0.0025)/100)*(1+Inputs!$B$15/100)*(1+Inputs!$B$16/100)*(5000/(6000+Inputs!$B$42*(1-(Inputs!$B$19+0)/100)))*(1+(((((1+Inputs!$B$24/100)*(1.01))-1)*100)+((C321=TRUE)*(F321-Calc!F22))+B330)/100)*(1+(IF(Skills!A3="HOOK_BOMBER",Inputs!$B$17+((C320=TRUE)*(F320-Calc!F21)),Inputs!$B$18+0))/100)*((1+(((C312=TRUE)*F312)+((C318=TRUE)*(F318-Calc!F19)))/100)*I302)</f>
        <v/>
      </c>
      <c r="L302">
        <f>K302*(MIN(Inputs!$B$22+((C319=TRUE)*(F319-Calc!F20)),Inputs!$B$23+0)/100+(Inputs!$B$23+0)/100)/2</f>
        <v/>
      </c>
      <c r="M302">
        <f>L302*(1+(Inputs!$B$10+0+B329)/100)</f>
        <v/>
      </c>
      <c r="N302">
        <f>L302*(1-MIN((Inputs!$B$9+((C315=TRUE)*(F315-Calc!F16))+B324),100)/100)+M302*(MIN((Inputs!$B$9+((C315=TRUE)*(F315-Calc!F16))+B324),100)/100)</f>
        <v/>
      </c>
      <c r="O302">
        <f>(1-Summary!$B$55)*T302+Summary!$B$55*V302</f>
        <v/>
      </c>
      <c r="P302">
        <f>IF(B334=0,0,O302/B334)</f>
        <v/>
      </c>
      <c r="Q302" t="n">
        <v>0</v>
      </c>
      <c r="R302" t="n">
        <v>0</v>
      </c>
      <c r="S302">
        <f>IFERROR(O302/N302,0)</f>
        <v/>
      </c>
      <c r="T302">
        <f>IF(C302,(Skills!G3*H302*N302*B328)*IF(Inputs!$B$38="pvp",1,1+(Inputs!$B$20+0+Skills!P3)/100),0)</f>
        <v/>
      </c>
      <c r="U302">
        <f>INDEX(FactorTable!$B$2:$Y$301, MATCH(ROUND(MIN(300,MAX(1,U301)),0), FactorTable!$A$2:$A$301,0), 22)</f>
        <v/>
      </c>
      <c r="V302">
        <f>IF(C302,(Skills!G3*H302*N302*B328)*IF(Inputs!$B$38="pvp",1,(1+(Inputs!$B$21+Skills!Q3)/100)*(MIN(Skills!R3,Inputs!$B$37))),0)</f>
        <v/>
      </c>
    </row>
    <row r="303">
      <c r="A303">
        <f>Skills!A4</f>
        <v/>
      </c>
      <c r="B303">
        <f>Skills!B4</f>
        <v/>
      </c>
      <c r="C303">
        <f>Inputs!$B$3&gt;=60</f>
        <v/>
      </c>
      <c r="D303">
        <f>IF(Skills!C4=1,60+Inputs!$B$25+Inputs!$B$29,IF(Skills!C4=2,90+Inputs!$B$26+Inputs!$B$29,IF(Skills!C4=3,120+Inputs!$B$27+Inputs!$B$29,MAX(0,(Inputs!$B$3-100)*3)+Inputs!$B$28+Inputs!$B$29)))</f>
        <v/>
      </c>
      <c r="E303">
        <f>INDEX(FactorTable!$B$2:$Y$301, MATCH(ROUND(MIN(300,MAX(1,D303)),0), FactorTable!$A$2:$A$301,0), Skills!M4+1)</f>
        <v/>
      </c>
      <c r="F303">
        <f>IF(Skills!N4=TRUE,(Skills!L4/10)*(E303/1000),Skills!L4/10)+Skills!O4</f>
        <v/>
      </c>
      <c r="G303">
        <f>Skills!G4*IF(Skills!H4&gt;0,Skills!I4/Skills!H4,1)</f>
        <v/>
      </c>
      <c r="H303">
        <f>1-(1-Skills!J4/100)^Skills!K4</f>
        <v/>
      </c>
      <c r="I303" t="inlineStr">
        <is>
          <t>1</t>
        </is>
      </c>
      <c r="J303">
        <f>((Inputs!$B$6*(1+Inputs!$B$7/100))+(((Inputs!$B$12*(1+Inputs!$B$13/100))-(Inputs!$B$12*(1+Inputs!$B$13/100)))+0.25*(Inputs!$B$14-Inputs!$B$14))*(1+Inputs!$B$7/100))*(F303/100)</f>
        <v/>
      </c>
      <c r="K303">
        <f>J303*(1+((Inputs!$B$12*(1+Inputs!$B$13/100))*0.01+Inputs!$B$14*0.0025)/100)*(1+Inputs!$B$15/100)*(1+Inputs!$B$16/100)*(5000/(6000+Inputs!$B$42*(1-(Inputs!$B$19+0)/100)))*(1+(((((1+Inputs!$B$24/100)*(1.01))-1)*100)+((C321=TRUE)*(F321-Calc!F22))+B330)/100)*(1+1.0*IF(C311=TRUE,F311,0)/100)*(1+(IF(Skills!A4="HOOK_BOMBER",Inputs!$B$17+((C320=TRUE)*(F320-Calc!F21)),Inputs!$B$18+0))/100)*((1+(((C312=TRUE)*F312)+((C318=TRUE)*(F318-Calc!F19)))/100)*I303)</f>
        <v/>
      </c>
      <c r="L303">
        <f>K303*(MIN(Inputs!$B$22+((C319=TRUE)*(F319-Calc!F20)),Inputs!$B$23+0)/100+(Inputs!$B$23+0)/100)/2</f>
        <v/>
      </c>
      <c r="M303">
        <f>L303*(1+(Inputs!$B$10+0+B329)/100)</f>
        <v/>
      </c>
      <c r="N303">
        <f>L303*(1-MIN((Inputs!$B$9+((C315=TRUE)*(F315-Calc!F16))+B324),100)/100)+M303*(MIN((Inputs!$B$9+((C315=TRUE)*(F315-Calc!F16))+B324),100)/100)</f>
        <v/>
      </c>
      <c r="O303">
        <f>(1-Summary!$B$55)*T303+Summary!$B$55*V303</f>
        <v/>
      </c>
      <c r="P303">
        <f>IF(B334=0,0,O303/B334)</f>
        <v/>
      </c>
      <c r="Q303" t="n">
        <v>0</v>
      </c>
      <c r="R303" t="n">
        <v>0</v>
      </c>
      <c r="S303">
        <f>IFERROR(O303/N303,0)</f>
        <v/>
      </c>
      <c r="T303">
        <f>IF(C303,(Skills!G4*H303*N303*B328)*IF(Inputs!$B$38="pvp",1,1+(Inputs!$B$20+0+Skills!P4)/100),0)</f>
        <v/>
      </c>
      <c r="U303">
        <f>290*U302/1000</f>
        <v/>
      </c>
      <c r="V303">
        <f>IF(C303,(Skills!G4*H303*N303*B328)*IF(Inputs!$B$38="pvp",1,(1+(Inputs!$B$21+Skills!Q4)/100)*(MIN(Skills!R4,Inputs!$B$37))),0)</f>
        <v/>
      </c>
    </row>
    <row r="304">
      <c r="A304">
        <f>Skills!A5</f>
        <v/>
      </c>
      <c r="B304">
        <f>Skills!B5</f>
        <v/>
      </c>
      <c r="C304">
        <f>Inputs!$B$3&gt;=60</f>
        <v/>
      </c>
      <c r="D304">
        <f>IF(Skills!C5=1,60+Inputs!$B$25+Inputs!$B$29,IF(Skills!C5=2,90+Inputs!$B$26+Inputs!$B$29,IF(Skills!C5=3,120+Inputs!$B$27+Inputs!$B$29,MAX(0,(Inputs!$B$3-100)*3)+Inputs!$B$28+Inputs!$B$29)))</f>
        <v/>
      </c>
      <c r="E304">
        <f>INDEX(FactorTable!$B$2:$Y$301, MATCH(ROUND(MIN(300,MAX(1,D304)),0), FactorTable!$A$2:$A$301,0), Skills!M5+1)</f>
        <v/>
      </c>
      <c r="F304">
        <f>IF(Skills!N5=TRUE,(Skills!L5/10)*(E304/1000),Skills!L5/10)+Skills!O5</f>
        <v/>
      </c>
      <c r="G304">
        <f>Skills!G5*IF(Skills!H5&gt;0,Skills!I5/Skills!H5,1)</f>
        <v/>
      </c>
      <c r="H304">
        <f>1-(1-Skills!J5/100)^Skills!K5</f>
        <v/>
      </c>
      <c r="I304" t="inlineStr">
        <is>
          <t>1</t>
        </is>
      </c>
      <c r="J304" t="inlineStr"/>
      <c r="K304" t="inlineStr"/>
      <c r="L304" t="inlineStr"/>
      <c r="M304" t="inlineStr"/>
      <c r="N304" t="inlineStr"/>
      <c r="O304">
        <f>(1-Summary!$B$55)*T304+Summary!$B$55*V304</f>
        <v/>
      </c>
      <c r="P304">
        <f>IF(B334=0,0,O304/B334)</f>
        <v/>
      </c>
      <c r="Q304" t="n">
        <v>0</v>
      </c>
      <c r="R304" t="n">
        <v>0</v>
      </c>
      <c r="S304">
        <f>IFERROR(O304/N304,0)</f>
        <v/>
      </c>
      <c r="T304" t="n">
        <v>0</v>
      </c>
      <c r="V304" t="n">
        <v>0</v>
      </c>
    </row>
    <row r="305">
      <c r="A305">
        <f>Skills!A6</f>
        <v/>
      </c>
      <c r="B305">
        <f>Skills!B6</f>
        <v/>
      </c>
      <c r="C305">
        <f>Inputs!$B$3&gt;=63</f>
        <v/>
      </c>
      <c r="D305">
        <f>IF(Skills!C6=1,60+Inputs!$B$25+Inputs!$B$29,IF(Skills!C6=2,90+Inputs!$B$26+Inputs!$B$29,IF(Skills!C6=3,120+Inputs!$B$27+Inputs!$B$29,MAX(0,(Inputs!$B$3-100)*3)+Inputs!$B$28+Inputs!$B$29)))</f>
        <v/>
      </c>
      <c r="E305">
        <f>INDEX(FactorTable!$B$2:$Y$301, MATCH(ROUND(MIN(300,MAX(1,D305)),0), FactorTable!$A$2:$A$301,0), Skills!M6+1)</f>
        <v/>
      </c>
      <c r="F305">
        <f>IF(Skills!N6=TRUE,(Skills!L6/10)*(E305/1000),Skills!L6/10)+Skills!O6</f>
        <v/>
      </c>
      <c r="G305">
        <f>Skills!G6*IF(Skills!H6&gt;0,Skills!I6/Skills!H6,1)</f>
        <v/>
      </c>
      <c r="H305">
        <f>1-(1-Skills!J6/100)^Skills!K6</f>
        <v/>
      </c>
      <c r="I305" t="inlineStr">
        <is>
          <t>1</t>
        </is>
      </c>
      <c r="J305">
        <f>((Inputs!$B$6*(1+Inputs!$B$7/100))+(((Inputs!$B$12*(1+Inputs!$B$13/100))-(Inputs!$B$12*(1+Inputs!$B$13/100)))+0.25*(Inputs!$B$14-Inputs!$B$14))*(1+Inputs!$B$7/100))*(F305/100)</f>
        <v/>
      </c>
      <c r="K305">
        <f>J305*(1+((Inputs!$B$12*(1+Inputs!$B$13/100))*0.01+Inputs!$B$14*0.0025)/100)*(1+Inputs!$B$15/100)*(1+Inputs!$B$16/100)*(5000/(6000+Inputs!$B$42*(1-(Inputs!$B$19+0)/100)))*(1+(((((1+Inputs!$B$24/100)*(1.01))-1)*100)+((C321=TRUE)*(F321-Calc!F22))+B330)/100)*(1+(IF(Skills!A6="HOOK_BOMBER",Inputs!$B$17+((C320=TRUE)*(F320-Calc!F21)),Inputs!$B$18+0))/100)*((1+(((C312=TRUE)*F312)+((C318=TRUE)*(F318-Calc!F19)))/100)*I305)</f>
        <v/>
      </c>
      <c r="L305">
        <f>K305*(MIN(Inputs!$B$22+((C319=TRUE)*(F319-Calc!F20)),Inputs!$B$23+0)/100+(Inputs!$B$23+0)/100)/2</f>
        <v/>
      </c>
      <c r="M305">
        <f>L305*(1+(Inputs!$B$10+0+B329)/100)</f>
        <v/>
      </c>
      <c r="N305">
        <f>L305*(1-MIN((Inputs!$B$9+((C315=TRUE)*(F315-Calc!F16))+B324),100)/100)+M305*(MIN((Inputs!$B$9+((C315=TRUE)*(F315-Calc!F16))+B324),100)/100)</f>
        <v/>
      </c>
      <c r="O305">
        <f>(1-Summary!$B$55)*T305+Summary!$B$55*V305</f>
        <v/>
      </c>
      <c r="P305">
        <f>IF(B334=0,0,O305/B334)</f>
        <v/>
      </c>
      <c r="Q305">
        <f>IFERROR(1/IF(Inputs!$B$38="pvp",15,MAX(0.1,Skills!D6-IF(Skills!E6=TRUE,Inputs!$B$32,0))),0)</f>
        <v/>
      </c>
      <c r="R305">
        <f>IF(AND(Inputs!$B$38&lt;&gt;"pvp",Inputs!$B$43&gt;0),IF(MAX(0,Inputs!$B$43-B331)&lt;=0,0,(INT(MAX(0,Inputs!$B$43-B331)/IF(Inputs!$B$38="pvp",15,MAX(0.1,Skills!D6-IF(Skills!E6=TRUE,Inputs!$B$32,0))))+1)),0)</f>
        <v/>
      </c>
      <c r="S305">
        <f>IFERROR(O305/N305,0)</f>
        <v/>
      </c>
      <c r="T305">
        <f>IF(C305,(H305*N305*IF(AND(Inputs!$B$38&lt;&gt;"pvp",Inputs!$B$43&gt;0),((Skills!G6*((R305-1)*IF(Skills!H6&gt;0,Skills!I6/Skills!H6,1)+IF(Skills!H6&gt;0,MIN(Skills!I6,MAX(0,MAX(0,Inputs!$B$43-B331)-((R305-1)*IF(Inputs!$B$38="pvp",15,MAX(0.1,Skills!D6-IF(Skills!E6=TRUE,Inputs!$B$32,0))))))/Skills!H6,1)))/Inputs!$B$43),G305*Q305))*IF(Inputs!$B$38="pvp",1,1+(Inputs!$B$20+0+Skills!P6)/100),0)</f>
        <v/>
      </c>
      <c r="V305">
        <f>IF(C305,(H305*N305*IF(AND(Inputs!$B$38&lt;&gt;"pvp",Inputs!$B$43&gt;0),((Skills!G6*((R305-1)*IF(Skills!H6&gt;0,Skills!I6/Skills!H6,1)+IF(Skills!H6&gt;0,MIN(Skills!I6,MAX(0,MAX(0,Inputs!$B$43-B331)-((R305-1)*IF(Inputs!$B$38="pvp",15,MAX(0.1,Skills!D6-IF(Skills!E6=TRUE,Inputs!$B$32,0))))))/Skills!H6,1)))/Inputs!$B$43),G305*Q305))*IF(Inputs!$B$38="pvp",1,(1+(Inputs!$B$21+Skills!Q6)/100)*(MIN(Skills!R6,Inputs!$B$37))),0)</f>
        <v/>
      </c>
    </row>
    <row r="306">
      <c r="A306">
        <f>Skills!A7</f>
        <v/>
      </c>
      <c r="B306">
        <f>Skills!B7</f>
        <v/>
      </c>
      <c r="C306">
        <f>Inputs!$B$3&gt;=100</f>
        <v/>
      </c>
      <c r="D306">
        <f>IF(Skills!C7=1,60+Inputs!$B$25+Inputs!$B$29,IF(Skills!C7=2,90+Inputs!$B$26+Inputs!$B$29,IF(Skills!C7=3,120+Inputs!$B$27+Inputs!$B$29,MAX(0,(Inputs!$B$3-100)*3)+Inputs!$B$28+Inputs!$B$29)))</f>
        <v/>
      </c>
      <c r="E306">
        <f>INDEX(FactorTable!$B$2:$Y$301, MATCH(ROUND(MIN(300,MAX(1,D306)),0), FactorTable!$A$2:$A$301,0), Skills!M7+1)</f>
        <v/>
      </c>
      <c r="F306">
        <f>IF(Skills!N7=TRUE,(Skills!L7/10)*(E306/1000),Skills!L7/10)+Skills!O7</f>
        <v/>
      </c>
      <c r="G306">
        <f>Skills!G7*IF(Skills!H7&gt;0,Skills!I7/Skills!H7,1)</f>
        <v/>
      </c>
      <c r="H306">
        <f>1-(1-Skills!J7/100)^Skills!K7</f>
        <v/>
      </c>
      <c r="I306" t="inlineStr">
        <is>
          <t>1</t>
        </is>
      </c>
      <c r="J306">
        <f>((Inputs!$B$6*(1+Inputs!$B$7/100))+(((Inputs!$B$12*(1+Inputs!$B$13/100))-(Inputs!$B$12*(1+Inputs!$B$13/100)))+0.25*(Inputs!$B$14-Inputs!$B$14))*(1+Inputs!$B$7/100))*(F306/100)</f>
        <v/>
      </c>
      <c r="K306">
        <f>J306*(1+((Inputs!$B$12*(1+Inputs!$B$13/100))*0.01+Inputs!$B$14*0.0025)/100)*(1+Inputs!$B$15/100)*(1+Inputs!$B$16/100)*(5000/(6000+Inputs!$B$42*(1-(Inputs!$B$19+0)/100)))*(1+(((((1+Inputs!$B$24/100)*(1.01))-1)*100)+((C321=TRUE)*(F321-Calc!F22))+B330)/100)*(1+(IF(Skills!A7="HOOK_BOMBER",Inputs!$B$17+((C320=TRUE)*(F320-Calc!F21)),Inputs!$B$18+0))/100)*((1+(((C312=TRUE)*F312)+((C318=TRUE)*(F318-Calc!F19)))/100)*I306)</f>
        <v/>
      </c>
      <c r="L306">
        <f>K306*(MIN(Inputs!$B$22+((C319=TRUE)*(F319-Calc!F20)),Inputs!$B$23+0)/100+(Inputs!$B$23+0)/100)/2</f>
        <v/>
      </c>
      <c r="M306">
        <f>L306*(1+(Inputs!$B$10+0+B329)/100)</f>
        <v/>
      </c>
      <c r="N306">
        <f>L306*(1-MIN((Inputs!$B$9+((C315=TRUE)*(F315-Calc!F16))+B324),100)/100)+M306*(MIN((Inputs!$B$9+((C315=TRUE)*(F315-Calc!F16))+B324),100)/100)</f>
        <v/>
      </c>
      <c r="O306">
        <f>(1-Summary!$B$55)*T306+Summary!$B$55*V306</f>
        <v/>
      </c>
      <c r="P306">
        <f>IF(B334=0,0,O306/B334)</f>
        <v/>
      </c>
      <c r="Q306">
        <f>IFERROR(1/IF(Inputs!$B$38="pvp",15,MAX(0.1,Skills!D7-IF(Skills!E7=TRUE,Inputs!$B$32,0))),0)</f>
        <v/>
      </c>
      <c r="R306">
        <f>IF(AND(Inputs!$B$38&lt;&gt;"pvp",Inputs!$B$43&gt;0),IF(MAX(0,Inputs!$B$43-B331)&lt;=0,0,(INT(MAX(0,Inputs!$B$43-B331)/IF(Inputs!$B$38="pvp",15,MAX(0.1,Skills!D7-IF(Skills!E7=TRUE,Inputs!$B$32,0))))+1)),0)</f>
        <v/>
      </c>
      <c r="S306">
        <f>IFERROR(O306/N306,0)</f>
        <v/>
      </c>
      <c r="T306">
        <f>IF(C306,(H306*N306*IF(AND(Inputs!$B$38&lt;&gt;"pvp",Inputs!$B$43&gt;0),((Skills!G7*((R306-1)*IF(Skills!H7&gt;0,Skills!I7/Skills!H7,1)+IF(Skills!H7&gt;0,MIN(Skills!I7,MAX(0,MAX(0,Inputs!$B$43-B331)-((R306-1)*IF(Inputs!$B$38="pvp",15,MAX(0.1,Skills!D7-IF(Skills!E7=TRUE,Inputs!$B$32,0))))))/Skills!H7,1)))/Inputs!$B$43),G306*Q306))*IF(Inputs!$B$38="pvp",1,1+(Inputs!$B$20+0+Skills!P7)/100),0)</f>
        <v/>
      </c>
      <c r="V306">
        <f>IF(C306,(H306*N306*IF(AND(Inputs!$B$38&lt;&gt;"pvp",Inputs!$B$43&gt;0),((Skills!G7*((R306-1)*IF(Skills!H7&gt;0,Skills!I7/Skills!H7,1)+IF(Skills!H7&gt;0,MIN(Skills!I7,MAX(0,MAX(0,Inputs!$B$43-B331)-((R306-1)*IF(Inputs!$B$38="pvp",15,MAX(0.1,Skills!D7-IF(Skills!E7=TRUE,Inputs!$B$32,0))))))/Skills!H7,1)))/Inputs!$B$43),G306*Q306))*IF(Inputs!$B$38="pvp",1,(1+(Inputs!$B$21+Skills!Q7)/100)*(MIN(Skills!R7,Inputs!$B$37))),0)</f>
        <v/>
      </c>
    </row>
    <row r="307">
      <c r="A307">
        <f>Skills!A8</f>
        <v/>
      </c>
      <c r="B307">
        <f>Skills!B8</f>
        <v/>
      </c>
      <c r="C307">
        <f>Inputs!$B$3&gt;=110</f>
        <v/>
      </c>
      <c r="D307">
        <f>IF(Skills!C8=1,60+Inputs!$B$25+Inputs!$B$29,IF(Skills!C8=2,90+Inputs!$B$26+Inputs!$B$29,IF(Skills!C8=3,120+Inputs!$B$27+Inputs!$B$29,MAX(0,(Inputs!$B$3-100)*3)+Inputs!$B$28+Inputs!$B$29)))</f>
        <v/>
      </c>
      <c r="E307">
        <f>INDEX(FactorTable!$B$2:$Y$301, MATCH(ROUND(MIN(300,MAX(1,D307)),0), FactorTable!$A$2:$A$301,0), Skills!M8+1)</f>
        <v/>
      </c>
      <c r="F307">
        <f>IF(Skills!N8=TRUE,(Skills!L8/10)*(E307/1000),Skills!L8/10)+Skills!O8</f>
        <v/>
      </c>
      <c r="G307">
        <f>Skills!G8*IF(Skills!H8&gt;0,Skills!I8/Skills!H8,1)</f>
        <v/>
      </c>
      <c r="H307">
        <f>1-(1-Skills!J8/100)^Skills!K8</f>
        <v/>
      </c>
      <c r="I307" t="inlineStr">
        <is>
          <t>1</t>
        </is>
      </c>
      <c r="J307">
        <f>((Inputs!$B$6*(1+Inputs!$B$7/100))+(((Inputs!$B$12*(1+Inputs!$B$13/100))-(Inputs!$B$12*(1+Inputs!$B$13/100)))+0.25*(Inputs!$B$14-Inputs!$B$14))*(1+Inputs!$B$7/100))*(F307/100)</f>
        <v/>
      </c>
      <c r="K307">
        <f>J307*(1+((Inputs!$B$12*(1+Inputs!$B$13/100))*0.01+Inputs!$B$14*0.0025)/100)*(1+Inputs!$B$15/100)*(1+Inputs!$B$16/100)*(5000/(6000+Inputs!$B$42*(1-(Inputs!$B$19+0)/100)))*(1+(((((1+Inputs!$B$24/100)*(1.01))-1)*100)+((C321=TRUE)*(F321-Calc!F22))+B330)/100)*(1+(IF(Skills!A8="HOOK_BOMBER",Inputs!$B$17+((C320=TRUE)*(F320-Calc!F21)),Inputs!$B$18+0))/100)*((1+(((C312=TRUE)*F312)+((C318=TRUE)*(F318-Calc!F19)))/100)*I307)</f>
        <v/>
      </c>
      <c r="L307">
        <f>K307*(MIN(Inputs!$B$22+((C319=TRUE)*(F319-Calc!F20)),Inputs!$B$23+0)/100+(Inputs!$B$23+0)/100)/2</f>
        <v/>
      </c>
      <c r="M307">
        <f>L307*(1+(Inputs!$B$10+0+B329)/100)</f>
        <v/>
      </c>
      <c r="N307">
        <f>L307*(1-MIN((Inputs!$B$9+((C315=TRUE)*(F315-Calc!F16))+B324),100)/100)+M307*(MIN((Inputs!$B$9+((C315=TRUE)*(F315-Calc!F16))+B324),100)/100)</f>
        <v/>
      </c>
      <c r="O307">
        <f>(1-Summary!$B$55)*T307+Summary!$B$55*V307</f>
        <v/>
      </c>
      <c r="P307">
        <f>IF(B334=0,0,O307/B334)</f>
        <v/>
      </c>
      <c r="Q307">
        <f>IFERROR(1/IF(Inputs!$B$38="pvp",15,MAX(0.1,Skills!D8-IF(Skills!E8=TRUE,Inputs!$B$32,0))),0)</f>
        <v/>
      </c>
      <c r="R307">
        <f>IF(AND(Inputs!$B$38&lt;&gt;"pvp",Inputs!$B$43&gt;0),IF(MAX(0,Inputs!$B$43-B331)&lt;=0,0,(INT(MAX(0,Inputs!$B$43-B331)/IF(Inputs!$B$38="pvp",15,MAX(0.1,Skills!D8-IF(Skills!E8=TRUE,Inputs!$B$32,0))))+1)),0)</f>
        <v/>
      </c>
      <c r="S307">
        <f>IFERROR(O307/N307,0)</f>
        <v/>
      </c>
      <c r="T307">
        <f>IF(C307,(H307*N307*IF(AND(Inputs!$B$38&lt;&gt;"pvp",Inputs!$B$43&gt;0),((Skills!G8*((R307-1)*IF(Skills!H8&gt;0,Skills!I8/Skills!H8,1)+IF(Skills!H8&gt;0,MIN(Skills!I8,MAX(0,MAX(0,Inputs!$B$43-B331)-((R307-1)*IF(Inputs!$B$38="pvp",15,MAX(0.1,Skills!D8-IF(Skills!E8=TRUE,Inputs!$B$32,0))))))/Skills!H8,1)))/Inputs!$B$43),G307*Q307))*IF(Inputs!$B$38="pvp",1,1+(Inputs!$B$20+0+Skills!P8)/100),0)</f>
        <v/>
      </c>
      <c r="V307">
        <f>IF(C307,(H307*N307*IF(AND(Inputs!$B$38&lt;&gt;"pvp",Inputs!$B$43&gt;0),((Skills!G8*((R307-1)*IF(Skills!H8&gt;0,Skills!I8/Skills!H8,1)+IF(Skills!H8&gt;0,MIN(Skills!I8,MAX(0,MAX(0,Inputs!$B$43-B331)-((R307-1)*IF(Inputs!$B$38="pvp",15,MAX(0.1,Skills!D8-IF(Skills!E8=TRUE,Inputs!$B$32,0))))))/Skills!H8,1)))/Inputs!$B$43),G307*Q307))*IF(Inputs!$B$38="pvp",1,(1+(Inputs!$B$21+Skills!Q8)/100)*(MIN(Skills!R8,Inputs!$B$37))),0)</f>
        <v/>
      </c>
    </row>
    <row r="308">
      <c r="A308">
        <f>Skills!A9</f>
        <v/>
      </c>
      <c r="B308">
        <f>Skills!B9</f>
        <v/>
      </c>
      <c r="C308">
        <f>Inputs!$B$3&gt;=110</f>
        <v/>
      </c>
      <c r="D308">
        <f>IF(Skills!C9=1,60+Inputs!$B$25+Inputs!$B$29,IF(Skills!C9=2,90+Inputs!$B$26+Inputs!$B$29,IF(Skills!C9=3,120+Inputs!$B$27+Inputs!$B$29,MAX(0,(Inputs!$B$3-100)*3)+Inputs!$B$28+Inputs!$B$29)))</f>
        <v/>
      </c>
      <c r="E308">
        <f>INDEX(FactorTable!$B$2:$Y$301, MATCH(ROUND(MIN(300,MAX(1,D308)),0), FactorTable!$A$2:$A$301,0), Skills!M9+1)</f>
        <v/>
      </c>
      <c r="F308">
        <f>IF(Skills!N9=TRUE,(Skills!L9/10)*(E308/1000),Skills!L9/10)+Skills!O9</f>
        <v/>
      </c>
      <c r="G308">
        <f>Skills!G9*IF(Skills!H9&gt;0,Skills!I9/Skills!H9,1)</f>
        <v/>
      </c>
      <c r="H308">
        <f>1-(1-Skills!J9/100)^Skills!K9</f>
        <v/>
      </c>
      <c r="I308" t="inlineStr">
        <is>
          <t>1</t>
        </is>
      </c>
      <c r="J308">
        <f>((Inputs!$B$6*(1+Inputs!$B$7/100))+(((Inputs!$B$12*(1+Inputs!$B$13/100))-(Inputs!$B$12*(1+Inputs!$B$13/100)))+0.25*(Inputs!$B$14-Inputs!$B$14))*(1+Inputs!$B$7/100))*(F308/100)</f>
        <v/>
      </c>
      <c r="K308">
        <f>J308*(1+((Inputs!$B$12*(1+Inputs!$B$13/100))*0.01+Inputs!$B$14*0.0025)/100)*(1+Inputs!$B$15/100)*(1+Inputs!$B$16/100)*(5000/(6000+Inputs!$B$42*(1-(Inputs!$B$19+0)/100)))*(1+(((((1+Inputs!$B$24/100)*(1.01))-1)*100)+((C321=TRUE)*(F321-Calc!F22))+B330)/100)*(1+(IF(Skills!A9="HOOK_BOMBER",Inputs!$B$17+((C320=TRUE)*(F320-Calc!F21)),Inputs!$B$18+0))/100)*((1+(((C312=TRUE)*F312)+((C318=TRUE)*(F318-Calc!F19)))/100)*I308)</f>
        <v/>
      </c>
      <c r="L308">
        <f>K308*(MIN(Inputs!$B$22+((C319=TRUE)*(F319-Calc!F20)),Inputs!$B$23+0)/100+(Inputs!$B$23+0)/100)/2</f>
        <v/>
      </c>
      <c r="M308">
        <f>L308*(1+(Inputs!$B$10+0+B329)/100)</f>
        <v/>
      </c>
      <c r="N308">
        <f>L308*(1-MIN((Inputs!$B$9+((C315=TRUE)*(F315-Calc!F16))+B324),100)/100)+M308*(MIN((Inputs!$B$9+((C315=TRUE)*(F315-Calc!F16))+B324),100)/100)</f>
        <v/>
      </c>
      <c r="O308">
        <f>(1-Summary!$B$55)*T308+Summary!$B$55*V308</f>
        <v/>
      </c>
      <c r="P308">
        <f>IF(B334=0,0,O308/B334)</f>
        <v/>
      </c>
      <c r="Q308">
        <f>IFERROR(1/IF(Inputs!$B$38="pvp",15,MAX(0.1,Skills!D9-IF(Skills!E9=TRUE,Inputs!$B$32,0))),0)</f>
        <v/>
      </c>
      <c r="R308">
        <f>IF(AND(Inputs!$B$38&lt;&gt;"pvp",Inputs!$B$43&gt;0),IF(MAX(0,Inputs!$B$43-B331)&lt;=0,0,(INT(MAX(0,Inputs!$B$43-B331)/IF(Inputs!$B$38="pvp",15,MAX(0.1,Skills!D9-IF(Skills!E9=TRUE,Inputs!$B$32,0))))+1)),0)</f>
        <v/>
      </c>
      <c r="S308">
        <f>IFERROR(O308/N308,0)</f>
        <v/>
      </c>
      <c r="T308">
        <f>IF(C308,(H308*N308*IF(AND(Inputs!$B$38&lt;&gt;"pvp",Inputs!$B$43&gt;0),((Skills!G9*((R308-1)*IF(Skills!H9&gt;0,Skills!I9/Skills!H9,1)+IF(Skills!H9&gt;0,MIN(Skills!I9,MAX(0,MAX(0,Inputs!$B$43-B331)-((R308-1)*IF(Inputs!$B$38="pvp",15,MAX(0.1,Skills!D9-IF(Skills!E9=TRUE,Inputs!$B$32,0))))))/Skills!H9,1)))/Inputs!$B$43),G308*Q308))*IF(Inputs!$B$38="pvp",1,1+(Inputs!$B$20+0+Skills!P9)/100),0)</f>
        <v/>
      </c>
      <c r="V308">
        <f>IF(C308,(H308*N308*IF(AND(Inputs!$B$38&lt;&gt;"pvp",Inputs!$B$43&gt;0),((Skills!G9*((R308-1)*IF(Skills!H9&gt;0,Skills!I9/Skills!H9,1)+IF(Skills!H9&gt;0,MIN(Skills!I9,MAX(0,MAX(0,Inputs!$B$43-B331)-((R308-1)*IF(Inputs!$B$38="pvp",15,MAX(0.1,Skills!D9-IF(Skills!E9=TRUE,Inputs!$B$32,0))))))/Skills!H9,1)))/Inputs!$B$43),G308*Q308))*IF(Inputs!$B$38="pvp",1,(1+(Inputs!$B$21+Skills!Q9)/100)*(MIN(Skills!R9,Inputs!$B$37))),0)</f>
        <v/>
      </c>
    </row>
    <row r="309">
      <c r="A309">
        <f>Skills!A10</f>
        <v/>
      </c>
      <c r="B309">
        <f>Skills!B10</f>
        <v/>
      </c>
      <c r="C309">
        <f>Inputs!$B$3&gt;=103</f>
        <v/>
      </c>
      <c r="D309">
        <f>IF(Skills!C10=1,60+Inputs!$B$25+Inputs!$B$29,IF(Skills!C10=2,90+Inputs!$B$26+Inputs!$B$29,IF(Skills!C10=3,120+Inputs!$B$27+Inputs!$B$29,MAX(0,(Inputs!$B$3-100)*3)+Inputs!$B$28+Inputs!$B$29)))</f>
        <v/>
      </c>
      <c r="E309">
        <f>INDEX(FactorTable!$B$2:$Y$301, MATCH(ROUND(MIN(300,MAX(1,D309)),0), FactorTable!$A$2:$A$301,0), Skills!M10+1)</f>
        <v/>
      </c>
      <c r="F309">
        <f>IF(Skills!N10=TRUE,(Skills!L10/10)*(E309/1000),Skills!L10/10)+Skills!O10</f>
        <v/>
      </c>
      <c r="G309">
        <f>Skills!G10*IF(Skills!H10&gt;0,Skills!I10/Skills!H10,1)</f>
        <v/>
      </c>
      <c r="H309">
        <f>1-(1-Skills!J10/100)^Skills!K10</f>
        <v/>
      </c>
      <c r="I309" t="inlineStr">
        <is>
          <t>1</t>
        </is>
      </c>
      <c r="J309">
        <f>((Inputs!$B$6*(1+Inputs!$B$7/100))+(((Inputs!$B$12*(1+Inputs!$B$13/100))-(Inputs!$B$12*(1+Inputs!$B$13/100)))+0.25*(Inputs!$B$14-Inputs!$B$14))*(1+Inputs!$B$7/100))*(F309/100)</f>
        <v/>
      </c>
      <c r="K309">
        <f>J309*(1+((Inputs!$B$12*(1+Inputs!$B$13/100))*0.01+Inputs!$B$14*0.0025)/100)*(1+Inputs!$B$15/100)*(1+Inputs!$B$16/100)*(5000/(6000+Inputs!$B$42*(1-(Inputs!$B$19+0)/100)))*(1+(((((1+Inputs!$B$24/100)*(1.01))-1)*100)+((C321=TRUE)*(F321-Calc!F22))+B330)/100)*(1+(IF(Skills!A10="HOOK_BOMBER",Inputs!$B$17+((C320=TRUE)*(F320-Calc!F21)),Inputs!$B$18+0))/100)*((1+(((C312=TRUE)*F312)+((C318=TRUE)*(F318-Calc!F19)))/100)*I309)</f>
        <v/>
      </c>
      <c r="L309">
        <f>K309*(MIN(Inputs!$B$22+((C319=TRUE)*(F319-Calc!F20)),Inputs!$B$23+0)/100+(Inputs!$B$23+0)/100)/2</f>
        <v/>
      </c>
      <c r="M309">
        <f>L309*(1+(Inputs!$B$10+0+B329)/100)</f>
        <v/>
      </c>
      <c r="N309">
        <f>L309*(1-MIN((Inputs!$B$9+((C315=TRUE)*(F315-Calc!F16))+B324),100)/100)+M309*(MIN((Inputs!$B$9+((C315=TRUE)*(F315-Calc!F16))+B324),100)/100)</f>
        <v/>
      </c>
      <c r="O309">
        <f>(1-Summary!$B$55)*T309+Summary!$B$55*V309</f>
        <v/>
      </c>
      <c r="P309">
        <f>IF(B334=0,0,O309/B334)</f>
        <v/>
      </c>
      <c r="Q309">
        <f>IFERROR(1/IF(Inputs!$B$38="pvp",15,MAX(0.1,Skills!D10-IF(Skills!E10=TRUE,Inputs!$B$32,0))),0)</f>
        <v/>
      </c>
      <c r="R309">
        <f>IF(AND(Inputs!$B$38&lt;&gt;"pvp",Inputs!$B$43&gt;0),IF(MAX(0,Inputs!$B$43-B331)&lt;=0,0,(INT(MAX(0,Inputs!$B$43-B331)/IF(Inputs!$B$38="pvp",15,MAX(0.1,Skills!D10-IF(Skills!E10=TRUE,Inputs!$B$32,0))))+1)),0)</f>
        <v/>
      </c>
      <c r="S309">
        <f>IFERROR(O309/N309,0)</f>
        <v/>
      </c>
      <c r="T309">
        <f>IF(C309,(H309*N309*IF(AND(Inputs!$B$38&lt;&gt;"pvp",Inputs!$B$43&gt;0),((Skills!G10*((R309-1)*IF(Skills!H10&gt;0,Skills!I10/Skills!H10,1)+IF(Skills!H10&gt;0,MIN(Skills!I10,MAX(0,MAX(0,Inputs!$B$43-B331)-((R309-1)*IF(Inputs!$B$38="pvp",15,MAX(0.1,Skills!D10-IF(Skills!E10=TRUE,Inputs!$B$32,0))))))/Skills!H10,1)))/Inputs!$B$43),G309*Q309))*IF(Inputs!$B$38="pvp",1,1+(Inputs!$B$20+0+Skills!P10)/100),0)</f>
        <v/>
      </c>
      <c r="V309">
        <f>IF(C309,(H309*N309*IF(AND(Inputs!$B$38&lt;&gt;"pvp",Inputs!$B$43&gt;0),((Skills!G10*((R309-1)*IF(Skills!H10&gt;0,Skills!I10/Skills!H10,1)+IF(Skills!H10&gt;0,MIN(Skills!I10,MAX(0,MAX(0,Inputs!$B$43-B331)-((R309-1)*IF(Inputs!$B$38="pvp",15,MAX(0.1,Skills!D10-IF(Skills!E10=TRUE,Inputs!$B$32,0))))))/Skills!H10,1)))/Inputs!$B$43),G309*Q309))*IF(Inputs!$B$38="pvp",1,(1+(Inputs!$B$21+Skills!Q10)/100)*(MIN(Skills!R10,Inputs!$B$37))),0)</f>
        <v/>
      </c>
    </row>
    <row r="310">
      <c r="A310">
        <f>Skills!A11</f>
        <v/>
      </c>
      <c r="B310">
        <f>Skills!B11</f>
        <v/>
      </c>
      <c r="C310">
        <f>Inputs!$B$3&gt;=113</f>
        <v/>
      </c>
      <c r="D310">
        <f>IF(Skills!C11=1,60+Inputs!$B$25+Inputs!$B$29,IF(Skills!C11=2,90+Inputs!$B$26+Inputs!$B$29,IF(Skills!C11=3,120+Inputs!$B$27+Inputs!$B$29,MAX(0,(Inputs!$B$3-100)*3)+Inputs!$B$28+Inputs!$B$29)))</f>
        <v/>
      </c>
      <c r="E310">
        <f>INDEX(FactorTable!$B$2:$Y$301, MATCH(ROUND(MIN(300,MAX(1,D310)),0), FactorTable!$A$2:$A$301,0), Skills!M11+1)</f>
        <v/>
      </c>
      <c r="F310">
        <f>IF(Skills!N11=TRUE,(Skills!L11/10)*(E310/1000),Skills!L11/10)+Skills!O11</f>
        <v/>
      </c>
      <c r="G310">
        <f>Skills!G11*IF(Skills!H11&gt;0,Skills!I11/Skills!H11,1)</f>
        <v/>
      </c>
      <c r="H310">
        <f>1-(1-Skills!J11/100)^Skills!K11</f>
        <v/>
      </c>
      <c r="I310" t="inlineStr">
        <is>
          <t>1</t>
        </is>
      </c>
      <c r="J310">
        <f>((Inputs!$B$6*(1+Inputs!$B$7/100))+(((Inputs!$B$12*(1+Inputs!$B$13/100))-(Inputs!$B$12*(1+Inputs!$B$13/100)))+0.25*(Inputs!$B$14-Inputs!$B$14))*(1+Inputs!$B$7/100))*(F310/100)</f>
        <v/>
      </c>
      <c r="K310">
        <f>J310*(1+((Inputs!$B$12*(1+Inputs!$B$13/100))*0.01+Inputs!$B$14*0.0025)/100)*(1+Inputs!$B$15/100)*(1+Inputs!$B$16/100)*(5000/(6000+Inputs!$B$42*(1-(Inputs!$B$19+0)/100)))*(1+(((((1+Inputs!$B$24/100)*(1.01))-1)*100)+((C321=TRUE)*(F321-Calc!F22))+B330)/100)*(1+(IF(Skills!A11="HOOK_BOMBER",Inputs!$B$17+((C320=TRUE)*(F320-Calc!F21)),Inputs!$B$18+0))/100)*((1+(((C312=TRUE)*F312)+((C318=TRUE)*(F318-Calc!F19)))/100)*I310)</f>
        <v/>
      </c>
      <c r="L310">
        <f>K310*(MIN(Inputs!$B$22+((C319=TRUE)*(F319-Calc!F20)),Inputs!$B$23+0)/100+(Inputs!$B$23+0)/100)/2</f>
        <v/>
      </c>
      <c r="M310">
        <f>L310*(1+(Inputs!$B$10+0+B329)/100)</f>
        <v/>
      </c>
      <c r="N310">
        <f>L310*(1-MIN((Inputs!$B$9+((C315=TRUE)*(F315-Calc!F16))+B324),100)/100)+M310*(MIN((Inputs!$B$9+((C315=TRUE)*(F315-Calc!F16))+B324),100)/100)</f>
        <v/>
      </c>
      <c r="O310">
        <f>(1-Summary!$B$55)*T310+Summary!$B$55*V310</f>
        <v/>
      </c>
      <c r="P310">
        <f>IF(B334=0,0,O310/B334)</f>
        <v/>
      </c>
      <c r="Q310">
        <f>IFERROR(1/IF(Inputs!$B$38="pvp",15,MAX(0.1,Skills!D11-IF(Skills!E11=TRUE,Inputs!$B$32,0))),0)</f>
        <v/>
      </c>
      <c r="R310">
        <f>IF(AND(Inputs!$B$38&lt;&gt;"pvp",Inputs!$B$43&gt;0),IF(MAX(0,Inputs!$B$43-B331)&lt;=0,0,(INT(MAX(0,Inputs!$B$43-B331)/IF(Inputs!$B$38="pvp",15,MAX(0.1,Skills!D11-IF(Skills!E11=TRUE,Inputs!$B$32,0))))+1)),0)</f>
        <v/>
      </c>
      <c r="S310">
        <f>IFERROR(O310/N310,0)</f>
        <v/>
      </c>
      <c r="T310">
        <f>IF(C310,(H310*N310*IF(AND(Inputs!$B$38&lt;&gt;"pvp",Inputs!$B$43&gt;0),((Skills!G11*((R310-1)*IF(Skills!H11&gt;0,Skills!I11/Skills!H11,1)+IF(Skills!H11&gt;0,MIN(Skills!I11,MAX(0,MAX(0,Inputs!$B$43-B331)-((R310-1)*IF(Inputs!$B$38="pvp",15,MAX(0.1,Skills!D11-IF(Skills!E11=TRUE,Inputs!$B$32,0))))))/Skills!H11,1)))/Inputs!$B$43),G310*Q310))*IF(Inputs!$B$38="pvp",1,1+(Inputs!$B$20+0+Skills!P11)/100),0)</f>
        <v/>
      </c>
      <c r="V310">
        <f>IF(C310,(H310*N310*IF(AND(Inputs!$B$38&lt;&gt;"pvp",Inputs!$B$43&gt;0),((Skills!G11*((R310-1)*IF(Skills!H11&gt;0,Skills!I11/Skills!H11,1)+IF(Skills!H11&gt;0,MIN(Skills!I11,MAX(0,MAX(0,Inputs!$B$43-B331)-((R310-1)*IF(Inputs!$B$38="pvp",15,MAX(0.1,Skills!D11-IF(Skills!E11=TRUE,Inputs!$B$32,0))))))/Skills!H11,1)))/Inputs!$B$43),G310*Q310))*IF(Inputs!$B$38="pvp",1,(1+(Inputs!$B$21+Skills!Q11)/100)*(MIN(Skills!R11,Inputs!$B$37))),0)</f>
        <v/>
      </c>
    </row>
    <row r="311">
      <c r="A311">
        <f>Skills!A12</f>
        <v/>
      </c>
      <c r="B311">
        <f>Skills!B12</f>
        <v/>
      </c>
      <c r="C311">
        <f>Inputs!$B$3&gt;=100</f>
        <v/>
      </c>
      <c r="D311">
        <f>IF(Skills!C12=1,60+Inputs!$B$25+Inputs!$B$29,IF(Skills!C12=2,90+Inputs!$B$26+Inputs!$B$29,IF(Skills!C12=3,120+Inputs!$B$27+Inputs!$B$29,MAX(0,(Inputs!$B$3-100)*3)+Inputs!$B$28+Inputs!$B$29)))</f>
        <v/>
      </c>
      <c r="E311">
        <f>INDEX(FactorTable!$B$2:$Y$301, MATCH(ROUND(MIN(300,MAX(1,D311)),0), FactorTable!$A$2:$A$301,0), Skills!M12+1)</f>
        <v/>
      </c>
      <c r="F311">
        <f>IF(Skills!N12=TRUE,(Skills!L12/10)*(E311/1000),Skills!L12/10)+Skills!O12</f>
        <v/>
      </c>
      <c r="G311" t="inlineStr"/>
      <c r="H311" t="inlineStr"/>
      <c r="I311" t="inlineStr">
        <is>
          <t>1</t>
        </is>
      </c>
      <c r="J311" t="inlineStr"/>
      <c r="K311" t="inlineStr"/>
      <c r="L311" t="inlineStr"/>
      <c r="M311" t="inlineStr"/>
      <c r="N311" t="inlineStr"/>
      <c r="O311" t="inlineStr"/>
      <c r="P311" t="inlineStr"/>
      <c r="Q311" t="inlineStr"/>
      <c r="R311" t="inlineStr"/>
      <c r="S311" t="inlineStr"/>
      <c r="T311" t="inlineStr"/>
      <c r="V311" t="inlineStr"/>
    </row>
    <row r="312">
      <c r="A312">
        <f>Skills!A13</f>
        <v/>
      </c>
      <c r="B312">
        <f>Skills!B13</f>
        <v/>
      </c>
      <c r="C312">
        <f>Inputs!$B$3&gt;=66</f>
        <v/>
      </c>
      <c r="D312">
        <f>IF(Skills!C13=1,60+Inputs!$B$25+Inputs!$B$29,IF(Skills!C13=2,90+Inputs!$B$26+Inputs!$B$29,IF(Skills!C13=3,120+Inputs!$B$27+Inputs!$B$29,MAX(0,(Inputs!$B$3-100)*3)+Inputs!$B$28+Inputs!$B$29)))</f>
        <v/>
      </c>
      <c r="E312">
        <f>INDEX(FactorTable!$B$2:$Y$301, MATCH(ROUND(MIN(300,MAX(1,D312)),0), FactorTable!$A$2:$A$301,0), Skills!M13+1)</f>
        <v/>
      </c>
      <c r="F312">
        <f>IF(Skills!N13=TRUE,(Skills!L13/10)*(E312/1000),Skills!L13/10)+Skills!O13</f>
        <v/>
      </c>
      <c r="G312">
        <f>Skills!G13*IF(Skills!H13&gt;0,Skills!I13/Skills!H13,1)</f>
        <v/>
      </c>
      <c r="H312">
        <f>1-(1-Skills!J13/100)^Skills!K13</f>
        <v/>
      </c>
      <c r="I312" t="inlineStr">
        <is>
          <t>1</t>
        </is>
      </c>
      <c r="J312" t="inlineStr"/>
      <c r="K312" t="inlineStr"/>
      <c r="L312" t="inlineStr"/>
      <c r="M312" t="inlineStr"/>
      <c r="N312" t="inlineStr"/>
      <c r="O312">
        <f>(1-Summary!$B$55)*T312+Summary!$B$55*V312</f>
        <v/>
      </c>
      <c r="P312">
        <f>IF(B334=0,0,O312/B334)</f>
        <v/>
      </c>
      <c r="Q312" t="n">
        <v>0</v>
      </c>
      <c r="R312" t="n">
        <v>0</v>
      </c>
      <c r="S312">
        <f>IFERROR(O312/N312,0)</f>
        <v/>
      </c>
      <c r="T312" t="n">
        <v>0</v>
      </c>
      <c r="V312" t="n">
        <v>0</v>
      </c>
    </row>
    <row r="313">
      <c r="A313">
        <f>Skills!A14</f>
        <v/>
      </c>
      <c r="B313">
        <f>Skills!B14</f>
        <v/>
      </c>
      <c r="C313">
        <f>Inputs!$B$3&gt;=107</f>
        <v/>
      </c>
      <c r="D313">
        <f>IF(Skills!C14=1,60+Inputs!$B$25+Inputs!$B$29,IF(Skills!C14=2,90+Inputs!$B$26+Inputs!$B$29,IF(Skills!C14=3,120+Inputs!$B$27+Inputs!$B$29,MAX(0,(Inputs!$B$3-100)*3)+Inputs!$B$28+Inputs!$B$29)))</f>
        <v/>
      </c>
      <c r="E313">
        <f>INDEX(FactorTable!$B$2:$Y$301, MATCH(ROUND(MIN(300,MAX(1,D313)),0), FactorTable!$A$2:$A$301,0), Skills!M14+1)</f>
        <v/>
      </c>
      <c r="F313">
        <f>IF(Skills!N14=TRUE,(Skills!L14/10)*(E313/1000),Skills!L14/10)+Skills!O14</f>
        <v/>
      </c>
      <c r="G313">
        <f>Skills!G14*IF(Skills!H14&gt;0,Skills!I14/Skills!H14,1)</f>
        <v/>
      </c>
      <c r="H313">
        <f>1-(1-Skills!J14/100)^Skills!K14</f>
        <v/>
      </c>
      <c r="I313" t="inlineStr">
        <is>
          <t>1</t>
        </is>
      </c>
      <c r="J313" t="inlineStr"/>
      <c r="K313" t="inlineStr"/>
      <c r="L313" t="inlineStr"/>
      <c r="M313" t="inlineStr"/>
      <c r="N313" t="inlineStr"/>
      <c r="O313">
        <f>(1-Summary!$B$55)*T313+Summary!$B$55*V313</f>
        <v/>
      </c>
      <c r="P313">
        <f>IF(B334=0,0,O313/B334)</f>
        <v/>
      </c>
      <c r="Q313" t="n">
        <v>0</v>
      </c>
      <c r="R313" t="n">
        <v>0</v>
      </c>
      <c r="S313">
        <f>IFERROR(O313/N313,0)</f>
        <v/>
      </c>
      <c r="T313" t="n">
        <v>0</v>
      </c>
      <c r="V313" t="n">
        <v>0</v>
      </c>
    </row>
    <row r="314">
      <c r="A314">
        <f>Skills!A15</f>
        <v/>
      </c>
      <c r="B314">
        <f>Skills!B15</f>
        <v/>
      </c>
      <c r="C314">
        <f>Inputs!$B$3&gt;=115</f>
        <v/>
      </c>
      <c r="D314">
        <f>IF(Skills!C15=1,60+Inputs!$B$25+Inputs!$B$29,IF(Skills!C15=2,90+Inputs!$B$26+Inputs!$B$29,IF(Skills!C15=3,120+Inputs!$B$27+Inputs!$B$29,MAX(0,(Inputs!$B$3-100)*3)+Inputs!$B$28+Inputs!$B$29)))</f>
        <v/>
      </c>
      <c r="E314">
        <f>INDEX(FactorTable!$B$2:$Y$301, MATCH(ROUND(MIN(300,MAX(1,D314)),0), FactorTable!$A$2:$A$301,0), Skills!M15+1)</f>
        <v/>
      </c>
      <c r="F314">
        <f>IF(Skills!N15=TRUE,(Skills!L15/10)*(E314/1000),Skills!L15/10)+Skills!O15</f>
        <v/>
      </c>
      <c r="G314">
        <f>Skills!G15*IF(Skills!H15&gt;0,Skills!I15/Skills!H15,1)</f>
        <v/>
      </c>
      <c r="H314">
        <f>1-(1-Skills!J15/100)^Skills!K15</f>
        <v/>
      </c>
      <c r="I314" t="inlineStr">
        <is>
          <t>1</t>
        </is>
      </c>
      <c r="J314" t="inlineStr"/>
      <c r="K314" t="inlineStr"/>
      <c r="L314" t="inlineStr"/>
      <c r="M314" t="inlineStr"/>
      <c r="N314" t="inlineStr"/>
      <c r="O314">
        <f>(1-Summary!$B$55)*T314+Summary!$B$55*V314</f>
        <v/>
      </c>
      <c r="P314">
        <f>IF(B334=0,0,O314/B334)</f>
        <v/>
      </c>
      <c r="Q314" t="n">
        <v>0</v>
      </c>
      <c r="R314" t="n">
        <v>0</v>
      </c>
      <c r="S314">
        <f>IFERROR(O314/N314,0)</f>
        <v/>
      </c>
      <c r="T314" t="n">
        <v>0</v>
      </c>
      <c r="V314" t="n">
        <v>0</v>
      </c>
    </row>
    <row r="315">
      <c r="A315">
        <f>Skills!A16</f>
        <v/>
      </c>
      <c r="B315">
        <f>Skills!B16</f>
        <v/>
      </c>
      <c r="C315">
        <f>Inputs!$B$3&gt;=15</f>
        <v/>
      </c>
      <c r="D315">
        <f>IF(Skills!C16=1,60+Inputs!$B$25+Inputs!$B$29,IF(Skills!C16=2,90+Inputs!$B$26+Inputs!$B$29,IF(Skills!C16=3,120+Inputs!$B$27+Inputs!$B$29,MAX(0,(Inputs!$B$3-100)*3)+Inputs!$B$28+Inputs!$B$29)))</f>
        <v/>
      </c>
      <c r="E315">
        <f>INDEX(FactorTable!$B$2:$Y$301, MATCH(ROUND(MIN(300,MAX(1,D315)),0), FactorTable!$A$2:$A$301,0), Skills!M16+1)</f>
        <v/>
      </c>
      <c r="F315">
        <f>IF(Skills!N16=TRUE,(Skills!L16/10)*(E315/1000),Skills!L16/10)+Skills!O16</f>
        <v/>
      </c>
      <c r="G315">
        <f>Skills!G16*IF(Skills!H16&gt;0,Skills!I16/Skills!H16,1)</f>
        <v/>
      </c>
      <c r="H315">
        <f>1-(1-Skills!J16/100)^Skills!K16</f>
        <v/>
      </c>
      <c r="I315" t="inlineStr">
        <is>
          <t>1</t>
        </is>
      </c>
      <c r="J315" t="inlineStr"/>
      <c r="K315" t="inlineStr"/>
      <c r="L315" t="inlineStr"/>
      <c r="M315" t="inlineStr"/>
      <c r="N315" t="inlineStr"/>
      <c r="O315">
        <f>(1-Summary!$B$55)*T315+Summary!$B$55*V315</f>
        <v/>
      </c>
      <c r="P315">
        <f>IF(B334=0,0,O315/B334)</f>
        <v/>
      </c>
      <c r="Q315" t="n">
        <v>0</v>
      </c>
      <c r="R315" t="n">
        <v>0</v>
      </c>
      <c r="S315">
        <f>IFERROR(O315/N315,0)</f>
        <v/>
      </c>
      <c r="T315" t="n">
        <v>0</v>
      </c>
      <c r="V315" t="n">
        <v>0</v>
      </c>
    </row>
    <row r="316">
      <c r="A316">
        <f>Skills!A17</f>
        <v/>
      </c>
      <c r="B316">
        <f>Skills!B17</f>
        <v/>
      </c>
      <c r="C316">
        <f>Inputs!$B$3&gt;=10</f>
        <v/>
      </c>
      <c r="D316">
        <f>IF(Skills!C17=1,60+Inputs!$B$25+Inputs!$B$29,IF(Skills!C17=2,90+Inputs!$B$26+Inputs!$B$29,IF(Skills!C17=3,120+Inputs!$B$27+Inputs!$B$29,MAX(0,(Inputs!$B$3-100)*3)+Inputs!$B$28+Inputs!$B$29)))</f>
        <v/>
      </c>
      <c r="E316">
        <f>INDEX(FactorTable!$B$2:$Y$301, MATCH(ROUND(MIN(300,MAX(1,D316)),0), FactorTable!$A$2:$A$301,0), Skills!M17+1)</f>
        <v/>
      </c>
      <c r="F316">
        <f>IF(Skills!N17=TRUE,(Skills!L17/10)*(E316/1000),Skills!L17/10)+Skills!O17</f>
        <v/>
      </c>
      <c r="G316">
        <f>Skills!G17*IF(Skills!H17&gt;0,Skills!I17/Skills!H17,1)</f>
        <v/>
      </c>
      <c r="H316">
        <f>1-(1-Skills!J17/100)^Skills!K17</f>
        <v/>
      </c>
      <c r="I316" t="inlineStr">
        <is>
          <t>1</t>
        </is>
      </c>
      <c r="J316" t="inlineStr"/>
      <c r="K316" t="inlineStr"/>
      <c r="L316" t="inlineStr"/>
      <c r="M316" t="inlineStr"/>
      <c r="N316" t="inlineStr"/>
      <c r="O316">
        <f>(1-Summary!$B$55)*T316+Summary!$B$55*V316</f>
        <v/>
      </c>
      <c r="P316">
        <f>IF(B334=0,0,O316/B334)</f>
        <v/>
      </c>
      <c r="Q316" t="n">
        <v>0</v>
      </c>
      <c r="R316" t="n">
        <v>0</v>
      </c>
      <c r="S316">
        <f>IFERROR(O316/N316,0)</f>
        <v/>
      </c>
      <c r="T316" t="n">
        <v>0</v>
      </c>
      <c r="V316" t="n">
        <v>0</v>
      </c>
    </row>
    <row r="317">
      <c r="A317">
        <f>Skills!A18</f>
        <v/>
      </c>
      <c r="B317">
        <f>Skills!B18</f>
        <v/>
      </c>
      <c r="C317">
        <f>Inputs!$B$3&gt;=33</f>
        <v/>
      </c>
      <c r="D317">
        <f>IF(Skills!C18=1,60+Inputs!$B$25+Inputs!$B$29,IF(Skills!C18=2,90+Inputs!$B$26+Inputs!$B$29,IF(Skills!C18=3,120+Inputs!$B$27+Inputs!$B$29,MAX(0,(Inputs!$B$3-100)*3)+Inputs!$B$28+Inputs!$B$29)))</f>
        <v/>
      </c>
      <c r="E317">
        <f>INDEX(FactorTable!$B$2:$Y$301, MATCH(ROUND(MIN(300,MAX(1,D317)),0), FactorTable!$A$2:$A$301,0), Skills!M18+1)</f>
        <v/>
      </c>
      <c r="F317">
        <f>IF(Skills!N18=TRUE,(Skills!L18/10)*(E317/1000),Skills!L18/10)+Skills!O18</f>
        <v/>
      </c>
      <c r="G317">
        <f>Skills!G18*IF(Skills!H18&gt;0,Skills!I18/Skills!H18,1)</f>
        <v/>
      </c>
      <c r="H317">
        <f>1-(1-Skills!J18/100)^Skills!K18</f>
        <v/>
      </c>
      <c r="I317" t="inlineStr">
        <is>
          <t>1</t>
        </is>
      </c>
      <c r="J317" t="inlineStr"/>
      <c r="K317" t="inlineStr"/>
      <c r="L317" t="inlineStr"/>
      <c r="M317" t="inlineStr"/>
      <c r="N317" t="inlineStr"/>
      <c r="O317">
        <f>(1-Summary!$B$55)*T317+Summary!$B$55*V317</f>
        <v/>
      </c>
      <c r="P317">
        <f>IF(B334=0,0,O317/B334)</f>
        <v/>
      </c>
      <c r="Q317" t="n">
        <v>0</v>
      </c>
      <c r="R317" t="n">
        <v>0</v>
      </c>
      <c r="S317">
        <f>IFERROR(O317/N317,0)</f>
        <v/>
      </c>
      <c r="T317" t="n">
        <v>0</v>
      </c>
      <c r="V317" t="n">
        <v>0</v>
      </c>
    </row>
    <row r="318">
      <c r="A318">
        <f>Skills!A19</f>
        <v/>
      </c>
      <c r="B318">
        <f>Skills!B19</f>
        <v/>
      </c>
      <c r="C318">
        <f>Inputs!$B$3&gt;=40</f>
        <v/>
      </c>
      <c r="D318">
        <f>IF(Skills!C19=1,60+Inputs!$B$25+Inputs!$B$29,IF(Skills!C19=2,90+Inputs!$B$26+Inputs!$B$29,IF(Skills!C19=3,120+Inputs!$B$27+Inputs!$B$29,MAX(0,(Inputs!$B$3-100)*3)+Inputs!$B$28+Inputs!$B$29)))</f>
        <v/>
      </c>
      <c r="E318">
        <f>INDEX(FactorTable!$B$2:$Y$301, MATCH(ROUND(MIN(300,MAX(1,D318)),0), FactorTable!$A$2:$A$301,0), Skills!M19+1)</f>
        <v/>
      </c>
      <c r="F318">
        <f>IF(Skills!N19=TRUE,(Skills!L19/10)*(E318/1000),Skills!L19/10)+Skills!O19</f>
        <v/>
      </c>
      <c r="G318">
        <f>Skills!G19*IF(Skills!H19&gt;0,Skills!I19/Skills!H19,1)</f>
        <v/>
      </c>
      <c r="H318">
        <f>1-(1-Skills!J19/100)^Skills!K19</f>
        <v/>
      </c>
      <c r="I318" t="inlineStr">
        <is>
          <t>1</t>
        </is>
      </c>
      <c r="J318" t="inlineStr"/>
      <c r="K318" t="inlineStr"/>
      <c r="L318" t="inlineStr"/>
      <c r="M318" t="inlineStr"/>
      <c r="N318" t="inlineStr"/>
      <c r="O318">
        <f>(1-Summary!$B$55)*T318+Summary!$B$55*V318</f>
        <v/>
      </c>
      <c r="P318">
        <f>IF(B334=0,0,O318/B334)</f>
        <v/>
      </c>
      <c r="Q318" t="n">
        <v>0</v>
      </c>
      <c r="R318" t="n">
        <v>0</v>
      </c>
      <c r="S318">
        <f>IFERROR(O318/N318,0)</f>
        <v/>
      </c>
      <c r="T318" t="n">
        <v>0</v>
      </c>
      <c r="V318" t="n">
        <v>0</v>
      </c>
    </row>
    <row r="319">
      <c r="A319">
        <f>Skills!A20</f>
        <v/>
      </c>
      <c r="B319">
        <f>Skills!B20</f>
        <v/>
      </c>
      <c r="C319">
        <f>Inputs!$B$3&gt;=43</f>
        <v/>
      </c>
      <c r="D319">
        <f>IF(Skills!C20=1,60+Inputs!$B$25+Inputs!$B$29,IF(Skills!C20=2,90+Inputs!$B$26+Inputs!$B$29,IF(Skills!C20=3,120+Inputs!$B$27+Inputs!$B$29,MAX(0,(Inputs!$B$3-100)*3)+Inputs!$B$28+Inputs!$B$29)))</f>
        <v/>
      </c>
      <c r="E319">
        <f>INDEX(FactorTable!$B$2:$Y$301, MATCH(ROUND(MIN(300,MAX(1,D319)),0), FactorTable!$A$2:$A$301,0), Skills!M20+1)</f>
        <v/>
      </c>
      <c r="F319">
        <f>IF(Skills!N20=TRUE,(Skills!L20/10)*(E319/1000),Skills!L20/10)+Skills!O20</f>
        <v/>
      </c>
      <c r="G319">
        <f>Skills!G20*IF(Skills!H20&gt;0,Skills!I20/Skills!H20,1)</f>
        <v/>
      </c>
      <c r="H319">
        <f>1-(1-Skills!J20/100)^Skills!K20</f>
        <v/>
      </c>
      <c r="I319" t="inlineStr">
        <is>
          <t>1</t>
        </is>
      </c>
      <c r="J319" t="inlineStr"/>
      <c r="K319" t="inlineStr"/>
      <c r="L319" t="inlineStr"/>
      <c r="M319" t="inlineStr"/>
      <c r="N319" t="inlineStr"/>
      <c r="O319">
        <f>(1-Summary!$B$55)*T319+Summary!$B$55*V319</f>
        <v/>
      </c>
      <c r="P319">
        <f>IF(B334=0,0,O319/B334)</f>
        <v/>
      </c>
      <c r="Q319" t="n">
        <v>0</v>
      </c>
      <c r="R319" t="n">
        <v>0</v>
      </c>
      <c r="S319">
        <f>IFERROR(O319/N319,0)</f>
        <v/>
      </c>
      <c r="T319" t="n">
        <v>0</v>
      </c>
      <c r="V319" t="n">
        <v>0</v>
      </c>
    </row>
    <row r="320">
      <c r="A320">
        <f>Skills!A21</f>
        <v/>
      </c>
      <c r="B320">
        <f>Skills!B21</f>
        <v/>
      </c>
      <c r="C320">
        <f>Inputs!$B$3&gt;=38</f>
        <v/>
      </c>
      <c r="D320">
        <f>IF(Skills!C21=1,60+Inputs!$B$25+Inputs!$B$29,IF(Skills!C21=2,90+Inputs!$B$26+Inputs!$B$29,IF(Skills!C21=3,120+Inputs!$B$27+Inputs!$B$29,MAX(0,(Inputs!$B$3-100)*3)+Inputs!$B$28+Inputs!$B$29)))</f>
        <v/>
      </c>
      <c r="E320">
        <f>INDEX(FactorTable!$B$2:$Y$301, MATCH(ROUND(MIN(300,MAX(1,D320)),0), FactorTable!$A$2:$A$301,0), Skills!M21+1)</f>
        <v/>
      </c>
      <c r="F320">
        <f>IF(Skills!N21=TRUE,(Skills!L21/10)*(E320/1000),Skills!L21/10)+Skills!O21</f>
        <v/>
      </c>
      <c r="G320">
        <f>Skills!G21*IF(Skills!H21&gt;0,Skills!I21/Skills!H21,1)</f>
        <v/>
      </c>
      <c r="H320">
        <f>1-(1-Skills!J21/100)^Skills!K21</f>
        <v/>
      </c>
      <c r="I320" t="inlineStr">
        <is>
          <t>1</t>
        </is>
      </c>
      <c r="J320" t="inlineStr"/>
      <c r="K320" t="inlineStr"/>
      <c r="L320" t="inlineStr"/>
      <c r="M320" t="inlineStr"/>
      <c r="N320" t="inlineStr"/>
      <c r="O320">
        <f>(1-Summary!$B$55)*T320+Summary!$B$55*V320</f>
        <v/>
      </c>
      <c r="P320">
        <f>IF(B334=0,0,O320/B334)</f>
        <v/>
      </c>
      <c r="Q320" t="n">
        <v>0</v>
      </c>
      <c r="R320" t="n">
        <v>0</v>
      </c>
      <c r="S320">
        <f>IFERROR(O320/N320,0)</f>
        <v/>
      </c>
      <c r="T320" t="n">
        <v>0</v>
      </c>
      <c r="V320" t="n">
        <v>0</v>
      </c>
    </row>
    <row r="321">
      <c r="A321">
        <f>Skills!A22</f>
        <v/>
      </c>
      <c r="B321">
        <f>Skills!B22</f>
        <v/>
      </c>
      <c r="C321">
        <f>Inputs!$B$3&gt;=75</f>
        <v/>
      </c>
      <c r="D321">
        <f>IF(Skills!C22=1,60+Inputs!$B$25+Inputs!$B$29,IF(Skills!C22=2,90+Inputs!$B$26+Inputs!$B$29,IF(Skills!C22=3,120+Inputs!$B$27+Inputs!$B$29,MAX(0,(Inputs!$B$3-100)*3)+Inputs!$B$28+Inputs!$B$29)))</f>
        <v/>
      </c>
      <c r="E321">
        <f>INDEX(FactorTable!$B$2:$Y$301, MATCH(ROUND(MIN(300,MAX(1,D321)),0), FactorTable!$A$2:$A$301,0), Skills!M22+1)</f>
        <v/>
      </c>
      <c r="F321">
        <f>IF(Skills!N22=TRUE,(Skills!L22/10)*(E321/1000),Skills!L22/10)+Skills!O22</f>
        <v/>
      </c>
      <c r="G321">
        <f>Skills!G22*IF(Skills!H22&gt;0,Skills!I22/Skills!H22,1)</f>
        <v/>
      </c>
      <c r="H321">
        <f>1-(1-Skills!J22/100)^Skills!K22</f>
        <v/>
      </c>
      <c r="I321" t="inlineStr">
        <is>
          <t>1</t>
        </is>
      </c>
      <c r="J321" t="inlineStr"/>
      <c r="K321" t="inlineStr"/>
      <c r="L321" t="inlineStr"/>
      <c r="M321" t="inlineStr"/>
      <c r="N321" t="inlineStr"/>
      <c r="O321">
        <f>(1-Summary!$B$55)*T321+Summary!$B$55*V321</f>
        <v/>
      </c>
      <c r="P321">
        <f>IF(B334=0,0,O321/B334)</f>
        <v/>
      </c>
      <c r="Q321" t="n">
        <v>0</v>
      </c>
      <c r="R321" t="n">
        <v>0</v>
      </c>
      <c r="S321">
        <f>IFERROR(O321/N321,0)</f>
        <v/>
      </c>
      <c r="T321" t="n">
        <v>0</v>
      </c>
      <c r="V321" t="n">
        <v>0</v>
      </c>
    </row>
    <row r="323">
      <c r="A323" t="inlineStr">
        <is>
          <t>Attack% Bucket Multiplier</t>
        </is>
      </c>
      <c r="B323">
        <f>(1+(((C312=TRUE)*F312)+((C318=TRUE)*(F318-Calc!F19)))/100)</f>
        <v/>
      </c>
    </row>
    <row r="324">
      <c r="A324" t="inlineStr">
        <is>
          <t>Global Crit Rate Bonus %</t>
        </is>
      </c>
      <c r="B324" t="n">
        <v>0</v>
      </c>
    </row>
    <row r="325">
      <c r="A325" t="inlineStr">
        <is>
          <t>Attack Speed Buff Bonus % (unused)</t>
        </is>
      </c>
      <c r="B325" t="n">
        <v>0</v>
      </c>
    </row>
    <row r="326">
      <c r="A326" t="inlineStr">
        <is>
          <t>Actions Per Second</t>
        </is>
      </c>
      <c r="B326">
        <f>1+MIN(150,150*(1-(1-(Inputs!$B$11+((C316=TRUE)*(F316-Calc!F17))+((C317=TRUE)*(F317-Calc!F18)))/150)*(1-B325/150)))/100</f>
        <v/>
      </c>
    </row>
    <row r="327">
      <c r="A327" t="inlineStr">
        <is>
          <t>Skill + Buff Cast Rate</t>
        </is>
      </c>
      <c r="B327">
        <f>IF(AND(Inputs!$B$38&lt;&gt;"pvp",Inputs!$B$43&gt;0),SUMPRODUCT((Skills!E2:E22=TRUE)*(C301:C321=TRUE)*R301:R321*Skills!F2:F22)/Inputs!$B$43,SUMPRODUCT((Skills!E2:E22=TRUE)*(C301:C321=TRUE)*Q301:Q321*Skills!F2:F22))</f>
        <v/>
      </c>
    </row>
    <row r="328">
      <c r="A328" t="inlineStr">
        <is>
          <t>Hook Bomber Casts Per Second</t>
        </is>
      </c>
      <c r="B328">
        <f>MAX(0,B326-B327)</f>
        <v/>
      </c>
    </row>
    <row r="329">
      <c r="A329" t="inlineStr">
        <is>
          <t>Global Critical Damage Bonus % (unused)</t>
        </is>
      </c>
      <c r="B329" t="n">
        <v>0</v>
      </c>
    </row>
    <row r="330">
      <c r="A330" t="inlineStr">
        <is>
          <t>Global Final Damage Bonus % (Serpent Scale + Crossbones + Time Leap + Speed Infusion)</t>
        </is>
      </c>
      <c r="B330">
        <f>((C304=TRUE)*F304*((10+IF(Inputs!$B$3&gt;=94,5,0))/((10+IF(Inputs!$B$3&gt;=94,5,0))+5/(B328*(1+IF(Inputs!$B$3&gt;=104,1,0))))))+((C313=TRUE)*F313)+((C314=TRUE)*F314)+((Inputs!$B$3&gt;=110)*20*(B326-1))</f>
        <v/>
      </c>
    </row>
    <row r="331">
      <c r="A331" t="inlineStr">
        <is>
          <t>Buff-Casting Startup Delay (s, fixed-duration only)</t>
        </is>
      </c>
      <c r="B331">
        <f>IF(AND(Inputs!$B$38&lt;&gt;"pvp",Inputs!$B$43&gt;0),SUMPRODUCT((Skills!T2:T22&gt;0)*(Skills!E2:E22=TRUE)*(C301:C321=TRUE))/B326,0)</f>
        <v/>
      </c>
    </row>
    <row r="332">
      <c r="A332" t="inlineStr">
        <is>
          <t>Boss-Only Total DPS (this block's swept value)</t>
        </is>
      </c>
      <c r="B332">
        <f>SUM(T301:T321)</f>
        <v/>
      </c>
    </row>
    <row r="333">
      <c r="A333" t="inlineStr">
        <is>
          <t>Normal-Only Total DPS (this block's swept value)</t>
        </is>
      </c>
      <c r="B333">
        <f>SUM(V301:V321)</f>
        <v/>
      </c>
    </row>
    <row r="334">
      <c r="A334" s="5" t="inlineStr">
        <is>
          <t>TOTAL DPS</t>
        </is>
      </c>
      <c r="B334" s="5">
        <f>SUM(O301:O321)</f>
        <v/>
      </c>
    </row>
    <row r="337">
      <c r="A337" s="5" t="inlineStr">
        <is>
          <t>Stat: MIN_DAMAGE %</t>
        </is>
      </c>
    </row>
    <row r="338">
      <c r="A338" s="9" t="inlineStr">
        <is>
          <t>Key</t>
        </is>
      </c>
      <c r="B338" s="9" t="inlineStr">
        <is>
          <t>Name</t>
        </is>
      </c>
      <c r="C338" s="9" t="inlineStr">
        <is>
          <t>Unlocked</t>
        </is>
      </c>
      <c r="D338" s="9" t="inlineStr">
        <is>
          <t>InputLevel</t>
        </is>
      </c>
      <c r="E338" s="9" t="inlineStr">
        <is>
          <t>Factor</t>
        </is>
      </c>
      <c r="F338" s="9" t="inlineStr">
        <is>
          <t>CoefficientPercent</t>
        </is>
      </c>
      <c r="G338" s="9" t="inlineStr">
        <is>
          <t>EffectiveHits</t>
        </is>
      </c>
      <c r="H338" s="9" t="inlineStr">
        <is>
          <t>ProcProbability</t>
        </is>
      </c>
      <c r="I338" s="9" t="inlineStr">
        <is>
          <t>MapleHeroMultiplier</t>
        </is>
      </c>
      <c r="J338" s="9" t="inlineStr">
        <is>
          <t>BaseDamage</t>
        </is>
      </c>
      <c r="K338" s="9" t="inlineStr">
        <is>
          <t>BaseHitDamage</t>
        </is>
      </c>
      <c r="L338" s="9" t="inlineStr">
        <is>
          <t>NonCritAvg</t>
        </is>
      </c>
      <c r="M338" s="9" t="inlineStr">
        <is>
          <t>CritAvg</t>
        </is>
      </c>
      <c r="N338" s="9" t="inlineStr">
        <is>
          <t>ExpectedDamage(perHit)</t>
        </is>
      </c>
      <c r="O338" s="9" t="inlineStr">
        <is>
          <t>DPS</t>
        </is>
      </c>
      <c r="P338" s="9" t="inlineStr">
        <is>
          <t>% of Total</t>
        </is>
      </c>
      <c r="Q338" s="9" t="inlineStr">
        <is>
          <t>InvCooldown</t>
        </is>
      </c>
      <c r="R338" s="9" t="inlineStr">
        <is>
          <t>CastsInFight</t>
        </is>
      </c>
      <c r="S338" s="9" t="inlineStr">
        <is>
          <t>HitRate(perSec)</t>
        </is>
      </c>
      <c r="U338" t="inlineStr">
        <is>
          <t>helpers</t>
        </is>
      </c>
    </row>
    <row r="339">
      <c r="A339">
        <f>Skills!A2</f>
        <v/>
      </c>
      <c r="B339">
        <f>Skills!B2</f>
        <v/>
      </c>
      <c r="C339">
        <f>Inputs!$B$3&gt;=100</f>
        <v/>
      </c>
      <c r="D339" t="inlineStr"/>
      <c r="E339" t="inlineStr"/>
      <c r="F339">
        <f>U341+Skills!O2</f>
        <v/>
      </c>
      <c r="G339">
        <f>Skills!G2*IF(Skills!H2&gt;0,Skills!I2/Skills!H2,1)</f>
        <v/>
      </c>
      <c r="H339">
        <f>1-(1-Skills!J2/100)^Skills!K2</f>
        <v/>
      </c>
      <c r="I339" t="inlineStr">
        <is>
          <t>1</t>
        </is>
      </c>
      <c r="J339">
        <f>((Inputs!$B$6*(1+Inputs!$B$7/100))+(((Inputs!$B$12*(1+Inputs!$B$13/100))-(Inputs!$B$12*(1+Inputs!$B$13/100)))+0.25*(Inputs!$B$14-Inputs!$B$14))*(1+Inputs!$B$7/100))*(F339/100)</f>
        <v/>
      </c>
      <c r="K339">
        <f>J339*(1+((Inputs!$B$12*(1+Inputs!$B$13/100))*0.01+Inputs!$B$14*0.0025)/100)*(1+Inputs!$B$15/100)*(1+Inputs!$B$16/100)*(5000/(6000+Inputs!$B$42*(1-(Inputs!$B$19+0)/100)))*(1+(Inputs!$B$24+((C359=TRUE)*(F359-Calc!F22))+B368)/100)*(1+(IF(Skills!A2="HOOK_BOMBER",Inputs!$B$17+((C358=TRUE)*(F358-Calc!F21)),Inputs!$B$18+0))/100)*((1+(((C350=TRUE)*F350)+((C356=TRUE)*(F356-Calc!F19)))/100)*I339)</f>
        <v/>
      </c>
      <c r="L339">
        <f>K339*(MIN((Inputs!$B$22+1)+((C357=TRUE)*(F357-Calc!F20)),Inputs!$B$23+0)/100+(Inputs!$B$23+0)/100)/2</f>
        <v/>
      </c>
      <c r="M339">
        <f>L339*(1+(Inputs!$B$10+0+B367)/100)</f>
        <v/>
      </c>
      <c r="N339">
        <f>L339*(1-MIN((Inputs!$B$9+((C353=TRUE)*(F353-Calc!F16))+B362),100)/100)+M339*(MIN((Inputs!$B$9+((C353=TRUE)*(F353-Calc!F16))+B362),100)/100)</f>
        <v/>
      </c>
      <c r="O339">
        <f>(1-Summary!$B$55)*T339+Summary!$B$55*V339</f>
        <v/>
      </c>
      <c r="P339">
        <f>IF(B372=0,0,O339/B372)</f>
        <v/>
      </c>
      <c r="Q339" t="n">
        <v>0</v>
      </c>
      <c r="R339" t="n">
        <v>0</v>
      </c>
      <c r="S339">
        <f>IFERROR(O339/N339,0)</f>
        <v/>
      </c>
      <c r="T339">
        <f>IF(C339,(Skills!G2*N339*B366)*IF(Inputs!$B$38="pvp",1,1+(Inputs!$B$20+0+Skills!P2)/100),0)</f>
        <v/>
      </c>
      <c r="U339">
        <f>MAX(0,(Inputs!$B$3-100)*3)+Inputs!$B$28+Inputs!$B$29</f>
        <v/>
      </c>
      <c r="V339">
        <f>IF(C339,(Skills!G2*N339*B366)*IF(Inputs!$B$38="pvp",1,(1+(Inputs!$B$21+Skills!Q2)/100)*(MIN((6+Inputs!$B$33),Inputs!$B$37))),0)</f>
        <v/>
      </c>
    </row>
    <row r="340">
      <c r="A340">
        <f>Skills!A3</f>
        <v/>
      </c>
      <c r="B340">
        <f>Skills!B3</f>
        <v/>
      </c>
      <c r="C340">
        <f>Inputs!$B$3&gt;=35</f>
        <v/>
      </c>
      <c r="D340">
        <f>IF(Skills!C3=1,60+Inputs!$B$25+Inputs!$B$29,IF(Skills!C3=2,90+Inputs!$B$26+Inputs!$B$29,IF(Skills!C3=3,120+Inputs!$B$27+Inputs!$B$29,MAX(0,(Inputs!$B$3-100)*3)+Inputs!$B$28+Inputs!$B$29)))</f>
        <v/>
      </c>
      <c r="E340">
        <f>INDEX(FactorTable!$B$2:$Y$301, MATCH(ROUND(MIN(300,MAX(1,D340)),0), FactorTable!$A$2:$A$301,0), Skills!M3+1)</f>
        <v/>
      </c>
      <c r="F340">
        <f>IF(Skills!N3=TRUE,(Skills!L3/10)*(E340/1000),Skills!L3/10)+Skills!O3</f>
        <v/>
      </c>
      <c r="G340">
        <f>Skills!G3*IF(Skills!H3&gt;0,Skills!I3/Skills!H3,1)</f>
        <v/>
      </c>
      <c r="H340">
        <f>1-(1-Skills!J3/100)^Skills!K3</f>
        <v/>
      </c>
      <c r="I340" t="inlineStr">
        <is>
          <t>1</t>
        </is>
      </c>
      <c r="J340">
        <f>((Inputs!$B$6*(1+Inputs!$B$7/100))+(((Inputs!$B$12*(1+Inputs!$B$13/100))-(Inputs!$B$12*(1+Inputs!$B$13/100)))+0.25*(Inputs!$B$14-Inputs!$B$14))*(1+Inputs!$B$7/100))*(F340/100)</f>
        <v/>
      </c>
      <c r="K340">
        <f>J340*(1+((Inputs!$B$12*(1+Inputs!$B$13/100))*0.01+Inputs!$B$14*0.0025)/100)*(1+Inputs!$B$15/100)*(1+Inputs!$B$16/100)*(5000/(6000+Inputs!$B$42*(1-(Inputs!$B$19+0)/100)))*(1+(Inputs!$B$24+((C359=TRUE)*(F359-Calc!F22))+B368)/100)*(1+(IF(Skills!A3="HOOK_BOMBER",Inputs!$B$17+((C358=TRUE)*(F358-Calc!F21)),Inputs!$B$18+0))/100)*((1+(((C350=TRUE)*F350)+((C356=TRUE)*(F356-Calc!F19)))/100)*I340)</f>
        <v/>
      </c>
      <c r="L340">
        <f>K340*(MIN((Inputs!$B$22+1)+((C357=TRUE)*(F357-Calc!F20)),Inputs!$B$23+0)/100+(Inputs!$B$23+0)/100)/2</f>
        <v/>
      </c>
      <c r="M340">
        <f>L340*(1+(Inputs!$B$10+0+B367)/100)</f>
        <v/>
      </c>
      <c r="N340">
        <f>L340*(1-MIN((Inputs!$B$9+((C353=TRUE)*(F353-Calc!F16))+B362),100)/100)+M340*(MIN((Inputs!$B$9+((C353=TRUE)*(F353-Calc!F16))+B362),100)/100)</f>
        <v/>
      </c>
      <c r="O340">
        <f>(1-Summary!$B$55)*T340+Summary!$B$55*V340</f>
        <v/>
      </c>
      <c r="P340">
        <f>IF(B372=0,0,O340/B372)</f>
        <v/>
      </c>
      <c r="Q340" t="n">
        <v>0</v>
      </c>
      <c r="R340" t="n">
        <v>0</v>
      </c>
      <c r="S340">
        <f>IFERROR(O340/N340,0)</f>
        <v/>
      </c>
      <c r="T340">
        <f>IF(C340,(Skills!G3*H340*N340*B366)*IF(Inputs!$B$38="pvp",1,1+(Inputs!$B$20+0+Skills!P3)/100),0)</f>
        <v/>
      </c>
      <c r="U340">
        <f>INDEX(FactorTable!$B$2:$Y$301, MATCH(ROUND(MIN(300,MAX(1,U339)),0), FactorTable!$A$2:$A$301,0), 22)</f>
        <v/>
      </c>
      <c r="V340">
        <f>IF(C340,(Skills!G3*H340*N340*B366)*IF(Inputs!$B$38="pvp",1,(1+(Inputs!$B$21+Skills!Q3)/100)*(MIN(Skills!R3,Inputs!$B$37))),0)</f>
        <v/>
      </c>
    </row>
    <row r="341">
      <c r="A341">
        <f>Skills!A4</f>
        <v/>
      </c>
      <c r="B341">
        <f>Skills!B4</f>
        <v/>
      </c>
      <c r="C341">
        <f>Inputs!$B$3&gt;=60</f>
        <v/>
      </c>
      <c r="D341">
        <f>IF(Skills!C4=1,60+Inputs!$B$25+Inputs!$B$29,IF(Skills!C4=2,90+Inputs!$B$26+Inputs!$B$29,IF(Skills!C4=3,120+Inputs!$B$27+Inputs!$B$29,MAX(0,(Inputs!$B$3-100)*3)+Inputs!$B$28+Inputs!$B$29)))</f>
        <v/>
      </c>
      <c r="E341">
        <f>INDEX(FactorTable!$B$2:$Y$301, MATCH(ROUND(MIN(300,MAX(1,D341)),0), FactorTable!$A$2:$A$301,0), Skills!M4+1)</f>
        <v/>
      </c>
      <c r="F341">
        <f>IF(Skills!N4=TRUE,(Skills!L4/10)*(E341/1000),Skills!L4/10)+Skills!O4</f>
        <v/>
      </c>
      <c r="G341">
        <f>Skills!G4*IF(Skills!H4&gt;0,Skills!I4/Skills!H4,1)</f>
        <v/>
      </c>
      <c r="H341">
        <f>1-(1-Skills!J4/100)^Skills!K4</f>
        <v/>
      </c>
      <c r="I341" t="inlineStr">
        <is>
          <t>1</t>
        </is>
      </c>
      <c r="J341">
        <f>((Inputs!$B$6*(1+Inputs!$B$7/100))+(((Inputs!$B$12*(1+Inputs!$B$13/100))-(Inputs!$B$12*(1+Inputs!$B$13/100)))+0.25*(Inputs!$B$14-Inputs!$B$14))*(1+Inputs!$B$7/100))*(F341/100)</f>
        <v/>
      </c>
      <c r="K341">
        <f>J341*(1+((Inputs!$B$12*(1+Inputs!$B$13/100))*0.01+Inputs!$B$14*0.0025)/100)*(1+Inputs!$B$15/100)*(1+Inputs!$B$16/100)*(5000/(6000+Inputs!$B$42*(1-(Inputs!$B$19+0)/100)))*(1+(Inputs!$B$24+((C359=TRUE)*(F359-Calc!F22))+B368)/100)*(1+1.0*IF(C349=TRUE,F349,0)/100)*(1+(IF(Skills!A4="HOOK_BOMBER",Inputs!$B$17+((C358=TRUE)*(F358-Calc!F21)),Inputs!$B$18+0))/100)*((1+(((C350=TRUE)*F350)+((C356=TRUE)*(F356-Calc!F19)))/100)*I341)</f>
        <v/>
      </c>
      <c r="L341">
        <f>K341*(MIN((Inputs!$B$22+1)+((C357=TRUE)*(F357-Calc!F20)),Inputs!$B$23+0)/100+(Inputs!$B$23+0)/100)/2</f>
        <v/>
      </c>
      <c r="M341">
        <f>L341*(1+(Inputs!$B$10+0+B367)/100)</f>
        <v/>
      </c>
      <c r="N341">
        <f>L341*(1-MIN((Inputs!$B$9+((C353=TRUE)*(F353-Calc!F16))+B362),100)/100)+M341*(MIN((Inputs!$B$9+((C353=TRUE)*(F353-Calc!F16))+B362),100)/100)</f>
        <v/>
      </c>
      <c r="O341">
        <f>(1-Summary!$B$55)*T341+Summary!$B$55*V341</f>
        <v/>
      </c>
      <c r="P341">
        <f>IF(B372=0,0,O341/B372)</f>
        <v/>
      </c>
      <c r="Q341" t="n">
        <v>0</v>
      </c>
      <c r="R341" t="n">
        <v>0</v>
      </c>
      <c r="S341">
        <f>IFERROR(O341/N341,0)</f>
        <v/>
      </c>
      <c r="T341">
        <f>IF(C341,(Skills!G4*H341*N341*B366)*IF(Inputs!$B$38="pvp",1,1+(Inputs!$B$20+0+Skills!P4)/100),0)</f>
        <v/>
      </c>
      <c r="U341">
        <f>290*U340/1000</f>
        <v/>
      </c>
      <c r="V341">
        <f>IF(C341,(Skills!G4*H341*N341*B366)*IF(Inputs!$B$38="pvp",1,(1+(Inputs!$B$21+Skills!Q4)/100)*(MIN(Skills!R4,Inputs!$B$37))),0)</f>
        <v/>
      </c>
    </row>
    <row r="342">
      <c r="A342">
        <f>Skills!A5</f>
        <v/>
      </c>
      <c r="B342">
        <f>Skills!B5</f>
        <v/>
      </c>
      <c r="C342">
        <f>Inputs!$B$3&gt;=60</f>
        <v/>
      </c>
      <c r="D342">
        <f>IF(Skills!C5=1,60+Inputs!$B$25+Inputs!$B$29,IF(Skills!C5=2,90+Inputs!$B$26+Inputs!$B$29,IF(Skills!C5=3,120+Inputs!$B$27+Inputs!$B$29,MAX(0,(Inputs!$B$3-100)*3)+Inputs!$B$28+Inputs!$B$29)))</f>
        <v/>
      </c>
      <c r="E342">
        <f>INDEX(FactorTable!$B$2:$Y$301, MATCH(ROUND(MIN(300,MAX(1,D342)),0), FactorTable!$A$2:$A$301,0), Skills!M5+1)</f>
        <v/>
      </c>
      <c r="F342">
        <f>IF(Skills!N5=TRUE,(Skills!L5/10)*(E342/1000),Skills!L5/10)+Skills!O5</f>
        <v/>
      </c>
      <c r="G342">
        <f>Skills!G5*IF(Skills!H5&gt;0,Skills!I5/Skills!H5,1)</f>
        <v/>
      </c>
      <c r="H342">
        <f>1-(1-Skills!J5/100)^Skills!K5</f>
        <v/>
      </c>
      <c r="I342" t="inlineStr">
        <is>
          <t>1</t>
        </is>
      </c>
      <c r="J342" t="inlineStr"/>
      <c r="K342" t="inlineStr"/>
      <c r="L342" t="inlineStr"/>
      <c r="M342" t="inlineStr"/>
      <c r="N342" t="inlineStr"/>
      <c r="O342">
        <f>(1-Summary!$B$55)*T342+Summary!$B$55*V342</f>
        <v/>
      </c>
      <c r="P342">
        <f>IF(B372=0,0,O342/B372)</f>
        <v/>
      </c>
      <c r="Q342" t="n">
        <v>0</v>
      </c>
      <c r="R342" t="n">
        <v>0</v>
      </c>
      <c r="S342">
        <f>IFERROR(O342/N342,0)</f>
        <v/>
      </c>
      <c r="T342" t="n">
        <v>0</v>
      </c>
      <c r="V342" t="n">
        <v>0</v>
      </c>
    </row>
    <row r="343">
      <c r="A343">
        <f>Skills!A6</f>
        <v/>
      </c>
      <c r="B343">
        <f>Skills!B6</f>
        <v/>
      </c>
      <c r="C343">
        <f>Inputs!$B$3&gt;=63</f>
        <v/>
      </c>
      <c r="D343">
        <f>IF(Skills!C6=1,60+Inputs!$B$25+Inputs!$B$29,IF(Skills!C6=2,90+Inputs!$B$26+Inputs!$B$29,IF(Skills!C6=3,120+Inputs!$B$27+Inputs!$B$29,MAX(0,(Inputs!$B$3-100)*3)+Inputs!$B$28+Inputs!$B$29)))</f>
        <v/>
      </c>
      <c r="E343">
        <f>INDEX(FactorTable!$B$2:$Y$301, MATCH(ROUND(MIN(300,MAX(1,D343)),0), FactorTable!$A$2:$A$301,0), Skills!M6+1)</f>
        <v/>
      </c>
      <c r="F343">
        <f>IF(Skills!N6=TRUE,(Skills!L6/10)*(E343/1000),Skills!L6/10)+Skills!O6</f>
        <v/>
      </c>
      <c r="G343">
        <f>Skills!G6*IF(Skills!H6&gt;0,Skills!I6/Skills!H6,1)</f>
        <v/>
      </c>
      <c r="H343">
        <f>1-(1-Skills!J6/100)^Skills!K6</f>
        <v/>
      </c>
      <c r="I343" t="inlineStr">
        <is>
          <t>1</t>
        </is>
      </c>
      <c r="J343">
        <f>((Inputs!$B$6*(1+Inputs!$B$7/100))+(((Inputs!$B$12*(1+Inputs!$B$13/100))-(Inputs!$B$12*(1+Inputs!$B$13/100)))+0.25*(Inputs!$B$14-Inputs!$B$14))*(1+Inputs!$B$7/100))*(F343/100)</f>
        <v/>
      </c>
      <c r="K343">
        <f>J343*(1+((Inputs!$B$12*(1+Inputs!$B$13/100))*0.01+Inputs!$B$14*0.0025)/100)*(1+Inputs!$B$15/100)*(1+Inputs!$B$16/100)*(5000/(6000+Inputs!$B$42*(1-(Inputs!$B$19+0)/100)))*(1+(Inputs!$B$24+((C359=TRUE)*(F359-Calc!F22))+B368)/100)*(1+(IF(Skills!A6="HOOK_BOMBER",Inputs!$B$17+((C358=TRUE)*(F358-Calc!F21)),Inputs!$B$18+0))/100)*((1+(((C350=TRUE)*F350)+((C356=TRUE)*(F356-Calc!F19)))/100)*I343)</f>
        <v/>
      </c>
      <c r="L343">
        <f>K343*(MIN((Inputs!$B$22+1)+((C357=TRUE)*(F357-Calc!F20)),Inputs!$B$23+0)/100+(Inputs!$B$23+0)/100)/2</f>
        <v/>
      </c>
      <c r="M343">
        <f>L343*(1+(Inputs!$B$10+0+B367)/100)</f>
        <v/>
      </c>
      <c r="N343">
        <f>L343*(1-MIN((Inputs!$B$9+((C353=TRUE)*(F353-Calc!F16))+B362),100)/100)+M343*(MIN((Inputs!$B$9+((C353=TRUE)*(F353-Calc!F16))+B362),100)/100)</f>
        <v/>
      </c>
      <c r="O343">
        <f>(1-Summary!$B$55)*T343+Summary!$B$55*V343</f>
        <v/>
      </c>
      <c r="P343">
        <f>IF(B372=0,0,O343/B372)</f>
        <v/>
      </c>
      <c r="Q343">
        <f>IFERROR(1/IF(Inputs!$B$38="pvp",15,MAX(0.1,Skills!D6-IF(Skills!E6=TRUE,Inputs!$B$32,0))),0)</f>
        <v/>
      </c>
      <c r="R343">
        <f>IF(AND(Inputs!$B$38&lt;&gt;"pvp",Inputs!$B$43&gt;0),IF(MAX(0,Inputs!$B$43-B369)&lt;=0,0,(INT(MAX(0,Inputs!$B$43-B369)/IF(Inputs!$B$38="pvp",15,MAX(0.1,Skills!D6-IF(Skills!E6=TRUE,Inputs!$B$32,0))))+1)),0)</f>
        <v/>
      </c>
      <c r="S343">
        <f>IFERROR(O343/N343,0)</f>
        <v/>
      </c>
      <c r="T343">
        <f>IF(C343,(H343*N343*IF(AND(Inputs!$B$38&lt;&gt;"pvp",Inputs!$B$43&gt;0),((Skills!G6*((R343-1)*IF(Skills!H6&gt;0,Skills!I6/Skills!H6,1)+IF(Skills!H6&gt;0,MIN(Skills!I6,MAX(0,MAX(0,Inputs!$B$43-B369)-((R343-1)*IF(Inputs!$B$38="pvp",15,MAX(0.1,Skills!D6-IF(Skills!E6=TRUE,Inputs!$B$32,0))))))/Skills!H6,1)))/Inputs!$B$43),G343*Q343))*IF(Inputs!$B$38="pvp",1,1+(Inputs!$B$20+0+Skills!P6)/100),0)</f>
        <v/>
      </c>
      <c r="V343">
        <f>IF(C343,(H343*N343*IF(AND(Inputs!$B$38&lt;&gt;"pvp",Inputs!$B$43&gt;0),((Skills!G6*((R343-1)*IF(Skills!H6&gt;0,Skills!I6/Skills!H6,1)+IF(Skills!H6&gt;0,MIN(Skills!I6,MAX(0,MAX(0,Inputs!$B$43-B369)-((R343-1)*IF(Inputs!$B$38="pvp",15,MAX(0.1,Skills!D6-IF(Skills!E6=TRUE,Inputs!$B$32,0))))))/Skills!H6,1)))/Inputs!$B$43),G343*Q343))*IF(Inputs!$B$38="pvp",1,(1+(Inputs!$B$21+Skills!Q6)/100)*(MIN(Skills!R6,Inputs!$B$37))),0)</f>
        <v/>
      </c>
    </row>
    <row r="344">
      <c r="A344">
        <f>Skills!A7</f>
        <v/>
      </c>
      <c r="B344">
        <f>Skills!B7</f>
        <v/>
      </c>
      <c r="C344">
        <f>Inputs!$B$3&gt;=100</f>
        <v/>
      </c>
      <c r="D344">
        <f>IF(Skills!C7=1,60+Inputs!$B$25+Inputs!$B$29,IF(Skills!C7=2,90+Inputs!$B$26+Inputs!$B$29,IF(Skills!C7=3,120+Inputs!$B$27+Inputs!$B$29,MAX(0,(Inputs!$B$3-100)*3)+Inputs!$B$28+Inputs!$B$29)))</f>
        <v/>
      </c>
      <c r="E344">
        <f>INDEX(FactorTable!$B$2:$Y$301, MATCH(ROUND(MIN(300,MAX(1,D344)),0), FactorTable!$A$2:$A$301,0), Skills!M7+1)</f>
        <v/>
      </c>
      <c r="F344">
        <f>IF(Skills!N7=TRUE,(Skills!L7/10)*(E344/1000),Skills!L7/10)+Skills!O7</f>
        <v/>
      </c>
      <c r="G344">
        <f>Skills!G7*IF(Skills!H7&gt;0,Skills!I7/Skills!H7,1)</f>
        <v/>
      </c>
      <c r="H344">
        <f>1-(1-Skills!J7/100)^Skills!K7</f>
        <v/>
      </c>
      <c r="I344" t="inlineStr">
        <is>
          <t>1</t>
        </is>
      </c>
      <c r="J344">
        <f>((Inputs!$B$6*(1+Inputs!$B$7/100))+(((Inputs!$B$12*(1+Inputs!$B$13/100))-(Inputs!$B$12*(1+Inputs!$B$13/100)))+0.25*(Inputs!$B$14-Inputs!$B$14))*(1+Inputs!$B$7/100))*(F344/100)</f>
        <v/>
      </c>
      <c r="K344">
        <f>J344*(1+((Inputs!$B$12*(1+Inputs!$B$13/100))*0.01+Inputs!$B$14*0.0025)/100)*(1+Inputs!$B$15/100)*(1+Inputs!$B$16/100)*(5000/(6000+Inputs!$B$42*(1-(Inputs!$B$19+0)/100)))*(1+(Inputs!$B$24+((C359=TRUE)*(F359-Calc!F22))+B368)/100)*(1+(IF(Skills!A7="HOOK_BOMBER",Inputs!$B$17+((C358=TRUE)*(F358-Calc!F21)),Inputs!$B$18+0))/100)*((1+(((C350=TRUE)*F350)+((C356=TRUE)*(F356-Calc!F19)))/100)*I344)</f>
        <v/>
      </c>
      <c r="L344">
        <f>K344*(MIN((Inputs!$B$22+1)+((C357=TRUE)*(F357-Calc!F20)),Inputs!$B$23+0)/100+(Inputs!$B$23+0)/100)/2</f>
        <v/>
      </c>
      <c r="M344">
        <f>L344*(1+(Inputs!$B$10+0+B367)/100)</f>
        <v/>
      </c>
      <c r="N344">
        <f>L344*(1-MIN((Inputs!$B$9+((C353=TRUE)*(F353-Calc!F16))+B362),100)/100)+M344*(MIN((Inputs!$B$9+((C353=TRUE)*(F353-Calc!F16))+B362),100)/100)</f>
        <v/>
      </c>
      <c r="O344">
        <f>(1-Summary!$B$55)*T344+Summary!$B$55*V344</f>
        <v/>
      </c>
      <c r="P344">
        <f>IF(B372=0,0,O344/B372)</f>
        <v/>
      </c>
      <c r="Q344">
        <f>IFERROR(1/IF(Inputs!$B$38="pvp",15,MAX(0.1,Skills!D7-IF(Skills!E7=TRUE,Inputs!$B$32,0))),0)</f>
        <v/>
      </c>
      <c r="R344">
        <f>IF(AND(Inputs!$B$38&lt;&gt;"pvp",Inputs!$B$43&gt;0),IF(MAX(0,Inputs!$B$43-B369)&lt;=0,0,(INT(MAX(0,Inputs!$B$43-B369)/IF(Inputs!$B$38="pvp",15,MAX(0.1,Skills!D7-IF(Skills!E7=TRUE,Inputs!$B$32,0))))+1)),0)</f>
        <v/>
      </c>
      <c r="S344">
        <f>IFERROR(O344/N344,0)</f>
        <v/>
      </c>
      <c r="T344">
        <f>IF(C344,(H344*N344*IF(AND(Inputs!$B$38&lt;&gt;"pvp",Inputs!$B$43&gt;0),((Skills!G7*((R344-1)*IF(Skills!H7&gt;0,Skills!I7/Skills!H7,1)+IF(Skills!H7&gt;0,MIN(Skills!I7,MAX(0,MAX(0,Inputs!$B$43-B369)-((R344-1)*IF(Inputs!$B$38="pvp",15,MAX(0.1,Skills!D7-IF(Skills!E7=TRUE,Inputs!$B$32,0))))))/Skills!H7,1)))/Inputs!$B$43),G344*Q344))*IF(Inputs!$B$38="pvp",1,1+(Inputs!$B$20+0+Skills!P7)/100),0)</f>
        <v/>
      </c>
      <c r="V344">
        <f>IF(C344,(H344*N344*IF(AND(Inputs!$B$38&lt;&gt;"pvp",Inputs!$B$43&gt;0),((Skills!G7*((R344-1)*IF(Skills!H7&gt;0,Skills!I7/Skills!H7,1)+IF(Skills!H7&gt;0,MIN(Skills!I7,MAX(0,MAX(0,Inputs!$B$43-B369)-((R344-1)*IF(Inputs!$B$38="pvp",15,MAX(0.1,Skills!D7-IF(Skills!E7=TRUE,Inputs!$B$32,0))))))/Skills!H7,1)))/Inputs!$B$43),G344*Q344))*IF(Inputs!$B$38="pvp",1,(1+(Inputs!$B$21+Skills!Q7)/100)*(MIN(Skills!R7,Inputs!$B$37))),0)</f>
        <v/>
      </c>
    </row>
    <row r="345">
      <c r="A345">
        <f>Skills!A8</f>
        <v/>
      </c>
      <c r="B345">
        <f>Skills!B8</f>
        <v/>
      </c>
      <c r="C345">
        <f>Inputs!$B$3&gt;=110</f>
        <v/>
      </c>
      <c r="D345">
        <f>IF(Skills!C8=1,60+Inputs!$B$25+Inputs!$B$29,IF(Skills!C8=2,90+Inputs!$B$26+Inputs!$B$29,IF(Skills!C8=3,120+Inputs!$B$27+Inputs!$B$29,MAX(0,(Inputs!$B$3-100)*3)+Inputs!$B$28+Inputs!$B$29)))</f>
        <v/>
      </c>
      <c r="E345">
        <f>INDEX(FactorTable!$B$2:$Y$301, MATCH(ROUND(MIN(300,MAX(1,D345)),0), FactorTable!$A$2:$A$301,0), Skills!M8+1)</f>
        <v/>
      </c>
      <c r="F345">
        <f>IF(Skills!N8=TRUE,(Skills!L8/10)*(E345/1000),Skills!L8/10)+Skills!O8</f>
        <v/>
      </c>
      <c r="G345">
        <f>Skills!G8*IF(Skills!H8&gt;0,Skills!I8/Skills!H8,1)</f>
        <v/>
      </c>
      <c r="H345">
        <f>1-(1-Skills!J8/100)^Skills!K8</f>
        <v/>
      </c>
      <c r="I345" t="inlineStr">
        <is>
          <t>1</t>
        </is>
      </c>
      <c r="J345">
        <f>((Inputs!$B$6*(1+Inputs!$B$7/100))+(((Inputs!$B$12*(1+Inputs!$B$13/100))-(Inputs!$B$12*(1+Inputs!$B$13/100)))+0.25*(Inputs!$B$14-Inputs!$B$14))*(1+Inputs!$B$7/100))*(F345/100)</f>
        <v/>
      </c>
      <c r="K345">
        <f>J345*(1+((Inputs!$B$12*(1+Inputs!$B$13/100))*0.01+Inputs!$B$14*0.0025)/100)*(1+Inputs!$B$15/100)*(1+Inputs!$B$16/100)*(5000/(6000+Inputs!$B$42*(1-(Inputs!$B$19+0)/100)))*(1+(Inputs!$B$24+((C359=TRUE)*(F359-Calc!F22))+B368)/100)*(1+(IF(Skills!A8="HOOK_BOMBER",Inputs!$B$17+((C358=TRUE)*(F358-Calc!F21)),Inputs!$B$18+0))/100)*((1+(((C350=TRUE)*F350)+((C356=TRUE)*(F356-Calc!F19)))/100)*I345)</f>
        <v/>
      </c>
      <c r="L345">
        <f>K345*(MIN((Inputs!$B$22+1)+((C357=TRUE)*(F357-Calc!F20)),Inputs!$B$23+0)/100+(Inputs!$B$23+0)/100)/2</f>
        <v/>
      </c>
      <c r="M345">
        <f>L345*(1+(Inputs!$B$10+0+B367)/100)</f>
        <v/>
      </c>
      <c r="N345">
        <f>L345*(1-MIN((Inputs!$B$9+((C353=TRUE)*(F353-Calc!F16))+B362),100)/100)+M345*(MIN((Inputs!$B$9+((C353=TRUE)*(F353-Calc!F16))+B362),100)/100)</f>
        <v/>
      </c>
      <c r="O345">
        <f>(1-Summary!$B$55)*T345+Summary!$B$55*V345</f>
        <v/>
      </c>
      <c r="P345">
        <f>IF(B372=0,0,O345/B372)</f>
        <v/>
      </c>
      <c r="Q345">
        <f>IFERROR(1/IF(Inputs!$B$38="pvp",15,MAX(0.1,Skills!D8-IF(Skills!E8=TRUE,Inputs!$B$32,0))),0)</f>
        <v/>
      </c>
      <c r="R345">
        <f>IF(AND(Inputs!$B$38&lt;&gt;"pvp",Inputs!$B$43&gt;0),IF(MAX(0,Inputs!$B$43-B369)&lt;=0,0,(INT(MAX(0,Inputs!$B$43-B369)/IF(Inputs!$B$38="pvp",15,MAX(0.1,Skills!D8-IF(Skills!E8=TRUE,Inputs!$B$32,0))))+1)),0)</f>
        <v/>
      </c>
      <c r="S345">
        <f>IFERROR(O345/N345,0)</f>
        <v/>
      </c>
      <c r="T345">
        <f>IF(C345,(H345*N345*IF(AND(Inputs!$B$38&lt;&gt;"pvp",Inputs!$B$43&gt;0),((Skills!G8*((R345-1)*IF(Skills!H8&gt;0,Skills!I8/Skills!H8,1)+IF(Skills!H8&gt;0,MIN(Skills!I8,MAX(0,MAX(0,Inputs!$B$43-B369)-((R345-1)*IF(Inputs!$B$38="pvp",15,MAX(0.1,Skills!D8-IF(Skills!E8=TRUE,Inputs!$B$32,0))))))/Skills!H8,1)))/Inputs!$B$43),G345*Q345))*IF(Inputs!$B$38="pvp",1,1+(Inputs!$B$20+0+Skills!P8)/100),0)</f>
        <v/>
      </c>
      <c r="V345">
        <f>IF(C345,(H345*N345*IF(AND(Inputs!$B$38&lt;&gt;"pvp",Inputs!$B$43&gt;0),((Skills!G8*((R345-1)*IF(Skills!H8&gt;0,Skills!I8/Skills!H8,1)+IF(Skills!H8&gt;0,MIN(Skills!I8,MAX(0,MAX(0,Inputs!$B$43-B369)-((R345-1)*IF(Inputs!$B$38="pvp",15,MAX(0.1,Skills!D8-IF(Skills!E8=TRUE,Inputs!$B$32,0))))))/Skills!H8,1)))/Inputs!$B$43),G345*Q345))*IF(Inputs!$B$38="pvp",1,(1+(Inputs!$B$21+Skills!Q8)/100)*(MIN(Skills!R8,Inputs!$B$37))),0)</f>
        <v/>
      </c>
    </row>
    <row r="346">
      <c r="A346">
        <f>Skills!A9</f>
        <v/>
      </c>
      <c r="B346">
        <f>Skills!B9</f>
        <v/>
      </c>
      <c r="C346">
        <f>Inputs!$B$3&gt;=110</f>
        <v/>
      </c>
      <c r="D346">
        <f>IF(Skills!C9=1,60+Inputs!$B$25+Inputs!$B$29,IF(Skills!C9=2,90+Inputs!$B$26+Inputs!$B$29,IF(Skills!C9=3,120+Inputs!$B$27+Inputs!$B$29,MAX(0,(Inputs!$B$3-100)*3)+Inputs!$B$28+Inputs!$B$29)))</f>
        <v/>
      </c>
      <c r="E346">
        <f>INDEX(FactorTable!$B$2:$Y$301, MATCH(ROUND(MIN(300,MAX(1,D346)),0), FactorTable!$A$2:$A$301,0), Skills!M9+1)</f>
        <v/>
      </c>
      <c r="F346">
        <f>IF(Skills!N9=TRUE,(Skills!L9/10)*(E346/1000),Skills!L9/10)+Skills!O9</f>
        <v/>
      </c>
      <c r="G346">
        <f>Skills!G9*IF(Skills!H9&gt;0,Skills!I9/Skills!H9,1)</f>
        <v/>
      </c>
      <c r="H346">
        <f>1-(1-Skills!J9/100)^Skills!K9</f>
        <v/>
      </c>
      <c r="I346" t="inlineStr">
        <is>
          <t>1</t>
        </is>
      </c>
      <c r="J346">
        <f>((Inputs!$B$6*(1+Inputs!$B$7/100))+(((Inputs!$B$12*(1+Inputs!$B$13/100))-(Inputs!$B$12*(1+Inputs!$B$13/100)))+0.25*(Inputs!$B$14-Inputs!$B$14))*(1+Inputs!$B$7/100))*(F346/100)</f>
        <v/>
      </c>
      <c r="K346">
        <f>J346*(1+((Inputs!$B$12*(1+Inputs!$B$13/100))*0.01+Inputs!$B$14*0.0025)/100)*(1+Inputs!$B$15/100)*(1+Inputs!$B$16/100)*(5000/(6000+Inputs!$B$42*(1-(Inputs!$B$19+0)/100)))*(1+(Inputs!$B$24+((C359=TRUE)*(F359-Calc!F22))+B368)/100)*(1+(IF(Skills!A9="HOOK_BOMBER",Inputs!$B$17+((C358=TRUE)*(F358-Calc!F21)),Inputs!$B$18+0))/100)*((1+(((C350=TRUE)*F350)+((C356=TRUE)*(F356-Calc!F19)))/100)*I346)</f>
        <v/>
      </c>
      <c r="L346">
        <f>K346*(MIN((Inputs!$B$22+1)+((C357=TRUE)*(F357-Calc!F20)),Inputs!$B$23+0)/100+(Inputs!$B$23+0)/100)/2</f>
        <v/>
      </c>
      <c r="M346">
        <f>L346*(1+(Inputs!$B$10+0+B367)/100)</f>
        <v/>
      </c>
      <c r="N346">
        <f>L346*(1-MIN((Inputs!$B$9+((C353=TRUE)*(F353-Calc!F16))+B362),100)/100)+M346*(MIN((Inputs!$B$9+((C353=TRUE)*(F353-Calc!F16))+B362),100)/100)</f>
        <v/>
      </c>
      <c r="O346">
        <f>(1-Summary!$B$55)*T346+Summary!$B$55*V346</f>
        <v/>
      </c>
      <c r="P346">
        <f>IF(B372=0,0,O346/B372)</f>
        <v/>
      </c>
      <c r="Q346">
        <f>IFERROR(1/IF(Inputs!$B$38="pvp",15,MAX(0.1,Skills!D9-IF(Skills!E9=TRUE,Inputs!$B$32,0))),0)</f>
        <v/>
      </c>
      <c r="R346">
        <f>IF(AND(Inputs!$B$38&lt;&gt;"pvp",Inputs!$B$43&gt;0),IF(MAX(0,Inputs!$B$43-B369)&lt;=0,0,(INT(MAX(0,Inputs!$B$43-B369)/IF(Inputs!$B$38="pvp",15,MAX(0.1,Skills!D9-IF(Skills!E9=TRUE,Inputs!$B$32,0))))+1)),0)</f>
        <v/>
      </c>
      <c r="S346">
        <f>IFERROR(O346/N346,0)</f>
        <v/>
      </c>
      <c r="T346">
        <f>IF(C346,(H346*N346*IF(AND(Inputs!$B$38&lt;&gt;"pvp",Inputs!$B$43&gt;0),((Skills!G9*((R346-1)*IF(Skills!H9&gt;0,Skills!I9/Skills!H9,1)+IF(Skills!H9&gt;0,MIN(Skills!I9,MAX(0,MAX(0,Inputs!$B$43-B369)-((R346-1)*IF(Inputs!$B$38="pvp",15,MAX(0.1,Skills!D9-IF(Skills!E9=TRUE,Inputs!$B$32,0))))))/Skills!H9,1)))/Inputs!$B$43),G346*Q346))*IF(Inputs!$B$38="pvp",1,1+(Inputs!$B$20+0+Skills!P9)/100),0)</f>
        <v/>
      </c>
      <c r="V346">
        <f>IF(C346,(H346*N346*IF(AND(Inputs!$B$38&lt;&gt;"pvp",Inputs!$B$43&gt;0),((Skills!G9*((R346-1)*IF(Skills!H9&gt;0,Skills!I9/Skills!H9,1)+IF(Skills!H9&gt;0,MIN(Skills!I9,MAX(0,MAX(0,Inputs!$B$43-B369)-((R346-1)*IF(Inputs!$B$38="pvp",15,MAX(0.1,Skills!D9-IF(Skills!E9=TRUE,Inputs!$B$32,0))))))/Skills!H9,1)))/Inputs!$B$43),G346*Q346))*IF(Inputs!$B$38="pvp",1,(1+(Inputs!$B$21+Skills!Q9)/100)*(MIN(Skills!R9,Inputs!$B$37))),0)</f>
        <v/>
      </c>
    </row>
    <row r="347">
      <c r="A347">
        <f>Skills!A10</f>
        <v/>
      </c>
      <c r="B347">
        <f>Skills!B10</f>
        <v/>
      </c>
      <c r="C347">
        <f>Inputs!$B$3&gt;=103</f>
        <v/>
      </c>
      <c r="D347">
        <f>IF(Skills!C10=1,60+Inputs!$B$25+Inputs!$B$29,IF(Skills!C10=2,90+Inputs!$B$26+Inputs!$B$29,IF(Skills!C10=3,120+Inputs!$B$27+Inputs!$B$29,MAX(0,(Inputs!$B$3-100)*3)+Inputs!$B$28+Inputs!$B$29)))</f>
        <v/>
      </c>
      <c r="E347">
        <f>INDEX(FactorTable!$B$2:$Y$301, MATCH(ROUND(MIN(300,MAX(1,D347)),0), FactorTable!$A$2:$A$301,0), Skills!M10+1)</f>
        <v/>
      </c>
      <c r="F347">
        <f>IF(Skills!N10=TRUE,(Skills!L10/10)*(E347/1000),Skills!L10/10)+Skills!O10</f>
        <v/>
      </c>
      <c r="G347">
        <f>Skills!G10*IF(Skills!H10&gt;0,Skills!I10/Skills!H10,1)</f>
        <v/>
      </c>
      <c r="H347">
        <f>1-(1-Skills!J10/100)^Skills!K10</f>
        <v/>
      </c>
      <c r="I347" t="inlineStr">
        <is>
          <t>1</t>
        </is>
      </c>
      <c r="J347">
        <f>((Inputs!$B$6*(1+Inputs!$B$7/100))+(((Inputs!$B$12*(1+Inputs!$B$13/100))-(Inputs!$B$12*(1+Inputs!$B$13/100)))+0.25*(Inputs!$B$14-Inputs!$B$14))*(1+Inputs!$B$7/100))*(F347/100)</f>
        <v/>
      </c>
      <c r="K347">
        <f>J347*(1+((Inputs!$B$12*(1+Inputs!$B$13/100))*0.01+Inputs!$B$14*0.0025)/100)*(1+Inputs!$B$15/100)*(1+Inputs!$B$16/100)*(5000/(6000+Inputs!$B$42*(1-(Inputs!$B$19+0)/100)))*(1+(Inputs!$B$24+((C359=TRUE)*(F359-Calc!F22))+B368)/100)*(1+(IF(Skills!A10="HOOK_BOMBER",Inputs!$B$17+((C358=TRUE)*(F358-Calc!F21)),Inputs!$B$18+0))/100)*((1+(((C350=TRUE)*F350)+((C356=TRUE)*(F356-Calc!F19)))/100)*I347)</f>
        <v/>
      </c>
      <c r="L347">
        <f>K347*(MIN((Inputs!$B$22+1)+((C357=TRUE)*(F357-Calc!F20)),Inputs!$B$23+0)/100+(Inputs!$B$23+0)/100)/2</f>
        <v/>
      </c>
      <c r="M347">
        <f>L347*(1+(Inputs!$B$10+0+B367)/100)</f>
        <v/>
      </c>
      <c r="N347">
        <f>L347*(1-MIN((Inputs!$B$9+((C353=TRUE)*(F353-Calc!F16))+B362),100)/100)+M347*(MIN((Inputs!$B$9+((C353=TRUE)*(F353-Calc!F16))+B362),100)/100)</f>
        <v/>
      </c>
      <c r="O347">
        <f>(1-Summary!$B$55)*T347+Summary!$B$55*V347</f>
        <v/>
      </c>
      <c r="P347">
        <f>IF(B372=0,0,O347/B372)</f>
        <v/>
      </c>
      <c r="Q347">
        <f>IFERROR(1/IF(Inputs!$B$38="pvp",15,MAX(0.1,Skills!D10-IF(Skills!E10=TRUE,Inputs!$B$32,0))),0)</f>
        <v/>
      </c>
      <c r="R347">
        <f>IF(AND(Inputs!$B$38&lt;&gt;"pvp",Inputs!$B$43&gt;0),IF(MAX(0,Inputs!$B$43-B369)&lt;=0,0,(INT(MAX(0,Inputs!$B$43-B369)/IF(Inputs!$B$38="pvp",15,MAX(0.1,Skills!D10-IF(Skills!E10=TRUE,Inputs!$B$32,0))))+1)),0)</f>
        <v/>
      </c>
      <c r="S347">
        <f>IFERROR(O347/N347,0)</f>
        <v/>
      </c>
      <c r="T347">
        <f>IF(C347,(H347*N347*IF(AND(Inputs!$B$38&lt;&gt;"pvp",Inputs!$B$43&gt;0),((Skills!G10*((R347-1)*IF(Skills!H10&gt;0,Skills!I10/Skills!H10,1)+IF(Skills!H10&gt;0,MIN(Skills!I10,MAX(0,MAX(0,Inputs!$B$43-B369)-((R347-1)*IF(Inputs!$B$38="pvp",15,MAX(0.1,Skills!D10-IF(Skills!E10=TRUE,Inputs!$B$32,0))))))/Skills!H10,1)))/Inputs!$B$43),G347*Q347))*IF(Inputs!$B$38="pvp",1,1+(Inputs!$B$20+0+Skills!P10)/100),0)</f>
        <v/>
      </c>
      <c r="V347">
        <f>IF(C347,(H347*N347*IF(AND(Inputs!$B$38&lt;&gt;"pvp",Inputs!$B$43&gt;0),((Skills!G10*((R347-1)*IF(Skills!H10&gt;0,Skills!I10/Skills!H10,1)+IF(Skills!H10&gt;0,MIN(Skills!I10,MAX(0,MAX(0,Inputs!$B$43-B369)-((R347-1)*IF(Inputs!$B$38="pvp",15,MAX(0.1,Skills!D10-IF(Skills!E10=TRUE,Inputs!$B$32,0))))))/Skills!H10,1)))/Inputs!$B$43),G347*Q347))*IF(Inputs!$B$38="pvp",1,(1+(Inputs!$B$21+Skills!Q10)/100)*(MIN(Skills!R10,Inputs!$B$37))),0)</f>
        <v/>
      </c>
    </row>
    <row r="348">
      <c r="A348">
        <f>Skills!A11</f>
        <v/>
      </c>
      <c r="B348">
        <f>Skills!B11</f>
        <v/>
      </c>
      <c r="C348">
        <f>Inputs!$B$3&gt;=113</f>
        <v/>
      </c>
      <c r="D348">
        <f>IF(Skills!C11=1,60+Inputs!$B$25+Inputs!$B$29,IF(Skills!C11=2,90+Inputs!$B$26+Inputs!$B$29,IF(Skills!C11=3,120+Inputs!$B$27+Inputs!$B$29,MAX(0,(Inputs!$B$3-100)*3)+Inputs!$B$28+Inputs!$B$29)))</f>
        <v/>
      </c>
      <c r="E348">
        <f>INDEX(FactorTable!$B$2:$Y$301, MATCH(ROUND(MIN(300,MAX(1,D348)),0), FactorTable!$A$2:$A$301,0), Skills!M11+1)</f>
        <v/>
      </c>
      <c r="F348">
        <f>IF(Skills!N11=TRUE,(Skills!L11/10)*(E348/1000),Skills!L11/10)+Skills!O11</f>
        <v/>
      </c>
      <c r="G348">
        <f>Skills!G11*IF(Skills!H11&gt;0,Skills!I11/Skills!H11,1)</f>
        <v/>
      </c>
      <c r="H348">
        <f>1-(1-Skills!J11/100)^Skills!K11</f>
        <v/>
      </c>
      <c r="I348" t="inlineStr">
        <is>
          <t>1</t>
        </is>
      </c>
      <c r="J348">
        <f>((Inputs!$B$6*(1+Inputs!$B$7/100))+(((Inputs!$B$12*(1+Inputs!$B$13/100))-(Inputs!$B$12*(1+Inputs!$B$13/100)))+0.25*(Inputs!$B$14-Inputs!$B$14))*(1+Inputs!$B$7/100))*(F348/100)</f>
        <v/>
      </c>
      <c r="K348">
        <f>J348*(1+((Inputs!$B$12*(1+Inputs!$B$13/100))*0.01+Inputs!$B$14*0.0025)/100)*(1+Inputs!$B$15/100)*(1+Inputs!$B$16/100)*(5000/(6000+Inputs!$B$42*(1-(Inputs!$B$19+0)/100)))*(1+(Inputs!$B$24+((C359=TRUE)*(F359-Calc!F22))+B368)/100)*(1+(IF(Skills!A11="HOOK_BOMBER",Inputs!$B$17+((C358=TRUE)*(F358-Calc!F21)),Inputs!$B$18+0))/100)*((1+(((C350=TRUE)*F350)+((C356=TRUE)*(F356-Calc!F19)))/100)*I348)</f>
        <v/>
      </c>
      <c r="L348">
        <f>K348*(MIN((Inputs!$B$22+1)+((C357=TRUE)*(F357-Calc!F20)),Inputs!$B$23+0)/100+(Inputs!$B$23+0)/100)/2</f>
        <v/>
      </c>
      <c r="M348">
        <f>L348*(1+(Inputs!$B$10+0+B367)/100)</f>
        <v/>
      </c>
      <c r="N348">
        <f>L348*(1-MIN((Inputs!$B$9+((C353=TRUE)*(F353-Calc!F16))+B362),100)/100)+M348*(MIN((Inputs!$B$9+((C353=TRUE)*(F353-Calc!F16))+B362),100)/100)</f>
        <v/>
      </c>
      <c r="O348">
        <f>(1-Summary!$B$55)*T348+Summary!$B$55*V348</f>
        <v/>
      </c>
      <c r="P348">
        <f>IF(B372=0,0,O348/B372)</f>
        <v/>
      </c>
      <c r="Q348">
        <f>IFERROR(1/IF(Inputs!$B$38="pvp",15,MAX(0.1,Skills!D11-IF(Skills!E11=TRUE,Inputs!$B$32,0))),0)</f>
        <v/>
      </c>
      <c r="R348">
        <f>IF(AND(Inputs!$B$38&lt;&gt;"pvp",Inputs!$B$43&gt;0),IF(MAX(0,Inputs!$B$43-B369)&lt;=0,0,(INT(MAX(0,Inputs!$B$43-B369)/IF(Inputs!$B$38="pvp",15,MAX(0.1,Skills!D11-IF(Skills!E11=TRUE,Inputs!$B$32,0))))+1)),0)</f>
        <v/>
      </c>
      <c r="S348">
        <f>IFERROR(O348/N348,0)</f>
        <v/>
      </c>
      <c r="T348">
        <f>IF(C348,(H348*N348*IF(AND(Inputs!$B$38&lt;&gt;"pvp",Inputs!$B$43&gt;0),((Skills!G11*((R348-1)*IF(Skills!H11&gt;0,Skills!I11/Skills!H11,1)+IF(Skills!H11&gt;0,MIN(Skills!I11,MAX(0,MAX(0,Inputs!$B$43-B369)-((R348-1)*IF(Inputs!$B$38="pvp",15,MAX(0.1,Skills!D11-IF(Skills!E11=TRUE,Inputs!$B$32,0))))))/Skills!H11,1)))/Inputs!$B$43),G348*Q348))*IF(Inputs!$B$38="pvp",1,1+(Inputs!$B$20+0+Skills!P11)/100),0)</f>
        <v/>
      </c>
      <c r="V348">
        <f>IF(C348,(H348*N348*IF(AND(Inputs!$B$38&lt;&gt;"pvp",Inputs!$B$43&gt;0),((Skills!G11*((R348-1)*IF(Skills!H11&gt;0,Skills!I11/Skills!H11,1)+IF(Skills!H11&gt;0,MIN(Skills!I11,MAX(0,MAX(0,Inputs!$B$43-B369)-((R348-1)*IF(Inputs!$B$38="pvp",15,MAX(0.1,Skills!D11-IF(Skills!E11=TRUE,Inputs!$B$32,0))))))/Skills!H11,1)))/Inputs!$B$43),G348*Q348))*IF(Inputs!$B$38="pvp",1,(1+(Inputs!$B$21+Skills!Q11)/100)*(MIN(Skills!R11,Inputs!$B$37))),0)</f>
        <v/>
      </c>
    </row>
    <row r="349">
      <c r="A349">
        <f>Skills!A12</f>
        <v/>
      </c>
      <c r="B349">
        <f>Skills!B12</f>
        <v/>
      </c>
      <c r="C349">
        <f>Inputs!$B$3&gt;=100</f>
        <v/>
      </c>
      <c r="D349">
        <f>IF(Skills!C12=1,60+Inputs!$B$25+Inputs!$B$29,IF(Skills!C12=2,90+Inputs!$B$26+Inputs!$B$29,IF(Skills!C12=3,120+Inputs!$B$27+Inputs!$B$29,MAX(0,(Inputs!$B$3-100)*3)+Inputs!$B$28+Inputs!$B$29)))</f>
        <v/>
      </c>
      <c r="E349">
        <f>INDEX(FactorTable!$B$2:$Y$301, MATCH(ROUND(MIN(300,MAX(1,D349)),0), FactorTable!$A$2:$A$301,0), Skills!M12+1)</f>
        <v/>
      </c>
      <c r="F349">
        <f>IF(Skills!N12=TRUE,(Skills!L12/10)*(E349/1000),Skills!L12/10)+Skills!O12</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Skills!A13</f>
        <v/>
      </c>
      <c r="B350">
        <f>Skills!B13</f>
        <v/>
      </c>
      <c r="C350">
        <f>Inputs!$B$3&gt;=66</f>
        <v/>
      </c>
      <c r="D350">
        <f>IF(Skills!C13=1,60+Inputs!$B$25+Inputs!$B$29,IF(Skills!C13=2,90+Inputs!$B$26+Inputs!$B$29,IF(Skills!C13=3,120+Inputs!$B$27+Inputs!$B$29,MAX(0,(Inputs!$B$3-100)*3)+Inputs!$B$28+Inputs!$B$29)))</f>
        <v/>
      </c>
      <c r="E350">
        <f>INDEX(FactorTable!$B$2:$Y$301, MATCH(ROUND(MIN(300,MAX(1,D350)),0), FactorTable!$A$2:$A$301,0), Skills!M13+1)</f>
        <v/>
      </c>
      <c r="F350">
        <f>IF(Skills!N13=TRUE,(Skills!L13/10)*(E350/1000),Skills!L13/10)+Skills!O13</f>
        <v/>
      </c>
      <c r="G350">
        <f>Skills!G13*IF(Skills!H13&gt;0,Skills!I13/Skills!H13,1)</f>
        <v/>
      </c>
      <c r="H350">
        <f>1-(1-Skills!J13/100)^Skills!K13</f>
        <v/>
      </c>
      <c r="I350" t="inlineStr">
        <is>
          <t>1</t>
        </is>
      </c>
      <c r="J350" t="inlineStr"/>
      <c r="K350" t="inlineStr"/>
      <c r="L350" t="inlineStr"/>
      <c r="M350" t="inlineStr"/>
      <c r="N350" t="inlineStr"/>
      <c r="O350">
        <f>(1-Summary!$B$55)*T350+Summary!$B$55*V350</f>
        <v/>
      </c>
      <c r="P350">
        <f>IF(B372=0,0,O350/B372)</f>
        <v/>
      </c>
      <c r="Q350" t="n">
        <v>0</v>
      </c>
      <c r="R350" t="n">
        <v>0</v>
      </c>
      <c r="S350">
        <f>IFERROR(O350/N350,0)</f>
        <v/>
      </c>
      <c r="T350" t="n">
        <v>0</v>
      </c>
      <c r="V350" t="n">
        <v>0</v>
      </c>
    </row>
    <row r="351">
      <c r="A351">
        <f>Skills!A14</f>
        <v/>
      </c>
      <c r="B351">
        <f>Skills!B14</f>
        <v/>
      </c>
      <c r="C351">
        <f>Inputs!$B$3&gt;=107</f>
        <v/>
      </c>
      <c r="D351">
        <f>IF(Skills!C14=1,60+Inputs!$B$25+Inputs!$B$29,IF(Skills!C14=2,90+Inputs!$B$26+Inputs!$B$29,IF(Skills!C14=3,120+Inputs!$B$27+Inputs!$B$29,MAX(0,(Inputs!$B$3-100)*3)+Inputs!$B$28+Inputs!$B$29)))</f>
        <v/>
      </c>
      <c r="E351">
        <f>INDEX(FactorTable!$B$2:$Y$301, MATCH(ROUND(MIN(300,MAX(1,D351)),0), FactorTable!$A$2:$A$301,0), Skills!M14+1)</f>
        <v/>
      </c>
      <c r="F351">
        <f>IF(Skills!N14=TRUE,(Skills!L14/10)*(E351/1000),Skills!L14/10)+Skills!O14</f>
        <v/>
      </c>
      <c r="G351">
        <f>Skills!G14*IF(Skills!H14&gt;0,Skills!I14/Skills!H14,1)</f>
        <v/>
      </c>
      <c r="H351">
        <f>1-(1-Skills!J14/100)^Skills!K14</f>
        <v/>
      </c>
      <c r="I351" t="inlineStr">
        <is>
          <t>1</t>
        </is>
      </c>
      <c r="J351" t="inlineStr"/>
      <c r="K351" t="inlineStr"/>
      <c r="L351" t="inlineStr"/>
      <c r="M351" t="inlineStr"/>
      <c r="N351" t="inlineStr"/>
      <c r="O351">
        <f>(1-Summary!$B$55)*T351+Summary!$B$55*V351</f>
        <v/>
      </c>
      <c r="P351">
        <f>IF(B372=0,0,O351/B372)</f>
        <v/>
      </c>
      <c r="Q351" t="n">
        <v>0</v>
      </c>
      <c r="R351" t="n">
        <v>0</v>
      </c>
      <c r="S351">
        <f>IFERROR(O351/N351,0)</f>
        <v/>
      </c>
      <c r="T351" t="n">
        <v>0</v>
      </c>
      <c r="V351" t="n">
        <v>0</v>
      </c>
    </row>
    <row r="352">
      <c r="A352">
        <f>Skills!A15</f>
        <v/>
      </c>
      <c r="B352">
        <f>Skills!B15</f>
        <v/>
      </c>
      <c r="C352">
        <f>Inputs!$B$3&gt;=115</f>
        <v/>
      </c>
      <c r="D352">
        <f>IF(Skills!C15=1,60+Inputs!$B$25+Inputs!$B$29,IF(Skills!C15=2,90+Inputs!$B$26+Inputs!$B$29,IF(Skills!C15=3,120+Inputs!$B$27+Inputs!$B$29,MAX(0,(Inputs!$B$3-100)*3)+Inputs!$B$28+Inputs!$B$29)))</f>
        <v/>
      </c>
      <c r="E352">
        <f>INDEX(FactorTable!$B$2:$Y$301, MATCH(ROUND(MIN(300,MAX(1,D352)),0), FactorTable!$A$2:$A$301,0), Skills!M15+1)</f>
        <v/>
      </c>
      <c r="F352">
        <f>IF(Skills!N15=TRUE,(Skills!L15/10)*(E352/1000),Skills!L15/10)+Skills!O15</f>
        <v/>
      </c>
      <c r="G352">
        <f>Skills!G15*IF(Skills!H15&gt;0,Skills!I15/Skills!H15,1)</f>
        <v/>
      </c>
      <c r="H352">
        <f>1-(1-Skills!J15/100)^Skills!K15</f>
        <v/>
      </c>
      <c r="I352" t="inlineStr">
        <is>
          <t>1</t>
        </is>
      </c>
      <c r="J352" t="inlineStr"/>
      <c r="K352" t="inlineStr"/>
      <c r="L352" t="inlineStr"/>
      <c r="M352" t="inlineStr"/>
      <c r="N352" t="inlineStr"/>
      <c r="O352">
        <f>(1-Summary!$B$55)*T352+Summary!$B$55*V352</f>
        <v/>
      </c>
      <c r="P352">
        <f>IF(B372=0,0,O352/B372)</f>
        <v/>
      </c>
      <c r="Q352" t="n">
        <v>0</v>
      </c>
      <c r="R352" t="n">
        <v>0</v>
      </c>
      <c r="S352">
        <f>IFERROR(O352/N352,0)</f>
        <v/>
      </c>
      <c r="T352" t="n">
        <v>0</v>
      </c>
      <c r="V352" t="n">
        <v>0</v>
      </c>
    </row>
    <row r="353">
      <c r="A353">
        <f>Skills!A16</f>
        <v/>
      </c>
      <c r="B353">
        <f>Skills!B16</f>
        <v/>
      </c>
      <c r="C353">
        <f>Inputs!$B$3&gt;=15</f>
        <v/>
      </c>
      <c r="D353">
        <f>IF(Skills!C16=1,60+Inputs!$B$25+Inputs!$B$29,IF(Skills!C16=2,90+Inputs!$B$26+Inputs!$B$29,IF(Skills!C16=3,120+Inputs!$B$27+Inputs!$B$29,MAX(0,(Inputs!$B$3-100)*3)+Inputs!$B$28+Inputs!$B$29)))</f>
        <v/>
      </c>
      <c r="E353">
        <f>INDEX(FactorTable!$B$2:$Y$301, MATCH(ROUND(MIN(300,MAX(1,D353)),0), FactorTable!$A$2:$A$301,0), Skills!M16+1)</f>
        <v/>
      </c>
      <c r="F353">
        <f>IF(Skills!N16=TRUE,(Skills!L16/10)*(E353/1000),Skills!L16/10)+Skills!O16</f>
        <v/>
      </c>
      <c r="G353">
        <f>Skills!G16*IF(Skills!H16&gt;0,Skills!I16/Skills!H16,1)</f>
        <v/>
      </c>
      <c r="H353">
        <f>1-(1-Skills!J16/100)^Skills!K16</f>
        <v/>
      </c>
      <c r="I353" t="inlineStr">
        <is>
          <t>1</t>
        </is>
      </c>
      <c r="J353" t="inlineStr"/>
      <c r="K353" t="inlineStr"/>
      <c r="L353" t="inlineStr"/>
      <c r="M353" t="inlineStr"/>
      <c r="N353" t="inlineStr"/>
      <c r="O353">
        <f>(1-Summary!$B$55)*T353+Summary!$B$55*V353</f>
        <v/>
      </c>
      <c r="P353">
        <f>IF(B372=0,0,O353/B372)</f>
        <v/>
      </c>
      <c r="Q353" t="n">
        <v>0</v>
      </c>
      <c r="R353" t="n">
        <v>0</v>
      </c>
      <c r="S353">
        <f>IFERROR(O353/N353,0)</f>
        <v/>
      </c>
      <c r="T353" t="n">
        <v>0</v>
      </c>
      <c r="V353" t="n">
        <v>0</v>
      </c>
    </row>
    <row r="354">
      <c r="A354">
        <f>Skills!A17</f>
        <v/>
      </c>
      <c r="B354">
        <f>Skills!B17</f>
        <v/>
      </c>
      <c r="C354">
        <f>Inputs!$B$3&gt;=10</f>
        <v/>
      </c>
      <c r="D354">
        <f>IF(Skills!C17=1,60+Inputs!$B$25+Inputs!$B$29,IF(Skills!C17=2,90+Inputs!$B$26+Inputs!$B$29,IF(Skills!C17=3,120+Inputs!$B$27+Inputs!$B$29,MAX(0,(Inputs!$B$3-100)*3)+Inputs!$B$28+Inputs!$B$29)))</f>
        <v/>
      </c>
      <c r="E354">
        <f>INDEX(FactorTable!$B$2:$Y$301, MATCH(ROUND(MIN(300,MAX(1,D354)),0), FactorTable!$A$2:$A$301,0), Skills!M17+1)</f>
        <v/>
      </c>
      <c r="F354">
        <f>IF(Skills!N17=TRUE,(Skills!L17/10)*(E354/1000),Skills!L17/10)+Skills!O17</f>
        <v/>
      </c>
      <c r="G354">
        <f>Skills!G17*IF(Skills!H17&gt;0,Skills!I17/Skills!H17,1)</f>
        <v/>
      </c>
      <c r="H354">
        <f>1-(1-Skills!J17/100)^Skills!K17</f>
        <v/>
      </c>
      <c r="I354" t="inlineStr">
        <is>
          <t>1</t>
        </is>
      </c>
      <c r="J354" t="inlineStr"/>
      <c r="K354" t="inlineStr"/>
      <c r="L354" t="inlineStr"/>
      <c r="M354" t="inlineStr"/>
      <c r="N354" t="inlineStr"/>
      <c r="O354">
        <f>(1-Summary!$B$55)*T354+Summary!$B$55*V354</f>
        <v/>
      </c>
      <c r="P354">
        <f>IF(B372=0,0,O354/B372)</f>
        <v/>
      </c>
      <c r="Q354" t="n">
        <v>0</v>
      </c>
      <c r="R354" t="n">
        <v>0</v>
      </c>
      <c r="S354">
        <f>IFERROR(O354/N354,0)</f>
        <v/>
      </c>
      <c r="T354" t="n">
        <v>0</v>
      </c>
      <c r="V354" t="n">
        <v>0</v>
      </c>
    </row>
    <row r="355">
      <c r="A355">
        <f>Skills!A18</f>
        <v/>
      </c>
      <c r="B355">
        <f>Skills!B18</f>
        <v/>
      </c>
      <c r="C355">
        <f>Inputs!$B$3&gt;=33</f>
        <v/>
      </c>
      <c r="D355">
        <f>IF(Skills!C18=1,60+Inputs!$B$25+Inputs!$B$29,IF(Skills!C18=2,90+Inputs!$B$26+Inputs!$B$29,IF(Skills!C18=3,120+Inputs!$B$27+Inputs!$B$29,MAX(0,(Inputs!$B$3-100)*3)+Inputs!$B$28+Inputs!$B$29)))</f>
        <v/>
      </c>
      <c r="E355">
        <f>INDEX(FactorTable!$B$2:$Y$301, MATCH(ROUND(MIN(300,MAX(1,D355)),0), FactorTable!$A$2:$A$301,0), Skills!M18+1)</f>
        <v/>
      </c>
      <c r="F355">
        <f>IF(Skills!N18=TRUE,(Skills!L18/10)*(E355/1000),Skills!L18/10)+Skills!O18</f>
        <v/>
      </c>
      <c r="G355">
        <f>Skills!G18*IF(Skills!H18&gt;0,Skills!I18/Skills!H18,1)</f>
        <v/>
      </c>
      <c r="H355">
        <f>1-(1-Skills!J18/100)^Skills!K18</f>
        <v/>
      </c>
      <c r="I355" t="inlineStr">
        <is>
          <t>1</t>
        </is>
      </c>
      <c r="J355" t="inlineStr"/>
      <c r="K355" t="inlineStr"/>
      <c r="L355" t="inlineStr"/>
      <c r="M355" t="inlineStr"/>
      <c r="N355" t="inlineStr"/>
      <c r="O355">
        <f>(1-Summary!$B$55)*T355+Summary!$B$55*V355</f>
        <v/>
      </c>
      <c r="P355">
        <f>IF(B372=0,0,O355/B372)</f>
        <v/>
      </c>
      <c r="Q355" t="n">
        <v>0</v>
      </c>
      <c r="R355" t="n">
        <v>0</v>
      </c>
      <c r="S355">
        <f>IFERROR(O355/N355,0)</f>
        <v/>
      </c>
      <c r="T355" t="n">
        <v>0</v>
      </c>
      <c r="V355" t="n">
        <v>0</v>
      </c>
    </row>
    <row r="356">
      <c r="A356">
        <f>Skills!A19</f>
        <v/>
      </c>
      <c r="B356">
        <f>Skills!B19</f>
        <v/>
      </c>
      <c r="C356">
        <f>Inputs!$B$3&gt;=40</f>
        <v/>
      </c>
      <c r="D356">
        <f>IF(Skills!C19=1,60+Inputs!$B$25+Inputs!$B$29,IF(Skills!C19=2,90+Inputs!$B$26+Inputs!$B$29,IF(Skills!C19=3,120+Inputs!$B$27+Inputs!$B$29,MAX(0,(Inputs!$B$3-100)*3)+Inputs!$B$28+Inputs!$B$29)))</f>
        <v/>
      </c>
      <c r="E356">
        <f>INDEX(FactorTable!$B$2:$Y$301, MATCH(ROUND(MIN(300,MAX(1,D356)),0), FactorTable!$A$2:$A$301,0), Skills!M19+1)</f>
        <v/>
      </c>
      <c r="F356">
        <f>IF(Skills!N19=TRUE,(Skills!L19/10)*(E356/1000),Skills!L19/10)+Skills!O19</f>
        <v/>
      </c>
      <c r="G356">
        <f>Skills!G19*IF(Skills!H19&gt;0,Skills!I19/Skills!H19,1)</f>
        <v/>
      </c>
      <c r="H356">
        <f>1-(1-Skills!J19/100)^Skills!K19</f>
        <v/>
      </c>
      <c r="I356" t="inlineStr">
        <is>
          <t>1</t>
        </is>
      </c>
      <c r="J356" t="inlineStr"/>
      <c r="K356" t="inlineStr"/>
      <c r="L356" t="inlineStr"/>
      <c r="M356" t="inlineStr"/>
      <c r="N356" t="inlineStr"/>
      <c r="O356">
        <f>(1-Summary!$B$55)*T356+Summary!$B$55*V356</f>
        <v/>
      </c>
      <c r="P356">
        <f>IF(B372=0,0,O356/B372)</f>
        <v/>
      </c>
      <c r="Q356" t="n">
        <v>0</v>
      </c>
      <c r="R356" t="n">
        <v>0</v>
      </c>
      <c r="S356">
        <f>IFERROR(O356/N356,0)</f>
        <v/>
      </c>
      <c r="T356" t="n">
        <v>0</v>
      </c>
      <c r="V356" t="n">
        <v>0</v>
      </c>
    </row>
    <row r="357">
      <c r="A357">
        <f>Skills!A20</f>
        <v/>
      </c>
      <c r="B357">
        <f>Skills!B20</f>
        <v/>
      </c>
      <c r="C357">
        <f>Inputs!$B$3&gt;=43</f>
        <v/>
      </c>
      <c r="D357">
        <f>IF(Skills!C20=1,60+Inputs!$B$25+Inputs!$B$29,IF(Skills!C20=2,90+Inputs!$B$26+Inputs!$B$29,IF(Skills!C20=3,120+Inputs!$B$27+Inputs!$B$29,MAX(0,(Inputs!$B$3-100)*3)+Inputs!$B$28+Inputs!$B$29)))</f>
        <v/>
      </c>
      <c r="E357">
        <f>INDEX(FactorTable!$B$2:$Y$301, MATCH(ROUND(MIN(300,MAX(1,D357)),0), FactorTable!$A$2:$A$301,0), Skills!M20+1)</f>
        <v/>
      </c>
      <c r="F357">
        <f>IF(Skills!N20=TRUE,(Skills!L20/10)*(E357/1000),Skills!L20/10)+Skills!O20</f>
        <v/>
      </c>
      <c r="G357">
        <f>Skills!G20*IF(Skills!H20&gt;0,Skills!I20/Skills!H20,1)</f>
        <v/>
      </c>
      <c r="H357">
        <f>1-(1-Skills!J20/100)^Skills!K20</f>
        <v/>
      </c>
      <c r="I357" t="inlineStr">
        <is>
          <t>1</t>
        </is>
      </c>
      <c r="J357" t="inlineStr"/>
      <c r="K357" t="inlineStr"/>
      <c r="L357" t="inlineStr"/>
      <c r="M357" t="inlineStr"/>
      <c r="N357" t="inlineStr"/>
      <c r="O357">
        <f>(1-Summary!$B$55)*T357+Summary!$B$55*V357</f>
        <v/>
      </c>
      <c r="P357">
        <f>IF(B372=0,0,O357/B372)</f>
        <v/>
      </c>
      <c r="Q357" t="n">
        <v>0</v>
      </c>
      <c r="R357" t="n">
        <v>0</v>
      </c>
      <c r="S357">
        <f>IFERROR(O357/N357,0)</f>
        <v/>
      </c>
      <c r="T357" t="n">
        <v>0</v>
      </c>
      <c r="V357" t="n">
        <v>0</v>
      </c>
    </row>
    <row r="358">
      <c r="A358">
        <f>Skills!A21</f>
        <v/>
      </c>
      <c r="B358">
        <f>Skills!B21</f>
        <v/>
      </c>
      <c r="C358">
        <f>Inputs!$B$3&gt;=38</f>
        <v/>
      </c>
      <c r="D358">
        <f>IF(Skills!C21=1,60+Inputs!$B$25+Inputs!$B$29,IF(Skills!C21=2,90+Inputs!$B$26+Inputs!$B$29,IF(Skills!C21=3,120+Inputs!$B$27+Inputs!$B$29,MAX(0,(Inputs!$B$3-100)*3)+Inputs!$B$28+Inputs!$B$29)))</f>
        <v/>
      </c>
      <c r="E358">
        <f>INDEX(FactorTable!$B$2:$Y$301, MATCH(ROUND(MIN(300,MAX(1,D358)),0), FactorTable!$A$2:$A$301,0), Skills!M21+1)</f>
        <v/>
      </c>
      <c r="F358">
        <f>IF(Skills!N21=TRUE,(Skills!L21/10)*(E358/1000),Skills!L21/10)+Skills!O21</f>
        <v/>
      </c>
      <c r="G358">
        <f>Skills!G21*IF(Skills!H21&gt;0,Skills!I21/Skills!H21,1)</f>
        <v/>
      </c>
      <c r="H358">
        <f>1-(1-Skills!J21/100)^Skills!K21</f>
        <v/>
      </c>
      <c r="I358" t="inlineStr">
        <is>
          <t>1</t>
        </is>
      </c>
      <c r="J358" t="inlineStr"/>
      <c r="K358" t="inlineStr"/>
      <c r="L358" t="inlineStr"/>
      <c r="M358" t="inlineStr"/>
      <c r="N358" t="inlineStr"/>
      <c r="O358">
        <f>(1-Summary!$B$55)*T358+Summary!$B$55*V358</f>
        <v/>
      </c>
      <c r="P358">
        <f>IF(B372=0,0,O358/B372)</f>
        <v/>
      </c>
      <c r="Q358" t="n">
        <v>0</v>
      </c>
      <c r="R358" t="n">
        <v>0</v>
      </c>
      <c r="S358">
        <f>IFERROR(O358/N358,0)</f>
        <v/>
      </c>
      <c r="T358" t="n">
        <v>0</v>
      </c>
      <c r="V358" t="n">
        <v>0</v>
      </c>
    </row>
    <row r="359">
      <c r="A359">
        <f>Skills!A22</f>
        <v/>
      </c>
      <c r="B359">
        <f>Skills!B22</f>
        <v/>
      </c>
      <c r="C359">
        <f>Inputs!$B$3&gt;=75</f>
        <v/>
      </c>
      <c r="D359">
        <f>IF(Skills!C22=1,60+Inputs!$B$25+Inputs!$B$29,IF(Skills!C22=2,90+Inputs!$B$26+Inputs!$B$29,IF(Skills!C22=3,120+Inputs!$B$27+Inputs!$B$29,MAX(0,(Inputs!$B$3-100)*3)+Inputs!$B$28+Inputs!$B$29)))</f>
        <v/>
      </c>
      <c r="E359">
        <f>INDEX(FactorTable!$B$2:$Y$301, MATCH(ROUND(MIN(300,MAX(1,D359)),0), FactorTable!$A$2:$A$301,0), Skills!M22+1)</f>
        <v/>
      </c>
      <c r="F359">
        <f>IF(Skills!N22=TRUE,(Skills!L22/10)*(E359/1000),Skills!L22/10)+Skills!O22</f>
        <v/>
      </c>
      <c r="G359">
        <f>Skills!G22*IF(Skills!H22&gt;0,Skills!I22/Skills!H22,1)</f>
        <v/>
      </c>
      <c r="H359">
        <f>1-(1-Skills!J22/100)^Skills!K22</f>
        <v/>
      </c>
      <c r="I359" t="inlineStr">
        <is>
          <t>1</t>
        </is>
      </c>
      <c r="J359" t="inlineStr"/>
      <c r="K359" t="inlineStr"/>
      <c r="L359" t="inlineStr"/>
      <c r="M359" t="inlineStr"/>
      <c r="N359" t="inlineStr"/>
      <c r="O359">
        <f>(1-Summary!$B$55)*T359+Summary!$B$55*V359</f>
        <v/>
      </c>
      <c r="P359">
        <f>IF(B372=0,0,O359/B372)</f>
        <v/>
      </c>
      <c r="Q359" t="n">
        <v>0</v>
      </c>
      <c r="R359" t="n">
        <v>0</v>
      </c>
      <c r="S359">
        <f>IFERROR(O359/N359,0)</f>
        <v/>
      </c>
      <c r="T359" t="n">
        <v>0</v>
      </c>
      <c r="V359" t="n">
        <v>0</v>
      </c>
    </row>
    <row r="361">
      <c r="A361" t="inlineStr">
        <is>
          <t>Attack% Bucket Multiplier</t>
        </is>
      </c>
      <c r="B361">
        <f>(1+(((C350=TRUE)*F350)+((C356=TRUE)*(F356-Calc!F19)))/100)</f>
        <v/>
      </c>
    </row>
    <row r="362">
      <c r="A362" t="inlineStr">
        <is>
          <t>Global Crit Rate Bonus %</t>
        </is>
      </c>
      <c r="B362" t="n">
        <v>0</v>
      </c>
    </row>
    <row r="363">
      <c r="A363" t="inlineStr">
        <is>
          <t>Attack Speed Buff Bonus % (unused)</t>
        </is>
      </c>
      <c r="B363" t="n">
        <v>0</v>
      </c>
    </row>
    <row r="364">
      <c r="A364" t="inlineStr">
        <is>
          <t>Actions Per Second</t>
        </is>
      </c>
      <c r="B364">
        <f>1+MIN(150,150*(1-(1-(Inputs!$B$11+((C354=TRUE)*(F354-Calc!F17))+((C355=TRUE)*(F355-Calc!F18)))/150)*(1-B363/150)))/100</f>
        <v/>
      </c>
    </row>
    <row r="365">
      <c r="A365" t="inlineStr">
        <is>
          <t>Skill + Buff Cast Rate</t>
        </is>
      </c>
      <c r="B365">
        <f>IF(AND(Inputs!$B$38&lt;&gt;"pvp",Inputs!$B$43&gt;0),SUMPRODUCT((Skills!E2:E22=TRUE)*(C339:C359=TRUE)*R339:R359*Skills!F2:F22)/Inputs!$B$43,SUMPRODUCT((Skills!E2:E22=TRUE)*(C339:C359=TRUE)*Q339:Q359*Skills!F2:F22))</f>
        <v/>
      </c>
    </row>
    <row r="366">
      <c r="A366" t="inlineStr">
        <is>
          <t>Hook Bomber Casts Per Second</t>
        </is>
      </c>
      <c r="B366">
        <f>MAX(0,B364-B365)</f>
        <v/>
      </c>
    </row>
    <row r="367">
      <c r="A367" t="inlineStr">
        <is>
          <t>Global Critical Damage Bonus % (unused)</t>
        </is>
      </c>
      <c r="B367" t="n">
        <v>0</v>
      </c>
    </row>
    <row r="368">
      <c r="A368" t="inlineStr">
        <is>
          <t>Global Final Damage Bonus % (Serpent Scale + Crossbones + Time Leap + Speed Infusion)</t>
        </is>
      </c>
      <c r="B368">
        <f>((C342=TRUE)*F342*((10+IF(Inputs!$B$3&gt;=94,5,0))/((10+IF(Inputs!$B$3&gt;=94,5,0))+5/(B366*(1+IF(Inputs!$B$3&gt;=104,1,0))))))+((C351=TRUE)*F351)+((C352=TRUE)*F352)+((Inputs!$B$3&gt;=110)*20*(B364-1))</f>
        <v/>
      </c>
    </row>
    <row r="369">
      <c r="A369" t="inlineStr">
        <is>
          <t>Buff-Casting Startup Delay (s, fixed-duration only)</t>
        </is>
      </c>
      <c r="B369">
        <f>IF(AND(Inputs!$B$38&lt;&gt;"pvp",Inputs!$B$43&gt;0),SUMPRODUCT((Skills!T2:T22&gt;0)*(Skills!E2:E22=TRUE)*(C339:C359=TRUE))/B364,0)</f>
        <v/>
      </c>
    </row>
    <row r="370">
      <c r="A370" t="inlineStr">
        <is>
          <t>Boss-Only Total DPS (this block's swept value)</t>
        </is>
      </c>
      <c r="B370">
        <f>SUM(T339:T359)</f>
        <v/>
      </c>
    </row>
    <row r="371">
      <c r="A371" t="inlineStr">
        <is>
          <t>Normal-Only Total DPS (this block's swept value)</t>
        </is>
      </c>
      <c r="B371">
        <f>SUM(V339:V359)</f>
        <v/>
      </c>
    </row>
    <row r="372">
      <c r="A372" s="5" t="inlineStr">
        <is>
          <t>TOTAL DPS</t>
        </is>
      </c>
      <c r="B372" s="5">
        <f>SUM(O339:O359)</f>
        <v/>
      </c>
    </row>
    <row r="375">
      <c r="A375" s="5" t="inlineStr">
        <is>
          <t>Stat: MAX_DAMAGE %</t>
        </is>
      </c>
    </row>
    <row r="376">
      <c r="A376" s="9" t="inlineStr">
        <is>
          <t>Key</t>
        </is>
      </c>
      <c r="B376" s="9" t="inlineStr">
        <is>
          <t>Name</t>
        </is>
      </c>
      <c r="C376" s="9" t="inlineStr">
        <is>
          <t>Unlocked</t>
        </is>
      </c>
      <c r="D376" s="9" t="inlineStr">
        <is>
          <t>InputLevel</t>
        </is>
      </c>
      <c r="E376" s="9" t="inlineStr">
        <is>
          <t>Factor</t>
        </is>
      </c>
      <c r="F376" s="9" t="inlineStr">
        <is>
          <t>CoefficientPercent</t>
        </is>
      </c>
      <c r="G376" s="9" t="inlineStr">
        <is>
          <t>EffectiveHits</t>
        </is>
      </c>
      <c r="H376" s="9" t="inlineStr">
        <is>
          <t>ProcProbability</t>
        </is>
      </c>
      <c r="I376" s="9" t="inlineStr">
        <is>
          <t>MapleHeroMultiplier</t>
        </is>
      </c>
      <c r="J376" s="9" t="inlineStr">
        <is>
          <t>BaseDamage</t>
        </is>
      </c>
      <c r="K376" s="9" t="inlineStr">
        <is>
          <t>BaseHitDamage</t>
        </is>
      </c>
      <c r="L376" s="9" t="inlineStr">
        <is>
          <t>NonCritAvg</t>
        </is>
      </c>
      <c r="M376" s="9" t="inlineStr">
        <is>
          <t>CritAvg</t>
        </is>
      </c>
      <c r="N376" s="9" t="inlineStr">
        <is>
          <t>ExpectedDamage(perHit)</t>
        </is>
      </c>
      <c r="O376" s="9" t="inlineStr">
        <is>
          <t>DPS</t>
        </is>
      </c>
      <c r="P376" s="9" t="inlineStr">
        <is>
          <t>% of Total</t>
        </is>
      </c>
      <c r="Q376" s="9" t="inlineStr">
        <is>
          <t>InvCooldown</t>
        </is>
      </c>
      <c r="R376" s="9" t="inlineStr">
        <is>
          <t>CastsInFight</t>
        </is>
      </c>
      <c r="S376" s="9" t="inlineStr">
        <is>
          <t>HitRate(perSec)</t>
        </is>
      </c>
      <c r="U376" t="inlineStr">
        <is>
          <t>helpers</t>
        </is>
      </c>
    </row>
    <row r="377">
      <c r="A377">
        <f>Skills!A2</f>
        <v/>
      </c>
      <c r="B377">
        <f>Skills!B2</f>
        <v/>
      </c>
      <c r="C377">
        <f>Inputs!$B$3&gt;=100</f>
        <v/>
      </c>
      <c r="D377" t="inlineStr"/>
      <c r="E377" t="inlineStr"/>
      <c r="F377">
        <f>U379+Skills!O2</f>
        <v/>
      </c>
      <c r="G377">
        <f>Skills!G2*IF(Skills!H2&gt;0,Skills!I2/Skills!H2,1)</f>
        <v/>
      </c>
      <c r="H377">
        <f>1-(1-Skills!J2/100)^Skills!K2</f>
        <v/>
      </c>
      <c r="I377" t="inlineStr">
        <is>
          <t>1</t>
        </is>
      </c>
      <c r="J377">
        <f>((Inputs!$B$6*(1+Inputs!$B$7/100))+(((Inputs!$B$12*(1+Inputs!$B$13/100))-(Inputs!$B$12*(1+Inputs!$B$13/100)))+0.25*(Inputs!$B$14-Inputs!$B$14))*(1+Inputs!$B$7/100))*(F377/100)</f>
        <v/>
      </c>
      <c r="K377">
        <f>J377*(1+((Inputs!$B$12*(1+Inputs!$B$13/100))*0.01+Inputs!$B$14*0.0025)/100)*(1+Inputs!$B$15/100)*(1+Inputs!$B$16/100)*(5000/(6000+Inputs!$B$42*(1-(Inputs!$B$19+0)/100)))*(1+(Inputs!$B$24+((C397=TRUE)*(F397-Calc!F22))+B406)/100)*(1+(IF(Skills!A2="HOOK_BOMBER",Inputs!$B$17+((C396=TRUE)*(F396-Calc!F21)),Inputs!$B$18+0))/100)*((1+(((C388=TRUE)*F388)+((C394=TRUE)*(F394-Calc!F19)))/100)*I377)</f>
        <v/>
      </c>
      <c r="L377">
        <f>K377*(MIN(Inputs!$B$22+((C395=TRUE)*(F395-Calc!F20)),(Inputs!$B$23+1)+0)/100+((Inputs!$B$23+1)+0)/100)/2</f>
        <v/>
      </c>
      <c r="M377">
        <f>L377*(1+(Inputs!$B$10+0+B405)/100)</f>
        <v/>
      </c>
      <c r="N377">
        <f>L377*(1-MIN((Inputs!$B$9+((C391=TRUE)*(F391-Calc!F16))+B400),100)/100)+M377*(MIN((Inputs!$B$9+((C391=TRUE)*(F391-Calc!F16))+B400),100)/100)</f>
        <v/>
      </c>
      <c r="O377">
        <f>(1-Summary!$B$55)*T377+Summary!$B$55*V377</f>
        <v/>
      </c>
      <c r="P377">
        <f>IF(B410=0,0,O377/B410)</f>
        <v/>
      </c>
      <c r="Q377" t="n">
        <v>0</v>
      </c>
      <c r="R377" t="n">
        <v>0</v>
      </c>
      <c r="S377">
        <f>IFERROR(O377/N377,0)</f>
        <v/>
      </c>
      <c r="T377">
        <f>IF(C377,(Skills!G2*N377*B404)*IF(Inputs!$B$38="pvp",1,1+(Inputs!$B$20+0+Skills!P2)/100),0)</f>
        <v/>
      </c>
      <c r="U377">
        <f>MAX(0,(Inputs!$B$3-100)*3)+Inputs!$B$28+Inputs!$B$29</f>
        <v/>
      </c>
      <c r="V377">
        <f>IF(C377,(Skills!G2*N377*B404)*IF(Inputs!$B$38="pvp",1,(1+(Inputs!$B$21+Skills!Q2)/100)*(MIN((6+Inputs!$B$33),Inputs!$B$37))),0)</f>
        <v/>
      </c>
    </row>
    <row r="378">
      <c r="A378">
        <f>Skills!A3</f>
        <v/>
      </c>
      <c r="B378">
        <f>Skills!B3</f>
        <v/>
      </c>
      <c r="C378">
        <f>Inputs!$B$3&gt;=35</f>
        <v/>
      </c>
      <c r="D378">
        <f>IF(Skills!C3=1,60+Inputs!$B$25+Inputs!$B$29,IF(Skills!C3=2,90+Inputs!$B$26+Inputs!$B$29,IF(Skills!C3=3,120+Inputs!$B$27+Inputs!$B$29,MAX(0,(Inputs!$B$3-100)*3)+Inputs!$B$28+Inputs!$B$29)))</f>
        <v/>
      </c>
      <c r="E378">
        <f>INDEX(FactorTable!$B$2:$Y$301, MATCH(ROUND(MIN(300,MAX(1,D378)),0), FactorTable!$A$2:$A$301,0), Skills!M3+1)</f>
        <v/>
      </c>
      <c r="F378">
        <f>IF(Skills!N3=TRUE,(Skills!L3/10)*(E378/1000),Skills!L3/10)+Skills!O3</f>
        <v/>
      </c>
      <c r="G378">
        <f>Skills!G3*IF(Skills!H3&gt;0,Skills!I3/Skills!H3,1)</f>
        <v/>
      </c>
      <c r="H378">
        <f>1-(1-Skills!J3/100)^Skills!K3</f>
        <v/>
      </c>
      <c r="I378" t="inlineStr">
        <is>
          <t>1</t>
        </is>
      </c>
      <c r="J378">
        <f>((Inputs!$B$6*(1+Inputs!$B$7/100))+(((Inputs!$B$12*(1+Inputs!$B$13/100))-(Inputs!$B$12*(1+Inputs!$B$13/100)))+0.25*(Inputs!$B$14-Inputs!$B$14))*(1+Inputs!$B$7/100))*(F378/100)</f>
        <v/>
      </c>
      <c r="K378">
        <f>J378*(1+((Inputs!$B$12*(1+Inputs!$B$13/100))*0.01+Inputs!$B$14*0.0025)/100)*(1+Inputs!$B$15/100)*(1+Inputs!$B$16/100)*(5000/(6000+Inputs!$B$42*(1-(Inputs!$B$19+0)/100)))*(1+(Inputs!$B$24+((C397=TRUE)*(F397-Calc!F22))+B406)/100)*(1+(IF(Skills!A3="HOOK_BOMBER",Inputs!$B$17+((C396=TRUE)*(F396-Calc!F21)),Inputs!$B$18+0))/100)*((1+(((C388=TRUE)*F388)+((C394=TRUE)*(F394-Calc!F19)))/100)*I378)</f>
        <v/>
      </c>
      <c r="L378">
        <f>K378*(MIN(Inputs!$B$22+((C395=TRUE)*(F395-Calc!F20)),(Inputs!$B$23+1)+0)/100+((Inputs!$B$23+1)+0)/100)/2</f>
        <v/>
      </c>
      <c r="M378">
        <f>L378*(1+(Inputs!$B$10+0+B405)/100)</f>
        <v/>
      </c>
      <c r="N378">
        <f>L378*(1-MIN((Inputs!$B$9+((C391=TRUE)*(F391-Calc!F16))+B400),100)/100)+M378*(MIN((Inputs!$B$9+((C391=TRUE)*(F391-Calc!F16))+B400),100)/100)</f>
        <v/>
      </c>
      <c r="O378">
        <f>(1-Summary!$B$55)*T378+Summary!$B$55*V378</f>
        <v/>
      </c>
      <c r="P378">
        <f>IF(B410=0,0,O378/B410)</f>
        <v/>
      </c>
      <c r="Q378" t="n">
        <v>0</v>
      </c>
      <c r="R378" t="n">
        <v>0</v>
      </c>
      <c r="S378">
        <f>IFERROR(O378/N378,0)</f>
        <v/>
      </c>
      <c r="T378">
        <f>IF(C378,(Skills!G3*H378*N378*B404)*IF(Inputs!$B$38="pvp",1,1+(Inputs!$B$20+0+Skills!P3)/100),0)</f>
        <v/>
      </c>
      <c r="U378">
        <f>INDEX(FactorTable!$B$2:$Y$301, MATCH(ROUND(MIN(300,MAX(1,U377)),0), FactorTable!$A$2:$A$301,0), 22)</f>
        <v/>
      </c>
      <c r="V378">
        <f>IF(C378,(Skills!G3*H378*N378*B404)*IF(Inputs!$B$38="pvp",1,(1+(Inputs!$B$21+Skills!Q3)/100)*(MIN(Skills!R3,Inputs!$B$37))),0)</f>
        <v/>
      </c>
    </row>
    <row r="379">
      <c r="A379">
        <f>Skills!A4</f>
        <v/>
      </c>
      <c r="B379">
        <f>Skills!B4</f>
        <v/>
      </c>
      <c r="C379">
        <f>Inputs!$B$3&gt;=60</f>
        <v/>
      </c>
      <c r="D379">
        <f>IF(Skills!C4=1,60+Inputs!$B$25+Inputs!$B$29,IF(Skills!C4=2,90+Inputs!$B$26+Inputs!$B$29,IF(Skills!C4=3,120+Inputs!$B$27+Inputs!$B$29,MAX(0,(Inputs!$B$3-100)*3)+Inputs!$B$28+Inputs!$B$29)))</f>
        <v/>
      </c>
      <c r="E379">
        <f>INDEX(FactorTable!$B$2:$Y$301, MATCH(ROUND(MIN(300,MAX(1,D379)),0), FactorTable!$A$2:$A$301,0), Skills!M4+1)</f>
        <v/>
      </c>
      <c r="F379">
        <f>IF(Skills!N4=TRUE,(Skills!L4/10)*(E379/1000),Skills!L4/10)+Skills!O4</f>
        <v/>
      </c>
      <c r="G379">
        <f>Skills!G4*IF(Skills!H4&gt;0,Skills!I4/Skills!H4,1)</f>
        <v/>
      </c>
      <c r="H379">
        <f>1-(1-Skills!J4/100)^Skills!K4</f>
        <v/>
      </c>
      <c r="I379" t="inlineStr">
        <is>
          <t>1</t>
        </is>
      </c>
      <c r="J379">
        <f>((Inputs!$B$6*(1+Inputs!$B$7/100))+(((Inputs!$B$12*(1+Inputs!$B$13/100))-(Inputs!$B$12*(1+Inputs!$B$13/100)))+0.25*(Inputs!$B$14-Inputs!$B$14))*(1+Inputs!$B$7/100))*(F379/100)</f>
        <v/>
      </c>
      <c r="K379">
        <f>J379*(1+((Inputs!$B$12*(1+Inputs!$B$13/100))*0.01+Inputs!$B$14*0.0025)/100)*(1+Inputs!$B$15/100)*(1+Inputs!$B$16/100)*(5000/(6000+Inputs!$B$42*(1-(Inputs!$B$19+0)/100)))*(1+(Inputs!$B$24+((C397=TRUE)*(F397-Calc!F22))+B406)/100)*(1+1.0*IF(C387=TRUE,F387,0)/100)*(1+(IF(Skills!A4="HOOK_BOMBER",Inputs!$B$17+((C396=TRUE)*(F396-Calc!F21)),Inputs!$B$18+0))/100)*((1+(((C388=TRUE)*F388)+((C394=TRUE)*(F394-Calc!F19)))/100)*I379)</f>
        <v/>
      </c>
      <c r="L379">
        <f>K379*(MIN(Inputs!$B$22+((C395=TRUE)*(F395-Calc!F20)),(Inputs!$B$23+1)+0)/100+((Inputs!$B$23+1)+0)/100)/2</f>
        <v/>
      </c>
      <c r="M379">
        <f>L379*(1+(Inputs!$B$10+0+B405)/100)</f>
        <v/>
      </c>
      <c r="N379">
        <f>L379*(1-MIN((Inputs!$B$9+((C391=TRUE)*(F391-Calc!F16))+B400),100)/100)+M379*(MIN((Inputs!$B$9+((C391=TRUE)*(F391-Calc!F16))+B400),100)/100)</f>
        <v/>
      </c>
      <c r="O379">
        <f>(1-Summary!$B$55)*T379+Summary!$B$55*V379</f>
        <v/>
      </c>
      <c r="P379">
        <f>IF(B410=0,0,O379/B410)</f>
        <v/>
      </c>
      <c r="Q379" t="n">
        <v>0</v>
      </c>
      <c r="R379" t="n">
        <v>0</v>
      </c>
      <c r="S379">
        <f>IFERROR(O379/N379,0)</f>
        <v/>
      </c>
      <c r="T379">
        <f>IF(C379,(Skills!G4*H379*N379*B404)*IF(Inputs!$B$38="pvp",1,1+(Inputs!$B$20+0+Skills!P4)/100),0)</f>
        <v/>
      </c>
      <c r="U379">
        <f>290*U378/1000</f>
        <v/>
      </c>
      <c r="V379">
        <f>IF(C379,(Skills!G4*H379*N379*B404)*IF(Inputs!$B$38="pvp",1,(1+(Inputs!$B$21+Skills!Q4)/100)*(MIN(Skills!R4,Inputs!$B$37))),0)</f>
        <v/>
      </c>
    </row>
    <row r="380">
      <c r="A380">
        <f>Skills!A5</f>
        <v/>
      </c>
      <c r="B380">
        <f>Skills!B5</f>
        <v/>
      </c>
      <c r="C380">
        <f>Inputs!$B$3&gt;=60</f>
        <v/>
      </c>
      <c r="D380">
        <f>IF(Skills!C5=1,60+Inputs!$B$25+Inputs!$B$29,IF(Skills!C5=2,90+Inputs!$B$26+Inputs!$B$29,IF(Skills!C5=3,120+Inputs!$B$27+Inputs!$B$29,MAX(0,(Inputs!$B$3-100)*3)+Inputs!$B$28+Inputs!$B$29)))</f>
        <v/>
      </c>
      <c r="E380">
        <f>INDEX(FactorTable!$B$2:$Y$301, MATCH(ROUND(MIN(300,MAX(1,D380)),0), FactorTable!$A$2:$A$301,0), Skills!M5+1)</f>
        <v/>
      </c>
      <c r="F380">
        <f>IF(Skills!N5=TRUE,(Skills!L5/10)*(E380/1000),Skills!L5/10)+Skills!O5</f>
        <v/>
      </c>
      <c r="G380">
        <f>Skills!G5*IF(Skills!H5&gt;0,Skills!I5/Skills!H5,1)</f>
        <v/>
      </c>
      <c r="H380">
        <f>1-(1-Skills!J5/100)^Skills!K5</f>
        <v/>
      </c>
      <c r="I380" t="inlineStr">
        <is>
          <t>1</t>
        </is>
      </c>
      <c r="J380" t="inlineStr"/>
      <c r="K380" t="inlineStr"/>
      <c r="L380" t="inlineStr"/>
      <c r="M380" t="inlineStr"/>
      <c r="N380" t="inlineStr"/>
      <c r="O380">
        <f>(1-Summary!$B$55)*T380+Summary!$B$55*V380</f>
        <v/>
      </c>
      <c r="P380">
        <f>IF(B410=0,0,O380/B410)</f>
        <v/>
      </c>
      <c r="Q380" t="n">
        <v>0</v>
      </c>
      <c r="R380" t="n">
        <v>0</v>
      </c>
      <c r="S380">
        <f>IFERROR(O380/N380,0)</f>
        <v/>
      </c>
      <c r="T380" t="n">
        <v>0</v>
      </c>
      <c r="V380" t="n">
        <v>0</v>
      </c>
    </row>
    <row r="381">
      <c r="A381">
        <f>Skills!A6</f>
        <v/>
      </c>
      <c r="B381">
        <f>Skills!B6</f>
        <v/>
      </c>
      <c r="C381">
        <f>Inputs!$B$3&gt;=63</f>
        <v/>
      </c>
      <c r="D381">
        <f>IF(Skills!C6=1,60+Inputs!$B$25+Inputs!$B$29,IF(Skills!C6=2,90+Inputs!$B$26+Inputs!$B$29,IF(Skills!C6=3,120+Inputs!$B$27+Inputs!$B$29,MAX(0,(Inputs!$B$3-100)*3)+Inputs!$B$28+Inputs!$B$29)))</f>
        <v/>
      </c>
      <c r="E381">
        <f>INDEX(FactorTable!$B$2:$Y$301, MATCH(ROUND(MIN(300,MAX(1,D381)),0), FactorTable!$A$2:$A$301,0), Skills!M6+1)</f>
        <v/>
      </c>
      <c r="F381">
        <f>IF(Skills!N6=TRUE,(Skills!L6/10)*(E381/1000),Skills!L6/10)+Skills!O6</f>
        <v/>
      </c>
      <c r="G381">
        <f>Skills!G6*IF(Skills!H6&gt;0,Skills!I6/Skills!H6,1)</f>
        <v/>
      </c>
      <c r="H381">
        <f>1-(1-Skills!J6/100)^Skills!K6</f>
        <v/>
      </c>
      <c r="I381" t="inlineStr">
        <is>
          <t>1</t>
        </is>
      </c>
      <c r="J381">
        <f>((Inputs!$B$6*(1+Inputs!$B$7/100))+(((Inputs!$B$12*(1+Inputs!$B$13/100))-(Inputs!$B$12*(1+Inputs!$B$13/100)))+0.25*(Inputs!$B$14-Inputs!$B$14))*(1+Inputs!$B$7/100))*(F381/100)</f>
        <v/>
      </c>
      <c r="K381">
        <f>J381*(1+((Inputs!$B$12*(1+Inputs!$B$13/100))*0.01+Inputs!$B$14*0.0025)/100)*(1+Inputs!$B$15/100)*(1+Inputs!$B$16/100)*(5000/(6000+Inputs!$B$42*(1-(Inputs!$B$19+0)/100)))*(1+(Inputs!$B$24+((C397=TRUE)*(F397-Calc!F22))+B406)/100)*(1+(IF(Skills!A6="HOOK_BOMBER",Inputs!$B$17+((C396=TRUE)*(F396-Calc!F21)),Inputs!$B$18+0))/100)*((1+(((C388=TRUE)*F388)+((C394=TRUE)*(F394-Calc!F19)))/100)*I381)</f>
        <v/>
      </c>
      <c r="L381">
        <f>K381*(MIN(Inputs!$B$22+((C395=TRUE)*(F395-Calc!F20)),(Inputs!$B$23+1)+0)/100+((Inputs!$B$23+1)+0)/100)/2</f>
        <v/>
      </c>
      <c r="M381">
        <f>L381*(1+(Inputs!$B$10+0+B405)/100)</f>
        <v/>
      </c>
      <c r="N381">
        <f>L381*(1-MIN((Inputs!$B$9+((C391=TRUE)*(F391-Calc!F16))+B400),100)/100)+M381*(MIN((Inputs!$B$9+((C391=TRUE)*(F391-Calc!F16))+B400),100)/100)</f>
        <v/>
      </c>
      <c r="O381">
        <f>(1-Summary!$B$55)*T381+Summary!$B$55*V381</f>
        <v/>
      </c>
      <c r="P381">
        <f>IF(B410=0,0,O381/B410)</f>
        <v/>
      </c>
      <c r="Q381">
        <f>IFERROR(1/IF(Inputs!$B$38="pvp",15,MAX(0.1,Skills!D6-IF(Skills!E6=TRUE,Inputs!$B$32,0))),0)</f>
        <v/>
      </c>
      <c r="R381">
        <f>IF(AND(Inputs!$B$38&lt;&gt;"pvp",Inputs!$B$43&gt;0),IF(MAX(0,Inputs!$B$43-B407)&lt;=0,0,(INT(MAX(0,Inputs!$B$43-B407)/IF(Inputs!$B$38="pvp",15,MAX(0.1,Skills!D6-IF(Skills!E6=TRUE,Inputs!$B$32,0))))+1)),0)</f>
        <v/>
      </c>
      <c r="S381">
        <f>IFERROR(O381/N381,0)</f>
        <v/>
      </c>
      <c r="T381">
        <f>IF(C381,(H381*N381*IF(AND(Inputs!$B$38&lt;&gt;"pvp",Inputs!$B$43&gt;0),((Skills!G6*((R381-1)*IF(Skills!H6&gt;0,Skills!I6/Skills!H6,1)+IF(Skills!H6&gt;0,MIN(Skills!I6,MAX(0,MAX(0,Inputs!$B$43-B407)-((R381-1)*IF(Inputs!$B$38="pvp",15,MAX(0.1,Skills!D6-IF(Skills!E6=TRUE,Inputs!$B$32,0))))))/Skills!H6,1)))/Inputs!$B$43),G381*Q381))*IF(Inputs!$B$38="pvp",1,1+(Inputs!$B$20+0+Skills!P6)/100),0)</f>
        <v/>
      </c>
      <c r="V381">
        <f>IF(C381,(H381*N381*IF(AND(Inputs!$B$38&lt;&gt;"pvp",Inputs!$B$43&gt;0),((Skills!G6*((R381-1)*IF(Skills!H6&gt;0,Skills!I6/Skills!H6,1)+IF(Skills!H6&gt;0,MIN(Skills!I6,MAX(0,MAX(0,Inputs!$B$43-B407)-((R381-1)*IF(Inputs!$B$38="pvp",15,MAX(0.1,Skills!D6-IF(Skills!E6=TRUE,Inputs!$B$32,0))))))/Skills!H6,1)))/Inputs!$B$43),G381*Q381))*IF(Inputs!$B$38="pvp",1,(1+(Inputs!$B$21+Skills!Q6)/100)*(MIN(Skills!R6,Inputs!$B$37))),0)</f>
        <v/>
      </c>
    </row>
    <row r="382">
      <c r="A382">
        <f>Skills!A7</f>
        <v/>
      </c>
      <c r="B382">
        <f>Skills!B7</f>
        <v/>
      </c>
      <c r="C382">
        <f>Inputs!$B$3&gt;=100</f>
        <v/>
      </c>
      <c r="D382">
        <f>IF(Skills!C7=1,60+Inputs!$B$25+Inputs!$B$29,IF(Skills!C7=2,90+Inputs!$B$26+Inputs!$B$29,IF(Skills!C7=3,120+Inputs!$B$27+Inputs!$B$29,MAX(0,(Inputs!$B$3-100)*3)+Inputs!$B$28+Inputs!$B$29)))</f>
        <v/>
      </c>
      <c r="E382">
        <f>INDEX(FactorTable!$B$2:$Y$301, MATCH(ROUND(MIN(300,MAX(1,D382)),0), FactorTable!$A$2:$A$301,0), Skills!M7+1)</f>
        <v/>
      </c>
      <c r="F382">
        <f>IF(Skills!N7=TRUE,(Skills!L7/10)*(E382/1000),Skills!L7/10)+Skills!O7</f>
        <v/>
      </c>
      <c r="G382">
        <f>Skills!G7*IF(Skills!H7&gt;0,Skills!I7/Skills!H7,1)</f>
        <v/>
      </c>
      <c r="H382">
        <f>1-(1-Skills!J7/100)^Skills!K7</f>
        <v/>
      </c>
      <c r="I382" t="inlineStr">
        <is>
          <t>1</t>
        </is>
      </c>
      <c r="J382">
        <f>((Inputs!$B$6*(1+Inputs!$B$7/100))+(((Inputs!$B$12*(1+Inputs!$B$13/100))-(Inputs!$B$12*(1+Inputs!$B$13/100)))+0.25*(Inputs!$B$14-Inputs!$B$14))*(1+Inputs!$B$7/100))*(F382/100)</f>
        <v/>
      </c>
      <c r="K382">
        <f>J382*(1+((Inputs!$B$12*(1+Inputs!$B$13/100))*0.01+Inputs!$B$14*0.0025)/100)*(1+Inputs!$B$15/100)*(1+Inputs!$B$16/100)*(5000/(6000+Inputs!$B$42*(1-(Inputs!$B$19+0)/100)))*(1+(Inputs!$B$24+((C397=TRUE)*(F397-Calc!F22))+B406)/100)*(1+(IF(Skills!A7="HOOK_BOMBER",Inputs!$B$17+((C396=TRUE)*(F396-Calc!F21)),Inputs!$B$18+0))/100)*((1+(((C388=TRUE)*F388)+((C394=TRUE)*(F394-Calc!F19)))/100)*I382)</f>
        <v/>
      </c>
      <c r="L382">
        <f>K382*(MIN(Inputs!$B$22+((C395=TRUE)*(F395-Calc!F20)),(Inputs!$B$23+1)+0)/100+((Inputs!$B$23+1)+0)/100)/2</f>
        <v/>
      </c>
      <c r="M382">
        <f>L382*(1+(Inputs!$B$10+0+B405)/100)</f>
        <v/>
      </c>
      <c r="N382">
        <f>L382*(1-MIN((Inputs!$B$9+((C391=TRUE)*(F391-Calc!F16))+B400),100)/100)+M382*(MIN((Inputs!$B$9+((C391=TRUE)*(F391-Calc!F16))+B400),100)/100)</f>
        <v/>
      </c>
      <c r="O382">
        <f>(1-Summary!$B$55)*T382+Summary!$B$55*V382</f>
        <v/>
      </c>
      <c r="P382">
        <f>IF(B410=0,0,O382/B410)</f>
        <v/>
      </c>
      <c r="Q382">
        <f>IFERROR(1/IF(Inputs!$B$38="pvp",15,MAX(0.1,Skills!D7-IF(Skills!E7=TRUE,Inputs!$B$32,0))),0)</f>
        <v/>
      </c>
      <c r="R382">
        <f>IF(AND(Inputs!$B$38&lt;&gt;"pvp",Inputs!$B$43&gt;0),IF(MAX(0,Inputs!$B$43-B407)&lt;=0,0,(INT(MAX(0,Inputs!$B$43-B407)/IF(Inputs!$B$38="pvp",15,MAX(0.1,Skills!D7-IF(Skills!E7=TRUE,Inputs!$B$32,0))))+1)),0)</f>
        <v/>
      </c>
      <c r="S382">
        <f>IFERROR(O382/N382,0)</f>
        <v/>
      </c>
      <c r="T382">
        <f>IF(C382,(H382*N382*IF(AND(Inputs!$B$38&lt;&gt;"pvp",Inputs!$B$43&gt;0),((Skills!G7*((R382-1)*IF(Skills!H7&gt;0,Skills!I7/Skills!H7,1)+IF(Skills!H7&gt;0,MIN(Skills!I7,MAX(0,MAX(0,Inputs!$B$43-B407)-((R382-1)*IF(Inputs!$B$38="pvp",15,MAX(0.1,Skills!D7-IF(Skills!E7=TRUE,Inputs!$B$32,0))))))/Skills!H7,1)))/Inputs!$B$43),G382*Q382))*IF(Inputs!$B$38="pvp",1,1+(Inputs!$B$20+0+Skills!P7)/100),0)</f>
        <v/>
      </c>
      <c r="V382">
        <f>IF(C382,(H382*N382*IF(AND(Inputs!$B$38&lt;&gt;"pvp",Inputs!$B$43&gt;0),((Skills!G7*((R382-1)*IF(Skills!H7&gt;0,Skills!I7/Skills!H7,1)+IF(Skills!H7&gt;0,MIN(Skills!I7,MAX(0,MAX(0,Inputs!$B$43-B407)-((R382-1)*IF(Inputs!$B$38="pvp",15,MAX(0.1,Skills!D7-IF(Skills!E7=TRUE,Inputs!$B$32,0))))))/Skills!H7,1)))/Inputs!$B$43),G382*Q382))*IF(Inputs!$B$38="pvp",1,(1+(Inputs!$B$21+Skills!Q7)/100)*(MIN(Skills!R7,Inputs!$B$37))),0)</f>
        <v/>
      </c>
    </row>
    <row r="383">
      <c r="A383">
        <f>Skills!A8</f>
        <v/>
      </c>
      <c r="B383">
        <f>Skills!B8</f>
        <v/>
      </c>
      <c r="C383">
        <f>Inputs!$B$3&gt;=110</f>
        <v/>
      </c>
      <c r="D383">
        <f>IF(Skills!C8=1,60+Inputs!$B$25+Inputs!$B$29,IF(Skills!C8=2,90+Inputs!$B$26+Inputs!$B$29,IF(Skills!C8=3,120+Inputs!$B$27+Inputs!$B$29,MAX(0,(Inputs!$B$3-100)*3)+Inputs!$B$28+Inputs!$B$29)))</f>
        <v/>
      </c>
      <c r="E383">
        <f>INDEX(FactorTable!$B$2:$Y$301, MATCH(ROUND(MIN(300,MAX(1,D383)),0), FactorTable!$A$2:$A$301,0), Skills!M8+1)</f>
        <v/>
      </c>
      <c r="F383">
        <f>IF(Skills!N8=TRUE,(Skills!L8/10)*(E383/1000),Skills!L8/10)+Skills!O8</f>
        <v/>
      </c>
      <c r="G383">
        <f>Skills!G8*IF(Skills!H8&gt;0,Skills!I8/Skills!H8,1)</f>
        <v/>
      </c>
      <c r="H383">
        <f>1-(1-Skills!J8/100)^Skills!K8</f>
        <v/>
      </c>
      <c r="I383" t="inlineStr">
        <is>
          <t>1</t>
        </is>
      </c>
      <c r="J383">
        <f>((Inputs!$B$6*(1+Inputs!$B$7/100))+(((Inputs!$B$12*(1+Inputs!$B$13/100))-(Inputs!$B$12*(1+Inputs!$B$13/100)))+0.25*(Inputs!$B$14-Inputs!$B$14))*(1+Inputs!$B$7/100))*(F383/100)</f>
        <v/>
      </c>
      <c r="K383">
        <f>J383*(1+((Inputs!$B$12*(1+Inputs!$B$13/100))*0.01+Inputs!$B$14*0.0025)/100)*(1+Inputs!$B$15/100)*(1+Inputs!$B$16/100)*(5000/(6000+Inputs!$B$42*(1-(Inputs!$B$19+0)/100)))*(1+(Inputs!$B$24+((C397=TRUE)*(F397-Calc!F22))+B406)/100)*(1+(IF(Skills!A8="HOOK_BOMBER",Inputs!$B$17+((C396=TRUE)*(F396-Calc!F21)),Inputs!$B$18+0))/100)*((1+(((C388=TRUE)*F388)+((C394=TRUE)*(F394-Calc!F19)))/100)*I383)</f>
        <v/>
      </c>
      <c r="L383">
        <f>K383*(MIN(Inputs!$B$22+((C395=TRUE)*(F395-Calc!F20)),(Inputs!$B$23+1)+0)/100+((Inputs!$B$23+1)+0)/100)/2</f>
        <v/>
      </c>
      <c r="M383">
        <f>L383*(1+(Inputs!$B$10+0+B405)/100)</f>
        <v/>
      </c>
      <c r="N383">
        <f>L383*(1-MIN((Inputs!$B$9+((C391=TRUE)*(F391-Calc!F16))+B400),100)/100)+M383*(MIN((Inputs!$B$9+((C391=TRUE)*(F391-Calc!F16))+B400),100)/100)</f>
        <v/>
      </c>
      <c r="O383">
        <f>(1-Summary!$B$55)*T383+Summary!$B$55*V383</f>
        <v/>
      </c>
      <c r="P383">
        <f>IF(B410=0,0,O383/B410)</f>
        <v/>
      </c>
      <c r="Q383">
        <f>IFERROR(1/IF(Inputs!$B$38="pvp",15,MAX(0.1,Skills!D8-IF(Skills!E8=TRUE,Inputs!$B$32,0))),0)</f>
        <v/>
      </c>
      <c r="R383">
        <f>IF(AND(Inputs!$B$38&lt;&gt;"pvp",Inputs!$B$43&gt;0),IF(MAX(0,Inputs!$B$43-B407)&lt;=0,0,(INT(MAX(0,Inputs!$B$43-B407)/IF(Inputs!$B$38="pvp",15,MAX(0.1,Skills!D8-IF(Skills!E8=TRUE,Inputs!$B$32,0))))+1)),0)</f>
        <v/>
      </c>
      <c r="S383">
        <f>IFERROR(O383/N383,0)</f>
        <v/>
      </c>
      <c r="T383">
        <f>IF(C383,(H383*N383*IF(AND(Inputs!$B$38&lt;&gt;"pvp",Inputs!$B$43&gt;0),((Skills!G8*((R383-1)*IF(Skills!H8&gt;0,Skills!I8/Skills!H8,1)+IF(Skills!H8&gt;0,MIN(Skills!I8,MAX(0,MAX(0,Inputs!$B$43-B407)-((R383-1)*IF(Inputs!$B$38="pvp",15,MAX(0.1,Skills!D8-IF(Skills!E8=TRUE,Inputs!$B$32,0))))))/Skills!H8,1)))/Inputs!$B$43),G383*Q383))*IF(Inputs!$B$38="pvp",1,1+(Inputs!$B$20+0+Skills!P8)/100),0)</f>
        <v/>
      </c>
      <c r="V383">
        <f>IF(C383,(H383*N383*IF(AND(Inputs!$B$38&lt;&gt;"pvp",Inputs!$B$43&gt;0),((Skills!G8*((R383-1)*IF(Skills!H8&gt;0,Skills!I8/Skills!H8,1)+IF(Skills!H8&gt;0,MIN(Skills!I8,MAX(0,MAX(0,Inputs!$B$43-B407)-((R383-1)*IF(Inputs!$B$38="pvp",15,MAX(0.1,Skills!D8-IF(Skills!E8=TRUE,Inputs!$B$32,0))))))/Skills!H8,1)))/Inputs!$B$43),G383*Q383))*IF(Inputs!$B$38="pvp",1,(1+(Inputs!$B$21+Skills!Q8)/100)*(MIN(Skills!R8,Inputs!$B$37))),0)</f>
        <v/>
      </c>
    </row>
    <row r="384">
      <c r="A384">
        <f>Skills!A9</f>
        <v/>
      </c>
      <c r="B384">
        <f>Skills!B9</f>
        <v/>
      </c>
      <c r="C384">
        <f>Inputs!$B$3&gt;=110</f>
        <v/>
      </c>
      <c r="D384">
        <f>IF(Skills!C9=1,60+Inputs!$B$25+Inputs!$B$29,IF(Skills!C9=2,90+Inputs!$B$26+Inputs!$B$29,IF(Skills!C9=3,120+Inputs!$B$27+Inputs!$B$29,MAX(0,(Inputs!$B$3-100)*3)+Inputs!$B$28+Inputs!$B$29)))</f>
        <v/>
      </c>
      <c r="E384">
        <f>INDEX(FactorTable!$B$2:$Y$301, MATCH(ROUND(MIN(300,MAX(1,D384)),0), FactorTable!$A$2:$A$301,0), Skills!M9+1)</f>
        <v/>
      </c>
      <c r="F384">
        <f>IF(Skills!N9=TRUE,(Skills!L9/10)*(E384/1000),Skills!L9/10)+Skills!O9</f>
        <v/>
      </c>
      <c r="G384">
        <f>Skills!G9*IF(Skills!H9&gt;0,Skills!I9/Skills!H9,1)</f>
        <v/>
      </c>
      <c r="H384">
        <f>1-(1-Skills!J9/100)^Skills!K9</f>
        <v/>
      </c>
      <c r="I384" t="inlineStr">
        <is>
          <t>1</t>
        </is>
      </c>
      <c r="J384">
        <f>((Inputs!$B$6*(1+Inputs!$B$7/100))+(((Inputs!$B$12*(1+Inputs!$B$13/100))-(Inputs!$B$12*(1+Inputs!$B$13/100)))+0.25*(Inputs!$B$14-Inputs!$B$14))*(1+Inputs!$B$7/100))*(F384/100)</f>
        <v/>
      </c>
      <c r="K384">
        <f>J384*(1+((Inputs!$B$12*(1+Inputs!$B$13/100))*0.01+Inputs!$B$14*0.0025)/100)*(1+Inputs!$B$15/100)*(1+Inputs!$B$16/100)*(5000/(6000+Inputs!$B$42*(1-(Inputs!$B$19+0)/100)))*(1+(Inputs!$B$24+((C397=TRUE)*(F397-Calc!F22))+B406)/100)*(1+(IF(Skills!A9="HOOK_BOMBER",Inputs!$B$17+((C396=TRUE)*(F396-Calc!F21)),Inputs!$B$18+0))/100)*((1+(((C388=TRUE)*F388)+((C394=TRUE)*(F394-Calc!F19)))/100)*I384)</f>
        <v/>
      </c>
      <c r="L384">
        <f>K384*(MIN(Inputs!$B$22+((C395=TRUE)*(F395-Calc!F20)),(Inputs!$B$23+1)+0)/100+((Inputs!$B$23+1)+0)/100)/2</f>
        <v/>
      </c>
      <c r="M384">
        <f>L384*(1+(Inputs!$B$10+0+B405)/100)</f>
        <v/>
      </c>
      <c r="N384">
        <f>L384*(1-MIN((Inputs!$B$9+((C391=TRUE)*(F391-Calc!F16))+B400),100)/100)+M384*(MIN((Inputs!$B$9+((C391=TRUE)*(F391-Calc!F16))+B400),100)/100)</f>
        <v/>
      </c>
      <c r="O384">
        <f>(1-Summary!$B$55)*T384+Summary!$B$55*V384</f>
        <v/>
      </c>
      <c r="P384">
        <f>IF(B410=0,0,O384/B410)</f>
        <v/>
      </c>
      <c r="Q384">
        <f>IFERROR(1/IF(Inputs!$B$38="pvp",15,MAX(0.1,Skills!D9-IF(Skills!E9=TRUE,Inputs!$B$32,0))),0)</f>
        <v/>
      </c>
      <c r="R384">
        <f>IF(AND(Inputs!$B$38&lt;&gt;"pvp",Inputs!$B$43&gt;0),IF(MAX(0,Inputs!$B$43-B407)&lt;=0,0,(INT(MAX(0,Inputs!$B$43-B407)/IF(Inputs!$B$38="pvp",15,MAX(0.1,Skills!D9-IF(Skills!E9=TRUE,Inputs!$B$32,0))))+1)),0)</f>
        <v/>
      </c>
      <c r="S384">
        <f>IFERROR(O384/N384,0)</f>
        <v/>
      </c>
      <c r="T384">
        <f>IF(C384,(H384*N384*IF(AND(Inputs!$B$38&lt;&gt;"pvp",Inputs!$B$43&gt;0),((Skills!G9*((R384-1)*IF(Skills!H9&gt;0,Skills!I9/Skills!H9,1)+IF(Skills!H9&gt;0,MIN(Skills!I9,MAX(0,MAX(0,Inputs!$B$43-B407)-((R384-1)*IF(Inputs!$B$38="pvp",15,MAX(0.1,Skills!D9-IF(Skills!E9=TRUE,Inputs!$B$32,0))))))/Skills!H9,1)))/Inputs!$B$43),G384*Q384))*IF(Inputs!$B$38="pvp",1,1+(Inputs!$B$20+0+Skills!P9)/100),0)</f>
        <v/>
      </c>
      <c r="V384">
        <f>IF(C384,(H384*N384*IF(AND(Inputs!$B$38&lt;&gt;"pvp",Inputs!$B$43&gt;0),((Skills!G9*((R384-1)*IF(Skills!H9&gt;0,Skills!I9/Skills!H9,1)+IF(Skills!H9&gt;0,MIN(Skills!I9,MAX(0,MAX(0,Inputs!$B$43-B407)-((R384-1)*IF(Inputs!$B$38="pvp",15,MAX(0.1,Skills!D9-IF(Skills!E9=TRUE,Inputs!$B$32,0))))))/Skills!H9,1)))/Inputs!$B$43),G384*Q384))*IF(Inputs!$B$38="pvp",1,(1+(Inputs!$B$21+Skills!Q9)/100)*(MIN(Skills!R9,Inputs!$B$37))),0)</f>
        <v/>
      </c>
    </row>
    <row r="385">
      <c r="A385">
        <f>Skills!A10</f>
        <v/>
      </c>
      <c r="B385">
        <f>Skills!B10</f>
        <v/>
      </c>
      <c r="C385">
        <f>Inputs!$B$3&gt;=103</f>
        <v/>
      </c>
      <c r="D385">
        <f>IF(Skills!C10=1,60+Inputs!$B$25+Inputs!$B$29,IF(Skills!C10=2,90+Inputs!$B$26+Inputs!$B$29,IF(Skills!C10=3,120+Inputs!$B$27+Inputs!$B$29,MAX(0,(Inputs!$B$3-100)*3)+Inputs!$B$28+Inputs!$B$29)))</f>
        <v/>
      </c>
      <c r="E385">
        <f>INDEX(FactorTable!$B$2:$Y$301, MATCH(ROUND(MIN(300,MAX(1,D385)),0), FactorTable!$A$2:$A$301,0), Skills!M10+1)</f>
        <v/>
      </c>
      <c r="F385">
        <f>IF(Skills!N10=TRUE,(Skills!L10/10)*(E385/1000),Skills!L10/10)+Skills!O10</f>
        <v/>
      </c>
      <c r="G385">
        <f>Skills!G10*IF(Skills!H10&gt;0,Skills!I10/Skills!H10,1)</f>
        <v/>
      </c>
      <c r="H385">
        <f>1-(1-Skills!J10/100)^Skills!K10</f>
        <v/>
      </c>
      <c r="I385" t="inlineStr">
        <is>
          <t>1</t>
        </is>
      </c>
      <c r="J385">
        <f>((Inputs!$B$6*(1+Inputs!$B$7/100))+(((Inputs!$B$12*(1+Inputs!$B$13/100))-(Inputs!$B$12*(1+Inputs!$B$13/100)))+0.25*(Inputs!$B$14-Inputs!$B$14))*(1+Inputs!$B$7/100))*(F385/100)</f>
        <v/>
      </c>
      <c r="K385">
        <f>J385*(1+((Inputs!$B$12*(1+Inputs!$B$13/100))*0.01+Inputs!$B$14*0.0025)/100)*(1+Inputs!$B$15/100)*(1+Inputs!$B$16/100)*(5000/(6000+Inputs!$B$42*(1-(Inputs!$B$19+0)/100)))*(1+(Inputs!$B$24+((C397=TRUE)*(F397-Calc!F22))+B406)/100)*(1+(IF(Skills!A10="HOOK_BOMBER",Inputs!$B$17+((C396=TRUE)*(F396-Calc!F21)),Inputs!$B$18+0))/100)*((1+(((C388=TRUE)*F388)+((C394=TRUE)*(F394-Calc!F19)))/100)*I385)</f>
        <v/>
      </c>
      <c r="L385">
        <f>K385*(MIN(Inputs!$B$22+((C395=TRUE)*(F395-Calc!F20)),(Inputs!$B$23+1)+0)/100+((Inputs!$B$23+1)+0)/100)/2</f>
        <v/>
      </c>
      <c r="M385">
        <f>L385*(1+(Inputs!$B$10+0+B405)/100)</f>
        <v/>
      </c>
      <c r="N385">
        <f>L385*(1-MIN((Inputs!$B$9+((C391=TRUE)*(F391-Calc!F16))+B400),100)/100)+M385*(MIN((Inputs!$B$9+((C391=TRUE)*(F391-Calc!F16))+B400),100)/100)</f>
        <v/>
      </c>
      <c r="O385">
        <f>(1-Summary!$B$55)*T385+Summary!$B$55*V385</f>
        <v/>
      </c>
      <c r="P385">
        <f>IF(B410=0,0,O385/B410)</f>
        <v/>
      </c>
      <c r="Q385">
        <f>IFERROR(1/IF(Inputs!$B$38="pvp",15,MAX(0.1,Skills!D10-IF(Skills!E10=TRUE,Inputs!$B$32,0))),0)</f>
        <v/>
      </c>
      <c r="R385">
        <f>IF(AND(Inputs!$B$38&lt;&gt;"pvp",Inputs!$B$43&gt;0),IF(MAX(0,Inputs!$B$43-B407)&lt;=0,0,(INT(MAX(0,Inputs!$B$43-B407)/IF(Inputs!$B$38="pvp",15,MAX(0.1,Skills!D10-IF(Skills!E10=TRUE,Inputs!$B$32,0))))+1)),0)</f>
        <v/>
      </c>
      <c r="S385">
        <f>IFERROR(O385/N385,0)</f>
        <v/>
      </c>
      <c r="T385">
        <f>IF(C385,(H385*N385*IF(AND(Inputs!$B$38&lt;&gt;"pvp",Inputs!$B$43&gt;0),((Skills!G10*((R385-1)*IF(Skills!H10&gt;0,Skills!I10/Skills!H10,1)+IF(Skills!H10&gt;0,MIN(Skills!I10,MAX(0,MAX(0,Inputs!$B$43-B407)-((R385-1)*IF(Inputs!$B$38="pvp",15,MAX(0.1,Skills!D10-IF(Skills!E10=TRUE,Inputs!$B$32,0))))))/Skills!H10,1)))/Inputs!$B$43),G385*Q385))*IF(Inputs!$B$38="pvp",1,1+(Inputs!$B$20+0+Skills!P10)/100),0)</f>
        <v/>
      </c>
      <c r="V385">
        <f>IF(C385,(H385*N385*IF(AND(Inputs!$B$38&lt;&gt;"pvp",Inputs!$B$43&gt;0),((Skills!G10*((R385-1)*IF(Skills!H10&gt;0,Skills!I10/Skills!H10,1)+IF(Skills!H10&gt;0,MIN(Skills!I10,MAX(0,MAX(0,Inputs!$B$43-B407)-((R385-1)*IF(Inputs!$B$38="pvp",15,MAX(0.1,Skills!D10-IF(Skills!E10=TRUE,Inputs!$B$32,0))))))/Skills!H10,1)))/Inputs!$B$43),G385*Q385))*IF(Inputs!$B$38="pvp",1,(1+(Inputs!$B$21+Skills!Q10)/100)*(MIN(Skills!R10,Inputs!$B$37))),0)</f>
        <v/>
      </c>
    </row>
    <row r="386">
      <c r="A386">
        <f>Skills!A11</f>
        <v/>
      </c>
      <c r="B386">
        <f>Skills!B11</f>
        <v/>
      </c>
      <c r="C386">
        <f>Inputs!$B$3&gt;=113</f>
        <v/>
      </c>
      <c r="D386">
        <f>IF(Skills!C11=1,60+Inputs!$B$25+Inputs!$B$29,IF(Skills!C11=2,90+Inputs!$B$26+Inputs!$B$29,IF(Skills!C11=3,120+Inputs!$B$27+Inputs!$B$29,MAX(0,(Inputs!$B$3-100)*3)+Inputs!$B$28+Inputs!$B$29)))</f>
        <v/>
      </c>
      <c r="E386">
        <f>INDEX(FactorTable!$B$2:$Y$301, MATCH(ROUND(MIN(300,MAX(1,D386)),0), FactorTable!$A$2:$A$301,0), Skills!M11+1)</f>
        <v/>
      </c>
      <c r="F386">
        <f>IF(Skills!N11=TRUE,(Skills!L11/10)*(E386/1000),Skills!L11/10)+Skills!O11</f>
        <v/>
      </c>
      <c r="G386">
        <f>Skills!G11*IF(Skills!H11&gt;0,Skills!I11/Skills!H11,1)</f>
        <v/>
      </c>
      <c r="H386">
        <f>1-(1-Skills!J11/100)^Skills!K11</f>
        <v/>
      </c>
      <c r="I386" t="inlineStr">
        <is>
          <t>1</t>
        </is>
      </c>
      <c r="J386">
        <f>((Inputs!$B$6*(1+Inputs!$B$7/100))+(((Inputs!$B$12*(1+Inputs!$B$13/100))-(Inputs!$B$12*(1+Inputs!$B$13/100)))+0.25*(Inputs!$B$14-Inputs!$B$14))*(1+Inputs!$B$7/100))*(F386/100)</f>
        <v/>
      </c>
      <c r="K386">
        <f>J386*(1+((Inputs!$B$12*(1+Inputs!$B$13/100))*0.01+Inputs!$B$14*0.0025)/100)*(1+Inputs!$B$15/100)*(1+Inputs!$B$16/100)*(5000/(6000+Inputs!$B$42*(1-(Inputs!$B$19+0)/100)))*(1+(Inputs!$B$24+((C397=TRUE)*(F397-Calc!F22))+B406)/100)*(1+(IF(Skills!A11="HOOK_BOMBER",Inputs!$B$17+((C396=TRUE)*(F396-Calc!F21)),Inputs!$B$18+0))/100)*((1+(((C388=TRUE)*F388)+((C394=TRUE)*(F394-Calc!F19)))/100)*I386)</f>
        <v/>
      </c>
      <c r="L386">
        <f>K386*(MIN(Inputs!$B$22+((C395=TRUE)*(F395-Calc!F20)),(Inputs!$B$23+1)+0)/100+((Inputs!$B$23+1)+0)/100)/2</f>
        <v/>
      </c>
      <c r="M386">
        <f>L386*(1+(Inputs!$B$10+0+B405)/100)</f>
        <v/>
      </c>
      <c r="N386">
        <f>L386*(1-MIN((Inputs!$B$9+((C391=TRUE)*(F391-Calc!F16))+B400),100)/100)+M386*(MIN((Inputs!$B$9+((C391=TRUE)*(F391-Calc!F16))+B400),100)/100)</f>
        <v/>
      </c>
      <c r="O386">
        <f>(1-Summary!$B$55)*T386+Summary!$B$55*V386</f>
        <v/>
      </c>
      <c r="P386">
        <f>IF(B410=0,0,O386/B410)</f>
        <v/>
      </c>
      <c r="Q386">
        <f>IFERROR(1/IF(Inputs!$B$38="pvp",15,MAX(0.1,Skills!D11-IF(Skills!E11=TRUE,Inputs!$B$32,0))),0)</f>
        <v/>
      </c>
      <c r="R386">
        <f>IF(AND(Inputs!$B$38&lt;&gt;"pvp",Inputs!$B$43&gt;0),IF(MAX(0,Inputs!$B$43-B407)&lt;=0,0,(INT(MAX(0,Inputs!$B$43-B407)/IF(Inputs!$B$38="pvp",15,MAX(0.1,Skills!D11-IF(Skills!E11=TRUE,Inputs!$B$32,0))))+1)),0)</f>
        <v/>
      </c>
      <c r="S386">
        <f>IFERROR(O386/N386,0)</f>
        <v/>
      </c>
      <c r="T386">
        <f>IF(C386,(H386*N386*IF(AND(Inputs!$B$38&lt;&gt;"pvp",Inputs!$B$43&gt;0),((Skills!G11*((R386-1)*IF(Skills!H11&gt;0,Skills!I11/Skills!H11,1)+IF(Skills!H11&gt;0,MIN(Skills!I11,MAX(0,MAX(0,Inputs!$B$43-B407)-((R386-1)*IF(Inputs!$B$38="pvp",15,MAX(0.1,Skills!D11-IF(Skills!E11=TRUE,Inputs!$B$32,0))))))/Skills!H11,1)))/Inputs!$B$43),G386*Q386))*IF(Inputs!$B$38="pvp",1,1+(Inputs!$B$20+0+Skills!P11)/100),0)</f>
        <v/>
      </c>
      <c r="V386">
        <f>IF(C386,(H386*N386*IF(AND(Inputs!$B$38&lt;&gt;"pvp",Inputs!$B$43&gt;0),((Skills!G11*((R386-1)*IF(Skills!H11&gt;0,Skills!I11/Skills!H11,1)+IF(Skills!H11&gt;0,MIN(Skills!I11,MAX(0,MAX(0,Inputs!$B$43-B407)-((R386-1)*IF(Inputs!$B$38="pvp",15,MAX(0.1,Skills!D11-IF(Skills!E11=TRUE,Inputs!$B$32,0))))))/Skills!H11,1)))/Inputs!$B$43),G386*Q386))*IF(Inputs!$B$38="pvp",1,(1+(Inputs!$B$21+Skills!Q11)/100)*(MIN(Skills!R11,Inputs!$B$37))),0)</f>
        <v/>
      </c>
    </row>
    <row r="387">
      <c r="A387">
        <f>Skills!A12</f>
        <v/>
      </c>
      <c r="B387">
        <f>Skills!B12</f>
        <v/>
      </c>
      <c r="C387">
        <f>Inputs!$B$3&gt;=100</f>
        <v/>
      </c>
      <c r="D387">
        <f>IF(Skills!C12=1,60+Inputs!$B$25+Inputs!$B$29,IF(Skills!C12=2,90+Inputs!$B$26+Inputs!$B$29,IF(Skills!C12=3,120+Inputs!$B$27+Inputs!$B$29,MAX(0,(Inputs!$B$3-100)*3)+Inputs!$B$28+Inputs!$B$29)))</f>
        <v/>
      </c>
      <c r="E387">
        <f>INDEX(FactorTable!$B$2:$Y$301, MATCH(ROUND(MIN(300,MAX(1,D387)),0), FactorTable!$A$2:$A$301,0), Skills!M12+1)</f>
        <v/>
      </c>
      <c r="F387">
        <f>IF(Skills!N12=TRUE,(Skills!L12/10)*(E387/1000),Skills!L12/10)+Skills!O12</f>
        <v/>
      </c>
      <c r="G387" t="inlineStr"/>
      <c r="H387" t="inlineStr"/>
      <c r="I387" t="inlineStr">
        <is>
          <t>1</t>
        </is>
      </c>
      <c r="J387" t="inlineStr"/>
      <c r="K387" t="inlineStr"/>
      <c r="L387" t="inlineStr"/>
      <c r="M387" t="inlineStr"/>
      <c r="N387" t="inlineStr"/>
      <c r="O387" t="inlineStr"/>
      <c r="P387" t="inlineStr"/>
      <c r="Q387" t="inlineStr"/>
      <c r="R387" t="inlineStr"/>
      <c r="S387" t="inlineStr"/>
      <c r="T387" t="inlineStr"/>
      <c r="V387" t="inlineStr"/>
    </row>
    <row r="388">
      <c r="A388">
        <f>Skills!A13</f>
        <v/>
      </c>
      <c r="B388">
        <f>Skills!B13</f>
        <v/>
      </c>
      <c r="C388">
        <f>Inputs!$B$3&gt;=66</f>
        <v/>
      </c>
      <c r="D388">
        <f>IF(Skills!C13=1,60+Inputs!$B$25+Inputs!$B$29,IF(Skills!C13=2,90+Inputs!$B$26+Inputs!$B$29,IF(Skills!C13=3,120+Inputs!$B$27+Inputs!$B$29,MAX(0,(Inputs!$B$3-100)*3)+Inputs!$B$28+Inputs!$B$29)))</f>
        <v/>
      </c>
      <c r="E388">
        <f>INDEX(FactorTable!$B$2:$Y$301, MATCH(ROUND(MIN(300,MAX(1,D388)),0), FactorTable!$A$2:$A$301,0), Skills!M13+1)</f>
        <v/>
      </c>
      <c r="F388">
        <f>IF(Skills!N13=TRUE,(Skills!L13/10)*(E388/1000),Skills!L13/10)+Skills!O13</f>
        <v/>
      </c>
      <c r="G388">
        <f>Skills!G13*IF(Skills!H13&gt;0,Skills!I13/Skills!H13,1)</f>
        <v/>
      </c>
      <c r="H388">
        <f>1-(1-Skills!J13/100)^Skills!K13</f>
        <v/>
      </c>
      <c r="I388" t="inlineStr">
        <is>
          <t>1</t>
        </is>
      </c>
      <c r="J388" t="inlineStr"/>
      <c r="K388" t="inlineStr"/>
      <c r="L388" t="inlineStr"/>
      <c r="M388" t="inlineStr"/>
      <c r="N388" t="inlineStr"/>
      <c r="O388">
        <f>(1-Summary!$B$55)*T388+Summary!$B$55*V388</f>
        <v/>
      </c>
      <c r="P388">
        <f>IF(B410=0,0,O388/B410)</f>
        <v/>
      </c>
      <c r="Q388" t="n">
        <v>0</v>
      </c>
      <c r="R388" t="n">
        <v>0</v>
      </c>
      <c r="S388">
        <f>IFERROR(O388/N388,0)</f>
        <v/>
      </c>
      <c r="T388" t="n">
        <v>0</v>
      </c>
      <c r="V388" t="n">
        <v>0</v>
      </c>
    </row>
    <row r="389">
      <c r="A389">
        <f>Skills!A14</f>
        <v/>
      </c>
      <c r="B389">
        <f>Skills!B14</f>
        <v/>
      </c>
      <c r="C389">
        <f>Inputs!$B$3&gt;=107</f>
        <v/>
      </c>
      <c r="D389">
        <f>IF(Skills!C14=1,60+Inputs!$B$25+Inputs!$B$29,IF(Skills!C14=2,90+Inputs!$B$26+Inputs!$B$29,IF(Skills!C14=3,120+Inputs!$B$27+Inputs!$B$29,MAX(0,(Inputs!$B$3-100)*3)+Inputs!$B$28+Inputs!$B$29)))</f>
        <v/>
      </c>
      <c r="E389">
        <f>INDEX(FactorTable!$B$2:$Y$301, MATCH(ROUND(MIN(300,MAX(1,D389)),0), FactorTable!$A$2:$A$301,0), Skills!M14+1)</f>
        <v/>
      </c>
      <c r="F389">
        <f>IF(Skills!N14=TRUE,(Skills!L14/10)*(E389/1000),Skills!L14/10)+Skills!O14</f>
        <v/>
      </c>
      <c r="G389">
        <f>Skills!G14*IF(Skills!H14&gt;0,Skills!I14/Skills!H14,1)</f>
        <v/>
      </c>
      <c r="H389">
        <f>1-(1-Skills!J14/100)^Skills!K14</f>
        <v/>
      </c>
      <c r="I389" t="inlineStr">
        <is>
          <t>1</t>
        </is>
      </c>
      <c r="J389" t="inlineStr"/>
      <c r="K389" t="inlineStr"/>
      <c r="L389" t="inlineStr"/>
      <c r="M389" t="inlineStr"/>
      <c r="N389" t="inlineStr"/>
      <c r="O389">
        <f>(1-Summary!$B$55)*T389+Summary!$B$55*V389</f>
        <v/>
      </c>
      <c r="P389">
        <f>IF(B410=0,0,O389/B410)</f>
        <v/>
      </c>
      <c r="Q389" t="n">
        <v>0</v>
      </c>
      <c r="R389" t="n">
        <v>0</v>
      </c>
      <c r="S389">
        <f>IFERROR(O389/N389,0)</f>
        <v/>
      </c>
      <c r="T389" t="n">
        <v>0</v>
      </c>
      <c r="V389" t="n">
        <v>0</v>
      </c>
    </row>
    <row r="390">
      <c r="A390">
        <f>Skills!A15</f>
        <v/>
      </c>
      <c r="B390">
        <f>Skills!B15</f>
        <v/>
      </c>
      <c r="C390">
        <f>Inputs!$B$3&gt;=115</f>
        <v/>
      </c>
      <c r="D390">
        <f>IF(Skills!C15=1,60+Inputs!$B$25+Inputs!$B$29,IF(Skills!C15=2,90+Inputs!$B$26+Inputs!$B$29,IF(Skills!C15=3,120+Inputs!$B$27+Inputs!$B$29,MAX(0,(Inputs!$B$3-100)*3)+Inputs!$B$28+Inputs!$B$29)))</f>
        <v/>
      </c>
      <c r="E390">
        <f>INDEX(FactorTable!$B$2:$Y$301, MATCH(ROUND(MIN(300,MAX(1,D390)),0), FactorTable!$A$2:$A$301,0), Skills!M15+1)</f>
        <v/>
      </c>
      <c r="F390">
        <f>IF(Skills!N15=TRUE,(Skills!L15/10)*(E390/1000),Skills!L15/10)+Skills!O15</f>
        <v/>
      </c>
      <c r="G390">
        <f>Skills!G15*IF(Skills!H15&gt;0,Skills!I15/Skills!H15,1)</f>
        <v/>
      </c>
      <c r="H390">
        <f>1-(1-Skills!J15/100)^Skills!K15</f>
        <v/>
      </c>
      <c r="I390" t="inlineStr">
        <is>
          <t>1</t>
        </is>
      </c>
      <c r="J390" t="inlineStr"/>
      <c r="K390" t="inlineStr"/>
      <c r="L390" t="inlineStr"/>
      <c r="M390" t="inlineStr"/>
      <c r="N390" t="inlineStr"/>
      <c r="O390">
        <f>(1-Summary!$B$55)*T390+Summary!$B$55*V390</f>
        <v/>
      </c>
      <c r="P390">
        <f>IF(B410=0,0,O390/B410)</f>
        <v/>
      </c>
      <c r="Q390" t="n">
        <v>0</v>
      </c>
      <c r="R390" t="n">
        <v>0</v>
      </c>
      <c r="S390">
        <f>IFERROR(O390/N390,0)</f>
        <v/>
      </c>
      <c r="T390" t="n">
        <v>0</v>
      </c>
      <c r="V390" t="n">
        <v>0</v>
      </c>
    </row>
    <row r="391">
      <c r="A391">
        <f>Skills!A16</f>
        <v/>
      </c>
      <c r="B391">
        <f>Skills!B16</f>
        <v/>
      </c>
      <c r="C391">
        <f>Inputs!$B$3&gt;=15</f>
        <v/>
      </c>
      <c r="D391">
        <f>IF(Skills!C16=1,60+Inputs!$B$25+Inputs!$B$29,IF(Skills!C16=2,90+Inputs!$B$26+Inputs!$B$29,IF(Skills!C16=3,120+Inputs!$B$27+Inputs!$B$29,MAX(0,(Inputs!$B$3-100)*3)+Inputs!$B$28+Inputs!$B$29)))</f>
        <v/>
      </c>
      <c r="E391">
        <f>INDEX(FactorTable!$B$2:$Y$301, MATCH(ROUND(MIN(300,MAX(1,D391)),0), FactorTable!$A$2:$A$301,0), Skills!M16+1)</f>
        <v/>
      </c>
      <c r="F391">
        <f>IF(Skills!N16=TRUE,(Skills!L16/10)*(E391/1000),Skills!L16/10)+Skills!O16</f>
        <v/>
      </c>
      <c r="G391">
        <f>Skills!G16*IF(Skills!H16&gt;0,Skills!I16/Skills!H16,1)</f>
        <v/>
      </c>
      <c r="H391">
        <f>1-(1-Skills!J16/100)^Skills!K16</f>
        <v/>
      </c>
      <c r="I391" t="inlineStr">
        <is>
          <t>1</t>
        </is>
      </c>
      <c r="J391" t="inlineStr"/>
      <c r="K391" t="inlineStr"/>
      <c r="L391" t="inlineStr"/>
      <c r="M391" t="inlineStr"/>
      <c r="N391" t="inlineStr"/>
      <c r="O391">
        <f>(1-Summary!$B$55)*T391+Summary!$B$55*V391</f>
        <v/>
      </c>
      <c r="P391">
        <f>IF(B410=0,0,O391/B410)</f>
        <v/>
      </c>
      <c r="Q391" t="n">
        <v>0</v>
      </c>
      <c r="R391" t="n">
        <v>0</v>
      </c>
      <c r="S391">
        <f>IFERROR(O391/N391,0)</f>
        <v/>
      </c>
      <c r="T391" t="n">
        <v>0</v>
      </c>
      <c r="V391" t="n">
        <v>0</v>
      </c>
    </row>
    <row r="392">
      <c r="A392">
        <f>Skills!A17</f>
        <v/>
      </c>
      <c r="B392">
        <f>Skills!B17</f>
        <v/>
      </c>
      <c r="C392">
        <f>Inputs!$B$3&gt;=10</f>
        <v/>
      </c>
      <c r="D392">
        <f>IF(Skills!C17=1,60+Inputs!$B$25+Inputs!$B$29,IF(Skills!C17=2,90+Inputs!$B$26+Inputs!$B$29,IF(Skills!C17=3,120+Inputs!$B$27+Inputs!$B$29,MAX(0,(Inputs!$B$3-100)*3)+Inputs!$B$28+Inputs!$B$29)))</f>
        <v/>
      </c>
      <c r="E392">
        <f>INDEX(FactorTable!$B$2:$Y$301, MATCH(ROUND(MIN(300,MAX(1,D392)),0), FactorTable!$A$2:$A$301,0), Skills!M17+1)</f>
        <v/>
      </c>
      <c r="F392">
        <f>IF(Skills!N17=TRUE,(Skills!L17/10)*(E392/1000),Skills!L17/10)+Skills!O17</f>
        <v/>
      </c>
      <c r="G392">
        <f>Skills!G17*IF(Skills!H17&gt;0,Skills!I17/Skills!H17,1)</f>
        <v/>
      </c>
      <c r="H392">
        <f>1-(1-Skills!J17/100)^Skills!K17</f>
        <v/>
      </c>
      <c r="I392" t="inlineStr">
        <is>
          <t>1</t>
        </is>
      </c>
      <c r="J392" t="inlineStr"/>
      <c r="K392" t="inlineStr"/>
      <c r="L392" t="inlineStr"/>
      <c r="M392" t="inlineStr"/>
      <c r="N392" t="inlineStr"/>
      <c r="O392">
        <f>(1-Summary!$B$55)*T392+Summary!$B$55*V392</f>
        <v/>
      </c>
      <c r="P392">
        <f>IF(B410=0,0,O392/B410)</f>
        <v/>
      </c>
      <c r="Q392" t="n">
        <v>0</v>
      </c>
      <c r="R392" t="n">
        <v>0</v>
      </c>
      <c r="S392">
        <f>IFERROR(O392/N392,0)</f>
        <v/>
      </c>
      <c r="T392" t="n">
        <v>0</v>
      </c>
      <c r="V392" t="n">
        <v>0</v>
      </c>
    </row>
    <row r="393">
      <c r="A393">
        <f>Skills!A18</f>
        <v/>
      </c>
      <c r="B393">
        <f>Skills!B18</f>
        <v/>
      </c>
      <c r="C393">
        <f>Inputs!$B$3&gt;=33</f>
        <v/>
      </c>
      <c r="D393">
        <f>IF(Skills!C18=1,60+Inputs!$B$25+Inputs!$B$29,IF(Skills!C18=2,90+Inputs!$B$26+Inputs!$B$29,IF(Skills!C18=3,120+Inputs!$B$27+Inputs!$B$29,MAX(0,(Inputs!$B$3-100)*3)+Inputs!$B$28+Inputs!$B$29)))</f>
        <v/>
      </c>
      <c r="E393">
        <f>INDEX(FactorTable!$B$2:$Y$301, MATCH(ROUND(MIN(300,MAX(1,D393)),0), FactorTable!$A$2:$A$301,0), Skills!M18+1)</f>
        <v/>
      </c>
      <c r="F393">
        <f>IF(Skills!N18=TRUE,(Skills!L18/10)*(E393/1000),Skills!L18/10)+Skills!O18</f>
        <v/>
      </c>
      <c r="G393">
        <f>Skills!G18*IF(Skills!H18&gt;0,Skills!I18/Skills!H18,1)</f>
        <v/>
      </c>
      <c r="H393">
        <f>1-(1-Skills!J18/100)^Skills!K18</f>
        <v/>
      </c>
      <c r="I393" t="inlineStr">
        <is>
          <t>1</t>
        </is>
      </c>
      <c r="J393" t="inlineStr"/>
      <c r="K393" t="inlineStr"/>
      <c r="L393" t="inlineStr"/>
      <c r="M393" t="inlineStr"/>
      <c r="N393" t="inlineStr"/>
      <c r="O393">
        <f>(1-Summary!$B$55)*T393+Summary!$B$55*V393</f>
        <v/>
      </c>
      <c r="P393">
        <f>IF(B410=0,0,O393/B410)</f>
        <v/>
      </c>
      <c r="Q393" t="n">
        <v>0</v>
      </c>
      <c r="R393" t="n">
        <v>0</v>
      </c>
      <c r="S393">
        <f>IFERROR(O393/N393,0)</f>
        <v/>
      </c>
      <c r="T393" t="n">
        <v>0</v>
      </c>
      <c r="V393" t="n">
        <v>0</v>
      </c>
    </row>
    <row r="394">
      <c r="A394">
        <f>Skills!A19</f>
        <v/>
      </c>
      <c r="B394">
        <f>Skills!B19</f>
        <v/>
      </c>
      <c r="C394">
        <f>Inputs!$B$3&gt;=40</f>
        <v/>
      </c>
      <c r="D394">
        <f>IF(Skills!C19=1,60+Inputs!$B$25+Inputs!$B$29,IF(Skills!C19=2,90+Inputs!$B$26+Inputs!$B$29,IF(Skills!C19=3,120+Inputs!$B$27+Inputs!$B$29,MAX(0,(Inputs!$B$3-100)*3)+Inputs!$B$28+Inputs!$B$29)))</f>
        <v/>
      </c>
      <c r="E394">
        <f>INDEX(FactorTable!$B$2:$Y$301, MATCH(ROUND(MIN(300,MAX(1,D394)),0), FactorTable!$A$2:$A$301,0), Skills!M19+1)</f>
        <v/>
      </c>
      <c r="F394">
        <f>IF(Skills!N19=TRUE,(Skills!L19/10)*(E394/1000),Skills!L19/10)+Skills!O19</f>
        <v/>
      </c>
      <c r="G394">
        <f>Skills!G19*IF(Skills!H19&gt;0,Skills!I19/Skills!H19,1)</f>
        <v/>
      </c>
      <c r="H394">
        <f>1-(1-Skills!J19/100)^Skills!K19</f>
        <v/>
      </c>
      <c r="I394" t="inlineStr">
        <is>
          <t>1</t>
        </is>
      </c>
      <c r="J394" t="inlineStr"/>
      <c r="K394" t="inlineStr"/>
      <c r="L394" t="inlineStr"/>
      <c r="M394" t="inlineStr"/>
      <c r="N394" t="inlineStr"/>
      <c r="O394">
        <f>(1-Summary!$B$55)*T394+Summary!$B$55*V394</f>
        <v/>
      </c>
      <c r="P394">
        <f>IF(B410=0,0,O394/B410)</f>
        <v/>
      </c>
      <c r="Q394" t="n">
        <v>0</v>
      </c>
      <c r="R394" t="n">
        <v>0</v>
      </c>
      <c r="S394">
        <f>IFERROR(O394/N394,0)</f>
        <v/>
      </c>
      <c r="T394" t="n">
        <v>0</v>
      </c>
      <c r="V394" t="n">
        <v>0</v>
      </c>
    </row>
    <row r="395">
      <c r="A395">
        <f>Skills!A20</f>
        <v/>
      </c>
      <c r="B395">
        <f>Skills!B20</f>
        <v/>
      </c>
      <c r="C395">
        <f>Inputs!$B$3&gt;=43</f>
        <v/>
      </c>
      <c r="D395">
        <f>IF(Skills!C20=1,60+Inputs!$B$25+Inputs!$B$29,IF(Skills!C20=2,90+Inputs!$B$26+Inputs!$B$29,IF(Skills!C20=3,120+Inputs!$B$27+Inputs!$B$29,MAX(0,(Inputs!$B$3-100)*3)+Inputs!$B$28+Inputs!$B$29)))</f>
        <v/>
      </c>
      <c r="E395">
        <f>INDEX(FactorTable!$B$2:$Y$301, MATCH(ROUND(MIN(300,MAX(1,D395)),0), FactorTable!$A$2:$A$301,0), Skills!M20+1)</f>
        <v/>
      </c>
      <c r="F395">
        <f>IF(Skills!N20=TRUE,(Skills!L20/10)*(E395/1000),Skills!L20/10)+Skills!O20</f>
        <v/>
      </c>
      <c r="G395">
        <f>Skills!G20*IF(Skills!H20&gt;0,Skills!I20/Skills!H20,1)</f>
        <v/>
      </c>
      <c r="H395">
        <f>1-(1-Skills!J20/100)^Skills!K20</f>
        <v/>
      </c>
      <c r="I395" t="inlineStr">
        <is>
          <t>1</t>
        </is>
      </c>
      <c r="J395" t="inlineStr"/>
      <c r="K395" t="inlineStr"/>
      <c r="L395" t="inlineStr"/>
      <c r="M395" t="inlineStr"/>
      <c r="N395" t="inlineStr"/>
      <c r="O395">
        <f>(1-Summary!$B$55)*T395+Summary!$B$55*V395</f>
        <v/>
      </c>
      <c r="P395">
        <f>IF(B410=0,0,O395/B410)</f>
        <v/>
      </c>
      <c r="Q395" t="n">
        <v>0</v>
      </c>
      <c r="R395" t="n">
        <v>0</v>
      </c>
      <c r="S395">
        <f>IFERROR(O395/N395,0)</f>
        <v/>
      </c>
      <c r="T395" t="n">
        <v>0</v>
      </c>
      <c r="V395" t="n">
        <v>0</v>
      </c>
    </row>
    <row r="396">
      <c r="A396">
        <f>Skills!A21</f>
        <v/>
      </c>
      <c r="B396">
        <f>Skills!B21</f>
        <v/>
      </c>
      <c r="C396">
        <f>Inputs!$B$3&gt;=38</f>
        <v/>
      </c>
      <c r="D396">
        <f>IF(Skills!C21=1,60+Inputs!$B$25+Inputs!$B$29,IF(Skills!C21=2,90+Inputs!$B$26+Inputs!$B$29,IF(Skills!C21=3,120+Inputs!$B$27+Inputs!$B$29,MAX(0,(Inputs!$B$3-100)*3)+Inputs!$B$28+Inputs!$B$29)))</f>
        <v/>
      </c>
      <c r="E396">
        <f>INDEX(FactorTable!$B$2:$Y$301, MATCH(ROUND(MIN(300,MAX(1,D396)),0), FactorTable!$A$2:$A$301,0), Skills!M21+1)</f>
        <v/>
      </c>
      <c r="F396">
        <f>IF(Skills!N21=TRUE,(Skills!L21/10)*(E396/1000),Skills!L21/10)+Skills!O21</f>
        <v/>
      </c>
      <c r="G396">
        <f>Skills!G21*IF(Skills!H21&gt;0,Skills!I21/Skills!H21,1)</f>
        <v/>
      </c>
      <c r="H396">
        <f>1-(1-Skills!J21/100)^Skills!K21</f>
        <v/>
      </c>
      <c r="I396" t="inlineStr">
        <is>
          <t>1</t>
        </is>
      </c>
      <c r="J396" t="inlineStr"/>
      <c r="K396" t="inlineStr"/>
      <c r="L396" t="inlineStr"/>
      <c r="M396" t="inlineStr"/>
      <c r="N396" t="inlineStr"/>
      <c r="O396">
        <f>(1-Summary!$B$55)*T396+Summary!$B$55*V396</f>
        <v/>
      </c>
      <c r="P396">
        <f>IF(B410=0,0,O396/B410)</f>
        <v/>
      </c>
      <c r="Q396" t="n">
        <v>0</v>
      </c>
      <c r="R396" t="n">
        <v>0</v>
      </c>
      <c r="S396">
        <f>IFERROR(O396/N396,0)</f>
        <v/>
      </c>
      <c r="T396" t="n">
        <v>0</v>
      </c>
      <c r="V396" t="n">
        <v>0</v>
      </c>
    </row>
    <row r="397">
      <c r="A397">
        <f>Skills!A22</f>
        <v/>
      </c>
      <c r="B397">
        <f>Skills!B22</f>
        <v/>
      </c>
      <c r="C397">
        <f>Inputs!$B$3&gt;=75</f>
        <v/>
      </c>
      <c r="D397">
        <f>IF(Skills!C22=1,60+Inputs!$B$25+Inputs!$B$29,IF(Skills!C22=2,90+Inputs!$B$26+Inputs!$B$29,IF(Skills!C22=3,120+Inputs!$B$27+Inputs!$B$29,MAX(0,(Inputs!$B$3-100)*3)+Inputs!$B$28+Inputs!$B$29)))</f>
        <v/>
      </c>
      <c r="E397">
        <f>INDEX(FactorTable!$B$2:$Y$301, MATCH(ROUND(MIN(300,MAX(1,D397)),0), FactorTable!$A$2:$A$301,0), Skills!M22+1)</f>
        <v/>
      </c>
      <c r="F397">
        <f>IF(Skills!N22=TRUE,(Skills!L22/10)*(E397/1000),Skills!L22/10)+Skills!O22</f>
        <v/>
      </c>
      <c r="G397">
        <f>Skills!G22*IF(Skills!H22&gt;0,Skills!I22/Skills!H22,1)</f>
        <v/>
      </c>
      <c r="H397">
        <f>1-(1-Skills!J22/100)^Skills!K22</f>
        <v/>
      </c>
      <c r="I397" t="inlineStr">
        <is>
          <t>1</t>
        </is>
      </c>
      <c r="J397" t="inlineStr"/>
      <c r="K397" t="inlineStr"/>
      <c r="L397" t="inlineStr"/>
      <c r="M397" t="inlineStr"/>
      <c r="N397" t="inlineStr"/>
      <c r="O397">
        <f>(1-Summary!$B$55)*T397+Summary!$B$55*V397</f>
        <v/>
      </c>
      <c r="P397">
        <f>IF(B410=0,0,O397/B410)</f>
        <v/>
      </c>
      <c r="Q397" t="n">
        <v>0</v>
      </c>
      <c r="R397" t="n">
        <v>0</v>
      </c>
      <c r="S397">
        <f>IFERROR(O397/N397,0)</f>
        <v/>
      </c>
      <c r="T397" t="n">
        <v>0</v>
      </c>
      <c r="V397" t="n">
        <v>0</v>
      </c>
    </row>
    <row r="399">
      <c r="A399" t="inlineStr">
        <is>
          <t>Attack% Bucket Multiplier</t>
        </is>
      </c>
      <c r="B399">
        <f>(1+(((C388=TRUE)*F388)+((C394=TRUE)*(F394-Calc!F19)))/100)</f>
        <v/>
      </c>
    </row>
    <row r="400">
      <c r="A400" t="inlineStr">
        <is>
          <t>Global Crit Rate Bonus %</t>
        </is>
      </c>
      <c r="B400" t="n">
        <v>0</v>
      </c>
    </row>
    <row r="401">
      <c r="A401" t="inlineStr">
        <is>
          <t>Attack Speed Buff Bonus % (unused)</t>
        </is>
      </c>
      <c r="B401" t="n">
        <v>0</v>
      </c>
    </row>
    <row r="402">
      <c r="A402" t="inlineStr">
        <is>
          <t>Actions Per Second</t>
        </is>
      </c>
      <c r="B402">
        <f>1+MIN(150,150*(1-(1-(Inputs!$B$11+((C392=TRUE)*(F392-Calc!F17))+((C393=TRUE)*(F393-Calc!F18)))/150)*(1-B401/150)))/100</f>
        <v/>
      </c>
    </row>
    <row r="403">
      <c r="A403" t="inlineStr">
        <is>
          <t>Skill + Buff Cast Rate</t>
        </is>
      </c>
      <c r="B403">
        <f>IF(AND(Inputs!$B$38&lt;&gt;"pvp",Inputs!$B$43&gt;0),SUMPRODUCT((Skills!E2:E22=TRUE)*(C377:C397=TRUE)*R377:R397*Skills!F2:F22)/Inputs!$B$43,SUMPRODUCT((Skills!E2:E22=TRUE)*(C377:C397=TRUE)*Q377:Q397*Skills!F2:F22))</f>
        <v/>
      </c>
    </row>
    <row r="404">
      <c r="A404" t="inlineStr">
        <is>
          <t>Hook Bomber Casts Per Second</t>
        </is>
      </c>
      <c r="B404">
        <f>MAX(0,B402-B403)</f>
        <v/>
      </c>
    </row>
    <row r="405">
      <c r="A405" t="inlineStr">
        <is>
          <t>Global Critical Damage Bonus % (unused)</t>
        </is>
      </c>
      <c r="B405" t="n">
        <v>0</v>
      </c>
    </row>
    <row r="406">
      <c r="A406" t="inlineStr">
        <is>
          <t>Global Final Damage Bonus % (Serpent Scale + Crossbones + Time Leap + Speed Infusion)</t>
        </is>
      </c>
      <c r="B406">
        <f>((C380=TRUE)*F380*((10+IF(Inputs!$B$3&gt;=94,5,0))/((10+IF(Inputs!$B$3&gt;=94,5,0))+5/(B404*(1+IF(Inputs!$B$3&gt;=104,1,0))))))+((C389=TRUE)*F389)+((C390=TRUE)*F390)+((Inputs!$B$3&gt;=110)*20*(B402-1))</f>
        <v/>
      </c>
    </row>
    <row r="407">
      <c r="A407" t="inlineStr">
        <is>
          <t>Buff-Casting Startup Delay (s, fixed-duration only)</t>
        </is>
      </c>
      <c r="B407">
        <f>IF(AND(Inputs!$B$38&lt;&gt;"pvp",Inputs!$B$43&gt;0),SUMPRODUCT((Skills!T2:T22&gt;0)*(Skills!E2:E22=TRUE)*(C377:C397=TRUE))/B402,0)</f>
        <v/>
      </c>
    </row>
    <row r="408">
      <c r="A408" t="inlineStr">
        <is>
          <t>Boss-Only Total DPS (this block's swept value)</t>
        </is>
      </c>
      <c r="B408">
        <f>SUM(T377:T397)</f>
        <v/>
      </c>
    </row>
    <row r="409">
      <c r="A409" t="inlineStr">
        <is>
          <t>Normal-Only Total DPS (this block's swept value)</t>
        </is>
      </c>
      <c r="B409">
        <f>SUM(V377:V397)</f>
        <v/>
      </c>
    </row>
    <row r="410">
      <c r="A410" s="5" t="inlineStr">
        <is>
          <t>TOTAL DPS</t>
        </is>
      </c>
      <c r="B410" s="5">
        <f>SUM(O377:O397)</f>
        <v/>
      </c>
    </row>
    <row r="413">
      <c r="A413" s="5" t="inlineStr">
        <is>
          <t>Stat: CRIT_RATE %</t>
        </is>
      </c>
    </row>
    <row r="414">
      <c r="A414" s="9" t="inlineStr">
        <is>
          <t>Key</t>
        </is>
      </c>
      <c r="B414" s="9" t="inlineStr">
        <is>
          <t>Name</t>
        </is>
      </c>
      <c r="C414" s="9" t="inlineStr">
        <is>
          <t>Unlocked</t>
        </is>
      </c>
      <c r="D414" s="9" t="inlineStr">
        <is>
          <t>InputLevel</t>
        </is>
      </c>
      <c r="E414" s="9" t="inlineStr">
        <is>
          <t>Factor</t>
        </is>
      </c>
      <c r="F414" s="9" t="inlineStr">
        <is>
          <t>CoefficientPercent</t>
        </is>
      </c>
      <c r="G414" s="9" t="inlineStr">
        <is>
          <t>EffectiveHits</t>
        </is>
      </c>
      <c r="H414" s="9" t="inlineStr">
        <is>
          <t>ProcProbability</t>
        </is>
      </c>
      <c r="I414" s="9" t="inlineStr">
        <is>
          <t>MapleHeroMultiplier</t>
        </is>
      </c>
      <c r="J414" s="9" t="inlineStr">
        <is>
          <t>BaseDamage</t>
        </is>
      </c>
      <c r="K414" s="9" t="inlineStr">
        <is>
          <t>BaseHitDamage</t>
        </is>
      </c>
      <c r="L414" s="9" t="inlineStr">
        <is>
          <t>NonCritAvg</t>
        </is>
      </c>
      <c r="M414" s="9" t="inlineStr">
        <is>
          <t>CritAvg</t>
        </is>
      </c>
      <c r="N414" s="9" t="inlineStr">
        <is>
          <t>ExpectedDamage(perHit)</t>
        </is>
      </c>
      <c r="O414" s="9" t="inlineStr">
        <is>
          <t>DPS</t>
        </is>
      </c>
      <c r="P414" s="9" t="inlineStr">
        <is>
          <t>% of Total</t>
        </is>
      </c>
      <c r="Q414" s="9" t="inlineStr">
        <is>
          <t>InvCooldown</t>
        </is>
      </c>
      <c r="R414" s="9" t="inlineStr">
        <is>
          <t>CastsInFight</t>
        </is>
      </c>
      <c r="S414" s="9"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((Inputs!$B$6*(1+Inputs!$B$7/100))+(((Inputs!$B$12*(1+Inputs!$B$13/100))-(Inputs!$B$12*(1+Inputs!$B$13/100)))+0.25*(Inputs!$B$14-Inputs!$B$14))*(1+Inputs!$B$7/100))*(F415/100)</f>
        <v/>
      </c>
      <c r="K415">
        <f>J415*(1+((Inputs!$B$12*(1+Inputs!$B$13/100))*0.01+Inputs!$B$14*0.0025)/100)*(1+Inputs!$B$15/100)*(1+Inputs!$B$16/100)*(5000/(6000+Inputs!$B$42*(1-(Inputs!$B$19+0)/100)))*(1+(Inputs!$B$24+((C435=TRUE)*(F435-Calc!F22))+B444)/100)*(1+(IF(Skills!A2="HOOK_BOMBER",Inputs!$B$17+((C434=TRUE)*(F434-Calc!F21)),Inputs!$B$18+0))/100)*((1+(((C426=TRUE)*F426)+((C432=TRUE)*(F432-Calc!F19)))/100)*I415)</f>
        <v/>
      </c>
      <c r="L415">
        <f>K415*(MIN(Inputs!$B$22+((C433=TRUE)*(F433-Calc!F20)),Inputs!$B$23+0)/100+(Inputs!$B$23+0)/100)/2</f>
        <v/>
      </c>
      <c r="M415">
        <f>L415*(1+(Inputs!$B$10+0+B443)/100)</f>
        <v/>
      </c>
      <c r="N415">
        <f>L415*(1-MIN(((Inputs!$B$9+1)+((C429=TRUE)*(F429-Calc!F16))+B438),100)/100)+M415*(MIN(((Inputs!$B$9+1)+((C429=TRUE)*(F429-Calc!F16))+B438),100)/100)</f>
        <v/>
      </c>
      <c r="O415">
        <f>(1-Summary!$B$55)*T415+Summary!$B$55*V415</f>
        <v/>
      </c>
      <c r="P415">
        <f>IF(B448=0,0,O415/B448)</f>
        <v/>
      </c>
      <c r="Q415" t="n">
        <v>0</v>
      </c>
      <c r="R415" t="n">
        <v>0</v>
      </c>
      <c r="S415">
        <f>IFERROR(O415/N415,0)</f>
        <v/>
      </c>
      <c r="T415">
        <f>IF(C415,(Skills!G2*N415*B442)*IF(Inputs!$B$38="pvp",1,1+(Inputs!$B$20+0+Skills!P2)/100),0)</f>
        <v/>
      </c>
      <c r="U415">
        <f>MAX(0,(Inputs!$B$3-100)*3)+Inputs!$B$28+Inputs!$B$29</f>
        <v/>
      </c>
      <c r="V415">
        <f>IF(C415,(Skills!G2*N415*B442)*IF(Inputs!$B$38="pvp",1,(1+(Inputs!$B$21+Skills!Q2)/100)*(MIN((6+Inputs!$B$33),Inputs!$B$37))),0)</f>
        <v/>
      </c>
    </row>
    <row r="416">
      <c r="A416">
        <f>Skills!A3</f>
        <v/>
      </c>
      <c r="B416">
        <f>Skills!B3</f>
        <v/>
      </c>
      <c r="C416">
        <f>Inputs!$B$3&gt;=35</f>
        <v/>
      </c>
      <c r="D416">
        <f>IF(Skills!C3=1,60+Inputs!$B$25+Inputs!$B$29,IF(Skills!C3=2,90+Inputs!$B$26+Inputs!$B$29,IF(Skills!C3=3,120+Inputs!$B$27+Inputs!$B$29,MAX(0,(Inputs!$B$3-100)*3)+Inputs!$B$28+Inputs!$B$29)))</f>
        <v/>
      </c>
      <c r="E416">
        <f>INDEX(FactorTable!$B$2:$Y$301, MATCH(ROUND(MIN(300,MAX(1,D416)),0), FactorTable!$A$2:$A$301,0), Skills!M3+1)</f>
        <v/>
      </c>
      <c r="F416">
        <f>IF(Skills!N3=TRUE,(Skills!L3/10)*(E416/1000),Skills!L3/10)+Skills!O3</f>
        <v/>
      </c>
      <c r="G416">
        <f>Skills!G3*IF(Skills!H3&gt;0,Skills!I3/Skills!H3,1)</f>
        <v/>
      </c>
      <c r="H416">
        <f>1-(1-Skills!J3/100)^Skills!K3</f>
        <v/>
      </c>
      <c r="I416" t="inlineStr">
        <is>
          <t>1</t>
        </is>
      </c>
      <c r="J416">
        <f>((Inputs!$B$6*(1+Inputs!$B$7/100))+(((Inputs!$B$12*(1+Inputs!$B$13/100))-(Inputs!$B$12*(1+Inputs!$B$13/100)))+0.25*(Inputs!$B$14-Inputs!$B$14))*(1+Inputs!$B$7/100))*(F416/100)</f>
        <v/>
      </c>
      <c r="K416">
        <f>J416*(1+((Inputs!$B$12*(1+Inputs!$B$13/100))*0.01+Inputs!$B$14*0.0025)/100)*(1+Inputs!$B$15/100)*(1+Inputs!$B$16/100)*(5000/(6000+Inputs!$B$42*(1-(Inputs!$B$19+0)/100)))*(1+(Inputs!$B$24+((C435=TRUE)*(F435-Calc!F22))+B444)/100)*(1+(IF(Skills!A3="HOOK_BOMBER",Inputs!$B$17+((C434=TRUE)*(F434-Calc!F21)),Inputs!$B$18+0))/100)*((1+(((C426=TRUE)*F426)+((C432=TRUE)*(F432-Calc!F19)))/100)*I416)</f>
        <v/>
      </c>
      <c r="L416">
        <f>K416*(MIN(Inputs!$B$22+((C433=TRUE)*(F433-Calc!F20)),Inputs!$B$23+0)/100+(Inputs!$B$23+0)/100)/2</f>
        <v/>
      </c>
      <c r="M416">
        <f>L416*(1+(Inputs!$B$10+0+B443)/100)</f>
        <v/>
      </c>
      <c r="N416">
        <f>L416*(1-MIN(((Inputs!$B$9+1)+((C429=TRUE)*(F429-Calc!F16))+B438),100)/100)+M416*(MIN(((Inputs!$B$9+1)+((C429=TRUE)*(F429-Calc!F16))+B438),100)/100)</f>
        <v/>
      </c>
      <c r="O416">
        <f>(1-Summary!$B$55)*T416+Summary!$B$55*V416</f>
        <v/>
      </c>
      <c r="P416">
        <f>IF(B448=0,0,O416/B448)</f>
        <v/>
      </c>
      <c r="Q416" t="n">
        <v>0</v>
      </c>
      <c r="R416" t="n">
        <v>0</v>
      </c>
      <c r="S416">
        <f>IFERROR(O416/N416,0)</f>
        <v/>
      </c>
      <c r="T416">
        <f>IF(C416,(Skills!G3*H416*N416*B442)*IF(Inputs!$B$38="pvp",1,1+(Inputs!$B$20+0+Skills!P3)/100),0)</f>
        <v/>
      </c>
      <c r="U416">
        <f>INDEX(FactorTable!$B$2:$Y$301, MATCH(ROUND(MIN(300,MAX(1,U415)),0), FactorTable!$A$2:$A$301,0), 22)</f>
        <v/>
      </c>
      <c r="V416">
        <f>IF(C416,(Skills!G3*H416*N416*B442)*IF(Inputs!$B$38="pvp",1,(1+(Inputs!$B$21+Skills!Q3)/100)*(MIN(Skills!R3,Inputs!$B$37))),0)</f>
        <v/>
      </c>
    </row>
    <row r="417">
      <c r="A417">
        <f>Skills!A4</f>
        <v/>
      </c>
      <c r="B417">
        <f>Skills!B4</f>
        <v/>
      </c>
      <c r="C417">
        <f>Inputs!$B$3&gt;=60</f>
        <v/>
      </c>
      <c r="D417">
        <f>IF(Skills!C4=1,60+Inputs!$B$25+Inputs!$B$29,IF(Skills!C4=2,90+Inputs!$B$26+Inputs!$B$29,IF(Skills!C4=3,120+Inputs!$B$27+Inputs!$B$29,MAX(0,(Inputs!$B$3-100)*3)+Inputs!$B$28+Inputs!$B$29)))</f>
        <v/>
      </c>
      <c r="E417">
        <f>INDEX(FactorTable!$B$2:$Y$301, MATCH(ROUND(MIN(300,MAX(1,D417)),0), FactorTable!$A$2:$A$301,0), Skills!M4+1)</f>
        <v/>
      </c>
      <c r="F417">
        <f>IF(Skills!N4=TRUE,(Skills!L4/10)*(E417/1000),Skills!L4/10)+Skills!O4</f>
        <v/>
      </c>
      <c r="G417">
        <f>Skills!G4*IF(Skills!H4&gt;0,Skills!I4/Skills!H4,1)</f>
        <v/>
      </c>
      <c r="H417">
        <f>1-(1-Skills!J4/100)^Skills!K4</f>
        <v/>
      </c>
      <c r="I417" t="inlineStr">
        <is>
          <t>1</t>
        </is>
      </c>
      <c r="J417">
        <f>((Inputs!$B$6*(1+Inputs!$B$7/100))+(((Inputs!$B$12*(1+Inputs!$B$13/100))-(Inputs!$B$12*(1+Inputs!$B$13/100)))+0.25*(Inputs!$B$14-Inputs!$B$14))*(1+Inputs!$B$7/100))*(F417/100)</f>
        <v/>
      </c>
      <c r="K417">
        <f>J417*(1+((Inputs!$B$12*(1+Inputs!$B$13/100))*0.01+Inputs!$B$14*0.0025)/100)*(1+Inputs!$B$15/100)*(1+Inputs!$B$16/100)*(5000/(6000+Inputs!$B$42*(1-(Inputs!$B$19+0)/100)))*(1+(Inputs!$B$24+((C435=TRUE)*(F435-Calc!F22))+B444)/100)*(1+1.0*IF(C425=TRUE,F425,0)/100)*(1+(IF(Skills!A4="HOOK_BOMBER",Inputs!$B$17+((C434=TRUE)*(F434-Calc!F21)),Inputs!$B$18+0))/100)*((1+(((C426=TRUE)*F426)+((C432=TRUE)*(F432-Calc!F19)))/100)*I417)</f>
        <v/>
      </c>
      <c r="L417">
        <f>K417*(MIN(Inputs!$B$22+((C433=TRUE)*(F433-Calc!F20)),Inputs!$B$23+0)/100+(Inputs!$B$23+0)/100)/2</f>
        <v/>
      </c>
      <c r="M417">
        <f>L417*(1+(Inputs!$B$10+0+B443)/100)</f>
        <v/>
      </c>
      <c r="N417">
        <f>L417*(1-MIN(((Inputs!$B$9+1)+((C429=TRUE)*(F429-Calc!F16))+B438),100)/100)+M417*(MIN(((Inputs!$B$9+1)+((C429=TRUE)*(F429-Calc!F16))+B438),100)/100)</f>
        <v/>
      </c>
      <c r="O417">
        <f>(1-Summary!$B$55)*T417+Summary!$B$55*V417</f>
        <v/>
      </c>
      <c r="P417">
        <f>IF(B448=0,0,O417/B448)</f>
        <v/>
      </c>
      <c r="Q417" t="n">
        <v>0</v>
      </c>
      <c r="R417" t="n">
        <v>0</v>
      </c>
      <c r="S417">
        <f>IFERROR(O417/N417,0)</f>
        <v/>
      </c>
      <c r="T417">
        <f>IF(C417,(Skills!G4*H417*N417*B442)*IF(Inputs!$B$38="pvp",1,1+(Inputs!$B$20+0+Skills!P4)/100),0)</f>
        <v/>
      </c>
      <c r="U417">
        <f>290*U416/1000</f>
        <v/>
      </c>
      <c r="V417">
        <f>IF(C417,(Skills!G4*H417*N417*B442)*IF(Inputs!$B$38="pvp",1,(1+(Inputs!$B$21+Skills!Q4)/100)*(MIN(Skills!R4,Inputs!$B$37))),0)</f>
        <v/>
      </c>
    </row>
    <row r="418">
      <c r="A418">
        <f>Skills!A5</f>
        <v/>
      </c>
      <c r="B418">
        <f>Skills!B5</f>
        <v/>
      </c>
      <c r="C418">
        <f>Inputs!$B$3&gt;=60</f>
        <v/>
      </c>
      <c r="D418">
        <f>IF(Skills!C5=1,60+Inputs!$B$25+Inputs!$B$29,IF(Skills!C5=2,90+Inputs!$B$26+Inputs!$B$29,IF(Skills!C5=3,120+Inputs!$B$27+Inputs!$B$29,MAX(0,(Inputs!$B$3-100)*3)+Inputs!$B$28+Inputs!$B$29)))</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t="inlineStr"/>
      <c r="K418" t="inlineStr"/>
      <c r="L418" t="inlineStr"/>
      <c r="M418" t="inlineStr"/>
      <c r="N418" t="inlineStr"/>
      <c r="O418">
        <f>(1-Summary!$B$55)*T418+Summary!$B$55*V418</f>
        <v/>
      </c>
      <c r="P418">
        <f>IF(B448=0,0,O418/B448)</f>
        <v/>
      </c>
      <c r="Q418" t="n">
        <v>0</v>
      </c>
      <c r="R418" t="n">
        <v>0</v>
      </c>
      <c r="S418">
        <f>IFERROR(O418/N418,0)</f>
        <v/>
      </c>
      <c r="T418" t="n">
        <v>0</v>
      </c>
      <c r="V418" t="n">
        <v>0</v>
      </c>
    </row>
    <row r="419">
      <c r="A419">
        <f>Skills!A6</f>
        <v/>
      </c>
      <c r="B419">
        <f>Skills!B6</f>
        <v/>
      </c>
      <c r="C419">
        <f>Inputs!$B$3&gt;=63</f>
        <v/>
      </c>
      <c r="D419">
        <f>IF(Skills!C6=1,60+Inputs!$B$25+Inputs!$B$29,IF(Skills!C6=2,90+Inputs!$B$26+Inputs!$B$29,IF(Skills!C6=3,120+Inputs!$B$27+Inputs!$B$29,MAX(0,(Inputs!$B$3-100)*3)+Inputs!$B$28+Inputs!$B$29)))</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((Inputs!$B$6*(1+Inputs!$B$7/100))+(((Inputs!$B$12*(1+Inputs!$B$13/100))-(Inputs!$B$12*(1+Inputs!$B$13/100)))+0.25*(Inputs!$B$14-Inputs!$B$14))*(1+Inputs!$B$7/100))*(F419/100)</f>
        <v/>
      </c>
      <c r="K419">
        <f>J419*(1+((Inputs!$B$12*(1+Inputs!$B$13/100))*0.01+Inputs!$B$14*0.0025)/100)*(1+Inputs!$B$15/100)*(1+Inputs!$B$16/100)*(5000/(6000+Inputs!$B$42*(1-(Inputs!$B$19+0)/100)))*(1+(Inputs!$B$24+((C435=TRUE)*(F435-Calc!F22))+B444)/100)*(1+(IF(Skills!A6="HOOK_BOMBER",Inputs!$B$17+((C434=TRUE)*(F434-Calc!F21)),Inputs!$B$18+0))/100)*((1+(((C426=TRUE)*F426)+((C432=TRUE)*(F432-Calc!F19)))/100)*I419)</f>
        <v/>
      </c>
      <c r="L419">
        <f>K419*(MIN(Inputs!$B$22+((C433=TRUE)*(F433-Calc!F20)),Inputs!$B$23+0)/100+(Inputs!$B$23+0)/100)/2</f>
        <v/>
      </c>
      <c r="M419">
        <f>L419*(1+(Inputs!$B$10+0+B443)/100)</f>
        <v/>
      </c>
      <c r="N419">
        <f>L419*(1-MIN(((Inputs!$B$9+1)+((C429=TRUE)*(F429-Calc!F16))+B438),100)/100)+M419*(MIN(((Inputs!$B$9+1)+((C429=TRUE)*(F429-Calc!F16))+B438),100)/100)</f>
        <v/>
      </c>
      <c r="O419">
        <f>(1-Summary!$B$55)*T419+Summary!$B$55*V419</f>
        <v/>
      </c>
      <c r="P419">
        <f>IF(B448=0,0,O419/B448)</f>
        <v/>
      </c>
      <c r="Q419">
        <f>IFERROR(1/IF(Inputs!$B$38="pvp",15,MAX(0.1,Skills!D6-IF(Skills!E6=TRUE,Inputs!$B$32,0))),0)</f>
        <v/>
      </c>
      <c r="R419">
        <f>IF(AND(Inputs!$B$38&lt;&gt;"pvp",Inputs!$B$43&gt;0),IF(MAX(0,Inputs!$B$43-B445)&lt;=0,0,(INT(MAX(0,Inputs!$B$43-B445)/IF(Inputs!$B$38="pvp",15,MAX(0.1,Skills!D6-IF(Skills!E6=TRUE,Inputs!$B$32,0))))+1)),0)</f>
        <v/>
      </c>
      <c r="S419">
        <f>IFERROR(O419/N419,0)</f>
        <v/>
      </c>
      <c r="T419">
        <f>IF(C419,(H419*N419*IF(AND(Inputs!$B$38&lt;&gt;"pvp",Inputs!$B$43&gt;0),((Skills!G6*((R419-1)*IF(Skills!H6&gt;0,Skills!I6/Skills!H6,1)+IF(Skills!H6&gt;0,MIN(Skills!I6,MAX(0,MAX(0,Inputs!$B$43-B445)-((R419-1)*IF(Inputs!$B$38="pvp",15,MAX(0.1,Skills!D6-IF(Skills!E6=TRUE,Inputs!$B$32,0))))))/Skills!H6,1)))/Inputs!$B$43),G419*Q419))*IF(Inputs!$B$38="pvp",1,1+(Inputs!$B$20+0+Skills!P6)/100),0)</f>
        <v/>
      </c>
      <c r="V419">
        <f>IF(C419,(H419*N419*IF(AND(Inputs!$B$38&lt;&gt;"pvp",Inputs!$B$43&gt;0),((Skills!G6*((R419-1)*IF(Skills!H6&gt;0,Skills!I6/Skills!H6,1)+IF(Skills!H6&gt;0,MIN(Skills!I6,MAX(0,MAX(0,Inputs!$B$43-B445)-((R419-1)*IF(Inputs!$B$38="pvp",15,MAX(0.1,Skills!D6-IF(Skills!E6=TRUE,Inputs!$B$32,0))))))/Skills!H6,1)))/Inputs!$B$43),G419*Q419))*IF(Inputs!$B$38="pvp",1,(1+(Inputs!$B$21+Skills!Q6)/100)*(MIN(Skills!R6,Inputs!$B$37))),0)</f>
        <v/>
      </c>
    </row>
    <row r="420">
      <c r="A420">
        <f>Skills!A7</f>
        <v/>
      </c>
      <c r="B420">
        <f>Skills!B7</f>
        <v/>
      </c>
      <c r="C420">
        <f>Inputs!$B$3&gt;=100</f>
        <v/>
      </c>
      <c r="D420">
        <f>IF(Skills!C7=1,60+Inputs!$B$25+Inputs!$B$29,IF(Skills!C7=2,90+Inputs!$B$26+Inputs!$B$29,IF(Skills!C7=3,120+Inputs!$B$27+Inputs!$B$29,MAX(0,(Inputs!$B$3-100)*3)+Inputs!$B$28+Inputs!$B$29)))</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((Inputs!$B$6*(1+Inputs!$B$7/100))+(((Inputs!$B$12*(1+Inputs!$B$13/100))-(Inputs!$B$12*(1+Inputs!$B$13/100)))+0.25*(Inputs!$B$14-Inputs!$B$14))*(1+Inputs!$B$7/100))*(F420/100)</f>
        <v/>
      </c>
      <c r="K420">
        <f>J420*(1+((Inputs!$B$12*(1+Inputs!$B$13/100))*0.01+Inputs!$B$14*0.0025)/100)*(1+Inputs!$B$15/100)*(1+Inputs!$B$16/100)*(5000/(6000+Inputs!$B$42*(1-(Inputs!$B$19+0)/100)))*(1+(Inputs!$B$24+((C435=TRUE)*(F435-Calc!F22))+B444)/100)*(1+(IF(Skills!A7="HOOK_BOMBER",Inputs!$B$17+((C434=TRUE)*(F434-Calc!F21)),Inputs!$B$18+0))/100)*((1+(((C426=TRUE)*F426)+((C432=TRUE)*(F432-Calc!F19)))/100)*I420)</f>
        <v/>
      </c>
      <c r="L420">
        <f>K420*(MIN(Inputs!$B$22+((C433=TRUE)*(F433-Calc!F20)),Inputs!$B$23+0)/100+(Inputs!$B$23+0)/100)/2</f>
        <v/>
      </c>
      <c r="M420">
        <f>L420*(1+(Inputs!$B$10+0+B443)/100)</f>
        <v/>
      </c>
      <c r="N420">
        <f>L420*(1-MIN(((Inputs!$B$9+1)+((C429=TRUE)*(F429-Calc!F16))+B438),100)/100)+M420*(MIN(((Inputs!$B$9+1)+((C429=TRUE)*(F429-Calc!F16))+B438),100)/100)</f>
        <v/>
      </c>
      <c r="O420">
        <f>(1-Summary!$B$55)*T420+Summary!$B$55*V420</f>
        <v/>
      </c>
      <c r="P420">
        <f>IF(B448=0,0,O420/B448)</f>
        <v/>
      </c>
      <c r="Q420">
        <f>IFERROR(1/IF(Inputs!$B$38="pvp",15,MAX(0.1,Skills!D7-IF(Skills!E7=TRUE,Inputs!$B$32,0))),0)</f>
        <v/>
      </c>
      <c r="R420">
        <f>IF(AND(Inputs!$B$38&lt;&gt;"pvp",Inputs!$B$43&gt;0),IF(MAX(0,Inputs!$B$43-B445)&lt;=0,0,(INT(MAX(0,Inputs!$B$43-B445)/IF(Inputs!$B$38="pvp",15,MAX(0.1,Skills!D7-IF(Skills!E7=TRUE,Inputs!$B$32,0))))+1)),0)</f>
        <v/>
      </c>
      <c r="S420">
        <f>IFERROR(O420/N420,0)</f>
        <v/>
      </c>
      <c r="T420">
        <f>IF(C420,(H420*N420*IF(AND(Inputs!$B$38&lt;&gt;"pvp",Inputs!$B$43&gt;0),((Skills!G7*((R420-1)*IF(Skills!H7&gt;0,Skills!I7/Skills!H7,1)+IF(Skills!H7&gt;0,MIN(Skills!I7,MAX(0,MAX(0,Inputs!$B$43-B445)-((R420-1)*IF(Inputs!$B$38="pvp",15,MAX(0.1,Skills!D7-IF(Skills!E7=TRUE,Inputs!$B$32,0))))))/Skills!H7,1)))/Inputs!$B$43),G420*Q420))*IF(Inputs!$B$38="pvp",1,1+(Inputs!$B$20+0+Skills!P7)/100),0)</f>
        <v/>
      </c>
      <c r="V420">
        <f>IF(C420,(H420*N420*IF(AND(Inputs!$B$38&lt;&gt;"pvp",Inputs!$B$43&gt;0),((Skills!G7*((R420-1)*IF(Skills!H7&gt;0,Skills!I7/Skills!H7,1)+IF(Skills!H7&gt;0,MIN(Skills!I7,MAX(0,MAX(0,Inputs!$B$43-B445)-((R420-1)*IF(Inputs!$B$38="pvp",15,MAX(0.1,Skills!D7-IF(Skills!E7=TRUE,Inputs!$B$32,0))))))/Skills!H7,1)))/Inputs!$B$43),G420*Q420))*IF(Inputs!$B$38="pvp",1,(1+(Inputs!$B$21+Skills!Q7)/100)*(MIN(Skills!R7,Inputs!$B$37))),0)</f>
        <v/>
      </c>
    </row>
    <row r="421">
      <c r="A421">
        <f>Skills!A8</f>
        <v/>
      </c>
      <c r="B421">
        <f>Skills!B8</f>
        <v/>
      </c>
      <c r="C421">
        <f>Inputs!$B$3&gt;=110</f>
        <v/>
      </c>
      <c r="D421">
        <f>IF(Skills!C8=1,60+Inputs!$B$25+Inputs!$B$29,IF(Skills!C8=2,90+Inputs!$B$26+Inputs!$B$29,IF(Skills!C8=3,120+Inputs!$B$27+Inputs!$B$29,MAX(0,(Inputs!$B$3-100)*3)+Inputs!$B$28+Inputs!$B$29)))</f>
        <v/>
      </c>
      <c r="E421">
        <f>INDEX(FactorTable!$B$2:$Y$301, MATCH(ROUND(MIN(300,MAX(1,D421)),0), FactorTable!$A$2:$A$301,0), Skills!M8+1)</f>
        <v/>
      </c>
      <c r="F421">
        <f>IF(Skills!N8=TRUE,(Skills!L8/10)*(E421/1000),Skills!L8/10)+Skills!O8</f>
        <v/>
      </c>
      <c r="G421">
        <f>Skills!G8*IF(Skills!H8&gt;0,Skills!I8/Skills!H8,1)</f>
        <v/>
      </c>
      <c r="H421">
        <f>1-(1-Skills!J8/100)^Skills!K8</f>
        <v/>
      </c>
      <c r="I421" t="inlineStr">
        <is>
          <t>1</t>
        </is>
      </c>
      <c r="J421">
        <f>((Inputs!$B$6*(1+Inputs!$B$7/100))+(((Inputs!$B$12*(1+Inputs!$B$13/100))-(Inputs!$B$12*(1+Inputs!$B$13/100)))+0.25*(Inputs!$B$14-Inputs!$B$14))*(1+Inputs!$B$7/100))*(F421/100)</f>
        <v/>
      </c>
      <c r="K421">
        <f>J421*(1+((Inputs!$B$12*(1+Inputs!$B$13/100))*0.01+Inputs!$B$14*0.0025)/100)*(1+Inputs!$B$15/100)*(1+Inputs!$B$16/100)*(5000/(6000+Inputs!$B$42*(1-(Inputs!$B$19+0)/100)))*(1+(Inputs!$B$24+((C435=TRUE)*(F435-Calc!F22))+B444)/100)*(1+(IF(Skills!A8="HOOK_BOMBER",Inputs!$B$17+((C434=TRUE)*(F434-Calc!F21)),Inputs!$B$18+0))/100)*((1+(((C426=TRUE)*F426)+((C432=TRUE)*(F432-Calc!F19)))/100)*I421)</f>
        <v/>
      </c>
      <c r="L421">
        <f>K421*(MIN(Inputs!$B$22+((C433=TRUE)*(F433-Calc!F20)),Inputs!$B$23+0)/100+(Inputs!$B$23+0)/100)/2</f>
        <v/>
      </c>
      <c r="M421">
        <f>L421*(1+(Inputs!$B$10+0+B443)/100)</f>
        <v/>
      </c>
      <c r="N421">
        <f>L421*(1-MIN(((Inputs!$B$9+1)+((C429=TRUE)*(F429-Calc!F16))+B438),100)/100)+M421*(MIN(((Inputs!$B$9+1)+((C429=TRUE)*(F429-Calc!F16))+B438),100)/100)</f>
        <v/>
      </c>
      <c r="O421">
        <f>(1-Summary!$B$55)*T421+Summary!$B$55*V421</f>
        <v/>
      </c>
      <c r="P421">
        <f>IF(B448=0,0,O421/B448)</f>
        <v/>
      </c>
      <c r="Q421">
        <f>IFERROR(1/IF(Inputs!$B$38="pvp",15,MAX(0.1,Skills!D8-IF(Skills!E8=TRUE,Inputs!$B$32,0))),0)</f>
        <v/>
      </c>
      <c r="R421">
        <f>IF(AND(Inputs!$B$38&lt;&gt;"pvp",Inputs!$B$43&gt;0),IF(MAX(0,Inputs!$B$43-B445)&lt;=0,0,(INT(MAX(0,Inputs!$B$43-B445)/IF(Inputs!$B$38="pvp",15,MAX(0.1,Skills!D8-IF(Skills!E8=TRUE,Inputs!$B$32,0))))+1)),0)</f>
        <v/>
      </c>
      <c r="S421">
        <f>IFERROR(O421/N421,0)</f>
        <v/>
      </c>
      <c r="T421">
        <f>IF(C421,(H421*N421*IF(AND(Inputs!$B$38&lt;&gt;"pvp",Inputs!$B$43&gt;0),((Skills!G8*((R421-1)*IF(Skills!H8&gt;0,Skills!I8/Skills!H8,1)+IF(Skills!H8&gt;0,MIN(Skills!I8,MAX(0,MAX(0,Inputs!$B$43-B445)-((R421-1)*IF(Inputs!$B$38="pvp",15,MAX(0.1,Skills!D8-IF(Skills!E8=TRUE,Inputs!$B$32,0))))))/Skills!H8,1)))/Inputs!$B$43),G421*Q421))*IF(Inputs!$B$38="pvp",1,1+(Inputs!$B$20+0+Skills!P8)/100),0)</f>
        <v/>
      </c>
      <c r="V421">
        <f>IF(C421,(H421*N421*IF(AND(Inputs!$B$38&lt;&gt;"pvp",Inputs!$B$43&gt;0),((Skills!G8*((R421-1)*IF(Skills!H8&gt;0,Skills!I8/Skills!H8,1)+IF(Skills!H8&gt;0,MIN(Skills!I8,MAX(0,MAX(0,Inputs!$B$43-B445)-((R421-1)*IF(Inputs!$B$38="pvp",15,MAX(0.1,Skills!D8-IF(Skills!E8=TRUE,Inputs!$B$32,0))))))/Skills!H8,1)))/Inputs!$B$43),G421*Q421))*IF(Inputs!$B$38="pvp",1,(1+(Inputs!$B$21+Skills!Q8)/100)*(MIN(Skills!R8,Inputs!$B$37))),0)</f>
        <v/>
      </c>
    </row>
    <row r="422">
      <c r="A422">
        <f>Skills!A9</f>
        <v/>
      </c>
      <c r="B422">
        <f>Skills!B9</f>
        <v/>
      </c>
      <c r="C422">
        <f>Inputs!$B$3&gt;=110</f>
        <v/>
      </c>
      <c r="D422">
        <f>IF(Skills!C9=1,60+Inputs!$B$25+Inputs!$B$29,IF(Skills!C9=2,90+Inputs!$B$26+Inputs!$B$29,IF(Skills!C9=3,120+Inputs!$B$27+Inputs!$B$29,MAX(0,(Inputs!$B$3-100)*3)+Inputs!$B$28+Inputs!$B$29)))</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((Inputs!$B$6*(1+Inputs!$B$7/100))+(((Inputs!$B$12*(1+Inputs!$B$13/100))-(Inputs!$B$12*(1+Inputs!$B$13/100)))+0.25*(Inputs!$B$14-Inputs!$B$14))*(1+Inputs!$B$7/100))*(F422/100)</f>
        <v/>
      </c>
      <c r="K422">
        <f>J422*(1+((Inputs!$B$12*(1+Inputs!$B$13/100))*0.01+Inputs!$B$14*0.0025)/100)*(1+Inputs!$B$15/100)*(1+Inputs!$B$16/100)*(5000/(6000+Inputs!$B$42*(1-(Inputs!$B$19+0)/100)))*(1+(Inputs!$B$24+((C435=TRUE)*(F435-Calc!F22))+B444)/100)*(1+(IF(Skills!A9="HOOK_BOMBER",Inputs!$B$17+((C434=TRUE)*(F434-Calc!F21)),Inputs!$B$18+0))/100)*((1+(((C426=TRUE)*F426)+((C432=TRUE)*(F432-Calc!F19)))/100)*I422)</f>
        <v/>
      </c>
      <c r="L422">
        <f>K422*(MIN(Inputs!$B$22+((C433=TRUE)*(F433-Calc!F20)),Inputs!$B$23+0)/100+(Inputs!$B$23+0)/100)/2</f>
        <v/>
      </c>
      <c r="M422">
        <f>L422*(1+(Inputs!$B$10+0+B443)/100)</f>
        <v/>
      </c>
      <c r="N422">
        <f>L422*(1-MIN(((Inputs!$B$9+1)+((C429=TRUE)*(F429-Calc!F16))+B438),100)/100)+M422*(MIN(((Inputs!$B$9+1)+((C429=TRUE)*(F429-Calc!F16))+B438),100)/100)</f>
        <v/>
      </c>
      <c r="O422">
        <f>(1-Summary!$B$55)*T422+Summary!$B$55*V422</f>
        <v/>
      </c>
      <c r="P422">
        <f>IF(B448=0,0,O422/B448)</f>
        <v/>
      </c>
      <c r="Q422">
        <f>IFERROR(1/IF(Inputs!$B$38="pvp",15,MAX(0.1,Skills!D9-IF(Skills!E9=TRUE,Inputs!$B$32,0))),0)</f>
        <v/>
      </c>
      <c r="R422">
        <f>IF(AND(Inputs!$B$38&lt;&gt;"pvp",Inputs!$B$43&gt;0),IF(MAX(0,Inputs!$B$43-B445)&lt;=0,0,(INT(MAX(0,Inputs!$B$43-B445)/IF(Inputs!$B$38="pvp",15,MAX(0.1,Skills!D9-IF(Skills!E9=TRUE,Inputs!$B$32,0))))+1)),0)</f>
        <v/>
      </c>
      <c r="S422">
        <f>IFERROR(O422/N422,0)</f>
        <v/>
      </c>
      <c r="T422">
        <f>IF(C422,(H422*N422*IF(AND(Inputs!$B$38&lt;&gt;"pvp",Inputs!$B$43&gt;0),((Skills!G9*((R422-1)*IF(Skills!H9&gt;0,Skills!I9/Skills!H9,1)+IF(Skills!H9&gt;0,MIN(Skills!I9,MAX(0,MAX(0,Inputs!$B$43-B445)-((R422-1)*IF(Inputs!$B$38="pvp",15,MAX(0.1,Skills!D9-IF(Skills!E9=TRUE,Inputs!$B$32,0))))))/Skills!H9,1)))/Inputs!$B$43),G422*Q422))*IF(Inputs!$B$38="pvp",1,1+(Inputs!$B$20+0+Skills!P9)/100),0)</f>
        <v/>
      </c>
      <c r="V422">
        <f>IF(C422,(H422*N422*IF(AND(Inputs!$B$38&lt;&gt;"pvp",Inputs!$B$43&gt;0),((Skills!G9*((R422-1)*IF(Skills!H9&gt;0,Skills!I9/Skills!H9,1)+IF(Skills!H9&gt;0,MIN(Skills!I9,MAX(0,MAX(0,Inputs!$B$43-B445)-((R422-1)*IF(Inputs!$B$38="pvp",15,MAX(0.1,Skills!D9-IF(Skills!E9=TRUE,Inputs!$B$32,0))))))/Skills!H9,1)))/Inputs!$B$43),G422*Q422))*IF(Inputs!$B$38="pvp",1,(1+(Inputs!$B$21+Skills!Q9)/100)*(MIN(Skills!R9,Inputs!$B$37))),0)</f>
        <v/>
      </c>
    </row>
    <row r="423">
      <c r="A423">
        <f>Skills!A10</f>
        <v/>
      </c>
      <c r="B423">
        <f>Skills!B10</f>
        <v/>
      </c>
      <c r="C423">
        <f>Inputs!$B$3&gt;=103</f>
        <v/>
      </c>
      <c r="D423">
        <f>IF(Skills!C10=1,60+Inputs!$B$25+Inputs!$B$29,IF(Skills!C10=2,90+Inputs!$B$26+Inputs!$B$29,IF(Skills!C10=3,120+Inputs!$B$27+Inputs!$B$29,MAX(0,(Inputs!$B$3-100)*3)+Inputs!$B$28+Inputs!$B$29)))</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((Inputs!$B$6*(1+Inputs!$B$7/100))+(((Inputs!$B$12*(1+Inputs!$B$13/100))-(Inputs!$B$12*(1+Inputs!$B$13/100)))+0.25*(Inputs!$B$14-Inputs!$B$14))*(1+Inputs!$B$7/100))*(F423/100)</f>
        <v/>
      </c>
      <c r="K423">
        <f>J423*(1+((Inputs!$B$12*(1+Inputs!$B$13/100))*0.01+Inputs!$B$14*0.0025)/100)*(1+Inputs!$B$15/100)*(1+Inputs!$B$16/100)*(5000/(6000+Inputs!$B$42*(1-(Inputs!$B$19+0)/100)))*(1+(Inputs!$B$24+((C435=TRUE)*(F435-Calc!F22))+B444)/100)*(1+(IF(Skills!A10="HOOK_BOMBER",Inputs!$B$17+((C434=TRUE)*(F434-Calc!F21)),Inputs!$B$18+0))/100)*((1+(((C426=TRUE)*F426)+((C432=TRUE)*(F432-Calc!F19)))/100)*I423)</f>
        <v/>
      </c>
      <c r="L423">
        <f>K423*(MIN(Inputs!$B$22+((C433=TRUE)*(F433-Calc!F20)),Inputs!$B$23+0)/100+(Inputs!$B$23+0)/100)/2</f>
        <v/>
      </c>
      <c r="M423">
        <f>L423*(1+(Inputs!$B$10+0+B443)/100)</f>
        <v/>
      </c>
      <c r="N423">
        <f>L423*(1-MIN(((Inputs!$B$9+1)+((C429=TRUE)*(F429-Calc!F16))+B438),100)/100)+M423*(MIN(((Inputs!$B$9+1)+((C429=TRUE)*(F429-Calc!F16))+B438),100)/100)</f>
        <v/>
      </c>
      <c r="O423">
        <f>(1-Summary!$B$55)*T423+Summary!$B$55*V423</f>
        <v/>
      </c>
      <c r="P423">
        <f>IF(B448=0,0,O423/B448)</f>
        <v/>
      </c>
      <c r="Q423">
        <f>IFERROR(1/IF(Inputs!$B$38="pvp",15,MAX(0.1,Skills!D10-IF(Skills!E10=TRUE,Inputs!$B$32,0))),0)</f>
        <v/>
      </c>
      <c r="R423">
        <f>IF(AND(Inputs!$B$38&lt;&gt;"pvp",Inputs!$B$43&gt;0),IF(MAX(0,Inputs!$B$43-B445)&lt;=0,0,(INT(MAX(0,Inputs!$B$43-B445)/IF(Inputs!$B$38="pvp",15,MAX(0.1,Skills!D10-IF(Skills!E10=TRUE,Inputs!$B$32,0))))+1)),0)</f>
        <v/>
      </c>
      <c r="S423">
        <f>IFERROR(O423/N423,0)</f>
        <v/>
      </c>
      <c r="T423">
        <f>IF(C423,(H423*N423*IF(AND(Inputs!$B$38&lt;&gt;"pvp",Inputs!$B$43&gt;0),((Skills!G10*((R423-1)*IF(Skills!H10&gt;0,Skills!I10/Skills!H10,1)+IF(Skills!H10&gt;0,MIN(Skills!I10,MAX(0,MAX(0,Inputs!$B$43-B445)-((R423-1)*IF(Inputs!$B$38="pvp",15,MAX(0.1,Skills!D10-IF(Skills!E10=TRUE,Inputs!$B$32,0))))))/Skills!H10,1)))/Inputs!$B$43),G423*Q423))*IF(Inputs!$B$38="pvp",1,1+(Inputs!$B$20+0+Skills!P10)/100),0)</f>
        <v/>
      </c>
      <c r="V423">
        <f>IF(C423,(H423*N423*IF(AND(Inputs!$B$38&lt;&gt;"pvp",Inputs!$B$43&gt;0),((Skills!G10*((R423-1)*IF(Skills!H10&gt;0,Skills!I10/Skills!H10,1)+IF(Skills!H10&gt;0,MIN(Skills!I10,MAX(0,MAX(0,Inputs!$B$43-B445)-((R423-1)*IF(Inputs!$B$38="pvp",15,MAX(0.1,Skills!D10-IF(Skills!E10=TRUE,Inputs!$B$32,0))))))/Skills!H10,1)))/Inputs!$B$43),G423*Q423))*IF(Inputs!$B$38="pvp",1,(1+(Inputs!$B$21+Skills!Q10)/100)*(MIN(Skills!R10,Inputs!$B$37))),0)</f>
        <v/>
      </c>
    </row>
    <row r="424">
      <c r="A424">
        <f>Skills!A11</f>
        <v/>
      </c>
      <c r="B424">
        <f>Skills!B11</f>
        <v/>
      </c>
      <c r="C424">
        <f>Inputs!$B$3&gt;=113</f>
        <v/>
      </c>
      <c r="D424">
        <f>IF(Skills!C11=1,60+Inputs!$B$25+Inputs!$B$29,IF(Skills!C11=2,90+Inputs!$B$26+Inputs!$B$29,IF(Skills!C11=3,120+Inputs!$B$27+Inputs!$B$29,MAX(0,(Inputs!$B$3-100)*3)+Inputs!$B$28+Inputs!$B$29)))</f>
        <v/>
      </c>
      <c r="E424">
        <f>INDEX(FactorTable!$B$2:$Y$301, MATCH(ROUND(MIN(300,MAX(1,D424)),0), FactorTable!$A$2:$A$301,0), Skills!M11+1)</f>
        <v/>
      </c>
      <c r="F424">
        <f>IF(Skills!N11=TRUE,(Skills!L11/10)*(E424/1000),Skills!L11/10)+Skills!O11</f>
        <v/>
      </c>
      <c r="G424">
        <f>Skills!G11*IF(Skills!H11&gt;0,Skills!I11/Skills!H11,1)</f>
        <v/>
      </c>
      <c r="H424">
        <f>1-(1-Skills!J11/100)^Skills!K11</f>
        <v/>
      </c>
      <c r="I424" t="inlineStr">
        <is>
          <t>1</t>
        </is>
      </c>
      <c r="J424">
        <f>((Inputs!$B$6*(1+Inputs!$B$7/100))+(((Inputs!$B$12*(1+Inputs!$B$13/100))-(Inputs!$B$12*(1+Inputs!$B$13/100)))+0.25*(Inputs!$B$14-Inputs!$B$14))*(1+Inputs!$B$7/100))*(F424/100)</f>
        <v/>
      </c>
      <c r="K424">
        <f>J424*(1+((Inputs!$B$12*(1+Inputs!$B$13/100))*0.01+Inputs!$B$14*0.0025)/100)*(1+Inputs!$B$15/100)*(1+Inputs!$B$16/100)*(5000/(6000+Inputs!$B$42*(1-(Inputs!$B$19+0)/100)))*(1+(Inputs!$B$24+((C435=TRUE)*(F435-Calc!F22))+B444)/100)*(1+(IF(Skills!A11="HOOK_BOMBER",Inputs!$B$17+((C434=TRUE)*(F434-Calc!F21)),Inputs!$B$18+0))/100)*((1+(((C426=TRUE)*F426)+((C432=TRUE)*(F432-Calc!F19)))/100)*I424)</f>
        <v/>
      </c>
      <c r="L424">
        <f>K424*(MIN(Inputs!$B$22+((C433=TRUE)*(F433-Calc!F20)),Inputs!$B$23+0)/100+(Inputs!$B$23+0)/100)/2</f>
        <v/>
      </c>
      <c r="M424">
        <f>L424*(1+(Inputs!$B$10+0+B443)/100)</f>
        <v/>
      </c>
      <c r="N424">
        <f>L424*(1-MIN(((Inputs!$B$9+1)+((C429=TRUE)*(F429-Calc!F16))+B438),100)/100)+M424*(MIN(((Inputs!$B$9+1)+((C429=TRUE)*(F429-Calc!F16))+B438),100)/100)</f>
        <v/>
      </c>
      <c r="O424">
        <f>(1-Summary!$B$55)*T424+Summary!$B$55*V424</f>
        <v/>
      </c>
      <c r="P424">
        <f>IF(B448=0,0,O424/B448)</f>
        <v/>
      </c>
      <c r="Q424">
        <f>IFERROR(1/IF(Inputs!$B$38="pvp",15,MAX(0.1,Skills!D11-IF(Skills!E11=TRUE,Inputs!$B$32,0))),0)</f>
        <v/>
      </c>
      <c r="R424">
        <f>IF(AND(Inputs!$B$38&lt;&gt;"pvp",Inputs!$B$43&gt;0),IF(MAX(0,Inputs!$B$43-B445)&lt;=0,0,(INT(MAX(0,Inputs!$B$43-B445)/IF(Inputs!$B$38="pvp",15,MAX(0.1,Skills!D11-IF(Skills!E11=TRUE,Inputs!$B$32,0))))+1)),0)</f>
        <v/>
      </c>
      <c r="S424">
        <f>IFERROR(O424/N424,0)</f>
        <v/>
      </c>
      <c r="T424">
        <f>IF(C424,(H424*N424*IF(AND(Inputs!$B$38&lt;&gt;"pvp",Inputs!$B$43&gt;0),((Skills!G11*((R424-1)*IF(Skills!H11&gt;0,Skills!I11/Skills!H11,1)+IF(Skills!H11&gt;0,MIN(Skills!I11,MAX(0,MAX(0,Inputs!$B$43-B445)-((R424-1)*IF(Inputs!$B$38="pvp",15,MAX(0.1,Skills!D11-IF(Skills!E11=TRUE,Inputs!$B$32,0))))))/Skills!H11,1)))/Inputs!$B$43),G424*Q424))*IF(Inputs!$B$38="pvp",1,1+(Inputs!$B$20+0+Skills!P11)/100),0)</f>
        <v/>
      </c>
      <c r="V424">
        <f>IF(C424,(H424*N424*IF(AND(Inputs!$B$38&lt;&gt;"pvp",Inputs!$B$43&gt;0),((Skills!G11*((R424-1)*IF(Skills!H11&gt;0,Skills!I11/Skills!H11,1)+IF(Skills!H11&gt;0,MIN(Skills!I11,MAX(0,MAX(0,Inputs!$B$43-B445)-((R424-1)*IF(Inputs!$B$38="pvp",15,MAX(0.1,Skills!D11-IF(Skills!E11=TRUE,Inputs!$B$32,0))))))/Skills!H11,1)))/Inputs!$B$43),G424*Q424))*IF(Inputs!$B$38="pvp",1,(1+(Inputs!$B$21+Skills!Q11)/100)*(MIN(Skills!R11,Inputs!$B$37))),0)</f>
        <v/>
      </c>
    </row>
    <row r="425">
      <c r="A425">
        <f>Skills!A12</f>
        <v/>
      </c>
      <c r="B425">
        <f>Skills!B12</f>
        <v/>
      </c>
      <c r="C425">
        <f>Inputs!$B$3&gt;=100</f>
        <v/>
      </c>
      <c r="D425">
        <f>IF(Skills!C12=1,60+Inputs!$B$25+Inputs!$B$29,IF(Skills!C12=2,90+Inputs!$B$26+Inputs!$B$29,IF(Skills!C12=3,120+Inputs!$B$27+Inputs!$B$29,MAX(0,(Inputs!$B$3-100)*3)+Inputs!$B$28+Inputs!$B$29)))</f>
        <v/>
      </c>
      <c r="E425">
        <f>INDEX(FactorTable!$B$2:$Y$301, MATCH(ROUND(MIN(300,MAX(1,D425)),0), FactorTable!$A$2:$A$301,0), Skills!M12+1)</f>
        <v/>
      </c>
      <c r="F425">
        <f>IF(Skills!N12=TRUE,(Skills!L12/10)*(E425/1000),Skills!L12/10)+Skills!O12</f>
        <v/>
      </c>
      <c r="G425" t="inlineStr"/>
      <c r="H425" t="inlineStr"/>
      <c r="I425" t="inlineStr">
        <is>
          <t>1</t>
        </is>
      </c>
      <c r="J425" t="inlineStr"/>
      <c r="K425" t="inlineStr"/>
      <c r="L425" t="inlineStr"/>
      <c r="M425" t="inlineStr"/>
      <c r="N425" t="inlineStr"/>
      <c r="O425" t="inlineStr"/>
      <c r="P425" t="inlineStr"/>
      <c r="Q425" t="inlineStr"/>
      <c r="R425" t="inlineStr"/>
      <c r="S425" t="inlineStr"/>
      <c r="T425" t="inlineStr"/>
      <c r="V425" t="inlineStr"/>
    </row>
    <row r="426">
      <c r="A426">
        <f>Skills!A13</f>
        <v/>
      </c>
      <c r="B426">
        <f>Skills!B13</f>
        <v/>
      </c>
      <c r="C426">
        <f>Inputs!$B$3&gt;=66</f>
        <v/>
      </c>
      <c r="D426">
        <f>IF(Skills!C13=1,60+Inputs!$B$25+Inputs!$B$29,IF(Skills!C13=2,90+Inputs!$B$26+Inputs!$B$29,IF(Skills!C13=3,120+Inputs!$B$27+Inputs!$B$29,MAX(0,(Inputs!$B$3-100)*3)+Inputs!$B$28+Inputs!$B$29)))</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f>(1-Summary!$B$55)*T426+Summary!$B$55*V426</f>
        <v/>
      </c>
      <c r="P426">
        <f>IF(B448=0,0,O426/B448)</f>
        <v/>
      </c>
      <c r="Q426" t="n">
        <v>0</v>
      </c>
      <c r="R426" t="n">
        <v>0</v>
      </c>
      <c r="S426">
        <f>IFERROR(O426/N426,0)</f>
        <v/>
      </c>
      <c r="T426" t="n">
        <v>0</v>
      </c>
      <c r="V426" t="n">
        <v>0</v>
      </c>
    </row>
    <row r="427">
      <c r="A427">
        <f>Skills!A14</f>
        <v/>
      </c>
      <c r="B427">
        <f>Skills!B14</f>
        <v/>
      </c>
      <c r="C427">
        <f>Inputs!$B$3&gt;=107</f>
        <v/>
      </c>
      <c r="D427">
        <f>IF(Skills!C14=1,60+Inputs!$B$25+Inputs!$B$29,IF(Skills!C14=2,90+Inputs!$B$26+Inputs!$B$29,IF(Skills!C14=3,120+Inputs!$B$27+Inputs!$B$29,MAX(0,(Inputs!$B$3-100)*3)+Inputs!$B$28+Inputs!$B$29)))</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f>(1-Summary!$B$55)*T427+Summary!$B$55*V427</f>
        <v/>
      </c>
      <c r="P427">
        <f>IF(B448=0,0,O427/B448)</f>
        <v/>
      </c>
      <c r="Q427" t="n">
        <v>0</v>
      </c>
      <c r="R427" t="n">
        <v>0</v>
      </c>
      <c r="S427">
        <f>IFERROR(O427/N427,0)</f>
        <v/>
      </c>
      <c r="T427" t="n">
        <v>0</v>
      </c>
      <c r="V427" t="n">
        <v>0</v>
      </c>
    </row>
    <row r="428">
      <c r="A428">
        <f>Skills!A15</f>
        <v/>
      </c>
      <c r="B428">
        <f>Skills!B15</f>
        <v/>
      </c>
      <c r="C428">
        <f>Inputs!$B$3&gt;=115</f>
        <v/>
      </c>
      <c r="D428">
        <f>IF(Skills!C15=1,60+Inputs!$B$25+Inputs!$B$29,IF(Skills!C15=2,90+Inputs!$B$26+Inputs!$B$29,IF(Skills!C15=3,120+Inputs!$B$27+Inputs!$B$29,MAX(0,(Inputs!$B$3-100)*3)+Inputs!$B$28+Inputs!$B$29)))</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f>(1-Summary!$B$55)*T428+Summary!$B$55*V428</f>
        <v/>
      </c>
      <c r="P428">
        <f>IF(B448=0,0,O428/B448)</f>
        <v/>
      </c>
      <c r="Q428" t="n">
        <v>0</v>
      </c>
      <c r="R428" t="n">
        <v>0</v>
      </c>
      <c r="S428">
        <f>IFERROR(O428/N428,0)</f>
        <v/>
      </c>
      <c r="T428" t="n">
        <v>0</v>
      </c>
      <c r="V428" t="n">
        <v>0</v>
      </c>
    </row>
    <row r="429">
      <c r="A429">
        <f>Skills!A16</f>
        <v/>
      </c>
      <c r="B429">
        <f>Skills!B16</f>
        <v/>
      </c>
      <c r="C429">
        <f>Inputs!$B$3&gt;=15</f>
        <v/>
      </c>
      <c r="D429">
        <f>IF(Skills!C16=1,60+Inputs!$B$25+Inputs!$B$29,IF(Skills!C16=2,90+Inputs!$B$26+Inputs!$B$29,IF(Skills!C16=3,120+Inputs!$B$27+Inputs!$B$29,MAX(0,(Inputs!$B$3-100)*3)+Inputs!$B$28+Inputs!$B$29)))</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f>(1-Summary!$B$55)*T429+Summary!$B$55*V429</f>
        <v/>
      </c>
      <c r="P429">
        <f>IF(B448=0,0,O429/B448)</f>
        <v/>
      </c>
      <c r="Q429" t="n">
        <v>0</v>
      </c>
      <c r="R429" t="n">
        <v>0</v>
      </c>
      <c r="S429">
        <f>IFERROR(O429/N429,0)</f>
        <v/>
      </c>
      <c r="T429" t="n">
        <v>0</v>
      </c>
      <c r="V429" t="n">
        <v>0</v>
      </c>
    </row>
    <row r="430">
      <c r="A430">
        <f>Skills!A17</f>
        <v/>
      </c>
      <c r="B430">
        <f>Skills!B17</f>
        <v/>
      </c>
      <c r="C430">
        <f>Inputs!$B$3&gt;=10</f>
        <v/>
      </c>
      <c r="D430">
        <f>IF(Skills!C17=1,60+Inputs!$B$25+Inputs!$B$29,IF(Skills!C17=2,90+Inputs!$B$26+Inputs!$B$29,IF(Skills!C17=3,120+Inputs!$B$27+Inputs!$B$29,MAX(0,(Inputs!$B$3-100)*3)+Inputs!$B$28+Inputs!$B$29)))</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f>(1-Summary!$B$55)*T430+Summary!$B$55*V430</f>
        <v/>
      </c>
      <c r="P430">
        <f>IF(B448=0,0,O430/B448)</f>
        <v/>
      </c>
      <c r="Q430" t="n">
        <v>0</v>
      </c>
      <c r="R430" t="n">
        <v>0</v>
      </c>
      <c r="S430">
        <f>IFERROR(O430/N430,0)</f>
        <v/>
      </c>
      <c r="T430" t="n">
        <v>0</v>
      </c>
      <c r="V430" t="n">
        <v>0</v>
      </c>
    </row>
    <row r="431">
      <c r="A431">
        <f>Skills!A18</f>
        <v/>
      </c>
      <c r="B431">
        <f>Skills!B18</f>
        <v/>
      </c>
      <c r="C431">
        <f>Inputs!$B$3&gt;=33</f>
        <v/>
      </c>
      <c r="D431">
        <f>IF(Skills!C18=1,60+Inputs!$B$25+Inputs!$B$29,IF(Skills!C18=2,90+Inputs!$B$26+Inputs!$B$29,IF(Skills!C18=3,120+Inputs!$B$27+Inputs!$B$29,MAX(0,(Inputs!$B$3-100)*3)+Inputs!$B$28+Inputs!$B$29)))</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f>(1-Summary!$B$55)*T431+Summary!$B$55*V431</f>
        <v/>
      </c>
      <c r="P431">
        <f>IF(B448=0,0,O431/B448)</f>
        <v/>
      </c>
      <c r="Q431" t="n">
        <v>0</v>
      </c>
      <c r="R431" t="n">
        <v>0</v>
      </c>
      <c r="S431">
        <f>IFERROR(O431/N431,0)</f>
        <v/>
      </c>
      <c r="T431" t="n">
        <v>0</v>
      </c>
      <c r="V431" t="n">
        <v>0</v>
      </c>
    </row>
    <row r="432">
      <c r="A432">
        <f>Skills!A19</f>
        <v/>
      </c>
      <c r="B432">
        <f>Skills!B19</f>
        <v/>
      </c>
      <c r="C432">
        <f>Inputs!$B$3&gt;=40</f>
        <v/>
      </c>
      <c r="D432">
        <f>IF(Skills!C19=1,60+Inputs!$B$25+Inputs!$B$29,IF(Skills!C19=2,90+Inputs!$B$26+Inputs!$B$29,IF(Skills!C19=3,120+Inputs!$B$27+Inputs!$B$29,MAX(0,(Inputs!$B$3-100)*3)+Inputs!$B$28+Inputs!$B$29)))</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f>(1-Summary!$B$55)*T432+Summary!$B$55*V432</f>
        <v/>
      </c>
      <c r="P432">
        <f>IF(B448=0,0,O432/B448)</f>
        <v/>
      </c>
      <c r="Q432" t="n">
        <v>0</v>
      </c>
      <c r="R432" t="n">
        <v>0</v>
      </c>
      <c r="S432">
        <f>IFERROR(O432/N432,0)</f>
        <v/>
      </c>
      <c r="T432" t="n">
        <v>0</v>
      </c>
      <c r="V432" t="n">
        <v>0</v>
      </c>
    </row>
    <row r="433">
      <c r="A433">
        <f>Skills!A20</f>
        <v/>
      </c>
      <c r="B433">
        <f>Skills!B20</f>
        <v/>
      </c>
      <c r="C433">
        <f>Inputs!$B$3&gt;=43</f>
        <v/>
      </c>
      <c r="D433">
        <f>IF(Skills!C20=1,60+Inputs!$B$25+Inputs!$B$29,IF(Skills!C20=2,90+Inputs!$B$26+Inputs!$B$29,IF(Skills!C20=3,120+Inputs!$B$27+Inputs!$B$29,MAX(0,(Inputs!$B$3-100)*3)+Inputs!$B$28+Inputs!$B$29)))</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f>(1-Summary!$B$55)*T433+Summary!$B$55*V433</f>
        <v/>
      </c>
      <c r="P433">
        <f>IF(B448=0,0,O433/B448)</f>
        <v/>
      </c>
      <c r="Q433" t="n">
        <v>0</v>
      </c>
      <c r="R433" t="n">
        <v>0</v>
      </c>
      <c r="S433">
        <f>IFERROR(O433/N433,0)</f>
        <v/>
      </c>
      <c r="T433" t="n">
        <v>0</v>
      </c>
      <c r="V433" t="n">
        <v>0</v>
      </c>
    </row>
    <row r="434">
      <c r="A434">
        <f>Skills!A21</f>
        <v/>
      </c>
      <c r="B434">
        <f>Skills!B21</f>
        <v/>
      </c>
      <c r="C434">
        <f>Inputs!$B$3&gt;=38</f>
        <v/>
      </c>
      <c r="D434">
        <f>IF(Skills!C21=1,60+Inputs!$B$25+Inputs!$B$29,IF(Skills!C21=2,90+Inputs!$B$26+Inputs!$B$29,IF(Skills!C21=3,120+Inputs!$B$27+Inputs!$B$29,MAX(0,(Inputs!$B$3-100)*3)+Inputs!$B$28+Inputs!$B$29)))</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f>(1-Summary!$B$55)*T434+Summary!$B$55*V434</f>
        <v/>
      </c>
      <c r="P434">
        <f>IF(B448=0,0,O434/B448)</f>
        <v/>
      </c>
      <c r="Q434" t="n">
        <v>0</v>
      </c>
      <c r="R434" t="n">
        <v>0</v>
      </c>
      <c r="S434">
        <f>IFERROR(O434/N434,0)</f>
        <v/>
      </c>
      <c r="T434" t="n">
        <v>0</v>
      </c>
      <c r="V434" t="n">
        <v>0</v>
      </c>
    </row>
    <row r="435">
      <c r="A435">
        <f>Skills!A22</f>
        <v/>
      </c>
      <c r="B435">
        <f>Skills!B22</f>
        <v/>
      </c>
      <c r="C435">
        <f>Inputs!$B$3&gt;=75</f>
        <v/>
      </c>
      <c r="D435">
        <f>IF(Skills!C22=1,60+Inputs!$B$25+Inputs!$B$29,IF(Skills!C22=2,90+Inputs!$B$26+Inputs!$B$29,IF(Skills!C22=3,120+Inputs!$B$27+Inputs!$B$29,MAX(0,(Inputs!$B$3-100)*3)+Inputs!$B$28+Inputs!$B$29)))</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f>(1-Summary!$B$55)*T435+Summary!$B$55*V435</f>
        <v/>
      </c>
      <c r="P435">
        <f>IF(B448=0,0,O435/B448)</f>
        <v/>
      </c>
      <c r="Q435" t="n">
        <v>0</v>
      </c>
      <c r="R435" t="n">
        <v>0</v>
      </c>
      <c r="S435">
        <f>IFERROR(O435/N435,0)</f>
        <v/>
      </c>
      <c r="T435" t="n">
        <v>0</v>
      </c>
      <c r="V435" t="n">
        <v>0</v>
      </c>
    </row>
    <row r="437">
      <c r="A437" t="inlineStr">
        <is>
          <t>Attack% Bucket Multiplier</t>
        </is>
      </c>
      <c r="B437">
        <f>(1+(((C426=TRUE)*F426)+((C432=TRUE)*(F432-Calc!F19)))/100)</f>
        <v/>
      </c>
    </row>
    <row r="438">
      <c r="A438" t="inlineStr">
        <is>
          <t>Global Crit Rate Bonus %</t>
        </is>
      </c>
      <c r="B438" t="n">
        <v>0</v>
      </c>
    </row>
    <row r="439">
      <c r="A439" t="inlineStr">
        <is>
          <t>Attack Speed Buff Bonus % (unused)</t>
        </is>
      </c>
      <c r="B439" t="n">
        <v>0</v>
      </c>
    </row>
    <row r="440">
      <c r="A440" t="inlineStr">
        <is>
          <t>Actions Per Second</t>
        </is>
      </c>
      <c r="B440">
        <f>1+MIN(150,150*(1-(1-(Inputs!$B$11+((C430=TRUE)*(F430-Calc!F17))+((C431=TRUE)*(F431-Calc!F18)))/150)*(1-B439/150)))/100</f>
        <v/>
      </c>
    </row>
    <row r="441">
      <c r="A441" t="inlineStr">
        <is>
          <t>Skill + Buff Cast Rate</t>
        </is>
      </c>
      <c r="B441">
        <f>IF(AND(Inputs!$B$38&lt;&gt;"pvp",Inputs!$B$43&gt;0),SUMPRODUCT((Skills!E2:E22=TRUE)*(C415:C435=TRUE)*R415:R435*Skills!F2:F22)/Inputs!$B$43,SUMPRODUCT((Skills!E2:E22=TRUE)*(C415:C435=TRUE)*Q415:Q435*Skills!F2:F22))</f>
        <v/>
      </c>
    </row>
    <row r="442">
      <c r="A442" t="inlineStr">
        <is>
          <t>Hook Bomber Casts Per Second</t>
        </is>
      </c>
      <c r="B442">
        <f>MAX(0,B440-B441)</f>
        <v/>
      </c>
    </row>
    <row r="443">
      <c r="A443" t="inlineStr">
        <is>
          <t>Global Critical Damage Bonus % (unused)</t>
        </is>
      </c>
      <c r="B443" t="n">
        <v>0</v>
      </c>
    </row>
    <row r="444">
      <c r="A444" t="inlineStr">
        <is>
          <t>Global Final Damage Bonus % (Serpent Scale + Crossbones + Time Leap + Speed Infusion)</t>
        </is>
      </c>
      <c r="B444">
        <f>((C418=TRUE)*F418*((10+IF(Inputs!$B$3&gt;=94,5,0))/((10+IF(Inputs!$B$3&gt;=94,5,0))+5/(B442*(1+IF(Inputs!$B$3&gt;=104,1,0))))))+((C427=TRUE)*F427)+((C428=TRUE)*F428)+((Inputs!$B$3&gt;=110)*20*(B440-1))</f>
        <v/>
      </c>
    </row>
    <row r="445">
      <c r="A445" t="inlineStr">
        <is>
          <t>Buff-Casting Startup Delay (s, fixed-duration only)</t>
        </is>
      </c>
      <c r="B445">
        <f>IF(AND(Inputs!$B$38&lt;&gt;"pvp",Inputs!$B$43&gt;0),SUMPRODUCT((Skills!T2:T22&gt;0)*(Skills!E2:E22=TRUE)*(C415:C435=TRUE))/B440,0)</f>
        <v/>
      </c>
    </row>
    <row r="446">
      <c r="A446" t="inlineStr">
        <is>
          <t>Boss-Only Total DPS (this block's swept value)</t>
        </is>
      </c>
      <c r="B446">
        <f>SUM(T415:T435)</f>
        <v/>
      </c>
    </row>
    <row r="447">
      <c r="A447" t="inlineStr">
        <is>
          <t>Normal-Only Total DPS (this block's swept value)</t>
        </is>
      </c>
      <c r="B447">
        <f>SUM(V415:V435)</f>
        <v/>
      </c>
    </row>
    <row r="448">
      <c r="A448" s="5" t="inlineStr">
        <is>
          <t>TOTAL DPS</t>
        </is>
      </c>
      <c r="B448" s="5">
        <f>SUM(O415:O435)</f>
        <v/>
      </c>
    </row>
    <row r="451">
      <c r="A451" s="5" t="inlineStr">
        <is>
          <t>Stat: CRIT_DAMAGE %</t>
        </is>
      </c>
    </row>
    <row r="452">
      <c r="A452" s="9" t="inlineStr">
        <is>
          <t>Key</t>
        </is>
      </c>
      <c r="B452" s="9" t="inlineStr">
        <is>
          <t>Name</t>
        </is>
      </c>
      <c r="C452" s="9" t="inlineStr">
        <is>
          <t>Unlocked</t>
        </is>
      </c>
      <c r="D452" s="9" t="inlineStr">
        <is>
          <t>InputLevel</t>
        </is>
      </c>
      <c r="E452" s="9" t="inlineStr">
        <is>
          <t>Factor</t>
        </is>
      </c>
      <c r="F452" s="9" t="inlineStr">
        <is>
          <t>CoefficientPercent</t>
        </is>
      </c>
      <c r="G452" s="9" t="inlineStr">
        <is>
          <t>EffectiveHits</t>
        </is>
      </c>
      <c r="H452" s="9" t="inlineStr">
        <is>
          <t>ProcProbability</t>
        </is>
      </c>
      <c r="I452" s="9" t="inlineStr">
        <is>
          <t>MapleHeroMultiplier</t>
        </is>
      </c>
      <c r="J452" s="9" t="inlineStr">
        <is>
          <t>BaseDamage</t>
        </is>
      </c>
      <c r="K452" s="9" t="inlineStr">
        <is>
          <t>BaseHitDamage</t>
        </is>
      </c>
      <c r="L452" s="9" t="inlineStr">
        <is>
          <t>NonCritAvg</t>
        </is>
      </c>
      <c r="M452" s="9" t="inlineStr">
        <is>
          <t>CritAvg</t>
        </is>
      </c>
      <c r="N452" s="9" t="inlineStr">
        <is>
          <t>ExpectedDamage(perHit)</t>
        </is>
      </c>
      <c r="O452" s="9" t="inlineStr">
        <is>
          <t>DPS</t>
        </is>
      </c>
      <c r="P452" s="9" t="inlineStr">
        <is>
          <t>% of Total</t>
        </is>
      </c>
      <c r="Q452" s="9" t="inlineStr">
        <is>
          <t>InvCooldown</t>
        </is>
      </c>
      <c r="R452" s="9" t="inlineStr">
        <is>
          <t>CastsInFight</t>
        </is>
      </c>
      <c r="S452" s="9"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((Inputs!$B$6*(1+Inputs!$B$7/100))+(((Inputs!$B$12*(1+Inputs!$B$13/100))-(Inputs!$B$12*(1+Inputs!$B$13/100)))+0.25*(Inputs!$B$14-Inputs!$B$14))*(1+Inputs!$B$7/100))*(F453/100)</f>
        <v/>
      </c>
      <c r="K453">
        <f>J453*(1+((Inputs!$B$12*(1+Inputs!$B$13/100))*0.01+Inputs!$B$14*0.0025)/100)*(1+Inputs!$B$15/100)*(1+Inputs!$B$16/100)*(5000/(6000+Inputs!$B$42*(1-(Inputs!$B$19+0)/100)))*(1+(Inputs!$B$24+((C473=TRUE)*(F473-Calc!F22))+B482)/100)*(1+(IF(Skills!A2="HOOK_BOMBER",Inputs!$B$17+((C472=TRUE)*(F472-Calc!F21)),Inputs!$B$18+0))/100)*((1+(((C464=TRUE)*F464)+((C470=TRUE)*(F470-Calc!F19)))/100)*I453)</f>
        <v/>
      </c>
      <c r="L453">
        <f>K453*(MIN(Inputs!$B$22+((C471=TRUE)*(F471-Calc!F20)),Inputs!$B$23+0)/100+(Inputs!$B$23+0)/100)/2</f>
        <v/>
      </c>
      <c r="M453">
        <f>L453*(1+((Inputs!$B$10+1)+0+B481)/100)</f>
        <v/>
      </c>
      <c r="N453">
        <f>L453*(1-MIN((Inputs!$B$9+((C467=TRUE)*(F467-Calc!F16))+B476),100)/100)+M453*(MIN((Inputs!$B$9+((C467=TRUE)*(F467-Calc!F16))+B476),100)/100)</f>
        <v/>
      </c>
      <c r="O453">
        <f>(1-Summary!$B$55)*T453+Summary!$B$55*V453</f>
        <v/>
      </c>
      <c r="P453">
        <f>IF(B486=0,0,O453/B486)</f>
        <v/>
      </c>
      <c r="Q453" t="n">
        <v>0</v>
      </c>
      <c r="R453" t="n">
        <v>0</v>
      </c>
      <c r="S453">
        <f>IFERROR(O453/N453,0)</f>
        <v/>
      </c>
      <c r="T453">
        <f>IF(C453,(Skills!G2*N453*B480)*IF(Inputs!$B$38="pvp",1,1+(Inputs!$B$20+0+Skills!P2)/100),0)</f>
        <v/>
      </c>
      <c r="U453">
        <f>MAX(0,(Inputs!$B$3-100)*3)+Inputs!$B$28+Inputs!$B$29</f>
        <v/>
      </c>
      <c r="V453">
        <f>IF(C453,(Skills!G2*N453*B480)*IF(Inputs!$B$38="pvp",1,(1+(Inputs!$B$21+Skills!Q2)/100)*(MIN((6+Inputs!$B$33),Inputs!$B$37))),0)</f>
        <v/>
      </c>
    </row>
    <row r="454">
      <c r="A454">
        <f>Skills!A3</f>
        <v/>
      </c>
      <c r="B454">
        <f>Skills!B3</f>
        <v/>
      </c>
      <c r="C454">
        <f>Inputs!$B$3&gt;=35</f>
        <v/>
      </c>
      <c r="D454">
        <f>IF(Skills!C3=1,60+Inputs!$B$25+Inputs!$B$29,IF(Skills!C3=2,90+Inputs!$B$26+Inputs!$B$29,IF(Skills!C3=3,120+Inputs!$B$27+Inputs!$B$29,MAX(0,(Inputs!$B$3-100)*3)+Inputs!$B$28+Inputs!$B$29)))</f>
        <v/>
      </c>
      <c r="E454">
        <f>INDEX(FactorTable!$B$2:$Y$301, MATCH(ROUND(MIN(300,MAX(1,D454)),0), FactorTable!$A$2:$A$301,0), Skills!M3+1)</f>
        <v/>
      </c>
      <c r="F454">
        <f>IF(Skills!N3=TRUE,(Skills!L3/10)*(E454/1000),Skills!L3/10)+Skills!O3</f>
        <v/>
      </c>
      <c r="G454">
        <f>Skills!G3*IF(Skills!H3&gt;0,Skills!I3/Skills!H3,1)</f>
        <v/>
      </c>
      <c r="H454">
        <f>1-(1-Skills!J3/100)^Skills!K3</f>
        <v/>
      </c>
      <c r="I454" t="inlineStr">
        <is>
          <t>1</t>
        </is>
      </c>
      <c r="J454">
        <f>((Inputs!$B$6*(1+Inputs!$B$7/100))+(((Inputs!$B$12*(1+Inputs!$B$13/100))-(Inputs!$B$12*(1+Inputs!$B$13/100)))+0.25*(Inputs!$B$14-Inputs!$B$14))*(1+Inputs!$B$7/100))*(F454/100)</f>
        <v/>
      </c>
      <c r="K454">
        <f>J454*(1+((Inputs!$B$12*(1+Inputs!$B$13/100))*0.01+Inputs!$B$14*0.0025)/100)*(1+Inputs!$B$15/100)*(1+Inputs!$B$16/100)*(5000/(6000+Inputs!$B$42*(1-(Inputs!$B$19+0)/100)))*(1+(Inputs!$B$24+((C473=TRUE)*(F473-Calc!F22))+B482)/100)*(1+(IF(Skills!A3="HOOK_BOMBER",Inputs!$B$17+((C472=TRUE)*(F472-Calc!F21)),Inputs!$B$18+0))/100)*((1+(((C464=TRUE)*F464)+((C470=TRUE)*(F470-Calc!F19)))/100)*I454)</f>
        <v/>
      </c>
      <c r="L454">
        <f>K454*(MIN(Inputs!$B$22+((C471=TRUE)*(F471-Calc!F20)),Inputs!$B$23+0)/100+(Inputs!$B$23+0)/100)/2</f>
        <v/>
      </c>
      <c r="M454">
        <f>L454*(1+((Inputs!$B$10+1)+0+B481)/100)</f>
        <v/>
      </c>
      <c r="N454">
        <f>L454*(1-MIN((Inputs!$B$9+((C467=TRUE)*(F467-Calc!F16))+B476),100)/100)+M454*(MIN((Inputs!$B$9+((C467=TRUE)*(F467-Calc!F16))+B476),100)/100)</f>
        <v/>
      </c>
      <c r="O454">
        <f>(1-Summary!$B$55)*T454+Summary!$B$55*V454</f>
        <v/>
      </c>
      <c r="P454">
        <f>IF(B486=0,0,O454/B486)</f>
        <v/>
      </c>
      <c r="Q454" t="n">
        <v>0</v>
      </c>
      <c r="R454" t="n">
        <v>0</v>
      </c>
      <c r="S454">
        <f>IFERROR(O454/N454,0)</f>
        <v/>
      </c>
      <c r="T454">
        <f>IF(C454,(Skills!G3*H454*N454*B480)*IF(Inputs!$B$38="pvp",1,1+(Inputs!$B$20+0+Skills!P3)/100),0)</f>
        <v/>
      </c>
      <c r="U454">
        <f>INDEX(FactorTable!$B$2:$Y$301, MATCH(ROUND(MIN(300,MAX(1,U453)),0), FactorTable!$A$2:$A$301,0), 22)</f>
        <v/>
      </c>
      <c r="V454">
        <f>IF(C454,(Skills!G3*H454*N454*B480)*IF(Inputs!$B$38="pvp",1,(1+(Inputs!$B$21+Skills!Q3)/100)*(MIN(Skills!R3,Inputs!$B$37))),0)</f>
        <v/>
      </c>
    </row>
    <row r="455">
      <c r="A455">
        <f>Skills!A4</f>
        <v/>
      </c>
      <c r="B455">
        <f>Skills!B4</f>
        <v/>
      </c>
      <c r="C455">
        <f>Inputs!$B$3&gt;=60</f>
        <v/>
      </c>
      <c r="D455">
        <f>IF(Skills!C4=1,60+Inputs!$B$25+Inputs!$B$29,IF(Skills!C4=2,90+Inputs!$B$26+Inputs!$B$29,IF(Skills!C4=3,120+Inputs!$B$27+Inputs!$B$29,MAX(0,(Inputs!$B$3-100)*3)+Inputs!$B$28+Inputs!$B$29)))</f>
        <v/>
      </c>
      <c r="E455">
        <f>INDEX(FactorTable!$B$2:$Y$301, MATCH(ROUND(MIN(300,MAX(1,D455)),0), FactorTable!$A$2:$A$301,0), Skills!M4+1)</f>
        <v/>
      </c>
      <c r="F455">
        <f>IF(Skills!N4=TRUE,(Skills!L4/10)*(E455/1000),Skills!L4/10)+Skills!O4</f>
        <v/>
      </c>
      <c r="G455">
        <f>Skills!G4*IF(Skills!H4&gt;0,Skills!I4/Skills!H4,1)</f>
        <v/>
      </c>
      <c r="H455">
        <f>1-(1-Skills!J4/100)^Skills!K4</f>
        <v/>
      </c>
      <c r="I455" t="inlineStr">
        <is>
          <t>1</t>
        </is>
      </c>
      <c r="J455">
        <f>((Inputs!$B$6*(1+Inputs!$B$7/100))+(((Inputs!$B$12*(1+Inputs!$B$13/100))-(Inputs!$B$12*(1+Inputs!$B$13/100)))+0.25*(Inputs!$B$14-Inputs!$B$14))*(1+Inputs!$B$7/100))*(F455/100)</f>
        <v/>
      </c>
      <c r="K455">
        <f>J455*(1+((Inputs!$B$12*(1+Inputs!$B$13/100))*0.01+Inputs!$B$14*0.0025)/100)*(1+Inputs!$B$15/100)*(1+Inputs!$B$16/100)*(5000/(6000+Inputs!$B$42*(1-(Inputs!$B$19+0)/100)))*(1+(Inputs!$B$24+((C473=TRUE)*(F473-Calc!F22))+B482)/100)*(1+1.0*IF(C463=TRUE,F463,0)/100)*(1+(IF(Skills!A4="HOOK_BOMBER",Inputs!$B$17+((C472=TRUE)*(F472-Calc!F21)),Inputs!$B$18+0))/100)*((1+(((C464=TRUE)*F464)+((C470=TRUE)*(F470-Calc!F19)))/100)*I455)</f>
        <v/>
      </c>
      <c r="L455">
        <f>K455*(MIN(Inputs!$B$22+((C471=TRUE)*(F471-Calc!F20)),Inputs!$B$23+0)/100+(Inputs!$B$23+0)/100)/2</f>
        <v/>
      </c>
      <c r="M455">
        <f>L455*(1+((Inputs!$B$10+1)+0+B481)/100)</f>
        <v/>
      </c>
      <c r="N455">
        <f>L455*(1-MIN((Inputs!$B$9+((C467=TRUE)*(F467-Calc!F16))+B476),100)/100)+M455*(MIN((Inputs!$B$9+((C467=TRUE)*(F467-Calc!F16))+B476),100)/100)</f>
        <v/>
      </c>
      <c r="O455">
        <f>(1-Summary!$B$55)*T455+Summary!$B$55*V455</f>
        <v/>
      </c>
      <c r="P455">
        <f>IF(B486=0,0,O455/B486)</f>
        <v/>
      </c>
      <c r="Q455" t="n">
        <v>0</v>
      </c>
      <c r="R455" t="n">
        <v>0</v>
      </c>
      <c r="S455">
        <f>IFERROR(O455/N455,0)</f>
        <v/>
      </c>
      <c r="T455">
        <f>IF(C455,(Skills!G4*H455*N455*B480)*IF(Inputs!$B$38="pvp",1,1+(Inputs!$B$20+0+Skills!P4)/100),0)</f>
        <v/>
      </c>
      <c r="U455">
        <f>290*U454/1000</f>
        <v/>
      </c>
      <c r="V455">
        <f>IF(C455,(Skills!G4*H455*N455*B480)*IF(Inputs!$B$38="pvp",1,(1+(Inputs!$B$21+Skills!Q4)/100)*(MIN(Skills!R4,Inputs!$B$37))),0)</f>
        <v/>
      </c>
    </row>
    <row r="456">
      <c r="A456">
        <f>Skills!A5</f>
        <v/>
      </c>
      <c r="B456">
        <f>Skills!B5</f>
        <v/>
      </c>
      <c r="C456">
        <f>Inputs!$B$3&gt;=60</f>
        <v/>
      </c>
      <c r="D456">
        <f>IF(Skills!C5=1,60+Inputs!$B$25+Inputs!$B$29,IF(Skills!C5=2,90+Inputs!$B$26+Inputs!$B$29,IF(Skills!C5=3,120+Inputs!$B$27+Inputs!$B$29,MAX(0,(Inputs!$B$3-100)*3)+Inputs!$B$28+Inputs!$B$29)))</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t="inlineStr"/>
      <c r="K456" t="inlineStr"/>
      <c r="L456" t="inlineStr"/>
      <c r="M456" t="inlineStr"/>
      <c r="N456" t="inlineStr"/>
      <c r="O456">
        <f>(1-Summary!$B$55)*T456+Summary!$B$55*V456</f>
        <v/>
      </c>
      <c r="P456">
        <f>IF(B486=0,0,O456/B486)</f>
        <v/>
      </c>
      <c r="Q456" t="n">
        <v>0</v>
      </c>
      <c r="R456" t="n">
        <v>0</v>
      </c>
      <c r="S456">
        <f>IFERROR(O456/N456,0)</f>
        <v/>
      </c>
      <c r="T456" t="n">
        <v>0</v>
      </c>
      <c r="V456" t="n">
        <v>0</v>
      </c>
    </row>
    <row r="457">
      <c r="A457">
        <f>Skills!A6</f>
        <v/>
      </c>
      <c r="B457">
        <f>Skills!B6</f>
        <v/>
      </c>
      <c r="C457">
        <f>Inputs!$B$3&gt;=63</f>
        <v/>
      </c>
      <c r="D457">
        <f>IF(Skills!C6=1,60+Inputs!$B$25+Inputs!$B$29,IF(Skills!C6=2,90+Inputs!$B$26+Inputs!$B$29,IF(Skills!C6=3,120+Inputs!$B$27+Inputs!$B$29,MAX(0,(Inputs!$B$3-100)*3)+Inputs!$B$28+Inputs!$B$29)))</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((Inputs!$B$6*(1+Inputs!$B$7/100))+(((Inputs!$B$12*(1+Inputs!$B$13/100))-(Inputs!$B$12*(1+Inputs!$B$13/100)))+0.25*(Inputs!$B$14-Inputs!$B$14))*(1+Inputs!$B$7/100))*(F457/100)</f>
        <v/>
      </c>
      <c r="K457">
        <f>J457*(1+((Inputs!$B$12*(1+Inputs!$B$13/100))*0.01+Inputs!$B$14*0.0025)/100)*(1+Inputs!$B$15/100)*(1+Inputs!$B$16/100)*(5000/(6000+Inputs!$B$42*(1-(Inputs!$B$19+0)/100)))*(1+(Inputs!$B$24+((C473=TRUE)*(F473-Calc!F22))+B482)/100)*(1+(IF(Skills!A6="HOOK_BOMBER",Inputs!$B$17+((C472=TRUE)*(F472-Calc!F21)),Inputs!$B$18+0))/100)*((1+(((C464=TRUE)*F464)+((C470=TRUE)*(F470-Calc!F19)))/100)*I457)</f>
        <v/>
      </c>
      <c r="L457">
        <f>K457*(MIN(Inputs!$B$22+((C471=TRUE)*(F471-Calc!F20)),Inputs!$B$23+0)/100+(Inputs!$B$23+0)/100)/2</f>
        <v/>
      </c>
      <c r="M457">
        <f>L457*(1+((Inputs!$B$10+1)+0+B481)/100)</f>
        <v/>
      </c>
      <c r="N457">
        <f>L457*(1-MIN((Inputs!$B$9+((C467=TRUE)*(F467-Calc!F16))+B476),100)/100)+M457*(MIN((Inputs!$B$9+((C467=TRUE)*(F467-Calc!F16))+B476),100)/100)</f>
        <v/>
      </c>
      <c r="O457">
        <f>(1-Summary!$B$55)*T457+Summary!$B$55*V457</f>
        <v/>
      </c>
      <c r="P457">
        <f>IF(B486=0,0,O457/B486)</f>
        <v/>
      </c>
      <c r="Q457">
        <f>IFERROR(1/IF(Inputs!$B$38="pvp",15,MAX(0.1,Skills!D6-IF(Skills!E6=TRUE,Inputs!$B$32,0))),0)</f>
        <v/>
      </c>
      <c r="R457">
        <f>IF(AND(Inputs!$B$38&lt;&gt;"pvp",Inputs!$B$43&gt;0),IF(MAX(0,Inputs!$B$43-B483)&lt;=0,0,(INT(MAX(0,Inputs!$B$43-B483)/IF(Inputs!$B$38="pvp",15,MAX(0.1,Skills!D6-IF(Skills!E6=TRUE,Inputs!$B$32,0))))+1)),0)</f>
        <v/>
      </c>
      <c r="S457">
        <f>IFERROR(O457/N457,0)</f>
        <v/>
      </c>
      <c r="T457">
        <f>IF(C457,(H457*N457*IF(AND(Inputs!$B$38&lt;&gt;"pvp",Inputs!$B$43&gt;0),((Skills!G6*((R457-1)*IF(Skills!H6&gt;0,Skills!I6/Skills!H6,1)+IF(Skills!H6&gt;0,MIN(Skills!I6,MAX(0,MAX(0,Inputs!$B$43-B483)-((R457-1)*IF(Inputs!$B$38="pvp",15,MAX(0.1,Skills!D6-IF(Skills!E6=TRUE,Inputs!$B$32,0))))))/Skills!H6,1)))/Inputs!$B$43),G457*Q457))*IF(Inputs!$B$38="pvp",1,1+(Inputs!$B$20+0+Skills!P6)/100),0)</f>
        <v/>
      </c>
      <c r="V457">
        <f>IF(C457,(H457*N457*IF(AND(Inputs!$B$38&lt;&gt;"pvp",Inputs!$B$43&gt;0),((Skills!G6*((R457-1)*IF(Skills!H6&gt;0,Skills!I6/Skills!H6,1)+IF(Skills!H6&gt;0,MIN(Skills!I6,MAX(0,MAX(0,Inputs!$B$43-B483)-((R457-1)*IF(Inputs!$B$38="pvp",15,MAX(0.1,Skills!D6-IF(Skills!E6=TRUE,Inputs!$B$32,0))))))/Skills!H6,1)))/Inputs!$B$43),G457*Q457))*IF(Inputs!$B$38="pvp",1,(1+(Inputs!$B$21+Skills!Q6)/100)*(MIN(Skills!R6,Inputs!$B$37))),0)</f>
        <v/>
      </c>
    </row>
    <row r="458">
      <c r="A458">
        <f>Skills!A7</f>
        <v/>
      </c>
      <c r="B458">
        <f>Skills!B7</f>
        <v/>
      </c>
      <c r="C458">
        <f>Inputs!$B$3&gt;=100</f>
        <v/>
      </c>
      <c r="D458">
        <f>IF(Skills!C7=1,60+Inputs!$B$25+Inputs!$B$29,IF(Skills!C7=2,90+Inputs!$B$26+Inputs!$B$29,IF(Skills!C7=3,120+Inputs!$B$27+Inputs!$B$29,MAX(0,(Inputs!$B$3-100)*3)+Inputs!$B$28+Inputs!$B$29)))</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((Inputs!$B$6*(1+Inputs!$B$7/100))+(((Inputs!$B$12*(1+Inputs!$B$13/100))-(Inputs!$B$12*(1+Inputs!$B$13/100)))+0.25*(Inputs!$B$14-Inputs!$B$14))*(1+Inputs!$B$7/100))*(F458/100)</f>
        <v/>
      </c>
      <c r="K458">
        <f>J458*(1+((Inputs!$B$12*(1+Inputs!$B$13/100))*0.01+Inputs!$B$14*0.0025)/100)*(1+Inputs!$B$15/100)*(1+Inputs!$B$16/100)*(5000/(6000+Inputs!$B$42*(1-(Inputs!$B$19+0)/100)))*(1+(Inputs!$B$24+((C473=TRUE)*(F473-Calc!F22))+B482)/100)*(1+(IF(Skills!A7="HOOK_BOMBER",Inputs!$B$17+((C472=TRUE)*(F472-Calc!F21)),Inputs!$B$18+0))/100)*((1+(((C464=TRUE)*F464)+((C470=TRUE)*(F470-Calc!F19)))/100)*I458)</f>
        <v/>
      </c>
      <c r="L458">
        <f>K458*(MIN(Inputs!$B$22+((C471=TRUE)*(F471-Calc!F20)),Inputs!$B$23+0)/100+(Inputs!$B$23+0)/100)/2</f>
        <v/>
      </c>
      <c r="M458">
        <f>L458*(1+((Inputs!$B$10+1)+0+B481)/100)</f>
        <v/>
      </c>
      <c r="N458">
        <f>L458*(1-MIN((Inputs!$B$9+((C467=TRUE)*(F467-Calc!F16))+B476),100)/100)+M458*(MIN((Inputs!$B$9+((C467=TRUE)*(F467-Calc!F16))+B476),100)/100)</f>
        <v/>
      </c>
      <c r="O458">
        <f>(1-Summary!$B$55)*T458+Summary!$B$55*V458</f>
        <v/>
      </c>
      <c r="P458">
        <f>IF(B486=0,0,O458/B486)</f>
        <v/>
      </c>
      <c r="Q458">
        <f>IFERROR(1/IF(Inputs!$B$38="pvp",15,MAX(0.1,Skills!D7-IF(Skills!E7=TRUE,Inputs!$B$32,0))),0)</f>
        <v/>
      </c>
      <c r="R458">
        <f>IF(AND(Inputs!$B$38&lt;&gt;"pvp",Inputs!$B$43&gt;0),IF(MAX(0,Inputs!$B$43-B483)&lt;=0,0,(INT(MAX(0,Inputs!$B$43-B483)/IF(Inputs!$B$38="pvp",15,MAX(0.1,Skills!D7-IF(Skills!E7=TRUE,Inputs!$B$32,0))))+1)),0)</f>
        <v/>
      </c>
      <c r="S458">
        <f>IFERROR(O458/N458,0)</f>
        <v/>
      </c>
      <c r="T458">
        <f>IF(C458,(H458*N458*IF(AND(Inputs!$B$38&lt;&gt;"pvp",Inputs!$B$43&gt;0),((Skills!G7*((R458-1)*IF(Skills!H7&gt;0,Skills!I7/Skills!H7,1)+IF(Skills!H7&gt;0,MIN(Skills!I7,MAX(0,MAX(0,Inputs!$B$43-B483)-((R458-1)*IF(Inputs!$B$38="pvp",15,MAX(0.1,Skills!D7-IF(Skills!E7=TRUE,Inputs!$B$32,0))))))/Skills!H7,1)))/Inputs!$B$43),G458*Q458))*IF(Inputs!$B$38="pvp",1,1+(Inputs!$B$20+0+Skills!P7)/100),0)</f>
        <v/>
      </c>
      <c r="V458">
        <f>IF(C458,(H458*N458*IF(AND(Inputs!$B$38&lt;&gt;"pvp",Inputs!$B$43&gt;0),((Skills!G7*((R458-1)*IF(Skills!H7&gt;0,Skills!I7/Skills!H7,1)+IF(Skills!H7&gt;0,MIN(Skills!I7,MAX(0,MAX(0,Inputs!$B$43-B483)-((R458-1)*IF(Inputs!$B$38="pvp",15,MAX(0.1,Skills!D7-IF(Skills!E7=TRUE,Inputs!$B$32,0))))))/Skills!H7,1)))/Inputs!$B$43),G458*Q458))*IF(Inputs!$B$38="pvp",1,(1+(Inputs!$B$21+Skills!Q7)/100)*(MIN(Skills!R7,Inputs!$B$37))),0)</f>
        <v/>
      </c>
    </row>
    <row r="459">
      <c r="A459">
        <f>Skills!A8</f>
        <v/>
      </c>
      <c r="B459">
        <f>Skills!B8</f>
        <v/>
      </c>
      <c r="C459">
        <f>Inputs!$B$3&gt;=110</f>
        <v/>
      </c>
      <c r="D459">
        <f>IF(Skills!C8=1,60+Inputs!$B$25+Inputs!$B$29,IF(Skills!C8=2,90+Inputs!$B$26+Inputs!$B$29,IF(Skills!C8=3,120+Inputs!$B$27+Inputs!$B$29,MAX(0,(Inputs!$B$3-100)*3)+Inputs!$B$28+Inputs!$B$29)))</f>
        <v/>
      </c>
      <c r="E459">
        <f>INDEX(FactorTable!$B$2:$Y$301, MATCH(ROUND(MIN(300,MAX(1,D459)),0), FactorTable!$A$2:$A$301,0), Skills!M8+1)</f>
        <v/>
      </c>
      <c r="F459">
        <f>IF(Skills!N8=TRUE,(Skills!L8/10)*(E459/1000),Skills!L8/10)+Skills!O8</f>
        <v/>
      </c>
      <c r="G459">
        <f>Skills!G8*IF(Skills!H8&gt;0,Skills!I8/Skills!H8,1)</f>
        <v/>
      </c>
      <c r="H459">
        <f>1-(1-Skills!J8/100)^Skills!K8</f>
        <v/>
      </c>
      <c r="I459" t="inlineStr">
        <is>
          <t>1</t>
        </is>
      </c>
      <c r="J459">
        <f>((Inputs!$B$6*(1+Inputs!$B$7/100))+(((Inputs!$B$12*(1+Inputs!$B$13/100))-(Inputs!$B$12*(1+Inputs!$B$13/100)))+0.25*(Inputs!$B$14-Inputs!$B$14))*(1+Inputs!$B$7/100))*(F459/100)</f>
        <v/>
      </c>
      <c r="K459">
        <f>J459*(1+((Inputs!$B$12*(1+Inputs!$B$13/100))*0.01+Inputs!$B$14*0.0025)/100)*(1+Inputs!$B$15/100)*(1+Inputs!$B$16/100)*(5000/(6000+Inputs!$B$42*(1-(Inputs!$B$19+0)/100)))*(1+(Inputs!$B$24+((C473=TRUE)*(F473-Calc!F22))+B482)/100)*(1+(IF(Skills!A8="HOOK_BOMBER",Inputs!$B$17+((C472=TRUE)*(F472-Calc!F21)),Inputs!$B$18+0))/100)*((1+(((C464=TRUE)*F464)+((C470=TRUE)*(F470-Calc!F19)))/100)*I459)</f>
        <v/>
      </c>
      <c r="L459">
        <f>K459*(MIN(Inputs!$B$22+((C471=TRUE)*(F471-Calc!F20)),Inputs!$B$23+0)/100+(Inputs!$B$23+0)/100)/2</f>
        <v/>
      </c>
      <c r="M459">
        <f>L459*(1+((Inputs!$B$10+1)+0+B481)/100)</f>
        <v/>
      </c>
      <c r="N459">
        <f>L459*(1-MIN((Inputs!$B$9+((C467=TRUE)*(F467-Calc!F16))+B476),100)/100)+M459*(MIN((Inputs!$B$9+((C467=TRUE)*(F467-Calc!F16))+B476),100)/100)</f>
        <v/>
      </c>
      <c r="O459">
        <f>(1-Summary!$B$55)*T459+Summary!$B$55*V459</f>
        <v/>
      </c>
      <c r="P459">
        <f>IF(B486=0,0,O459/B486)</f>
        <v/>
      </c>
      <c r="Q459">
        <f>IFERROR(1/IF(Inputs!$B$38="pvp",15,MAX(0.1,Skills!D8-IF(Skills!E8=TRUE,Inputs!$B$32,0))),0)</f>
        <v/>
      </c>
      <c r="R459">
        <f>IF(AND(Inputs!$B$38&lt;&gt;"pvp",Inputs!$B$43&gt;0),IF(MAX(0,Inputs!$B$43-B483)&lt;=0,0,(INT(MAX(0,Inputs!$B$43-B483)/IF(Inputs!$B$38="pvp",15,MAX(0.1,Skills!D8-IF(Skills!E8=TRUE,Inputs!$B$32,0))))+1)),0)</f>
        <v/>
      </c>
      <c r="S459">
        <f>IFERROR(O459/N459,0)</f>
        <v/>
      </c>
      <c r="T459">
        <f>IF(C459,(H459*N459*IF(AND(Inputs!$B$38&lt;&gt;"pvp",Inputs!$B$43&gt;0),((Skills!G8*((R459-1)*IF(Skills!H8&gt;0,Skills!I8/Skills!H8,1)+IF(Skills!H8&gt;0,MIN(Skills!I8,MAX(0,MAX(0,Inputs!$B$43-B483)-((R459-1)*IF(Inputs!$B$38="pvp",15,MAX(0.1,Skills!D8-IF(Skills!E8=TRUE,Inputs!$B$32,0))))))/Skills!H8,1)))/Inputs!$B$43),G459*Q459))*IF(Inputs!$B$38="pvp",1,1+(Inputs!$B$20+0+Skills!P8)/100),0)</f>
        <v/>
      </c>
      <c r="V459">
        <f>IF(C459,(H459*N459*IF(AND(Inputs!$B$38&lt;&gt;"pvp",Inputs!$B$43&gt;0),((Skills!G8*((R459-1)*IF(Skills!H8&gt;0,Skills!I8/Skills!H8,1)+IF(Skills!H8&gt;0,MIN(Skills!I8,MAX(0,MAX(0,Inputs!$B$43-B483)-((R459-1)*IF(Inputs!$B$38="pvp",15,MAX(0.1,Skills!D8-IF(Skills!E8=TRUE,Inputs!$B$32,0))))))/Skills!H8,1)))/Inputs!$B$43),G459*Q459))*IF(Inputs!$B$38="pvp",1,(1+(Inputs!$B$21+Skills!Q8)/100)*(MIN(Skills!R8,Inputs!$B$37))),0)</f>
        <v/>
      </c>
    </row>
    <row r="460">
      <c r="A460">
        <f>Skills!A9</f>
        <v/>
      </c>
      <c r="B460">
        <f>Skills!B9</f>
        <v/>
      </c>
      <c r="C460">
        <f>Inputs!$B$3&gt;=110</f>
        <v/>
      </c>
      <c r="D460">
        <f>IF(Skills!C9=1,60+Inputs!$B$25+Inputs!$B$29,IF(Skills!C9=2,90+Inputs!$B$26+Inputs!$B$29,IF(Skills!C9=3,120+Inputs!$B$27+Inputs!$B$29,MAX(0,(Inputs!$B$3-100)*3)+Inputs!$B$28+Inputs!$B$29)))</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((Inputs!$B$6*(1+Inputs!$B$7/100))+(((Inputs!$B$12*(1+Inputs!$B$13/100))-(Inputs!$B$12*(1+Inputs!$B$13/100)))+0.25*(Inputs!$B$14-Inputs!$B$14))*(1+Inputs!$B$7/100))*(F460/100)</f>
        <v/>
      </c>
      <c r="K460">
        <f>J460*(1+((Inputs!$B$12*(1+Inputs!$B$13/100))*0.01+Inputs!$B$14*0.0025)/100)*(1+Inputs!$B$15/100)*(1+Inputs!$B$16/100)*(5000/(6000+Inputs!$B$42*(1-(Inputs!$B$19+0)/100)))*(1+(Inputs!$B$24+((C473=TRUE)*(F473-Calc!F22))+B482)/100)*(1+(IF(Skills!A9="HOOK_BOMBER",Inputs!$B$17+((C472=TRUE)*(F472-Calc!F21)),Inputs!$B$18+0))/100)*((1+(((C464=TRUE)*F464)+((C470=TRUE)*(F470-Calc!F19)))/100)*I460)</f>
        <v/>
      </c>
      <c r="L460">
        <f>K460*(MIN(Inputs!$B$22+((C471=TRUE)*(F471-Calc!F20)),Inputs!$B$23+0)/100+(Inputs!$B$23+0)/100)/2</f>
        <v/>
      </c>
      <c r="M460">
        <f>L460*(1+((Inputs!$B$10+1)+0+B481)/100)</f>
        <v/>
      </c>
      <c r="N460">
        <f>L460*(1-MIN((Inputs!$B$9+((C467=TRUE)*(F467-Calc!F16))+B476),100)/100)+M460*(MIN((Inputs!$B$9+((C467=TRUE)*(F467-Calc!F16))+B476),100)/100)</f>
        <v/>
      </c>
      <c r="O460">
        <f>(1-Summary!$B$55)*T460+Summary!$B$55*V460</f>
        <v/>
      </c>
      <c r="P460">
        <f>IF(B486=0,0,O460/B486)</f>
        <v/>
      </c>
      <c r="Q460">
        <f>IFERROR(1/IF(Inputs!$B$38="pvp",15,MAX(0.1,Skills!D9-IF(Skills!E9=TRUE,Inputs!$B$32,0))),0)</f>
        <v/>
      </c>
      <c r="R460">
        <f>IF(AND(Inputs!$B$38&lt;&gt;"pvp",Inputs!$B$43&gt;0),IF(MAX(0,Inputs!$B$43-B483)&lt;=0,0,(INT(MAX(0,Inputs!$B$43-B483)/IF(Inputs!$B$38="pvp",15,MAX(0.1,Skills!D9-IF(Skills!E9=TRUE,Inputs!$B$32,0))))+1)),0)</f>
        <v/>
      </c>
      <c r="S460">
        <f>IFERROR(O460/N460,0)</f>
        <v/>
      </c>
      <c r="T460">
        <f>IF(C460,(H460*N460*IF(AND(Inputs!$B$38&lt;&gt;"pvp",Inputs!$B$43&gt;0),((Skills!G9*((R460-1)*IF(Skills!H9&gt;0,Skills!I9/Skills!H9,1)+IF(Skills!H9&gt;0,MIN(Skills!I9,MAX(0,MAX(0,Inputs!$B$43-B483)-((R460-1)*IF(Inputs!$B$38="pvp",15,MAX(0.1,Skills!D9-IF(Skills!E9=TRUE,Inputs!$B$32,0))))))/Skills!H9,1)))/Inputs!$B$43),G460*Q460))*IF(Inputs!$B$38="pvp",1,1+(Inputs!$B$20+0+Skills!P9)/100),0)</f>
        <v/>
      </c>
      <c r="V460">
        <f>IF(C460,(H460*N460*IF(AND(Inputs!$B$38&lt;&gt;"pvp",Inputs!$B$43&gt;0),((Skills!G9*((R460-1)*IF(Skills!H9&gt;0,Skills!I9/Skills!H9,1)+IF(Skills!H9&gt;0,MIN(Skills!I9,MAX(0,MAX(0,Inputs!$B$43-B483)-((R460-1)*IF(Inputs!$B$38="pvp",15,MAX(0.1,Skills!D9-IF(Skills!E9=TRUE,Inputs!$B$32,0))))))/Skills!H9,1)))/Inputs!$B$43),G460*Q460))*IF(Inputs!$B$38="pvp",1,(1+(Inputs!$B$21+Skills!Q9)/100)*(MIN(Skills!R9,Inputs!$B$37))),0)</f>
        <v/>
      </c>
    </row>
    <row r="461">
      <c r="A461">
        <f>Skills!A10</f>
        <v/>
      </c>
      <c r="B461">
        <f>Skills!B10</f>
        <v/>
      </c>
      <c r="C461">
        <f>Inputs!$B$3&gt;=103</f>
        <v/>
      </c>
      <c r="D461">
        <f>IF(Skills!C10=1,60+Inputs!$B$25+Inputs!$B$29,IF(Skills!C10=2,90+Inputs!$B$26+Inputs!$B$29,IF(Skills!C10=3,120+Inputs!$B$27+Inputs!$B$29,MAX(0,(Inputs!$B$3-100)*3)+Inputs!$B$28+Inputs!$B$29)))</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((Inputs!$B$6*(1+Inputs!$B$7/100))+(((Inputs!$B$12*(1+Inputs!$B$13/100))-(Inputs!$B$12*(1+Inputs!$B$13/100)))+0.25*(Inputs!$B$14-Inputs!$B$14))*(1+Inputs!$B$7/100))*(F461/100)</f>
        <v/>
      </c>
      <c r="K461">
        <f>J461*(1+((Inputs!$B$12*(1+Inputs!$B$13/100))*0.01+Inputs!$B$14*0.0025)/100)*(1+Inputs!$B$15/100)*(1+Inputs!$B$16/100)*(5000/(6000+Inputs!$B$42*(1-(Inputs!$B$19+0)/100)))*(1+(Inputs!$B$24+((C473=TRUE)*(F473-Calc!F22))+B482)/100)*(1+(IF(Skills!A10="HOOK_BOMBER",Inputs!$B$17+((C472=TRUE)*(F472-Calc!F21)),Inputs!$B$18+0))/100)*((1+(((C464=TRUE)*F464)+((C470=TRUE)*(F470-Calc!F19)))/100)*I461)</f>
        <v/>
      </c>
      <c r="L461">
        <f>K461*(MIN(Inputs!$B$22+((C471=TRUE)*(F471-Calc!F20)),Inputs!$B$23+0)/100+(Inputs!$B$23+0)/100)/2</f>
        <v/>
      </c>
      <c r="M461">
        <f>L461*(1+((Inputs!$B$10+1)+0+B481)/100)</f>
        <v/>
      </c>
      <c r="N461">
        <f>L461*(1-MIN((Inputs!$B$9+((C467=TRUE)*(F467-Calc!F16))+B476),100)/100)+M461*(MIN((Inputs!$B$9+((C467=TRUE)*(F467-Calc!F16))+B476),100)/100)</f>
        <v/>
      </c>
      <c r="O461">
        <f>(1-Summary!$B$55)*T461+Summary!$B$55*V461</f>
        <v/>
      </c>
      <c r="P461">
        <f>IF(B486=0,0,O461/B486)</f>
        <v/>
      </c>
      <c r="Q461">
        <f>IFERROR(1/IF(Inputs!$B$38="pvp",15,MAX(0.1,Skills!D10-IF(Skills!E10=TRUE,Inputs!$B$32,0))),0)</f>
        <v/>
      </c>
      <c r="R461">
        <f>IF(AND(Inputs!$B$38&lt;&gt;"pvp",Inputs!$B$43&gt;0),IF(MAX(0,Inputs!$B$43-B483)&lt;=0,0,(INT(MAX(0,Inputs!$B$43-B483)/IF(Inputs!$B$38="pvp",15,MAX(0.1,Skills!D10-IF(Skills!E10=TRUE,Inputs!$B$32,0))))+1)),0)</f>
        <v/>
      </c>
      <c r="S461">
        <f>IFERROR(O461/N461,0)</f>
        <v/>
      </c>
      <c r="T461">
        <f>IF(C461,(H461*N461*IF(AND(Inputs!$B$38&lt;&gt;"pvp",Inputs!$B$43&gt;0),((Skills!G10*((R461-1)*IF(Skills!H10&gt;0,Skills!I10/Skills!H10,1)+IF(Skills!H10&gt;0,MIN(Skills!I10,MAX(0,MAX(0,Inputs!$B$43-B483)-((R461-1)*IF(Inputs!$B$38="pvp",15,MAX(0.1,Skills!D10-IF(Skills!E10=TRUE,Inputs!$B$32,0))))))/Skills!H10,1)))/Inputs!$B$43),G461*Q461))*IF(Inputs!$B$38="pvp",1,1+(Inputs!$B$20+0+Skills!P10)/100),0)</f>
        <v/>
      </c>
      <c r="V461">
        <f>IF(C461,(H461*N461*IF(AND(Inputs!$B$38&lt;&gt;"pvp",Inputs!$B$43&gt;0),((Skills!G10*((R461-1)*IF(Skills!H10&gt;0,Skills!I10/Skills!H10,1)+IF(Skills!H10&gt;0,MIN(Skills!I10,MAX(0,MAX(0,Inputs!$B$43-B483)-((R461-1)*IF(Inputs!$B$38="pvp",15,MAX(0.1,Skills!D10-IF(Skills!E10=TRUE,Inputs!$B$32,0))))))/Skills!H10,1)))/Inputs!$B$43),G461*Q461))*IF(Inputs!$B$38="pvp",1,(1+(Inputs!$B$21+Skills!Q10)/100)*(MIN(Skills!R10,Inputs!$B$37))),0)</f>
        <v/>
      </c>
    </row>
    <row r="462">
      <c r="A462">
        <f>Skills!A11</f>
        <v/>
      </c>
      <c r="B462">
        <f>Skills!B11</f>
        <v/>
      </c>
      <c r="C462">
        <f>Inputs!$B$3&gt;=113</f>
        <v/>
      </c>
      <c r="D462">
        <f>IF(Skills!C11=1,60+Inputs!$B$25+Inputs!$B$29,IF(Skills!C11=2,90+Inputs!$B$26+Inputs!$B$29,IF(Skills!C11=3,120+Inputs!$B$27+Inputs!$B$29,MAX(0,(Inputs!$B$3-100)*3)+Inputs!$B$28+Inputs!$B$29)))</f>
        <v/>
      </c>
      <c r="E462">
        <f>INDEX(FactorTable!$B$2:$Y$301, MATCH(ROUND(MIN(300,MAX(1,D462)),0), FactorTable!$A$2:$A$301,0), Skills!M11+1)</f>
        <v/>
      </c>
      <c r="F462">
        <f>IF(Skills!N11=TRUE,(Skills!L11/10)*(E462/1000),Skills!L11/10)+Skills!O11</f>
        <v/>
      </c>
      <c r="G462">
        <f>Skills!G11*IF(Skills!H11&gt;0,Skills!I11/Skills!H11,1)</f>
        <v/>
      </c>
      <c r="H462">
        <f>1-(1-Skills!J11/100)^Skills!K11</f>
        <v/>
      </c>
      <c r="I462" t="inlineStr">
        <is>
          <t>1</t>
        </is>
      </c>
      <c r="J462">
        <f>((Inputs!$B$6*(1+Inputs!$B$7/100))+(((Inputs!$B$12*(1+Inputs!$B$13/100))-(Inputs!$B$12*(1+Inputs!$B$13/100)))+0.25*(Inputs!$B$14-Inputs!$B$14))*(1+Inputs!$B$7/100))*(F462/100)</f>
        <v/>
      </c>
      <c r="K462">
        <f>J462*(1+((Inputs!$B$12*(1+Inputs!$B$13/100))*0.01+Inputs!$B$14*0.0025)/100)*(1+Inputs!$B$15/100)*(1+Inputs!$B$16/100)*(5000/(6000+Inputs!$B$42*(1-(Inputs!$B$19+0)/100)))*(1+(Inputs!$B$24+((C473=TRUE)*(F473-Calc!F22))+B482)/100)*(1+(IF(Skills!A11="HOOK_BOMBER",Inputs!$B$17+((C472=TRUE)*(F472-Calc!F21)),Inputs!$B$18+0))/100)*((1+(((C464=TRUE)*F464)+((C470=TRUE)*(F470-Calc!F19)))/100)*I462)</f>
        <v/>
      </c>
      <c r="L462">
        <f>K462*(MIN(Inputs!$B$22+((C471=TRUE)*(F471-Calc!F20)),Inputs!$B$23+0)/100+(Inputs!$B$23+0)/100)/2</f>
        <v/>
      </c>
      <c r="M462">
        <f>L462*(1+((Inputs!$B$10+1)+0+B481)/100)</f>
        <v/>
      </c>
      <c r="N462">
        <f>L462*(1-MIN((Inputs!$B$9+((C467=TRUE)*(F467-Calc!F16))+B476),100)/100)+M462*(MIN((Inputs!$B$9+((C467=TRUE)*(F467-Calc!F16))+B476),100)/100)</f>
        <v/>
      </c>
      <c r="O462">
        <f>(1-Summary!$B$55)*T462+Summary!$B$55*V462</f>
        <v/>
      </c>
      <c r="P462">
        <f>IF(B486=0,0,O462/B486)</f>
        <v/>
      </c>
      <c r="Q462">
        <f>IFERROR(1/IF(Inputs!$B$38="pvp",15,MAX(0.1,Skills!D11-IF(Skills!E11=TRUE,Inputs!$B$32,0))),0)</f>
        <v/>
      </c>
      <c r="R462">
        <f>IF(AND(Inputs!$B$38&lt;&gt;"pvp",Inputs!$B$43&gt;0),IF(MAX(0,Inputs!$B$43-B483)&lt;=0,0,(INT(MAX(0,Inputs!$B$43-B483)/IF(Inputs!$B$38="pvp",15,MAX(0.1,Skills!D11-IF(Skills!E11=TRUE,Inputs!$B$32,0))))+1)),0)</f>
        <v/>
      </c>
      <c r="S462">
        <f>IFERROR(O462/N462,0)</f>
        <v/>
      </c>
      <c r="T462">
        <f>IF(C462,(H462*N462*IF(AND(Inputs!$B$38&lt;&gt;"pvp",Inputs!$B$43&gt;0),((Skills!G11*((R462-1)*IF(Skills!H11&gt;0,Skills!I11/Skills!H11,1)+IF(Skills!H11&gt;0,MIN(Skills!I11,MAX(0,MAX(0,Inputs!$B$43-B483)-((R462-1)*IF(Inputs!$B$38="pvp",15,MAX(0.1,Skills!D11-IF(Skills!E11=TRUE,Inputs!$B$32,0))))))/Skills!H11,1)))/Inputs!$B$43),G462*Q462))*IF(Inputs!$B$38="pvp",1,1+(Inputs!$B$20+0+Skills!P11)/100),0)</f>
        <v/>
      </c>
      <c r="V462">
        <f>IF(C462,(H462*N462*IF(AND(Inputs!$B$38&lt;&gt;"pvp",Inputs!$B$43&gt;0),((Skills!G11*((R462-1)*IF(Skills!H11&gt;0,Skills!I11/Skills!H11,1)+IF(Skills!H11&gt;0,MIN(Skills!I11,MAX(0,MAX(0,Inputs!$B$43-B483)-((R462-1)*IF(Inputs!$B$38="pvp",15,MAX(0.1,Skills!D11-IF(Skills!E11=TRUE,Inputs!$B$32,0))))))/Skills!H11,1)))/Inputs!$B$43),G462*Q462))*IF(Inputs!$B$38="pvp",1,(1+(Inputs!$B$21+Skills!Q11)/100)*(MIN(Skills!R11,Inputs!$B$37))),0)</f>
        <v/>
      </c>
    </row>
    <row r="463">
      <c r="A463">
        <f>Skills!A12</f>
        <v/>
      </c>
      <c r="B463">
        <f>Skills!B12</f>
        <v/>
      </c>
      <c r="C463">
        <f>Inputs!$B$3&gt;=100</f>
        <v/>
      </c>
      <c r="D463">
        <f>IF(Skills!C12=1,60+Inputs!$B$25+Inputs!$B$29,IF(Skills!C12=2,90+Inputs!$B$26+Inputs!$B$29,IF(Skills!C12=3,120+Inputs!$B$27+Inputs!$B$29,MAX(0,(Inputs!$B$3-100)*3)+Inputs!$B$28+Inputs!$B$29)))</f>
        <v/>
      </c>
      <c r="E463">
        <f>INDEX(FactorTable!$B$2:$Y$301, MATCH(ROUND(MIN(300,MAX(1,D463)),0), FactorTable!$A$2:$A$301,0), Skills!M12+1)</f>
        <v/>
      </c>
      <c r="F463">
        <f>IF(Skills!N12=TRUE,(Skills!L12/10)*(E463/1000),Skills!L12/10)+Skills!O12</f>
        <v/>
      </c>
      <c r="G463" t="inlineStr"/>
      <c r="H463" t="inlineStr"/>
      <c r="I463" t="inlineStr">
        <is>
          <t>1</t>
        </is>
      </c>
      <c r="J463" t="inlineStr"/>
      <c r="K463" t="inlineStr"/>
      <c r="L463" t="inlineStr"/>
      <c r="M463" t="inlineStr"/>
      <c r="N463" t="inlineStr"/>
      <c r="O463" t="inlineStr"/>
      <c r="P463" t="inlineStr"/>
      <c r="Q463" t="inlineStr"/>
      <c r="R463" t="inlineStr"/>
      <c r="S463" t="inlineStr"/>
      <c r="T463" t="inlineStr"/>
      <c r="V463" t="inlineStr"/>
    </row>
    <row r="464">
      <c r="A464">
        <f>Skills!A13</f>
        <v/>
      </c>
      <c r="B464">
        <f>Skills!B13</f>
        <v/>
      </c>
      <c r="C464">
        <f>Inputs!$B$3&gt;=66</f>
        <v/>
      </c>
      <c r="D464">
        <f>IF(Skills!C13=1,60+Inputs!$B$25+Inputs!$B$29,IF(Skills!C13=2,90+Inputs!$B$26+Inputs!$B$29,IF(Skills!C13=3,120+Inputs!$B$27+Inputs!$B$29,MAX(0,(Inputs!$B$3-100)*3)+Inputs!$B$28+Inputs!$B$29)))</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(1-Summary!$B$55)*T464+Summary!$B$55*V464</f>
        <v/>
      </c>
      <c r="P464">
        <f>IF(B486=0,0,O464/B486)</f>
        <v/>
      </c>
      <c r="Q464" t="n">
        <v>0</v>
      </c>
      <c r="R464" t="n">
        <v>0</v>
      </c>
      <c r="S464">
        <f>IFERROR(O464/N464,0)</f>
        <v/>
      </c>
      <c r="T464" t="n">
        <v>0</v>
      </c>
      <c r="V464" t="n">
        <v>0</v>
      </c>
    </row>
    <row r="465">
      <c r="A465">
        <f>Skills!A14</f>
        <v/>
      </c>
      <c r="B465">
        <f>Skills!B14</f>
        <v/>
      </c>
      <c r="C465">
        <f>Inputs!$B$3&gt;=107</f>
        <v/>
      </c>
      <c r="D465">
        <f>IF(Skills!C14=1,60+Inputs!$B$25+Inputs!$B$29,IF(Skills!C14=2,90+Inputs!$B$26+Inputs!$B$29,IF(Skills!C14=3,120+Inputs!$B$27+Inputs!$B$29,MAX(0,(Inputs!$B$3-100)*3)+Inputs!$B$28+Inputs!$B$29)))</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(1-Summary!$B$55)*T465+Summary!$B$55*V465</f>
        <v/>
      </c>
      <c r="P465">
        <f>IF(B486=0,0,O465/B486)</f>
        <v/>
      </c>
      <c r="Q465" t="n">
        <v>0</v>
      </c>
      <c r="R465" t="n">
        <v>0</v>
      </c>
      <c r="S465">
        <f>IFERROR(O465/N465,0)</f>
        <v/>
      </c>
      <c r="T465" t="n">
        <v>0</v>
      </c>
      <c r="V465" t="n">
        <v>0</v>
      </c>
    </row>
    <row r="466">
      <c r="A466">
        <f>Skills!A15</f>
        <v/>
      </c>
      <c r="B466">
        <f>Skills!B15</f>
        <v/>
      </c>
      <c r="C466">
        <f>Inputs!$B$3&gt;=115</f>
        <v/>
      </c>
      <c r="D466">
        <f>IF(Skills!C15=1,60+Inputs!$B$25+Inputs!$B$29,IF(Skills!C15=2,90+Inputs!$B$26+Inputs!$B$29,IF(Skills!C15=3,120+Inputs!$B$27+Inputs!$B$29,MAX(0,(Inputs!$B$3-100)*3)+Inputs!$B$28+Inputs!$B$29)))</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(1-Summary!$B$55)*T466+Summary!$B$55*V466</f>
        <v/>
      </c>
      <c r="P466">
        <f>IF(B486=0,0,O466/B486)</f>
        <v/>
      </c>
      <c r="Q466" t="n">
        <v>0</v>
      </c>
      <c r="R466" t="n">
        <v>0</v>
      </c>
      <c r="S466">
        <f>IFERROR(O466/N466,0)</f>
        <v/>
      </c>
      <c r="T466" t="n">
        <v>0</v>
      </c>
      <c r="V466" t="n">
        <v>0</v>
      </c>
    </row>
    <row r="467">
      <c r="A467">
        <f>Skills!A16</f>
        <v/>
      </c>
      <c r="B467">
        <f>Skills!B16</f>
        <v/>
      </c>
      <c r="C467">
        <f>Inputs!$B$3&gt;=15</f>
        <v/>
      </c>
      <c r="D467">
        <f>IF(Skills!C16=1,60+Inputs!$B$25+Inputs!$B$29,IF(Skills!C16=2,90+Inputs!$B$26+Inputs!$B$29,IF(Skills!C16=3,120+Inputs!$B$27+Inputs!$B$29,MAX(0,(Inputs!$B$3-100)*3)+Inputs!$B$28+Inputs!$B$29)))</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(1-Summary!$B$55)*T467+Summary!$B$55*V467</f>
        <v/>
      </c>
      <c r="P467">
        <f>IF(B486=0,0,O467/B486)</f>
        <v/>
      </c>
      <c r="Q467" t="n">
        <v>0</v>
      </c>
      <c r="R467" t="n">
        <v>0</v>
      </c>
      <c r="S467">
        <f>IFERROR(O467/N467,0)</f>
        <v/>
      </c>
      <c r="T467" t="n">
        <v>0</v>
      </c>
      <c r="V467" t="n">
        <v>0</v>
      </c>
    </row>
    <row r="468">
      <c r="A468">
        <f>Skills!A17</f>
        <v/>
      </c>
      <c r="B468">
        <f>Skills!B17</f>
        <v/>
      </c>
      <c r="C468">
        <f>Inputs!$B$3&gt;=10</f>
        <v/>
      </c>
      <c r="D468">
        <f>IF(Skills!C17=1,60+Inputs!$B$25+Inputs!$B$29,IF(Skills!C17=2,90+Inputs!$B$26+Inputs!$B$29,IF(Skills!C17=3,120+Inputs!$B$27+Inputs!$B$29,MAX(0,(Inputs!$B$3-100)*3)+Inputs!$B$28+Inputs!$B$29)))</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(1-Summary!$B$55)*T468+Summary!$B$55*V468</f>
        <v/>
      </c>
      <c r="P468">
        <f>IF(B486=0,0,O468/B486)</f>
        <v/>
      </c>
      <c r="Q468" t="n">
        <v>0</v>
      </c>
      <c r="R468" t="n">
        <v>0</v>
      </c>
      <c r="S468">
        <f>IFERROR(O468/N468,0)</f>
        <v/>
      </c>
      <c r="T468" t="n">
        <v>0</v>
      </c>
      <c r="V468" t="n">
        <v>0</v>
      </c>
    </row>
    <row r="469">
      <c r="A469">
        <f>Skills!A18</f>
        <v/>
      </c>
      <c r="B469">
        <f>Skills!B18</f>
        <v/>
      </c>
      <c r="C469">
        <f>Inputs!$B$3&gt;=33</f>
        <v/>
      </c>
      <c r="D469">
        <f>IF(Skills!C18=1,60+Inputs!$B$25+Inputs!$B$29,IF(Skills!C18=2,90+Inputs!$B$26+Inputs!$B$29,IF(Skills!C18=3,120+Inputs!$B$27+Inputs!$B$29,MAX(0,(Inputs!$B$3-100)*3)+Inputs!$B$28+Inputs!$B$29)))</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(1-Summary!$B$55)*T469+Summary!$B$55*V469</f>
        <v/>
      </c>
      <c r="P469">
        <f>IF(B486=0,0,O469/B486)</f>
        <v/>
      </c>
      <c r="Q469" t="n">
        <v>0</v>
      </c>
      <c r="R469" t="n">
        <v>0</v>
      </c>
      <c r="S469">
        <f>IFERROR(O469/N469,0)</f>
        <v/>
      </c>
      <c r="T469" t="n">
        <v>0</v>
      </c>
      <c r="V469" t="n">
        <v>0</v>
      </c>
    </row>
    <row r="470">
      <c r="A470">
        <f>Skills!A19</f>
        <v/>
      </c>
      <c r="B470">
        <f>Skills!B19</f>
        <v/>
      </c>
      <c r="C470">
        <f>Inputs!$B$3&gt;=40</f>
        <v/>
      </c>
      <c r="D470">
        <f>IF(Skills!C19=1,60+Inputs!$B$25+Inputs!$B$29,IF(Skills!C19=2,90+Inputs!$B$26+Inputs!$B$29,IF(Skills!C19=3,120+Inputs!$B$27+Inputs!$B$29,MAX(0,(Inputs!$B$3-100)*3)+Inputs!$B$28+Inputs!$B$29)))</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(1-Summary!$B$55)*T470+Summary!$B$55*V470</f>
        <v/>
      </c>
      <c r="P470">
        <f>IF(B486=0,0,O470/B486)</f>
        <v/>
      </c>
      <c r="Q470" t="n">
        <v>0</v>
      </c>
      <c r="R470" t="n">
        <v>0</v>
      </c>
      <c r="S470">
        <f>IFERROR(O470/N470,0)</f>
        <v/>
      </c>
      <c r="T470" t="n">
        <v>0</v>
      </c>
      <c r="V470" t="n">
        <v>0</v>
      </c>
    </row>
    <row r="471">
      <c r="A471">
        <f>Skills!A20</f>
        <v/>
      </c>
      <c r="B471">
        <f>Skills!B20</f>
        <v/>
      </c>
      <c r="C471">
        <f>Inputs!$B$3&gt;=43</f>
        <v/>
      </c>
      <c r="D471">
        <f>IF(Skills!C20=1,60+Inputs!$B$25+Inputs!$B$29,IF(Skills!C20=2,90+Inputs!$B$26+Inputs!$B$29,IF(Skills!C20=3,120+Inputs!$B$27+Inputs!$B$29,MAX(0,(Inputs!$B$3-100)*3)+Inputs!$B$28+Inputs!$B$29)))</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(1-Summary!$B$55)*T471+Summary!$B$55*V471</f>
        <v/>
      </c>
      <c r="P471">
        <f>IF(B486=0,0,O471/B486)</f>
        <v/>
      </c>
      <c r="Q471" t="n">
        <v>0</v>
      </c>
      <c r="R471" t="n">
        <v>0</v>
      </c>
      <c r="S471">
        <f>IFERROR(O471/N471,0)</f>
        <v/>
      </c>
      <c r="T471" t="n">
        <v>0</v>
      </c>
      <c r="V471" t="n">
        <v>0</v>
      </c>
    </row>
    <row r="472">
      <c r="A472">
        <f>Skills!A21</f>
        <v/>
      </c>
      <c r="B472">
        <f>Skills!B21</f>
        <v/>
      </c>
      <c r="C472">
        <f>Inputs!$B$3&gt;=38</f>
        <v/>
      </c>
      <c r="D472">
        <f>IF(Skills!C21=1,60+Inputs!$B$25+Inputs!$B$29,IF(Skills!C21=2,90+Inputs!$B$26+Inputs!$B$29,IF(Skills!C21=3,120+Inputs!$B$27+Inputs!$B$29,MAX(0,(Inputs!$B$3-100)*3)+Inputs!$B$28+Inputs!$B$29)))</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(1-Summary!$B$55)*T472+Summary!$B$55*V472</f>
        <v/>
      </c>
      <c r="P472">
        <f>IF(B486=0,0,O472/B486)</f>
        <v/>
      </c>
      <c r="Q472" t="n">
        <v>0</v>
      </c>
      <c r="R472" t="n">
        <v>0</v>
      </c>
      <c r="S472">
        <f>IFERROR(O472/N472,0)</f>
        <v/>
      </c>
      <c r="T472" t="n">
        <v>0</v>
      </c>
      <c r="V472" t="n">
        <v>0</v>
      </c>
    </row>
    <row r="473">
      <c r="A473">
        <f>Skills!A22</f>
        <v/>
      </c>
      <c r="B473">
        <f>Skills!B22</f>
        <v/>
      </c>
      <c r="C473">
        <f>Inputs!$B$3&gt;=75</f>
        <v/>
      </c>
      <c r="D473">
        <f>IF(Skills!C22=1,60+Inputs!$B$25+Inputs!$B$29,IF(Skills!C22=2,90+Inputs!$B$26+Inputs!$B$29,IF(Skills!C22=3,120+Inputs!$B$27+Inputs!$B$29,MAX(0,(Inputs!$B$3-100)*3)+Inputs!$B$28+Inputs!$B$29)))</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(1-Summary!$B$55)*T473+Summary!$B$55*V473</f>
        <v/>
      </c>
      <c r="P473">
        <f>IF(B486=0,0,O473/B486)</f>
        <v/>
      </c>
      <c r="Q473" t="n">
        <v>0</v>
      </c>
      <c r="R473" t="n">
        <v>0</v>
      </c>
      <c r="S473">
        <f>IFERROR(O473/N473,0)</f>
        <v/>
      </c>
      <c r="T473" t="n">
        <v>0</v>
      </c>
      <c r="V473" t="n">
        <v>0</v>
      </c>
    </row>
    <row r="475">
      <c r="A475" t="inlineStr">
        <is>
          <t>Attack% Bucket Multiplier</t>
        </is>
      </c>
      <c r="B475">
        <f>(1+(((C464=TRUE)*F464)+((C470=TRUE)*(F470-Calc!F19)))/100)</f>
        <v/>
      </c>
    </row>
    <row r="476">
      <c r="A476" t="inlineStr">
        <is>
          <t>Global Crit Rate Bonus %</t>
        </is>
      </c>
      <c r="B476" t="n">
        <v>0</v>
      </c>
    </row>
    <row r="477">
      <c r="A477" t="inlineStr">
        <is>
          <t>Attack Speed Buff Bonus % (unused)</t>
        </is>
      </c>
      <c r="B477" t="n">
        <v>0</v>
      </c>
    </row>
    <row r="478">
      <c r="A478" t="inlineStr">
        <is>
          <t>Actions Per Second</t>
        </is>
      </c>
      <c r="B478">
        <f>1+MIN(150,150*(1-(1-(Inputs!$B$11+((C468=TRUE)*(F468-Calc!F17))+((C469=TRUE)*(F469-Calc!F18)))/150)*(1-B477/150)))/100</f>
        <v/>
      </c>
    </row>
    <row r="479">
      <c r="A479" t="inlineStr">
        <is>
          <t>Skill + Buff Cast Rate</t>
        </is>
      </c>
      <c r="B479">
        <f>IF(AND(Inputs!$B$38&lt;&gt;"pvp",Inputs!$B$43&gt;0),SUMPRODUCT((Skills!E2:E22=TRUE)*(C453:C473=TRUE)*R453:R473*Skills!F2:F22)/Inputs!$B$43,SUMPRODUCT((Skills!E2:E22=TRUE)*(C453:C473=TRUE)*Q453:Q473*Skills!F2:F22))</f>
        <v/>
      </c>
    </row>
    <row r="480">
      <c r="A480" t="inlineStr">
        <is>
          <t>Hook Bomber Casts Per Second</t>
        </is>
      </c>
      <c r="B480">
        <f>MAX(0,B478-B479)</f>
        <v/>
      </c>
    </row>
    <row r="481">
      <c r="A481" t="inlineStr">
        <is>
          <t>Global Critical Damage Bonus % (unused)</t>
        </is>
      </c>
      <c r="B481" t="n">
        <v>0</v>
      </c>
    </row>
    <row r="482">
      <c r="A482" t="inlineStr">
        <is>
          <t>Global Final Damage Bonus % (Serpent Scale + Crossbones + Time Leap + Speed Infusion)</t>
        </is>
      </c>
      <c r="B482">
        <f>((C456=TRUE)*F456*((10+IF(Inputs!$B$3&gt;=94,5,0))/((10+IF(Inputs!$B$3&gt;=94,5,0))+5/(B480*(1+IF(Inputs!$B$3&gt;=104,1,0))))))+((C465=TRUE)*F465)+((C466=TRUE)*F466)+((Inputs!$B$3&gt;=110)*20*(B478-1))</f>
        <v/>
      </c>
    </row>
    <row r="483">
      <c r="A483" t="inlineStr">
        <is>
          <t>Buff-Casting Startup Delay (s, fixed-duration only)</t>
        </is>
      </c>
      <c r="B483">
        <f>IF(AND(Inputs!$B$38&lt;&gt;"pvp",Inputs!$B$43&gt;0),SUMPRODUCT((Skills!T2:T22&gt;0)*(Skills!E2:E22=TRUE)*(C453:C473=TRUE))/B478,0)</f>
        <v/>
      </c>
    </row>
    <row r="484">
      <c r="A484" t="inlineStr">
        <is>
          <t>Boss-Only Total DPS (this block's swept value)</t>
        </is>
      </c>
      <c r="B484">
        <f>SUM(T453:T473)</f>
        <v/>
      </c>
    </row>
    <row r="485">
      <c r="A485" t="inlineStr">
        <is>
          <t>Normal-Only Total DPS (this block's swept value)</t>
        </is>
      </c>
      <c r="B485">
        <f>SUM(V453:V473)</f>
        <v/>
      </c>
    </row>
    <row r="486">
      <c r="A486" s="5" t="inlineStr">
        <is>
          <t>TOTAL DPS</t>
        </is>
      </c>
      <c r="B486" s="5">
        <f>SUM(O453:O473)</f>
        <v/>
      </c>
    </row>
    <row r="489">
      <c r="A489" s="5" t="inlineStr">
        <is>
          <t>Stat: ATTACK_SPEED % (diminishing returns, factor 150)</t>
        </is>
      </c>
    </row>
    <row r="490">
      <c r="A490" s="9" t="inlineStr">
        <is>
          <t>Key</t>
        </is>
      </c>
      <c r="B490" s="9" t="inlineStr">
        <is>
          <t>Name</t>
        </is>
      </c>
      <c r="C490" s="9" t="inlineStr">
        <is>
          <t>Unlocked</t>
        </is>
      </c>
      <c r="D490" s="9" t="inlineStr">
        <is>
          <t>InputLevel</t>
        </is>
      </c>
      <c r="E490" s="9" t="inlineStr">
        <is>
          <t>Factor</t>
        </is>
      </c>
      <c r="F490" s="9" t="inlineStr">
        <is>
          <t>CoefficientPercent</t>
        </is>
      </c>
      <c r="G490" s="9" t="inlineStr">
        <is>
          <t>EffectiveHits</t>
        </is>
      </c>
      <c r="H490" s="9" t="inlineStr">
        <is>
          <t>ProcProbability</t>
        </is>
      </c>
      <c r="I490" s="9" t="inlineStr">
        <is>
          <t>MapleHeroMultiplier</t>
        </is>
      </c>
      <c r="J490" s="9" t="inlineStr">
        <is>
          <t>BaseDamage</t>
        </is>
      </c>
      <c r="K490" s="9" t="inlineStr">
        <is>
          <t>BaseHitDamage</t>
        </is>
      </c>
      <c r="L490" s="9" t="inlineStr">
        <is>
          <t>NonCritAvg</t>
        </is>
      </c>
      <c r="M490" s="9" t="inlineStr">
        <is>
          <t>CritAvg</t>
        </is>
      </c>
      <c r="N490" s="9" t="inlineStr">
        <is>
          <t>ExpectedDamage(perHit)</t>
        </is>
      </c>
      <c r="O490" s="9" t="inlineStr">
        <is>
          <t>DPS</t>
        </is>
      </c>
      <c r="P490" s="9" t="inlineStr">
        <is>
          <t>% of Total</t>
        </is>
      </c>
      <c r="Q490" s="9" t="inlineStr">
        <is>
          <t>InvCooldown</t>
        </is>
      </c>
      <c r="R490" s="9" t="inlineStr">
        <is>
          <t>CastsInFight</t>
        </is>
      </c>
      <c r="S490" s="9" t="inlineStr">
        <is>
          <t>HitRate(perSec)</t>
        </is>
      </c>
      <c r="U490" t="inlineStr">
        <is>
          <t>helpers</t>
        </is>
      </c>
    </row>
    <row r="491">
      <c r="A491">
        <f>Skills!A2</f>
        <v/>
      </c>
      <c r="B491">
        <f>Skills!B2</f>
        <v/>
      </c>
      <c r="C491">
        <f>Inputs!$B$3&gt;=100</f>
        <v/>
      </c>
      <c r="D491" t="inlineStr"/>
      <c r="E491" t="inlineStr"/>
      <c r="F491">
        <f>U493+Skills!O2</f>
        <v/>
      </c>
      <c r="G491">
        <f>Skills!G2*IF(Skills!H2&gt;0,Skills!I2/Skills!H2,1)</f>
        <v/>
      </c>
      <c r="H491">
        <f>1-(1-Skills!J2/100)^Skills!K2</f>
        <v/>
      </c>
      <c r="I491" t="inlineStr">
        <is>
          <t>1</t>
        </is>
      </c>
      <c r="J491">
        <f>((Inputs!$B$6*(1+Inputs!$B$7/100))+(((Inputs!$B$12*(1+Inputs!$B$13/100))-(Inputs!$B$12*(1+Inputs!$B$13/100)))+0.25*(Inputs!$B$14-Inputs!$B$14))*(1+Inputs!$B$7/100))*(F491/100)</f>
        <v/>
      </c>
      <c r="K491">
        <f>J491*(1+((Inputs!$B$12*(1+Inputs!$B$13/100))*0.01+Inputs!$B$14*0.0025)/100)*(1+Inputs!$B$15/100)*(1+Inputs!$B$16/100)*(5000/(6000+Inputs!$B$42*(1-(Inputs!$B$19+0)/100)))*(1+(Inputs!$B$24+((C511=TRUE)*(F511-Calc!F22))+B520)/100)*(1+(IF(Skills!A2="HOOK_BOMBER",Inputs!$B$17+((C510=TRUE)*(F510-Calc!F21)),Inputs!$B$18+0))/100)*((1+(((C502=TRUE)*F502)+((C508=TRUE)*(F508-Calc!F19)))/100)*I491)</f>
        <v/>
      </c>
      <c r="L491">
        <f>K491*(MIN(Inputs!$B$22+((C509=TRUE)*(F509-Calc!F20)),Inputs!$B$23+0)/100+(Inputs!$B$23+0)/100)/2</f>
        <v/>
      </c>
      <c r="M491">
        <f>L491*(1+(Inputs!$B$10+0+B519)/100)</f>
        <v/>
      </c>
      <c r="N491">
        <f>L491*(1-MIN((Inputs!$B$9+((C505=TRUE)*(F505-Calc!F16))+B514),100)/100)+M491*(MIN((Inputs!$B$9+((C505=TRUE)*(F505-Calc!F16))+B514),100)/100)</f>
        <v/>
      </c>
      <c r="O491">
        <f>(1-Summary!$B$55)*T491+Summary!$B$55*V491</f>
        <v/>
      </c>
      <c r="P491">
        <f>IF(B524=0,0,O491/B524)</f>
        <v/>
      </c>
      <c r="Q491" t="n">
        <v>0</v>
      </c>
      <c r="R491" t="n">
        <v>0</v>
      </c>
      <c r="S491">
        <f>IFERROR(O491/N491,0)</f>
        <v/>
      </c>
      <c r="T491">
        <f>IF(C491,(Skills!G2*N491*B518)*IF(Inputs!$B$38="pvp",1,1+(Inputs!$B$20+0+Skills!P2)/100),0)</f>
        <v/>
      </c>
      <c r="U491">
        <f>MAX(0,(Inputs!$B$3-100)*3)+Inputs!$B$28+Inputs!$B$29</f>
        <v/>
      </c>
      <c r="V491">
        <f>IF(C491,(Skills!G2*N491*B518)*IF(Inputs!$B$38="pvp",1,(1+(Inputs!$B$21+Skills!Q2)/100)*(MIN((6+Inputs!$B$33),Inputs!$B$37))),0)</f>
        <v/>
      </c>
    </row>
    <row r="492">
      <c r="A492">
        <f>Skills!A3</f>
        <v/>
      </c>
      <c r="B492">
        <f>Skills!B3</f>
        <v/>
      </c>
      <c r="C492">
        <f>Inputs!$B$3&gt;=35</f>
        <v/>
      </c>
      <c r="D492">
        <f>IF(Skills!C3=1,60+Inputs!$B$25+Inputs!$B$29,IF(Skills!C3=2,90+Inputs!$B$26+Inputs!$B$29,IF(Skills!C3=3,120+Inputs!$B$27+Inputs!$B$29,MAX(0,(Inputs!$B$3-100)*3)+Inputs!$B$28+Inputs!$B$29)))</f>
        <v/>
      </c>
      <c r="E492">
        <f>INDEX(FactorTable!$B$2:$Y$301, MATCH(ROUND(MIN(300,MAX(1,D492)),0), FactorTable!$A$2:$A$301,0), Skills!M3+1)</f>
        <v/>
      </c>
      <c r="F492">
        <f>IF(Skills!N3=TRUE,(Skills!L3/10)*(E492/1000),Skills!L3/10)+Skills!O3</f>
        <v/>
      </c>
      <c r="G492">
        <f>Skills!G3*IF(Skills!H3&gt;0,Skills!I3/Skills!H3,1)</f>
        <v/>
      </c>
      <c r="H492">
        <f>1-(1-Skills!J3/100)^Skills!K3</f>
        <v/>
      </c>
      <c r="I492" t="inlineStr">
        <is>
          <t>1</t>
        </is>
      </c>
      <c r="J492">
        <f>((Inputs!$B$6*(1+Inputs!$B$7/100))+(((Inputs!$B$12*(1+Inputs!$B$13/100))-(Inputs!$B$12*(1+Inputs!$B$13/100)))+0.25*(Inputs!$B$14-Inputs!$B$14))*(1+Inputs!$B$7/100))*(F492/100)</f>
        <v/>
      </c>
      <c r="K492">
        <f>J492*(1+((Inputs!$B$12*(1+Inputs!$B$13/100))*0.01+Inputs!$B$14*0.0025)/100)*(1+Inputs!$B$15/100)*(1+Inputs!$B$16/100)*(5000/(6000+Inputs!$B$42*(1-(Inputs!$B$19+0)/100)))*(1+(Inputs!$B$24+((C511=TRUE)*(F511-Calc!F22))+B520)/100)*(1+(IF(Skills!A3="HOOK_BOMBER",Inputs!$B$17+((C510=TRUE)*(F510-Calc!F21)),Inputs!$B$18+0))/100)*((1+(((C502=TRUE)*F502)+((C508=TRUE)*(F508-Calc!F19)))/100)*I492)</f>
        <v/>
      </c>
      <c r="L492">
        <f>K492*(MIN(Inputs!$B$22+((C509=TRUE)*(F509-Calc!F20)),Inputs!$B$23+0)/100+(Inputs!$B$23+0)/100)/2</f>
        <v/>
      </c>
      <c r="M492">
        <f>L492*(1+(Inputs!$B$10+0+B519)/100)</f>
        <v/>
      </c>
      <c r="N492">
        <f>L492*(1-MIN((Inputs!$B$9+((C505=TRUE)*(F505-Calc!F16))+B514),100)/100)+M492*(MIN((Inputs!$B$9+((C505=TRUE)*(F505-Calc!F16))+B514),100)/100)</f>
        <v/>
      </c>
      <c r="O492">
        <f>(1-Summary!$B$55)*T492+Summary!$B$55*V492</f>
        <v/>
      </c>
      <c r="P492">
        <f>IF(B524=0,0,O492/B524)</f>
        <v/>
      </c>
      <c r="Q492" t="n">
        <v>0</v>
      </c>
      <c r="R492" t="n">
        <v>0</v>
      </c>
      <c r="S492">
        <f>IFERROR(O492/N492,0)</f>
        <v/>
      </c>
      <c r="T492">
        <f>IF(C492,(Skills!G3*H492*N492*B518)*IF(Inputs!$B$38="pvp",1,1+(Inputs!$B$20+0+Skills!P3)/100),0)</f>
        <v/>
      </c>
      <c r="U492">
        <f>INDEX(FactorTable!$B$2:$Y$301, MATCH(ROUND(MIN(300,MAX(1,U491)),0), FactorTable!$A$2:$A$301,0), 22)</f>
        <v/>
      </c>
      <c r="V492">
        <f>IF(C492,(Skills!G3*H492*N492*B518)*IF(Inputs!$B$38="pvp",1,(1+(Inputs!$B$21+Skills!Q3)/100)*(MIN(Skills!R3,Inputs!$B$37))),0)</f>
        <v/>
      </c>
    </row>
    <row r="493">
      <c r="A493">
        <f>Skills!A4</f>
        <v/>
      </c>
      <c r="B493">
        <f>Skills!B4</f>
        <v/>
      </c>
      <c r="C493">
        <f>Inputs!$B$3&gt;=60</f>
        <v/>
      </c>
      <c r="D493">
        <f>IF(Skills!C4=1,60+Inputs!$B$25+Inputs!$B$29,IF(Skills!C4=2,90+Inputs!$B$26+Inputs!$B$29,IF(Skills!C4=3,120+Inputs!$B$27+Inputs!$B$29,MAX(0,(Inputs!$B$3-100)*3)+Inputs!$B$28+Inputs!$B$29)))</f>
        <v/>
      </c>
      <c r="E493">
        <f>INDEX(FactorTable!$B$2:$Y$301, MATCH(ROUND(MIN(300,MAX(1,D493)),0), FactorTable!$A$2:$A$301,0), Skills!M4+1)</f>
        <v/>
      </c>
      <c r="F493">
        <f>IF(Skills!N4=TRUE,(Skills!L4/10)*(E493/1000),Skills!L4/10)+Skills!O4</f>
        <v/>
      </c>
      <c r="G493">
        <f>Skills!G4*IF(Skills!H4&gt;0,Skills!I4/Skills!H4,1)</f>
        <v/>
      </c>
      <c r="H493">
        <f>1-(1-Skills!J4/100)^Skills!K4</f>
        <v/>
      </c>
      <c r="I493" t="inlineStr">
        <is>
          <t>1</t>
        </is>
      </c>
      <c r="J493">
        <f>((Inputs!$B$6*(1+Inputs!$B$7/100))+(((Inputs!$B$12*(1+Inputs!$B$13/100))-(Inputs!$B$12*(1+Inputs!$B$13/100)))+0.25*(Inputs!$B$14-Inputs!$B$14))*(1+Inputs!$B$7/100))*(F493/100)</f>
        <v/>
      </c>
      <c r="K493">
        <f>J493*(1+((Inputs!$B$12*(1+Inputs!$B$13/100))*0.01+Inputs!$B$14*0.0025)/100)*(1+Inputs!$B$15/100)*(1+Inputs!$B$16/100)*(5000/(6000+Inputs!$B$42*(1-(Inputs!$B$19+0)/100)))*(1+(Inputs!$B$24+((C511=TRUE)*(F511-Calc!F22))+B520)/100)*(1+1.0*IF(C501=TRUE,F501,0)/100)*(1+(IF(Skills!A4="HOOK_BOMBER",Inputs!$B$17+((C510=TRUE)*(F510-Calc!F21)),Inputs!$B$18+0))/100)*((1+(((C502=TRUE)*F502)+((C508=TRUE)*(F508-Calc!F19)))/100)*I493)</f>
        <v/>
      </c>
      <c r="L493">
        <f>K493*(MIN(Inputs!$B$22+((C509=TRUE)*(F509-Calc!F20)),Inputs!$B$23+0)/100+(Inputs!$B$23+0)/100)/2</f>
        <v/>
      </c>
      <c r="M493">
        <f>L493*(1+(Inputs!$B$10+0+B519)/100)</f>
        <v/>
      </c>
      <c r="N493">
        <f>L493*(1-MIN((Inputs!$B$9+((C505=TRUE)*(F505-Calc!F16))+B514),100)/100)+M493*(MIN((Inputs!$B$9+((C505=TRUE)*(F505-Calc!F16))+B514),100)/100)</f>
        <v/>
      </c>
      <c r="O493">
        <f>(1-Summary!$B$55)*T493+Summary!$B$55*V493</f>
        <v/>
      </c>
      <c r="P493">
        <f>IF(B524=0,0,O493/B524)</f>
        <v/>
      </c>
      <c r="Q493" t="n">
        <v>0</v>
      </c>
      <c r="R493" t="n">
        <v>0</v>
      </c>
      <c r="S493">
        <f>IFERROR(O493/N493,0)</f>
        <v/>
      </c>
      <c r="T493">
        <f>IF(C493,(Skills!G4*H493*N493*B518)*IF(Inputs!$B$38="pvp",1,1+(Inputs!$B$20+0+Skills!P4)/100),0)</f>
        <v/>
      </c>
      <c r="U493">
        <f>290*U492/1000</f>
        <v/>
      </c>
      <c r="V493">
        <f>IF(C493,(Skills!G4*H493*N493*B518)*IF(Inputs!$B$38="pvp",1,(1+(Inputs!$B$21+Skills!Q4)/100)*(MIN(Skills!R4,Inputs!$B$37))),0)</f>
        <v/>
      </c>
    </row>
    <row r="494">
      <c r="A494">
        <f>Skills!A5</f>
        <v/>
      </c>
      <c r="B494">
        <f>Skills!B5</f>
        <v/>
      </c>
      <c r="C494">
        <f>Inputs!$B$3&gt;=60</f>
        <v/>
      </c>
      <c r="D494">
        <f>IF(Skills!C5=1,60+Inputs!$B$25+Inputs!$B$29,IF(Skills!C5=2,90+Inputs!$B$26+Inputs!$B$29,IF(Skills!C5=3,120+Inputs!$B$27+Inputs!$B$29,MAX(0,(Inputs!$B$3-100)*3)+Inputs!$B$28+Inputs!$B$29)))</f>
        <v/>
      </c>
      <c r="E494">
        <f>INDEX(FactorTable!$B$2:$Y$301, MATCH(ROUND(MIN(300,MAX(1,D494)),0), FactorTable!$A$2:$A$301,0), Skills!M5+1)</f>
        <v/>
      </c>
      <c r="F494">
        <f>IF(Skills!N5=TRUE,(Skills!L5/10)*(E494/1000),Skills!L5/10)+Skills!O5</f>
        <v/>
      </c>
      <c r="G494">
        <f>Skills!G5*IF(Skills!H5&gt;0,Skills!I5/Skills!H5,1)</f>
        <v/>
      </c>
      <c r="H494">
        <f>1-(1-Skills!J5/100)^Skills!K5</f>
        <v/>
      </c>
      <c r="I494" t="inlineStr">
        <is>
          <t>1</t>
        </is>
      </c>
      <c r="J494" t="inlineStr"/>
      <c r="K494" t="inlineStr"/>
      <c r="L494" t="inlineStr"/>
      <c r="M494" t="inlineStr"/>
      <c r="N494" t="inlineStr"/>
      <c r="O494">
        <f>(1-Summary!$B$55)*T494+Summary!$B$55*V494</f>
        <v/>
      </c>
      <c r="P494">
        <f>IF(B524=0,0,O494/B524)</f>
        <v/>
      </c>
      <c r="Q494" t="n">
        <v>0</v>
      </c>
      <c r="R494" t="n">
        <v>0</v>
      </c>
      <c r="S494">
        <f>IFERROR(O494/N494,0)</f>
        <v/>
      </c>
      <c r="T494" t="n">
        <v>0</v>
      </c>
      <c r="V494" t="n">
        <v>0</v>
      </c>
    </row>
    <row r="495">
      <c r="A495">
        <f>Skills!A6</f>
        <v/>
      </c>
      <c r="B495">
        <f>Skills!B6</f>
        <v/>
      </c>
      <c r="C495">
        <f>Inputs!$B$3&gt;=63</f>
        <v/>
      </c>
      <c r="D495">
        <f>IF(Skills!C6=1,60+Inputs!$B$25+Inputs!$B$29,IF(Skills!C6=2,90+Inputs!$B$26+Inputs!$B$29,IF(Skills!C6=3,120+Inputs!$B$27+Inputs!$B$29,MAX(0,(Inputs!$B$3-100)*3)+Inputs!$B$28+Inputs!$B$29)))</f>
        <v/>
      </c>
      <c r="E495">
        <f>INDEX(FactorTable!$B$2:$Y$301, MATCH(ROUND(MIN(300,MAX(1,D495)),0), FactorTable!$A$2:$A$301,0), Skills!M6+1)</f>
        <v/>
      </c>
      <c r="F495">
        <f>IF(Skills!N6=TRUE,(Skills!L6/10)*(E495/1000),Skills!L6/10)+Skills!O6</f>
        <v/>
      </c>
      <c r="G495">
        <f>Skills!G6*IF(Skills!H6&gt;0,Skills!I6/Skills!H6,1)</f>
        <v/>
      </c>
      <c r="H495">
        <f>1-(1-Skills!J6/100)^Skills!K6</f>
        <v/>
      </c>
      <c r="I495" t="inlineStr">
        <is>
          <t>1</t>
        </is>
      </c>
      <c r="J495">
        <f>((Inputs!$B$6*(1+Inputs!$B$7/100))+(((Inputs!$B$12*(1+Inputs!$B$13/100))-(Inputs!$B$12*(1+Inputs!$B$13/100)))+0.25*(Inputs!$B$14-Inputs!$B$14))*(1+Inputs!$B$7/100))*(F495/100)</f>
        <v/>
      </c>
      <c r="K495">
        <f>J495*(1+((Inputs!$B$12*(1+Inputs!$B$13/100))*0.01+Inputs!$B$14*0.0025)/100)*(1+Inputs!$B$15/100)*(1+Inputs!$B$16/100)*(5000/(6000+Inputs!$B$42*(1-(Inputs!$B$19+0)/100)))*(1+(Inputs!$B$24+((C511=TRUE)*(F511-Calc!F22))+B520)/100)*(1+(IF(Skills!A6="HOOK_BOMBER",Inputs!$B$17+((C510=TRUE)*(F510-Calc!F21)),Inputs!$B$18+0))/100)*((1+(((C502=TRUE)*F502)+((C508=TRUE)*(F508-Calc!F19)))/100)*I495)</f>
        <v/>
      </c>
      <c r="L495">
        <f>K495*(MIN(Inputs!$B$22+((C509=TRUE)*(F509-Calc!F20)),Inputs!$B$23+0)/100+(Inputs!$B$23+0)/100)/2</f>
        <v/>
      </c>
      <c r="M495">
        <f>L495*(1+(Inputs!$B$10+0+B519)/100)</f>
        <v/>
      </c>
      <c r="N495">
        <f>L495*(1-MIN((Inputs!$B$9+((C505=TRUE)*(F505-Calc!F16))+B514),100)/100)+M495*(MIN((Inputs!$B$9+((C505=TRUE)*(F505-Calc!F16))+B514),100)/100)</f>
        <v/>
      </c>
      <c r="O495">
        <f>(1-Summary!$B$55)*T495+Summary!$B$55*V495</f>
        <v/>
      </c>
      <c r="P495">
        <f>IF(B524=0,0,O495/B524)</f>
        <v/>
      </c>
      <c r="Q495">
        <f>IFERROR(1/IF(Inputs!$B$38="pvp",15,MAX(0.1,Skills!D6-IF(Skills!E6=TRUE,Inputs!$B$32,0))),0)</f>
        <v/>
      </c>
      <c r="R495">
        <f>IF(AND(Inputs!$B$38&lt;&gt;"pvp",Inputs!$B$43&gt;0),IF(MAX(0,Inputs!$B$43-B521)&lt;=0,0,(INT(MAX(0,Inputs!$B$43-B521)/IF(Inputs!$B$38="pvp",15,MAX(0.1,Skills!D6-IF(Skills!E6=TRUE,Inputs!$B$32,0))))+1)),0)</f>
        <v/>
      </c>
      <c r="S495">
        <f>IFERROR(O495/N495,0)</f>
        <v/>
      </c>
      <c r="T495">
        <f>IF(C495,(H495*N495*IF(AND(Inputs!$B$38&lt;&gt;"pvp",Inputs!$B$43&gt;0),((Skills!G6*((R495-1)*IF(Skills!H6&gt;0,Skills!I6/Skills!H6,1)+IF(Skills!H6&gt;0,MIN(Skills!I6,MAX(0,MAX(0,Inputs!$B$43-B521)-((R495-1)*IF(Inputs!$B$38="pvp",15,MAX(0.1,Skills!D6-IF(Skills!E6=TRUE,Inputs!$B$32,0))))))/Skills!H6,1)))/Inputs!$B$43),G495*Q495))*IF(Inputs!$B$38="pvp",1,1+(Inputs!$B$20+0+Skills!P6)/100),0)</f>
        <v/>
      </c>
      <c r="V495">
        <f>IF(C495,(H495*N495*IF(AND(Inputs!$B$38&lt;&gt;"pvp",Inputs!$B$43&gt;0),((Skills!G6*((R495-1)*IF(Skills!H6&gt;0,Skills!I6/Skills!H6,1)+IF(Skills!H6&gt;0,MIN(Skills!I6,MAX(0,MAX(0,Inputs!$B$43-B521)-((R495-1)*IF(Inputs!$B$38="pvp",15,MAX(0.1,Skills!D6-IF(Skills!E6=TRUE,Inputs!$B$32,0))))))/Skills!H6,1)))/Inputs!$B$43),G495*Q495))*IF(Inputs!$B$38="pvp",1,(1+(Inputs!$B$21+Skills!Q6)/100)*(MIN(Skills!R6,Inputs!$B$37))),0)</f>
        <v/>
      </c>
    </row>
    <row r="496">
      <c r="A496">
        <f>Skills!A7</f>
        <v/>
      </c>
      <c r="B496">
        <f>Skills!B7</f>
        <v/>
      </c>
      <c r="C496">
        <f>Inputs!$B$3&gt;=100</f>
        <v/>
      </c>
      <c r="D496">
        <f>IF(Skills!C7=1,60+Inputs!$B$25+Inputs!$B$29,IF(Skills!C7=2,90+Inputs!$B$26+Inputs!$B$29,IF(Skills!C7=3,120+Inputs!$B$27+Inputs!$B$29,MAX(0,(Inputs!$B$3-100)*3)+Inputs!$B$28+Inputs!$B$29)))</f>
        <v/>
      </c>
      <c r="E496">
        <f>INDEX(FactorTable!$B$2:$Y$301, MATCH(ROUND(MIN(300,MAX(1,D496)),0), FactorTable!$A$2:$A$301,0), Skills!M7+1)</f>
        <v/>
      </c>
      <c r="F496">
        <f>IF(Skills!N7=TRUE,(Skills!L7/10)*(E496/1000),Skills!L7/10)+Skills!O7</f>
        <v/>
      </c>
      <c r="G496">
        <f>Skills!G7*IF(Skills!H7&gt;0,Skills!I7/Skills!H7,1)</f>
        <v/>
      </c>
      <c r="H496">
        <f>1-(1-Skills!J7/100)^Skills!K7</f>
        <v/>
      </c>
      <c r="I496" t="inlineStr">
        <is>
          <t>1</t>
        </is>
      </c>
      <c r="J496">
        <f>((Inputs!$B$6*(1+Inputs!$B$7/100))+(((Inputs!$B$12*(1+Inputs!$B$13/100))-(Inputs!$B$12*(1+Inputs!$B$13/100)))+0.25*(Inputs!$B$14-Inputs!$B$14))*(1+Inputs!$B$7/100))*(F496/100)</f>
        <v/>
      </c>
      <c r="K496">
        <f>J496*(1+((Inputs!$B$12*(1+Inputs!$B$13/100))*0.01+Inputs!$B$14*0.0025)/100)*(1+Inputs!$B$15/100)*(1+Inputs!$B$16/100)*(5000/(6000+Inputs!$B$42*(1-(Inputs!$B$19+0)/100)))*(1+(Inputs!$B$24+((C511=TRUE)*(F511-Calc!F22))+B520)/100)*(1+(IF(Skills!A7="HOOK_BOMBER",Inputs!$B$17+((C510=TRUE)*(F510-Calc!F21)),Inputs!$B$18+0))/100)*((1+(((C502=TRUE)*F502)+((C508=TRUE)*(F508-Calc!F19)))/100)*I496)</f>
        <v/>
      </c>
      <c r="L496">
        <f>K496*(MIN(Inputs!$B$22+((C509=TRUE)*(F509-Calc!F20)),Inputs!$B$23+0)/100+(Inputs!$B$23+0)/100)/2</f>
        <v/>
      </c>
      <c r="M496">
        <f>L496*(1+(Inputs!$B$10+0+B519)/100)</f>
        <v/>
      </c>
      <c r="N496">
        <f>L496*(1-MIN((Inputs!$B$9+((C505=TRUE)*(F505-Calc!F16))+B514),100)/100)+M496*(MIN((Inputs!$B$9+((C505=TRUE)*(F505-Calc!F16))+B514),100)/100)</f>
        <v/>
      </c>
      <c r="O496">
        <f>(1-Summary!$B$55)*T496+Summary!$B$55*V496</f>
        <v/>
      </c>
      <c r="P496">
        <f>IF(B524=0,0,O496/B524)</f>
        <v/>
      </c>
      <c r="Q496">
        <f>IFERROR(1/IF(Inputs!$B$38="pvp",15,MAX(0.1,Skills!D7-IF(Skills!E7=TRUE,Inputs!$B$32,0))),0)</f>
        <v/>
      </c>
      <c r="R496">
        <f>IF(AND(Inputs!$B$38&lt;&gt;"pvp",Inputs!$B$43&gt;0),IF(MAX(0,Inputs!$B$43-B521)&lt;=0,0,(INT(MAX(0,Inputs!$B$43-B521)/IF(Inputs!$B$38="pvp",15,MAX(0.1,Skills!D7-IF(Skills!E7=TRUE,Inputs!$B$32,0))))+1)),0)</f>
        <v/>
      </c>
      <c r="S496">
        <f>IFERROR(O496/N496,0)</f>
        <v/>
      </c>
      <c r="T496">
        <f>IF(C496,(H496*N496*IF(AND(Inputs!$B$38&lt;&gt;"pvp",Inputs!$B$43&gt;0),((Skills!G7*((R496-1)*IF(Skills!H7&gt;0,Skills!I7/Skills!H7,1)+IF(Skills!H7&gt;0,MIN(Skills!I7,MAX(0,MAX(0,Inputs!$B$43-B521)-((R496-1)*IF(Inputs!$B$38="pvp",15,MAX(0.1,Skills!D7-IF(Skills!E7=TRUE,Inputs!$B$32,0))))))/Skills!H7,1)))/Inputs!$B$43),G496*Q496))*IF(Inputs!$B$38="pvp",1,1+(Inputs!$B$20+0+Skills!P7)/100),0)</f>
        <v/>
      </c>
      <c r="V496">
        <f>IF(C496,(H496*N496*IF(AND(Inputs!$B$38&lt;&gt;"pvp",Inputs!$B$43&gt;0),((Skills!G7*((R496-1)*IF(Skills!H7&gt;0,Skills!I7/Skills!H7,1)+IF(Skills!H7&gt;0,MIN(Skills!I7,MAX(0,MAX(0,Inputs!$B$43-B521)-((R496-1)*IF(Inputs!$B$38="pvp",15,MAX(0.1,Skills!D7-IF(Skills!E7=TRUE,Inputs!$B$32,0))))))/Skills!H7,1)))/Inputs!$B$43),G496*Q496))*IF(Inputs!$B$38="pvp",1,(1+(Inputs!$B$21+Skills!Q7)/100)*(MIN(Skills!R7,Inputs!$B$37))),0)</f>
        <v/>
      </c>
    </row>
    <row r="497">
      <c r="A497">
        <f>Skills!A8</f>
        <v/>
      </c>
      <c r="B497">
        <f>Skills!B8</f>
        <v/>
      </c>
      <c r="C497">
        <f>Inputs!$B$3&gt;=110</f>
        <v/>
      </c>
      <c r="D497">
        <f>IF(Skills!C8=1,60+Inputs!$B$25+Inputs!$B$29,IF(Skills!C8=2,90+Inputs!$B$26+Inputs!$B$29,IF(Skills!C8=3,120+Inputs!$B$27+Inputs!$B$29,MAX(0,(Inputs!$B$3-100)*3)+Inputs!$B$28+Inputs!$B$29)))</f>
        <v/>
      </c>
      <c r="E497">
        <f>INDEX(FactorTable!$B$2:$Y$301, MATCH(ROUND(MIN(300,MAX(1,D497)),0), FactorTable!$A$2:$A$301,0), Skills!M8+1)</f>
        <v/>
      </c>
      <c r="F497">
        <f>IF(Skills!N8=TRUE,(Skills!L8/10)*(E497/1000),Skills!L8/10)+Skills!O8</f>
        <v/>
      </c>
      <c r="G497">
        <f>Skills!G8*IF(Skills!H8&gt;0,Skills!I8/Skills!H8,1)</f>
        <v/>
      </c>
      <c r="H497">
        <f>1-(1-Skills!J8/100)^Skills!K8</f>
        <v/>
      </c>
      <c r="I497" t="inlineStr">
        <is>
          <t>1</t>
        </is>
      </c>
      <c r="J497">
        <f>((Inputs!$B$6*(1+Inputs!$B$7/100))+(((Inputs!$B$12*(1+Inputs!$B$13/100))-(Inputs!$B$12*(1+Inputs!$B$13/100)))+0.25*(Inputs!$B$14-Inputs!$B$14))*(1+Inputs!$B$7/100))*(F497/100)</f>
        <v/>
      </c>
      <c r="K497">
        <f>J497*(1+((Inputs!$B$12*(1+Inputs!$B$13/100))*0.01+Inputs!$B$14*0.0025)/100)*(1+Inputs!$B$15/100)*(1+Inputs!$B$16/100)*(5000/(6000+Inputs!$B$42*(1-(Inputs!$B$19+0)/100)))*(1+(Inputs!$B$24+((C511=TRUE)*(F511-Calc!F22))+B520)/100)*(1+(IF(Skills!A8="HOOK_BOMBER",Inputs!$B$17+((C510=TRUE)*(F510-Calc!F21)),Inputs!$B$18+0))/100)*((1+(((C502=TRUE)*F502)+((C508=TRUE)*(F508-Calc!F19)))/100)*I497)</f>
        <v/>
      </c>
      <c r="L497">
        <f>K497*(MIN(Inputs!$B$22+((C509=TRUE)*(F509-Calc!F20)),Inputs!$B$23+0)/100+(Inputs!$B$23+0)/100)/2</f>
        <v/>
      </c>
      <c r="M497">
        <f>L497*(1+(Inputs!$B$10+0+B519)/100)</f>
        <v/>
      </c>
      <c r="N497">
        <f>L497*(1-MIN((Inputs!$B$9+((C505=TRUE)*(F505-Calc!F16))+B514),100)/100)+M497*(MIN((Inputs!$B$9+((C505=TRUE)*(F505-Calc!F16))+B514),100)/100)</f>
        <v/>
      </c>
      <c r="O497">
        <f>(1-Summary!$B$55)*T497+Summary!$B$55*V497</f>
        <v/>
      </c>
      <c r="P497">
        <f>IF(B524=0,0,O497/B524)</f>
        <v/>
      </c>
      <c r="Q497">
        <f>IFERROR(1/IF(Inputs!$B$38="pvp",15,MAX(0.1,Skills!D8-IF(Skills!E8=TRUE,Inputs!$B$32,0))),0)</f>
        <v/>
      </c>
      <c r="R497">
        <f>IF(AND(Inputs!$B$38&lt;&gt;"pvp",Inputs!$B$43&gt;0),IF(MAX(0,Inputs!$B$43-B521)&lt;=0,0,(INT(MAX(0,Inputs!$B$43-B521)/IF(Inputs!$B$38="pvp",15,MAX(0.1,Skills!D8-IF(Skills!E8=TRUE,Inputs!$B$32,0))))+1)),0)</f>
        <v/>
      </c>
      <c r="S497">
        <f>IFERROR(O497/N497,0)</f>
        <v/>
      </c>
      <c r="T497">
        <f>IF(C497,(H497*N497*IF(AND(Inputs!$B$38&lt;&gt;"pvp",Inputs!$B$43&gt;0),((Skills!G8*((R497-1)*IF(Skills!H8&gt;0,Skills!I8/Skills!H8,1)+IF(Skills!H8&gt;0,MIN(Skills!I8,MAX(0,MAX(0,Inputs!$B$43-B521)-((R497-1)*IF(Inputs!$B$38="pvp",15,MAX(0.1,Skills!D8-IF(Skills!E8=TRUE,Inputs!$B$32,0))))))/Skills!H8,1)))/Inputs!$B$43),G497*Q497))*IF(Inputs!$B$38="pvp",1,1+(Inputs!$B$20+0+Skills!P8)/100),0)</f>
        <v/>
      </c>
      <c r="V497">
        <f>IF(C497,(H497*N497*IF(AND(Inputs!$B$38&lt;&gt;"pvp",Inputs!$B$43&gt;0),((Skills!G8*((R497-1)*IF(Skills!H8&gt;0,Skills!I8/Skills!H8,1)+IF(Skills!H8&gt;0,MIN(Skills!I8,MAX(0,MAX(0,Inputs!$B$43-B521)-((R497-1)*IF(Inputs!$B$38="pvp",15,MAX(0.1,Skills!D8-IF(Skills!E8=TRUE,Inputs!$B$32,0))))))/Skills!H8,1)))/Inputs!$B$43),G497*Q497))*IF(Inputs!$B$38="pvp",1,(1+(Inputs!$B$21+Skills!Q8)/100)*(MIN(Skills!R8,Inputs!$B$37))),0)</f>
        <v/>
      </c>
    </row>
    <row r="498">
      <c r="A498">
        <f>Skills!A9</f>
        <v/>
      </c>
      <c r="B498">
        <f>Skills!B9</f>
        <v/>
      </c>
      <c r="C498">
        <f>Inputs!$B$3&gt;=110</f>
        <v/>
      </c>
      <c r="D498">
        <f>IF(Skills!C9=1,60+Inputs!$B$25+Inputs!$B$29,IF(Skills!C9=2,90+Inputs!$B$26+Inputs!$B$29,IF(Skills!C9=3,120+Inputs!$B$27+Inputs!$B$29,MAX(0,(Inputs!$B$3-100)*3)+Inputs!$B$28+Inputs!$B$29)))</f>
        <v/>
      </c>
      <c r="E498">
        <f>INDEX(FactorTable!$B$2:$Y$301, MATCH(ROUND(MIN(300,MAX(1,D498)),0), FactorTable!$A$2:$A$301,0), Skills!M9+1)</f>
        <v/>
      </c>
      <c r="F498">
        <f>IF(Skills!N9=TRUE,(Skills!L9/10)*(E498/1000),Skills!L9/10)+Skills!O9</f>
        <v/>
      </c>
      <c r="G498">
        <f>Skills!G9*IF(Skills!H9&gt;0,Skills!I9/Skills!H9,1)</f>
        <v/>
      </c>
      <c r="H498">
        <f>1-(1-Skills!J9/100)^Skills!K9</f>
        <v/>
      </c>
      <c r="I498" t="inlineStr">
        <is>
          <t>1</t>
        </is>
      </c>
      <c r="J498">
        <f>((Inputs!$B$6*(1+Inputs!$B$7/100))+(((Inputs!$B$12*(1+Inputs!$B$13/100))-(Inputs!$B$12*(1+Inputs!$B$13/100)))+0.25*(Inputs!$B$14-Inputs!$B$14))*(1+Inputs!$B$7/100))*(F498/100)</f>
        <v/>
      </c>
      <c r="K498">
        <f>J498*(1+((Inputs!$B$12*(1+Inputs!$B$13/100))*0.01+Inputs!$B$14*0.0025)/100)*(1+Inputs!$B$15/100)*(1+Inputs!$B$16/100)*(5000/(6000+Inputs!$B$42*(1-(Inputs!$B$19+0)/100)))*(1+(Inputs!$B$24+((C511=TRUE)*(F511-Calc!F22))+B520)/100)*(1+(IF(Skills!A9="HOOK_BOMBER",Inputs!$B$17+((C510=TRUE)*(F510-Calc!F21)),Inputs!$B$18+0))/100)*((1+(((C502=TRUE)*F502)+((C508=TRUE)*(F508-Calc!F19)))/100)*I498)</f>
        <v/>
      </c>
      <c r="L498">
        <f>K498*(MIN(Inputs!$B$22+((C509=TRUE)*(F509-Calc!F20)),Inputs!$B$23+0)/100+(Inputs!$B$23+0)/100)/2</f>
        <v/>
      </c>
      <c r="M498">
        <f>L498*(1+(Inputs!$B$10+0+B519)/100)</f>
        <v/>
      </c>
      <c r="N498">
        <f>L498*(1-MIN((Inputs!$B$9+((C505=TRUE)*(F505-Calc!F16))+B514),100)/100)+M498*(MIN((Inputs!$B$9+((C505=TRUE)*(F505-Calc!F16))+B514),100)/100)</f>
        <v/>
      </c>
      <c r="O498">
        <f>(1-Summary!$B$55)*T498+Summary!$B$55*V498</f>
        <v/>
      </c>
      <c r="P498">
        <f>IF(B524=0,0,O498/B524)</f>
        <v/>
      </c>
      <c r="Q498">
        <f>IFERROR(1/IF(Inputs!$B$38="pvp",15,MAX(0.1,Skills!D9-IF(Skills!E9=TRUE,Inputs!$B$32,0))),0)</f>
        <v/>
      </c>
      <c r="R498">
        <f>IF(AND(Inputs!$B$38&lt;&gt;"pvp",Inputs!$B$43&gt;0),IF(MAX(0,Inputs!$B$43-B521)&lt;=0,0,(INT(MAX(0,Inputs!$B$43-B521)/IF(Inputs!$B$38="pvp",15,MAX(0.1,Skills!D9-IF(Skills!E9=TRUE,Inputs!$B$32,0))))+1)),0)</f>
        <v/>
      </c>
      <c r="S498">
        <f>IFERROR(O498/N498,0)</f>
        <v/>
      </c>
      <c r="T498">
        <f>IF(C498,(H498*N498*IF(AND(Inputs!$B$38&lt;&gt;"pvp",Inputs!$B$43&gt;0),((Skills!G9*((R498-1)*IF(Skills!H9&gt;0,Skills!I9/Skills!H9,1)+IF(Skills!H9&gt;0,MIN(Skills!I9,MAX(0,MAX(0,Inputs!$B$43-B521)-((R498-1)*IF(Inputs!$B$38="pvp",15,MAX(0.1,Skills!D9-IF(Skills!E9=TRUE,Inputs!$B$32,0))))))/Skills!H9,1)))/Inputs!$B$43),G498*Q498))*IF(Inputs!$B$38="pvp",1,1+(Inputs!$B$20+0+Skills!P9)/100),0)</f>
        <v/>
      </c>
      <c r="V498">
        <f>IF(C498,(H498*N498*IF(AND(Inputs!$B$38&lt;&gt;"pvp",Inputs!$B$43&gt;0),((Skills!G9*((R498-1)*IF(Skills!H9&gt;0,Skills!I9/Skills!H9,1)+IF(Skills!H9&gt;0,MIN(Skills!I9,MAX(0,MAX(0,Inputs!$B$43-B521)-((R498-1)*IF(Inputs!$B$38="pvp",15,MAX(0.1,Skills!D9-IF(Skills!E9=TRUE,Inputs!$B$32,0))))))/Skills!H9,1)))/Inputs!$B$43),G498*Q498))*IF(Inputs!$B$38="pvp",1,(1+(Inputs!$B$21+Skills!Q9)/100)*(MIN(Skills!R9,Inputs!$B$37))),0)</f>
        <v/>
      </c>
    </row>
    <row r="499">
      <c r="A499">
        <f>Skills!A10</f>
        <v/>
      </c>
      <c r="B499">
        <f>Skills!B10</f>
        <v/>
      </c>
      <c r="C499">
        <f>Inputs!$B$3&gt;=103</f>
        <v/>
      </c>
      <c r="D499">
        <f>IF(Skills!C10=1,60+Inputs!$B$25+Inputs!$B$29,IF(Skills!C10=2,90+Inputs!$B$26+Inputs!$B$29,IF(Skills!C10=3,120+Inputs!$B$27+Inputs!$B$29,MAX(0,(Inputs!$B$3-100)*3)+Inputs!$B$28+Inputs!$B$29)))</f>
        <v/>
      </c>
      <c r="E499">
        <f>INDEX(FactorTable!$B$2:$Y$301, MATCH(ROUND(MIN(300,MAX(1,D499)),0), FactorTable!$A$2:$A$301,0), Skills!M10+1)</f>
        <v/>
      </c>
      <c r="F499">
        <f>IF(Skills!N10=TRUE,(Skills!L10/10)*(E499/1000),Skills!L10/10)+Skills!O10</f>
        <v/>
      </c>
      <c r="G499">
        <f>Skills!G10*IF(Skills!H10&gt;0,Skills!I10/Skills!H10,1)</f>
        <v/>
      </c>
      <c r="H499">
        <f>1-(1-Skills!J10/100)^Skills!K10</f>
        <v/>
      </c>
      <c r="I499" t="inlineStr">
        <is>
          <t>1</t>
        </is>
      </c>
      <c r="J499">
        <f>((Inputs!$B$6*(1+Inputs!$B$7/100))+(((Inputs!$B$12*(1+Inputs!$B$13/100))-(Inputs!$B$12*(1+Inputs!$B$13/100)))+0.25*(Inputs!$B$14-Inputs!$B$14))*(1+Inputs!$B$7/100))*(F499/100)</f>
        <v/>
      </c>
      <c r="K499">
        <f>J499*(1+((Inputs!$B$12*(1+Inputs!$B$13/100))*0.01+Inputs!$B$14*0.0025)/100)*(1+Inputs!$B$15/100)*(1+Inputs!$B$16/100)*(5000/(6000+Inputs!$B$42*(1-(Inputs!$B$19+0)/100)))*(1+(Inputs!$B$24+((C511=TRUE)*(F511-Calc!F22))+B520)/100)*(1+(IF(Skills!A10="HOOK_BOMBER",Inputs!$B$17+((C510=TRUE)*(F510-Calc!F21)),Inputs!$B$18+0))/100)*((1+(((C502=TRUE)*F502)+((C508=TRUE)*(F508-Calc!F19)))/100)*I499)</f>
        <v/>
      </c>
      <c r="L499">
        <f>K499*(MIN(Inputs!$B$22+((C509=TRUE)*(F509-Calc!F20)),Inputs!$B$23+0)/100+(Inputs!$B$23+0)/100)/2</f>
        <v/>
      </c>
      <c r="M499">
        <f>L499*(1+(Inputs!$B$10+0+B519)/100)</f>
        <v/>
      </c>
      <c r="N499">
        <f>L499*(1-MIN((Inputs!$B$9+((C505=TRUE)*(F505-Calc!F16))+B514),100)/100)+M499*(MIN((Inputs!$B$9+((C505=TRUE)*(F505-Calc!F16))+B514),100)/100)</f>
        <v/>
      </c>
      <c r="O499">
        <f>(1-Summary!$B$55)*T499+Summary!$B$55*V499</f>
        <v/>
      </c>
      <c r="P499">
        <f>IF(B524=0,0,O499/B524)</f>
        <v/>
      </c>
      <c r="Q499">
        <f>IFERROR(1/IF(Inputs!$B$38="pvp",15,MAX(0.1,Skills!D10-IF(Skills!E10=TRUE,Inputs!$B$32,0))),0)</f>
        <v/>
      </c>
      <c r="R499">
        <f>IF(AND(Inputs!$B$38&lt;&gt;"pvp",Inputs!$B$43&gt;0),IF(MAX(0,Inputs!$B$43-B521)&lt;=0,0,(INT(MAX(0,Inputs!$B$43-B521)/IF(Inputs!$B$38="pvp",15,MAX(0.1,Skills!D10-IF(Skills!E10=TRUE,Inputs!$B$32,0))))+1)),0)</f>
        <v/>
      </c>
      <c r="S499">
        <f>IFERROR(O499/N499,0)</f>
        <v/>
      </c>
      <c r="T499">
        <f>IF(C499,(H499*N499*IF(AND(Inputs!$B$38&lt;&gt;"pvp",Inputs!$B$43&gt;0),((Skills!G10*((R499-1)*IF(Skills!H10&gt;0,Skills!I10/Skills!H10,1)+IF(Skills!H10&gt;0,MIN(Skills!I10,MAX(0,MAX(0,Inputs!$B$43-B521)-((R499-1)*IF(Inputs!$B$38="pvp",15,MAX(0.1,Skills!D10-IF(Skills!E10=TRUE,Inputs!$B$32,0))))))/Skills!H10,1)))/Inputs!$B$43),G499*Q499))*IF(Inputs!$B$38="pvp",1,1+(Inputs!$B$20+0+Skills!P10)/100),0)</f>
        <v/>
      </c>
      <c r="V499">
        <f>IF(C499,(H499*N499*IF(AND(Inputs!$B$38&lt;&gt;"pvp",Inputs!$B$43&gt;0),((Skills!G10*((R499-1)*IF(Skills!H10&gt;0,Skills!I10/Skills!H10,1)+IF(Skills!H10&gt;0,MIN(Skills!I10,MAX(0,MAX(0,Inputs!$B$43-B521)-((R499-1)*IF(Inputs!$B$38="pvp",15,MAX(0.1,Skills!D10-IF(Skills!E10=TRUE,Inputs!$B$32,0))))))/Skills!H10,1)))/Inputs!$B$43),G499*Q499))*IF(Inputs!$B$38="pvp",1,(1+(Inputs!$B$21+Skills!Q10)/100)*(MIN(Skills!R10,Inputs!$B$37))),0)</f>
        <v/>
      </c>
    </row>
    <row r="500">
      <c r="A500">
        <f>Skills!A11</f>
        <v/>
      </c>
      <c r="B500">
        <f>Skills!B11</f>
        <v/>
      </c>
      <c r="C500">
        <f>Inputs!$B$3&gt;=113</f>
        <v/>
      </c>
      <c r="D500">
        <f>IF(Skills!C11=1,60+Inputs!$B$25+Inputs!$B$29,IF(Skills!C11=2,90+Inputs!$B$26+Inputs!$B$29,IF(Skills!C11=3,120+Inputs!$B$27+Inputs!$B$29,MAX(0,(Inputs!$B$3-100)*3)+Inputs!$B$28+Inputs!$B$29)))</f>
        <v/>
      </c>
      <c r="E500">
        <f>INDEX(FactorTable!$B$2:$Y$301, MATCH(ROUND(MIN(300,MAX(1,D500)),0), FactorTable!$A$2:$A$301,0), Skills!M11+1)</f>
        <v/>
      </c>
      <c r="F500">
        <f>IF(Skills!N11=TRUE,(Skills!L11/10)*(E500/1000),Skills!L11/10)+Skills!O11</f>
        <v/>
      </c>
      <c r="G500">
        <f>Skills!G11*IF(Skills!H11&gt;0,Skills!I11/Skills!H11,1)</f>
        <v/>
      </c>
      <c r="H500">
        <f>1-(1-Skills!J11/100)^Skills!K11</f>
        <v/>
      </c>
      <c r="I500" t="inlineStr">
        <is>
          <t>1</t>
        </is>
      </c>
      <c r="J500">
        <f>((Inputs!$B$6*(1+Inputs!$B$7/100))+(((Inputs!$B$12*(1+Inputs!$B$13/100))-(Inputs!$B$12*(1+Inputs!$B$13/100)))+0.25*(Inputs!$B$14-Inputs!$B$14))*(1+Inputs!$B$7/100))*(F500/100)</f>
        <v/>
      </c>
      <c r="K500">
        <f>J500*(1+((Inputs!$B$12*(1+Inputs!$B$13/100))*0.01+Inputs!$B$14*0.0025)/100)*(1+Inputs!$B$15/100)*(1+Inputs!$B$16/100)*(5000/(6000+Inputs!$B$42*(1-(Inputs!$B$19+0)/100)))*(1+(Inputs!$B$24+((C511=TRUE)*(F511-Calc!F22))+B520)/100)*(1+(IF(Skills!A11="HOOK_BOMBER",Inputs!$B$17+((C510=TRUE)*(F510-Calc!F21)),Inputs!$B$18+0))/100)*((1+(((C502=TRUE)*F502)+((C508=TRUE)*(F508-Calc!F19)))/100)*I500)</f>
        <v/>
      </c>
      <c r="L500">
        <f>K500*(MIN(Inputs!$B$22+((C509=TRUE)*(F509-Calc!F20)),Inputs!$B$23+0)/100+(Inputs!$B$23+0)/100)/2</f>
        <v/>
      </c>
      <c r="M500">
        <f>L500*(1+(Inputs!$B$10+0+B519)/100)</f>
        <v/>
      </c>
      <c r="N500">
        <f>L500*(1-MIN((Inputs!$B$9+((C505=TRUE)*(F505-Calc!F16))+B514),100)/100)+M500*(MIN((Inputs!$B$9+((C505=TRUE)*(F505-Calc!F16))+B514),100)/100)</f>
        <v/>
      </c>
      <c r="O500">
        <f>(1-Summary!$B$55)*T500+Summary!$B$55*V500</f>
        <v/>
      </c>
      <c r="P500">
        <f>IF(B524=0,0,O500/B524)</f>
        <v/>
      </c>
      <c r="Q500">
        <f>IFERROR(1/IF(Inputs!$B$38="pvp",15,MAX(0.1,Skills!D11-IF(Skills!E11=TRUE,Inputs!$B$32,0))),0)</f>
        <v/>
      </c>
      <c r="R500">
        <f>IF(AND(Inputs!$B$38&lt;&gt;"pvp",Inputs!$B$43&gt;0),IF(MAX(0,Inputs!$B$43-B521)&lt;=0,0,(INT(MAX(0,Inputs!$B$43-B521)/IF(Inputs!$B$38="pvp",15,MAX(0.1,Skills!D11-IF(Skills!E11=TRUE,Inputs!$B$32,0))))+1)),0)</f>
        <v/>
      </c>
      <c r="S500">
        <f>IFERROR(O500/N500,0)</f>
        <v/>
      </c>
      <c r="T500">
        <f>IF(C500,(H500*N500*IF(AND(Inputs!$B$38&lt;&gt;"pvp",Inputs!$B$43&gt;0),((Skills!G11*((R500-1)*IF(Skills!H11&gt;0,Skills!I11/Skills!H11,1)+IF(Skills!H11&gt;0,MIN(Skills!I11,MAX(0,MAX(0,Inputs!$B$43-B521)-((R500-1)*IF(Inputs!$B$38="pvp",15,MAX(0.1,Skills!D11-IF(Skills!E11=TRUE,Inputs!$B$32,0))))))/Skills!H11,1)))/Inputs!$B$43),G500*Q500))*IF(Inputs!$B$38="pvp",1,1+(Inputs!$B$20+0+Skills!P11)/100),0)</f>
        <v/>
      </c>
      <c r="V500">
        <f>IF(C500,(H500*N500*IF(AND(Inputs!$B$38&lt;&gt;"pvp",Inputs!$B$43&gt;0),((Skills!G11*((R500-1)*IF(Skills!H11&gt;0,Skills!I11/Skills!H11,1)+IF(Skills!H11&gt;0,MIN(Skills!I11,MAX(0,MAX(0,Inputs!$B$43-B521)-((R500-1)*IF(Inputs!$B$38="pvp",15,MAX(0.1,Skills!D11-IF(Skills!E11=TRUE,Inputs!$B$32,0))))))/Skills!H11,1)))/Inputs!$B$43),G500*Q500))*IF(Inputs!$B$38="pvp",1,(1+(Inputs!$B$21+Skills!Q11)/100)*(MIN(Skills!R11,Inputs!$B$37))),0)</f>
        <v/>
      </c>
    </row>
    <row r="501">
      <c r="A501">
        <f>Skills!A12</f>
        <v/>
      </c>
      <c r="B501">
        <f>Skills!B12</f>
        <v/>
      </c>
      <c r="C501">
        <f>Inputs!$B$3&gt;=100</f>
        <v/>
      </c>
      <c r="D501">
        <f>IF(Skills!C12=1,60+Inputs!$B$25+Inputs!$B$29,IF(Skills!C12=2,90+Inputs!$B$26+Inputs!$B$29,IF(Skills!C12=3,120+Inputs!$B$27+Inputs!$B$29,MAX(0,(Inputs!$B$3-100)*3)+Inputs!$B$28+Inputs!$B$29)))</f>
        <v/>
      </c>
      <c r="E501">
        <f>INDEX(FactorTable!$B$2:$Y$301, MATCH(ROUND(MIN(300,MAX(1,D501)),0), FactorTable!$A$2:$A$301,0), Skills!M12+1)</f>
        <v/>
      </c>
      <c r="F501">
        <f>IF(Skills!N12=TRUE,(Skills!L12/10)*(E501/1000),Skills!L12/10)+Skills!O12</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Skills!A13</f>
        <v/>
      </c>
      <c r="B502">
        <f>Skills!B13</f>
        <v/>
      </c>
      <c r="C502">
        <f>Inputs!$B$3&gt;=66</f>
        <v/>
      </c>
      <c r="D502">
        <f>IF(Skills!C13=1,60+Inputs!$B$25+Inputs!$B$29,IF(Skills!C13=2,90+Inputs!$B$26+Inputs!$B$29,IF(Skills!C13=3,120+Inputs!$B$27+Inputs!$B$29,MAX(0,(Inputs!$B$3-100)*3)+Inputs!$B$28+Inputs!$B$29)))</f>
        <v/>
      </c>
      <c r="E502">
        <f>INDEX(FactorTable!$B$2:$Y$301, MATCH(ROUND(MIN(300,MAX(1,D502)),0), FactorTable!$A$2:$A$301,0), Skills!M13+1)</f>
        <v/>
      </c>
      <c r="F502">
        <f>IF(Skills!N13=TRUE,(Skills!L13/10)*(E502/1000),Skills!L13/10)+Skills!O13</f>
        <v/>
      </c>
      <c r="G502">
        <f>Skills!G13*IF(Skills!H13&gt;0,Skills!I13/Skills!H13,1)</f>
        <v/>
      </c>
      <c r="H502">
        <f>1-(1-Skills!J13/100)^Skills!K13</f>
        <v/>
      </c>
      <c r="I502" t="inlineStr">
        <is>
          <t>1</t>
        </is>
      </c>
      <c r="J502" t="inlineStr"/>
      <c r="K502" t="inlineStr"/>
      <c r="L502" t="inlineStr"/>
      <c r="M502" t="inlineStr"/>
      <c r="N502" t="inlineStr"/>
      <c r="O502">
        <f>(1-Summary!$B$55)*T502+Summary!$B$55*V502</f>
        <v/>
      </c>
      <c r="P502">
        <f>IF(B524=0,0,O502/B524)</f>
        <v/>
      </c>
      <c r="Q502" t="n">
        <v>0</v>
      </c>
      <c r="R502" t="n">
        <v>0</v>
      </c>
      <c r="S502">
        <f>IFERROR(O502/N502,0)</f>
        <v/>
      </c>
      <c r="T502" t="n">
        <v>0</v>
      </c>
      <c r="V502" t="n">
        <v>0</v>
      </c>
    </row>
    <row r="503">
      <c r="A503">
        <f>Skills!A14</f>
        <v/>
      </c>
      <c r="B503">
        <f>Skills!B14</f>
        <v/>
      </c>
      <c r="C503">
        <f>Inputs!$B$3&gt;=107</f>
        <v/>
      </c>
      <c r="D503">
        <f>IF(Skills!C14=1,60+Inputs!$B$25+Inputs!$B$29,IF(Skills!C14=2,90+Inputs!$B$26+Inputs!$B$29,IF(Skills!C14=3,120+Inputs!$B$27+Inputs!$B$29,MAX(0,(Inputs!$B$3-100)*3)+Inputs!$B$28+Inputs!$B$29)))</f>
        <v/>
      </c>
      <c r="E503">
        <f>INDEX(FactorTable!$B$2:$Y$301, MATCH(ROUND(MIN(300,MAX(1,D503)),0), FactorTable!$A$2:$A$301,0), Skills!M14+1)</f>
        <v/>
      </c>
      <c r="F503">
        <f>IF(Skills!N14=TRUE,(Skills!L14/10)*(E503/1000),Skills!L14/10)+Skills!O14</f>
        <v/>
      </c>
      <c r="G503">
        <f>Skills!G14*IF(Skills!H14&gt;0,Skills!I14/Skills!H14,1)</f>
        <v/>
      </c>
      <c r="H503">
        <f>1-(1-Skills!J14/100)^Skills!K14</f>
        <v/>
      </c>
      <c r="I503" t="inlineStr">
        <is>
          <t>1</t>
        </is>
      </c>
      <c r="J503" t="inlineStr"/>
      <c r="K503" t="inlineStr"/>
      <c r="L503" t="inlineStr"/>
      <c r="M503" t="inlineStr"/>
      <c r="N503" t="inlineStr"/>
      <c r="O503">
        <f>(1-Summary!$B$55)*T503+Summary!$B$55*V503</f>
        <v/>
      </c>
      <c r="P503">
        <f>IF(B524=0,0,O503/B524)</f>
        <v/>
      </c>
      <c r="Q503" t="n">
        <v>0</v>
      </c>
      <c r="R503" t="n">
        <v>0</v>
      </c>
      <c r="S503">
        <f>IFERROR(O503/N503,0)</f>
        <v/>
      </c>
      <c r="T503" t="n">
        <v>0</v>
      </c>
      <c r="V503" t="n">
        <v>0</v>
      </c>
    </row>
    <row r="504">
      <c r="A504">
        <f>Skills!A15</f>
        <v/>
      </c>
      <c r="B504">
        <f>Skills!B15</f>
        <v/>
      </c>
      <c r="C504">
        <f>Inputs!$B$3&gt;=115</f>
        <v/>
      </c>
      <c r="D504">
        <f>IF(Skills!C15=1,60+Inputs!$B$25+Inputs!$B$29,IF(Skills!C15=2,90+Inputs!$B$26+Inputs!$B$29,IF(Skills!C15=3,120+Inputs!$B$27+Inputs!$B$29,MAX(0,(Inputs!$B$3-100)*3)+Inputs!$B$28+Inputs!$B$29)))</f>
        <v/>
      </c>
      <c r="E504">
        <f>INDEX(FactorTable!$B$2:$Y$301, MATCH(ROUND(MIN(300,MAX(1,D504)),0), FactorTable!$A$2:$A$301,0), Skills!M15+1)</f>
        <v/>
      </c>
      <c r="F504">
        <f>IF(Skills!N15=TRUE,(Skills!L15/10)*(E504/1000),Skills!L15/10)+Skills!O15</f>
        <v/>
      </c>
      <c r="G504">
        <f>Skills!G15*IF(Skills!H15&gt;0,Skills!I15/Skills!H15,1)</f>
        <v/>
      </c>
      <c r="H504">
        <f>1-(1-Skills!J15/100)^Skills!K15</f>
        <v/>
      </c>
      <c r="I504" t="inlineStr">
        <is>
          <t>1</t>
        </is>
      </c>
      <c r="J504" t="inlineStr"/>
      <c r="K504" t="inlineStr"/>
      <c r="L504" t="inlineStr"/>
      <c r="M504" t="inlineStr"/>
      <c r="N504" t="inlineStr"/>
      <c r="O504">
        <f>(1-Summary!$B$55)*T504+Summary!$B$55*V504</f>
        <v/>
      </c>
      <c r="P504">
        <f>IF(B524=0,0,O504/B524)</f>
        <v/>
      </c>
      <c r="Q504" t="n">
        <v>0</v>
      </c>
      <c r="R504" t="n">
        <v>0</v>
      </c>
      <c r="S504">
        <f>IFERROR(O504/N504,0)</f>
        <v/>
      </c>
      <c r="T504" t="n">
        <v>0</v>
      </c>
      <c r="V504" t="n">
        <v>0</v>
      </c>
    </row>
    <row r="505">
      <c r="A505">
        <f>Skills!A16</f>
        <v/>
      </c>
      <c r="B505">
        <f>Skills!B16</f>
        <v/>
      </c>
      <c r="C505">
        <f>Inputs!$B$3&gt;=15</f>
        <v/>
      </c>
      <c r="D505">
        <f>IF(Skills!C16=1,60+Inputs!$B$25+Inputs!$B$29,IF(Skills!C16=2,90+Inputs!$B$26+Inputs!$B$29,IF(Skills!C16=3,120+Inputs!$B$27+Inputs!$B$29,MAX(0,(Inputs!$B$3-100)*3)+Inputs!$B$28+Inputs!$B$29)))</f>
        <v/>
      </c>
      <c r="E505">
        <f>INDEX(FactorTable!$B$2:$Y$301, MATCH(ROUND(MIN(300,MAX(1,D505)),0), FactorTable!$A$2:$A$301,0), Skills!M16+1)</f>
        <v/>
      </c>
      <c r="F505">
        <f>IF(Skills!N16=TRUE,(Skills!L16/10)*(E505/1000),Skills!L16/10)+Skills!O16</f>
        <v/>
      </c>
      <c r="G505">
        <f>Skills!G16*IF(Skills!H16&gt;0,Skills!I16/Skills!H16,1)</f>
        <v/>
      </c>
      <c r="H505">
        <f>1-(1-Skills!J16/100)^Skills!K16</f>
        <v/>
      </c>
      <c r="I505" t="inlineStr">
        <is>
          <t>1</t>
        </is>
      </c>
      <c r="J505" t="inlineStr"/>
      <c r="K505" t="inlineStr"/>
      <c r="L505" t="inlineStr"/>
      <c r="M505" t="inlineStr"/>
      <c r="N505" t="inlineStr"/>
      <c r="O505">
        <f>(1-Summary!$B$55)*T505+Summary!$B$55*V505</f>
        <v/>
      </c>
      <c r="P505">
        <f>IF(B524=0,0,O505/B524)</f>
        <v/>
      </c>
      <c r="Q505" t="n">
        <v>0</v>
      </c>
      <c r="R505" t="n">
        <v>0</v>
      </c>
      <c r="S505">
        <f>IFERROR(O505/N505,0)</f>
        <v/>
      </c>
      <c r="T505" t="n">
        <v>0</v>
      </c>
      <c r="V505" t="n">
        <v>0</v>
      </c>
    </row>
    <row r="506">
      <c r="A506">
        <f>Skills!A17</f>
        <v/>
      </c>
      <c r="B506">
        <f>Skills!B17</f>
        <v/>
      </c>
      <c r="C506">
        <f>Inputs!$B$3&gt;=10</f>
        <v/>
      </c>
      <c r="D506">
        <f>IF(Skills!C17=1,60+Inputs!$B$25+Inputs!$B$29,IF(Skills!C17=2,90+Inputs!$B$26+Inputs!$B$29,IF(Skills!C17=3,120+Inputs!$B$27+Inputs!$B$29,MAX(0,(Inputs!$B$3-100)*3)+Inputs!$B$28+Inputs!$B$29)))</f>
        <v/>
      </c>
      <c r="E506">
        <f>INDEX(FactorTable!$B$2:$Y$301, MATCH(ROUND(MIN(300,MAX(1,D506)),0), FactorTable!$A$2:$A$301,0), Skills!M17+1)</f>
        <v/>
      </c>
      <c r="F506">
        <f>IF(Skills!N17=TRUE,(Skills!L17/10)*(E506/1000),Skills!L17/10)+Skills!O17</f>
        <v/>
      </c>
      <c r="G506">
        <f>Skills!G17*IF(Skills!H17&gt;0,Skills!I17/Skills!H17,1)</f>
        <v/>
      </c>
      <c r="H506">
        <f>1-(1-Skills!J17/100)^Skills!K17</f>
        <v/>
      </c>
      <c r="I506" t="inlineStr">
        <is>
          <t>1</t>
        </is>
      </c>
      <c r="J506" t="inlineStr"/>
      <c r="K506" t="inlineStr"/>
      <c r="L506" t="inlineStr"/>
      <c r="M506" t="inlineStr"/>
      <c r="N506" t="inlineStr"/>
      <c r="O506">
        <f>(1-Summary!$B$55)*T506+Summary!$B$55*V506</f>
        <v/>
      </c>
      <c r="P506">
        <f>IF(B524=0,0,O506/B524)</f>
        <v/>
      </c>
      <c r="Q506" t="n">
        <v>0</v>
      </c>
      <c r="R506" t="n">
        <v>0</v>
      </c>
      <c r="S506">
        <f>IFERROR(O506/N506,0)</f>
        <v/>
      </c>
      <c r="T506" t="n">
        <v>0</v>
      </c>
      <c r="V506" t="n">
        <v>0</v>
      </c>
    </row>
    <row r="507">
      <c r="A507">
        <f>Skills!A18</f>
        <v/>
      </c>
      <c r="B507">
        <f>Skills!B18</f>
        <v/>
      </c>
      <c r="C507">
        <f>Inputs!$B$3&gt;=33</f>
        <v/>
      </c>
      <c r="D507">
        <f>IF(Skills!C18=1,60+Inputs!$B$25+Inputs!$B$29,IF(Skills!C18=2,90+Inputs!$B$26+Inputs!$B$29,IF(Skills!C18=3,120+Inputs!$B$27+Inputs!$B$29,MAX(0,(Inputs!$B$3-100)*3)+Inputs!$B$28+Inputs!$B$29)))</f>
        <v/>
      </c>
      <c r="E507">
        <f>INDEX(FactorTable!$B$2:$Y$301, MATCH(ROUND(MIN(300,MAX(1,D507)),0), FactorTable!$A$2:$A$301,0), Skills!M18+1)</f>
        <v/>
      </c>
      <c r="F507">
        <f>IF(Skills!N18=TRUE,(Skills!L18/10)*(E507/1000),Skills!L18/10)+Skills!O18</f>
        <v/>
      </c>
      <c r="G507">
        <f>Skills!G18*IF(Skills!H18&gt;0,Skills!I18/Skills!H18,1)</f>
        <v/>
      </c>
      <c r="H507">
        <f>1-(1-Skills!J18/100)^Skills!K18</f>
        <v/>
      </c>
      <c r="I507" t="inlineStr">
        <is>
          <t>1</t>
        </is>
      </c>
      <c r="J507" t="inlineStr"/>
      <c r="K507" t="inlineStr"/>
      <c r="L507" t="inlineStr"/>
      <c r="M507" t="inlineStr"/>
      <c r="N507" t="inlineStr"/>
      <c r="O507">
        <f>(1-Summary!$B$55)*T507+Summary!$B$55*V507</f>
        <v/>
      </c>
      <c r="P507">
        <f>IF(B524=0,0,O507/B524)</f>
        <v/>
      </c>
      <c r="Q507" t="n">
        <v>0</v>
      </c>
      <c r="R507" t="n">
        <v>0</v>
      </c>
      <c r="S507">
        <f>IFERROR(O507/N507,0)</f>
        <v/>
      </c>
      <c r="T507" t="n">
        <v>0</v>
      </c>
      <c r="V507" t="n">
        <v>0</v>
      </c>
    </row>
    <row r="508">
      <c r="A508">
        <f>Skills!A19</f>
        <v/>
      </c>
      <c r="B508">
        <f>Skills!B19</f>
        <v/>
      </c>
      <c r="C508">
        <f>Inputs!$B$3&gt;=40</f>
        <v/>
      </c>
      <c r="D508">
        <f>IF(Skills!C19=1,60+Inputs!$B$25+Inputs!$B$29,IF(Skills!C19=2,90+Inputs!$B$26+Inputs!$B$29,IF(Skills!C19=3,120+Inputs!$B$27+Inputs!$B$29,MAX(0,(Inputs!$B$3-100)*3)+Inputs!$B$28+Inputs!$B$29)))</f>
        <v/>
      </c>
      <c r="E508">
        <f>INDEX(FactorTable!$B$2:$Y$301, MATCH(ROUND(MIN(300,MAX(1,D508)),0), FactorTable!$A$2:$A$301,0), Skills!M19+1)</f>
        <v/>
      </c>
      <c r="F508">
        <f>IF(Skills!N19=TRUE,(Skills!L19/10)*(E508/1000),Skills!L19/10)+Skills!O19</f>
        <v/>
      </c>
      <c r="G508">
        <f>Skills!G19*IF(Skills!H19&gt;0,Skills!I19/Skills!H19,1)</f>
        <v/>
      </c>
      <c r="H508">
        <f>1-(1-Skills!J19/100)^Skills!K19</f>
        <v/>
      </c>
      <c r="I508" t="inlineStr">
        <is>
          <t>1</t>
        </is>
      </c>
      <c r="J508" t="inlineStr"/>
      <c r="K508" t="inlineStr"/>
      <c r="L508" t="inlineStr"/>
      <c r="M508" t="inlineStr"/>
      <c r="N508" t="inlineStr"/>
      <c r="O508">
        <f>(1-Summary!$B$55)*T508+Summary!$B$55*V508</f>
        <v/>
      </c>
      <c r="P508">
        <f>IF(B524=0,0,O508/B524)</f>
        <v/>
      </c>
      <c r="Q508" t="n">
        <v>0</v>
      </c>
      <c r="R508" t="n">
        <v>0</v>
      </c>
      <c r="S508">
        <f>IFERROR(O508/N508,0)</f>
        <v/>
      </c>
      <c r="T508" t="n">
        <v>0</v>
      </c>
      <c r="V508" t="n">
        <v>0</v>
      </c>
    </row>
    <row r="509">
      <c r="A509">
        <f>Skills!A20</f>
        <v/>
      </c>
      <c r="B509">
        <f>Skills!B20</f>
        <v/>
      </c>
      <c r="C509">
        <f>Inputs!$B$3&gt;=43</f>
        <v/>
      </c>
      <c r="D509">
        <f>IF(Skills!C20=1,60+Inputs!$B$25+Inputs!$B$29,IF(Skills!C20=2,90+Inputs!$B$26+Inputs!$B$29,IF(Skills!C20=3,120+Inputs!$B$27+Inputs!$B$29,MAX(0,(Inputs!$B$3-100)*3)+Inputs!$B$28+Inputs!$B$29)))</f>
        <v/>
      </c>
      <c r="E509">
        <f>INDEX(FactorTable!$B$2:$Y$301, MATCH(ROUND(MIN(300,MAX(1,D509)),0), FactorTable!$A$2:$A$301,0), Skills!M20+1)</f>
        <v/>
      </c>
      <c r="F509">
        <f>IF(Skills!N20=TRUE,(Skills!L20/10)*(E509/1000),Skills!L20/10)+Skills!O20</f>
        <v/>
      </c>
      <c r="G509">
        <f>Skills!G20*IF(Skills!H20&gt;0,Skills!I20/Skills!H20,1)</f>
        <v/>
      </c>
      <c r="H509">
        <f>1-(1-Skills!J20/100)^Skills!K20</f>
        <v/>
      </c>
      <c r="I509" t="inlineStr">
        <is>
          <t>1</t>
        </is>
      </c>
      <c r="J509" t="inlineStr"/>
      <c r="K509" t="inlineStr"/>
      <c r="L509" t="inlineStr"/>
      <c r="M509" t="inlineStr"/>
      <c r="N509" t="inlineStr"/>
      <c r="O509">
        <f>(1-Summary!$B$55)*T509+Summary!$B$55*V509</f>
        <v/>
      </c>
      <c r="P509">
        <f>IF(B524=0,0,O509/B524)</f>
        <v/>
      </c>
      <c r="Q509" t="n">
        <v>0</v>
      </c>
      <c r="R509" t="n">
        <v>0</v>
      </c>
      <c r="S509">
        <f>IFERROR(O509/N509,0)</f>
        <v/>
      </c>
      <c r="T509" t="n">
        <v>0</v>
      </c>
      <c r="V509" t="n">
        <v>0</v>
      </c>
    </row>
    <row r="510">
      <c r="A510">
        <f>Skills!A21</f>
        <v/>
      </c>
      <c r="B510">
        <f>Skills!B21</f>
        <v/>
      </c>
      <c r="C510">
        <f>Inputs!$B$3&gt;=38</f>
        <v/>
      </c>
      <c r="D510">
        <f>IF(Skills!C21=1,60+Inputs!$B$25+Inputs!$B$29,IF(Skills!C21=2,90+Inputs!$B$26+Inputs!$B$29,IF(Skills!C21=3,120+Inputs!$B$27+Inputs!$B$29,MAX(0,(Inputs!$B$3-100)*3)+Inputs!$B$28+Inputs!$B$29)))</f>
        <v/>
      </c>
      <c r="E510">
        <f>INDEX(FactorTable!$B$2:$Y$301, MATCH(ROUND(MIN(300,MAX(1,D510)),0), FactorTable!$A$2:$A$301,0), Skills!M21+1)</f>
        <v/>
      </c>
      <c r="F510">
        <f>IF(Skills!N21=TRUE,(Skills!L21/10)*(E510/1000),Skills!L21/10)+Skills!O21</f>
        <v/>
      </c>
      <c r="G510">
        <f>Skills!G21*IF(Skills!H21&gt;0,Skills!I21/Skills!H21,1)</f>
        <v/>
      </c>
      <c r="H510">
        <f>1-(1-Skills!J21/100)^Skills!K21</f>
        <v/>
      </c>
      <c r="I510" t="inlineStr">
        <is>
          <t>1</t>
        </is>
      </c>
      <c r="J510" t="inlineStr"/>
      <c r="K510" t="inlineStr"/>
      <c r="L510" t="inlineStr"/>
      <c r="M510" t="inlineStr"/>
      <c r="N510" t="inlineStr"/>
      <c r="O510">
        <f>(1-Summary!$B$55)*T510+Summary!$B$55*V510</f>
        <v/>
      </c>
      <c r="P510">
        <f>IF(B524=0,0,O510/B524)</f>
        <v/>
      </c>
      <c r="Q510" t="n">
        <v>0</v>
      </c>
      <c r="R510" t="n">
        <v>0</v>
      </c>
      <c r="S510">
        <f>IFERROR(O510/N510,0)</f>
        <v/>
      </c>
      <c r="T510" t="n">
        <v>0</v>
      </c>
      <c r="V510" t="n">
        <v>0</v>
      </c>
    </row>
    <row r="511">
      <c r="A511">
        <f>Skills!A22</f>
        <v/>
      </c>
      <c r="B511">
        <f>Skills!B22</f>
        <v/>
      </c>
      <c r="C511">
        <f>Inputs!$B$3&gt;=75</f>
        <v/>
      </c>
      <c r="D511">
        <f>IF(Skills!C22=1,60+Inputs!$B$25+Inputs!$B$29,IF(Skills!C22=2,90+Inputs!$B$26+Inputs!$B$29,IF(Skills!C22=3,120+Inputs!$B$27+Inputs!$B$29,MAX(0,(Inputs!$B$3-100)*3)+Inputs!$B$28+Inputs!$B$29)))</f>
        <v/>
      </c>
      <c r="E511">
        <f>INDEX(FactorTable!$B$2:$Y$301, MATCH(ROUND(MIN(300,MAX(1,D511)),0), FactorTable!$A$2:$A$301,0), Skills!M22+1)</f>
        <v/>
      </c>
      <c r="F511">
        <f>IF(Skills!N22=TRUE,(Skills!L22/10)*(E511/1000),Skills!L22/10)+Skills!O22</f>
        <v/>
      </c>
      <c r="G511">
        <f>Skills!G22*IF(Skills!H22&gt;0,Skills!I22/Skills!H22,1)</f>
        <v/>
      </c>
      <c r="H511">
        <f>1-(1-Skills!J22/100)^Skills!K22</f>
        <v/>
      </c>
      <c r="I511" t="inlineStr">
        <is>
          <t>1</t>
        </is>
      </c>
      <c r="J511" t="inlineStr"/>
      <c r="K511" t="inlineStr"/>
      <c r="L511" t="inlineStr"/>
      <c r="M511" t="inlineStr"/>
      <c r="N511" t="inlineStr"/>
      <c r="O511">
        <f>(1-Summary!$B$55)*T511+Summary!$B$55*V511</f>
        <v/>
      </c>
      <c r="P511">
        <f>IF(B524=0,0,O511/B524)</f>
        <v/>
      </c>
      <c r="Q511" t="n">
        <v>0</v>
      </c>
      <c r="R511" t="n">
        <v>0</v>
      </c>
      <c r="S511">
        <f>IFERROR(O511/N511,0)</f>
        <v/>
      </c>
      <c r="T511" t="n">
        <v>0</v>
      </c>
      <c r="V511" t="n">
        <v>0</v>
      </c>
    </row>
    <row r="513">
      <c r="A513" t="inlineStr">
        <is>
          <t>Attack% Bucket Multiplier</t>
        </is>
      </c>
      <c r="B513">
        <f>(1+(((C502=TRUE)*F502)+((C508=TRUE)*(F508-Calc!F19)))/100)</f>
        <v/>
      </c>
    </row>
    <row r="514">
      <c r="A514" t="inlineStr">
        <is>
          <t>Global Crit Rate Bonus %</t>
        </is>
      </c>
      <c r="B514" t="n">
        <v>0</v>
      </c>
    </row>
    <row r="515">
      <c r="A515" t="inlineStr">
        <is>
          <t>Attack Speed Buff Bonus % (unused)</t>
        </is>
      </c>
      <c r="B515" t="n">
        <v>0</v>
      </c>
    </row>
    <row r="516">
      <c r="A516" t="inlineStr">
        <is>
          <t>Actions Per Second</t>
        </is>
      </c>
      <c r="B516">
        <f>1+MIN(150,150*(1-(1-(((1-(1-Inputs!$B$11/150)*(1-1/150))*150)+((C506=TRUE)*(F506-Calc!F17))+((C507=TRUE)*(F507-Calc!F18)))/150)*(1-B515/150)))/100</f>
        <v/>
      </c>
    </row>
    <row r="517">
      <c r="A517" t="inlineStr">
        <is>
          <t>Skill + Buff Cast Rate</t>
        </is>
      </c>
      <c r="B517">
        <f>IF(AND(Inputs!$B$38&lt;&gt;"pvp",Inputs!$B$43&gt;0),SUMPRODUCT((Skills!E2:E22=TRUE)*(C491:C511=TRUE)*R491:R511*Skills!F2:F22)/Inputs!$B$43,SUMPRODUCT((Skills!E2:E22=TRUE)*(C491:C511=TRUE)*Q491:Q511*Skills!F2:F22))</f>
        <v/>
      </c>
    </row>
    <row r="518">
      <c r="A518" t="inlineStr">
        <is>
          <t>Hook Bomber Casts Per Second</t>
        </is>
      </c>
      <c r="B518">
        <f>MAX(0,B516-B517)</f>
        <v/>
      </c>
    </row>
    <row r="519">
      <c r="A519" t="inlineStr">
        <is>
          <t>Global Critical Damage Bonus % (unused)</t>
        </is>
      </c>
      <c r="B519" t="n">
        <v>0</v>
      </c>
    </row>
    <row r="520">
      <c r="A520" t="inlineStr">
        <is>
          <t>Global Final Damage Bonus % (Serpent Scale + Crossbones + Time Leap + Speed Infusion)</t>
        </is>
      </c>
      <c r="B520">
        <f>((C494=TRUE)*F494*((10+IF(Inputs!$B$3&gt;=94,5,0))/((10+IF(Inputs!$B$3&gt;=94,5,0))+5/(B518*(1+IF(Inputs!$B$3&gt;=104,1,0))))))+((C503=TRUE)*F503)+((C504=TRUE)*F504)+((Inputs!$B$3&gt;=110)*20*(B516-1))</f>
        <v/>
      </c>
    </row>
    <row r="521">
      <c r="A521" t="inlineStr">
        <is>
          <t>Buff-Casting Startup Delay (s, fixed-duration only)</t>
        </is>
      </c>
      <c r="B521">
        <f>IF(AND(Inputs!$B$38&lt;&gt;"pvp",Inputs!$B$43&gt;0),SUMPRODUCT((Skills!T2:T22&gt;0)*(Skills!E2:E22=TRUE)*(C491:C511=TRUE))/B516,0)</f>
        <v/>
      </c>
    </row>
    <row r="522">
      <c r="A522" t="inlineStr">
        <is>
          <t>Boss-Only Total DPS (this block's swept value)</t>
        </is>
      </c>
      <c r="B522">
        <f>SUM(T491:T511)</f>
        <v/>
      </c>
    </row>
    <row r="523">
      <c r="A523" t="inlineStr">
        <is>
          <t>Normal-Only Total DPS (this block's swept value)</t>
        </is>
      </c>
      <c r="B523">
        <f>SUM(V491:V511)</f>
        <v/>
      </c>
    </row>
    <row r="524">
      <c r="A524" s="5" t="inlineStr">
        <is>
          <t>TOTAL DPS</t>
        </is>
      </c>
      <c r="B524" s="5">
        <f>SUM(O491:O511)</f>
        <v/>
      </c>
    </row>
    <row r="527">
      <c r="A527" s="5" t="inlineStr">
        <is>
          <t>Stat: DEF_PEN % (diminishing returns, factor 100)</t>
        </is>
      </c>
    </row>
    <row r="528">
      <c r="A528" s="9" t="inlineStr">
        <is>
          <t>Key</t>
        </is>
      </c>
      <c r="B528" s="9" t="inlineStr">
        <is>
          <t>Name</t>
        </is>
      </c>
      <c r="C528" s="9" t="inlineStr">
        <is>
          <t>Unlocked</t>
        </is>
      </c>
      <c r="D528" s="9" t="inlineStr">
        <is>
          <t>InputLevel</t>
        </is>
      </c>
      <c r="E528" s="9" t="inlineStr">
        <is>
          <t>Factor</t>
        </is>
      </c>
      <c r="F528" s="9" t="inlineStr">
        <is>
          <t>CoefficientPercent</t>
        </is>
      </c>
      <c r="G528" s="9" t="inlineStr">
        <is>
          <t>EffectiveHits</t>
        </is>
      </c>
      <c r="H528" s="9" t="inlineStr">
        <is>
          <t>ProcProbability</t>
        </is>
      </c>
      <c r="I528" s="9" t="inlineStr">
        <is>
          <t>MapleHeroMultiplier</t>
        </is>
      </c>
      <c r="J528" s="9" t="inlineStr">
        <is>
          <t>BaseDamage</t>
        </is>
      </c>
      <c r="K528" s="9" t="inlineStr">
        <is>
          <t>BaseHitDamage</t>
        </is>
      </c>
      <c r="L528" s="9" t="inlineStr">
        <is>
          <t>NonCritAvg</t>
        </is>
      </c>
      <c r="M528" s="9" t="inlineStr">
        <is>
          <t>CritAvg</t>
        </is>
      </c>
      <c r="N528" s="9" t="inlineStr">
        <is>
          <t>ExpectedDamage(perHit)</t>
        </is>
      </c>
      <c r="O528" s="9" t="inlineStr">
        <is>
          <t>DPS</t>
        </is>
      </c>
      <c r="P528" s="9" t="inlineStr">
        <is>
          <t>% of Total</t>
        </is>
      </c>
      <c r="Q528" s="9" t="inlineStr">
        <is>
          <t>InvCooldown</t>
        </is>
      </c>
      <c r="R528" s="9" t="inlineStr">
        <is>
          <t>CastsInFight</t>
        </is>
      </c>
      <c r="S528" s="9" t="inlineStr">
        <is>
          <t>HitRate(perSec)</t>
        </is>
      </c>
      <c r="U528" t="inlineStr">
        <is>
          <t>helpers</t>
        </is>
      </c>
    </row>
    <row r="529">
      <c r="A529">
        <f>Skills!A2</f>
        <v/>
      </c>
      <c r="B529">
        <f>Skills!B2</f>
        <v/>
      </c>
      <c r="C529">
        <f>Inputs!$B$3&gt;=100</f>
        <v/>
      </c>
      <c r="D529" t="inlineStr"/>
      <c r="E529" t="inlineStr"/>
      <c r="F529">
        <f>U531+Skills!O2</f>
        <v/>
      </c>
      <c r="G529">
        <f>Skills!G2*IF(Skills!H2&gt;0,Skills!I2/Skills!H2,1)</f>
        <v/>
      </c>
      <c r="H529">
        <f>1-(1-Skills!J2/100)^Skills!K2</f>
        <v/>
      </c>
      <c r="I529" t="inlineStr">
        <is>
          <t>1</t>
        </is>
      </c>
      <c r="J529">
        <f>((Inputs!$B$6*(1+Inputs!$B$7/100))+(((Inputs!$B$12*(1+Inputs!$B$13/100))-(Inputs!$B$12*(1+Inputs!$B$13/100)))+0.25*(Inputs!$B$14-Inputs!$B$14))*(1+Inputs!$B$7/100))*(F529/100)</f>
        <v/>
      </c>
      <c r="K529">
        <f>J529*(1+((Inputs!$B$12*(1+Inputs!$B$13/100))*0.01+Inputs!$B$14*0.0025)/100)*(1+Inputs!$B$15/100)*(1+Inputs!$B$16/100)*(5000/(6000+Inputs!$B$42*(1-(((1-(1-Inputs!$B$19/100)*(1-1/100))*100)+0)/100)))*(1+(Inputs!$B$24+((C549=TRUE)*(F549-Calc!F22))+B558)/100)*(1+(IF(Skills!A2="HOOK_BOMBER",Inputs!$B$17+((C548=TRUE)*(F548-Calc!F21)),Inputs!$B$18+0))/100)*((1+(((C540=TRUE)*F540)+((C546=TRUE)*(F546-Calc!F19)))/100)*I529)</f>
        <v/>
      </c>
      <c r="L529">
        <f>K529*(MIN(Inputs!$B$22+((C547=TRUE)*(F547-Calc!F20)),Inputs!$B$23+0)/100+(Inputs!$B$23+0)/100)/2</f>
        <v/>
      </c>
      <c r="M529">
        <f>L529*(1+(Inputs!$B$10+0+B557)/100)</f>
        <v/>
      </c>
      <c r="N529">
        <f>L529*(1-MIN((Inputs!$B$9+((C543=TRUE)*(F543-Calc!F16))+B552),100)/100)+M529*(MIN((Inputs!$B$9+((C543=TRUE)*(F543-Calc!F16))+B552),100)/100)</f>
        <v/>
      </c>
      <c r="O529">
        <f>(1-Summary!$B$55)*T529+Summary!$B$55*V529</f>
        <v/>
      </c>
      <c r="P529">
        <f>IF(B562=0,0,O529/B562)</f>
        <v/>
      </c>
      <c r="Q529" t="n">
        <v>0</v>
      </c>
      <c r="R529" t="n">
        <v>0</v>
      </c>
      <c r="S529">
        <f>IFERROR(O529/N529,0)</f>
        <v/>
      </c>
      <c r="T529">
        <f>IF(C529,(Skills!G2*N529*B556)*IF(Inputs!$B$38="pvp",1,1+(Inputs!$B$20+0+Skills!P2)/100),0)</f>
        <v/>
      </c>
      <c r="U529">
        <f>MAX(0,(Inputs!$B$3-100)*3)+Inputs!$B$28+Inputs!$B$29</f>
        <v/>
      </c>
      <c r="V529">
        <f>IF(C529,(Skills!G2*N529*B556)*IF(Inputs!$B$38="pvp",1,(1+(Inputs!$B$21+Skills!Q2)/100)*(MIN((6+Inputs!$B$33),Inputs!$B$37))),0)</f>
        <v/>
      </c>
    </row>
    <row r="530">
      <c r="A530">
        <f>Skills!A3</f>
        <v/>
      </c>
      <c r="B530">
        <f>Skills!B3</f>
        <v/>
      </c>
      <c r="C530">
        <f>Inputs!$B$3&gt;=35</f>
        <v/>
      </c>
      <c r="D530">
        <f>IF(Skills!C3=1,60+Inputs!$B$25+Inputs!$B$29,IF(Skills!C3=2,90+Inputs!$B$26+Inputs!$B$29,IF(Skills!C3=3,120+Inputs!$B$27+Inputs!$B$29,MAX(0,(Inputs!$B$3-100)*3)+Inputs!$B$28+Inputs!$B$29)))</f>
        <v/>
      </c>
      <c r="E530">
        <f>INDEX(FactorTable!$B$2:$Y$301, MATCH(ROUND(MIN(300,MAX(1,D530)),0), FactorTable!$A$2:$A$301,0), Skills!M3+1)</f>
        <v/>
      </c>
      <c r="F530">
        <f>IF(Skills!N3=TRUE,(Skills!L3/10)*(E530/1000),Skills!L3/10)+Skills!O3</f>
        <v/>
      </c>
      <c r="G530">
        <f>Skills!G3*IF(Skills!H3&gt;0,Skills!I3/Skills!H3,1)</f>
        <v/>
      </c>
      <c r="H530">
        <f>1-(1-Skills!J3/100)^Skills!K3</f>
        <v/>
      </c>
      <c r="I530" t="inlineStr">
        <is>
          <t>1</t>
        </is>
      </c>
      <c r="J530">
        <f>((Inputs!$B$6*(1+Inputs!$B$7/100))+(((Inputs!$B$12*(1+Inputs!$B$13/100))-(Inputs!$B$12*(1+Inputs!$B$13/100)))+0.25*(Inputs!$B$14-Inputs!$B$14))*(1+Inputs!$B$7/100))*(F530/100)</f>
        <v/>
      </c>
      <c r="K530">
        <f>J530*(1+((Inputs!$B$12*(1+Inputs!$B$13/100))*0.01+Inputs!$B$14*0.0025)/100)*(1+Inputs!$B$15/100)*(1+Inputs!$B$16/100)*(5000/(6000+Inputs!$B$42*(1-(((1-(1-Inputs!$B$19/100)*(1-1/100))*100)+0)/100)))*(1+(Inputs!$B$24+((C549=TRUE)*(F549-Calc!F22))+B558)/100)*(1+(IF(Skills!A3="HOOK_BOMBER",Inputs!$B$17+((C548=TRUE)*(F548-Calc!F21)),Inputs!$B$18+0))/100)*((1+(((C540=TRUE)*F540)+((C546=TRUE)*(F546-Calc!F19)))/100)*I530)</f>
        <v/>
      </c>
      <c r="L530">
        <f>K530*(MIN(Inputs!$B$22+((C547=TRUE)*(F547-Calc!F20)),Inputs!$B$23+0)/100+(Inputs!$B$23+0)/100)/2</f>
        <v/>
      </c>
      <c r="M530">
        <f>L530*(1+(Inputs!$B$10+0+B557)/100)</f>
        <v/>
      </c>
      <c r="N530">
        <f>L530*(1-MIN((Inputs!$B$9+((C543=TRUE)*(F543-Calc!F16))+B552),100)/100)+M530*(MIN((Inputs!$B$9+((C543=TRUE)*(F543-Calc!F16))+B552),100)/100)</f>
        <v/>
      </c>
      <c r="O530">
        <f>(1-Summary!$B$55)*T530+Summary!$B$55*V530</f>
        <v/>
      </c>
      <c r="P530">
        <f>IF(B562=0,0,O530/B562)</f>
        <v/>
      </c>
      <c r="Q530" t="n">
        <v>0</v>
      </c>
      <c r="R530" t="n">
        <v>0</v>
      </c>
      <c r="S530">
        <f>IFERROR(O530/N530,0)</f>
        <v/>
      </c>
      <c r="T530">
        <f>IF(C530,(Skills!G3*H530*N530*B556)*IF(Inputs!$B$38="pvp",1,1+(Inputs!$B$20+0+Skills!P3)/100),0)</f>
        <v/>
      </c>
      <c r="U530">
        <f>INDEX(FactorTable!$B$2:$Y$301, MATCH(ROUND(MIN(300,MAX(1,U529)),0), FactorTable!$A$2:$A$301,0), 22)</f>
        <v/>
      </c>
      <c r="V530">
        <f>IF(C530,(Skills!G3*H530*N530*B556)*IF(Inputs!$B$38="pvp",1,(1+(Inputs!$B$21+Skills!Q3)/100)*(MIN(Skills!R3,Inputs!$B$37))),0)</f>
        <v/>
      </c>
    </row>
    <row r="531">
      <c r="A531">
        <f>Skills!A4</f>
        <v/>
      </c>
      <c r="B531">
        <f>Skills!B4</f>
        <v/>
      </c>
      <c r="C531">
        <f>Inputs!$B$3&gt;=60</f>
        <v/>
      </c>
      <c r="D531">
        <f>IF(Skills!C4=1,60+Inputs!$B$25+Inputs!$B$29,IF(Skills!C4=2,90+Inputs!$B$26+Inputs!$B$29,IF(Skills!C4=3,120+Inputs!$B$27+Inputs!$B$29,MAX(0,(Inputs!$B$3-100)*3)+Inputs!$B$28+Inputs!$B$29)))</f>
        <v/>
      </c>
      <c r="E531">
        <f>INDEX(FactorTable!$B$2:$Y$301, MATCH(ROUND(MIN(300,MAX(1,D531)),0), FactorTable!$A$2:$A$301,0), Skills!M4+1)</f>
        <v/>
      </c>
      <c r="F531">
        <f>IF(Skills!N4=TRUE,(Skills!L4/10)*(E531/1000),Skills!L4/10)+Skills!O4</f>
        <v/>
      </c>
      <c r="G531">
        <f>Skills!G4*IF(Skills!H4&gt;0,Skills!I4/Skills!H4,1)</f>
        <v/>
      </c>
      <c r="H531">
        <f>1-(1-Skills!J4/100)^Skills!K4</f>
        <v/>
      </c>
      <c r="I531" t="inlineStr">
        <is>
          <t>1</t>
        </is>
      </c>
      <c r="J531">
        <f>((Inputs!$B$6*(1+Inputs!$B$7/100))+(((Inputs!$B$12*(1+Inputs!$B$13/100))-(Inputs!$B$12*(1+Inputs!$B$13/100)))+0.25*(Inputs!$B$14-Inputs!$B$14))*(1+Inputs!$B$7/100))*(F531/100)</f>
        <v/>
      </c>
      <c r="K531">
        <f>J531*(1+((Inputs!$B$12*(1+Inputs!$B$13/100))*0.01+Inputs!$B$14*0.0025)/100)*(1+Inputs!$B$15/100)*(1+Inputs!$B$16/100)*(5000/(6000+Inputs!$B$42*(1-(((1-(1-Inputs!$B$19/100)*(1-1/100))*100)+0)/100)))*(1+(Inputs!$B$24+((C549=TRUE)*(F549-Calc!F22))+B558)/100)*(1+1.0*IF(C539=TRUE,F539,0)/100)*(1+(IF(Skills!A4="HOOK_BOMBER",Inputs!$B$17+((C548=TRUE)*(F548-Calc!F21)),Inputs!$B$18+0))/100)*((1+(((C540=TRUE)*F540)+((C546=TRUE)*(F546-Calc!F19)))/100)*I531)</f>
        <v/>
      </c>
      <c r="L531">
        <f>K531*(MIN(Inputs!$B$22+((C547=TRUE)*(F547-Calc!F20)),Inputs!$B$23+0)/100+(Inputs!$B$23+0)/100)/2</f>
        <v/>
      </c>
      <c r="M531">
        <f>L531*(1+(Inputs!$B$10+0+B557)/100)</f>
        <v/>
      </c>
      <c r="N531">
        <f>L531*(1-MIN((Inputs!$B$9+((C543=TRUE)*(F543-Calc!F16))+B552),100)/100)+M531*(MIN((Inputs!$B$9+((C543=TRUE)*(F543-Calc!F16))+B552),100)/100)</f>
        <v/>
      </c>
      <c r="O531">
        <f>(1-Summary!$B$55)*T531+Summary!$B$55*V531</f>
        <v/>
      </c>
      <c r="P531">
        <f>IF(B562=0,0,O531/B562)</f>
        <v/>
      </c>
      <c r="Q531" t="n">
        <v>0</v>
      </c>
      <c r="R531" t="n">
        <v>0</v>
      </c>
      <c r="S531">
        <f>IFERROR(O531/N531,0)</f>
        <v/>
      </c>
      <c r="T531">
        <f>IF(C531,(Skills!G4*H531*N531*B556)*IF(Inputs!$B$38="pvp",1,1+(Inputs!$B$20+0+Skills!P4)/100),0)</f>
        <v/>
      </c>
      <c r="U531">
        <f>290*U530/1000</f>
        <v/>
      </c>
      <c r="V531">
        <f>IF(C531,(Skills!G4*H531*N531*B556)*IF(Inputs!$B$38="pvp",1,(1+(Inputs!$B$21+Skills!Q4)/100)*(MIN(Skills!R4,Inputs!$B$37))),0)</f>
        <v/>
      </c>
    </row>
    <row r="532">
      <c r="A532">
        <f>Skills!A5</f>
        <v/>
      </c>
      <c r="B532">
        <f>Skills!B5</f>
        <v/>
      </c>
      <c r="C532">
        <f>Inputs!$B$3&gt;=60</f>
        <v/>
      </c>
      <c r="D532">
        <f>IF(Skills!C5=1,60+Inputs!$B$25+Inputs!$B$29,IF(Skills!C5=2,90+Inputs!$B$26+Inputs!$B$29,IF(Skills!C5=3,120+Inputs!$B$27+Inputs!$B$29,MAX(0,(Inputs!$B$3-100)*3)+Inputs!$B$28+Inputs!$B$29)))</f>
        <v/>
      </c>
      <c r="E532">
        <f>INDEX(FactorTable!$B$2:$Y$301, MATCH(ROUND(MIN(300,MAX(1,D532)),0), FactorTable!$A$2:$A$301,0), Skills!M5+1)</f>
        <v/>
      </c>
      <c r="F532">
        <f>IF(Skills!N5=TRUE,(Skills!L5/10)*(E532/1000),Skills!L5/10)+Skills!O5</f>
        <v/>
      </c>
      <c r="G532">
        <f>Skills!G5*IF(Skills!H5&gt;0,Skills!I5/Skills!H5,1)</f>
        <v/>
      </c>
      <c r="H532">
        <f>1-(1-Skills!J5/100)^Skills!K5</f>
        <v/>
      </c>
      <c r="I532" t="inlineStr">
        <is>
          <t>1</t>
        </is>
      </c>
      <c r="J532" t="inlineStr"/>
      <c r="K532" t="inlineStr"/>
      <c r="L532" t="inlineStr"/>
      <c r="M532" t="inlineStr"/>
      <c r="N532" t="inlineStr"/>
      <c r="O532">
        <f>(1-Summary!$B$55)*T532+Summary!$B$55*V532</f>
        <v/>
      </c>
      <c r="P532">
        <f>IF(B562=0,0,O532/B562)</f>
        <v/>
      </c>
      <c r="Q532" t="n">
        <v>0</v>
      </c>
      <c r="R532" t="n">
        <v>0</v>
      </c>
      <c r="S532">
        <f>IFERROR(O532/N532,0)</f>
        <v/>
      </c>
      <c r="T532" t="n">
        <v>0</v>
      </c>
      <c r="V532" t="n">
        <v>0</v>
      </c>
    </row>
    <row r="533">
      <c r="A533">
        <f>Skills!A6</f>
        <v/>
      </c>
      <c r="B533">
        <f>Skills!B6</f>
        <v/>
      </c>
      <c r="C533">
        <f>Inputs!$B$3&gt;=63</f>
        <v/>
      </c>
      <c r="D533">
        <f>IF(Skills!C6=1,60+Inputs!$B$25+Inputs!$B$29,IF(Skills!C6=2,90+Inputs!$B$26+Inputs!$B$29,IF(Skills!C6=3,120+Inputs!$B$27+Inputs!$B$29,MAX(0,(Inputs!$B$3-100)*3)+Inputs!$B$28+Inputs!$B$29)))</f>
        <v/>
      </c>
      <c r="E533">
        <f>INDEX(FactorTable!$B$2:$Y$301, MATCH(ROUND(MIN(300,MAX(1,D533)),0), FactorTable!$A$2:$A$301,0), Skills!M6+1)</f>
        <v/>
      </c>
      <c r="F533">
        <f>IF(Skills!N6=TRUE,(Skills!L6/10)*(E533/1000),Skills!L6/10)+Skills!O6</f>
        <v/>
      </c>
      <c r="G533">
        <f>Skills!G6*IF(Skills!H6&gt;0,Skills!I6/Skills!H6,1)</f>
        <v/>
      </c>
      <c r="H533">
        <f>1-(1-Skills!J6/100)^Skills!K6</f>
        <v/>
      </c>
      <c r="I533" t="inlineStr">
        <is>
          <t>1</t>
        </is>
      </c>
      <c r="J533">
        <f>((Inputs!$B$6*(1+Inputs!$B$7/100))+(((Inputs!$B$12*(1+Inputs!$B$13/100))-(Inputs!$B$12*(1+Inputs!$B$13/100)))+0.25*(Inputs!$B$14-Inputs!$B$14))*(1+Inputs!$B$7/100))*(F533/100)</f>
        <v/>
      </c>
      <c r="K533">
        <f>J533*(1+((Inputs!$B$12*(1+Inputs!$B$13/100))*0.01+Inputs!$B$14*0.0025)/100)*(1+Inputs!$B$15/100)*(1+Inputs!$B$16/100)*(5000/(6000+Inputs!$B$42*(1-(((1-(1-Inputs!$B$19/100)*(1-1/100))*100)+0)/100)))*(1+(Inputs!$B$24+((C549=TRUE)*(F549-Calc!F22))+B558)/100)*(1+(IF(Skills!A6="HOOK_BOMBER",Inputs!$B$17+((C548=TRUE)*(F548-Calc!F21)),Inputs!$B$18+0))/100)*((1+(((C540=TRUE)*F540)+((C546=TRUE)*(F546-Calc!F19)))/100)*I533)</f>
        <v/>
      </c>
      <c r="L533">
        <f>K533*(MIN(Inputs!$B$22+((C547=TRUE)*(F547-Calc!F20)),Inputs!$B$23+0)/100+(Inputs!$B$23+0)/100)/2</f>
        <v/>
      </c>
      <c r="M533">
        <f>L533*(1+(Inputs!$B$10+0+B557)/100)</f>
        <v/>
      </c>
      <c r="N533">
        <f>L533*(1-MIN((Inputs!$B$9+((C543=TRUE)*(F543-Calc!F16))+B552),100)/100)+M533*(MIN((Inputs!$B$9+((C543=TRUE)*(F543-Calc!F16))+B552),100)/100)</f>
        <v/>
      </c>
      <c r="O533">
        <f>(1-Summary!$B$55)*T533+Summary!$B$55*V533</f>
        <v/>
      </c>
      <c r="P533">
        <f>IF(B562=0,0,O533/B562)</f>
        <v/>
      </c>
      <c r="Q533">
        <f>IFERROR(1/IF(Inputs!$B$38="pvp",15,MAX(0.1,Skills!D6-IF(Skills!E6=TRUE,Inputs!$B$32,0))),0)</f>
        <v/>
      </c>
      <c r="R533">
        <f>IF(AND(Inputs!$B$38&lt;&gt;"pvp",Inputs!$B$43&gt;0),IF(MAX(0,Inputs!$B$43-B559)&lt;=0,0,(INT(MAX(0,Inputs!$B$43-B559)/IF(Inputs!$B$38="pvp",15,MAX(0.1,Skills!D6-IF(Skills!E6=TRUE,Inputs!$B$32,0))))+1)),0)</f>
        <v/>
      </c>
      <c r="S533">
        <f>IFERROR(O533/N533,0)</f>
        <v/>
      </c>
      <c r="T533">
        <f>IF(C533,(H533*N533*IF(AND(Inputs!$B$38&lt;&gt;"pvp",Inputs!$B$43&gt;0),((Skills!G6*((R533-1)*IF(Skills!H6&gt;0,Skills!I6/Skills!H6,1)+IF(Skills!H6&gt;0,MIN(Skills!I6,MAX(0,MAX(0,Inputs!$B$43-B559)-((R533-1)*IF(Inputs!$B$38="pvp",15,MAX(0.1,Skills!D6-IF(Skills!E6=TRUE,Inputs!$B$32,0))))))/Skills!H6,1)))/Inputs!$B$43),G533*Q533))*IF(Inputs!$B$38="pvp",1,1+(Inputs!$B$20+0+Skills!P6)/100),0)</f>
        <v/>
      </c>
      <c r="V533">
        <f>IF(C533,(H533*N533*IF(AND(Inputs!$B$38&lt;&gt;"pvp",Inputs!$B$43&gt;0),((Skills!G6*((R533-1)*IF(Skills!H6&gt;0,Skills!I6/Skills!H6,1)+IF(Skills!H6&gt;0,MIN(Skills!I6,MAX(0,MAX(0,Inputs!$B$43-B559)-((R533-1)*IF(Inputs!$B$38="pvp",15,MAX(0.1,Skills!D6-IF(Skills!E6=TRUE,Inputs!$B$32,0))))))/Skills!H6,1)))/Inputs!$B$43),G533*Q533))*IF(Inputs!$B$38="pvp",1,(1+(Inputs!$B$21+Skills!Q6)/100)*(MIN(Skills!R6,Inputs!$B$37))),0)</f>
        <v/>
      </c>
    </row>
    <row r="534">
      <c r="A534">
        <f>Skills!A7</f>
        <v/>
      </c>
      <c r="B534">
        <f>Skills!B7</f>
        <v/>
      </c>
      <c r="C534">
        <f>Inputs!$B$3&gt;=100</f>
        <v/>
      </c>
      <c r="D534">
        <f>IF(Skills!C7=1,60+Inputs!$B$25+Inputs!$B$29,IF(Skills!C7=2,90+Inputs!$B$26+Inputs!$B$29,IF(Skills!C7=3,120+Inputs!$B$27+Inputs!$B$29,MAX(0,(Inputs!$B$3-100)*3)+Inputs!$B$28+Inputs!$B$29)))</f>
        <v/>
      </c>
      <c r="E534">
        <f>INDEX(FactorTable!$B$2:$Y$301, MATCH(ROUND(MIN(300,MAX(1,D534)),0), FactorTable!$A$2:$A$301,0), Skills!M7+1)</f>
        <v/>
      </c>
      <c r="F534">
        <f>IF(Skills!N7=TRUE,(Skills!L7/10)*(E534/1000),Skills!L7/10)+Skills!O7</f>
        <v/>
      </c>
      <c r="G534">
        <f>Skills!G7*IF(Skills!H7&gt;0,Skills!I7/Skills!H7,1)</f>
        <v/>
      </c>
      <c r="H534">
        <f>1-(1-Skills!J7/100)^Skills!K7</f>
        <v/>
      </c>
      <c r="I534" t="inlineStr">
        <is>
          <t>1</t>
        </is>
      </c>
      <c r="J534">
        <f>((Inputs!$B$6*(1+Inputs!$B$7/100))+(((Inputs!$B$12*(1+Inputs!$B$13/100))-(Inputs!$B$12*(1+Inputs!$B$13/100)))+0.25*(Inputs!$B$14-Inputs!$B$14))*(1+Inputs!$B$7/100))*(F534/100)</f>
        <v/>
      </c>
      <c r="K534">
        <f>J534*(1+((Inputs!$B$12*(1+Inputs!$B$13/100))*0.01+Inputs!$B$14*0.0025)/100)*(1+Inputs!$B$15/100)*(1+Inputs!$B$16/100)*(5000/(6000+Inputs!$B$42*(1-(((1-(1-Inputs!$B$19/100)*(1-1/100))*100)+0)/100)))*(1+(Inputs!$B$24+((C549=TRUE)*(F549-Calc!F22))+B558)/100)*(1+(IF(Skills!A7="HOOK_BOMBER",Inputs!$B$17+((C548=TRUE)*(F548-Calc!F21)),Inputs!$B$18+0))/100)*((1+(((C540=TRUE)*F540)+((C546=TRUE)*(F546-Calc!F19)))/100)*I534)</f>
        <v/>
      </c>
      <c r="L534">
        <f>K534*(MIN(Inputs!$B$22+((C547=TRUE)*(F547-Calc!F20)),Inputs!$B$23+0)/100+(Inputs!$B$23+0)/100)/2</f>
        <v/>
      </c>
      <c r="M534">
        <f>L534*(1+(Inputs!$B$10+0+B557)/100)</f>
        <v/>
      </c>
      <c r="N534">
        <f>L534*(1-MIN((Inputs!$B$9+((C543=TRUE)*(F543-Calc!F16))+B552),100)/100)+M534*(MIN((Inputs!$B$9+((C543=TRUE)*(F543-Calc!F16))+B552),100)/100)</f>
        <v/>
      </c>
      <c r="O534">
        <f>(1-Summary!$B$55)*T534+Summary!$B$55*V534</f>
        <v/>
      </c>
      <c r="P534">
        <f>IF(B562=0,0,O534/B562)</f>
        <v/>
      </c>
      <c r="Q534">
        <f>IFERROR(1/IF(Inputs!$B$38="pvp",15,MAX(0.1,Skills!D7-IF(Skills!E7=TRUE,Inputs!$B$32,0))),0)</f>
        <v/>
      </c>
      <c r="R534">
        <f>IF(AND(Inputs!$B$38&lt;&gt;"pvp",Inputs!$B$43&gt;0),IF(MAX(0,Inputs!$B$43-B559)&lt;=0,0,(INT(MAX(0,Inputs!$B$43-B559)/IF(Inputs!$B$38="pvp",15,MAX(0.1,Skills!D7-IF(Skills!E7=TRUE,Inputs!$B$32,0))))+1)),0)</f>
        <v/>
      </c>
      <c r="S534">
        <f>IFERROR(O534/N534,0)</f>
        <v/>
      </c>
      <c r="T534">
        <f>IF(C534,(H534*N534*IF(AND(Inputs!$B$38&lt;&gt;"pvp",Inputs!$B$43&gt;0),((Skills!G7*((R534-1)*IF(Skills!H7&gt;0,Skills!I7/Skills!H7,1)+IF(Skills!H7&gt;0,MIN(Skills!I7,MAX(0,MAX(0,Inputs!$B$43-B559)-((R534-1)*IF(Inputs!$B$38="pvp",15,MAX(0.1,Skills!D7-IF(Skills!E7=TRUE,Inputs!$B$32,0))))))/Skills!H7,1)))/Inputs!$B$43),G534*Q534))*IF(Inputs!$B$38="pvp",1,1+(Inputs!$B$20+0+Skills!P7)/100),0)</f>
        <v/>
      </c>
      <c r="V534">
        <f>IF(C534,(H534*N534*IF(AND(Inputs!$B$38&lt;&gt;"pvp",Inputs!$B$43&gt;0),((Skills!G7*((R534-1)*IF(Skills!H7&gt;0,Skills!I7/Skills!H7,1)+IF(Skills!H7&gt;0,MIN(Skills!I7,MAX(0,MAX(0,Inputs!$B$43-B559)-((R534-1)*IF(Inputs!$B$38="pvp",15,MAX(0.1,Skills!D7-IF(Skills!E7=TRUE,Inputs!$B$32,0))))))/Skills!H7,1)))/Inputs!$B$43),G534*Q534))*IF(Inputs!$B$38="pvp",1,(1+(Inputs!$B$21+Skills!Q7)/100)*(MIN(Skills!R7,Inputs!$B$37))),0)</f>
        <v/>
      </c>
    </row>
    <row r="535">
      <c r="A535">
        <f>Skills!A8</f>
        <v/>
      </c>
      <c r="B535">
        <f>Skills!B8</f>
        <v/>
      </c>
      <c r="C535">
        <f>Inputs!$B$3&gt;=110</f>
        <v/>
      </c>
      <c r="D535">
        <f>IF(Skills!C8=1,60+Inputs!$B$25+Inputs!$B$29,IF(Skills!C8=2,90+Inputs!$B$26+Inputs!$B$29,IF(Skills!C8=3,120+Inputs!$B$27+Inputs!$B$29,MAX(0,(Inputs!$B$3-100)*3)+Inputs!$B$28+Inputs!$B$29)))</f>
        <v/>
      </c>
      <c r="E535">
        <f>INDEX(FactorTable!$B$2:$Y$301, MATCH(ROUND(MIN(300,MAX(1,D535)),0), FactorTable!$A$2:$A$301,0), Skills!M8+1)</f>
        <v/>
      </c>
      <c r="F535">
        <f>IF(Skills!N8=TRUE,(Skills!L8/10)*(E535/1000),Skills!L8/10)+Skills!O8</f>
        <v/>
      </c>
      <c r="G535">
        <f>Skills!G8*IF(Skills!H8&gt;0,Skills!I8/Skills!H8,1)</f>
        <v/>
      </c>
      <c r="H535">
        <f>1-(1-Skills!J8/100)^Skills!K8</f>
        <v/>
      </c>
      <c r="I535" t="inlineStr">
        <is>
          <t>1</t>
        </is>
      </c>
      <c r="J535">
        <f>((Inputs!$B$6*(1+Inputs!$B$7/100))+(((Inputs!$B$12*(1+Inputs!$B$13/100))-(Inputs!$B$12*(1+Inputs!$B$13/100)))+0.25*(Inputs!$B$14-Inputs!$B$14))*(1+Inputs!$B$7/100))*(F535/100)</f>
        <v/>
      </c>
      <c r="K535">
        <f>J535*(1+((Inputs!$B$12*(1+Inputs!$B$13/100))*0.01+Inputs!$B$14*0.0025)/100)*(1+Inputs!$B$15/100)*(1+Inputs!$B$16/100)*(5000/(6000+Inputs!$B$42*(1-(((1-(1-Inputs!$B$19/100)*(1-1/100))*100)+0)/100)))*(1+(Inputs!$B$24+((C549=TRUE)*(F549-Calc!F22))+B558)/100)*(1+(IF(Skills!A8="HOOK_BOMBER",Inputs!$B$17+((C548=TRUE)*(F548-Calc!F21)),Inputs!$B$18+0))/100)*((1+(((C540=TRUE)*F540)+((C546=TRUE)*(F546-Calc!F19)))/100)*I535)</f>
        <v/>
      </c>
      <c r="L535">
        <f>K535*(MIN(Inputs!$B$22+((C547=TRUE)*(F547-Calc!F20)),Inputs!$B$23+0)/100+(Inputs!$B$23+0)/100)/2</f>
        <v/>
      </c>
      <c r="M535">
        <f>L535*(1+(Inputs!$B$10+0+B557)/100)</f>
        <v/>
      </c>
      <c r="N535">
        <f>L535*(1-MIN((Inputs!$B$9+((C543=TRUE)*(F543-Calc!F16))+B552),100)/100)+M535*(MIN((Inputs!$B$9+((C543=TRUE)*(F543-Calc!F16))+B552),100)/100)</f>
        <v/>
      </c>
      <c r="O535">
        <f>(1-Summary!$B$55)*T535+Summary!$B$55*V535</f>
        <v/>
      </c>
      <c r="P535">
        <f>IF(B562=0,0,O535/B562)</f>
        <v/>
      </c>
      <c r="Q535">
        <f>IFERROR(1/IF(Inputs!$B$38="pvp",15,MAX(0.1,Skills!D8-IF(Skills!E8=TRUE,Inputs!$B$32,0))),0)</f>
        <v/>
      </c>
      <c r="R535">
        <f>IF(AND(Inputs!$B$38&lt;&gt;"pvp",Inputs!$B$43&gt;0),IF(MAX(0,Inputs!$B$43-B559)&lt;=0,0,(INT(MAX(0,Inputs!$B$43-B559)/IF(Inputs!$B$38="pvp",15,MAX(0.1,Skills!D8-IF(Skills!E8=TRUE,Inputs!$B$32,0))))+1)),0)</f>
        <v/>
      </c>
      <c r="S535">
        <f>IFERROR(O535/N535,0)</f>
        <v/>
      </c>
      <c r="T535">
        <f>IF(C535,(H535*N535*IF(AND(Inputs!$B$38&lt;&gt;"pvp",Inputs!$B$43&gt;0),((Skills!G8*((R535-1)*IF(Skills!H8&gt;0,Skills!I8/Skills!H8,1)+IF(Skills!H8&gt;0,MIN(Skills!I8,MAX(0,MAX(0,Inputs!$B$43-B559)-((R535-1)*IF(Inputs!$B$38="pvp",15,MAX(0.1,Skills!D8-IF(Skills!E8=TRUE,Inputs!$B$32,0))))))/Skills!H8,1)))/Inputs!$B$43),G535*Q535))*IF(Inputs!$B$38="pvp",1,1+(Inputs!$B$20+0+Skills!P8)/100),0)</f>
        <v/>
      </c>
      <c r="V535">
        <f>IF(C535,(H535*N535*IF(AND(Inputs!$B$38&lt;&gt;"pvp",Inputs!$B$43&gt;0),((Skills!G8*((R535-1)*IF(Skills!H8&gt;0,Skills!I8/Skills!H8,1)+IF(Skills!H8&gt;0,MIN(Skills!I8,MAX(0,MAX(0,Inputs!$B$43-B559)-((R535-1)*IF(Inputs!$B$38="pvp",15,MAX(0.1,Skills!D8-IF(Skills!E8=TRUE,Inputs!$B$32,0))))))/Skills!H8,1)))/Inputs!$B$43),G535*Q535))*IF(Inputs!$B$38="pvp",1,(1+(Inputs!$B$21+Skills!Q8)/100)*(MIN(Skills!R8,Inputs!$B$37))),0)</f>
        <v/>
      </c>
    </row>
    <row r="536">
      <c r="A536">
        <f>Skills!A9</f>
        <v/>
      </c>
      <c r="B536">
        <f>Skills!B9</f>
        <v/>
      </c>
      <c r="C536">
        <f>Inputs!$B$3&gt;=110</f>
        <v/>
      </c>
      <c r="D536">
        <f>IF(Skills!C9=1,60+Inputs!$B$25+Inputs!$B$29,IF(Skills!C9=2,90+Inputs!$B$26+Inputs!$B$29,IF(Skills!C9=3,120+Inputs!$B$27+Inputs!$B$29,MAX(0,(Inputs!$B$3-100)*3)+Inputs!$B$28+Inputs!$B$29)))</f>
        <v/>
      </c>
      <c r="E536">
        <f>INDEX(FactorTable!$B$2:$Y$301, MATCH(ROUND(MIN(300,MAX(1,D536)),0), FactorTable!$A$2:$A$301,0), Skills!M9+1)</f>
        <v/>
      </c>
      <c r="F536">
        <f>IF(Skills!N9=TRUE,(Skills!L9/10)*(E536/1000),Skills!L9/10)+Skills!O9</f>
        <v/>
      </c>
      <c r="G536">
        <f>Skills!G9*IF(Skills!H9&gt;0,Skills!I9/Skills!H9,1)</f>
        <v/>
      </c>
      <c r="H536">
        <f>1-(1-Skills!J9/100)^Skills!K9</f>
        <v/>
      </c>
      <c r="I536" t="inlineStr">
        <is>
          <t>1</t>
        </is>
      </c>
      <c r="J536">
        <f>((Inputs!$B$6*(1+Inputs!$B$7/100))+(((Inputs!$B$12*(1+Inputs!$B$13/100))-(Inputs!$B$12*(1+Inputs!$B$13/100)))+0.25*(Inputs!$B$14-Inputs!$B$14))*(1+Inputs!$B$7/100))*(F536/100)</f>
        <v/>
      </c>
      <c r="K536">
        <f>J536*(1+((Inputs!$B$12*(1+Inputs!$B$13/100))*0.01+Inputs!$B$14*0.0025)/100)*(1+Inputs!$B$15/100)*(1+Inputs!$B$16/100)*(5000/(6000+Inputs!$B$42*(1-(((1-(1-Inputs!$B$19/100)*(1-1/100))*100)+0)/100)))*(1+(Inputs!$B$24+((C549=TRUE)*(F549-Calc!F22))+B558)/100)*(1+(IF(Skills!A9="HOOK_BOMBER",Inputs!$B$17+((C548=TRUE)*(F548-Calc!F21)),Inputs!$B$18+0))/100)*((1+(((C540=TRUE)*F540)+((C546=TRUE)*(F546-Calc!F19)))/100)*I536)</f>
        <v/>
      </c>
      <c r="L536">
        <f>K536*(MIN(Inputs!$B$22+((C547=TRUE)*(F547-Calc!F20)),Inputs!$B$23+0)/100+(Inputs!$B$23+0)/100)/2</f>
        <v/>
      </c>
      <c r="M536">
        <f>L536*(1+(Inputs!$B$10+0+B557)/100)</f>
        <v/>
      </c>
      <c r="N536">
        <f>L536*(1-MIN((Inputs!$B$9+((C543=TRUE)*(F543-Calc!F16))+B552),100)/100)+M536*(MIN((Inputs!$B$9+((C543=TRUE)*(F543-Calc!F16))+B552),100)/100)</f>
        <v/>
      </c>
      <c r="O536">
        <f>(1-Summary!$B$55)*T536+Summary!$B$55*V536</f>
        <v/>
      </c>
      <c r="P536">
        <f>IF(B562=0,0,O536/B562)</f>
        <v/>
      </c>
      <c r="Q536">
        <f>IFERROR(1/IF(Inputs!$B$38="pvp",15,MAX(0.1,Skills!D9-IF(Skills!E9=TRUE,Inputs!$B$32,0))),0)</f>
        <v/>
      </c>
      <c r="R536">
        <f>IF(AND(Inputs!$B$38&lt;&gt;"pvp",Inputs!$B$43&gt;0),IF(MAX(0,Inputs!$B$43-B559)&lt;=0,0,(INT(MAX(0,Inputs!$B$43-B559)/IF(Inputs!$B$38="pvp",15,MAX(0.1,Skills!D9-IF(Skills!E9=TRUE,Inputs!$B$32,0))))+1)),0)</f>
        <v/>
      </c>
      <c r="S536">
        <f>IFERROR(O536/N536,0)</f>
        <v/>
      </c>
      <c r="T536">
        <f>IF(C536,(H536*N536*IF(AND(Inputs!$B$38&lt;&gt;"pvp",Inputs!$B$43&gt;0),((Skills!G9*((R536-1)*IF(Skills!H9&gt;0,Skills!I9/Skills!H9,1)+IF(Skills!H9&gt;0,MIN(Skills!I9,MAX(0,MAX(0,Inputs!$B$43-B559)-((R536-1)*IF(Inputs!$B$38="pvp",15,MAX(0.1,Skills!D9-IF(Skills!E9=TRUE,Inputs!$B$32,0))))))/Skills!H9,1)))/Inputs!$B$43),G536*Q536))*IF(Inputs!$B$38="pvp",1,1+(Inputs!$B$20+0+Skills!P9)/100),0)</f>
        <v/>
      </c>
      <c r="V536">
        <f>IF(C536,(H536*N536*IF(AND(Inputs!$B$38&lt;&gt;"pvp",Inputs!$B$43&gt;0),((Skills!G9*((R536-1)*IF(Skills!H9&gt;0,Skills!I9/Skills!H9,1)+IF(Skills!H9&gt;0,MIN(Skills!I9,MAX(0,MAX(0,Inputs!$B$43-B559)-((R536-1)*IF(Inputs!$B$38="pvp",15,MAX(0.1,Skills!D9-IF(Skills!E9=TRUE,Inputs!$B$32,0))))))/Skills!H9,1)))/Inputs!$B$43),G536*Q536))*IF(Inputs!$B$38="pvp",1,(1+(Inputs!$B$21+Skills!Q9)/100)*(MIN(Skills!R9,Inputs!$B$37))),0)</f>
        <v/>
      </c>
    </row>
    <row r="537">
      <c r="A537">
        <f>Skills!A10</f>
        <v/>
      </c>
      <c r="B537">
        <f>Skills!B10</f>
        <v/>
      </c>
      <c r="C537">
        <f>Inputs!$B$3&gt;=103</f>
        <v/>
      </c>
      <c r="D537">
        <f>IF(Skills!C10=1,60+Inputs!$B$25+Inputs!$B$29,IF(Skills!C10=2,90+Inputs!$B$26+Inputs!$B$29,IF(Skills!C10=3,120+Inputs!$B$27+Inputs!$B$29,MAX(0,(Inputs!$B$3-100)*3)+Inputs!$B$28+Inputs!$B$29)))</f>
        <v/>
      </c>
      <c r="E537">
        <f>INDEX(FactorTable!$B$2:$Y$301, MATCH(ROUND(MIN(300,MAX(1,D537)),0), FactorTable!$A$2:$A$301,0), Skills!M10+1)</f>
        <v/>
      </c>
      <c r="F537">
        <f>IF(Skills!N10=TRUE,(Skills!L10/10)*(E537/1000),Skills!L10/10)+Skills!O10</f>
        <v/>
      </c>
      <c r="G537">
        <f>Skills!G10*IF(Skills!H10&gt;0,Skills!I10/Skills!H10,1)</f>
        <v/>
      </c>
      <c r="H537">
        <f>1-(1-Skills!J10/100)^Skills!K10</f>
        <v/>
      </c>
      <c r="I537" t="inlineStr">
        <is>
          <t>1</t>
        </is>
      </c>
      <c r="J537">
        <f>((Inputs!$B$6*(1+Inputs!$B$7/100))+(((Inputs!$B$12*(1+Inputs!$B$13/100))-(Inputs!$B$12*(1+Inputs!$B$13/100)))+0.25*(Inputs!$B$14-Inputs!$B$14))*(1+Inputs!$B$7/100))*(F537/100)</f>
        <v/>
      </c>
      <c r="K537">
        <f>J537*(1+((Inputs!$B$12*(1+Inputs!$B$13/100))*0.01+Inputs!$B$14*0.0025)/100)*(1+Inputs!$B$15/100)*(1+Inputs!$B$16/100)*(5000/(6000+Inputs!$B$42*(1-(((1-(1-Inputs!$B$19/100)*(1-1/100))*100)+0)/100)))*(1+(Inputs!$B$24+((C549=TRUE)*(F549-Calc!F22))+B558)/100)*(1+(IF(Skills!A10="HOOK_BOMBER",Inputs!$B$17+((C548=TRUE)*(F548-Calc!F21)),Inputs!$B$18+0))/100)*((1+(((C540=TRUE)*F540)+((C546=TRUE)*(F546-Calc!F19)))/100)*I537)</f>
        <v/>
      </c>
      <c r="L537">
        <f>K537*(MIN(Inputs!$B$22+((C547=TRUE)*(F547-Calc!F20)),Inputs!$B$23+0)/100+(Inputs!$B$23+0)/100)/2</f>
        <v/>
      </c>
      <c r="M537">
        <f>L537*(1+(Inputs!$B$10+0+B557)/100)</f>
        <v/>
      </c>
      <c r="N537">
        <f>L537*(1-MIN((Inputs!$B$9+((C543=TRUE)*(F543-Calc!F16))+B552),100)/100)+M537*(MIN((Inputs!$B$9+((C543=TRUE)*(F543-Calc!F16))+B552),100)/100)</f>
        <v/>
      </c>
      <c r="O537">
        <f>(1-Summary!$B$55)*T537+Summary!$B$55*V537</f>
        <v/>
      </c>
      <c r="P537">
        <f>IF(B562=0,0,O537/B562)</f>
        <v/>
      </c>
      <c r="Q537">
        <f>IFERROR(1/IF(Inputs!$B$38="pvp",15,MAX(0.1,Skills!D10-IF(Skills!E10=TRUE,Inputs!$B$32,0))),0)</f>
        <v/>
      </c>
      <c r="R537">
        <f>IF(AND(Inputs!$B$38&lt;&gt;"pvp",Inputs!$B$43&gt;0),IF(MAX(0,Inputs!$B$43-B559)&lt;=0,0,(INT(MAX(0,Inputs!$B$43-B559)/IF(Inputs!$B$38="pvp",15,MAX(0.1,Skills!D10-IF(Skills!E10=TRUE,Inputs!$B$32,0))))+1)),0)</f>
        <v/>
      </c>
      <c r="S537">
        <f>IFERROR(O537/N537,0)</f>
        <v/>
      </c>
      <c r="T537">
        <f>IF(C537,(H537*N537*IF(AND(Inputs!$B$38&lt;&gt;"pvp",Inputs!$B$43&gt;0),((Skills!G10*((R537-1)*IF(Skills!H10&gt;0,Skills!I10/Skills!H10,1)+IF(Skills!H10&gt;0,MIN(Skills!I10,MAX(0,MAX(0,Inputs!$B$43-B559)-((R537-1)*IF(Inputs!$B$38="pvp",15,MAX(0.1,Skills!D10-IF(Skills!E10=TRUE,Inputs!$B$32,0))))))/Skills!H10,1)))/Inputs!$B$43),G537*Q537))*IF(Inputs!$B$38="pvp",1,1+(Inputs!$B$20+0+Skills!P10)/100),0)</f>
        <v/>
      </c>
      <c r="V537">
        <f>IF(C537,(H537*N537*IF(AND(Inputs!$B$38&lt;&gt;"pvp",Inputs!$B$43&gt;0),((Skills!G10*((R537-1)*IF(Skills!H10&gt;0,Skills!I10/Skills!H10,1)+IF(Skills!H10&gt;0,MIN(Skills!I10,MAX(0,MAX(0,Inputs!$B$43-B559)-((R537-1)*IF(Inputs!$B$38="pvp",15,MAX(0.1,Skills!D10-IF(Skills!E10=TRUE,Inputs!$B$32,0))))))/Skills!H10,1)))/Inputs!$B$43),G537*Q537))*IF(Inputs!$B$38="pvp",1,(1+(Inputs!$B$21+Skills!Q10)/100)*(MIN(Skills!R10,Inputs!$B$37))),0)</f>
        <v/>
      </c>
    </row>
    <row r="538">
      <c r="A538">
        <f>Skills!A11</f>
        <v/>
      </c>
      <c r="B538">
        <f>Skills!B11</f>
        <v/>
      </c>
      <c r="C538">
        <f>Inputs!$B$3&gt;=113</f>
        <v/>
      </c>
      <c r="D538">
        <f>IF(Skills!C11=1,60+Inputs!$B$25+Inputs!$B$29,IF(Skills!C11=2,90+Inputs!$B$26+Inputs!$B$29,IF(Skills!C11=3,120+Inputs!$B$27+Inputs!$B$29,MAX(0,(Inputs!$B$3-100)*3)+Inputs!$B$28+Inputs!$B$29)))</f>
        <v/>
      </c>
      <c r="E538">
        <f>INDEX(FactorTable!$B$2:$Y$301, MATCH(ROUND(MIN(300,MAX(1,D538)),0), FactorTable!$A$2:$A$301,0), Skills!M11+1)</f>
        <v/>
      </c>
      <c r="F538">
        <f>IF(Skills!N11=TRUE,(Skills!L11/10)*(E538/1000),Skills!L11/10)+Skills!O11</f>
        <v/>
      </c>
      <c r="G538">
        <f>Skills!G11*IF(Skills!H11&gt;0,Skills!I11/Skills!H11,1)</f>
        <v/>
      </c>
      <c r="H538">
        <f>1-(1-Skills!J11/100)^Skills!K11</f>
        <v/>
      </c>
      <c r="I538" t="inlineStr">
        <is>
          <t>1</t>
        </is>
      </c>
      <c r="J538">
        <f>((Inputs!$B$6*(1+Inputs!$B$7/100))+(((Inputs!$B$12*(1+Inputs!$B$13/100))-(Inputs!$B$12*(1+Inputs!$B$13/100)))+0.25*(Inputs!$B$14-Inputs!$B$14))*(1+Inputs!$B$7/100))*(F538/100)</f>
        <v/>
      </c>
      <c r="K538">
        <f>J538*(1+((Inputs!$B$12*(1+Inputs!$B$13/100))*0.01+Inputs!$B$14*0.0025)/100)*(1+Inputs!$B$15/100)*(1+Inputs!$B$16/100)*(5000/(6000+Inputs!$B$42*(1-(((1-(1-Inputs!$B$19/100)*(1-1/100))*100)+0)/100)))*(1+(Inputs!$B$24+((C549=TRUE)*(F549-Calc!F22))+B558)/100)*(1+(IF(Skills!A11="HOOK_BOMBER",Inputs!$B$17+((C548=TRUE)*(F548-Calc!F21)),Inputs!$B$18+0))/100)*((1+(((C540=TRUE)*F540)+((C546=TRUE)*(F546-Calc!F19)))/100)*I538)</f>
        <v/>
      </c>
      <c r="L538">
        <f>K538*(MIN(Inputs!$B$22+((C547=TRUE)*(F547-Calc!F20)),Inputs!$B$23+0)/100+(Inputs!$B$23+0)/100)/2</f>
        <v/>
      </c>
      <c r="M538">
        <f>L538*(1+(Inputs!$B$10+0+B557)/100)</f>
        <v/>
      </c>
      <c r="N538">
        <f>L538*(1-MIN((Inputs!$B$9+((C543=TRUE)*(F543-Calc!F16))+B552),100)/100)+M538*(MIN((Inputs!$B$9+((C543=TRUE)*(F543-Calc!F16))+B552),100)/100)</f>
        <v/>
      </c>
      <c r="O538">
        <f>(1-Summary!$B$55)*T538+Summary!$B$55*V538</f>
        <v/>
      </c>
      <c r="P538">
        <f>IF(B562=0,0,O538/B562)</f>
        <v/>
      </c>
      <c r="Q538">
        <f>IFERROR(1/IF(Inputs!$B$38="pvp",15,MAX(0.1,Skills!D11-IF(Skills!E11=TRUE,Inputs!$B$32,0))),0)</f>
        <v/>
      </c>
      <c r="R538">
        <f>IF(AND(Inputs!$B$38&lt;&gt;"pvp",Inputs!$B$43&gt;0),IF(MAX(0,Inputs!$B$43-B559)&lt;=0,0,(INT(MAX(0,Inputs!$B$43-B559)/IF(Inputs!$B$38="pvp",15,MAX(0.1,Skills!D11-IF(Skills!E11=TRUE,Inputs!$B$32,0))))+1)),0)</f>
        <v/>
      </c>
      <c r="S538">
        <f>IFERROR(O538/N538,0)</f>
        <v/>
      </c>
      <c r="T538">
        <f>IF(C538,(H538*N538*IF(AND(Inputs!$B$38&lt;&gt;"pvp",Inputs!$B$43&gt;0),((Skills!G11*((R538-1)*IF(Skills!H11&gt;0,Skills!I11/Skills!H11,1)+IF(Skills!H11&gt;0,MIN(Skills!I11,MAX(0,MAX(0,Inputs!$B$43-B559)-((R538-1)*IF(Inputs!$B$38="pvp",15,MAX(0.1,Skills!D11-IF(Skills!E11=TRUE,Inputs!$B$32,0))))))/Skills!H11,1)))/Inputs!$B$43),G538*Q538))*IF(Inputs!$B$38="pvp",1,1+(Inputs!$B$20+0+Skills!P11)/100),0)</f>
        <v/>
      </c>
      <c r="V538">
        <f>IF(C538,(H538*N538*IF(AND(Inputs!$B$38&lt;&gt;"pvp",Inputs!$B$43&gt;0),((Skills!G11*((R538-1)*IF(Skills!H11&gt;0,Skills!I11/Skills!H11,1)+IF(Skills!H11&gt;0,MIN(Skills!I11,MAX(0,MAX(0,Inputs!$B$43-B559)-((R538-1)*IF(Inputs!$B$38="pvp",15,MAX(0.1,Skills!D11-IF(Skills!E11=TRUE,Inputs!$B$32,0))))))/Skills!H11,1)))/Inputs!$B$43),G538*Q538))*IF(Inputs!$B$38="pvp",1,(1+(Inputs!$B$21+Skills!Q11)/100)*(MIN(Skills!R11,Inputs!$B$37))),0)</f>
        <v/>
      </c>
    </row>
    <row r="539">
      <c r="A539">
        <f>Skills!A12</f>
        <v/>
      </c>
      <c r="B539">
        <f>Skills!B12</f>
        <v/>
      </c>
      <c r="C539">
        <f>Inputs!$B$3&gt;=100</f>
        <v/>
      </c>
      <c r="D539">
        <f>IF(Skills!C12=1,60+Inputs!$B$25+Inputs!$B$29,IF(Skills!C12=2,90+Inputs!$B$26+Inputs!$B$29,IF(Skills!C12=3,120+Inputs!$B$27+Inputs!$B$29,MAX(0,(Inputs!$B$3-100)*3)+Inputs!$B$28+Inputs!$B$29)))</f>
        <v/>
      </c>
      <c r="E539">
        <f>INDEX(FactorTable!$B$2:$Y$301, MATCH(ROUND(MIN(300,MAX(1,D539)),0), FactorTable!$A$2:$A$301,0), Skills!M12+1)</f>
        <v/>
      </c>
      <c r="F539">
        <f>IF(Skills!N12=TRUE,(Skills!L12/10)*(E539/1000),Skills!L12/10)+Skills!O12</f>
        <v/>
      </c>
      <c r="G539" t="inlineStr"/>
      <c r="H539" t="inlineStr"/>
      <c r="I539" t="inlineStr">
        <is>
          <t>1</t>
        </is>
      </c>
      <c r="J539" t="inlineStr"/>
      <c r="K539" t="inlineStr"/>
      <c r="L539" t="inlineStr"/>
      <c r="M539" t="inlineStr"/>
      <c r="N539" t="inlineStr"/>
      <c r="O539" t="inlineStr"/>
      <c r="P539" t="inlineStr"/>
      <c r="Q539" t="inlineStr"/>
      <c r="R539" t="inlineStr"/>
      <c r="S539" t="inlineStr"/>
      <c r="T539" t="inlineStr"/>
      <c r="V539" t="inlineStr"/>
    </row>
    <row r="540">
      <c r="A540">
        <f>Skills!A13</f>
        <v/>
      </c>
      <c r="B540">
        <f>Skills!B13</f>
        <v/>
      </c>
      <c r="C540">
        <f>Inputs!$B$3&gt;=66</f>
        <v/>
      </c>
      <c r="D540">
        <f>IF(Skills!C13=1,60+Inputs!$B$25+Inputs!$B$29,IF(Skills!C13=2,90+Inputs!$B$26+Inputs!$B$29,IF(Skills!C13=3,120+Inputs!$B$27+Inputs!$B$29,MAX(0,(Inputs!$B$3-100)*3)+Inputs!$B$28+Inputs!$B$29)))</f>
        <v/>
      </c>
      <c r="E540">
        <f>INDEX(FactorTable!$B$2:$Y$301, MATCH(ROUND(MIN(300,MAX(1,D540)),0), FactorTable!$A$2:$A$301,0), Skills!M13+1)</f>
        <v/>
      </c>
      <c r="F540">
        <f>IF(Skills!N13=TRUE,(Skills!L13/10)*(E540/1000),Skills!L13/10)+Skills!O13</f>
        <v/>
      </c>
      <c r="G540">
        <f>Skills!G13*IF(Skills!H13&gt;0,Skills!I13/Skills!H13,1)</f>
        <v/>
      </c>
      <c r="H540">
        <f>1-(1-Skills!J13/100)^Skills!K13</f>
        <v/>
      </c>
      <c r="I540" t="inlineStr">
        <is>
          <t>1</t>
        </is>
      </c>
      <c r="J540" t="inlineStr"/>
      <c r="K540" t="inlineStr"/>
      <c r="L540" t="inlineStr"/>
      <c r="M540" t="inlineStr"/>
      <c r="N540" t="inlineStr"/>
      <c r="O540">
        <f>(1-Summary!$B$55)*T540+Summary!$B$55*V540</f>
        <v/>
      </c>
      <c r="P540">
        <f>IF(B562=0,0,O540/B562)</f>
        <v/>
      </c>
      <c r="Q540" t="n">
        <v>0</v>
      </c>
      <c r="R540" t="n">
        <v>0</v>
      </c>
      <c r="S540">
        <f>IFERROR(O540/N540,0)</f>
        <v/>
      </c>
      <c r="T540" t="n">
        <v>0</v>
      </c>
      <c r="V540" t="n">
        <v>0</v>
      </c>
    </row>
    <row r="541">
      <c r="A541">
        <f>Skills!A14</f>
        <v/>
      </c>
      <c r="B541">
        <f>Skills!B14</f>
        <v/>
      </c>
      <c r="C541">
        <f>Inputs!$B$3&gt;=107</f>
        <v/>
      </c>
      <c r="D541">
        <f>IF(Skills!C14=1,60+Inputs!$B$25+Inputs!$B$29,IF(Skills!C14=2,90+Inputs!$B$26+Inputs!$B$29,IF(Skills!C14=3,120+Inputs!$B$27+Inputs!$B$29,MAX(0,(Inputs!$B$3-100)*3)+Inputs!$B$28+Inputs!$B$29)))</f>
        <v/>
      </c>
      <c r="E541">
        <f>INDEX(FactorTable!$B$2:$Y$301, MATCH(ROUND(MIN(300,MAX(1,D541)),0), FactorTable!$A$2:$A$301,0), Skills!M14+1)</f>
        <v/>
      </c>
      <c r="F541">
        <f>IF(Skills!N14=TRUE,(Skills!L14/10)*(E541/1000),Skills!L14/10)+Skills!O14</f>
        <v/>
      </c>
      <c r="G541">
        <f>Skills!G14*IF(Skills!H14&gt;0,Skills!I14/Skills!H14,1)</f>
        <v/>
      </c>
      <c r="H541">
        <f>1-(1-Skills!J14/100)^Skills!K14</f>
        <v/>
      </c>
      <c r="I541" t="inlineStr">
        <is>
          <t>1</t>
        </is>
      </c>
      <c r="J541" t="inlineStr"/>
      <c r="K541" t="inlineStr"/>
      <c r="L541" t="inlineStr"/>
      <c r="M541" t="inlineStr"/>
      <c r="N541" t="inlineStr"/>
      <c r="O541">
        <f>(1-Summary!$B$55)*T541+Summary!$B$55*V541</f>
        <v/>
      </c>
      <c r="P541">
        <f>IF(B562=0,0,O541/B562)</f>
        <v/>
      </c>
      <c r="Q541" t="n">
        <v>0</v>
      </c>
      <c r="R541" t="n">
        <v>0</v>
      </c>
      <c r="S541">
        <f>IFERROR(O541/N541,0)</f>
        <v/>
      </c>
      <c r="T541" t="n">
        <v>0</v>
      </c>
      <c r="V541" t="n">
        <v>0</v>
      </c>
    </row>
    <row r="542">
      <c r="A542">
        <f>Skills!A15</f>
        <v/>
      </c>
      <c r="B542">
        <f>Skills!B15</f>
        <v/>
      </c>
      <c r="C542">
        <f>Inputs!$B$3&gt;=115</f>
        <v/>
      </c>
      <c r="D542">
        <f>IF(Skills!C15=1,60+Inputs!$B$25+Inputs!$B$29,IF(Skills!C15=2,90+Inputs!$B$26+Inputs!$B$29,IF(Skills!C15=3,120+Inputs!$B$27+Inputs!$B$29,MAX(0,(Inputs!$B$3-100)*3)+Inputs!$B$28+Inputs!$B$29)))</f>
        <v/>
      </c>
      <c r="E542">
        <f>INDEX(FactorTable!$B$2:$Y$301, MATCH(ROUND(MIN(300,MAX(1,D542)),0), FactorTable!$A$2:$A$301,0), Skills!M15+1)</f>
        <v/>
      </c>
      <c r="F542">
        <f>IF(Skills!N15=TRUE,(Skills!L15/10)*(E542/1000),Skills!L15/10)+Skills!O15</f>
        <v/>
      </c>
      <c r="G542">
        <f>Skills!G15*IF(Skills!H15&gt;0,Skills!I15/Skills!H15,1)</f>
        <v/>
      </c>
      <c r="H542">
        <f>1-(1-Skills!J15/100)^Skills!K15</f>
        <v/>
      </c>
      <c r="I542" t="inlineStr">
        <is>
          <t>1</t>
        </is>
      </c>
      <c r="J542" t="inlineStr"/>
      <c r="K542" t="inlineStr"/>
      <c r="L542" t="inlineStr"/>
      <c r="M542" t="inlineStr"/>
      <c r="N542" t="inlineStr"/>
      <c r="O542">
        <f>(1-Summary!$B$55)*T542+Summary!$B$55*V542</f>
        <v/>
      </c>
      <c r="P542">
        <f>IF(B562=0,0,O542/B562)</f>
        <v/>
      </c>
      <c r="Q542" t="n">
        <v>0</v>
      </c>
      <c r="R542" t="n">
        <v>0</v>
      </c>
      <c r="S542">
        <f>IFERROR(O542/N542,0)</f>
        <v/>
      </c>
      <c r="T542" t="n">
        <v>0</v>
      </c>
      <c r="V542" t="n">
        <v>0</v>
      </c>
    </row>
    <row r="543">
      <c r="A543">
        <f>Skills!A16</f>
        <v/>
      </c>
      <c r="B543">
        <f>Skills!B16</f>
        <v/>
      </c>
      <c r="C543">
        <f>Inputs!$B$3&gt;=15</f>
        <v/>
      </c>
      <c r="D543">
        <f>IF(Skills!C16=1,60+Inputs!$B$25+Inputs!$B$29,IF(Skills!C16=2,90+Inputs!$B$26+Inputs!$B$29,IF(Skills!C16=3,120+Inputs!$B$27+Inputs!$B$29,MAX(0,(Inputs!$B$3-100)*3)+Inputs!$B$28+Inputs!$B$29)))</f>
        <v/>
      </c>
      <c r="E543">
        <f>INDEX(FactorTable!$B$2:$Y$301, MATCH(ROUND(MIN(300,MAX(1,D543)),0), FactorTable!$A$2:$A$301,0), Skills!M16+1)</f>
        <v/>
      </c>
      <c r="F543">
        <f>IF(Skills!N16=TRUE,(Skills!L16/10)*(E543/1000),Skills!L16/10)+Skills!O16</f>
        <v/>
      </c>
      <c r="G543">
        <f>Skills!G16*IF(Skills!H16&gt;0,Skills!I16/Skills!H16,1)</f>
        <v/>
      </c>
      <c r="H543">
        <f>1-(1-Skills!J16/100)^Skills!K16</f>
        <v/>
      </c>
      <c r="I543" t="inlineStr">
        <is>
          <t>1</t>
        </is>
      </c>
      <c r="J543" t="inlineStr"/>
      <c r="K543" t="inlineStr"/>
      <c r="L543" t="inlineStr"/>
      <c r="M543" t="inlineStr"/>
      <c r="N543" t="inlineStr"/>
      <c r="O543">
        <f>(1-Summary!$B$55)*T543+Summary!$B$55*V543</f>
        <v/>
      </c>
      <c r="P543">
        <f>IF(B562=0,0,O543/B562)</f>
        <v/>
      </c>
      <c r="Q543" t="n">
        <v>0</v>
      </c>
      <c r="R543" t="n">
        <v>0</v>
      </c>
      <c r="S543">
        <f>IFERROR(O543/N543,0)</f>
        <v/>
      </c>
      <c r="T543" t="n">
        <v>0</v>
      </c>
      <c r="V543" t="n">
        <v>0</v>
      </c>
    </row>
    <row r="544">
      <c r="A544">
        <f>Skills!A17</f>
        <v/>
      </c>
      <c r="B544">
        <f>Skills!B17</f>
        <v/>
      </c>
      <c r="C544">
        <f>Inputs!$B$3&gt;=10</f>
        <v/>
      </c>
      <c r="D544">
        <f>IF(Skills!C17=1,60+Inputs!$B$25+Inputs!$B$29,IF(Skills!C17=2,90+Inputs!$B$26+Inputs!$B$29,IF(Skills!C17=3,120+Inputs!$B$27+Inputs!$B$29,MAX(0,(Inputs!$B$3-100)*3)+Inputs!$B$28+Inputs!$B$29)))</f>
        <v/>
      </c>
      <c r="E544">
        <f>INDEX(FactorTable!$B$2:$Y$301, MATCH(ROUND(MIN(300,MAX(1,D544)),0), FactorTable!$A$2:$A$301,0), Skills!M17+1)</f>
        <v/>
      </c>
      <c r="F544">
        <f>IF(Skills!N17=TRUE,(Skills!L17/10)*(E544/1000),Skills!L17/10)+Skills!O17</f>
        <v/>
      </c>
      <c r="G544">
        <f>Skills!G17*IF(Skills!H17&gt;0,Skills!I17/Skills!H17,1)</f>
        <v/>
      </c>
      <c r="H544">
        <f>1-(1-Skills!J17/100)^Skills!K17</f>
        <v/>
      </c>
      <c r="I544" t="inlineStr">
        <is>
          <t>1</t>
        </is>
      </c>
      <c r="J544" t="inlineStr"/>
      <c r="K544" t="inlineStr"/>
      <c r="L544" t="inlineStr"/>
      <c r="M544" t="inlineStr"/>
      <c r="N544" t="inlineStr"/>
      <c r="O544">
        <f>(1-Summary!$B$55)*T544+Summary!$B$55*V544</f>
        <v/>
      </c>
      <c r="P544">
        <f>IF(B562=0,0,O544/B562)</f>
        <v/>
      </c>
      <c r="Q544" t="n">
        <v>0</v>
      </c>
      <c r="R544" t="n">
        <v>0</v>
      </c>
      <c r="S544">
        <f>IFERROR(O544/N544,0)</f>
        <v/>
      </c>
      <c r="T544" t="n">
        <v>0</v>
      </c>
      <c r="V544" t="n">
        <v>0</v>
      </c>
    </row>
    <row r="545">
      <c r="A545">
        <f>Skills!A18</f>
        <v/>
      </c>
      <c r="B545">
        <f>Skills!B18</f>
        <v/>
      </c>
      <c r="C545">
        <f>Inputs!$B$3&gt;=33</f>
        <v/>
      </c>
      <c r="D545">
        <f>IF(Skills!C18=1,60+Inputs!$B$25+Inputs!$B$29,IF(Skills!C18=2,90+Inputs!$B$26+Inputs!$B$29,IF(Skills!C18=3,120+Inputs!$B$27+Inputs!$B$29,MAX(0,(Inputs!$B$3-100)*3)+Inputs!$B$28+Inputs!$B$29)))</f>
        <v/>
      </c>
      <c r="E545">
        <f>INDEX(FactorTable!$B$2:$Y$301, MATCH(ROUND(MIN(300,MAX(1,D545)),0), FactorTable!$A$2:$A$301,0), Skills!M18+1)</f>
        <v/>
      </c>
      <c r="F545">
        <f>IF(Skills!N18=TRUE,(Skills!L18/10)*(E545/1000),Skills!L18/10)+Skills!O18</f>
        <v/>
      </c>
      <c r="G545">
        <f>Skills!G18*IF(Skills!H18&gt;0,Skills!I18/Skills!H18,1)</f>
        <v/>
      </c>
      <c r="H545">
        <f>1-(1-Skills!J18/100)^Skills!K18</f>
        <v/>
      </c>
      <c r="I545" t="inlineStr">
        <is>
          <t>1</t>
        </is>
      </c>
      <c r="J545" t="inlineStr"/>
      <c r="K545" t="inlineStr"/>
      <c r="L545" t="inlineStr"/>
      <c r="M545" t="inlineStr"/>
      <c r="N545" t="inlineStr"/>
      <c r="O545">
        <f>(1-Summary!$B$55)*T545+Summary!$B$55*V545</f>
        <v/>
      </c>
      <c r="P545">
        <f>IF(B562=0,0,O545/B562)</f>
        <v/>
      </c>
      <c r="Q545" t="n">
        <v>0</v>
      </c>
      <c r="R545" t="n">
        <v>0</v>
      </c>
      <c r="S545">
        <f>IFERROR(O545/N545,0)</f>
        <v/>
      </c>
      <c r="T545" t="n">
        <v>0</v>
      </c>
      <c r="V545" t="n">
        <v>0</v>
      </c>
    </row>
    <row r="546">
      <c r="A546">
        <f>Skills!A19</f>
        <v/>
      </c>
      <c r="B546">
        <f>Skills!B19</f>
        <v/>
      </c>
      <c r="C546">
        <f>Inputs!$B$3&gt;=40</f>
        <v/>
      </c>
      <c r="D546">
        <f>IF(Skills!C19=1,60+Inputs!$B$25+Inputs!$B$29,IF(Skills!C19=2,90+Inputs!$B$26+Inputs!$B$29,IF(Skills!C19=3,120+Inputs!$B$27+Inputs!$B$29,MAX(0,(Inputs!$B$3-100)*3)+Inputs!$B$28+Inputs!$B$29)))</f>
        <v/>
      </c>
      <c r="E546">
        <f>INDEX(FactorTable!$B$2:$Y$301, MATCH(ROUND(MIN(300,MAX(1,D546)),0), FactorTable!$A$2:$A$301,0), Skills!M19+1)</f>
        <v/>
      </c>
      <c r="F546">
        <f>IF(Skills!N19=TRUE,(Skills!L19/10)*(E546/1000),Skills!L19/10)+Skills!O19</f>
        <v/>
      </c>
      <c r="G546">
        <f>Skills!G19*IF(Skills!H19&gt;0,Skills!I19/Skills!H19,1)</f>
        <v/>
      </c>
      <c r="H546">
        <f>1-(1-Skills!J19/100)^Skills!K19</f>
        <v/>
      </c>
      <c r="I546" t="inlineStr">
        <is>
          <t>1</t>
        </is>
      </c>
      <c r="J546" t="inlineStr"/>
      <c r="K546" t="inlineStr"/>
      <c r="L546" t="inlineStr"/>
      <c r="M546" t="inlineStr"/>
      <c r="N546" t="inlineStr"/>
      <c r="O546">
        <f>(1-Summary!$B$55)*T546+Summary!$B$55*V546</f>
        <v/>
      </c>
      <c r="P546">
        <f>IF(B562=0,0,O546/B562)</f>
        <v/>
      </c>
      <c r="Q546" t="n">
        <v>0</v>
      </c>
      <c r="R546" t="n">
        <v>0</v>
      </c>
      <c r="S546">
        <f>IFERROR(O546/N546,0)</f>
        <v/>
      </c>
      <c r="T546" t="n">
        <v>0</v>
      </c>
      <c r="V546" t="n">
        <v>0</v>
      </c>
    </row>
    <row r="547">
      <c r="A547">
        <f>Skills!A20</f>
        <v/>
      </c>
      <c r="B547">
        <f>Skills!B20</f>
        <v/>
      </c>
      <c r="C547">
        <f>Inputs!$B$3&gt;=43</f>
        <v/>
      </c>
      <c r="D547">
        <f>IF(Skills!C20=1,60+Inputs!$B$25+Inputs!$B$29,IF(Skills!C20=2,90+Inputs!$B$26+Inputs!$B$29,IF(Skills!C20=3,120+Inputs!$B$27+Inputs!$B$29,MAX(0,(Inputs!$B$3-100)*3)+Inputs!$B$28+Inputs!$B$29)))</f>
        <v/>
      </c>
      <c r="E547">
        <f>INDEX(FactorTable!$B$2:$Y$301, MATCH(ROUND(MIN(300,MAX(1,D547)),0), FactorTable!$A$2:$A$301,0), Skills!M20+1)</f>
        <v/>
      </c>
      <c r="F547">
        <f>IF(Skills!N20=TRUE,(Skills!L20/10)*(E547/1000),Skills!L20/10)+Skills!O20</f>
        <v/>
      </c>
      <c r="G547">
        <f>Skills!G20*IF(Skills!H20&gt;0,Skills!I20/Skills!H20,1)</f>
        <v/>
      </c>
      <c r="H547">
        <f>1-(1-Skills!J20/100)^Skills!K20</f>
        <v/>
      </c>
      <c r="I547" t="inlineStr">
        <is>
          <t>1</t>
        </is>
      </c>
      <c r="J547" t="inlineStr"/>
      <c r="K547" t="inlineStr"/>
      <c r="L547" t="inlineStr"/>
      <c r="M547" t="inlineStr"/>
      <c r="N547" t="inlineStr"/>
      <c r="O547">
        <f>(1-Summary!$B$55)*T547+Summary!$B$55*V547</f>
        <v/>
      </c>
      <c r="P547">
        <f>IF(B562=0,0,O547/B562)</f>
        <v/>
      </c>
      <c r="Q547" t="n">
        <v>0</v>
      </c>
      <c r="R547" t="n">
        <v>0</v>
      </c>
      <c r="S547">
        <f>IFERROR(O547/N547,0)</f>
        <v/>
      </c>
      <c r="T547" t="n">
        <v>0</v>
      </c>
      <c r="V547" t="n">
        <v>0</v>
      </c>
    </row>
    <row r="548">
      <c r="A548">
        <f>Skills!A21</f>
        <v/>
      </c>
      <c r="B548">
        <f>Skills!B21</f>
        <v/>
      </c>
      <c r="C548">
        <f>Inputs!$B$3&gt;=38</f>
        <v/>
      </c>
      <c r="D548">
        <f>IF(Skills!C21=1,60+Inputs!$B$25+Inputs!$B$29,IF(Skills!C21=2,90+Inputs!$B$26+Inputs!$B$29,IF(Skills!C21=3,120+Inputs!$B$27+Inputs!$B$29,MAX(0,(Inputs!$B$3-100)*3)+Inputs!$B$28+Inputs!$B$29)))</f>
        <v/>
      </c>
      <c r="E548">
        <f>INDEX(FactorTable!$B$2:$Y$301, MATCH(ROUND(MIN(300,MAX(1,D548)),0), FactorTable!$A$2:$A$301,0), Skills!M21+1)</f>
        <v/>
      </c>
      <c r="F548">
        <f>IF(Skills!N21=TRUE,(Skills!L21/10)*(E548/1000),Skills!L21/10)+Skills!O21</f>
        <v/>
      </c>
      <c r="G548">
        <f>Skills!G21*IF(Skills!H21&gt;0,Skills!I21/Skills!H21,1)</f>
        <v/>
      </c>
      <c r="H548">
        <f>1-(1-Skills!J21/100)^Skills!K21</f>
        <v/>
      </c>
      <c r="I548" t="inlineStr">
        <is>
          <t>1</t>
        </is>
      </c>
      <c r="J548" t="inlineStr"/>
      <c r="K548" t="inlineStr"/>
      <c r="L548" t="inlineStr"/>
      <c r="M548" t="inlineStr"/>
      <c r="N548" t="inlineStr"/>
      <c r="O548">
        <f>(1-Summary!$B$55)*T548+Summary!$B$55*V548</f>
        <v/>
      </c>
      <c r="P548">
        <f>IF(B562=0,0,O548/B562)</f>
        <v/>
      </c>
      <c r="Q548" t="n">
        <v>0</v>
      </c>
      <c r="R548" t="n">
        <v>0</v>
      </c>
      <c r="S548">
        <f>IFERROR(O548/N548,0)</f>
        <v/>
      </c>
      <c r="T548" t="n">
        <v>0</v>
      </c>
      <c r="V548" t="n">
        <v>0</v>
      </c>
    </row>
    <row r="549">
      <c r="A549">
        <f>Skills!A22</f>
        <v/>
      </c>
      <c r="B549">
        <f>Skills!B22</f>
        <v/>
      </c>
      <c r="C549">
        <f>Inputs!$B$3&gt;=75</f>
        <v/>
      </c>
      <c r="D549">
        <f>IF(Skills!C22=1,60+Inputs!$B$25+Inputs!$B$29,IF(Skills!C22=2,90+Inputs!$B$26+Inputs!$B$29,IF(Skills!C22=3,120+Inputs!$B$27+Inputs!$B$29,MAX(0,(Inputs!$B$3-100)*3)+Inputs!$B$28+Inputs!$B$29)))</f>
        <v/>
      </c>
      <c r="E549">
        <f>INDEX(FactorTable!$B$2:$Y$301, MATCH(ROUND(MIN(300,MAX(1,D549)),0), FactorTable!$A$2:$A$301,0), Skills!M22+1)</f>
        <v/>
      </c>
      <c r="F549">
        <f>IF(Skills!N22=TRUE,(Skills!L22/10)*(E549/1000),Skills!L22/10)+Skills!O22</f>
        <v/>
      </c>
      <c r="G549">
        <f>Skills!G22*IF(Skills!H22&gt;0,Skills!I22/Skills!H22,1)</f>
        <v/>
      </c>
      <c r="H549">
        <f>1-(1-Skills!J22/100)^Skills!K22</f>
        <v/>
      </c>
      <c r="I549" t="inlineStr">
        <is>
          <t>1</t>
        </is>
      </c>
      <c r="J549" t="inlineStr"/>
      <c r="K549" t="inlineStr"/>
      <c r="L549" t="inlineStr"/>
      <c r="M549" t="inlineStr"/>
      <c r="N549" t="inlineStr"/>
      <c r="O549">
        <f>(1-Summary!$B$55)*T549+Summary!$B$55*V549</f>
        <v/>
      </c>
      <c r="P549">
        <f>IF(B562=0,0,O549/B562)</f>
        <v/>
      </c>
      <c r="Q549" t="n">
        <v>0</v>
      </c>
      <c r="R549" t="n">
        <v>0</v>
      </c>
      <c r="S549">
        <f>IFERROR(O549/N549,0)</f>
        <v/>
      </c>
      <c r="T549" t="n">
        <v>0</v>
      </c>
      <c r="V549" t="n">
        <v>0</v>
      </c>
    </row>
    <row r="551">
      <c r="A551" t="inlineStr">
        <is>
          <t>Attack% Bucket Multiplier</t>
        </is>
      </c>
      <c r="B551">
        <f>(1+(((C540=TRUE)*F540)+((C546=TRUE)*(F546-Calc!F19)))/100)</f>
        <v/>
      </c>
    </row>
    <row r="552">
      <c r="A552" t="inlineStr">
        <is>
          <t>Global Crit Rate Bonus %</t>
        </is>
      </c>
      <c r="B552" t="n">
        <v>0</v>
      </c>
    </row>
    <row r="553">
      <c r="A553" t="inlineStr">
        <is>
          <t>Attack Speed Buff Bonus % (unused)</t>
        </is>
      </c>
      <c r="B553" t="n">
        <v>0</v>
      </c>
    </row>
    <row r="554">
      <c r="A554" t="inlineStr">
        <is>
          <t>Actions Per Second</t>
        </is>
      </c>
      <c r="B554">
        <f>1+MIN(150,150*(1-(1-(Inputs!$B$11+((C544=TRUE)*(F544-Calc!F17))+((C545=TRUE)*(F545-Calc!F18)))/150)*(1-B553/150)))/100</f>
        <v/>
      </c>
    </row>
    <row r="555">
      <c r="A555" t="inlineStr">
        <is>
          <t>Skill + Buff Cast Rate</t>
        </is>
      </c>
      <c r="B555">
        <f>IF(AND(Inputs!$B$38&lt;&gt;"pvp",Inputs!$B$43&gt;0),SUMPRODUCT((Skills!E2:E22=TRUE)*(C529:C549=TRUE)*R529:R549*Skills!F2:F22)/Inputs!$B$43,SUMPRODUCT((Skills!E2:E22=TRUE)*(C529:C549=TRUE)*Q529:Q549*Skills!F2:F22))</f>
        <v/>
      </c>
    </row>
    <row r="556">
      <c r="A556" t="inlineStr">
        <is>
          <t>Hook Bomber Casts Per Second</t>
        </is>
      </c>
      <c r="B556">
        <f>MAX(0,B554-B555)</f>
        <v/>
      </c>
    </row>
    <row r="557">
      <c r="A557" t="inlineStr">
        <is>
          <t>Global Critical Damage Bonus % (unused)</t>
        </is>
      </c>
      <c r="B557" t="n">
        <v>0</v>
      </c>
    </row>
    <row r="558">
      <c r="A558" t="inlineStr">
        <is>
          <t>Global Final Damage Bonus % (Serpent Scale + Crossbones + Time Leap + Speed Infusion)</t>
        </is>
      </c>
      <c r="B558">
        <f>((C532=TRUE)*F532*((10+IF(Inputs!$B$3&gt;=94,5,0))/((10+IF(Inputs!$B$3&gt;=94,5,0))+5/(B556*(1+IF(Inputs!$B$3&gt;=104,1,0))))))+((C541=TRUE)*F541)+((C542=TRUE)*F542)+((Inputs!$B$3&gt;=110)*20*(B554-1))</f>
        <v/>
      </c>
    </row>
    <row r="559">
      <c r="A559" t="inlineStr">
        <is>
          <t>Buff-Casting Startup Delay (s, fixed-duration only)</t>
        </is>
      </c>
      <c r="B559">
        <f>IF(AND(Inputs!$B$38&lt;&gt;"pvp",Inputs!$B$43&gt;0),SUMPRODUCT((Skills!T2:T22&gt;0)*(Skills!E2:E22=TRUE)*(C529:C549=TRUE))/B554,0)</f>
        <v/>
      </c>
    </row>
    <row r="560">
      <c r="A560" t="inlineStr">
        <is>
          <t>Boss-Only Total DPS (this block's swept value)</t>
        </is>
      </c>
      <c r="B560">
        <f>SUM(T529:T549)</f>
        <v/>
      </c>
    </row>
    <row r="561">
      <c r="A561" t="inlineStr">
        <is>
          <t>Normal-Only Total DPS (this block's swept value)</t>
        </is>
      </c>
      <c r="B561">
        <f>SUM(V529:V549)</f>
        <v/>
      </c>
    </row>
    <row r="562">
      <c r="A562" s="5" t="inlineStr">
        <is>
          <t>TOTAL DPS</t>
        </is>
      </c>
      <c r="B562" s="5">
        <f>SUM(O529:O549)</f>
        <v/>
      </c>
    </row>
    <row r="565">
      <c r="A565" s="5" t="inlineStr">
        <is>
          <t>Stat: BASIC_ATTACK_DAMAGE %</t>
        </is>
      </c>
    </row>
    <row r="566">
      <c r="A566" s="9" t="inlineStr">
        <is>
          <t>Key</t>
        </is>
      </c>
      <c r="B566" s="9" t="inlineStr">
        <is>
          <t>Name</t>
        </is>
      </c>
      <c r="C566" s="9" t="inlineStr">
        <is>
          <t>Unlocked</t>
        </is>
      </c>
      <c r="D566" s="9" t="inlineStr">
        <is>
          <t>InputLevel</t>
        </is>
      </c>
      <c r="E566" s="9" t="inlineStr">
        <is>
          <t>Factor</t>
        </is>
      </c>
      <c r="F566" s="9" t="inlineStr">
        <is>
          <t>CoefficientPercent</t>
        </is>
      </c>
      <c r="G566" s="9" t="inlineStr">
        <is>
          <t>EffectiveHits</t>
        </is>
      </c>
      <c r="H566" s="9" t="inlineStr">
        <is>
          <t>ProcProbability</t>
        </is>
      </c>
      <c r="I566" s="9" t="inlineStr">
        <is>
          <t>MapleHeroMultiplier</t>
        </is>
      </c>
      <c r="J566" s="9" t="inlineStr">
        <is>
          <t>BaseDamage</t>
        </is>
      </c>
      <c r="K566" s="9" t="inlineStr">
        <is>
          <t>BaseHitDamage</t>
        </is>
      </c>
      <c r="L566" s="9" t="inlineStr">
        <is>
          <t>NonCritAvg</t>
        </is>
      </c>
      <c r="M566" s="9" t="inlineStr">
        <is>
          <t>CritAvg</t>
        </is>
      </c>
      <c r="N566" s="9" t="inlineStr">
        <is>
          <t>ExpectedDamage(perHit)</t>
        </is>
      </c>
      <c r="O566" s="9" t="inlineStr">
        <is>
          <t>DPS</t>
        </is>
      </c>
      <c r="P566" s="9" t="inlineStr">
        <is>
          <t>% of Total</t>
        </is>
      </c>
      <c r="Q566" s="9" t="inlineStr">
        <is>
          <t>InvCooldown</t>
        </is>
      </c>
      <c r="R566" s="9" t="inlineStr">
        <is>
          <t>CastsInFight</t>
        </is>
      </c>
      <c r="S566" s="9" t="inlineStr">
        <is>
          <t>HitRate(perSec)</t>
        </is>
      </c>
      <c r="U566" t="inlineStr">
        <is>
          <t>helpers</t>
        </is>
      </c>
    </row>
    <row r="567">
      <c r="A567">
        <f>Skills!A2</f>
        <v/>
      </c>
      <c r="B567">
        <f>Skills!B2</f>
        <v/>
      </c>
      <c r="C567">
        <f>Inputs!$B$3&gt;=100</f>
        <v/>
      </c>
      <c r="D567" t="inlineStr"/>
      <c r="E567" t="inlineStr"/>
      <c r="F567">
        <f>U569+Skills!O2</f>
        <v/>
      </c>
      <c r="G567">
        <f>Skills!G2*IF(Skills!H2&gt;0,Skills!I2/Skills!H2,1)</f>
        <v/>
      </c>
      <c r="H567">
        <f>1-(1-Skills!J2/100)^Skills!K2</f>
        <v/>
      </c>
      <c r="I567" t="inlineStr">
        <is>
          <t>1</t>
        </is>
      </c>
      <c r="J567">
        <f>((Inputs!$B$6*(1+Inputs!$B$7/100))+(((Inputs!$B$12*(1+Inputs!$B$13/100))-(Inputs!$B$12*(1+Inputs!$B$13/100)))+0.25*(Inputs!$B$14-Inputs!$B$14))*(1+Inputs!$B$7/100))*(F567/100)</f>
        <v/>
      </c>
      <c r="K567">
        <f>J567*(1+((Inputs!$B$12*(1+Inputs!$B$13/100))*0.01+Inputs!$B$14*0.0025)/100)*(1+Inputs!$B$15/100)*(1+Inputs!$B$16/100)*(5000/(6000+Inputs!$B$42*(1-(Inputs!$B$19+0)/100)))*(1+(Inputs!$B$24+((C587=TRUE)*(F587-Calc!F22))+B596)/100)*(1+(IF(Skills!A2="HOOK_BOMBER",(Inputs!$B$17+1)+((C586=TRUE)*(F586-Calc!F21)),Inputs!$B$18+0))/100)*((1+(((C578=TRUE)*F578)+((C584=TRUE)*(F584-Calc!F19)))/100)*I567)</f>
        <v/>
      </c>
      <c r="L567">
        <f>K567*(MIN(Inputs!$B$22+((C585=TRUE)*(F585-Calc!F20)),Inputs!$B$23+0)/100+(Inputs!$B$23+0)/100)/2</f>
        <v/>
      </c>
      <c r="M567">
        <f>L567*(1+(Inputs!$B$10+0+B595)/100)</f>
        <v/>
      </c>
      <c r="N567">
        <f>L567*(1-MIN((Inputs!$B$9+((C581=TRUE)*(F581-Calc!F16))+B590),100)/100)+M567*(MIN((Inputs!$B$9+((C581=TRUE)*(F581-Calc!F16))+B590),100)/100)</f>
        <v/>
      </c>
      <c r="O567">
        <f>(1-Summary!$B$55)*T567+Summary!$B$55*V567</f>
        <v/>
      </c>
      <c r="P567">
        <f>IF(B600=0,0,O567/B600)</f>
        <v/>
      </c>
      <c r="Q567" t="n">
        <v>0</v>
      </c>
      <c r="R567" t="n">
        <v>0</v>
      </c>
      <c r="S567">
        <f>IFERROR(O567/N567,0)</f>
        <v/>
      </c>
      <c r="T567">
        <f>IF(C567,(Skills!G2*N567*B594)*IF(Inputs!$B$38="pvp",1,1+(Inputs!$B$20+0+Skills!P2)/100),0)</f>
        <v/>
      </c>
      <c r="U567">
        <f>MAX(0,(Inputs!$B$3-100)*3)+Inputs!$B$28+Inputs!$B$29</f>
        <v/>
      </c>
      <c r="V567">
        <f>IF(C567,(Skills!G2*N567*B594)*IF(Inputs!$B$38="pvp",1,(1+(Inputs!$B$21+Skills!Q2)/100)*(MIN((6+Inputs!$B$33),Inputs!$B$37))),0)</f>
        <v/>
      </c>
    </row>
    <row r="568">
      <c r="A568">
        <f>Skills!A3</f>
        <v/>
      </c>
      <c r="B568">
        <f>Skills!B3</f>
        <v/>
      </c>
      <c r="C568">
        <f>Inputs!$B$3&gt;=35</f>
        <v/>
      </c>
      <c r="D568">
        <f>IF(Skills!C3=1,60+Inputs!$B$25+Inputs!$B$29,IF(Skills!C3=2,90+Inputs!$B$26+Inputs!$B$29,IF(Skills!C3=3,120+Inputs!$B$27+Inputs!$B$29,MAX(0,(Inputs!$B$3-100)*3)+Inputs!$B$28+Inputs!$B$29)))</f>
        <v/>
      </c>
      <c r="E568">
        <f>INDEX(FactorTable!$B$2:$Y$301, MATCH(ROUND(MIN(300,MAX(1,D568)),0), FactorTable!$A$2:$A$301,0), Skills!M3+1)</f>
        <v/>
      </c>
      <c r="F568">
        <f>IF(Skills!N3=TRUE,(Skills!L3/10)*(E568/1000),Skills!L3/10)+Skills!O3</f>
        <v/>
      </c>
      <c r="G568">
        <f>Skills!G3*IF(Skills!H3&gt;0,Skills!I3/Skills!H3,1)</f>
        <v/>
      </c>
      <c r="H568">
        <f>1-(1-Skills!J3/100)^Skills!K3</f>
        <v/>
      </c>
      <c r="I568" t="inlineStr">
        <is>
          <t>1</t>
        </is>
      </c>
      <c r="J568">
        <f>((Inputs!$B$6*(1+Inputs!$B$7/100))+(((Inputs!$B$12*(1+Inputs!$B$13/100))-(Inputs!$B$12*(1+Inputs!$B$13/100)))+0.25*(Inputs!$B$14-Inputs!$B$14))*(1+Inputs!$B$7/100))*(F568/100)</f>
        <v/>
      </c>
      <c r="K568">
        <f>J568*(1+((Inputs!$B$12*(1+Inputs!$B$13/100))*0.01+Inputs!$B$14*0.0025)/100)*(1+Inputs!$B$15/100)*(1+Inputs!$B$16/100)*(5000/(6000+Inputs!$B$42*(1-(Inputs!$B$19+0)/100)))*(1+(Inputs!$B$24+((C587=TRUE)*(F587-Calc!F22))+B596)/100)*(1+(IF(Skills!A3="HOOK_BOMBER",(Inputs!$B$17+1)+((C586=TRUE)*(F586-Calc!F21)),Inputs!$B$18+0))/100)*((1+(((C578=TRUE)*F578)+((C584=TRUE)*(F584-Calc!F19)))/100)*I568)</f>
        <v/>
      </c>
      <c r="L568">
        <f>K568*(MIN(Inputs!$B$22+((C585=TRUE)*(F585-Calc!F20)),Inputs!$B$23+0)/100+(Inputs!$B$23+0)/100)/2</f>
        <v/>
      </c>
      <c r="M568">
        <f>L568*(1+(Inputs!$B$10+0+B595)/100)</f>
        <v/>
      </c>
      <c r="N568">
        <f>L568*(1-MIN((Inputs!$B$9+((C581=TRUE)*(F581-Calc!F16))+B590),100)/100)+M568*(MIN((Inputs!$B$9+((C581=TRUE)*(F581-Calc!F16))+B590),100)/100)</f>
        <v/>
      </c>
      <c r="O568">
        <f>(1-Summary!$B$55)*T568+Summary!$B$55*V568</f>
        <v/>
      </c>
      <c r="P568">
        <f>IF(B600=0,0,O568/B600)</f>
        <v/>
      </c>
      <c r="Q568" t="n">
        <v>0</v>
      </c>
      <c r="R568" t="n">
        <v>0</v>
      </c>
      <c r="S568">
        <f>IFERROR(O568/N568,0)</f>
        <v/>
      </c>
      <c r="T568">
        <f>IF(C568,(Skills!G3*H568*N568*B594)*IF(Inputs!$B$38="pvp",1,1+(Inputs!$B$20+0+Skills!P3)/100),0)</f>
        <v/>
      </c>
      <c r="U568">
        <f>INDEX(FactorTable!$B$2:$Y$301, MATCH(ROUND(MIN(300,MAX(1,U567)),0), FactorTable!$A$2:$A$301,0), 22)</f>
        <v/>
      </c>
      <c r="V568">
        <f>IF(C568,(Skills!G3*H568*N568*B594)*IF(Inputs!$B$38="pvp",1,(1+(Inputs!$B$21+Skills!Q3)/100)*(MIN(Skills!R3,Inputs!$B$37))),0)</f>
        <v/>
      </c>
    </row>
    <row r="569">
      <c r="A569">
        <f>Skills!A4</f>
        <v/>
      </c>
      <c r="B569">
        <f>Skills!B4</f>
        <v/>
      </c>
      <c r="C569">
        <f>Inputs!$B$3&gt;=60</f>
        <v/>
      </c>
      <c r="D569">
        <f>IF(Skills!C4=1,60+Inputs!$B$25+Inputs!$B$29,IF(Skills!C4=2,90+Inputs!$B$26+Inputs!$B$29,IF(Skills!C4=3,120+Inputs!$B$27+Inputs!$B$29,MAX(0,(Inputs!$B$3-100)*3)+Inputs!$B$28+Inputs!$B$29)))</f>
        <v/>
      </c>
      <c r="E569">
        <f>INDEX(FactorTable!$B$2:$Y$301, MATCH(ROUND(MIN(300,MAX(1,D569)),0), FactorTable!$A$2:$A$301,0), Skills!M4+1)</f>
        <v/>
      </c>
      <c r="F569">
        <f>IF(Skills!N4=TRUE,(Skills!L4/10)*(E569/1000),Skills!L4/10)+Skills!O4</f>
        <v/>
      </c>
      <c r="G569">
        <f>Skills!G4*IF(Skills!H4&gt;0,Skills!I4/Skills!H4,1)</f>
        <v/>
      </c>
      <c r="H569">
        <f>1-(1-Skills!J4/100)^Skills!K4</f>
        <v/>
      </c>
      <c r="I569" t="inlineStr">
        <is>
          <t>1</t>
        </is>
      </c>
      <c r="J569">
        <f>((Inputs!$B$6*(1+Inputs!$B$7/100))+(((Inputs!$B$12*(1+Inputs!$B$13/100))-(Inputs!$B$12*(1+Inputs!$B$13/100)))+0.25*(Inputs!$B$14-Inputs!$B$14))*(1+Inputs!$B$7/100))*(F569/100)</f>
        <v/>
      </c>
      <c r="K569">
        <f>J569*(1+((Inputs!$B$12*(1+Inputs!$B$13/100))*0.01+Inputs!$B$14*0.0025)/100)*(1+Inputs!$B$15/100)*(1+Inputs!$B$16/100)*(5000/(6000+Inputs!$B$42*(1-(Inputs!$B$19+0)/100)))*(1+(Inputs!$B$24+((C587=TRUE)*(F587-Calc!F22))+B596)/100)*(1+1.0*IF(C577=TRUE,F577,0)/100)*(1+(IF(Skills!A4="HOOK_BOMBER",(Inputs!$B$17+1)+((C586=TRUE)*(F586-Calc!F21)),Inputs!$B$18+0))/100)*((1+(((C578=TRUE)*F578)+((C584=TRUE)*(F584-Calc!F19)))/100)*I569)</f>
        <v/>
      </c>
      <c r="L569">
        <f>K569*(MIN(Inputs!$B$22+((C585=TRUE)*(F585-Calc!F20)),Inputs!$B$23+0)/100+(Inputs!$B$23+0)/100)/2</f>
        <v/>
      </c>
      <c r="M569">
        <f>L569*(1+(Inputs!$B$10+0+B595)/100)</f>
        <v/>
      </c>
      <c r="N569">
        <f>L569*(1-MIN((Inputs!$B$9+((C581=TRUE)*(F581-Calc!F16))+B590),100)/100)+M569*(MIN((Inputs!$B$9+((C581=TRUE)*(F581-Calc!F16))+B590),100)/100)</f>
        <v/>
      </c>
      <c r="O569">
        <f>(1-Summary!$B$55)*T569+Summary!$B$55*V569</f>
        <v/>
      </c>
      <c r="P569">
        <f>IF(B600=0,0,O569/B600)</f>
        <v/>
      </c>
      <c r="Q569" t="n">
        <v>0</v>
      </c>
      <c r="R569" t="n">
        <v>0</v>
      </c>
      <c r="S569">
        <f>IFERROR(O569/N569,0)</f>
        <v/>
      </c>
      <c r="T569">
        <f>IF(C569,(Skills!G4*H569*N569*B594)*IF(Inputs!$B$38="pvp",1,1+(Inputs!$B$20+0+Skills!P4)/100),0)</f>
        <v/>
      </c>
      <c r="U569">
        <f>290*U568/1000</f>
        <v/>
      </c>
      <c r="V569">
        <f>IF(C569,(Skills!G4*H569*N569*B594)*IF(Inputs!$B$38="pvp",1,(1+(Inputs!$B$21+Skills!Q4)/100)*(MIN(Skills!R4,Inputs!$B$37))),0)</f>
        <v/>
      </c>
    </row>
    <row r="570">
      <c r="A570">
        <f>Skills!A5</f>
        <v/>
      </c>
      <c r="B570">
        <f>Skills!B5</f>
        <v/>
      </c>
      <c r="C570">
        <f>Inputs!$B$3&gt;=60</f>
        <v/>
      </c>
      <c r="D570">
        <f>IF(Skills!C5=1,60+Inputs!$B$25+Inputs!$B$29,IF(Skills!C5=2,90+Inputs!$B$26+Inputs!$B$29,IF(Skills!C5=3,120+Inputs!$B$27+Inputs!$B$29,MAX(0,(Inputs!$B$3-100)*3)+Inputs!$B$28+Inputs!$B$29)))</f>
        <v/>
      </c>
      <c r="E570">
        <f>INDEX(FactorTable!$B$2:$Y$301, MATCH(ROUND(MIN(300,MAX(1,D570)),0), FactorTable!$A$2:$A$301,0), Skills!M5+1)</f>
        <v/>
      </c>
      <c r="F570">
        <f>IF(Skills!N5=TRUE,(Skills!L5/10)*(E570/1000),Skills!L5/10)+Skills!O5</f>
        <v/>
      </c>
      <c r="G570">
        <f>Skills!G5*IF(Skills!H5&gt;0,Skills!I5/Skills!H5,1)</f>
        <v/>
      </c>
      <c r="H570">
        <f>1-(1-Skills!J5/100)^Skills!K5</f>
        <v/>
      </c>
      <c r="I570" t="inlineStr">
        <is>
          <t>1</t>
        </is>
      </c>
      <c r="J570" t="inlineStr"/>
      <c r="K570" t="inlineStr"/>
      <c r="L570" t="inlineStr"/>
      <c r="M570" t="inlineStr"/>
      <c r="N570" t="inlineStr"/>
      <c r="O570">
        <f>(1-Summary!$B$55)*T570+Summary!$B$55*V570</f>
        <v/>
      </c>
      <c r="P570">
        <f>IF(B600=0,0,O570/B600)</f>
        <v/>
      </c>
      <c r="Q570" t="n">
        <v>0</v>
      </c>
      <c r="R570" t="n">
        <v>0</v>
      </c>
      <c r="S570">
        <f>IFERROR(O570/N570,0)</f>
        <v/>
      </c>
      <c r="T570" t="n">
        <v>0</v>
      </c>
      <c r="V570" t="n">
        <v>0</v>
      </c>
    </row>
    <row r="571">
      <c r="A571">
        <f>Skills!A6</f>
        <v/>
      </c>
      <c r="B571">
        <f>Skills!B6</f>
        <v/>
      </c>
      <c r="C571">
        <f>Inputs!$B$3&gt;=63</f>
        <v/>
      </c>
      <c r="D571">
        <f>IF(Skills!C6=1,60+Inputs!$B$25+Inputs!$B$29,IF(Skills!C6=2,90+Inputs!$B$26+Inputs!$B$29,IF(Skills!C6=3,120+Inputs!$B$27+Inputs!$B$29,MAX(0,(Inputs!$B$3-100)*3)+Inputs!$B$28+Inputs!$B$29)))</f>
        <v/>
      </c>
      <c r="E571">
        <f>INDEX(FactorTable!$B$2:$Y$301, MATCH(ROUND(MIN(300,MAX(1,D571)),0), FactorTable!$A$2:$A$301,0), Skills!M6+1)</f>
        <v/>
      </c>
      <c r="F571">
        <f>IF(Skills!N6=TRUE,(Skills!L6/10)*(E571/1000),Skills!L6/10)+Skills!O6</f>
        <v/>
      </c>
      <c r="G571">
        <f>Skills!G6*IF(Skills!H6&gt;0,Skills!I6/Skills!H6,1)</f>
        <v/>
      </c>
      <c r="H571">
        <f>1-(1-Skills!J6/100)^Skills!K6</f>
        <v/>
      </c>
      <c r="I571" t="inlineStr">
        <is>
          <t>1</t>
        </is>
      </c>
      <c r="J571">
        <f>((Inputs!$B$6*(1+Inputs!$B$7/100))+(((Inputs!$B$12*(1+Inputs!$B$13/100))-(Inputs!$B$12*(1+Inputs!$B$13/100)))+0.25*(Inputs!$B$14-Inputs!$B$14))*(1+Inputs!$B$7/100))*(F571/100)</f>
        <v/>
      </c>
      <c r="K571">
        <f>J571*(1+((Inputs!$B$12*(1+Inputs!$B$13/100))*0.01+Inputs!$B$14*0.0025)/100)*(1+Inputs!$B$15/100)*(1+Inputs!$B$16/100)*(5000/(6000+Inputs!$B$42*(1-(Inputs!$B$19+0)/100)))*(1+(Inputs!$B$24+((C587=TRUE)*(F587-Calc!F22))+B596)/100)*(1+(IF(Skills!A6="HOOK_BOMBER",(Inputs!$B$17+1)+((C586=TRUE)*(F586-Calc!F21)),Inputs!$B$18+0))/100)*((1+(((C578=TRUE)*F578)+((C584=TRUE)*(F584-Calc!F19)))/100)*I571)</f>
        <v/>
      </c>
      <c r="L571">
        <f>K571*(MIN(Inputs!$B$22+((C585=TRUE)*(F585-Calc!F20)),Inputs!$B$23+0)/100+(Inputs!$B$23+0)/100)/2</f>
        <v/>
      </c>
      <c r="M571">
        <f>L571*(1+(Inputs!$B$10+0+B595)/100)</f>
        <v/>
      </c>
      <c r="N571">
        <f>L571*(1-MIN((Inputs!$B$9+((C581=TRUE)*(F581-Calc!F16))+B590),100)/100)+M571*(MIN((Inputs!$B$9+((C581=TRUE)*(F581-Calc!F16))+B590),100)/100)</f>
        <v/>
      </c>
      <c r="O571">
        <f>(1-Summary!$B$55)*T571+Summary!$B$55*V571</f>
        <v/>
      </c>
      <c r="P571">
        <f>IF(B600=0,0,O571/B600)</f>
        <v/>
      </c>
      <c r="Q571">
        <f>IFERROR(1/IF(Inputs!$B$38="pvp",15,MAX(0.1,Skills!D6-IF(Skills!E6=TRUE,Inputs!$B$32,0))),0)</f>
        <v/>
      </c>
      <c r="R571">
        <f>IF(AND(Inputs!$B$38&lt;&gt;"pvp",Inputs!$B$43&gt;0),IF(MAX(0,Inputs!$B$43-B597)&lt;=0,0,(INT(MAX(0,Inputs!$B$43-B597)/IF(Inputs!$B$38="pvp",15,MAX(0.1,Skills!D6-IF(Skills!E6=TRUE,Inputs!$B$32,0))))+1)),0)</f>
        <v/>
      </c>
      <c r="S571">
        <f>IFERROR(O571/N571,0)</f>
        <v/>
      </c>
      <c r="T571">
        <f>IF(C571,(H571*N571*IF(AND(Inputs!$B$38&lt;&gt;"pvp",Inputs!$B$43&gt;0),((Skills!G6*((R571-1)*IF(Skills!H6&gt;0,Skills!I6/Skills!H6,1)+IF(Skills!H6&gt;0,MIN(Skills!I6,MAX(0,MAX(0,Inputs!$B$43-B597)-((R571-1)*IF(Inputs!$B$38="pvp",15,MAX(0.1,Skills!D6-IF(Skills!E6=TRUE,Inputs!$B$32,0))))))/Skills!H6,1)))/Inputs!$B$43),G571*Q571))*IF(Inputs!$B$38="pvp",1,1+(Inputs!$B$20+0+Skills!P6)/100),0)</f>
        <v/>
      </c>
      <c r="V571">
        <f>IF(C571,(H571*N571*IF(AND(Inputs!$B$38&lt;&gt;"pvp",Inputs!$B$43&gt;0),((Skills!G6*((R571-1)*IF(Skills!H6&gt;0,Skills!I6/Skills!H6,1)+IF(Skills!H6&gt;0,MIN(Skills!I6,MAX(0,MAX(0,Inputs!$B$43-B597)-((R571-1)*IF(Inputs!$B$38="pvp",15,MAX(0.1,Skills!D6-IF(Skills!E6=TRUE,Inputs!$B$32,0))))))/Skills!H6,1)))/Inputs!$B$43),G571*Q571))*IF(Inputs!$B$38="pvp",1,(1+(Inputs!$B$21+Skills!Q6)/100)*(MIN(Skills!R6,Inputs!$B$37))),0)</f>
        <v/>
      </c>
    </row>
    <row r="572">
      <c r="A572">
        <f>Skills!A7</f>
        <v/>
      </c>
      <c r="B572">
        <f>Skills!B7</f>
        <v/>
      </c>
      <c r="C572">
        <f>Inputs!$B$3&gt;=100</f>
        <v/>
      </c>
      <c r="D572">
        <f>IF(Skills!C7=1,60+Inputs!$B$25+Inputs!$B$29,IF(Skills!C7=2,90+Inputs!$B$26+Inputs!$B$29,IF(Skills!C7=3,120+Inputs!$B$27+Inputs!$B$29,MAX(0,(Inputs!$B$3-100)*3)+Inputs!$B$28+Inputs!$B$29)))</f>
        <v/>
      </c>
      <c r="E572">
        <f>INDEX(FactorTable!$B$2:$Y$301, MATCH(ROUND(MIN(300,MAX(1,D572)),0), FactorTable!$A$2:$A$301,0), Skills!M7+1)</f>
        <v/>
      </c>
      <c r="F572">
        <f>IF(Skills!N7=TRUE,(Skills!L7/10)*(E572/1000),Skills!L7/10)+Skills!O7</f>
        <v/>
      </c>
      <c r="G572">
        <f>Skills!G7*IF(Skills!H7&gt;0,Skills!I7/Skills!H7,1)</f>
        <v/>
      </c>
      <c r="H572">
        <f>1-(1-Skills!J7/100)^Skills!K7</f>
        <v/>
      </c>
      <c r="I572" t="inlineStr">
        <is>
          <t>1</t>
        </is>
      </c>
      <c r="J572">
        <f>((Inputs!$B$6*(1+Inputs!$B$7/100))+(((Inputs!$B$12*(1+Inputs!$B$13/100))-(Inputs!$B$12*(1+Inputs!$B$13/100)))+0.25*(Inputs!$B$14-Inputs!$B$14))*(1+Inputs!$B$7/100))*(F572/100)</f>
        <v/>
      </c>
      <c r="K572">
        <f>J572*(1+((Inputs!$B$12*(1+Inputs!$B$13/100))*0.01+Inputs!$B$14*0.0025)/100)*(1+Inputs!$B$15/100)*(1+Inputs!$B$16/100)*(5000/(6000+Inputs!$B$42*(1-(Inputs!$B$19+0)/100)))*(1+(Inputs!$B$24+((C587=TRUE)*(F587-Calc!F22))+B596)/100)*(1+(IF(Skills!A7="HOOK_BOMBER",(Inputs!$B$17+1)+((C586=TRUE)*(F586-Calc!F21)),Inputs!$B$18+0))/100)*((1+(((C578=TRUE)*F578)+((C584=TRUE)*(F584-Calc!F19)))/100)*I572)</f>
        <v/>
      </c>
      <c r="L572">
        <f>K572*(MIN(Inputs!$B$22+((C585=TRUE)*(F585-Calc!F20)),Inputs!$B$23+0)/100+(Inputs!$B$23+0)/100)/2</f>
        <v/>
      </c>
      <c r="M572">
        <f>L572*(1+(Inputs!$B$10+0+B595)/100)</f>
        <v/>
      </c>
      <c r="N572">
        <f>L572*(1-MIN((Inputs!$B$9+((C581=TRUE)*(F581-Calc!F16))+B590),100)/100)+M572*(MIN((Inputs!$B$9+((C581=TRUE)*(F581-Calc!F16))+B590),100)/100)</f>
        <v/>
      </c>
      <c r="O572">
        <f>(1-Summary!$B$55)*T572+Summary!$B$55*V572</f>
        <v/>
      </c>
      <c r="P572">
        <f>IF(B600=0,0,O572/B600)</f>
        <v/>
      </c>
      <c r="Q572">
        <f>IFERROR(1/IF(Inputs!$B$38="pvp",15,MAX(0.1,Skills!D7-IF(Skills!E7=TRUE,Inputs!$B$32,0))),0)</f>
        <v/>
      </c>
      <c r="R572">
        <f>IF(AND(Inputs!$B$38&lt;&gt;"pvp",Inputs!$B$43&gt;0),IF(MAX(0,Inputs!$B$43-B597)&lt;=0,0,(INT(MAX(0,Inputs!$B$43-B597)/IF(Inputs!$B$38="pvp",15,MAX(0.1,Skills!D7-IF(Skills!E7=TRUE,Inputs!$B$32,0))))+1)),0)</f>
        <v/>
      </c>
      <c r="S572">
        <f>IFERROR(O572/N572,0)</f>
        <v/>
      </c>
      <c r="T572">
        <f>IF(C572,(H572*N572*IF(AND(Inputs!$B$38&lt;&gt;"pvp",Inputs!$B$43&gt;0),((Skills!G7*((R572-1)*IF(Skills!H7&gt;0,Skills!I7/Skills!H7,1)+IF(Skills!H7&gt;0,MIN(Skills!I7,MAX(0,MAX(0,Inputs!$B$43-B597)-((R572-1)*IF(Inputs!$B$38="pvp",15,MAX(0.1,Skills!D7-IF(Skills!E7=TRUE,Inputs!$B$32,0))))))/Skills!H7,1)))/Inputs!$B$43),G572*Q572))*IF(Inputs!$B$38="pvp",1,1+(Inputs!$B$20+0+Skills!P7)/100),0)</f>
        <v/>
      </c>
      <c r="V572">
        <f>IF(C572,(H572*N572*IF(AND(Inputs!$B$38&lt;&gt;"pvp",Inputs!$B$43&gt;0),((Skills!G7*((R572-1)*IF(Skills!H7&gt;0,Skills!I7/Skills!H7,1)+IF(Skills!H7&gt;0,MIN(Skills!I7,MAX(0,MAX(0,Inputs!$B$43-B597)-((R572-1)*IF(Inputs!$B$38="pvp",15,MAX(0.1,Skills!D7-IF(Skills!E7=TRUE,Inputs!$B$32,0))))))/Skills!H7,1)))/Inputs!$B$43),G572*Q572))*IF(Inputs!$B$38="pvp",1,(1+(Inputs!$B$21+Skills!Q7)/100)*(MIN(Skills!R7,Inputs!$B$37))),0)</f>
        <v/>
      </c>
    </row>
    <row r="573">
      <c r="A573">
        <f>Skills!A8</f>
        <v/>
      </c>
      <c r="B573">
        <f>Skills!B8</f>
        <v/>
      </c>
      <c r="C573">
        <f>Inputs!$B$3&gt;=110</f>
        <v/>
      </c>
      <c r="D573">
        <f>IF(Skills!C8=1,60+Inputs!$B$25+Inputs!$B$29,IF(Skills!C8=2,90+Inputs!$B$26+Inputs!$B$29,IF(Skills!C8=3,120+Inputs!$B$27+Inputs!$B$29,MAX(0,(Inputs!$B$3-100)*3)+Inputs!$B$28+Inputs!$B$29)))</f>
        <v/>
      </c>
      <c r="E573">
        <f>INDEX(FactorTable!$B$2:$Y$301, MATCH(ROUND(MIN(300,MAX(1,D573)),0), FactorTable!$A$2:$A$301,0), Skills!M8+1)</f>
        <v/>
      </c>
      <c r="F573">
        <f>IF(Skills!N8=TRUE,(Skills!L8/10)*(E573/1000),Skills!L8/10)+Skills!O8</f>
        <v/>
      </c>
      <c r="G573">
        <f>Skills!G8*IF(Skills!H8&gt;0,Skills!I8/Skills!H8,1)</f>
        <v/>
      </c>
      <c r="H573">
        <f>1-(1-Skills!J8/100)^Skills!K8</f>
        <v/>
      </c>
      <c r="I573" t="inlineStr">
        <is>
          <t>1</t>
        </is>
      </c>
      <c r="J573">
        <f>((Inputs!$B$6*(1+Inputs!$B$7/100))+(((Inputs!$B$12*(1+Inputs!$B$13/100))-(Inputs!$B$12*(1+Inputs!$B$13/100)))+0.25*(Inputs!$B$14-Inputs!$B$14))*(1+Inputs!$B$7/100))*(F573/100)</f>
        <v/>
      </c>
      <c r="K573">
        <f>J573*(1+((Inputs!$B$12*(1+Inputs!$B$13/100))*0.01+Inputs!$B$14*0.0025)/100)*(1+Inputs!$B$15/100)*(1+Inputs!$B$16/100)*(5000/(6000+Inputs!$B$42*(1-(Inputs!$B$19+0)/100)))*(1+(Inputs!$B$24+((C587=TRUE)*(F587-Calc!F22))+B596)/100)*(1+(IF(Skills!A8="HOOK_BOMBER",(Inputs!$B$17+1)+((C586=TRUE)*(F586-Calc!F21)),Inputs!$B$18+0))/100)*((1+(((C578=TRUE)*F578)+((C584=TRUE)*(F584-Calc!F19)))/100)*I573)</f>
        <v/>
      </c>
      <c r="L573">
        <f>K573*(MIN(Inputs!$B$22+((C585=TRUE)*(F585-Calc!F20)),Inputs!$B$23+0)/100+(Inputs!$B$23+0)/100)/2</f>
        <v/>
      </c>
      <c r="M573">
        <f>L573*(1+(Inputs!$B$10+0+B595)/100)</f>
        <v/>
      </c>
      <c r="N573">
        <f>L573*(1-MIN((Inputs!$B$9+((C581=TRUE)*(F581-Calc!F16))+B590),100)/100)+M573*(MIN((Inputs!$B$9+((C581=TRUE)*(F581-Calc!F16))+B590),100)/100)</f>
        <v/>
      </c>
      <c r="O573">
        <f>(1-Summary!$B$55)*T573+Summary!$B$55*V573</f>
        <v/>
      </c>
      <c r="P573">
        <f>IF(B600=0,0,O573/B600)</f>
        <v/>
      </c>
      <c r="Q573">
        <f>IFERROR(1/IF(Inputs!$B$38="pvp",15,MAX(0.1,Skills!D8-IF(Skills!E8=TRUE,Inputs!$B$32,0))),0)</f>
        <v/>
      </c>
      <c r="R573">
        <f>IF(AND(Inputs!$B$38&lt;&gt;"pvp",Inputs!$B$43&gt;0),IF(MAX(0,Inputs!$B$43-B597)&lt;=0,0,(INT(MAX(0,Inputs!$B$43-B597)/IF(Inputs!$B$38="pvp",15,MAX(0.1,Skills!D8-IF(Skills!E8=TRUE,Inputs!$B$32,0))))+1)),0)</f>
        <v/>
      </c>
      <c r="S573">
        <f>IFERROR(O573/N573,0)</f>
        <v/>
      </c>
      <c r="T573">
        <f>IF(C573,(H573*N573*IF(AND(Inputs!$B$38&lt;&gt;"pvp",Inputs!$B$43&gt;0),((Skills!G8*((R573-1)*IF(Skills!H8&gt;0,Skills!I8/Skills!H8,1)+IF(Skills!H8&gt;0,MIN(Skills!I8,MAX(0,MAX(0,Inputs!$B$43-B597)-((R573-1)*IF(Inputs!$B$38="pvp",15,MAX(0.1,Skills!D8-IF(Skills!E8=TRUE,Inputs!$B$32,0))))))/Skills!H8,1)))/Inputs!$B$43),G573*Q573))*IF(Inputs!$B$38="pvp",1,1+(Inputs!$B$20+0+Skills!P8)/100),0)</f>
        <v/>
      </c>
      <c r="V573">
        <f>IF(C573,(H573*N573*IF(AND(Inputs!$B$38&lt;&gt;"pvp",Inputs!$B$43&gt;0),((Skills!G8*((R573-1)*IF(Skills!H8&gt;0,Skills!I8/Skills!H8,1)+IF(Skills!H8&gt;0,MIN(Skills!I8,MAX(0,MAX(0,Inputs!$B$43-B597)-((R573-1)*IF(Inputs!$B$38="pvp",15,MAX(0.1,Skills!D8-IF(Skills!E8=TRUE,Inputs!$B$32,0))))))/Skills!H8,1)))/Inputs!$B$43),G573*Q573))*IF(Inputs!$B$38="pvp",1,(1+(Inputs!$B$21+Skills!Q8)/100)*(MIN(Skills!R8,Inputs!$B$37))),0)</f>
        <v/>
      </c>
    </row>
    <row r="574">
      <c r="A574">
        <f>Skills!A9</f>
        <v/>
      </c>
      <c r="B574">
        <f>Skills!B9</f>
        <v/>
      </c>
      <c r="C574">
        <f>Inputs!$B$3&gt;=110</f>
        <v/>
      </c>
      <c r="D574">
        <f>IF(Skills!C9=1,60+Inputs!$B$25+Inputs!$B$29,IF(Skills!C9=2,90+Inputs!$B$26+Inputs!$B$29,IF(Skills!C9=3,120+Inputs!$B$27+Inputs!$B$29,MAX(0,(Inputs!$B$3-100)*3)+Inputs!$B$28+Inputs!$B$29)))</f>
        <v/>
      </c>
      <c r="E574">
        <f>INDEX(FactorTable!$B$2:$Y$301, MATCH(ROUND(MIN(300,MAX(1,D574)),0), FactorTable!$A$2:$A$301,0), Skills!M9+1)</f>
        <v/>
      </c>
      <c r="F574">
        <f>IF(Skills!N9=TRUE,(Skills!L9/10)*(E574/1000),Skills!L9/10)+Skills!O9</f>
        <v/>
      </c>
      <c r="G574">
        <f>Skills!G9*IF(Skills!H9&gt;0,Skills!I9/Skills!H9,1)</f>
        <v/>
      </c>
      <c r="H574">
        <f>1-(1-Skills!J9/100)^Skills!K9</f>
        <v/>
      </c>
      <c r="I574" t="inlineStr">
        <is>
          <t>1</t>
        </is>
      </c>
      <c r="J574">
        <f>((Inputs!$B$6*(1+Inputs!$B$7/100))+(((Inputs!$B$12*(1+Inputs!$B$13/100))-(Inputs!$B$12*(1+Inputs!$B$13/100)))+0.25*(Inputs!$B$14-Inputs!$B$14))*(1+Inputs!$B$7/100))*(F574/100)</f>
        <v/>
      </c>
      <c r="K574">
        <f>J574*(1+((Inputs!$B$12*(1+Inputs!$B$13/100))*0.01+Inputs!$B$14*0.0025)/100)*(1+Inputs!$B$15/100)*(1+Inputs!$B$16/100)*(5000/(6000+Inputs!$B$42*(1-(Inputs!$B$19+0)/100)))*(1+(Inputs!$B$24+((C587=TRUE)*(F587-Calc!F22))+B596)/100)*(1+(IF(Skills!A9="HOOK_BOMBER",(Inputs!$B$17+1)+((C586=TRUE)*(F586-Calc!F21)),Inputs!$B$18+0))/100)*((1+(((C578=TRUE)*F578)+((C584=TRUE)*(F584-Calc!F19)))/100)*I574)</f>
        <v/>
      </c>
      <c r="L574">
        <f>K574*(MIN(Inputs!$B$22+((C585=TRUE)*(F585-Calc!F20)),Inputs!$B$23+0)/100+(Inputs!$B$23+0)/100)/2</f>
        <v/>
      </c>
      <c r="M574">
        <f>L574*(1+(Inputs!$B$10+0+B595)/100)</f>
        <v/>
      </c>
      <c r="N574">
        <f>L574*(1-MIN((Inputs!$B$9+((C581=TRUE)*(F581-Calc!F16))+B590),100)/100)+M574*(MIN((Inputs!$B$9+((C581=TRUE)*(F581-Calc!F16))+B590),100)/100)</f>
        <v/>
      </c>
      <c r="O574">
        <f>(1-Summary!$B$55)*T574+Summary!$B$55*V574</f>
        <v/>
      </c>
      <c r="P574">
        <f>IF(B600=0,0,O574/B600)</f>
        <v/>
      </c>
      <c r="Q574">
        <f>IFERROR(1/IF(Inputs!$B$38="pvp",15,MAX(0.1,Skills!D9-IF(Skills!E9=TRUE,Inputs!$B$32,0))),0)</f>
        <v/>
      </c>
      <c r="R574">
        <f>IF(AND(Inputs!$B$38&lt;&gt;"pvp",Inputs!$B$43&gt;0),IF(MAX(0,Inputs!$B$43-B597)&lt;=0,0,(INT(MAX(0,Inputs!$B$43-B597)/IF(Inputs!$B$38="pvp",15,MAX(0.1,Skills!D9-IF(Skills!E9=TRUE,Inputs!$B$32,0))))+1)),0)</f>
        <v/>
      </c>
      <c r="S574">
        <f>IFERROR(O574/N574,0)</f>
        <v/>
      </c>
      <c r="T574">
        <f>IF(C574,(H574*N574*IF(AND(Inputs!$B$38&lt;&gt;"pvp",Inputs!$B$43&gt;0),((Skills!G9*((R574-1)*IF(Skills!H9&gt;0,Skills!I9/Skills!H9,1)+IF(Skills!H9&gt;0,MIN(Skills!I9,MAX(0,MAX(0,Inputs!$B$43-B597)-((R574-1)*IF(Inputs!$B$38="pvp",15,MAX(0.1,Skills!D9-IF(Skills!E9=TRUE,Inputs!$B$32,0))))))/Skills!H9,1)))/Inputs!$B$43),G574*Q574))*IF(Inputs!$B$38="pvp",1,1+(Inputs!$B$20+0+Skills!P9)/100),0)</f>
        <v/>
      </c>
      <c r="V574">
        <f>IF(C574,(H574*N574*IF(AND(Inputs!$B$38&lt;&gt;"pvp",Inputs!$B$43&gt;0),((Skills!G9*((R574-1)*IF(Skills!H9&gt;0,Skills!I9/Skills!H9,1)+IF(Skills!H9&gt;0,MIN(Skills!I9,MAX(0,MAX(0,Inputs!$B$43-B597)-((R574-1)*IF(Inputs!$B$38="pvp",15,MAX(0.1,Skills!D9-IF(Skills!E9=TRUE,Inputs!$B$32,0))))))/Skills!H9,1)))/Inputs!$B$43),G574*Q574))*IF(Inputs!$B$38="pvp",1,(1+(Inputs!$B$21+Skills!Q9)/100)*(MIN(Skills!R9,Inputs!$B$37))),0)</f>
        <v/>
      </c>
    </row>
    <row r="575">
      <c r="A575">
        <f>Skills!A10</f>
        <v/>
      </c>
      <c r="B575">
        <f>Skills!B10</f>
        <v/>
      </c>
      <c r="C575">
        <f>Inputs!$B$3&gt;=103</f>
        <v/>
      </c>
      <c r="D575">
        <f>IF(Skills!C10=1,60+Inputs!$B$25+Inputs!$B$29,IF(Skills!C10=2,90+Inputs!$B$26+Inputs!$B$29,IF(Skills!C10=3,120+Inputs!$B$27+Inputs!$B$29,MAX(0,(Inputs!$B$3-100)*3)+Inputs!$B$28+Inputs!$B$29)))</f>
        <v/>
      </c>
      <c r="E575">
        <f>INDEX(FactorTable!$B$2:$Y$301, MATCH(ROUND(MIN(300,MAX(1,D575)),0), FactorTable!$A$2:$A$301,0), Skills!M10+1)</f>
        <v/>
      </c>
      <c r="F575">
        <f>IF(Skills!N10=TRUE,(Skills!L10/10)*(E575/1000),Skills!L10/10)+Skills!O10</f>
        <v/>
      </c>
      <c r="G575">
        <f>Skills!G10*IF(Skills!H10&gt;0,Skills!I10/Skills!H10,1)</f>
        <v/>
      </c>
      <c r="H575">
        <f>1-(1-Skills!J10/100)^Skills!K10</f>
        <v/>
      </c>
      <c r="I575" t="inlineStr">
        <is>
          <t>1</t>
        </is>
      </c>
      <c r="J575">
        <f>((Inputs!$B$6*(1+Inputs!$B$7/100))+(((Inputs!$B$12*(1+Inputs!$B$13/100))-(Inputs!$B$12*(1+Inputs!$B$13/100)))+0.25*(Inputs!$B$14-Inputs!$B$14))*(1+Inputs!$B$7/100))*(F575/100)</f>
        <v/>
      </c>
      <c r="K575">
        <f>J575*(1+((Inputs!$B$12*(1+Inputs!$B$13/100))*0.01+Inputs!$B$14*0.0025)/100)*(1+Inputs!$B$15/100)*(1+Inputs!$B$16/100)*(5000/(6000+Inputs!$B$42*(1-(Inputs!$B$19+0)/100)))*(1+(Inputs!$B$24+((C587=TRUE)*(F587-Calc!F22))+B596)/100)*(1+(IF(Skills!A10="HOOK_BOMBER",(Inputs!$B$17+1)+((C586=TRUE)*(F586-Calc!F21)),Inputs!$B$18+0))/100)*((1+(((C578=TRUE)*F578)+((C584=TRUE)*(F584-Calc!F19)))/100)*I575)</f>
        <v/>
      </c>
      <c r="L575">
        <f>K575*(MIN(Inputs!$B$22+((C585=TRUE)*(F585-Calc!F20)),Inputs!$B$23+0)/100+(Inputs!$B$23+0)/100)/2</f>
        <v/>
      </c>
      <c r="M575">
        <f>L575*(1+(Inputs!$B$10+0+B595)/100)</f>
        <v/>
      </c>
      <c r="N575">
        <f>L575*(1-MIN((Inputs!$B$9+((C581=TRUE)*(F581-Calc!F16))+B590),100)/100)+M575*(MIN((Inputs!$B$9+((C581=TRUE)*(F581-Calc!F16))+B590),100)/100)</f>
        <v/>
      </c>
      <c r="O575">
        <f>(1-Summary!$B$55)*T575+Summary!$B$55*V575</f>
        <v/>
      </c>
      <c r="P575">
        <f>IF(B600=0,0,O575/B600)</f>
        <v/>
      </c>
      <c r="Q575">
        <f>IFERROR(1/IF(Inputs!$B$38="pvp",15,MAX(0.1,Skills!D10-IF(Skills!E10=TRUE,Inputs!$B$32,0))),0)</f>
        <v/>
      </c>
      <c r="R575">
        <f>IF(AND(Inputs!$B$38&lt;&gt;"pvp",Inputs!$B$43&gt;0),IF(MAX(0,Inputs!$B$43-B597)&lt;=0,0,(INT(MAX(0,Inputs!$B$43-B597)/IF(Inputs!$B$38="pvp",15,MAX(0.1,Skills!D10-IF(Skills!E10=TRUE,Inputs!$B$32,0))))+1)),0)</f>
        <v/>
      </c>
      <c r="S575">
        <f>IFERROR(O575/N575,0)</f>
        <v/>
      </c>
      <c r="T575">
        <f>IF(C575,(H575*N575*IF(AND(Inputs!$B$38&lt;&gt;"pvp",Inputs!$B$43&gt;0),((Skills!G10*((R575-1)*IF(Skills!H10&gt;0,Skills!I10/Skills!H10,1)+IF(Skills!H10&gt;0,MIN(Skills!I10,MAX(0,MAX(0,Inputs!$B$43-B597)-((R575-1)*IF(Inputs!$B$38="pvp",15,MAX(0.1,Skills!D10-IF(Skills!E10=TRUE,Inputs!$B$32,0))))))/Skills!H10,1)))/Inputs!$B$43),G575*Q575))*IF(Inputs!$B$38="pvp",1,1+(Inputs!$B$20+0+Skills!P10)/100),0)</f>
        <v/>
      </c>
      <c r="V575">
        <f>IF(C575,(H575*N575*IF(AND(Inputs!$B$38&lt;&gt;"pvp",Inputs!$B$43&gt;0),((Skills!G10*((R575-1)*IF(Skills!H10&gt;0,Skills!I10/Skills!H10,1)+IF(Skills!H10&gt;0,MIN(Skills!I10,MAX(0,MAX(0,Inputs!$B$43-B597)-((R575-1)*IF(Inputs!$B$38="pvp",15,MAX(0.1,Skills!D10-IF(Skills!E10=TRUE,Inputs!$B$32,0))))))/Skills!H10,1)))/Inputs!$B$43),G575*Q575))*IF(Inputs!$B$38="pvp",1,(1+(Inputs!$B$21+Skills!Q10)/100)*(MIN(Skills!R10,Inputs!$B$37))),0)</f>
        <v/>
      </c>
    </row>
    <row r="576">
      <c r="A576">
        <f>Skills!A11</f>
        <v/>
      </c>
      <c r="B576">
        <f>Skills!B11</f>
        <v/>
      </c>
      <c r="C576">
        <f>Inputs!$B$3&gt;=113</f>
        <v/>
      </c>
      <c r="D576">
        <f>IF(Skills!C11=1,60+Inputs!$B$25+Inputs!$B$29,IF(Skills!C11=2,90+Inputs!$B$26+Inputs!$B$29,IF(Skills!C11=3,120+Inputs!$B$27+Inputs!$B$29,MAX(0,(Inputs!$B$3-100)*3)+Inputs!$B$28+Inputs!$B$29)))</f>
        <v/>
      </c>
      <c r="E576">
        <f>INDEX(FactorTable!$B$2:$Y$301, MATCH(ROUND(MIN(300,MAX(1,D576)),0), FactorTable!$A$2:$A$301,0), Skills!M11+1)</f>
        <v/>
      </c>
      <c r="F576">
        <f>IF(Skills!N11=TRUE,(Skills!L11/10)*(E576/1000),Skills!L11/10)+Skills!O11</f>
        <v/>
      </c>
      <c r="G576">
        <f>Skills!G11*IF(Skills!H11&gt;0,Skills!I11/Skills!H11,1)</f>
        <v/>
      </c>
      <c r="H576">
        <f>1-(1-Skills!J11/100)^Skills!K11</f>
        <v/>
      </c>
      <c r="I576" t="inlineStr">
        <is>
          <t>1</t>
        </is>
      </c>
      <c r="J576">
        <f>((Inputs!$B$6*(1+Inputs!$B$7/100))+(((Inputs!$B$12*(1+Inputs!$B$13/100))-(Inputs!$B$12*(1+Inputs!$B$13/100)))+0.25*(Inputs!$B$14-Inputs!$B$14))*(1+Inputs!$B$7/100))*(F576/100)</f>
        <v/>
      </c>
      <c r="K576">
        <f>J576*(1+((Inputs!$B$12*(1+Inputs!$B$13/100))*0.01+Inputs!$B$14*0.0025)/100)*(1+Inputs!$B$15/100)*(1+Inputs!$B$16/100)*(5000/(6000+Inputs!$B$42*(1-(Inputs!$B$19+0)/100)))*(1+(Inputs!$B$24+((C587=TRUE)*(F587-Calc!F22))+B596)/100)*(1+(IF(Skills!A11="HOOK_BOMBER",(Inputs!$B$17+1)+((C586=TRUE)*(F586-Calc!F21)),Inputs!$B$18+0))/100)*((1+(((C578=TRUE)*F578)+((C584=TRUE)*(F584-Calc!F19)))/100)*I576)</f>
        <v/>
      </c>
      <c r="L576">
        <f>K576*(MIN(Inputs!$B$22+((C585=TRUE)*(F585-Calc!F20)),Inputs!$B$23+0)/100+(Inputs!$B$23+0)/100)/2</f>
        <v/>
      </c>
      <c r="M576">
        <f>L576*(1+(Inputs!$B$10+0+B595)/100)</f>
        <v/>
      </c>
      <c r="N576">
        <f>L576*(1-MIN((Inputs!$B$9+((C581=TRUE)*(F581-Calc!F16))+B590),100)/100)+M576*(MIN((Inputs!$B$9+((C581=TRUE)*(F581-Calc!F16))+B590),100)/100)</f>
        <v/>
      </c>
      <c r="O576">
        <f>(1-Summary!$B$55)*T576+Summary!$B$55*V576</f>
        <v/>
      </c>
      <c r="P576">
        <f>IF(B600=0,0,O576/B600)</f>
        <v/>
      </c>
      <c r="Q576">
        <f>IFERROR(1/IF(Inputs!$B$38="pvp",15,MAX(0.1,Skills!D11-IF(Skills!E11=TRUE,Inputs!$B$32,0))),0)</f>
        <v/>
      </c>
      <c r="R576">
        <f>IF(AND(Inputs!$B$38&lt;&gt;"pvp",Inputs!$B$43&gt;0),IF(MAX(0,Inputs!$B$43-B597)&lt;=0,0,(INT(MAX(0,Inputs!$B$43-B597)/IF(Inputs!$B$38="pvp",15,MAX(0.1,Skills!D11-IF(Skills!E11=TRUE,Inputs!$B$32,0))))+1)),0)</f>
        <v/>
      </c>
      <c r="S576">
        <f>IFERROR(O576/N576,0)</f>
        <v/>
      </c>
      <c r="T576">
        <f>IF(C576,(H576*N576*IF(AND(Inputs!$B$38&lt;&gt;"pvp",Inputs!$B$43&gt;0),((Skills!G11*((R576-1)*IF(Skills!H11&gt;0,Skills!I11/Skills!H11,1)+IF(Skills!H11&gt;0,MIN(Skills!I11,MAX(0,MAX(0,Inputs!$B$43-B597)-((R576-1)*IF(Inputs!$B$38="pvp",15,MAX(0.1,Skills!D11-IF(Skills!E11=TRUE,Inputs!$B$32,0))))))/Skills!H11,1)))/Inputs!$B$43),G576*Q576))*IF(Inputs!$B$38="pvp",1,1+(Inputs!$B$20+0+Skills!P11)/100),0)</f>
        <v/>
      </c>
      <c r="V576">
        <f>IF(C576,(H576*N576*IF(AND(Inputs!$B$38&lt;&gt;"pvp",Inputs!$B$43&gt;0),((Skills!G11*((R576-1)*IF(Skills!H11&gt;0,Skills!I11/Skills!H11,1)+IF(Skills!H11&gt;0,MIN(Skills!I11,MAX(0,MAX(0,Inputs!$B$43-B597)-((R576-1)*IF(Inputs!$B$38="pvp",15,MAX(0.1,Skills!D11-IF(Skills!E11=TRUE,Inputs!$B$32,0))))))/Skills!H11,1)))/Inputs!$B$43),G576*Q576))*IF(Inputs!$B$38="pvp",1,(1+(Inputs!$B$21+Skills!Q11)/100)*(MIN(Skills!R11,Inputs!$B$37))),0)</f>
        <v/>
      </c>
    </row>
    <row r="577">
      <c r="A577">
        <f>Skills!A12</f>
        <v/>
      </c>
      <c r="B577">
        <f>Skills!B12</f>
        <v/>
      </c>
      <c r="C577">
        <f>Inputs!$B$3&gt;=100</f>
        <v/>
      </c>
      <c r="D577">
        <f>IF(Skills!C12=1,60+Inputs!$B$25+Inputs!$B$29,IF(Skills!C12=2,90+Inputs!$B$26+Inputs!$B$29,IF(Skills!C12=3,120+Inputs!$B$27+Inputs!$B$29,MAX(0,(Inputs!$B$3-100)*3)+Inputs!$B$28+Inputs!$B$29)))</f>
        <v/>
      </c>
      <c r="E577">
        <f>INDEX(FactorTable!$B$2:$Y$301, MATCH(ROUND(MIN(300,MAX(1,D577)),0), FactorTable!$A$2:$A$301,0), Skills!M12+1)</f>
        <v/>
      </c>
      <c r="F577">
        <f>IF(Skills!N12=TRUE,(Skills!L12/10)*(E577/1000),Skills!L12/10)+Skills!O12</f>
        <v/>
      </c>
      <c r="G577" t="inlineStr"/>
      <c r="H577" t="inlineStr"/>
      <c r="I577" t="inlineStr">
        <is>
          <t>1</t>
        </is>
      </c>
      <c r="J577" t="inlineStr"/>
      <c r="K577" t="inlineStr"/>
      <c r="L577" t="inlineStr"/>
      <c r="M577" t="inlineStr"/>
      <c r="N577" t="inlineStr"/>
      <c r="O577" t="inlineStr"/>
      <c r="P577" t="inlineStr"/>
      <c r="Q577" t="inlineStr"/>
      <c r="R577" t="inlineStr"/>
      <c r="S577" t="inlineStr"/>
      <c r="T577" t="inlineStr"/>
      <c r="V577" t="inlineStr"/>
    </row>
    <row r="578">
      <c r="A578">
        <f>Skills!A13</f>
        <v/>
      </c>
      <c r="B578">
        <f>Skills!B13</f>
        <v/>
      </c>
      <c r="C578">
        <f>Inputs!$B$3&gt;=66</f>
        <v/>
      </c>
      <c r="D578">
        <f>IF(Skills!C13=1,60+Inputs!$B$25+Inputs!$B$29,IF(Skills!C13=2,90+Inputs!$B$26+Inputs!$B$29,IF(Skills!C13=3,120+Inputs!$B$27+Inputs!$B$29,MAX(0,(Inputs!$B$3-100)*3)+Inputs!$B$28+Inputs!$B$29)))</f>
        <v/>
      </c>
      <c r="E578">
        <f>INDEX(FactorTable!$B$2:$Y$301, MATCH(ROUND(MIN(300,MAX(1,D578)),0), FactorTable!$A$2:$A$301,0), Skills!M13+1)</f>
        <v/>
      </c>
      <c r="F578">
        <f>IF(Skills!N13=TRUE,(Skills!L13/10)*(E578/1000),Skills!L13/10)+Skills!O13</f>
        <v/>
      </c>
      <c r="G578">
        <f>Skills!G13*IF(Skills!H13&gt;0,Skills!I13/Skills!H13,1)</f>
        <v/>
      </c>
      <c r="H578">
        <f>1-(1-Skills!J13/100)^Skills!K13</f>
        <v/>
      </c>
      <c r="I578" t="inlineStr">
        <is>
          <t>1</t>
        </is>
      </c>
      <c r="J578" t="inlineStr"/>
      <c r="K578" t="inlineStr"/>
      <c r="L578" t="inlineStr"/>
      <c r="M578" t="inlineStr"/>
      <c r="N578" t="inlineStr"/>
      <c r="O578">
        <f>(1-Summary!$B$55)*T578+Summary!$B$55*V578</f>
        <v/>
      </c>
      <c r="P578">
        <f>IF(B600=0,0,O578/B600)</f>
        <v/>
      </c>
      <c r="Q578" t="n">
        <v>0</v>
      </c>
      <c r="R578" t="n">
        <v>0</v>
      </c>
      <c r="S578">
        <f>IFERROR(O578/N578,0)</f>
        <v/>
      </c>
      <c r="T578" t="n">
        <v>0</v>
      </c>
      <c r="V578" t="n">
        <v>0</v>
      </c>
    </row>
    <row r="579">
      <c r="A579">
        <f>Skills!A14</f>
        <v/>
      </c>
      <c r="B579">
        <f>Skills!B14</f>
        <v/>
      </c>
      <c r="C579">
        <f>Inputs!$B$3&gt;=107</f>
        <v/>
      </c>
      <c r="D579">
        <f>IF(Skills!C14=1,60+Inputs!$B$25+Inputs!$B$29,IF(Skills!C14=2,90+Inputs!$B$26+Inputs!$B$29,IF(Skills!C14=3,120+Inputs!$B$27+Inputs!$B$29,MAX(0,(Inputs!$B$3-100)*3)+Inputs!$B$28+Inputs!$B$29)))</f>
        <v/>
      </c>
      <c r="E579">
        <f>INDEX(FactorTable!$B$2:$Y$301, MATCH(ROUND(MIN(300,MAX(1,D579)),0), FactorTable!$A$2:$A$301,0), Skills!M14+1)</f>
        <v/>
      </c>
      <c r="F579">
        <f>IF(Skills!N14=TRUE,(Skills!L14/10)*(E579/1000),Skills!L14/10)+Skills!O14</f>
        <v/>
      </c>
      <c r="G579">
        <f>Skills!G14*IF(Skills!H14&gt;0,Skills!I14/Skills!H14,1)</f>
        <v/>
      </c>
      <c r="H579">
        <f>1-(1-Skills!J14/100)^Skills!K14</f>
        <v/>
      </c>
      <c r="I579" t="inlineStr">
        <is>
          <t>1</t>
        </is>
      </c>
      <c r="J579" t="inlineStr"/>
      <c r="K579" t="inlineStr"/>
      <c r="L579" t="inlineStr"/>
      <c r="M579" t="inlineStr"/>
      <c r="N579" t="inlineStr"/>
      <c r="O579">
        <f>(1-Summary!$B$55)*T579+Summary!$B$55*V579</f>
        <v/>
      </c>
      <c r="P579">
        <f>IF(B600=0,0,O579/B600)</f>
        <v/>
      </c>
      <c r="Q579" t="n">
        <v>0</v>
      </c>
      <c r="R579" t="n">
        <v>0</v>
      </c>
      <c r="S579">
        <f>IFERROR(O579/N579,0)</f>
        <v/>
      </c>
      <c r="T579" t="n">
        <v>0</v>
      </c>
      <c r="V579" t="n">
        <v>0</v>
      </c>
    </row>
    <row r="580">
      <c r="A580">
        <f>Skills!A15</f>
        <v/>
      </c>
      <c r="B580">
        <f>Skills!B15</f>
        <v/>
      </c>
      <c r="C580">
        <f>Inputs!$B$3&gt;=115</f>
        <v/>
      </c>
      <c r="D580">
        <f>IF(Skills!C15=1,60+Inputs!$B$25+Inputs!$B$29,IF(Skills!C15=2,90+Inputs!$B$26+Inputs!$B$29,IF(Skills!C15=3,120+Inputs!$B$27+Inputs!$B$29,MAX(0,(Inputs!$B$3-100)*3)+Inputs!$B$28+Inputs!$B$29)))</f>
        <v/>
      </c>
      <c r="E580">
        <f>INDEX(FactorTable!$B$2:$Y$301, MATCH(ROUND(MIN(300,MAX(1,D580)),0), FactorTable!$A$2:$A$301,0), Skills!M15+1)</f>
        <v/>
      </c>
      <c r="F580">
        <f>IF(Skills!N15=TRUE,(Skills!L15/10)*(E580/1000),Skills!L15/10)+Skills!O15</f>
        <v/>
      </c>
      <c r="G580">
        <f>Skills!G15*IF(Skills!H15&gt;0,Skills!I15/Skills!H15,1)</f>
        <v/>
      </c>
      <c r="H580">
        <f>1-(1-Skills!J15/100)^Skills!K15</f>
        <v/>
      </c>
      <c r="I580" t="inlineStr">
        <is>
          <t>1</t>
        </is>
      </c>
      <c r="J580" t="inlineStr"/>
      <c r="K580" t="inlineStr"/>
      <c r="L580" t="inlineStr"/>
      <c r="M580" t="inlineStr"/>
      <c r="N580" t="inlineStr"/>
      <c r="O580">
        <f>(1-Summary!$B$55)*T580+Summary!$B$55*V580</f>
        <v/>
      </c>
      <c r="P580">
        <f>IF(B600=0,0,O580/B600)</f>
        <v/>
      </c>
      <c r="Q580" t="n">
        <v>0</v>
      </c>
      <c r="R580" t="n">
        <v>0</v>
      </c>
      <c r="S580">
        <f>IFERROR(O580/N580,0)</f>
        <v/>
      </c>
      <c r="T580" t="n">
        <v>0</v>
      </c>
      <c r="V580" t="n">
        <v>0</v>
      </c>
    </row>
    <row r="581">
      <c r="A581">
        <f>Skills!A16</f>
        <v/>
      </c>
      <c r="B581">
        <f>Skills!B16</f>
        <v/>
      </c>
      <c r="C581">
        <f>Inputs!$B$3&gt;=15</f>
        <v/>
      </c>
      <c r="D581">
        <f>IF(Skills!C16=1,60+Inputs!$B$25+Inputs!$B$29,IF(Skills!C16=2,90+Inputs!$B$26+Inputs!$B$29,IF(Skills!C16=3,120+Inputs!$B$27+Inputs!$B$29,MAX(0,(Inputs!$B$3-100)*3)+Inputs!$B$28+Inputs!$B$29)))</f>
        <v/>
      </c>
      <c r="E581">
        <f>INDEX(FactorTable!$B$2:$Y$301, MATCH(ROUND(MIN(300,MAX(1,D581)),0), FactorTable!$A$2:$A$301,0), Skills!M16+1)</f>
        <v/>
      </c>
      <c r="F581">
        <f>IF(Skills!N16=TRUE,(Skills!L16/10)*(E581/1000),Skills!L16/10)+Skills!O16</f>
        <v/>
      </c>
      <c r="G581">
        <f>Skills!G16*IF(Skills!H16&gt;0,Skills!I16/Skills!H16,1)</f>
        <v/>
      </c>
      <c r="H581">
        <f>1-(1-Skills!J16/100)^Skills!K16</f>
        <v/>
      </c>
      <c r="I581" t="inlineStr">
        <is>
          <t>1</t>
        </is>
      </c>
      <c r="J581" t="inlineStr"/>
      <c r="K581" t="inlineStr"/>
      <c r="L581" t="inlineStr"/>
      <c r="M581" t="inlineStr"/>
      <c r="N581" t="inlineStr"/>
      <c r="O581">
        <f>(1-Summary!$B$55)*T581+Summary!$B$55*V581</f>
        <v/>
      </c>
      <c r="P581">
        <f>IF(B600=0,0,O581/B600)</f>
        <v/>
      </c>
      <c r="Q581" t="n">
        <v>0</v>
      </c>
      <c r="R581" t="n">
        <v>0</v>
      </c>
      <c r="S581">
        <f>IFERROR(O581/N581,0)</f>
        <v/>
      </c>
      <c r="T581" t="n">
        <v>0</v>
      </c>
      <c r="V581" t="n">
        <v>0</v>
      </c>
    </row>
    <row r="582">
      <c r="A582">
        <f>Skills!A17</f>
        <v/>
      </c>
      <c r="B582">
        <f>Skills!B17</f>
        <v/>
      </c>
      <c r="C582">
        <f>Inputs!$B$3&gt;=10</f>
        <v/>
      </c>
      <c r="D582">
        <f>IF(Skills!C17=1,60+Inputs!$B$25+Inputs!$B$29,IF(Skills!C17=2,90+Inputs!$B$26+Inputs!$B$29,IF(Skills!C17=3,120+Inputs!$B$27+Inputs!$B$29,MAX(0,(Inputs!$B$3-100)*3)+Inputs!$B$28+Inputs!$B$29)))</f>
        <v/>
      </c>
      <c r="E582">
        <f>INDEX(FactorTable!$B$2:$Y$301, MATCH(ROUND(MIN(300,MAX(1,D582)),0), FactorTable!$A$2:$A$301,0), Skills!M17+1)</f>
        <v/>
      </c>
      <c r="F582">
        <f>IF(Skills!N17=TRUE,(Skills!L17/10)*(E582/1000),Skills!L17/10)+Skills!O17</f>
        <v/>
      </c>
      <c r="G582">
        <f>Skills!G17*IF(Skills!H17&gt;0,Skills!I17/Skills!H17,1)</f>
        <v/>
      </c>
      <c r="H582">
        <f>1-(1-Skills!J17/100)^Skills!K17</f>
        <v/>
      </c>
      <c r="I582" t="inlineStr">
        <is>
          <t>1</t>
        </is>
      </c>
      <c r="J582" t="inlineStr"/>
      <c r="K582" t="inlineStr"/>
      <c r="L582" t="inlineStr"/>
      <c r="M582" t="inlineStr"/>
      <c r="N582" t="inlineStr"/>
      <c r="O582">
        <f>(1-Summary!$B$55)*T582+Summary!$B$55*V582</f>
        <v/>
      </c>
      <c r="P582">
        <f>IF(B600=0,0,O582/B600)</f>
        <v/>
      </c>
      <c r="Q582" t="n">
        <v>0</v>
      </c>
      <c r="R582" t="n">
        <v>0</v>
      </c>
      <c r="S582">
        <f>IFERROR(O582/N582,0)</f>
        <v/>
      </c>
      <c r="T582" t="n">
        <v>0</v>
      </c>
      <c r="V582" t="n">
        <v>0</v>
      </c>
    </row>
    <row r="583">
      <c r="A583">
        <f>Skills!A18</f>
        <v/>
      </c>
      <c r="B583">
        <f>Skills!B18</f>
        <v/>
      </c>
      <c r="C583">
        <f>Inputs!$B$3&gt;=33</f>
        <v/>
      </c>
      <c r="D583">
        <f>IF(Skills!C18=1,60+Inputs!$B$25+Inputs!$B$29,IF(Skills!C18=2,90+Inputs!$B$26+Inputs!$B$29,IF(Skills!C18=3,120+Inputs!$B$27+Inputs!$B$29,MAX(0,(Inputs!$B$3-100)*3)+Inputs!$B$28+Inputs!$B$29)))</f>
        <v/>
      </c>
      <c r="E583">
        <f>INDEX(FactorTable!$B$2:$Y$301, MATCH(ROUND(MIN(300,MAX(1,D583)),0), FactorTable!$A$2:$A$301,0), Skills!M18+1)</f>
        <v/>
      </c>
      <c r="F583">
        <f>IF(Skills!N18=TRUE,(Skills!L18/10)*(E583/1000),Skills!L18/10)+Skills!O18</f>
        <v/>
      </c>
      <c r="G583">
        <f>Skills!G18*IF(Skills!H18&gt;0,Skills!I18/Skills!H18,1)</f>
        <v/>
      </c>
      <c r="H583">
        <f>1-(1-Skills!J18/100)^Skills!K18</f>
        <v/>
      </c>
      <c r="I583" t="inlineStr">
        <is>
          <t>1</t>
        </is>
      </c>
      <c r="J583" t="inlineStr"/>
      <c r="K583" t="inlineStr"/>
      <c r="L583" t="inlineStr"/>
      <c r="M583" t="inlineStr"/>
      <c r="N583" t="inlineStr"/>
      <c r="O583">
        <f>(1-Summary!$B$55)*T583+Summary!$B$55*V583</f>
        <v/>
      </c>
      <c r="P583">
        <f>IF(B600=0,0,O583/B600)</f>
        <v/>
      </c>
      <c r="Q583" t="n">
        <v>0</v>
      </c>
      <c r="R583" t="n">
        <v>0</v>
      </c>
      <c r="S583">
        <f>IFERROR(O583/N583,0)</f>
        <v/>
      </c>
      <c r="T583" t="n">
        <v>0</v>
      </c>
      <c r="V583" t="n">
        <v>0</v>
      </c>
    </row>
    <row r="584">
      <c r="A584">
        <f>Skills!A19</f>
        <v/>
      </c>
      <c r="B584">
        <f>Skills!B19</f>
        <v/>
      </c>
      <c r="C584">
        <f>Inputs!$B$3&gt;=40</f>
        <v/>
      </c>
      <c r="D584">
        <f>IF(Skills!C19=1,60+Inputs!$B$25+Inputs!$B$29,IF(Skills!C19=2,90+Inputs!$B$26+Inputs!$B$29,IF(Skills!C19=3,120+Inputs!$B$27+Inputs!$B$29,MAX(0,(Inputs!$B$3-100)*3)+Inputs!$B$28+Inputs!$B$29)))</f>
        <v/>
      </c>
      <c r="E584">
        <f>INDEX(FactorTable!$B$2:$Y$301, MATCH(ROUND(MIN(300,MAX(1,D584)),0), FactorTable!$A$2:$A$301,0), Skills!M19+1)</f>
        <v/>
      </c>
      <c r="F584">
        <f>IF(Skills!N19=TRUE,(Skills!L19/10)*(E584/1000),Skills!L19/10)+Skills!O19</f>
        <v/>
      </c>
      <c r="G584">
        <f>Skills!G19*IF(Skills!H19&gt;0,Skills!I19/Skills!H19,1)</f>
        <v/>
      </c>
      <c r="H584">
        <f>1-(1-Skills!J19/100)^Skills!K19</f>
        <v/>
      </c>
      <c r="I584" t="inlineStr">
        <is>
          <t>1</t>
        </is>
      </c>
      <c r="J584" t="inlineStr"/>
      <c r="K584" t="inlineStr"/>
      <c r="L584" t="inlineStr"/>
      <c r="M584" t="inlineStr"/>
      <c r="N584" t="inlineStr"/>
      <c r="O584">
        <f>(1-Summary!$B$55)*T584+Summary!$B$55*V584</f>
        <v/>
      </c>
      <c r="P584">
        <f>IF(B600=0,0,O584/B600)</f>
        <v/>
      </c>
      <c r="Q584" t="n">
        <v>0</v>
      </c>
      <c r="R584" t="n">
        <v>0</v>
      </c>
      <c r="S584">
        <f>IFERROR(O584/N584,0)</f>
        <v/>
      </c>
      <c r="T584" t="n">
        <v>0</v>
      </c>
      <c r="V584" t="n">
        <v>0</v>
      </c>
    </row>
    <row r="585">
      <c r="A585">
        <f>Skills!A20</f>
        <v/>
      </c>
      <c r="B585">
        <f>Skills!B20</f>
        <v/>
      </c>
      <c r="C585">
        <f>Inputs!$B$3&gt;=43</f>
        <v/>
      </c>
      <c r="D585">
        <f>IF(Skills!C20=1,60+Inputs!$B$25+Inputs!$B$29,IF(Skills!C20=2,90+Inputs!$B$26+Inputs!$B$29,IF(Skills!C20=3,120+Inputs!$B$27+Inputs!$B$29,MAX(0,(Inputs!$B$3-100)*3)+Inputs!$B$28+Inputs!$B$29)))</f>
        <v/>
      </c>
      <c r="E585">
        <f>INDEX(FactorTable!$B$2:$Y$301, MATCH(ROUND(MIN(300,MAX(1,D585)),0), FactorTable!$A$2:$A$301,0), Skills!M20+1)</f>
        <v/>
      </c>
      <c r="F585">
        <f>IF(Skills!N20=TRUE,(Skills!L20/10)*(E585/1000),Skills!L20/10)+Skills!O20</f>
        <v/>
      </c>
      <c r="G585">
        <f>Skills!G20*IF(Skills!H20&gt;0,Skills!I20/Skills!H20,1)</f>
        <v/>
      </c>
      <c r="H585">
        <f>1-(1-Skills!J20/100)^Skills!K20</f>
        <v/>
      </c>
      <c r="I585" t="inlineStr">
        <is>
          <t>1</t>
        </is>
      </c>
      <c r="J585" t="inlineStr"/>
      <c r="K585" t="inlineStr"/>
      <c r="L585" t="inlineStr"/>
      <c r="M585" t="inlineStr"/>
      <c r="N585" t="inlineStr"/>
      <c r="O585">
        <f>(1-Summary!$B$55)*T585+Summary!$B$55*V585</f>
        <v/>
      </c>
      <c r="P585">
        <f>IF(B600=0,0,O585/B600)</f>
        <v/>
      </c>
      <c r="Q585" t="n">
        <v>0</v>
      </c>
      <c r="R585" t="n">
        <v>0</v>
      </c>
      <c r="S585">
        <f>IFERROR(O585/N585,0)</f>
        <v/>
      </c>
      <c r="T585" t="n">
        <v>0</v>
      </c>
      <c r="V585" t="n">
        <v>0</v>
      </c>
    </row>
    <row r="586">
      <c r="A586">
        <f>Skills!A21</f>
        <v/>
      </c>
      <c r="B586">
        <f>Skills!B21</f>
        <v/>
      </c>
      <c r="C586">
        <f>Inputs!$B$3&gt;=38</f>
        <v/>
      </c>
      <c r="D586">
        <f>IF(Skills!C21=1,60+Inputs!$B$25+Inputs!$B$29,IF(Skills!C21=2,90+Inputs!$B$26+Inputs!$B$29,IF(Skills!C21=3,120+Inputs!$B$27+Inputs!$B$29,MAX(0,(Inputs!$B$3-100)*3)+Inputs!$B$28+Inputs!$B$29)))</f>
        <v/>
      </c>
      <c r="E586">
        <f>INDEX(FactorTable!$B$2:$Y$301, MATCH(ROUND(MIN(300,MAX(1,D586)),0), FactorTable!$A$2:$A$301,0), Skills!M21+1)</f>
        <v/>
      </c>
      <c r="F586">
        <f>IF(Skills!N21=TRUE,(Skills!L21/10)*(E586/1000),Skills!L21/10)+Skills!O21</f>
        <v/>
      </c>
      <c r="G586">
        <f>Skills!G21*IF(Skills!H21&gt;0,Skills!I21/Skills!H21,1)</f>
        <v/>
      </c>
      <c r="H586">
        <f>1-(1-Skills!J21/100)^Skills!K21</f>
        <v/>
      </c>
      <c r="I586" t="inlineStr">
        <is>
          <t>1</t>
        </is>
      </c>
      <c r="J586" t="inlineStr"/>
      <c r="K586" t="inlineStr"/>
      <c r="L586" t="inlineStr"/>
      <c r="M586" t="inlineStr"/>
      <c r="N586" t="inlineStr"/>
      <c r="O586">
        <f>(1-Summary!$B$55)*T586+Summary!$B$55*V586</f>
        <v/>
      </c>
      <c r="P586">
        <f>IF(B600=0,0,O586/B600)</f>
        <v/>
      </c>
      <c r="Q586" t="n">
        <v>0</v>
      </c>
      <c r="R586" t="n">
        <v>0</v>
      </c>
      <c r="S586">
        <f>IFERROR(O586/N586,0)</f>
        <v/>
      </c>
      <c r="T586" t="n">
        <v>0</v>
      </c>
      <c r="V586" t="n">
        <v>0</v>
      </c>
    </row>
    <row r="587">
      <c r="A587">
        <f>Skills!A22</f>
        <v/>
      </c>
      <c r="B587">
        <f>Skills!B22</f>
        <v/>
      </c>
      <c r="C587">
        <f>Inputs!$B$3&gt;=75</f>
        <v/>
      </c>
      <c r="D587">
        <f>IF(Skills!C22=1,60+Inputs!$B$25+Inputs!$B$29,IF(Skills!C22=2,90+Inputs!$B$26+Inputs!$B$29,IF(Skills!C22=3,120+Inputs!$B$27+Inputs!$B$29,MAX(0,(Inputs!$B$3-100)*3)+Inputs!$B$28+Inputs!$B$29)))</f>
        <v/>
      </c>
      <c r="E587">
        <f>INDEX(FactorTable!$B$2:$Y$301, MATCH(ROUND(MIN(300,MAX(1,D587)),0), FactorTable!$A$2:$A$301,0), Skills!M22+1)</f>
        <v/>
      </c>
      <c r="F587">
        <f>IF(Skills!N22=TRUE,(Skills!L22/10)*(E587/1000),Skills!L22/10)+Skills!O22</f>
        <v/>
      </c>
      <c r="G587">
        <f>Skills!G22*IF(Skills!H22&gt;0,Skills!I22/Skills!H22,1)</f>
        <v/>
      </c>
      <c r="H587">
        <f>1-(1-Skills!J22/100)^Skills!K22</f>
        <v/>
      </c>
      <c r="I587" t="inlineStr">
        <is>
          <t>1</t>
        </is>
      </c>
      <c r="J587" t="inlineStr"/>
      <c r="K587" t="inlineStr"/>
      <c r="L587" t="inlineStr"/>
      <c r="M587" t="inlineStr"/>
      <c r="N587" t="inlineStr"/>
      <c r="O587">
        <f>(1-Summary!$B$55)*T587+Summary!$B$55*V587</f>
        <v/>
      </c>
      <c r="P587">
        <f>IF(B600=0,0,O587/B600)</f>
        <v/>
      </c>
      <c r="Q587" t="n">
        <v>0</v>
      </c>
      <c r="R587" t="n">
        <v>0</v>
      </c>
      <c r="S587">
        <f>IFERROR(O587/N587,0)</f>
        <v/>
      </c>
      <c r="T587" t="n">
        <v>0</v>
      </c>
      <c r="V587" t="n">
        <v>0</v>
      </c>
    </row>
    <row r="589">
      <c r="A589" t="inlineStr">
        <is>
          <t>Attack% Bucket Multiplier</t>
        </is>
      </c>
      <c r="B589">
        <f>(1+(((C578=TRUE)*F578)+((C584=TRUE)*(F584-Calc!F19)))/100)</f>
        <v/>
      </c>
    </row>
    <row r="590">
      <c r="A590" t="inlineStr">
        <is>
          <t>Global Crit Rate Bonus %</t>
        </is>
      </c>
      <c r="B590" t="n">
        <v>0</v>
      </c>
    </row>
    <row r="591">
      <c r="A591" t="inlineStr">
        <is>
          <t>Attack Speed Buff Bonus % (unused)</t>
        </is>
      </c>
      <c r="B591" t="n">
        <v>0</v>
      </c>
    </row>
    <row r="592">
      <c r="A592" t="inlineStr">
        <is>
          <t>Actions Per Second</t>
        </is>
      </c>
      <c r="B592">
        <f>1+MIN(150,150*(1-(1-(Inputs!$B$11+((C582=TRUE)*(F582-Calc!F17))+((C583=TRUE)*(F583-Calc!F18)))/150)*(1-B591/150)))/100</f>
        <v/>
      </c>
    </row>
    <row r="593">
      <c r="A593" t="inlineStr">
        <is>
          <t>Skill + Buff Cast Rate</t>
        </is>
      </c>
      <c r="B593">
        <f>IF(AND(Inputs!$B$38&lt;&gt;"pvp",Inputs!$B$43&gt;0),SUMPRODUCT((Skills!E2:E22=TRUE)*(C567:C587=TRUE)*R567:R587*Skills!F2:F22)/Inputs!$B$43,SUMPRODUCT((Skills!E2:E22=TRUE)*(C567:C587=TRUE)*Q567:Q587*Skills!F2:F22))</f>
        <v/>
      </c>
    </row>
    <row r="594">
      <c r="A594" t="inlineStr">
        <is>
          <t>Hook Bomber Casts Per Second</t>
        </is>
      </c>
      <c r="B594">
        <f>MAX(0,B592-B593)</f>
        <v/>
      </c>
    </row>
    <row r="595">
      <c r="A595" t="inlineStr">
        <is>
          <t>Global Critical Damage Bonus % (unused)</t>
        </is>
      </c>
      <c r="B595" t="n">
        <v>0</v>
      </c>
    </row>
    <row r="596">
      <c r="A596" t="inlineStr">
        <is>
          <t>Global Final Damage Bonus % (Serpent Scale + Crossbones + Time Leap + Speed Infusion)</t>
        </is>
      </c>
      <c r="B596">
        <f>((C570=TRUE)*F570*((10+IF(Inputs!$B$3&gt;=94,5,0))/((10+IF(Inputs!$B$3&gt;=94,5,0))+5/(B594*(1+IF(Inputs!$B$3&gt;=104,1,0))))))+((C579=TRUE)*F579)+((C580=TRUE)*F580)+((Inputs!$B$3&gt;=110)*20*(B592-1))</f>
        <v/>
      </c>
    </row>
    <row r="597">
      <c r="A597" t="inlineStr">
        <is>
          <t>Buff-Casting Startup Delay (s, fixed-duration only)</t>
        </is>
      </c>
      <c r="B597">
        <f>IF(AND(Inputs!$B$38&lt;&gt;"pvp",Inputs!$B$43&gt;0),SUMPRODUCT((Skills!T2:T22&gt;0)*(Skills!E2:E22=TRUE)*(C567:C587=TRUE))/B592,0)</f>
        <v/>
      </c>
    </row>
    <row r="598">
      <c r="A598" t="inlineStr">
        <is>
          <t>Boss-Only Total DPS (this block's swept value)</t>
        </is>
      </c>
      <c r="B598">
        <f>SUM(T567:T587)</f>
        <v/>
      </c>
    </row>
    <row r="599">
      <c r="A599" t="inlineStr">
        <is>
          <t>Normal-Only Total DPS (this block's swept value)</t>
        </is>
      </c>
      <c r="B599">
        <f>SUM(V567:V587)</f>
        <v/>
      </c>
    </row>
    <row r="600">
      <c r="A600" s="5" t="inlineStr">
        <is>
          <t>TOTAL DPS</t>
        </is>
      </c>
      <c r="B600" s="5">
        <f>SUM(O567:O587)</f>
        <v/>
      </c>
    </row>
    <row r="603">
      <c r="A603" s="5" t="inlineStr">
        <is>
          <t>Stat: SKILL_DAMAGE %</t>
        </is>
      </c>
    </row>
    <row r="604">
      <c r="A604" s="9" t="inlineStr">
        <is>
          <t>Key</t>
        </is>
      </c>
      <c r="B604" s="9" t="inlineStr">
        <is>
          <t>Name</t>
        </is>
      </c>
      <c r="C604" s="9" t="inlineStr">
        <is>
          <t>Unlocked</t>
        </is>
      </c>
      <c r="D604" s="9" t="inlineStr">
        <is>
          <t>InputLevel</t>
        </is>
      </c>
      <c r="E604" s="9" t="inlineStr">
        <is>
          <t>Factor</t>
        </is>
      </c>
      <c r="F604" s="9" t="inlineStr">
        <is>
          <t>CoefficientPercent</t>
        </is>
      </c>
      <c r="G604" s="9" t="inlineStr">
        <is>
          <t>EffectiveHits</t>
        </is>
      </c>
      <c r="H604" s="9" t="inlineStr">
        <is>
          <t>ProcProbability</t>
        </is>
      </c>
      <c r="I604" s="9" t="inlineStr">
        <is>
          <t>MapleHeroMultiplier</t>
        </is>
      </c>
      <c r="J604" s="9" t="inlineStr">
        <is>
          <t>BaseDamage</t>
        </is>
      </c>
      <c r="K604" s="9" t="inlineStr">
        <is>
          <t>BaseHitDamage</t>
        </is>
      </c>
      <c r="L604" s="9" t="inlineStr">
        <is>
          <t>NonCritAvg</t>
        </is>
      </c>
      <c r="M604" s="9" t="inlineStr">
        <is>
          <t>CritAvg</t>
        </is>
      </c>
      <c r="N604" s="9" t="inlineStr">
        <is>
          <t>ExpectedDamage(perHit)</t>
        </is>
      </c>
      <c r="O604" s="9" t="inlineStr">
        <is>
          <t>DPS</t>
        </is>
      </c>
      <c r="P604" s="9" t="inlineStr">
        <is>
          <t>% of Total</t>
        </is>
      </c>
      <c r="Q604" s="9" t="inlineStr">
        <is>
          <t>InvCooldown</t>
        </is>
      </c>
      <c r="R604" s="9" t="inlineStr">
        <is>
          <t>CastsInFight</t>
        </is>
      </c>
      <c r="S604" s="9" t="inlineStr">
        <is>
          <t>HitRate(perSec)</t>
        </is>
      </c>
      <c r="U604" t="inlineStr">
        <is>
          <t>helpers</t>
        </is>
      </c>
    </row>
    <row r="605">
      <c r="A605">
        <f>Skills!A2</f>
        <v/>
      </c>
      <c r="B605">
        <f>Skills!B2</f>
        <v/>
      </c>
      <c r="C605">
        <f>Inputs!$B$3&gt;=100</f>
        <v/>
      </c>
      <c r="D605" t="inlineStr"/>
      <c r="E605" t="inlineStr"/>
      <c r="F605">
        <f>U607+Skills!O2</f>
        <v/>
      </c>
      <c r="G605">
        <f>Skills!G2*IF(Skills!H2&gt;0,Skills!I2/Skills!H2,1)</f>
        <v/>
      </c>
      <c r="H605">
        <f>1-(1-Skills!J2/100)^Skills!K2</f>
        <v/>
      </c>
      <c r="I605" t="inlineStr">
        <is>
          <t>1</t>
        </is>
      </c>
      <c r="J605">
        <f>((Inputs!$B$6*(1+Inputs!$B$7/100))+(((Inputs!$B$12*(1+Inputs!$B$13/100))-(Inputs!$B$12*(1+Inputs!$B$13/100)))+0.25*(Inputs!$B$14-Inputs!$B$14))*(1+Inputs!$B$7/100))*(F605/100)</f>
        <v/>
      </c>
      <c r="K605">
        <f>J605*(1+((Inputs!$B$12*(1+Inputs!$B$13/100))*0.01+Inputs!$B$14*0.0025)/100)*(1+Inputs!$B$15/100)*(1+Inputs!$B$16/100)*(5000/(6000+Inputs!$B$42*(1-(Inputs!$B$19+0)/100)))*(1+(Inputs!$B$24+((C625=TRUE)*(F625-Calc!F22))+B634)/100)*(1+(IF(Skills!A2="HOOK_BOMBER",Inputs!$B$17+((C624=TRUE)*(F624-Calc!F21)),(Inputs!$B$18+1)+0))/100)*((1+(((C616=TRUE)*F616)+((C622=TRUE)*(F622-Calc!F19)))/100)*I605)</f>
        <v/>
      </c>
      <c r="L605">
        <f>K605*(MIN(Inputs!$B$22+((C623=TRUE)*(F623-Calc!F20)),Inputs!$B$23+0)/100+(Inputs!$B$23+0)/100)/2</f>
        <v/>
      </c>
      <c r="M605">
        <f>L605*(1+(Inputs!$B$10+0+B633)/100)</f>
        <v/>
      </c>
      <c r="N605">
        <f>L605*(1-MIN((Inputs!$B$9+((C619=TRUE)*(F619-Calc!F16))+B628),100)/100)+M605*(MIN((Inputs!$B$9+((C619=TRUE)*(F619-Calc!F16))+B628),100)/100)</f>
        <v/>
      </c>
      <c r="O605">
        <f>(1-Summary!$B$55)*T605+Summary!$B$55*V605</f>
        <v/>
      </c>
      <c r="P605">
        <f>IF(B638=0,0,O605/B638)</f>
        <v/>
      </c>
      <c r="Q605" t="n">
        <v>0</v>
      </c>
      <c r="R605" t="n">
        <v>0</v>
      </c>
      <c r="S605">
        <f>IFERROR(O605/N605,0)</f>
        <v/>
      </c>
      <c r="T605">
        <f>IF(C605,(Skills!G2*N605*B632)*IF(Inputs!$B$38="pvp",1,1+(Inputs!$B$20+0+Skills!P2)/100),0)</f>
        <v/>
      </c>
      <c r="U605">
        <f>MAX(0,(Inputs!$B$3-100)*3)+Inputs!$B$28+Inputs!$B$29</f>
        <v/>
      </c>
      <c r="V605">
        <f>IF(C605,(Skills!G2*N605*B632)*IF(Inputs!$B$38="pvp",1,(1+(Inputs!$B$21+Skills!Q2)/100)*(MIN((6+Inputs!$B$33),Inputs!$B$37))),0)</f>
        <v/>
      </c>
    </row>
    <row r="606">
      <c r="A606">
        <f>Skills!A3</f>
        <v/>
      </c>
      <c r="B606">
        <f>Skills!B3</f>
        <v/>
      </c>
      <c r="C606">
        <f>Inputs!$B$3&gt;=35</f>
        <v/>
      </c>
      <c r="D606">
        <f>IF(Skills!C3=1,60+Inputs!$B$25+Inputs!$B$29,IF(Skills!C3=2,90+Inputs!$B$26+Inputs!$B$29,IF(Skills!C3=3,120+Inputs!$B$27+Inputs!$B$29,MAX(0,(Inputs!$B$3-100)*3)+Inputs!$B$28+Inputs!$B$29)))</f>
        <v/>
      </c>
      <c r="E606">
        <f>INDEX(FactorTable!$B$2:$Y$301, MATCH(ROUND(MIN(300,MAX(1,D606)),0), FactorTable!$A$2:$A$301,0), Skills!M3+1)</f>
        <v/>
      </c>
      <c r="F606">
        <f>IF(Skills!N3=TRUE,(Skills!L3/10)*(E606/1000),Skills!L3/10)+Skills!O3</f>
        <v/>
      </c>
      <c r="G606">
        <f>Skills!G3*IF(Skills!H3&gt;0,Skills!I3/Skills!H3,1)</f>
        <v/>
      </c>
      <c r="H606">
        <f>1-(1-Skills!J3/100)^Skills!K3</f>
        <v/>
      </c>
      <c r="I606" t="inlineStr">
        <is>
          <t>1</t>
        </is>
      </c>
      <c r="J606">
        <f>((Inputs!$B$6*(1+Inputs!$B$7/100))+(((Inputs!$B$12*(1+Inputs!$B$13/100))-(Inputs!$B$12*(1+Inputs!$B$13/100)))+0.25*(Inputs!$B$14-Inputs!$B$14))*(1+Inputs!$B$7/100))*(F606/100)</f>
        <v/>
      </c>
      <c r="K606">
        <f>J606*(1+((Inputs!$B$12*(1+Inputs!$B$13/100))*0.01+Inputs!$B$14*0.0025)/100)*(1+Inputs!$B$15/100)*(1+Inputs!$B$16/100)*(5000/(6000+Inputs!$B$42*(1-(Inputs!$B$19+0)/100)))*(1+(Inputs!$B$24+((C625=TRUE)*(F625-Calc!F22))+B634)/100)*(1+(IF(Skills!A3="HOOK_BOMBER",Inputs!$B$17+((C624=TRUE)*(F624-Calc!F21)),(Inputs!$B$18+1)+0))/100)*((1+(((C616=TRUE)*F616)+((C622=TRUE)*(F622-Calc!F19)))/100)*I606)</f>
        <v/>
      </c>
      <c r="L606">
        <f>K606*(MIN(Inputs!$B$22+((C623=TRUE)*(F623-Calc!F20)),Inputs!$B$23+0)/100+(Inputs!$B$23+0)/100)/2</f>
        <v/>
      </c>
      <c r="M606">
        <f>L606*(1+(Inputs!$B$10+0+B633)/100)</f>
        <v/>
      </c>
      <c r="N606">
        <f>L606*(1-MIN((Inputs!$B$9+((C619=TRUE)*(F619-Calc!F16))+B628),100)/100)+M606*(MIN((Inputs!$B$9+((C619=TRUE)*(F619-Calc!F16))+B628),100)/100)</f>
        <v/>
      </c>
      <c r="O606">
        <f>(1-Summary!$B$55)*T606+Summary!$B$55*V606</f>
        <v/>
      </c>
      <c r="P606">
        <f>IF(B638=0,0,O606/B638)</f>
        <v/>
      </c>
      <c r="Q606" t="n">
        <v>0</v>
      </c>
      <c r="R606" t="n">
        <v>0</v>
      </c>
      <c r="S606">
        <f>IFERROR(O606/N606,0)</f>
        <v/>
      </c>
      <c r="T606">
        <f>IF(C606,(Skills!G3*H606*N606*B632)*IF(Inputs!$B$38="pvp",1,1+(Inputs!$B$20+0+Skills!P3)/100),0)</f>
        <v/>
      </c>
      <c r="U606">
        <f>INDEX(FactorTable!$B$2:$Y$301, MATCH(ROUND(MIN(300,MAX(1,U605)),0), FactorTable!$A$2:$A$301,0), 22)</f>
        <v/>
      </c>
      <c r="V606">
        <f>IF(C606,(Skills!G3*H606*N606*B632)*IF(Inputs!$B$38="pvp",1,(1+(Inputs!$B$21+Skills!Q3)/100)*(MIN(Skills!R3,Inputs!$B$37))),0)</f>
        <v/>
      </c>
    </row>
    <row r="607">
      <c r="A607">
        <f>Skills!A4</f>
        <v/>
      </c>
      <c r="B607">
        <f>Skills!B4</f>
        <v/>
      </c>
      <c r="C607">
        <f>Inputs!$B$3&gt;=60</f>
        <v/>
      </c>
      <c r="D607">
        <f>IF(Skills!C4=1,60+Inputs!$B$25+Inputs!$B$29,IF(Skills!C4=2,90+Inputs!$B$26+Inputs!$B$29,IF(Skills!C4=3,120+Inputs!$B$27+Inputs!$B$29,MAX(0,(Inputs!$B$3-100)*3)+Inputs!$B$28+Inputs!$B$29)))</f>
        <v/>
      </c>
      <c r="E607">
        <f>INDEX(FactorTable!$B$2:$Y$301, MATCH(ROUND(MIN(300,MAX(1,D607)),0), FactorTable!$A$2:$A$301,0), Skills!M4+1)</f>
        <v/>
      </c>
      <c r="F607">
        <f>IF(Skills!N4=TRUE,(Skills!L4/10)*(E607/1000),Skills!L4/10)+Skills!O4</f>
        <v/>
      </c>
      <c r="G607">
        <f>Skills!G4*IF(Skills!H4&gt;0,Skills!I4/Skills!H4,1)</f>
        <v/>
      </c>
      <c r="H607">
        <f>1-(1-Skills!J4/100)^Skills!K4</f>
        <v/>
      </c>
      <c r="I607" t="inlineStr">
        <is>
          <t>1</t>
        </is>
      </c>
      <c r="J607">
        <f>((Inputs!$B$6*(1+Inputs!$B$7/100))+(((Inputs!$B$12*(1+Inputs!$B$13/100))-(Inputs!$B$12*(1+Inputs!$B$13/100)))+0.25*(Inputs!$B$14-Inputs!$B$14))*(1+Inputs!$B$7/100))*(F607/100)</f>
        <v/>
      </c>
      <c r="K607">
        <f>J607*(1+((Inputs!$B$12*(1+Inputs!$B$13/100))*0.01+Inputs!$B$14*0.0025)/100)*(1+Inputs!$B$15/100)*(1+Inputs!$B$16/100)*(5000/(6000+Inputs!$B$42*(1-(Inputs!$B$19+0)/100)))*(1+(Inputs!$B$24+((C625=TRUE)*(F625-Calc!F22))+B634)/100)*(1+1.0*IF(C615=TRUE,F615,0)/100)*(1+(IF(Skills!A4="HOOK_BOMBER",Inputs!$B$17+((C624=TRUE)*(F624-Calc!F21)),(Inputs!$B$18+1)+0))/100)*((1+(((C616=TRUE)*F616)+((C622=TRUE)*(F622-Calc!F19)))/100)*I607)</f>
        <v/>
      </c>
      <c r="L607">
        <f>K607*(MIN(Inputs!$B$22+((C623=TRUE)*(F623-Calc!F20)),Inputs!$B$23+0)/100+(Inputs!$B$23+0)/100)/2</f>
        <v/>
      </c>
      <c r="M607">
        <f>L607*(1+(Inputs!$B$10+0+B633)/100)</f>
        <v/>
      </c>
      <c r="N607">
        <f>L607*(1-MIN((Inputs!$B$9+((C619=TRUE)*(F619-Calc!F16))+B628),100)/100)+M607*(MIN((Inputs!$B$9+((C619=TRUE)*(F619-Calc!F16))+B628),100)/100)</f>
        <v/>
      </c>
      <c r="O607">
        <f>(1-Summary!$B$55)*T607+Summary!$B$55*V607</f>
        <v/>
      </c>
      <c r="P607">
        <f>IF(B638=0,0,O607/B638)</f>
        <v/>
      </c>
      <c r="Q607" t="n">
        <v>0</v>
      </c>
      <c r="R607" t="n">
        <v>0</v>
      </c>
      <c r="S607">
        <f>IFERROR(O607/N607,0)</f>
        <v/>
      </c>
      <c r="T607">
        <f>IF(C607,(Skills!G4*H607*N607*B632)*IF(Inputs!$B$38="pvp",1,1+(Inputs!$B$20+0+Skills!P4)/100),0)</f>
        <v/>
      </c>
      <c r="U607">
        <f>290*U606/1000</f>
        <v/>
      </c>
      <c r="V607">
        <f>IF(C607,(Skills!G4*H607*N607*B632)*IF(Inputs!$B$38="pvp",1,(1+(Inputs!$B$21+Skills!Q4)/100)*(MIN(Skills!R4,Inputs!$B$37))),0)</f>
        <v/>
      </c>
    </row>
    <row r="608">
      <c r="A608">
        <f>Skills!A5</f>
        <v/>
      </c>
      <c r="B608">
        <f>Skills!B5</f>
        <v/>
      </c>
      <c r="C608">
        <f>Inputs!$B$3&gt;=60</f>
        <v/>
      </c>
      <c r="D608">
        <f>IF(Skills!C5=1,60+Inputs!$B$25+Inputs!$B$29,IF(Skills!C5=2,90+Inputs!$B$26+Inputs!$B$29,IF(Skills!C5=3,120+Inputs!$B$27+Inputs!$B$29,MAX(0,(Inputs!$B$3-100)*3)+Inputs!$B$28+Inputs!$B$29)))</f>
        <v/>
      </c>
      <c r="E608">
        <f>INDEX(FactorTable!$B$2:$Y$301, MATCH(ROUND(MIN(300,MAX(1,D608)),0), FactorTable!$A$2:$A$301,0), Skills!M5+1)</f>
        <v/>
      </c>
      <c r="F608">
        <f>IF(Skills!N5=TRUE,(Skills!L5/10)*(E608/1000),Skills!L5/10)+Skills!O5</f>
        <v/>
      </c>
      <c r="G608">
        <f>Skills!G5*IF(Skills!H5&gt;0,Skills!I5/Skills!H5,1)</f>
        <v/>
      </c>
      <c r="H608">
        <f>1-(1-Skills!J5/100)^Skills!K5</f>
        <v/>
      </c>
      <c r="I608" t="inlineStr">
        <is>
          <t>1</t>
        </is>
      </c>
      <c r="J608" t="inlineStr"/>
      <c r="K608" t="inlineStr"/>
      <c r="L608" t="inlineStr"/>
      <c r="M608" t="inlineStr"/>
      <c r="N608" t="inlineStr"/>
      <c r="O608">
        <f>(1-Summary!$B$55)*T608+Summary!$B$55*V608</f>
        <v/>
      </c>
      <c r="P608">
        <f>IF(B638=0,0,O608/B638)</f>
        <v/>
      </c>
      <c r="Q608" t="n">
        <v>0</v>
      </c>
      <c r="R608" t="n">
        <v>0</v>
      </c>
      <c r="S608">
        <f>IFERROR(O608/N608,0)</f>
        <v/>
      </c>
      <c r="T608" t="n">
        <v>0</v>
      </c>
      <c r="V608" t="n">
        <v>0</v>
      </c>
    </row>
    <row r="609">
      <c r="A609">
        <f>Skills!A6</f>
        <v/>
      </c>
      <c r="B609">
        <f>Skills!B6</f>
        <v/>
      </c>
      <c r="C609">
        <f>Inputs!$B$3&gt;=63</f>
        <v/>
      </c>
      <c r="D609">
        <f>IF(Skills!C6=1,60+Inputs!$B$25+Inputs!$B$29,IF(Skills!C6=2,90+Inputs!$B$26+Inputs!$B$29,IF(Skills!C6=3,120+Inputs!$B$27+Inputs!$B$29,MAX(0,(Inputs!$B$3-100)*3)+Inputs!$B$28+Inputs!$B$29)))</f>
        <v/>
      </c>
      <c r="E609">
        <f>INDEX(FactorTable!$B$2:$Y$301, MATCH(ROUND(MIN(300,MAX(1,D609)),0), FactorTable!$A$2:$A$301,0), Skills!M6+1)</f>
        <v/>
      </c>
      <c r="F609">
        <f>IF(Skills!N6=TRUE,(Skills!L6/10)*(E609/1000),Skills!L6/10)+Skills!O6</f>
        <v/>
      </c>
      <c r="G609">
        <f>Skills!G6*IF(Skills!H6&gt;0,Skills!I6/Skills!H6,1)</f>
        <v/>
      </c>
      <c r="H609">
        <f>1-(1-Skills!J6/100)^Skills!K6</f>
        <v/>
      </c>
      <c r="I609" t="inlineStr">
        <is>
          <t>1</t>
        </is>
      </c>
      <c r="J609">
        <f>((Inputs!$B$6*(1+Inputs!$B$7/100))+(((Inputs!$B$12*(1+Inputs!$B$13/100))-(Inputs!$B$12*(1+Inputs!$B$13/100)))+0.25*(Inputs!$B$14-Inputs!$B$14))*(1+Inputs!$B$7/100))*(F609/100)</f>
        <v/>
      </c>
      <c r="K609">
        <f>J609*(1+((Inputs!$B$12*(1+Inputs!$B$13/100))*0.01+Inputs!$B$14*0.0025)/100)*(1+Inputs!$B$15/100)*(1+Inputs!$B$16/100)*(5000/(6000+Inputs!$B$42*(1-(Inputs!$B$19+0)/100)))*(1+(Inputs!$B$24+((C625=TRUE)*(F625-Calc!F22))+B634)/100)*(1+(IF(Skills!A6="HOOK_BOMBER",Inputs!$B$17+((C624=TRUE)*(F624-Calc!F21)),(Inputs!$B$18+1)+0))/100)*((1+(((C616=TRUE)*F616)+((C622=TRUE)*(F622-Calc!F19)))/100)*I609)</f>
        <v/>
      </c>
      <c r="L609">
        <f>K609*(MIN(Inputs!$B$22+((C623=TRUE)*(F623-Calc!F20)),Inputs!$B$23+0)/100+(Inputs!$B$23+0)/100)/2</f>
        <v/>
      </c>
      <c r="M609">
        <f>L609*(1+(Inputs!$B$10+0+B633)/100)</f>
        <v/>
      </c>
      <c r="N609">
        <f>L609*(1-MIN((Inputs!$B$9+((C619=TRUE)*(F619-Calc!F16))+B628),100)/100)+M609*(MIN((Inputs!$B$9+((C619=TRUE)*(F619-Calc!F16))+B628),100)/100)</f>
        <v/>
      </c>
      <c r="O609">
        <f>(1-Summary!$B$55)*T609+Summary!$B$55*V609</f>
        <v/>
      </c>
      <c r="P609">
        <f>IF(B638=0,0,O609/B638)</f>
        <v/>
      </c>
      <c r="Q609">
        <f>IFERROR(1/IF(Inputs!$B$38="pvp",15,MAX(0.1,Skills!D6-IF(Skills!E6=TRUE,Inputs!$B$32,0))),0)</f>
        <v/>
      </c>
      <c r="R609">
        <f>IF(AND(Inputs!$B$38&lt;&gt;"pvp",Inputs!$B$43&gt;0),IF(MAX(0,Inputs!$B$43-B635)&lt;=0,0,(INT(MAX(0,Inputs!$B$43-B635)/IF(Inputs!$B$38="pvp",15,MAX(0.1,Skills!D6-IF(Skills!E6=TRUE,Inputs!$B$32,0))))+1)),0)</f>
        <v/>
      </c>
      <c r="S609">
        <f>IFERROR(O609/N609,0)</f>
        <v/>
      </c>
      <c r="T609">
        <f>IF(C609,(H609*N609*IF(AND(Inputs!$B$38&lt;&gt;"pvp",Inputs!$B$43&gt;0),((Skills!G6*((R609-1)*IF(Skills!H6&gt;0,Skills!I6/Skills!H6,1)+IF(Skills!H6&gt;0,MIN(Skills!I6,MAX(0,MAX(0,Inputs!$B$43-B635)-((R609-1)*IF(Inputs!$B$38="pvp",15,MAX(0.1,Skills!D6-IF(Skills!E6=TRUE,Inputs!$B$32,0))))))/Skills!H6,1)))/Inputs!$B$43),G609*Q609))*IF(Inputs!$B$38="pvp",1,1+(Inputs!$B$20+0+Skills!P6)/100),0)</f>
        <v/>
      </c>
      <c r="V609">
        <f>IF(C609,(H609*N609*IF(AND(Inputs!$B$38&lt;&gt;"pvp",Inputs!$B$43&gt;0),((Skills!G6*((R609-1)*IF(Skills!H6&gt;0,Skills!I6/Skills!H6,1)+IF(Skills!H6&gt;0,MIN(Skills!I6,MAX(0,MAX(0,Inputs!$B$43-B635)-((R609-1)*IF(Inputs!$B$38="pvp",15,MAX(0.1,Skills!D6-IF(Skills!E6=TRUE,Inputs!$B$32,0))))))/Skills!H6,1)))/Inputs!$B$43),G609*Q609))*IF(Inputs!$B$38="pvp",1,(1+(Inputs!$B$21+Skills!Q6)/100)*(MIN(Skills!R6,Inputs!$B$37))),0)</f>
        <v/>
      </c>
    </row>
    <row r="610">
      <c r="A610">
        <f>Skills!A7</f>
        <v/>
      </c>
      <c r="B610">
        <f>Skills!B7</f>
        <v/>
      </c>
      <c r="C610">
        <f>Inputs!$B$3&gt;=100</f>
        <v/>
      </c>
      <c r="D610">
        <f>IF(Skills!C7=1,60+Inputs!$B$25+Inputs!$B$29,IF(Skills!C7=2,90+Inputs!$B$26+Inputs!$B$29,IF(Skills!C7=3,120+Inputs!$B$27+Inputs!$B$29,MAX(0,(Inputs!$B$3-100)*3)+Inputs!$B$28+Inputs!$B$29)))</f>
        <v/>
      </c>
      <c r="E610">
        <f>INDEX(FactorTable!$B$2:$Y$301, MATCH(ROUND(MIN(300,MAX(1,D610)),0), FactorTable!$A$2:$A$301,0), Skills!M7+1)</f>
        <v/>
      </c>
      <c r="F610">
        <f>IF(Skills!N7=TRUE,(Skills!L7/10)*(E610/1000),Skills!L7/10)+Skills!O7</f>
        <v/>
      </c>
      <c r="G610">
        <f>Skills!G7*IF(Skills!H7&gt;0,Skills!I7/Skills!H7,1)</f>
        <v/>
      </c>
      <c r="H610">
        <f>1-(1-Skills!J7/100)^Skills!K7</f>
        <v/>
      </c>
      <c r="I610" t="inlineStr">
        <is>
          <t>1</t>
        </is>
      </c>
      <c r="J610">
        <f>((Inputs!$B$6*(1+Inputs!$B$7/100))+(((Inputs!$B$12*(1+Inputs!$B$13/100))-(Inputs!$B$12*(1+Inputs!$B$13/100)))+0.25*(Inputs!$B$14-Inputs!$B$14))*(1+Inputs!$B$7/100))*(F610/100)</f>
        <v/>
      </c>
      <c r="K610">
        <f>J610*(1+((Inputs!$B$12*(1+Inputs!$B$13/100))*0.01+Inputs!$B$14*0.0025)/100)*(1+Inputs!$B$15/100)*(1+Inputs!$B$16/100)*(5000/(6000+Inputs!$B$42*(1-(Inputs!$B$19+0)/100)))*(1+(Inputs!$B$24+((C625=TRUE)*(F625-Calc!F22))+B634)/100)*(1+(IF(Skills!A7="HOOK_BOMBER",Inputs!$B$17+((C624=TRUE)*(F624-Calc!F21)),(Inputs!$B$18+1)+0))/100)*((1+(((C616=TRUE)*F616)+((C622=TRUE)*(F622-Calc!F19)))/100)*I610)</f>
        <v/>
      </c>
      <c r="L610">
        <f>K610*(MIN(Inputs!$B$22+((C623=TRUE)*(F623-Calc!F20)),Inputs!$B$23+0)/100+(Inputs!$B$23+0)/100)/2</f>
        <v/>
      </c>
      <c r="M610">
        <f>L610*(1+(Inputs!$B$10+0+B633)/100)</f>
        <v/>
      </c>
      <c r="N610">
        <f>L610*(1-MIN((Inputs!$B$9+((C619=TRUE)*(F619-Calc!F16))+B628),100)/100)+M610*(MIN((Inputs!$B$9+((C619=TRUE)*(F619-Calc!F16))+B628),100)/100)</f>
        <v/>
      </c>
      <c r="O610">
        <f>(1-Summary!$B$55)*T610+Summary!$B$55*V610</f>
        <v/>
      </c>
      <c r="P610">
        <f>IF(B638=0,0,O610/B638)</f>
        <v/>
      </c>
      <c r="Q610">
        <f>IFERROR(1/IF(Inputs!$B$38="pvp",15,MAX(0.1,Skills!D7-IF(Skills!E7=TRUE,Inputs!$B$32,0))),0)</f>
        <v/>
      </c>
      <c r="R610">
        <f>IF(AND(Inputs!$B$38&lt;&gt;"pvp",Inputs!$B$43&gt;0),IF(MAX(0,Inputs!$B$43-B635)&lt;=0,0,(INT(MAX(0,Inputs!$B$43-B635)/IF(Inputs!$B$38="pvp",15,MAX(0.1,Skills!D7-IF(Skills!E7=TRUE,Inputs!$B$32,0))))+1)),0)</f>
        <v/>
      </c>
      <c r="S610">
        <f>IFERROR(O610/N610,0)</f>
        <v/>
      </c>
      <c r="T610">
        <f>IF(C610,(H610*N610*IF(AND(Inputs!$B$38&lt;&gt;"pvp",Inputs!$B$43&gt;0),((Skills!G7*((R610-1)*IF(Skills!H7&gt;0,Skills!I7/Skills!H7,1)+IF(Skills!H7&gt;0,MIN(Skills!I7,MAX(0,MAX(0,Inputs!$B$43-B635)-((R610-1)*IF(Inputs!$B$38="pvp",15,MAX(0.1,Skills!D7-IF(Skills!E7=TRUE,Inputs!$B$32,0))))))/Skills!H7,1)))/Inputs!$B$43),G610*Q610))*IF(Inputs!$B$38="pvp",1,1+(Inputs!$B$20+0+Skills!P7)/100),0)</f>
        <v/>
      </c>
      <c r="V610">
        <f>IF(C610,(H610*N610*IF(AND(Inputs!$B$38&lt;&gt;"pvp",Inputs!$B$43&gt;0),((Skills!G7*((R610-1)*IF(Skills!H7&gt;0,Skills!I7/Skills!H7,1)+IF(Skills!H7&gt;0,MIN(Skills!I7,MAX(0,MAX(0,Inputs!$B$43-B635)-((R610-1)*IF(Inputs!$B$38="pvp",15,MAX(0.1,Skills!D7-IF(Skills!E7=TRUE,Inputs!$B$32,0))))))/Skills!H7,1)))/Inputs!$B$43),G610*Q610))*IF(Inputs!$B$38="pvp",1,(1+(Inputs!$B$21+Skills!Q7)/100)*(MIN(Skills!R7,Inputs!$B$37))),0)</f>
        <v/>
      </c>
    </row>
    <row r="611">
      <c r="A611">
        <f>Skills!A8</f>
        <v/>
      </c>
      <c r="B611">
        <f>Skills!B8</f>
        <v/>
      </c>
      <c r="C611">
        <f>Inputs!$B$3&gt;=110</f>
        <v/>
      </c>
      <c r="D611">
        <f>IF(Skills!C8=1,60+Inputs!$B$25+Inputs!$B$29,IF(Skills!C8=2,90+Inputs!$B$26+Inputs!$B$29,IF(Skills!C8=3,120+Inputs!$B$27+Inputs!$B$29,MAX(0,(Inputs!$B$3-100)*3)+Inputs!$B$28+Inputs!$B$29)))</f>
        <v/>
      </c>
      <c r="E611">
        <f>INDEX(FactorTable!$B$2:$Y$301, MATCH(ROUND(MIN(300,MAX(1,D611)),0), FactorTable!$A$2:$A$301,0), Skills!M8+1)</f>
        <v/>
      </c>
      <c r="F611">
        <f>IF(Skills!N8=TRUE,(Skills!L8/10)*(E611/1000),Skills!L8/10)+Skills!O8</f>
        <v/>
      </c>
      <c r="G611">
        <f>Skills!G8*IF(Skills!H8&gt;0,Skills!I8/Skills!H8,1)</f>
        <v/>
      </c>
      <c r="H611">
        <f>1-(1-Skills!J8/100)^Skills!K8</f>
        <v/>
      </c>
      <c r="I611" t="inlineStr">
        <is>
          <t>1</t>
        </is>
      </c>
      <c r="J611">
        <f>((Inputs!$B$6*(1+Inputs!$B$7/100))+(((Inputs!$B$12*(1+Inputs!$B$13/100))-(Inputs!$B$12*(1+Inputs!$B$13/100)))+0.25*(Inputs!$B$14-Inputs!$B$14))*(1+Inputs!$B$7/100))*(F611/100)</f>
        <v/>
      </c>
      <c r="K611">
        <f>J611*(1+((Inputs!$B$12*(1+Inputs!$B$13/100))*0.01+Inputs!$B$14*0.0025)/100)*(1+Inputs!$B$15/100)*(1+Inputs!$B$16/100)*(5000/(6000+Inputs!$B$42*(1-(Inputs!$B$19+0)/100)))*(1+(Inputs!$B$24+((C625=TRUE)*(F625-Calc!F22))+B634)/100)*(1+(IF(Skills!A8="HOOK_BOMBER",Inputs!$B$17+((C624=TRUE)*(F624-Calc!F21)),(Inputs!$B$18+1)+0))/100)*((1+(((C616=TRUE)*F616)+((C622=TRUE)*(F622-Calc!F19)))/100)*I611)</f>
        <v/>
      </c>
      <c r="L611">
        <f>K611*(MIN(Inputs!$B$22+((C623=TRUE)*(F623-Calc!F20)),Inputs!$B$23+0)/100+(Inputs!$B$23+0)/100)/2</f>
        <v/>
      </c>
      <c r="M611">
        <f>L611*(1+(Inputs!$B$10+0+B633)/100)</f>
        <v/>
      </c>
      <c r="N611">
        <f>L611*(1-MIN((Inputs!$B$9+((C619=TRUE)*(F619-Calc!F16))+B628),100)/100)+M611*(MIN((Inputs!$B$9+((C619=TRUE)*(F619-Calc!F16))+B628),100)/100)</f>
        <v/>
      </c>
      <c r="O611">
        <f>(1-Summary!$B$55)*T611+Summary!$B$55*V611</f>
        <v/>
      </c>
      <c r="P611">
        <f>IF(B638=0,0,O611/B638)</f>
        <v/>
      </c>
      <c r="Q611">
        <f>IFERROR(1/IF(Inputs!$B$38="pvp",15,MAX(0.1,Skills!D8-IF(Skills!E8=TRUE,Inputs!$B$32,0))),0)</f>
        <v/>
      </c>
      <c r="R611">
        <f>IF(AND(Inputs!$B$38&lt;&gt;"pvp",Inputs!$B$43&gt;0),IF(MAX(0,Inputs!$B$43-B635)&lt;=0,0,(INT(MAX(0,Inputs!$B$43-B635)/IF(Inputs!$B$38="pvp",15,MAX(0.1,Skills!D8-IF(Skills!E8=TRUE,Inputs!$B$32,0))))+1)),0)</f>
        <v/>
      </c>
      <c r="S611">
        <f>IFERROR(O611/N611,0)</f>
        <v/>
      </c>
      <c r="T611">
        <f>IF(C611,(H611*N611*IF(AND(Inputs!$B$38&lt;&gt;"pvp",Inputs!$B$43&gt;0),((Skills!G8*((R611-1)*IF(Skills!H8&gt;0,Skills!I8/Skills!H8,1)+IF(Skills!H8&gt;0,MIN(Skills!I8,MAX(0,MAX(0,Inputs!$B$43-B635)-((R611-1)*IF(Inputs!$B$38="pvp",15,MAX(0.1,Skills!D8-IF(Skills!E8=TRUE,Inputs!$B$32,0))))))/Skills!H8,1)))/Inputs!$B$43),G611*Q611))*IF(Inputs!$B$38="pvp",1,1+(Inputs!$B$20+0+Skills!P8)/100),0)</f>
        <v/>
      </c>
      <c r="V611">
        <f>IF(C611,(H611*N611*IF(AND(Inputs!$B$38&lt;&gt;"pvp",Inputs!$B$43&gt;0),((Skills!G8*((R611-1)*IF(Skills!H8&gt;0,Skills!I8/Skills!H8,1)+IF(Skills!H8&gt;0,MIN(Skills!I8,MAX(0,MAX(0,Inputs!$B$43-B635)-((R611-1)*IF(Inputs!$B$38="pvp",15,MAX(0.1,Skills!D8-IF(Skills!E8=TRUE,Inputs!$B$32,0))))))/Skills!H8,1)))/Inputs!$B$43),G611*Q611))*IF(Inputs!$B$38="pvp",1,(1+(Inputs!$B$21+Skills!Q8)/100)*(MIN(Skills!R8,Inputs!$B$37))),0)</f>
        <v/>
      </c>
    </row>
    <row r="612">
      <c r="A612">
        <f>Skills!A9</f>
        <v/>
      </c>
      <c r="B612">
        <f>Skills!B9</f>
        <v/>
      </c>
      <c r="C612">
        <f>Inputs!$B$3&gt;=110</f>
        <v/>
      </c>
      <c r="D612">
        <f>IF(Skills!C9=1,60+Inputs!$B$25+Inputs!$B$29,IF(Skills!C9=2,90+Inputs!$B$26+Inputs!$B$29,IF(Skills!C9=3,120+Inputs!$B$27+Inputs!$B$29,MAX(0,(Inputs!$B$3-100)*3)+Inputs!$B$28+Inputs!$B$29)))</f>
        <v/>
      </c>
      <c r="E612">
        <f>INDEX(FactorTable!$B$2:$Y$301, MATCH(ROUND(MIN(300,MAX(1,D612)),0), FactorTable!$A$2:$A$301,0), Skills!M9+1)</f>
        <v/>
      </c>
      <c r="F612">
        <f>IF(Skills!N9=TRUE,(Skills!L9/10)*(E612/1000),Skills!L9/10)+Skills!O9</f>
        <v/>
      </c>
      <c r="G612">
        <f>Skills!G9*IF(Skills!H9&gt;0,Skills!I9/Skills!H9,1)</f>
        <v/>
      </c>
      <c r="H612">
        <f>1-(1-Skills!J9/100)^Skills!K9</f>
        <v/>
      </c>
      <c r="I612" t="inlineStr">
        <is>
          <t>1</t>
        </is>
      </c>
      <c r="J612">
        <f>((Inputs!$B$6*(1+Inputs!$B$7/100))+(((Inputs!$B$12*(1+Inputs!$B$13/100))-(Inputs!$B$12*(1+Inputs!$B$13/100)))+0.25*(Inputs!$B$14-Inputs!$B$14))*(1+Inputs!$B$7/100))*(F612/100)</f>
        <v/>
      </c>
      <c r="K612">
        <f>J612*(1+((Inputs!$B$12*(1+Inputs!$B$13/100))*0.01+Inputs!$B$14*0.0025)/100)*(1+Inputs!$B$15/100)*(1+Inputs!$B$16/100)*(5000/(6000+Inputs!$B$42*(1-(Inputs!$B$19+0)/100)))*(1+(Inputs!$B$24+((C625=TRUE)*(F625-Calc!F22))+B634)/100)*(1+(IF(Skills!A9="HOOK_BOMBER",Inputs!$B$17+((C624=TRUE)*(F624-Calc!F21)),(Inputs!$B$18+1)+0))/100)*((1+(((C616=TRUE)*F616)+((C622=TRUE)*(F622-Calc!F19)))/100)*I612)</f>
        <v/>
      </c>
      <c r="L612">
        <f>K612*(MIN(Inputs!$B$22+((C623=TRUE)*(F623-Calc!F20)),Inputs!$B$23+0)/100+(Inputs!$B$23+0)/100)/2</f>
        <v/>
      </c>
      <c r="M612">
        <f>L612*(1+(Inputs!$B$10+0+B633)/100)</f>
        <v/>
      </c>
      <c r="N612">
        <f>L612*(1-MIN((Inputs!$B$9+((C619=TRUE)*(F619-Calc!F16))+B628),100)/100)+M612*(MIN((Inputs!$B$9+((C619=TRUE)*(F619-Calc!F16))+B628),100)/100)</f>
        <v/>
      </c>
      <c r="O612">
        <f>(1-Summary!$B$55)*T612+Summary!$B$55*V612</f>
        <v/>
      </c>
      <c r="P612">
        <f>IF(B638=0,0,O612/B638)</f>
        <v/>
      </c>
      <c r="Q612">
        <f>IFERROR(1/IF(Inputs!$B$38="pvp",15,MAX(0.1,Skills!D9-IF(Skills!E9=TRUE,Inputs!$B$32,0))),0)</f>
        <v/>
      </c>
      <c r="R612">
        <f>IF(AND(Inputs!$B$38&lt;&gt;"pvp",Inputs!$B$43&gt;0),IF(MAX(0,Inputs!$B$43-B635)&lt;=0,0,(INT(MAX(0,Inputs!$B$43-B635)/IF(Inputs!$B$38="pvp",15,MAX(0.1,Skills!D9-IF(Skills!E9=TRUE,Inputs!$B$32,0))))+1)),0)</f>
        <v/>
      </c>
      <c r="S612">
        <f>IFERROR(O612/N612,0)</f>
        <v/>
      </c>
      <c r="T612">
        <f>IF(C612,(H612*N612*IF(AND(Inputs!$B$38&lt;&gt;"pvp",Inputs!$B$43&gt;0),((Skills!G9*((R612-1)*IF(Skills!H9&gt;0,Skills!I9/Skills!H9,1)+IF(Skills!H9&gt;0,MIN(Skills!I9,MAX(0,MAX(0,Inputs!$B$43-B635)-((R612-1)*IF(Inputs!$B$38="pvp",15,MAX(0.1,Skills!D9-IF(Skills!E9=TRUE,Inputs!$B$32,0))))))/Skills!H9,1)))/Inputs!$B$43),G612*Q612))*IF(Inputs!$B$38="pvp",1,1+(Inputs!$B$20+0+Skills!P9)/100),0)</f>
        <v/>
      </c>
      <c r="V612">
        <f>IF(C612,(H612*N612*IF(AND(Inputs!$B$38&lt;&gt;"pvp",Inputs!$B$43&gt;0),((Skills!G9*((R612-1)*IF(Skills!H9&gt;0,Skills!I9/Skills!H9,1)+IF(Skills!H9&gt;0,MIN(Skills!I9,MAX(0,MAX(0,Inputs!$B$43-B635)-((R612-1)*IF(Inputs!$B$38="pvp",15,MAX(0.1,Skills!D9-IF(Skills!E9=TRUE,Inputs!$B$32,0))))))/Skills!H9,1)))/Inputs!$B$43),G612*Q612))*IF(Inputs!$B$38="pvp",1,(1+(Inputs!$B$21+Skills!Q9)/100)*(MIN(Skills!R9,Inputs!$B$37))),0)</f>
        <v/>
      </c>
    </row>
    <row r="613">
      <c r="A613">
        <f>Skills!A10</f>
        <v/>
      </c>
      <c r="B613">
        <f>Skills!B10</f>
        <v/>
      </c>
      <c r="C613">
        <f>Inputs!$B$3&gt;=103</f>
        <v/>
      </c>
      <c r="D613">
        <f>IF(Skills!C10=1,60+Inputs!$B$25+Inputs!$B$29,IF(Skills!C10=2,90+Inputs!$B$26+Inputs!$B$29,IF(Skills!C10=3,120+Inputs!$B$27+Inputs!$B$29,MAX(0,(Inputs!$B$3-100)*3)+Inputs!$B$28+Inputs!$B$29)))</f>
        <v/>
      </c>
      <c r="E613">
        <f>INDEX(FactorTable!$B$2:$Y$301, MATCH(ROUND(MIN(300,MAX(1,D613)),0), FactorTable!$A$2:$A$301,0), Skills!M10+1)</f>
        <v/>
      </c>
      <c r="F613">
        <f>IF(Skills!N10=TRUE,(Skills!L10/10)*(E613/1000),Skills!L10/10)+Skills!O10</f>
        <v/>
      </c>
      <c r="G613">
        <f>Skills!G10*IF(Skills!H10&gt;0,Skills!I10/Skills!H10,1)</f>
        <v/>
      </c>
      <c r="H613">
        <f>1-(1-Skills!J10/100)^Skills!K10</f>
        <v/>
      </c>
      <c r="I613" t="inlineStr">
        <is>
          <t>1</t>
        </is>
      </c>
      <c r="J613">
        <f>((Inputs!$B$6*(1+Inputs!$B$7/100))+(((Inputs!$B$12*(1+Inputs!$B$13/100))-(Inputs!$B$12*(1+Inputs!$B$13/100)))+0.25*(Inputs!$B$14-Inputs!$B$14))*(1+Inputs!$B$7/100))*(F613/100)</f>
        <v/>
      </c>
      <c r="K613">
        <f>J613*(1+((Inputs!$B$12*(1+Inputs!$B$13/100))*0.01+Inputs!$B$14*0.0025)/100)*(1+Inputs!$B$15/100)*(1+Inputs!$B$16/100)*(5000/(6000+Inputs!$B$42*(1-(Inputs!$B$19+0)/100)))*(1+(Inputs!$B$24+((C625=TRUE)*(F625-Calc!F22))+B634)/100)*(1+(IF(Skills!A10="HOOK_BOMBER",Inputs!$B$17+((C624=TRUE)*(F624-Calc!F21)),(Inputs!$B$18+1)+0))/100)*((1+(((C616=TRUE)*F616)+((C622=TRUE)*(F622-Calc!F19)))/100)*I613)</f>
        <v/>
      </c>
      <c r="L613">
        <f>K613*(MIN(Inputs!$B$22+((C623=TRUE)*(F623-Calc!F20)),Inputs!$B$23+0)/100+(Inputs!$B$23+0)/100)/2</f>
        <v/>
      </c>
      <c r="M613">
        <f>L613*(1+(Inputs!$B$10+0+B633)/100)</f>
        <v/>
      </c>
      <c r="N613">
        <f>L613*(1-MIN((Inputs!$B$9+((C619=TRUE)*(F619-Calc!F16))+B628),100)/100)+M613*(MIN((Inputs!$B$9+((C619=TRUE)*(F619-Calc!F16))+B628),100)/100)</f>
        <v/>
      </c>
      <c r="O613">
        <f>(1-Summary!$B$55)*T613+Summary!$B$55*V613</f>
        <v/>
      </c>
      <c r="P613">
        <f>IF(B638=0,0,O613/B638)</f>
        <v/>
      </c>
      <c r="Q613">
        <f>IFERROR(1/IF(Inputs!$B$38="pvp",15,MAX(0.1,Skills!D10-IF(Skills!E10=TRUE,Inputs!$B$32,0))),0)</f>
        <v/>
      </c>
      <c r="R613">
        <f>IF(AND(Inputs!$B$38&lt;&gt;"pvp",Inputs!$B$43&gt;0),IF(MAX(0,Inputs!$B$43-B635)&lt;=0,0,(INT(MAX(0,Inputs!$B$43-B635)/IF(Inputs!$B$38="pvp",15,MAX(0.1,Skills!D10-IF(Skills!E10=TRUE,Inputs!$B$32,0))))+1)),0)</f>
        <v/>
      </c>
      <c r="S613">
        <f>IFERROR(O613/N613,0)</f>
        <v/>
      </c>
      <c r="T613">
        <f>IF(C613,(H613*N613*IF(AND(Inputs!$B$38&lt;&gt;"pvp",Inputs!$B$43&gt;0),((Skills!G10*((R613-1)*IF(Skills!H10&gt;0,Skills!I10/Skills!H10,1)+IF(Skills!H10&gt;0,MIN(Skills!I10,MAX(0,MAX(0,Inputs!$B$43-B635)-((R613-1)*IF(Inputs!$B$38="pvp",15,MAX(0.1,Skills!D10-IF(Skills!E10=TRUE,Inputs!$B$32,0))))))/Skills!H10,1)))/Inputs!$B$43),G613*Q613))*IF(Inputs!$B$38="pvp",1,1+(Inputs!$B$20+0+Skills!P10)/100),0)</f>
        <v/>
      </c>
      <c r="V613">
        <f>IF(C613,(H613*N613*IF(AND(Inputs!$B$38&lt;&gt;"pvp",Inputs!$B$43&gt;0),((Skills!G10*((R613-1)*IF(Skills!H10&gt;0,Skills!I10/Skills!H10,1)+IF(Skills!H10&gt;0,MIN(Skills!I10,MAX(0,MAX(0,Inputs!$B$43-B635)-((R613-1)*IF(Inputs!$B$38="pvp",15,MAX(0.1,Skills!D10-IF(Skills!E10=TRUE,Inputs!$B$32,0))))))/Skills!H10,1)))/Inputs!$B$43),G613*Q613))*IF(Inputs!$B$38="pvp",1,(1+(Inputs!$B$21+Skills!Q10)/100)*(MIN(Skills!R10,Inputs!$B$37))),0)</f>
        <v/>
      </c>
    </row>
    <row r="614">
      <c r="A614">
        <f>Skills!A11</f>
        <v/>
      </c>
      <c r="B614">
        <f>Skills!B11</f>
        <v/>
      </c>
      <c r="C614">
        <f>Inputs!$B$3&gt;=113</f>
        <v/>
      </c>
      <c r="D614">
        <f>IF(Skills!C11=1,60+Inputs!$B$25+Inputs!$B$29,IF(Skills!C11=2,90+Inputs!$B$26+Inputs!$B$29,IF(Skills!C11=3,120+Inputs!$B$27+Inputs!$B$29,MAX(0,(Inputs!$B$3-100)*3)+Inputs!$B$28+Inputs!$B$29)))</f>
        <v/>
      </c>
      <c r="E614">
        <f>INDEX(FactorTable!$B$2:$Y$301, MATCH(ROUND(MIN(300,MAX(1,D614)),0), FactorTable!$A$2:$A$301,0), Skills!M11+1)</f>
        <v/>
      </c>
      <c r="F614">
        <f>IF(Skills!N11=TRUE,(Skills!L11/10)*(E614/1000),Skills!L11/10)+Skills!O11</f>
        <v/>
      </c>
      <c r="G614">
        <f>Skills!G11*IF(Skills!H11&gt;0,Skills!I11/Skills!H11,1)</f>
        <v/>
      </c>
      <c r="H614">
        <f>1-(1-Skills!J11/100)^Skills!K11</f>
        <v/>
      </c>
      <c r="I614" t="inlineStr">
        <is>
          <t>1</t>
        </is>
      </c>
      <c r="J614">
        <f>((Inputs!$B$6*(1+Inputs!$B$7/100))+(((Inputs!$B$12*(1+Inputs!$B$13/100))-(Inputs!$B$12*(1+Inputs!$B$13/100)))+0.25*(Inputs!$B$14-Inputs!$B$14))*(1+Inputs!$B$7/100))*(F614/100)</f>
        <v/>
      </c>
      <c r="K614">
        <f>J614*(1+((Inputs!$B$12*(1+Inputs!$B$13/100))*0.01+Inputs!$B$14*0.0025)/100)*(1+Inputs!$B$15/100)*(1+Inputs!$B$16/100)*(5000/(6000+Inputs!$B$42*(1-(Inputs!$B$19+0)/100)))*(1+(Inputs!$B$24+((C625=TRUE)*(F625-Calc!F22))+B634)/100)*(1+(IF(Skills!A11="HOOK_BOMBER",Inputs!$B$17+((C624=TRUE)*(F624-Calc!F21)),(Inputs!$B$18+1)+0))/100)*((1+(((C616=TRUE)*F616)+((C622=TRUE)*(F622-Calc!F19)))/100)*I614)</f>
        <v/>
      </c>
      <c r="L614">
        <f>K614*(MIN(Inputs!$B$22+((C623=TRUE)*(F623-Calc!F20)),Inputs!$B$23+0)/100+(Inputs!$B$23+0)/100)/2</f>
        <v/>
      </c>
      <c r="M614">
        <f>L614*(1+(Inputs!$B$10+0+B633)/100)</f>
        <v/>
      </c>
      <c r="N614">
        <f>L614*(1-MIN((Inputs!$B$9+((C619=TRUE)*(F619-Calc!F16))+B628),100)/100)+M614*(MIN((Inputs!$B$9+((C619=TRUE)*(F619-Calc!F16))+B628),100)/100)</f>
        <v/>
      </c>
      <c r="O614">
        <f>(1-Summary!$B$55)*T614+Summary!$B$55*V614</f>
        <v/>
      </c>
      <c r="P614">
        <f>IF(B638=0,0,O614/B638)</f>
        <v/>
      </c>
      <c r="Q614">
        <f>IFERROR(1/IF(Inputs!$B$38="pvp",15,MAX(0.1,Skills!D11-IF(Skills!E11=TRUE,Inputs!$B$32,0))),0)</f>
        <v/>
      </c>
      <c r="R614">
        <f>IF(AND(Inputs!$B$38&lt;&gt;"pvp",Inputs!$B$43&gt;0),IF(MAX(0,Inputs!$B$43-B635)&lt;=0,0,(INT(MAX(0,Inputs!$B$43-B635)/IF(Inputs!$B$38="pvp",15,MAX(0.1,Skills!D11-IF(Skills!E11=TRUE,Inputs!$B$32,0))))+1)),0)</f>
        <v/>
      </c>
      <c r="S614">
        <f>IFERROR(O614/N614,0)</f>
        <v/>
      </c>
      <c r="T614">
        <f>IF(C614,(H614*N614*IF(AND(Inputs!$B$38&lt;&gt;"pvp",Inputs!$B$43&gt;0),((Skills!G11*((R614-1)*IF(Skills!H11&gt;0,Skills!I11/Skills!H11,1)+IF(Skills!H11&gt;0,MIN(Skills!I11,MAX(0,MAX(0,Inputs!$B$43-B635)-((R614-1)*IF(Inputs!$B$38="pvp",15,MAX(0.1,Skills!D11-IF(Skills!E11=TRUE,Inputs!$B$32,0))))))/Skills!H11,1)))/Inputs!$B$43),G614*Q614))*IF(Inputs!$B$38="pvp",1,1+(Inputs!$B$20+0+Skills!P11)/100),0)</f>
        <v/>
      </c>
      <c r="V614">
        <f>IF(C614,(H614*N614*IF(AND(Inputs!$B$38&lt;&gt;"pvp",Inputs!$B$43&gt;0),((Skills!G11*((R614-1)*IF(Skills!H11&gt;0,Skills!I11/Skills!H11,1)+IF(Skills!H11&gt;0,MIN(Skills!I11,MAX(0,MAX(0,Inputs!$B$43-B635)-((R614-1)*IF(Inputs!$B$38="pvp",15,MAX(0.1,Skills!D11-IF(Skills!E11=TRUE,Inputs!$B$32,0))))))/Skills!H11,1)))/Inputs!$B$43),G614*Q614))*IF(Inputs!$B$38="pvp",1,(1+(Inputs!$B$21+Skills!Q11)/100)*(MIN(Skills!R11,Inputs!$B$37))),0)</f>
        <v/>
      </c>
    </row>
    <row r="615">
      <c r="A615">
        <f>Skills!A12</f>
        <v/>
      </c>
      <c r="B615">
        <f>Skills!B12</f>
        <v/>
      </c>
      <c r="C615">
        <f>Inputs!$B$3&gt;=100</f>
        <v/>
      </c>
      <c r="D615">
        <f>IF(Skills!C12=1,60+Inputs!$B$25+Inputs!$B$29,IF(Skills!C12=2,90+Inputs!$B$26+Inputs!$B$29,IF(Skills!C12=3,120+Inputs!$B$27+Inputs!$B$29,MAX(0,(Inputs!$B$3-100)*3)+Inputs!$B$28+Inputs!$B$29)))</f>
        <v/>
      </c>
      <c r="E615">
        <f>INDEX(FactorTable!$B$2:$Y$301, MATCH(ROUND(MIN(300,MAX(1,D615)),0), FactorTable!$A$2:$A$301,0), Skills!M12+1)</f>
        <v/>
      </c>
      <c r="F615">
        <f>IF(Skills!N12=TRUE,(Skills!L12/10)*(E615/1000),Skills!L12/10)+Skills!O12</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V615" t="inlineStr"/>
    </row>
    <row r="616">
      <c r="A616">
        <f>Skills!A13</f>
        <v/>
      </c>
      <c r="B616">
        <f>Skills!B13</f>
        <v/>
      </c>
      <c r="C616">
        <f>Inputs!$B$3&gt;=66</f>
        <v/>
      </c>
      <c r="D616">
        <f>IF(Skills!C13=1,60+Inputs!$B$25+Inputs!$B$29,IF(Skills!C13=2,90+Inputs!$B$26+Inputs!$B$29,IF(Skills!C13=3,120+Inputs!$B$27+Inputs!$B$29,MAX(0,(Inputs!$B$3-100)*3)+Inputs!$B$28+Inputs!$B$29)))</f>
        <v/>
      </c>
      <c r="E616">
        <f>INDEX(FactorTable!$B$2:$Y$301, MATCH(ROUND(MIN(300,MAX(1,D616)),0), FactorTable!$A$2:$A$301,0), Skills!M13+1)</f>
        <v/>
      </c>
      <c r="F616">
        <f>IF(Skills!N13=TRUE,(Skills!L13/10)*(E616/1000),Skills!L13/10)+Skills!O13</f>
        <v/>
      </c>
      <c r="G616">
        <f>Skills!G13*IF(Skills!H13&gt;0,Skills!I13/Skills!H13,1)</f>
        <v/>
      </c>
      <c r="H616">
        <f>1-(1-Skills!J13/100)^Skills!K13</f>
        <v/>
      </c>
      <c r="I616" t="inlineStr">
        <is>
          <t>1</t>
        </is>
      </c>
      <c r="J616" t="inlineStr"/>
      <c r="K616" t="inlineStr"/>
      <c r="L616" t="inlineStr"/>
      <c r="M616" t="inlineStr"/>
      <c r="N616" t="inlineStr"/>
      <c r="O616">
        <f>(1-Summary!$B$55)*T616+Summary!$B$55*V616</f>
        <v/>
      </c>
      <c r="P616">
        <f>IF(B638=0,0,O616/B638)</f>
        <v/>
      </c>
      <c r="Q616" t="n">
        <v>0</v>
      </c>
      <c r="R616" t="n">
        <v>0</v>
      </c>
      <c r="S616">
        <f>IFERROR(O616/N616,0)</f>
        <v/>
      </c>
      <c r="T616" t="n">
        <v>0</v>
      </c>
      <c r="V616" t="n">
        <v>0</v>
      </c>
    </row>
    <row r="617">
      <c r="A617">
        <f>Skills!A14</f>
        <v/>
      </c>
      <c r="B617">
        <f>Skills!B14</f>
        <v/>
      </c>
      <c r="C617">
        <f>Inputs!$B$3&gt;=107</f>
        <v/>
      </c>
      <c r="D617">
        <f>IF(Skills!C14=1,60+Inputs!$B$25+Inputs!$B$29,IF(Skills!C14=2,90+Inputs!$B$26+Inputs!$B$29,IF(Skills!C14=3,120+Inputs!$B$27+Inputs!$B$29,MAX(0,(Inputs!$B$3-100)*3)+Inputs!$B$28+Inputs!$B$29)))</f>
        <v/>
      </c>
      <c r="E617">
        <f>INDEX(FactorTable!$B$2:$Y$301, MATCH(ROUND(MIN(300,MAX(1,D617)),0), FactorTable!$A$2:$A$301,0), Skills!M14+1)</f>
        <v/>
      </c>
      <c r="F617">
        <f>IF(Skills!N14=TRUE,(Skills!L14/10)*(E617/1000),Skills!L14/10)+Skills!O14</f>
        <v/>
      </c>
      <c r="G617">
        <f>Skills!G14*IF(Skills!H14&gt;0,Skills!I14/Skills!H14,1)</f>
        <v/>
      </c>
      <c r="H617">
        <f>1-(1-Skills!J14/100)^Skills!K14</f>
        <v/>
      </c>
      <c r="I617" t="inlineStr">
        <is>
          <t>1</t>
        </is>
      </c>
      <c r="J617" t="inlineStr"/>
      <c r="K617" t="inlineStr"/>
      <c r="L617" t="inlineStr"/>
      <c r="M617" t="inlineStr"/>
      <c r="N617" t="inlineStr"/>
      <c r="O617">
        <f>(1-Summary!$B$55)*T617+Summary!$B$55*V617</f>
        <v/>
      </c>
      <c r="P617">
        <f>IF(B638=0,0,O617/B638)</f>
        <v/>
      </c>
      <c r="Q617" t="n">
        <v>0</v>
      </c>
      <c r="R617" t="n">
        <v>0</v>
      </c>
      <c r="S617">
        <f>IFERROR(O617/N617,0)</f>
        <v/>
      </c>
      <c r="T617" t="n">
        <v>0</v>
      </c>
      <c r="V617" t="n">
        <v>0</v>
      </c>
    </row>
    <row r="618">
      <c r="A618">
        <f>Skills!A15</f>
        <v/>
      </c>
      <c r="B618">
        <f>Skills!B15</f>
        <v/>
      </c>
      <c r="C618">
        <f>Inputs!$B$3&gt;=115</f>
        <v/>
      </c>
      <c r="D618">
        <f>IF(Skills!C15=1,60+Inputs!$B$25+Inputs!$B$29,IF(Skills!C15=2,90+Inputs!$B$26+Inputs!$B$29,IF(Skills!C15=3,120+Inputs!$B$27+Inputs!$B$29,MAX(0,(Inputs!$B$3-100)*3)+Inputs!$B$28+Inputs!$B$29)))</f>
        <v/>
      </c>
      <c r="E618">
        <f>INDEX(FactorTable!$B$2:$Y$301, MATCH(ROUND(MIN(300,MAX(1,D618)),0), FactorTable!$A$2:$A$301,0), Skills!M15+1)</f>
        <v/>
      </c>
      <c r="F618">
        <f>IF(Skills!N15=TRUE,(Skills!L15/10)*(E618/1000),Skills!L15/10)+Skills!O15</f>
        <v/>
      </c>
      <c r="G618">
        <f>Skills!G15*IF(Skills!H15&gt;0,Skills!I15/Skills!H15,1)</f>
        <v/>
      </c>
      <c r="H618">
        <f>1-(1-Skills!J15/100)^Skills!K15</f>
        <v/>
      </c>
      <c r="I618" t="inlineStr">
        <is>
          <t>1</t>
        </is>
      </c>
      <c r="J618" t="inlineStr"/>
      <c r="K618" t="inlineStr"/>
      <c r="L618" t="inlineStr"/>
      <c r="M618" t="inlineStr"/>
      <c r="N618" t="inlineStr"/>
      <c r="O618">
        <f>(1-Summary!$B$55)*T618+Summary!$B$55*V618</f>
        <v/>
      </c>
      <c r="P618">
        <f>IF(B638=0,0,O618/B638)</f>
        <v/>
      </c>
      <c r="Q618" t="n">
        <v>0</v>
      </c>
      <c r="R618" t="n">
        <v>0</v>
      </c>
      <c r="S618">
        <f>IFERROR(O618/N618,0)</f>
        <v/>
      </c>
      <c r="T618" t="n">
        <v>0</v>
      </c>
      <c r="V618" t="n">
        <v>0</v>
      </c>
    </row>
    <row r="619">
      <c r="A619">
        <f>Skills!A16</f>
        <v/>
      </c>
      <c r="B619">
        <f>Skills!B16</f>
        <v/>
      </c>
      <c r="C619">
        <f>Inputs!$B$3&gt;=15</f>
        <v/>
      </c>
      <c r="D619">
        <f>IF(Skills!C16=1,60+Inputs!$B$25+Inputs!$B$29,IF(Skills!C16=2,90+Inputs!$B$26+Inputs!$B$29,IF(Skills!C16=3,120+Inputs!$B$27+Inputs!$B$29,MAX(0,(Inputs!$B$3-100)*3)+Inputs!$B$28+Inputs!$B$29)))</f>
        <v/>
      </c>
      <c r="E619">
        <f>INDEX(FactorTable!$B$2:$Y$301, MATCH(ROUND(MIN(300,MAX(1,D619)),0), FactorTable!$A$2:$A$301,0), Skills!M16+1)</f>
        <v/>
      </c>
      <c r="F619">
        <f>IF(Skills!N16=TRUE,(Skills!L16/10)*(E619/1000),Skills!L16/10)+Skills!O16</f>
        <v/>
      </c>
      <c r="G619">
        <f>Skills!G16*IF(Skills!H16&gt;0,Skills!I16/Skills!H16,1)</f>
        <v/>
      </c>
      <c r="H619">
        <f>1-(1-Skills!J16/100)^Skills!K16</f>
        <v/>
      </c>
      <c r="I619" t="inlineStr">
        <is>
          <t>1</t>
        </is>
      </c>
      <c r="J619" t="inlineStr"/>
      <c r="K619" t="inlineStr"/>
      <c r="L619" t="inlineStr"/>
      <c r="M619" t="inlineStr"/>
      <c r="N619" t="inlineStr"/>
      <c r="O619">
        <f>(1-Summary!$B$55)*T619+Summary!$B$55*V619</f>
        <v/>
      </c>
      <c r="P619">
        <f>IF(B638=0,0,O619/B638)</f>
        <v/>
      </c>
      <c r="Q619" t="n">
        <v>0</v>
      </c>
      <c r="R619" t="n">
        <v>0</v>
      </c>
      <c r="S619">
        <f>IFERROR(O619/N619,0)</f>
        <v/>
      </c>
      <c r="T619" t="n">
        <v>0</v>
      </c>
      <c r="V619" t="n">
        <v>0</v>
      </c>
    </row>
    <row r="620">
      <c r="A620">
        <f>Skills!A17</f>
        <v/>
      </c>
      <c r="B620">
        <f>Skills!B17</f>
        <v/>
      </c>
      <c r="C620">
        <f>Inputs!$B$3&gt;=10</f>
        <v/>
      </c>
      <c r="D620">
        <f>IF(Skills!C17=1,60+Inputs!$B$25+Inputs!$B$29,IF(Skills!C17=2,90+Inputs!$B$26+Inputs!$B$29,IF(Skills!C17=3,120+Inputs!$B$27+Inputs!$B$29,MAX(0,(Inputs!$B$3-100)*3)+Inputs!$B$28+Inputs!$B$29)))</f>
        <v/>
      </c>
      <c r="E620">
        <f>INDEX(FactorTable!$B$2:$Y$301, MATCH(ROUND(MIN(300,MAX(1,D620)),0), FactorTable!$A$2:$A$301,0), Skills!M17+1)</f>
        <v/>
      </c>
      <c r="F620">
        <f>IF(Skills!N17=TRUE,(Skills!L17/10)*(E620/1000),Skills!L17/10)+Skills!O17</f>
        <v/>
      </c>
      <c r="G620">
        <f>Skills!G17*IF(Skills!H17&gt;0,Skills!I17/Skills!H17,1)</f>
        <v/>
      </c>
      <c r="H620">
        <f>1-(1-Skills!J17/100)^Skills!K17</f>
        <v/>
      </c>
      <c r="I620" t="inlineStr">
        <is>
          <t>1</t>
        </is>
      </c>
      <c r="J620" t="inlineStr"/>
      <c r="K620" t="inlineStr"/>
      <c r="L620" t="inlineStr"/>
      <c r="M620" t="inlineStr"/>
      <c r="N620" t="inlineStr"/>
      <c r="O620">
        <f>(1-Summary!$B$55)*T620+Summary!$B$55*V620</f>
        <v/>
      </c>
      <c r="P620">
        <f>IF(B638=0,0,O620/B638)</f>
        <v/>
      </c>
      <c r="Q620" t="n">
        <v>0</v>
      </c>
      <c r="R620" t="n">
        <v>0</v>
      </c>
      <c r="S620">
        <f>IFERROR(O620/N620,0)</f>
        <v/>
      </c>
      <c r="T620" t="n">
        <v>0</v>
      </c>
      <c r="V620" t="n">
        <v>0</v>
      </c>
    </row>
    <row r="621">
      <c r="A621">
        <f>Skills!A18</f>
        <v/>
      </c>
      <c r="B621">
        <f>Skills!B18</f>
        <v/>
      </c>
      <c r="C621">
        <f>Inputs!$B$3&gt;=33</f>
        <v/>
      </c>
      <c r="D621">
        <f>IF(Skills!C18=1,60+Inputs!$B$25+Inputs!$B$29,IF(Skills!C18=2,90+Inputs!$B$26+Inputs!$B$29,IF(Skills!C18=3,120+Inputs!$B$27+Inputs!$B$29,MAX(0,(Inputs!$B$3-100)*3)+Inputs!$B$28+Inputs!$B$29)))</f>
        <v/>
      </c>
      <c r="E621">
        <f>INDEX(FactorTable!$B$2:$Y$301, MATCH(ROUND(MIN(300,MAX(1,D621)),0), FactorTable!$A$2:$A$301,0), Skills!M18+1)</f>
        <v/>
      </c>
      <c r="F621">
        <f>IF(Skills!N18=TRUE,(Skills!L18/10)*(E621/1000),Skills!L18/10)+Skills!O18</f>
        <v/>
      </c>
      <c r="G621">
        <f>Skills!G18*IF(Skills!H18&gt;0,Skills!I18/Skills!H18,1)</f>
        <v/>
      </c>
      <c r="H621">
        <f>1-(1-Skills!J18/100)^Skills!K18</f>
        <v/>
      </c>
      <c r="I621" t="inlineStr">
        <is>
          <t>1</t>
        </is>
      </c>
      <c r="J621" t="inlineStr"/>
      <c r="K621" t="inlineStr"/>
      <c r="L621" t="inlineStr"/>
      <c r="M621" t="inlineStr"/>
      <c r="N621" t="inlineStr"/>
      <c r="O621">
        <f>(1-Summary!$B$55)*T621+Summary!$B$55*V621</f>
        <v/>
      </c>
      <c r="P621">
        <f>IF(B638=0,0,O621/B638)</f>
        <v/>
      </c>
      <c r="Q621" t="n">
        <v>0</v>
      </c>
      <c r="R621" t="n">
        <v>0</v>
      </c>
      <c r="S621">
        <f>IFERROR(O621/N621,0)</f>
        <v/>
      </c>
      <c r="T621" t="n">
        <v>0</v>
      </c>
      <c r="V621" t="n">
        <v>0</v>
      </c>
    </row>
    <row r="622">
      <c r="A622">
        <f>Skills!A19</f>
        <v/>
      </c>
      <c r="B622">
        <f>Skills!B19</f>
        <v/>
      </c>
      <c r="C622">
        <f>Inputs!$B$3&gt;=40</f>
        <v/>
      </c>
      <c r="D622">
        <f>IF(Skills!C19=1,60+Inputs!$B$25+Inputs!$B$29,IF(Skills!C19=2,90+Inputs!$B$26+Inputs!$B$29,IF(Skills!C19=3,120+Inputs!$B$27+Inputs!$B$29,MAX(0,(Inputs!$B$3-100)*3)+Inputs!$B$28+Inputs!$B$29)))</f>
        <v/>
      </c>
      <c r="E622">
        <f>INDEX(FactorTable!$B$2:$Y$301, MATCH(ROUND(MIN(300,MAX(1,D622)),0), FactorTable!$A$2:$A$301,0), Skills!M19+1)</f>
        <v/>
      </c>
      <c r="F622">
        <f>IF(Skills!N19=TRUE,(Skills!L19/10)*(E622/1000),Skills!L19/10)+Skills!O19</f>
        <v/>
      </c>
      <c r="G622">
        <f>Skills!G19*IF(Skills!H19&gt;0,Skills!I19/Skills!H19,1)</f>
        <v/>
      </c>
      <c r="H622">
        <f>1-(1-Skills!J19/100)^Skills!K19</f>
        <v/>
      </c>
      <c r="I622" t="inlineStr">
        <is>
          <t>1</t>
        </is>
      </c>
      <c r="J622" t="inlineStr"/>
      <c r="K622" t="inlineStr"/>
      <c r="L622" t="inlineStr"/>
      <c r="M622" t="inlineStr"/>
      <c r="N622" t="inlineStr"/>
      <c r="O622">
        <f>(1-Summary!$B$55)*T622+Summary!$B$55*V622</f>
        <v/>
      </c>
      <c r="P622">
        <f>IF(B638=0,0,O622/B638)</f>
        <v/>
      </c>
      <c r="Q622" t="n">
        <v>0</v>
      </c>
      <c r="R622" t="n">
        <v>0</v>
      </c>
      <c r="S622">
        <f>IFERROR(O622/N622,0)</f>
        <v/>
      </c>
      <c r="T622" t="n">
        <v>0</v>
      </c>
      <c r="V622" t="n">
        <v>0</v>
      </c>
    </row>
    <row r="623">
      <c r="A623">
        <f>Skills!A20</f>
        <v/>
      </c>
      <c r="B623">
        <f>Skills!B20</f>
        <v/>
      </c>
      <c r="C623">
        <f>Inputs!$B$3&gt;=43</f>
        <v/>
      </c>
      <c r="D623">
        <f>IF(Skills!C20=1,60+Inputs!$B$25+Inputs!$B$29,IF(Skills!C20=2,90+Inputs!$B$26+Inputs!$B$29,IF(Skills!C20=3,120+Inputs!$B$27+Inputs!$B$29,MAX(0,(Inputs!$B$3-100)*3)+Inputs!$B$28+Inputs!$B$29)))</f>
        <v/>
      </c>
      <c r="E623">
        <f>INDEX(FactorTable!$B$2:$Y$301, MATCH(ROUND(MIN(300,MAX(1,D623)),0), FactorTable!$A$2:$A$301,0), Skills!M20+1)</f>
        <v/>
      </c>
      <c r="F623">
        <f>IF(Skills!N20=TRUE,(Skills!L20/10)*(E623/1000),Skills!L20/10)+Skills!O20</f>
        <v/>
      </c>
      <c r="G623">
        <f>Skills!G20*IF(Skills!H20&gt;0,Skills!I20/Skills!H20,1)</f>
        <v/>
      </c>
      <c r="H623">
        <f>1-(1-Skills!J20/100)^Skills!K20</f>
        <v/>
      </c>
      <c r="I623" t="inlineStr">
        <is>
          <t>1</t>
        </is>
      </c>
      <c r="J623" t="inlineStr"/>
      <c r="K623" t="inlineStr"/>
      <c r="L623" t="inlineStr"/>
      <c r="M623" t="inlineStr"/>
      <c r="N623" t="inlineStr"/>
      <c r="O623">
        <f>(1-Summary!$B$55)*T623+Summary!$B$55*V623</f>
        <v/>
      </c>
      <c r="P623">
        <f>IF(B638=0,0,O623/B638)</f>
        <v/>
      </c>
      <c r="Q623" t="n">
        <v>0</v>
      </c>
      <c r="R623" t="n">
        <v>0</v>
      </c>
      <c r="S623">
        <f>IFERROR(O623/N623,0)</f>
        <v/>
      </c>
      <c r="T623" t="n">
        <v>0</v>
      </c>
      <c r="V623" t="n">
        <v>0</v>
      </c>
    </row>
    <row r="624">
      <c r="A624">
        <f>Skills!A21</f>
        <v/>
      </c>
      <c r="B624">
        <f>Skills!B21</f>
        <v/>
      </c>
      <c r="C624">
        <f>Inputs!$B$3&gt;=38</f>
        <v/>
      </c>
      <c r="D624">
        <f>IF(Skills!C21=1,60+Inputs!$B$25+Inputs!$B$29,IF(Skills!C21=2,90+Inputs!$B$26+Inputs!$B$29,IF(Skills!C21=3,120+Inputs!$B$27+Inputs!$B$29,MAX(0,(Inputs!$B$3-100)*3)+Inputs!$B$28+Inputs!$B$29)))</f>
        <v/>
      </c>
      <c r="E624">
        <f>INDEX(FactorTable!$B$2:$Y$301, MATCH(ROUND(MIN(300,MAX(1,D624)),0), FactorTable!$A$2:$A$301,0), Skills!M21+1)</f>
        <v/>
      </c>
      <c r="F624">
        <f>IF(Skills!N21=TRUE,(Skills!L21/10)*(E624/1000),Skills!L21/10)+Skills!O21</f>
        <v/>
      </c>
      <c r="G624">
        <f>Skills!G21*IF(Skills!H21&gt;0,Skills!I21/Skills!H21,1)</f>
        <v/>
      </c>
      <c r="H624">
        <f>1-(1-Skills!J21/100)^Skills!K21</f>
        <v/>
      </c>
      <c r="I624" t="inlineStr">
        <is>
          <t>1</t>
        </is>
      </c>
      <c r="J624" t="inlineStr"/>
      <c r="K624" t="inlineStr"/>
      <c r="L624" t="inlineStr"/>
      <c r="M624" t="inlineStr"/>
      <c r="N624" t="inlineStr"/>
      <c r="O624">
        <f>(1-Summary!$B$55)*T624+Summary!$B$55*V624</f>
        <v/>
      </c>
      <c r="P624">
        <f>IF(B638=0,0,O624/B638)</f>
        <v/>
      </c>
      <c r="Q624" t="n">
        <v>0</v>
      </c>
      <c r="R624" t="n">
        <v>0</v>
      </c>
      <c r="S624">
        <f>IFERROR(O624/N624,0)</f>
        <v/>
      </c>
      <c r="T624" t="n">
        <v>0</v>
      </c>
      <c r="V624" t="n">
        <v>0</v>
      </c>
    </row>
    <row r="625">
      <c r="A625">
        <f>Skills!A22</f>
        <v/>
      </c>
      <c r="B625">
        <f>Skills!B22</f>
        <v/>
      </c>
      <c r="C625">
        <f>Inputs!$B$3&gt;=75</f>
        <v/>
      </c>
      <c r="D625">
        <f>IF(Skills!C22=1,60+Inputs!$B$25+Inputs!$B$29,IF(Skills!C22=2,90+Inputs!$B$26+Inputs!$B$29,IF(Skills!C22=3,120+Inputs!$B$27+Inputs!$B$29,MAX(0,(Inputs!$B$3-100)*3)+Inputs!$B$28+Inputs!$B$29)))</f>
        <v/>
      </c>
      <c r="E625">
        <f>INDEX(FactorTable!$B$2:$Y$301, MATCH(ROUND(MIN(300,MAX(1,D625)),0), FactorTable!$A$2:$A$301,0), Skills!M22+1)</f>
        <v/>
      </c>
      <c r="F625">
        <f>IF(Skills!N22=TRUE,(Skills!L22/10)*(E625/1000),Skills!L22/10)+Skills!O22</f>
        <v/>
      </c>
      <c r="G625">
        <f>Skills!G22*IF(Skills!H22&gt;0,Skills!I22/Skills!H22,1)</f>
        <v/>
      </c>
      <c r="H625">
        <f>1-(1-Skills!J22/100)^Skills!K22</f>
        <v/>
      </c>
      <c r="I625" t="inlineStr">
        <is>
          <t>1</t>
        </is>
      </c>
      <c r="J625" t="inlineStr"/>
      <c r="K625" t="inlineStr"/>
      <c r="L625" t="inlineStr"/>
      <c r="M625" t="inlineStr"/>
      <c r="N625" t="inlineStr"/>
      <c r="O625">
        <f>(1-Summary!$B$55)*T625+Summary!$B$55*V625</f>
        <v/>
      </c>
      <c r="P625">
        <f>IF(B638=0,0,O625/B638)</f>
        <v/>
      </c>
      <c r="Q625" t="n">
        <v>0</v>
      </c>
      <c r="R625" t="n">
        <v>0</v>
      </c>
      <c r="S625">
        <f>IFERROR(O625/N625,0)</f>
        <v/>
      </c>
      <c r="T625" t="n">
        <v>0</v>
      </c>
      <c r="V625" t="n">
        <v>0</v>
      </c>
    </row>
    <row r="627">
      <c r="A627" t="inlineStr">
        <is>
          <t>Attack% Bucket Multiplier</t>
        </is>
      </c>
      <c r="B627">
        <f>(1+(((C616=TRUE)*F616)+((C622=TRUE)*(F622-Calc!F19)))/100)</f>
        <v/>
      </c>
    </row>
    <row r="628">
      <c r="A628" t="inlineStr">
        <is>
          <t>Global Crit Rate Bonus %</t>
        </is>
      </c>
      <c r="B628" t="n">
        <v>0</v>
      </c>
    </row>
    <row r="629">
      <c r="A629" t="inlineStr">
        <is>
          <t>Attack Speed Buff Bonus % (unused)</t>
        </is>
      </c>
      <c r="B629" t="n">
        <v>0</v>
      </c>
    </row>
    <row r="630">
      <c r="A630" t="inlineStr">
        <is>
          <t>Actions Per Second</t>
        </is>
      </c>
      <c r="B630">
        <f>1+MIN(150,150*(1-(1-(Inputs!$B$11+((C620=TRUE)*(F620-Calc!F17))+((C621=TRUE)*(F621-Calc!F18)))/150)*(1-B629/150)))/100</f>
        <v/>
      </c>
    </row>
    <row r="631">
      <c r="A631" t="inlineStr">
        <is>
          <t>Skill + Buff Cast Rate</t>
        </is>
      </c>
      <c r="B631">
        <f>IF(AND(Inputs!$B$38&lt;&gt;"pvp",Inputs!$B$43&gt;0),SUMPRODUCT((Skills!E2:E22=TRUE)*(C605:C625=TRUE)*R605:R625*Skills!F2:F22)/Inputs!$B$43,SUMPRODUCT((Skills!E2:E22=TRUE)*(C605:C625=TRUE)*Q605:Q625*Skills!F2:F22))</f>
        <v/>
      </c>
    </row>
    <row r="632">
      <c r="A632" t="inlineStr">
        <is>
          <t>Hook Bomber Casts Per Second</t>
        </is>
      </c>
      <c r="B632">
        <f>MAX(0,B630-B631)</f>
        <v/>
      </c>
    </row>
    <row r="633">
      <c r="A633" t="inlineStr">
        <is>
          <t>Global Critical Damage Bonus % (unused)</t>
        </is>
      </c>
      <c r="B633" t="n">
        <v>0</v>
      </c>
    </row>
    <row r="634">
      <c r="A634" t="inlineStr">
        <is>
          <t>Global Final Damage Bonus % (Serpent Scale + Crossbones + Time Leap + Speed Infusion)</t>
        </is>
      </c>
      <c r="B634">
        <f>((C608=TRUE)*F608*((10+IF(Inputs!$B$3&gt;=94,5,0))/((10+IF(Inputs!$B$3&gt;=94,5,0))+5/(B632*(1+IF(Inputs!$B$3&gt;=104,1,0))))))+((C617=TRUE)*F617)+((C618=TRUE)*F618)+((Inputs!$B$3&gt;=110)*20*(B630-1))</f>
        <v/>
      </c>
    </row>
    <row r="635">
      <c r="A635" t="inlineStr">
        <is>
          <t>Buff-Casting Startup Delay (s, fixed-duration only)</t>
        </is>
      </c>
      <c r="B635">
        <f>IF(AND(Inputs!$B$38&lt;&gt;"pvp",Inputs!$B$43&gt;0),SUMPRODUCT((Skills!T2:T22&gt;0)*(Skills!E2:E22=TRUE)*(C605:C625=TRUE))/B630,0)</f>
        <v/>
      </c>
    </row>
    <row r="636">
      <c r="A636" t="inlineStr">
        <is>
          <t>Boss-Only Total DPS (this block's swept value)</t>
        </is>
      </c>
      <c r="B636">
        <f>SUM(T605:T625)</f>
        <v/>
      </c>
    </row>
    <row r="637">
      <c r="A637" t="inlineStr">
        <is>
          <t>Normal-Only Total DPS (this block's swept value)</t>
        </is>
      </c>
      <c r="B637">
        <f>SUM(V605:V625)</f>
        <v/>
      </c>
    </row>
    <row r="638">
      <c r="A638" s="5" t="inlineStr">
        <is>
          <t>TOTAL DPS</t>
        </is>
      </c>
      <c r="B638" s="5">
        <f>SUM(O605:O625)</f>
        <v/>
      </c>
    </row>
    <row r="641">
      <c r="A641" s="5" t="inlineStr">
        <is>
          <t>Stat: Skill Level Bonus — 1st Job</t>
        </is>
      </c>
    </row>
    <row r="642">
      <c r="A642" s="9" t="inlineStr">
        <is>
          <t>Key</t>
        </is>
      </c>
      <c r="B642" s="9" t="inlineStr">
        <is>
          <t>Name</t>
        </is>
      </c>
      <c r="C642" s="9" t="inlineStr">
        <is>
          <t>Unlocked</t>
        </is>
      </c>
      <c r="D642" s="9" t="inlineStr">
        <is>
          <t>InputLevel</t>
        </is>
      </c>
      <c r="E642" s="9" t="inlineStr">
        <is>
          <t>Factor</t>
        </is>
      </c>
      <c r="F642" s="9" t="inlineStr">
        <is>
          <t>CoefficientPercent</t>
        </is>
      </c>
      <c r="G642" s="9" t="inlineStr">
        <is>
          <t>EffectiveHits</t>
        </is>
      </c>
      <c r="H642" s="9" t="inlineStr">
        <is>
          <t>ProcProbability</t>
        </is>
      </c>
      <c r="I642" s="9" t="inlineStr">
        <is>
          <t>MapleHeroMultiplier</t>
        </is>
      </c>
      <c r="J642" s="9" t="inlineStr">
        <is>
          <t>BaseDamage</t>
        </is>
      </c>
      <c r="K642" s="9" t="inlineStr">
        <is>
          <t>BaseHitDamage</t>
        </is>
      </c>
      <c r="L642" s="9" t="inlineStr">
        <is>
          <t>NonCritAvg</t>
        </is>
      </c>
      <c r="M642" s="9" t="inlineStr">
        <is>
          <t>CritAvg</t>
        </is>
      </c>
      <c r="N642" s="9" t="inlineStr">
        <is>
          <t>ExpectedDamage(perHit)</t>
        </is>
      </c>
      <c r="O642" s="9" t="inlineStr">
        <is>
          <t>DPS</t>
        </is>
      </c>
      <c r="P642" s="9" t="inlineStr">
        <is>
          <t>% of Total</t>
        </is>
      </c>
      <c r="Q642" s="9" t="inlineStr">
        <is>
          <t>InvCooldown</t>
        </is>
      </c>
      <c r="R642" s="9" t="inlineStr">
        <is>
          <t>CastsInFight</t>
        </is>
      </c>
      <c r="S642" s="9" t="inlineStr">
        <is>
          <t>HitRate(perSec)</t>
        </is>
      </c>
      <c r="U642" t="inlineStr">
        <is>
          <t>helpers</t>
        </is>
      </c>
    </row>
    <row r="643">
      <c r="A643">
        <f>Skills!A2</f>
        <v/>
      </c>
      <c r="B643">
        <f>Skills!B2</f>
        <v/>
      </c>
      <c r="C643">
        <f>Inputs!$B$3&gt;=100</f>
        <v/>
      </c>
      <c r="D643" t="inlineStr"/>
      <c r="E643" t="inlineStr"/>
      <c r="F643">
        <f>U645+Skills!O2</f>
        <v/>
      </c>
      <c r="G643">
        <f>Skills!G2*IF(Skills!H2&gt;0,Skills!I2/Skills!H2,1)</f>
        <v/>
      </c>
      <c r="H643">
        <f>1-(1-Skills!J2/100)^Skills!K2</f>
        <v/>
      </c>
      <c r="I643" t="inlineStr">
        <is>
          <t>1</t>
        </is>
      </c>
      <c r="J643">
        <f>((Inputs!$B$6*(1+Inputs!$B$7/100))+(((Inputs!$B$12*(1+Inputs!$B$13/100))-(Inputs!$B$12*(1+Inputs!$B$13/100)))+0.25*(Inputs!$B$14-Inputs!$B$14))*(1+Inputs!$B$7/100))*(F643/100)</f>
        <v/>
      </c>
      <c r="K643">
        <f>J643*(1+((Inputs!$B$12*(1+Inputs!$B$13/100))*0.01+Inputs!$B$14*0.0025)/100)*(1+Inputs!$B$15/100)*(1+Inputs!$B$16/100)*(5000/(6000+Inputs!$B$42*(1-(Inputs!$B$19+0)/100)))*(1+(Inputs!$B$24+((C663=TRUE)*(F663-Calc!F22))+B672)/100)*(1+(IF(Skills!A2="HOOK_BOMBER",Inputs!$B$17+((C662=TRUE)*(F662-Calc!F21)),Inputs!$B$18+0))/100)*((1+(((C654=TRUE)*F654)+((C660=TRUE)*(F660-Calc!F19)))/100)*I643)</f>
        <v/>
      </c>
      <c r="L643">
        <f>K643*(MIN(Inputs!$B$22+((C661=TRUE)*(F661-Calc!F20)),Inputs!$B$23+0)/100+(Inputs!$B$23+0)/100)/2</f>
        <v/>
      </c>
      <c r="M643">
        <f>L643*(1+(Inputs!$B$10+0+B671)/100)</f>
        <v/>
      </c>
      <c r="N643">
        <f>L643*(1-MIN((Inputs!$B$9+((C657=TRUE)*(F657-Calc!F16))+B666),100)/100)+M643*(MIN((Inputs!$B$9+((C657=TRUE)*(F657-Calc!F16))+B666),100)/100)</f>
        <v/>
      </c>
      <c r="O643">
        <f>(1-Summary!$B$55)*T643+Summary!$B$55*V643</f>
        <v/>
      </c>
      <c r="P643">
        <f>IF(B676=0,0,O643/B676)</f>
        <v/>
      </c>
      <c r="Q643" t="n">
        <v>0</v>
      </c>
      <c r="R643" t="n">
        <v>0</v>
      </c>
      <c r="S643">
        <f>IFERROR(O643/N643,0)</f>
        <v/>
      </c>
      <c r="T643">
        <f>IF(C643,(Skills!G2*N643*B670)*IF(Inputs!$B$38="pvp",1,1+(Inputs!$B$20+0+Skills!P2)/100),0)</f>
        <v/>
      </c>
      <c r="U643">
        <f>MAX(0,(Inputs!$B$3-100)*3)+Inputs!$B$28+Inputs!$B$29</f>
        <v/>
      </c>
      <c r="V643">
        <f>IF(C643,(Skills!G2*N643*B670)*IF(Inputs!$B$38="pvp",1,(1+(Inputs!$B$21+Skills!Q2)/100)*(MIN((6+Inputs!$B$33),Inputs!$B$37))),0)</f>
        <v/>
      </c>
    </row>
    <row r="644">
      <c r="A644">
        <f>Skills!A3</f>
        <v/>
      </c>
      <c r="B644">
        <f>Skills!B3</f>
        <v/>
      </c>
      <c r="C644">
        <f>Inputs!$B$3&gt;=35</f>
        <v/>
      </c>
      <c r="D644">
        <f>IF(Skills!C3=1,60+(Inputs!$B$25+1)+Inputs!$B$29,IF(Skills!C3=2,90+Inputs!$B$26+Inputs!$B$29,IF(Skills!C3=3,120+Inputs!$B$27+Inputs!$B$29,MAX(0,(Inputs!$B$3-100)*3)+Inputs!$B$28+Inputs!$B$29)))</f>
        <v/>
      </c>
      <c r="E644">
        <f>INDEX(FactorTable!$B$2:$Y$301, MATCH(ROUND(MIN(300,MAX(1,D644)),0), FactorTable!$A$2:$A$301,0), Skills!M3+1)</f>
        <v/>
      </c>
      <c r="F644">
        <f>IF(Skills!N3=TRUE,(Skills!L3/10)*(E644/1000),Skills!L3/10)+Skills!O3</f>
        <v/>
      </c>
      <c r="G644">
        <f>Skills!G3*IF(Skills!H3&gt;0,Skills!I3/Skills!H3,1)</f>
        <v/>
      </c>
      <c r="H644">
        <f>1-(1-Skills!J3/100)^Skills!K3</f>
        <v/>
      </c>
      <c r="I644" t="inlineStr">
        <is>
          <t>1</t>
        </is>
      </c>
      <c r="J644">
        <f>((Inputs!$B$6*(1+Inputs!$B$7/100))+(((Inputs!$B$12*(1+Inputs!$B$13/100))-(Inputs!$B$12*(1+Inputs!$B$13/100)))+0.25*(Inputs!$B$14-Inputs!$B$14))*(1+Inputs!$B$7/100))*(F644/100)</f>
        <v/>
      </c>
      <c r="K644">
        <f>J644*(1+((Inputs!$B$12*(1+Inputs!$B$13/100))*0.01+Inputs!$B$14*0.0025)/100)*(1+Inputs!$B$15/100)*(1+Inputs!$B$16/100)*(5000/(6000+Inputs!$B$42*(1-(Inputs!$B$19+0)/100)))*(1+(Inputs!$B$24+((C663=TRUE)*(F663-Calc!F22))+B672)/100)*(1+(IF(Skills!A3="HOOK_BOMBER",Inputs!$B$17+((C662=TRUE)*(F662-Calc!F21)),Inputs!$B$18+0))/100)*((1+(((C654=TRUE)*F654)+((C660=TRUE)*(F660-Calc!F19)))/100)*I644)</f>
        <v/>
      </c>
      <c r="L644">
        <f>K644*(MIN(Inputs!$B$22+((C661=TRUE)*(F661-Calc!F20)),Inputs!$B$23+0)/100+(Inputs!$B$23+0)/100)/2</f>
        <v/>
      </c>
      <c r="M644">
        <f>L644*(1+(Inputs!$B$10+0+B671)/100)</f>
        <v/>
      </c>
      <c r="N644">
        <f>L644*(1-MIN((Inputs!$B$9+((C657=TRUE)*(F657-Calc!F16))+B666),100)/100)+M644*(MIN((Inputs!$B$9+((C657=TRUE)*(F657-Calc!F16))+B666),100)/100)</f>
        <v/>
      </c>
      <c r="O644">
        <f>(1-Summary!$B$55)*T644+Summary!$B$55*V644</f>
        <v/>
      </c>
      <c r="P644">
        <f>IF(B676=0,0,O644/B676)</f>
        <v/>
      </c>
      <c r="Q644" t="n">
        <v>0</v>
      </c>
      <c r="R644" t="n">
        <v>0</v>
      </c>
      <c r="S644">
        <f>IFERROR(O644/N644,0)</f>
        <v/>
      </c>
      <c r="T644">
        <f>IF(C644,(Skills!G3*H644*N644*B670)*IF(Inputs!$B$38="pvp",1,1+(Inputs!$B$20+0+Skills!P3)/100),0)</f>
        <v/>
      </c>
      <c r="U644">
        <f>INDEX(FactorTable!$B$2:$Y$301, MATCH(ROUND(MIN(300,MAX(1,U643)),0), FactorTable!$A$2:$A$301,0), 22)</f>
        <v/>
      </c>
      <c r="V644">
        <f>IF(C644,(Skills!G3*H644*N644*B670)*IF(Inputs!$B$38="pvp",1,(1+(Inputs!$B$21+Skills!Q3)/100)*(MIN(Skills!R3,Inputs!$B$37))),0)</f>
        <v/>
      </c>
    </row>
    <row r="645">
      <c r="A645">
        <f>Skills!A4</f>
        <v/>
      </c>
      <c r="B645">
        <f>Skills!B4</f>
        <v/>
      </c>
      <c r="C645">
        <f>Inputs!$B$3&gt;=60</f>
        <v/>
      </c>
      <c r="D645">
        <f>IF(Skills!C4=1,60+(Inputs!$B$25+1)+Inputs!$B$29,IF(Skills!C4=2,90+Inputs!$B$26+Inputs!$B$29,IF(Skills!C4=3,120+Inputs!$B$27+Inputs!$B$29,MAX(0,(Inputs!$B$3-100)*3)+Inputs!$B$28+Inputs!$B$29)))</f>
        <v/>
      </c>
      <c r="E645">
        <f>INDEX(FactorTable!$B$2:$Y$301, MATCH(ROUND(MIN(300,MAX(1,D645)),0), FactorTable!$A$2:$A$301,0), Skills!M4+1)</f>
        <v/>
      </c>
      <c r="F645">
        <f>IF(Skills!N4=TRUE,(Skills!L4/10)*(E645/1000),Skills!L4/10)+Skills!O4</f>
        <v/>
      </c>
      <c r="G645">
        <f>Skills!G4*IF(Skills!H4&gt;0,Skills!I4/Skills!H4,1)</f>
        <v/>
      </c>
      <c r="H645">
        <f>1-(1-Skills!J4/100)^Skills!K4</f>
        <v/>
      </c>
      <c r="I645" t="inlineStr">
        <is>
          <t>1</t>
        </is>
      </c>
      <c r="J645">
        <f>((Inputs!$B$6*(1+Inputs!$B$7/100))+(((Inputs!$B$12*(1+Inputs!$B$13/100))-(Inputs!$B$12*(1+Inputs!$B$13/100)))+0.25*(Inputs!$B$14-Inputs!$B$14))*(1+Inputs!$B$7/100))*(F645/100)</f>
        <v/>
      </c>
      <c r="K645">
        <f>J645*(1+((Inputs!$B$12*(1+Inputs!$B$13/100))*0.01+Inputs!$B$14*0.0025)/100)*(1+Inputs!$B$15/100)*(1+Inputs!$B$16/100)*(5000/(6000+Inputs!$B$42*(1-(Inputs!$B$19+0)/100)))*(1+(Inputs!$B$24+((C663=TRUE)*(F663-Calc!F22))+B672)/100)*(1+1.0*IF(C653=TRUE,F653,0)/100)*(1+(IF(Skills!A4="HOOK_BOMBER",Inputs!$B$17+((C662=TRUE)*(F662-Calc!F21)),Inputs!$B$18+0))/100)*((1+(((C654=TRUE)*F654)+((C660=TRUE)*(F660-Calc!F19)))/100)*I645)</f>
        <v/>
      </c>
      <c r="L645">
        <f>K645*(MIN(Inputs!$B$22+((C661=TRUE)*(F661-Calc!F20)),Inputs!$B$23+0)/100+(Inputs!$B$23+0)/100)/2</f>
        <v/>
      </c>
      <c r="M645">
        <f>L645*(1+(Inputs!$B$10+0+B671)/100)</f>
        <v/>
      </c>
      <c r="N645">
        <f>L645*(1-MIN((Inputs!$B$9+((C657=TRUE)*(F657-Calc!F16))+B666),100)/100)+M645*(MIN((Inputs!$B$9+((C657=TRUE)*(F657-Calc!F16))+B666),100)/100)</f>
        <v/>
      </c>
      <c r="O645">
        <f>(1-Summary!$B$55)*T645+Summary!$B$55*V645</f>
        <v/>
      </c>
      <c r="P645">
        <f>IF(B676=0,0,O645/B676)</f>
        <v/>
      </c>
      <c r="Q645" t="n">
        <v>0</v>
      </c>
      <c r="R645" t="n">
        <v>0</v>
      </c>
      <c r="S645">
        <f>IFERROR(O645/N645,0)</f>
        <v/>
      </c>
      <c r="T645">
        <f>IF(C645,(Skills!G4*H645*N645*B670)*IF(Inputs!$B$38="pvp",1,1+(Inputs!$B$20+0+Skills!P4)/100),0)</f>
        <v/>
      </c>
      <c r="U645">
        <f>290*U644/1000</f>
        <v/>
      </c>
      <c r="V645">
        <f>IF(C645,(Skills!G4*H645*N645*B670)*IF(Inputs!$B$38="pvp",1,(1+(Inputs!$B$21+Skills!Q4)/100)*(MIN(Skills!R4,Inputs!$B$37))),0)</f>
        <v/>
      </c>
    </row>
    <row r="646">
      <c r="A646">
        <f>Skills!A5</f>
        <v/>
      </c>
      <c r="B646">
        <f>Skills!B5</f>
        <v/>
      </c>
      <c r="C646">
        <f>Inputs!$B$3&gt;=60</f>
        <v/>
      </c>
      <c r="D646">
        <f>IF(Skills!C5=1,60+(Inputs!$B$25+1)+Inputs!$B$29,IF(Skills!C5=2,90+Inputs!$B$26+Inputs!$B$29,IF(Skills!C5=3,120+Inputs!$B$27+Inputs!$B$29,MAX(0,(Inputs!$B$3-100)*3)+Inputs!$B$28+Inputs!$B$29)))</f>
        <v/>
      </c>
      <c r="E646">
        <f>INDEX(FactorTable!$B$2:$Y$301, MATCH(ROUND(MIN(300,MAX(1,D646)),0), FactorTable!$A$2:$A$301,0), Skills!M5+1)</f>
        <v/>
      </c>
      <c r="F646">
        <f>IF(Skills!N5=TRUE,(Skills!L5/10)*(E646/1000),Skills!L5/10)+Skills!O5</f>
        <v/>
      </c>
      <c r="G646">
        <f>Skills!G5*IF(Skills!H5&gt;0,Skills!I5/Skills!H5,1)</f>
        <v/>
      </c>
      <c r="H646">
        <f>1-(1-Skills!J5/100)^Skills!K5</f>
        <v/>
      </c>
      <c r="I646" t="inlineStr">
        <is>
          <t>1</t>
        </is>
      </c>
      <c r="J646" t="inlineStr"/>
      <c r="K646" t="inlineStr"/>
      <c r="L646" t="inlineStr"/>
      <c r="M646" t="inlineStr"/>
      <c r="N646" t="inlineStr"/>
      <c r="O646">
        <f>(1-Summary!$B$55)*T646+Summary!$B$55*V646</f>
        <v/>
      </c>
      <c r="P646">
        <f>IF(B676=0,0,O646/B676)</f>
        <v/>
      </c>
      <c r="Q646" t="n">
        <v>0</v>
      </c>
      <c r="R646" t="n">
        <v>0</v>
      </c>
      <c r="S646">
        <f>IFERROR(O646/N646,0)</f>
        <v/>
      </c>
      <c r="T646" t="n">
        <v>0</v>
      </c>
      <c r="V646" t="n">
        <v>0</v>
      </c>
    </row>
    <row r="647">
      <c r="A647">
        <f>Skills!A6</f>
        <v/>
      </c>
      <c r="B647">
        <f>Skills!B6</f>
        <v/>
      </c>
      <c r="C647">
        <f>Inputs!$B$3&gt;=63</f>
        <v/>
      </c>
      <c r="D647">
        <f>IF(Skills!C6=1,60+(Inputs!$B$25+1)+Inputs!$B$29,IF(Skills!C6=2,90+Inputs!$B$26+Inputs!$B$29,IF(Skills!C6=3,120+Inputs!$B$27+Inputs!$B$29,MAX(0,(Inputs!$B$3-100)*3)+Inputs!$B$28+Inputs!$B$29)))</f>
        <v/>
      </c>
      <c r="E647">
        <f>INDEX(FactorTable!$B$2:$Y$301, MATCH(ROUND(MIN(300,MAX(1,D647)),0), FactorTable!$A$2:$A$301,0), Skills!M6+1)</f>
        <v/>
      </c>
      <c r="F647">
        <f>IF(Skills!N6=TRUE,(Skills!L6/10)*(E647/1000),Skills!L6/10)+Skills!O6</f>
        <v/>
      </c>
      <c r="G647">
        <f>Skills!G6*IF(Skills!H6&gt;0,Skills!I6/Skills!H6,1)</f>
        <v/>
      </c>
      <c r="H647">
        <f>1-(1-Skills!J6/100)^Skills!K6</f>
        <v/>
      </c>
      <c r="I647" t="inlineStr">
        <is>
          <t>1</t>
        </is>
      </c>
      <c r="J647">
        <f>((Inputs!$B$6*(1+Inputs!$B$7/100))+(((Inputs!$B$12*(1+Inputs!$B$13/100))-(Inputs!$B$12*(1+Inputs!$B$13/100)))+0.25*(Inputs!$B$14-Inputs!$B$14))*(1+Inputs!$B$7/100))*(F647/100)</f>
        <v/>
      </c>
      <c r="K647">
        <f>J647*(1+((Inputs!$B$12*(1+Inputs!$B$13/100))*0.01+Inputs!$B$14*0.0025)/100)*(1+Inputs!$B$15/100)*(1+Inputs!$B$16/100)*(5000/(6000+Inputs!$B$42*(1-(Inputs!$B$19+0)/100)))*(1+(Inputs!$B$24+((C663=TRUE)*(F663-Calc!F22))+B672)/100)*(1+(IF(Skills!A6="HOOK_BOMBER",Inputs!$B$17+((C662=TRUE)*(F662-Calc!F21)),Inputs!$B$18+0))/100)*((1+(((C654=TRUE)*F654)+((C660=TRUE)*(F660-Calc!F19)))/100)*I647)</f>
        <v/>
      </c>
      <c r="L647">
        <f>K647*(MIN(Inputs!$B$22+((C661=TRUE)*(F661-Calc!F20)),Inputs!$B$23+0)/100+(Inputs!$B$23+0)/100)/2</f>
        <v/>
      </c>
      <c r="M647">
        <f>L647*(1+(Inputs!$B$10+0+B671)/100)</f>
        <v/>
      </c>
      <c r="N647">
        <f>L647*(1-MIN((Inputs!$B$9+((C657=TRUE)*(F657-Calc!F16))+B666),100)/100)+M647*(MIN((Inputs!$B$9+((C657=TRUE)*(F657-Calc!F16))+B666),100)/100)</f>
        <v/>
      </c>
      <c r="O647">
        <f>(1-Summary!$B$55)*T647+Summary!$B$55*V647</f>
        <v/>
      </c>
      <c r="P647">
        <f>IF(B676=0,0,O647/B676)</f>
        <v/>
      </c>
      <c r="Q647">
        <f>IFERROR(1/IF(Inputs!$B$38="pvp",15,MAX(0.1,Skills!D6-IF(Skills!E6=TRUE,Inputs!$B$32,0))),0)</f>
        <v/>
      </c>
      <c r="R647">
        <f>IF(AND(Inputs!$B$38&lt;&gt;"pvp",Inputs!$B$43&gt;0),IF(MAX(0,Inputs!$B$43-B673)&lt;=0,0,(INT(MAX(0,Inputs!$B$43-B673)/IF(Inputs!$B$38="pvp",15,MAX(0.1,Skills!D6-IF(Skills!E6=TRUE,Inputs!$B$32,0))))+1)),0)</f>
        <v/>
      </c>
      <c r="S647">
        <f>IFERROR(O647/N647,0)</f>
        <v/>
      </c>
      <c r="T647">
        <f>IF(C647,(H647*N647*IF(AND(Inputs!$B$38&lt;&gt;"pvp",Inputs!$B$43&gt;0),((Skills!G6*((R647-1)*IF(Skills!H6&gt;0,Skills!I6/Skills!H6,1)+IF(Skills!H6&gt;0,MIN(Skills!I6,MAX(0,MAX(0,Inputs!$B$43-B673)-((R647-1)*IF(Inputs!$B$38="pvp",15,MAX(0.1,Skills!D6-IF(Skills!E6=TRUE,Inputs!$B$32,0))))))/Skills!H6,1)))/Inputs!$B$43),G647*Q647))*IF(Inputs!$B$38="pvp",1,1+(Inputs!$B$20+0+Skills!P6)/100),0)</f>
        <v/>
      </c>
      <c r="V647">
        <f>IF(C647,(H647*N647*IF(AND(Inputs!$B$38&lt;&gt;"pvp",Inputs!$B$43&gt;0),((Skills!G6*((R647-1)*IF(Skills!H6&gt;0,Skills!I6/Skills!H6,1)+IF(Skills!H6&gt;0,MIN(Skills!I6,MAX(0,MAX(0,Inputs!$B$43-B673)-((R647-1)*IF(Inputs!$B$38="pvp",15,MAX(0.1,Skills!D6-IF(Skills!E6=TRUE,Inputs!$B$32,0))))))/Skills!H6,1)))/Inputs!$B$43),G647*Q647))*IF(Inputs!$B$38="pvp",1,(1+(Inputs!$B$21+Skills!Q6)/100)*(MIN(Skills!R6,Inputs!$B$37))),0)</f>
        <v/>
      </c>
    </row>
    <row r="648">
      <c r="A648">
        <f>Skills!A7</f>
        <v/>
      </c>
      <c r="B648">
        <f>Skills!B7</f>
        <v/>
      </c>
      <c r="C648">
        <f>Inputs!$B$3&gt;=100</f>
        <v/>
      </c>
      <c r="D648">
        <f>IF(Skills!C7=1,60+(Inputs!$B$25+1)+Inputs!$B$29,IF(Skills!C7=2,90+Inputs!$B$26+Inputs!$B$29,IF(Skills!C7=3,120+Inputs!$B$27+Inputs!$B$29,MAX(0,(Inputs!$B$3-100)*3)+Inputs!$B$28+Inputs!$B$29)))</f>
        <v/>
      </c>
      <c r="E648">
        <f>INDEX(FactorTable!$B$2:$Y$301, MATCH(ROUND(MIN(300,MAX(1,D648)),0), FactorTable!$A$2:$A$301,0), Skills!M7+1)</f>
        <v/>
      </c>
      <c r="F648">
        <f>IF(Skills!N7=TRUE,(Skills!L7/10)*(E648/1000),Skills!L7/10)+Skills!O7</f>
        <v/>
      </c>
      <c r="G648">
        <f>Skills!G7*IF(Skills!H7&gt;0,Skills!I7/Skills!H7,1)</f>
        <v/>
      </c>
      <c r="H648">
        <f>1-(1-Skills!J7/100)^Skills!K7</f>
        <v/>
      </c>
      <c r="I648" t="inlineStr">
        <is>
          <t>1</t>
        </is>
      </c>
      <c r="J648">
        <f>((Inputs!$B$6*(1+Inputs!$B$7/100))+(((Inputs!$B$12*(1+Inputs!$B$13/100))-(Inputs!$B$12*(1+Inputs!$B$13/100)))+0.25*(Inputs!$B$14-Inputs!$B$14))*(1+Inputs!$B$7/100))*(F648/100)</f>
        <v/>
      </c>
      <c r="K648">
        <f>J648*(1+((Inputs!$B$12*(1+Inputs!$B$13/100))*0.01+Inputs!$B$14*0.0025)/100)*(1+Inputs!$B$15/100)*(1+Inputs!$B$16/100)*(5000/(6000+Inputs!$B$42*(1-(Inputs!$B$19+0)/100)))*(1+(Inputs!$B$24+((C663=TRUE)*(F663-Calc!F22))+B672)/100)*(1+(IF(Skills!A7="HOOK_BOMBER",Inputs!$B$17+((C662=TRUE)*(F662-Calc!F21)),Inputs!$B$18+0))/100)*((1+(((C654=TRUE)*F654)+((C660=TRUE)*(F660-Calc!F19)))/100)*I648)</f>
        <v/>
      </c>
      <c r="L648">
        <f>K648*(MIN(Inputs!$B$22+((C661=TRUE)*(F661-Calc!F20)),Inputs!$B$23+0)/100+(Inputs!$B$23+0)/100)/2</f>
        <v/>
      </c>
      <c r="M648">
        <f>L648*(1+(Inputs!$B$10+0+B671)/100)</f>
        <v/>
      </c>
      <c r="N648">
        <f>L648*(1-MIN((Inputs!$B$9+((C657=TRUE)*(F657-Calc!F16))+B666),100)/100)+M648*(MIN((Inputs!$B$9+((C657=TRUE)*(F657-Calc!F16))+B666),100)/100)</f>
        <v/>
      </c>
      <c r="O648">
        <f>(1-Summary!$B$55)*T648+Summary!$B$55*V648</f>
        <v/>
      </c>
      <c r="P648">
        <f>IF(B676=0,0,O648/B676)</f>
        <v/>
      </c>
      <c r="Q648">
        <f>IFERROR(1/IF(Inputs!$B$38="pvp",15,MAX(0.1,Skills!D7-IF(Skills!E7=TRUE,Inputs!$B$32,0))),0)</f>
        <v/>
      </c>
      <c r="R648">
        <f>IF(AND(Inputs!$B$38&lt;&gt;"pvp",Inputs!$B$43&gt;0),IF(MAX(0,Inputs!$B$43-B673)&lt;=0,0,(INT(MAX(0,Inputs!$B$43-B673)/IF(Inputs!$B$38="pvp",15,MAX(0.1,Skills!D7-IF(Skills!E7=TRUE,Inputs!$B$32,0))))+1)),0)</f>
        <v/>
      </c>
      <c r="S648">
        <f>IFERROR(O648/N648,0)</f>
        <v/>
      </c>
      <c r="T648">
        <f>IF(C648,(H648*N648*IF(AND(Inputs!$B$38&lt;&gt;"pvp",Inputs!$B$43&gt;0),((Skills!G7*((R648-1)*IF(Skills!H7&gt;0,Skills!I7/Skills!H7,1)+IF(Skills!H7&gt;0,MIN(Skills!I7,MAX(0,MAX(0,Inputs!$B$43-B673)-((R648-1)*IF(Inputs!$B$38="pvp",15,MAX(0.1,Skills!D7-IF(Skills!E7=TRUE,Inputs!$B$32,0))))))/Skills!H7,1)))/Inputs!$B$43),G648*Q648))*IF(Inputs!$B$38="pvp",1,1+(Inputs!$B$20+0+Skills!P7)/100),0)</f>
        <v/>
      </c>
      <c r="V648">
        <f>IF(C648,(H648*N648*IF(AND(Inputs!$B$38&lt;&gt;"pvp",Inputs!$B$43&gt;0),((Skills!G7*((R648-1)*IF(Skills!H7&gt;0,Skills!I7/Skills!H7,1)+IF(Skills!H7&gt;0,MIN(Skills!I7,MAX(0,MAX(0,Inputs!$B$43-B673)-((R648-1)*IF(Inputs!$B$38="pvp",15,MAX(0.1,Skills!D7-IF(Skills!E7=TRUE,Inputs!$B$32,0))))))/Skills!H7,1)))/Inputs!$B$43),G648*Q648))*IF(Inputs!$B$38="pvp",1,(1+(Inputs!$B$21+Skills!Q7)/100)*(MIN(Skills!R7,Inputs!$B$37))),0)</f>
        <v/>
      </c>
    </row>
    <row r="649">
      <c r="A649">
        <f>Skills!A8</f>
        <v/>
      </c>
      <c r="B649">
        <f>Skills!B8</f>
        <v/>
      </c>
      <c r="C649">
        <f>Inputs!$B$3&gt;=110</f>
        <v/>
      </c>
      <c r="D649">
        <f>IF(Skills!C8=1,60+(Inputs!$B$25+1)+Inputs!$B$29,IF(Skills!C8=2,90+Inputs!$B$26+Inputs!$B$29,IF(Skills!C8=3,120+Inputs!$B$27+Inputs!$B$29,MAX(0,(Inputs!$B$3-100)*3)+Inputs!$B$28+Inputs!$B$29)))</f>
        <v/>
      </c>
      <c r="E649">
        <f>INDEX(FactorTable!$B$2:$Y$301, MATCH(ROUND(MIN(300,MAX(1,D649)),0), FactorTable!$A$2:$A$301,0), Skills!M8+1)</f>
        <v/>
      </c>
      <c r="F649">
        <f>IF(Skills!N8=TRUE,(Skills!L8/10)*(E649/1000),Skills!L8/10)+Skills!O8</f>
        <v/>
      </c>
      <c r="G649">
        <f>Skills!G8*IF(Skills!H8&gt;0,Skills!I8/Skills!H8,1)</f>
        <v/>
      </c>
      <c r="H649">
        <f>1-(1-Skills!J8/100)^Skills!K8</f>
        <v/>
      </c>
      <c r="I649" t="inlineStr">
        <is>
          <t>1</t>
        </is>
      </c>
      <c r="J649">
        <f>((Inputs!$B$6*(1+Inputs!$B$7/100))+(((Inputs!$B$12*(1+Inputs!$B$13/100))-(Inputs!$B$12*(1+Inputs!$B$13/100)))+0.25*(Inputs!$B$14-Inputs!$B$14))*(1+Inputs!$B$7/100))*(F649/100)</f>
        <v/>
      </c>
      <c r="K649">
        <f>J649*(1+((Inputs!$B$12*(1+Inputs!$B$13/100))*0.01+Inputs!$B$14*0.0025)/100)*(1+Inputs!$B$15/100)*(1+Inputs!$B$16/100)*(5000/(6000+Inputs!$B$42*(1-(Inputs!$B$19+0)/100)))*(1+(Inputs!$B$24+((C663=TRUE)*(F663-Calc!F22))+B672)/100)*(1+(IF(Skills!A8="HOOK_BOMBER",Inputs!$B$17+((C662=TRUE)*(F662-Calc!F21)),Inputs!$B$18+0))/100)*((1+(((C654=TRUE)*F654)+((C660=TRUE)*(F660-Calc!F19)))/100)*I649)</f>
        <v/>
      </c>
      <c r="L649">
        <f>K649*(MIN(Inputs!$B$22+((C661=TRUE)*(F661-Calc!F20)),Inputs!$B$23+0)/100+(Inputs!$B$23+0)/100)/2</f>
        <v/>
      </c>
      <c r="M649">
        <f>L649*(1+(Inputs!$B$10+0+B671)/100)</f>
        <v/>
      </c>
      <c r="N649">
        <f>L649*(1-MIN((Inputs!$B$9+((C657=TRUE)*(F657-Calc!F16))+B666),100)/100)+M649*(MIN((Inputs!$B$9+((C657=TRUE)*(F657-Calc!F16))+B666),100)/100)</f>
        <v/>
      </c>
      <c r="O649">
        <f>(1-Summary!$B$55)*T649+Summary!$B$55*V649</f>
        <v/>
      </c>
      <c r="P649">
        <f>IF(B676=0,0,O649/B676)</f>
        <v/>
      </c>
      <c r="Q649">
        <f>IFERROR(1/IF(Inputs!$B$38="pvp",15,MAX(0.1,Skills!D8-IF(Skills!E8=TRUE,Inputs!$B$32,0))),0)</f>
        <v/>
      </c>
      <c r="R649">
        <f>IF(AND(Inputs!$B$38&lt;&gt;"pvp",Inputs!$B$43&gt;0),IF(MAX(0,Inputs!$B$43-B673)&lt;=0,0,(INT(MAX(0,Inputs!$B$43-B673)/IF(Inputs!$B$38="pvp",15,MAX(0.1,Skills!D8-IF(Skills!E8=TRUE,Inputs!$B$32,0))))+1)),0)</f>
        <v/>
      </c>
      <c r="S649">
        <f>IFERROR(O649/N649,0)</f>
        <v/>
      </c>
      <c r="T649">
        <f>IF(C649,(H649*N649*IF(AND(Inputs!$B$38&lt;&gt;"pvp",Inputs!$B$43&gt;0),((Skills!G8*((R649-1)*IF(Skills!H8&gt;0,Skills!I8/Skills!H8,1)+IF(Skills!H8&gt;0,MIN(Skills!I8,MAX(0,MAX(0,Inputs!$B$43-B673)-((R649-1)*IF(Inputs!$B$38="pvp",15,MAX(0.1,Skills!D8-IF(Skills!E8=TRUE,Inputs!$B$32,0))))))/Skills!H8,1)))/Inputs!$B$43),G649*Q649))*IF(Inputs!$B$38="pvp",1,1+(Inputs!$B$20+0+Skills!P8)/100),0)</f>
        <v/>
      </c>
      <c r="V649">
        <f>IF(C649,(H649*N649*IF(AND(Inputs!$B$38&lt;&gt;"pvp",Inputs!$B$43&gt;0),((Skills!G8*((R649-1)*IF(Skills!H8&gt;0,Skills!I8/Skills!H8,1)+IF(Skills!H8&gt;0,MIN(Skills!I8,MAX(0,MAX(0,Inputs!$B$43-B673)-((R649-1)*IF(Inputs!$B$38="pvp",15,MAX(0.1,Skills!D8-IF(Skills!E8=TRUE,Inputs!$B$32,0))))))/Skills!H8,1)))/Inputs!$B$43),G649*Q649))*IF(Inputs!$B$38="pvp",1,(1+(Inputs!$B$21+Skills!Q8)/100)*(MIN(Skills!R8,Inputs!$B$37))),0)</f>
        <v/>
      </c>
    </row>
    <row r="650">
      <c r="A650">
        <f>Skills!A9</f>
        <v/>
      </c>
      <c r="B650">
        <f>Skills!B9</f>
        <v/>
      </c>
      <c r="C650">
        <f>Inputs!$B$3&gt;=110</f>
        <v/>
      </c>
      <c r="D650">
        <f>IF(Skills!C9=1,60+(Inputs!$B$25+1)+Inputs!$B$29,IF(Skills!C9=2,90+Inputs!$B$26+Inputs!$B$29,IF(Skills!C9=3,120+Inputs!$B$27+Inputs!$B$29,MAX(0,(Inputs!$B$3-100)*3)+Inputs!$B$28+Inputs!$B$29)))</f>
        <v/>
      </c>
      <c r="E650">
        <f>INDEX(FactorTable!$B$2:$Y$301, MATCH(ROUND(MIN(300,MAX(1,D650)),0), FactorTable!$A$2:$A$301,0), Skills!M9+1)</f>
        <v/>
      </c>
      <c r="F650">
        <f>IF(Skills!N9=TRUE,(Skills!L9/10)*(E650/1000),Skills!L9/10)+Skills!O9</f>
        <v/>
      </c>
      <c r="G650">
        <f>Skills!G9*IF(Skills!H9&gt;0,Skills!I9/Skills!H9,1)</f>
        <v/>
      </c>
      <c r="H650">
        <f>1-(1-Skills!J9/100)^Skills!K9</f>
        <v/>
      </c>
      <c r="I650" t="inlineStr">
        <is>
          <t>1</t>
        </is>
      </c>
      <c r="J650">
        <f>((Inputs!$B$6*(1+Inputs!$B$7/100))+(((Inputs!$B$12*(1+Inputs!$B$13/100))-(Inputs!$B$12*(1+Inputs!$B$13/100)))+0.25*(Inputs!$B$14-Inputs!$B$14))*(1+Inputs!$B$7/100))*(F650/100)</f>
        <v/>
      </c>
      <c r="K650">
        <f>J650*(1+((Inputs!$B$12*(1+Inputs!$B$13/100))*0.01+Inputs!$B$14*0.0025)/100)*(1+Inputs!$B$15/100)*(1+Inputs!$B$16/100)*(5000/(6000+Inputs!$B$42*(1-(Inputs!$B$19+0)/100)))*(1+(Inputs!$B$24+((C663=TRUE)*(F663-Calc!F22))+B672)/100)*(1+(IF(Skills!A9="HOOK_BOMBER",Inputs!$B$17+((C662=TRUE)*(F662-Calc!F21)),Inputs!$B$18+0))/100)*((1+(((C654=TRUE)*F654)+((C660=TRUE)*(F660-Calc!F19)))/100)*I650)</f>
        <v/>
      </c>
      <c r="L650">
        <f>K650*(MIN(Inputs!$B$22+((C661=TRUE)*(F661-Calc!F20)),Inputs!$B$23+0)/100+(Inputs!$B$23+0)/100)/2</f>
        <v/>
      </c>
      <c r="M650">
        <f>L650*(1+(Inputs!$B$10+0+B671)/100)</f>
        <v/>
      </c>
      <c r="N650">
        <f>L650*(1-MIN((Inputs!$B$9+((C657=TRUE)*(F657-Calc!F16))+B666),100)/100)+M650*(MIN((Inputs!$B$9+((C657=TRUE)*(F657-Calc!F16))+B666),100)/100)</f>
        <v/>
      </c>
      <c r="O650">
        <f>(1-Summary!$B$55)*T650+Summary!$B$55*V650</f>
        <v/>
      </c>
      <c r="P650">
        <f>IF(B676=0,0,O650/B676)</f>
        <v/>
      </c>
      <c r="Q650">
        <f>IFERROR(1/IF(Inputs!$B$38="pvp",15,MAX(0.1,Skills!D9-IF(Skills!E9=TRUE,Inputs!$B$32,0))),0)</f>
        <v/>
      </c>
      <c r="R650">
        <f>IF(AND(Inputs!$B$38&lt;&gt;"pvp",Inputs!$B$43&gt;0),IF(MAX(0,Inputs!$B$43-B673)&lt;=0,0,(INT(MAX(0,Inputs!$B$43-B673)/IF(Inputs!$B$38="pvp",15,MAX(0.1,Skills!D9-IF(Skills!E9=TRUE,Inputs!$B$32,0))))+1)),0)</f>
        <v/>
      </c>
      <c r="S650">
        <f>IFERROR(O650/N650,0)</f>
        <v/>
      </c>
      <c r="T650">
        <f>IF(C650,(H650*N650*IF(AND(Inputs!$B$38&lt;&gt;"pvp",Inputs!$B$43&gt;0),((Skills!G9*((R650-1)*IF(Skills!H9&gt;0,Skills!I9/Skills!H9,1)+IF(Skills!H9&gt;0,MIN(Skills!I9,MAX(0,MAX(0,Inputs!$B$43-B673)-((R650-1)*IF(Inputs!$B$38="pvp",15,MAX(0.1,Skills!D9-IF(Skills!E9=TRUE,Inputs!$B$32,0))))))/Skills!H9,1)))/Inputs!$B$43),G650*Q650))*IF(Inputs!$B$38="pvp",1,1+(Inputs!$B$20+0+Skills!P9)/100),0)</f>
        <v/>
      </c>
      <c r="V650">
        <f>IF(C650,(H650*N650*IF(AND(Inputs!$B$38&lt;&gt;"pvp",Inputs!$B$43&gt;0),((Skills!G9*((R650-1)*IF(Skills!H9&gt;0,Skills!I9/Skills!H9,1)+IF(Skills!H9&gt;0,MIN(Skills!I9,MAX(0,MAX(0,Inputs!$B$43-B673)-((R650-1)*IF(Inputs!$B$38="pvp",15,MAX(0.1,Skills!D9-IF(Skills!E9=TRUE,Inputs!$B$32,0))))))/Skills!H9,1)))/Inputs!$B$43),G650*Q650))*IF(Inputs!$B$38="pvp",1,(1+(Inputs!$B$21+Skills!Q9)/100)*(MIN(Skills!R9,Inputs!$B$37))),0)</f>
        <v/>
      </c>
    </row>
    <row r="651">
      <c r="A651">
        <f>Skills!A10</f>
        <v/>
      </c>
      <c r="B651">
        <f>Skills!B10</f>
        <v/>
      </c>
      <c r="C651">
        <f>Inputs!$B$3&gt;=103</f>
        <v/>
      </c>
      <c r="D651">
        <f>IF(Skills!C10=1,60+(Inputs!$B$25+1)+Inputs!$B$29,IF(Skills!C10=2,90+Inputs!$B$26+Inputs!$B$29,IF(Skills!C10=3,120+Inputs!$B$27+Inputs!$B$29,MAX(0,(Inputs!$B$3-100)*3)+Inputs!$B$28+Inputs!$B$29)))</f>
        <v/>
      </c>
      <c r="E651">
        <f>INDEX(FactorTable!$B$2:$Y$301, MATCH(ROUND(MIN(300,MAX(1,D651)),0), FactorTable!$A$2:$A$301,0), Skills!M10+1)</f>
        <v/>
      </c>
      <c r="F651">
        <f>IF(Skills!N10=TRUE,(Skills!L10/10)*(E651/1000),Skills!L10/10)+Skills!O10</f>
        <v/>
      </c>
      <c r="G651">
        <f>Skills!G10*IF(Skills!H10&gt;0,Skills!I10/Skills!H10,1)</f>
        <v/>
      </c>
      <c r="H651">
        <f>1-(1-Skills!J10/100)^Skills!K10</f>
        <v/>
      </c>
      <c r="I651" t="inlineStr">
        <is>
          <t>1</t>
        </is>
      </c>
      <c r="J651">
        <f>((Inputs!$B$6*(1+Inputs!$B$7/100))+(((Inputs!$B$12*(1+Inputs!$B$13/100))-(Inputs!$B$12*(1+Inputs!$B$13/100)))+0.25*(Inputs!$B$14-Inputs!$B$14))*(1+Inputs!$B$7/100))*(F651/100)</f>
        <v/>
      </c>
      <c r="K651">
        <f>J651*(1+((Inputs!$B$12*(1+Inputs!$B$13/100))*0.01+Inputs!$B$14*0.0025)/100)*(1+Inputs!$B$15/100)*(1+Inputs!$B$16/100)*(5000/(6000+Inputs!$B$42*(1-(Inputs!$B$19+0)/100)))*(1+(Inputs!$B$24+((C663=TRUE)*(F663-Calc!F22))+B672)/100)*(1+(IF(Skills!A10="HOOK_BOMBER",Inputs!$B$17+((C662=TRUE)*(F662-Calc!F21)),Inputs!$B$18+0))/100)*((1+(((C654=TRUE)*F654)+((C660=TRUE)*(F660-Calc!F19)))/100)*I651)</f>
        <v/>
      </c>
      <c r="L651">
        <f>K651*(MIN(Inputs!$B$22+((C661=TRUE)*(F661-Calc!F20)),Inputs!$B$23+0)/100+(Inputs!$B$23+0)/100)/2</f>
        <v/>
      </c>
      <c r="M651">
        <f>L651*(1+(Inputs!$B$10+0+B671)/100)</f>
        <v/>
      </c>
      <c r="N651">
        <f>L651*(1-MIN((Inputs!$B$9+((C657=TRUE)*(F657-Calc!F16))+B666),100)/100)+M651*(MIN((Inputs!$B$9+((C657=TRUE)*(F657-Calc!F16))+B666),100)/100)</f>
        <v/>
      </c>
      <c r="O651">
        <f>(1-Summary!$B$55)*T651+Summary!$B$55*V651</f>
        <v/>
      </c>
      <c r="P651">
        <f>IF(B676=0,0,O651/B676)</f>
        <v/>
      </c>
      <c r="Q651">
        <f>IFERROR(1/IF(Inputs!$B$38="pvp",15,MAX(0.1,Skills!D10-IF(Skills!E10=TRUE,Inputs!$B$32,0))),0)</f>
        <v/>
      </c>
      <c r="R651">
        <f>IF(AND(Inputs!$B$38&lt;&gt;"pvp",Inputs!$B$43&gt;0),IF(MAX(0,Inputs!$B$43-B673)&lt;=0,0,(INT(MAX(0,Inputs!$B$43-B673)/IF(Inputs!$B$38="pvp",15,MAX(0.1,Skills!D10-IF(Skills!E10=TRUE,Inputs!$B$32,0))))+1)),0)</f>
        <v/>
      </c>
      <c r="S651">
        <f>IFERROR(O651/N651,0)</f>
        <v/>
      </c>
      <c r="T651">
        <f>IF(C651,(H651*N651*IF(AND(Inputs!$B$38&lt;&gt;"pvp",Inputs!$B$43&gt;0),((Skills!G10*((R651-1)*IF(Skills!H10&gt;0,Skills!I10/Skills!H10,1)+IF(Skills!H10&gt;0,MIN(Skills!I10,MAX(0,MAX(0,Inputs!$B$43-B673)-((R651-1)*IF(Inputs!$B$38="pvp",15,MAX(0.1,Skills!D10-IF(Skills!E10=TRUE,Inputs!$B$32,0))))))/Skills!H10,1)))/Inputs!$B$43),G651*Q651))*IF(Inputs!$B$38="pvp",1,1+(Inputs!$B$20+0+Skills!P10)/100),0)</f>
        <v/>
      </c>
      <c r="V651">
        <f>IF(C651,(H651*N651*IF(AND(Inputs!$B$38&lt;&gt;"pvp",Inputs!$B$43&gt;0),((Skills!G10*((R651-1)*IF(Skills!H10&gt;0,Skills!I10/Skills!H10,1)+IF(Skills!H10&gt;0,MIN(Skills!I10,MAX(0,MAX(0,Inputs!$B$43-B673)-((R651-1)*IF(Inputs!$B$38="pvp",15,MAX(0.1,Skills!D10-IF(Skills!E10=TRUE,Inputs!$B$32,0))))))/Skills!H10,1)))/Inputs!$B$43),G651*Q651))*IF(Inputs!$B$38="pvp",1,(1+(Inputs!$B$21+Skills!Q10)/100)*(MIN(Skills!R10,Inputs!$B$37))),0)</f>
        <v/>
      </c>
    </row>
    <row r="652">
      <c r="A652">
        <f>Skills!A11</f>
        <v/>
      </c>
      <c r="B652">
        <f>Skills!B11</f>
        <v/>
      </c>
      <c r="C652">
        <f>Inputs!$B$3&gt;=113</f>
        <v/>
      </c>
      <c r="D652">
        <f>IF(Skills!C11=1,60+(Inputs!$B$25+1)+Inputs!$B$29,IF(Skills!C11=2,90+Inputs!$B$26+Inputs!$B$29,IF(Skills!C11=3,120+Inputs!$B$27+Inputs!$B$29,MAX(0,(Inputs!$B$3-100)*3)+Inputs!$B$28+Inputs!$B$29)))</f>
        <v/>
      </c>
      <c r="E652">
        <f>INDEX(FactorTable!$B$2:$Y$301, MATCH(ROUND(MIN(300,MAX(1,D652)),0), FactorTable!$A$2:$A$301,0), Skills!M11+1)</f>
        <v/>
      </c>
      <c r="F652">
        <f>IF(Skills!N11=TRUE,(Skills!L11/10)*(E652/1000),Skills!L11/10)+Skills!O11</f>
        <v/>
      </c>
      <c r="G652">
        <f>Skills!G11*IF(Skills!H11&gt;0,Skills!I11/Skills!H11,1)</f>
        <v/>
      </c>
      <c r="H652">
        <f>1-(1-Skills!J11/100)^Skills!K11</f>
        <v/>
      </c>
      <c r="I652" t="inlineStr">
        <is>
          <t>1</t>
        </is>
      </c>
      <c r="J652">
        <f>((Inputs!$B$6*(1+Inputs!$B$7/100))+(((Inputs!$B$12*(1+Inputs!$B$13/100))-(Inputs!$B$12*(1+Inputs!$B$13/100)))+0.25*(Inputs!$B$14-Inputs!$B$14))*(1+Inputs!$B$7/100))*(F652/100)</f>
        <v/>
      </c>
      <c r="K652">
        <f>J652*(1+((Inputs!$B$12*(1+Inputs!$B$13/100))*0.01+Inputs!$B$14*0.0025)/100)*(1+Inputs!$B$15/100)*(1+Inputs!$B$16/100)*(5000/(6000+Inputs!$B$42*(1-(Inputs!$B$19+0)/100)))*(1+(Inputs!$B$24+((C663=TRUE)*(F663-Calc!F22))+B672)/100)*(1+(IF(Skills!A11="HOOK_BOMBER",Inputs!$B$17+((C662=TRUE)*(F662-Calc!F21)),Inputs!$B$18+0))/100)*((1+(((C654=TRUE)*F654)+((C660=TRUE)*(F660-Calc!F19)))/100)*I652)</f>
        <v/>
      </c>
      <c r="L652">
        <f>K652*(MIN(Inputs!$B$22+((C661=TRUE)*(F661-Calc!F20)),Inputs!$B$23+0)/100+(Inputs!$B$23+0)/100)/2</f>
        <v/>
      </c>
      <c r="M652">
        <f>L652*(1+(Inputs!$B$10+0+B671)/100)</f>
        <v/>
      </c>
      <c r="N652">
        <f>L652*(1-MIN((Inputs!$B$9+((C657=TRUE)*(F657-Calc!F16))+B666),100)/100)+M652*(MIN((Inputs!$B$9+((C657=TRUE)*(F657-Calc!F16))+B666),100)/100)</f>
        <v/>
      </c>
      <c r="O652">
        <f>(1-Summary!$B$55)*T652+Summary!$B$55*V652</f>
        <v/>
      </c>
      <c r="P652">
        <f>IF(B676=0,0,O652/B676)</f>
        <v/>
      </c>
      <c r="Q652">
        <f>IFERROR(1/IF(Inputs!$B$38="pvp",15,MAX(0.1,Skills!D11-IF(Skills!E11=TRUE,Inputs!$B$32,0))),0)</f>
        <v/>
      </c>
      <c r="R652">
        <f>IF(AND(Inputs!$B$38&lt;&gt;"pvp",Inputs!$B$43&gt;0),IF(MAX(0,Inputs!$B$43-B673)&lt;=0,0,(INT(MAX(0,Inputs!$B$43-B673)/IF(Inputs!$B$38="pvp",15,MAX(0.1,Skills!D11-IF(Skills!E11=TRUE,Inputs!$B$32,0))))+1)),0)</f>
        <v/>
      </c>
      <c r="S652">
        <f>IFERROR(O652/N652,0)</f>
        <v/>
      </c>
      <c r="T652">
        <f>IF(C652,(H652*N652*IF(AND(Inputs!$B$38&lt;&gt;"pvp",Inputs!$B$43&gt;0),((Skills!G11*((R652-1)*IF(Skills!H11&gt;0,Skills!I11/Skills!H11,1)+IF(Skills!H11&gt;0,MIN(Skills!I11,MAX(0,MAX(0,Inputs!$B$43-B673)-((R652-1)*IF(Inputs!$B$38="pvp",15,MAX(0.1,Skills!D11-IF(Skills!E11=TRUE,Inputs!$B$32,0))))))/Skills!H11,1)))/Inputs!$B$43),G652*Q652))*IF(Inputs!$B$38="pvp",1,1+(Inputs!$B$20+0+Skills!P11)/100),0)</f>
        <v/>
      </c>
      <c r="V652">
        <f>IF(C652,(H652*N652*IF(AND(Inputs!$B$38&lt;&gt;"pvp",Inputs!$B$43&gt;0),((Skills!G11*((R652-1)*IF(Skills!H11&gt;0,Skills!I11/Skills!H11,1)+IF(Skills!H11&gt;0,MIN(Skills!I11,MAX(0,MAX(0,Inputs!$B$43-B673)-((R652-1)*IF(Inputs!$B$38="pvp",15,MAX(0.1,Skills!D11-IF(Skills!E11=TRUE,Inputs!$B$32,0))))))/Skills!H11,1)))/Inputs!$B$43),G652*Q652))*IF(Inputs!$B$38="pvp",1,(1+(Inputs!$B$21+Skills!Q11)/100)*(MIN(Skills!R11,Inputs!$B$37))),0)</f>
        <v/>
      </c>
    </row>
    <row r="653">
      <c r="A653">
        <f>Skills!A12</f>
        <v/>
      </c>
      <c r="B653">
        <f>Skills!B12</f>
        <v/>
      </c>
      <c r="C653">
        <f>Inputs!$B$3&gt;=100</f>
        <v/>
      </c>
      <c r="D653">
        <f>IF(Skills!C12=1,60+(Inputs!$B$25+1)+Inputs!$B$29,IF(Skills!C12=2,90+Inputs!$B$26+Inputs!$B$29,IF(Skills!C12=3,120+Inputs!$B$27+Inputs!$B$29,MAX(0,(Inputs!$B$3-100)*3)+Inputs!$B$28+Inputs!$B$29)))</f>
        <v/>
      </c>
      <c r="E653">
        <f>INDEX(FactorTable!$B$2:$Y$301, MATCH(ROUND(MIN(300,MAX(1,D653)),0), FactorTable!$A$2:$A$301,0), Skills!M12+1)</f>
        <v/>
      </c>
      <c r="F653">
        <f>IF(Skills!N12=TRUE,(Skills!L12/10)*(E653/1000),Skills!L12/10)+Skills!O12</f>
        <v/>
      </c>
      <c r="G653" t="inlineStr"/>
      <c r="H653" t="inlineStr"/>
      <c r="I653" t="inlineStr">
        <is>
          <t>1</t>
        </is>
      </c>
      <c r="J653" t="inlineStr"/>
      <c r="K653" t="inlineStr"/>
      <c r="L653" t="inlineStr"/>
      <c r="M653" t="inlineStr"/>
      <c r="N653" t="inlineStr"/>
      <c r="O653" t="inlineStr"/>
      <c r="P653" t="inlineStr"/>
      <c r="Q653" t="inlineStr"/>
      <c r="R653" t="inlineStr"/>
      <c r="S653" t="inlineStr"/>
      <c r="T653" t="inlineStr"/>
      <c r="V653" t="inlineStr"/>
    </row>
    <row r="654">
      <c r="A654">
        <f>Skills!A13</f>
        <v/>
      </c>
      <c r="B654">
        <f>Skills!B13</f>
        <v/>
      </c>
      <c r="C654">
        <f>Inputs!$B$3&gt;=66</f>
        <v/>
      </c>
      <c r="D654">
        <f>IF(Skills!C13=1,60+(Inputs!$B$25+1)+Inputs!$B$29,IF(Skills!C13=2,90+Inputs!$B$26+Inputs!$B$29,IF(Skills!C13=3,120+Inputs!$B$27+Inputs!$B$29,MAX(0,(Inputs!$B$3-100)*3)+Inputs!$B$28+Inputs!$B$29)))</f>
        <v/>
      </c>
      <c r="E654">
        <f>INDEX(FactorTable!$B$2:$Y$301, MATCH(ROUND(MIN(300,MAX(1,D654)),0), FactorTable!$A$2:$A$301,0), Skills!M13+1)</f>
        <v/>
      </c>
      <c r="F654">
        <f>IF(Skills!N13=TRUE,(Skills!L13/10)*(E654/1000),Skills!L13/10)+Skills!O13</f>
        <v/>
      </c>
      <c r="G654">
        <f>Skills!G13*IF(Skills!H13&gt;0,Skills!I13/Skills!H13,1)</f>
        <v/>
      </c>
      <c r="H654">
        <f>1-(1-Skills!J13/100)^Skills!K13</f>
        <v/>
      </c>
      <c r="I654" t="inlineStr">
        <is>
          <t>1</t>
        </is>
      </c>
      <c r="J654" t="inlineStr"/>
      <c r="K654" t="inlineStr"/>
      <c r="L654" t="inlineStr"/>
      <c r="M654" t="inlineStr"/>
      <c r="N654" t="inlineStr"/>
      <c r="O654">
        <f>(1-Summary!$B$55)*T654+Summary!$B$55*V654</f>
        <v/>
      </c>
      <c r="P654">
        <f>IF(B676=0,0,O654/B676)</f>
        <v/>
      </c>
      <c r="Q654" t="n">
        <v>0</v>
      </c>
      <c r="R654" t="n">
        <v>0</v>
      </c>
      <c r="S654">
        <f>IFERROR(O654/N654,0)</f>
        <v/>
      </c>
      <c r="T654" t="n">
        <v>0</v>
      </c>
      <c r="V654" t="n">
        <v>0</v>
      </c>
    </row>
    <row r="655">
      <c r="A655">
        <f>Skills!A14</f>
        <v/>
      </c>
      <c r="B655">
        <f>Skills!B14</f>
        <v/>
      </c>
      <c r="C655">
        <f>Inputs!$B$3&gt;=107</f>
        <v/>
      </c>
      <c r="D655">
        <f>IF(Skills!C14=1,60+(Inputs!$B$25+1)+Inputs!$B$29,IF(Skills!C14=2,90+Inputs!$B$26+Inputs!$B$29,IF(Skills!C14=3,120+Inputs!$B$27+Inputs!$B$29,MAX(0,(Inputs!$B$3-100)*3)+Inputs!$B$28+Inputs!$B$29)))</f>
        <v/>
      </c>
      <c r="E655">
        <f>INDEX(FactorTable!$B$2:$Y$301, MATCH(ROUND(MIN(300,MAX(1,D655)),0), FactorTable!$A$2:$A$301,0), Skills!M14+1)</f>
        <v/>
      </c>
      <c r="F655">
        <f>IF(Skills!N14=TRUE,(Skills!L14/10)*(E655/1000),Skills!L14/10)+Skills!O14</f>
        <v/>
      </c>
      <c r="G655">
        <f>Skills!G14*IF(Skills!H14&gt;0,Skills!I14/Skills!H14,1)</f>
        <v/>
      </c>
      <c r="H655">
        <f>1-(1-Skills!J14/100)^Skills!K14</f>
        <v/>
      </c>
      <c r="I655" t="inlineStr">
        <is>
          <t>1</t>
        </is>
      </c>
      <c r="J655" t="inlineStr"/>
      <c r="K655" t="inlineStr"/>
      <c r="L655" t="inlineStr"/>
      <c r="M655" t="inlineStr"/>
      <c r="N655" t="inlineStr"/>
      <c r="O655">
        <f>(1-Summary!$B$55)*T655+Summary!$B$55*V655</f>
        <v/>
      </c>
      <c r="P655">
        <f>IF(B676=0,0,O655/B676)</f>
        <v/>
      </c>
      <c r="Q655" t="n">
        <v>0</v>
      </c>
      <c r="R655" t="n">
        <v>0</v>
      </c>
      <c r="S655">
        <f>IFERROR(O655/N655,0)</f>
        <v/>
      </c>
      <c r="T655" t="n">
        <v>0</v>
      </c>
      <c r="V655" t="n">
        <v>0</v>
      </c>
    </row>
    <row r="656">
      <c r="A656">
        <f>Skills!A15</f>
        <v/>
      </c>
      <c r="B656">
        <f>Skills!B15</f>
        <v/>
      </c>
      <c r="C656">
        <f>Inputs!$B$3&gt;=115</f>
        <v/>
      </c>
      <c r="D656">
        <f>IF(Skills!C15=1,60+(Inputs!$B$25+1)+Inputs!$B$29,IF(Skills!C15=2,90+Inputs!$B$26+Inputs!$B$29,IF(Skills!C15=3,120+Inputs!$B$27+Inputs!$B$29,MAX(0,(Inputs!$B$3-100)*3)+Inputs!$B$28+Inputs!$B$29)))</f>
        <v/>
      </c>
      <c r="E656">
        <f>INDEX(FactorTable!$B$2:$Y$301, MATCH(ROUND(MIN(300,MAX(1,D656)),0), FactorTable!$A$2:$A$301,0), Skills!M15+1)</f>
        <v/>
      </c>
      <c r="F656">
        <f>IF(Skills!N15=TRUE,(Skills!L15/10)*(E656/1000),Skills!L15/10)+Skills!O15</f>
        <v/>
      </c>
      <c r="G656">
        <f>Skills!G15*IF(Skills!H15&gt;0,Skills!I15/Skills!H15,1)</f>
        <v/>
      </c>
      <c r="H656">
        <f>1-(1-Skills!J15/100)^Skills!K15</f>
        <v/>
      </c>
      <c r="I656" t="inlineStr">
        <is>
          <t>1</t>
        </is>
      </c>
      <c r="J656" t="inlineStr"/>
      <c r="K656" t="inlineStr"/>
      <c r="L656" t="inlineStr"/>
      <c r="M656" t="inlineStr"/>
      <c r="N656" t="inlineStr"/>
      <c r="O656">
        <f>(1-Summary!$B$55)*T656+Summary!$B$55*V656</f>
        <v/>
      </c>
      <c r="P656">
        <f>IF(B676=0,0,O656/B676)</f>
        <v/>
      </c>
      <c r="Q656" t="n">
        <v>0</v>
      </c>
      <c r="R656" t="n">
        <v>0</v>
      </c>
      <c r="S656">
        <f>IFERROR(O656/N656,0)</f>
        <v/>
      </c>
      <c r="T656" t="n">
        <v>0</v>
      </c>
      <c r="V656" t="n">
        <v>0</v>
      </c>
    </row>
    <row r="657">
      <c r="A657">
        <f>Skills!A16</f>
        <v/>
      </c>
      <c r="B657">
        <f>Skills!B16</f>
        <v/>
      </c>
      <c r="C657">
        <f>Inputs!$B$3&gt;=15</f>
        <v/>
      </c>
      <c r="D657">
        <f>IF(Skills!C16=1,60+(Inputs!$B$25+1)+Inputs!$B$29,IF(Skills!C16=2,90+Inputs!$B$26+Inputs!$B$29,IF(Skills!C16=3,120+Inputs!$B$27+Inputs!$B$29,MAX(0,(Inputs!$B$3-100)*3)+Inputs!$B$28+Inputs!$B$29)))</f>
        <v/>
      </c>
      <c r="E657">
        <f>INDEX(FactorTable!$B$2:$Y$301, MATCH(ROUND(MIN(300,MAX(1,D657)),0), FactorTable!$A$2:$A$301,0), Skills!M16+1)</f>
        <v/>
      </c>
      <c r="F657">
        <f>IF(Skills!N16=TRUE,(Skills!L16/10)*(E657/1000),Skills!L16/10)+Skills!O16</f>
        <v/>
      </c>
      <c r="G657">
        <f>Skills!G16*IF(Skills!H16&gt;0,Skills!I16/Skills!H16,1)</f>
        <v/>
      </c>
      <c r="H657">
        <f>1-(1-Skills!J16/100)^Skills!K16</f>
        <v/>
      </c>
      <c r="I657" t="inlineStr">
        <is>
          <t>1</t>
        </is>
      </c>
      <c r="J657" t="inlineStr"/>
      <c r="K657" t="inlineStr"/>
      <c r="L657" t="inlineStr"/>
      <c r="M657" t="inlineStr"/>
      <c r="N657" t="inlineStr"/>
      <c r="O657">
        <f>(1-Summary!$B$55)*T657+Summary!$B$55*V657</f>
        <v/>
      </c>
      <c r="P657">
        <f>IF(B676=0,0,O657/B676)</f>
        <v/>
      </c>
      <c r="Q657" t="n">
        <v>0</v>
      </c>
      <c r="R657" t="n">
        <v>0</v>
      </c>
      <c r="S657">
        <f>IFERROR(O657/N657,0)</f>
        <v/>
      </c>
      <c r="T657" t="n">
        <v>0</v>
      </c>
      <c r="V657" t="n">
        <v>0</v>
      </c>
    </row>
    <row r="658">
      <c r="A658">
        <f>Skills!A17</f>
        <v/>
      </c>
      <c r="B658">
        <f>Skills!B17</f>
        <v/>
      </c>
      <c r="C658">
        <f>Inputs!$B$3&gt;=10</f>
        <v/>
      </c>
      <c r="D658">
        <f>IF(Skills!C17=1,60+(Inputs!$B$25+1)+Inputs!$B$29,IF(Skills!C17=2,90+Inputs!$B$26+Inputs!$B$29,IF(Skills!C17=3,120+Inputs!$B$27+Inputs!$B$29,MAX(0,(Inputs!$B$3-100)*3)+Inputs!$B$28+Inputs!$B$29)))</f>
        <v/>
      </c>
      <c r="E658">
        <f>INDEX(FactorTable!$B$2:$Y$301, MATCH(ROUND(MIN(300,MAX(1,D658)),0), FactorTable!$A$2:$A$301,0), Skills!M17+1)</f>
        <v/>
      </c>
      <c r="F658">
        <f>IF(Skills!N17=TRUE,(Skills!L17/10)*(E658/1000),Skills!L17/10)+Skills!O17</f>
        <v/>
      </c>
      <c r="G658">
        <f>Skills!G17*IF(Skills!H17&gt;0,Skills!I17/Skills!H17,1)</f>
        <v/>
      </c>
      <c r="H658">
        <f>1-(1-Skills!J17/100)^Skills!K17</f>
        <v/>
      </c>
      <c r="I658" t="inlineStr">
        <is>
          <t>1</t>
        </is>
      </c>
      <c r="J658" t="inlineStr"/>
      <c r="K658" t="inlineStr"/>
      <c r="L658" t="inlineStr"/>
      <c r="M658" t="inlineStr"/>
      <c r="N658" t="inlineStr"/>
      <c r="O658">
        <f>(1-Summary!$B$55)*T658+Summary!$B$55*V658</f>
        <v/>
      </c>
      <c r="P658">
        <f>IF(B676=0,0,O658/B676)</f>
        <v/>
      </c>
      <c r="Q658" t="n">
        <v>0</v>
      </c>
      <c r="R658" t="n">
        <v>0</v>
      </c>
      <c r="S658">
        <f>IFERROR(O658/N658,0)</f>
        <v/>
      </c>
      <c r="T658" t="n">
        <v>0</v>
      </c>
      <c r="V658" t="n">
        <v>0</v>
      </c>
    </row>
    <row r="659">
      <c r="A659">
        <f>Skills!A18</f>
        <v/>
      </c>
      <c r="B659">
        <f>Skills!B18</f>
        <v/>
      </c>
      <c r="C659">
        <f>Inputs!$B$3&gt;=33</f>
        <v/>
      </c>
      <c r="D659">
        <f>IF(Skills!C18=1,60+(Inputs!$B$25+1)+Inputs!$B$29,IF(Skills!C18=2,90+Inputs!$B$26+Inputs!$B$29,IF(Skills!C18=3,120+Inputs!$B$27+Inputs!$B$29,MAX(0,(Inputs!$B$3-100)*3)+Inputs!$B$28+Inputs!$B$29)))</f>
        <v/>
      </c>
      <c r="E659">
        <f>INDEX(FactorTable!$B$2:$Y$301, MATCH(ROUND(MIN(300,MAX(1,D659)),0), FactorTable!$A$2:$A$301,0), Skills!M18+1)</f>
        <v/>
      </c>
      <c r="F659">
        <f>IF(Skills!N18=TRUE,(Skills!L18/10)*(E659/1000),Skills!L18/10)+Skills!O18</f>
        <v/>
      </c>
      <c r="G659">
        <f>Skills!G18*IF(Skills!H18&gt;0,Skills!I18/Skills!H18,1)</f>
        <v/>
      </c>
      <c r="H659">
        <f>1-(1-Skills!J18/100)^Skills!K18</f>
        <v/>
      </c>
      <c r="I659" t="inlineStr">
        <is>
          <t>1</t>
        </is>
      </c>
      <c r="J659" t="inlineStr"/>
      <c r="K659" t="inlineStr"/>
      <c r="L659" t="inlineStr"/>
      <c r="M659" t="inlineStr"/>
      <c r="N659" t="inlineStr"/>
      <c r="O659">
        <f>(1-Summary!$B$55)*T659+Summary!$B$55*V659</f>
        <v/>
      </c>
      <c r="P659">
        <f>IF(B676=0,0,O659/B676)</f>
        <v/>
      </c>
      <c r="Q659" t="n">
        <v>0</v>
      </c>
      <c r="R659" t="n">
        <v>0</v>
      </c>
      <c r="S659">
        <f>IFERROR(O659/N659,0)</f>
        <v/>
      </c>
      <c r="T659" t="n">
        <v>0</v>
      </c>
      <c r="V659" t="n">
        <v>0</v>
      </c>
    </row>
    <row r="660">
      <c r="A660">
        <f>Skills!A19</f>
        <v/>
      </c>
      <c r="B660">
        <f>Skills!B19</f>
        <v/>
      </c>
      <c r="C660">
        <f>Inputs!$B$3&gt;=40</f>
        <v/>
      </c>
      <c r="D660">
        <f>IF(Skills!C19=1,60+(Inputs!$B$25+1)+Inputs!$B$29,IF(Skills!C19=2,90+Inputs!$B$26+Inputs!$B$29,IF(Skills!C19=3,120+Inputs!$B$27+Inputs!$B$29,MAX(0,(Inputs!$B$3-100)*3)+Inputs!$B$28+Inputs!$B$29)))</f>
        <v/>
      </c>
      <c r="E660">
        <f>INDEX(FactorTable!$B$2:$Y$301, MATCH(ROUND(MIN(300,MAX(1,D660)),0), FactorTable!$A$2:$A$301,0), Skills!M19+1)</f>
        <v/>
      </c>
      <c r="F660">
        <f>IF(Skills!N19=TRUE,(Skills!L19/10)*(E660/1000),Skills!L19/10)+Skills!O19</f>
        <v/>
      </c>
      <c r="G660">
        <f>Skills!G19*IF(Skills!H19&gt;0,Skills!I19/Skills!H19,1)</f>
        <v/>
      </c>
      <c r="H660">
        <f>1-(1-Skills!J19/100)^Skills!K19</f>
        <v/>
      </c>
      <c r="I660" t="inlineStr">
        <is>
          <t>1</t>
        </is>
      </c>
      <c r="J660" t="inlineStr"/>
      <c r="K660" t="inlineStr"/>
      <c r="L660" t="inlineStr"/>
      <c r="M660" t="inlineStr"/>
      <c r="N660" t="inlineStr"/>
      <c r="O660">
        <f>(1-Summary!$B$55)*T660+Summary!$B$55*V660</f>
        <v/>
      </c>
      <c r="P660">
        <f>IF(B676=0,0,O660/B676)</f>
        <v/>
      </c>
      <c r="Q660" t="n">
        <v>0</v>
      </c>
      <c r="R660" t="n">
        <v>0</v>
      </c>
      <c r="S660">
        <f>IFERROR(O660/N660,0)</f>
        <v/>
      </c>
      <c r="T660" t="n">
        <v>0</v>
      </c>
      <c r="V660" t="n">
        <v>0</v>
      </c>
    </row>
    <row r="661">
      <c r="A661">
        <f>Skills!A20</f>
        <v/>
      </c>
      <c r="B661">
        <f>Skills!B20</f>
        <v/>
      </c>
      <c r="C661">
        <f>Inputs!$B$3&gt;=43</f>
        <v/>
      </c>
      <c r="D661">
        <f>IF(Skills!C20=1,60+(Inputs!$B$25+1)+Inputs!$B$29,IF(Skills!C20=2,90+Inputs!$B$26+Inputs!$B$29,IF(Skills!C20=3,120+Inputs!$B$27+Inputs!$B$29,MAX(0,(Inputs!$B$3-100)*3)+Inputs!$B$28+Inputs!$B$29)))</f>
        <v/>
      </c>
      <c r="E661">
        <f>INDEX(FactorTable!$B$2:$Y$301, MATCH(ROUND(MIN(300,MAX(1,D661)),0), FactorTable!$A$2:$A$301,0), Skills!M20+1)</f>
        <v/>
      </c>
      <c r="F661">
        <f>IF(Skills!N20=TRUE,(Skills!L20/10)*(E661/1000),Skills!L20/10)+Skills!O20</f>
        <v/>
      </c>
      <c r="G661">
        <f>Skills!G20*IF(Skills!H20&gt;0,Skills!I20/Skills!H20,1)</f>
        <v/>
      </c>
      <c r="H661">
        <f>1-(1-Skills!J20/100)^Skills!K20</f>
        <v/>
      </c>
      <c r="I661" t="inlineStr">
        <is>
          <t>1</t>
        </is>
      </c>
      <c r="J661" t="inlineStr"/>
      <c r="K661" t="inlineStr"/>
      <c r="L661" t="inlineStr"/>
      <c r="M661" t="inlineStr"/>
      <c r="N661" t="inlineStr"/>
      <c r="O661">
        <f>(1-Summary!$B$55)*T661+Summary!$B$55*V661</f>
        <v/>
      </c>
      <c r="P661">
        <f>IF(B676=0,0,O661/B676)</f>
        <v/>
      </c>
      <c r="Q661" t="n">
        <v>0</v>
      </c>
      <c r="R661" t="n">
        <v>0</v>
      </c>
      <c r="S661">
        <f>IFERROR(O661/N661,0)</f>
        <v/>
      </c>
      <c r="T661" t="n">
        <v>0</v>
      </c>
      <c r="V661" t="n">
        <v>0</v>
      </c>
    </row>
    <row r="662">
      <c r="A662">
        <f>Skills!A21</f>
        <v/>
      </c>
      <c r="B662">
        <f>Skills!B21</f>
        <v/>
      </c>
      <c r="C662">
        <f>Inputs!$B$3&gt;=38</f>
        <v/>
      </c>
      <c r="D662">
        <f>IF(Skills!C21=1,60+(Inputs!$B$25+1)+Inputs!$B$29,IF(Skills!C21=2,90+Inputs!$B$26+Inputs!$B$29,IF(Skills!C21=3,120+Inputs!$B$27+Inputs!$B$29,MAX(0,(Inputs!$B$3-100)*3)+Inputs!$B$28+Inputs!$B$29)))</f>
        <v/>
      </c>
      <c r="E662">
        <f>INDEX(FactorTable!$B$2:$Y$301, MATCH(ROUND(MIN(300,MAX(1,D662)),0), FactorTable!$A$2:$A$301,0), Skills!M21+1)</f>
        <v/>
      </c>
      <c r="F662">
        <f>IF(Skills!N21=TRUE,(Skills!L21/10)*(E662/1000),Skills!L21/10)+Skills!O21</f>
        <v/>
      </c>
      <c r="G662">
        <f>Skills!G21*IF(Skills!H21&gt;0,Skills!I21/Skills!H21,1)</f>
        <v/>
      </c>
      <c r="H662">
        <f>1-(1-Skills!J21/100)^Skills!K21</f>
        <v/>
      </c>
      <c r="I662" t="inlineStr">
        <is>
          <t>1</t>
        </is>
      </c>
      <c r="J662" t="inlineStr"/>
      <c r="K662" t="inlineStr"/>
      <c r="L662" t="inlineStr"/>
      <c r="M662" t="inlineStr"/>
      <c r="N662" t="inlineStr"/>
      <c r="O662">
        <f>(1-Summary!$B$55)*T662+Summary!$B$55*V662</f>
        <v/>
      </c>
      <c r="P662">
        <f>IF(B676=0,0,O662/B676)</f>
        <v/>
      </c>
      <c r="Q662" t="n">
        <v>0</v>
      </c>
      <c r="R662" t="n">
        <v>0</v>
      </c>
      <c r="S662">
        <f>IFERROR(O662/N662,0)</f>
        <v/>
      </c>
      <c r="T662" t="n">
        <v>0</v>
      </c>
      <c r="V662" t="n">
        <v>0</v>
      </c>
    </row>
    <row r="663">
      <c r="A663">
        <f>Skills!A22</f>
        <v/>
      </c>
      <c r="B663">
        <f>Skills!B22</f>
        <v/>
      </c>
      <c r="C663">
        <f>Inputs!$B$3&gt;=75</f>
        <v/>
      </c>
      <c r="D663">
        <f>IF(Skills!C22=1,60+(Inputs!$B$25+1)+Inputs!$B$29,IF(Skills!C22=2,90+Inputs!$B$26+Inputs!$B$29,IF(Skills!C22=3,120+Inputs!$B$27+Inputs!$B$29,MAX(0,(Inputs!$B$3-100)*3)+Inputs!$B$28+Inputs!$B$29)))</f>
        <v/>
      </c>
      <c r="E663">
        <f>INDEX(FactorTable!$B$2:$Y$301, MATCH(ROUND(MIN(300,MAX(1,D663)),0), FactorTable!$A$2:$A$301,0), Skills!M22+1)</f>
        <v/>
      </c>
      <c r="F663">
        <f>IF(Skills!N22=TRUE,(Skills!L22/10)*(E663/1000),Skills!L22/10)+Skills!O22</f>
        <v/>
      </c>
      <c r="G663">
        <f>Skills!G22*IF(Skills!H22&gt;0,Skills!I22/Skills!H22,1)</f>
        <v/>
      </c>
      <c r="H663">
        <f>1-(1-Skills!J22/100)^Skills!K22</f>
        <v/>
      </c>
      <c r="I663" t="inlineStr">
        <is>
          <t>1</t>
        </is>
      </c>
      <c r="J663" t="inlineStr"/>
      <c r="K663" t="inlineStr"/>
      <c r="L663" t="inlineStr"/>
      <c r="M663" t="inlineStr"/>
      <c r="N663" t="inlineStr"/>
      <c r="O663">
        <f>(1-Summary!$B$55)*T663+Summary!$B$55*V663</f>
        <v/>
      </c>
      <c r="P663">
        <f>IF(B676=0,0,O663/B676)</f>
        <v/>
      </c>
      <c r="Q663" t="n">
        <v>0</v>
      </c>
      <c r="R663" t="n">
        <v>0</v>
      </c>
      <c r="S663">
        <f>IFERROR(O663/N663,0)</f>
        <v/>
      </c>
      <c r="T663" t="n">
        <v>0</v>
      </c>
      <c r="V663" t="n">
        <v>0</v>
      </c>
    </row>
    <row r="665">
      <c r="A665" t="inlineStr">
        <is>
          <t>Attack% Bucket Multiplier</t>
        </is>
      </c>
      <c r="B665">
        <f>(1+(((C654=TRUE)*F654)+((C660=TRUE)*(F660-Calc!F19)))/100)</f>
        <v/>
      </c>
    </row>
    <row r="666">
      <c r="A666" t="inlineStr">
        <is>
          <t>Global Crit Rate Bonus %</t>
        </is>
      </c>
      <c r="B666" t="n">
        <v>0</v>
      </c>
    </row>
    <row r="667">
      <c r="A667" t="inlineStr">
        <is>
          <t>Attack Speed Buff Bonus % (unused)</t>
        </is>
      </c>
      <c r="B667" t="n">
        <v>0</v>
      </c>
    </row>
    <row r="668">
      <c r="A668" t="inlineStr">
        <is>
          <t>Actions Per Second</t>
        </is>
      </c>
      <c r="B668">
        <f>1+MIN(150,150*(1-(1-(Inputs!$B$11+((C658=TRUE)*(F658-Calc!F17))+((C659=TRUE)*(F659-Calc!F18)))/150)*(1-B667/150)))/100</f>
        <v/>
      </c>
    </row>
    <row r="669">
      <c r="A669" t="inlineStr">
        <is>
          <t>Skill + Buff Cast Rate</t>
        </is>
      </c>
      <c r="B669">
        <f>IF(AND(Inputs!$B$38&lt;&gt;"pvp",Inputs!$B$43&gt;0),SUMPRODUCT((Skills!E2:E22=TRUE)*(C643:C663=TRUE)*R643:R663*Skills!F2:F22)/Inputs!$B$43,SUMPRODUCT((Skills!E2:E22=TRUE)*(C643:C663=TRUE)*Q643:Q663*Skills!F2:F22))</f>
        <v/>
      </c>
    </row>
    <row r="670">
      <c r="A670" t="inlineStr">
        <is>
          <t>Hook Bomber Casts Per Second</t>
        </is>
      </c>
      <c r="B670">
        <f>MAX(0,B668-B669)</f>
        <v/>
      </c>
    </row>
    <row r="671">
      <c r="A671" t="inlineStr">
        <is>
          <t>Global Critical Damage Bonus % (unused)</t>
        </is>
      </c>
      <c r="B671" t="n">
        <v>0</v>
      </c>
    </row>
    <row r="672">
      <c r="A672" t="inlineStr">
        <is>
          <t>Global Final Damage Bonus % (Serpent Scale + Crossbones + Time Leap + Speed Infusion)</t>
        </is>
      </c>
      <c r="B672">
        <f>((C646=TRUE)*F646*((10+IF(Inputs!$B$3&gt;=94,5,0))/((10+IF(Inputs!$B$3&gt;=94,5,0))+5/(B670*(1+IF(Inputs!$B$3&gt;=104,1,0))))))+((C655=TRUE)*F655)+((C656=TRUE)*F656)+((Inputs!$B$3&gt;=110)*20*(B668-1))</f>
        <v/>
      </c>
    </row>
    <row r="673">
      <c r="A673" t="inlineStr">
        <is>
          <t>Buff-Casting Startup Delay (s, fixed-duration only)</t>
        </is>
      </c>
      <c r="B673">
        <f>IF(AND(Inputs!$B$38&lt;&gt;"pvp",Inputs!$B$43&gt;0),SUMPRODUCT((Skills!T2:T22&gt;0)*(Skills!E2:E22=TRUE)*(C643:C663=TRUE))/B668,0)</f>
        <v/>
      </c>
    </row>
    <row r="674">
      <c r="A674" t="inlineStr">
        <is>
          <t>Boss-Only Total DPS (this block's swept value)</t>
        </is>
      </c>
      <c r="B674">
        <f>SUM(T643:T663)</f>
        <v/>
      </c>
    </row>
    <row r="675">
      <c r="A675" t="inlineStr">
        <is>
          <t>Normal-Only Total DPS (this block's swept value)</t>
        </is>
      </c>
      <c r="B675">
        <f>SUM(V643:V663)</f>
        <v/>
      </c>
    </row>
    <row r="676">
      <c r="A676" s="5" t="inlineStr">
        <is>
          <t>TOTAL DPS</t>
        </is>
      </c>
      <c r="B676" s="5">
        <f>SUM(O643:O663)</f>
        <v/>
      </c>
    </row>
    <row r="679">
      <c r="A679" s="5" t="inlineStr">
        <is>
          <t>Stat: Skill Level Bonus — 2nd Job</t>
        </is>
      </c>
    </row>
    <row r="680">
      <c r="A680" s="9" t="inlineStr">
        <is>
          <t>Key</t>
        </is>
      </c>
      <c r="B680" s="9" t="inlineStr">
        <is>
          <t>Name</t>
        </is>
      </c>
      <c r="C680" s="9" t="inlineStr">
        <is>
          <t>Unlocked</t>
        </is>
      </c>
      <c r="D680" s="9" t="inlineStr">
        <is>
          <t>InputLevel</t>
        </is>
      </c>
      <c r="E680" s="9" t="inlineStr">
        <is>
          <t>Factor</t>
        </is>
      </c>
      <c r="F680" s="9" t="inlineStr">
        <is>
          <t>CoefficientPercent</t>
        </is>
      </c>
      <c r="G680" s="9" t="inlineStr">
        <is>
          <t>EffectiveHits</t>
        </is>
      </c>
      <c r="H680" s="9" t="inlineStr">
        <is>
          <t>ProcProbability</t>
        </is>
      </c>
      <c r="I680" s="9" t="inlineStr">
        <is>
          <t>MapleHeroMultiplier</t>
        </is>
      </c>
      <c r="J680" s="9" t="inlineStr">
        <is>
          <t>BaseDamage</t>
        </is>
      </c>
      <c r="K680" s="9" t="inlineStr">
        <is>
          <t>BaseHitDamage</t>
        </is>
      </c>
      <c r="L680" s="9" t="inlineStr">
        <is>
          <t>NonCritAvg</t>
        </is>
      </c>
      <c r="M680" s="9" t="inlineStr">
        <is>
          <t>CritAvg</t>
        </is>
      </c>
      <c r="N680" s="9" t="inlineStr">
        <is>
          <t>ExpectedDamage(perHit)</t>
        </is>
      </c>
      <c r="O680" s="9" t="inlineStr">
        <is>
          <t>DPS</t>
        </is>
      </c>
      <c r="P680" s="9" t="inlineStr">
        <is>
          <t>% of Total</t>
        </is>
      </c>
      <c r="Q680" s="9" t="inlineStr">
        <is>
          <t>InvCooldown</t>
        </is>
      </c>
      <c r="R680" s="9" t="inlineStr">
        <is>
          <t>CastsInFight</t>
        </is>
      </c>
      <c r="S680" s="9" t="inlineStr">
        <is>
          <t>HitRate(perSec)</t>
        </is>
      </c>
      <c r="U680" t="inlineStr">
        <is>
          <t>helpers</t>
        </is>
      </c>
    </row>
    <row r="681">
      <c r="A681">
        <f>Skills!A2</f>
        <v/>
      </c>
      <c r="B681">
        <f>Skills!B2</f>
        <v/>
      </c>
      <c r="C681">
        <f>Inputs!$B$3&gt;=100</f>
        <v/>
      </c>
      <c r="D681" t="inlineStr"/>
      <c r="E681" t="inlineStr"/>
      <c r="F681">
        <f>U683+Skills!O2</f>
        <v/>
      </c>
      <c r="G681">
        <f>Skills!G2*IF(Skills!H2&gt;0,Skills!I2/Skills!H2,1)</f>
        <v/>
      </c>
      <c r="H681">
        <f>1-(1-Skills!J2/100)^Skills!K2</f>
        <v/>
      </c>
      <c r="I681" t="inlineStr">
        <is>
          <t>1</t>
        </is>
      </c>
      <c r="J681">
        <f>((Inputs!$B$6*(1+Inputs!$B$7/100))+(((Inputs!$B$12*(1+Inputs!$B$13/100))-(Inputs!$B$12*(1+Inputs!$B$13/100)))+0.25*(Inputs!$B$14-Inputs!$B$14))*(1+Inputs!$B$7/100))*(F681/100)</f>
        <v/>
      </c>
      <c r="K681">
        <f>J681*(1+((Inputs!$B$12*(1+Inputs!$B$13/100))*0.01+Inputs!$B$14*0.0025)/100)*(1+Inputs!$B$15/100)*(1+Inputs!$B$16/100)*(5000/(6000+Inputs!$B$42*(1-(Inputs!$B$19+0)/100)))*(1+(Inputs!$B$24+((C701=TRUE)*(F701-Calc!F22))+B710)/100)*(1+(IF(Skills!A2="HOOK_BOMBER",Inputs!$B$17+((C700=TRUE)*(F700-Calc!F21)),Inputs!$B$18+0))/100)*((1+(((C692=TRUE)*F692)+((C698=TRUE)*(F698-Calc!F19)))/100)*I681)</f>
        <v/>
      </c>
      <c r="L681">
        <f>K681*(MIN(Inputs!$B$22+((C699=TRUE)*(F699-Calc!F20)),Inputs!$B$23+0)/100+(Inputs!$B$23+0)/100)/2</f>
        <v/>
      </c>
      <c r="M681">
        <f>L681*(1+(Inputs!$B$10+0+B709)/100)</f>
        <v/>
      </c>
      <c r="N681">
        <f>L681*(1-MIN((Inputs!$B$9+((C695=TRUE)*(F695-Calc!F16))+B704),100)/100)+M681*(MIN((Inputs!$B$9+((C695=TRUE)*(F695-Calc!F16))+B704),100)/100)</f>
        <v/>
      </c>
      <c r="O681">
        <f>(1-Summary!$B$55)*T681+Summary!$B$55*V681</f>
        <v/>
      </c>
      <c r="P681">
        <f>IF(B714=0,0,O681/B714)</f>
        <v/>
      </c>
      <c r="Q681" t="n">
        <v>0</v>
      </c>
      <c r="R681" t="n">
        <v>0</v>
      </c>
      <c r="S681">
        <f>IFERROR(O681/N681,0)</f>
        <v/>
      </c>
      <c r="T681">
        <f>IF(C681,(Skills!G2*N681*B708)*IF(Inputs!$B$38="pvp",1,1+(Inputs!$B$20+0+Skills!P2)/100),0)</f>
        <v/>
      </c>
      <c r="U681">
        <f>MAX(0,(Inputs!$B$3-100)*3)+Inputs!$B$28+Inputs!$B$29</f>
        <v/>
      </c>
      <c r="V681">
        <f>IF(C681,(Skills!G2*N681*B708)*IF(Inputs!$B$38="pvp",1,(1+(Inputs!$B$21+Skills!Q2)/100)*(MIN((6+Inputs!$B$33),Inputs!$B$37))),0)</f>
        <v/>
      </c>
    </row>
    <row r="682">
      <c r="A682">
        <f>Skills!A3</f>
        <v/>
      </c>
      <c r="B682">
        <f>Skills!B3</f>
        <v/>
      </c>
      <c r="C682">
        <f>Inputs!$B$3&gt;=35</f>
        <v/>
      </c>
      <c r="D682">
        <f>IF(Skills!C3=1,60+Inputs!$B$25+Inputs!$B$29,IF(Skills!C3=2,90+(Inputs!$B$26+1)+Inputs!$B$29,IF(Skills!C3=3,120+Inputs!$B$27+Inputs!$B$29,MAX(0,(Inputs!$B$3-100)*3)+Inputs!$B$28+Inputs!$B$29)))</f>
        <v/>
      </c>
      <c r="E682">
        <f>INDEX(FactorTable!$B$2:$Y$301, MATCH(ROUND(MIN(300,MAX(1,D682)),0), FactorTable!$A$2:$A$301,0), Skills!M3+1)</f>
        <v/>
      </c>
      <c r="F682">
        <f>IF(Skills!N3=TRUE,(Skills!L3/10)*(E682/1000),Skills!L3/10)+Skills!O3</f>
        <v/>
      </c>
      <c r="G682">
        <f>Skills!G3*IF(Skills!H3&gt;0,Skills!I3/Skills!H3,1)</f>
        <v/>
      </c>
      <c r="H682">
        <f>1-(1-Skills!J3/100)^Skills!K3</f>
        <v/>
      </c>
      <c r="I682" t="inlineStr">
        <is>
          <t>1</t>
        </is>
      </c>
      <c r="J682">
        <f>((Inputs!$B$6*(1+Inputs!$B$7/100))+(((Inputs!$B$12*(1+Inputs!$B$13/100))-(Inputs!$B$12*(1+Inputs!$B$13/100)))+0.25*(Inputs!$B$14-Inputs!$B$14))*(1+Inputs!$B$7/100))*(F682/100)</f>
        <v/>
      </c>
      <c r="K682">
        <f>J682*(1+((Inputs!$B$12*(1+Inputs!$B$13/100))*0.01+Inputs!$B$14*0.0025)/100)*(1+Inputs!$B$15/100)*(1+Inputs!$B$16/100)*(5000/(6000+Inputs!$B$42*(1-(Inputs!$B$19+0)/100)))*(1+(Inputs!$B$24+((C701=TRUE)*(F701-Calc!F22))+B710)/100)*(1+(IF(Skills!A3="HOOK_BOMBER",Inputs!$B$17+((C700=TRUE)*(F700-Calc!F21)),Inputs!$B$18+0))/100)*((1+(((C692=TRUE)*F692)+((C698=TRUE)*(F698-Calc!F19)))/100)*I682)</f>
        <v/>
      </c>
      <c r="L682">
        <f>K682*(MIN(Inputs!$B$22+((C699=TRUE)*(F699-Calc!F20)),Inputs!$B$23+0)/100+(Inputs!$B$23+0)/100)/2</f>
        <v/>
      </c>
      <c r="M682">
        <f>L682*(1+(Inputs!$B$10+0+B709)/100)</f>
        <v/>
      </c>
      <c r="N682">
        <f>L682*(1-MIN((Inputs!$B$9+((C695=TRUE)*(F695-Calc!F16))+B704),100)/100)+M682*(MIN((Inputs!$B$9+((C695=TRUE)*(F695-Calc!F16))+B704),100)/100)</f>
        <v/>
      </c>
      <c r="O682">
        <f>(1-Summary!$B$55)*T682+Summary!$B$55*V682</f>
        <v/>
      </c>
      <c r="P682">
        <f>IF(B714=0,0,O682/B714)</f>
        <v/>
      </c>
      <c r="Q682" t="n">
        <v>0</v>
      </c>
      <c r="R682" t="n">
        <v>0</v>
      </c>
      <c r="S682">
        <f>IFERROR(O682/N682,0)</f>
        <v/>
      </c>
      <c r="T682">
        <f>IF(C682,(Skills!G3*H682*N682*B708)*IF(Inputs!$B$38="pvp",1,1+(Inputs!$B$20+0+Skills!P3)/100),0)</f>
        <v/>
      </c>
      <c r="U682">
        <f>INDEX(FactorTable!$B$2:$Y$301, MATCH(ROUND(MIN(300,MAX(1,U681)),0), FactorTable!$A$2:$A$301,0), 22)</f>
        <v/>
      </c>
      <c r="V682">
        <f>IF(C682,(Skills!G3*H682*N682*B708)*IF(Inputs!$B$38="pvp",1,(1+(Inputs!$B$21+Skills!Q3)/100)*(MIN(Skills!R3,Inputs!$B$37))),0)</f>
        <v/>
      </c>
    </row>
    <row r="683">
      <c r="A683">
        <f>Skills!A4</f>
        <v/>
      </c>
      <c r="B683">
        <f>Skills!B4</f>
        <v/>
      </c>
      <c r="C683">
        <f>Inputs!$B$3&gt;=60</f>
        <v/>
      </c>
      <c r="D683">
        <f>IF(Skills!C4=1,60+Inputs!$B$25+Inputs!$B$29,IF(Skills!C4=2,90+(Inputs!$B$26+1)+Inputs!$B$29,IF(Skills!C4=3,120+Inputs!$B$27+Inputs!$B$29,MAX(0,(Inputs!$B$3-100)*3)+Inputs!$B$28+Inputs!$B$29)))</f>
        <v/>
      </c>
      <c r="E683">
        <f>INDEX(FactorTable!$B$2:$Y$301, MATCH(ROUND(MIN(300,MAX(1,D683)),0), FactorTable!$A$2:$A$301,0), Skills!M4+1)</f>
        <v/>
      </c>
      <c r="F683">
        <f>IF(Skills!N4=TRUE,(Skills!L4/10)*(E683/1000),Skills!L4/10)+Skills!O4</f>
        <v/>
      </c>
      <c r="G683">
        <f>Skills!G4*IF(Skills!H4&gt;0,Skills!I4/Skills!H4,1)</f>
        <v/>
      </c>
      <c r="H683">
        <f>1-(1-Skills!J4/100)^Skills!K4</f>
        <v/>
      </c>
      <c r="I683" t="inlineStr">
        <is>
          <t>1</t>
        </is>
      </c>
      <c r="J683">
        <f>((Inputs!$B$6*(1+Inputs!$B$7/100))+(((Inputs!$B$12*(1+Inputs!$B$13/100))-(Inputs!$B$12*(1+Inputs!$B$13/100)))+0.25*(Inputs!$B$14-Inputs!$B$14))*(1+Inputs!$B$7/100))*(F683/100)</f>
        <v/>
      </c>
      <c r="K683">
        <f>J683*(1+((Inputs!$B$12*(1+Inputs!$B$13/100))*0.01+Inputs!$B$14*0.0025)/100)*(1+Inputs!$B$15/100)*(1+Inputs!$B$16/100)*(5000/(6000+Inputs!$B$42*(1-(Inputs!$B$19+0)/100)))*(1+(Inputs!$B$24+((C701=TRUE)*(F701-Calc!F22))+B710)/100)*(1+1.0*IF(C691=TRUE,F691,0)/100)*(1+(IF(Skills!A4="HOOK_BOMBER",Inputs!$B$17+((C700=TRUE)*(F700-Calc!F21)),Inputs!$B$18+0))/100)*((1+(((C692=TRUE)*F692)+((C698=TRUE)*(F698-Calc!F19)))/100)*I683)</f>
        <v/>
      </c>
      <c r="L683">
        <f>K683*(MIN(Inputs!$B$22+((C699=TRUE)*(F699-Calc!F20)),Inputs!$B$23+0)/100+(Inputs!$B$23+0)/100)/2</f>
        <v/>
      </c>
      <c r="M683">
        <f>L683*(1+(Inputs!$B$10+0+B709)/100)</f>
        <v/>
      </c>
      <c r="N683">
        <f>L683*(1-MIN((Inputs!$B$9+((C695=TRUE)*(F695-Calc!F16))+B704),100)/100)+M683*(MIN((Inputs!$B$9+((C695=TRUE)*(F695-Calc!F16))+B704),100)/100)</f>
        <v/>
      </c>
      <c r="O683">
        <f>(1-Summary!$B$55)*T683+Summary!$B$55*V683</f>
        <v/>
      </c>
      <c r="P683">
        <f>IF(B714=0,0,O683/B714)</f>
        <v/>
      </c>
      <c r="Q683" t="n">
        <v>0</v>
      </c>
      <c r="R683" t="n">
        <v>0</v>
      </c>
      <c r="S683">
        <f>IFERROR(O683/N683,0)</f>
        <v/>
      </c>
      <c r="T683">
        <f>IF(C683,(Skills!G4*H683*N683*B708)*IF(Inputs!$B$38="pvp",1,1+(Inputs!$B$20+0+Skills!P4)/100),0)</f>
        <v/>
      </c>
      <c r="U683">
        <f>290*U682/1000</f>
        <v/>
      </c>
      <c r="V683">
        <f>IF(C683,(Skills!G4*H683*N683*B708)*IF(Inputs!$B$38="pvp",1,(1+(Inputs!$B$21+Skills!Q4)/100)*(MIN(Skills!R4,Inputs!$B$37))),0)</f>
        <v/>
      </c>
    </row>
    <row r="684">
      <c r="A684">
        <f>Skills!A5</f>
        <v/>
      </c>
      <c r="B684">
        <f>Skills!B5</f>
        <v/>
      </c>
      <c r="C684">
        <f>Inputs!$B$3&gt;=60</f>
        <v/>
      </c>
      <c r="D684">
        <f>IF(Skills!C5=1,60+Inputs!$B$25+Inputs!$B$29,IF(Skills!C5=2,90+(Inputs!$B$26+1)+Inputs!$B$29,IF(Skills!C5=3,120+Inputs!$B$27+Inputs!$B$29,MAX(0,(Inputs!$B$3-100)*3)+Inputs!$B$28+Inputs!$B$29)))</f>
        <v/>
      </c>
      <c r="E684">
        <f>INDEX(FactorTable!$B$2:$Y$301, MATCH(ROUND(MIN(300,MAX(1,D684)),0), FactorTable!$A$2:$A$301,0), Skills!M5+1)</f>
        <v/>
      </c>
      <c r="F684">
        <f>IF(Skills!N5=TRUE,(Skills!L5/10)*(E684/1000),Skills!L5/10)+Skills!O5</f>
        <v/>
      </c>
      <c r="G684">
        <f>Skills!G5*IF(Skills!H5&gt;0,Skills!I5/Skills!H5,1)</f>
        <v/>
      </c>
      <c r="H684">
        <f>1-(1-Skills!J5/100)^Skills!K5</f>
        <v/>
      </c>
      <c r="I684" t="inlineStr">
        <is>
          <t>1</t>
        </is>
      </c>
      <c r="J684" t="inlineStr"/>
      <c r="K684" t="inlineStr"/>
      <c r="L684" t="inlineStr"/>
      <c r="M684" t="inlineStr"/>
      <c r="N684" t="inlineStr"/>
      <c r="O684">
        <f>(1-Summary!$B$55)*T684+Summary!$B$55*V684</f>
        <v/>
      </c>
      <c r="P684">
        <f>IF(B714=0,0,O684/B714)</f>
        <v/>
      </c>
      <c r="Q684" t="n">
        <v>0</v>
      </c>
      <c r="R684" t="n">
        <v>0</v>
      </c>
      <c r="S684">
        <f>IFERROR(O684/N684,0)</f>
        <v/>
      </c>
      <c r="T684" t="n">
        <v>0</v>
      </c>
      <c r="V684" t="n">
        <v>0</v>
      </c>
    </row>
    <row r="685">
      <c r="A685">
        <f>Skills!A6</f>
        <v/>
      </c>
      <c r="B685">
        <f>Skills!B6</f>
        <v/>
      </c>
      <c r="C685">
        <f>Inputs!$B$3&gt;=63</f>
        <v/>
      </c>
      <c r="D685">
        <f>IF(Skills!C6=1,60+Inputs!$B$25+Inputs!$B$29,IF(Skills!C6=2,90+(Inputs!$B$26+1)+Inputs!$B$29,IF(Skills!C6=3,120+Inputs!$B$27+Inputs!$B$29,MAX(0,(Inputs!$B$3-100)*3)+Inputs!$B$28+Inputs!$B$29)))</f>
        <v/>
      </c>
      <c r="E685">
        <f>INDEX(FactorTable!$B$2:$Y$301, MATCH(ROUND(MIN(300,MAX(1,D685)),0), FactorTable!$A$2:$A$301,0), Skills!M6+1)</f>
        <v/>
      </c>
      <c r="F685">
        <f>IF(Skills!N6=TRUE,(Skills!L6/10)*(E685/1000),Skills!L6/10)+Skills!O6</f>
        <v/>
      </c>
      <c r="G685">
        <f>Skills!G6*IF(Skills!H6&gt;0,Skills!I6/Skills!H6,1)</f>
        <v/>
      </c>
      <c r="H685">
        <f>1-(1-Skills!J6/100)^Skills!K6</f>
        <v/>
      </c>
      <c r="I685" t="inlineStr">
        <is>
          <t>1</t>
        </is>
      </c>
      <c r="J685">
        <f>((Inputs!$B$6*(1+Inputs!$B$7/100))+(((Inputs!$B$12*(1+Inputs!$B$13/100))-(Inputs!$B$12*(1+Inputs!$B$13/100)))+0.25*(Inputs!$B$14-Inputs!$B$14))*(1+Inputs!$B$7/100))*(F685/100)</f>
        <v/>
      </c>
      <c r="K685">
        <f>J685*(1+((Inputs!$B$12*(1+Inputs!$B$13/100))*0.01+Inputs!$B$14*0.0025)/100)*(1+Inputs!$B$15/100)*(1+Inputs!$B$16/100)*(5000/(6000+Inputs!$B$42*(1-(Inputs!$B$19+0)/100)))*(1+(Inputs!$B$24+((C701=TRUE)*(F701-Calc!F22))+B710)/100)*(1+(IF(Skills!A6="HOOK_BOMBER",Inputs!$B$17+((C700=TRUE)*(F700-Calc!F21)),Inputs!$B$18+0))/100)*((1+(((C692=TRUE)*F692)+((C698=TRUE)*(F698-Calc!F19)))/100)*I685)</f>
        <v/>
      </c>
      <c r="L685">
        <f>K685*(MIN(Inputs!$B$22+((C699=TRUE)*(F699-Calc!F20)),Inputs!$B$23+0)/100+(Inputs!$B$23+0)/100)/2</f>
        <v/>
      </c>
      <c r="M685">
        <f>L685*(1+(Inputs!$B$10+0+B709)/100)</f>
        <v/>
      </c>
      <c r="N685">
        <f>L685*(1-MIN((Inputs!$B$9+((C695=TRUE)*(F695-Calc!F16))+B704),100)/100)+M685*(MIN((Inputs!$B$9+((C695=TRUE)*(F695-Calc!F16))+B704),100)/100)</f>
        <v/>
      </c>
      <c r="O685">
        <f>(1-Summary!$B$55)*T685+Summary!$B$55*V685</f>
        <v/>
      </c>
      <c r="P685">
        <f>IF(B714=0,0,O685/B714)</f>
        <v/>
      </c>
      <c r="Q685">
        <f>IFERROR(1/IF(Inputs!$B$38="pvp",15,MAX(0.1,Skills!D6-IF(Skills!E6=TRUE,Inputs!$B$32,0))),0)</f>
        <v/>
      </c>
      <c r="R685">
        <f>IF(AND(Inputs!$B$38&lt;&gt;"pvp",Inputs!$B$43&gt;0),IF(MAX(0,Inputs!$B$43-B711)&lt;=0,0,(INT(MAX(0,Inputs!$B$43-B711)/IF(Inputs!$B$38="pvp",15,MAX(0.1,Skills!D6-IF(Skills!E6=TRUE,Inputs!$B$32,0))))+1)),0)</f>
        <v/>
      </c>
      <c r="S685">
        <f>IFERROR(O685/N685,0)</f>
        <v/>
      </c>
      <c r="T685">
        <f>IF(C685,(H685*N685*IF(AND(Inputs!$B$38&lt;&gt;"pvp",Inputs!$B$43&gt;0),((Skills!G6*((R685-1)*IF(Skills!H6&gt;0,Skills!I6/Skills!H6,1)+IF(Skills!H6&gt;0,MIN(Skills!I6,MAX(0,MAX(0,Inputs!$B$43-B711)-((R685-1)*IF(Inputs!$B$38="pvp",15,MAX(0.1,Skills!D6-IF(Skills!E6=TRUE,Inputs!$B$32,0))))))/Skills!H6,1)))/Inputs!$B$43),G685*Q685))*IF(Inputs!$B$38="pvp",1,1+(Inputs!$B$20+0+Skills!P6)/100),0)</f>
        <v/>
      </c>
      <c r="V685">
        <f>IF(C685,(H685*N685*IF(AND(Inputs!$B$38&lt;&gt;"pvp",Inputs!$B$43&gt;0),((Skills!G6*((R685-1)*IF(Skills!H6&gt;0,Skills!I6/Skills!H6,1)+IF(Skills!H6&gt;0,MIN(Skills!I6,MAX(0,MAX(0,Inputs!$B$43-B711)-((R685-1)*IF(Inputs!$B$38="pvp",15,MAX(0.1,Skills!D6-IF(Skills!E6=TRUE,Inputs!$B$32,0))))))/Skills!H6,1)))/Inputs!$B$43),G685*Q685))*IF(Inputs!$B$38="pvp",1,(1+(Inputs!$B$21+Skills!Q6)/100)*(MIN(Skills!R6,Inputs!$B$37))),0)</f>
        <v/>
      </c>
    </row>
    <row r="686">
      <c r="A686">
        <f>Skills!A7</f>
        <v/>
      </c>
      <c r="B686">
        <f>Skills!B7</f>
        <v/>
      </c>
      <c r="C686">
        <f>Inputs!$B$3&gt;=100</f>
        <v/>
      </c>
      <c r="D686">
        <f>IF(Skills!C7=1,60+Inputs!$B$25+Inputs!$B$29,IF(Skills!C7=2,90+(Inputs!$B$26+1)+Inputs!$B$29,IF(Skills!C7=3,120+Inputs!$B$27+Inputs!$B$29,MAX(0,(Inputs!$B$3-100)*3)+Inputs!$B$28+Inputs!$B$29)))</f>
        <v/>
      </c>
      <c r="E686">
        <f>INDEX(FactorTable!$B$2:$Y$301, MATCH(ROUND(MIN(300,MAX(1,D686)),0), FactorTable!$A$2:$A$301,0), Skills!M7+1)</f>
        <v/>
      </c>
      <c r="F686">
        <f>IF(Skills!N7=TRUE,(Skills!L7/10)*(E686/1000),Skills!L7/10)+Skills!O7</f>
        <v/>
      </c>
      <c r="G686">
        <f>Skills!G7*IF(Skills!H7&gt;0,Skills!I7/Skills!H7,1)</f>
        <v/>
      </c>
      <c r="H686">
        <f>1-(1-Skills!J7/100)^Skills!K7</f>
        <v/>
      </c>
      <c r="I686" t="inlineStr">
        <is>
          <t>1</t>
        </is>
      </c>
      <c r="J686">
        <f>((Inputs!$B$6*(1+Inputs!$B$7/100))+(((Inputs!$B$12*(1+Inputs!$B$13/100))-(Inputs!$B$12*(1+Inputs!$B$13/100)))+0.25*(Inputs!$B$14-Inputs!$B$14))*(1+Inputs!$B$7/100))*(F686/100)</f>
        <v/>
      </c>
      <c r="K686">
        <f>J686*(1+((Inputs!$B$12*(1+Inputs!$B$13/100))*0.01+Inputs!$B$14*0.0025)/100)*(1+Inputs!$B$15/100)*(1+Inputs!$B$16/100)*(5000/(6000+Inputs!$B$42*(1-(Inputs!$B$19+0)/100)))*(1+(Inputs!$B$24+((C701=TRUE)*(F701-Calc!F22))+B710)/100)*(1+(IF(Skills!A7="HOOK_BOMBER",Inputs!$B$17+((C700=TRUE)*(F700-Calc!F21)),Inputs!$B$18+0))/100)*((1+(((C692=TRUE)*F692)+((C698=TRUE)*(F698-Calc!F19)))/100)*I686)</f>
        <v/>
      </c>
      <c r="L686">
        <f>K686*(MIN(Inputs!$B$22+((C699=TRUE)*(F699-Calc!F20)),Inputs!$B$23+0)/100+(Inputs!$B$23+0)/100)/2</f>
        <v/>
      </c>
      <c r="M686">
        <f>L686*(1+(Inputs!$B$10+0+B709)/100)</f>
        <v/>
      </c>
      <c r="N686">
        <f>L686*(1-MIN((Inputs!$B$9+((C695=TRUE)*(F695-Calc!F16))+B704),100)/100)+M686*(MIN((Inputs!$B$9+((C695=TRUE)*(F695-Calc!F16))+B704),100)/100)</f>
        <v/>
      </c>
      <c r="O686">
        <f>(1-Summary!$B$55)*T686+Summary!$B$55*V686</f>
        <v/>
      </c>
      <c r="P686">
        <f>IF(B714=0,0,O686/B714)</f>
        <v/>
      </c>
      <c r="Q686">
        <f>IFERROR(1/IF(Inputs!$B$38="pvp",15,MAX(0.1,Skills!D7-IF(Skills!E7=TRUE,Inputs!$B$32,0))),0)</f>
        <v/>
      </c>
      <c r="R686">
        <f>IF(AND(Inputs!$B$38&lt;&gt;"pvp",Inputs!$B$43&gt;0),IF(MAX(0,Inputs!$B$43-B711)&lt;=0,0,(INT(MAX(0,Inputs!$B$43-B711)/IF(Inputs!$B$38="pvp",15,MAX(0.1,Skills!D7-IF(Skills!E7=TRUE,Inputs!$B$32,0))))+1)),0)</f>
        <v/>
      </c>
      <c r="S686">
        <f>IFERROR(O686/N686,0)</f>
        <v/>
      </c>
      <c r="T686">
        <f>IF(C686,(H686*N686*IF(AND(Inputs!$B$38&lt;&gt;"pvp",Inputs!$B$43&gt;0),((Skills!G7*((R686-1)*IF(Skills!H7&gt;0,Skills!I7/Skills!H7,1)+IF(Skills!H7&gt;0,MIN(Skills!I7,MAX(0,MAX(0,Inputs!$B$43-B711)-((R686-1)*IF(Inputs!$B$38="pvp",15,MAX(0.1,Skills!D7-IF(Skills!E7=TRUE,Inputs!$B$32,0))))))/Skills!H7,1)))/Inputs!$B$43),G686*Q686))*IF(Inputs!$B$38="pvp",1,1+(Inputs!$B$20+0+Skills!P7)/100),0)</f>
        <v/>
      </c>
      <c r="V686">
        <f>IF(C686,(H686*N686*IF(AND(Inputs!$B$38&lt;&gt;"pvp",Inputs!$B$43&gt;0),((Skills!G7*((R686-1)*IF(Skills!H7&gt;0,Skills!I7/Skills!H7,1)+IF(Skills!H7&gt;0,MIN(Skills!I7,MAX(0,MAX(0,Inputs!$B$43-B711)-((R686-1)*IF(Inputs!$B$38="pvp",15,MAX(0.1,Skills!D7-IF(Skills!E7=TRUE,Inputs!$B$32,0))))))/Skills!H7,1)))/Inputs!$B$43),G686*Q686))*IF(Inputs!$B$38="pvp",1,(1+(Inputs!$B$21+Skills!Q7)/100)*(MIN(Skills!R7,Inputs!$B$37))),0)</f>
        <v/>
      </c>
    </row>
    <row r="687">
      <c r="A687">
        <f>Skills!A8</f>
        <v/>
      </c>
      <c r="B687">
        <f>Skills!B8</f>
        <v/>
      </c>
      <c r="C687">
        <f>Inputs!$B$3&gt;=110</f>
        <v/>
      </c>
      <c r="D687">
        <f>IF(Skills!C8=1,60+Inputs!$B$25+Inputs!$B$29,IF(Skills!C8=2,90+(Inputs!$B$26+1)+Inputs!$B$29,IF(Skills!C8=3,120+Inputs!$B$27+Inputs!$B$29,MAX(0,(Inputs!$B$3-100)*3)+Inputs!$B$28+Inputs!$B$29)))</f>
        <v/>
      </c>
      <c r="E687">
        <f>INDEX(FactorTable!$B$2:$Y$301, MATCH(ROUND(MIN(300,MAX(1,D687)),0), FactorTable!$A$2:$A$301,0), Skills!M8+1)</f>
        <v/>
      </c>
      <c r="F687">
        <f>IF(Skills!N8=TRUE,(Skills!L8/10)*(E687/1000),Skills!L8/10)+Skills!O8</f>
        <v/>
      </c>
      <c r="G687">
        <f>Skills!G8*IF(Skills!H8&gt;0,Skills!I8/Skills!H8,1)</f>
        <v/>
      </c>
      <c r="H687">
        <f>1-(1-Skills!J8/100)^Skills!K8</f>
        <v/>
      </c>
      <c r="I687" t="inlineStr">
        <is>
          <t>1</t>
        </is>
      </c>
      <c r="J687">
        <f>((Inputs!$B$6*(1+Inputs!$B$7/100))+(((Inputs!$B$12*(1+Inputs!$B$13/100))-(Inputs!$B$12*(1+Inputs!$B$13/100)))+0.25*(Inputs!$B$14-Inputs!$B$14))*(1+Inputs!$B$7/100))*(F687/100)</f>
        <v/>
      </c>
      <c r="K687">
        <f>J687*(1+((Inputs!$B$12*(1+Inputs!$B$13/100))*0.01+Inputs!$B$14*0.0025)/100)*(1+Inputs!$B$15/100)*(1+Inputs!$B$16/100)*(5000/(6000+Inputs!$B$42*(1-(Inputs!$B$19+0)/100)))*(1+(Inputs!$B$24+((C701=TRUE)*(F701-Calc!F22))+B710)/100)*(1+(IF(Skills!A8="HOOK_BOMBER",Inputs!$B$17+((C700=TRUE)*(F700-Calc!F21)),Inputs!$B$18+0))/100)*((1+(((C692=TRUE)*F692)+((C698=TRUE)*(F698-Calc!F19)))/100)*I687)</f>
        <v/>
      </c>
      <c r="L687">
        <f>K687*(MIN(Inputs!$B$22+((C699=TRUE)*(F699-Calc!F20)),Inputs!$B$23+0)/100+(Inputs!$B$23+0)/100)/2</f>
        <v/>
      </c>
      <c r="M687">
        <f>L687*(1+(Inputs!$B$10+0+B709)/100)</f>
        <v/>
      </c>
      <c r="N687">
        <f>L687*(1-MIN((Inputs!$B$9+((C695=TRUE)*(F695-Calc!F16))+B704),100)/100)+M687*(MIN((Inputs!$B$9+((C695=TRUE)*(F695-Calc!F16))+B704),100)/100)</f>
        <v/>
      </c>
      <c r="O687">
        <f>(1-Summary!$B$55)*T687+Summary!$B$55*V687</f>
        <v/>
      </c>
      <c r="P687">
        <f>IF(B714=0,0,O687/B714)</f>
        <v/>
      </c>
      <c r="Q687">
        <f>IFERROR(1/IF(Inputs!$B$38="pvp",15,MAX(0.1,Skills!D8-IF(Skills!E8=TRUE,Inputs!$B$32,0))),0)</f>
        <v/>
      </c>
      <c r="R687">
        <f>IF(AND(Inputs!$B$38&lt;&gt;"pvp",Inputs!$B$43&gt;0),IF(MAX(0,Inputs!$B$43-B711)&lt;=0,0,(INT(MAX(0,Inputs!$B$43-B711)/IF(Inputs!$B$38="pvp",15,MAX(0.1,Skills!D8-IF(Skills!E8=TRUE,Inputs!$B$32,0))))+1)),0)</f>
        <v/>
      </c>
      <c r="S687">
        <f>IFERROR(O687/N687,0)</f>
        <v/>
      </c>
      <c r="T687">
        <f>IF(C687,(H687*N687*IF(AND(Inputs!$B$38&lt;&gt;"pvp",Inputs!$B$43&gt;0),((Skills!G8*((R687-1)*IF(Skills!H8&gt;0,Skills!I8/Skills!H8,1)+IF(Skills!H8&gt;0,MIN(Skills!I8,MAX(0,MAX(0,Inputs!$B$43-B711)-((R687-1)*IF(Inputs!$B$38="pvp",15,MAX(0.1,Skills!D8-IF(Skills!E8=TRUE,Inputs!$B$32,0))))))/Skills!H8,1)))/Inputs!$B$43),G687*Q687))*IF(Inputs!$B$38="pvp",1,1+(Inputs!$B$20+0+Skills!P8)/100),0)</f>
        <v/>
      </c>
      <c r="V687">
        <f>IF(C687,(H687*N687*IF(AND(Inputs!$B$38&lt;&gt;"pvp",Inputs!$B$43&gt;0),((Skills!G8*((R687-1)*IF(Skills!H8&gt;0,Skills!I8/Skills!H8,1)+IF(Skills!H8&gt;0,MIN(Skills!I8,MAX(0,MAX(0,Inputs!$B$43-B711)-((R687-1)*IF(Inputs!$B$38="pvp",15,MAX(0.1,Skills!D8-IF(Skills!E8=TRUE,Inputs!$B$32,0))))))/Skills!H8,1)))/Inputs!$B$43),G687*Q687))*IF(Inputs!$B$38="pvp",1,(1+(Inputs!$B$21+Skills!Q8)/100)*(MIN(Skills!R8,Inputs!$B$37))),0)</f>
        <v/>
      </c>
    </row>
    <row r="688">
      <c r="A688">
        <f>Skills!A9</f>
        <v/>
      </c>
      <c r="B688">
        <f>Skills!B9</f>
        <v/>
      </c>
      <c r="C688">
        <f>Inputs!$B$3&gt;=110</f>
        <v/>
      </c>
      <c r="D688">
        <f>IF(Skills!C9=1,60+Inputs!$B$25+Inputs!$B$29,IF(Skills!C9=2,90+(Inputs!$B$26+1)+Inputs!$B$29,IF(Skills!C9=3,120+Inputs!$B$27+Inputs!$B$29,MAX(0,(Inputs!$B$3-100)*3)+Inputs!$B$28+Inputs!$B$29)))</f>
        <v/>
      </c>
      <c r="E688">
        <f>INDEX(FactorTable!$B$2:$Y$301, MATCH(ROUND(MIN(300,MAX(1,D688)),0), FactorTable!$A$2:$A$301,0), Skills!M9+1)</f>
        <v/>
      </c>
      <c r="F688">
        <f>IF(Skills!N9=TRUE,(Skills!L9/10)*(E688/1000),Skills!L9/10)+Skills!O9</f>
        <v/>
      </c>
      <c r="G688">
        <f>Skills!G9*IF(Skills!H9&gt;0,Skills!I9/Skills!H9,1)</f>
        <v/>
      </c>
      <c r="H688">
        <f>1-(1-Skills!J9/100)^Skills!K9</f>
        <v/>
      </c>
      <c r="I688" t="inlineStr">
        <is>
          <t>1</t>
        </is>
      </c>
      <c r="J688">
        <f>((Inputs!$B$6*(1+Inputs!$B$7/100))+(((Inputs!$B$12*(1+Inputs!$B$13/100))-(Inputs!$B$12*(1+Inputs!$B$13/100)))+0.25*(Inputs!$B$14-Inputs!$B$14))*(1+Inputs!$B$7/100))*(F688/100)</f>
        <v/>
      </c>
      <c r="K688">
        <f>J688*(1+((Inputs!$B$12*(1+Inputs!$B$13/100))*0.01+Inputs!$B$14*0.0025)/100)*(1+Inputs!$B$15/100)*(1+Inputs!$B$16/100)*(5000/(6000+Inputs!$B$42*(1-(Inputs!$B$19+0)/100)))*(1+(Inputs!$B$24+((C701=TRUE)*(F701-Calc!F22))+B710)/100)*(1+(IF(Skills!A9="HOOK_BOMBER",Inputs!$B$17+((C700=TRUE)*(F700-Calc!F21)),Inputs!$B$18+0))/100)*((1+(((C692=TRUE)*F692)+((C698=TRUE)*(F698-Calc!F19)))/100)*I688)</f>
        <v/>
      </c>
      <c r="L688">
        <f>K688*(MIN(Inputs!$B$22+((C699=TRUE)*(F699-Calc!F20)),Inputs!$B$23+0)/100+(Inputs!$B$23+0)/100)/2</f>
        <v/>
      </c>
      <c r="M688">
        <f>L688*(1+(Inputs!$B$10+0+B709)/100)</f>
        <v/>
      </c>
      <c r="N688">
        <f>L688*(1-MIN((Inputs!$B$9+((C695=TRUE)*(F695-Calc!F16))+B704),100)/100)+M688*(MIN((Inputs!$B$9+((C695=TRUE)*(F695-Calc!F16))+B704),100)/100)</f>
        <v/>
      </c>
      <c r="O688">
        <f>(1-Summary!$B$55)*T688+Summary!$B$55*V688</f>
        <v/>
      </c>
      <c r="P688">
        <f>IF(B714=0,0,O688/B714)</f>
        <v/>
      </c>
      <c r="Q688">
        <f>IFERROR(1/IF(Inputs!$B$38="pvp",15,MAX(0.1,Skills!D9-IF(Skills!E9=TRUE,Inputs!$B$32,0))),0)</f>
        <v/>
      </c>
      <c r="R688">
        <f>IF(AND(Inputs!$B$38&lt;&gt;"pvp",Inputs!$B$43&gt;0),IF(MAX(0,Inputs!$B$43-B711)&lt;=0,0,(INT(MAX(0,Inputs!$B$43-B711)/IF(Inputs!$B$38="pvp",15,MAX(0.1,Skills!D9-IF(Skills!E9=TRUE,Inputs!$B$32,0))))+1)),0)</f>
        <v/>
      </c>
      <c r="S688">
        <f>IFERROR(O688/N688,0)</f>
        <v/>
      </c>
      <c r="T688">
        <f>IF(C688,(H688*N688*IF(AND(Inputs!$B$38&lt;&gt;"pvp",Inputs!$B$43&gt;0),((Skills!G9*((R688-1)*IF(Skills!H9&gt;0,Skills!I9/Skills!H9,1)+IF(Skills!H9&gt;0,MIN(Skills!I9,MAX(0,MAX(0,Inputs!$B$43-B711)-((R688-1)*IF(Inputs!$B$38="pvp",15,MAX(0.1,Skills!D9-IF(Skills!E9=TRUE,Inputs!$B$32,0))))))/Skills!H9,1)))/Inputs!$B$43),G688*Q688))*IF(Inputs!$B$38="pvp",1,1+(Inputs!$B$20+0+Skills!P9)/100),0)</f>
        <v/>
      </c>
      <c r="V688">
        <f>IF(C688,(H688*N688*IF(AND(Inputs!$B$38&lt;&gt;"pvp",Inputs!$B$43&gt;0),((Skills!G9*((R688-1)*IF(Skills!H9&gt;0,Skills!I9/Skills!H9,1)+IF(Skills!H9&gt;0,MIN(Skills!I9,MAX(0,MAX(0,Inputs!$B$43-B711)-((R688-1)*IF(Inputs!$B$38="pvp",15,MAX(0.1,Skills!D9-IF(Skills!E9=TRUE,Inputs!$B$32,0))))))/Skills!H9,1)))/Inputs!$B$43),G688*Q688))*IF(Inputs!$B$38="pvp",1,(1+(Inputs!$B$21+Skills!Q9)/100)*(MIN(Skills!R9,Inputs!$B$37))),0)</f>
        <v/>
      </c>
    </row>
    <row r="689">
      <c r="A689">
        <f>Skills!A10</f>
        <v/>
      </c>
      <c r="B689">
        <f>Skills!B10</f>
        <v/>
      </c>
      <c r="C689">
        <f>Inputs!$B$3&gt;=103</f>
        <v/>
      </c>
      <c r="D689">
        <f>IF(Skills!C10=1,60+Inputs!$B$25+Inputs!$B$29,IF(Skills!C10=2,90+(Inputs!$B$26+1)+Inputs!$B$29,IF(Skills!C10=3,120+Inputs!$B$27+Inputs!$B$29,MAX(0,(Inputs!$B$3-100)*3)+Inputs!$B$28+Inputs!$B$29)))</f>
        <v/>
      </c>
      <c r="E689">
        <f>INDEX(FactorTable!$B$2:$Y$301, MATCH(ROUND(MIN(300,MAX(1,D689)),0), FactorTable!$A$2:$A$301,0), Skills!M10+1)</f>
        <v/>
      </c>
      <c r="F689">
        <f>IF(Skills!N10=TRUE,(Skills!L10/10)*(E689/1000),Skills!L10/10)+Skills!O10</f>
        <v/>
      </c>
      <c r="G689">
        <f>Skills!G10*IF(Skills!H10&gt;0,Skills!I10/Skills!H10,1)</f>
        <v/>
      </c>
      <c r="H689">
        <f>1-(1-Skills!J10/100)^Skills!K10</f>
        <v/>
      </c>
      <c r="I689" t="inlineStr">
        <is>
          <t>1</t>
        </is>
      </c>
      <c r="J689">
        <f>((Inputs!$B$6*(1+Inputs!$B$7/100))+(((Inputs!$B$12*(1+Inputs!$B$13/100))-(Inputs!$B$12*(1+Inputs!$B$13/100)))+0.25*(Inputs!$B$14-Inputs!$B$14))*(1+Inputs!$B$7/100))*(F689/100)</f>
        <v/>
      </c>
      <c r="K689">
        <f>J689*(1+((Inputs!$B$12*(1+Inputs!$B$13/100))*0.01+Inputs!$B$14*0.0025)/100)*(1+Inputs!$B$15/100)*(1+Inputs!$B$16/100)*(5000/(6000+Inputs!$B$42*(1-(Inputs!$B$19+0)/100)))*(1+(Inputs!$B$24+((C701=TRUE)*(F701-Calc!F22))+B710)/100)*(1+(IF(Skills!A10="HOOK_BOMBER",Inputs!$B$17+((C700=TRUE)*(F700-Calc!F21)),Inputs!$B$18+0))/100)*((1+(((C692=TRUE)*F692)+((C698=TRUE)*(F698-Calc!F19)))/100)*I689)</f>
        <v/>
      </c>
      <c r="L689">
        <f>K689*(MIN(Inputs!$B$22+((C699=TRUE)*(F699-Calc!F20)),Inputs!$B$23+0)/100+(Inputs!$B$23+0)/100)/2</f>
        <v/>
      </c>
      <c r="M689">
        <f>L689*(1+(Inputs!$B$10+0+B709)/100)</f>
        <v/>
      </c>
      <c r="N689">
        <f>L689*(1-MIN((Inputs!$B$9+((C695=TRUE)*(F695-Calc!F16))+B704),100)/100)+M689*(MIN((Inputs!$B$9+((C695=TRUE)*(F695-Calc!F16))+B704),100)/100)</f>
        <v/>
      </c>
      <c r="O689">
        <f>(1-Summary!$B$55)*T689+Summary!$B$55*V689</f>
        <v/>
      </c>
      <c r="P689">
        <f>IF(B714=0,0,O689/B714)</f>
        <v/>
      </c>
      <c r="Q689">
        <f>IFERROR(1/IF(Inputs!$B$38="pvp",15,MAX(0.1,Skills!D10-IF(Skills!E10=TRUE,Inputs!$B$32,0))),0)</f>
        <v/>
      </c>
      <c r="R689">
        <f>IF(AND(Inputs!$B$38&lt;&gt;"pvp",Inputs!$B$43&gt;0),IF(MAX(0,Inputs!$B$43-B711)&lt;=0,0,(INT(MAX(0,Inputs!$B$43-B711)/IF(Inputs!$B$38="pvp",15,MAX(0.1,Skills!D10-IF(Skills!E10=TRUE,Inputs!$B$32,0))))+1)),0)</f>
        <v/>
      </c>
      <c r="S689">
        <f>IFERROR(O689/N689,0)</f>
        <v/>
      </c>
      <c r="T689">
        <f>IF(C689,(H689*N689*IF(AND(Inputs!$B$38&lt;&gt;"pvp",Inputs!$B$43&gt;0),((Skills!G10*((R689-1)*IF(Skills!H10&gt;0,Skills!I10/Skills!H10,1)+IF(Skills!H10&gt;0,MIN(Skills!I10,MAX(0,MAX(0,Inputs!$B$43-B711)-((R689-1)*IF(Inputs!$B$38="pvp",15,MAX(0.1,Skills!D10-IF(Skills!E10=TRUE,Inputs!$B$32,0))))))/Skills!H10,1)))/Inputs!$B$43),G689*Q689))*IF(Inputs!$B$38="pvp",1,1+(Inputs!$B$20+0+Skills!P10)/100),0)</f>
        <v/>
      </c>
      <c r="V689">
        <f>IF(C689,(H689*N689*IF(AND(Inputs!$B$38&lt;&gt;"pvp",Inputs!$B$43&gt;0),((Skills!G10*((R689-1)*IF(Skills!H10&gt;0,Skills!I10/Skills!H10,1)+IF(Skills!H10&gt;0,MIN(Skills!I10,MAX(0,MAX(0,Inputs!$B$43-B711)-((R689-1)*IF(Inputs!$B$38="pvp",15,MAX(0.1,Skills!D10-IF(Skills!E10=TRUE,Inputs!$B$32,0))))))/Skills!H10,1)))/Inputs!$B$43),G689*Q689))*IF(Inputs!$B$38="pvp",1,(1+(Inputs!$B$21+Skills!Q10)/100)*(MIN(Skills!R10,Inputs!$B$37))),0)</f>
        <v/>
      </c>
    </row>
    <row r="690">
      <c r="A690">
        <f>Skills!A11</f>
        <v/>
      </c>
      <c r="B690">
        <f>Skills!B11</f>
        <v/>
      </c>
      <c r="C690">
        <f>Inputs!$B$3&gt;=113</f>
        <v/>
      </c>
      <c r="D690">
        <f>IF(Skills!C11=1,60+Inputs!$B$25+Inputs!$B$29,IF(Skills!C11=2,90+(Inputs!$B$26+1)+Inputs!$B$29,IF(Skills!C11=3,120+Inputs!$B$27+Inputs!$B$29,MAX(0,(Inputs!$B$3-100)*3)+Inputs!$B$28+Inputs!$B$29)))</f>
        <v/>
      </c>
      <c r="E690">
        <f>INDEX(FactorTable!$B$2:$Y$301, MATCH(ROUND(MIN(300,MAX(1,D690)),0), FactorTable!$A$2:$A$301,0), Skills!M11+1)</f>
        <v/>
      </c>
      <c r="F690">
        <f>IF(Skills!N11=TRUE,(Skills!L11/10)*(E690/1000),Skills!L11/10)+Skills!O11</f>
        <v/>
      </c>
      <c r="G690">
        <f>Skills!G11*IF(Skills!H11&gt;0,Skills!I11/Skills!H11,1)</f>
        <v/>
      </c>
      <c r="H690">
        <f>1-(1-Skills!J11/100)^Skills!K11</f>
        <v/>
      </c>
      <c r="I690" t="inlineStr">
        <is>
          <t>1</t>
        </is>
      </c>
      <c r="J690">
        <f>((Inputs!$B$6*(1+Inputs!$B$7/100))+(((Inputs!$B$12*(1+Inputs!$B$13/100))-(Inputs!$B$12*(1+Inputs!$B$13/100)))+0.25*(Inputs!$B$14-Inputs!$B$14))*(1+Inputs!$B$7/100))*(F690/100)</f>
        <v/>
      </c>
      <c r="K690">
        <f>J690*(1+((Inputs!$B$12*(1+Inputs!$B$13/100))*0.01+Inputs!$B$14*0.0025)/100)*(1+Inputs!$B$15/100)*(1+Inputs!$B$16/100)*(5000/(6000+Inputs!$B$42*(1-(Inputs!$B$19+0)/100)))*(1+(Inputs!$B$24+((C701=TRUE)*(F701-Calc!F22))+B710)/100)*(1+(IF(Skills!A11="HOOK_BOMBER",Inputs!$B$17+((C700=TRUE)*(F700-Calc!F21)),Inputs!$B$18+0))/100)*((1+(((C692=TRUE)*F692)+((C698=TRUE)*(F698-Calc!F19)))/100)*I690)</f>
        <v/>
      </c>
      <c r="L690">
        <f>K690*(MIN(Inputs!$B$22+((C699=TRUE)*(F699-Calc!F20)),Inputs!$B$23+0)/100+(Inputs!$B$23+0)/100)/2</f>
        <v/>
      </c>
      <c r="M690">
        <f>L690*(1+(Inputs!$B$10+0+B709)/100)</f>
        <v/>
      </c>
      <c r="N690">
        <f>L690*(1-MIN((Inputs!$B$9+((C695=TRUE)*(F695-Calc!F16))+B704),100)/100)+M690*(MIN((Inputs!$B$9+((C695=TRUE)*(F695-Calc!F16))+B704),100)/100)</f>
        <v/>
      </c>
      <c r="O690">
        <f>(1-Summary!$B$55)*T690+Summary!$B$55*V690</f>
        <v/>
      </c>
      <c r="P690">
        <f>IF(B714=0,0,O690/B714)</f>
        <v/>
      </c>
      <c r="Q690">
        <f>IFERROR(1/IF(Inputs!$B$38="pvp",15,MAX(0.1,Skills!D11-IF(Skills!E11=TRUE,Inputs!$B$32,0))),0)</f>
        <v/>
      </c>
      <c r="R690">
        <f>IF(AND(Inputs!$B$38&lt;&gt;"pvp",Inputs!$B$43&gt;0),IF(MAX(0,Inputs!$B$43-B711)&lt;=0,0,(INT(MAX(0,Inputs!$B$43-B711)/IF(Inputs!$B$38="pvp",15,MAX(0.1,Skills!D11-IF(Skills!E11=TRUE,Inputs!$B$32,0))))+1)),0)</f>
        <v/>
      </c>
      <c r="S690">
        <f>IFERROR(O690/N690,0)</f>
        <v/>
      </c>
      <c r="T690">
        <f>IF(C690,(H690*N690*IF(AND(Inputs!$B$38&lt;&gt;"pvp",Inputs!$B$43&gt;0),((Skills!G11*((R690-1)*IF(Skills!H11&gt;0,Skills!I11/Skills!H11,1)+IF(Skills!H11&gt;0,MIN(Skills!I11,MAX(0,MAX(0,Inputs!$B$43-B711)-((R690-1)*IF(Inputs!$B$38="pvp",15,MAX(0.1,Skills!D11-IF(Skills!E11=TRUE,Inputs!$B$32,0))))))/Skills!H11,1)))/Inputs!$B$43),G690*Q690))*IF(Inputs!$B$38="pvp",1,1+(Inputs!$B$20+0+Skills!P11)/100),0)</f>
        <v/>
      </c>
      <c r="V690">
        <f>IF(C690,(H690*N690*IF(AND(Inputs!$B$38&lt;&gt;"pvp",Inputs!$B$43&gt;0),((Skills!G11*((R690-1)*IF(Skills!H11&gt;0,Skills!I11/Skills!H11,1)+IF(Skills!H11&gt;0,MIN(Skills!I11,MAX(0,MAX(0,Inputs!$B$43-B711)-((R690-1)*IF(Inputs!$B$38="pvp",15,MAX(0.1,Skills!D11-IF(Skills!E11=TRUE,Inputs!$B$32,0))))))/Skills!H11,1)))/Inputs!$B$43),G690*Q690))*IF(Inputs!$B$38="pvp",1,(1+(Inputs!$B$21+Skills!Q11)/100)*(MIN(Skills!R11,Inputs!$B$37))),0)</f>
        <v/>
      </c>
    </row>
    <row r="691">
      <c r="A691">
        <f>Skills!A12</f>
        <v/>
      </c>
      <c r="B691">
        <f>Skills!B12</f>
        <v/>
      </c>
      <c r="C691">
        <f>Inputs!$B$3&gt;=100</f>
        <v/>
      </c>
      <c r="D691">
        <f>IF(Skills!C12=1,60+Inputs!$B$25+Inputs!$B$29,IF(Skills!C12=2,90+(Inputs!$B$26+1)+Inputs!$B$29,IF(Skills!C12=3,120+Inputs!$B$27+Inputs!$B$29,MAX(0,(Inputs!$B$3-100)*3)+Inputs!$B$28+Inputs!$B$29)))</f>
        <v/>
      </c>
      <c r="E691">
        <f>INDEX(FactorTable!$B$2:$Y$301, MATCH(ROUND(MIN(300,MAX(1,D691)),0), FactorTable!$A$2:$A$301,0), Skills!M12+1)</f>
        <v/>
      </c>
      <c r="F691">
        <f>IF(Skills!N12=TRUE,(Skills!L12/10)*(E691/1000),Skills!L12/10)+Skills!O12</f>
        <v/>
      </c>
      <c r="G691" t="inlineStr"/>
      <c r="H691" t="inlineStr"/>
      <c r="I691" t="inlineStr">
        <is>
          <t>1</t>
        </is>
      </c>
      <c r="J691" t="inlineStr"/>
      <c r="K691" t="inlineStr"/>
      <c r="L691" t="inlineStr"/>
      <c r="M691" t="inlineStr"/>
      <c r="N691" t="inlineStr"/>
      <c r="O691" t="inlineStr"/>
      <c r="P691" t="inlineStr"/>
      <c r="Q691" t="inlineStr"/>
      <c r="R691" t="inlineStr"/>
      <c r="S691" t="inlineStr"/>
      <c r="T691" t="inlineStr"/>
      <c r="V691" t="inlineStr"/>
    </row>
    <row r="692">
      <c r="A692">
        <f>Skills!A13</f>
        <v/>
      </c>
      <c r="B692">
        <f>Skills!B13</f>
        <v/>
      </c>
      <c r="C692">
        <f>Inputs!$B$3&gt;=66</f>
        <v/>
      </c>
      <c r="D692">
        <f>IF(Skills!C13=1,60+Inputs!$B$25+Inputs!$B$29,IF(Skills!C13=2,90+(Inputs!$B$26+1)+Inputs!$B$29,IF(Skills!C13=3,120+Inputs!$B$27+Inputs!$B$29,MAX(0,(Inputs!$B$3-100)*3)+Inputs!$B$28+Inputs!$B$29)))</f>
        <v/>
      </c>
      <c r="E692">
        <f>INDEX(FactorTable!$B$2:$Y$301, MATCH(ROUND(MIN(300,MAX(1,D692)),0), FactorTable!$A$2:$A$301,0), Skills!M13+1)</f>
        <v/>
      </c>
      <c r="F692">
        <f>IF(Skills!N13=TRUE,(Skills!L13/10)*(E692/1000),Skills!L13/10)+Skills!O13</f>
        <v/>
      </c>
      <c r="G692">
        <f>Skills!G13*IF(Skills!H13&gt;0,Skills!I13/Skills!H13,1)</f>
        <v/>
      </c>
      <c r="H692">
        <f>1-(1-Skills!J13/100)^Skills!K13</f>
        <v/>
      </c>
      <c r="I692" t="inlineStr">
        <is>
          <t>1</t>
        </is>
      </c>
      <c r="J692" t="inlineStr"/>
      <c r="K692" t="inlineStr"/>
      <c r="L692" t="inlineStr"/>
      <c r="M692" t="inlineStr"/>
      <c r="N692" t="inlineStr"/>
      <c r="O692">
        <f>(1-Summary!$B$55)*T692+Summary!$B$55*V692</f>
        <v/>
      </c>
      <c r="P692">
        <f>IF(B714=0,0,O692/B714)</f>
        <v/>
      </c>
      <c r="Q692" t="n">
        <v>0</v>
      </c>
      <c r="R692" t="n">
        <v>0</v>
      </c>
      <c r="S692">
        <f>IFERROR(O692/N692,0)</f>
        <v/>
      </c>
      <c r="T692" t="n">
        <v>0</v>
      </c>
      <c r="V692" t="n">
        <v>0</v>
      </c>
    </row>
    <row r="693">
      <c r="A693">
        <f>Skills!A14</f>
        <v/>
      </c>
      <c r="B693">
        <f>Skills!B14</f>
        <v/>
      </c>
      <c r="C693">
        <f>Inputs!$B$3&gt;=107</f>
        <v/>
      </c>
      <c r="D693">
        <f>IF(Skills!C14=1,60+Inputs!$B$25+Inputs!$B$29,IF(Skills!C14=2,90+(Inputs!$B$26+1)+Inputs!$B$29,IF(Skills!C14=3,120+Inputs!$B$27+Inputs!$B$29,MAX(0,(Inputs!$B$3-100)*3)+Inputs!$B$28+Inputs!$B$29)))</f>
        <v/>
      </c>
      <c r="E693">
        <f>INDEX(FactorTable!$B$2:$Y$301, MATCH(ROUND(MIN(300,MAX(1,D693)),0), FactorTable!$A$2:$A$301,0), Skills!M14+1)</f>
        <v/>
      </c>
      <c r="F693">
        <f>IF(Skills!N14=TRUE,(Skills!L14/10)*(E693/1000),Skills!L14/10)+Skills!O14</f>
        <v/>
      </c>
      <c r="G693">
        <f>Skills!G14*IF(Skills!H14&gt;0,Skills!I14/Skills!H14,1)</f>
        <v/>
      </c>
      <c r="H693">
        <f>1-(1-Skills!J14/100)^Skills!K14</f>
        <v/>
      </c>
      <c r="I693" t="inlineStr">
        <is>
          <t>1</t>
        </is>
      </c>
      <c r="J693" t="inlineStr"/>
      <c r="K693" t="inlineStr"/>
      <c r="L693" t="inlineStr"/>
      <c r="M693" t="inlineStr"/>
      <c r="N693" t="inlineStr"/>
      <c r="O693">
        <f>(1-Summary!$B$55)*T693+Summary!$B$55*V693</f>
        <v/>
      </c>
      <c r="P693">
        <f>IF(B714=0,0,O693/B714)</f>
        <v/>
      </c>
      <c r="Q693" t="n">
        <v>0</v>
      </c>
      <c r="R693" t="n">
        <v>0</v>
      </c>
      <c r="S693">
        <f>IFERROR(O693/N693,0)</f>
        <v/>
      </c>
      <c r="T693" t="n">
        <v>0</v>
      </c>
      <c r="V693" t="n">
        <v>0</v>
      </c>
    </row>
    <row r="694">
      <c r="A694">
        <f>Skills!A15</f>
        <v/>
      </c>
      <c r="B694">
        <f>Skills!B15</f>
        <v/>
      </c>
      <c r="C694">
        <f>Inputs!$B$3&gt;=115</f>
        <v/>
      </c>
      <c r="D694">
        <f>IF(Skills!C15=1,60+Inputs!$B$25+Inputs!$B$29,IF(Skills!C15=2,90+(Inputs!$B$26+1)+Inputs!$B$29,IF(Skills!C15=3,120+Inputs!$B$27+Inputs!$B$29,MAX(0,(Inputs!$B$3-100)*3)+Inputs!$B$28+Inputs!$B$29)))</f>
        <v/>
      </c>
      <c r="E694">
        <f>INDEX(FactorTable!$B$2:$Y$301, MATCH(ROUND(MIN(300,MAX(1,D694)),0), FactorTable!$A$2:$A$301,0), Skills!M15+1)</f>
        <v/>
      </c>
      <c r="F694">
        <f>IF(Skills!N15=TRUE,(Skills!L15/10)*(E694/1000),Skills!L15/10)+Skills!O15</f>
        <v/>
      </c>
      <c r="G694">
        <f>Skills!G15*IF(Skills!H15&gt;0,Skills!I15/Skills!H15,1)</f>
        <v/>
      </c>
      <c r="H694">
        <f>1-(1-Skills!J15/100)^Skills!K15</f>
        <v/>
      </c>
      <c r="I694" t="inlineStr">
        <is>
          <t>1</t>
        </is>
      </c>
      <c r="J694" t="inlineStr"/>
      <c r="K694" t="inlineStr"/>
      <c r="L694" t="inlineStr"/>
      <c r="M694" t="inlineStr"/>
      <c r="N694" t="inlineStr"/>
      <c r="O694">
        <f>(1-Summary!$B$55)*T694+Summary!$B$55*V694</f>
        <v/>
      </c>
      <c r="P694">
        <f>IF(B714=0,0,O694/B714)</f>
        <v/>
      </c>
      <c r="Q694" t="n">
        <v>0</v>
      </c>
      <c r="R694" t="n">
        <v>0</v>
      </c>
      <c r="S694">
        <f>IFERROR(O694/N694,0)</f>
        <v/>
      </c>
      <c r="T694" t="n">
        <v>0</v>
      </c>
      <c r="V694" t="n">
        <v>0</v>
      </c>
    </row>
    <row r="695">
      <c r="A695">
        <f>Skills!A16</f>
        <v/>
      </c>
      <c r="B695">
        <f>Skills!B16</f>
        <v/>
      </c>
      <c r="C695">
        <f>Inputs!$B$3&gt;=15</f>
        <v/>
      </c>
      <c r="D695">
        <f>IF(Skills!C16=1,60+Inputs!$B$25+Inputs!$B$29,IF(Skills!C16=2,90+(Inputs!$B$26+1)+Inputs!$B$29,IF(Skills!C16=3,120+Inputs!$B$27+Inputs!$B$29,MAX(0,(Inputs!$B$3-100)*3)+Inputs!$B$28+Inputs!$B$29)))</f>
        <v/>
      </c>
      <c r="E695">
        <f>INDEX(FactorTable!$B$2:$Y$301, MATCH(ROUND(MIN(300,MAX(1,D695)),0), FactorTable!$A$2:$A$301,0), Skills!M16+1)</f>
        <v/>
      </c>
      <c r="F695">
        <f>IF(Skills!N16=TRUE,(Skills!L16/10)*(E695/1000),Skills!L16/10)+Skills!O16</f>
        <v/>
      </c>
      <c r="G695">
        <f>Skills!G16*IF(Skills!H16&gt;0,Skills!I16/Skills!H16,1)</f>
        <v/>
      </c>
      <c r="H695">
        <f>1-(1-Skills!J16/100)^Skills!K16</f>
        <v/>
      </c>
      <c r="I695" t="inlineStr">
        <is>
          <t>1</t>
        </is>
      </c>
      <c r="J695" t="inlineStr"/>
      <c r="K695" t="inlineStr"/>
      <c r="L695" t="inlineStr"/>
      <c r="M695" t="inlineStr"/>
      <c r="N695" t="inlineStr"/>
      <c r="O695">
        <f>(1-Summary!$B$55)*T695+Summary!$B$55*V695</f>
        <v/>
      </c>
      <c r="P695">
        <f>IF(B714=0,0,O695/B714)</f>
        <v/>
      </c>
      <c r="Q695" t="n">
        <v>0</v>
      </c>
      <c r="R695" t="n">
        <v>0</v>
      </c>
      <c r="S695">
        <f>IFERROR(O695/N695,0)</f>
        <v/>
      </c>
      <c r="T695" t="n">
        <v>0</v>
      </c>
      <c r="V695" t="n">
        <v>0</v>
      </c>
    </row>
    <row r="696">
      <c r="A696">
        <f>Skills!A17</f>
        <v/>
      </c>
      <c r="B696">
        <f>Skills!B17</f>
        <v/>
      </c>
      <c r="C696">
        <f>Inputs!$B$3&gt;=10</f>
        <v/>
      </c>
      <c r="D696">
        <f>IF(Skills!C17=1,60+Inputs!$B$25+Inputs!$B$29,IF(Skills!C17=2,90+(Inputs!$B$26+1)+Inputs!$B$29,IF(Skills!C17=3,120+Inputs!$B$27+Inputs!$B$29,MAX(0,(Inputs!$B$3-100)*3)+Inputs!$B$28+Inputs!$B$29)))</f>
        <v/>
      </c>
      <c r="E696">
        <f>INDEX(FactorTable!$B$2:$Y$301, MATCH(ROUND(MIN(300,MAX(1,D696)),0), FactorTable!$A$2:$A$301,0), Skills!M17+1)</f>
        <v/>
      </c>
      <c r="F696">
        <f>IF(Skills!N17=TRUE,(Skills!L17/10)*(E696/1000),Skills!L17/10)+Skills!O17</f>
        <v/>
      </c>
      <c r="G696">
        <f>Skills!G17*IF(Skills!H17&gt;0,Skills!I17/Skills!H17,1)</f>
        <v/>
      </c>
      <c r="H696">
        <f>1-(1-Skills!J17/100)^Skills!K17</f>
        <v/>
      </c>
      <c r="I696" t="inlineStr">
        <is>
          <t>1</t>
        </is>
      </c>
      <c r="J696" t="inlineStr"/>
      <c r="K696" t="inlineStr"/>
      <c r="L696" t="inlineStr"/>
      <c r="M696" t="inlineStr"/>
      <c r="N696" t="inlineStr"/>
      <c r="O696">
        <f>(1-Summary!$B$55)*T696+Summary!$B$55*V696</f>
        <v/>
      </c>
      <c r="P696">
        <f>IF(B714=0,0,O696/B714)</f>
        <v/>
      </c>
      <c r="Q696" t="n">
        <v>0</v>
      </c>
      <c r="R696" t="n">
        <v>0</v>
      </c>
      <c r="S696">
        <f>IFERROR(O696/N696,0)</f>
        <v/>
      </c>
      <c r="T696" t="n">
        <v>0</v>
      </c>
      <c r="V696" t="n">
        <v>0</v>
      </c>
    </row>
    <row r="697">
      <c r="A697">
        <f>Skills!A18</f>
        <v/>
      </c>
      <c r="B697">
        <f>Skills!B18</f>
        <v/>
      </c>
      <c r="C697">
        <f>Inputs!$B$3&gt;=33</f>
        <v/>
      </c>
      <c r="D697">
        <f>IF(Skills!C18=1,60+Inputs!$B$25+Inputs!$B$29,IF(Skills!C18=2,90+(Inputs!$B$26+1)+Inputs!$B$29,IF(Skills!C18=3,120+Inputs!$B$27+Inputs!$B$29,MAX(0,(Inputs!$B$3-100)*3)+Inputs!$B$28+Inputs!$B$29)))</f>
        <v/>
      </c>
      <c r="E697">
        <f>INDEX(FactorTable!$B$2:$Y$301, MATCH(ROUND(MIN(300,MAX(1,D697)),0), FactorTable!$A$2:$A$301,0), Skills!M18+1)</f>
        <v/>
      </c>
      <c r="F697">
        <f>IF(Skills!N18=TRUE,(Skills!L18/10)*(E697/1000),Skills!L18/10)+Skills!O18</f>
        <v/>
      </c>
      <c r="G697">
        <f>Skills!G18*IF(Skills!H18&gt;0,Skills!I18/Skills!H18,1)</f>
        <v/>
      </c>
      <c r="H697">
        <f>1-(1-Skills!J18/100)^Skills!K18</f>
        <v/>
      </c>
      <c r="I697" t="inlineStr">
        <is>
          <t>1</t>
        </is>
      </c>
      <c r="J697" t="inlineStr"/>
      <c r="K697" t="inlineStr"/>
      <c r="L697" t="inlineStr"/>
      <c r="M697" t="inlineStr"/>
      <c r="N697" t="inlineStr"/>
      <c r="O697">
        <f>(1-Summary!$B$55)*T697+Summary!$B$55*V697</f>
        <v/>
      </c>
      <c r="P697">
        <f>IF(B714=0,0,O697/B714)</f>
        <v/>
      </c>
      <c r="Q697" t="n">
        <v>0</v>
      </c>
      <c r="R697" t="n">
        <v>0</v>
      </c>
      <c r="S697">
        <f>IFERROR(O697/N697,0)</f>
        <v/>
      </c>
      <c r="T697" t="n">
        <v>0</v>
      </c>
      <c r="V697" t="n">
        <v>0</v>
      </c>
    </row>
    <row r="698">
      <c r="A698">
        <f>Skills!A19</f>
        <v/>
      </c>
      <c r="B698">
        <f>Skills!B19</f>
        <v/>
      </c>
      <c r="C698">
        <f>Inputs!$B$3&gt;=40</f>
        <v/>
      </c>
      <c r="D698">
        <f>IF(Skills!C19=1,60+Inputs!$B$25+Inputs!$B$29,IF(Skills!C19=2,90+(Inputs!$B$26+1)+Inputs!$B$29,IF(Skills!C19=3,120+Inputs!$B$27+Inputs!$B$29,MAX(0,(Inputs!$B$3-100)*3)+Inputs!$B$28+Inputs!$B$29)))</f>
        <v/>
      </c>
      <c r="E698">
        <f>INDEX(FactorTable!$B$2:$Y$301, MATCH(ROUND(MIN(300,MAX(1,D698)),0), FactorTable!$A$2:$A$301,0), Skills!M19+1)</f>
        <v/>
      </c>
      <c r="F698">
        <f>IF(Skills!N19=TRUE,(Skills!L19/10)*(E698/1000),Skills!L19/10)+Skills!O19</f>
        <v/>
      </c>
      <c r="G698">
        <f>Skills!G19*IF(Skills!H19&gt;0,Skills!I19/Skills!H19,1)</f>
        <v/>
      </c>
      <c r="H698">
        <f>1-(1-Skills!J19/100)^Skills!K19</f>
        <v/>
      </c>
      <c r="I698" t="inlineStr">
        <is>
          <t>1</t>
        </is>
      </c>
      <c r="J698" t="inlineStr"/>
      <c r="K698" t="inlineStr"/>
      <c r="L698" t="inlineStr"/>
      <c r="M698" t="inlineStr"/>
      <c r="N698" t="inlineStr"/>
      <c r="O698">
        <f>(1-Summary!$B$55)*T698+Summary!$B$55*V698</f>
        <v/>
      </c>
      <c r="P698">
        <f>IF(B714=0,0,O698/B714)</f>
        <v/>
      </c>
      <c r="Q698" t="n">
        <v>0</v>
      </c>
      <c r="R698" t="n">
        <v>0</v>
      </c>
      <c r="S698">
        <f>IFERROR(O698/N698,0)</f>
        <v/>
      </c>
      <c r="T698" t="n">
        <v>0</v>
      </c>
      <c r="V698" t="n">
        <v>0</v>
      </c>
    </row>
    <row r="699">
      <c r="A699">
        <f>Skills!A20</f>
        <v/>
      </c>
      <c r="B699">
        <f>Skills!B20</f>
        <v/>
      </c>
      <c r="C699">
        <f>Inputs!$B$3&gt;=43</f>
        <v/>
      </c>
      <c r="D699">
        <f>IF(Skills!C20=1,60+Inputs!$B$25+Inputs!$B$29,IF(Skills!C20=2,90+(Inputs!$B$26+1)+Inputs!$B$29,IF(Skills!C20=3,120+Inputs!$B$27+Inputs!$B$29,MAX(0,(Inputs!$B$3-100)*3)+Inputs!$B$28+Inputs!$B$29)))</f>
        <v/>
      </c>
      <c r="E699">
        <f>INDEX(FactorTable!$B$2:$Y$301, MATCH(ROUND(MIN(300,MAX(1,D699)),0), FactorTable!$A$2:$A$301,0), Skills!M20+1)</f>
        <v/>
      </c>
      <c r="F699">
        <f>IF(Skills!N20=TRUE,(Skills!L20/10)*(E699/1000),Skills!L20/10)+Skills!O20</f>
        <v/>
      </c>
      <c r="G699">
        <f>Skills!G20*IF(Skills!H20&gt;0,Skills!I20/Skills!H20,1)</f>
        <v/>
      </c>
      <c r="H699">
        <f>1-(1-Skills!J20/100)^Skills!K20</f>
        <v/>
      </c>
      <c r="I699" t="inlineStr">
        <is>
          <t>1</t>
        </is>
      </c>
      <c r="J699" t="inlineStr"/>
      <c r="K699" t="inlineStr"/>
      <c r="L699" t="inlineStr"/>
      <c r="M699" t="inlineStr"/>
      <c r="N699" t="inlineStr"/>
      <c r="O699">
        <f>(1-Summary!$B$55)*T699+Summary!$B$55*V699</f>
        <v/>
      </c>
      <c r="P699">
        <f>IF(B714=0,0,O699/B714)</f>
        <v/>
      </c>
      <c r="Q699" t="n">
        <v>0</v>
      </c>
      <c r="R699" t="n">
        <v>0</v>
      </c>
      <c r="S699">
        <f>IFERROR(O699/N699,0)</f>
        <v/>
      </c>
      <c r="T699" t="n">
        <v>0</v>
      </c>
      <c r="V699" t="n">
        <v>0</v>
      </c>
    </row>
    <row r="700">
      <c r="A700">
        <f>Skills!A21</f>
        <v/>
      </c>
      <c r="B700">
        <f>Skills!B21</f>
        <v/>
      </c>
      <c r="C700">
        <f>Inputs!$B$3&gt;=38</f>
        <v/>
      </c>
      <c r="D700">
        <f>IF(Skills!C21=1,60+Inputs!$B$25+Inputs!$B$29,IF(Skills!C21=2,90+(Inputs!$B$26+1)+Inputs!$B$29,IF(Skills!C21=3,120+Inputs!$B$27+Inputs!$B$29,MAX(0,(Inputs!$B$3-100)*3)+Inputs!$B$28+Inputs!$B$29)))</f>
        <v/>
      </c>
      <c r="E700">
        <f>INDEX(FactorTable!$B$2:$Y$301, MATCH(ROUND(MIN(300,MAX(1,D700)),0), FactorTable!$A$2:$A$301,0), Skills!M21+1)</f>
        <v/>
      </c>
      <c r="F700">
        <f>IF(Skills!N21=TRUE,(Skills!L21/10)*(E700/1000),Skills!L21/10)+Skills!O21</f>
        <v/>
      </c>
      <c r="G700">
        <f>Skills!G21*IF(Skills!H21&gt;0,Skills!I21/Skills!H21,1)</f>
        <v/>
      </c>
      <c r="H700">
        <f>1-(1-Skills!J21/100)^Skills!K21</f>
        <v/>
      </c>
      <c r="I700" t="inlineStr">
        <is>
          <t>1</t>
        </is>
      </c>
      <c r="J700" t="inlineStr"/>
      <c r="K700" t="inlineStr"/>
      <c r="L700" t="inlineStr"/>
      <c r="M700" t="inlineStr"/>
      <c r="N700" t="inlineStr"/>
      <c r="O700">
        <f>(1-Summary!$B$55)*T700+Summary!$B$55*V700</f>
        <v/>
      </c>
      <c r="P700">
        <f>IF(B714=0,0,O700/B714)</f>
        <v/>
      </c>
      <c r="Q700" t="n">
        <v>0</v>
      </c>
      <c r="R700" t="n">
        <v>0</v>
      </c>
      <c r="S700">
        <f>IFERROR(O700/N700,0)</f>
        <v/>
      </c>
      <c r="T700" t="n">
        <v>0</v>
      </c>
      <c r="V700" t="n">
        <v>0</v>
      </c>
    </row>
    <row r="701">
      <c r="A701">
        <f>Skills!A22</f>
        <v/>
      </c>
      <c r="B701">
        <f>Skills!B22</f>
        <v/>
      </c>
      <c r="C701">
        <f>Inputs!$B$3&gt;=75</f>
        <v/>
      </c>
      <c r="D701">
        <f>IF(Skills!C22=1,60+Inputs!$B$25+Inputs!$B$29,IF(Skills!C22=2,90+(Inputs!$B$26+1)+Inputs!$B$29,IF(Skills!C22=3,120+Inputs!$B$27+Inputs!$B$29,MAX(0,(Inputs!$B$3-100)*3)+Inputs!$B$28+Inputs!$B$29)))</f>
        <v/>
      </c>
      <c r="E701">
        <f>INDEX(FactorTable!$B$2:$Y$301, MATCH(ROUND(MIN(300,MAX(1,D701)),0), FactorTable!$A$2:$A$301,0), Skills!M22+1)</f>
        <v/>
      </c>
      <c r="F701">
        <f>IF(Skills!N22=TRUE,(Skills!L22/10)*(E701/1000),Skills!L22/10)+Skills!O22</f>
        <v/>
      </c>
      <c r="G701">
        <f>Skills!G22*IF(Skills!H22&gt;0,Skills!I22/Skills!H22,1)</f>
        <v/>
      </c>
      <c r="H701">
        <f>1-(1-Skills!J22/100)^Skills!K22</f>
        <v/>
      </c>
      <c r="I701" t="inlineStr">
        <is>
          <t>1</t>
        </is>
      </c>
      <c r="J701" t="inlineStr"/>
      <c r="K701" t="inlineStr"/>
      <c r="L701" t="inlineStr"/>
      <c r="M701" t="inlineStr"/>
      <c r="N701" t="inlineStr"/>
      <c r="O701">
        <f>(1-Summary!$B$55)*T701+Summary!$B$55*V701</f>
        <v/>
      </c>
      <c r="P701">
        <f>IF(B714=0,0,O701/B714)</f>
        <v/>
      </c>
      <c r="Q701" t="n">
        <v>0</v>
      </c>
      <c r="R701" t="n">
        <v>0</v>
      </c>
      <c r="S701">
        <f>IFERROR(O701/N701,0)</f>
        <v/>
      </c>
      <c r="T701" t="n">
        <v>0</v>
      </c>
      <c r="V701" t="n">
        <v>0</v>
      </c>
    </row>
    <row r="703">
      <c r="A703" t="inlineStr">
        <is>
          <t>Attack% Bucket Multiplier</t>
        </is>
      </c>
      <c r="B703">
        <f>(1+(((C692=TRUE)*F692)+((C698=TRUE)*(F698-Calc!F19)))/100)</f>
        <v/>
      </c>
    </row>
    <row r="704">
      <c r="A704" t="inlineStr">
        <is>
          <t>Global Crit Rate Bonus %</t>
        </is>
      </c>
      <c r="B704" t="n">
        <v>0</v>
      </c>
    </row>
    <row r="705">
      <c r="A705" t="inlineStr">
        <is>
          <t>Attack Speed Buff Bonus % (unused)</t>
        </is>
      </c>
      <c r="B705" t="n">
        <v>0</v>
      </c>
    </row>
    <row r="706">
      <c r="A706" t="inlineStr">
        <is>
          <t>Actions Per Second</t>
        </is>
      </c>
      <c r="B706">
        <f>1+MIN(150,150*(1-(1-(Inputs!$B$11+((C696=TRUE)*(F696-Calc!F17))+((C697=TRUE)*(F697-Calc!F18)))/150)*(1-B705/150)))/100</f>
        <v/>
      </c>
    </row>
    <row r="707">
      <c r="A707" t="inlineStr">
        <is>
          <t>Skill + Buff Cast Rate</t>
        </is>
      </c>
      <c r="B707">
        <f>IF(AND(Inputs!$B$38&lt;&gt;"pvp",Inputs!$B$43&gt;0),SUMPRODUCT((Skills!E2:E22=TRUE)*(C681:C701=TRUE)*R681:R701*Skills!F2:F22)/Inputs!$B$43,SUMPRODUCT((Skills!E2:E22=TRUE)*(C681:C701=TRUE)*Q681:Q701*Skills!F2:F22))</f>
        <v/>
      </c>
    </row>
    <row r="708">
      <c r="A708" t="inlineStr">
        <is>
          <t>Hook Bomber Casts Per Second</t>
        </is>
      </c>
      <c r="B708">
        <f>MAX(0,B706-B707)</f>
        <v/>
      </c>
    </row>
    <row r="709">
      <c r="A709" t="inlineStr">
        <is>
          <t>Global Critical Damage Bonus % (unused)</t>
        </is>
      </c>
      <c r="B709" t="n">
        <v>0</v>
      </c>
    </row>
    <row r="710">
      <c r="A710" t="inlineStr">
        <is>
          <t>Global Final Damage Bonus % (Serpent Scale + Crossbones + Time Leap + Speed Infusion)</t>
        </is>
      </c>
      <c r="B710">
        <f>((C684=TRUE)*F684*((10+IF(Inputs!$B$3&gt;=94,5,0))/((10+IF(Inputs!$B$3&gt;=94,5,0))+5/(B708*(1+IF(Inputs!$B$3&gt;=104,1,0))))))+((C693=TRUE)*F693)+((C694=TRUE)*F694)+((Inputs!$B$3&gt;=110)*20*(B706-1))</f>
        <v/>
      </c>
    </row>
    <row r="711">
      <c r="A711" t="inlineStr">
        <is>
          <t>Buff-Casting Startup Delay (s, fixed-duration only)</t>
        </is>
      </c>
      <c r="B711">
        <f>IF(AND(Inputs!$B$38&lt;&gt;"pvp",Inputs!$B$43&gt;0),SUMPRODUCT((Skills!T2:T22&gt;0)*(Skills!E2:E22=TRUE)*(C681:C701=TRUE))/B706,0)</f>
        <v/>
      </c>
    </row>
    <row r="712">
      <c r="A712" t="inlineStr">
        <is>
          <t>Boss-Only Total DPS (this block's swept value)</t>
        </is>
      </c>
      <c r="B712">
        <f>SUM(T681:T701)</f>
        <v/>
      </c>
    </row>
    <row r="713">
      <c r="A713" t="inlineStr">
        <is>
          <t>Normal-Only Total DPS (this block's swept value)</t>
        </is>
      </c>
      <c r="B713">
        <f>SUM(V681:V701)</f>
        <v/>
      </c>
    </row>
    <row r="714">
      <c r="A714" s="5" t="inlineStr">
        <is>
          <t>TOTAL DPS</t>
        </is>
      </c>
      <c r="B714" s="5">
        <f>SUM(O681:O701)</f>
        <v/>
      </c>
    </row>
    <row r="717">
      <c r="A717" s="5" t="inlineStr">
        <is>
          <t>Stat: Skill Level Bonus — 3rd Job</t>
        </is>
      </c>
    </row>
    <row r="718">
      <c r="A718" s="9" t="inlineStr">
        <is>
          <t>Key</t>
        </is>
      </c>
      <c r="B718" s="9" t="inlineStr">
        <is>
          <t>Name</t>
        </is>
      </c>
      <c r="C718" s="9" t="inlineStr">
        <is>
          <t>Unlocked</t>
        </is>
      </c>
      <c r="D718" s="9" t="inlineStr">
        <is>
          <t>InputLevel</t>
        </is>
      </c>
      <c r="E718" s="9" t="inlineStr">
        <is>
          <t>Factor</t>
        </is>
      </c>
      <c r="F718" s="9" t="inlineStr">
        <is>
          <t>CoefficientPercent</t>
        </is>
      </c>
      <c r="G718" s="9" t="inlineStr">
        <is>
          <t>EffectiveHits</t>
        </is>
      </c>
      <c r="H718" s="9" t="inlineStr">
        <is>
          <t>ProcProbability</t>
        </is>
      </c>
      <c r="I718" s="9" t="inlineStr">
        <is>
          <t>MapleHeroMultiplier</t>
        </is>
      </c>
      <c r="J718" s="9" t="inlineStr">
        <is>
          <t>BaseDamage</t>
        </is>
      </c>
      <c r="K718" s="9" t="inlineStr">
        <is>
          <t>BaseHitDamage</t>
        </is>
      </c>
      <c r="L718" s="9" t="inlineStr">
        <is>
          <t>NonCritAvg</t>
        </is>
      </c>
      <c r="M718" s="9" t="inlineStr">
        <is>
          <t>CritAvg</t>
        </is>
      </c>
      <c r="N718" s="9" t="inlineStr">
        <is>
          <t>ExpectedDamage(perHit)</t>
        </is>
      </c>
      <c r="O718" s="9" t="inlineStr">
        <is>
          <t>DPS</t>
        </is>
      </c>
      <c r="P718" s="9" t="inlineStr">
        <is>
          <t>% of Total</t>
        </is>
      </c>
      <c r="Q718" s="9" t="inlineStr">
        <is>
          <t>InvCooldown</t>
        </is>
      </c>
      <c r="R718" s="9" t="inlineStr">
        <is>
          <t>CastsInFight</t>
        </is>
      </c>
      <c r="S718" s="9"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((Inputs!$B$6*(1+Inputs!$B$7/100))+(((Inputs!$B$12*(1+Inputs!$B$13/100))-(Inputs!$B$12*(1+Inputs!$B$13/100)))+0.25*(Inputs!$B$14-Inputs!$B$14))*(1+Inputs!$B$7/100))*(F719/100)</f>
        <v/>
      </c>
      <c r="K719">
        <f>J719*(1+((Inputs!$B$12*(1+Inputs!$B$13/100))*0.01+Inputs!$B$14*0.0025)/100)*(1+Inputs!$B$15/100)*(1+Inputs!$B$16/100)*(5000/(6000+Inputs!$B$42*(1-(Inputs!$B$19+0)/100)))*(1+(Inputs!$B$24+((C739=TRUE)*(F739-Calc!F22))+B748)/100)*(1+(IF(Skills!A2="HOOK_BOMBER",Inputs!$B$17+((C738=TRUE)*(F738-Calc!F21)),Inputs!$B$18+0))/100)*((1+(((C730=TRUE)*F730)+((C736=TRUE)*(F736-Calc!F19)))/100)*I719)</f>
        <v/>
      </c>
      <c r="L719">
        <f>K719*(MIN(Inputs!$B$22+((C737=TRUE)*(F737-Calc!F20)),Inputs!$B$23+0)/100+(Inputs!$B$23+0)/100)/2</f>
        <v/>
      </c>
      <c r="M719">
        <f>L719*(1+(Inputs!$B$10+0+B747)/100)</f>
        <v/>
      </c>
      <c r="N719">
        <f>L719*(1-MIN((Inputs!$B$9+((C733=TRUE)*(F733-Calc!F16))+B742),100)/100)+M719*(MIN((Inputs!$B$9+((C733=TRUE)*(F733-Calc!F16))+B742),100)/100)</f>
        <v/>
      </c>
      <c r="O719">
        <f>(1-Summary!$B$55)*T719+Summary!$B$55*V719</f>
        <v/>
      </c>
      <c r="P719">
        <f>IF(B752=0,0,O719/B752)</f>
        <v/>
      </c>
      <c r="Q719" t="n">
        <v>0</v>
      </c>
      <c r="R719" t="n">
        <v>0</v>
      </c>
      <c r="S719">
        <f>IFERROR(O719/N719,0)</f>
        <v/>
      </c>
      <c r="T719">
        <f>IF(C719,(Skills!G2*N719*B746)*IF(Inputs!$B$38="pvp",1,1+(Inputs!$B$20+0+Skills!P2)/100),0)</f>
        <v/>
      </c>
      <c r="U719">
        <f>MAX(0,(Inputs!$B$3-100)*3)+Inputs!$B$28+Inputs!$B$29</f>
        <v/>
      </c>
      <c r="V719">
        <f>IF(C719,(Skills!G2*N719*B746)*IF(Inputs!$B$38="pvp",1,(1+(Inputs!$B$21+Skills!Q2)/100)*(MIN((6+Inputs!$B$33),Inputs!$B$37))),0)</f>
        <v/>
      </c>
    </row>
    <row r="720">
      <c r="A720">
        <f>Skills!A3</f>
        <v/>
      </c>
      <c r="B720">
        <f>Skills!B3</f>
        <v/>
      </c>
      <c r="C720">
        <f>Inputs!$B$3&gt;=35</f>
        <v/>
      </c>
      <c r="D720">
        <f>IF(Skills!C3=1,60+Inputs!$B$25+Inputs!$B$29,IF(Skills!C3=2,90+Inputs!$B$26+Inputs!$B$29,IF(Skills!C3=3,120+(Inputs!$B$27+1)+Inputs!$B$29,MAX(0,(Inputs!$B$3-100)*3)+Inputs!$B$28+Inputs!$B$29)))</f>
        <v/>
      </c>
      <c r="E720">
        <f>INDEX(FactorTable!$B$2:$Y$301, MATCH(ROUND(MIN(300,MAX(1,D720)),0), FactorTable!$A$2:$A$301,0), Skills!M3+1)</f>
        <v/>
      </c>
      <c r="F720">
        <f>IF(Skills!N3=TRUE,(Skills!L3/10)*(E720/1000),Skills!L3/10)+Skills!O3</f>
        <v/>
      </c>
      <c r="G720">
        <f>Skills!G3*IF(Skills!H3&gt;0,Skills!I3/Skills!H3,1)</f>
        <v/>
      </c>
      <c r="H720">
        <f>1-(1-Skills!J3/100)^Skills!K3</f>
        <v/>
      </c>
      <c r="I720" t="inlineStr">
        <is>
          <t>1</t>
        </is>
      </c>
      <c r="J720">
        <f>((Inputs!$B$6*(1+Inputs!$B$7/100))+(((Inputs!$B$12*(1+Inputs!$B$13/100))-(Inputs!$B$12*(1+Inputs!$B$13/100)))+0.25*(Inputs!$B$14-Inputs!$B$14))*(1+Inputs!$B$7/100))*(F720/100)</f>
        <v/>
      </c>
      <c r="K720">
        <f>J720*(1+((Inputs!$B$12*(1+Inputs!$B$13/100))*0.01+Inputs!$B$14*0.0025)/100)*(1+Inputs!$B$15/100)*(1+Inputs!$B$16/100)*(5000/(6000+Inputs!$B$42*(1-(Inputs!$B$19+0)/100)))*(1+(Inputs!$B$24+((C739=TRUE)*(F739-Calc!F22))+B748)/100)*(1+(IF(Skills!A3="HOOK_BOMBER",Inputs!$B$17+((C738=TRUE)*(F738-Calc!F21)),Inputs!$B$18+0))/100)*((1+(((C730=TRUE)*F730)+((C736=TRUE)*(F736-Calc!F19)))/100)*I720)</f>
        <v/>
      </c>
      <c r="L720">
        <f>K720*(MIN(Inputs!$B$22+((C737=TRUE)*(F737-Calc!F20)),Inputs!$B$23+0)/100+(Inputs!$B$23+0)/100)/2</f>
        <v/>
      </c>
      <c r="M720">
        <f>L720*(1+(Inputs!$B$10+0+B747)/100)</f>
        <v/>
      </c>
      <c r="N720">
        <f>L720*(1-MIN((Inputs!$B$9+((C733=TRUE)*(F733-Calc!F16))+B742),100)/100)+M720*(MIN((Inputs!$B$9+((C733=TRUE)*(F733-Calc!F16))+B742),100)/100)</f>
        <v/>
      </c>
      <c r="O720">
        <f>(1-Summary!$B$55)*T720+Summary!$B$55*V720</f>
        <v/>
      </c>
      <c r="P720">
        <f>IF(B752=0,0,O720/B752)</f>
        <v/>
      </c>
      <c r="Q720" t="n">
        <v>0</v>
      </c>
      <c r="R720" t="n">
        <v>0</v>
      </c>
      <c r="S720">
        <f>IFERROR(O720/N720,0)</f>
        <v/>
      </c>
      <c r="T720">
        <f>IF(C720,(Skills!G3*H720*N720*B746)*IF(Inputs!$B$38="pvp",1,1+(Inputs!$B$20+0+Skills!P3)/100),0)</f>
        <v/>
      </c>
      <c r="U720">
        <f>INDEX(FactorTable!$B$2:$Y$301, MATCH(ROUND(MIN(300,MAX(1,U719)),0), FactorTable!$A$2:$A$301,0), 22)</f>
        <v/>
      </c>
      <c r="V720">
        <f>IF(C720,(Skills!G3*H720*N720*B746)*IF(Inputs!$B$38="pvp",1,(1+(Inputs!$B$21+Skills!Q3)/100)*(MIN(Skills!R3,Inputs!$B$37))),0)</f>
        <v/>
      </c>
    </row>
    <row r="721">
      <c r="A721">
        <f>Skills!A4</f>
        <v/>
      </c>
      <c r="B721">
        <f>Skills!B4</f>
        <v/>
      </c>
      <c r="C721">
        <f>Inputs!$B$3&gt;=60</f>
        <v/>
      </c>
      <c r="D721">
        <f>IF(Skills!C4=1,60+Inputs!$B$25+Inputs!$B$29,IF(Skills!C4=2,90+Inputs!$B$26+Inputs!$B$29,IF(Skills!C4=3,120+(Inputs!$B$27+1)+Inputs!$B$29,MAX(0,(Inputs!$B$3-100)*3)+Inputs!$B$28+Inputs!$B$29)))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((Inputs!$B$6*(1+Inputs!$B$7/100))+(((Inputs!$B$12*(1+Inputs!$B$13/100))-(Inputs!$B$12*(1+Inputs!$B$13/100)))+0.25*(Inputs!$B$14-Inputs!$B$14))*(1+Inputs!$B$7/100))*(F721/100)</f>
        <v/>
      </c>
      <c r="K721">
        <f>J721*(1+((Inputs!$B$12*(1+Inputs!$B$13/100))*0.01+Inputs!$B$14*0.0025)/100)*(1+Inputs!$B$15/100)*(1+Inputs!$B$16/100)*(5000/(6000+Inputs!$B$42*(1-(Inputs!$B$19+0)/100)))*(1+(Inputs!$B$24+((C739=TRUE)*(F739-Calc!F22))+B748)/100)*(1+1.0*IF(C729=TRUE,F729,0)/100)*(1+(IF(Skills!A4="HOOK_BOMBER",Inputs!$B$17+((C738=TRUE)*(F738-Calc!F21)),Inputs!$B$18+0))/100)*((1+(((C730=TRUE)*F730)+((C736=TRUE)*(F736-Calc!F19)))/100)*I721)</f>
        <v/>
      </c>
      <c r="L721">
        <f>K721*(MIN(Inputs!$B$22+((C737=TRUE)*(F737-Calc!F20)),Inputs!$B$23+0)/100+(Inputs!$B$23+0)/100)/2</f>
        <v/>
      </c>
      <c r="M721">
        <f>L721*(1+(Inputs!$B$10+0+B747)/100)</f>
        <v/>
      </c>
      <c r="N721">
        <f>L721*(1-MIN((Inputs!$B$9+((C733=TRUE)*(F733-Calc!F16))+B742),100)/100)+M721*(MIN((Inputs!$B$9+((C733=TRUE)*(F733-Calc!F16))+B742),100)/100)</f>
        <v/>
      </c>
      <c r="O721">
        <f>(1-Summary!$B$55)*T721+Summary!$B$55*V721</f>
        <v/>
      </c>
      <c r="P721">
        <f>IF(B752=0,0,O721/B752)</f>
        <v/>
      </c>
      <c r="Q721" t="n">
        <v>0</v>
      </c>
      <c r="R721" t="n">
        <v>0</v>
      </c>
      <c r="S721">
        <f>IFERROR(O721/N721,0)</f>
        <v/>
      </c>
      <c r="T721">
        <f>IF(C721,(Skills!G4*H721*N721*B746)*IF(Inputs!$B$38="pvp",1,1+(Inputs!$B$20+0+Skills!P4)/100),0)</f>
        <v/>
      </c>
      <c r="U721">
        <f>290*U720/1000</f>
        <v/>
      </c>
      <c r="V721">
        <f>IF(C721,(Skills!G4*H721*N721*B746)*IF(Inputs!$B$38="pvp",1,(1+(Inputs!$B$21+Skills!Q4)/100)*(MIN(Skills!R4,Inputs!$B$37))),0)</f>
        <v/>
      </c>
    </row>
    <row r="722">
      <c r="A722">
        <f>Skills!A5</f>
        <v/>
      </c>
      <c r="B722">
        <f>Skills!B5</f>
        <v/>
      </c>
      <c r="C722">
        <f>Inputs!$B$3&gt;=60</f>
        <v/>
      </c>
      <c r="D722">
        <f>IF(Skills!C5=1,60+Inputs!$B$25+Inputs!$B$29,IF(Skills!C5=2,90+Inputs!$B$26+Inputs!$B$29,IF(Skills!C5=3,120+(Inputs!$B$27+1)+Inputs!$B$29,MAX(0,(Inputs!$B$3-100)*3)+Inputs!$B$28+Inputs!$B$29)))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t="inlineStr"/>
      <c r="K722" t="inlineStr"/>
      <c r="L722" t="inlineStr"/>
      <c r="M722" t="inlineStr"/>
      <c r="N722" t="inlineStr"/>
      <c r="O722">
        <f>(1-Summary!$B$55)*T722+Summary!$B$55*V722</f>
        <v/>
      </c>
      <c r="P722">
        <f>IF(B752=0,0,O722/B752)</f>
        <v/>
      </c>
      <c r="Q722" t="n">
        <v>0</v>
      </c>
      <c r="R722" t="n">
        <v>0</v>
      </c>
      <c r="S722">
        <f>IFERROR(O722/N722,0)</f>
        <v/>
      </c>
      <c r="T722" t="n">
        <v>0</v>
      </c>
      <c r="V722" t="n">
        <v>0</v>
      </c>
    </row>
    <row r="723">
      <c r="A723">
        <f>Skills!A6</f>
        <v/>
      </c>
      <c r="B723">
        <f>Skills!B6</f>
        <v/>
      </c>
      <c r="C723">
        <f>Inputs!$B$3&gt;=63</f>
        <v/>
      </c>
      <c r="D723">
        <f>IF(Skills!C6=1,60+Inputs!$B$25+Inputs!$B$29,IF(Skills!C6=2,90+Inputs!$B$26+Inputs!$B$29,IF(Skills!C6=3,120+(Inputs!$B$27+1)+Inputs!$B$29,MAX(0,(Inputs!$B$3-100)*3)+Inputs!$B$28+Inputs!$B$29)))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((Inputs!$B$6*(1+Inputs!$B$7/100))+(((Inputs!$B$12*(1+Inputs!$B$13/100))-(Inputs!$B$12*(1+Inputs!$B$13/100)))+0.25*(Inputs!$B$14-Inputs!$B$14))*(1+Inputs!$B$7/100))*(F723/100)</f>
        <v/>
      </c>
      <c r="K723">
        <f>J723*(1+((Inputs!$B$12*(1+Inputs!$B$13/100))*0.01+Inputs!$B$14*0.0025)/100)*(1+Inputs!$B$15/100)*(1+Inputs!$B$16/100)*(5000/(6000+Inputs!$B$42*(1-(Inputs!$B$19+0)/100)))*(1+(Inputs!$B$24+((C739=TRUE)*(F739-Calc!F22))+B748)/100)*(1+(IF(Skills!A6="HOOK_BOMBER",Inputs!$B$17+((C738=TRUE)*(F738-Calc!F21)),Inputs!$B$18+0))/100)*((1+(((C730=TRUE)*F730)+((C736=TRUE)*(F736-Calc!F19)))/100)*I723)</f>
        <v/>
      </c>
      <c r="L723">
        <f>K723*(MIN(Inputs!$B$22+((C737=TRUE)*(F737-Calc!F20)),Inputs!$B$23+0)/100+(Inputs!$B$23+0)/100)/2</f>
        <v/>
      </c>
      <c r="M723">
        <f>L723*(1+(Inputs!$B$10+0+B747)/100)</f>
        <v/>
      </c>
      <c r="N723">
        <f>L723*(1-MIN((Inputs!$B$9+((C733=TRUE)*(F733-Calc!F16))+B742),100)/100)+M723*(MIN((Inputs!$B$9+((C733=TRUE)*(F733-Calc!F16))+B742),100)/100)</f>
        <v/>
      </c>
      <c r="O723">
        <f>(1-Summary!$B$55)*T723+Summary!$B$55*V723</f>
        <v/>
      </c>
      <c r="P723">
        <f>IF(B752=0,0,O723/B752)</f>
        <v/>
      </c>
      <c r="Q723">
        <f>IFERROR(1/IF(Inputs!$B$38="pvp",15,MAX(0.1,Skills!D6-IF(Skills!E6=TRUE,Inputs!$B$32,0))),0)</f>
        <v/>
      </c>
      <c r="R723">
        <f>IF(AND(Inputs!$B$38&lt;&gt;"pvp",Inputs!$B$43&gt;0),IF(MAX(0,Inputs!$B$43-B749)&lt;=0,0,(INT(MAX(0,Inputs!$B$43-B749)/IF(Inputs!$B$38="pvp",15,MAX(0.1,Skills!D6-IF(Skills!E6=TRUE,Inputs!$B$32,0))))+1)),0)</f>
        <v/>
      </c>
      <c r="S723">
        <f>IFERROR(O723/N723,0)</f>
        <v/>
      </c>
      <c r="T723">
        <f>IF(C723,(H723*N723*IF(AND(Inputs!$B$38&lt;&gt;"pvp",Inputs!$B$43&gt;0),((Skills!G6*((R723-1)*IF(Skills!H6&gt;0,Skills!I6/Skills!H6,1)+IF(Skills!H6&gt;0,MIN(Skills!I6,MAX(0,MAX(0,Inputs!$B$43-B749)-((R723-1)*IF(Inputs!$B$38="pvp",15,MAX(0.1,Skills!D6-IF(Skills!E6=TRUE,Inputs!$B$32,0))))))/Skills!H6,1)))/Inputs!$B$43),G723*Q723))*IF(Inputs!$B$38="pvp",1,1+(Inputs!$B$20+0+Skills!P6)/100),0)</f>
        <v/>
      </c>
      <c r="V723">
        <f>IF(C723,(H723*N723*IF(AND(Inputs!$B$38&lt;&gt;"pvp",Inputs!$B$43&gt;0),((Skills!G6*((R723-1)*IF(Skills!H6&gt;0,Skills!I6/Skills!H6,1)+IF(Skills!H6&gt;0,MIN(Skills!I6,MAX(0,MAX(0,Inputs!$B$43-B749)-((R723-1)*IF(Inputs!$B$38="pvp",15,MAX(0.1,Skills!D6-IF(Skills!E6=TRUE,Inputs!$B$32,0))))))/Skills!H6,1)))/Inputs!$B$43),G723*Q723))*IF(Inputs!$B$38="pvp",1,(1+(Inputs!$B$21+Skills!Q6)/100)*(MIN(Skills!R6,Inputs!$B$37))),0)</f>
        <v/>
      </c>
    </row>
    <row r="724">
      <c r="A724">
        <f>Skills!A7</f>
        <v/>
      </c>
      <c r="B724">
        <f>Skills!B7</f>
        <v/>
      </c>
      <c r="C724">
        <f>Inputs!$B$3&gt;=100</f>
        <v/>
      </c>
      <c r="D724">
        <f>IF(Skills!C7=1,60+Inputs!$B$25+Inputs!$B$29,IF(Skills!C7=2,90+Inputs!$B$26+Inputs!$B$29,IF(Skills!C7=3,120+(Inputs!$B$27+1)+Inputs!$B$29,MAX(0,(Inputs!$B$3-100)*3)+Inputs!$B$28+Inputs!$B$29)))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((Inputs!$B$6*(1+Inputs!$B$7/100))+(((Inputs!$B$12*(1+Inputs!$B$13/100))-(Inputs!$B$12*(1+Inputs!$B$13/100)))+0.25*(Inputs!$B$14-Inputs!$B$14))*(1+Inputs!$B$7/100))*(F724/100)</f>
        <v/>
      </c>
      <c r="K724">
        <f>J724*(1+((Inputs!$B$12*(1+Inputs!$B$13/100))*0.01+Inputs!$B$14*0.0025)/100)*(1+Inputs!$B$15/100)*(1+Inputs!$B$16/100)*(5000/(6000+Inputs!$B$42*(1-(Inputs!$B$19+0)/100)))*(1+(Inputs!$B$24+((C739=TRUE)*(F739-Calc!F22))+B748)/100)*(1+(IF(Skills!A7="HOOK_BOMBER",Inputs!$B$17+((C738=TRUE)*(F738-Calc!F21)),Inputs!$B$18+0))/100)*((1+(((C730=TRUE)*F730)+((C736=TRUE)*(F736-Calc!F19)))/100)*I724)</f>
        <v/>
      </c>
      <c r="L724">
        <f>K724*(MIN(Inputs!$B$22+((C737=TRUE)*(F737-Calc!F20)),Inputs!$B$23+0)/100+(Inputs!$B$23+0)/100)/2</f>
        <v/>
      </c>
      <c r="M724">
        <f>L724*(1+(Inputs!$B$10+0+B747)/100)</f>
        <v/>
      </c>
      <c r="N724">
        <f>L724*(1-MIN((Inputs!$B$9+((C733=TRUE)*(F733-Calc!F16))+B742),100)/100)+M724*(MIN((Inputs!$B$9+((C733=TRUE)*(F733-Calc!F16))+B742),100)/100)</f>
        <v/>
      </c>
      <c r="O724">
        <f>(1-Summary!$B$55)*T724+Summary!$B$55*V724</f>
        <v/>
      </c>
      <c r="P724">
        <f>IF(B752=0,0,O724/B752)</f>
        <v/>
      </c>
      <c r="Q724">
        <f>IFERROR(1/IF(Inputs!$B$38="pvp",15,MAX(0.1,Skills!D7-IF(Skills!E7=TRUE,Inputs!$B$32,0))),0)</f>
        <v/>
      </c>
      <c r="R724">
        <f>IF(AND(Inputs!$B$38&lt;&gt;"pvp",Inputs!$B$43&gt;0),IF(MAX(0,Inputs!$B$43-B749)&lt;=0,0,(INT(MAX(0,Inputs!$B$43-B749)/IF(Inputs!$B$38="pvp",15,MAX(0.1,Skills!D7-IF(Skills!E7=TRUE,Inputs!$B$32,0))))+1)),0)</f>
        <v/>
      </c>
      <c r="S724">
        <f>IFERROR(O724/N724,0)</f>
        <v/>
      </c>
      <c r="T724">
        <f>IF(C724,(H724*N724*IF(AND(Inputs!$B$38&lt;&gt;"pvp",Inputs!$B$43&gt;0),((Skills!G7*((R724-1)*IF(Skills!H7&gt;0,Skills!I7/Skills!H7,1)+IF(Skills!H7&gt;0,MIN(Skills!I7,MAX(0,MAX(0,Inputs!$B$43-B749)-((R724-1)*IF(Inputs!$B$38="pvp",15,MAX(0.1,Skills!D7-IF(Skills!E7=TRUE,Inputs!$B$32,0))))))/Skills!H7,1)))/Inputs!$B$43),G724*Q724))*IF(Inputs!$B$38="pvp",1,1+(Inputs!$B$20+0+Skills!P7)/100),0)</f>
        <v/>
      </c>
      <c r="V724">
        <f>IF(C724,(H724*N724*IF(AND(Inputs!$B$38&lt;&gt;"pvp",Inputs!$B$43&gt;0),((Skills!G7*((R724-1)*IF(Skills!H7&gt;0,Skills!I7/Skills!H7,1)+IF(Skills!H7&gt;0,MIN(Skills!I7,MAX(0,MAX(0,Inputs!$B$43-B749)-((R724-1)*IF(Inputs!$B$38="pvp",15,MAX(0.1,Skills!D7-IF(Skills!E7=TRUE,Inputs!$B$32,0))))))/Skills!H7,1)))/Inputs!$B$43),G724*Q724))*IF(Inputs!$B$38="pvp",1,(1+(Inputs!$B$21+Skills!Q7)/100)*(MIN(Skills!R7,Inputs!$B$37))),0)</f>
        <v/>
      </c>
    </row>
    <row r="725">
      <c r="A725">
        <f>Skills!A8</f>
        <v/>
      </c>
      <c r="B725">
        <f>Skills!B8</f>
        <v/>
      </c>
      <c r="C725">
        <f>Inputs!$B$3&gt;=110</f>
        <v/>
      </c>
      <c r="D725">
        <f>IF(Skills!C8=1,60+Inputs!$B$25+Inputs!$B$29,IF(Skills!C8=2,90+Inputs!$B$26+Inputs!$B$29,IF(Skills!C8=3,120+(Inputs!$B$27+1)+Inputs!$B$29,MAX(0,(Inputs!$B$3-100)*3)+Inputs!$B$28+Inputs!$B$29)))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((Inputs!$B$6*(1+Inputs!$B$7/100))+(((Inputs!$B$12*(1+Inputs!$B$13/100))-(Inputs!$B$12*(1+Inputs!$B$13/100)))+0.25*(Inputs!$B$14-Inputs!$B$14))*(1+Inputs!$B$7/100))*(F725/100)</f>
        <v/>
      </c>
      <c r="K725">
        <f>J725*(1+((Inputs!$B$12*(1+Inputs!$B$13/100))*0.01+Inputs!$B$14*0.0025)/100)*(1+Inputs!$B$15/100)*(1+Inputs!$B$16/100)*(5000/(6000+Inputs!$B$42*(1-(Inputs!$B$19+0)/100)))*(1+(Inputs!$B$24+((C739=TRUE)*(F739-Calc!F22))+B748)/100)*(1+(IF(Skills!A8="HOOK_BOMBER",Inputs!$B$17+((C738=TRUE)*(F738-Calc!F21)),Inputs!$B$18+0))/100)*((1+(((C730=TRUE)*F730)+((C736=TRUE)*(F736-Calc!F19)))/100)*I725)</f>
        <v/>
      </c>
      <c r="L725">
        <f>K725*(MIN(Inputs!$B$22+((C737=TRUE)*(F737-Calc!F20)),Inputs!$B$23+0)/100+(Inputs!$B$23+0)/100)/2</f>
        <v/>
      </c>
      <c r="M725">
        <f>L725*(1+(Inputs!$B$10+0+B747)/100)</f>
        <v/>
      </c>
      <c r="N725">
        <f>L725*(1-MIN((Inputs!$B$9+((C733=TRUE)*(F733-Calc!F16))+B742),100)/100)+M725*(MIN((Inputs!$B$9+((C733=TRUE)*(F733-Calc!F16))+B742),100)/100)</f>
        <v/>
      </c>
      <c r="O725">
        <f>(1-Summary!$B$55)*T725+Summary!$B$55*V725</f>
        <v/>
      </c>
      <c r="P725">
        <f>IF(B752=0,0,O725/B752)</f>
        <v/>
      </c>
      <c r="Q725">
        <f>IFERROR(1/IF(Inputs!$B$38="pvp",15,MAX(0.1,Skills!D8-IF(Skills!E8=TRUE,Inputs!$B$32,0))),0)</f>
        <v/>
      </c>
      <c r="R725">
        <f>IF(AND(Inputs!$B$38&lt;&gt;"pvp",Inputs!$B$43&gt;0),IF(MAX(0,Inputs!$B$43-B749)&lt;=0,0,(INT(MAX(0,Inputs!$B$43-B749)/IF(Inputs!$B$38="pvp",15,MAX(0.1,Skills!D8-IF(Skills!E8=TRUE,Inputs!$B$32,0))))+1)),0)</f>
        <v/>
      </c>
      <c r="S725">
        <f>IFERROR(O725/N725,0)</f>
        <v/>
      </c>
      <c r="T725">
        <f>IF(C725,(H725*N725*IF(AND(Inputs!$B$38&lt;&gt;"pvp",Inputs!$B$43&gt;0),((Skills!G8*((R725-1)*IF(Skills!H8&gt;0,Skills!I8/Skills!H8,1)+IF(Skills!H8&gt;0,MIN(Skills!I8,MAX(0,MAX(0,Inputs!$B$43-B749)-((R725-1)*IF(Inputs!$B$38="pvp",15,MAX(0.1,Skills!D8-IF(Skills!E8=TRUE,Inputs!$B$32,0))))))/Skills!H8,1)))/Inputs!$B$43),G725*Q725))*IF(Inputs!$B$38="pvp",1,1+(Inputs!$B$20+0+Skills!P8)/100),0)</f>
        <v/>
      </c>
      <c r="V725">
        <f>IF(C725,(H725*N725*IF(AND(Inputs!$B$38&lt;&gt;"pvp",Inputs!$B$43&gt;0),((Skills!G8*((R725-1)*IF(Skills!H8&gt;0,Skills!I8/Skills!H8,1)+IF(Skills!H8&gt;0,MIN(Skills!I8,MAX(0,MAX(0,Inputs!$B$43-B749)-((R725-1)*IF(Inputs!$B$38="pvp",15,MAX(0.1,Skills!D8-IF(Skills!E8=TRUE,Inputs!$B$32,0))))))/Skills!H8,1)))/Inputs!$B$43),G725*Q725))*IF(Inputs!$B$38="pvp",1,(1+(Inputs!$B$21+Skills!Q8)/100)*(MIN(Skills!R8,Inputs!$B$37))),0)</f>
        <v/>
      </c>
    </row>
    <row r="726">
      <c r="A726">
        <f>Skills!A9</f>
        <v/>
      </c>
      <c r="B726">
        <f>Skills!B9</f>
        <v/>
      </c>
      <c r="C726">
        <f>Inputs!$B$3&gt;=110</f>
        <v/>
      </c>
      <c r="D726">
        <f>IF(Skills!C9=1,60+Inputs!$B$25+Inputs!$B$29,IF(Skills!C9=2,90+Inputs!$B$26+Inputs!$B$29,IF(Skills!C9=3,120+(Inputs!$B$27+1)+Inputs!$B$29,MAX(0,(Inputs!$B$3-100)*3)+Inputs!$B$28+Inputs!$B$29)))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((Inputs!$B$6*(1+Inputs!$B$7/100))+(((Inputs!$B$12*(1+Inputs!$B$13/100))-(Inputs!$B$12*(1+Inputs!$B$13/100)))+0.25*(Inputs!$B$14-Inputs!$B$14))*(1+Inputs!$B$7/100))*(F726/100)</f>
        <v/>
      </c>
      <c r="K726">
        <f>J726*(1+((Inputs!$B$12*(1+Inputs!$B$13/100))*0.01+Inputs!$B$14*0.0025)/100)*(1+Inputs!$B$15/100)*(1+Inputs!$B$16/100)*(5000/(6000+Inputs!$B$42*(1-(Inputs!$B$19+0)/100)))*(1+(Inputs!$B$24+((C739=TRUE)*(F739-Calc!F22))+B748)/100)*(1+(IF(Skills!A9="HOOK_BOMBER",Inputs!$B$17+((C738=TRUE)*(F738-Calc!F21)),Inputs!$B$18+0))/100)*((1+(((C730=TRUE)*F730)+((C736=TRUE)*(F736-Calc!F19)))/100)*I726)</f>
        <v/>
      </c>
      <c r="L726">
        <f>K726*(MIN(Inputs!$B$22+((C737=TRUE)*(F737-Calc!F20)),Inputs!$B$23+0)/100+(Inputs!$B$23+0)/100)/2</f>
        <v/>
      </c>
      <c r="M726">
        <f>L726*(1+(Inputs!$B$10+0+B747)/100)</f>
        <v/>
      </c>
      <c r="N726">
        <f>L726*(1-MIN((Inputs!$B$9+((C733=TRUE)*(F733-Calc!F16))+B742),100)/100)+M726*(MIN((Inputs!$B$9+((C733=TRUE)*(F733-Calc!F16))+B742),100)/100)</f>
        <v/>
      </c>
      <c r="O726">
        <f>(1-Summary!$B$55)*T726+Summary!$B$55*V726</f>
        <v/>
      </c>
      <c r="P726">
        <f>IF(B752=0,0,O726/B752)</f>
        <v/>
      </c>
      <c r="Q726">
        <f>IFERROR(1/IF(Inputs!$B$38="pvp",15,MAX(0.1,Skills!D9-IF(Skills!E9=TRUE,Inputs!$B$32,0))),0)</f>
        <v/>
      </c>
      <c r="R726">
        <f>IF(AND(Inputs!$B$38&lt;&gt;"pvp",Inputs!$B$43&gt;0),IF(MAX(0,Inputs!$B$43-B749)&lt;=0,0,(INT(MAX(0,Inputs!$B$43-B749)/IF(Inputs!$B$38="pvp",15,MAX(0.1,Skills!D9-IF(Skills!E9=TRUE,Inputs!$B$32,0))))+1)),0)</f>
        <v/>
      </c>
      <c r="S726">
        <f>IFERROR(O726/N726,0)</f>
        <v/>
      </c>
      <c r="T726">
        <f>IF(C726,(H726*N726*IF(AND(Inputs!$B$38&lt;&gt;"pvp",Inputs!$B$43&gt;0),((Skills!G9*((R726-1)*IF(Skills!H9&gt;0,Skills!I9/Skills!H9,1)+IF(Skills!H9&gt;0,MIN(Skills!I9,MAX(0,MAX(0,Inputs!$B$43-B749)-((R726-1)*IF(Inputs!$B$38="pvp",15,MAX(0.1,Skills!D9-IF(Skills!E9=TRUE,Inputs!$B$32,0))))))/Skills!H9,1)))/Inputs!$B$43),G726*Q726))*IF(Inputs!$B$38="pvp",1,1+(Inputs!$B$20+0+Skills!P9)/100),0)</f>
        <v/>
      </c>
      <c r="V726">
        <f>IF(C726,(H726*N726*IF(AND(Inputs!$B$38&lt;&gt;"pvp",Inputs!$B$43&gt;0),((Skills!G9*((R726-1)*IF(Skills!H9&gt;0,Skills!I9/Skills!H9,1)+IF(Skills!H9&gt;0,MIN(Skills!I9,MAX(0,MAX(0,Inputs!$B$43-B749)-((R726-1)*IF(Inputs!$B$38="pvp",15,MAX(0.1,Skills!D9-IF(Skills!E9=TRUE,Inputs!$B$32,0))))))/Skills!H9,1)))/Inputs!$B$43),G726*Q726))*IF(Inputs!$B$38="pvp",1,(1+(Inputs!$B$21+Skills!Q9)/100)*(MIN(Skills!R9,Inputs!$B$37))),0)</f>
        <v/>
      </c>
    </row>
    <row r="727">
      <c r="A727">
        <f>Skills!A10</f>
        <v/>
      </c>
      <c r="B727">
        <f>Skills!B10</f>
        <v/>
      </c>
      <c r="C727">
        <f>Inputs!$B$3&gt;=103</f>
        <v/>
      </c>
      <c r="D727">
        <f>IF(Skills!C10=1,60+Inputs!$B$25+Inputs!$B$29,IF(Skills!C10=2,90+Inputs!$B$26+Inputs!$B$29,IF(Skills!C10=3,120+(Inputs!$B$27+1)+Inputs!$B$29,MAX(0,(Inputs!$B$3-100)*3)+Inputs!$B$28+Inputs!$B$29)))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((Inputs!$B$6*(1+Inputs!$B$7/100))+(((Inputs!$B$12*(1+Inputs!$B$13/100))-(Inputs!$B$12*(1+Inputs!$B$13/100)))+0.25*(Inputs!$B$14-Inputs!$B$14))*(1+Inputs!$B$7/100))*(F727/100)</f>
        <v/>
      </c>
      <c r="K727">
        <f>J727*(1+((Inputs!$B$12*(1+Inputs!$B$13/100))*0.01+Inputs!$B$14*0.0025)/100)*(1+Inputs!$B$15/100)*(1+Inputs!$B$16/100)*(5000/(6000+Inputs!$B$42*(1-(Inputs!$B$19+0)/100)))*(1+(Inputs!$B$24+((C739=TRUE)*(F739-Calc!F22))+B748)/100)*(1+(IF(Skills!A10="HOOK_BOMBER",Inputs!$B$17+((C738=TRUE)*(F738-Calc!F21)),Inputs!$B$18+0))/100)*((1+(((C730=TRUE)*F730)+((C736=TRUE)*(F736-Calc!F19)))/100)*I727)</f>
        <v/>
      </c>
      <c r="L727">
        <f>K727*(MIN(Inputs!$B$22+((C737=TRUE)*(F737-Calc!F20)),Inputs!$B$23+0)/100+(Inputs!$B$23+0)/100)/2</f>
        <v/>
      </c>
      <c r="M727">
        <f>L727*(1+(Inputs!$B$10+0+B747)/100)</f>
        <v/>
      </c>
      <c r="N727">
        <f>L727*(1-MIN((Inputs!$B$9+((C733=TRUE)*(F733-Calc!F16))+B742),100)/100)+M727*(MIN((Inputs!$B$9+((C733=TRUE)*(F733-Calc!F16))+B742),100)/100)</f>
        <v/>
      </c>
      <c r="O727">
        <f>(1-Summary!$B$55)*T727+Summary!$B$55*V727</f>
        <v/>
      </c>
      <c r="P727">
        <f>IF(B752=0,0,O727/B752)</f>
        <v/>
      </c>
      <c r="Q727">
        <f>IFERROR(1/IF(Inputs!$B$38="pvp",15,MAX(0.1,Skills!D10-IF(Skills!E10=TRUE,Inputs!$B$32,0))),0)</f>
        <v/>
      </c>
      <c r="R727">
        <f>IF(AND(Inputs!$B$38&lt;&gt;"pvp",Inputs!$B$43&gt;0),IF(MAX(0,Inputs!$B$43-B749)&lt;=0,0,(INT(MAX(0,Inputs!$B$43-B749)/IF(Inputs!$B$38="pvp",15,MAX(0.1,Skills!D10-IF(Skills!E10=TRUE,Inputs!$B$32,0))))+1)),0)</f>
        <v/>
      </c>
      <c r="S727">
        <f>IFERROR(O727/N727,0)</f>
        <v/>
      </c>
      <c r="T727">
        <f>IF(C727,(H727*N727*IF(AND(Inputs!$B$38&lt;&gt;"pvp",Inputs!$B$43&gt;0),((Skills!G10*((R727-1)*IF(Skills!H10&gt;0,Skills!I10/Skills!H10,1)+IF(Skills!H10&gt;0,MIN(Skills!I10,MAX(0,MAX(0,Inputs!$B$43-B749)-((R727-1)*IF(Inputs!$B$38="pvp",15,MAX(0.1,Skills!D10-IF(Skills!E10=TRUE,Inputs!$B$32,0))))))/Skills!H10,1)))/Inputs!$B$43),G727*Q727))*IF(Inputs!$B$38="pvp",1,1+(Inputs!$B$20+0+Skills!P10)/100),0)</f>
        <v/>
      </c>
      <c r="V727">
        <f>IF(C727,(H727*N727*IF(AND(Inputs!$B$38&lt;&gt;"pvp",Inputs!$B$43&gt;0),((Skills!G10*((R727-1)*IF(Skills!H10&gt;0,Skills!I10/Skills!H10,1)+IF(Skills!H10&gt;0,MIN(Skills!I10,MAX(0,MAX(0,Inputs!$B$43-B749)-((R727-1)*IF(Inputs!$B$38="pvp",15,MAX(0.1,Skills!D10-IF(Skills!E10=TRUE,Inputs!$B$32,0))))))/Skills!H10,1)))/Inputs!$B$43),G727*Q727))*IF(Inputs!$B$38="pvp",1,(1+(Inputs!$B$21+Skills!Q10)/100)*(MIN(Skills!R10,Inputs!$B$37))),0)</f>
        <v/>
      </c>
    </row>
    <row r="728">
      <c r="A728">
        <f>Skills!A11</f>
        <v/>
      </c>
      <c r="B728">
        <f>Skills!B11</f>
        <v/>
      </c>
      <c r="C728">
        <f>Inputs!$B$3&gt;=113</f>
        <v/>
      </c>
      <c r="D728">
        <f>IF(Skills!C11=1,60+Inputs!$B$25+Inputs!$B$29,IF(Skills!C11=2,90+Inputs!$B$26+Inputs!$B$29,IF(Skills!C11=3,120+(Inputs!$B$27+1)+Inputs!$B$29,MAX(0,(Inputs!$B$3-100)*3)+Inputs!$B$28+Inputs!$B$29)))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((Inputs!$B$6*(1+Inputs!$B$7/100))+(((Inputs!$B$12*(1+Inputs!$B$13/100))-(Inputs!$B$12*(1+Inputs!$B$13/100)))+0.25*(Inputs!$B$14-Inputs!$B$14))*(1+Inputs!$B$7/100))*(F728/100)</f>
        <v/>
      </c>
      <c r="K728">
        <f>J728*(1+((Inputs!$B$12*(1+Inputs!$B$13/100))*0.01+Inputs!$B$14*0.0025)/100)*(1+Inputs!$B$15/100)*(1+Inputs!$B$16/100)*(5000/(6000+Inputs!$B$42*(1-(Inputs!$B$19+0)/100)))*(1+(Inputs!$B$24+((C739=TRUE)*(F739-Calc!F22))+B748)/100)*(1+(IF(Skills!A11="HOOK_BOMBER",Inputs!$B$17+((C738=TRUE)*(F738-Calc!F21)),Inputs!$B$18+0))/100)*((1+(((C730=TRUE)*F730)+((C736=TRUE)*(F736-Calc!F19)))/100)*I728)</f>
        <v/>
      </c>
      <c r="L728">
        <f>K728*(MIN(Inputs!$B$22+((C737=TRUE)*(F737-Calc!F20)),Inputs!$B$23+0)/100+(Inputs!$B$23+0)/100)/2</f>
        <v/>
      </c>
      <c r="M728">
        <f>L728*(1+(Inputs!$B$10+0+B747)/100)</f>
        <v/>
      </c>
      <c r="N728">
        <f>L728*(1-MIN((Inputs!$B$9+((C733=TRUE)*(F733-Calc!F16))+B742),100)/100)+M728*(MIN((Inputs!$B$9+((C733=TRUE)*(F733-Calc!F16))+B742),100)/100)</f>
        <v/>
      </c>
      <c r="O728">
        <f>(1-Summary!$B$55)*T728+Summary!$B$55*V728</f>
        <v/>
      </c>
      <c r="P728">
        <f>IF(B752=0,0,O728/B752)</f>
        <v/>
      </c>
      <c r="Q728">
        <f>IFERROR(1/IF(Inputs!$B$38="pvp",15,MAX(0.1,Skills!D11-IF(Skills!E11=TRUE,Inputs!$B$32,0))),0)</f>
        <v/>
      </c>
      <c r="R728">
        <f>IF(AND(Inputs!$B$38&lt;&gt;"pvp",Inputs!$B$43&gt;0),IF(MAX(0,Inputs!$B$43-B749)&lt;=0,0,(INT(MAX(0,Inputs!$B$43-B749)/IF(Inputs!$B$38="pvp",15,MAX(0.1,Skills!D11-IF(Skills!E11=TRUE,Inputs!$B$32,0))))+1)),0)</f>
        <v/>
      </c>
      <c r="S728">
        <f>IFERROR(O728/N728,0)</f>
        <v/>
      </c>
      <c r="T728">
        <f>IF(C728,(H728*N728*IF(AND(Inputs!$B$38&lt;&gt;"pvp",Inputs!$B$43&gt;0),((Skills!G11*((R728-1)*IF(Skills!H11&gt;0,Skills!I11/Skills!H11,1)+IF(Skills!H11&gt;0,MIN(Skills!I11,MAX(0,MAX(0,Inputs!$B$43-B749)-((R728-1)*IF(Inputs!$B$38="pvp",15,MAX(0.1,Skills!D11-IF(Skills!E11=TRUE,Inputs!$B$32,0))))))/Skills!H11,1)))/Inputs!$B$43),G728*Q728))*IF(Inputs!$B$38="pvp",1,1+(Inputs!$B$20+0+Skills!P11)/100),0)</f>
        <v/>
      </c>
      <c r="V728">
        <f>IF(C728,(H728*N728*IF(AND(Inputs!$B$38&lt;&gt;"pvp",Inputs!$B$43&gt;0),((Skills!G11*((R728-1)*IF(Skills!H11&gt;0,Skills!I11/Skills!H11,1)+IF(Skills!H11&gt;0,MIN(Skills!I11,MAX(0,MAX(0,Inputs!$B$43-B749)-((R728-1)*IF(Inputs!$B$38="pvp",15,MAX(0.1,Skills!D11-IF(Skills!E11=TRUE,Inputs!$B$32,0))))))/Skills!H11,1)))/Inputs!$B$43),G728*Q728))*IF(Inputs!$B$38="pvp",1,(1+(Inputs!$B$21+Skills!Q11)/100)*(MIN(Skills!R11,Inputs!$B$37))),0)</f>
        <v/>
      </c>
    </row>
    <row r="729">
      <c r="A729">
        <f>Skills!A12</f>
        <v/>
      </c>
      <c r="B729">
        <f>Skills!B12</f>
        <v/>
      </c>
      <c r="C729">
        <f>Inputs!$B$3&gt;=100</f>
        <v/>
      </c>
      <c r="D729">
        <f>IF(Skills!C12=1,60+Inputs!$B$25+Inputs!$B$29,IF(Skills!C12=2,90+Inputs!$B$26+Inputs!$B$29,IF(Skills!C12=3,120+(Inputs!$B$27+1)+Inputs!$B$29,MAX(0,(Inputs!$B$3-100)*3)+Inputs!$B$28+Inputs!$B$29)))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c r="T729" t="inlineStr"/>
      <c r="V729" t="inlineStr"/>
    </row>
    <row r="730">
      <c r="A730">
        <f>Skills!A13</f>
        <v/>
      </c>
      <c r="B730">
        <f>Skills!B13</f>
        <v/>
      </c>
      <c r="C730">
        <f>Inputs!$B$3&gt;=66</f>
        <v/>
      </c>
      <c r="D730">
        <f>IF(Skills!C13=1,60+Inputs!$B$25+Inputs!$B$29,IF(Skills!C13=2,90+Inputs!$B$26+Inputs!$B$29,IF(Skills!C13=3,120+(Inputs!$B$27+1)+Inputs!$B$29,MAX(0,(Inputs!$B$3-100)*3)+Inputs!$B$28+Inputs!$B$29)))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f>(1-Summary!$B$55)*T730+Summary!$B$55*V730</f>
        <v/>
      </c>
      <c r="P730">
        <f>IF(B752=0,0,O730/B752)</f>
        <v/>
      </c>
      <c r="Q730" t="n">
        <v>0</v>
      </c>
      <c r="R730" t="n">
        <v>0</v>
      </c>
      <c r="S730">
        <f>IFERROR(O730/N730,0)</f>
        <v/>
      </c>
      <c r="T730" t="n">
        <v>0</v>
      </c>
      <c r="V730" t="n">
        <v>0</v>
      </c>
    </row>
    <row r="731">
      <c r="A731">
        <f>Skills!A14</f>
        <v/>
      </c>
      <c r="B731">
        <f>Skills!B14</f>
        <v/>
      </c>
      <c r="C731">
        <f>Inputs!$B$3&gt;=107</f>
        <v/>
      </c>
      <c r="D731">
        <f>IF(Skills!C14=1,60+Inputs!$B$25+Inputs!$B$29,IF(Skills!C14=2,90+Inputs!$B$26+Inputs!$B$29,IF(Skills!C14=3,120+(Inputs!$B$27+1)+Inputs!$B$29,MAX(0,(Inputs!$B$3-100)*3)+Inputs!$B$28+Inputs!$B$29)))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f>(1-Summary!$B$55)*T731+Summary!$B$55*V731</f>
        <v/>
      </c>
      <c r="P731">
        <f>IF(B752=0,0,O731/B752)</f>
        <v/>
      </c>
      <c r="Q731" t="n">
        <v>0</v>
      </c>
      <c r="R731" t="n">
        <v>0</v>
      </c>
      <c r="S731">
        <f>IFERROR(O731/N731,0)</f>
        <v/>
      </c>
      <c r="T731" t="n">
        <v>0</v>
      </c>
      <c r="V731" t="n">
        <v>0</v>
      </c>
    </row>
    <row r="732">
      <c r="A732">
        <f>Skills!A15</f>
        <v/>
      </c>
      <c r="B732">
        <f>Skills!B15</f>
        <v/>
      </c>
      <c r="C732">
        <f>Inputs!$B$3&gt;=115</f>
        <v/>
      </c>
      <c r="D732">
        <f>IF(Skills!C15=1,60+Inputs!$B$25+Inputs!$B$29,IF(Skills!C15=2,90+Inputs!$B$26+Inputs!$B$29,IF(Skills!C15=3,120+(Inputs!$B$27+1)+Inputs!$B$29,MAX(0,(Inputs!$B$3-100)*3)+Inputs!$B$28+Inputs!$B$29)))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f>(1-Summary!$B$55)*T732+Summary!$B$55*V732</f>
        <v/>
      </c>
      <c r="P732">
        <f>IF(B752=0,0,O732/B752)</f>
        <v/>
      </c>
      <c r="Q732" t="n">
        <v>0</v>
      </c>
      <c r="R732" t="n">
        <v>0</v>
      </c>
      <c r="S732">
        <f>IFERROR(O732/N732,0)</f>
        <v/>
      </c>
      <c r="T732" t="n">
        <v>0</v>
      </c>
      <c r="V732" t="n">
        <v>0</v>
      </c>
    </row>
    <row r="733">
      <c r="A733">
        <f>Skills!A16</f>
        <v/>
      </c>
      <c r="B733">
        <f>Skills!B16</f>
        <v/>
      </c>
      <c r="C733">
        <f>Inputs!$B$3&gt;=15</f>
        <v/>
      </c>
      <c r="D733">
        <f>IF(Skills!C16=1,60+Inputs!$B$25+Inputs!$B$29,IF(Skills!C16=2,90+Inputs!$B$26+Inputs!$B$29,IF(Skills!C16=3,120+(Inputs!$B$27+1)+Inputs!$B$29,MAX(0,(Inputs!$B$3-100)*3)+Inputs!$B$28+Inputs!$B$29)))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f>(1-Summary!$B$55)*T733+Summary!$B$55*V733</f>
        <v/>
      </c>
      <c r="P733">
        <f>IF(B752=0,0,O733/B752)</f>
        <v/>
      </c>
      <c r="Q733" t="n">
        <v>0</v>
      </c>
      <c r="R733" t="n">
        <v>0</v>
      </c>
      <c r="S733">
        <f>IFERROR(O733/N733,0)</f>
        <v/>
      </c>
      <c r="T733" t="n">
        <v>0</v>
      </c>
      <c r="V733" t="n">
        <v>0</v>
      </c>
    </row>
    <row r="734">
      <c r="A734">
        <f>Skills!A17</f>
        <v/>
      </c>
      <c r="B734">
        <f>Skills!B17</f>
        <v/>
      </c>
      <c r="C734">
        <f>Inputs!$B$3&gt;=10</f>
        <v/>
      </c>
      <c r="D734">
        <f>IF(Skills!C17=1,60+Inputs!$B$25+Inputs!$B$29,IF(Skills!C17=2,90+Inputs!$B$26+Inputs!$B$29,IF(Skills!C17=3,120+(Inputs!$B$27+1)+Inputs!$B$29,MAX(0,(Inputs!$B$3-100)*3)+Inputs!$B$28+Inputs!$B$29)))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f>(1-Summary!$B$55)*T734+Summary!$B$55*V734</f>
        <v/>
      </c>
      <c r="P734">
        <f>IF(B752=0,0,O734/B752)</f>
        <v/>
      </c>
      <c r="Q734" t="n">
        <v>0</v>
      </c>
      <c r="R734" t="n">
        <v>0</v>
      </c>
      <c r="S734">
        <f>IFERROR(O734/N734,0)</f>
        <v/>
      </c>
      <c r="T734" t="n">
        <v>0</v>
      </c>
      <c r="V734" t="n">
        <v>0</v>
      </c>
    </row>
    <row r="735">
      <c r="A735">
        <f>Skills!A18</f>
        <v/>
      </c>
      <c r="B735">
        <f>Skills!B18</f>
        <v/>
      </c>
      <c r="C735">
        <f>Inputs!$B$3&gt;=33</f>
        <v/>
      </c>
      <c r="D735">
        <f>IF(Skills!C18=1,60+Inputs!$B$25+Inputs!$B$29,IF(Skills!C18=2,90+Inputs!$B$26+Inputs!$B$29,IF(Skills!C18=3,120+(Inputs!$B$27+1)+Inputs!$B$29,MAX(0,(Inputs!$B$3-100)*3)+Inputs!$B$28+Inputs!$B$29)))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f>(1-Summary!$B$55)*T735+Summary!$B$55*V735</f>
        <v/>
      </c>
      <c r="P735">
        <f>IF(B752=0,0,O735/B752)</f>
        <v/>
      </c>
      <c r="Q735" t="n">
        <v>0</v>
      </c>
      <c r="R735" t="n">
        <v>0</v>
      </c>
      <c r="S735">
        <f>IFERROR(O735/N735,0)</f>
        <v/>
      </c>
      <c r="T735" t="n">
        <v>0</v>
      </c>
      <c r="V735" t="n">
        <v>0</v>
      </c>
    </row>
    <row r="736">
      <c r="A736">
        <f>Skills!A19</f>
        <v/>
      </c>
      <c r="B736">
        <f>Skills!B19</f>
        <v/>
      </c>
      <c r="C736">
        <f>Inputs!$B$3&gt;=40</f>
        <v/>
      </c>
      <c r="D736">
        <f>IF(Skills!C19=1,60+Inputs!$B$25+Inputs!$B$29,IF(Skills!C19=2,90+Inputs!$B$26+Inputs!$B$29,IF(Skills!C19=3,120+(Inputs!$B$27+1)+Inputs!$B$29,MAX(0,(Inputs!$B$3-100)*3)+Inputs!$B$28+Inputs!$B$29)))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f>(1-Summary!$B$55)*T736+Summary!$B$55*V736</f>
        <v/>
      </c>
      <c r="P736">
        <f>IF(B752=0,0,O736/B752)</f>
        <v/>
      </c>
      <c r="Q736" t="n">
        <v>0</v>
      </c>
      <c r="R736" t="n">
        <v>0</v>
      </c>
      <c r="S736">
        <f>IFERROR(O736/N736,0)</f>
        <v/>
      </c>
      <c r="T736" t="n">
        <v>0</v>
      </c>
      <c r="V736" t="n">
        <v>0</v>
      </c>
    </row>
    <row r="737">
      <c r="A737">
        <f>Skills!A20</f>
        <v/>
      </c>
      <c r="B737">
        <f>Skills!B20</f>
        <v/>
      </c>
      <c r="C737">
        <f>Inputs!$B$3&gt;=43</f>
        <v/>
      </c>
      <c r="D737">
        <f>IF(Skills!C20=1,60+Inputs!$B$25+Inputs!$B$29,IF(Skills!C20=2,90+Inputs!$B$26+Inputs!$B$29,IF(Skills!C20=3,120+(Inputs!$B$27+1)+Inputs!$B$29,MAX(0,(Inputs!$B$3-100)*3)+Inputs!$B$28+Inputs!$B$29)))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f>(1-Summary!$B$55)*T737+Summary!$B$55*V737</f>
        <v/>
      </c>
      <c r="P737">
        <f>IF(B752=0,0,O737/B752)</f>
        <v/>
      </c>
      <c r="Q737" t="n">
        <v>0</v>
      </c>
      <c r="R737" t="n">
        <v>0</v>
      </c>
      <c r="S737">
        <f>IFERROR(O737/N737,0)</f>
        <v/>
      </c>
      <c r="T737" t="n">
        <v>0</v>
      </c>
      <c r="V737" t="n">
        <v>0</v>
      </c>
    </row>
    <row r="738">
      <c r="A738">
        <f>Skills!A21</f>
        <v/>
      </c>
      <c r="B738">
        <f>Skills!B21</f>
        <v/>
      </c>
      <c r="C738">
        <f>Inputs!$B$3&gt;=38</f>
        <v/>
      </c>
      <c r="D738">
        <f>IF(Skills!C21=1,60+Inputs!$B$25+Inputs!$B$29,IF(Skills!C21=2,90+Inputs!$B$26+Inputs!$B$29,IF(Skills!C21=3,120+(Inputs!$B$27+1)+Inputs!$B$29,MAX(0,(Inputs!$B$3-100)*3)+Inputs!$B$28+Inputs!$B$29)))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f>(1-Summary!$B$55)*T738+Summary!$B$55*V738</f>
        <v/>
      </c>
      <c r="P738">
        <f>IF(B752=0,0,O738/B752)</f>
        <v/>
      </c>
      <c r="Q738" t="n">
        <v>0</v>
      </c>
      <c r="R738" t="n">
        <v>0</v>
      </c>
      <c r="S738">
        <f>IFERROR(O738/N738,0)</f>
        <v/>
      </c>
      <c r="T738" t="n">
        <v>0</v>
      </c>
      <c r="V738" t="n">
        <v>0</v>
      </c>
    </row>
    <row r="739">
      <c r="A739">
        <f>Skills!A22</f>
        <v/>
      </c>
      <c r="B739">
        <f>Skills!B22</f>
        <v/>
      </c>
      <c r="C739">
        <f>Inputs!$B$3&gt;=75</f>
        <v/>
      </c>
      <c r="D739">
        <f>IF(Skills!C22=1,60+Inputs!$B$25+Inputs!$B$29,IF(Skills!C22=2,90+Inputs!$B$26+Inputs!$B$29,IF(Skills!C22=3,120+(Inputs!$B$27+1)+Inputs!$B$29,MAX(0,(Inputs!$B$3-100)*3)+Inputs!$B$28+Inputs!$B$29)))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f>(1-Summary!$B$55)*T739+Summary!$B$55*V739</f>
        <v/>
      </c>
      <c r="P739">
        <f>IF(B752=0,0,O739/B752)</f>
        <v/>
      </c>
      <c r="Q739" t="n">
        <v>0</v>
      </c>
      <c r="R739" t="n">
        <v>0</v>
      </c>
      <c r="S739">
        <f>IFERROR(O739/N739,0)</f>
        <v/>
      </c>
      <c r="T739" t="n">
        <v>0</v>
      </c>
      <c r="V739" t="n">
        <v>0</v>
      </c>
    </row>
    <row r="741">
      <c r="A741" t="inlineStr">
        <is>
          <t>Attack% Bucket Multiplier</t>
        </is>
      </c>
      <c r="B741">
        <f>(1+(((C730=TRUE)*F730)+((C736=TRUE)*(F736-Calc!F19)))/100)</f>
        <v/>
      </c>
    </row>
    <row r="742">
      <c r="A742" t="inlineStr">
        <is>
          <t>Global Crit Rate Bonus %</t>
        </is>
      </c>
      <c r="B742" t="n">
        <v>0</v>
      </c>
    </row>
    <row r="743">
      <c r="A743" t="inlineStr">
        <is>
          <t>Attack Speed Buff Bonus % (unused)</t>
        </is>
      </c>
      <c r="B743" t="n">
        <v>0</v>
      </c>
    </row>
    <row r="744">
      <c r="A744" t="inlineStr">
        <is>
          <t>Actions Per Second</t>
        </is>
      </c>
      <c r="B744">
        <f>1+MIN(150,150*(1-(1-(Inputs!$B$11+((C734=TRUE)*(F734-Calc!F17))+((C735=TRUE)*(F735-Calc!F18)))/150)*(1-B743/150)))/100</f>
        <v/>
      </c>
    </row>
    <row r="745">
      <c r="A745" t="inlineStr">
        <is>
          <t>Skill + Buff Cast Rate</t>
        </is>
      </c>
      <c r="B745">
        <f>IF(AND(Inputs!$B$38&lt;&gt;"pvp",Inputs!$B$43&gt;0),SUMPRODUCT((Skills!E2:E22=TRUE)*(C719:C739=TRUE)*R719:R739*Skills!F2:F22)/Inputs!$B$43,SUMPRODUCT((Skills!E2:E22=TRUE)*(C719:C739=TRUE)*Q719:Q739*Skills!F2:F22))</f>
        <v/>
      </c>
    </row>
    <row r="746">
      <c r="A746" t="inlineStr">
        <is>
          <t>Hook Bomber Casts Per Second</t>
        </is>
      </c>
      <c r="B746">
        <f>MAX(0,B744-B745)</f>
        <v/>
      </c>
    </row>
    <row r="747">
      <c r="A747" t="inlineStr">
        <is>
          <t>Global Critical Damage Bonus % (unused)</t>
        </is>
      </c>
      <c r="B747" t="n">
        <v>0</v>
      </c>
    </row>
    <row r="748">
      <c r="A748" t="inlineStr">
        <is>
          <t>Global Final Damage Bonus % (Serpent Scale + Crossbones + Time Leap + Speed Infusion)</t>
        </is>
      </c>
      <c r="B748">
        <f>((C722=TRUE)*F722*((10+IF(Inputs!$B$3&gt;=94,5,0))/((10+IF(Inputs!$B$3&gt;=94,5,0))+5/(B746*(1+IF(Inputs!$B$3&gt;=104,1,0))))))+((C731=TRUE)*F731)+((C732=TRUE)*F732)+((Inputs!$B$3&gt;=110)*20*(B744-1))</f>
        <v/>
      </c>
    </row>
    <row r="749">
      <c r="A749" t="inlineStr">
        <is>
          <t>Buff-Casting Startup Delay (s, fixed-duration only)</t>
        </is>
      </c>
      <c r="B749">
        <f>IF(AND(Inputs!$B$38&lt;&gt;"pvp",Inputs!$B$43&gt;0),SUMPRODUCT((Skills!T2:T22&gt;0)*(Skills!E2:E22=TRUE)*(C719:C739=TRUE))/B744,0)</f>
        <v/>
      </c>
    </row>
    <row r="750">
      <c r="A750" t="inlineStr">
        <is>
          <t>Boss-Only Total DPS (this block's swept value)</t>
        </is>
      </c>
      <c r="B750">
        <f>SUM(T719:T739)</f>
        <v/>
      </c>
    </row>
    <row r="751">
      <c r="A751" t="inlineStr">
        <is>
          <t>Normal-Only Total DPS (this block's swept value)</t>
        </is>
      </c>
      <c r="B751">
        <f>SUM(V719:V739)</f>
        <v/>
      </c>
    </row>
    <row r="752">
      <c r="A752" s="5" t="inlineStr">
        <is>
          <t>TOTAL DPS</t>
        </is>
      </c>
      <c r="B752" s="5">
        <f>SUM(O719:O739)</f>
        <v/>
      </c>
    </row>
    <row r="755">
      <c r="A755" s="5" t="inlineStr">
        <is>
          <t>Stat: Skill Level Bonus — 4th Job</t>
        </is>
      </c>
    </row>
    <row r="756">
      <c r="A756" s="9" t="inlineStr">
        <is>
          <t>Key</t>
        </is>
      </c>
      <c r="B756" s="9" t="inlineStr">
        <is>
          <t>Name</t>
        </is>
      </c>
      <c r="C756" s="9" t="inlineStr">
        <is>
          <t>Unlocked</t>
        </is>
      </c>
      <c r="D756" s="9" t="inlineStr">
        <is>
          <t>InputLevel</t>
        </is>
      </c>
      <c r="E756" s="9" t="inlineStr">
        <is>
          <t>Factor</t>
        </is>
      </c>
      <c r="F756" s="9" t="inlineStr">
        <is>
          <t>CoefficientPercent</t>
        </is>
      </c>
      <c r="G756" s="9" t="inlineStr">
        <is>
          <t>EffectiveHits</t>
        </is>
      </c>
      <c r="H756" s="9" t="inlineStr">
        <is>
          <t>ProcProbability</t>
        </is>
      </c>
      <c r="I756" s="9" t="inlineStr">
        <is>
          <t>MapleHeroMultiplier</t>
        </is>
      </c>
      <c r="J756" s="9" t="inlineStr">
        <is>
          <t>BaseDamage</t>
        </is>
      </c>
      <c r="K756" s="9" t="inlineStr">
        <is>
          <t>BaseHitDamage</t>
        </is>
      </c>
      <c r="L756" s="9" t="inlineStr">
        <is>
          <t>NonCritAvg</t>
        </is>
      </c>
      <c r="M756" s="9" t="inlineStr">
        <is>
          <t>CritAvg</t>
        </is>
      </c>
      <c r="N756" s="9" t="inlineStr">
        <is>
          <t>ExpectedDamage(perHit)</t>
        </is>
      </c>
      <c r="O756" s="9" t="inlineStr">
        <is>
          <t>DPS</t>
        </is>
      </c>
      <c r="P756" s="9" t="inlineStr">
        <is>
          <t>% of Total</t>
        </is>
      </c>
      <c r="Q756" s="9" t="inlineStr">
        <is>
          <t>InvCooldown</t>
        </is>
      </c>
      <c r="R756" s="9" t="inlineStr">
        <is>
          <t>CastsInFight</t>
        </is>
      </c>
      <c r="S756" s="9"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((Inputs!$B$6*(1+Inputs!$B$7/100))+(((Inputs!$B$12*(1+Inputs!$B$13/100))-(Inputs!$B$12*(1+Inputs!$B$13/100)))+0.25*(Inputs!$B$14-Inputs!$B$14))*(1+Inputs!$B$7/100))*(F757/100)</f>
        <v/>
      </c>
      <c r="K757">
        <f>J757*(1+((Inputs!$B$12*(1+Inputs!$B$13/100))*0.01+Inputs!$B$14*0.0025)/100)*(1+Inputs!$B$15/100)*(1+Inputs!$B$16/100)*(5000/(6000+Inputs!$B$42*(1-(Inputs!$B$19+0)/100)))*(1+(Inputs!$B$24+((C777=TRUE)*(F777-Calc!F22))+B786)/100)*(1+(IF(Skills!A2="HOOK_BOMBER",Inputs!$B$17+((C776=TRUE)*(F776-Calc!F21)),Inputs!$B$18+0))/100)*((1+(((C768=TRUE)*F768)+((C774=TRUE)*(F774-Calc!F19)))/100)*I757)</f>
        <v/>
      </c>
      <c r="L757">
        <f>K757*(MIN(Inputs!$B$22+((C775=TRUE)*(F775-Calc!F20)),Inputs!$B$23+0)/100+(Inputs!$B$23+0)/100)/2</f>
        <v/>
      </c>
      <c r="M757">
        <f>L757*(1+(Inputs!$B$10+0+B785)/100)</f>
        <v/>
      </c>
      <c r="N757">
        <f>L757*(1-MIN((Inputs!$B$9+((C771=TRUE)*(F771-Calc!F16))+B780),100)/100)+M757*(MIN((Inputs!$B$9+((C771=TRUE)*(F771-Calc!F16))+B780),100)/100)</f>
        <v/>
      </c>
      <c r="O757">
        <f>(1-Summary!$B$55)*T757+Summary!$B$55*V757</f>
        <v/>
      </c>
      <c r="P757">
        <f>IF(B790=0,0,O757/B790)</f>
        <v/>
      </c>
      <c r="Q757" t="n">
        <v>0</v>
      </c>
      <c r="R757" t="n">
        <v>0</v>
      </c>
      <c r="S757">
        <f>IFERROR(O757/N757,0)</f>
        <v/>
      </c>
      <c r="T757">
        <f>IF(C757,(Skills!G2*N757*B784)*IF(Inputs!$B$38="pvp",1,1+(Inputs!$B$20+0+Skills!P2)/100),0)</f>
        <v/>
      </c>
      <c r="U757">
        <f>MAX(0,(Inputs!$B$3-100)*3)+(Inputs!$B$28+1)+Inputs!$B$29</f>
        <v/>
      </c>
      <c r="V757">
        <f>IF(C757,(Skills!G2*N757*B784)*IF(Inputs!$B$38="pvp",1,(1+(Inputs!$B$21+Skills!Q2)/100)*(MIN((6+Inputs!$B$33),Inputs!$B$37))),0)</f>
        <v/>
      </c>
    </row>
    <row r="758">
      <c r="A758">
        <f>Skills!A3</f>
        <v/>
      </c>
      <c r="B758">
        <f>Skills!B3</f>
        <v/>
      </c>
      <c r="C758">
        <f>Inputs!$B$3&gt;=35</f>
        <v/>
      </c>
      <c r="D758">
        <f>IF(Skills!C3=1,60+Inputs!$B$25+Inputs!$B$29,IF(Skills!C3=2,90+Inputs!$B$26+Inputs!$B$29,IF(Skills!C3=3,120+Inputs!$B$27+Inputs!$B$29,MAX(0,(Inputs!$B$3-100)*3)+(Inputs!$B$28+1)+Inputs!$B$29)))</f>
        <v/>
      </c>
      <c r="E758">
        <f>INDEX(FactorTable!$B$2:$Y$301, MATCH(ROUND(MIN(300,MAX(1,D758)),0), FactorTable!$A$2:$A$301,0), Skills!M3+1)</f>
        <v/>
      </c>
      <c r="F758">
        <f>IF(Skills!N3=TRUE,(Skills!L3/10)*(E758/1000),Skills!L3/10)+Skills!O3</f>
        <v/>
      </c>
      <c r="G758">
        <f>Skills!G3*IF(Skills!H3&gt;0,Skills!I3/Skills!H3,1)</f>
        <v/>
      </c>
      <c r="H758">
        <f>1-(1-Skills!J3/100)^Skills!K3</f>
        <v/>
      </c>
      <c r="I758" t="inlineStr">
        <is>
          <t>1</t>
        </is>
      </c>
      <c r="J758">
        <f>((Inputs!$B$6*(1+Inputs!$B$7/100))+(((Inputs!$B$12*(1+Inputs!$B$13/100))-(Inputs!$B$12*(1+Inputs!$B$13/100)))+0.25*(Inputs!$B$14-Inputs!$B$14))*(1+Inputs!$B$7/100))*(F758/100)</f>
        <v/>
      </c>
      <c r="K758">
        <f>J758*(1+((Inputs!$B$12*(1+Inputs!$B$13/100))*0.01+Inputs!$B$14*0.0025)/100)*(1+Inputs!$B$15/100)*(1+Inputs!$B$16/100)*(5000/(6000+Inputs!$B$42*(1-(Inputs!$B$19+0)/100)))*(1+(Inputs!$B$24+((C777=TRUE)*(F777-Calc!F22))+B786)/100)*(1+(IF(Skills!A3="HOOK_BOMBER",Inputs!$B$17+((C776=TRUE)*(F776-Calc!F21)),Inputs!$B$18+0))/100)*((1+(((C768=TRUE)*F768)+((C774=TRUE)*(F774-Calc!F19)))/100)*I758)</f>
        <v/>
      </c>
      <c r="L758">
        <f>K758*(MIN(Inputs!$B$22+((C775=TRUE)*(F775-Calc!F20)),Inputs!$B$23+0)/100+(Inputs!$B$23+0)/100)/2</f>
        <v/>
      </c>
      <c r="M758">
        <f>L758*(1+(Inputs!$B$10+0+B785)/100)</f>
        <v/>
      </c>
      <c r="N758">
        <f>L758*(1-MIN((Inputs!$B$9+((C771=TRUE)*(F771-Calc!F16))+B780),100)/100)+M758*(MIN((Inputs!$B$9+((C771=TRUE)*(F771-Calc!F16))+B780),100)/100)</f>
        <v/>
      </c>
      <c r="O758">
        <f>(1-Summary!$B$55)*T758+Summary!$B$55*V758</f>
        <v/>
      </c>
      <c r="P758">
        <f>IF(B790=0,0,O758/B790)</f>
        <v/>
      </c>
      <c r="Q758" t="n">
        <v>0</v>
      </c>
      <c r="R758" t="n">
        <v>0</v>
      </c>
      <c r="S758">
        <f>IFERROR(O758/N758,0)</f>
        <v/>
      </c>
      <c r="T758">
        <f>IF(C758,(Skills!G3*H758*N758*B784)*IF(Inputs!$B$38="pvp",1,1+(Inputs!$B$20+0+Skills!P3)/100),0)</f>
        <v/>
      </c>
      <c r="U758">
        <f>INDEX(FactorTable!$B$2:$Y$301, MATCH(ROUND(MIN(300,MAX(1,U757)),0), FactorTable!$A$2:$A$301,0), 22)</f>
        <v/>
      </c>
      <c r="V758">
        <f>IF(C758,(Skills!G3*H758*N758*B784)*IF(Inputs!$B$38="pvp",1,(1+(Inputs!$B$21+Skills!Q3)/100)*(MIN(Skills!R3,Inputs!$B$37))),0)</f>
        <v/>
      </c>
    </row>
    <row r="759">
      <c r="A759">
        <f>Skills!A4</f>
        <v/>
      </c>
      <c r="B759">
        <f>Skills!B4</f>
        <v/>
      </c>
      <c r="C759">
        <f>Inputs!$B$3&gt;=60</f>
        <v/>
      </c>
      <c r="D759">
        <f>IF(Skills!C4=1,60+Inputs!$B$25+Inputs!$B$29,IF(Skills!C4=2,90+Inputs!$B$26+Inputs!$B$29,IF(Skills!C4=3,120+Inputs!$B$27+Inputs!$B$29,MAX(0,(Inputs!$B$3-100)*3)+(Inputs!$B$28+1)+Inputs!$B$29)))</f>
        <v/>
      </c>
      <c r="E759">
        <f>INDEX(FactorTable!$B$2:$Y$301, MATCH(ROUND(MIN(300,MAX(1,D759)),0), FactorTable!$A$2:$A$301,0), Skills!M4+1)</f>
        <v/>
      </c>
      <c r="F759">
        <f>IF(Skills!N4=TRUE,(Skills!L4/10)*(E759/1000),Skills!L4/10)+Skills!O4</f>
        <v/>
      </c>
      <c r="G759">
        <f>Skills!G4*IF(Skills!H4&gt;0,Skills!I4/Skills!H4,1)</f>
        <v/>
      </c>
      <c r="H759">
        <f>1-(1-Skills!J4/100)^Skills!K4</f>
        <v/>
      </c>
      <c r="I759" t="inlineStr">
        <is>
          <t>1</t>
        </is>
      </c>
      <c r="J759">
        <f>((Inputs!$B$6*(1+Inputs!$B$7/100))+(((Inputs!$B$12*(1+Inputs!$B$13/100))-(Inputs!$B$12*(1+Inputs!$B$13/100)))+0.25*(Inputs!$B$14-Inputs!$B$14))*(1+Inputs!$B$7/100))*(F759/100)</f>
        <v/>
      </c>
      <c r="K759">
        <f>J759*(1+((Inputs!$B$12*(1+Inputs!$B$13/100))*0.01+Inputs!$B$14*0.0025)/100)*(1+Inputs!$B$15/100)*(1+Inputs!$B$16/100)*(5000/(6000+Inputs!$B$42*(1-(Inputs!$B$19+0)/100)))*(1+(Inputs!$B$24+((C777=TRUE)*(F777-Calc!F22))+B786)/100)*(1+1.0*IF(C767=TRUE,F767,0)/100)*(1+(IF(Skills!A4="HOOK_BOMBER",Inputs!$B$17+((C776=TRUE)*(F776-Calc!F21)),Inputs!$B$18+0))/100)*((1+(((C768=TRUE)*F768)+((C774=TRUE)*(F774-Calc!F19)))/100)*I759)</f>
        <v/>
      </c>
      <c r="L759">
        <f>K759*(MIN(Inputs!$B$22+((C775=TRUE)*(F775-Calc!F20)),Inputs!$B$23+0)/100+(Inputs!$B$23+0)/100)/2</f>
        <v/>
      </c>
      <c r="M759">
        <f>L759*(1+(Inputs!$B$10+0+B785)/100)</f>
        <v/>
      </c>
      <c r="N759">
        <f>L759*(1-MIN((Inputs!$B$9+((C771=TRUE)*(F771-Calc!F16))+B780),100)/100)+M759*(MIN((Inputs!$B$9+((C771=TRUE)*(F771-Calc!F16))+B780),100)/100)</f>
        <v/>
      </c>
      <c r="O759">
        <f>(1-Summary!$B$55)*T759+Summary!$B$55*V759</f>
        <v/>
      </c>
      <c r="P759">
        <f>IF(B790=0,0,O759/B790)</f>
        <v/>
      </c>
      <c r="Q759" t="n">
        <v>0</v>
      </c>
      <c r="R759" t="n">
        <v>0</v>
      </c>
      <c r="S759">
        <f>IFERROR(O759/N759,0)</f>
        <v/>
      </c>
      <c r="T759">
        <f>IF(C759,(Skills!G4*H759*N759*B784)*IF(Inputs!$B$38="pvp",1,1+(Inputs!$B$20+0+Skills!P4)/100),0)</f>
        <v/>
      </c>
      <c r="U759">
        <f>290*U758/1000</f>
        <v/>
      </c>
      <c r="V759">
        <f>IF(C759,(Skills!G4*H759*N759*B784)*IF(Inputs!$B$38="pvp",1,(1+(Inputs!$B$21+Skills!Q4)/100)*(MIN(Skills!R4,Inputs!$B$37))),0)</f>
        <v/>
      </c>
    </row>
    <row r="760">
      <c r="A760">
        <f>Skills!A5</f>
        <v/>
      </c>
      <c r="B760">
        <f>Skills!B5</f>
        <v/>
      </c>
      <c r="C760">
        <f>Inputs!$B$3&gt;=60</f>
        <v/>
      </c>
      <c r="D760">
        <f>IF(Skills!C5=1,60+Inputs!$B$25+Inputs!$B$29,IF(Skills!C5=2,90+Inputs!$B$26+Inputs!$B$29,IF(Skills!C5=3,120+Inputs!$B$27+Inputs!$B$29,MAX(0,(Inputs!$B$3-100)*3)+(Inputs!$B$28+1)+Inputs!$B$29)))</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t="inlineStr"/>
      <c r="K760" t="inlineStr"/>
      <c r="L760" t="inlineStr"/>
      <c r="M760" t="inlineStr"/>
      <c r="N760" t="inlineStr"/>
      <c r="O760">
        <f>(1-Summary!$B$55)*T760+Summary!$B$55*V760</f>
        <v/>
      </c>
      <c r="P760">
        <f>IF(B790=0,0,O760/B790)</f>
        <v/>
      </c>
      <c r="Q760" t="n">
        <v>0</v>
      </c>
      <c r="R760" t="n">
        <v>0</v>
      </c>
      <c r="S760">
        <f>IFERROR(O760/N760,0)</f>
        <v/>
      </c>
      <c r="T760" t="n">
        <v>0</v>
      </c>
      <c r="V760" t="n">
        <v>0</v>
      </c>
    </row>
    <row r="761">
      <c r="A761">
        <f>Skills!A6</f>
        <v/>
      </c>
      <c r="B761">
        <f>Skills!B6</f>
        <v/>
      </c>
      <c r="C761">
        <f>Inputs!$B$3&gt;=63</f>
        <v/>
      </c>
      <c r="D761">
        <f>IF(Skills!C6=1,60+Inputs!$B$25+Inputs!$B$29,IF(Skills!C6=2,90+Inputs!$B$26+Inputs!$B$29,IF(Skills!C6=3,120+Inputs!$B$27+Inputs!$B$29,MAX(0,(Inputs!$B$3-100)*3)+(Inputs!$B$28+1)+Inputs!$B$29)))</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((Inputs!$B$6*(1+Inputs!$B$7/100))+(((Inputs!$B$12*(1+Inputs!$B$13/100))-(Inputs!$B$12*(1+Inputs!$B$13/100)))+0.25*(Inputs!$B$14-Inputs!$B$14))*(1+Inputs!$B$7/100))*(F761/100)</f>
        <v/>
      </c>
      <c r="K761">
        <f>J761*(1+((Inputs!$B$12*(1+Inputs!$B$13/100))*0.01+Inputs!$B$14*0.0025)/100)*(1+Inputs!$B$15/100)*(1+Inputs!$B$16/100)*(5000/(6000+Inputs!$B$42*(1-(Inputs!$B$19+0)/100)))*(1+(Inputs!$B$24+((C777=TRUE)*(F777-Calc!F22))+B786)/100)*(1+(IF(Skills!A6="HOOK_BOMBER",Inputs!$B$17+((C776=TRUE)*(F776-Calc!F21)),Inputs!$B$18+0))/100)*((1+(((C768=TRUE)*F768)+((C774=TRUE)*(F774-Calc!F19)))/100)*I761)</f>
        <v/>
      </c>
      <c r="L761">
        <f>K761*(MIN(Inputs!$B$22+((C775=TRUE)*(F775-Calc!F20)),Inputs!$B$23+0)/100+(Inputs!$B$23+0)/100)/2</f>
        <v/>
      </c>
      <c r="M761">
        <f>L761*(1+(Inputs!$B$10+0+B785)/100)</f>
        <v/>
      </c>
      <c r="N761">
        <f>L761*(1-MIN((Inputs!$B$9+((C771=TRUE)*(F771-Calc!F16))+B780),100)/100)+M761*(MIN((Inputs!$B$9+((C771=TRUE)*(F771-Calc!F16))+B780),100)/100)</f>
        <v/>
      </c>
      <c r="O761">
        <f>(1-Summary!$B$55)*T761+Summary!$B$55*V761</f>
        <v/>
      </c>
      <c r="P761">
        <f>IF(B790=0,0,O761/B790)</f>
        <v/>
      </c>
      <c r="Q761">
        <f>IFERROR(1/IF(Inputs!$B$38="pvp",15,MAX(0.1,Skills!D6-IF(Skills!E6=TRUE,Inputs!$B$32,0))),0)</f>
        <v/>
      </c>
      <c r="R761">
        <f>IF(AND(Inputs!$B$38&lt;&gt;"pvp",Inputs!$B$43&gt;0),IF(MAX(0,Inputs!$B$43-B787)&lt;=0,0,(INT(MAX(0,Inputs!$B$43-B787)/IF(Inputs!$B$38="pvp",15,MAX(0.1,Skills!D6-IF(Skills!E6=TRUE,Inputs!$B$32,0))))+1)),0)</f>
        <v/>
      </c>
      <c r="S761">
        <f>IFERROR(O761/N761,0)</f>
        <v/>
      </c>
      <c r="T761">
        <f>IF(C761,(H761*N761*IF(AND(Inputs!$B$38&lt;&gt;"pvp",Inputs!$B$43&gt;0),((Skills!G6*((R761-1)*IF(Skills!H6&gt;0,Skills!I6/Skills!H6,1)+IF(Skills!H6&gt;0,MIN(Skills!I6,MAX(0,MAX(0,Inputs!$B$43-B787)-((R761-1)*IF(Inputs!$B$38="pvp",15,MAX(0.1,Skills!D6-IF(Skills!E6=TRUE,Inputs!$B$32,0))))))/Skills!H6,1)))/Inputs!$B$43),G761*Q761))*IF(Inputs!$B$38="pvp",1,1+(Inputs!$B$20+0+Skills!P6)/100),0)</f>
        <v/>
      </c>
      <c r="V761">
        <f>IF(C761,(H761*N761*IF(AND(Inputs!$B$38&lt;&gt;"pvp",Inputs!$B$43&gt;0),((Skills!G6*((R761-1)*IF(Skills!H6&gt;0,Skills!I6/Skills!H6,1)+IF(Skills!H6&gt;0,MIN(Skills!I6,MAX(0,MAX(0,Inputs!$B$43-B787)-((R761-1)*IF(Inputs!$B$38="pvp",15,MAX(0.1,Skills!D6-IF(Skills!E6=TRUE,Inputs!$B$32,0))))))/Skills!H6,1)))/Inputs!$B$43),G761*Q761))*IF(Inputs!$B$38="pvp",1,(1+(Inputs!$B$21+Skills!Q6)/100)*(MIN(Skills!R6,Inputs!$B$37))),0)</f>
        <v/>
      </c>
    </row>
    <row r="762">
      <c r="A762">
        <f>Skills!A7</f>
        <v/>
      </c>
      <c r="B762">
        <f>Skills!B7</f>
        <v/>
      </c>
      <c r="C762">
        <f>Inputs!$B$3&gt;=100</f>
        <v/>
      </c>
      <c r="D762">
        <f>IF(Skills!C7=1,60+Inputs!$B$25+Inputs!$B$29,IF(Skills!C7=2,90+Inputs!$B$26+Inputs!$B$29,IF(Skills!C7=3,120+Inputs!$B$27+Inputs!$B$29,MAX(0,(Inputs!$B$3-100)*3)+(Inputs!$B$28+1)+Inputs!$B$29)))</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((Inputs!$B$6*(1+Inputs!$B$7/100))+(((Inputs!$B$12*(1+Inputs!$B$13/100))-(Inputs!$B$12*(1+Inputs!$B$13/100)))+0.25*(Inputs!$B$14-Inputs!$B$14))*(1+Inputs!$B$7/100))*(F762/100)</f>
        <v/>
      </c>
      <c r="K762">
        <f>J762*(1+((Inputs!$B$12*(1+Inputs!$B$13/100))*0.01+Inputs!$B$14*0.0025)/100)*(1+Inputs!$B$15/100)*(1+Inputs!$B$16/100)*(5000/(6000+Inputs!$B$42*(1-(Inputs!$B$19+0)/100)))*(1+(Inputs!$B$24+((C777=TRUE)*(F777-Calc!F22))+B786)/100)*(1+(IF(Skills!A7="HOOK_BOMBER",Inputs!$B$17+((C776=TRUE)*(F776-Calc!F21)),Inputs!$B$18+0))/100)*((1+(((C768=TRUE)*F768)+((C774=TRUE)*(F774-Calc!F19)))/100)*I762)</f>
        <v/>
      </c>
      <c r="L762">
        <f>K762*(MIN(Inputs!$B$22+((C775=TRUE)*(F775-Calc!F20)),Inputs!$B$23+0)/100+(Inputs!$B$23+0)/100)/2</f>
        <v/>
      </c>
      <c r="M762">
        <f>L762*(1+(Inputs!$B$10+0+B785)/100)</f>
        <v/>
      </c>
      <c r="N762">
        <f>L762*(1-MIN((Inputs!$B$9+((C771=TRUE)*(F771-Calc!F16))+B780),100)/100)+M762*(MIN((Inputs!$B$9+((C771=TRUE)*(F771-Calc!F16))+B780),100)/100)</f>
        <v/>
      </c>
      <c r="O762">
        <f>(1-Summary!$B$55)*T762+Summary!$B$55*V762</f>
        <v/>
      </c>
      <c r="P762">
        <f>IF(B790=0,0,O762/B790)</f>
        <v/>
      </c>
      <c r="Q762">
        <f>IFERROR(1/IF(Inputs!$B$38="pvp",15,MAX(0.1,Skills!D7-IF(Skills!E7=TRUE,Inputs!$B$32,0))),0)</f>
        <v/>
      </c>
      <c r="R762">
        <f>IF(AND(Inputs!$B$38&lt;&gt;"pvp",Inputs!$B$43&gt;0),IF(MAX(0,Inputs!$B$43-B787)&lt;=0,0,(INT(MAX(0,Inputs!$B$43-B787)/IF(Inputs!$B$38="pvp",15,MAX(0.1,Skills!D7-IF(Skills!E7=TRUE,Inputs!$B$32,0))))+1)),0)</f>
        <v/>
      </c>
      <c r="S762">
        <f>IFERROR(O762/N762,0)</f>
        <v/>
      </c>
      <c r="T762">
        <f>IF(C762,(H762*N762*IF(AND(Inputs!$B$38&lt;&gt;"pvp",Inputs!$B$43&gt;0),((Skills!G7*((R762-1)*IF(Skills!H7&gt;0,Skills!I7/Skills!H7,1)+IF(Skills!H7&gt;0,MIN(Skills!I7,MAX(0,MAX(0,Inputs!$B$43-B787)-((R762-1)*IF(Inputs!$B$38="pvp",15,MAX(0.1,Skills!D7-IF(Skills!E7=TRUE,Inputs!$B$32,0))))))/Skills!H7,1)))/Inputs!$B$43),G762*Q762))*IF(Inputs!$B$38="pvp",1,1+(Inputs!$B$20+0+Skills!P7)/100),0)</f>
        <v/>
      </c>
      <c r="V762">
        <f>IF(C762,(H762*N762*IF(AND(Inputs!$B$38&lt;&gt;"pvp",Inputs!$B$43&gt;0),((Skills!G7*((R762-1)*IF(Skills!H7&gt;0,Skills!I7/Skills!H7,1)+IF(Skills!H7&gt;0,MIN(Skills!I7,MAX(0,MAX(0,Inputs!$B$43-B787)-((R762-1)*IF(Inputs!$B$38="pvp",15,MAX(0.1,Skills!D7-IF(Skills!E7=TRUE,Inputs!$B$32,0))))))/Skills!H7,1)))/Inputs!$B$43),G762*Q762))*IF(Inputs!$B$38="pvp",1,(1+(Inputs!$B$21+Skills!Q7)/100)*(MIN(Skills!R7,Inputs!$B$37))),0)</f>
        <v/>
      </c>
    </row>
    <row r="763">
      <c r="A763">
        <f>Skills!A8</f>
        <v/>
      </c>
      <c r="B763">
        <f>Skills!B8</f>
        <v/>
      </c>
      <c r="C763">
        <f>Inputs!$B$3&gt;=110</f>
        <v/>
      </c>
      <c r="D763">
        <f>IF(Skills!C8=1,60+Inputs!$B$25+Inputs!$B$29,IF(Skills!C8=2,90+Inputs!$B$26+Inputs!$B$29,IF(Skills!C8=3,120+Inputs!$B$27+Inputs!$B$29,MAX(0,(Inputs!$B$3-100)*3)+(Inputs!$B$28+1)+Inputs!$B$29)))</f>
        <v/>
      </c>
      <c r="E763">
        <f>INDEX(FactorTable!$B$2:$Y$301, MATCH(ROUND(MIN(300,MAX(1,D763)),0), FactorTable!$A$2:$A$301,0), Skills!M8+1)</f>
        <v/>
      </c>
      <c r="F763">
        <f>IF(Skills!N8=TRUE,(Skills!L8/10)*(E763/1000),Skills!L8/10)+Skills!O8</f>
        <v/>
      </c>
      <c r="G763">
        <f>Skills!G8*IF(Skills!H8&gt;0,Skills!I8/Skills!H8,1)</f>
        <v/>
      </c>
      <c r="H763">
        <f>1-(1-Skills!J8/100)^Skills!K8</f>
        <v/>
      </c>
      <c r="I763" t="inlineStr">
        <is>
          <t>1</t>
        </is>
      </c>
      <c r="J763">
        <f>((Inputs!$B$6*(1+Inputs!$B$7/100))+(((Inputs!$B$12*(1+Inputs!$B$13/100))-(Inputs!$B$12*(1+Inputs!$B$13/100)))+0.25*(Inputs!$B$14-Inputs!$B$14))*(1+Inputs!$B$7/100))*(F763/100)</f>
        <v/>
      </c>
      <c r="K763">
        <f>J763*(1+((Inputs!$B$12*(1+Inputs!$B$13/100))*0.01+Inputs!$B$14*0.0025)/100)*(1+Inputs!$B$15/100)*(1+Inputs!$B$16/100)*(5000/(6000+Inputs!$B$42*(1-(Inputs!$B$19+0)/100)))*(1+(Inputs!$B$24+((C777=TRUE)*(F777-Calc!F22))+B786)/100)*(1+(IF(Skills!A8="HOOK_BOMBER",Inputs!$B$17+((C776=TRUE)*(F776-Calc!F21)),Inputs!$B$18+0))/100)*((1+(((C768=TRUE)*F768)+((C774=TRUE)*(F774-Calc!F19)))/100)*I763)</f>
        <v/>
      </c>
      <c r="L763">
        <f>K763*(MIN(Inputs!$B$22+((C775=TRUE)*(F775-Calc!F20)),Inputs!$B$23+0)/100+(Inputs!$B$23+0)/100)/2</f>
        <v/>
      </c>
      <c r="M763">
        <f>L763*(1+(Inputs!$B$10+0+B785)/100)</f>
        <v/>
      </c>
      <c r="N763">
        <f>L763*(1-MIN((Inputs!$B$9+((C771=TRUE)*(F771-Calc!F16))+B780),100)/100)+M763*(MIN((Inputs!$B$9+((C771=TRUE)*(F771-Calc!F16))+B780),100)/100)</f>
        <v/>
      </c>
      <c r="O763">
        <f>(1-Summary!$B$55)*T763+Summary!$B$55*V763</f>
        <v/>
      </c>
      <c r="P763">
        <f>IF(B790=0,0,O763/B790)</f>
        <v/>
      </c>
      <c r="Q763">
        <f>IFERROR(1/IF(Inputs!$B$38="pvp",15,MAX(0.1,Skills!D8-IF(Skills!E8=TRUE,Inputs!$B$32,0))),0)</f>
        <v/>
      </c>
      <c r="R763">
        <f>IF(AND(Inputs!$B$38&lt;&gt;"pvp",Inputs!$B$43&gt;0),IF(MAX(0,Inputs!$B$43-B787)&lt;=0,0,(INT(MAX(0,Inputs!$B$43-B787)/IF(Inputs!$B$38="pvp",15,MAX(0.1,Skills!D8-IF(Skills!E8=TRUE,Inputs!$B$32,0))))+1)),0)</f>
        <v/>
      </c>
      <c r="S763">
        <f>IFERROR(O763/N763,0)</f>
        <v/>
      </c>
      <c r="T763">
        <f>IF(C763,(H763*N763*IF(AND(Inputs!$B$38&lt;&gt;"pvp",Inputs!$B$43&gt;0),((Skills!G8*((R763-1)*IF(Skills!H8&gt;0,Skills!I8/Skills!H8,1)+IF(Skills!H8&gt;0,MIN(Skills!I8,MAX(0,MAX(0,Inputs!$B$43-B787)-((R763-1)*IF(Inputs!$B$38="pvp",15,MAX(0.1,Skills!D8-IF(Skills!E8=TRUE,Inputs!$B$32,0))))))/Skills!H8,1)))/Inputs!$B$43),G763*Q763))*IF(Inputs!$B$38="pvp",1,1+(Inputs!$B$20+0+Skills!P8)/100),0)</f>
        <v/>
      </c>
      <c r="V763">
        <f>IF(C763,(H763*N763*IF(AND(Inputs!$B$38&lt;&gt;"pvp",Inputs!$B$43&gt;0),((Skills!G8*((R763-1)*IF(Skills!H8&gt;0,Skills!I8/Skills!H8,1)+IF(Skills!H8&gt;0,MIN(Skills!I8,MAX(0,MAX(0,Inputs!$B$43-B787)-((R763-1)*IF(Inputs!$B$38="pvp",15,MAX(0.1,Skills!D8-IF(Skills!E8=TRUE,Inputs!$B$32,0))))))/Skills!H8,1)))/Inputs!$B$43),G763*Q763))*IF(Inputs!$B$38="pvp",1,(1+(Inputs!$B$21+Skills!Q8)/100)*(MIN(Skills!R8,Inputs!$B$37))),0)</f>
        <v/>
      </c>
    </row>
    <row r="764">
      <c r="A764">
        <f>Skills!A9</f>
        <v/>
      </c>
      <c r="B764">
        <f>Skills!B9</f>
        <v/>
      </c>
      <c r="C764">
        <f>Inputs!$B$3&gt;=110</f>
        <v/>
      </c>
      <c r="D764">
        <f>IF(Skills!C9=1,60+Inputs!$B$25+Inputs!$B$29,IF(Skills!C9=2,90+Inputs!$B$26+Inputs!$B$29,IF(Skills!C9=3,120+Inputs!$B$27+Inputs!$B$29,MAX(0,(Inputs!$B$3-100)*3)+(Inputs!$B$28+1)+Inputs!$B$29)))</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((Inputs!$B$6*(1+Inputs!$B$7/100))+(((Inputs!$B$12*(1+Inputs!$B$13/100))-(Inputs!$B$12*(1+Inputs!$B$13/100)))+0.25*(Inputs!$B$14-Inputs!$B$14))*(1+Inputs!$B$7/100))*(F764/100)</f>
        <v/>
      </c>
      <c r="K764">
        <f>J764*(1+((Inputs!$B$12*(1+Inputs!$B$13/100))*0.01+Inputs!$B$14*0.0025)/100)*(1+Inputs!$B$15/100)*(1+Inputs!$B$16/100)*(5000/(6000+Inputs!$B$42*(1-(Inputs!$B$19+0)/100)))*(1+(Inputs!$B$24+((C777=TRUE)*(F777-Calc!F22))+B786)/100)*(1+(IF(Skills!A9="HOOK_BOMBER",Inputs!$B$17+((C776=TRUE)*(F776-Calc!F21)),Inputs!$B$18+0))/100)*((1+(((C768=TRUE)*F768)+((C774=TRUE)*(F774-Calc!F19)))/100)*I764)</f>
        <v/>
      </c>
      <c r="L764">
        <f>K764*(MIN(Inputs!$B$22+((C775=TRUE)*(F775-Calc!F20)),Inputs!$B$23+0)/100+(Inputs!$B$23+0)/100)/2</f>
        <v/>
      </c>
      <c r="M764">
        <f>L764*(1+(Inputs!$B$10+0+B785)/100)</f>
        <v/>
      </c>
      <c r="N764">
        <f>L764*(1-MIN((Inputs!$B$9+((C771=TRUE)*(F771-Calc!F16))+B780),100)/100)+M764*(MIN((Inputs!$B$9+((C771=TRUE)*(F771-Calc!F16))+B780),100)/100)</f>
        <v/>
      </c>
      <c r="O764">
        <f>(1-Summary!$B$55)*T764+Summary!$B$55*V764</f>
        <v/>
      </c>
      <c r="P764">
        <f>IF(B790=0,0,O764/B790)</f>
        <v/>
      </c>
      <c r="Q764">
        <f>IFERROR(1/IF(Inputs!$B$38="pvp",15,MAX(0.1,Skills!D9-IF(Skills!E9=TRUE,Inputs!$B$32,0))),0)</f>
        <v/>
      </c>
      <c r="R764">
        <f>IF(AND(Inputs!$B$38&lt;&gt;"pvp",Inputs!$B$43&gt;0),IF(MAX(0,Inputs!$B$43-B787)&lt;=0,0,(INT(MAX(0,Inputs!$B$43-B787)/IF(Inputs!$B$38="pvp",15,MAX(0.1,Skills!D9-IF(Skills!E9=TRUE,Inputs!$B$32,0))))+1)),0)</f>
        <v/>
      </c>
      <c r="S764">
        <f>IFERROR(O764/N764,0)</f>
        <v/>
      </c>
      <c r="T764">
        <f>IF(C764,(H764*N764*IF(AND(Inputs!$B$38&lt;&gt;"pvp",Inputs!$B$43&gt;0),((Skills!G9*((R764-1)*IF(Skills!H9&gt;0,Skills!I9/Skills!H9,1)+IF(Skills!H9&gt;0,MIN(Skills!I9,MAX(0,MAX(0,Inputs!$B$43-B787)-((R764-1)*IF(Inputs!$B$38="pvp",15,MAX(0.1,Skills!D9-IF(Skills!E9=TRUE,Inputs!$B$32,0))))))/Skills!H9,1)))/Inputs!$B$43),G764*Q764))*IF(Inputs!$B$38="pvp",1,1+(Inputs!$B$20+0+Skills!P9)/100),0)</f>
        <v/>
      </c>
      <c r="V764">
        <f>IF(C764,(H764*N764*IF(AND(Inputs!$B$38&lt;&gt;"pvp",Inputs!$B$43&gt;0),((Skills!G9*((R764-1)*IF(Skills!H9&gt;0,Skills!I9/Skills!H9,1)+IF(Skills!H9&gt;0,MIN(Skills!I9,MAX(0,MAX(0,Inputs!$B$43-B787)-((R764-1)*IF(Inputs!$B$38="pvp",15,MAX(0.1,Skills!D9-IF(Skills!E9=TRUE,Inputs!$B$32,0))))))/Skills!H9,1)))/Inputs!$B$43),G764*Q764))*IF(Inputs!$B$38="pvp",1,(1+(Inputs!$B$21+Skills!Q9)/100)*(MIN(Skills!R9,Inputs!$B$37))),0)</f>
        <v/>
      </c>
    </row>
    <row r="765">
      <c r="A765">
        <f>Skills!A10</f>
        <v/>
      </c>
      <c r="B765">
        <f>Skills!B10</f>
        <v/>
      </c>
      <c r="C765">
        <f>Inputs!$B$3&gt;=103</f>
        <v/>
      </c>
      <c r="D765">
        <f>IF(Skills!C10=1,60+Inputs!$B$25+Inputs!$B$29,IF(Skills!C10=2,90+Inputs!$B$26+Inputs!$B$29,IF(Skills!C10=3,120+Inputs!$B$27+Inputs!$B$29,MAX(0,(Inputs!$B$3-100)*3)+(Inputs!$B$28+1)+Inputs!$B$29)))</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((Inputs!$B$6*(1+Inputs!$B$7/100))+(((Inputs!$B$12*(1+Inputs!$B$13/100))-(Inputs!$B$12*(1+Inputs!$B$13/100)))+0.25*(Inputs!$B$14-Inputs!$B$14))*(1+Inputs!$B$7/100))*(F765/100)</f>
        <v/>
      </c>
      <c r="K765">
        <f>J765*(1+((Inputs!$B$12*(1+Inputs!$B$13/100))*0.01+Inputs!$B$14*0.0025)/100)*(1+Inputs!$B$15/100)*(1+Inputs!$B$16/100)*(5000/(6000+Inputs!$B$42*(1-(Inputs!$B$19+0)/100)))*(1+(Inputs!$B$24+((C777=TRUE)*(F777-Calc!F22))+B786)/100)*(1+(IF(Skills!A10="HOOK_BOMBER",Inputs!$B$17+((C776=TRUE)*(F776-Calc!F21)),Inputs!$B$18+0))/100)*((1+(((C768=TRUE)*F768)+((C774=TRUE)*(F774-Calc!F19)))/100)*I765)</f>
        <v/>
      </c>
      <c r="L765">
        <f>K765*(MIN(Inputs!$B$22+((C775=TRUE)*(F775-Calc!F20)),Inputs!$B$23+0)/100+(Inputs!$B$23+0)/100)/2</f>
        <v/>
      </c>
      <c r="M765">
        <f>L765*(1+(Inputs!$B$10+0+B785)/100)</f>
        <v/>
      </c>
      <c r="N765">
        <f>L765*(1-MIN((Inputs!$B$9+((C771=TRUE)*(F771-Calc!F16))+B780),100)/100)+M765*(MIN((Inputs!$B$9+((C771=TRUE)*(F771-Calc!F16))+B780),100)/100)</f>
        <v/>
      </c>
      <c r="O765">
        <f>(1-Summary!$B$55)*T765+Summary!$B$55*V765</f>
        <v/>
      </c>
      <c r="P765">
        <f>IF(B790=0,0,O765/B790)</f>
        <v/>
      </c>
      <c r="Q765">
        <f>IFERROR(1/IF(Inputs!$B$38="pvp",15,MAX(0.1,Skills!D10-IF(Skills!E10=TRUE,Inputs!$B$32,0))),0)</f>
        <v/>
      </c>
      <c r="R765">
        <f>IF(AND(Inputs!$B$38&lt;&gt;"pvp",Inputs!$B$43&gt;0),IF(MAX(0,Inputs!$B$43-B787)&lt;=0,0,(INT(MAX(0,Inputs!$B$43-B787)/IF(Inputs!$B$38="pvp",15,MAX(0.1,Skills!D10-IF(Skills!E10=TRUE,Inputs!$B$32,0))))+1)),0)</f>
        <v/>
      </c>
      <c r="S765">
        <f>IFERROR(O765/N765,0)</f>
        <v/>
      </c>
      <c r="T765">
        <f>IF(C765,(H765*N765*IF(AND(Inputs!$B$38&lt;&gt;"pvp",Inputs!$B$43&gt;0),((Skills!G10*((R765-1)*IF(Skills!H10&gt;0,Skills!I10/Skills!H10,1)+IF(Skills!H10&gt;0,MIN(Skills!I10,MAX(0,MAX(0,Inputs!$B$43-B787)-((R765-1)*IF(Inputs!$B$38="pvp",15,MAX(0.1,Skills!D10-IF(Skills!E10=TRUE,Inputs!$B$32,0))))))/Skills!H10,1)))/Inputs!$B$43),G765*Q765))*IF(Inputs!$B$38="pvp",1,1+(Inputs!$B$20+0+Skills!P10)/100),0)</f>
        <v/>
      </c>
      <c r="V765">
        <f>IF(C765,(H765*N765*IF(AND(Inputs!$B$38&lt;&gt;"pvp",Inputs!$B$43&gt;0),((Skills!G10*((R765-1)*IF(Skills!H10&gt;0,Skills!I10/Skills!H10,1)+IF(Skills!H10&gt;0,MIN(Skills!I10,MAX(0,MAX(0,Inputs!$B$43-B787)-((R765-1)*IF(Inputs!$B$38="pvp",15,MAX(0.1,Skills!D10-IF(Skills!E10=TRUE,Inputs!$B$32,0))))))/Skills!H10,1)))/Inputs!$B$43),G765*Q765))*IF(Inputs!$B$38="pvp",1,(1+(Inputs!$B$21+Skills!Q10)/100)*(MIN(Skills!R10,Inputs!$B$37))),0)</f>
        <v/>
      </c>
    </row>
    <row r="766">
      <c r="A766">
        <f>Skills!A11</f>
        <v/>
      </c>
      <c r="B766">
        <f>Skills!B11</f>
        <v/>
      </c>
      <c r="C766">
        <f>Inputs!$B$3&gt;=113</f>
        <v/>
      </c>
      <c r="D766">
        <f>IF(Skills!C11=1,60+Inputs!$B$25+Inputs!$B$29,IF(Skills!C11=2,90+Inputs!$B$26+Inputs!$B$29,IF(Skills!C11=3,120+Inputs!$B$27+Inputs!$B$29,MAX(0,(Inputs!$B$3-100)*3)+(Inputs!$B$28+1)+Inputs!$B$29)))</f>
        <v/>
      </c>
      <c r="E766">
        <f>INDEX(FactorTable!$B$2:$Y$301, MATCH(ROUND(MIN(300,MAX(1,D766)),0), FactorTable!$A$2:$A$301,0), Skills!M11+1)</f>
        <v/>
      </c>
      <c r="F766">
        <f>IF(Skills!N11=TRUE,(Skills!L11/10)*(E766/1000),Skills!L11/10)+Skills!O11</f>
        <v/>
      </c>
      <c r="G766">
        <f>Skills!G11*IF(Skills!H11&gt;0,Skills!I11/Skills!H11,1)</f>
        <v/>
      </c>
      <c r="H766">
        <f>1-(1-Skills!J11/100)^Skills!K11</f>
        <v/>
      </c>
      <c r="I766" t="inlineStr">
        <is>
          <t>1</t>
        </is>
      </c>
      <c r="J766">
        <f>((Inputs!$B$6*(1+Inputs!$B$7/100))+(((Inputs!$B$12*(1+Inputs!$B$13/100))-(Inputs!$B$12*(1+Inputs!$B$13/100)))+0.25*(Inputs!$B$14-Inputs!$B$14))*(1+Inputs!$B$7/100))*(F766/100)</f>
        <v/>
      </c>
      <c r="K766">
        <f>J766*(1+((Inputs!$B$12*(1+Inputs!$B$13/100))*0.01+Inputs!$B$14*0.0025)/100)*(1+Inputs!$B$15/100)*(1+Inputs!$B$16/100)*(5000/(6000+Inputs!$B$42*(1-(Inputs!$B$19+0)/100)))*(1+(Inputs!$B$24+((C777=TRUE)*(F777-Calc!F22))+B786)/100)*(1+(IF(Skills!A11="HOOK_BOMBER",Inputs!$B$17+((C776=TRUE)*(F776-Calc!F21)),Inputs!$B$18+0))/100)*((1+(((C768=TRUE)*F768)+((C774=TRUE)*(F774-Calc!F19)))/100)*I766)</f>
        <v/>
      </c>
      <c r="L766">
        <f>K766*(MIN(Inputs!$B$22+((C775=TRUE)*(F775-Calc!F20)),Inputs!$B$23+0)/100+(Inputs!$B$23+0)/100)/2</f>
        <v/>
      </c>
      <c r="M766">
        <f>L766*(1+(Inputs!$B$10+0+B785)/100)</f>
        <v/>
      </c>
      <c r="N766">
        <f>L766*(1-MIN((Inputs!$B$9+((C771=TRUE)*(F771-Calc!F16))+B780),100)/100)+M766*(MIN((Inputs!$B$9+((C771=TRUE)*(F771-Calc!F16))+B780),100)/100)</f>
        <v/>
      </c>
      <c r="O766">
        <f>(1-Summary!$B$55)*T766+Summary!$B$55*V766</f>
        <v/>
      </c>
      <c r="P766">
        <f>IF(B790=0,0,O766/B790)</f>
        <v/>
      </c>
      <c r="Q766">
        <f>IFERROR(1/IF(Inputs!$B$38="pvp",15,MAX(0.1,Skills!D11-IF(Skills!E11=TRUE,Inputs!$B$32,0))),0)</f>
        <v/>
      </c>
      <c r="R766">
        <f>IF(AND(Inputs!$B$38&lt;&gt;"pvp",Inputs!$B$43&gt;0),IF(MAX(0,Inputs!$B$43-B787)&lt;=0,0,(INT(MAX(0,Inputs!$B$43-B787)/IF(Inputs!$B$38="pvp",15,MAX(0.1,Skills!D11-IF(Skills!E11=TRUE,Inputs!$B$32,0))))+1)),0)</f>
        <v/>
      </c>
      <c r="S766">
        <f>IFERROR(O766/N766,0)</f>
        <v/>
      </c>
      <c r="T766">
        <f>IF(C766,(H766*N766*IF(AND(Inputs!$B$38&lt;&gt;"pvp",Inputs!$B$43&gt;0),((Skills!G11*((R766-1)*IF(Skills!H11&gt;0,Skills!I11/Skills!H11,1)+IF(Skills!H11&gt;0,MIN(Skills!I11,MAX(0,MAX(0,Inputs!$B$43-B787)-((R766-1)*IF(Inputs!$B$38="pvp",15,MAX(0.1,Skills!D11-IF(Skills!E11=TRUE,Inputs!$B$32,0))))))/Skills!H11,1)))/Inputs!$B$43),G766*Q766))*IF(Inputs!$B$38="pvp",1,1+(Inputs!$B$20+0+Skills!P11)/100),0)</f>
        <v/>
      </c>
      <c r="V766">
        <f>IF(C766,(H766*N766*IF(AND(Inputs!$B$38&lt;&gt;"pvp",Inputs!$B$43&gt;0),((Skills!G11*((R766-1)*IF(Skills!H11&gt;0,Skills!I11/Skills!H11,1)+IF(Skills!H11&gt;0,MIN(Skills!I11,MAX(0,MAX(0,Inputs!$B$43-B787)-((R766-1)*IF(Inputs!$B$38="pvp",15,MAX(0.1,Skills!D11-IF(Skills!E11=TRUE,Inputs!$B$32,0))))))/Skills!H11,1)))/Inputs!$B$43),G766*Q766))*IF(Inputs!$B$38="pvp",1,(1+(Inputs!$B$21+Skills!Q11)/100)*(MIN(Skills!R11,Inputs!$B$37))),0)</f>
        <v/>
      </c>
    </row>
    <row r="767">
      <c r="A767">
        <f>Skills!A12</f>
        <v/>
      </c>
      <c r="B767">
        <f>Skills!B12</f>
        <v/>
      </c>
      <c r="C767">
        <f>Inputs!$B$3&gt;=100</f>
        <v/>
      </c>
      <c r="D767">
        <f>IF(Skills!C12=1,60+Inputs!$B$25+Inputs!$B$29,IF(Skills!C12=2,90+Inputs!$B$26+Inputs!$B$29,IF(Skills!C12=3,120+Inputs!$B$27+Inputs!$B$29,MAX(0,(Inputs!$B$3-100)*3)+(Inputs!$B$28+1)+Inputs!$B$29)))</f>
        <v/>
      </c>
      <c r="E767">
        <f>INDEX(FactorTable!$B$2:$Y$301, MATCH(ROUND(MIN(300,MAX(1,D767)),0), FactorTable!$A$2:$A$301,0), Skills!M12+1)</f>
        <v/>
      </c>
      <c r="F767">
        <f>IF(Skills!N12=TRUE,(Skills!L12/10)*(E767/1000),Skills!L12/10)+Skills!O12</f>
        <v/>
      </c>
      <c r="G767" t="inlineStr"/>
      <c r="H767" t="inlineStr"/>
      <c r="I767" t="inlineStr">
        <is>
          <t>1</t>
        </is>
      </c>
      <c r="J767" t="inlineStr"/>
      <c r="K767" t="inlineStr"/>
      <c r="L767" t="inlineStr"/>
      <c r="M767" t="inlineStr"/>
      <c r="N767" t="inlineStr"/>
      <c r="O767" t="inlineStr"/>
      <c r="P767" t="inlineStr"/>
      <c r="Q767" t="inlineStr"/>
      <c r="R767" t="inlineStr"/>
      <c r="S767" t="inlineStr"/>
      <c r="T767" t="inlineStr"/>
      <c r="V767" t="inlineStr"/>
    </row>
    <row r="768">
      <c r="A768">
        <f>Skills!A13</f>
        <v/>
      </c>
      <c r="B768">
        <f>Skills!B13</f>
        <v/>
      </c>
      <c r="C768">
        <f>Inputs!$B$3&gt;=66</f>
        <v/>
      </c>
      <c r="D768">
        <f>IF(Skills!C13=1,60+Inputs!$B$25+Inputs!$B$29,IF(Skills!C13=2,90+Inputs!$B$26+Inputs!$B$29,IF(Skills!C13=3,120+Inputs!$B$27+Inputs!$B$29,MAX(0,(Inputs!$B$3-100)*3)+(Inputs!$B$28+1)+Inputs!$B$29)))</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f>(1-Summary!$B$55)*T768+Summary!$B$55*V768</f>
        <v/>
      </c>
      <c r="P768">
        <f>IF(B790=0,0,O768/B790)</f>
        <v/>
      </c>
      <c r="Q768" t="n">
        <v>0</v>
      </c>
      <c r="R768" t="n">
        <v>0</v>
      </c>
      <c r="S768">
        <f>IFERROR(O768/N768,0)</f>
        <v/>
      </c>
      <c r="T768" t="n">
        <v>0</v>
      </c>
      <c r="V768" t="n">
        <v>0</v>
      </c>
    </row>
    <row r="769">
      <c r="A769">
        <f>Skills!A14</f>
        <v/>
      </c>
      <c r="B769">
        <f>Skills!B14</f>
        <v/>
      </c>
      <c r="C769">
        <f>Inputs!$B$3&gt;=107</f>
        <v/>
      </c>
      <c r="D769">
        <f>IF(Skills!C14=1,60+Inputs!$B$25+Inputs!$B$29,IF(Skills!C14=2,90+Inputs!$B$26+Inputs!$B$29,IF(Skills!C14=3,120+Inputs!$B$27+Inputs!$B$29,MAX(0,(Inputs!$B$3-100)*3)+(Inputs!$B$28+1)+Inputs!$B$29)))</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f>(1-Summary!$B$55)*T769+Summary!$B$55*V769</f>
        <v/>
      </c>
      <c r="P769">
        <f>IF(B790=0,0,O769/B790)</f>
        <v/>
      </c>
      <c r="Q769" t="n">
        <v>0</v>
      </c>
      <c r="R769" t="n">
        <v>0</v>
      </c>
      <c r="S769">
        <f>IFERROR(O769/N769,0)</f>
        <v/>
      </c>
      <c r="T769" t="n">
        <v>0</v>
      </c>
      <c r="V769" t="n">
        <v>0</v>
      </c>
    </row>
    <row r="770">
      <c r="A770">
        <f>Skills!A15</f>
        <v/>
      </c>
      <c r="B770">
        <f>Skills!B15</f>
        <v/>
      </c>
      <c r="C770">
        <f>Inputs!$B$3&gt;=115</f>
        <v/>
      </c>
      <c r="D770">
        <f>IF(Skills!C15=1,60+Inputs!$B$25+Inputs!$B$29,IF(Skills!C15=2,90+Inputs!$B$26+Inputs!$B$29,IF(Skills!C15=3,120+Inputs!$B$27+Inputs!$B$29,MAX(0,(Inputs!$B$3-100)*3)+(Inputs!$B$28+1)+Inputs!$B$29)))</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f>(1-Summary!$B$55)*T770+Summary!$B$55*V770</f>
        <v/>
      </c>
      <c r="P770">
        <f>IF(B790=0,0,O770/B790)</f>
        <v/>
      </c>
      <c r="Q770" t="n">
        <v>0</v>
      </c>
      <c r="R770" t="n">
        <v>0</v>
      </c>
      <c r="S770">
        <f>IFERROR(O770/N770,0)</f>
        <v/>
      </c>
      <c r="T770" t="n">
        <v>0</v>
      </c>
      <c r="V770" t="n">
        <v>0</v>
      </c>
    </row>
    <row r="771">
      <c r="A771">
        <f>Skills!A16</f>
        <v/>
      </c>
      <c r="B771">
        <f>Skills!B16</f>
        <v/>
      </c>
      <c r="C771">
        <f>Inputs!$B$3&gt;=15</f>
        <v/>
      </c>
      <c r="D771">
        <f>IF(Skills!C16=1,60+Inputs!$B$25+Inputs!$B$29,IF(Skills!C16=2,90+Inputs!$B$26+Inputs!$B$29,IF(Skills!C16=3,120+Inputs!$B$27+Inputs!$B$29,MAX(0,(Inputs!$B$3-100)*3)+(Inputs!$B$28+1)+Inputs!$B$29)))</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f>(1-Summary!$B$55)*T771+Summary!$B$55*V771</f>
        <v/>
      </c>
      <c r="P771">
        <f>IF(B790=0,0,O771/B790)</f>
        <v/>
      </c>
      <c r="Q771" t="n">
        <v>0</v>
      </c>
      <c r="R771" t="n">
        <v>0</v>
      </c>
      <c r="S771">
        <f>IFERROR(O771/N771,0)</f>
        <v/>
      </c>
      <c r="T771" t="n">
        <v>0</v>
      </c>
      <c r="V771" t="n">
        <v>0</v>
      </c>
    </row>
    <row r="772">
      <c r="A772">
        <f>Skills!A17</f>
        <v/>
      </c>
      <c r="B772">
        <f>Skills!B17</f>
        <v/>
      </c>
      <c r="C772">
        <f>Inputs!$B$3&gt;=10</f>
        <v/>
      </c>
      <c r="D772">
        <f>IF(Skills!C17=1,60+Inputs!$B$25+Inputs!$B$29,IF(Skills!C17=2,90+Inputs!$B$26+Inputs!$B$29,IF(Skills!C17=3,120+Inputs!$B$27+Inputs!$B$29,MAX(0,(Inputs!$B$3-100)*3)+(Inputs!$B$28+1)+Inputs!$B$29)))</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f>(1-Summary!$B$55)*T772+Summary!$B$55*V772</f>
        <v/>
      </c>
      <c r="P772">
        <f>IF(B790=0,0,O772/B790)</f>
        <v/>
      </c>
      <c r="Q772" t="n">
        <v>0</v>
      </c>
      <c r="R772" t="n">
        <v>0</v>
      </c>
      <c r="S772">
        <f>IFERROR(O772/N772,0)</f>
        <v/>
      </c>
      <c r="T772" t="n">
        <v>0</v>
      </c>
      <c r="V772" t="n">
        <v>0</v>
      </c>
    </row>
    <row r="773">
      <c r="A773">
        <f>Skills!A18</f>
        <v/>
      </c>
      <c r="B773">
        <f>Skills!B18</f>
        <v/>
      </c>
      <c r="C773">
        <f>Inputs!$B$3&gt;=33</f>
        <v/>
      </c>
      <c r="D773">
        <f>IF(Skills!C18=1,60+Inputs!$B$25+Inputs!$B$29,IF(Skills!C18=2,90+Inputs!$B$26+Inputs!$B$29,IF(Skills!C18=3,120+Inputs!$B$27+Inputs!$B$29,MAX(0,(Inputs!$B$3-100)*3)+(Inputs!$B$28+1)+Inputs!$B$29)))</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f>(1-Summary!$B$55)*T773+Summary!$B$55*V773</f>
        <v/>
      </c>
      <c r="P773">
        <f>IF(B790=0,0,O773/B790)</f>
        <v/>
      </c>
      <c r="Q773" t="n">
        <v>0</v>
      </c>
      <c r="R773" t="n">
        <v>0</v>
      </c>
      <c r="S773">
        <f>IFERROR(O773/N773,0)</f>
        <v/>
      </c>
      <c r="T773" t="n">
        <v>0</v>
      </c>
      <c r="V773" t="n">
        <v>0</v>
      </c>
    </row>
    <row r="774">
      <c r="A774">
        <f>Skills!A19</f>
        <v/>
      </c>
      <c r="B774">
        <f>Skills!B19</f>
        <v/>
      </c>
      <c r="C774">
        <f>Inputs!$B$3&gt;=40</f>
        <v/>
      </c>
      <c r="D774">
        <f>IF(Skills!C19=1,60+Inputs!$B$25+Inputs!$B$29,IF(Skills!C19=2,90+Inputs!$B$26+Inputs!$B$29,IF(Skills!C19=3,120+Inputs!$B$27+Inputs!$B$29,MAX(0,(Inputs!$B$3-100)*3)+(Inputs!$B$28+1)+Inputs!$B$29)))</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f>(1-Summary!$B$55)*T774+Summary!$B$55*V774</f>
        <v/>
      </c>
      <c r="P774">
        <f>IF(B790=0,0,O774/B790)</f>
        <v/>
      </c>
      <c r="Q774" t="n">
        <v>0</v>
      </c>
      <c r="R774" t="n">
        <v>0</v>
      </c>
      <c r="S774">
        <f>IFERROR(O774/N774,0)</f>
        <v/>
      </c>
      <c r="T774" t="n">
        <v>0</v>
      </c>
      <c r="V774" t="n">
        <v>0</v>
      </c>
    </row>
    <row r="775">
      <c r="A775">
        <f>Skills!A20</f>
        <v/>
      </c>
      <c r="B775">
        <f>Skills!B20</f>
        <v/>
      </c>
      <c r="C775">
        <f>Inputs!$B$3&gt;=43</f>
        <v/>
      </c>
      <c r="D775">
        <f>IF(Skills!C20=1,60+Inputs!$B$25+Inputs!$B$29,IF(Skills!C20=2,90+Inputs!$B$26+Inputs!$B$29,IF(Skills!C20=3,120+Inputs!$B$27+Inputs!$B$29,MAX(0,(Inputs!$B$3-100)*3)+(Inputs!$B$28+1)+Inputs!$B$29)))</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f>(1-Summary!$B$55)*T775+Summary!$B$55*V775</f>
        <v/>
      </c>
      <c r="P775">
        <f>IF(B790=0,0,O775/B790)</f>
        <v/>
      </c>
      <c r="Q775" t="n">
        <v>0</v>
      </c>
      <c r="R775" t="n">
        <v>0</v>
      </c>
      <c r="S775">
        <f>IFERROR(O775/N775,0)</f>
        <v/>
      </c>
      <c r="T775" t="n">
        <v>0</v>
      </c>
      <c r="V775" t="n">
        <v>0</v>
      </c>
    </row>
    <row r="776">
      <c r="A776">
        <f>Skills!A21</f>
        <v/>
      </c>
      <c r="B776">
        <f>Skills!B21</f>
        <v/>
      </c>
      <c r="C776">
        <f>Inputs!$B$3&gt;=38</f>
        <v/>
      </c>
      <c r="D776">
        <f>IF(Skills!C21=1,60+Inputs!$B$25+Inputs!$B$29,IF(Skills!C21=2,90+Inputs!$B$26+Inputs!$B$29,IF(Skills!C21=3,120+Inputs!$B$27+Inputs!$B$29,MAX(0,(Inputs!$B$3-100)*3)+(Inputs!$B$28+1)+Inputs!$B$29)))</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f>(1-Summary!$B$55)*T776+Summary!$B$55*V776</f>
        <v/>
      </c>
      <c r="P776">
        <f>IF(B790=0,0,O776/B790)</f>
        <v/>
      </c>
      <c r="Q776" t="n">
        <v>0</v>
      </c>
      <c r="R776" t="n">
        <v>0</v>
      </c>
      <c r="S776">
        <f>IFERROR(O776/N776,0)</f>
        <v/>
      </c>
      <c r="T776" t="n">
        <v>0</v>
      </c>
      <c r="V776" t="n">
        <v>0</v>
      </c>
    </row>
    <row r="777">
      <c r="A777">
        <f>Skills!A22</f>
        <v/>
      </c>
      <c r="B777">
        <f>Skills!B22</f>
        <v/>
      </c>
      <c r="C777">
        <f>Inputs!$B$3&gt;=75</f>
        <v/>
      </c>
      <c r="D777">
        <f>IF(Skills!C22=1,60+Inputs!$B$25+Inputs!$B$29,IF(Skills!C22=2,90+Inputs!$B$26+Inputs!$B$29,IF(Skills!C22=3,120+Inputs!$B$27+Inputs!$B$29,MAX(0,(Inputs!$B$3-100)*3)+(Inputs!$B$28+1)+Inputs!$B$29)))</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f>(1-Summary!$B$55)*T777+Summary!$B$55*V777</f>
        <v/>
      </c>
      <c r="P777">
        <f>IF(B790=0,0,O777/B790)</f>
        <v/>
      </c>
      <c r="Q777" t="n">
        <v>0</v>
      </c>
      <c r="R777" t="n">
        <v>0</v>
      </c>
      <c r="S777">
        <f>IFERROR(O777/N777,0)</f>
        <v/>
      </c>
      <c r="T777" t="n">
        <v>0</v>
      </c>
      <c r="V777" t="n">
        <v>0</v>
      </c>
    </row>
    <row r="779">
      <c r="A779" t="inlineStr">
        <is>
          <t>Attack% Bucket Multiplier</t>
        </is>
      </c>
      <c r="B779">
        <f>(1+(((C768=TRUE)*F768)+((C774=TRUE)*(F774-Calc!F19)))/100)</f>
        <v/>
      </c>
    </row>
    <row r="780">
      <c r="A780" t="inlineStr">
        <is>
          <t>Global Crit Rate Bonus %</t>
        </is>
      </c>
      <c r="B780" t="n">
        <v>0</v>
      </c>
    </row>
    <row r="781">
      <c r="A781" t="inlineStr">
        <is>
          <t>Attack Speed Buff Bonus % (unused)</t>
        </is>
      </c>
      <c r="B781" t="n">
        <v>0</v>
      </c>
    </row>
    <row r="782">
      <c r="A782" t="inlineStr">
        <is>
          <t>Actions Per Second</t>
        </is>
      </c>
      <c r="B782">
        <f>1+MIN(150,150*(1-(1-(Inputs!$B$11+((C772=TRUE)*(F772-Calc!F17))+((C773=TRUE)*(F773-Calc!F18)))/150)*(1-B781/150)))/100</f>
        <v/>
      </c>
    </row>
    <row r="783">
      <c r="A783" t="inlineStr">
        <is>
          <t>Skill + Buff Cast Rate</t>
        </is>
      </c>
      <c r="B783">
        <f>IF(AND(Inputs!$B$38&lt;&gt;"pvp",Inputs!$B$43&gt;0),SUMPRODUCT((Skills!E2:E22=TRUE)*(C757:C777=TRUE)*R757:R777*Skills!F2:F22)/Inputs!$B$43,SUMPRODUCT((Skills!E2:E22=TRUE)*(C757:C777=TRUE)*Q757:Q777*Skills!F2:F22))</f>
        <v/>
      </c>
    </row>
    <row r="784">
      <c r="A784" t="inlineStr">
        <is>
          <t>Hook Bomber Casts Per Second</t>
        </is>
      </c>
      <c r="B784">
        <f>MAX(0,B782-B783)</f>
        <v/>
      </c>
    </row>
    <row r="785">
      <c r="A785" t="inlineStr">
        <is>
          <t>Global Critical Damage Bonus % (unused)</t>
        </is>
      </c>
      <c r="B785" t="n">
        <v>0</v>
      </c>
    </row>
    <row r="786">
      <c r="A786" t="inlineStr">
        <is>
          <t>Global Final Damage Bonus % (Serpent Scale + Crossbones + Time Leap + Speed Infusion)</t>
        </is>
      </c>
      <c r="B786">
        <f>((C760=TRUE)*F760*((10+IF(Inputs!$B$3&gt;=94,5,0))/((10+IF(Inputs!$B$3&gt;=94,5,0))+5/(B784*(1+IF(Inputs!$B$3&gt;=104,1,0))))))+((C769=TRUE)*F769)+((C770=TRUE)*F770)+((Inputs!$B$3&gt;=110)*20*(B782-1))</f>
        <v/>
      </c>
    </row>
    <row r="787">
      <c r="A787" t="inlineStr">
        <is>
          <t>Buff-Casting Startup Delay (s, fixed-duration only)</t>
        </is>
      </c>
      <c r="B787">
        <f>IF(AND(Inputs!$B$38&lt;&gt;"pvp",Inputs!$B$43&gt;0),SUMPRODUCT((Skills!T2:T22&gt;0)*(Skills!E2:E22=TRUE)*(C757:C777=TRUE))/B782,0)</f>
        <v/>
      </c>
    </row>
    <row r="788">
      <c r="A788" t="inlineStr">
        <is>
          <t>Boss-Only Total DPS (this block's swept value)</t>
        </is>
      </c>
      <c r="B788">
        <f>SUM(T757:T777)</f>
        <v/>
      </c>
    </row>
    <row r="789">
      <c r="A789" t="inlineStr">
        <is>
          <t>Normal-Only Total DPS (this block's swept value)</t>
        </is>
      </c>
      <c r="B789">
        <f>SUM(V757:V777)</f>
        <v/>
      </c>
    </row>
    <row r="790">
      <c r="A790" s="5" t="inlineStr">
        <is>
          <t>TOTAL DPS</t>
        </is>
      </c>
      <c r="B790" s="5">
        <f>SUM(O757:O777)</f>
        <v/>
      </c>
    </row>
    <row r="793">
      <c r="A793" s="5" t="inlineStr">
        <is>
          <t>Stat: Skill Level Bonus — All Skills</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((Inputs!$B$6*(1+Inputs!$B$7/100))+(((Inputs!$B$12*(1+Inputs!$B$13/100))-(Inputs!$B$12*(1+Inputs!$B$13/100)))+0.25*(Inputs!$B$14-Inputs!$B$14))*(1+Inputs!$B$7/100))*(F795/100)</f>
        <v/>
      </c>
      <c r="K795">
        <f>J795*(1+((Inputs!$B$12*(1+Inputs!$B$13/100))*0.01+Inputs!$B$14*0.0025)/100)*(1+Inputs!$B$15/100)*(1+Inputs!$B$16/100)*(5000/(6000+Inputs!$B$42*(1-(Inputs!$B$19+0)/100)))*(1+(Inputs!$B$24+((C815=TRUE)*(F815-Calc!F22))+B824)/100)*(1+(IF(Skills!A2="HOOK_BOMBER",Inputs!$B$17+((C814=TRUE)*(F814-Calc!F21)),Inputs!$B$18+0))/100)*((1+(((C806=TRUE)*F806)+((C812=TRUE)*(F812-Calc!F19)))/100)*I795)</f>
        <v/>
      </c>
      <c r="L795">
        <f>K795*(MIN(Inputs!$B$22+((C813=TRUE)*(F813-Calc!F20)),Inputs!$B$23+0)/100+(Inputs!$B$23+0)/100)/2</f>
        <v/>
      </c>
      <c r="M795">
        <f>L795*(1+(Inputs!$B$10+0+B823)/100)</f>
        <v/>
      </c>
      <c r="N795">
        <f>L795*(1-MIN((Inputs!$B$9+((C809=TRUE)*(F809-Calc!F16))+B818),100)/100)+M795*(MIN((Inputs!$B$9+((C809=TRUE)*(F809-Calc!F16))+B818),100)/100)</f>
        <v/>
      </c>
      <c r="O795">
        <f>(1-Summary!$B$55)*T795+Summary!$B$55*V795</f>
        <v/>
      </c>
      <c r="P795">
        <f>IF(B828=0,0,O795/B828)</f>
        <v/>
      </c>
      <c r="Q795" t="n">
        <v>0</v>
      </c>
      <c r="R795" t="n">
        <v>0</v>
      </c>
      <c r="S795">
        <f>IFERROR(O795/N795,0)</f>
        <v/>
      </c>
      <c r="T795">
        <f>IF(C795,(Skills!G2*N795*B822)*IF(Inputs!$B$38="pvp",1,1+(Inputs!$B$20+0+Skills!P2)/100),0)</f>
        <v/>
      </c>
      <c r="U795">
        <f>MAX(0,(Inputs!$B$3-100)*3)+Inputs!$B$28+(Inputs!$B$29+1)</f>
        <v/>
      </c>
      <c r="V795">
        <f>IF(C795,(Skills!G2*N795*B822)*IF(Inputs!$B$38="pvp",1,(1+(Inputs!$B$21+Skills!Q2)/100)*(MIN((6+Inputs!$B$33),Inputs!$B$37))),0)</f>
        <v/>
      </c>
    </row>
    <row r="796">
      <c r="A796">
        <f>Skills!A3</f>
        <v/>
      </c>
      <c r="B796">
        <f>Skills!B3</f>
        <v/>
      </c>
      <c r="C796">
        <f>Inputs!$B$3&gt;=35</f>
        <v/>
      </c>
      <c r="D796">
        <f>IF(Skills!C3=1,60+Inputs!$B$25+(Inputs!$B$29+1),IF(Skills!C3=2,90+Inputs!$B$26+(Inputs!$B$29+1),IF(Skills!C3=3,120+Inputs!$B$27+(Inputs!$B$29+1),MAX(0,(Inputs!$B$3-100)*3)+Inputs!$B$28+(Inputs!$B$29+1))))</f>
        <v/>
      </c>
      <c r="E796">
        <f>INDEX(FactorTable!$B$2:$Y$301, MATCH(ROUND(MIN(300,MAX(1,D796)),0), FactorTable!$A$2:$A$301,0), Skills!M3+1)</f>
        <v/>
      </c>
      <c r="F796">
        <f>IF(Skills!N3=TRUE,(Skills!L3/10)*(E796/1000),Skills!L3/10)+Skills!O3</f>
        <v/>
      </c>
      <c r="G796">
        <f>Skills!G3*IF(Skills!H3&gt;0,Skills!I3/Skills!H3,1)</f>
        <v/>
      </c>
      <c r="H796">
        <f>1-(1-Skills!J3/100)^Skills!K3</f>
        <v/>
      </c>
      <c r="I796" t="inlineStr">
        <is>
          <t>1</t>
        </is>
      </c>
      <c r="J796">
        <f>((Inputs!$B$6*(1+Inputs!$B$7/100))+(((Inputs!$B$12*(1+Inputs!$B$13/100))-(Inputs!$B$12*(1+Inputs!$B$13/100)))+0.25*(Inputs!$B$14-Inputs!$B$14))*(1+Inputs!$B$7/100))*(F796/100)</f>
        <v/>
      </c>
      <c r="K796">
        <f>J796*(1+((Inputs!$B$12*(1+Inputs!$B$13/100))*0.01+Inputs!$B$14*0.0025)/100)*(1+Inputs!$B$15/100)*(1+Inputs!$B$16/100)*(5000/(6000+Inputs!$B$42*(1-(Inputs!$B$19+0)/100)))*(1+(Inputs!$B$24+((C815=TRUE)*(F815-Calc!F22))+B824)/100)*(1+(IF(Skills!A3="HOOK_BOMBER",Inputs!$B$17+((C814=TRUE)*(F814-Calc!F21)),Inputs!$B$18+0))/100)*((1+(((C806=TRUE)*F806)+((C812=TRUE)*(F812-Calc!F19)))/100)*I796)</f>
        <v/>
      </c>
      <c r="L796">
        <f>K796*(MIN(Inputs!$B$22+((C813=TRUE)*(F813-Calc!F20)),Inputs!$B$23+0)/100+(Inputs!$B$23+0)/100)/2</f>
        <v/>
      </c>
      <c r="M796">
        <f>L796*(1+(Inputs!$B$10+0+B823)/100)</f>
        <v/>
      </c>
      <c r="N796">
        <f>L796*(1-MIN((Inputs!$B$9+((C809=TRUE)*(F809-Calc!F16))+B818),100)/100)+M796*(MIN((Inputs!$B$9+((C809=TRUE)*(F809-Calc!F16))+B818),100)/100)</f>
        <v/>
      </c>
      <c r="O796">
        <f>(1-Summary!$B$55)*T796+Summary!$B$55*V796</f>
        <v/>
      </c>
      <c r="P796">
        <f>IF(B828=0,0,O796/B828)</f>
        <v/>
      </c>
      <c r="Q796" t="n">
        <v>0</v>
      </c>
      <c r="R796" t="n">
        <v>0</v>
      </c>
      <c r="S796">
        <f>IFERROR(O796/N796,0)</f>
        <v/>
      </c>
      <c r="T796">
        <f>IF(C796,(Skills!G3*H796*N796*B822)*IF(Inputs!$B$38="pvp",1,1+(Inputs!$B$20+0+Skills!P3)/100),0)</f>
        <v/>
      </c>
      <c r="U796">
        <f>INDEX(FactorTable!$B$2:$Y$301, MATCH(ROUND(MIN(300,MAX(1,U795)),0), FactorTable!$A$2:$A$301,0), 22)</f>
        <v/>
      </c>
      <c r="V796">
        <f>IF(C796,(Skills!G3*H796*N796*B822)*IF(Inputs!$B$38="pvp",1,(1+(Inputs!$B$21+Skills!Q3)/100)*(MIN(Skills!R3,Inputs!$B$37))),0)</f>
        <v/>
      </c>
    </row>
    <row r="797">
      <c r="A797">
        <f>Skills!A4</f>
        <v/>
      </c>
      <c r="B797">
        <f>Skills!B4</f>
        <v/>
      </c>
      <c r="C797">
        <f>Inputs!$B$3&gt;=60</f>
        <v/>
      </c>
      <c r="D797">
        <f>IF(Skills!C4=1,60+Inputs!$B$25+(Inputs!$B$29+1),IF(Skills!C4=2,90+Inputs!$B$26+(Inputs!$B$29+1),IF(Skills!C4=3,120+Inputs!$B$27+(Inputs!$B$29+1),MAX(0,(Inputs!$B$3-100)*3)+Inputs!$B$28+(Inputs!$B$29+1))))</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((Inputs!$B$6*(1+Inputs!$B$7/100))+(((Inputs!$B$12*(1+Inputs!$B$13/100))-(Inputs!$B$12*(1+Inputs!$B$13/100)))+0.25*(Inputs!$B$14-Inputs!$B$14))*(1+Inputs!$B$7/100))*(F797/100)</f>
        <v/>
      </c>
      <c r="K797">
        <f>J797*(1+((Inputs!$B$12*(1+Inputs!$B$13/100))*0.01+Inputs!$B$14*0.0025)/100)*(1+Inputs!$B$15/100)*(1+Inputs!$B$16/100)*(5000/(6000+Inputs!$B$42*(1-(Inputs!$B$19+0)/100)))*(1+(Inputs!$B$24+((C815=TRUE)*(F815-Calc!F22))+B824)/100)*(1+1.0*IF(C805=TRUE,F805,0)/100)*(1+(IF(Skills!A4="HOOK_BOMBER",Inputs!$B$17+((C814=TRUE)*(F814-Calc!F21)),Inputs!$B$18+0))/100)*((1+(((C806=TRUE)*F806)+((C812=TRUE)*(F812-Calc!F19)))/100)*I797)</f>
        <v/>
      </c>
      <c r="L797">
        <f>K797*(MIN(Inputs!$B$22+((C813=TRUE)*(F813-Calc!F20)),Inputs!$B$23+0)/100+(Inputs!$B$23+0)/100)/2</f>
        <v/>
      </c>
      <c r="M797">
        <f>L797*(1+(Inputs!$B$10+0+B823)/100)</f>
        <v/>
      </c>
      <c r="N797">
        <f>L797*(1-MIN((Inputs!$B$9+((C809=TRUE)*(F809-Calc!F16))+B818),100)/100)+M797*(MIN((Inputs!$B$9+((C809=TRUE)*(F809-Calc!F16))+B818),100)/100)</f>
        <v/>
      </c>
      <c r="O797">
        <f>(1-Summary!$B$55)*T797+Summary!$B$55*V797</f>
        <v/>
      </c>
      <c r="P797">
        <f>IF(B828=0,0,O797/B828)</f>
        <v/>
      </c>
      <c r="Q797" t="n">
        <v>0</v>
      </c>
      <c r="R797" t="n">
        <v>0</v>
      </c>
      <c r="S797">
        <f>IFERROR(O797/N797,0)</f>
        <v/>
      </c>
      <c r="T797">
        <f>IF(C797,(Skills!G4*H797*N797*B822)*IF(Inputs!$B$38="pvp",1,1+(Inputs!$B$20+0+Skills!P4)/100),0)</f>
        <v/>
      </c>
      <c r="U797">
        <f>290*U796/1000</f>
        <v/>
      </c>
      <c r="V797">
        <f>IF(C797,(Skills!G4*H797*N797*B822)*IF(Inputs!$B$38="pvp",1,(1+(Inputs!$B$21+Skills!Q4)/100)*(MIN(Skills!R4,Inputs!$B$37))),0)</f>
        <v/>
      </c>
    </row>
    <row r="798">
      <c r="A798">
        <f>Skills!A5</f>
        <v/>
      </c>
      <c r="B798">
        <f>Skills!B5</f>
        <v/>
      </c>
      <c r="C798">
        <f>Inputs!$B$3&gt;=60</f>
        <v/>
      </c>
      <c r="D798">
        <f>IF(Skills!C5=1,60+Inputs!$B$25+(Inputs!$B$29+1),IF(Skills!C5=2,90+Inputs!$B$26+(Inputs!$B$29+1),IF(Skills!C5=3,120+Inputs!$B$27+(Inputs!$B$29+1),MAX(0,(Inputs!$B$3-100)*3)+Inputs!$B$28+(Inputs!$B$29+1))))</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t="inlineStr"/>
      <c r="K798" t="inlineStr"/>
      <c r="L798" t="inlineStr"/>
      <c r="M798" t="inlineStr"/>
      <c r="N798" t="inlineStr"/>
      <c r="O798">
        <f>(1-Summary!$B$55)*T798+Summary!$B$55*V798</f>
        <v/>
      </c>
      <c r="P798">
        <f>IF(B828=0,0,O798/B828)</f>
        <v/>
      </c>
      <c r="Q798" t="n">
        <v>0</v>
      </c>
      <c r="R798" t="n">
        <v>0</v>
      </c>
      <c r="S798">
        <f>IFERROR(O798/N798,0)</f>
        <v/>
      </c>
      <c r="T798" t="n">
        <v>0</v>
      </c>
      <c r="V798" t="n">
        <v>0</v>
      </c>
    </row>
    <row r="799">
      <c r="A799">
        <f>Skills!A6</f>
        <v/>
      </c>
      <c r="B799">
        <f>Skills!B6</f>
        <v/>
      </c>
      <c r="C799">
        <f>Inputs!$B$3&gt;=63</f>
        <v/>
      </c>
      <c r="D799">
        <f>IF(Skills!C6=1,60+Inputs!$B$25+(Inputs!$B$29+1),IF(Skills!C6=2,90+Inputs!$B$26+(Inputs!$B$29+1),IF(Skills!C6=3,120+Inputs!$B$27+(Inputs!$B$29+1),MAX(0,(Inputs!$B$3-100)*3)+Inputs!$B$28+(Inputs!$B$29+1))))</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((Inputs!$B$6*(1+Inputs!$B$7/100))+(((Inputs!$B$12*(1+Inputs!$B$13/100))-(Inputs!$B$12*(1+Inputs!$B$13/100)))+0.25*(Inputs!$B$14-Inputs!$B$14))*(1+Inputs!$B$7/100))*(F799/100)</f>
        <v/>
      </c>
      <c r="K799">
        <f>J799*(1+((Inputs!$B$12*(1+Inputs!$B$13/100))*0.01+Inputs!$B$14*0.0025)/100)*(1+Inputs!$B$15/100)*(1+Inputs!$B$16/100)*(5000/(6000+Inputs!$B$42*(1-(Inputs!$B$19+0)/100)))*(1+(Inputs!$B$24+((C815=TRUE)*(F815-Calc!F22))+B824)/100)*(1+(IF(Skills!A6="HOOK_BOMBER",Inputs!$B$17+((C814=TRUE)*(F814-Calc!F21)),Inputs!$B$18+0))/100)*((1+(((C806=TRUE)*F806)+((C812=TRUE)*(F812-Calc!F19)))/100)*I799)</f>
        <v/>
      </c>
      <c r="L799">
        <f>K799*(MIN(Inputs!$B$22+((C813=TRUE)*(F813-Calc!F20)),Inputs!$B$23+0)/100+(Inputs!$B$23+0)/100)/2</f>
        <v/>
      </c>
      <c r="M799">
        <f>L799*(1+(Inputs!$B$10+0+B823)/100)</f>
        <v/>
      </c>
      <c r="N799">
        <f>L799*(1-MIN((Inputs!$B$9+((C809=TRUE)*(F809-Calc!F16))+B818),100)/100)+M799*(MIN((Inputs!$B$9+((C809=TRUE)*(F809-Calc!F16))+B818),100)/100)</f>
        <v/>
      </c>
      <c r="O799">
        <f>(1-Summary!$B$55)*T799+Summary!$B$55*V799</f>
        <v/>
      </c>
      <c r="P799">
        <f>IF(B828=0,0,O799/B828)</f>
        <v/>
      </c>
      <c r="Q799">
        <f>IFERROR(1/IF(Inputs!$B$38="pvp",15,MAX(0.1,Skills!D6-IF(Skills!E6=TRUE,Inputs!$B$32,0))),0)</f>
        <v/>
      </c>
      <c r="R799">
        <f>IF(AND(Inputs!$B$38&lt;&gt;"pvp",Inputs!$B$43&gt;0),IF(MAX(0,Inputs!$B$43-B825)&lt;=0,0,(INT(MAX(0,Inputs!$B$43-B825)/IF(Inputs!$B$38="pvp",15,MAX(0.1,Skills!D6-IF(Skills!E6=TRUE,Inputs!$B$32,0))))+1)),0)</f>
        <v/>
      </c>
      <c r="S799">
        <f>IFERROR(O799/N799,0)</f>
        <v/>
      </c>
      <c r="T799">
        <f>IF(C799,(H799*N799*IF(AND(Inputs!$B$38&lt;&gt;"pvp",Inputs!$B$43&gt;0),((Skills!G6*((R799-1)*IF(Skills!H6&gt;0,Skills!I6/Skills!H6,1)+IF(Skills!H6&gt;0,MIN(Skills!I6,MAX(0,MAX(0,Inputs!$B$43-B825)-((R799-1)*IF(Inputs!$B$38="pvp",15,MAX(0.1,Skills!D6-IF(Skills!E6=TRUE,Inputs!$B$32,0))))))/Skills!H6,1)))/Inputs!$B$43),G799*Q799))*IF(Inputs!$B$38="pvp",1,1+(Inputs!$B$20+0+Skills!P6)/100),0)</f>
        <v/>
      </c>
      <c r="V799">
        <f>IF(C799,(H799*N799*IF(AND(Inputs!$B$38&lt;&gt;"pvp",Inputs!$B$43&gt;0),((Skills!G6*((R799-1)*IF(Skills!H6&gt;0,Skills!I6/Skills!H6,1)+IF(Skills!H6&gt;0,MIN(Skills!I6,MAX(0,MAX(0,Inputs!$B$43-B825)-((R799-1)*IF(Inputs!$B$38="pvp",15,MAX(0.1,Skills!D6-IF(Skills!E6=TRUE,Inputs!$B$32,0))))))/Skills!H6,1)))/Inputs!$B$43),G799*Q799))*IF(Inputs!$B$38="pvp",1,(1+(Inputs!$B$21+Skills!Q6)/100)*(MIN(Skills!R6,Inputs!$B$37))),0)</f>
        <v/>
      </c>
    </row>
    <row r="800">
      <c r="A800">
        <f>Skills!A7</f>
        <v/>
      </c>
      <c r="B800">
        <f>Skills!B7</f>
        <v/>
      </c>
      <c r="C800">
        <f>Inputs!$B$3&gt;=100</f>
        <v/>
      </c>
      <c r="D800">
        <f>IF(Skills!C7=1,60+Inputs!$B$25+(Inputs!$B$29+1),IF(Skills!C7=2,90+Inputs!$B$26+(Inputs!$B$29+1),IF(Skills!C7=3,120+Inputs!$B$27+(Inputs!$B$29+1),MAX(0,(Inputs!$B$3-100)*3)+Inputs!$B$28+(Inputs!$B$29+1))))</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((Inputs!$B$6*(1+Inputs!$B$7/100))+(((Inputs!$B$12*(1+Inputs!$B$13/100))-(Inputs!$B$12*(1+Inputs!$B$13/100)))+0.25*(Inputs!$B$14-Inputs!$B$14))*(1+Inputs!$B$7/100))*(F800/100)</f>
        <v/>
      </c>
      <c r="K800">
        <f>J800*(1+((Inputs!$B$12*(1+Inputs!$B$13/100))*0.01+Inputs!$B$14*0.0025)/100)*(1+Inputs!$B$15/100)*(1+Inputs!$B$16/100)*(5000/(6000+Inputs!$B$42*(1-(Inputs!$B$19+0)/100)))*(1+(Inputs!$B$24+((C815=TRUE)*(F815-Calc!F22))+B824)/100)*(1+(IF(Skills!A7="HOOK_BOMBER",Inputs!$B$17+((C814=TRUE)*(F814-Calc!F21)),Inputs!$B$18+0))/100)*((1+(((C806=TRUE)*F806)+((C812=TRUE)*(F812-Calc!F19)))/100)*I800)</f>
        <v/>
      </c>
      <c r="L800">
        <f>K800*(MIN(Inputs!$B$22+((C813=TRUE)*(F813-Calc!F20)),Inputs!$B$23+0)/100+(Inputs!$B$23+0)/100)/2</f>
        <v/>
      </c>
      <c r="M800">
        <f>L800*(1+(Inputs!$B$10+0+B823)/100)</f>
        <v/>
      </c>
      <c r="N800">
        <f>L800*(1-MIN((Inputs!$B$9+((C809=TRUE)*(F809-Calc!F16))+B818),100)/100)+M800*(MIN((Inputs!$B$9+((C809=TRUE)*(F809-Calc!F16))+B818),100)/100)</f>
        <v/>
      </c>
      <c r="O800">
        <f>(1-Summary!$B$55)*T800+Summary!$B$55*V800</f>
        <v/>
      </c>
      <c r="P800">
        <f>IF(B828=0,0,O800/B828)</f>
        <v/>
      </c>
      <c r="Q800">
        <f>IFERROR(1/IF(Inputs!$B$38="pvp",15,MAX(0.1,Skills!D7-IF(Skills!E7=TRUE,Inputs!$B$32,0))),0)</f>
        <v/>
      </c>
      <c r="R800">
        <f>IF(AND(Inputs!$B$38&lt;&gt;"pvp",Inputs!$B$43&gt;0),IF(MAX(0,Inputs!$B$43-B825)&lt;=0,0,(INT(MAX(0,Inputs!$B$43-B825)/IF(Inputs!$B$38="pvp",15,MAX(0.1,Skills!D7-IF(Skills!E7=TRUE,Inputs!$B$32,0))))+1)),0)</f>
        <v/>
      </c>
      <c r="S800">
        <f>IFERROR(O800/N800,0)</f>
        <v/>
      </c>
      <c r="T800">
        <f>IF(C800,(H800*N800*IF(AND(Inputs!$B$38&lt;&gt;"pvp",Inputs!$B$43&gt;0),((Skills!G7*((R800-1)*IF(Skills!H7&gt;0,Skills!I7/Skills!H7,1)+IF(Skills!H7&gt;0,MIN(Skills!I7,MAX(0,MAX(0,Inputs!$B$43-B825)-((R800-1)*IF(Inputs!$B$38="pvp",15,MAX(0.1,Skills!D7-IF(Skills!E7=TRUE,Inputs!$B$32,0))))))/Skills!H7,1)))/Inputs!$B$43),G800*Q800))*IF(Inputs!$B$38="pvp",1,1+(Inputs!$B$20+0+Skills!P7)/100),0)</f>
        <v/>
      </c>
      <c r="V800">
        <f>IF(C800,(H800*N800*IF(AND(Inputs!$B$38&lt;&gt;"pvp",Inputs!$B$43&gt;0),((Skills!G7*((R800-1)*IF(Skills!H7&gt;0,Skills!I7/Skills!H7,1)+IF(Skills!H7&gt;0,MIN(Skills!I7,MAX(0,MAX(0,Inputs!$B$43-B825)-((R800-1)*IF(Inputs!$B$38="pvp",15,MAX(0.1,Skills!D7-IF(Skills!E7=TRUE,Inputs!$B$32,0))))))/Skills!H7,1)))/Inputs!$B$43),G800*Q800))*IF(Inputs!$B$38="pvp",1,(1+(Inputs!$B$21+Skills!Q7)/100)*(MIN(Skills!R7,Inputs!$B$37))),0)</f>
        <v/>
      </c>
    </row>
    <row r="801">
      <c r="A801">
        <f>Skills!A8</f>
        <v/>
      </c>
      <c r="B801">
        <f>Skills!B8</f>
        <v/>
      </c>
      <c r="C801">
        <f>Inputs!$B$3&gt;=110</f>
        <v/>
      </c>
      <c r="D801">
        <f>IF(Skills!C8=1,60+Inputs!$B$25+(Inputs!$B$29+1),IF(Skills!C8=2,90+Inputs!$B$26+(Inputs!$B$29+1),IF(Skills!C8=3,120+Inputs!$B$27+(Inputs!$B$29+1),MAX(0,(Inputs!$B$3-100)*3)+Inputs!$B$28+(Inputs!$B$29+1))))</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((Inputs!$B$6*(1+Inputs!$B$7/100))+(((Inputs!$B$12*(1+Inputs!$B$13/100))-(Inputs!$B$12*(1+Inputs!$B$13/100)))+0.25*(Inputs!$B$14-Inputs!$B$14))*(1+Inputs!$B$7/100))*(F801/100)</f>
        <v/>
      </c>
      <c r="K801">
        <f>J801*(1+((Inputs!$B$12*(1+Inputs!$B$13/100))*0.01+Inputs!$B$14*0.0025)/100)*(1+Inputs!$B$15/100)*(1+Inputs!$B$16/100)*(5000/(6000+Inputs!$B$42*(1-(Inputs!$B$19+0)/100)))*(1+(Inputs!$B$24+((C815=TRUE)*(F815-Calc!F22))+B824)/100)*(1+(IF(Skills!A8="HOOK_BOMBER",Inputs!$B$17+((C814=TRUE)*(F814-Calc!F21)),Inputs!$B$18+0))/100)*((1+(((C806=TRUE)*F806)+((C812=TRUE)*(F812-Calc!F19)))/100)*I801)</f>
        <v/>
      </c>
      <c r="L801">
        <f>K801*(MIN(Inputs!$B$22+((C813=TRUE)*(F813-Calc!F20)),Inputs!$B$23+0)/100+(Inputs!$B$23+0)/100)/2</f>
        <v/>
      </c>
      <c r="M801">
        <f>L801*(1+(Inputs!$B$10+0+B823)/100)</f>
        <v/>
      </c>
      <c r="N801">
        <f>L801*(1-MIN((Inputs!$B$9+((C809=TRUE)*(F809-Calc!F16))+B818),100)/100)+M801*(MIN((Inputs!$B$9+((C809=TRUE)*(F809-Calc!F16))+B818),100)/100)</f>
        <v/>
      </c>
      <c r="O801">
        <f>(1-Summary!$B$55)*T801+Summary!$B$55*V801</f>
        <v/>
      </c>
      <c r="P801">
        <f>IF(B828=0,0,O801/B828)</f>
        <v/>
      </c>
      <c r="Q801">
        <f>IFERROR(1/IF(Inputs!$B$38="pvp",15,MAX(0.1,Skills!D8-IF(Skills!E8=TRUE,Inputs!$B$32,0))),0)</f>
        <v/>
      </c>
      <c r="R801">
        <f>IF(AND(Inputs!$B$38&lt;&gt;"pvp",Inputs!$B$43&gt;0),IF(MAX(0,Inputs!$B$43-B825)&lt;=0,0,(INT(MAX(0,Inputs!$B$43-B825)/IF(Inputs!$B$38="pvp",15,MAX(0.1,Skills!D8-IF(Skills!E8=TRUE,Inputs!$B$32,0))))+1)),0)</f>
        <v/>
      </c>
      <c r="S801">
        <f>IFERROR(O801/N801,0)</f>
        <v/>
      </c>
      <c r="T801">
        <f>IF(C801,(H801*N801*IF(AND(Inputs!$B$38&lt;&gt;"pvp",Inputs!$B$43&gt;0),((Skills!G8*((R801-1)*IF(Skills!H8&gt;0,Skills!I8/Skills!H8,1)+IF(Skills!H8&gt;0,MIN(Skills!I8,MAX(0,MAX(0,Inputs!$B$43-B825)-((R801-1)*IF(Inputs!$B$38="pvp",15,MAX(0.1,Skills!D8-IF(Skills!E8=TRUE,Inputs!$B$32,0))))))/Skills!H8,1)))/Inputs!$B$43),G801*Q801))*IF(Inputs!$B$38="pvp",1,1+(Inputs!$B$20+0+Skills!P8)/100),0)</f>
        <v/>
      </c>
      <c r="V801">
        <f>IF(C801,(H801*N801*IF(AND(Inputs!$B$38&lt;&gt;"pvp",Inputs!$B$43&gt;0),((Skills!G8*((R801-1)*IF(Skills!H8&gt;0,Skills!I8/Skills!H8,1)+IF(Skills!H8&gt;0,MIN(Skills!I8,MAX(0,MAX(0,Inputs!$B$43-B825)-((R801-1)*IF(Inputs!$B$38="pvp",15,MAX(0.1,Skills!D8-IF(Skills!E8=TRUE,Inputs!$B$32,0))))))/Skills!H8,1)))/Inputs!$B$43),G801*Q801))*IF(Inputs!$B$38="pvp",1,(1+(Inputs!$B$21+Skills!Q8)/100)*(MIN(Skills!R8,Inputs!$B$37))),0)</f>
        <v/>
      </c>
    </row>
    <row r="802">
      <c r="A802">
        <f>Skills!A9</f>
        <v/>
      </c>
      <c r="B802">
        <f>Skills!B9</f>
        <v/>
      </c>
      <c r="C802">
        <f>Inputs!$B$3&gt;=110</f>
        <v/>
      </c>
      <c r="D802">
        <f>IF(Skills!C9=1,60+Inputs!$B$25+(Inputs!$B$29+1),IF(Skills!C9=2,90+Inputs!$B$26+(Inputs!$B$29+1),IF(Skills!C9=3,120+Inputs!$B$27+(Inputs!$B$29+1),MAX(0,(Inputs!$B$3-100)*3)+Inputs!$B$28+(Inputs!$B$29+1))))</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((Inputs!$B$6*(1+Inputs!$B$7/100))+(((Inputs!$B$12*(1+Inputs!$B$13/100))-(Inputs!$B$12*(1+Inputs!$B$13/100)))+0.25*(Inputs!$B$14-Inputs!$B$14))*(1+Inputs!$B$7/100))*(F802/100)</f>
        <v/>
      </c>
      <c r="K802">
        <f>J802*(1+((Inputs!$B$12*(1+Inputs!$B$13/100))*0.01+Inputs!$B$14*0.0025)/100)*(1+Inputs!$B$15/100)*(1+Inputs!$B$16/100)*(5000/(6000+Inputs!$B$42*(1-(Inputs!$B$19+0)/100)))*(1+(Inputs!$B$24+((C815=TRUE)*(F815-Calc!F22))+B824)/100)*(1+(IF(Skills!A9="HOOK_BOMBER",Inputs!$B$17+((C814=TRUE)*(F814-Calc!F21)),Inputs!$B$18+0))/100)*((1+(((C806=TRUE)*F806)+((C812=TRUE)*(F812-Calc!F19)))/100)*I802)</f>
        <v/>
      </c>
      <c r="L802">
        <f>K802*(MIN(Inputs!$B$22+((C813=TRUE)*(F813-Calc!F20)),Inputs!$B$23+0)/100+(Inputs!$B$23+0)/100)/2</f>
        <v/>
      </c>
      <c r="M802">
        <f>L802*(1+(Inputs!$B$10+0+B823)/100)</f>
        <v/>
      </c>
      <c r="N802">
        <f>L802*(1-MIN((Inputs!$B$9+((C809=TRUE)*(F809-Calc!F16))+B818),100)/100)+M802*(MIN((Inputs!$B$9+((C809=TRUE)*(F809-Calc!F16))+B818),100)/100)</f>
        <v/>
      </c>
      <c r="O802">
        <f>(1-Summary!$B$55)*T802+Summary!$B$55*V802</f>
        <v/>
      </c>
      <c r="P802">
        <f>IF(B828=0,0,O802/B828)</f>
        <v/>
      </c>
      <c r="Q802">
        <f>IFERROR(1/IF(Inputs!$B$38="pvp",15,MAX(0.1,Skills!D9-IF(Skills!E9=TRUE,Inputs!$B$32,0))),0)</f>
        <v/>
      </c>
      <c r="R802">
        <f>IF(AND(Inputs!$B$38&lt;&gt;"pvp",Inputs!$B$43&gt;0),IF(MAX(0,Inputs!$B$43-B825)&lt;=0,0,(INT(MAX(0,Inputs!$B$43-B825)/IF(Inputs!$B$38="pvp",15,MAX(0.1,Skills!D9-IF(Skills!E9=TRUE,Inputs!$B$32,0))))+1)),0)</f>
        <v/>
      </c>
      <c r="S802">
        <f>IFERROR(O802/N802,0)</f>
        <v/>
      </c>
      <c r="T802">
        <f>IF(C802,(H802*N802*IF(AND(Inputs!$B$38&lt;&gt;"pvp",Inputs!$B$43&gt;0),((Skills!G9*((R802-1)*IF(Skills!H9&gt;0,Skills!I9/Skills!H9,1)+IF(Skills!H9&gt;0,MIN(Skills!I9,MAX(0,MAX(0,Inputs!$B$43-B825)-((R802-1)*IF(Inputs!$B$38="pvp",15,MAX(0.1,Skills!D9-IF(Skills!E9=TRUE,Inputs!$B$32,0))))))/Skills!H9,1)))/Inputs!$B$43),G802*Q802))*IF(Inputs!$B$38="pvp",1,1+(Inputs!$B$20+0+Skills!P9)/100),0)</f>
        <v/>
      </c>
      <c r="V802">
        <f>IF(C802,(H802*N802*IF(AND(Inputs!$B$38&lt;&gt;"pvp",Inputs!$B$43&gt;0),((Skills!G9*((R802-1)*IF(Skills!H9&gt;0,Skills!I9/Skills!H9,1)+IF(Skills!H9&gt;0,MIN(Skills!I9,MAX(0,MAX(0,Inputs!$B$43-B825)-((R802-1)*IF(Inputs!$B$38="pvp",15,MAX(0.1,Skills!D9-IF(Skills!E9=TRUE,Inputs!$B$32,0))))))/Skills!H9,1)))/Inputs!$B$43),G802*Q802))*IF(Inputs!$B$38="pvp",1,(1+(Inputs!$B$21+Skills!Q9)/100)*(MIN(Skills!R9,Inputs!$B$37))),0)</f>
        <v/>
      </c>
    </row>
    <row r="803">
      <c r="A803">
        <f>Skills!A10</f>
        <v/>
      </c>
      <c r="B803">
        <f>Skills!B10</f>
        <v/>
      </c>
      <c r="C803">
        <f>Inputs!$B$3&gt;=103</f>
        <v/>
      </c>
      <c r="D803">
        <f>IF(Skills!C10=1,60+Inputs!$B$25+(Inputs!$B$29+1),IF(Skills!C10=2,90+Inputs!$B$26+(Inputs!$B$29+1),IF(Skills!C10=3,120+Inputs!$B$27+(Inputs!$B$29+1),MAX(0,(Inputs!$B$3-100)*3)+Inputs!$B$28+(Inputs!$B$29+1))))</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((Inputs!$B$6*(1+Inputs!$B$7/100))+(((Inputs!$B$12*(1+Inputs!$B$13/100))-(Inputs!$B$12*(1+Inputs!$B$13/100)))+0.25*(Inputs!$B$14-Inputs!$B$14))*(1+Inputs!$B$7/100))*(F803/100)</f>
        <v/>
      </c>
      <c r="K803">
        <f>J803*(1+((Inputs!$B$12*(1+Inputs!$B$13/100))*0.01+Inputs!$B$14*0.0025)/100)*(1+Inputs!$B$15/100)*(1+Inputs!$B$16/100)*(5000/(6000+Inputs!$B$42*(1-(Inputs!$B$19+0)/100)))*(1+(Inputs!$B$24+((C815=TRUE)*(F815-Calc!F22))+B824)/100)*(1+(IF(Skills!A10="HOOK_BOMBER",Inputs!$B$17+((C814=TRUE)*(F814-Calc!F21)),Inputs!$B$18+0))/100)*((1+(((C806=TRUE)*F806)+((C812=TRUE)*(F812-Calc!F19)))/100)*I803)</f>
        <v/>
      </c>
      <c r="L803">
        <f>K803*(MIN(Inputs!$B$22+((C813=TRUE)*(F813-Calc!F20)),Inputs!$B$23+0)/100+(Inputs!$B$23+0)/100)/2</f>
        <v/>
      </c>
      <c r="M803">
        <f>L803*(1+(Inputs!$B$10+0+B823)/100)</f>
        <v/>
      </c>
      <c r="N803">
        <f>L803*(1-MIN((Inputs!$B$9+((C809=TRUE)*(F809-Calc!F16))+B818),100)/100)+M803*(MIN((Inputs!$B$9+((C809=TRUE)*(F809-Calc!F16))+B818),100)/100)</f>
        <v/>
      </c>
      <c r="O803">
        <f>(1-Summary!$B$55)*T803+Summary!$B$55*V803</f>
        <v/>
      </c>
      <c r="P803">
        <f>IF(B828=0,0,O803/B828)</f>
        <v/>
      </c>
      <c r="Q803">
        <f>IFERROR(1/IF(Inputs!$B$38="pvp",15,MAX(0.1,Skills!D10-IF(Skills!E10=TRUE,Inputs!$B$32,0))),0)</f>
        <v/>
      </c>
      <c r="R803">
        <f>IF(AND(Inputs!$B$38&lt;&gt;"pvp",Inputs!$B$43&gt;0),IF(MAX(0,Inputs!$B$43-B825)&lt;=0,0,(INT(MAX(0,Inputs!$B$43-B825)/IF(Inputs!$B$38="pvp",15,MAX(0.1,Skills!D10-IF(Skills!E10=TRUE,Inputs!$B$32,0))))+1)),0)</f>
        <v/>
      </c>
      <c r="S803">
        <f>IFERROR(O803/N803,0)</f>
        <v/>
      </c>
      <c r="T803">
        <f>IF(C803,(H803*N803*IF(AND(Inputs!$B$38&lt;&gt;"pvp",Inputs!$B$43&gt;0),((Skills!G10*((R803-1)*IF(Skills!H10&gt;0,Skills!I10/Skills!H10,1)+IF(Skills!H10&gt;0,MIN(Skills!I10,MAX(0,MAX(0,Inputs!$B$43-B825)-((R803-1)*IF(Inputs!$B$38="pvp",15,MAX(0.1,Skills!D10-IF(Skills!E10=TRUE,Inputs!$B$32,0))))))/Skills!H10,1)))/Inputs!$B$43),G803*Q803))*IF(Inputs!$B$38="pvp",1,1+(Inputs!$B$20+0+Skills!P10)/100),0)</f>
        <v/>
      </c>
      <c r="V803">
        <f>IF(C803,(H803*N803*IF(AND(Inputs!$B$38&lt;&gt;"pvp",Inputs!$B$43&gt;0),((Skills!G10*((R803-1)*IF(Skills!H10&gt;0,Skills!I10/Skills!H10,1)+IF(Skills!H10&gt;0,MIN(Skills!I10,MAX(0,MAX(0,Inputs!$B$43-B825)-((R803-1)*IF(Inputs!$B$38="pvp",15,MAX(0.1,Skills!D10-IF(Skills!E10=TRUE,Inputs!$B$32,0))))))/Skills!H10,1)))/Inputs!$B$43),G803*Q803))*IF(Inputs!$B$38="pvp",1,(1+(Inputs!$B$21+Skills!Q10)/100)*(MIN(Skills!R10,Inputs!$B$37))),0)</f>
        <v/>
      </c>
    </row>
    <row r="804">
      <c r="A804">
        <f>Skills!A11</f>
        <v/>
      </c>
      <c r="B804">
        <f>Skills!B11</f>
        <v/>
      </c>
      <c r="C804">
        <f>Inputs!$B$3&gt;=113</f>
        <v/>
      </c>
      <c r="D804">
        <f>IF(Skills!C11=1,60+Inputs!$B$25+(Inputs!$B$29+1),IF(Skills!C11=2,90+Inputs!$B$26+(Inputs!$B$29+1),IF(Skills!C11=3,120+Inputs!$B$27+(Inputs!$B$29+1),MAX(0,(Inputs!$B$3-100)*3)+Inputs!$B$28+(Inputs!$B$29+1))))</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((Inputs!$B$6*(1+Inputs!$B$7/100))+(((Inputs!$B$12*(1+Inputs!$B$13/100))-(Inputs!$B$12*(1+Inputs!$B$13/100)))+0.25*(Inputs!$B$14-Inputs!$B$14))*(1+Inputs!$B$7/100))*(F804/100)</f>
        <v/>
      </c>
      <c r="K804">
        <f>J804*(1+((Inputs!$B$12*(1+Inputs!$B$13/100))*0.01+Inputs!$B$14*0.0025)/100)*(1+Inputs!$B$15/100)*(1+Inputs!$B$16/100)*(5000/(6000+Inputs!$B$42*(1-(Inputs!$B$19+0)/100)))*(1+(Inputs!$B$24+((C815=TRUE)*(F815-Calc!F22))+B824)/100)*(1+(IF(Skills!A11="HOOK_BOMBER",Inputs!$B$17+((C814=TRUE)*(F814-Calc!F21)),Inputs!$B$18+0))/100)*((1+(((C806=TRUE)*F806)+((C812=TRUE)*(F812-Calc!F19)))/100)*I804)</f>
        <v/>
      </c>
      <c r="L804">
        <f>K804*(MIN(Inputs!$B$22+((C813=TRUE)*(F813-Calc!F20)),Inputs!$B$23+0)/100+(Inputs!$B$23+0)/100)/2</f>
        <v/>
      </c>
      <c r="M804">
        <f>L804*(1+(Inputs!$B$10+0+B823)/100)</f>
        <v/>
      </c>
      <c r="N804">
        <f>L804*(1-MIN((Inputs!$B$9+((C809=TRUE)*(F809-Calc!F16))+B818),100)/100)+M804*(MIN((Inputs!$B$9+((C809=TRUE)*(F809-Calc!F16))+B818),100)/100)</f>
        <v/>
      </c>
      <c r="O804">
        <f>(1-Summary!$B$55)*T804+Summary!$B$55*V804</f>
        <v/>
      </c>
      <c r="P804">
        <f>IF(B828=0,0,O804/B828)</f>
        <v/>
      </c>
      <c r="Q804">
        <f>IFERROR(1/IF(Inputs!$B$38="pvp",15,MAX(0.1,Skills!D11-IF(Skills!E11=TRUE,Inputs!$B$32,0))),0)</f>
        <v/>
      </c>
      <c r="R804">
        <f>IF(AND(Inputs!$B$38&lt;&gt;"pvp",Inputs!$B$43&gt;0),IF(MAX(0,Inputs!$B$43-B825)&lt;=0,0,(INT(MAX(0,Inputs!$B$43-B825)/IF(Inputs!$B$38="pvp",15,MAX(0.1,Skills!D11-IF(Skills!E11=TRUE,Inputs!$B$32,0))))+1)),0)</f>
        <v/>
      </c>
      <c r="S804">
        <f>IFERROR(O804/N804,0)</f>
        <v/>
      </c>
      <c r="T804">
        <f>IF(C804,(H804*N804*IF(AND(Inputs!$B$38&lt;&gt;"pvp",Inputs!$B$43&gt;0),((Skills!G11*((R804-1)*IF(Skills!H11&gt;0,Skills!I11/Skills!H11,1)+IF(Skills!H11&gt;0,MIN(Skills!I11,MAX(0,MAX(0,Inputs!$B$43-B825)-((R804-1)*IF(Inputs!$B$38="pvp",15,MAX(0.1,Skills!D11-IF(Skills!E11=TRUE,Inputs!$B$32,0))))))/Skills!H11,1)))/Inputs!$B$43),G804*Q804))*IF(Inputs!$B$38="pvp",1,1+(Inputs!$B$20+0+Skills!P11)/100),0)</f>
        <v/>
      </c>
      <c r="V804">
        <f>IF(C804,(H804*N804*IF(AND(Inputs!$B$38&lt;&gt;"pvp",Inputs!$B$43&gt;0),((Skills!G11*((R804-1)*IF(Skills!H11&gt;0,Skills!I11/Skills!H11,1)+IF(Skills!H11&gt;0,MIN(Skills!I11,MAX(0,MAX(0,Inputs!$B$43-B825)-((R804-1)*IF(Inputs!$B$38="pvp",15,MAX(0.1,Skills!D11-IF(Skills!E11=TRUE,Inputs!$B$32,0))))))/Skills!H11,1)))/Inputs!$B$43),G804*Q804))*IF(Inputs!$B$38="pvp",1,(1+(Inputs!$B$21+Skills!Q11)/100)*(MIN(Skills!R11,Inputs!$B$37))),0)</f>
        <v/>
      </c>
    </row>
    <row r="805">
      <c r="A805">
        <f>Skills!A12</f>
        <v/>
      </c>
      <c r="B805">
        <f>Skills!B12</f>
        <v/>
      </c>
      <c r="C805">
        <f>Inputs!$B$3&gt;=100</f>
        <v/>
      </c>
      <c r="D805">
        <f>IF(Skills!C12=1,60+Inputs!$B$25+(Inputs!$B$29+1),IF(Skills!C12=2,90+Inputs!$B$26+(Inputs!$B$29+1),IF(Skills!C12=3,120+Inputs!$B$27+(Inputs!$B$29+1),MAX(0,(Inputs!$B$3-100)*3)+Inputs!$B$28+(Inputs!$B$29+1))))</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c r="T805" t="inlineStr"/>
      <c r="V805" t="inlineStr"/>
    </row>
    <row r="806">
      <c r="A806">
        <f>Skills!A13</f>
        <v/>
      </c>
      <c r="B806">
        <f>Skills!B13</f>
        <v/>
      </c>
      <c r="C806">
        <f>Inputs!$B$3&gt;=66</f>
        <v/>
      </c>
      <c r="D806">
        <f>IF(Skills!C13=1,60+Inputs!$B$25+(Inputs!$B$29+1),IF(Skills!C13=2,90+Inputs!$B$26+(Inputs!$B$29+1),IF(Skills!C13=3,120+Inputs!$B$27+(Inputs!$B$29+1),MAX(0,(Inputs!$B$3-100)*3)+Inputs!$B$28+(Inputs!$B$29+1))))</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f>(1-Summary!$B$55)*T806+Summary!$B$55*V806</f>
        <v/>
      </c>
      <c r="P806">
        <f>IF(B828=0,0,O806/B828)</f>
        <v/>
      </c>
      <c r="Q806" t="n">
        <v>0</v>
      </c>
      <c r="R806" t="n">
        <v>0</v>
      </c>
      <c r="S806">
        <f>IFERROR(O806/N806,0)</f>
        <v/>
      </c>
      <c r="T806" t="n">
        <v>0</v>
      </c>
      <c r="V806" t="n">
        <v>0</v>
      </c>
    </row>
    <row r="807">
      <c r="A807">
        <f>Skills!A14</f>
        <v/>
      </c>
      <c r="B807">
        <f>Skills!B14</f>
        <v/>
      </c>
      <c r="C807">
        <f>Inputs!$B$3&gt;=107</f>
        <v/>
      </c>
      <c r="D807">
        <f>IF(Skills!C14=1,60+Inputs!$B$25+(Inputs!$B$29+1),IF(Skills!C14=2,90+Inputs!$B$26+(Inputs!$B$29+1),IF(Skills!C14=3,120+Inputs!$B$27+(Inputs!$B$29+1),MAX(0,(Inputs!$B$3-100)*3)+Inputs!$B$28+(Inputs!$B$29+1))))</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f>(1-Summary!$B$55)*T807+Summary!$B$55*V807</f>
        <v/>
      </c>
      <c r="P807">
        <f>IF(B828=0,0,O807/B828)</f>
        <v/>
      </c>
      <c r="Q807" t="n">
        <v>0</v>
      </c>
      <c r="R807" t="n">
        <v>0</v>
      </c>
      <c r="S807">
        <f>IFERROR(O807/N807,0)</f>
        <v/>
      </c>
      <c r="T807" t="n">
        <v>0</v>
      </c>
      <c r="V807" t="n">
        <v>0</v>
      </c>
    </row>
    <row r="808">
      <c r="A808">
        <f>Skills!A15</f>
        <v/>
      </c>
      <c r="B808">
        <f>Skills!B15</f>
        <v/>
      </c>
      <c r="C808">
        <f>Inputs!$B$3&gt;=115</f>
        <v/>
      </c>
      <c r="D808">
        <f>IF(Skills!C15=1,60+Inputs!$B$25+(Inputs!$B$29+1),IF(Skills!C15=2,90+Inputs!$B$26+(Inputs!$B$29+1),IF(Skills!C15=3,120+Inputs!$B$27+(Inputs!$B$29+1),MAX(0,(Inputs!$B$3-100)*3)+Inputs!$B$28+(Inputs!$B$29+1))))</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f>(1-Summary!$B$55)*T808+Summary!$B$55*V808</f>
        <v/>
      </c>
      <c r="P808">
        <f>IF(B828=0,0,O808/B828)</f>
        <v/>
      </c>
      <c r="Q808" t="n">
        <v>0</v>
      </c>
      <c r="R808" t="n">
        <v>0</v>
      </c>
      <c r="S808">
        <f>IFERROR(O808/N808,0)</f>
        <v/>
      </c>
      <c r="T808" t="n">
        <v>0</v>
      </c>
      <c r="V808" t="n">
        <v>0</v>
      </c>
    </row>
    <row r="809">
      <c r="A809">
        <f>Skills!A16</f>
        <v/>
      </c>
      <c r="B809">
        <f>Skills!B16</f>
        <v/>
      </c>
      <c r="C809">
        <f>Inputs!$B$3&gt;=15</f>
        <v/>
      </c>
      <c r="D809">
        <f>IF(Skills!C16=1,60+Inputs!$B$25+(Inputs!$B$29+1),IF(Skills!C16=2,90+Inputs!$B$26+(Inputs!$B$29+1),IF(Skills!C16=3,120+Inputs!$B$27+(Inputs!$B$29+1),MAX(0,(Inputs!$B$3-100)*3)+Inputs!$B$28+(Inputs!$B$29+1))))</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f>(1-Summary!$B$55)*T809+Summary!$B$55*V809</f>
        <v/>
      </c>
      <c r="P809">
        <f>IF(B828=0,0,O809/B828)</f>
        <v/>
      </c>
      <c r="Q809" t="n">
        <v>0</v>
      </c>
      <c r="R809" t="n">
        <v>0</v>
      </c>
      <c r="S809">
        <f>IFERROR(O809/N809,0)</f>
        <v/>
      </c>
      <c r="T809" t="n">
        <v>0</v>
      </c>
      <c r="V809" t="n">
        <v>0</v>
      </c>
    </row>
    <row r="810">
      <c r="A810">
        <f>Skills!A17</f>
        <v/>
      </c>
      <c r="B810">
        <f>Skills!B17</f>
        <v/>
      </c>
      <c r="C810">
        <f>Inputs!$B$3&gt;=10</f>
        <v/>
      </c>
      <c r="D810">
        <f>IF(Skills!C17=1,60+Inputs!$B$25+(Inputs!$B$29+1),IF(Skills!C17=2,90+Inputs!$B$26+(Inputs!$B$29+1),IF(Skills!C17=3,120+Inputs!$B$27+(Inputs!$B$29+1),MAX(0,(Inputs!$B$3-100)*3)+Inputs!$B$28+(Inputs!$B$29+1))))</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f>(1-Summary!$B$55)*T810+Summary!$B$55*V810</f>
        <v/>
      </c>
      <c r="P810">
        <f>IF(B828=0,0,O810/B828)</f>
        <v/>
      </c>
      <c r="Q810" t="n">
        <v>0</v>
      </c>
      <c r="R810" t="n">
        <v>0</v>
      </c>
      <c r="S810">
        <f>IFERROR(O810/N810,0)</f>
        <v/>
      </c>
      <c r="T810" t="n">
        <v>0</v>
      </c>
      <c r="V810" t="n">
        <v>0</v>
      </c>
    </row>
    <row r="811">
      <c r="A811">
        <f>Skills!A18</f>
        <v/>
      </c>
      <c r="B811">
        <f>Skills!B18</f>
        <v/>
      </c>
      <c r="C811">
        <f>Inputs!$B$3&gt;=33</f>
        <v/>
      </c>
      <c r="D811">
        <f>IF(Skills!C18=1,60+Inputs!$B$25+(Inputs!$B$29+1),IF(Skills!C18=2,90+Inputs!$B$26+(Inputs!$B$29+1),IF(Skills!C18=3,120+Inputs!$B$27+(Inputs!$B$29+1),MAX(0,(Inputs!$B$3-100)*3)+Inputs!$B$28+(Inputs!$B$29+1))))</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f>(1-Summary!$B$55)*T811+Summary!$B$55*V811</f>
        <v/>
      </c>
      <c r="P811">
        <f>IF(B828=0,0,O811/B828)</f>
        <v/>
      </c>
      <c r="Q811" t="n">
        <v>0</v>
      </c>
      <c r="R811" t="n">
        <v>0</v>
      </c>
      <c r="S811">
        <f>IFERROR(O811/N811,0)</f>
        <v/>
      </c>
      <c r="T811" t="n">
        <v>0</v>
      </c>
      <c r="V811" t="n">
        <v>0</v>
      </c>
    </row>
    <row r="812">
      <c r="A812">
        <f>Skills!A19</f>
        <v/>
      </c>
      <c r="B812">
        <f>Skills!B19</f>
        <v/>
      </c>
      <c r="C812">
        <f>Inputs!$B$3&gt;=40</f>
        <v/>
      </c>
      <c r="D812">
        <f>IF(Skills!C19=1,60+Inputs!$B$25+(Inputs!$B$29+1),IF(Skills!C19=2,90+Inputs!$B$26+(Inputs!$B$29+1),IF(Skills!C19=3,120+Inputs!$B$27+(Inputs!$B$29+1),MAX(0,(Inputs!$B$3-100)*3)+Inputs!$B$28+(Inputs!$B$29+1))))</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f>(1-Summary!$B$55)*T812+Summary!$B$55*V812</f>
        <v/>
      </c>
      <c r="P812">
        <f>IF(B828=0,0,O812/B828)</f>
        <v/>
      </c>
      <c r="Q812" t="n">
        <v>0</v>
      </c>
      <c r="R812" t="n">
        <v>0</v>
      </c>
      <c r="S812">
        <f>IFERROR(O812/N812,0)</f>
        <v/>
      </c>
      <c r="T812" t="n">
        <v>0</v>
      </c>
      <c r="V812" t="n">
        <v>0</v>
      </c>
    </row>
    <row r="813">
      <c r="A813">
        <f>Skills!A20</f>
        <v/>
      </c>
      <c r="B813">
        <f>Skills!B20</f>
        <v/>
      </c>
      <c r="C813">
        <f>Inputs!$B$3&gt;=43</f>
        <v/>
      </c>
      <c r="D813">
        <f>IF(Skills!C20=1,60+Inputs!$B$25+(Inputs!$B$29+1),IF(Skills!C20=2,90+Inputs!$B$26+(Inputs!$B$29+1),IF(Skills!C20=3,120+Inputs!$B$27+(Inputs!$B$29+1),MAX(0,(Inputs!$B$3-100)*3)+Inputs!$B$28+(Inputs!$B$29+1))))</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f>(1-Summary!$B$55)*T813+Summary!$B$55*V813</f>
        <v/>
      </c>
      <c r="P813">
        <f>IF(B828=0,0,O813/B828)</f>
        <v/>
      </c>
      <c r="Q813" t="n">
        <v>0</v>
      </c>
      <c r="R813" t="n">
        <v>0</v>
      </c>
      <c r="S813">
        <f>IFERROR(O813/N813,0)</f>
        <v/>
      </c>
      <c r="T813" t="n">
        <v>0</v>
      </c>
      <c r="V813" t="n">
        <v>0</v>
      </c>
    </row>
    <row r="814">
      <c r="A814">
        <f>Skills!A21</f>
        <v/>
      </c>
      <c r="B814">
        <f>Skills!B21</f>
        <v/>
      </c>
      <c r="C814">
        <f>Inputs!$B$3&gt;=38</f>
        <v/>
      </c>
      <c r="D814">
        <f>IF(Skills!C21=1,60+Inputs!$B$25+(Inputs!$B$29+1),IF(Skills!C21=2,90+Inputs!$B$26+(Inputs!$B$29+1),IF(Skills!C21=3,120+Inputs!$B$27+(Inputs!$B$29+1),MAX(0,(Inputs!$B$3-100)*3)+Inputs!$B$28+(Inputs!$B$29+1))))</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f>(1-Summary!$B$55)*T814+Summary!$B$55*V814</f>
        <v/>
      </c>
      <c r="P814">
        <f>IF(B828=0,0,O814/B828)</f>
        <v/>
      </c>
      <c r="Q814" t="n">
        <v>0</v>
      </c>
      <c r="R814" t="n">
        <v>0</v>
      </c>
      <c r="S814">
        <f>IFERROR(O814/N814,0)</f>
        <v/>
      </c>
      <c r="T814" t="n">
        <v>0</v>
      </c>
      <c r="V814" t="n">
        <v>0</v>
      </c>
    </row>
    <row r="815">
      <c r="A815">
        <f>Skills!A22</f>
        <v/>
      </c>
      <c r="B815">
        <f>Skills!B22</f>
        <v/>
      </c>
      <c r="C815">
        <f>Inputs!$B$3&gt;=75</f>
        <v/>
      </c>
      <c r="D815">
        <f>IF(Skills!C22=1,60+Inputs!$B$25+(Inputs!$B$29+1),IF(Skills!C22=2,90+Inputs!$B$26+(Inputs!$B$29+1),IF(Skills!C22=3,120+Inputs!$B$27+(Inputs!$B$29+1),MAX(0,(Inputs!$B$3-100)*3)+Inputs!$B$28+(Inputs!$B$29+1))))</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f>(1-Summary!$B$55)*T815+Summary!$B$55*V815</f>
        <v/>
      </c>
      <c r="P815">
        <f>IF(B828=0,0,O815/B828)</f>
        <v/>
      </c>
      <c r="Q815" t="n">
        <v>0</v>
      </c>
      <c r="R815" t="n">
        <v>0</v>
      </c>
      <c r="S815">
        <f>IFERROR(O815/N815,0)</f>
        <v/>
      </c>
      <c r="T815" t="n">
        <v>0</v>
      </c>
      <c r="V815" t="n">
        <v>0</v>
      </c>
    </row>
    <row r="817">
      <c r="A817" t="inlineStr">
        <is>
          <t>Attack% Bucket Multiplier</t>
        </is>
      </c>
      <c r="B817">
        <f>(1+(((C806=TRUE)*F806)+((C812=TRUE)*(F812-Calc!F19)))/100)</f>
        <v/>
      </c>
    </row>
    <row r="818">
      <c r="A818" t="inlineStr">
        <is>
          <t>Global Crit Rate Bonus %</t>
        </is>
      </c>
      <c r="B818" t="n">
        <v>0</v>
      </c>
    </row>
    <row r="819">
      <c r="A819" t="inlineStr">
        <is>
          <t>Attack Speed Buff Bonus % (unused)</t>
        </is>
      </c>
      <c r="B819" t="n">
        <v>0</v>
      </c>
    </row>
    <row r="820">
      <c r="A820" t="inlineStr">
        <is>
          <t>Actions Per Second</t>
        </is>
      </c>
      <c r="B820">
        <f>1+MIN(150,150*(1-(1-(Inputs!$B$11+((C810=TRUE)*(F810-Calc!F17))+((C811=TRUE)*(F811-Calc!F18)))/150)*(1-B819/150)))/100</f>
        <v/>
      </c>
    </row>
    <row r="821">
      <c r="A821" t="inlineStr">
        <is>
          <t>Skill + Buff Cast Rate</t>
        </is>
      </c>
      <c r="B821">
        <f>IF(AND(Inputs!$B$38&lt;&gt;"pvp",Inputs!$B$43&gt;0),SUMPRODUCT((Skills!E2:E22=TRUE)*(C795:C815=TRUE)*R795:R815*Skills!F2:F22)/Inputs!$B$43,SUMPRODUCT((Skills!E2:E22=TRUE)*(C795:C815=TRUE)*Q795:Q815*Skills!F2:F22))</f>
        <v/>
      </c>
    </row>
    <row r="822">
      <c r="A822" t="inlineStr">
        <is>
          <t>Hook Bomber Casts Per Second</t>
        </is>
      </c>
      <c r="B822">
        <f>MAX(0,B820-B821)</f>
        <v/>
      </c>
    </row>
    <row r="823">
      <c r="A823" t="inlineStr">
        <is>
          <t>Global Critical Damage Bonus % (unused)</t>
        </is>
      </c>
      <c r="B823" t="n">
        <v>0</v>
      </c>
    </row>
    <row r="824">
      <c r="A824" t="inlineStr">
        <is>
          <t>Global Final Damage Bonus % (Serpent Scale + Crossbones + Time Leap + Speed Infusion)</t>
        </is>
      </c>
      <c r="B824">
        <f>((C798=TRUE)*F798*((10+IF(Inputs!$B$3&gt;=94,5,0))/((10+IF(Inputs!$B$3&gt;=94,5,0))+5/(B822*(1+IF(Inputs!$B$3&gt;=104,1,0))))))+((C807=TRUE)*F807)+((C808=TRUE)*F808)+((Inputs!$B$3&gt;=110)*20*(B820-1))</f>
        <v/>
      </c>
    </row>
    <row r="825">
      <c r="A825" t="inlineStr">
        <is>
          <t>Buff-Casting Startup Delay (s, fixed-duration only)</t>
        </is>
      </c>
      <c r="B825">
        <f>IF(AND(Inputs!$B$38&lt;&gt;"pvp",Inputs!$B$43&gt;0),SUMPRODUCT((Skills!T2:T22&gt;0)*(Skills!E2:E22=TRUE)*(C795:C815=TRUE))/B820,0)</f>
        <v/>
      </c>
    </row>
    <row r="826">
      <c r="A826" t="inlineStr">
        <is>
          <t>Boss-Only Total DPS (this block's swept value)</t>
        </is>
      </c>
      <c r="B826">
        <f>SUM(T795:T815)</f>
        <v/>
      </c>
    </row>
    <row r="827">
      <c r="A827" t="inlineStr">
        <is>
          <t>Normal-Only Total DPS (this block's swept value)</t>
        </is>
      </c>
      <c r="B827">
        <f>SUM(V795:V815)</f>
        <v/>
      </c>
    </row>
    <row r="828">
      <c r="A828" s="5" t="inlineStr">
        <is>
          <t>TOTAL DPS</t>
        </is>
      </c>
      <c r="B828" s="5">
        <f>SUM(O795:O815)</f>
        <v/>
      </c>
    </row>
    <row r="831">
      <c r="A831" s="5" t="inlineStr">
        <is>
          <t>Stat: Flat ATTACK</t>
        </is>
      </c>
    </row>
    <row r="832">
      <c r="A832" s="9" t="inlineStr">
        <is>
          <t>Key</t>
        </is>
      </c>
      <c r="B832" s="9" t="inlineStr">
        <is>
          <t>Name</t>
        </is>
      </c>
      <c r="C832" s="9" t="inlineStr">
        <is>
          <t>Unlocked</t>
        </is>
      </c>
      <c r="D832" s="9" t="inlineStr">
        <is>
          <t>InputLevel</t>
        </is>
      </c>
      <c r="E832" s="9" t="inlineStr">
        <is>
          <t>Factor</t>
        </is>
      </c>
      <c r="F832" s="9" t="inlineStr">
        <is>
          <t>CoefficientPercent</t>
        </is>
      </c>
      <c r="G832" s="9" t="inlineStr">
        <is>
          <t>EffectiveHits</t>
        </is>
      </c>
      <c r="H832" s="9" t="inlineStr">
        <is>
          <t>ProcProbability</t>
        </is>
      </c>
      <c r="I832" s="9" t="inlineStr">
        <is>
          <t>MapleHeroMultiplier</t>
        </is>
      </c>
      <c r="J832" s="9" t="inlineStr">
        <is>
          <t>BaseDamage</t>
        </is>
      </c>
      <c r="K832" s="9" t="inlineStr">
        <is>
          <t>BaseHitDamage</t>
        </is>
      </c>
      <c r="L832" s="9" t="inlineStr">
        <is>
          <t>NonCritAvg</t>
        </is>
      </c>
      <c r="M832" s="9" t="inlineStr">
        <is>
          <t>CritAvg</t>
        </is>
      </c>
      <c r="N832" s="9" t="inlineStr">
        <is>
          <t>ExpectedDamage(perHit)</t>
        </is>
      </c>
      <c r="O832" s="9" t="inlineStr">
        <is>
          <t>DPS</t>
        </is>
      </c>
      <c r="P832" s="9" t="inlineStr">
        <is>
          <t>% of Total</t>
        </is>
      </c>
      <c r="Q832" s="9" t="inlineStr">
        <is>
          <t>InvCooldown</t>
        </is>
      </c>
      <c r="R832" s="9" t="inlineStr">
        <is>
          <t>CastsInFight</t>
        </is>
      </c>
      <c r="S832" s="9"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(((Inputs!$B$6+1)*(1+Inputs!$B$7/100))+(((Inputs!$B$12*(1+Inputs!$B$13/100))-(Inputs!$B$12*(1+Inputs!$B$13/100)))+0.25*(Inputs!$B$14-Inputs!$B$14))*(1+Inputs!$B$7/100))*(F833/100)</f>
        <v/>
      </c>
      <c r="K833">
        <f>J833*(1+((Inputs!$B$12*(1+Inputs!$B$13/100))*0.01+Inputs!$B$14*0.0025)/100)*(1+Inputs!$B$15/100)*(1+Inputs!$B$16/100)*(5000/(6000+Inputs!$B$42*(1-(Inputs!$B$19+0)/100)))*(1+(Inputs!$B$24+((C853=TRUE)*(F853-Calc!F22))+B862)/100)*(1+(IF(Skills!A2="HOOK_BOMBER",Inputs!$B$17+((C852=TRUE)*(F852-Calc!F21)),Inputs!$B$18+0))/100)*((1+(((C844=TRUE)*F844)+((C850=TRUE)*(F850-Calc!F19)))/100)*I833)</f>
        <v/>
      </c>
      <c r="L833">
        <f>K833*(MIN(Inputs!$B$22+((C851=TRUE)*(F851-Calc!F20)),Inputs!$B$23+0)/100+(Inputs!$B$23+0)/100)/2</f>
        <v/>
      </c>
      <c r="M833">
        <f>L833*(1+(Inputs!$B$10+0+B861)/100)</f>
        <v/>
      </c>
      <c r="N833">
        <f>L833*(1-MIN((Inputs!$B$9+((C847=TRUE)*(F847-Calc!F16))+B856),100)/100)+M833*(MIN((Inputs!$B$9+((C847=TRUE)*(F847-Calc!F16))+B856),100)/100)</f>
        <v/>
      </c>
      <c r="O833">
        <f>(1-Summary!$B$55)*T833+Summary!$B$55*V833</f>
        <v/>
      </c>
      <c r="P833">
        <f>IF(B866=0,0,O833/B866)</f>
        <v/>
      </c>
      <c r="Q833" t="n">
        <v>0</v>
      </c>
      <c r="R833" t="n">
        <v>0</v>
      </c>
      <c r="S833">
        <f>IFERROR(O833/N833,0)</f>
        <v/>
      </c>
      <c r="T833">
        <f>IF(C833,(Skills!G2*N833*B860)*IF(Inputs!$B$38="pvp",1,1+(Inputs!$B$20+0+Skills!P2)/100),0)</f>
        <v/>
      </c>
      <c r="U833">
        <f>MAX(0,(Inputs!$B$3-100)*3)+Inputs!$B$28+Inputs!$B$29</f>
        <v/>
      </c>
      <c r="V833">
        <f>IF(C833,(Skills!G2*N833*B860)*IF(Inputs!$B$38="pvp",1,(1+(Inputs!$B$21+Skills!Q2)/100)*(MIN((6+Inputs!$B$33),Inputs!$B$37))),0)</f>
        <v/>
      </c>
    </row>
    <row r="834">
      <c r="A834">
        <f>Skills!A3</f>
        <v/>
      </c>
      <c r="B834">
        <f>Skills!B3</f>
        <v/>
      </c>
      <c r="C834">
        <f>Inputs!$B$3&gt;=35</f>
        <v/>
      </c>
      <c r="D834">
        <f>IF(Skills!C3=1,60+Inputs!$B$25+Inputs!$B$29,IF(Skills!C3=2,90+Inputs!$B$26+Inputs!$B$29,IF(Skills!C3=3,120+Inputs!$B$27+Inputs!$B$29,MAX(0,(Inputs!$B$3-100)*3)+Inputs!$B$28+Inputs!$B$29)))</f>
        <v/>
      </c>
      <c r="E834">
        <f>INDEX(FactorTable!$B$2:$Y$301, MATCH(ROUND(MIN(300,MAX(1,D834)),0), FactorTable!$A$2:$A$301,0), Skills!M3+1)</f>
        <v/>
      </c>
      <c r="F834">
        <f>IF(Skills!N3=TRUE,(Skills!L3/10)*(E834/1000),Skills!L3/10)+Skills!O3</f>
        <v/>
      </c>
      <c r="G834">
        <f>Skills!G3*IF(Skills!H3&gt;0,Skills!I3/Skills!H3,1)</f>
        <v/>
      </c>
      <c r="H834">
        <f>1-(1-Skills!J3/100)^Skills!K3</f>
        <v/>
      </c>
      <c r="I834" t="inlineStr">
        <is>
          <t>1</t>
        </is>
      </c>
      <c r="J834">
        <f>(((Inputs!$B$6+1)*(1+Inputs!$B$7/100))+(((Inputs!$B$12*(1+Inputs!$B$13/100))-(Inputs!$B$12*(1+Inputs!$B$13/100)))+0.25*(Inputs!$B$14-Inputs!$B$14))*(1+Inputs!$B$7/100))*(F834/100)</f>
        <v/>
      </c>
      <c r="K834">
        <f>J834*(1+((Inputs!$B$12*(1+Inputs!$B$13/100))*0.01+Inputs!$B$14*0.0025)/100)*(1+Inputs!$B$15/100)*(1+Inputs!$B$16/100)*(5000/(6000+Inputs!$B$42*(1-(Inputs!$B$19+0)/100)))*(1+(Inputs!$B$24+((C853=TRUE)*(F853-Calc!F22))+B862)/100)*(1+(IF(Skills!A3="HOOK_BOMBER",Inputs!$B$17+((C852=TRUE)*(F852-Calc!F21)),Inputs!$B$18+0))/100)*((1+(((C844=TRUE)*F844)+((C850=TRUE)*(F850-Calc!F19)))/100)*I834)</f>
        <v/>
      </c>
      <c r="L834">
        <f>K834*(MIN(Inputs!$B$22+((C851=TRUE)*(F851-Calc!F20)),Inputs!$B$23+0)/100+(Inputs!$B$23+0)/100)/2</f>
        <v/>
      </c>
      <c r="M834">
        <f>L834*(1+(Inputs!$B$10+0+B861)/100)</f>
        <v/>
      </c>
      <c r="N834">
        <f>L834*(1-MIN((Inputs!$B$9+((C847=TRUE)*(F847-Calc!F16))+B856),100)/100)+M834*(MIN((Inputs!$B$9+((C847=TRUE)*(F847-Calc!F16))+B856),100)/100)</f>
        <v/>
      </c>
      <c r="O834">
        <f>(1-Summary!$B$55)*T834+Summary!$B$55*V834</f>
        <v/>
      </c>
      <c r="P834">
        <f>IF(B866=0,0,O834/B866)</f>
        <v/>
      </c>
      <c r="Q834" t="n">
        <v>0</v>
      </c>
      <c r="R834" t="n">
        <v>0</v>
      </c>
      <c r="S834">
        <f>IFERROR(O834/N834,0)</f>
        <v/>
      </c>
      <c r="T834">
        <f>IF(C834,(Skills!G3*H834*N834*B860)*IF(Inputs!$B$38="pvp",1,1+(Inputs!$B$20+0+Skills!P3)/100),0)</f>
        <v/>
      </c>
      <c r="U834">
        <f>INDEX(FactorTable!$B$2:$Y$301, MATCH(ROUND(MIN(300,MAX(1,U833)),0), FactorTable!$A$2:$A$301,0), 22)</f>
        <v/>
      </c>
      <c r="V834">
        <f>IF(C834,(Skills!G3*H834*N834*B860)*IF(Inputs!$B$38="pvp",1,(1+(Inputs!$B$21+Skills!Q3)/100)*(MIN(Skills!R3,Inputs!$B$37))),0)</f>
        <v/>
      </c>
    </row>
    <row r="835">
      <c r="A835">
        <f>Skills!A4</f>
        <v/>
      </c>
      <c r="B835">
        <f>Skills!B4</f>
        <v/>
      </c>
      <c r="C835">
        <f>Inputs!$B$3&gt;=60</f>
        <v/>
      </c>
      <c r="D835">
        <f>IF(Skills!C4=1,60+Inputs!$B$25+Inputs!$B$29,IF(Skills!C4=2,90+Inputs!$B$26+Inputs!$B$29,IF(Skills!C4=3,120+Inputs!$B$27+Inputs!$B$29,MAX(0,(Inputs!$B$3-100)*3)+Inputs!$B$28+Inputs!$B$29)))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(((Inputs!$B$6+1)*(1+Inputs!$B$7/100))+(((Inputs!$B$12*(1+Inputs!$B$13/100))-(Inputs!$B$12*(1+Inputs!$B$13/100)))+0.25*(Inputs!$B$14-Inputs!$B$14))*(1+Inputs!$B$7/100))*(F835/100)</f>
        <v/>
      </c>
      <c r="K835">
        <f>J835*(1+((Inputs!$B$12*(1+Inputs!$B$13/100))*0.01+Inputs!$B$14*0.0025)/100)*(1+Inputs!$B$15/100)*(1+Inputs!$B$16/100)*(5000/(6000+Inputs!$B$42*(1-(Inputs!$B$19+0)/100)))*(1+(Inputs!$B$24+((C853=TRUE)*(F853-Calc!F22))+B862)/100)*(1+1.0*IF(C843=TRUE,F843,0)/100)*(1+(IF(Skills!A4="HOOK_BOMBER",Inputs!$B$17+((C852=TRUE)*(F852-Calc!F21)),Inputs!$B$18+0))/100)*((1+(((C844=TRUE)*F844)+((C850=TRUE)*(F850-Calc!F19)))/100)*I835)</f>
        <v/>
      </c>
      <c r="L835">
        <f>K835*(MIN(Inputs!$B$22+((C851=TRUE)*(F851-Calc!F20)),Inputs!$B$23+0)/100+(Inputs!$B$23+0)/100)/2</f>
        <v/>
      </c>
      <c r="M835">
        <f>L835*(1+(Inputs!$B$10+0+B861)/100)</f>
        <v/>
      </c>
      <c r="N835">
        <f>L835*(1-MIN((Inputs!$B$9+((C847=TRUE)*(F847-Calc!F16))+B856),100)/100)+M835*(MIN((Inputs!$B$9+((C847=TRUE)*(F847-Calc!F16))+B856),100)/100)</f>
        <v/>
      </c>
      <c r="O835">
        <f>(1-Summary!$B$55)*T835+Summary!$B$55*V835</f>
        <v/>
      </c>
      <c r="P835">
        <f>IF(B866=0,0,O835/B866)</f>
        <v/>
      </c>
      <c r="Q835" t="n">
        <v>0</v>
      </c>
      <c r="R835" t="n">
        <v>0</v>
      </c>
      <c r="S835">
        <f>IFERROR(O835/N835,0)</f>
        <v/>
      </c>
      <c r="T835">
        <f>IF(C835,(Skills!G4*H835*N835*B860)*IF(Inputs!$B$38="pvp",1,1+(Inputs!$B$20+0+Skills!P4)/100),0)</f>
        <v/>
      </c>
      <c r="U835">
        <f>290*U834/1000</f>
        <v/>
      </c>
      <c r="V835">
        <f>IF(C835,(Skills!G4*H835*N835*B860)*IF(Inputs!$B$38="pvp",1,(1+(Inputs!$B$21+Skills!Q4)/100)*(MIN(Skills!R4,Inputs!$B$37))),0)</f>
        <v/>
      </c>
    </row>
    <row r="836">
      <c r="A836">
        <f>Skills!A5</f>
        <v/>
      </c>
      <c r="B836">
        <f>Skills!B5</f>
        <v/>
      </c>
      <c r="C836">
        <f>Inputs!$B$3&gt;=60</f>
        <v/>
      </c>
      <c r="D836">
        <f>IF(Skills!C5=1,60+Inputs!$B$25+Inputs!$B$29,IF(Skills!C5=2,90+Inputs!$B$26+Inputs!$B$29,IF(Skills!C5=3,120+Inputs!$B$27+Inputs!$B$29,MAX(0,(Inputs!$B$3-100)*3)+Inputs!$B$28+Inputs!$B$29)))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t="inlineStr"/>
      <c r="K836" t="inlineStr"/>
      <c r="L836" t="inlineStr"/>
      <c r="M836" t="inlineStr"/>
      <c r="N836" t="inlineStr"/>
      <c r="O836">
        <f>(1-Summary!$B$55)*T836+Summary!$B$55*V836</f>
        <v/>
      </c>
      <c r="P836">
        <f>IF(B866=0,0,O836/B866)</f>
        <v/>
      </c>
      <c r="Q836" t="n">
        <v>0</v>
      </c>
      <c r="R836" t="n">
        <v>0</v>
      </c>
      <c r="S836">
        <f>IFERROR(O836/N836,0)</f>
        <v/>
      </c>
      <c r="T836" t="n">
        <v>0</v>
      </c>
      <c r="V836" t="n">
        <v>0</v>
      </c>
    </row>
    <row r="837">
      <c r="A837">
        <f>Skills!A6</f>
        <v/>
      </c>
      <c r="B837">
        <f>Skills!B6</f>
        <v/>
      </c>
      <c r="C837">
        <f>Inputs!$B$3&gt;=63</f>
        <v/>
      </c>
      <c r="D837">
        <f>IF(Skills!C6=1,60+Inputs!$B$25+Inputs!$B$29,IF(Skills!C6=2,90+Inputs!$B$26+Inputs!$B$29,IF(Skills!C6=3,120+Inputs!$B$27+Inputs!$B$29,MAX(0,(Inputs!$B$3-100)*3)+Inputs!$B$28+Inputs!$B$29)))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(((Inputs!$B$6+1)*(1+Inputs!$B$7/100))+(((Inputs!$B$12*(1+Inputs!$B$13/100))-(Inputs!$B$12*(1+Inputs!$B$13/100)))+0.25*(Inputs!$B$14-Inputs!$B$14))*(1+Inputs!$B$7/100))*(F837/100)</f>
        <v/>
      </c>
      <c r="K837">
        <f>J837*(1+((Inputs!$B$12*(1+Inputs!$B$13/100))*0.01+Inputs!$B$14*0.0025)/100)*(1+Inputs!$B$15/100)*(1+Inputs!$B$16/100)*(5000/(6000+Inputs!$B$42*(1-(Inputs!$B$19+0)/100)))*(1+(Inputs!$B$24+((C853=TRUE)*(F853-Calc!F22))+B862)/100)*(1+(IF(Skills!A6="HOOK_BOMBER",Inputs!$B$17+((C852=TRUE)*(F852-Calc!F21)),Inputs!$B$18+0))/100)*((1+(((C844=TRUE)*F844)+((C850=TRUE)*(F850-Calc!F19)))/100)*I837)</f>
        <v/>
      </c>
      <c r="L837">
        <f>K837*(MIN(Inputs!$B$22+((C851=TRUE)*(F851-Calc!F20)),Inputs!$B$23+0)/100+(Inputs!$B$23+0)/100)/2</f>
        <v/>
      </c>
      <c r="M837">
        <f>L837*(1+(Inputs!$B$10+0+B861)/100)</f>
        <v/>
      </c>
      <c r="N837">
        <f>L837*(1-MIN((Inputs!$B$9+((C847=TRUE)*(F847-Calc!F16))+B856),100)/100)+M837*(MIN((Inputs!$B$9+((C847=TRUE)*(F847-Calc!F16))+B856),100)/100)</f>
        <v/>
      </c>
      <c r="O837">
        <f>(1-Summary!$B$55)*T837+Summary!$B$55*V837</f>
        <v/>
      </c>
      <c r="P837">
        <f>IF(B866=0,0,O837/B866)</f>
        <v/>
      </c>
      <c r="Q837">
        <f>IFERROR(1/IF(Inputs!$B$38="pvp",15,MAX(0.1,Skills!D6-IF(Skills!E6=TRUE,Inputs!$B$32,0))),0)</f>
        <v/>
      </c>
      <c r="R837">
        <f>IF(AND(Inputs!$B$38&lt;&gt;"pvp",Inputs!$B$43&gt;0),IF(MAX(0,Inputs!$B$43-B863)&lt;=0,0,(INT(MAX(0,Inputs!$B$43-B863)/IF(Inputs!$B$38="pvp",15,MAX(0.1,Skills!D6-IF(Skills!E6=TRUE,Inputs!$B$32,0))))+1)),0)</f>
        <v/>
      </c>
      <c r="S837">
        <f>IFERROR(O837/N837,0)</f>
        <v/>
      </c>
      <c r="T837">
        <f>IF(C837,(H837*N837*IF(AND(Inputs!$B$38&lt;&gt;"pvp",Inputs!$B$43&gt;0),((Skills!G6*((R837-1)*IF(Skills!H6&gt;0,Skills!I6/Skills!H6,1)+IF(Skills!H6&gt;0,MIN(Skills!I6,MAX(0,MAX(0,Inputs!$B$43-B863)-((R837-1)*IF(Inputs!$B$38="pvp",15,MAX(0.1,Skills!D6-IF(Skills!E6=TRUE,Inputs!$B$32,0))))))/Skills!H6,1)))/Inputs!$B$43),G837*Q837))*IF(Inputs!$B$38="pvp",1,1+(Inputs!$B$20+0+Skills!P6)/100),0)</f>
        <v/>
      </c>
      <c r="V837">
        <f>IF(C837,(H837*N837*IF(AND(Inputs!$B$38&lt;&gt;"pvp",Inputs!$B$43&gt;0),((Skills!G6*((R837-1)*IF(Skills!H6&gt;0,Skills!I6/Skills!H6,1)+IF(Skills!H6&gt;0,MIN(Skills!I6,MAX(0,MAX(0,Inputs!$B$43-B863)-((R837-1)*IF(Inputs!$B$38="pvp",15,MAX(0.1,Skills!D6-IF(Skills!E6=TRUE,Inputs!$B$32,0))))))/Skills!H6,1)))/Inputs!$B$43),G837*Q837))*IF(Inputs!$B$38="pvp",1,(1+(Inputs!$B$21+Skills!Q6)/100)*(MIN(Skills!R6,Inputs!$B$37))),0)</f>
        <v/>
      </c>
    </row>
    <row r="838">
      <c r="A838">
        <f>Skills!A7</f>
        <v/>
      </c>
      <c r="B838">
        <f>Skills!B7</f>
        <v/>
      </c>
      <c r="C838">
        <f>Inputs!$B$3&gt;=100</f>
        <v/>
      </c>
      <c r="D838">
        <f>IF(Skills!C7=1,60+Inputs!$B$25+Inputs!$B$29,IF(Skills!C7=2,90+Inputs!$B$26+Inputs!$B$29,IF(Skills!C7=3,120+Inputs!$B$27+Inputs!$B$29,MAX(0,(Inputs!$B$3-100)*3)+Inputs!$B$28+Inputs!$B$29)))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(((Inputs!$B$6+1)*(1+Inputs!$B$7/100))+(((Inputs!$B$12*(1+Inputs!$B$13/100))-(Inputs!$B$12*(1+Inputs!$B$13/100)))+0.25*(Inputs!$B$14-Inputs!$B$14))*(1+Inputs!$B$7/100))*(F838/100)</f>
        <v/>
      </c>
      <c r="K838">
        <f>J838*(1+((Inputs!$B$12*(1+Inputs!$B$13/100))*0.01+Inputs!$B$14*0.0025)/100)*(1+Inputs!$B$15/100)*(1+Inputs!$B$16/100)*(5000/(6000+Inputs!$B$42*(1-(Inputs!$B$19+0)/100)))*(1+(Inputs!$B$24+((C853=TRUE)*(F853-Calc!F22))+B862)/100)*(1+(IF(Skills!A7="HOOK_BOMBER",Inputs!$B$17+((C852=TRUE)*(F852-Calc!F21)),Inputs!$B$18+0))/100)*((1+(((C844=TRUE)*F844)+((C850=TRUE)*(F850-Calc!F19)))/100)*I838)</f>
        <v/>
      </c>
      <c r="L838">
        <f>K838*(MIN(Inputs!$B$22+((C851=TRUE)*(F851-Calc!F20)),Inputs!$B$23+0)/100+(Inputs!$B$23+0)/100)/2</f>
        <v/>
      </c>
      <c r="M838">
        <f>L838*(1+(Inputs!$B$10+0+B861)/100)</f>
        <v/>
      </c>
      <c r="N838">
        <f>L838*(1-MIN((Inputs!$B$9+((C847=TRUE)*(F847-Calc!F16))+B856),100)/100)+M838*(MIN((Inputs!$B$9+((C847=TRUE)*(F847-Calc!F16))+B856),100)/100)</f>
        <v/>
      </c>
      <c r="O838">
        <f>(1-Summary!$B$55)*T838+Summary!$B$55*V838</f>
        <v/>
      </c>
      <c r="P838">
        <f>IF(B866=0,0,O838/B866)</f>
        <v/>
      </c>
      <c r="Q838">
        <f>IFERROR(1/IF(Inputs!$B$38="pvp",15,MAX(0.1,Skills!D7-IF(Skills!E7=TRUE,Inputs!$B$32,0))),0)</f>
        <v/>
      </c>
      <c r="R838">
        <f>IF(AND(Inputs!$B$38&lt;&gt;"pvp",Inputs!$B$43&gt;0),IF(MAX(0,Inputs!$B$43-B863)&lt;=0,0,(INT(MAX(0,Inputs!$B$43-B863)/IF(Inputs!$B$38="pvp",15,MAX(0.1,Skills!D7-IF(Skills!E7=TRUE,Inputs!$B$32,0))))+1)),0)</f>
        <v/>
      </c>
      <c r="S838">
        <f>IFERROR(O838/N838,0)</f>
        <v/>
      </c>
      <c r="T838">
        <f>IF(C838,(H838*N838*IF(AND(Inputs!$B$38&lt;&gt;"pvp",Inputs!$B$43&gt;0),((Skills!G7*((R838-1)*IF(Skills!H7&gt;0,Skills!I7/Skills!H7,1)+IF(Skills!H7&gt;0,MIN(Skills!I7,MAX(0,MAX(0,Inputs!$B$43-B863)-((R838-1)*IF(Inputs!$B$38="pvp",15,MAX(0.1,Skills!D7-IF(Skills!E7=TRUE,Inputs!$B$32,0))))))/Skills!H7,1)))/Inputs!$B$43),G838*Q838))*IF(Inputs!$B$38="pvp",1,1+(Inputs!$B$20+0+Skills!P7)/100),0)</f>
        <v/>
      </c>
      <c r="V838">
        <f>IF(C838,(H838*N838*IF(AND(Inputs!$B$38&lt;&gt;"pvp",Inputs!$B$43&gt;0),((Skills!G7*((R838-1)*IF(Skills!H7&gt;0,Skills!I7/Skills!H7,1)+IF(Skills!H7&gt;0,MIN(Skills!I7,MAX(0,MAX(0,Inputs!$B$43-B863)-((R838-1)*IF(Inputs!$B$38="pvp",15,MAX(0.1,Skills!D7-IF(Skills!E7=TRUE,Inputs!$B$32,0))))))/Skills!H7,1)))/Inputs!$B$43),G838*Q838))*IF(Inputs!$B$38="pvp",1,(1+(Inputs!$B$21+Skills!Q7)/100)*(MIN(Skills!R7,Inputs!$B$37))),0)</f>
        <v/>
      </c>
    </row>
    <row r="839">
      <c r="A839">
        <f>Skills!A8</f>
        <v/>
      </c>
      <c r="B839">
        <f>Skills!B8</f>
        <v/>
      </c>
      <c r="C839">
        <f>Inputs!$B$3&gt;=110</f>
        <v/>
      </c>
      <c r="D839">
        <f>IF(Skills!C8=1,60+Inputs!$B$25+Inputs!$B$29,IF(Skills!C8=2,90+Inputs!$B$26+Inputs!$B$29,IF(Skills!C8=3,120+Inputs!$B$27+Inputs!$B$29,MAX(0,(Inputs!$B$3-100)*3)+Inputs!$B$28+Inputs!$B$29)))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(((Inputs!$B$6+1)*(1+Inputs!$B$7/100))+(((Inputs!$B$12*(1+Inputs!$B$13/100))-(Inputs!$B$12*(1+Inputs!$B$13/100)))+0.25*(Inputs!$B$14-Inputs!$B$14))*(1+Inputs!$B$7/100))*(F839/100)</f>
        <v/>
      </c>
      <c r="K839">
        <f>J839*(1+((Inputs!$B$12*(1+Inputs!$B$13/100))*0.01+Inputs!$B$14*0.0025)/100)*(1+Inputs!$B$15/100)*(1+Inputs!$B$16/100)*(5000/(6000+Inputs!$B$42*(1-(Inputs!$B$19+0)/100)))*(1+(Inputs!$B$24+((C853=TRUE)*(F853-Calc!F22))+B862)/100)*(1+(IF(Skills!A8="HOOK_BOMBER",Inputs!$B$17+((C852=TRUE)*(F852-Calc!F21)),Inputs!$B$18+0))/100)*((1+(((C844=TRUE)*F844)+((C850=TRUE)*(F850-Calc!F19)))/100)*I839)</f>
        <v/>
      </c>
      <c r="L839">
        <f>K839*(MIN(Inputs!$B$22+((C851=TRUE)*(F851-Calc!F20)),Inputs!$B$23+0)/100+(Inputs!$B$23+0)/100)/2</f>
        <v/>
      </c>
      <c r="M839">
        <f>L839*(1+(Inputs!$B$10+0+B861)/100)</f>
        <v/>
      </c>
      <c r="N839">
        <f>L839*(1-MIN((Inputs!$B$9+((C847=TRUE)*(F847-Calc!F16))+B856),100)/100)+M839*(MIN((Inputs!$B$9+((C847=TRUE)*(F847-Calc!F16))+B856),100)/100)</f>
        <v/>
      </c>
      <c r="O839">
        <f>(1-Summary!$B$55)*T839+Summary!$B$55*V839</f>
        <v/>
      </c>
      <c r="P839">
        <f>IF(B866=0,0,O839/B866)</f>
        <v/>
      </c>
      <c r="Q839">
        <f>IFERROR(1/IF(Inputs!$B$38="pvp",15,MAX(0.1,Skills!D8-IF(Skills!E8=TRUE,Inputs!$B$32,0))),0)</f>
        <v/>
      </c>
      <c r="R839">
        <f>IF(AND(Inputs!$B$38&lt;&gt;"pvp",Inputs!$B$43&gt;0),IF(MAX(0,Inputs!$B$43-B863)&lt;=0,0,(INT(MAX(0,Inputs!$B$43-B863)/IF(Inputs!$B$38="pvp",15,MAX(0.1,Skills!D8-IF(Skills!E8=TRUE,Inputs!$B$32,0))))+1)),0)</f>
        <v/>
      </c>
      <c r="S839">
        <f>IFERROR(O839/N839,0)</f>
        <v/>
      </c>
      <c r="T839">
        <f>IF(C839,(H839*N839*IF(AND(Inputs!$B$38&lt;&gt;"pvp",Inputs!$B$43&gt;0),((Skills!G8*((R839-1)*IF(Skills!H8&gt;0,Skills!I8/Skills!H8,1)+IF(Skills!H8&gt;0,MIN(Skills!I8,MAX(0,MAX(0,Inputs!$B$43-B863)-((R839-1)*IF(Inputs!$B$38="pvp",15,MAX(0.1,Skills!D8-IF(Skills!E8=TRUE,Inputs!$B$32,0))))))/Skills!H8,1)))/Inputs!$B$43),G839*Q839))*IF(Inputs!$B$38="pvp",1,1+(Inputs!$B$20+0+Skills!P8)/100),0)</f>
        <v/>
      </c>
      <c r="V839">
        <f>IF(C839,(H839*N839*IF(AND(Inputs!$B$38&lt;&gt;"pvp",Inputs!$B$43&gt;0),((Skills!G8*((R839-1)*IF(Skills!H8&gt;0,Skills!I8/Skills!H8,1)+IF(Skills!H8&gt;0,MIN(Skills!I8,MAX(0,MAX(0,Inputs!$B$43-B863)-((R839-1)*IF(Inputs!$B$38="pvp",15,MAX(0.1,Skills!D8-IF(Skills!E8=TRUE,Inputs!$B$32,0))))))/Skills!H8,1)))/Inputs!$B$43),G839*Q839))*IF(Inputs!$B$38="pvp",1,(1+(Inputs!$B$21+Skills!Q8)/100)*(MIN(Skills!R8,Inputs!$B$37))),0)</f>
        <v/>
      </c>
    </row>
    <row r="840">
      <c r="A840">
        <f>Skills!A9</f>
        <v/>
      </c>
      <c r="B840">
        <f>Skills!B9</f>
        <v/>
      </c>
      <c r="C840">
        <f>Inputs!$B$3&gt;=110</f>
        <v/>
      </c>
      <c r="D840">
        <f>IF(Skills!C9=1,60+Inputs!$B$25+Inputs!$B$29,IF(Skills!C9=2,90+Inputs!$B$26+Inputs!$B$29,IF(Skills!C9=3,120+Inputs!$B$27+Inputs!$B$29,MAX(0,(Inputs!$B$3-100)*3)+Inputs!$B$28+Inputs!$B$29)))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(((Inputs!$B$6+1)*(1+Inputs!$B$7/100))+(((Inputs!$B$12*(1+Inputs!$B$13/100))-(Inputs!$B$12*(1+Inputs!$B$13/100)))+0.25*(Inputs!$B$14-Inputs!$B$14))*(1+Inputs!$B$7/100))*(F840/100)</f>
        <v/>
      </c>
      <c r="K840">
        <f>J840*(1+((Inputs!$B$12*(1+Inputs!$B$13/100))*0.01+Inputs!$B$14*0.0025)/100)*(1+Inputs!$B$15/100)*(1+Inputs!$B$16/100)*(5000/(6000+Inputs!$B$42*(1-(Inputs!$B$19+0)/100)))*(1+(Inputs!$B$24+((C853=TRUE)*(F853-Calc!F22))+B862)/100)*(1+(IF(Skills!A9="HOOK_BOMBER",Inputs!$B$17+((C852=TRUE)*(F852-Calc!F21)),Inputs!$B$18+0))/100)*((1+(((C844=TRUE)*F844)+((C850=TRUE)*(F850-Calc!F19)))/100)*I840)</f>
        <v/>
      </c>
      <c r="L840">
        <f>K840*(MIN(Inputs!$B$22+((C851=TRUE)*(F851-Calc!F20)),Inputs!$B$23+0)/100+(Inputs!$B$23+0)/100)/2</f>
        <v/>
      </c>
      <c r="M840">
        <f>L840*(1+(Inputs!$B$10+0+B861)/100)</f>
        <v/>
      </c>
      <c r="N840">
        <f>L840*(1-MIN((Inputs!$B$9+((C847=TRUE)*(F847-Calc!F16))+B856),100)/100)+M840*(MIN((Inputs!$B$9+((C847=TRUE)*(F847-Calc!F16))+B856),100)/100)</f>
        <v/>
      </c>
      <c r="O840">
        <f>(1-Summary!$B$55)*T840+Summary!$B$55*V840</f>
        <v/>
      </c>
      <c r="P840">
        <f>IF(B866=0,0,O840/B866)</f>
        <v/>
      </c>
      <c r="Q840">
        <f>IFERROR(1/IF(Inputs!$B$38="pvp",15,MAX(0.1,Skills!D9-IF(Skills!E9=TRUE,Inputs!$B$32,0))),0)</f>
        <v/>
      </c>
      <c r="R840">
        <f>IF(AND(Inputs!$B$38&lt;&gt;"pvp",Inputs!$B$43&gt;0),IF(MAX(0,Inputs!$B$43-B863)&lt;=0,0,(INT(MAX(0,Inputs!$B$43-B863)/IF(Inputs!$B$38="pvp",15,MAX(0.1,Skills!D9-IF(Skills!E9=TRUE,Inputs!$B$32,0))))+1)),0)</f>
        <v/>
      </c>
      <c r="S840">
        <f>IFERROR(O840/N840,0)</f>
        <v/>
      </c>
      <c r="T840">
        <f>IF(C840,(H840*N840*IF(AND(Inputs!$B$38&lt;&gt;"pvp",Inputs!$B$43&gt;0),((Skills!G9*((R840-1)*IF(Skills!H9&gt;0,Skills!I9/Skills!H9,1)+IF(Skills!H9&gt;0,MIN(Skills!I9,MAX(0,MAX(0,Inputs!$B$43-B863)-((R840-1)*IF(Inputs!$B$38="pvp",15,MAX(0.1,Skills!D9-IF(Skills!E9=TRUE,Inputs!$B$32,0))))))/Skills!H9,1)))/Inputs!$B$43),G840*Q840))*IF(Inputs!$B$38="pvp",1,1+(Inputs!$B$20+0+Skills!P9)/100),0)</f>
        <v/>
      </c>
      <c r="V840">
        <f>IF(C840,(H840*N840*IF(AND(Inputs!$B$38&lt;&gt;"pvp",Inputs!$B$43&gt;0),((Skills!G9*((R840-1)*IF(Skills!H9&gt;0,Skills!I9/Skills!H9,1)+IF(Skills!H9&gt;0,MIN(Skills!I9,MAX(0,MAX(0,Inputs!$B$43-B863)-((R840-1)*IF(Inputs!$B$38="pvp",15,MAX(0.1,Skills!D9-IF(Skills!E9=TRUE,Inputs!$B$32,0))))))/Skills!H9,1)))/Inputs!$B$43),G840*Q840))*IF(Inputs!$B$38="pvp",1,(1+(Inputs!$B$21+Skills!Q9)/100)*(MIN(Skills!R9,Inputs!$B$37))),0)</f>
        <v/>
      </c>
    </row>
    <row r="841">
      <c r="A841">
        <f>Skills!A10</f>
        <v/>
      </c>
      <c r="B841">
        <f>Skills!B10</f>
        <v/>
      </c>
      <c r="C841">
        <f>Inputs!$B$3&gt;=103</f>
        <v/>
      </c>
      <c r="D841">
        <f>IF(Skills!C10=1,60+Inputs!$B$25+Inputs!$B$29,IF(Skills!C10=2,90+Inputs!$B$26+Inputs!$B$29,IF(Skills!C10=3,120+Inputs!$B$27+Inputs!$B$29,MAX(0,(Inputs!$B$3-100)*3)+Inputs!$B$28+Inputs!$B$29)))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(((Inputs!$B$6+1)*(1+Inputs!$B$7/100))+(((Inputs!$B$12*(1+Inputs!$B$13/100))-(Inputs!$B$12*(1+Inputs!$B$13/100)))+0.25*(Inputs!$B$14-Inputs!$B$14))*(1+Inputs!$B$7/100))*(F841/100)</f>
        <v/>
      </c>
      <c r="K841">
        <f>J841*(1+((Inputs!$B$12*(1+Inputs!$B$13/100))*0.01+Inputs!$B$14*0.0025)/100)*(1+Inputs!$B$15/100)*(1+Inputs!$B$16/100)*(5000/(6000+Inputs!$B$42*(1-(Inputs!$B$19+0)/100)))*(1+(Inputs!$B$24+((C853=TRUE)*(F853-Calc!F22))+B862)/100)*(1+(IF(Skills!A10="HOOK_BOMBER",Inputs!$B$17+((C852=TRUE)*(F852-Calc!F21)),Inputs!$B$18+0))/100)*((1+(((C844=TRUE)*F844)+((C850=TRUE)*(F850-Calc!F19)))/100)*I841)</f>
        <v/>
      </c>
      <c r="L841">
        <f>K841*(MIN(Inputs!$B$22+((C851=TRUE)*(F851-Calc!F20)),Inputs!$B$23+0)/100+(Inputs!$B$23+0)/100)/2</f>
        <v/>
      </c>
      <c r="M841">
        <f>L841*(1+(Inputs!$B$10+0+B861)/100)</f>
        <v/>
      </c>
      <c r="N841">
        <f>L841*(1-MIN((Inputs!$B$9+((C847=TRUE)*(F847-Calc!F16))+B856),100)/100)+M841*(MIN((Inputs!$B$9+((C847=TRUE)*(F847-Calc!F16))+B856),100)/100)</f>
        <v/>
      </c>
      <c r="O841">
        <f>(1-Summary!$B$55)*T841+Summary!$B$55*V841</f>
        <v/>
      </c>
      <c r="P841">
        <f>IF(B866=0,0,O841/B866)</f>
        <v/>
      </c>
      <c r="Q841">
        <f>IFERROR(1/IF(Inputs!$B$38="pvp",15,MAX(0.1,Skills!D10-IF(Skills!E10=TRUE,Inputs!$B$32,0))),0)</f>
        <v/>
      </c>
      <c r="R841">
        <f>IF(AND(Inputs!$B$38&lt;&gt;"pvp",Inputs!$B$43&gt;0),IF(MAX(0,Inputs!$B$43-B863)&lt;=0,0,(INT(MAX(0,Inputs!$B$43-B863)/IF(Inputs!$B$38="pvp",15,MAX(0.1,Skills!D10-IF(Skills!E10=TRUE,Inputs!$B$32,0))))+1)),0)</f>
        <v/>
      </c>
      <c r="S841">
        <f>IFERROR(O841/N841,0)</f>
        <v/>
      </c>
      <c r="T841">
        <f>IF(C841,(H841*N841*IF(AND(Inputs!$B$38&lt;&gt;"pvp",Inputs!$B$43&gt;0),((Skills!G10*((R841-1)*IF(Skills!H10&gt;0,Skills!I10/Skills!H10,1)+IF(Skills!H10&gt;0,MIN(Skills!I10,MAX(0,MAX(0,Inputs!$B$43-B863)-((R841-1)*IF(Inputs!$B$38="pvp",15,MAX(0.1,Skills!D10-IF(Skills!E10=TRUE,Inputs!$B$32,0))))))/Skills!H10,1)))/Inputs!$B$43),G841*Q841))*IF(Inputs!$B$38="pvp",1,1+(Inputs!$B$20+0+Skills!P10)/100),0)</f>
        <v/>
      </c>
      <c r="V841">
        <f>IF(C841,(H841*N841*IF(AND(Inputs!$B$38&lt;&gt;"pvp",Inputs!$B$43&gt;0),((Skills!G10*((R841-1)*IF(Skills!H10&gt;0,Skills!I10/Skills!H10,1)+IF(Skills!H10&gt;0,MIN(Skills!I10,MAX(0,MAX(0,Inputs!$B$43-B863)-((R841-1)*IF(Inputs!$B$38="pvp",15,MAX(0.1,Skills!D10-IF(Skills!E10=TRUE,Inputs!$B$32,0))))))/Skills!H10,1)))/Inputs!$B$43),G841*Q841))*IF(Inputs!$B$38="pvp",1,(1+(Inputs!$B$21+Skills!Q10)/100)*(MIN(Skills!R10,Inputs!$B$37))),0)</f>
        <v/>
      </c>
    </row>
    <row r="842">
      <c r="A842">
        <f>Skills!A11</f>
        <v/>
      </c>
      <c r="B842">
        <f>Skills!B11</f>
        <v/>
      </c>
      <c r="C842">
        <f>Inputs!$B$3&gt;=113</f>
        <v/>
      </c>
      <c r="D842">
        <f>IF(Skills!C11=1,60+Inputs!$B$25+Inputs!$B$29,IF(Skills!C11=2,90+Inputs!$B$26+Inputs!$B$29,IF(Skills!C11=3,120+Inputs!$B$27+Inputs!$B$29,MAX(0,(Inputs!$B$3-100)*3)+Inputs!$B$28+Inputs!$B$29)))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(((Inputs!$B$6+1)*(1+Inputs!$B$7/100))+(((Inputs!$B$12*(1+Inputs!$B$13/100))-(Inputs!$B$12*(1+Inputs!$B$13/100)))+0.25*(Inputs!$B$14-Inputs!$B$14))*(1+Inputs!$B$7/100))*(F842/100)</f>
        <v/>
      </c>
      <c r="K842">
        <f>J842*(1+((Inputs!$B$12*(1+Inputs!$B$13/100))*0.01+Inputs!$B$14*0.0025)/100)*(1+Inputs!$B$15/100)*(1+Inputs!$B$16/100)*(5000/(6000+Inputs!$B$42*(1-(Inputs!$B$19+0)/100)))*(1+(Inputs!$B$24+((C853=TRUE)*(F853-Calc!F22))+B862)/100)*(1+(IF(Skills!A11="HOOK_BOMBER",Inputs!$B$17+((C852=TRUE)*(F852-Calc!F21)),Inputs!$B$18+0))/100)*((1+(((C844=TRUE)*F844)+((C850=TRUE)*(F850-Calc!F19)))/100)*I842)</f>
        <v/>
      </c>
      <c r="L842">
        <f>K842*(MIN(Inputs!$B$22+((C851=TRUE)*(F851-Calc!F20)),Inputs!$B$23+0)/100+(Inputs!$B$23+0)/100)/2</f>
        <v/>
      </c>
      <c r="M842">
        <f>L842*(1+(Inputs!$B$10+0+B861)/100)</f>
        <v/>
      </c>
      <c r="N842">
        <f>L842*(1-MIN((Inputs!$B$9+((C847=TRUE)*(F847-Calc!F16))+B856),100)/100)+M842*(MIN((Inputs!$B$9+((C847=TRUE)*(F847-Calc!F16))+B856),100)/100)</f>
        <v/>
      </c>
      <c r="O842">
        <f>(1-Summary!$B$55)*T842+Summary!$B$55*V842</f>
        <v/>
      </c>
      <c r="P842">
        <f>IF(B866=0,0,O842/B866)</f>
        <v/>
      </c>
      <c r="Q842">
        <f>IFERROR(1/IF(Inputs!$B$38="pvp",15,MAX(0.1,Skills!D11-IF(Skills!E11=TRUE,Inputs!$B$32,0))),0)</f>
        <v/>
      </c>
      <c r="R842">
        <f>IF(AND(Inputs!$B$38&lt;&gt;"pvp",Inputs!$B$43&gt;0),IF(MAX(0,Inputs!$B$43-B863)&lt;=0,0,(INT(MAX(0,Inputs!$B$43-B863)/IF(Inputs!$B$38="pvp",15,MAX(0.1,Skills!D11-IF(Skills!E11=TRUE,Inputs!$B$32,0))))+1)),0)</f>
        <v/>
      </c>
      <c r="S842">
        <f>IFERROR(O842/N842,0)</f>
        <v/>
      </c>
      <c r="T842">
        <f>IF(C842,(H842*N842*IF(AND(Inputs!$B$38&lt;&gt;"pvp",Inputs!$B$43&gt;0),((Skills!G11*((R842-1)*IF(Skills!H11&gt;0,Skills!I11/Skills!H11,1)+IF(Skills!H11&gt;0,MIN(Skills!I11,MAX(0,MAX(0,Inputs!$B$43-B863)-((R842-1)*IF(Inputs!$B$38="pvp",15,MAX(0.1,Skills!D11-IF(Skills!E11=TRUE,Inputs!$B$32,0))))))/Skills!H11,1)))/Inputs!$B$43),G842*Q842))*IF(Inputs!$B$38="pvp",1,1+(Inputs!$B$20+0+Skills!P11)/100),0)</f>
        <v/>
      </c>
      <c r="V842">
        <f>IF(C842,(H842*N842*IF(AND(Inputs!$B$38&lt;&gt;"pvp",Inputs!$B$43&gt;0),((Skills!G11*((R842-1)*IF(Skills!H11&gt;0,Skills!I11/Skills!H11,1)+IF(Skills!H11&gt;0,MIN(Skills!I11,MAX(0,MAX(0,Inputs!$B$43-B863)-((R842-1)*IF(Inputs!$B$38="pvp",15,MAX(0.1,Skills!D11-IF(Skills!E11=TRUE,Inputs!$B$32,0))))))/Skills!H11,1)))/Inputs!$B$43),G842*Q842))*IF(Inputs!$B$38="pvp",1,(1+(Inputs!$B$21+Skills!Q11)/100)*(MIN(Skills!R11,Inputs!$B$37))),0)</f>
        <v/>
      </c>
    </row>
    <row r="843">
      <c r="A843">
        <f>Skills!A12</f>
        <v/>
      </c>
      <c r="B843">
        <f>Skills!B12</f>
        <v/>
      </c>
      <c r="C843">
        <f>Inputs!$B$3&gt;=100</f>
        <v/>
      </c>
      <c r="D843">
        <f>IF(Skills!C12=1,60+Inputs!$B$25+Inputs!$B$29,IF(Skills!C12=2,90+Inputs!$B$26+Inputs!$B$29,IF(Skills!C12=3,120+Inputs!$B$27+Inputs!$B$29,MAX(0,(Inputs!$B$3-100)*3)+Inputs!$B$28+Inputs!$B$29)))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c r="T843" t="inlineStr"/>
      <c r="V843" t="inlineStr"/>
    </row>
    <row r="844">
      <c r="A844">
        <f>Skills!A13</f>
        <v/>
      </c>
      <c r="B844">
        <f>Skills!B13</f>
        <v/>
      </c>
      <c r="C844">
        <f>Inputs!$B$3&gt;=66</f>
        <v/>
      </c>
      <c r="D844">
        <f>IF(Skills!C13=1,60+Inputs!$B$25+Inputs!$B$29,IF(Skills!C13=2,90+Inputs!$B$26+Inputs!$B$29,IF(Skills!C13=3,120+Inputs!$B$27+Inputs!$B$29,MAX(0,(Inputs!$B$3-100)*3)+Inputs!$B$28+Inputs!$B$29)))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(1-Summary!$B$55)*T844+Summary!$B$55*V844</f>
        <v/>
      </c>
      <c r="P844">
        <f>IF(B866=0,0,O844/B866)</f>
        <v/>
      </c>
      <c r="Q844" t="n">
        <v>0</v>
      </c>
      <c r="R844" t="n">
        <v>0</v>
      </c>
      <c r="S844">
        <f>IFERROR(O844/N844,0)</f>
        <v/>
      </c>
      <c r="T844" t="n">
        <v>0</v>
      </c>
      <c r="V844" t="n">
        <v>0</v>
      </c>
    </row>
    <row r="845">
      <c r="A845">
        <f>Skills!A14</f>
        <v/>
      </c>
      <c r="B845">
        <f>Skills!B14</f>
        <v/>
      </c>
      <c r="C845">
        <f>Inputs!$B$3&gt;=107</f>
        <v/>
      </c>
      <c r="D845">
        <f>IF(Skills!C14=1,60+Inputs!$B$25+Inputs!$B$29,IF(Skills!C14=2,90+Inputs!$B$26+Inputs!$B$29,IF(Skills!C14=3,120+Inputs!$B$27+Inputs!$B$29,MAX(0,(Inputs!$B$3-100)*3)+Inputs!$B$28+Inputs!$B$29)))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(1-Summary!$B$55)*T845+Summary!$B$55*V845</f>
        <v/>
      </c>
      <c r="P845">
        <f>IF(B866=0,0,O845/B866)</f>
        <v/>
      </c>
      <c r="Q845" t="n">
        <v>0</v>
      </c>
      <c r="R845" t="n">
        <v>0</v>
      </c>
      <c r="S845">
        <f>IFERROR(O845/N845,0)</f>
        <v/>
      </c>
      <c r="T845" t="n">
        <v>0</v>
      </c>
      <c r="V845" t="n">
        <v>0</v>
      </c>
    </row>
    <row r="846">
      <c r="A846">
        <f>Skills!A15</f>
        <v/>
      </c>
      <c r="B846">
        <f>Skills!B15</f>
        <v/>
      </c>
      <c r="C846">
        <f>Inputs!$B$3&gt;=115</f>
        <v/>
      </c>
      <c r="D846">
        <f>IF(Skills!C15=1,60+Inputs!$B$25+Inputs!$B$29,IF(Skills!C15=2,90+Inputs!$B$26+Inputs!$B$29,IF(Skills!C15=3,120+Inputs!$B$27+Inputs!$B$29,MAX(0,(Inputs!$B$3-100)*3)+Inputs!$B$28+Inputs!$B$29)))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(1-Summary!$B$55)*T846+Summary!$B$55*V846</f>
        <v/>
      </c>
      <c r="P846">
        <f>IF(B866=0,0,O846/B866)</f>
        <v/>
      </c>
      <c r="Q846" t="n">
        <v>0</v>
      </c>
      <c r="R846" t="n">
        <v>0</v>
      </c>
      <c r="S846">
        <f>IFERROR(O846/N846,0)</f>
        <v/>
      </c>
      <c r="T846" t="n">
        <v>0</v>
      </c>
      <c r="V846" t="n">
        <v>0</v>
      </c>
    </row>
    <row r="847">
      <c r="A847">
        <f>Skills!A16</f>
        <v/>
      </c>
      <c r="B847">
        <f>Skills!B16</f>
        <v/>
      </c>
      <c r="C847">
        <f>Inputs!$B$3&gt;=15</f>
        <v/>
      </c>
      <c r="D847">
        <f>IF(Skills!C16=1,60+Inputs!$B$25+Inputs!$B$29,IF(Skills!C16=2,90+Inputs!$B$26+Inputs!$B$29,IF(Skills!C16=3,120+Inputs!$B$27+Inputs!$B$29,MAX(0,(Inputs!$B$3-100)*3)+Inputs!$B$28+Inputs!$B$29)))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(1-Summary!$B$55)*T847+Summary!$B$55*V847</f>
        <v/>
      </c>
      <c r="P847">
        <f>IF(B866=0,0,O847/B866)</f>
        <v/>
      </c>
      <c r="Q847" t="n">
        <v>0</v>
      </c>
      <c r="R847" t="n">
        <v>0</v>
      </c>
      <c r="S847">
        <f>IFERROR(O847/N847,0)</f>
        <v/>
      </c>
      <c r="T847" t="n">
        <v>0</v>
      </c>
      <c r="V847" t="n">
        <v>0</v>
      </c>
    </row>
    <row r="848">
      <c r="A848">
        <f>Skills!A17</f>
        <v/>
      </c>
      <c r="B848">
        <f>Skills!B17</f>
        <v/>
      </c>
      <c r="C848">
        <f>Inputs!$B$3&gt;=10</f>
        <v/>
      </c>
      <c r="D848">
        <f>IF(Skills!C17=1,60+Inputs!$B$25+Inputs!$B$29,IF(Skills!C17=2,90+Inputs!$B$26+Inputs!$B$29,IF(Skills!C17=3,120+Inputs!$B$27+Inputs!$B$29,MAX(0,(Inputs!$B$3-100)*3)+Inputs!$B$28+Inputs!$B$29)))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(1-Summary!$B$55)*T848+Summary!$B$55*V848</f>
        <v/>
      </c>
      <c r="P848">
        <f>IF(B866=0,0,O848/B866)</f>
        <v/>
      </c>
      <c r="Q848" t="n">
        <v>0</v>
      </c>
      <c r="R848" t="n">
        <v>0</v>
      </c>
      <c r="S848">
        <f>IFERROR(O848/N848,0)</f>
        <v/>
      </c>
      <c r="T848" t="n">
        <v>0</v>
      </c>
      <c r="V848" t="n">
        <v>0</v>
      </c>
    </row>
    <row r="849">
      <c r="A849">
        <f>Skills!A18</f>
        <v/>
      </c>
      <c r="B849">
        <f>Skills!B18</f>
        <v/>
      </c>
      <c r="C849">
        <f>Inputs!$B$3&gt;=33</f>
        <v/>
      </c>
      <c r="D849">
        <f>IF(Skills!C18=1,60+Inputs!$B$25+Inputs!$B$29,IF(Skills!C18=2,90+Inputs!$B$26+Inputs!$B$29,IF(Skills!C18=3,120+Inputs!$B$27+Inputs!$B$29,MAX(0,(Inputs!$B$3-100)*3)+Inputs!$B$28+Inputs!$B$29)))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(1-Summary!$B$55)*T849+Summary!$B$55*V849</f>
        <v/>
      </c>
      <c r="P849">
        <f>IF(B866=0,0,O849/B866)</f>
        <v/>
      </c>
      <c r="Q849" t="n">
        <v>0</v>
      </c>
      <c r="R849" t="n">
        <v>0</v>
      </c>
      <c r="S849">
        <f>IFERROR(O849/N849,0)</f>
        <v/>
      </c>
      <c r="T849" t="n">
        <v>0</v>
      </c>
      <c r="V849" t="n">
        <v>0</v>
      </c>
    </row>
    <row r="850">
      <c r="A850">
        <f>Skills!A19</f>
        <v/>
      </c>
      <c r="B850">
        <f>Skills!B19</f>
        <v/>
      </c>
      <c r="C850">
        <f>Inputs!$B$3&gt;=40</f>
        <v/>
      </c>
      <c r="D850">
        <f>IF(Skills!C19=1,60+Inputs!$B$25+Inputs!$B$29,IF(Skills!C19=2,90+Inputs!$B$26+Inputs!$B$29,IF(Skills!C19=3,120+Inputs!$B$27+Inputs!$B$29,MAX(0,(Inputs!$B$3-100)*3)+Inputs!$B$28+Inputs!$B$29)))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(1-Summary!$B$55)*T850+Summary!$B$55*V850</f>
        <v/>
      </c>
      <c r="P850">
        <f>IF(B866=0,0,O850/B866)</f>
        <v/>
      </c>
      <c r="Q850" t="n">
        <v>0</v>
      </c>
      <c r="R850" t="n">
        <v>0</v>
      </c>
      <c r="S850">
        <f>IFERROR(O850/N850,0)</f>
        <v/>
      </c>
      <c r="T850" t="n">
        <v>0</v>
      </c>
      <c r="V850" t="n">
        <v>0</v>
      </c>
    </row>
    <row r="851">
      <c r="A851">
        <f>Skills!A20</f>
        <v/>
      </c>
      <c r="B851">
        <f>Skills!B20</f>
        <v/>
      </c>
      <c r="C851">
        <f>Inputs!$B$3&gt;=43</f>
        <v/>
      </c>
      <c r="D851">
        <f>IF(Skills!C20=1,60+Inputs!$B$25+Inputs!$B$29,IF(Skills!C20=2,90+Inputs!$B$26+Inputs!$B$29,IF(Skills!C20=3,120+Inputs!$B$27+Inputs!$B$29,MAX(0,(Inputs!$B$3-100)*3)+Inputs!$B$28+Inputs!$B$29)))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(1-Summary!$B$55)*T851+Summary!$B$55*V851</f>
        <v/>
      </c>
      <c r="P851">
        <f>IF(B866=0,0,O851/B866)</f>
        <v/>
      </c>
      <c r="Q851" t="n">
        <v>0</v>
      </c>
      <c r="R851" t="n">
        <v>0</v>
      </c>
      <c r="S851">
        <f>IFERROR(O851/N851,0)</f>
        <v/>
      </c>
      <c r="T851" t="n">
        <v>0</v>
      </c>
      <c r="V851" t="n">
        <v>0</v>
      </c>
    </row>
    <row r="852">
      <c r="A852">
        <f>Skills!A21</f>
        <v/>
      </c>
      <c r="B852">
        <f>Skills!B21</f>
        <v/>
      </c>
      <c r="C852">
        <f>Inputs!$B$3&gt;=38</f>
        <v/>
      </c>
      <c r="D852">
        <f>IF(Skills!C21=1,60+Inputs!$B$25+Inputs!$B$29,IF(Skills!C21=2,90+Inputs!$B$26+Inputs!$B$29,IF(Skills!C21=3,120+Inputs!$B$27+Inputs!$B$29,MAX(0,(Inputs!$B$3-100)*3)+Inputs!$B$28+Inputs!$B$29)))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(1-Summary!$B$55)*T852+Summary!$B$55*V852</f>
        <v/>
      </c>
      <c r="P852">
        <f>IF(B866=0,0,O852/B866)</f>
        <v/>
      </c>
      <c r="Q852" t="n">
        <v>0</v>
      </c>
      <c r="R852" t="n">
        <v>0</v>
      </c>
      <c r="S852">
        <f>IFERROR(O852/N852,0)</f>
        <v/>
      </c>
      <c r="T852" t="n">
        <v>0</v>
      </c>
      <c r="V852" t="n">
        <v>0</v>
      </c>
    </row>
    <row r="853">
      <c r="A853">
        <f>Skills!A22</f>
        <v/>
      </c>
      <c r="B853">
        <f>Skills!B22</f>
        <v/>
      </c>
      <c r="C853">
        <f>Inputs!$B$3&gt;=75</f>
        <v/>
      </c>
      <c r="D853">
        <f>IF(Skills!C22=1,60+Inputs!$B$25+Inputs!$B$29,IF(Skills!C22=2,90+Inputs!$B$26+Inputs!$B$29,IF(Skills!C22=3,120+Inputs!$B$27+Inputs!$B$29,MAX(0,(Inputs!$B$3-100)*3)+Inputs!$B$28+Inputs!$B$29)))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(1-Summary!$B$55)*T853+Summary!$B$55*V853</f>
        <v/>
      </c>
      <c r="P853">
        <f>IF(B866=0,0,O853/B866)</f>
        <v/>
      </c>
      <c r="Q853" t="n">
        <v>0</v>
      </c>
      <c r="R853" t="n">
        <v>0</v>
      </c>
      <c r="S853">
        <f>IFERROR(O853/N853,0)</f>
        <v/>
      </c>
      <c r="T853" t="n">
        <v>0</v>
      </c>
      <c r="V853" t="n">
        <v>0</v>
      </c>
    </row>
    <row r="855">
      <c r="A855" t="inlineStr">
        <is>
          <t>Attack% Bucket Multiplier</t>
        </is>
      </c>
      <c r="B855">
        <f>(1+(((C844=TRUE)*F844)+((C850=TRUE)*(F850-Calc!F19)))/100)</f>
        <v/>
      </c>
    </row>
    <row r="856">
      <c r="A856" t="inlineStr">
        <is>
          <t>Global Crit Rate Bonus %</t>
        </is>
      </c>
      <c r="B856" t="n">
        <v>0</v>
      </c>
    </row>
    <row r="857">
      <c r="A857" t="inlineStr">
        <is>
          <t>Attack Speed Buff Bonus % (unused)</t>
        </is>
      </c>
      <c r="B857" t="n">
        <v>0</v>
      </c>
    </row>
    <row r="858">
      <c r="A858" t="inlineStr">
        <is>
          <t>Actions Per Second</t>
        </is>
      </c>
      <c r="B858">
        <f>1+MIN(150,150*(1-(1-(Inputs!$B$11+((C848=TRUE)*(F848-Calc!F17))+((C849=TRUE)*(F849-Calc!F18)))/150)*(1-B857/150)))/100</f>
        <v/>
      </c>
    </row>
    <row r="859">
      <c r="A859" t="inlineStr">
        <is>
          <t>Skill + Buff Cast Rate</t>
        </is>
      </c>
      <c r="B859">
        <f>IF(AND(Inputs!$B$38&lt;&gt;"pvp",Inputs!$B$43&gt;0),SUMPRODUCT((Skills!E2:E22=TRUE)*(C833:C853=TRUE)*R833:R853*Skills!F2:F22)/Inputs!$B$43,SUMPRODUCT((Skills!E2:E22=TRUE)*(C833:C853=TRUE)*Q833:Q853*Skills!F2:F22))</f>
        <v/>
      </c>
    </row>
    <row r="860">
      <c r="A860" t="inlineStr">
        <is>
          <t>Hook Bomber Casts Per Second</t>
        </is>
      </c>
      <c r="B860">
        <f>MAX(0,B858-B859)</f>
        <v/>
      </c>
    </row>
    <row r="861">
      <c r="A861" t="inlineStr">
        <is>
          <t>Global Critical Damage Bonus % (unused)</t>
        </is>
      </c>
      <c r="B861" t="n">
        <v>0</v>
      </c>
    </row>
    <row r="862">
      <c r="A862" t="inlineStr">
        <is>
          <t>Global Final Damage Bonus % (Serpent Scale + Crossbones + Time Leap + Speed Infusion)</t>
        </is>
      </c>
      <c r="B862">
        <f>((C836=TRUE)*F836*((10+IF(Inputs!$B$3&gt;=94,5,0))/((10+IF(Inputs!$B$3&gt;=94,5,0))+5/(B860*(1+IF(Inputs!$B$3&gt;=104,1,0))))))+((C845=TRUE)*F845)+((C846=TRUE)*F846)+((Inputs!$B$3&gt;=110)*20*(B858-1))</f>
        <v/>
      </c>
    </row>
    <row r="863">
      <c r="A863" t="inlineStr">
        <is>
          <t>Buff-Casting Startup Delay (s, fixed-duration only)</t>
        </is>
      </c>
      <c r="B863">
        <f>IF(AND(Inputs!$B$38&lt;&gt;"pvp",Inputs!$B$43&gt;0),SUMPRODUCT((Skills!T2:T22&gt;0)*(Skills!E2:E22=TRUE)*(C833:C853=TRUE))/B858,0)</f>
        <v/>
      </c>
    </row>
    <row r="864">
      <c r="A864" t="inlineStr">
        <is>
          <t>Boss-Only Total DPS (this block's swept value)</t>
        </is>
      </c>
      <c r="B864">
        <f>SUM(T833:T853)</f>
        <v/>
      </c>
    </row>
    <row r="865">
      <c r="A865" t="inlineStr">
        <is>
          <t>Normal-Only Total DPS (this block's swept value)</t>
        </is>
      </c>
      <c r="B865">
        <f>SUM(V833:V853)</f>
        <v/>
      </c>
    </row>
    <row r="866">
      <c r="A866" s="5" t="inlineStr">
        <is>
          <t>TOTAL DPS</t>
        </is>
      </c>
      <c r="B866" s="5">
        <f>SUM(O833:O853)</f>
        <v/>
      </c>
    </row>
    <row r="869">
      <c r="A869" s="5" t="inlineStr">
        <is>
          <t>Stat: ATTACK %</t>
        </is>
      </c>
    </row>
    <row r="870">
      <c r="A870" s="9" t="inlineStr">
        <is>
          <t>Key</t>
        </is>
      </c>
      <c r="B870" s="9" t="inlineStr">
        <is>
          <t>Name</t>
        </is>
      </c>
      <c r="C870" s="9" t="inlineStr">
        <is>
          <t>Unlocked</t>
        </is>
      </c>
      <c r="D870" s="9" t="inlineStr">
        <is>
          <t>InputLevel</t>
        </is>
      </c>
      <c r="E870" s="9" t="inlineStr">
        <is>
          <t>Factor</t>
        </is>
      </c>
      <c r="F870" s="9" t="inlineStr">
        <is>
          <t>CoefficientPercent</t>
        </is>
      </c>
      <c r="G870" s="9" t="inlineStr">
        <is>
          <t>EffectiveHits</t>
        </is>
      </c>
      <c r="H870" s="9" t="inlineStr">
        <is>
          <t>ProcProbability</t>
        </is>
      </c>
      <c r="I870" s="9" t="inlineStr">
        <is>
          <t>MapleHeroMultiplier</t>
        </is>
      </c>
      <c r="J870" s="9" t="inlineStr">
        <is>
          <t>BaseDamage</t>
        </is>
      </c>
      <c r="K870" s="9" t="inlineStr">
        <is>
          <t>BaseHitDamage</t>
        </is>
      </c>
      <c r="L870" s="9" t="inlineStr">
        <is>
          <t>NonCritAvg</t>
        </is>
      </c>
      <c r="M870" s="9" t="inlineStr">
        <is>
          <t>CritAvg</t>
        </is>
      </c>
      <c r="N870" s="9" t="inlineStr">
        <is>
          <t>ExpectedDamage(perHit)</t>
        </is>
      </c>
      <c r="O870" s="9" t="inlineStr">
        <is>
          <t>DPS</t>
        </is>
      </c>
      <c r="P870" s="9" t="inlineStr">
        <is>
          <t>% of Total</t>
        </is>
      </c>
      <c r="Q870" s="9" t="inlineStr">
        <is>
          <t>InvCooldown</t>
        </is>
      </c>
      <c r="R870" s="9" t="inlineStr">
        <is>
          <t>CastsInFight</t>
        </is>
      </c>
      <c r="S870" s="9"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((Inputs!$B$6*(1+(Inputs!$B$7+1)/100))+(((Inputs!$B$12*(1+Inputs!$B$13/100))-(Inputs!$B$12*(1+Inputs!$B$13/100)))+0.25*(Inputs!$B$14-Inputs!$B$14))*(1+(Inputs!$B$7+1)/100))*(F871/100)</f>
        <v/>
      </c>
      <c r="K871">
        <f>J871*(1+((Inputs!$B$12*(1+Inputs!$B$13/100))*0.01+Inputs!$B$14*0.0025)/100)*(1+Inputs!$B$15/100)*(1+Inputs!$B$16/100)*(5000/(6000+Inputs!$B$42*(1-(Inputs!$B$19+0)/100)))*(1+(Inputs!$B$24+((C891=TRUE)*(F891-Calc!F22))+B900)/100)*(1+(IF(Skills!A2="HOOK_BOMBER",Inputs!$B$17+((C890=TRUE)*(F890-Calc!F21)),Inputs!$B$18+0))/100)*((1+(((C882=TRUE)*F882)+((C888=TRUE)*(F888-Calc!F19)))/100)*I871)</f>
        <v/>
      </c>
      <c r="L871">
        <f>K871*(MIN(Inputs!$B$22+((C889=TRUE)*(F889-Calc!F20)),Inputs!$B$23+0)/100+(Inputs!$B$23+0)/100)/2</f>
        <v/>
      </c>
      <c r="M871">
        <f>L871*(1+(Inputs!$B$10+0+B899)/100)</f>
        <v/>
      </c>
      <c r="N871">
        <f>L871*(1-MIN((Inputs!$B$9+((C885=TRUE)*(F885-Calc!F16))+B894),100)/100)+M871*(MIN((Inputs!$B$9+((C885=TRUE)*(F885-Calc!F16))+B894),100)/100)</f>
        <v/>
      </c>
      <c r="O871">
        <f>(1-Summary!$B$55)*T871+Summary!$B$55*V871</f>
        <v/>
      </c>
      <c r="P871">
        <f>IF(B904=0,0,O871/B904)</f>
        <v/>
      </c>
      <c r="Q871" t="n">
        <v>0</v>
      </c>
      <c r="R871" t="n">
        <v>0</v>
      </c>
      <c r="S871">
        <f>IFERROR(O871/N871,0)</f>
        <v/>
      </c>
      <c r="T871">
        <f>IF(C871,(Skills!G2*N871*B898)*IF(Inputs!$B$38="pvp",1,1+(Inputs!$B$20+0+Skills!P2)/100),0)</f>
        <v/>
      </c>
      <c r="U871">
        <f>MAX(0,(Inputs!$B$3-100)*3)+Inputs!$B$28+Inputs!$B$29</f>
        <v/>
      </c>
      <c r="V871">
        <f>IF(C871,(Skills!G2*N871*B898)*IF(Inputs!$B$38="pvp",1,(1+(Inputs!$B$21+Skills!Q2)/100)*(MIN((6+Inputs!$B$33),Inputs!$B$37))),0)</f>
        <v/>
      </c>
    </row>
    <row r="872">
      <c r="A872">
        <f>Skills!A3</f>
        <v/>
      </c>
      <c r="B872">
        <f>Skills!B3</f>
        <v/>
      </c>
      <c r="C872">
        <f>Inputs!$B$3&gt;=35</f>
        <v/>
      </c>
      <c r="D872">
        <f>IF(Skills!C3=1,60+Inputs!$B$25+Inputs!$B$29,IF(Skills!C3=2,90+Inputs!$B$26+Inputs!$B$29,IF(Skills!C3=3,120+Inputs!$B$27+Inputs!$B$29,MAX(0,(Inputs!$B$3-100)*3)+Inputs!$B$28+Inputs!$B$29)))</f>
        <v/>
      </c>
      <c r="E872">
        <f>INDEX(FactorTable!$B$2:$Y$301, MATCH(ROUND(MIN(300,MAX(1,D872)),0), FactorTable!$A$2:$A$301,0), Skills!M3+1)</f>
        <v/>
      </c>
      <c r="F872">
        <f>IF(Skills!N3=TRUE,(Skills!L3/10)*(E872/1000),Skills!L3/10)+Skills!O3</f>
        <v/>
      </c>
      <c r="G872">
        <f>Skills!G3*IF(Skills!H3&gt;0,Skills!I3/Skills!H3,1)</f>
        <v/>
      </c>
      <c r="H872">
        <f>1-(1-Skills!J3/100)^Skills!K3</f>
        <v/>
      </c>
      <c r="I872" t="inlineStr">
        <is>
          <t>1</t>
        </is>
      </c>
      <c r="J872">
        <f>((Inputs!$B$6*(1+(Inputs!$B$7+1)/100))+(((Inputs!$B$12*(1+Inputs!$B$13/100))-(Inputs!$B$12*(1+Inputs!$B$13/100)))+0.25*(Inputs!$B$14-Inputs!$B$14))*(1+(Inputs!$B$7+1)/100))*(F872/100)</f>
        <v/>
      </c>
      <c r="K872">
        <f>J872*(1+((Inputs!$B$12*(1+Inputs!$B$13/100))*0.01+Inputs!$B$14*0.0025)/100)*(1+Inputs!$B$15/100)*(1+Inputs!$B$16/100)*(5000/(6000+Inputs!$B$42*(1-(Inputs!$B$19+0)/100)))*(1+(Inputs!$B$24+((C891=TRUE)*(F891-Calc!F22))+B900)/100)*(1+(IF(Skills!A3="HOOK_BOMBER",Inputs!$B$17+((C890=TRUE)*(F890-Calc!F21)),Inputs!$B$18+0))/100)*((1+(((C882=TRUE)*F882)+((C888=TRUE)*(F888-Calc!F19)))/100)*I872)</f>
        <v/>
      </c>
      <c r="L872">
        <f>K872*(MIN(Inputs!$B$22+((C889=TRUE)*(F889-Calc!F20)),Inputs!$B$23+0)/100+(Inputs!$B$23+0)/100)/2</f>
        <v/>
      </c>
      <c r="M872">
        <f>L872*(1+(Inputs!$B$10+0+B899)/100)</f>
        <v/>
      </c>
      <c r="N872">
        <f>L872*(1-MIN((Inputs!$B$9+((C885=TRUE)*(F885-Calc!F16))+B894),100)/100)+M872*(MIN((Inputs!$B$9+((C885=TRUE)*(F885-Calc!F16))+B894),100)/100)</f>
        <v/>
      </c>
      <c r="O872">
        <f>(1-Summary!$B$55)*T872+Summary!$B$55*V872</f>
        <v/>
      </c>
      <c r="P872">
        <f>IF(B904=0,0,O872/B904)</f>
        <v/>
      </c>
      <c r="Q872" t="n">
        <v>0</v>
      </c>
      <c r="R872" t="n">
        <v>0</v>
      </c>
      <c r="S872">
        <f>IFERROR(O872/N872,0)</f>
        <v/>
      </c>
      <c r="T872">
        <f>IF(C872,(Skills!G3*H872*N872*B898)*IF(Inputs!$B$38="pvp",1,1+(Inputs!$B$20+0+Skills!P3)/100),0)</f>
        <v/>
      </c>
      <c r="U872">
        <f>INDEX(FactorTable!$B$2:$Y$301, MATCH(ROUND(MIN(300,MAX(1,U871)),0), FactorTable!$A$2:$A$301,0), 22)</f>
        <v/>
      </c>
      <c r="V872">
        <f>IF(C872,(Skills!G3*H872*N872*B898)*IF(Inputs!$B$38="pvp",1,(1+(Inputs!$B$21+Skills!Q3)/100)*(MIN(Skills!R3,Inputs!$B$37))),0)</f>
        <v/>
      </c>
    </row>
    <row r="873">
      <c r="A873">
        <f>Skills!A4</f>
        <v/>
      </c>
      <c r="B873">
        <f>Skills!B4</f>
        <v/>
      </c>
      <c r="C873">
        <f>Inputs!$B$3&gt;=60</f>
        <v/>
      </c>
      <c r="D873">
        <f>IF(Skills!C4=1,60+Inputs!$B$25+Inputs!$B$29,IF(Skills!C4=2,90+Inputs!$B$26+Inputs!$B$29,IF(Skills!C4=3,120+Inputs!$B$27+Inputs!$B$29,MAX(0,(Inputs!$B$3-100)*3)+Inputs!$B$28+Inputs!$B$29)))</f>
        <v/>
      </c>
      <c r="E873">
        <f>INDEX(FactorTable!$B$2:$Y$301, MATCH(ROUND(MIN(300,MAX(1,D873)),0), FactorTable!$A$2:$A$301,0), Skills!M4+1)</f>
        <v/>
      </c>
      <c r="F873">
        <f>IF(Skills!N4=TRUE,(Skills!L4/10)*(E873/1000),Skills!L4/10)+Skills!O4</f>
        <v/>
      </c>
      <c r="G873">
        <f>Skills!G4*IF(Skills!H4&gt;0,Skills!I4/Skills!H4,1)</f>
        <v/>
      </c>
      <c r="H873">
        <f>1-(1-Skills!J4/100)^Skills!K4</f>
        <v/>
      </c>
      <c r="I873" t="inlineStr">
        <is>
          <t>1</t>
        </is>
      </c>
      <c r="J873">
        <f>((Inputs!$B$6*(1+(Inputs!$B$7+1)/100))+(((Inputs!$B$12*(1+Inputs!$B$13/100))-(Inputs!$B$12*(1+Inputs!$B$13/100)))+0.25*(Inputs!$B$14-Inputs!$B$14))*(1+(Inputs!$B$7+1)/100))*(F873/100)</f>
        <v/>
      </c>
      <c r="K873">
        <f>J873*(1+((Inputs!$B$12*(1+Inputs!$B$13/100))*0.01+Inputs!$B$14*0.0025)/100)*(1+Inputs!$B$15/100)*(1+Inputs!$B$16/100)*(5000/(6000+Inputs!$B$42*(1-(Inputs!$B$19+0)/100)))*(1+(Inputs!$B$24+((C891=TRUE)*(F891-Calc!F22))+B900)/100)*(1+1.0*IF(C881=TRUE,F881,0)/100)*(1+(IF(Skills!A4="HOOK_BOMBER",Inputs!$B$17+((C890=TRUE)*(F890-Calc!F21)),Inputs!$B$18+0))/100)*((1+(((C882=TRUE)*F882)+((C888=TRUE)*(F888-Calc!F19)))/100)*I873)</f>
        <v/>
      </c>
      <c r="L873">
        <f>K873*(MIN(Inputs!$B$22+((C889=TRUE)*(F889-Calc!F20)),Inputs!$B$23+0)/100+(Inputs!$B$23+0)/100)/2</f>
        <v/>
      </c>
      <c r="M873">
        <f>L873*(1+(Inputs!$B$10+0+B899)/100)</f>
        <v/>
      </c>
      <c r="N873">
        <f>L873*(1-MIN((Inputs!$B$9+((C885=TRUE)*(F885-Calc!F16))+B894),100)/100)+M873*(MIN((Inputs!$B$9+((C885=TRUE)*(F885-Calc!F16))+B894),100)/100)</f>
        <v/>
      </c>
      <c r="O873">
        <f>(1-Summary!$B$55)*T873+Summary!$B$55*V873</f>
        <v/>
      </c>
      <c r="P873">
        <f>IF(B904=0,0,O873/B904)</f>
        <v/>
      </c>
      <c r="Q873" t="n">
        <v>0</v>
      </c>
      <c r="R873" t="n">
        <v>0</v>
      </c>
      <c r="S873">
        <f>IFERROR(O873/N873,0)</f>
        <v/>
      </c>
      <c r="T873">
        <f>IF(C873,(Skills!G4*H873*N873*B898)*IF(Inputs!$B$38="pvp",1,1+(Inputs!$B$20+0+Skills!P4)/100),0)</f>
        <v/>
      </c>
      <c r="U873">
        <f>290*U872/1000</f>
        <v/>
      </c>
      <c r="V873">
        <f>IF(C873,(Skills!G4*H873*N873*B898)*IF(Inputs!$B$38="pvp",1,(1+(Inputs!$B$21+Skills!Q4)/100)*(MIN(Skills!R4,Inputs!$B$37))),0)</f>
        <v/>
      </c>
    </row>
    <row r="874">
      <c r="A874">
        <f>Skills!A5</f>
        <v/>
      </c>
      <c r="B874">
        <f>Skills!B5</f>
        <v/>
      </c>
      <c r="C874">
        <f>Inputs!$B$3&gt;=60</f>
        <v/>
      </c>
      <c r="D874">
        <f>IF(Skills!C5=1,60+Inputs!$B$25+Inputs!$B$29,IF(Skills!C5=2,90+Inputs!$B$26+Inputs!$B$29,IF(Skills!C5=3,120+Inputs!$B$27+Inputs!$B$29,MAX(0,(Inputs!$B$3-100)*3)+Inputs!$B$28+Inputs!$B$29)))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t="inlineStr"/>
      <c r="K874" t="inlineStr"/>
      <c r="L874" t="inlineStr"/>
      <c r="M874" t="inlineStr"/>
      <c r="N874" t="inlineStr"/>
      <c r="O874">
        <f>(1-Summary!$B$55)*T874+Summary!$B$55*V874</f>
        <v/>
      </c>
      <c r="P874">
        <f>IF(B904=0,0,O874/B904)</f>
        <v/>
      </c>
      <c r="Q874" t="n">
        <v>0</v>
      </c>
      <c r="R874" t="n">
        <v>0</v>
      </c>
      <c r="S874">
        <f>IFERROR(O874/N874,0)</f>
        <v/>
      </c>
      <c r="T874" t="n">
        <v>0</v>
      </c>
      <c r="V874" t="n">
        <v>0</v>
      </c>
    </row>
    <row r="875">
      <c r="A875">
        <f>Skills!A6</f>
        <v/>
      </c>
      <c r="B875">
        <f>Skills!B6</f>
        <v/>
      </c>
      <c r="C875">
        <f>Inputs!$B$3&gt;=63</f>
        <v/>
      </c>
      <c r="D875">
        <f>IF(Skills!C6=1,60+Inputs!$B$25+Inputs!$B$29,IF(Skills!C6=2,90+Inputs!$B$26+Inputs!$B$29,IF(Skills!C6=3,120+Inputs!$B$27+Inputs!$B$29,MAX(0,(Inputs!$B$3-100)*3)+Inputs!$B$28+Inputs!$B$29)))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((Inputs!$B$6*(1+(Inputs!$B$7+1)/100))+(((Inputs!$B$12*(1+Inputs!$B$13/100))-(Inputs!$B$12*(1+Inputs!$B$13/100)))+0.25*(Inputs!$B$14-Inputs!$B$14))*(1+(Inputs!$B$7+1)/100))*(F875/100)</f>
        <v/>
      </c>
      <c r="K875">
        <f>J875*(1+((Inputs!$B$12*(1+Inputs!$B$13/100))*0.01+Inputs!$B$14*0.0025)/100)*(1+Inputs!$B$15/100)*(1+Inputs!$B$16/100)*(5000/(6000+Inputs!$B$42*(1-(Inputs!$B$19+0)/100)))*(1+(Inputs!$B$24+((C891=TRUE)*(F891-Calc!F22))+B900)/100)*(1+(IF(Skills!A6="HOOK_BOMBER",Inputs!$B$17+((C890=TRUE)*(F890-Calc!F21)),Inputs!$B$18+0))/100)*((1+(((C882=TRUE)*F882)+((C888=TRUE)*(F888-Calc!F19)))/100)*I875)</f>
        <v/>
      </c>
      <c r="L875">
        <f>K875*(MIN(Inputs!$B$22+((C889=TRUE)*(F889-Calc!F20)),Inputs!$B$23+0)/100+(Inputs!$B$23+0)/100)/2</f>
        <v/>
      </c>
      <c r="M875">
        <f>L875*(1+(Inputs!$B$10+0+B899)/100)</f>
        <v/>
      </c>
      <c r="N875">
        <f>L875*(1-MIN((Inputs!$B$9+((C885=TRUE)*(F885-Calc!F16))+B894),100)/100)+M875*(MIN((Inputs!$B$9+((C885=TRUE)*(F885-Calc!F16))+B894),100)/100)</f>
        <v/>
      </c>
      <c r="O875">
        <f>(1-Summary!$B$55)*T875+Summary!$B$55*V875</f>
        <v/>
      </c>
      <c r="P875">
        <f>IF(B904=0,0,O875/B904)</f>
        <v/>
      </c>
      <c r="Q875">
        <f>IFERROR(1/IF(Inputs!$B$38="pvp",15,MAX(0.1,Skills!D6-IF(Skills!E6=TRUE,Inputs!$B$32,0))),0)</f>
        <v/>
      </c>
      <c r="R875">
        <f>IF(AND(Inputs!$B$38&lt;&gt;"pvp",Inputs!$B$43&gt;0),IF(MAX(0,Inputs!$B$43-B901)&lt;=0,0,(INT(MAX(0,Inputs!$B$43-B901)/IF(Inputs!$B$38="pvp",15,MAX(0.1,Skills!D6-IF(Skills!E6=TRUE,Inputs!$B$32,0))))+1)),0)</f>
        <v/>
      </c>
      <c r="S875">
        <f>IFERROR(O875/N875,0)</f>
        <v/>
      </c>
      <c r="T875">
        <f>IF(C875,(H875*N875*IF(AND(Inputs!$B$38&lt;&gt;"pvp",Inputs!$B$43&gt;0),((Skills!G6*((R875-1)*IF(Skills!H6&gt;0,Skills!I6/Skills!H6,1)+IF(Skills!H6&gt;0,MIN(Skills!I6,MAX(0,MAX(0,Inputs!$B$43-B901)-((R875-1)*IF(Inputs!$B$38="pvp",15,MAX(0.1,Skills!D6-IF(Skills!E6=TRUE,Inputs!$B$32,0))))))/Skills!H6,1)))/Inputs!$B$43),G875*Q875))*IF(Inputs!$B$38="pvp",1,1+(Inputs!$B$20+0+Skills!P6)/100),0)</f>
        <v/>
      </c>
      <c r="V875">
        <f>IF(C875,(H875*N875*IF(AND(Inputs!$B$38&lt;&gt;"pvp",Inputs!$B$43&gt;0),((Skills!G6*((R875-1)*IF(Skills!H6&gt;0,Skills!I6/Skills!H6,1)+IF(Skills!H6&gt;0,MIN(Skills!I6,MAX(0,MAX(0,Inputs!$B$43-B901)-((R875-1)*IF(Inputs!$B$38="pvp",15,MAX(0.1,Skills!D6-IF(Skills!E6=TRUE,Inputs!$B$32,0))))))/Skills!H6,1)))/Inputs!$B$43),G875*Q875))*IF(Inputs!$B$38="pvp",1,(1+(Inputs!$B$21+Skills!Q6)/100)*(MIN(Skills!R6,Inputs!$B$37))),0)</f>
        <v/>
      </c>
    </row>
    <row r="876">
      <c r="A876">
        <f>Skills!A7</f>
        <v/>
      </c>
      <c r="B876">
        <f>Skills!B7</f>
        <v/>
      </c>
      <c r="C876">
        <f>Inputs!$B$3&gt;=100</f>
        <v/>
      </c>
      <c r="D876">
        <f>IF(Skills!C7=1,60+Inputs!$B$25+Inputs!$B$29,IF(Skills!C7=2,90+Inputs!$B$26+Inputs!$B$29,IF(Skills!C7=3,120+Inputs!$B$27+Inputs!$B$29,MAX(0,(Inputs!$B$3-100)*3)+Inputs!$B$28+Inputs!$B$29)))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((Inputs!$B$6*(1+(Inputs!$B$7+1)/100))+(((Inputs!$B$12*(1+Inputs!$B$13/100))-(Inputs!$B$12*(1+Inputs!$B$13/100)))+0.25*(Inputs!$B$14-Inputs!$B$14))*(1+(Inputs!$B$7+1)/100))*(F876/100)</f>
        <v/>
      </c>
      <c r="K876">
        <f>J876*(1+((Inputs!$B$12*(1+Inputs!$B$13/100))*0.01+Inputs!$B$14*0.0025)/100)*(1+Inputs!$B$15/100)*(1+Inputs!$B$16/100)*(5000/(6000+Inputs!$B$42*(1-(Inputs!$B$19+0)/100)))*(1+(Inputs!$B$24+((C891=TRUE)*(F891-Calc!F22))+B900)/100)*(1+(IF(Skills!A7="HOOK_BOMBER",Inputs!$B$17+((C890=TRUE)*(F890-Calc!F21)),Inputs!$B$18+0))/100)*((1+(((C882=TRUE)*F882)+((C888=TRUE)*(F888-Calc!F19)))/100)*I876)</f>
        <v/>
      </c>
      <c r="L876">
        <f>K876*(MIN(Inputs!$B$22+((C889=TRUE)*(F889-Calc!F20)),Inputs!$B$23+0)/100+(Inputs!$B$23+0)/100)/2</f>
        <v/>
      </c>
      <c r="M876">
        <f>L876*(1+(Inputs!$B$10+0+B899)/100)</f>
        <v/>
      </c>
      <c r="N876">
        <f>L876*(1-MIN((Inputs!$B$9+((C885=TRUE)*(F885-Calc!F16))+B894),100)/100)+M876*(MIN((Inputs!$B$9+((C885=TRUE)*(F885-Calc!F16))+B894),100)/100)</f>
        <v/>
      </c>
      <c r="O876">
        <f>(1-Summary!$B$55)*T876+Summary!$B$55*V876</f>
        <v/>
      </c>
      <c r="P876">
        <f>IF(B904=0,0,O876/B904)</f>
        <v/>
      </c>
      <c r="Q876">
        <f>IFERROR(1/IF(Inputs!$B$38="pvp",15,MAX(0.1,Skills!D7-IF(Skills!E7=TRUE,Inputs!$B$32,0))),0)</f>
        <v/>
      </c>
      <c r="R876">
        <f>IF(AND(Inputs!$B$38&lt;&gt;"pvp",Inputs!$B$43&gt;0),IF(MAX(0,Inputs!$B$43-B901)&lt;=0,0,(INT(MAX(0,Inputs!$B$43-B901)/IF(Inputs!$B$38="pvp",15,MAX(0.1,Skills!D7-IF(Skills!E7=TRUE,Inputs!$B$32,0))))+1)),0)</f>
        <v/>
      </c>
      <c r="S876">
        <f>IFERROR(O876/N876,0)</f>
        <v/>
      </c>
      <c r="T876">
        <f>IF(C876,(H876*N876*IF(AND(Inputs!$B$38&lt;&gt;"pvp",Inputs!$B$43&gt;0),((Skills!G7*((R876-1)*IF(Skills!H7&gt;0,Skills!I7/Skills!H7,1)+IF(Skills!H7&gt;0,MIN(Skills!I7,MAX(0,MAX(0,Inputs!$B$43-B901)-((R876-1)*IF(Inputs!$B$38="pvp",15,MAX(0.1,Skills!D7-IF(Skills!E7=TRUE,Inputs!$B$32,0))))))/Skills!H7,1)))/Inputs!$B$43),G876*Q876))*IF(Inputs!$B$38="pvp",1,1+(Inputs!$B$20+0+Skills!P7)/100),0)</f>
        <v/>
      </c>
      <c r="V876">
        <f>IF(C876,(H876*N876*IF(AND(Inputs!$B$38&lt;&gt;"pvp",Inputs!$B$43&gt;0),((Skills!G7*((R876-1)*IF(Skills!H7&gt;0,Skills!I7/Skills!H7,1)+IF(Skills!H7&gt;0,MIN(Skills!I7,MAX(0,MAX(0,Inputs!$B$43-B901)-((R876-1)*IF(Inputs!$B$38="pvp",15,MAX(0.1,Skills!D7-IF(Skills!E7=TRUE,Inputs!$B$32,0))))))/Skills!H7,1)))/Inputs!$B$43),G876*Q876))*IF(Inputs!$B$38="pvp",1,(1+(Inputs!$B$21+Skills!Q7)/100)*(MIN(Skills!R7,Inputs!$B$37))),0)</f>
        <v/>
      </c>
    </row>
    <row r="877">
      <c r="A877">
        <f>Skills!A8</f>
        <v/>
      </c>
      <c r="B877">
        <f>Skills!B8</f>
        <v/>
      </c>
      <c r="C877">
        <f>Inputs!$B$3&gt;=110</f>
        <v/>
      </c>
      <c r="D877">
        <f>IF(Skills!C8=1,60+Inputs!$B$25+Inputs!$B$29,IF(Skills!C8=2,90+Inputs!$B$26+Inputs!$B$29,IF(Skills!C8=3,120+Inputs!$B$27+Inputs!$B$29,MAX(0,(Inputs!$B$3-100)*3)+Inputs!$B$28+Inputs!$B$29)))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((Inputs!$B$6*(1+(Inputs!$B$7+1)/100))+(((Inputs!$B$12*(1+Inputs!$B$13/100))-(Inputs!$B$12*(1+Inputs!$B$13/100)))+0.25*(Inputs!$B$14-Inputs!$B$14))*(1+(Inputs!$B$7+1)/100))*(F877/100)</f>
        <v/>
      </c>
      <c r="K877">
        <f>J877*(1+((Inputs!$B$12*(1+Inputs!$B$13/100))*0.01+Inputs!$B$14*0.0025)/100)*(1+Inputs!$B$15/100)*(1+Inputs!$B$16/100)*(5000/(6000+Inputs!$B$42*(1-(Inputs!$B$19+0)/100)))*(1+(Inputs!$B$24+((C891=TRUE)*(F891-Calc!F22))+B900)/100)*(1+(IF(Skills!A8="HOOK_BOMBER",Inputs!$B$17+((C890=TRUE)*(F890-Calc!F21)),Inputs!$B$18+0))/100)*((1+(((C882=TRUE)*F882)+((C888=TRUE)*(F888-Calc!F19)))/100)*I877)</f>
        <v/>
      </c>
      <c r="L877">
        <f>K877*(MIN(Inputs!$B$22+((C889=TRUE)*(F889-Calc!F20)),Inputs!$B$23+0)/100+(Inputs!$B$23+0)/100)/2</f>
        <v/>
      </c>
      <c r="M877">
        <f>L877*(1+(Inputs!$B$10+0+B899)/100)</f>
        <v/>
      </c>
      <c r="N877">
        <f>L877*(1-MIN((Inputs!$B$9+((C885=TRUE)*(F885-Calc!F16))+B894),100)/100)+M877*(MIN((Inputs!$B$9+((C885=TRUE)*(F885-Calc!F16))+B894),100)/100)</f>
        <v/>
      </c>
      <c r="O877">
        <f>(1-Summary!$B$55)*T877+Summary!$B$55*V877</f>
        <v/>
      </c>
      <c r="P877">
        <f>IF(B904=0,0,O877/B904)</f>
        <v/>
      </c>
      <c r="Q877">
        <f>IFERROR(1/IF(Inputs!$B$38="pvp",15,MAX(0.1,Skills!D8-IF(Skills!E8=TRUE,Inputs!$B$32,0))),0)</f>
        <v/>
      </c>
      <c r="R877">
        <f>IF(AND(Inputs!$B$38&lt;&gt;"pvp",Inputs!$B$43&gt;0),IF(MAX(0,Inputs!$B$43-B901)&lt;=0,0,(INT(MAX(0,Inputs!$B$43-B901)/IF(Inputs!$B$38="pvp",15,MAX(0.1,Skills!D8-IF(Skills!E8=TRUE,Inputs!$B$32,0))))+1)),0)</f>
        <v/>
      </c>
      <c r="S877">
        <f>IFERROR(O877/N877,0)</f>
        <v/>
      </c>
      <c r="T877">
        <f>IF(C877,(H877*N877*IF(AND(Inputs!$B$38&lt;&gt;"pvp",Inputs!$B$43&gt;0),((Skills!G8*((R877-1)*IF(Skills!H8&gt;0,Skills!I8/Skills!H8,1)+IF(Skills!H8&gt;0,MIN(Skills!I8,MAX(0,MAX(0,Inputs!$B$43-B901)-((R877-1)*IF(Inputs!$B$38="pvp",15,MAX(0.1,Skills!D8-IF(Skills!E8=TRUE,Inputs!$B$32,0))))))/Skills!H8,1)))/Inputs!$B$43),G877*Q877))*IF(Inputs!$B$38="pvp",1,1+(Inputs!$B$20+0+Skills!P8)/100),0)</f>
        <v/>
      </c>
      <c r="V877">
        <f>IF(C877,(H877*N877*IF(AND(Inputs!$B$38&lt;&gt;"pvp",Inputs!$B$43&gt;0),((Skills!G8*((R877-1)*IF(Skills!H8&gt;0,Skills!I8/Skills!H8,1)+IF(Skills!H8&gt;0,MIN(Skills!I8,MAX(0,MAX(0,Inputs!$B$43-B901)-((R877-1)*IF(Inputs!$B$38="pvp",15,MAX(0.1,Skills!D8-IF(Skills!E8=TRUE,Inputs!$B$32,0))))))/Skills!H8,1)))/Inputs!$B$43),G877*Q877))*IF(Inputs!$B$38="pvp",1,(1+(Inputs!$B$21+Skills!Q8)/100)*(MIN(Skills!R8,Inputs!$B$37))),0)</f>
        <v/>
      </c>
    </row>
    <row r="878">
      <c r="A878">
        <f>Skills!A9</f>
        <v/>
      </c>
      <c r="B878">
        <f>Skills!B9</f>
        <v/>
      </c>
      <c r="C878">
        <f>Inputs!$B$3&gt;=110</f>
        <v/>
      </c>
      <c r="D878">
        <f>IF(Skills!C9=1,60+Inputs!$B$25+Inputs!$B$29,IF(Skills!C9=2,90+Inputs!$B$26+Inputs!$B$29,IF(Skills!C9=3,120+Inputs!$B$27+Inputs!$B$29,MAX(0,(Inputs!$B$3-100)*3)+Inputs!$B$28+Inputs!$B$29)))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((Inputs!$B$6*(1+(Inputs!$B$7+1)/100))+(((Inputs!$B$12*(1+Inputs!$B$13/100))-(Inputs!$B$12*(1+Inputs!$B$13/100)))+0.25*(Inputs!$B$14-Inputs!$B$14))*(1+(Inputs!$B$7+1)/100))*(F878/100)</f>
        <v/>
      </c>
      <c r="K878">
        <f>J878*(1+((Inputs!$B$12*(1+Inputs!$B$13/100))*0.01+Inputs!$B$14*0.0025)/100)*(1+Inputs!$B$15/100)*(1+Inputs!$B$16/100)*(5000/(6000+Inputs!$B$42*(1-(Inputs!$B$19+0)/100)))*(1+(Inputs!$B$24+((C891=TRUE)*(F891-Calc!F22))+B900)/100)*(1+(IF(Skills!A9="HOOK_BOMBER",Inputs!$B$17+((C890=TRUE)*(F890-Calc!F21)),Inputs!$B$18+0))/100)*((1+(((C882=TRUE)*F882)+((C888=TRUE)*(F888-Calc!F19)))/100)*I878)</f>
        <v/>
      </c>
      <c r="L878">
        <f>K878*(MIN(Inputs!$B$22+((C889=TRUE)*(F889-Calc!F20)),Inputs!$B$23+0)/100+(Inputs!$B$23+0)/100)/2</f>
        <v/>
      </c>
      <c r="M878">
        <f>L878*(1+(Inputs!$B$10+0+B899)/100)</f>
        <v/>
      </c>
      <c r="N878">
        <f>L878*(1-MIN((Inputs!$B$9+((C885=TRUE)*(F885-Calc!F16))+B894),100)/100)+M878*(MIN((Inputs!$B$9+((C885=TRUE)*(F885-Calc!F16))+B894),100)/100)</f>
        <v/>
      </c>
      <c r="O878">
        <f>(1-Summary!$B$55)*T878+Summary!$B$55*V878</f>
        <v/>
      </c>
      <c r="P878">
        <f>IF(B904=0,0,O878/B904)</f>
        <v/>
      </c>
      <c r="Q878">
        <f>IFERROR(1/IF(Inputs!$B$38="pvp",15,MAX(0.1,Skills!D9-IF(Skills!E9=TRUE,Inputs!$B$32,0))),0)</f>
        <v/>
      </c>
      <c r="R878">
        <f>IF(AND(Inputs!$B$38&lt;&gt;"pvp",Inputs!$B$43&gt;0),IF(MAX(0,Inputs!$B$43-B901)&lt;=0,0,(INT(MAX(0,Inputs!$B$43-B901)/IF(Inputs!$B$38="pvp",15,MAX(0.1,Skills!D9-IF(Skills!E9=TRUE,Inputs!$B$32,0))))+1)),0)</f>
        <v/>
      </c>
      <c r="S878">
        <f>IFERROR(O878/N878,0)</f>
        <v/>
      </c>
      <c r="T878">
        <f>IF(C878,(H878*N878*IF(AND(Inputs!$B$38&lt;&gt;"pvp",Inputs!$B$43&gt;0),((Skills!G9*((R878-1)*IF(Skills!H9&gt;0,Skills!I9/Skills!H9,1)+IF(Skills!H9&gt;0,MIN(Skills!I9,MAX(0,MAX(0,Inputs!$B$43-B901)-((R878-1)*IF(Inputs!$B$38="pvp",15,MAX(0.1,Skills!D9-IF(Skills!E9=TRUE,Inputs!$B$32,0))))))/Skills!H9,1)))/Inputs!$B$43),G878*Q878))*IF(Inputs!$B$38="pvp",1,1+(Inputs!$B$20+0+Skills!P9)/100),0)</f>
        <v/>
      </c>
      <c r="V878">
        <f>IF(C878,(H878*N878*IF(AND(Inputs!$B$38&lt;&gt;"pvp",Inputs!$B$43&gt;0),((Skills!G9*((R878-1)*IF(Skills!H9&gt;0,Skills!I9/Skills!H9,1)+IF(Skills!H9&gt;0,MIN(Skills!I9,MAX(0,MAX(0,Inputs!$B$43-B901)-((R878-1)*IF(Inputs!$B$38="pvp",15,MAX(0.1,Skills!D9-IF(Skills!E9=TRUE,Inputs!$B$32,0))))))/Skills!H9,1)))/Inputs!$B$43),G878*Q878))*IF(Inputs!$B$38="pvp",1,(1+(Inputs!$B$21+Skills!Q9)/100)*(MIN(Skills!R9,Inputs!$B$37))),0)</f>
        <v/>
      </c>
    </row>
    <row r="879">
      <c r="A879">
        <f>Skills!A10</f>
        <v/>
      </c>
      <c r="B879">
        <f>Skills!B10</f>
        <v/>
      </c>
      <c r="C879">
        <f>Inputs!$B$3&gt;=103</f>
        <v/>
      </c>
      <c r="D879">
        <f>IF(Skills!C10=1,60+Inputs!$B$25+Inputs!$B$29,IF(Skills!C10=2,90+Inputs!$B$26+Inputs!$B$29,IF(Skills!C10=3,120+Inputs!$B$27+Inputs!$B$29,MAX(0,(Inputs!$B$3-100)*3)+Inputs!$B$28+Inputs!$B$29)))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((Inputs!$B$6*(1+(Inputs!$B$7+1)/100))+(((Inputs!$B$12*(1+Inputs!$B$13/100))-(Inputs!$B$12*(1+Inputs!$B$13/100)))+0.25*(Inputs!$B$14-Inputs!$B$14))*(1+(Inputs!$B$7+1)/100))*(F879/100)</f>
        <v/>
      </c>
      <c r="K879">
        <f>J879*(1+((Inputs!$B$12*(1+Inputs!$B$13/100))*0.01+Inputs!$B$14*0.0025)/100)*(1+Inputs!$B$15/100)*(1+Inputs!$B$16/100)*(5000/(6000+Inputs!$B$42*(1-(Inputs!$B$19+0)/100)))*(1+(Inputs!$B$24+((C891=TRUE)*(F891-Calc!F22))+B900)/100)*(1+(IF(Skills!A10="HOOK_BOMBER",Inputs!$B$17+((C890=TRUE)*(F890-Calc!F21)),Inputs!$B$18+0))/100)*((1+(((C882=TRUE)*F882)+((C888=TRUE)*(F888-Calc!F19)))/100)*I879)</f>
        <v/>
      </c>
      <c r="L879">
        <f>K879*(MIN(Inputs!$B$22+((C889=TRUE)*(F889-Calc!F20)),Inputs!$B$23+0)/100+(Inputs!$B$23+0)/100)/2</f>
        <v/>
      </c>
      <c r="M879">
        <f>L879*(1+(Inputs!$B$10+0+B899)/100)</f>
        <v/>
      </c>
      <c r="N879">
        <f>L879*(1-MIN((Inputs!$B$9+((C885=TRUE)*(F885-Calc!F16))+B894),100)/100)+M879*(MIN((Inputs!$B$9+((C885=TRUE)*(F885-Calc!F16))+B894),100)/100)</f>
        <v/>
      </c>
      <c r="O879">
        <f>(1-Summary!$B$55)*T879+Summary!$B$55*V879</f>
        <v/>
      </c>
      <c r="P879">
        <f>IF(B904=0,0,O879/B904)</f>
        <v/>
      </c>
      <c r="Q879">
        <f>IFERROR(1/IF(Inputs!$B$38="pvp",15,MAX(0.1,Skills!D10-IF(Skills!E10=TRUE,Inputs!$B$32,0))),0)</f>
        <v/>
      </c>
      <c r="R879">
        <f>IF(AND(Inputs!$B$38&lt;&gt;"pvp",Inputs!$B$43&gt;0),IF(MAX(0,Inputs!$B$43-B901)&lt;=0,0,(INT(MAX(0,Inputs!$B$43-B901)/IF(Inputs!$B$38="pvp",15,MAX(0.1,Skills!D10-IF(Skills!E10=TRUE,Inputs!$B$32,0))))+1)),0)</f>
        <v/>
      </c>
      <c r="S879">
        <f>IFERROR(O879/N879,0)</f>
        <v/>
      </c>
      <c r="T879">
        <f>IF(C879,(H879*N879*IF(AND(Inputs!$B$38&lt;&gt;"pvp",Inputs!$B$43&gt;0),((Skills!G10*((R879-1)*IF(Skills!H10&gt;0,Skills!I10/Skills!H10,1)+IF(Skills!H10&gt;0,MIN(Skills!I10,MAX(0,MAX(0,Inputs!$B$43-B901)-((R879-1)*IF(Inputs!$B$38="pvp",15,MAX(0.1,Skills!D10-IF(Skills!E10=TRUE,Inputs!$B$32,0))))))/Skills!H10,1)))/Inputs!$B$43),G879*Q879))*IF(Inputs!$B$38="pvp",1,1+(Inputs!$B$20+0+Skills!P10)/100),0)</f>
        <v/>
      </c>
      <c r="V879">
        <f>IF(C879,(H879*N879*IF(AND(Inputs!$B$38&lt;&gt;"pvp",Inputs!$B$43&gt;0),((Skills!G10*((R879-1)*IF(Skills!H10&gt;0,Skills!I10/Skills!H10,1)+IF(Skills!H10&gt;0,MIN(Skills!I10,MAX(0,MAX(0,Inputs!$B$43-B901)-((R879-1)*IF(Inputs!$B$38="pvp",15,MAX(0.1,Skills!D10-IF(Skills!E10=TRUE,Inputs!$B$32,0))))))/Skills!H10,1)))/Inputs!$B$43),G879*Q879))*IF(Inputs!$B$38="pvp",1,(1+(Inputs!$B$21+Skills!Q10)/100)*(MIN(Skills!R10,Inputs!$B$37))),0)</f>
        <v/>
      </c>
    </row>
    <row r="880">
      <c r="A880">
        <f>Skills!A11</f>
        <v/>
      </c>
      <c r="B880">
        <f>Skills!B11</f>
        <v/>
      </c>
      <c r="C880">
        <f>Inputs!$B$3&gt;=113</f>
        <v/>
      </c>
      <c r="D880">
        <f>IF(Skills!C11=1,60+Inputs!$B$25+Inputs!$B$29,IF(Skills!C11=2,90+Inputs!$B$26+Inputs!$B$29,IF(Skills!C11=3,120+Inputs!$B$27+Inputs!$B$29,MAX(0,(Inputs!$B$3-100)*3)+Inputs!$B$28+Inputs!$B$29)))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((Inputs!$B$6*(1+(Inputs!$B$7+1)/100))+(((Inputs!$B$12*(1+Inputs!$B$13/100))-(Inputs!$B$12*(1+Inputs!$B$13/100)))+0.25*(Inputs!$B$14-Inputs!$B$14))*(1+(Inputs!$B$7+1)/100))*(F880/100)</f>
        <v/>
      </c>
      <c r="K880">
        <f>J880*(1+((Inputs!$B$12*(1+Inputs!$B$13/100))*0.01+Inputs!$B$14*0.0025)/100)*(1+Inputs!$B$15/100)*(1+Inputs!$B$16/100)*(5000/(6000+Inputs!$B$42*(1-(Inputs!$B$19+0)/100)))*(1+(Inputs!$B$24+((C891=TRUE)*(F891-Calc!F22))+B900)/100)*(1+(IF(Skills!A11="HOOK_BOMBER",Inputs!$B$17+((C890=TRUE)*(F890-Calc!F21)),Inputs!$B$18+0))/100)*((1+(((C882=TRUE)*F882)+((C888=TRUE)*(F888-Calc!F19)))/100)*I880)</f>
        <v/>
      </c>
      <c r="L880">
        <f>K880*(MIN(Inputs!$B$22+((C889=TRUE)*(F889-Calc!F20)),Inputs!$B$23+0)/100+(Inputs!$B$23+0)/100)/2</f>
        <v/>
      </c>
      <c r="M880">
        <f>L880*(1+(Inputs!$B$10+0+B899)/100)</f>
        <v/>
      </c>
      <c r="N880">
        <f>L880*(1-MIN((Inputs!$B$9+((C885=TRUE)*(F885-Calc!F16))+B894),100)/100)+M880*(MIN((Inputs!$B$9+((C885=TRUE)*(F885-Calc!F16))+B894),100)/100)</f>
        <v/>
      </c>
      <c r="O880">
        <f>(1-Summary!$B$55)*T880+Summary!$B$55*V880</f>
        <v/>
      </c>
      <c r="P880">
        <f>IF(B904=0,0,O880/B904)</f>
        <v/>
      </c>
      <c r="Q880">
        <f>IFERROR(1/IF(Inputs!$B$38="pvp",15,MAX(0.1,Skills!D11-IF(Skills!E11=TRUE,Inputs!$B$32,0))),0)</f>
        <v/>
      </c>
      <c r="R880">
        <f>IF(AND(Inputs!$B$38&lt;&gt;"pvp",Inputs!$B$43&gt;0),IF(MAX(0,Inputs!$B$43-B901)&lt;=0,0,(INT(MAX(0,Inputs!$B$43-B901)/IF(Inputs!$B$38="pvp",15,MAX(0.1,Skills!D11-IF(Skills!E11=TRUE,Inputs!$B$32,0))))+1)),0)</f>
        <v/>
      </c>
      <c r="S880">
        <f>IFERROR(O880/N880,0)</f>
        <v/>
      </c>
      <c r="T880">
        <f>IF(C880,(H880*N880*IF(AND(Inputs!$B$38&lt;&gt;"pvp",Inputs!$B$43&gt;0),((Skills!G11*((R880-1)*IF(Skills!H11&gt;0,Skills!I11/Skills!H11,1)+IF(Skills!H11&gt;0,MIN(Skills!I11,MAX(0,MAX(0,Inputs!$B$43-B901)-((R880-1)*IF(Inputs!$B$38="pvp",15,MAX(0.1,Skills!D11-IF(Skills!E11=TRUE,Inputs!$B$32,0))))))/Skills!H11,1)))/Inputs!$B$43),G880*Q880))*IF(Inputs!$B$38="pvp",1,1+(Inputs!$B$20+0+Skills!P11)/100),0)</f>
        <v/>
      </c>
      <c r="V880">
        <f>IF(C880,(H880*N880*IF(AND(Inputs!$B$38&lt;&gt;"pvp",Inputs!$B$43&gt;0),((Skills!G11*((R880-1)*IF(Skills!H11&gt;0,Skills!I11/Skills!H11,1)+IF(Skills!H11&gt;0,MIN(Skills!I11,MAX(0,MAX(0,Inputs!$B$43-B901)-((R880-1)*IF(Inputs!$B$38="pvp",15,MAX(0.1,Skills!D11-IF(Skills!E11=TRUE,Inputs!$B$32,0))))))/Skills!H11,1)))/Inputs!$B$43),G880*Q880))*IF(Inputs!$B$38="pvp",1,(1+(Inputs!$B$21+Skills!Q11)/100)*(MIN(Skills!R11,Inputs!$B$37))),0)</f>
        <v/>
      </c>
    </row>
    <row r="881">
      <c r="A881">
        <f>Skills!A12</f>
        <v/>
      </c>
      <c r="B881">
        <f>Skills!B12</f>
        <v/>
      </c>
      <c r="C881">
        <f>Inputs!$B$3&gt;=100</f>
        <v/>
      </c>
      <c r="D881">
        <f>IF(Skills!C12=1,60+Inputs!$B$25+Inputs!$B$29,IF(Skills!C12=2,90+Inputs!$B$26+Inputs!$B$29,IF(Skills!C12=3,120+Inputs!$B$27+Inputs!$B$29,MAX(0,(Inputs!$B$3-100)*3)+Inputs!$B$28+Inputs!$B$29)))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c r="T881" t="inlineStr"/>
      <c r="V881" t="inlineStr"/>
    </row>
    <row r="882">
      <c r="A882">
        <f>Skills!A13</f>
        <v/>
      </c>
      <c r="B882">
        <f>Skills!B13</f>
        <v/>
      </c>
      <c r="C882">
        <f>Inputs!$B$3&gt;=66</f>
        <v/>
      </c>
      <c r="D882">
        <f>IF(Skills!C13=1,60+Inputs!$B$25+Inputs!$B$29,IF(Skills!C13=2,90+Inputs!$B$26+Inputs!$B$29,IF(Skills!C13=3,120+Inputs!$B$27+Inputs!$B$29,MAX(0,(Inputs!$B$3-100)*3)+Inputs!$B$28+Inputs!$B$29)))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(1-Summary!$B$55)*T882+Summary!$B$55*V882</f>
        <v/>
      </c>
      <c r="P882">
        <f>IF(B904=0,0,O882/B904)</f>
        <v/>
      </c>
      <c r="Q882" t="n">
        <v>0</v>
      </c>
      <c r="R882" t="n">
        <v>0</v>
      </c>
      <c r="S882">
        <f>IFERROR(O882/N882,0)</f>
        <v/>
      </c>
      <c r="T882" t="n">
        <v>0</v>
      </c>
      <c r="V882" t="n">
        <v>0</v>
      </c>
    </row>
    <row r="883">
      <c r="A883">
        <f>Skills!A14</f>
        <v/>
      </c>
      <c r="B883">
        <f>Skills!B14</f>
        <v/>
      </c>
      <c r="C883">
        <f>Inputs!$B$3&gt;=107</f>
        <v/>
      </c>
      <c r="D883">
        <f>IF(Skills!C14=1,60+Inputs!$B$25+Inputs!$B$29,IF(Skills!C14=2,90+Inputs!$B$26+Inputs!$B$29,IF(Skills!C14=3,120+Inputs!$B$27+Inputs!$B$29,MAX(0,(Inputs!$B$3-100)*3)+Inputs!$B$28+Inputs!$B$29)))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(1-Summary!$B$55)*T883+Summary!$B$55*V883</f>
        <v/>
      </c>
      <c r="P883">
        <f>IF(B904=0,0,O883/B904)</f>
        <v/>
      </c>
      <c r="Q883" t="n">
        <v>0</v>
      </c>
      <c r="R883" t="n">
        <v>0</v>
      </c>
      <c r="S883">
        <f>IFERROR(O883/N883,0)</f>
        <v/>
      </c>
      <c r="T883" t="n">
        <v>0</v>
      </c>
      <c r="V883" t="n">
        <v>0</v>
      </c>
    </row>
    <row r="884">
      <c r="A884">
        <f>Skills!A15</f>
        <v/>
      </c>
      <c r="B884">
        <f>Skills!B15</f>
        <v/>
      </c>
      <c r="C884">
        <f>Inputs!$B$3&gt;=115</f>
        <v/>
      </c>
      <c r="D884">
        <f>IF(Skills!C15=1,60+Inputs!$B$25+Inputs!$B$29,IF(Skills!C15=2,90+Inputs!$B$26+Inputs!$B$29,IF(Skills!C15=3,120+Inputs!$B$27+Inputs!$B$29,MAX(0,(Inputs!$B$3-100)*3)+Inputs!$B$28+Inputs!$B$29)))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(1-Summary!$B$55)*T884+Summary!$B$55*V884</f>
        <v/>
      </c>
      <c r="P884">
        <f>IF(B904=0,0,O884/B904)</f>
        <v/>
      </c>
      <c r="Q884" t="n">
        <v>0</v>
      </c>
      <c r="R884" t="n">
        <v>0</v>
      </c>
      <c r="S884">
        <f>IFERROR(O884/N884,0)</f>
        <v/>
      </c>
      <c r="T884" t="n">
        <v>0</v>
      </c>
      <c r="V884" t="n">
        <v>0</v>
      </c>
    </row>
    <row r="885">
      <c r="A885">
        <f>Skills!A16</f>
        <v/>
      </c>
      <c r="B885">
        <f>Skills!B16</f>
        <v/>
      </c>
      <c r="C885">
        <f>Inputs!$B$3&gt;=15</f>
        <v/>
      </c>
      <c r="D885">
        <f>IF(Skills!C16=1,60+Inputs!$B$25+Inputs!$B$29,IF(Skills!C16=2,90+Inputs!$B$26+Inputs!$B$29,IF(Skills!C16=3,120+Inputs!$B$27+Inputs!$B$29,MAX(0,(Inputs!$B$3-100)*3)+Inputs!$B$28+Inputs!$B$29)))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(1-Summary!$B$55)*T885+Summary!$B$55*V885</f>
        <v/>
      </c>
      <c r="P885">
        <f>IF(B904=0,0,O885/B904)</f>
        <v/>
      </c>
      <c r="Q885" t="n">
        <v>0</v>
      </c>
      <c r="R885" t="n">
        <v>0</v>
      </c>
      <c r="S885">
        <f>IFERROR(O885/N885,0)</f>
        <v/>
      </c>
      <c r="T885" t="n">
        <v>0</v>
      </c>
      <c r="V885" t="n">
        <v>0</v>
      </c>
    </row>
    <row r="886">
      <c r="A886">
        <f>Skills!A17</f>
        <v/>
      </c>
      <c r="B886">
        <f>Skills!B17</f>
        <v/>
      </c>
      <c r="C886">
        <f>Inputs!$B$3&gt;=10</f>
        <v/>
      </c>
      <c r="D886">
        <f>IF(Skills!C17=1,60+Inputs!$B$25+Inputs!$B$29,IF(Skills!C17=2,90+Inputs!$B$26+Inputs!$B$29,IF(Skills!C17=3,120+Inputs!$B$27+Inputs!$B$29,MAX(0,(Inputs!$B$3-100)*3)+Inputs!$B$28+Inputs!$B$29)))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(1-Summary!$B$55)*T886+Summary!$B$55*V886</f>
        <v/>
      </c>
      <c r="P886">
        <f>IF(B904=0,0,O886/B904)</f>
        <v/>
      </c>
      <c r="Q886" t="n">
        <v>0</v>
      </c>
      <c r="R886" t="n">
        <v>0</v>
      </c>
      <c r="S886">
        <f>IFERROR(O886/N886,0)</f>
        <v/>
      </c>
      <c r="T886" t="n">
        <v>0</v>
      </c>
      <c r="V886" t="n">
        <v>0</v>
      </c>
    </row>
    <row r="887">
      <c r="A887">
        <f>Skills!A18</f>
        <v/>
      </c>
      <c r="B887">
        <f>Skills!B18</f>
        <v/>
      </c>
      <c r="C887">
        <f>Inputs!$B$3&gt;=33</f>
        <v/>
      </c>
      <c r="D887">
        <f>IF(Skills!C18=1,60+Inputs!$B$25+Inputs!$B$29,IF(Skills!C18=2,90+Inputs!$B$26+Inputs!$B$29,IF(Skills!C18=3,120+Inputs!$B$27+Inputs!$B$29,MAX(0,(Inputs!$B$3-100)*3)+Inputs!$B$28+Inputs!$B$29)))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(1-Summary!$B$55)*T887+Summary!$B$55*V887</f>
        <v/>
      </c>
      <c r="P887">
        <f>IF(B904=0,0,O887/B904)</f>
        <v/>
      </c>
      <c r="Q887" t="n">
        <v>0</v>
      </c>
      <c r="R887" t="n">
        <v>0</v>
      </c>
      <c r="S887">
        <f>IFERROR(O887/N887,0)</f>
        <v/>
      </c>
      <c r="T887" t="n">
        <v>0</v>
      </c>
      <c r="V887" t="n">
        <v>0</v>
      </c>
    </row>
    <row r="888">
      <c r="A888">
        <f>Skills!A19</f>
        <v/>
      </c>
      <c r="B888">
        <f>Skills!B19</f>
        <v/>
      </c>
      <c r="C888">
        <f>Inputs!$B$3&gt;=40</f>
        <v/>
      </c>
      <c r="D888">
        <f>IF(Skills!C19=1,60+Inputs!$B$25+Inputs!$B$29,IF(Skills!C19=2,90+Inputs!$B$26+Inputs!$B$29,IF(Skills!C19=3,120+Inputs!$B$27+Inputs!$B$29,MAX(0,(Inputs!$B$3-100)*3)+Inputs!$B$28+Inputs!$B$29)))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(1-Summary!$B$55)*T888+Summary!$B$55*V888</f>
        <v/>
      </c>
      <c r="P888">
        <f>IF(B904=0,0,O888/B904)</f>
        <v/>
      </c>
      <c r="Q888" t="n">
        <v>0</v>
      </c>
      <c r="R888" t="n">
        <v>0</v>
      </c>
      <c r="S888">
        <f>IFERROR(O888/N888,0)</f>
        <v/>
      </c>
      <c r="T888" t="n">
        <v>0</v>
      </c>
      <c r="V888" t="n">
        <v>0</v>
      </c>
    </row>
    <row r="889">
      <c r="A889">
        <f>Skills!A20</f>
        <v/>
      </c>
      <c r="B889">
        <f>Skills!B20</f>
        <v/>
      </c>
      <c r="C889">
        <f>Inputs!$B$3&gt;=43</f>
        <v/>
      </c>
      <c r="D889">
        <f>IF(Skills!C20=1,60+Inputs!$B$25+Inputs!$B$29,IF(Skills!C20=2,90+Inputs!$B$26+Inputs!$B$29,IF(Skills!C20=3,120+Inputs!$B$27+Inputs!$B$29,MAX(0,(Inputs!$B$3-100)*3)+Inputs!$B$28+Inputs!$B$29)))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(1-Summary!$B$55)*T889+Summary!$B$55*V889</f>
        <v/>
      </c>
      <c r="P889">
        <f>IF(B904=0,0,O889/B904)</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(1-Summary!$B$55)*T890+Summary!$B$55*V890</f>
        <v/>
      </c>
      <c r="P890">
        <f>IF(B904=0,0,O890/B904)</f>
        <v/>
      </c>
      <c r="Q890" t="n">
        <v>0</v>
      </c>
      <c r="R890" t="n">
        <v>0</v>
      </c>
      <c r="S890">
        <f>IFERROR(O890/N890,0)</f>
        <v/>
      </c>
      <c r="T890" t="n">
        <v>0</v>
      </c>
      <c r="V890" t="n">
        <v>0</v>
      </c>
    </row>
    <row r="891">
      <c r="A891">
        <f>Skills!A22</f>
        <v/>
      </c>
      <c r="B891">
        <f>Skills!B22</f>
        <v/>
      </c>
      <c r="C891">
        <f>Inputs!$B$3&gt;=75</f>
        <v/>
      </c>
      <c r="D891">
        <f>IF(Skills!C22=1,60+Inputs!$B$25+Inputs!$B$29,IF(Skills!C22=2,90+Inputs!$B$26+Inputs!$B$29,IF(Skills!C22=3,120+Inputs!$B$27+Inputs!$B$29,MAX(0,(Inputs!$B$3-100)*3)+Inputs!$B$28+Inputs!$B$29)))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(1-Summary!$B$55)*T891+Summary!$B$55*V891</f>
        <v/>
      </c>
      <c r="P891">
        <f>IF(B904=0,0,O891/B904)</f>
        <v/>
      </c>
      <c r="Q891" t="n">
        <v>0</v>
      </c>
      <c r="R891" t="n">
        <v>0</v>
      </c>
      <c r="S891">
        <f>IFERROR(O891/N891,0)</f>
        <v/>
      </c>
      <c r="T891" t="n">
        <v>0</v>
      </c>
      <c r="V891" t="n">
        <v>0</v>
      </c>
    </row>
    <row r="893">
      <c r="A893" t="inlineStr">
        <is>
          <t>Attack% Bucket Multiplier</t>
        </is>
      </c>
      <c r="B893">
        <f>(1+(((C882=TRUE)*F882)+((C888=TRUE)*(F888-Calc!F19)))/100)</f>
        <v/>
      </c>
    </row>
    <row r="894">
      <c r="A894" t="inlineStr">
        <is>
          <t>Global Crit Rate Bonus %</t>
        </is>
      </c>
      <c r="B894" t="n">
        <v>0</v>
      </c>
    </row>
    <row r="895">
      <c r="A895" t="inlineStr">
        <is>
          <t>Attack Speed Buff Bonus % (unused)</t>
        </is>
      </c>
      <c r="B895" t="n">
        <v>0</v>
      </c>
    </row>
    <row r="896">
      <c r="A896" t="inlineStr">
        <is>
          <t>Actions Per Second</t>
        </is>
      </c>
      <c r="B896">
        <f>1+MIN(150,150*(1-(1-(Inputs!$B$11+((C886=TRUE)*(F886-Calc!F17))+((C887=TRUE)*(F887-Calc!F18)))/150)*(1-B895/150)))/100</f>
        <v/>
      </c>
    </row>
    <row r="897">
      <c r="A897" t="inlineStr">
        <is>
          <t>Skill + Buff Cast Rate</t>
        </is>
      </c>
      <c r="B897">
        <f>IF(AND(Inputs!$B$38&lt;&gt;"pvp",Inputs!$B$43&gt;0),SUMPRODUCT((Skills!E2:E22=TRUE)*(C871:C891=TRUE)*R871:R891*Skills!F2:F22)/Inputs!$B$43,SUMPRODUCT((Skills!E2:E22=TRUE)*(C871:C891=TRUE)*Q871:Q891*Skills!F2:F22))</f>
        <v/>
      </c>
    </row>
    <row r="898">
      <c r="A898" t="inlineStr">
        <is>
          <t>Hook Bomber Casts Per Second</t>
        </is>
      </c>
      <c r="B898">
        <f>MAX(0,B896-B897)</f>
        <v/>
      </c>
    </row>
    <row r="899">
      <c r="A899" t="inlineStr">
        <is>
          <t>Global Critical Damage Bonus % (unused)</t>
        </is>
      </c>
      <c r="B899" t="n">
        <v>0</v>
      </c>
    </row>
    <row r="900">
      <c r="A900" t="inlineStr">
        <is>
          <t>Global Final Damage Bonus % (Serpent Scale + Crossbones + Time Leap + Speed Infusion)</t>
        </is>
      </c>
      <c r="B900">
        <f>((C874=TRUE)*F874*((10+IF(Inputs!$B$3&gt;=94,5,0))/((10+IF(Inputs!$B$3&gt;=94,5,0))+5/(B898*(1+IF(Inputs!$B$3&gt;=104,1,0))))))+((C883=TRUE)*F883)+((C884=TRUE)*F884)+((Inputs!$B$3&gt;=110)*20*(B896-1))</f>
        <v/>
      </c>
    </row>
    <row r="901">
      <c r="A901" t="inlineStr">
        <is>
          <t>Buff-Casting Startup Delay (s, fixed-duration only)</t>
        </is>
      </c>
      <c r="B901">
        <f>IF(AND(Inputs!$B$38&lt;&gt;"pvp",Inputs!$B$43&gt;0),SUMPRODUCT((Skills!T2:T22&gt;0)*(Skills!E2:E22=TRUE)*(C871:C891=TRUE))/B896,0)</f>
        <v/>
      </c>
    </row>
    <row r="902">
      <c r="A902" t="inlineStr">
        <is>
          <t>Boss-Only Total DPS (this block's swept value)</t>
        </is>
      </c>
      <c r="B902">
        <f>SUM(T871:T891)</f>
        <v/>
      </c>
    </row>
    <row r="903">
      <c r="A903" t="inlineStr">
        <is>
          <t>Normal-Only Total DPS (this block's swept value)</t>
        </is>
      </c>
      <c r="B903">
        <f>SUM(V871:V891)</f>
        <v/>
      </c>
    </row>
    <row r="904">
      <c r="A904" s="5" t="inlineStr">
        <is>
          <t>TOTAL DPS</t>
        </is>
      </c>
      <c r="B904" s="5">
        <f>SUM(O871:O891)</f>
        <v/>
      </c>
    </row>
    <row r="907">
      <c r="A907" s="5" t="inlineStr">
        <is>
          <t>Stat: Skill Cooldown Decrease (seconds)</t>
        </is>
      </c>
    </row>
    <row r="908">
      <c r="A908" s="9" t="inlineStr">
        <is>
          <t>Key</t>
        </is>
      </c>
      <c r="B908" s="9" t="inlineStr">
        <is>
          <t>Name</t>
        </is>
      </c>
      <c r="C908" s="9" t="inlineStr">
        <is>
          <t>Unlocked</t>
        </is>
      </c>
      <c r="D908" s="9" t="inlineStr">
        <is>
          <t>InputLevel</t>
        </is>
      </c>
      <c r="E908" s="9" t="inlineStr">
        <is>
          <t>Factor</t>
        </is>
      </c>
      <c r="F908" s="9" t="inlineStr">
        <is>
          <t>CoefficientPercent</t>
        </is>
      </c>
      <c r="G908" s="9" t="inlineStr">
        <is>
          <t>EffectiveHits</t>
        </is>
      </c>
      <c r="H908" s="9" t="inlineStr">
        <is>
          <t>ProcProbability</t>
        </is>
      </c>
      <c r="I908" s="9" t="inlineStr">
        <is>
          <t>MapleHeroMultiplier</t>
        </is>
      </c>
      <c r="J908" s="9" t="inlineStr">
        <is>
          <t>BaseDamage</t>
        </is>
      </c>
      <c r="K908" s="9" t="inlineStr">
        <is>
          <t>BaseHitDamage</t>
        </is>
      </c>
      <c r="L908" s="9" t="inlineStr">
        <is>
          <t>NonCritAvg</t>
        </is>
      </c>
      <c r="M908" s="9" t="inlineStr">
        <is>
          <t>CritAvg</t>
        </is>
      </c>
      <c r="N908" s="9" t="inlineStr">
        <is>
          <t>ExpectedDamage(perHit)</t>
        </is>
      </c>
      <c r="O908" s="9" t="inlineStr">
        <is>
          <t>DPS</t>
        </is>
      </c>
      <c r="P908" s="9" t="inlineStr">
        <is>
          <t>% of Total</t>
        </is>
      </c>
      <c r="Q908" s="9" t="inlineStr">
        <is>
          <t>InvCooldown</t>
        </is>
      </c>
      <c r="R908" s="9" t="inlineStr">
        <is>
          <t>CastsInFight</t>
        </is>
      </c>
      <c r="S908" s="9"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((Inputs!$B$6*(1+Inputs!$B$7/100))+(((Inputs!$B$12*(1+Inputs!$B$13/100))-(Inputs!$B$12*(1+Inputs!$B$13/100)))+0.25*(Inputs!$B$14-Inputs!$B$14))*(1+Inputs!$B$7/100))*(F909/100)</f>
        <v/>
      </c>
      <c r="K909">
        <f>J909*(1+((Inputs!$B$12*(1+Inputs!$B$13/100))*0.01+Inputs!$B$14*0.0025)/100)*(1+Inputs!$B$15/100)*(1+Inputs!$B$16/100)*(5000/(6000+Inputs!$B$42*(1-(Inputs!$B$19+0)/100)))*(1+(Inputs!$B$24+((C929=TRUE)*(F929-Calc!F22))+B938)/100)*(1+(IF(Skills!A2="HOOK_BOMBER",Inputs!$B$17+((C928=TRUE)*(F928-Calc!F21)),Inputs!$B$18+0))/100)*((1+(((C920=TRUE)*F920)+((C926=TRUE)*(F926-Calc!F19)))/100)*I909)</f>
        <v/>
      </c>
      <c r="L909">
        <f>K909*(MIN(Inputs!$B$22+((C927=TRUE)*(F927-Calc!F20)),Inputs!$B$23+0)/100+(Inputs!$B$23+0)/100)/2</f>
        <v/>
      </c>
      <c r="M909">
        <f>L909*(1+(Inputs!$B$10+0+B937)/100)</f>
        <v/>
      </c>
      <c r="N909">
        <f>L909*(1-MIN((Inputs!$B$9+((C923=TRUE)*(F923-Calc!F16))+B932),100)/100)+M909*(MIN((Inputs!$B$9+((C923=TRUE)*(F923-Calc!F16))+B932),100)/100)</f>
        <v/>
      </c>
      <c r="O909">
        <f>(1-Summary!$B$55)*T909+Summary!$B$55*V909</f>
        <v/>
      </c>
      <c r="P909">
        <f>IF(B942=0,0,O909/B942)</f>
        <v/>
      </c>
      <c r="Q909" t="n">
        <v>0</v>
      </c>
      <c r="R909" t="n">
        <v>0</v>
      </c>
      <c r="S909">
        <f>IFERROR(O909/N909,0)</f>
        <v/>
      </c>
      <c r="T909">
        <f>IF(C909,(Skills!G2*N909*B936)*IF(Inputs!$B$38="pvp",1,1+(Inputs!$B$20+0+Skills!P2)/100),0)</f>
        <v/>
      </c>
      <c r="U909">
        <f>MAX(0,(Inputs!$B$3-100)*3)+Inputs!$B$28+Inputs!$B$29</f>
        <v/>
      </c>
      <c r="V909">
        <f>IF(C909,(Skills!G2*N909*B936)*IF(Inputs!$B$38="pvp",1,(1+(Inputs!$B$21+Skills!Q2)/100)*(MIN((6+Inputs!$B$33),Inputs!$B$37))),0)</f>
        <v/>
      </c>
    </row>
    <row r="910">
      <c r="A910">
        <f>Skills!A3</f>
        <v/>
      </c>
      <c r="B910">
        <f>Skills!B3</f>
        <v/>
      </c>
      <c r="C910">
        <f>Inputs!$B$3&gt;=35</f>
        <v/>
      </c>
      <c r="D910">
        <f>IF(Skills!C3=1,60+Inputs!$B$25+Inputs!$B$29,IF(Skills!C3=2,90+Inputs!$B$26+Inputs!$B$29,IF(Skills!C3=3,120+Inputs!$B$27+Inputs!$B$29,MAX(0,(Inputs!$B$3-100)*3)+Inputs!$B$28+Inputs!$B$29)))</f>
        <v/>
      </c>
      <c r="E910">
        <f>INDEX(FactorTable!$B$2:$Y$301, MATCH(ROUND(MIN(300,MAX(1,D910)),0), FactorTable!$A$2:$A$301,0), Skills!M3+1)</f>
        <v/>
      </c>
      <c r="F910">
        <f>IF(Skills!N3=TRUE,(Skills!L3/10)*(E910/1000),Skills!L3/10)+Skills!O3</f>
        <v/>
      </c>
      <c r="G910">
        <f>Skills!G3*IF(Skills!H3&gt;0,Skills!I3/Skills!H3,1)</f>
        <v/>
      </c>
      <c r="H910">
        <f>1-(1-Skills!J3/100)^Skills!K3</f>
        <v/>
      </c>
      <c r="I910" t="inlineStr">
        <is>
          <t>1</t>
        </is>
      </c>
      <c r="J910">
        <f>((Inputs!$B$6*(1+Inputs!$B$7/100))+(((Inputs!$B$12*(1+Inputs!$B$13/100))-(Inputs!$B$12*(1+Inputs!$B$13/100)))+0.25*(Inputs!$B$14-Inputs!$B$14))*(1+Inputs!$B$7/100))*(F910/100)</f>
        <v/>
      </c>
      <c r="K910">
        <f>J910*(1+((Inputs!$B$12*(1+Inputs!$B$13/100))*0.01+Inputs!$B$14*0.0025)/100)*(1+Inputs!$B$15/100)*(1+Inputs!$B$16/100)*(5000/(6000+Inputs!$B$42*(1-(Inputs!$B$19+0)/100)))*(1+(Inputs!$B$24+((C929=TRUE)*(F929-Calc!F22))+B938)/100)*(1+(IF(Skills!A3="HOOK_BOMBER",Inputs!$B$17+((C928=TRUE)*(F928-Calc!F21)),Inputs!$B$18+0))/100)*((1+(((C920=TRUE)*F920)+((C926=TRUE)*(F926-Calc!F19)))/100)*I910)</f>
        <v/>
      </c>
      <c r="L910">
        <f>K910*(MIN(Inputs!$B$22+((C927=TRUE)*(F927-Calc!F20)),Inputs!$B$23+0)/100+(Inputs!$B$23+0)/100)/2</f>
        <v/>
      </c>
      <c r="M910">
        <f>L910*(1+(Inputs!$B$10+0+B937)/100)</f>
        <v/>
      </c>
      <c r="N910">
        <f>L910*(1-MIN((Inputs!$B$9+((C923=TRUE)*(F923-Calc!F16))+B932),100)/100)+M910*(MIN((Inputs!$B$9+((C923=TRUE)*(F923-Calc!F16))+B932),100)/100)</f>
        <v/>
      </c>
      <c r="O910">
        <f>(1-Summary!$B$55)*T910+Summary!$B$55*V910</f>
        <v/>
      </c>
      <c r="P910">
        <f>IF(B942=0,0,O910/B942)</f>
        <v/>
      </c>
      <c r="Q910" t="n">
        <v>0</v>
      </c>
      <c r="R910" t="n">
        <v>0</v>
      </c>
      <c r="S910">
        <f>IFERROR(O910/N910,0)</f>
        <v/>
      </c>
      <c r="T910">
        <f>IF(C910,(Skills!G3*H910*N910*B936)*IF(Inputs!$B$38="pvp",1,1+(Inputs!$B$20+0+Skills!P3)/100),0)</f>
        <v/>
      </c>
      <c r="U910">
        <f>INDEX(FactorTable!$B$2:$Y$301, MATCH(ROUND(MIN(300,MAX(1,U909)),0), FactorTable!$A$2:$A$301,0), 22)</f>
        <v/>
      </c>
      <c r="V910">
        <f>IF(C910,(Skills!G3*H910*N910*B936)*IF(Inputs!$B$38="pvp",1,(1+(Inputs!$B$21+Skills!Q3)/100)*(MIN(Skills!R3,Inputs!$B$37))),0)</f>
        <v/>
      </c>
    </row>
    <row r="911">
      <c r="A911">
        <f>Skills!A4</f>
        <v/>
      </c>
      <c r="B911">
        <f>Skills!B4</f>
        <v/>
      </c>
      <c r="C911">
        <f>Inputs!$B$3&gt;=60</f>
        <v/>
      </c>
      <c r="D911">
        <f>IF(Skills!C4=1,60+Inputs!$B$25+Inputs!$B$29,IF(Skills!C4=2,90+Inputs!$B$26+Inputs!$B$29,IF(Skills!C4=3,120+Inputs!$B$27+Inputs!$B$29,MAX(0,(Inputs!$B$3-100)*3)+Inputs!$B$28+Inputs!$B$29)))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((Inputs!$B$6*(1+Inputs!$B$7/100))+(((Inputs!$B$12*(1+Inputs!$B$13/100))-(Inputs!$B$12*(1+Inputs!$B$13/100)))+0.25*(Inputs!$B$14-Inputs!$B$14))*(1+Inputs!$B$7/100))*(F911/100)</f>
        <v/>
      </c>
      <c r="K911">
        <f>J911*(1+((Inputs!$B$12*(1+Inputs!$B$13/100))*0.01+Inputs!$B$14*0.0025)/100)*(1+Inputs!$B$15/100)*(1+Inputs!$B$16/100)*(5000/(6000+Inputs!$B$42*(1-(Inputs!$B$19+0)/100)))*(1+(Inputs!$B$24+((C929=TRUE)*(F929-Calc!F22))+B938)/100)*(1+1.0*IF(C919=TRUE,F919,0)/100)*(1+(IF(Skills!A4="HOOK_BOMBER",Inputs!$B$17+((C928=TRUE)*(F928-Calc!F21)),Inputs!$B$18+0))/100)*((1+(((C920=TRUE)*F920)+((C926=TRUE)*(F926-Calc!F19)))/100)*I911)</f>
        <v/>
      </c>
      <c r="L911">
        <f>K911*(MIN(Inputs!$B$22+((C927=TRUE)*(F927-Calc!F20)),Inputs!$B$23+0)/100+(Inputs!$B$23+0)/100)/2</f>
        <v/>
      </c>
      <c r="M911">
        <f>L911*(1+(Inputs!$B$10+0+B937)/100)</f>
        <v/>
      </c>
      <c r="N911">
        <f>L911*(1-MIN((Inputs!$B$9+((C923=TRUE)*(F923-Calc!F16))+B932),100)/100)+M911*(MIN((Inputs!$B$9+((C923=TRUE)*(F923-Calc!F16))+B932),100)/100)</f>
        <v/>
      </c>
      <c r="O911">
        <f>(1-Summary!$B$55)*T911+Summary!$B$55*V911</f>
        <v/>
      </c>
      <c r="P911">
        <f>IF(B942=0,0,O911/B942)</f>
        <v/>
      </c>
      <c r="Q911" t="n">
        <v>0</v>
      </c>
      <c r="R911" t="n">
        <v>0</v>
      </c>
      <c r="S911">
        <f>IFERROR(O911/N911,0)</f>
        <v/>
      </c>
      <c r="T911">
        <f>IF(C911,(Skills!G4*H911*N911*B936)*IF(Inputs!$B$38="pvp",1,1+(Inputs!$B$20+0+Skills!P4)/100),0)</f>
        <v/>
      </c>
      <c r="U911">
        <f>290*U910/1000</f>
        <v/>
      </c>
      <c r="V911">
        <f>IF(C911,(Skills!G4*H911*N911*B936)*IF(Inputs!$B$38="pvp",1,(1+(Inputs!$B$21+Skills!Q4)/100)*(MIN(Skills!R4,Inputs!$B$37))),0)</f>
        <v/>
      </c>
    </row>
    <row r="912">
      <c r="A912">
        <f>Skills!A5</f>
        <v/>
      </c>
      <c r="B912">
        <f>Skills!B5</f>
        <v/>
      </c>
      <c r="C912">
        <f>Inputs!$B$3&gt;=60</f>
        <v/>
      </c>
      <c r="D912">
        <f>IF(Skills!C5=1,60+Inputs!$B$25+Inputs!$B$29,IF(Skills!C5=2,90+Inputs!$B$26+Inputs!$B$29,IF(Skills!C5=3,120+Inputs!$B$27+Inputs!$B$29,MAX(0,(Inputs!$B$3-100)*3)+Inputs!$B$28+Inputs!$B$29)))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t="inlineStr"/>
      <c r="K912" t="inlineStr"/>
      <c r="L912" t="inlineStr"/>
      <c r="M912" t="inlineStr"/>
      <c r="N912" t="inlineStr"/>
      <c r="O912">
        <f>(1-Summary!$B$55)*T912+Summary!$B$55*V912</f>
        <v/>
      </c>
      <c r="P912">
        <f>IF(B942=0,0,O912/B942)</f>
        <v/>
      </c>
      <c r="Q912" t="n">
        <v>0</v>
      </c>
      <c r="R912" t="n">
        <v>0</v>
      </c>
      <c r="S912">
        <f>IFERROR(O912/N912,0)</f>
        <v/>
      </c>
      <c r="T912" t="n">
        <v>0</v>
      </c>
      <c r="V912" t="n">
        <v>0</v>
      </c>
    </row>
    <row r="913">
      <c r="A913">
        <f>Skills!A6</f>
        <v/>
      </c>
      <c r="B913">
        <f>Skills!B6</f>
        <v/>
      </c>
      <c r="C913">
        <f>Inputs!$B$3&gt;=63</f>
        <v/>
      </c>
      <c r="D913">
        <f>IF(Skills!C6=1,60+Inputs!$B$25+Inputs!$B$29,IF(Skills!C6=2,90+Inputs!$B$26+Inputs!$B$29,IF(Skills!C6=3,120+Inputs!$B$27+Inputs!$B$29,MAX(0,(Inputs!$B$3-100)*3)+Inputs!$B$28+Inputs!$B$29)))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((Inputs!$B$6*(1+Inputs!$B$7/100))+(((Inputs!$B$12*(1+Inputs!$B$13/100))-(Inputs!$B$12*(1+Inputs!$B$13/100)))+0.25*(Inputs!$B$14-Inputs!$B$14))*(1+Inputs!$B$7/100))*(F913/100)</f>
        <v/>
      </c>
      <c r="K913">
        <f>J913*(1+((Inputs!$B$12*(1+Inputs!$B$13/100))*0.01+Inputs!$B$14*0.0025)/100)*(1+Inputs!$B$15/100)*(1+Inputs!$B$16/100)*(5000/(6000+Inputs!$B$42*(1-(Inputs!$B$19+0)/100)))*(1+(Inputs!$B$24+((C929=TRUE)*(F929-Calc!F22))+B938)/100)*(1+(IF(Skills!A6="HOOK_BOMBER",Inputs!$B$17+((C928=TRUE)*(F928-Calc!F21)),Inputs!$B$18+0))/100)*((1+(((C920=TRUE)*F920)+((C926=TRUE)*(F926-Calc!F19)))/100)*I913)</f>
        <v/>
      </c>
      <c r="L913">
        <f>K913*(MIN(Inputs!$B$22+((C927=TRUE)*(F927-Calc!F20)),Inputs!$B$23+0)/100+(Inputs!$B$23+0)/100)/2</f>
        <v/>
      </c>
      <c r="M913">
        <f>L913*(1+(Inputs!$B$10+0+B937)/100)</f>
        <v/>
      </c>
      <c r="N913">
        <f>L913*(1-MIN((Inputs!$B$9+((C923=TRUE)*(F923-Calc!F16))+B932),100)/100)+M913*(MIN((Inputs!$B$9+((C923=TRUE)*(F923-Calc!F16))+B932),100)/100)</f>
        <v/>
      </c>
      <c r="O913">
        <f>(1-Summary!$B$55)*T913+Summary!$B$55*V913</f>
        <v/>
      </c>
      <c r="P913">
        <f>IF(B942=0,0,O913/B942)</f>
        <v/>
      </c>
      <c r="Q913">
        <f>IFERROR(1/IF(Inputs!$B$38="pvp",15,MAX(0.1,Skills!D6-IF(Skills!E6=TRUE,(Inputs!$B$32+1),0))),0)</f>
        <v/>
      </c>
      <c r="R913">
        <f>IF(AND(Inputs!$B$38&lt;&gt;"pvp",Inputs!$B$43&gt;0),IF(MAX(0,Inputs!$B$43-B939)&lt;=0,0,(INT(MAX(0,Inputs!$B$43-B939)/IF(Inputs!$B$38="pvp",15,MAX(0.1,Skills!D6-IF(Skills!E6=TRUE,(Inputs!$B$32+1),0))))+1)),0)</f>
        <v/>
      </c>
      <c r="S913">
        <f>IFERROR(O913/N913,0)</f>
        <v/>
      </c>
      <c r="T913">
        <f>IF(C913,(H913*N913*IF(AND(Inputs!$B$38&lt;&gt;"pvp",Inputs!$B$43&gt;0),((Skills!G6*((R913-1)*IF(Skills!H6&gt;0,Skills!I6/Skills!H6,1)+IF(Skills!H6&gt;0,MIN(Skills!I6,MAX(0,MAX(0,Inputs!$B$43-B939)-((R913-1)*IF(Inputs!$B$38="pvp",15,MAX(0.1,Skills!D6-IF(Skills!E6=TRUE,(Inputs!$B$32+1),0))))))/Skills!H6,1)))/Inputs!$B$43),G913*Q913))*IF(Inputs!$B$38="pvp",1,1+(Inputs!$B$20+0+Skills!P6)/100),0)</f>
        <v/>
      </c>
      <c r="V913">
        <f>IF(C913,(H913*N913*IF(AND(Inputs!$B$38&lt;&gt;"pvp",Inputs!$B$43&gt;0),((Skills!G6*((R913-1)*IF(Skills!H6&gt;0,Skills!I6/Skills!H6,1)+IF(Skills!H6&gt;0,MIN(Skills!I6,MAX(0,MAX(0,Inputs!$B$43-B939)-((R913-1)*IF(Inputs!$B$38="pvp",15,MAX(0.1,Skills!D6-IF(Skills!E6=TRUE,(Inputs!$B$32+1),0))))))/Skills!H6,1)))/Inputs!$B$43),G913*Q913))*IF(Inputs!$B$38="pvp",1,(1+(Inputs!$B$21+Skills!Q6)/100)*(MIN(Skills!R6,Inputs!$B$37))),0)</f>
        <v/>
      </c>
    </row>
    <row r="914">
      <c r="A914">
        <f>Skills!A7</f>
        <v/>
      </c>
      <c r="B914">
        <f>Skills!B7</f>
        <v/>
      </c>
      <c r="C914">
        <f>Inputs!$B$3&gt;=100</f>
        <v/>
      </c>
      <c r="D914">
        <f>IF(Skills!C7=1,60+Inputs!$B$25+Inputs!$B$29,IF(Skills!C7=2,90+Inputs!$B$26+Inputs!$B$29,IF(Skills!C7=3,120+Inputs!$B$27+Inputs!$B$29,MAX(0,(Inputs!$B$3-100)*3)+Inputs!$B$28+Inputs!$B$29)))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((Inputs!$B$6*(1+Inputs!$B$7/100))+(((Inputs!$B$12*(1+Inputs!$B$13/100))-(Inputs!$B$12*(1+Inputs!$B$13/100)))+0.25*(Inputs!$B$14-Inputs!$B$14))*(1+Inputs!$B$7/100))*(F914/100)</f>
        <v/>
      </c>
      <c r="K914">
        <f>J914*(1+((Inputs!$B$12*(1+Inputs!$B$13/100))*0.01+Inputs!$B$14*0.0025)/100)*(1+Inputs!$B$15/100)*(1+Inputs!$B$16/100)*(5000/(6000+Inputs!$B$42*(1-(Inputs!$B$19+0)/100)))*(1+(Inputs!$B$24+((C929=TRUE)*(F929-Calc!F22))+B938)/100)*(1+(IF(Skills!A7="HOOK_BOMBER",Inputs!$B$17+((C928=TRUE)*(F928-Calc!F21)),Inputs!$B$18+0))/100)*((1+(((C920=TRUE)*F920)+((C926=TRUE)*(F926-Calc!F19)))/100)*I914)</f>
        <v/>
      </c>
      <c r="L914">
        <f>K914*(MIN(Inputs!$B$22+((C927=TRUE)*(F927-Calc!F20)),Inputs!$B$23+0)/100+(Inputs!$B$23+0)/100)/2</f>
        <v/>
      </c>
      <c r="M914">
        <f>L914*(1+(Inputs!$B$10+0+B937)/100)</f>
        <v/>
      </c>
      <c r="N914">
        <f>L914*(1-MIN((Inputs!$B$9+((C923=TRUE)*(F923-Calc!F16))+B932),100)/100)+M914*(MIN((Inputs!$B$9+((C923=TRUE)*(F923-Calc!F16))+B932),100)/100)</f>
        <v/>
      </c>
      <c r="O914">
        <f>(1-Summary!$B$55)*T914+Summary!$B$55*V914</f>
        <v/>
      </c>
      <c r="P914">
        <f>IF(B942=0,0,O914/B942)</f>
        <v/>
      </c>
      <c r="Q914">
        <f>IFERROR(1/IF(Inputs!$B$38="pvp",15,MAX(0.1,Skills!D7-IF(Skills!E7=TRUE,(Inputs!$B$32+1),0))),0)</f>
        <v/>
      </c>
      <c r="R914">
        <f>IF(AND(Inputs!$B$38&lt;&gt;"pvp",Inputs!$B$43&gt;0),IF(MAX(0,Inputs!$B$43-B939)&lt;=0,0,(INT(MAX(0,Inputs!$B$43-B939)/IF(Inputs!$B$38="pvp",15,MAX(0.1,Skills!D7-IF(Skills!E7=TRUE,(Inputs!$B$32+1),0))))+1)),0)</f>
        <v/>
      </c>
      <c r="S914">
        <f>IFERROR(O914/N914,0)</f>
        <v/>
      </c>
      <c r="T914">
        <f>IF(C914,(H914*N914*IF(AND(Inputs!$B$38&lt;&gt;"pvp",Inputs!$B$43&gt;0),((Skills!G7*((R914-1)*IF(Skills!H7&gt;0,Skills!I7/Skills!H7,1)+IF(Skills!H7&gt;0,MIN(Skills!I7,MAX(0,MAX(0,Inputs!$B$43-B939)-((R914-1)*IF(Inputs!$B$38="pvp",15,MAX(0.1,Skills!D7-IF(Skills!E7=TRUE,(Inputs!$B$32+1),0))))))/Skills!H7,1)))/Inputs!$B$43),G914*Q914))*IF(Inputs!$B$38="pvp",1,1+(Inputs!$B$20+0+Skills!P7)/100),0)</f>
        <v/>
      </c>
      <c r="V914">
        <f>IF(C914,(H914*N914*IF(AND(Inputs!$B$38&lt;&gt;"pvp",Inputs!$B$43&gt;0),((Skills!G7*((R914-1)*IF(Skills!H7&gt;0,Skills!I7/Skills!H7,1)+IF(Skills!H7&gt;0,MIN(Skills!I7,MAX(0,MAX(0,Inputs!$B$43-B939)-((R914-1)*IF(Inputs!$B$38="pvp",15,MAX(0.1,Skills!D7-IF(Skills!E7=TRUE,(Inputs!$B$32+1),0))))))/Skills!H7,1)))/Inputs!$B$43),G914*Q914))*IF(Inputs!$B$38="pvp",1,(1+(Inputs!$B$21+Skills!Q7)/100)*(MIN(Skills!R7,Inputs!$B$37))),0)</f>
        <v/>
      </c>
    </row>
    <row r="915">
      <c r="A915">
        <f>Skills!A8</f>
        <v/>
      </c>
      <c r="B915">
        <f>Skills!B8</f>
        <v/>
      </c>
      <c r="C915">
        <f>Inputs!$B$3&gt;=110</f>
        <v/>
      </c>
      <c r="D915">
        <f>IF(Skills!C8=1,60+Inputs!$B$25+Inputs!$B$29,IF(Skills!C8=2,90+Inputs!$B$26+Inputs!$B$29,IF(Skills!C8=3,120+Inputs!$B$27+Inputs!$B$29,MAX(0,(Inputs!$B$3-100)*3)+Inputs!$B$28+Inputs!$B$29)))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((Inputs!$B$6*(1+Inputs!$B$7/100))+(((Inputs!$B$12*(1+Inputs!$B$13/100))-(Inputs!$B$12*(1+Inputs!$B$13/100)))+0.25*(Inputs!$B$14-Inputs!$B$14))*(1+Inputs!$B$7/100))*(F915/100)</f>
        <v/>
      </c>
      <c r="K915">
        <f>J915*(1+((Inputs!$B$12*(1+Inputs!$B$13/100))*0.01+Inputs!$B$14*0.0025)/100)*(1+Inputs!$B$15/100)*(1+Inputs!$B$16/100)*(5000/(6000+Inputs!$B$42*(1-(Inputs!$B$19+0)/100)))*(1+(Inputs!$B$24+((C929=TRUE)*(F929-Calc!F22))+B938)/100)*(1+(IF(Skills!A8="HOOK_BOMBER",Inputs!$B$17+((C928=TRUE)*(F928-Calc!F21)),Inputs!$B$18+0))/100)*((1+(((C920=TRUE)*F920)+((C926=TRUE)*(F926-Calc!F19)))/100)*I915)</f>
        <v/>
      </c>
      <c r="L915">
        <f>K915*(MIN(Inputs!$B$22+((C927=TRUE)*(F927-Calc!F20)),Inputs!$B$23+0)/100+(Inputs!$B$23+0)/100)/2</f>
        <v/>
      </c>
      <c r="M915">
        <f>L915*(1+(Inputs!$B$10+0+B937)/100)</f>
        <v/>
      </c>
      <c r="N915">
        <f>L915*(1-MIN((Inputs!$B$9+((C923=TRUE)*(F923-Calc!F16))+B932),100)/100)+M915*(MIN((Inputs!$B$9+((C923=TRUE)*(F923-Calc!F16))+B932),100)/100)</f>
        <v/>
      </c>
      <c r="O915">
        <f>(1-Summary!$B$55)*T915+Summary!$B$55*V915</f>
        <v/>
      </c>
      <c r="P915">
        <f>IF(B942=0,0,O915/B942)</f>
        <v/>
      </c>
      <c r="Q915">
        <f>IFERROR(1/IF(Inputs!$B$38="pvp",15,MAX(0.1,Skills!D8-IF(Skills!E8=TRUE,(Inputs!$B$32+1),0))),0)</f>
        <v/>
      </c>
      <c r="R915">
        <f>IF(AND(Inputs!$B$38&lt;&gt;"pvp",Inputs!$B$43&gt;0),IF(MAX(0,Inputs!$B$43-B939)&lt;=0,0,(INT(MAX(0,Inputs!$B$43-B939)/IF(Inputs!$B$38="pvp",15,MAX(0.1,Skills!D8-IF(Skills!E8=TRUE,(Inputs!$B$32+1),0))))+1)),0)</f>
        <v/>
      </c>
      <c r="S915">
        <f>IFERROR(O915/N915,0)</f>
        <v/>
      </c>
      <c r="T915">
        <f>IF(C915,(H915*N915*IF(AND(Inputs!$B$38&lt;&gt;"pvp",Inputs!$B$43&gt;0),((Skills!G8*((R915-1)*IF(Skills!H8&gt;0,Skills!I8/Skills!H8,1)+IF(Skills!H8&gt;0,MIN(Skills!I8,MAX(0,MAX(0,Inputs!$B$43-B939)-((R915-1)*IF(Inputs!$B$38="pvp",15,MAX(0.1,Skills!D8-IF(Skills!E8=TRUE,(Inputs!$B$32+1),0))))))/Skills!H8,1)))/Inputs!$B$43),G915*Q915))*IF(Inputs!$B$38="pvp",1,1+(Inputs!$B$20+0+Skills!P8)/100),0)</f>
        <v/>
      </c>
      <c r="V915">
        <f>IF(C915,(H915*N915*IF(AND(Inputs!$B$38&lt;&gt;"pvp",Inputs!$B$43&gt;0),((Skills!G8*((R915-1)*IF(Skills!H8&gt;0,Skills!I8/Skills!H8,1)+IF(Skills!H8&gt;0,MIN(Skills!I8,MAX(0,MAX(0,Inputs!$B$43-B939)-((R915-1)*IF(Inputs!$B$38="pvp",15,MAX(0.1,Skills!D8-IF(Skills!E8=TRUE,(Inputs!$B$32+1),0))))))/Skills!H8,1)))/Inputs!$B$43),G915*Q915))*IF(Inputs!$B$38="pvp",1,(1+(Inputs!$B$21+Skills!Q8)/100)*(MIN(Skills!R8,Inputs!$B$37))),0)</f>
        <v/>
      </c>
    </row>
    <row r="916">
      <c r="A916">
        <f>Skills!A9</f>
        <v/>
      </c>
      <c r="B916">
        <f>Skills!B9</f>
        <v/>
      </c>
      <c r="C916">
        <f>Inputs!$B$3&gt;=110</f>
        <v/>
      </c>
      <c r="D916">
        <f>IF(Skills!C9=1,60+Inputs!$B$25+Inputs!$B$29,IF(Skills!C9=2,90+Inputs!$B$26+Inputs!$B$29,IF(Skills!C9=3,120+Inputs!$B$27+Inputs!$B$29,MAX(0,(Inputs!$B$3-100)*3)+Inputs!$B$28+Inputs!$B$29)))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((Inputs!$B$6*(1+Inputs!$B$7/100))+(((Inputs!$B$12*(1+Inputs!$B$13/100))-(Inputs!$B$12*(1+Inputs!$B$13/100)))+0.25*(Inputs!$B$14-Inputs!$B$14))*(1+Inputs!$B$7/100))*(F916/100)</f>
        <v/>
      </c>
      <c r="K916">
        <f>J916*(1+((Inputs!$B$12*(1+Inputs!$B$13/100))*0.01+Inputs!$B$14*0.0025)/100)*(1+Inputs!$B$15/100)*(1+Inputs!$B$16/100)*(5000/(6000+Inputs!$B$42*(1-(Inputs!$B$19+0)/100)))*(1+(Inputs!$B$24+((C929=TRUE)*(F929-Calc!F22))+B938)/100)*(1+(IF(Skills!A9="HOOK_BOMBER",Inputs!$B$17+((C928=TRUE)*(F928-Calc!F21)),Inputs!$B$18+0))/100)*((1+(((C920=TRUE)*F920)+((C926=TRUE)*(F926-Calc!F19)))/100)*I916)</f>
        <v/>
      </c>
      <c r="L916">
        <f>K916*(MIN(Inputs!$B$22+((C927=TRUE)*(F927-Calc!F20)),Inputs!$B$23+0)/100+(Inputs!$B$23+0)/100)/2</f>
        <v/>
      </c>
      <c r="M916">
        <f>L916*(1+(Inputs!$B$10+0+B937)/100)</f>
        <v/>
      </c>
      <c r="N916">
        <f>L916*(1-MIN((Inputs!$B$9+((C923=TRUE)*(F923-Calc!F16))+B932),100)/100)+M916*(MIN((Inputs!$B$9+((C923=TRUE)*(F923-Calc!F16))+B932),100)/100)</f>
        <v/>
      </c>
      <c r="O916">
        <f>(1-Summary!$B$55)*T916+Summary!$B$55*V916</f>
        <v/>
      </c>
      <c r="P916">
        <f>IF(B942=0,0,O916/B942)</f>
        <v/>
      </c>
      <c r="Q916">
        <f>IFERROR(1/IF(Inputs!$B$38="pvp",15,MAX(0.1,Skills!D9-IF(Skills!E9=TRUE,(Inputs!$B$32+1),0))),0)</f>
        <v/>
      </c>
      <c r="R916">
        <f>IF(AND(Inputs!$B$38&lt;&gt;"pvp",Inputs!$B$43&gt;0),IF(MAX(0,Inputs!$B$43-B939)&lt;=0,0,(INT(MAX(0,Inputs!$B$43-B939)/IF(Inputs!$B$38="pvp",15,MAX(0.1,Skills!D9-IF(Skills!E9=TRUE,(Inputs!$B$32+1),0))))+1)),0)</f>
        <v/>
      </c>
      <c r="S916">
        <f>IFERROR(O916/N916,0)</f>
        <v/>
      </c>
      <c r="T916">
        <f>IF(C916,(H916*N916*IF(AND(Inputs!$B$38&lt;&gt;"pvp",Inputs!$B$43&gt;0),((Skills!G9*((R916-1)*IF(Skills!H9&gt;0,Skills!I9/Skills!H9,1)+IF(Skills!H9&gt;0,MIN(Skills!I9,MAX(0,MAX(0,Inputs!$B$43-B939)-((R916-1)*IF(Inputs!$B$38="pvp",15,MAX(0.1,Skills!D9-IF(Skills!E9=TRUE,(Inputs!$B$32+1),0))))))/Skills!H9,1)))/Inputs!$B$43),G916*Q916))*IF(Inputs!$B$38="pvp",1,1+(Inputs!$B$20+0+Skills!P9)/100),0)</f>
        <v/>
      </c>
      <c r="V916">
        <f>IF(C916,(H916*N916*IF(AND(Inputs!$B$38&lt;&gt;"pvp",Inputs!$B$43&gt;0),((Skills!G9*((R916-1)*IF(Skills!H9&gt;0,Skills!I9/Skills!H9,1)+IF(Skills!H9&gt;0,MIN(Skills!I9,MAX(0,MAX(0,Inputs!$B$43-B939)-((R916-1)*IF(Inputs!$B$38="pvp",15,MAX(0.1,Skills!D9-IF(Skills!E9=TRUE,(Inputs!$B$32+1),0))))))/Skills!H9,1)))/Inputs!$B$43),G916*Q916))*IF(Inputs!$B$38="pvp",1,(1+(Inputs!$B$21+Skills!Q9)/100)*(MIN(Skills!R9,Inputs!$B$37))),0)</f>
        <v/>
      </c>
    </row>
    <row r="917">
      <c r="A917">
        <f>Skills!A10</f>
        <v/>
      </c>
      <c r="B917">
        <f>Skills!B10</f>
        <v/>
      </c>
      <c r="C917">
        <f>Inputs!$B$3&gt;=103</f>
        <v/>
      </c>
      <c r="D917">
        <f>IF(Skills!C10=1,60+Inputs!$B$25+Inputs!$B$29,IF(Skills!C10=2,90+Inputs!$B$26+Inputs!$B$29,IF(Skills!C10=3,120+Inputs!$B$27+Inputs!$B$29,MAX(0,(Inputs!$B$3-100)*3)+Inputs!$B$28+Inputs!$B$29)))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((Inputs!$B$6*(1+Inputs!$B$7/100))+(((Inputs!$B$12*(1+Inputs!$B$13/100))-(Inputs!$B$12*(1+Inputs!$B$13/100)))+0.25*(Inputs!$B$14-Inputs!$B$14))*(1+Inputs!$B$7/100))*(F917/100)</f>
        <v/>
      </c>
      <c r="K917">
        <f>J917*(1+((Inputs!$B$12*(1+Inputs!$B$13/100))*0.01+Inputs!$B$14*0.0025)/100)*(1+Inputs!$B$15/100)*(1+Inputs!$B$16/100)*(5000/(6000+Inputs!$B$42*(1-(Inputs!$B$19+0)/100)))*(1+(Inputs!$B$24+((C929=TRUE)*(F929-Calc!F22))+B938)/100)*(1+(IF(Skills!A10="HOOK_BOMBER",Inputs!$B$17+((C928=TRUE)*(F928-Calc!F21)),Inputs!$B$18+0))/100)*((1+(((C920=TRUE)*F920)+((C926=TRUE)*(F926-Calc!F19)))/100)*I917)</f>
        <v/>
      </c>
      <c r="L917">
        <f>K917*(MIN(Inputs!$B$22+((C927=TRUE)*(F927-Calc!F20)),Inputs!$B$23+0)/100+(Inputs!$B$23+0)/100)/2</f>
        <v/>
      </c>
      <c r="M917">
        <f>L917*(1+(Inputs!$B$10+0+B937)/100)</f>
        <v/>
      </c>
      <c r="N917">
        <f>L917*(1-MIN((Inputs!$B$9+((C923=TRUE)*(F923-Calc!F16))+B932),100)/100)+M917*(MIN((Inputs!$B$9+((C923=TRUE)*(F923-Calc!F16))+B932),100)/100)</f>
        <v/>
      </c>
      <c r="O917">
        <f>(1-Summary!$B$55)*T917+Summary!$B$55*V917</f>
        <v/>
      </c>
      <c r="P917">
        <f>IF(B942=0,0,O917/B942)</f>
        <v/>
      </c>
      <c r="Q917">
        <f>IFERROR(1/IF(Inputs!$B$38="pvp",15,MAX(0.1,Skills!D10-IF(Skills!E10=TRUE,(Inputs!$B$32+1),0))),0)</f>
        <v/>
      </c>
      <c r="R917">
        <f>IF(AND(Inputs!$B$38&lt;&gt;"pvp",Inputs!$B$43&gt;0),IF(MAX(0,Inputs!$B$43-B939)&lt;=0,0,(INT(MAX(0,Inputs!$B$43-B939)/IF(Inputs!$B$38="pvp",15,MAX(0.1,Skills!D10-IF(Skills!E10=TRUE,(Inputs!$B$32+1),0))))+1)),0)</f>
        <v/>
      </c>
      <c r="S917">
        <f>IFERROR(O917/N917,0)</f>
        <v/>
      </c>
      <c r="T917">
        <f>IF(C917,(H917*N917*IF(AND(Inputs!$B$38&lt;&gt;"pvp",Inputs!$B$43&gt;0),((Skills!G10*((R917-1)*IF(Skills!H10&gt;0,Skills!I10/Skills!H10,1)+IF(Skills!H10&gt;0,MIN(Skills!I10,MAX(0,MAX(0,Inputs!$B$43-B939)-((R917-1)*IF(Inputs!$B$38="pvp",15,MAX(0.1,Skills!D10-IF(Skills!E10=TRUE,(Inputs!$B$32+1),0))))))/Skills!H10,1)))/Inputs!$B$43),G917*Q917))*IF(Inputs!$B$38="pvp",1,1+(Inputs!$B$20+0+Skills!P10)/100),0)</f>
        <v/>
      </c>
      <c r="V917">
        <f>IF(C917,(H917*N917*IF(AND(Inputs!$B$38&lt;&gt;"pvp",Inputs!$B$43&gt;0),((Skills!G10*((R917-1)*IF(Skills!H10&gt;0,Skills!I10/Skills!H10,1)+IF(Skills!H10&gt;0,MIN(Skills!I10,MAX(0,MAX(0,Inputs!$B$43-B939)-((R917-1)*IF(Inputs!$B$38="pvp",15,MAX(0.1,Skills!D10-IF(Skills!E10=TRUE,(Inputs!$B$32+1),0))))))/Skills!H10,1)))/Inputs!$B$43),G917*Q917))*IF(Inputs!$B$38="pvp",1,(1+(Inputs!$B$21+Skills!Q10)/100)*(MIN(Skills!R10,Inputs!$B$37))),0)</f>
        <v/>
      </c>
    </row>
    <row r="918">
      <c r="A918">
        <f>Skills!A11</f>
        <v/>
      </c>
      <c r="B918">
        <f>Skills!B11</f>
        <v/>
      </c>
      <c r="C918">
        <f>Inputs!$B$3&gt;=113</f>
        <v/>
      </c>
      <c r="D918">
        <f>IF(Skills!C11=1,60+Inputs!$B$25+Inputs!$B$29,IF(Skills!C11=2,90+Inputs!$B$26+Inputs!$B$29,IF(Skills!C11=3,120+Inputs!$B$27+Inputs!$B$29,MAX(0,(Inputs!$B$3-100)*3)+Inputs!$B$28+Inputs!$B$29)))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((Inputs!$B$6*(1+Inputs!$B$7/100))+(((Inputs!$B$12*(1+Inputs!$B$13/100))-(Inputs!$B$12*(1+Inputs!$B$13/100)))+0.25*(Inputs!$B$14-Inputs!$B$14))*(1+Inputs!$B$7/100))*(F918/100)</f>
        <v/>
      </c>
      <c r="K918">
        <f>J918*(1+((Inputs!$B$12*(1+Inputs!$B$13/100))*0.01+Inputs!$B$14*0.0025)/100)*(1+Inputs!$B$15/100)*(1+Inputs!$B$16/100)*(5000/(6000+Inputs!$B$42*(1-(Inputs!$B$19+0)/100)))*(1+(Inputs!$B$24+((C929=TRUE)*(F929-Calc!F22))+B938)/100)*(1+(IF(Skills!A11="HOOK_BOMBER",Inputs!$B$17+((C928=TRUE)*(F928-Calc!F21)),Inputs!$B$18+0))/100)*((1+(((C920=TRUE)*F920)+((C926=TRUE)*(F926-Calc!F19)))/100)*I918)</f>
        <v/>
      </c>
      <c r="L918">
        <f>K918*(MIN(Inputs!$B$22+((C927=TRUE)*(F927-Calc!F20)),Inputs!$B$23+0)/100+(Inputs!$B$23+0)/100)/2</f>
        <v/>
      </c>
      <c r="M918">
        <f>L918*(1+(Inputs!$B$10+0+B937)/100)</f>
        <v/>
      </c>
      <c r="N918">
        <f>L918*(1-MIN((Inputs!$B$9+((C923=TRUE)*(F923-Calc!F16))+B932),100)/100)+M918*(MIN((Inputs!$B$9+((C923=TRUE)*(F923-Calc!F16))+B932),100)/100)</f>
        <v/>
      </c>
      <c r="O918">
        <f>(1-Summary!$B$55)*T918+Summary!$B$55*V918</f>
        <v/>
      </c>
      <c r="P918">
        <f>IF(B942=0,0,O918/B942)</f>
        <v/>
      </c>
      <c r="Q918">
        <f>IFERROR(1/IF(Inputs!$B$38="pvp",15,MAX(0.1,Skills!D11-IF(Skills!E11=TRUE,(Inputs!$B$32+1),0))),0)</f>
        <v/>
      </c>
      <c r="R918">
        <f>IF(AND(Inputs!$B$38&lt;&gt;"pvp",Inputs!$B$43&gt;0),IF(MAX(0,Inputs!$B$43-B939)&lt;=0,0,(INT(MAX(0,Inputs!$B$43-B939)/IF(Inputs!$B$38="pvp",15,MAX(0.1,Skills!D11-IF(Skills!E11=TRUE,(Inputs!$B$32+1),0))))+1)),0)</f>
        <v/>
      </c>
      <c r="S918">
        <f>IFERROR(O918/N918,0)</f>
        <v/>
      </c>
      <c r="T918">
        <f>IF(C918,(H918*N918*IF(AND(Inputs!$B$38&lt;&gt;"pvp",Inputs!$B$43&gt;0),((Skills!G11*((R918-1)*IF(Skills!H11&gt;0,Skills!I11/Skills!H11,1)+IF(Skills!H11&gt;0,MIN(Skills!I11,MAX(0,MAX(0,Inputs!$B$43-B939)-((R918-1)*IF(Inputs!$B$38="pvp",15,MAX(0.1,Skills!D11-IF(Skills!E11=TRUE,(Inputs!$B$32+1),0))))))/Skills!H11,1)))/Inputs!$B$43),G918*Q918))*IF(Inputs!$B$38="pvp",1,1+(Inputs!$B$20+0+Skills!P11)/100),0)</f>
        <v/>
      </c>
      <c r="V918">
        <f>IF(C918,(H918*N918*IF(AND(Inputs!$B$38&lt;&gt;"pvp",Inputs!$B$43&gt;0),((Skills!G11*((R918-1)*IF(Skills!H11&gt;0,Skills!I11/Skills!H11,1)+IF(Skills!H11&gt;0,MIN(Skills!I11,MAX(0,MAX(0,Inputs!$B$43-B939)-((R918-1)*IF(Inputs!$B$38="pvp",15,MAX(0.1,Skills!D11-IF(Skills!E11=TRUE,(Inputs!$B$32+1),0))))))/Skills!H11,1)))/Inputs!$B$43),G918*Q918))*IF(Inputs!$B$38="pvp",1,(1+(Inputs!$B$21+Skills!Q11)/100)*(MIN(Skills!R11,Inputs!$B$37))),0)</f>
        <v/>
      </c>
    </row>
    <row r="919">
      <c r="A919">
        <f>Skills!A12</f>
        <v/>
      </c>
      <c r="B919">
        <f>Skills!B12</f>
        <v/>
      </c>
      <c r="C919">
        <f>Inputs!$B$3&gt;=100</f>
        <v/>
      </c>
      <c r="D919">
        <f>IF(Skills!C12=1,60+Inputs!$B$25+Inputs!$B$29,IF(Skills!C12=2,90+Inputs!$B$26+Inputs!$B$29,IF(Skills!C12=3,120+Inputs!$B$27+Inputs!$B$29,MAX(0,(Inputs!$B$3-100)*3)+Inputs!$B$28+Inputs!$B$29)))</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c r="T919" t="inlineStr"/>
      <c r="V919" t="inlineStr"/>
    </row>
    <row r="920">
      <c r="A920">
        <f>Skills!A13</f>
        <v/>
      </c>
      <c r="B920">
        <f>Skills!B13</f>
        <v/>
      </c>
      <c r="C920">
        <f>Inputs!$B$3&gt;=66</f>
        <v/>
      </c>
      <c r="D920">
        <f>IF(Skills!C13=1,60+Inputs!$B$25+Inputs!$B$29,IF(Skills!C13=2,90+Inputs!$B$26+Inputs!$B$29,IF(Skills!C13=3,120+Inputs!$B$27+Inputs!$B$29,MAX(0,(Inputs!$B$3-100)*3)+Inputs!$B$28+Inputs!$B$29)))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f>(1-Summary!$B$55)*T920+Summary!$B$55*V920</f>
        <v/>
      </c>
      <c r="P920">
        <f>IF(B942=0,0,O920/B942)</f>
        <v/>
      </c>
      <c r="Q920" t="n">
        <v>0</v>
      </c>
      <c r="R920" t="n">
        <v>0</v>
      </c>
      <c r="S920">
        <f>IFERROR(O920/N920,0)</f>
        <v/>
      </c>
      <c r="T920" t="n">
        <v>0</v>
      </c>
      <c r="V920" t="n">
        <v>0</v>
      </c>
    </row>
    <row r="921">
      <c r="A921">
        <f>Skills!A14</f>
        <v/>
      </c>
      <c r="B921">
        <f>Skills!B14</f>
        <v/>
      </c>
      <c r="C921">
        <f>Inputs!$B$3&gt;=107</f>
        <v/>
      </c>
      <c r="D921">
        <f>IF(Skills!C14=1,60+Inputs!$B$25+Inputs!$B$29,IF(Skills!C14=2,90+Inputs!$B$26+Inputs!$B$29,IF(Skills!C14=3,120+Inputs!$B$27+Inputs!$B$29,MAX(0,(Inputs!$B$3-100)*3)+Inputs!$B$28+Inputs!$B$29)))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f>(1-Summary!$B$55)*T921+Summary!$B$55*V921</f>
        <v/>
      </c>
      <c r="P921">
        <f>IF(B942=0,0,O921/B942)</f>
        <v/>
      </c>
      <c r="Q921" t="n">
        <v>0</v>
      </c>
      <c r="R921" t="n">
        <v>0</v>
      </c>
      <c r="S921">
        <f>IFERROR(O921/N921,0)</f>
        <v/>
      </c>
      <c r="T921" t="n">
        <v>0</v>
      </c>
      <c r="V921" t="n">
        <v>0</v>
      </c>
    </row>
    <row r="922">
      <c r="A922">
        <f>Skills!A15</f>
        <v/>
      </c>
      <c r="B922">
        <f>Skills!B15</f>
        <v/>
      </c>
      <c r="C922">
        <f>Inputs!$B$3&gt;=115</f>
        <v/>
      </c>
      <c r="D922">
        <f>IF(Skills!C15=1,60+Inputs!$B$25+Inputs!$B$29,IF(Skills!C15=2,90+Inputs!$B$26+Inputs!$B$29,IF(Skills!C15=3,120+Inputs!$B$27+Inputs!$B$29,MAX(0,(Inputs!$B$3-100)*3)+Inputs!$B$28+Inputs!$B$29)))</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f>(1-Summary!$B$55)*T922+Summary!$B$55*V922</f>
        <v/>
      </c>
      <c r="P922">
        <f>IF(B942=0,0,O922/B942)</f>
        <v/>
      </c>
      <c r="Q922" t="n">
        <v>0</v>
      </c>
      <c r="R922" t="n">
        <v>0</v>
      </c>
      <c r="S922">
        <f>IFERROR(O922/N922,0)</f>
        <v/>
      </c>
      <c r="T922" t="n">
        <v>0</v>
      </c>
      <c r="V922" t="n">
        <v>0</v>
      </c>
    </row>
    <row r="923">
      <c r="A923">
        <f>Skills!A16</f>
        <v/>
      </c>
      <c r="B923">
        <f>Skills!B16</f>
        <v/>
      </c>
      <c r="C923">
        <f>Inputs!$B$3&gt;=15</f>
        <v/>
      </c>
      <c r="D923">
        <f>IF(Skills!C16=1,60+Inputs!$B$25+Inputs!$B$29,IF(Skills!C16=2,90+Inputs!$B$26+Inputs!$B$29,IF(Skills!C16=3,120+Inputs!$B$27+Inputs!$B$29,MAX(0,(Inputs!$B$3-100)*3)+Inputs!$B$28+Inputs!$B$29)))</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f>(1-Summary!$B$55)*T923+Summary!$B$55*V923</f>
        <v/>
      </c>
      <c r="P923">
        <f>IF(B942=0,0,O923/B942)</f>
        <v/>
      </c>
      <c r="Q923" t="n">
        <v>0</v>
      </c>
      <c r="R923" t="n">
        <v>0</v>
      </c>
      <c r="S923">
        <f>IFERROR(O923/N923,0)</f>
        <v/>
      </c>
      <c r="T923" t="n">
        <v>0</v>
      </c>
      <c r="V923" t="n">
        <v>0</v>
      </c>
    </row>
    <row r="924">
      <c r="A924">
        <f>Skills!A17</f>
        <v/>
      </c>
      <c r="B924">
        <f>Skills!B17</f>
        <v/>
      </c>
      <c r="C924">
        <f>Inputs!$B$3&gt;=10</f>
        <v/>
      </c>
      <c r="D924">
        <f>IF(Skills!C17=1,60+Inputs!$B$25+Inputs!$B$29,IF(Skills!C17=2,90+Inputs!$B$26+Inputs!$B$29,IF(Skills!C17=3,120+Inputs!$B$27+Inputs!$B$29,MAX(0,(Inputs!$B$3-100)*3)+Inputs!$B$28+Inputs!$B$29)))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f>(1-Summary!$B$55)*T924+Summary!$B$55*V924</f>
        <v/>
      </c>
      <c r="P924">
        <f>IF(B942=0,0,O924/B942)</f>
        <v/>
      </c>
      <c r="Q924" t="n">
        <v>0</v>
      </c>
      <c r="R924" t="n">
        <v>0</v>
      </c>
      <c r="S924">
        <f>IFERROR(O924/N924,0)</f>
        <v/>
      </c>
      <c r="T924" t="n">
        <v>0</v>
      </c>
      <c r="V924" t="n">
        <v>0</v>
      </c>
    </row>
    <row r="925">
      <c r="A925">
        <f>Skills!A18</f>
        <v/>
      </c>
      <c r="B925">
        <f>Skills!B18</f>
        <v/>
      </c>
      <c r="C925">
        <f>Inputs!$B$3&gt;=33</f>
        <v/>
      </c>
      <c r="D925">
        <f>IF(Skills!C18=1,60+Inputs!$B$25+Inputs!$B$29,IF(Skills!C18=2,90+Inputs!$B$26+Inputs!$B$29,IF(Skills!C18=3,120+Inputs!$B$27+Inputs!$B$29,MAX(0,(Inputs!$B$3-100)*3)+Inputs!$B$28+Inputs!$B$29)))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f>(1-Summary!$B$55)*T925+Summary!$B$55*V925</f>
        <v/>
      </c>
      <c r="P925">
        <f>IF(B942=0,0,O925/B942)</f>
        <v/>
      </c>
      <c r="Q925" t="n">
        <v>0</v>
      </c>
      <c r="R925" t="n">
        <v>0</v>
      </c>
      <c r="S925">
        <f>IFERROR(O925/N925,0)</f>
        <v/>
      </c>
      <c r="T925" t="n">
        <v>0</v>
      </c>
      <c r="V925" t="n">
        <v>0</v>
      </c>
    </row>
    <row r="926">
      <c r="A926">
        <f>Skills!A19</f>
        <v/>
      </c>
      <c r="B926">
        <f>Skills!B19</f>
        <v/>
      </c>
      <c r="C926">
        <f>Inputs!$B$3&gt;=40</f>
        <v/>
      </c>
      <c r="D926">
        <f>IF(Skills!C19=1,60+Inputs!$B$25+Inputs!$B$29,IF(Skills!C19=2,90+Inputs!$B$26+Inputs!$B$29,IF(Skills!C19=3,120+Inputs!$B$27+Inputs!$B$29,MAX(0,(Inputs!$B$3-100)*3)+Inputs!$B$28+Inputs!$B$29)))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f>(1-Summary!$B$55)*T926+Summary!$B$55*V926</f>
        <v/>
      </c>
      <c r="P926">
        <f>IF(B942=0,0,O926/B942)</f>
        <v/>
      </c>
      <c r="Q926" t="n">
        <v>0</v>
      </c>
      <c r="R926" t="n">
        <v>0</v>
      </c>
      <c r="S926">
        <f>IFERROR(O926/N926,0)</f>
        <v/>
      </c>
      <c r="T926" t="n">
        <v>0</v>
      </c>
      <c r="V926" t="n">
        <v>0</v>
      </c>
    </row>
    <row r="927">
      <c r="A927">
        <f>Skills!A20</f>
        <v/>
      </c>
      <c r="B927">
        <f>Skills!B20</f>
        <v/>
      </c>
      <c r="C927">
        <f>Inputs!$B$3&gt;=43</f>
        <v/>
      </c>
      <c r="D927">
        <f>IF(Skills!C20=1,60+Inputs!$B$25+Inputs!$B$29,IF(Skills!C20=2,90+Inputs!$B$26+Inputs!$B$29,IF(Skills!C20=3,120+Inputs!$B$27+Inputs!$B$29,MAX(0,(Inputs!$B$3-100)*3)+Inputs!$B$28+Inputs!$B$29)))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f>(1-Summary!$B$55)*T927+Summary!$B$55*V927</f>
        <v/>
      </c>
      <c r="P927">
        <f>IF(B942=0,0,O927/B942)</f>
        <v/>
      </c>
      <c r="Q927" t="n">
        <v>0</v>
      </c>
      <c r="R927" t="n">
        <v>0</v>
      </c>
      <c r="S927">
        <f>IFERROR(O927/N927,0)</f>
        <v/>
      </c>
      <c r="T927" t="n">
        <v>0</v>
      </c>
      <c r="V927" t="n">
        <v>0</v>
      </c>
    </row>
    <row r="928">
      <c r="A928">
        <f>Skills!A21</f>
        <v/>
      </c>
      <c r="B928">
        <f>Skills!B21</f>
        <v/>
      </c>
      <c r="C928">
        <f>Inputs!$B$3&gt;=38</f>
        <v/>
      </c>
      <c r="D928">
        <f>IF(Skills!C21=1,60+Inputs!$B$25+Inputs!$B$29,IF(Skills!C21=2,90+Inputs!$B$26+Inputs!$B$29,IF(Skills!C21=3,120+Inputs!$B$27+Inputs!$B$29,MAX(0,(Inputs!$B$3-100)*3)+Inputs!$B$28+Inputs!$B$29)))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f>(1-Summary!$B$55)*T928+Summary!$B$55*V928</f>
        <v/>
      </c>
      <c r="P928">
        <f>IF(B942=0,0,O928/B942)</f>
        <v/>
      </c>
      <c r="Q928" t="n">
        <v>0</v>
      </c>
      <c r="R928" t="n">
        <v>0</v>
      </c>
      <c r="S928">
        <f>IFERROR(O928/N928,0)</f>
        <v/>
      </c>
      <c r="T928" t="n">
        <v>0</v>
      </c>
      <c r="V928" t="n">
        <v>0</v>
      </c>
    </row>
    <row r="929">
      <c r="A929">
        <f>Skills!A22</f>
        <v/>
      </c>
      <c r="B929">
        <f>Skills!B22</f>
        <v/>
      </c>
      <c r="C929">
        <f>Inputs!$B$3&gt;=75</f>
        <v/>
      </c>
      <c r="D929">
        <f>IF(Skills!C22=1,60+Inputs!$B$25+Inputs!$B$29,IF(Skills!C22=2,90+Inputs!$B$26+Inputs!$B$29,IF(Skills!C22=3,120+Inputs!$B$27+Inputs!$B$29,MAX(0,(Inputs!$B$3-100)*3)+Inputs!$B$28+Inputs!$B$29)))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f>(1-Summary!$B$55)*T929+Summary!$B$55*V929</f>
        <v/>
      </c>
      <c r="P929">
        <f>IF(B942=0,0,O929/B942)</f>
        <v/>
      </c>
      <c r="Q929" t="n">
        <v>0</v>
      </c>
      <c r="R929" t="n">
        <v>0</v>
      </c>
      <c r="S929">
        <f>IFERROR(O929/N929,0)</f>
        <v/>
      </c>
      <c r="T929" t="n">
        <v>0</v>
      </c>
      <c r="V929" t="n">
        <v>0</v>
      </c>
    </row>
    <row r="931">
      <c r="A931" t="inlineStr">
        <is>
          <t>Attack% Bucket Multiplier</t>
        </is>
      </c>
      <c r="B931">
        <f>(1+(((C920=TRUE)*F920)+((C926=TRUE)*(F926-Calc!F19)))/100)</f>
        <v/>
      </c>
    </row>
    <row r="932">
      <c r="A932" t="inlineStr">
        <is>
          <t>Global Crit Rate Bonus %</t>
        </is>
      </c>
      <c r="B932" t="n">
        <v>0</v>
      </c>
    </row>
    <row r="933">
      <c r="A933" t="inlineStr">
        <is>
          <t>Attack Speed Buff Bonus % (unused)</t>
        </is>
      </c>
      <c r="B933" t="n">
        <v>0</v>
      </c>
    </row>
    <row r="934">
      <c r="A934" t="inlineStr">
        <is>
          <t>Actions Per Second</t>
        </is>
      </c>
      <c r="B934">
        <f>1+MIN(150,150*(1-(1-(Inputs!$B$11+((C924=TRUE)*(F924-Calc!F17))+((C925=TRUE)*(F925-Calc!F18)))/150)*(1-B933/150)))/100</f>
        <v/>
      </c>
    </row>
    <row r="935">
      <c r="A935" t="inlineStr">
        <is>
          <t>Skill + Buff Cast Rate</t>
        </is>
      </c>
      <c r="B935">
        <f>IF(AND(Inputs!$B$38&lt;&gt;"pvp",Inputs!$B$43&gt;0),SUMPRODUCT((Skills!E2:E22=TRUE)*(C909:C929=TRUE)*R909:R929*Skills!F2:F22)/Inputs!$B$43,SUMPRODUCT((Skills!E2:E22=TRUE)*(C909:C929=TRUE)*Q909:Q929*Skills!F2:F22))</f>
        <v/>
      </c>
    </row>
    <row r="936">
      <c r="A936" t="inlineStr">
        <is>
          <t>Hook Bomber Casts Per Second</t>
        </is>
      </c>
      <c r="B936">
        <f>MAX(0,B934-B935)</f>
        <v/>
      </c>
    </row>
    <row r="937">
      <c r="A937" t="inlineStr">
        <is>
          <t>Global Critical Damage Bonus % (unused)</t>
        </is>
      </c>
      <c r="B937" t="n">
        <v>0</v>
      </c>
    </row>
    <row r="938">
      <c r="A938" t="inlineStr">
        <is>
          <t>Global Final Damage Bonus % (Serpent Scale + Crossbones + Time Leap + Speed Infusion)</t>
        </is>
      </c>
      <c r="B938">
        <f>((C912=TRUE)*F912*((10+IF(Inputs!$B$3&gt;=94,5,0))/((10+IF(Inputs!$B$3&gt;=94,5,0))+5/(B936*(1+IF(Inputs!$B$3&gt;=104,1,0))))))+((C921=TRUE)*F921)+((C922=TRUE)*F922)+((Inputs!$B$3&gt;=110)*20*(B934-1))</f>
        <v/>
      </c>
    </row>
    <row r="939">
      <c r="A939" t="inlineStr">
        <is>
          <t>Buff-Casting Startup Delay (s, fixed-duration only)</t>
        </is>
      </c>
      <c r="B939">
        <f>IF(AND(Inputs!$B$38&lt;&gt;"pvp",Inputs!$B$43&gt;0),SUMPRODUCT((Skills!T2:T22&gt;0)*(Skills!E2:E22=TRUE)*(C909:C929=TRUE))/B934,0)</f>
        <v/>
      </c>
    </row>
    <row r="940">
      <c r="A940" t="inlineStr">
        <is>
          <t>Boss-Only Total DPS (this block's swept value)</t>
        </is>
      </c>
      <c r="B940">
        <f>SUM(T909:T929)</f>
        <v/>
      </c>
    </row>
    <row r="941">
      <c r="A941" t="inlineStr">
        <is>
          <t>Normal-Only Total DPS (this block's swept value)</t>
        </is>
      </c>
      <c r="B941">
        <f>SUM(V909:V929)</f>
        <v/>
      </c>
    </row>
    <row r="942">
      <c r="A942" s="5" t="inlineStr">
        <is>
          <t>TOTAL DPS</t>
        </is>
      </c>
      <c r="B942" s="5">
        <f>SUM(O909:O929)</f>
        <v/>
      </c>
    </row>
    <row r="945">
      <c r="A945" s="5" t="inlineStr">
        <is>
          <t>Stat: Basic Attack Target Increase (flat)</t>
        </is>
      </c>
    </row>
    <row r="946">
      <c r="A946" s="9" t="inlineStr">
        <is>
          <t>Key</t>
        </is>
      </c>
      <c r="B946" s="9" t="inlineStr">
        <is>
          <t>Name</t>
        </is>
      </c>
      <c r="C946" s="9" t="inlineStr">
        <is>
          <t>Unlocked</t>
        </is>
      </c>
      <c r="D946" s="9" t="inlineStr">
        <is>
          <t>InputLevel</t>
        </is>
      </c>
      <c r="E946" s="9" t="inlineStr">
        <is>
          <t>Factor</t>
        </is>
      </c>
      <c r="F946" s="9" t="inlineStr">
        <is>
          <t>CoefficientPercent</t>
        </is>
      </c>
      <c r="G946" s="9" t="inlineStr">
        <is>
          <t>EffectiveHits</t>
        </is>
      </c>
      <c r="H946" s="9" t="inlineStr">
        <is>
          <t>ProcProbability</t>
        </is>
      </c>
      <c r="I946" s="9" t="inlineStr">
        <is>
          <t>MapleHeroMultiplier</t>
        </is>
      </c>
      <c r="J946" s="9" t="inlineStr">
        <is>
          <t>BaseDamage</t>
        </is>
      </c>
      <c r="K946" s="9" t="inlineStr">
        <is>
          <t>BaseHitDamage</t>
        </is>
      </c>
      <c r="L946" s="9" t="inlineStr">
        <is>
          <t>NonCritAvg</t>
        </is>
      </c>
      <c r="M946" s="9" t="inlineStr">
        <is>
          <t>CritAvg</t>
        </is>
      </c>
      <c r="N946" s="9" t="inlineStr">
        <is>
          <t>ExpectedDamage(perHit)</t>
        </is>
      </c>
      <c r="O946" s="9" t="inlineStr">
        <is>
          <t>DPS</t>
        </is>
      </c>
      <c r="P946" s="9" t="inlineStr">
        <is>
          <t>% of Total</t>
        </is>
      </c>
      <c r="Q946" s="9" t="inlineStr">
        <is>
          <t>InvCooldown</t>
        </is>
      </c>
      <c r="R946" s="9" t="inlineStr">
        <is>
          <t>CastsInFight</t>
        </is>
      </c>
      <c r="S946" s="9"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nputs!$B$16/100)*(5000/(6000+Inputs!$B$42*(1-(Inputs!$B$19+0)/100)))*(1+(Inputs!$B$24+((C967=TRUE)*(F967-Calc!F22))+B976)/100)*(1+(IF(Skills!A2="HOOK_BOMBER",Inputs!$B$17+((C966=TRUE)*(F966-Calc!F21)),Inputs!$B$18+0))/100)*((1+(((C958=TRUE)*F958)+((C964=TRUE)*(F964-Calc!F19)))/100)*I947)</f>
        <v/>
      </c>
      <c r="L947">
        <f>K947*(MIN(Inputs!$B$22+((C965=TRUE)*(F965-Calc!F20)),Inputs!$B$23+0)/100+(Inputs!$B$23+0)/100)/2</f>
        <v/>
      </c>
      <c r="M947">
        <f>L947*(1+(Inputs!$B$10+0+B975)/100)</f>
        <v/>
      </c>
      <c r="N947">
        <f>L947*(1-MIN((Inputs!$B$9+((C961=TRUE)*(F961-Calc!F16))+B970),100)/100)+M947*(MIN((Inputs!$B$9+((C961=TRUE)*(F961-Calc!F16))+B970),100)/100)</f>
        <v/>
      </c>
      <c r="O947">
        <f>(1-Summary!$B$55)*T947+Summary!$B$55*V947</f>
        <v/>
      </c>
      <c r="P947">
        <f>IF(B980=0,0,O947/B980)</f>
        <v/>
      </c>
      <c r="Q947" t="n">
        <v>0</v>
      </c>
      <c r="R947" t="n">
        <v>0</v>
      </c>
      <c r="S947">
        <f>IFERROR(O947/N947,0)</f>
        <v/>
      </c>
      <c r="T947">
        <f>IF(C947,(Skills!G2*N947*B974)*IF(Inputs!$B$38="pvp",1,1+(Inputs!$B$20+0+Skills!P2)/100),0)</f>
        <v/>
      </c>
      <c r="U947">
        <f>MAX(0,(Inputs!$B$3-100)*3)+Inputs!$B$28+Inputs!$B$29</f>
        <v/>
      </c>
      <c r="V947">
        <f>IF(C947,(Skills!G2*N947*B974)*IF(Inputs!$B$38="pvp",1,(1+(Inputs!$B$21+Skills!Q2)/100)*(MIN((6+(Inputs!$B$33+1)),Inputs!$B$37))),0)</f>
        <v/>
      </c>
    </row>
    <row r="948">
      <c r="A948">
        <f>Skills!A3</f>
        <v/>
      </c>
      <c r="B948">
        <f>Skills!B3</f>
        <v/>
      </c>
      <c r="C948">
        <f>Inputs!$B$3&gt;=35</f>
        <v/>
      </c>
      <c r="D948">
        <f>IF(Skills!C3=1,60+Inputs!$B$25+Inputs!$B$29,IF(Skills!C3=2,90+Inputs!$B$26+Inputs!$B$29,IF(Skills!C3=3,120+Inputs!$B$27+Inputs!$B$29,MAX(0,(Inputs!$B$3-100)*3)+Inputs!$B$28+Inputs!$B$29)))</f>
        <v/>
      </c>
      <c r="E948">
        <f>INDEX(FactorTable!$B$2:$Y$301, MATCH(ROUND(MIN(300,MAX(1,D948)),0), FactorTable!$A$2:$A$301,0), Skills!M3+1)</f>
        <v/>
      </c>
      <c r="F948">
        <f>IF(Skills!N3=TRUE,(Skills!L3/10)*(E948/1000),Skills!L3/10)+Skills!O3</f>
        <v/>
      </c>
      <c r="G948">
        <f>Skills!G3*IF(Skills!H3&gt;0,Skills!I3/Skills!H3,1)</f>
        <v/>
      </c>
      <c r="H948">
        <f>1-(1-Skills!J3/100)^Skills!K3</f>
        <v/>
      </c>
      <c r="I948" t="inlineStr">
        <is>
          <t>1</t>
        </is>
      </c>
      <c r="J948">
        <f>((Inputs!$B$6*(1+Inputs!$B$7/100))+(((Inputs!$B$12*(1+Inputs!$B$13/100))-(Inputs!$B$12*(1+Inputs!$B$13/100)))+0.25*(Inputs!$B$14-Inputs!$B$14))*(1+Inputs!$B$7/100))*(F948/100)</f>
        <v/>
      </c>
      <c r="K948">
        <f>J948*(1+((Inputs!$B$12*(1+Inputs!$B$13/100))*0.01+Inputs!$B$14*0.0025)/100)*(1+Inputs!$B$15/100)*(1+Inputs!$B$16/100)*(5000/(6000+Inputs!$B$42*(1-(Inputs!$B$19+0)/100)))*(1+(Inputs!$B$24+((C967=TRUE)*(F967-Calc!F22))+B976)/100)*(1+(IF(Skills!A3="HOOK_BOMBER",Inputs!$B$17+((C966=TRUE)*(F966-Calc!F21)),Inputs!$B$18+0))/100)*((1+(((C958=TRUE)*F958)+((C964=TRUE)*(F964-Calc!F19)))/100)*I948)</f>
        <v/>
      </c>
      <c r="L948">
        <f>K948*(MIN(Inputs!$B$22+((C965=TRUE)*(F965-Calc!F20)),Inputs!$B$23+0)/100+(Inputs!$B$23+0)/100)/2</f>
        <v/>
      </c>
      <c r="M948">
        <f>L948*(1+(Inputs!$B$10+0+B975)/100)</f>
        <v/>
      </c>
      <c r="N948">
        <f>L948*(1-MIN((Inputs!$B$9+((C961=TRUE)*(F961-Calc!F16))+B970),100)/100)+M948*(MIN((Inputs!$B$9+((C961=TRUE)*(F961-Calc!F16))+B970),100)/100)</f>
        <v/>
      </c>
      <c r="O948">
        <f>(1-Summary!$B$55)*T948+Summary!$B$55*V948</f>
        <v/>
      </c>
      <c r="P948">
        <f>IF(B980=0,0,O948/B980)</f>
        <v/>
      </c>
      <c r="Q948" t="n">
        <v>0</v>
      </c>
      <c r="R948" t="n">
        <v>0</v>
      </c>
      <c r="S948">
        <f>IFERROR(O948/N948,0)</f>
        <v/>
      </c>
      <c r="T948">
        <f>IF(C948,(Skills!G3*H948*N948*B974)*IF(Inputs!$B$38="pvp",1,1+(Inputs!$B$20+0+Skills!P3)/100),0)</f>
        <v/>
      </c>
      <c r="U948">
        <f>INDEX(FactorTable!$B$2:$Y$301, MATCH(ROUND(MIN(300,MAX(1,U947)),0), FactorTable!$A$2:$A$301,0), 22)</f>
        <v/>
      </c>
      <c r="V948">
        <f>IF(C948,(Skills!G3*H948*N948*B974)*IF(Inputs!$B$38="pvp",1,(1+(Inputs!$B$21+Skills!Q3)/100)*(MIN(Skills!R3,Inputs!$B$37))),0)</f>
        <v/>
      </c>
    </row>
    <row r="949">
      <c r="A949">
        <f>Skills!A4</f>
        <v/>
      </c>
      <c r="B949">
        <f>Skills!B4</f>
        <v/>
      </c>
      <c r="C949">
        <f>Inputs!$B$3&gt;=60</f>
        <v/>
      </c>
      <c r="D949">
        <f>IF(Skills!C4=1,60+Inputs!$B$25+Inputs!$B$29,IF(Skills!C4=2,90+Inputs!$B$26+Inputs!$B$29,IF(Skills!C4=3,120+Inputs!$B$27+Inputs!$B$29,MAX(0,(Inputs!$B$3-100)*3)+Inputs!$B$28+Inputs!$B$29)))</f>
        <v/>
      </c>
      <c r="E949">
        <f>INDEX(FactorTable!$B$2:$Y$301, MATCH(ROUND(MIN(300,MAX(1,D949)),0), FactorTable!$A$2:$A$301,0), Skills!M4+1)</f>
        <v/>
      </c>
      <c r="F949">
        <f>IF(Skills!N4=TRUE,(Skills!L4/10)*(E949/1000),Skills!L4/10)+Skills!O4</f>
        <v/>
      </c>
      <c r="G949">
        <f>Skills!G4*IF(Skills!H4&gt;0,Skills!I4/Skills!H4,1)</f>
        <v/>
      </c>
      <c r="H949">
        <f>1-(1-Skills!J4/100)^Skills!K4</f>
        <v/>
      </c>
      <c r="I949" t="inlineStr">
        <is>
          <t>1</t>
        </is>
      </c>
      <c r="J949">
        <f>((Inputs!$B$6*(1+Inputs!$B$7/100))+(((Inputs!$B$12*(1+Inputs!$B$13/100))-(Inputs!$B$12*(1+Inputs!$B$13/100)))+0.25*(Inputs!$B$14-Inputs!$B$14))*(1+Inputs!$B$7/100))*(F949/100)</f>
        <v/>
      </c>
      <c r="K949">
        <f>J949*(1+((Inputs!$B$12*(1+Inputs!$B$13/100))*0.01+Inputs!$B$14*0.0025)/100)*(1+Inputs!$B$15/100)*(1+Inputs!$B$16/100)*(5000/(6000+Inputs!$B$42*(1-(Inputs!$B$19+0)/100)))*(1+(Inputs!$B$24+((C967=TRUE)*(F967-Calc!F22))+B976)/100)*(1+1.0*IF(C957=TRUE,F957,0)/100)*(1+(IF(Skills!A4="HOOK_BOMBER",Inputs!$B$17+((C966=TRUE)*(F966-Calc!F21)),Inputs!$B$18+0))/100)*((1+(((C958=TRUE)*F958)+((C964=TRUE)*(F964-Calc!F19)))/100)*I949)</f>
        <v/>
      </c>
      <c r="L949">
        <f>K949*(MIN(Inputs!$B$22+((C965=TRUE)*(F965-Calc!F20)),Inputs!$B$23+0)/100+(Inputs!$B$23+0)/100)/2</f>
        <v/>
      </c>
      <c r="M949">
        <f>L949*(1+(Inputs!$B$10+0+B975)/100)</f>
        <v/>
      </c>
      <c r="N949">
        <f>L949*(1-MIN((Inputs!$B$9+((C961=TRUE)*(F961-Calc!F16))+B970),100)/100)+M949*(MIN((Inputs!$B$9+((C961=TRUE)*(F961-Calc!F16))+B970),100)/100)</f>
        <v/>
      </c>
      <c r="O949">
        <f>(1-Summary!$B$55)*T949+Summary!$B$55*V949</f>
        <v/>
      </c>
      <c r="P949">
        <f>IF(B980=0,0,O949/B980)</f>
        <v/>
      </c>
      <c r="Q949" t="n">
        <v>0</v>
      </c>
      <c r="R949" t="n">
        <v>0</v>
      </c>
      <c r="S949">
        <f>IFERROR(O949/N949,0)</f>
        <v/>
      </c>
      <c r="T949">
        <f>IF(C949,(Skills!G4*H949*N949*B974)*IF(Inputs!$B$38="pvp",1,1+(Inputs!$B$20+0+Skills!P4)/100),0)</f>
        <v/>
      </c>
      <c r="U949">
        <f>290*U948/1000</f>
        <v/>
      </c>
      <c r="V949">
        <f>IF(C949,(Skills!G4*H949*N949*B974)*IF(Inputs!$B$38="pvp",1,(1+(Inputs!$B$21+Skills!Q4)/100)*(MIN(Skills!R4,Inputs!$B$37))),0)</f>
        <v/>
      </c>
    </row>
    <row r="950">
      <c r="A950">
        <f>Skills!A5</f>
        <v/>
      </c>
      <c r="B950">
        <f>Skills!B5</f>
        <v/>
      </c>
      <c r="C950">
        <f>Inputs!$B$3&gt;=60</f>
        <v/>
      </c>
      <c r="D950">
        <f>IF(Skills!C5=1,60+Inputs!$B$25+Inputs!$B$29,IF(Skills!C5=2,90+Inputs!$B$26+Inputs!$B$29,IF(Skills!C5=3,120+Inputs!$B$27+Inputs!$B$29,MAX(0,(Inputs!$B$3-100)*3)+Inputs!$B$28+Inputs!$B$29)))</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t="inlineStr"/>
      <c r="K950" t="inlineStr"/>
      <c r="L950" t="inlineStr"/>
      <c r="M950" t="inlineStr"/>
      <c r="N950" t="inlineStr"/>
      <c r="O950">
        <f>(1-Summary!$B$55)*T950+Summary!$B$55*V950</f>
        <v/>
      </c>
      <c r="P950">
        <f>IF(B980=0,0,O950/B980)</f>
        <v/>
      </c>
      <c r="Q950" t="n">
        <v>0</v>
      </c>
      <c r="R950" t="n">
        <v>0</v>
      </c>
      <c r="S950">
        <f>IFERROR(O950/N950,0)</f>
        <v/>
      </c>
      <c r="T950" t="n">
        <v>0</v>
      </c>
      <c r="V950" t="n">
        <v>0</v>
      </c>
    </row>
    <row r="951">
      <c r="A951">
        <f>Skills!A6</f>
        <v/>
      </c>
      <c r="B951">
        <f>Skills!B6</f>
        <v/>
      </c>
      <c r="C951">
        <f>Inputs!$B$3&gt;=63</f>
        <v/>
      </c>
      <c r="D951">
        <f>IF(Skills!C6=1,60+Inputs!$B$25+Inputs!$B$29,IF(Skills!C6=2,90+Inputs!$B$26+Inputs!$B$29,IF(Skills!C6=3,120+Inputs!$B$27+Inputs!$B$29,MAX(0,(Inputs!$B$3-100)*3)+Inputs!$B$28+Inputs!$B$29)))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nputs!$B$16/100)*(5000/(6000+Inputs!$B$42*(1-(Inputs!$B$19+0)/100)))*(1+(Inputs!$B$24+((C967=TRUE)*(F967-Calc!F22))+B976)/100)*(1+(IF(Skills!A6="HOOK_BOMBER",Inputs!$B$17+((C966=TRUE)*(F966-Calc!F21)),Inputs!$B$18+0))/100)*((1+(((C958=TRUE)*F958)+((C964=TRUE)*(F964-Calc!F19)))/100)*I951)</f>
        <v/>
      </c>
      <c r="L951">
        <f>K951*(MIN(Inputs!$B$22+((C965=TRUE)*(F965-Calc!F20)),Inputs!$B$23+0)/100+(Inputs!$B$23+0)/100)/2</f>
        <v/>
      </c>
      <c r="M951">
        <f>L951*(1+(Inputs!$B$10+0+B975)/100)</f>
        <v/>
      </c>
      <c r="N951">
        <f>L951*(1-MIN((Inputs!$B$9+((C961=TRUE)*(F961-Calc!F16))+B970),100)/100)+M951*(MIN((Inputs!$B$9+((C961=TRUE)*(F961-Calc!F16))+B970),100)/100)</f>
        <v/>
      </c>
      <c r="O951">
        <f>(1-Summary!$B$55)*T951+Summary!$B$55*V951</f>
        <v/>
      </c>
      <c r="P951">
        <f>IF(B980=0,0,O951/B980)</f>
        <v/>
      </c>
      <c r="Q951">
        <f>IFERROR(1/IF(Inputs!$B$38="pvp",15,MAX(0.1,Skills!D6-IF(Skills!E6=TRUE,Inputs!$B$32,0))),0)</f>
        <v/>
      </c>
      <c r="R951">
        <f>IF(AND(Inputs!$B$38&lt;&gt;"pvp",Inputs!$B$43&gt;0),IF(MAX(0,Inputs!$B$43-B977)&lt;=0,0,(INT(MAX(0,Inputs!$B$43-B977)/IF(Inputs!$B$38="pvp",15,MAX(0.1,Skills!D6-IF(Skills!E6=TRUE,Inputs!$B$32,0))))+1)),0)</f>
        <v/>
      </c>
      <c r="S951">
        <f>IFERROR(O951/N951,0)</f>
        <v/>
      </c>
      <c r="T951">
        <f>IF(C951,(H951*N951*IF(AND(Inputs!$B$38&lt;&gt;"pvp",Inputs!$B$43&gt;0),((Skills!G6*((R951-1)*IF(Skills!H6&gt;0,Skills!I6/Skills!H6,1)+IF(Skills!H6&gt;0,MIN(Skills!I6,MAX(0,MAX(0,Inputs!$B$43-B977)-((R951-1)*IF(Inputs!$B$38="pvp",15,MAX(0.1,Skills!D6-IF(Skills!E6=TRUE,Inputs!$B$32,0))))))/Skills!H6,1)))/Inputs!$B$43),G951*Q951))*IF(Inputs!$B$38="pvp",1,1+(Inputs!$B$20+0+Skills!P6)/100),0)</f>
        <v/>
      </c>
      <c r="V951">
        <f>IF(C951,(H951*N951*IF(AND(Inputs!$B$38&lt;&gt;"pvp",Inputs!$B$43&gt;0),((Skills!G6*((R951-1)*IF(Skills!H6&gt;0,Skills!I6/Skills!H6,1)+IF(Skills!H6&gt;0,MIN(Skills!I6,MAX(0,MAX(0,Inputs!$B$43-B977)-((R951-1)*IF(Inputs!$B$38="pvp",15,MAX(0.1,Skills!D6-IF(Skills!E6=TRUE,Inputs!$B$32,0))))))/Skills!H6,1)))/Inputs!$B$43),G951*Q951))*IF(Inputs!$B$38="pvp",1,(1+(Inputs!$B$21+Skills!Q6)/100)*(MIN(Skills!R6,Inputs!$B$37))),0)</f>
        <v/>
      </c>
    </row>
    <row r="952">
      <c r="A952">
        <f>Skills!A7</f>
        <v/>
      </c>
      <c r="B952">
        <f>Skills!B7</f>
        <v/>
      </c>
      <c r="C952">
        <f>Inputs!$B$3&gt;=100</f>
        <v/>
      </c>
      <c r="D952">
        <f>IF(Skills!C7=1,60+Inputs!$B$25+Inputs!$B$29,IF(Skills!C7=2,90+Inputs!$B$26+Inputs!$B$29,IF(Skills!C7=3,120+Inputs!$B$27+Inputs!$B$29,MAX(0,(Inputs!$B$3-100)*3)+Inputs!$B$28+Inputs!$B$29)))</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((Inputs!$B$6*(1+Inputs!$B$7/100))+(((Inputs!$B$12*(1+Inputs!$B$13/100))-(Inputs!$B$12*(1+Inputs!$B$13/100)))+0.25*(Inputs!$B$14-Inputs!$B$14))*(1+Inputs!$B$7/100))*(F952/100)</f>
        <v/>
      </c>
      <c r="K952">
        <f>J952*(1+((Inputs!$B$12*(1+Inputs!$B$13/100))*0.01+Inputs!$B$14*0.0025)/100)*(1+Inputs!$B$15/100)*(1+Inputs!$B$16/100)*(5000/(6000+Inputs!$B$42*(1-(Inputs!$B$19+0)/100)))*(1+(Inputs!$B$24+((C967=TRUE)*(F967-Calc!F22))+B976)/100)*(1+(IF(Skills!A7="HOOK_BOMBER",Inputs!$B$17+((C966=TRUE)*(F966-Calc!F21)),Inputs!$B$18+0))/100)*((1+(((C958=TRUE)*F958)+((C964=TRUE)*(F964-Calc!F19)))/100)*I952)</f>
        <v/>
      </c>
      <c r="L952">
        <f>K952*(MIN(Inputs!$B$22+((C965=TRUE)*(F965-Calc!F20)),Inputs!$B$23+0)/100+(Inputs!$B$23+0)/100)/2</f>
        <v/>
      </c>
      <c r="M952">
        <f>L952*(1+(Inputs!$B$10+0+B975)/100)</f>
        <v/>
      </c>
      <c r="N952">
        <f>L952*(1-MIN((Inputs!$B$9+((C961=TRUE)*(F961-Calc!F16))+B970),100)/100)+M952*(MIN((Inputs!$B$9+((C961=TRUE)*(F961-Calc!F16))+B970),100)/100)</f>
        <v/>
      </c>
      <c r="O952">
        <f>(1-Summary!$B$55)*T952+Summary!$B$55*V952</f>
        <v/>
      </c>
      <c r="P952">
        <f>IF(B980=0,0,O952/B980)</f>
        <v/>
      </c>
      <c r="Q952">
        <f>IFERROR(1/IF(Inputs!$B$38="pvp",15,MAX(0.1,Skills!D7-IF(Skills!E7=TRUE,Inputs!$B$32,0))),0)</f>
        <v/>
      </c>
      <c r="R952">
        <f>IF(AND(Inputs!$B$38&lt;&gt;"pvp",Inputs!$B$43&gt;0),IF(MAX(0,Inputs!$B$43-B977)&lt;=0,0,(INT(MAX(0,Inputs!$B$43-B977)/IF(Inputs!$B$38="pvp",15,MAX(0.1,Skills!D7-IF(Skills!E7=TRUE,Inputs!$B$32,0))))+1)),0)</f>
        <v/>
      </c>
      <c r="S952">
        <f>IFERROR(O952/N952,0)</f>
        <v/>
      </c>
      <c r="T952">
        <f>IF(C952,(H952*N952*IF(AND(Inputs!$B$38&lt;&gt;"pvp",Inputs!$B$43&gt;0),((Skills!G7*((R952-1)*IF(Skills!H7&gt;0,Skills!I7/Skills!H7,1)+IF(Skills!H7&gt;0,MIN(Skills!I7,MAX(0,MAX(0,Inputs!$B$43-B977)-((R952-1)*IF(Inputs!$B$38="pvp",15,MAX(0.1,Skills!D7-IF(Skills!E7=TRUE,Inputs!$B$32,0))))))/Skills!H7,1)))/Inputs!$B$43),G952*Q952))*IF(Inputs!$B$38="pvp",1,1+(Inputs!$B$20+0+Skills!P7)/100),0)</f>
        <v/>
      </c>
      <c r="V952">
        <f>IF(C952,(H952*N952*IF(AND(Inputs!$B$38&lt;&gt;"pvp",Inputs!$B$43&gt;0),((Skills!G7*((R952-1)*IF(Skills!H7&gt;0,Skills!I7/Skills!H7,1)+IF(Skills!H7&gt;0,MIN(Skills!I7,MAX(0,MAX(0,Inputs!$B$43-B977)-((R952-1)*IF(Inputs!$B$38="pvp",15,MAX(0.1,Skills!D7-IF(Skills!E7=TRUE,Inputs!$B$32,0))))))/Skills!H7,1)))/Inputs!$B$43),G952*Q952))*IF(Inputs!$B$38="pvp",1,(1+(Inputs!$B$21+Skills!Q7)/100)*(MIN(Skills!R7,Inputs!$B$37))),0)</f>
        <v/>
      </c>
    </row>
    <row r="953">
      <c r="A953">
        <f>Skills!A8</f>
        <v/>
      </c>
      <c r="B953">
        <f>Skills!B8</f>
        <v/>
      </c>
      <c r="C953">
        <f>Inputs!$B$3&gt;=110</f>
        <v/>
      </c>
      <c r="D953">
        <f>IF(Skills!C8=1,60+Inputs!$B$25+Inputs!$B$29,IF(Skills!C8=2,90+Inputs!$B$26+Inputs!$B$29,IF(Skills!C8=3,120+Inputs!$B$27+Inputs!$B$29,MAX(0,(Inputs!$B$3-100)*3)+Inputs!$B$28+Inputs!$B$29)))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nputs!$B$16/100)*(5000/(6000+Inputs!$B$42*(1-(Inputs!$B$19+0)/100)))*(1+(Inputs!$B$24+((C967=TRUE)*(F967-Calc!F22))+B976)/100)*(1+(IF(Skills!A8="HOOK_BOMBER",Inputs!$B$17+((C966=TRUE)*(F966-Calc!F21)),Inputs!$B$18+0))/100)*((1+(((C958=TRUE)*F958)+((C964=TRUE)*(F964-Calc!F19)))/100)*I953)</f>
        <v/>
      </c>
      <c r="L953">
        <f>K953*(MIN(Inputs!$B$22+((C965=TRUE)*(F965-Calc!F20)),Inputs!$B$23+0)/100+(Inputs!$B$23+0)/100)/2</f>
        <v/>
      </c>
      <c r="M953">
        <f>L953*(1+(Inputs!$B$10+0+B975)/100)</f>
        <v/>
      </c>
      <c r="N953">
        <f>L953*(1-MIN((Inputs!$B$9+((C961=TRUE)*(F961-Calc!F16))+B970),100)/100)+M953*(MIN((Inputs!$B$9+((C961=TRUE)*(F961-Calc!F16))+B970),100)/100)</f>
        <v/>
      </c>
      <c r="O953">
        <f>(1-Summary!$B$55)*T953+Summary!$B$55*V953</f>
        <v/>
      </c>
      <c r="P953">
        <f>IF(B980=0,0,O953/B980)</f>
        <v/>
      </c>
      <c r="Q953">
        <f>IFERROR(1/IF(Inputs!$B$38="pvp",15,MAX(0.1,Skills!D8-IF(Skills!E8=TRUE,Inputs!$B$32,0))),0)</f>
        <v/>
      </c>
      <c r="R953">
        <f>IF(AND(Inputs!$B$38&lt;&gt;"pvp",Inputs!$B$43&gt;0),IF(MAX(0,Inputs!$B$43-B977)&lt;=0,0,(INT(MAX(0,Inputs!$B$43-B977)/IF(Inputs!$B$38="pvp",15,MAX(0.1,Skills!D8-IF(Skills!E8=TRUE,Inputs!$B$32,0))))+1)),0)</f>
        <v/>
      </c>
      <c r="S953">
        <f>IFERROR(O953/N953,0)</f>
        <v/>
      </c>
      <c r="T953">
        <f>IF(C953,(H953*N953*IF(AND(Inputs!$B$38&lt;&gt;"pvp",Inputs!$B$43&gt;0),((Skills!G8*((R953-1)*IF(Skills!H8&gt;0,Skills!I8/Skills!H8,1)+IF(Skills!H8&gt;0,MIN(Skills!I8,MAX(0,MAX(0,Inputs!$B$43-B977)-((R953-1)*IF(Inputs!$B$38="pvp",15,MAX(0.1,Skills!D8-IF(Skills!E8=TRUE,Inputs!$B$32,0))))))/Skills!H8,1)))/Inputs!$B$43),G953*Q953))*IF(Inputs!$B$38="pvp",1,1+(Inputs!$B$20+0+Skills!P8)/100),0)</f>
        <v/>
      </c>
      <c r="V953">
        <f>IF(C953,(H953*N953*IF(AND(Inputs!$B$38&lt;&gt;"pvp",Inputs!$B$43&gt;0),((Skills!G8*((R953-1)*IF(Skills!H8&gt;0,Skills!I8/Skills!H8,1)+IF(Skills!H8&gt;0,MIN(Skills!I8,MAX(0,MAX(0,Inputs!$B$43-B977)-((R953-1)*IF(Inputs!$B$38="pvp",15,MAX(0.1,Skills!D8-IF(Skills!E8=TRUE,Inputs!$B$32,0))))))/Skills!H8,1)))/Inputs!$B$43),G953*Q953))*IF(Inputs!$B$38="pvp",1,(1+(Inputs!$B$21+Skills!Q8)/100)*(MIN(Skills!R8,Inputs!$B$37))),0)</f>
        <v/>
      </c>
    </row>
    <row r="954">
      <c r="A954">
        <f>Skills!A9</f>
        <v/>
      </c>
      <c r="B954">
        <f>Skills!B9</f>
        <v/>
      </c>
      <c r="C954">
        <f>Inputs!$B$3&gt;=110</f>
        <v/>
      </c>
      <c r="D954">
        <f>IF(Skills!C9=1,60+Inputs!$B$25+Inputs!$B$29,IF(Skills!C9=2,90+Inputs!$B$26+Inputs!$B$29,IF(Skills!C9=3,120+Inputs!$B$27+Inputs!$B$29,MAX(0,(Inputs!$B$3-100)*3)+Inputs!$B$28+Inputs!$B$29)))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nputs!$B$16/100)*(5000/(6000+Inputs!$B$42*(1-(Inputs!$B$19+0)/100)))*(1+(Inputs!$B$24+((C967=TRUE)*(F967-Calc!F22))+B976)/100)*(1+(IF(Skills!A9="HOOK_BOMBER",Inputs!$B$17+((C966=TRUE)*(F966-Calc!F21)),Inputs!$B$18+0))/100)*((1+(((C958=TRUE)*F958)+((C964=TRUE)*(F964-Calc!F19)))/100)*I954)</f>
        <v/>
      </c>
      <c r="L954">
        <f>K954*(MIN(Inputs!$B$22+((C965=TRUE)*(F965-Calc!F20)),Inputs!$B$23+0)/100+(Inputs!$B$23+0)/100)/2</f>
        <v/>
      </c>
      <c r="M954">
        <f>L954*(1+(Inputs!$B$10+0+B975)/100)</f>
        <v/>
      </c>
      <c r="N954">
        <f>L954*(1-MIN((Inputs!$B$9+((C961=TRUE)*(F961-Calc!F16))+B970),100)/100)+M954*(MIN((Inputs!$B$9+((C961=TRUE)*(F961-Calc!F16))+B970),100)/100)</f>
        <v/>
      </c>
      <c r="O954">
        <f>(1-Summary!$B$55)*T954+Summary!$B$55*V954</f>
        <v/>
      </c>
      <c r="P954">
        <f>IF(B980=0,0,O954/B980)</f>
        <v/>
      </c>
      <c r="Q954">
        <f>IFERROR(1/IF(Inputs!$B$38="pvp",15,MAX(0.1,Skills!D9-IF(Skills!E9=TRUE,Inputs!$B$32,0))),0)</f>
        <v/>
      </c>
      <c r="R954">
        <f>IF(AND(Inputs!$B$38&lt;&gt;"pvp",Inputs!$B$43&gt;0),IF(MAX(0,Inputs!$B$43-B977)&lt;=0,0,(INT(MAX(0,Inputs!$B$43-B977)/IF(Inputs!$B$38="pvp",15,MAX(0.1,Skills!D9-IF(Skills!E9=TRUE,Inputs!$B$32,0))))+1)),0)</f>
        <v/>
      </c>
      <c r="S954">
        <f>IFERROR(O954/N954,0)</f>
        <v/>
      </c>
      <c r="T954">
        <f>IF(C954,(H954*N954*IF(AND(Inputs!$B$38&lt;&gt;"pvp",Inputs!$B$43&gt;0),((Skills!G9*((R954-1)*IF(Skills!H9&gt;0,Skills!I9/Skills!H9,1)+IF(Skills!H9&gt;0,MIN(Skills!I9,MAX(0,MAX(0,Inputs!$B$43-B977)-((R954-1)*IF(Inputs!$B$38="pvp",15,MAX(0.1,Skills!D9-IF(Skills!E9=TRUE,Inputs!$B$32,0))))))/Skills!H9,1)))/Inputs!$B$43),G954*Q954))*IF(Inputs!$B$38="pvp",1,1+(Inputs!$B$20+0+Skills!P9)/100),0)</f>
        <v/>
      </c>
      <c r="V954">
        <f>IF(C954,(H954*N954*IF(AND(Inputs!$B$38&lt;&gt;"pvp",Inputs!$B$43&gt;0),((Skills!G9*((R954-1)*IF(Skills!H9&gt;0,Skills!I9/Skills!H9,1)+IF(Skills!H9&gt;0,MIN(Skills!I9,MAX(0,MAX(0,Inputs!$B$43-B977)-((R954-1)*IF(Inputs!$B$38="pvp",15,MAX(0.1,Skills!D9-IF(Skills!E9=TRUE,Inputs!$B$32,0))))))/Skills!H9,1)))/Inputs!$B$43),G954*Q954))*IF(Inputs!$B$38="pvp",1,(1+(Inputs!$B$21+Skills!Q9)/100)*(MIN(Skills!R9,Inputs!$B$37))),0)</f>
        <v/>
      </c>
    </row>
    <row r="955">
      <c r="A955">
        <f>Skills!A10</f>
        <v/>
      </c>
      <c r="B955">
        <f>Skills!B10</f>
        <v/>
      </c>
      <c r="C955">
        <f>Inputs!$B$3&gt;=103</f>
        <v/>
      </c>
      <c r="D955">
        <f>IF(Skills!C10=1,60+Inputs!$B$25+Inputs!$B$29,IF(Skills!C10=2,90+Inputs!$B$26+Inputs!$B$29,IF(Skills!C10=3,120+Inputs!$B$27+Inputs!$B$29,MAX(0,(Inputs!$B$3-100)*3)+Inputs!$B$28+Inputs!$B$29)))</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((Inputs!$B$6*(1+Inputs!$B$7/100))+(((Inputs!$B$12*(1+Inputs!$B$13/100))-(Inputs!$B$12*(1+Inputs!$B$13/100)))+0.25*(Inputs!$B$14-Inputs!$B$14))*(1+Inputs!$B$7/100))*(F955/100)</f>
        <v/>
      </c>
      <c r="K955">
        <f>J955*(1+((Inputs!$B$12*(1+Inputs!$B$13/100))*0.01+Inputs!$B$14*0.0025)/100)*(1+Inputs!$B$15/100)*(1+Inputs!$B$16/100)*(5000/(6000+Inputs!$B$42*(1-(Inputs!$B$19+0)/100)))*(1+(Inputs!$B$24+((C967=TRUE)*(F967-Calc!F22))+B976)/100)*(1+(IF(Skills!A10="HOOK_BOMBER",Inputs!$B$17+((C966=TRUE)*(F966-Calc!F21)),Inputs!$B$18+0))/100)*((1+(((C958=TRUE)*F958)+((C964=TRUE)*(F964-Calc!F19)))/100)*I955)</f>
        <v/>
      </c>
      <c r="L955">
        <f>K955*(MIN(Inputs!$B$22+((C965=TRUE)*(F965-Calc!F20)),Inputs!$B$23+0)/100+(Inputs!$B$23+0)/100)/2</f>
        <v/>
      </c>
      <c r="M955">
        <f>L955*(1+(Inputs!$B$10+0+B975)/100)</f>
        <v/>
      </c>
      <c r="N955">
        <f>L955*(1-MIN((Inputs!$B$9+((C961=TRUE)*(F961-Calc!F16))+B970),100)/100)+M955*(MIN((Inputs!$B$9+((C961=TRUE)*(F961-Calc!F16))+B970),100)/100)</f>
        <v/>
      </c>
      <c r="O955">
        <f>(1-Summary!$B$55)*T955+Summary!$B$55*V955</f>
        <v/>
      </c>
      <c r="P955">
        <f>IF(B980=0,0,O955/B980)</f>
        <v/>
      </c>
      <c r="Q955">
        <f>IFERROR(1/IF(Inputs!$B$38="pvp",15,MAX(0.1,Skills!D10-IF(Skills!E10=TRUE,Inputs!$B$32,0))),0)</f>
        <v/>
      </c>
      <c r="R955">
        <f>IF(AND(Inputs!$B$38&lt;&gt;"pvp",Inputs!$B$43&gt;0),IF(MAX(0,Inputs!$B$43-B977)&lt;=0,0,(INT(MAX(0,Inputs!$B$43-B977)/IF(Inputs!$B$38="pvp",15,MAX(0.1,Skills!D10-IF(Skills!E10=TRUE,Inputs!$B$32,0))))+1)),0)</f>
        <v/>
      </c>
      <c r="S955">
        <f>IFERROR(O955/N955,0)</f>
        <v/>
      </c>
      <c r="T955">
        <f>IF(C955,(H955*N955*IF(AND(Inputs!$B$38&lt;&gt;"pvp",Inputs!$B$43&gt;0),((Skills!G10*((R955-1)*IF(Skills!H10&gt;0,Skills!I10/Skills!H10,1)+IF(Skills!H10&gt;0,MIN(Skills!I10,MAX(0,MAX(0,Inputs!$B$43-B977)-((R955-1)*IF(Inputs!$B$38="pvp",15,MAX(0.1,Skills!D10-IF(Skills!E10=TRUE,Inputs!$B$32,0))))))/Skills!H10,1)))/Inputs!$B$43),G955*Q955))*IF(Inputs!$B$38="pvp",1,1+(Inputs!$B$20+0+Skills!P10)/100),0)</f>
        <v/>
      </c>
      <c r="V955">
        <f>IF(C955,(H955*N955*IF(AND(Inputs!$B$38&lt;&gt;"pvp",Inputs!$B$43&gt;0),((Skills!G10*((R955-1)*IF(Skills!H10&gt;0,Skills!I10/Skills!H10,1)+IF(Skills!H10&gt;0,MIN(Skills!I10,MAX(0,MAX(0,Inputs!$B$43-B977)-((R955-1)*IF(Inputs!$B$38="pvp",15,MAX(0.1,Skills!D10-IF(Skills!E10=TRUE,Inputs!$B$32,0))))))/Skills!H10,1)))/Inputs!$B$43),G955*Q955))*IF(Inputs!$B$38="pvp",1,(1+(Inputs!$B$21+Skills!Q10)/100)*(MIN(Skills!R10,Inputs!$B$37))),0)</f>
        <v/>
      </c>
    </row>
    <row r="956">
      <c r="A956">
        <f>Skills!A11</f>
        <v/>
      </c>
      <c r="B956">
        <f>Skills!B11</f>
        <v/>
      </c>
      <c r="C956">
        <f>Inputs!$B$3&gt;=113</f>
        <v/>
      </c>
      <c r="D956">
        <f>IF(Skills!C11=1,60+Inputs!$B$25+Inputs!$B$29,IF(Skills!C11=2,90+Inputs!$B$26+Inputs!$B$29,IF(Skills!C11=3,120+Inputs!$B$27+Inputs!$B$29,MAX(0,(Inputs!$B$3-100)*3)+Inputs!$B$28+Inputs!$B$29)))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nputs!$B$16/100)*(5000/(6000+Inputs!$B$42*(1-(Inputs!$B$19+0)/100)))*(1+(Inputs!$B$24+((C967=TRUE)*(F967-Calc!F22))+B976)/100)*(1+(IF(Skills!A11="HOOK_BOMBER",Inputs!$B$17+((C966=TRUE)*(F966-Calc!F21)),Inputs!$B$18+0))/100)*((1+(((C958=TRUE)*F958)+((C964=TRUE)*(F964-Calc!F19)))/100)*I956)</f>
        <v/>
      </c>
      <c r="L956">
        <f>K956*(MIN(Inputs!$B$22+((C965=TRUE)*(F965-Calc!F20)),Inputs!$B$23+0)/100+(Inputs!$B$23+0)/100)/2</f>
        <v/>
      </c>
      <c r="M956">
        <f>L956*(1+(Inputs!$B$10+0+B975)/100)</f>
        <v/>
      </c>
      <c r="N956">
        <f>L956*(1-MIN((Inputs!$B$9+((C961=TRUE)*(F961-Calc!F16))+B970),100)/100)+M956*(MIN((Inputs!$B$9+((C961=TRUE)*(F961-Calc!F16))+B970),100)/100)</f>
        <v/>
      </c>
      <c r="O956">
        <f>(1-Summary!$B$55)*T956+Summary!$B$55*V956</f>
        <v/>
      </c>
      <c r="P956">
        <f>IF(B980=0,0,O956/B980)</f>
        <v/>
      </c>
      <c r="Q956">
        <f>IFERROR(1/IF(Inputs!$B$38="pvp",15,MAX(0.1,Skills!D11-IF(Skills!E11=TRUE,Inputs!$B$32,0))),0)</f>
        <v/>
      </c>
      <c r="R956">
        <f>IF(AND(Inputs!$B$38&lt;&gt;"pvp",Inputs!$B$43&gt;0),IF(MAX(0,Inputs!$B$43-B977)&lt;=0,0,(INT(MAX(0,Inputs!$B$43-B977)/IF(Inputs!$B$38="pvp",15,MAX(0.1,Skills!D11-IF(Skills!E11=TRUE,Inputs!$B$32,0))))+1)),0)</f>
        <v/>
      </c>
      <c r="S956">
        <f>IFERROR(O956/N956,0)</f>
        <v/>
      </c>
      <c r="T956">
        <f>IF(C956,(H956*N956*IF(AND(Inputs!$B$38&lt;&gt;"pvp",Inputs!$B$43&gt;0),((Skills!G11*((R956-1)*IF(Skills!H11&gt;0,Skills!I11/Skills!H11,1)+IF(Skills!H11&gt;0,MIN(Skills!I11,MAX(0,MAX(0,Inputs!$B$43-B977)-((R956-1)*IF(Inputs!$B$38="pvp",15,MAX(0.1,Skills!D11-IF(Skills!E11=TRUE,Inputs!$B$32,0))))))/Skills!H11,1)))/Inputs!$B$43),G956*Q956))*IF(Inputs!$B$38="pvp",1,1+(Inputs!$B$20+0+Skills!P11)/100),0)</f>
        <v/>
      </c>
      <c r="V956">
        <f>IF(C956,(H956*N956*IF(AND(Inputs!$B$38&lt;&gt;"pvp",Inputs!$B$43&gt;0),((Skills!G11*((R956-1)*IF(Skills!H11&gt;0,Skills!I11/Skills!H11,1)+IF(Skills!H11&gt;0,MIN(Skills!I11,MAX(0,MAX(0,Inputs!$B$43-B977)-((R956-1)*IF(Inputs!$B$38="pvp",15,MAX(0.1,Skills!D11-IF(Skills!E11=TRUE,Inputs!$B$32,0))))))/Skills!H11,1)))/Inputs!$B$43),G956*Q956))*IF(Inputs!$B$38="pvp",1,(1+(Inputs!$B$21+Skills!Q11)/100)*(MIN(Skills!R11,Inputs!$B$37))),0)</f>
        <v/>
      </c>
    </row>
    <row r="957">
      <c r="A957">
        <f>Skills!A12</f>
        <v/>
      </c>
      <c r="B957">
        <f>Skills!B12</f>
        <v/>
      </c>
      <c r="C957">
        <f>Inputs!$B$3&gt;=100</f>
        <v/>
      </c>
      <c r="D957">
        <f>IF(Skills!C12=1,60+Inputs!$B$25+Inputs!$B$29,IF(Skills!C12=2,90+Inputs!$B$26+Inputs!$B$29,IF(Skills!C12=3,120+Inputs!$B$27+Inputs!$B$29,MAX(0,(Inputs!$B$3-100)*3)+Inputs!$B$28+Inputs!$B$29)))</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c r="T957" t="inlineStr"/>
      <c r="V957" t="inlineStr"/>
    </row>
    <row r="958">
      <c r="A958">
        <f>Skills!A13</f>
        <v/>
      </c>
      <c r="B958">
        <f>Skills!B13</f>
        <v/>
      </c>
      <c r="C958">
        <f>Inputs!$B$3&gt;=66</f>
        <v/>
      </c>
      <c r="D958">
        <f>IF(Skills!C13=1,60+Inputs!$B$25+Inputs!$B$29,IF(Skills!C13=2,90+Inputs!$B$26+Inputs!$B$29,IF(Skills!C13=3,120+Inputs!$B$27+Inputs!$B$29,MAX(0,(Inputs!$B$3-100)*3)+Inputs!$B$28+Inputs!$B$29)))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f>(1-Summary!$B$55)*T958+Summary!$B$55*V958</f>
        <v/>
      </c>
      <c r="P958">
        <f>IF(B980=0,0,O958/B980)</f>
        <v/>
      </c>
      <c r="Q958" t="n">
        <v>0</v>
      </c>
      <c r="R958" t="n">
        <v>0</v>
      </c>
      <c r="S958">
        <f>IFERROR(O958/N958,0)</f>
        <v/>
      </c>
      <c r="T958" t="n">
        <v>0</v>
      </c>
      <c r="V958" t="n">
        <v>0</v>
      </c>
    </row>
    <row r="959">
      <c r="A959">
        <f>Skills!A14</f>
        <v/>
      </c>
      <c r="B959">
        <f>Skills!B14</f>
        <v/>
      </c>
      <c r="C959">
        <f>Inputs!$B$3&gt;=107</f>
        <v/>
      </c>
      <c r="D959">
        <f>IF(Skills!C14=1,60+Inputs!$B$25+Inputs!$B$29,IF(Skills!C14=2,90+Inputs!$B$26+Inputs!$B$29,IF(Skills!C14=3,120+Inputs!$B$27+Inputs!$B$29,MAX(0,(Inputs!$B$3-100)*3)+Inputs!$B$28+Inputs!$B$29)))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f>(1-Summary!$B$55)*T959+Summary!$B$55*V959</f>
        <v/>
      </c>
      <c r="P959">
        <f>IF(B980=0,0,O959/B980)</f>
        <v/>
      </c>
      <c r="Q959" t="n">
        <v>0</v>
      </c>
      <c r="R959" t="n">
        <v>0</v>
      </c>
      <c r="S959">
        <f>IFERROR(O959/N959,0)</f>
        <v/>
      </c>
      <c r="T959" t="n">
        <v>0</v>
      </c>
      <c r="V959" t="n">
        <v>0</v>
      </c>
    </row>
    <row r="960">
      <c r="A960">
        <f>Skills!A15</f>
        <v/>
      </c>
      <c r="B960">
        <f>Skills!B15</f>
        <v/>
      </c>
      <c r="C960">
        <f>Inputs!$B$3&gt;=115</f>
        <v/>
      </c>
      <c r="D960">
        <f>IF(Skills!C15=1,60+Inputs!$B$25+Inputs!$B$29,IF(Skills!C15=2,90+Inputs!$B$26+Inputs!$B$29,IF(Skills!C15=3,120+Inputs!$B$27+Inputs!$B$29,MAX(0,(Inputs!$B$3-100)*3)+Inputs!$B$28+Inputs!$B$29)))</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f>(1-Summary!$B$55)*T960+Summary!$B$55*V960</f>
        <v/>
      </c>
      <c r="P960">
        <f>IF(B980=0,0,O960/B980)</f>
        <v/>
      </c>
      <c r="Q960" t="n">
        <v>0</v>
      </c>
      <c r="R960" t="n">
        <v>0</v>
      </c>
      <c r="S960">
        <f>IFERROR(O960/N960,0)</f>
        <v/>
      </c>
      <c r="T960" t="n">
        <v>0</v>
      </c>
      <c r="V960" t="n">
        <v>0</v>
      </c>
    </row>
    <row r="961">
      <c r="A961">
        <f>Skills!A16</f>
        <v/>
      </c>
      <c r="B961">
        <f>Skills!B16</f>
        <v/>
      </c>
      <c r="C961">
        <f>Inputs!$B$3&gt;=15</f>
        <v/>
      </c>
      <c r="D961">
        <f>IF(Skills!C16=1,60+Inputs!$B$25+Inputs!$B$29,IF(Skills!C16=2,90+Inputs!$B$26+Inputs!$B$29,IF(Skills!C16=3,120+Inputs!$B$27+Inputs!$B$29,MAX(0,(Inputs!$B$3-100)*3)+Inputs!$B$28+Inputs!$B$29)))</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f>(1-Summary!$B$55)*T961+Summary!$B$55*V961</f>
        <v/>
      </c>
      <c r="P961">
        <f>IF(B980=0,0,O961/B980)</f>
        <v/>
      </c>
      <c r="Q961" t="n">
        <v>0</v>
      </c>
      <c r="R961" t="n">
        <v>0</v>
      </c>
      <c r="S961">
        <f>IFERROR(O961/N961,0)</f>
        <v/>
      </c>
      <c r="T961" t="n">
        <v>0</v>
      </c>
      <c r="V961" t="n">
        <v>0</v>
      </c>
    </row>
    <row r="962">
      <c r="A962">
        <f>Skills!A17</f>
        <v/>
      </c>
      <c r="B962">
        <f>Skills!B17</f>
        <v/>
      </c>
      <c r="C962">
        <f>Inputs!$B$3&gt;=10</f>
        <v/>
      </c>
      <c r="D962">
        <f>IF(Skills!C17=1,60+Inputs!$B$25+Inputs!$B$29,IF(Skills!C17=2,90+Inputs!$B$26+Inputs!$B$29,IF(Skills!C17=3,120+Inputs!$B$27+Inputs!$B$29,MAX(0,(Inputs!$B$3-100)*3)+Inputs!$B$28+Inputs!$B$29)))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f>(1-Summary!$B$55)*T962+Summary!$B$55*V962</f>
        <v/>
      </c>
      <c r="P962">
        <f>IF(B980=0,0,O962/B980)</f>
        <v/>
      </c>
      <c r="Q962" t="n">
        <v>0</v>
      </c>
      <c r="R962" t="n">
        <v>0</v>
      </c>
      <c r="S962">
        <f>IFERROR(O962/N962,0)</f>
        <v/>
      </c>
      <c r="T962" t="n">
        <v>0</v>
      </c>
      <c r="V962" t="n">
        <v>0</v>
      </c>
    </row>
    <row r="963">
      <c r="A963">
        <f>Skills!A18</f>
        <v/>
      </c>
      <c r="B963">
        <f>Skills!B18</f>
        <v/>
      </c>
      <c r="C963">
        <f>Inputs!$B$3&gt;=33</f>
        <v/>
      </c>
      <c r="D963">
        <f>IF(Skills!C18=1,60+Inputs!$B$25+Inputs!$B$29,IF(Skills!C18=2,90+Inputs!$B$26+Inputs!$B$29,IF(Skills!C18=3,120+Inputs!$B$27+Inputs!$B$29,MAX(0,(Inputs!$B$3-100)*3)+Inputs!$B$28+Inputs!$B$29)))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f>(1-Summary!$B$55)*T963+Summary!$B$55*V963</f>
        <v/>
      </c>
      <c r="P963">
        <f>IF(B980=0,0,O963/B980)</f>
        <v/>
      </c>
      <c r="Q963" t="n">
        <v>0</v>
      </c>
      <c r="R963" t="n">
        <v>0</v>
      </c>
      <c r="S963">
        <f>IFERROR(O963/N963,0)</f>
        <v/>
      </c>
      <c r="T963" t="n">
        <v>0</v>
      </c>
      <c r="V963" t="n">
        <v>0</v>
      </c>
    </row>
    <row r="964">
      <c r="A964">
        <f>Skills!A19</f>
        <v/>
      </c>
      <c r="B964">
        <f>Skills!B19</f>
        <v/>
      </c>
      <c r="C964">
        <f>Inputs!$B$3&gt;=40</f>
        <v/>
      </c>
      <c r="D964">
        <f>IF(Skills!C19=1,60+Inputs!$B$25+Inputs!$B$29,IF(Skills!C19=2,90+Inputs!$B$26+Inputs!$B$29,IF(Skills!C19=3,120+Inputs!$B$27+Inputs!$B$29,MAX(0,(Inputs!$B$3-100)*3)+Inputs!$B$28+Inputs!$B$29)))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f>(1-Summary!$B$55)*T964+Summary!$B$55*V964</f>
        <v/>
      </c>
      <c r="P964">
        <f>IF(B980=0,0,O964/B980)</f>
        <v/>
      </c>
      <c r="Q964" t="n">
        <v>0</v>
      </c>
      <c r="R964" t="n">
        <v>0</v>
      </c>
      <c r="S964">
        <f>IFERROR(O964/N964,0)</f>
        <v/>
      </c>
      <c r="T964" t="n">
        <v>0</v>
      </c>
      <c r="V964" t="n">
        <v>0</v>
      </c>
    </row>
    <row r="965">
      <c r="A965">
        <f>Skills!A20</f>
        <v/>
      </c>
      <c r="B965">
        <f>Skills!B20</f>
        <v/>
      </c>
      <c r="C965">
        <f>Inputs!$B$3&gt;=43</f>
        <v/>
      </c>
      <c r="D965">
        <f>IF(Skills!C20=1,60+Inputs!$B$25+Inputs!$B$29,IF(Skills!C20=2,90+Inputs!$B$26+Inputs!$B$29,IF(Skills!C20=3,120+Inputs!$B$27+Inputs!$B$29,MAX(0,(Inputs!$B$3-100)*3)+Inputs!$B$28+Inputs!$B$29)))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f>(1-Summary!$B$55)*T965+Summary!$B$55*V965</f>
        <v/>
      </c>
      <c r="P965">
        <f>IF(B980=0,0,O965/B980)</f>
        <v/>
      </c>
      <c r="Q965" t="n">
        <v>0</v>
      </c>
      <c r="R965" t="n">
        <v>0</v>
      </c>
      <c r="S965">
        <f>IFERROR(O965/N965,0)</f>
        <v/>
      </c>
      <c r="T965" t="n">
        <v>0</v>
      </c>
      <c r="V965" t="n">
        <v>0</v>
      </c>
    </row>
    <row r="966">
      <c r="A966">
        <f>Skills!A21</f>
        <v/>
      </c>
      <c r="B966">
        <f>Skills!B21</f>
        <v/>
      </c>
      <c r="C966">
        <f>Inputs!$B$3&gt;=38</f>
        <v/>
      </c>
      <c r="D966">
        <f>IF(Skills!C21=1,60+Inputs!$B$25+Inputs!$B$29,IF(Skills!C21=2,90+Inputs!$B$26+Inputs!$B$29,IF(Skills!C21=3,120+Inputs!$B$27+Inputs!$B$29,MAX(0,(Inputs!$B$3-100)*3)+Inputs!$B$28+Inputs!$B$29)))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f>(1-Summary!$B$55)*T966+Summary!$B$55*V966</f>
        <v/>
      </c>
      <c r="P966">
        <f>IF(B980=0,0,O966/B980)</f>
        <v/>
      </c>
      <c r="Q966" t="n">
        <v>0</v>
      </c>
      <c r="R966" t="n">
        <v>0</v>
      </c>
      <c r="S966">
        <f>IFERROR(O966/N966,0)</f>
        <v/>
      </c>
      <c r="T966" t="n">
        <v>0</v>
      </c>
      <c r="V966" t="n">
        <v>0</v>
      </c>
    </row>
    <row r="967">
      <c r="A967">
        <f>Skills!A22</f>
        <v/>
      </c>
      <c r="B967">
        <f>Skills!B22</f>
        <v/>
      </c>
      <c r="C967">
        <f>Inputs!$B$3&gt;=75</f>
        <v/>
      </c>
      <c r="D967">
        <f>IF(Skills!C22=1,60+Inputs!$B$25+Inputs!$B$29,IF(Skills!C22=2,90+Inputs!$B$26+Inputs!$B$29,IF(Skills!C22=3,120+Inputs!$B$27+Inputs!$B$29,MAX(0,(Inputs!$B$3-100)*3)+Inputs!$B$28+Inputs!$B$29)))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f>(1-Summary!$B$55)*T967+Summary!$B$55*V967</f>
        <v/>
      </c>
      <c r="P967">
        <f>IF(B980=0,0,O967/B980)</f>
        <v/>
      </c>
      <c r="Q967" t="n">
        <v>0</v>
      </c>
      <c r="R967" t="n">
        <v>0</v>
      </c>
      <c r="S967">
        <f>IFERROR(O967/N967,0)</f>
        <v/>
      </c>
      <c r="T967" t="n">
        <v>0</v>
      </c>
      <c r="V967" t="n">
        <v>0</v>
      </c>
    </row>
    <row r="969">
      <c r="A969" t="inlineStr">
        <is>
          <t>Attack% Bucket Multiplier</t>
        </is>
      </c>
      <c r="B969">
        <f>(1+(((C958=TRUE)*F958)+((C964=TRUE)*(F964-Calc!F19)))/100)</f>
        <v/>
      </c>
    </row>
    <row r="970">
      <c r="A970" t="inlineStr">
        <is>
          <t>Global Crit Rate Bonus %</t>
        </is>
      </c>
      <c r="B970" t="n">
        <v>0</v>
      </c>
    </row>
    <row r="971">
      <c r="A971" t="inlineStr">
        <is>
          <t>Attack Speed Buff Bonus % (unused)</t>
        </is>
      </c>
      <c r="B971" t="n">
        <v>0</v>
      </c>
    </row>
    <row r="972">
      <c r="A972" t="inlineStr">
        <is>
          <t>Actions Per Second</t>
        </is>
      </c>
      <c r="B972">
        <f>1+MIN(150,150*(1-(1-(Inputs!$B$11+((C962=TRUE)*(F962-Calc!F17))+((C963=TRUE)*(F963-Calc!F18)))/150)*(1-B971/150)))/100</f>
        <v/>
      </c>
    </row>
    <row r="973">
      <c r="A973" t="inlineStr">
        <is>
          <t>Skill + Buff Cast Rate</t>
        </is>
      </c>
      <c r="B973">
        <f>IF(AND(Inputs!$B$38&lt;&gt;"pvp",Inputs!$B$43&gt;0),SUMPRODUCT((Skills!E2:E22=TRUE)*(C947:C967=TRUE)*R947:R967*Skills!F2:F22)/Inputs!$B$43,SUMPRODUCT((Skills!E2:E22=TRUE)*(C947:C967=TRUE)*Q947:Q967*Skills!F2:F22))</f>
        <v/>
      </c>
    </row>
    <row r="974">
      <c r="A974" t="inlineStr">
        <is>
          <t>Hook Bomber Casts Per Second</t>
        </is>
      </c>
      <c r="B974">
        <f>MAX(0,B972-B973)</f>
        <v/>
      </c>
    </row>
    <row r="975">
      <c r="A975" t="inlineStr">
        <is>
          <t>Global Critical Damage Bonus % (unused)</t>
        </is>
      </c>
      <c r="B975" t="n">
        <v>0</v>
      </c>
    </row>
    <row r="976">
      <c r="A976" t="inlineStr">
        <is>
          <t>Global Final Damage Bonus % (Serpent Scale + Crossbones + Time Leap + Speed Infusion)</t>
        </is>
      </c>
      <c r="B976">
        <f>((C950=TRUE)*F950*((10+IF(Inputs!$B$3&gt;=94,5,0))/((10+IF(Inputs!$B$3&gt;=94,5,0))+5/(B974*(1+IF(Inputs!$B$3&gt;=104,1,0))))))+((C959=TRUE)*F959)+((C960=TRUE)*F960)+((Inputs!$B$3&gt;=110)*20*(B972-1))</f>
        <v/>
      </c>
    </row>
    <row r="977">
      <c r="A977" t="inlineStr">
        <is>
          <t>Buff-Casting Startup Delay (s, fixed-duration only)</t>
        </is>
      </c>
      <c r="B977">
        <f>IF(AND(Inputs!$B$38&lt;&gt;"pvp",Inputs!$B$43&gt;0),SUMPRODUCT((Skills!T2:T22&gt;0)*(Skills!E2:E22=TRUE)*(C947:C967=TRUE))/B972,0)</f>
        <v/>
      </c>
    </row>
    <row r="978">
      <c r="A978" t="inlineStr">
        <is>
          <t>Boss-Only Total DPS (this block's swept value)</t>
        </is>
      </c>
      <c r="B978">
        <f>SUM(T947:T967)</f>
        <v/>
      </c>
    </row>
    <row r="979">
      <c r="A979" t="inlineStr">
        <is>
          <t>Normal-Only Total DPS (this block's swept value)</t>
        </is>
      </c>
      <c r="B979">
        <f>SUM(V947:V967)</f>
        <v/>
      </c>
    </row>
    <row r="980">
      <c r="A980" s="5" t="inlineStr">
        <is>
          <t>TOTAL DPS</t>
        </is>
      </c>
      <c r="B980" s="5">
        <f>SUM(O947:O967)</f>
        <v/>
      </c>
    </row>
    <row r="983">
      <c r="A983" s="5" t="inlineStr">
        <is>
          <t>Stat: Buff Duration Increase %</t>
        </is>
      </c>
    </row>
    <row r="984">
      <c r="A984" s="9" t="inlineStr">
        <is>
          <t>Key</t>
        </is>
      </c>
      <c r="B984" s="9" t="inlineStr">
        <is>
          <t>Name</t>
        </is>
      </c>
      <c r="C984" s="9" t="inlineStr">
        <is>
          <t>Unlocked</t>
        </is>
      </c>
      <c r="D984" s="9" t="inlineStr">
        <is>
          <t>InputLevel</t>
        </is>
      </c>
      <c r="E984" s="9" t="inlineStr">
        <is>
          <t>Factor</t>
        </is>
      </c>
      <c r="F984" s="9" t="inlineStr">
        <is>
          <t>CoefficientPercent</t>
        </is>
      </c>
      <c r="G984" s="9" t="inlineStr">
        <is>
          <t>EffectiveHits</t>
        </is>
      </c>
      <c r="H984" s="9" t="inlineStr">
        <is>
          <t>ProcProbability</t>
        </is>
      </c>
      <c r="I984" s="9" t="inlineStr">
        <is>
          <t>MapleHeroMultiplier</t>
        </is>
      </c>
      <c r="J984" s="9" t="inlineStr">
        <is>
          <t>BaseDamage</t>
        </is>
      </c>
      <c r="K984" s="9" t="inlineStr">
        <is>
          <t>BaseHitDamage</t>
        </is>
      </c>
      <c r="L984" s="9" t="inlineStr">
        <is>
          <t>NonCritAvg</t>
        </is>
      </c>
      <c r="M984" s="9" t="inlineStr">
        <is>
          <t>CritAvg</t>
        </is>
      </c>
      <c r="N984" s="9" t="inlineStr">
        <is>
          <t>ExpectedDamage(perHit)</t>
        </is>
      </c>
      <c r="O984" s="9" t="inlineStr">
        <is>
          <t>DPS</t>
        </is>
      </c>
      <c r="P984" s="9" t="inlineStr">
        <is>
          <t>% of Total</t>
        </is>
      </c>
      <c r="Q984" s="9" t="inlineStr">
        <is>
          <t>InvCooldown</t>
        </is>
      </c>
      <c r="R984" s="9" t="inlineStr">
        <is>
          <t>CastsInFight</t>
        </is>
      </c>
      <c r="S984" s="9"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((Inputs!$B$6*(1+Inputs!$B$7/100))+(((Inputs!$B$12*(1+Inputs!$B$13/100))-(Inputs!$B$12*(1+Inputs!$B$13/100)))+0.25*(Inputs!$B$14-Inputs!$B$14))*(1+Inputs!$B$7/100))*(F985/100)</f>
        <v/>
      </c>
      <c r="K985">
        <f>J985*(1+((Inputs!$B$12*(1+Inputs!$B$13/100))*0.01+Inputs!$B$14*0.0025)/100)*(1+Inputs!$B$15/100)*(1+Inputs!$B$16/100)*(5000/(6000+Inputs!$B$42*(1-(Inputs!$B$19+0)/100)))*(1+(Inputs!$B$24+((C1005=TRUE)*(F1005-Calc!F22))+B1014)/100)*(1+(IF(Skills!A2="HOOK_BOMBER",Inputs!$B$17+((C1004=TRUE)*(F1004-Calc!F21)),Inputs!$B$18+0))/100)*((1+(((C996=TRUE)*F996)+((C1002=TRUE)*(F1002-Calc!F19)))/100)*I985)</f>
        <v/>
      </c>
      <c r="L985">
        <f>K985*(MIN(Inputs!$B$22+((C1003=TRUE)*(F1003-Calc!F20)),Inputs!$B$23+0)/100+(Inputs!$B$23+0)/100)/2</f>
        <v/>
      </c>
      <c r="M985">
        <f>L985*(1+(Inputs!$B$10+0+B1013)/100)</f>
        <v/>
      </c>
      <c r="N985">
        <f>L985*(1-MIN((Inputs!$B$9+((C999=TRUE)*(F999-Calc!F16))+B1008),100)/100)+M985*(MIN((Inputs!$B$9+((C999=TRUE)*(F999-Calc!F16))+B1008),100)/100)</f>
        <v/>
      </c>
      <c r="O985">
        <f>(1-Summary!$B$55)*T985+Summary!$B$55*V985</f>
        <v/>
      </c>
      <c r="P985">
        <f>IF(B1018=0,0,O985/B1018)</f>
        <v/>
      </c>
      <c r="Q985" t="n">
        <v>0</v>
      </c>
      <c r="R985" t="n">
        <v>0</v>
      </c>
      <c r="S985">
        <f>IFERROR(O985/N985,0)</f>
        <v/>
      </c>
      <c r="T985">
        <f>IF(C985,(Skills!G2*N985*B1012)*IF(Inputs!$B$38="pvp",1,1+(Inputs!$B$20+0+Skills!P2)/100),0)</f>
        <v/>
      </c>
      <c r="U985">
        <f>MAX(0,(Inputs!$B$3-100)*3)+Inputs!$B$28+Inputs!$B$29</f>
        <v/>
      </c>
      <c r="V985">
        <f>IF(C985,(Skills!G2*N985*B1012)*IF(Inputs!$B$38="pvp",1,(1+(Inputs!$B$21+Skills!Q2)/100)*(MIN((6+Inputs!$B$33),Inputs!$B$37))),0)</f>
        <v/>
      </c>
    </row>
    <row r="986">
      <c r="A986">
        <f>Skills!A3</f>
        <v/>
      </c>
      <c r="B986">
        <f>Skills!B3</f>
        <v/>
      </c>
      <c r="C986">
        <f>Inputs!$B$3&gt;=35</f>
        <v/>
      </c>
      <c r="D986">
        <f>IF(Skills!C3=1,60+Inputs!$B$25+Inputs!$B$29,IF(Skills!C3=2,90+Inputs!$B$26+Inputs!$B$29,IF(Skills!C3=3,120+Inputs!$B$27+Inputs!$B$29,MAX(0,(Inputs!$B$3-100)*3)+Inputs!$B$28+Inputs!$B$29)))</f>
        <v/>
      </c>
      <c r="E986">
        <f>INDEX(FactorTable!$B$2:$Y$301, MATCH(ROUND(MIN(300,MAX(1,D986)),0), FactorTable!$A$2:$A$301,0), Skills!M3+1)</f>
        <v/>
      </c>
      <c r="F986">
        <f>IF(Skills!N3=TRUE,(Skills!L3/10)*(E986/1000),Skills!L3/10)+Skills!O3</f>
        <v/>
      </c>
      <c r="G986">
        <f>Skills!G3*IF(Skills!H3&gt;0,Skills!I3/Skills!H3,1)</f>
        <v/>
      </c>
      <c r="H986">
        <f>1-(1-Skills!J3/100)^Skills!K3</f>
        <v/>
      </c>
      <c r="I986" t="inlineStr">
        <is>
          <t>1</t>
        </is>
      </c>
      <c r="J986">
        <f>((Inputs!$B$6*(1+Inputs!$B$7/100))+(((Inputs!$B$12*(1+Inputs!$B$13/100))-(Inputs!$B$12*(1+Inputs!$B$13/100)))+0.25*(Inputs!$B$14-Inputs!$B$14))*(1+Inputs!$B$7/100))*(F986/100)</f>
        <v/>
      </c>
      <c r="K986">
        <f>J986*(1+((Inputs!$B$12*(1+Inputs!$B$13/100))*0.01+Inputs!$B$14*0.0025)/100)*(1+Inputs!$B$15/100)*(1+Inputs!$B$16/100)*(5000/(6000+Inputs!$B$42*(1-(Inputs!$B$19+0)/100)))*(1+(Inputs!$B$24+((C1005=TRUE)*(F1005-Calc!F22))+B1014)/100)*(1+(IF(Skills!A3="HOOK_BOMBER",Inputs!$B$17+((C1004=TRUE)*(F1004-Calc!F21)),Inputs!$B$18+0))/100)*((1+(((C996=TRUE)*F996)+((C1002=TRUE)*(F1002-Calc!F19)))/100)*I986)</f>
        <v/>
      </c>
      <c r="L986">
        <f>K986*(MIN(Inputs!$B$22+((C1003=TRUE)*(F1003-Calc!F20)),Inputs!$B$23+0)/100+(Inputs!$B$23+0)/100)/2</f>
        <v/>
      </c>
      <c r="M986">
        <f>L986*(1+(Inputs!$B$10+0+B1013)/100)</f>
        <v/>
      </c>
      <c r="N986">
        <f>L986*(1-MIN((Inputs!$B$9+((C999=TRUE)*(F999-Calc!F16))+B1008),100)/100)+M986*(MIN((Inputs!$B$9+((C999=TRUE)*(F999-Calc!F16))+B1008),100)/100)</f>
        <v/>
      </c>
      <c r="O986">
        <f>(1-Summary!$B$55)*T986+Summary!$B$55*V986</f>
        <v/>
      </c>
      <c r="P986">
        <f>IF(B1018=0,0,O986/B1018)</f>
        <v/>
      </c>
      <c r="Q986" t="n">
        <v>0</v>
      </c>
      <c r="R986" t="n">
        <v>0</v>
      </c>
      <c r="S986">
        <f>IFERROR(O986/N986,0)</f>
        <v/>
      </c>
      <c r="T986">
        <f>IF(C986,(Skills!G3*H986*N986*B1012)*IF(Inputs!$B$38="pvp",1,1+(Inputs!$B$20+0+Skills!P3)/100),0)</f>
        <v/>
      </c>
      <c r="U986">
        <f>INDEX(FactorTable!$B$2:$Y$301, MATCH(ROUND(MIN(300,MAX(1,U985)),0), FactorTable!$A$2:$A$301,0), 22)</f>
        <v/>
      </c>
      <c r="V986">
        <f>IF(C986,(Skills!G3*H986*N986*B1012)*IF(Inputs!$B$38="pvp",1,(1+(Inputs!$B$21+Skills!Q3)/100)*(MIN(Skills!R3,Inputs!$B$37))),0)</f>
        <v/>
      </c>
    </row>
    <row r="987">
      <c r="A987">
        <f>Skills!A4</f>
        <v/>
      </c>
      <c r="B987">
        <f>Skills!B4</f>
        <v/>
      </c>
      <c r="C987">
        <f>Inputs!$B$3&gt;=60</f>
        <v/>
      </c>
      <c r="D987">
        <f>IF(Skills!C4=1,60+Inputs!$B$25+Inputs!$B$29,IF(Skills!C4=2,90+Inputs!$B$26+Inputs!$B$29,IF(Skills!C4=3,120+Inputs!$B$27+Inputs!$B$29,MAX(0,(Inputs!$B$3-100)*3)+Inputs!$B$28+Inputs!$B$29)))</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((Inputs!$B$6*(1+Inputs!$B$7/100))+(((Inputs!$B$12*(1+Inputs!$B$13/100))-(Inputs!$B$12*(1+Inputs!$B$13/100)))+0.25*(Inputs!$B$14-Inputs!$B$14))*(1+Inputs!$B$7/100))*(F987/100)</f>
        <v/>
      </c>
      <c r="K987">
        <f>J987*(1+((Inputs!$B$12*(1+Inputs!$B$13/100))*0.01+Inputs!$B$14*0.0025)/100)*(1+Inputs!$B$15/100)*(1+Inputs!$B$16/100)*(5000/(6000+Inputs!$B$42*(1-(Inputs!$B$19+0)/100)))*(1+(Inputs!$B$24+((C1005=TRUE)*(F1005-Calc!F22))+B1014)/100)*(1+1.0*IF(C995=TRUE,F995,0)/100)*(1+(IF(Skills!A4="HOOK_BOMBER",Inputs!$B$17+((C1004=TRUE)*(F1004-Calc!F21)),Inputs!$B$18+0))/100)*((1+(((C996=TRUE)*F996)+((C1002=TRUE)*(F1002-Calc!F19)))/100)*I987)</f>
        <v/>
      </c>
      <c r="L987">
        <f>K987*(MIN(Inputs!$B$22+((C1003=TRUE)*(F1003-Calc!F20)),Inputs!$B$23+0)/100+(Inputs!$B$23+0)/100)/2</f>
        <v/>
      </c>
      <c r="M987">
        <f>L987*(1+(Inputs!$B$10+0+B1013)/100)</f>
        <v/>
      </c>
      <c r="N987">
        <f>L987*(1-MIN((Inputs!$B$9+((C999=TRUE)*(F999-Calc!F16))+B1008),100)/100)+M987*(MIN((Inputs!$B$9+((C999=TRUE)*(F999-Calc!F16))+B1008),100)/100)</f>
        <v/>
      </c>
      <c r="O987">
        <f>(1-Summary!$B$55)*T987+Summary!$B$55*V987</f>
        <v/>
      </c>
      <c r="P987">
        <f>IF(B1018=0,0,O987/B1018)</f>
        <v/>
      </c>
      <c r="Q987" t="n">
        <v>0</v>
      </c>
      <c r="R987" t="n">
        <v>0</v>
      </c>
      <c r="S987">
        <f>IFERROR(O987/N987,0)</f>
        <v/>
      </c>
      <c r="T987">
        <f>IF(C987,(Skills!G4*H987*N987*B1012)*IF(Inputs!$B$38="pvp",1,1+(Inputs!$B$20+0+Skills!P4)/100),0)</f>
        <v/>
      </c>
      <c r="U987">
        <f>290*U986/1000</f>
        <v/>
      </c>
      <c r="V987">
        <f>IF(C987,(Skills!G4*H987*N987*B1012)*IF(Inputs!$B$38="pvp",1,(1+(Inputs!$B$21+Skills!Q4)/100)*(MIN(Skills!R4,Inputs!$B$37))),0)</f>
        <v/>
      </c>
    </row>
    <row r="988">
      <c r="A988">
        <f>Skills!A5</f>
        <v/>
      </c>
      <c r="B988">
        <f>Skills!B5</f>
        <v/>
      </c>
      <c r="C988">
        <f>Inputs!$B$3&gt;=60</f>
        <v/>
      </c>
      <c r="D988">
        <f>IF(Skills!C5=1,60+Inputs!$B$25+Inputs!$B$29,IF(Skills!C5=2,90+Inputs!$B$26+Inputs!$B$29,IF(Skills!C5=3,120+Inputs!$B$27+Inputs!$B$29,MAX(0,(Inputs!$B$3-100)*3)+Inputs!$B$28+Inputs!$B$29)))</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t="inlineStr"/>
      <c r="K988" t="inlineStr"/>
      <c r="L988" t="inlineStr"/>
      <c r="M988" t="inlineStr"/>
      <c r="N988" t="inlineStr"/>
      <c r="O988">
        <f>(1-Summary!$B$55)*T988+Summary!$B$55*V988</f>
        <v/>
      </c>
      <c r="P988">
        <f>IF(B1018=0,0,O988/B1018)</f>
        <v/>
      </c>
      <c r="Q988" t="n">
        <v>0</v>
      </c>
      <c r="R988" t="n">
        <v>0</v>
      </c>
      <c r="S988">
        <f>IFERROR(O988/N988,0)</f>
        <v/>
      </c>
      <c r="T988" t="n">
        <v>0</v>
      </c>
      <c r="V988" t="n">
        <v>0</v>
      </c>
    </row>
    <row r="989">
      <c r="A989">
        <f>Skills!A6</f>
        <v/>
      </c>
      <c r="B989">
        <f>Skills!B6</f>
        <v/>
      </c>
      <c r="C989">
        <f>Inputs!$B$3&gt;=63</f>
        <v/>
      </c>
      <c r="D989">
        <f>IF(Skills!C6=1,60+Inputs!$B$25+Inputs!$B$29,IF(Skills!C6=2,90+Inputs!$B$26+Inputs!$B$29,IF(Skills!C6=3,120+Inputs!$B$27+Inputs!$B$29,MAX(0,(Inputs!$B$3-100)*3)+Inputs!$B$28+Inputs!$B$29)))</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((Inputs!$B$6*(1+Inputs!$B$7/100))+(((Inputs!$B$12*(1+Inputs!$B$13/100))-(Inputs!$B$12*(1+Inputs!$B$13/100)))+0.25*(Inputs!$B$14-Inputs!$B$14))*(1+Inputs!$B$7/100))*(F989/100)</f>
        <v/>
      </c>
      <c r="K989">
        <f>J989*(1+((Inputs!$B$12*(1+Inputs!$B$13/100))*0.01+Inputs!$B$14*0.0025)/100)*(1+Inputs!$B$15/100)*(1+Inputs!$B$16/100)*(5000/(6000+Inputs!$B$42*(1-(Inputs!$B$19+0)/100)))*(1+(Inputs!$B$24+((C1005=TRUE)*(F1005-Calc!F22))+B1014)/100)*(1+(IF(Skills!A6="HOOK_BOMBER",Inputs!$B$17+((C1004=TRUE)*(F1004-Calc!F21)),Inputs!$B$18+0))/100)*((1+(((C996=TRUE)*F996)+((C1002=TRUE)*(F1002-Calc!F19)))/100)*I989)</f>
        <v/>
      </c>
      <c r="L989">
        <f>K989*(MIN(Inputs!$B$22+((C1003=TRUE)*(F1003-Calc!F20)),Inputs!$B$23+0)/100+(Inputs!$B$23+0)/100)/2</f>
        <v/>
      </c>
      <c r="M989">
        <f>L989*(1+(Inputs!$B$10+0+B1013)/100)</f>
        <v/>
      </c>
      <c r="N989">
        <f>L989*(1-MIN((Inputs!$B$9+((C999=TRUE)*(F999-Calc!F16))+B1008),100)/100)+M989*(MIN((Inputs!$B$9+((C999=TRUE)*(F999-Calc!F16))+B1008),100)/100)</f>
        <v/>
      </c>
      <c r="O989">
        <f>(1-Summary!$B$55)*T989+Summary!$B$55*V989</f>
        <v/>
      </c>
      <c r="P989">
        <f>IF(B1018=0,0,O989/B1018)</f>
        <v/>
      </c>
      <c r="Q989">
        <f>IFERROR(1/IF(Inputs!$B$38="pvp",15,MAX(0.1,Skills!D6-IF(Skills!E6=TRUE,Inputs!$B$32,0))),0)</f>
        <v/>
      </c>
      <c r="R989">
        <f>IF(AND(Inputs!$B$38&lt;&gt;"pvp",Inputs!$B$43&gt;0),IF(MAX(0,Inputs!$B$43-B1015)&lt;=0,0,(INT(MAX(0,Inputs!$B$43-B1015)/IF(Inputs!$B$38="pvp",15,MAX(0.1,Skills!D6-IF(Skills!E6=TRUE,Inputs!$B$32,0))))+1)),0)</f>
        <v/>
      </c>
      <c r="S989">
        <f>IFERROR(O989/N989,0)</f>
        <v/>
      </c>
      <c r="T989">
        <f>IF(C989,(H989*N989*IF(AND(Inputs!$B$38&lt;&gt;"pvp",Inputs!$B$43&gt;0),((Skills!G6*((R989-1)*IF(Skills!H6&gt;0,Skills!I6/Skills!H6,1)+IF(Skills!H6&gt;0,MIN(Skills!I6,MAX(0,MAX(0,Inputs!$B$43-B1015)-((R989-1)*IF(Inputs!$B$38="pvp",15,MAX(0.1,Skills!D6-IF(Skills!E6=TRUE,Inputs!$B$32,0))))))/Skills!H6,1)))/Inputs!$B$43),G989*Q989))*IF(Inputs!$B$38="pvp",1,1+(Inputs!$B$20+0+Skills!P6)/100),0)</f>
        <v/>
      </c>
      <c r="V989">
        <f>IF(C989,(H989*N989*IF(AND(Inputs!$B$38&lt;&gt;"pvp",Inputs!$B$43&gt;0),((Skills!G6*((R989-1)*IF(Skills!H6&gt;0,Skills!I6/Skills!H6,1)+IF(Skills!H6&gt;0,MIN(Skills!I6,MAX(0,MAX(0,Inputs!$B$43-B1015)-((R989-1)*IF(Inputs!$B$38="pvp",15,MAX(0.1,Skills!D6-IF(Skills!E6=TRUE,Inputs!$B$32,0))))))/Skills!H6,1)))/Inputs!$B$43),G989*Q989))*IF(Inputs!$B$38="pvp",1,(1+(Inputs!$B$21+Skills!Q6)/100)*(MIN(Skills!R6,Inputs!$B$37))),0)</f>
        <v/>
      </c>
    </row>
    <row r="990">
      <c r="A990">
        <f>Skills!A7</f>
        <v/>
      </c>
      <c r="B990">
        <f>Skills!B7</f>
        <v/>
      </c>
      <c r="C990">
        <f>Inputs!$B$3&gt;=100</f>
        <v/>
      </c>
      <c r="D990">
        <f>IF(Skills!C7=1,60+Inputs!$B$25+Inputs!$B$29,IF(Skills!C7=2,90+Inputs!$B$26+Inputs!$B$29,IF(Skills!C7=3,120+Inputs!$B$27+Inputs!$B$29,MAX(0,(Inputs!$B$3-100)*3)+Inputs!$B$28+Inputs!$B$29)))</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((Inputs!$B$6*(1+Inputs!$B$7/100))+(((Inputs!$B$12*(1+Inputs!$B$13/100))-(Inputs!$B$12*(1+Inputs!$B$13/100)))+0.25*(Inputs!$B$14-Inputs!$B$14))*(1+Inputs!$B$7/100))*(F990/100)</f>
        <v/>
      </c>
      <c r="K990">
        <f>J990*(1+((Inputs!$B$12*(1+Inputs!$B$13/100))*0.01+Inputs!$B$14*0.0025)/100)*(1+Inputs!$B$15/100)*(1+Inputs!$B$16/100)*(5000/(6000+Inputs!$B$42*(1-(Inputs!$B$19+0)/100)))*(1+(Inputs!$B$24+((C1005=TRUE)*(F1005-Calc!F22))+B1014)/100)*(1+(IF(Skills!A7="HOOK_BOMBER",Inputs!$B$17+((C1004=TRUE)*(F1004-Calc!F21)),Inputs!$B$18+0))/100)*((1+(((C996=TRUE)*F996)+((C1002=TRUE)*(F1002-Calc!F19)))/100)*I990)</f>
        <v/>
      </c>
      <c r="L990">
        <f>K990*(MIN(Inputs!$B$22+((C1003=TRUE)*(F1003-Calc!F20)),Inputs!$B$23+0)/100+(Inputs!$B$23+0)/100)/2</f>
        <v/>
      </c>
      <c r="M990">
        <f>L990*(1+(Inputs!$B$10+0+B1013)/100)</f>
        <v/>
      </c>
      <c r="N990">
        <f>L990*(1-MIN((Inputs!$B$9+((C999=TRUE)*(F999-Calc!F16))+B1008),100)/100)+M990*(MIN((Inputs!$B$9+((C999=TRUE)*(F999-Calc!F16))+B1008),100)/100)</f>
        <v/>
      </c>
      <c r="O990">
        <f>(1-Summary!$B$55)*T990+Summary!$B$55*V990</f>
        <v/>
      </c>
      <c r="P990">
        <f>IF(B1018=0,0,O990/B1018)</f>
        <v/>
      </c>
      <c r="Q990">
        <f>IFERROR(1/IF(Inputs!$B$38="pvp",15,MAX(0.1,Skills!D7-IF(Skills!E7=TRUE,Inputs!$B$32,0))),0)</f>
        <v/>
      </c>
      <c r="R990">
        <f>IF(AND(Inputs!$B$38&lt;&gt;"pvp",Inputs!$B$43&gt;0),IF(MAX(0,Inputs!$B$43-B1015)&lt;=0,0,(INT(MAX(0,Inputs!$B$43-B1015)/IF(Inputs!$B$38="pvp",15,MAX(0.1,Skills!D7-IF(Skills!E7=TRUE,Inputs!$B$32,0))))+1)),0)</f>
        <v/>
      </c>
      <c r="S990">
        <f>IFERROR(O990/N990,0)</f>
        <v/>
      </c>
      <c r="T990">
        <f>IF(C990,(H990*N990*IF(AND(Inputs!$B$38&lt;&gt;"pvp",Inputs!$B$43&gt;0),((Skills!G7*((R990-1)*IF(Skills!H7&gt;0,Skills!I7/Skills!H7,1)+IF(Skills!H7&gt;0,MIN(Skills!I7,MAX(0,MAX(0,Inputs!$B$43-B1015)-((R990-1)*IF(Inputs!$B$38="pvp",15,MAX(0.1,Skills!D7-IF(Skills!E7=TRUE,Inputs!$B$32,0))))))/Skills!H7,1)))/Inputs!$B$43),G990*Q990))*IF(Inputs!$B$38="pvp",1,1+(Inputs!$B$20+0+Skills!P7)/100),0)</f>
        <v/>
      </c>
      <c r="V990">
        <f>IF(C990,(H990*N990*IF(AND(Inputs!$B$38&lt;&gt;"pvp",Inputs!$B$43&gt;0),((Skills!G7*((R990-1)*IF(Skills!H7&gt;0,Skills!I7/Skills!H7,1)+IF(Skills!H7&gt;0,MIN(Skills!I7,MAX(0,MAX(0,Inputs!$B$43-B1015)-((R990-1)*IF(Inputs!$B$38="pvp",15,MAX(0.1,Skills!D7-IF(Skills!E7=TRUE,Inputs!$B$32,0))))))/Skills!H7,1)))/Inputs!$B$43),G990*Q990))*IF(Inputs!$B$38="pvp",1,(1+(Inputs!$B$21+Skills!Q7)/100)*(MIN(Skills!R7,Inputs!$B$37))),0)</f>
        <v/>
      </c>
    </row>
    <row r="991">
      <c r="A991">
        <f>Skills!A8</f>
        <v/>
      </c>
      <c r="B991">
        <f>Skills!B8</f>
        <v/>
      </c>
      <c r="C991">
        <f>Inputs!$B$3&gt;=110</f>
        <v/>
      </c>
      <c r="D991">
        <f>IF(Skills!C8=1,60+Inputs!$B$25+Inputs!$B$29,IF(Skills!C8=2,90+Inputs!$B$26+Inputs!$B$29,IF(Skills!C8=3,120+Inputs!$B$27+Inputs!$B$29,MAX(0,(Inputs!$B$3-100)*3)+Inputs!$B$28+Inputs!$B$29)))</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((Inputs!$B$6*(1+Inputs!$B$7/100))+(((Inputs!$B$12*(1+Inputs!$B$13/100))-(Inputs!$B$12*(1+Inputs!$B$13/100)))+0.25*(Inputs!$B$14-Inputs!$B$14))*(1+Inputs!$B$7/100))*(F991/100)</f>
        <v/>
      </c>
      <c r="K991">
        <f>J991*(1+((Inputs!$B$12*(1+Inputs!$B$13/100))*0.01+Inputs!$B$14*0.0025)/100)*(1+Inputs!$B$15/100)*(1+Inputs!$B$16/100)*(5000/(6000+Inputs!$B$42*(1-(Inputs!$B$19+0)/100)))*(1+(Inputs!$B$24+((C1005=TRUE)*(F1005-Calc!F22))+B1014)/100)*(1+(IF(Skills!A8="HOOK_BOMBER",Inputs!$B$17+((C1004=TRUE)*(F1004-Calc!F21)),Inputs!$B$18+0))/100)*((1+(((C996=TRUE)*F996)+((C1002=TRUE)*(F1002-Calc!F19)))/100)*I991)</f>
        <v/>
      </c>
      <c r="L991">
        <f>K991*(MIN(Inputs!$B$22+((C1003=TRUE)*(F1003-Calc!F20)),Inputs!$B$23+0)/100+(Inputs!$B$23+0)/100)/2</f>
        <v/>
      </c>
      <c r="M991">
        <f>L991*(1+(Inputs!$B$10+0+B1013)/100)</f>
        <v/>
      </c>
      <c r="N991">
        <f>L991*(1-MIN((Inputs!$B$9+((C999=TRUE)*(F999-Calc!F16))+B1008),100)/100)+M991*(MIN((Inputs!$B$9+((C999=TRUE)*(F999-Calc!F16))+B1008),100)/100)</f>
        <v/>
      </c>
      <c r="O991">
        <f>(1-Summary!$B$55)*T991+Summary!$B$55*V991</f>
        <v/>
      </c>
      <c r="P991">
        <f>IF(B1018=0,0,O991/B1018)</f>
        <v/>
      </c>
      <c r="Q991">
        <f>IFERROR(1/IF(Inputs!$B$38="pvp",15,MAX(0.1,Skills!D8-IF(Skills!E8=TRUE,Inputs!$B$32,0))),0)</f>
        <v/>
      </c>
      <c r="R991">
        <f>IF(AND(Inputs!$B$38&lt;&gt;"pvp",Inputs!$B$43&gt;0),IF(MAX(0,Inputs!$B$43-B1015)&lt;=0,0,(INT(MAX(0,Inputs!$B$43-B1015)/IF(Inputs!$B$38="pvp",15,MAX(0.1,Skills!D8-IF(Skills!E8=TRUE,Inputs!$B$32,0))))+1)),0)</f>
        <v/>
      </c>
      <c r="S991">
        <f>IFERROR(O991/N991,0)</f>
        <v/>
      </c>
      <c r="T991">
        <f>IF(C991,(H991*N991*IF(AND(Inputs!$B$38&lt;&gt;"pvp",Inputs!$B$43&gt;0),((Skills!G8*((R991-1)*IF(Skills!H8&gt;0,Skills!I8/Skills!H8,1)+IF(Skills!H8&gt;0,MIN(Skills!I8,MAX(0,MAX(0,Inputs!$B$43-B1015)-((R991-1)*IF(Inputs!$B$38="pvp",15,MAX(0.1,Skills!D8-IF(Skills!E8=TRUE,Inputs!$B$32,0))))))/Skills!H8,1)))/Inputs!$B$43),G991*Q991))*IF(Inputs!$B$38="pvp",1,1+(Inputs!$B$20+0+Skills!P8)/100),0)</f>
        <v/>
      </c>
      <c r="V991">
        <f>IF(C991,(H991*N991*IF(AND(Inputs!$B$38&lt;&gt;"pvp",Inputs!$B$43&gt;0),((Skills!G8*((R991-1)*IF(Skills!H8&gt;0,Skills!I8/Skills!H8,1)+IF(Skills!H8&gt;0,MIN(Skills!I8,MAX(0,MAX(0,Inputs!$B$43-B1015)-((R991-1)*IF(Inputs!$B$38="pvp",15,MAX(0.1,Skills!D8-IF(Skills!E8=TRUE,Inputs!$B$32,0))))))/Skills!H8,1)))/Inputs!$B$43),G991*Q991))*IF(Inputs!$B$38="pvp",1,(1+(Inputs!$B$21+Skills!Q8)/100)*(MIN(Skills!R8,Inputs!$B$37))),0)</f>
        <v/>
      </c>
    </row>
    <row r="992">
      <c r="A992">
        <f>Skills!A9</f>
        <v/>
      </c>
      <c r="B992">
        <f>Skills!B9</f>
        <v/>
      </c>
      <c r="C992">
        <f>Inputs!$B$3&gt;=110</f>
        <v/>
      </c>
      <c r="D992">
        <f>IF(Skills!C9=1,60+Inputs!$B$25+Inputs!$B$29,IF(Skills!C9=2,90+Inputs!$B$26+Inputs!$B$29,IF(Skills!C9=3,120+Inputs!$B$27+Inputs!$B$29,MAX(0,(Inputs!$B$3-100)*3)+Inputs!$B$28+Inputs!$B$29)))</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((Inputs!$B$6*(1+Inputs!$B$7/100))+(((Inputs!$B$12*(1+Inputs!$B$13/100))-(Inputs!$B$12*(1+Inputs!$B$13/100)))+0.25*(Inputs!$B$14-Inputs!$B$14))*(1+Inputs!$B$7/100))*(F992/100)</f>
        <v/>
      </c>
      <c r="K992">
        <f>J992*(1+((Inputs!$B$12*(1+Inputs!$B$13/100))*0.01+Inputs!$B$14*0.0025)/100)*(1+Inputs!$B$15/100)*(1+Inputs!$B$16/100)*(5000/(6000+Inputs!$B$42*(1-(Inputs!$B$19+0)/100)))*(1+(Inputs!$B$24+((C1005=TRUE)*(F1005-Calc!F22))+B1014)/100)*(1+(IF(Skills!A9="HOOK_BOMBER",Inputs!$B$17+((C1004=TRUE)*(F1004-Calc!F21)),Inputs!$B$18+0))/100)*((1+(((C996=TRUE)*F996)+((C1002=TRUE)*(F1002-Calc!F19)))/100)*I992)</f>
        <v/>
      </c>
      <c r="L992">
        <f>K992*(MIN(Inputs!$B$22+((C1003=TRUE)*(F1003-Calc!F20)),Inputs!$B$23+0)/100+(Inputs!$B$23+0)/100)/2</f>
        <v/>
      </c>
      <c r="M992">
        <f>L992*(1+(Inputs!$B$10+0+B1013)/100)</f>
        <v/>
      </c>
      <c r="N992">
        <f>L992*(1-MIN((Inputs!$B$9+((C999=TRUE)*(F999-Calc!F16))+B1008),100)/100)+M992*(MIN((Inputs!$B$9+((C999=TRUE)*(F999-Calc!F16))+B1008),100)/100)</f>
        <v/>
      </c>
      <c r="O992">
        <f>(1-Summary!$B$55)*T992+Summary!$B$55*V992</f>
        <v/>
      </c>
      <c r="P992">
        <f>IF(B1018=0,0,O992/B1018)</f>
        <v/>
      </c>
      <c r="Q992">
        <f>IFERROR(1/IF(Inputs!$B$38="pvp",15,MAX(0.1,Skills!D9-IF(Skills!E9=TRUE,Inputs!$B$32,0))),0)</f>
        <v/>
      </c>
      <c r="R992">
        <f>IF(AND(Inputs!$B$38&lt;&gt;"pvp",Inputs!$B$43&gt;0),IF(MAX(0,Inputs!$B$43-B1015)&lt;=0,0,(INT(MAX(0,Inputs!$B$43-B1015)/IF(Inputs!$B$38="pvp",15,MAX(0.1,Skills!D9-IF(Skills!E9=TRUE,Inputs!$B$32,0))))+1)),0)</f>
        <v/>
      </c>
      <c r="S992">
        <f>IFERROR(O992/N992,0)</f>
        <v/>
      </c>
      <c r="T992">
        <f>IF(C992,(H992*N992*IF(AND(Inputs!$B$38&lt;&gt;"pvp",Inputs!$B$43&gt;0),((Skills!G9*((R992-1)*IF(Skills!H9&gt;0,Skills!I9/Skills!H9,1)+IF(Skills!H9&gt;0,MIN(Skills!I9,MAX(0,MAX(0,Inputs!$B$43-B1015)-((R992-1)*IF(Inputs!$B$38="pvp",15,MAX(0.1,Skills!D9-IF(Skills!E9=TRUE,Inputs!$B$32,0))))))/Skills!H9,1)))/Inputs!$B$43),G992*Q992))*IF(Inputs!$B$38="pvp",1,1+(Inputs!$B$20+0+Skills!P9)/100),0)</f>
        <v/>
      </c>
      <c r="V992">
        <f>IF(C992,(H992*N992*IF(AND(Inputs!$B$38&lt;&gt;"pvp",Inputs!$B$43&gt;0),((Skills!G9*((R992-1)*IF(Skills!H9&gt;0,Skills!I9/Skills!H9,1)+IF(Skills!H9&gt;0,MIN(Skills!I9,MAX(0,MAX(0,Inputs!$B$43-B1015)-((R992-1)*IF(Inputs!$B$38="pvp",15,MAX(0.1,Skills!D9-IF(Skills!E9=TRUE,Inputs!$B$32,0))))))/Skills!H9,1)))/Inputs!$B$43),G992*Q992))*IF(Inputs!$B$38="pvp",1,(1+(Inputs!$B$21+Skills!Q9)/100)*(MIN(Skills!R9,Inputs!$B$37))),0)</f>
        <v/>
      </c>
    </row>
    <row r="993">
      <c r="A993">
        <f>Skills!A10</f>
        <v/>
      </c>
      <c r="B993">
        <f>Skills!B10</f>
        <v/>
      </c>
      <c r="C993">
        <f>Inputs!$B$3&gt;=103</f>
        <v/>
      </c>
      <c r="D993">
        <f>IF(Skills!C10=1,60+Inputs!$B$25+Inputs!$B$29,IF(Skills!C10=2,90+Inputs!$B$26+Inputs!$B$29,IF(Skills!C10=3,120+Inputs!$B$27+Inputs!$B$29,MAX(0,(Inputs!$B$3-100)*3)+Inputs!$B$28+Inputs!$B$29)))</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((Inputs!$B$6*(1+Inputs!$B$7/100))+(((Inputs!$B$12*(1+Inputs!$B$13/100))-(Inputs!$B$12*(1+Inputs!$B$13/100)))+0.25*(Inputs!$B$14-Inputs!$B$14))*(1+Inputs!$B$7/100))*(F993/100)</f>
        <v/>
      </c>
      <c r="K993">
        <f>J993*(1+((Inputs!$B$12*(1+Inputs!$B$13/100))*0.01+Inputs!$B$14*0.0025)/100)*(1+Inputs!$B$15/100)*(1+Inputs!$B$16/100)*(5000/(6000+Inputs!$B$42*(1-(Inputs!$B$19+0)/100)))*(1+(Inputs!$B$24+((C1005=TRUE)*(F1005-Calc!F22))+B1014)/100)*(1+(IF(Skills!A10="HOOK_BOMBER",Inputs!$B$17+((C1004=TRUE)*(F1004-Calc!F21)),Inputs!$B$18+0))/100)*((1+(((C996=TRUE)*F996)+((C1002=TRUE)*(F1002-Calc!F19)))/100)*I993)</f>
        <v/>
      </c>
      <c r="L993">
        <f>K993*(MIN(Inputs!$B$22+((C1003=TRUE)*(F1003-Calc!F20)),Inputs!$B$23+0)/100+(Inputs!$B$23+0)/100)/2</f>
        <v/>
      </c>
      <c r="M993">
        <f>L993*(1+(Inputs!$B$10+0+B1013)/100)</f>
        <v/>
      </c>
      <c r="N993">
        <f>L993*(1-MIN((Inputs!$B$9+((C999=TRUE)*(F999-Calc!F16))+B1008),100)/100)+M993*(MIN((Inputs!$B$9+((C999=TRUE)*(F999-Calc!F16))+B1008),100)/100)</f>
        <v/>
      </c>
      <c r="O993">
        <f>(1-Summary!$B$55)*T993+Summary!$B$55*V993</f>
        <v/>
      </c>
      <c r="P993">
        <f>IF(B1018=0,0,O993/B1018)</f>
        <v/>
      </c>
      <c r="Q993">
        <f>IFERROR(1/IF(Inputs!$B$38="pvp",15,MAX(0.1,Skills!D10-IF(Skills!E10=TRUE,Inputs!$B$32,0))),0)</f>
        <v/>
      </c>
      <c r="R993">
        <f>IF(AND(Inputs!$B$38&lt;&gt;"pvp",Inputs!$B$43&gt;0),IF(MAX(0,Inputs!$B$43-B1015)&lt;=0,0,(INT(MAX(0,Inputs!$B$43-B1015)/IF(Inputs!$B$38="pvp",15,MAX(0.1,Skills!D10-IF(Skills!E10=TRUE,Inputs!$B$32,0))))+1)),0)</f>
        <v/>
      </c>
      <c r="S993">
        <f>IFERROR(O993/N993,0)</f>
        <v/>
      </c>
      <c r="T993">
        <f>IF(C993,(H993*N993*IF(AND(Inputs!$B$38&lt;&gt;"pvp",Inputs!$B$43&gt;0),((Skills!G10*((R993-1)*IF(Skills!H10&gt;0,Skills!I10/Skills!H10,1)+IF(Skills!H10&gt;0,MIN(Skills!I10,MAX(0,MAX(0,Inputs!$B$43-B1015)-((R993-1)*IF(Inputs!$B$38="pvp",15,MAX(0.1,Skills!D10-IF(Skills!E10=TRUE,Inputs!$B$32,0))))))/Skills!H10,1)))/Inputs!$B$43),G993*Q993))*IF(Inputs!$B$38="pvp",1,1+(Inputs!$B$20+0+Skills!P10)/100),0)</f>
        <v/>
      </c>
      <c r="V993">
        <f>IF(C993,(H993*N993*IF(AND(Inputs!$B$38&lt;&gt;"pvp",Inputs!$B$43&gt;0),((Skills!G10*((R993-1)*IF(Skills!H10&gt;0,Skills!I10/Skills!H10,1)+IF(Skills!H10&gt;0,MIN(Skills!I10,MAX(0,MAX(0,Inputs!$B$43-B1015)-((R993-1)*IF(Inputs!$B$38="pvp",15,MAX(0.1,Skills!D10-IF(Skills!E10=TRUE,Inputs!$B$32,0))))))/Skills!H10,1)))/Inputs!$B$43),G993*Q993))*IF(Inputs!$B$38="pvp",1,(1+(Inputs!$B$21+Skills!Q10)/100)*(MIN(Skills!R10,Inputs!$B$37))),0)</f>
        <v/>
      </c>
    </row>
    <row r="994">
      <c r="A994">
        <f>Skills!A11</f>
        <v/>
      </c>
      <c r="B994">
        <f>Skills!B11</f>
        <v/>
      </c>
      <c r="C994">
        <f>Inputs!$B$3&gt;=113</f>
        <v/>
      </c>
      <c r="D994">
        <f>IF(Skills!C11=1,60+Inputs!$B$25+Inputs!$B$29,IF(Skills!C11=2,90+Inputs!$B$26+Inputs!$B$29,IF(Skills!C11=3,120+Inputs!$B$27+Inputs!$B$29,MAX(0,(Inputs!$B$3-100)*3)+Inputs!$B$28+Inputs!$B$29)))</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((Inputs!$B$6*(1+Inputs!$B$7/100))+(((Inputs!$B$12*(1+Inputs!$B$13/100))-(Inputs!$B$12*(1+Inputs!$B$13/100)))+0.25*(Inputs!$B$14-Inputs!$B$14))*(1+Inputs!$B$7/100))*(F994/100)</f>
        <v/>
      </c>
      <c r="K994">
        <f>J994*(1+((Inputs!$B$12*(1+Inputs!$B$13/100))*0.01+Inputs!$B$14*0.0025)/100)*(1+Inputs!$B$15/100)*(1+Inputs!$B$16/100)*(5000/(6000+Inputs!$B$42*(1-(Inputs!$B$19+0)/100)))*(1+(Inputs!$B$24+((C1005=TRUE)*(F1005-Calc!F22))+B1014)/100)*(1+(IF(Skills!A11="HOOK_BOMBER",Inputs!$B$17+((C1004=TRUE)*(F1004-Calc!F21)),Inputs!$B$18+0))/100)*((1+(((C996=TRUE)*F996)+((C1002=TRUE)*(F1002-Calc!F19)))/100)*I994)</f>
        <v/>
      </c>
      <c r="L994">
        <f>K994*(MIN(Inputs!$B$22+((C1003=TRUE)*(F1003-Calc!F20)),Inputs!$B$23+0)/100+(Inputs!$B$23+0)/100)/2</f>
        <v/>
      </c>
      <c r="M994">
        <f>L994*(1+(Inputs!$B$10+0+B1013)/100)</f>
        <v/>
      </c>
      <c r="N994">
        <f>L994*(1-MIN((Inputs!$B$9+((C999=TRUE)*(F999-Calc!F16))+B1008),100)/100)+M994*(MIN((Inputs!$B$9+((C999=TRUE)*(F999-Calc!F16))+B1008),100)/100)</f>
        <v/>
      </c>
      <c r="O994">
        <f>(1-Summary!$B$55)*T994+Summary!$B$55*V994</f>
        <v/>
      </c>
      <c r="P994">
        <f>IF(B1018=0,0,O994/B1018)</f>
        <v/>
      </c>
      <c r="Q994">
        <f>IFERROR(1/IF(Inputs!$B$38="pvp",15,MAX(0.1,Skills!D11-IF(Skills!E11=TRUE,Inputs!$B$32,0))),0)</f>
        <v/>
      </c>
      <c r="R994">
        <f>IF(AND(Inputs!$B$38&lt;&gt;"pvp",Inputs!$B$43&gt;0),IF(MAX(0,Inputs!$B$43-B1015)&lt;=0,0,(INT(MAX(0,Inputs!$B$43-B1015)/IF(Inputs!$B$38="pvp",15,MAX(0.1,Skills!D11-IF(Skills!E11=TRUE,Inputs!$B$32,0))))+1)),0)</f>
        <v/>
      </c>
      <c r="S994">
        <f>IFERROR(O994/N994,0)</f>
        <v/>
      </c>
      <c r="T994">
        <f>IF(C994,(H994*N994*IF(AND(Inputs!$B$38&lt;&gt;"pvp",Inputs!$B$43&gt;0),((Skills!G11*((R994-1)*IF(Skills!H11&gt;0,Skills!I11/Skills!H11,1)+IF(Skills!H11&gt;0,MIN(Skills!I11,MAX(0,MAX(0,Inputs!$B$43-B1015)-((R994-1)*IF(Inputs!$B$38="pvp",15,MAX(0.1,Skills!D11-IF(Skills!E11=TRUE,Inputs!$B$32,0))))))/Skills!H11,1)))/Inputs!$B$43),G994*Q994))*IF(Inputs!$B$38="pvp",1,1+(Inputs!$B$20+0+Skills!P11)/100),0)</f>
        <v/>
      </c>
      <c r="V994">
        <f>IF(C994,(H994*N994*IF(AND(Inputs!$B$38&lt;&gt;"pvp",Inputs!$B$43&gt;0),((Skills!G11*((R994-1)*IF(Skills!H11&gt;0,Skills!I11/Skills!H11,1)+IF(Skills!H11&gt;0,MIN(Skills!I11,MAX(0,MAX(0,Inputs!$B$43-B1015)-((R994-1)*IF(Inputs!$B$38="pvp",15,MAX(0.1,Skills!D11-IF(Skills!E11=TRUE,Inputs!$B$32,0))))))/Skills!H11,1)))/Inputs!$B$43),G994*Q994))*IF(Inputs!$B$38="pvp",1,(1+(Inputs!$B$21+Skills!Q11)/100)*(MIN(Skills!R11,Inputs!$B$37))),0)</f>
        <v/>
      </c>
    </row>
    <row r="995">
      <c r="A995">
        <f>Skills!A12</f>
        <v/>
      </c>
      <c r="B995">
        <f>Skills!B12</f>
        <v/>
      </c>
      <c r="C995">
        <f>Inputs!$B$3&gt;=100</f>
        <v/>
      </c>
      <c r="D995">
        <f>IF(Skills!C12=1,60+Inputs!$B$25+Inputs!$B$29,IF(Skills!C12=2,90+Inputs!$B$26+Inputs!$B$29,IF(Skills!C12=3,120+Inputs!$B$27+Inputs!$B$29,MAX(0,(Inputs!$B$3-100)*3)+Inputs!$B$28+Inputs!$B$29)))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c r="T995" t="inlineStr"/>
      <c r="V995" t="inlineStr"/>
    </row>
    <row r="996">
      <c r="A996">
        <f>Skills!A13</f>
        <v/>
      </c>
      <c r="B996">
        <f>Skills!B13</f>
        <v/>
      </c>
      <c r="C996">
        <f>Inputs!$B$3&gt;=66</f>
        <v/>
      </c>
      <c r="D996">
        <f>IF(Skills!C13=1,60+Inputs!$B$25+Inputs!$B$29,IF(Skills!C13=2,90+Inputs!$B$26+Inputs!$B$29,IF(Skills!C13=3,120+Inputs!$B$27+Inputs!$B$29,MAX(0,(Inputs!$B$3-100)*3)+Inputs!$B$28+Inputs!$B$29)))</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f>(1-Summary!$B$55)*T996+Summary!$B$55*V996</f>
        <v/>
      </c>
      <c r="P996">
        <f>IF(B1018=0,0,O996/B1018)</f>
        <v/>
      </c>
      <c r="Q996" t="n">
        <v>0</v>
      </c>
      <c r="R996" t="n">
        <v>0</v>
      </c>
      <c r="S996">
        <f>IFERROR(O996/N996,0)</f>
        <v/>
      </c>
      <c r="T996" t="n">
        <v>0</v>
      </c>
      <c r="V996" t="n">
        <v>0</v>
      </c>
    </row>
    <row r="997">
      <c r="A997">
        <f>Skills!A14</f>
        <v/>
      </c>
      <c r="B997">
        <f>Skills!B14</f>
        <v/>
      </c>
      <c r="C997">
        <f>Inputs!$B$3&gt;=107</f>
        <v/>
      </c>
      <c r="D997">
        <f>IF(Skills!C14=1,60+Inputs!$B$25+Inputs!$B$29,IF(Skills!C14=2,90+Inputs!$B$26+Inputs!$B$29,IF(Skills!C14=3,120+Inputs!$B$27+Inputs!$B$29,MAX(0,(Inputs!$B$3-100)*3)+Inputs!$B$28+Inputs!$B$29)))</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f>(1-Summary!$B$55)*T997+Summary!$B$55*V997</f>
        <v/>
      </c>
      <c r="P997">
        <f>IF(B1018=0,0,O997/B1018)</f>
        <v/>
      </c>
      <c r="Q997" t="n">
        <v>0</v>
      </c>
      <c r="R997" t="n">
        <v>0</v>
      </c>
      <c r="S997">
        <f>IFERROR(O997/N997,0)</f>
        <v/>
      </c>
      <c r="T997" t="n">
        <v>0</v>
      </c>
      <c r="V997" t="n">
        <v>0</v>
      </c>
    </row>
    <row r="998">
      <c r="A998">
        <f>Skills!A15</f>
        <v/>
      </c>
      <c r="B998">
        <f>Skills!B15</f>
        <v/>
      </c>
      <c r="C998">
        <f>Inputs!$B$3&gt;=115</f>
        <v/>
      </c>
      <c r="D998">
        <f>IF(Skills!C15=1,60+Inputs!$B$25+Inputs!$B$29,IF(Skills!C15=2,90+Inputs!$B$26+Inputs!$B$29,IF(Skills!C15=3,120+Inputs!$B$27+Inputs!$B$29,MAX(0,(Inputs!$B$3-100)*3)+Inputs!$B$28+Inputs!$B$29)))</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f>(1-Summary!$B$55)*T998+Summary!$B$55*V998</f>
        <v/>
      </c>
      <c r="P998">
        <f>IF(B1018=0,0,O998/B1018)</f>
        <v/>
      </c>
      <c r="Q998" t="n">
        <v>0</v>
      </c>
      <c r="R998" t="n">
        <v>0</v>
      </c>
      <c r="S998">
        <f>IFERROR(O998/N998,0)</f>
        <v/>
      </c>
      <c r="T998" t="n">
        <v>0</v>
      </c>
      <c r="V998" t="n">
        <v>0</v>
      </c>
    </row>
    <row r="999">
      <c r="A999">
        <f>Skills!A16</f>
        <v/>
      </c>
      <c r="B999">
        <f>Skills!B16</f>
        <v/>
      </c>
      <c r="C999">
        <f>Inputs!$B$3&gt;=15</f>
        <v/>
      </c>
      <c r="D999">
        <f>IF(Skills!C16=1,60+Inputs!$B$25+Inputs!$B$29,IF(Skills!C16=2,90+Inputs!$B$26+Inputs!$B$29,IF(Skills!C16=3,120+Inputs!$B$27+Inputs!$B$29,MAX(0,(Inputs!$B$3-100)*3)+Inputs!$B$28+Inputs!$B$29)))</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f>(1-Summary!$B$55)*T999+Summary!$B$55*V999</f>
        <v/>
      </c>
      <c r="P999">
        <f>IF(B1018=0,0,O999/B1018)</f>
        <v/>
      </c>
      <c r="Q999" t="n">
        <v>0</v>
      </c>
      <c r="R999" t="n">
        <v>0</v>
      </c>
      <c r="S999">
        <f>IFERROR(O999/N999,0)</f>
        <v/>
      </c>
      <c r="T999" t="n">
        <v>0</v>
      </c>
      <c r="V999" t="n">
        <v>0</v>
      </c>
    </row>
    <row r="1000">
      <c r="A1000">
        <f>Skills!A17</f>
        <v/>
      </c>
      <c r="B1000">
        <f>Skills!B17</f>
        <v/>
      </c>
      <c r="C1000">
        <f>Inputs!$B$3&gt;=10</f>
        <v/>
      </c>
      <c r="D1000">
        <f>IF(Skills!C17=1,60+Inputs!$B$25+Inputs!$B$29,IF(Skills!C17=2,90+Inputs!$B$26+Inputs!$B$29,IF(Skills!C17=3,120+Inputs!$B$27+Inputs!$B$29,MAX(0,(Inputs!$B$3-100)*3)+Inputs!$B$28+Inputs!$B$29)))</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f>(1-Summary!$B$55)*T1000+Summary!$B$55*V1000</f>
        <v/>
      </c>
      <c r="P1000">
        <f>IF(B1018=0,0,O1000/B1018)</f>
        <v/>
      </c>
      <c r="Q1000" t="n">
        <v>0</v>
      </c>
      <c r="R1000" t="n">
        <v>0</v>
      </c>
      <c r="S1000">
        <f>IFERROR(O1000/N1000,0)</f>
        <v/>
      </c>
      <c r="T1000" t="n">
        <v>0</v>
      </c>
      <c r="V1000" t="n">
        <v>0</v>
      </c>
    </row>
    <row r="1001">
      <c r="A1001">
        <f>Skills!A18</f>
        <v/>
      </c>
      <c r="B1001">
        <f>Skills!B18</f>
        <v/>
      </c>
      <c r="C1001">
        <f>Inputs!$B$3&gt;=33</f>
        <v/>
      </c>
      <c r="D1001">
        <f>IF(Skills!C18=1,60+Inputs!$B$25+Inputs!$B$29,IF(Skills!C18=2,90+Inputs!$B$26+Inputs!$B$29,IF(Skills!C18=3,120+Inputs!$B$27+Inputs!$B$29,MAX(0,(Inputs!$B$3-100)*3)+Inputs!$B$28+Inputs!$B$29)))</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f>(1-Summary!$B$55)*T1001+Summary!$B$55*V1001</f>
        <v/>
      </c>
      <c r="P1001">
        <f>IF(B1018=0,0,O1001/B1018)</f>
        <v/>
      </c>
      <c r="Q1001" t="n">
        <v>0</v>
      </c>
      <c r="R1001" t="n">
        <v>0</v>
      </c>
      <c r="S1001">
        <f>IFERROR(O1001/N1001,0)</f>
        <v/>
      </c>
      <c r="T1001" t="n">
        <v>0</v>
      </c>
      <c r="V1001" t="n">
        <v>0</v>
      </c>
    </row>
    <row r="1002">
      <c r="A1002">
        <f>Skills!A19</f>
        <v/>
      </c>
      <c r="B1002">
        <f>Skills!B19</f>
        <v/>
      </c>
      <c r="C1002">
        <f>Inputs!$B$3&gt;=40</f>
        <v/>
      </c>
      <c r="D1002">
        <f>IF(Skills!C19=1,60+Inputs!$B$25+Inputs!$B$29,IF(Skills!C19=2,90+Inputs!$B$26+Inputs!$B$29,IF(Skills!C19=3,120+Inputs!$B$27+Inputs!$B$29,MAX(0,(Inputs!$B$3-100)*3)+Inputs!$B$28+Inputs!$B$29)))</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f>(1-Summary!$B$55)*T1002+Summary!$B$55*V1002</f>
        <v/>
      </c>
      <c r="P1002">
        <f>IF(B1018=0,0,O1002/B1018)</f>
        <v/>
      </c>
      <c r="Q1002" t="n">
        <v>0</v>
      </c>
      <c r="R1002" t="n">
        <v>0</v>
      </c>
      <c r="S1002">
        <f>IFERROR(O1002/N1002,0)</f>
        <v/>
      </c>
      <c r="T1002" t="n">
        <v>0</v>
      </c>
      <c r="V1002" t="n">
        <v>0</v>
      </c>
    </row>
    <row r="1003">
      <c r="A1003">
        <f>Skills!A20</f>
        <v/>
      </c>
      <c r="B1003">
        <f>Skills!B20</f>
        <v/>
      </c>
      <c r="C1003">
        <f>Inputs!$B$3&gt;=43</f>
        <v/>
      </c>
      <c r="D1003">
        <f>IF(Skills!C20=1,60+Inputs!$B$25+Inputs!$B$29,IF(Skills!C20=2,90+Inputs!$B$26+Inputs!$B$29,IF(Skills!C20=3,120+Inputs!$B$27+Inputs!$B$29,MAX(0,(Inputs!$B$3-100)*3)+Inputs!$B$28+Inputs!$B$29)))</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f>(1-Summary!$B$55)*T1003+Summary!$B$55*V1003</f>
        <v/>
      </c>
      <c r="P1003">
        <f>IF(B1018=0,0,O1003/B1018)</f>
        <v/>
      </c>
      <c r="Q1003" t="n">
        <v>0</v>
      </c>
      <c r="R1003" t="n">
        <v>0</v>
      </c>
      <c r="S1003">
        <f>IFERROR(O1003/N1003,0)</f>
        <v/>
      </c>
      <c r="T1003" t="n">
        <v>0</v>
      </c>
      <c r="V1003" t="n">
        <v>0</v>
      </c>
    </row>
    <row r="1004">
      <c r="A1004">
        <f>Skills!A21</f>
        <v/>
      </c>
      <c r="B1004">
        <f>Skills!B21</f>
        <v/>
      </c>
      <c r="C1004">
        <f>Inputs!$B$3&gt;=38</f>
        <v/>
      </c>
      <c r="D1004">
        <f>IF(Skills!C21=1,60+Inputs!$B$25+Inputs!$B$29,IF(Skills!C21=2,90+Inputs!$B$26+Inputs!$B$29,IF(Skills!C21=3,120+Inputs!$B$27+Inputs!$B$29,MAX(0,(Inputs!$B$3-100)*3)+Inputs!$B$28+Inputs!$B$29)))</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f>(1-Summary!$B$55)*T1004+Summary!$B$55*V1004</f>
        <v/>
      </c>
      <c r="P1004">
        <f>IF(B1018=0,0,O1004/B1018)</f>
        <v/>
      </c>
      <c r="Q1004" t="n">
        <v>0</v>
      </c>
      <c r="R1004" t="n">
        <v>0</v>
      </c>
      <c r="S1004">
        <f>IFERROR(O1004/N1004,0)</f>
        <v/>
      </c>
      <c r="T1004" t="n">
        <v>0</v>
      </c>
      <c r="V1004" t="n">
        <v>0</v>
      </c>
    </row>
    <row r="1005">
      <c r="A1005">
        <f>Skills!A22</f>
        <v/>
      </c>
      <c r="B1005">
        <f>Skills!B22</f>
        <v/>
      </c>
      <c r="C1005">
        <f>Inputs!$B$3&gt;=75</f>
        <v/>
      </c>
      <c r="D1005">
        <f>IF(Skills!C22=1,60+Inputs!$B$25+Inputs!$B$29,IF(Skills!C22=2,90+Inputs!$B$26+Inputs!$B$29,IF(Skills!C22=3,120+Inputs!$B$27+Inputs!$B$29,MAX(0,(Inputs!$B$3-100)*3)+Inputs!$B$28+Inputs!$B$29)))</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f>(1-Summary!$B$55)*T1005+Summary!$B$55*V1005</f>
        <v/>
      </c>
      <c r="P1005">
        <f>IF(B1018=0,0,O1005/B1018)</f>
        <v/>
      </c>
      <c r="Q1005" t="n">
        <v>0</v>
      </c>
      <c r="R1005" t="n">
        <v>0</v>
      </c>
      <c r="S1005">
        <f>IFERROR(O1005/N1005,0)</f>
        <v/>
      </c>
      <c r="T1005" t="n">
        <v>0</v>
      </c>
      <c r="V1005" t="n">
        <v>0</v>
      </c>
    </row>
    <row r="1007">
      <c r="A1007" t="inlineStr">
        <is>
          <t>Attack% Bucket Multiplier</t>
        </is>
      </c>
      <c r="B1007">
        <f>(1+(((C996=TRUE)*F996)+((C1002=TRUE)*(F1002-Calc!F19)))/100)</f>
        <v/>
      </c>
    </row>
    <row r="1008">
      <c r="A1008" t="inlineStr">
        <is>
          <t>Global Crit Rate Bonus %</t>
        </is>
      </c>
      <c r="B1008" t="n">
        <v>0</v>
      </c>
    </row>
    <row r="1009">
      <c r="A1009" t="inlineStr">
        <is>
          <t>Attack Speed Buff Bonus % (unused)</t>
        </is>
      </c>
      <c r="B1009" t="n">
        <v>0</v>
      </c>
    </row>
    <row r="1010">
      <c r="A1010" t="inlineStr">
        <is>
          <t>Actions Per Second</t>
        </is>
      </c>
      <c r="B1010">
        <f>1+MIN(150,150*(1-(1-(Inputs!$B$11+((C1000=TRUE)*(F1000-Calc!F17))+((C1001=TRUE)*(F1001-Calc!F18)))/150)*(1-B1009/150)))/100</f>
        <v/>
      </c>
    </row>
    <row r="1011">
      <c r="A1011" t="inlineStr">
        <is>
          <t>Skill + Buff Cast Rate</t>
        </is>
      </c>
      <c r="B1011">
        <f>IF(AND(Inputs!$B$38&lt;&gt;"pvp",Inputs!$B$43&gt;0),SUMPRODUCT((Skills!E2:E22=TRUE)*(C985:C1005=TRUE)*R985:R1005*Skills!F2:F22)/Inputs!$B$43,SUMPRODUCT((Skills!E2:E22=TRUE)*(C985:C1005=TRUE)*Q985:Q1005*Skills!F2:F22))</f>
        <v/>
      </c>
    </row>
    <row r="1012">
      <c r="A1012" t="inlineStr">
        <is>
          <t>Hook Bomber Casts Per Second</t>
        </is>
      </c>
      <c r="B1012">
        <f>MAX(0,B1010-B1011)</f>
        <v/>
      </c>
    </row>
    <row r="1013">
      <c r="A1013" t="inlineStr">
        <is>
          <t>Global Critical Damage Bonus % (unused)</t>
        </is>
      </c>
      <c r="B1013" t="n">
        <v>0</v>
      </c>
    </row>
    <row r="1014">
      <c r="A1014" t="inlineStr">
        <is>
          <t>Global Final Damage Bonus % (Serpent Scale + Crossbones + Time Leap + Speed Infusion)</t>
        </is>
      </c>
      <c r="B1014">
        <f>((C988=TRUE)*F988*((10+IF(Inputs!$B$3&gt;=94,5,0))/((10+IF(Inputs!$B$3&gt;=94,5,0))+5/(B1012*(1+IF(Inputs!$B$3&gt;=104,1,0))))))+((C997=TRUE)*F997)+((C998=TRUE)*F998)+((Inputs!$B$3&gt;=110)*20*(B1010-1))</f>
        <v/>
      </c>
    </row>
    <row r="1015">
      <c r="A1015" t="inlineStr">
        <is>
          <t>Buff-Casting Startup Delay (s, fixed-duration only)</t>
        </is>
      </c>
      <c r="B1015">
        <f>IF(AND(Inputs!$B$38&lt;&gt;"pvp",Inputs!$B$43&gt;0),SUMPRODUCT((Skills!T2:T22&gt;0)*(Skills!E2:E22=TRUE)*(C985:C1005=TRUE))/B1010,0)</f>
        <v/>
      </c>
    </row>
    <row r="1016">
      <c r="A1016" t="inlineStr">
        <is>
          <t>Boss-Only Total DPS (this block's swept value)</t>
        </is>
      </c>
      <c r="B1016">
        <f>SUM(T985:T1005)</f>
        <v/>
      </c>
    </row>
    <row r="1017">
      <c r="A1017" t="inlineStr">
        <is>
          <t>Normal-Only Total DPS (this block's swept value)</t>
        </is>
      </c>
      <c r="B1017">
        <f>SUM(V985:V1005)</f>
        <v/>
      </c>
    </row>
    <row r="1018">
      <c r="A1018" s="5" t="inlineStr">
        <is>
          <t>TOTAL DPS</t>
        </is>
      </c>
      <c r="B1018" s="5">
        <f>SUM(O985:O1005)</f>
        <v/>
      </c>
    </row>
    <row r="1021">
      <c r="A1021" s="7" t="inlineStr">
        <is>
          <t>Cooldown Reduction Milestone Sweep (absolute CDR seconds, fixed-duration content only)</t>
        </is>
      </c>
    </row>
    <row r="1022">
      <c r="A1022" s="9" t="inlineStr">
        <is>
          <t>CDR (s)</t>
        </is>
      </c>
      <c r="B1022" s="9" t="inlineStr">
        <is>
          <t>Total DPS</t>
        </is>
      </c>
      <c r="C1022" s="9" t="inlineStr">
        <is>
          <t>DPS Gain (vs prior step)</t>
        </is>
      </c>
      <c r="D1022" s="9" t="inlineStr">
        <is>
          <t>% Gain (vs current CDR)</t>
        </is>
      </c>
    </row>
    <row r="1023">
      <c r="A1023" t="n">
        <v>0.5</v>
      </c>
      <c r="B1023">
        <f>B1070</f>
        <v/>
      </c>
      <c r="C1023" t="n">
        <v>0</v>
      </c>
      <c r="D1023">
        <f>IF(Summary!$B$3=0,0,(B1023-Summary!$B$3)/Summary!$B$3*100)</f>
        <v/>
      </c>
    </row>
    <row r="1024">
      <c r="A1024" t="n">
        <v>1</v>
      </c>
      <c r="B1024">
        <f>B1108</f>
        <v/>
      </c>
      <c r="C1024">
        <f>B1024-B1023</f>
        <v/>
      </c>
      <c r="D1024">
        <f>IF(Summary!$B$3=0,0,(B1024-Summary!$B$3)/Summary!$B$3*100)</f>
        <v/>
      </c>
    </row>
    <row r="1025">
      <c r="A1025" t="n">
        <v>1.5</v>
      </c>
      <c r="B1025">
        <f>B1146</f>
        <v/>
      </c>
      <c r="C1025">
        <f>B1025-B1024</f>
        <v/>
      </c>
      <c r="D1025">
        <f>IF(Summary!$B$3=0,0,(B1025-Summary!$B$3)/Summary!$B$3*100)</f>
        <v/>
      </c>
    </row>
    <row r="1026">
      <c r="A1026" t="n">
        <v>2</v>
      </c>
      <c r="B1026">
        <f>B1184</f>
        <v/>
      </c>
      <c r="C1026">
        <f>B1026-B1025</f>
        <v/>
      </c>
      <c r="D1026">
        <f>IF(Summary!$B$3=0,0,(B1026-Summary!$B$3)/Summary!$B$3*100)</f>
        <v/>
      </c>
    </row>
    <row r="1027">
      <c r="A1027" t="n">
        <v>2.5</v>
      </c>
      <c r="B1027">
        <f>B1222</f>
        <v/>
      </c>
      <c r="C1027">
        <f>B1027-B1026</f>
        <v/>
      </c>
      <c r="D1027">
        <f>IF(Summary!$B$3=0,0,(B1027-Summary!$B$3)/Summary!$B$3*100)</f>
        <v/>
      </c>
    </row>
    <row r="1028">
      <c r="A1028" t="n">
        <v>3</v>
      </c>
      <c r="B1028">
        <f>B1260</f>
        <v/>
      </c>
      <c r="C1028">
        <f>B1028-B1027</f>
        <v/>
      </c>
      <c r="D1028">
        <f>IF(Summary!$B$3=0,0,(B1028-Summary!$B$3)/Summary!$B$3*100)</f>
        <v/>
      </c>
    </row>
    <row r="1029">
      <c r="A1029" t="n">
        <v>3.5</v>
      </c>
      <c r="B1029">
        <f>B1298</f>
        <v/>
      </c>
      <c r="C1029">
        <f>B1029-B1028</f>
        <v/>
      </c>
      <c r="D1029">
        <f>IF(Summary!$B$3=0,0,(B1029-Summary!$B$3)/Summary!$B$3*100)</f>
        <v/>
      </c>
    </row>
    <row r="1030">
      <c r="A1030" t="n">
        <v>4</v>
      </c>
      <c r="B1030">
        <f>B1336</f>
        <v/>
      </c>
      <c r="C1030">
        <f>B1030-B1029</f>
        <v/>
      </c>
      <c r="D1030">
        <f>IF(Summary!$B$3=0,0,(B1030-Summary!$B$3)/Summary!$B$3*100)</f>
        <v/>
      </c>
    </row>
    <row r="1031">
      <c r="A1031" t="n">
        <v>4.5</v>
      </c>
      <c r="B1031">
        <f>B1374</f>
        <v/>
      </c>
      <c r="C1031">
        <f>B1031-B1030</f>
        <v/>
      </c>
      <c r="D1031">
        <f>IF(Summary!$B$3=0,0,(B1031-Summary!$B$3)/Summary!$B$3*100)</f>
        <v/>
      </c>
    </row>
    <row r="1032">
      <c r="A1032" t="n">
        <v>5</v>
      </c>
      <c r="B1032">
        <f>B1412</f>
        <v/>
      </c>
      <c r="C1032">
        <f>B1032-B1031</f>
        <v/>
      </c>
      <c r="D1032">
        <f>IF(Summary!$B$3=0,0,(B1032-Summary!$B$3)/Summary!$B$3*100)</f>
        <v/>
      </c>
    </row>
    <row r="1035">
      <c r="A1035" s="5" t="inlineStr">
        <is>
          <t>Stat: CDR = 0.5s</t>
        </is>
      </c>
    </row>
    <row r="1036">
      <c r="A1036" s="9" t="inlineStr">
        <is>
          <t>Key</t>
        </is>
      </c>
      <c r="B1036" s="9" t="inlineStr">
        <is>
          <t>Name</t>
        </is>
      </c>
      <c r="C1036" s="9" t="inlineStr">
        <is>
          <t>Unlocked</t>
        </is>
      </c>
      <c r="D1036" s="9" t="inlineStr">
        <is>
          <t>InputLevel</t>
        </is>
      </c>
      <c r="E1036" s="9" t="inlineStr">
        <is>
          <t>Factor</t>
        </is>
      </c>
      <c r="F1036" s="9" t="inlineStr">
        <is>
          <t>CoefficientPercent</t>
        </is>
      </c>
      <c r="G1036" s="9" t="inlineStr">
        <is>
          <t>EffectiveHits</t>
        </is>
      </c>
      <c r="H1036" s="9" t="inlineStr">
        <is>
          <t>ProcProbability</t>
        </is>
      </c>
      <c r="I1036" s="9" t="inlineStr">
        <is>
          <t>MapleHeroMultiplier</t>
        </is>
      </c>
      <c r="J1036" s="9" t="inlineStr">
        <is>
          <t>BaseDamage</t>
        </is>
      </c>
      <c r="K1036" s="9" t="inlineStr">
        <is>
          <t>BaseHitDamage</t>
        </is>
      </c>
      <c r="L1036" s="9" t="inlineStr">
        <is>
          <t>NonCritAvg</t>
        </is>
      </c>
      <c r="M1036" s="9" t="inlineStr">
        <is>
          <t>CritAvg</t>
        </is>
      </c>
      <c r="N1036" s="9" t="inlineStr">
        <is>
          <t>ExpectedDamage(perHit)</t>
        </is>
      </c>
      <c r="O1036" s="9" t="inlineStr">
        <is>
          <t>DPS</t>
        </is>
      </c>
      <c r="P1036" s="9" t="inlineStr">
        <is>
          <t>% of Total</t>
        </is>
      </c>
      <c r="Q1036" s="9" t="inlineStr">
        <is>
          <t>InvCooldown</t>
        </is>
      </c>
      <c r="R1036" s="9" t="inlineStr">
        <is>
          <t>CastsInFight</t>
        </is>
      </c>
      <c r="S1036" s="9" t="inlineStr">
        <is>
          <t>HitRate(perSec)</t>
        </is>
      </c>
      <c r="U1036" t="inlineStr">
        <is>
          <t>helpers</t>
        </is>
      </c>
    </row>
    <row r="1037">
      <c r="A1037">
        <f>Skills!A2</f>
        <v/>
      </c>
      <c r="B1037">
        <f>Skills!B2</f>
        <v/>
      </c>
      <c r="C1037">
        <f>Inputs!$B$3&gt;=100</f>
        <v/>
      </c>
      <c r="D1037" t="inlineStr"/>
      <c r="E1037" t="inlineStr"/>
      <c r="F1037">
        <f>U1039+Skills!O2</f>
        <v/>
      </c>
      <c r="G1037">
        <f>Skills!G2*IF(Skills!H2&gt;0,Skills!I2/Skills!H2,1)</f>
        <v/>
      </c>
      <c r="H1037">
        <f>1-(1-Skills!J2/100)^Skills!K2</f>
        <v/>
      </c>
      <c r="I1037" t="inlineStr">
        <is>
          <t>1</t>
        </is>
      </c>
      <c r="J1037">
        <f>((Inputs!$B$6*(1+Inputs!$B$7/100))+(((Inputs!$B$12*(1+Inputs!$B$13/100))-(Inputs!$B$12*(1+Inputs!$B$13/100)))+0.25*(Inputs!$B$14-Inputs!$B$14))*(1+Inputs!$B$7/100))*(F1037/100)</f>
        <v/>
      </c>
      <c r="K1037">
        <f>J1037*(1+((Inputs!$B$12*(1+Inputs!$B$13/100))*0.01+Inputs!$B$14*0.0025)/100)*(1+Inputs!$B$15/100)*(1+Inputs!$B$16/100)*(5000/(6000+Inputs!$B$42*(1-(Inputs!$B$19+0)/100)))*(1+(Inputs!$B$24+((C1057=TRUE)*(F1057-Calc!F22))+B1066)/100)*(1+(IF(Skills!A2="HOOK_BOMBER",Inputs!$B$17+((C1056=TRUE)*(F1056-Calc!F21)),Inputs!$B$18+0))/100)*((1+(((C1048=TRUE)*F1048)+((C1054=TRUE)*(F1054-Calc!F19)))/100)*I1037)</f>
        <v/>
      </c>
      <c r="L1037">
        <f>K1037*(MIN(Inputs!$B$22+((C1055=TRUE)*(F1055-Calc!F20)),Inputs!$B$23+0)/100+(Inputs!$B$23+0)/100)/2</f>
        <v/>
      </c>
      <c r="M1037">
        <f>L1037*(1+(Inputs!$B$10+0+B1065)/100)</f>
        <v/>
      </c>
      <c r="N1037">
        <f>L1037*(1-MIN((Inputs!$B$9+((C1051=TRUE)*(F1051-Calc!F16))+B1060),100)/100)+M1037*(MIN((Inputs!$B$9+((C1051=TRUE)*(F1051-Calc!F16))+B1060),100)/100)</f>
        <v/>
      </c>
      <c r="O1037">
        <f>(1-Summary!$B$55)*T1037+Summary!$B$55*V1037</f>
        <v/>
      </c>
      <c r="P1037">
        <f>IF(B1070=0,0,O1037/B1070)</f>
        <v/>
      </c>
      <c r="Q1037" t="n">
        <v>0</v>
      </c>
      <c r="R1037" t="n">
        <v>0</v>
      </c>
      <c r="S1037">
        <f>IFERROR(O1037/N1037,0)</f>
        <v/>
      </c>
      <c r="T1037">
        <f>IF(C1037,(Skills!G2*N1037*B1064)*IF(Inputs!$B$38="pvp",1,1+(Inputs!$B$20+0+Skills!P2)/100),0)</f>
        <v/>
      </c>
      <c r="U1037">
        <f>MAX(0,(Inputs!$B$3-100)*3)+Inputs!$B$28+Inputs!$B$29</f>
        <v/>
      </c>
      <c r="V1037">
        <f>IF(C1037,(Skills!G2*N1037*B1064)*IF(Inputs!$B$38="pvp",1,(1+(Inputs!$B$21+Skills!Q2)/100)*(MIN((6+Inputs!$B$33),Inputs!$B$37))),0)</f>
        <v/>
      </c>
    </row>
    <row r="1038">
      <c r="A1038">
        <f>Skills!A3</f>
        <v/>
      </c>
      <c r="B1038">
        <f>Skills!B3</f>
        <v/>
      </c>
      <c r="C1038">
        <f>Inputs!$B$3&gt;=35</f>
        <v/>
      </c>
      <c r="D1038">
        <f>IF(Skills!C3=1,60+Inputs!$B$25+Inputs!$B$29,IF(Skills!C3=2,90+Inputs!$B$26+Inputs!$B$29,IF(Skills!C3=3,120+Inputs!$B$27+Inputs!$B$29,MAX(0,(Inputs!$B$3-100)*3)+Inputs!$B$28+Inputs!$B$29)))</f>
        <v/>
      </c>
      <c r="E1038">
        <f>INDEX(FactorTable!$B$2:$Y$301, MATCH(ROUND(MIN(300,MAX(1,D1038)),0), FactorTable!$A$2:$A$301,0), Skills!M3+1)</f>
        <v/>
      </c>
      <c r="F1038">
        <f>IF(Skills!N3=TRUE,(Skills!L3/10)*(E1038/1000),Skills!L3/10)+Skills!O3</f>
        <v/>
      </c>
      <c r="G1038">
        <f>Skills!G3*IF(Skills!H3&gt;0,Skills!I3/Skills!H3,1)</f>
        <v/>
      </c>
      <c r="H1038">
        <f>1-(1-Skills!J3/100)^Skills!K3</f>
        <v/>
      </c>
      <c r="I1038" t="inlineStr">
        <is>
          <t>1</t>
        </is>
      </c>
      <c r="J1038">
        <f>((Inputs!$B$6*(1+Inputs!$B$7/100))+(((Inputs!$B$12*(1+Inputs!$B$13/100))-(Inputs!$B$12*(1+Inputs!$B$13/100)))+0.25*(Inputs!$B$14-Inputs!$B$14))*(1+Inputs!$B$7/100))*(F1038/100)</f>
        <v/>
      </c>
      <c r="K1038">
        <f>J1038*(1+((Inputs!$B$12*(1+Inputs!$B$13/100))*0.01+Inputs!$B$14*0.0025)/100)*(1+Inputs!$B$15/100)*(1+Inputs!$B$16/100)*(5000/(6000+Inputs!$B$42*(1-(Inputs!$B$19+0)/100)))*(1+(Inputs!$B$24+((C1057=TRUE)*(F1057-Calc!F22))+B1066)/100)*(1+(IF(Skills!A3="HOOK_BOMBER",Inputs!$B$17+((C1056=TRUE)*(F1056-Calc!F21)),Inputs!$B$18+0))/100)*((1+(((C1048=TRUE)*F1048)+((C1054=TRUE)*(F1054-Calc!F19)))/100)*I1038)</f>
        <v/>
      </c>
      <c r="L1038">
        <f>K1038*(MIN(Inputs!$B$22+((C1055=TRUE)*(F1055-Calc!F20)),Inputs!$B$23+0)/100+(Inputs!$B$23+0)/100)/2</f>
        <v/>
      </c>
      <c r="M1038">
        <f>L1038*(1+(Inputs!$B$10+0+B1065)/100)</f>
        <v/>
      </c>
      <c r="N1038">
        <f>L1038*(1-MIN((Inputs!$B$9+((C1051=TRUE)*(F1051-Calc!F16))+B1060),100)/100)+M1038*(MIN((Inputs!$B$9+((C1051=TRUE)*(F1051-Calc!F16))+B1060),100)/100)</f>
        <v/>
      </c>
      <c r="O1038">
        <f>(1-Summary!$B$55)*T1038+Summary!$B$55*V1038</f>
        <v/>
      </c>
      <c r="P1038">
        <f>IF(B1070=0,0,O1038/B1070)</f>
        <v/>
      </c>
      <c r="Q1038" t="n">
        <v>0</v>
      </c>
      <c r="R1038" t="n">
        <v>0</v>
      </c>
      <c r="S1038">
        <f>IFERROR(O1038/N1038,0)</f>
        <v/>
      </c>
      <c r="T1038">
        <f>IF(C1038,(Skills!G3*H1038*N1038*B1064)*IF(Inputs!$B$38="pvp",1,1+(Inputs!$B$20+0+Skills!P3)/100),0)</f>
        <v/>
      </c>
      <c r="U1038">
        <f>INDEX(FactorTable!$B$2:$Y$301, MATCH(ROUND(MIN(300,MAX(1,U1037)),0), FactorTable!$A$2:$A$301,0), 22)</f>
        <v/>
      </c>
      <c r="V1038">
        <f>IF(C1038,(Skills!G3*H1038*N1038*B1064)*IF(Inputs!$B$38="pvp",1,(1+(Inputs!$B$21+Skills!Q3)/100)*(MIN(Skills!R3,Inputs!$B$37))),0)</f>
        <v/>
      </c>
    </row>
    <row r="1039">
      <c r="A1039">
        <f>Skills!A4</f>
        <v/>
      </c>
      <c r="B1039">
        <f>Skills!B4</f>
        <v/>
      </c>
      <c r="C1039">
        <f>Inputs!$B$3&gt;=60</f>
        <v/>
      </c>
      <c r="D1039">
        <f>IF(Skills!C4=1,60+Inputs!$B$25+Inputs!$B$29,IF(Skills!C4=2,90+Inputs!$B$26+Inputs!$B$29,IF(Skills!C4=3,120+Inputs!$B$27+Inputs!$B$29,MAX(0,(Inputs!$B$3-100)*3)+Inputs!$B$28+Inputs!$B$29)))</f>
        <v/>
      </c>
      <c r="E1039">
        <f>INDEX(FactorTable!$B$2:$Y$301, MATCH(ROUND(MIN(300,MAX(1,D1039)),0), FactorTable!$A$2:$A$301,0), Skills!M4+1)</f>
        <v/>
      </c>
      <c r="F1039">
        <f>IF(Skills!N4=TRUE,(Skills!L4/10)*(E1039/1000),Skills!L4/10)+Skills!O4</f>
        <v/>
      </c>
      <c r="G1039">
        <f>Skills!G4*IF(Skills!H4&gt;0,Skills!I4/Skills!H4,1)</f>
        <v/>
      </c>
      <c r="H1039">
        <f>1-(1-Skills!J4/100)^Skills!K4</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C1057=TRUE)*(F1057-Calc!F22))+B1066)/100)*(1+1.0*IF(C1047=TRUE,F1047,0)/100)*(1+(IF(Skills!A4="HOOK_BOMBER",Inputs!$B$17+((C1056=TRUE)*(F1056-Calc!F21)),Inputs!$B$18+0))/100)*((1+(((C1048=TRUE)*F1048)+((C1054=TRUE)*(F1054-Calc!F19)))/100)*I1039)</f>
        <v/>
      </c>
      <c r="L1039">
        <f>K1039*(MIN(Inputs!$B$22+((C1055=TRUE)*(F1055-Calc!F20)),Inputs!$B$23+0)/100+(Inputs!$B$23+0)/100)/2</f>
        <v/>
      </c>
      <c r="M1039">
        <f>L1039*(1+(Inputs!$B$10+0+B1065)/100)</f>
        <v/>
      </c>
      <c r="N1039">
        <f>L1039*(1-MIN((Inputs!$B$9+((C1051=TRUE)*(F1051-Calc!F16))+B1060),100)/100)+M1039*(MIN((Inputs!$B$9+((C1051=TRUE)*(F1051-Calc!F16))+B1060),100)/100)</f>
        <v/>
      </c>
      <c r="O1039">
        <f>(1-Summary!$B$55)*T1039+Summary!$B$55*V1039</f>
        <v/>
      </c>
      <c r="P1039">
        <f>IF(B1070=0,0,O1039/B1070)</f>
        <v/>
      </c>
      <c r="Q1039" t="n">
        <v>0</v>
      </c>
      <c r="R1039" t="n">
        <v>0</v>
      </c>
      <c r="S1039">
        <f>IFERROR(O1039/N1039,0)</f>
        <v/>
      </c>
      <c r="T1039">
        <f>IF(C1039,(Skills!G4*H1039*N1039*B1064)*IF(Inputs!$B$38="pvp",1,1+(Inputs!$B$20+0+Skills!P4)/100),0)</f>
        <v/>
      </c>
      <c r="U1039">
        <f>290*U1038/1000</f>
        <v/>
      </c>
      <c r="V1039">
        <f>IF(C1039,(Skills!G4*H1039*N1039*B1064)*IF(Inputs!$B$38="pvp",1,(1+(Inputs!$B$21+Skills!Q4)/100)*(MIN(Skills!R4,Inputs!$B$37))),0)</f>
        <v/>
      </c>
    </row>
    <row r="1040">
      <c r="A1040">
        <f>Skills!A5</f>
        <v/>
      </c>
      <c r="B1040">
        <f>Skills!B5</f>
        <v/>
      </c>
      <c r="C1040">
        <f>Inputs!$B$3&gt;=60</f>
        <v/>
      </c>
      <c r="D1040">
        <f>IF(Skills!C5=1,60+Inputs!$B$25+Inputs!$B$29,IF(Skills!C5=2,90+Inputs!$B$26+Inputs!$B$29,IF(Skills!C5=3,120+Inputs!$B$27+Inputs!$B$29,MAX(0,(Inputs!$B$3-100)*3)+Inputs!$B$28+Inputs!$B$29)))</f>
        <v/>
      </c>
      <c r="E1040">
        <f>INDEX(FactorTable!$B$2:$Y$301, MATCH(ROUND(MIN(300,MAX(1,D1040)),0), FactorTable!$A$2:$A$301,0), Skills!M5+1)</f>
        <v/>
      </c>
      <c r="F1040">
        <f>IF(Skills!N5=TRUE,(Skills!L5/10)*(E1040/1000),Skills!L5/10)+Skills!O5</f>
        <v/>
      </c>
      <c r="G1040">
        <f>Skills!G5*IF(Skills!H5&gt;0,Skills!I5/Skills!H5,1)</f>
        <v/>
      </c>
      <c r="H1040">
        <f>1-(1-Skills!J5/100)^Skills!K5</f>
        <v/>
      </c>
      <c r="I1040" t="inlineStr">
        <is>
          <t>1</t>
        </is>
      </c>
      <c r="J1040" t="inlineStr"/>
      <c r="K1040" t="inlineStr"/>
      <c r="L1040" t="inlineStr"/>
      <c r="M1040" t="inlineStr"/>
      <c r="N1040" t="inlineStr"/>
      <c r="O1040">
        <f>(1-Summary!$B$55)*T1040+Summary!$B$55*V1040</f>
        <v/>
      </c>
      <c r="P1040">
        <f>IF(B1070=0,0,O1040/B1070)</f>
        <v/>
      </c>
      <c r="Q1040" t="n">
        <v>0</v>
      </c>
      <c r="R1040" t="n">
        <v>0</v>
      </c>
      <c r="S1040">
        <f>IFERROR(O1040/N1040,0)</f>
        <v/>
      </c>
      <c r="T1040" t="n">
        <v>0</v>
      </c>
      <c r="V1040" t="n">
        <v>0</v>
      </c>
    </row>
    <row r="1041">
      <c r="A1041">
        <f>Skills!A6</f>
        <v/>
      </c>
      <c r="B1041">
        <f>Skills!B6</f>
        <v/>
      </c>
      <c r="C1041">
        <f>Inputs!$B$3&gt;=63</f>
        <v/>
      </c>
      <c r="D1041">
        <f>IF(Skills!C6=1,60+Inputs!$B$25+Inputs!$B$29,IF(Skills!C6=2,90+Inputs!$B$26+Inputs!$B$29,IF(Skills!C6=3,120+Inputs!$B$27+Inputs!$B$29,MAX(0,(Inputs!$B$3-100)*3)+Inputs!$B$28+Inputs!$B$29)))</f>
        <v/>
      </c>
      <c r="E1041">
        <f>INDEX(FactorTable!$B$2:$Y$301, MATCH(ROUND(MIN(300,MAX(1,D1041)),0), FactorTable!$A$2:$A$301,0), Skills!M6+1)</f>
        <v/>
      </c>
      <c r="F1041">
        <f>IF(Skills!N6=TRUE,(Skills!L6/10)*(E1041/1000),Skills!L6/10)+Skills!O6</f>
        <v/>
      </c>
      <c r="G1041">
        <f>Skills!G6*IF(Skills!H6&gt;0,Skills!I6/Skills!H6,1)</f>
        <v/>
      </c>
      <c r="H1041">
        <f>1-(1-Skills!J6/100)^Skills!K6</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C1057=TRUE)*(F1057-Calc!F22))+B1066)/100)*(1+(IF(Skills!A6="HOOK_BOMBER",Inputs!$B$17+((C1056=TRUE)*(F1056-Calc!F21)),Inputs!$B$18+0))/100)*((1+(((C1048=TRUE)*F1048)+((C1054=TRUE)*(F1054-Calc!F19)))/100)*I1041)</f>
        <v/>
      </c>
      <c r="L1041">
        <f>K1041*(MIN(Inputs!$B$22+((C1055=TRUE)*(F1055-Calc!F20)),Inputs!$B$23+0)/100+(Inputs!$B$23+0)/100)/2</f>
        <v/>
      </c>
      <c r="M1041">
        <f>L1041*(1+(Inputs!$B$10+0+B1065)/100)</f>
        <v/>
      </c>
      <c r="N1041">
        <f>L1041*(1-MIN((Inputs!$B$9+((C1051=TRUE)*(F1051-Calc!F16))+B1060),100)/100)+M1041*(MIN((Inputs!$B$9+((C1051=TRUE)*(F1051-Calc!F16))+B1060),100)/100)</f>
        <v/>
      </c>
      <c r="O1041">
        <f>(1-Summary!$B$55)*T1041+Summary!$B$55*V1041</f>
        <v/>
      </c>
      <c r="P1041">
        <f>IF(B1070=0,0,O1041/B1070)</f>
        <v/>
      </c>
      <c r="Q1041">
        <f>IFERROR(1/IF(Inputs!$B$38="pvp",15,MAX(0.1,Skills!D6-IF(Skills!E6=TRUE,0.5,0))),0)</f>
        <v/>
      </c>
      <c r="R1041">
        <f>IF(AND(Inputs!$B$38&lt;&gt;"pvp",Inputs!$B$43&gt;0),IF(MAX(0,Inputs!$B$43-B1067)&lt;=0,0,(INT(MAX(0,Inputs!$B$43-B1067)/IF(Inputs!$B$38="pvp",15,MAX(0.1,Skills!D6-IF(Skills!E6=TRUE,0.5,0))))+1)),0)</f>
        <v/>
      </c>
      <c r="S1041">
        <f>IFERROR(O1041/N1041,0)</f>
        <v/>
      </c>
      <c r="T1041">
        <f>IF(C1041,(H1041*N1041*IF(AND(Inputs!$B$38&lt;&gt;"pvp",Inputs!$B$43&gt;0),((Skills!G6*((R1041-1)*IF(Skills!H6&gt;0,Skills!I6/Skills!H6,1)+IF(Skills!H6&gt;0,MIN(Skills!I6,MAX(0,MAX(0,Inputs!$B$43-B1067)-((R1041-1)*IF(Inputs!$B$38="pvp",15,MAX(0.1,Skills!D6-IF(Skills!E6=TRUE,0.5,0))))))/Skills!H6,1)))/Inputs!$B$43),G1041*Q1041))*IF(Inputs!$B$38="pvp",1,1+(Inputs!$B$20+0+Skills!P6)/100),0)</f>
        <v/>
      </c>
      <c r="V1041">
        <f>IF(C1041,(H1041*N1041*IF(AND(Inputs!$B$38&lt;&gt;"pvp",Inputs!$B$43&gt;0),((Skills!G6*((R1041-1)*IF(Skills!H6&gt;0,Skills!I6/Skills!H6,1)+IF(Skills!H6&gt;0,MIN(Skills!I6,MAX(0,MAX(0,Inputs!$B$43-B1067)-((R1041-1)*IF(Inputs!$B$38="pvp",15,MAX(0.1,Skills!D6-IF(Skills!E6=TRUE,0.5,0))))))/Skills!H6,1)))/Inputs!$B$43),G1041*Q1041))*IF(Inputs!$B$38="pvp",1,(1+(Inputs!$B$21+Skills!Q6)/100)*(MIN(Skills!R6,Inputs!$B$37))),0)</f>
        <v/>
      </c>
    </row>
    <row r="1042">
      <c r="A1042">
        <f>Skills!A7</f>
        <v/>
      </c>
      <c r="B1042">
        <f>Skills!B7</f>
        <v/>
      </c>
      <c r="C1042">
        <f>Inputs!$B$3&gt;=100</f>
        <v/>
      </c>
      <c r="D1042">
        <f>IF(Skills!C7=1,60+Inputs!$B$25+Inputs!$B$29,IF(Skills!C7=2,90+Inputs!$B$26+Inputs!$B$29,IF(Skills!C7=3,120+Inputs!$B$27+Inputs!$B$29,MAX(0,(Inputs!$B$3-100)*3)+Inputs!$B$28+Inputs!$B$29)))</f>
        <v/>
      </c>
      <c r="E1042">
        <f>INDEX(FactorTable!$B$2:$Y$301, MATCH(ROUND(MIN(300,MAX(1,D1042)),0), FactorTable!$A$2:$A$301,0), Skills!M7+1)</f>
        <v/>
      </c>
      <c r="F1042">
        <f>IF(Skills!N7=TRUE,(Skills!L7/10)*(E1042/1000),Skills!L7/10)+Skills!O7</f>
        <v/>
      </c>
      <c r="G1042">
        <f>Skills!G7*IF(Skills!H7&gt;0,Skills!I7/Skills!H7,1)</f>
        <v/>
      </c>
      <c r="H1042">
        <f>1-(1-Skills!J7/100)^Skills!K7</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C1057=TRUE)*(F1057-Calc!F22))+B1066)/100)*(1+(IF(Skills!A7="HOOK_BOMBER",Inputs!$B$17+((C1056=TRUE)*(F1056-Calc!F21)),Inputs!$B$18+0))/100)*((1+(((C1048=TRUE)*F1048)+((C1054=TRUE)*(F1054-Calc!F19)))/100)*I1042)</f>
        <v/>
      </c>
      <c r="L1042">
        <f>K1042*(MIN(Inputs!$B$22+((C1055=TRUE)*(F1055-Calc!F20)),Inputs!$B$23+0)/100+(Inputs!$B$23+0)/100)/2</f>
        <v/>
      </c>
      <c r="M1042">
        <f>L1042*(1+(Inputs!$B$10+0+B1065)/100)</f>
        <v/>
      </c>
      <c r="N1042">
        <f>L1042*(1-MIN((Inputs!$B$9+((C1051=TRUE)*(F1051-Calc!F16))+B1060),100)/100)+M1042*(MIN((Inputs!$B$9+((C1051=TRUE)*(F1051-Calc!F16))+B1060),100)/100)</f>
        <v/>
      </c>
      <c r="O1042">
        <f>(1-Summary!$B$55)*T1042+Summary!$B$55*V1042</f>
        <v/>
      </c>
      <c r="P1042">
        <f>IF(B1070=0,0,O1042/B1070)</f>
        <v/>
      </c>
      <c r="Q1042">
        <f>IFERROR(1/IF(Inputs!$B$38="pvp",15,MAX(0.1,Skills!D7-IF(Skills!E7=TRUE,0.5,0))),0)</f>
        <v/>
      </c>
      <c r="R1042">
        <f>IF(AND(Inputs!$B$38&lt;&gt;"pvp",Inputs!$B$43&gt;0),IF(MAX(0,Inputs!$B$43-B1067)&lt;=0,0,(INT(MAX(0,Inputs!$B$43-B1067)/IF(Inputs!$B$38="pvp",15,MAX(0.1,Skills!D7-IF(Skills!E7=TRUE,0.5,0))))+1)),0)</f>
        <v/>
      </c>
      <c r="S1042">
        <f>IFERROR(O1042/N1042,0)</f>
        <v/>
      </c>
      <c r="T1042">
        <f>IF(C1042,(H1042*N1042*IF(AND(Inputs!$B$38&lt;&gt;"pvp",Inputs!$B$43&gt;0),((Skills!G7*((R1042-1)*IF(Skills!H7&gt;0,Skills!I7/Skills!H7,1)+IF(Skills!H7&gt;0,MIN(Skills!I7,MAX(0,MAX(0,Inputs!$B$43-B1067)-((R1042-1)*IF(Inputs!$B$38="pvp",15,MAX(0.1,Skills!D7-IF(Skills!E7=TRUE,0.5,0))))))/Skills!H7,1)))/Inputs!$B$43),G1042*Q1042))*IF(Inputs!$B$38="pvp",1,1+(Inputs!$B$20+0+Skills!P7)/100),0)</f>
        <v/>
      </c>
      <c r="V1042">
        <f>IF(C1042,(H1042*N1042*IF(AND(Inputs!$B$38&lt;&gt;"pvp",Inputs!$B$43&gt;0),((Skills!G7*((R1042-1)*IF(Skills!H7&gt;0,Skills!I7/Skills!H7,1)+IF(Skills!H7&gt;0,MIN(Skills!I7,MAX(0,MAX(0,Inputs!$B$43-B1067)-((R1042-1)*IF(Inputs!$B$38="pvp",15,MAX(0.1,Skills!D7-IF(Skills!E7=TRUE,0.5,0))))))/Skills!H7,1)))/Inputs!$B$43),G1042*Q1042))*IF(Inputs!$B$38="pvp",1,(1+(Inputs!$B$21+Skills!Q7)/100)*(MIN(Skills!R7,Inputs!$B$37))),0)</f>
        <v/>
      </c>
    </row>
    <row r="1043">
      <c r="A1043">
        <f>Skills!A8</f>
        <v/>
      </c>
      <c r="B1043">
        <f>Skills!B8</f>
        <v/>
      </c>
      <c r="C1043">
        <f>Inputs!$B$3&gt;=110</f>
        <v/>
      </c>
      <c r="D1043">
        <f>IF(Skills!C8=1,60+Inputs!$B$25+Inputs!$B$29,IF(Skills!C8=2,90+Inputs!$B$26+Inputs!$B$29,IF(Skills!C8=3,120+Inputs!$B$27+Inputs!$B$29,MAX(0,(Inputs!$B$3-100)*3)+Inputs!$B$28+Inputs!$B$29)))</f>
        <v/>
      </c>
      <c r="E1043">
        <f>INDEX(FactorTable!$B$2:$Y$301, MATCH(ROUND(MIN(300,MAX(1,D1043)),0), FactorTable!$A$2:$A$301,0), Skills!M8+1)</f>
        <v/>
      </c>
      <c r="F1043">
        <f>IF(Skills!N8=TRUE,(Skills!L8/10)*(E1043/1000),Skills!L8/10)+Skills!O8</f>
        <v/>
      </c>
      <c r="G1043">
        <f>Skills!G8*IF(Skills!H8&gt;0,Skills!I8/Skills!H8,1)</f>
        <v/>
      </c>
      <c r="H1043">
        <f>1-(1-Skills!J8/100)^Skills!K8</f>
        <v/>
      </c>
      <c r="I1043" t="inlineStr">
        <is>
          <t>1</t>
        </is>
      </c>
      <c r="J1043">
        <f>((Inputs!$B$6*(1+Inputs!$B$7/100))+(((Inputs!$B$12*(1+Inputs!$B$13/100))-(Inputs!$B$12*(1+Inputs!$B$13/100)))+0.25*(Inputs!$B$14-Inputs!$B$14))*(1+Inputs!$B$7/100))*(F1043/100)</f>
        <v/>
      </c>
      <c r="K1043">
        <f>J1043*(1+((Inputs!$B$12*(1+Inputs!$B$13/100))*0.01+Inputs!$B$14*0.0025)/100)*(1+Inputs!$B$15/100)*(1+Inputs!$B$16/100)*(5000/(6000+Inputs!$B$42*(1-(Inputs!$B$19+0)/100)))*(1+(Inputs!$B$24+((C1057=TRUE)*(F1057-Calc!F22))+B1066)/100)*(1+(IF(Skills!A8="HOOK_BOMBER",Inputs!$B$17+((C1056=TRUE)*(F1056-Calc!F21)),Inputs!$B$18+0))/100)*((1+(((C1048=TRUE)*F1048)+((C1054=TRUE)*(F1054-Calc!F19)))/100)*I1043)</f>
        <v/>
      </c>
      <c r="L1043">
        <f>K1043*(MIN(Inputs!$B$22+((C1055=TRUE)*(F1055-Calc!F20)),Inputs!$B$23+0)/100+(Inputs!$B$23+0)/100)/2</f>
        <v/>
      </c>
      <c r="M1043">
        <f>L1043*(1+(Inputs!$B$10+0+B1065)/100)</f>
        <v/>
      </c>
      <c r="N1043">
        <f>L1043*(1-MIN((Inputs!$B$9+((C1051=TRUE)*(F1051-Calc!F16))+B1060),100)/100)+M1043*(MIN((Inputs!$B$9+((C1051=TRUE)*(F1051-Calc!F16))+B1060),100)/100)</f>
        <v/>
      </c>
      <c r="O1043">
        <f>(1-Summary!$B$55)*T1043+Summary!$B$55*V1043</f>
        <v/>
      </c>
      <c r="P1043">
        <f>IF(B1070=0,0,O1043/B1070)</f>
        <v/>
      </c>
      <c r="Q1043">
        <f>IFERROR(1/IF(Inputs!$B$38="pvp",15,MAX(0.1,Skills!D8-IF(Skills!E8=TRUE,0.5,0))),0)</f>
        <v/>
      </c>
      <c r="R1043">
        <f>IF(AND(Inputs!$B$38&lt;&gt;"pvp",Inputs!$B$43&gt;0),IF(MAX(0,Inputs!$B$43-B1067)&lt;=0,0,(INT(MAX(0,Inputs!$B$43-B1067)/IF(Inputs!$B$38="pvp",15,MAX(0.1,Skills!D8-IF(Skills!E8=TRUE,0.5,0))))+1)),0)</f>
        <v/>
      </c>
      <c r="S1043">
        <f>IFERROR(O1043/N1043,0)</f>
        <v/>
      </c>
      <c r="T1043">
        <f>IF(C1043,(H1043*N1043*IF(AND(Inputs!$B$38&lt;&gt;"pvp",Inputs!$B$43&gt;0),((Skills!G8*((R1043-1)*IF(Skills!H8&gt;0,Skills!I8/Skills!H8,1)+IF(Skills!H8&gt;0,MIN(Skills!I8,MAX(0,MAX(0,Inputs!$B$43-B1067)-((R1043-1)*IF(Inputs!$B$38="pvp",15,MAX(0.1,Skills!D8-IF(Skills!E8=TRUE,0.5,0))))))/Skills!H8,1)))/Inputs!$B$43),G1043*Q1043))*IF(Inputs!$B$38="pvp",1,1+(Inputs!$B$20+0+Skills!P8)/100),0)</f>
        <v/>
      </c>
      <c r="V1043">
        <f>IF(C1043,(H1043*N1043*IF(AND(Inputs!$B$38&lt;&gt;"pvp",Inputs!$B$43&gt;0),((Skills!G8*((R1043-1)*IF(Skills!H8&gt;0,Skills!I8/Skills!H8,1)+IF(Skills!H8&gt;0,MIN(Skills!I8,MAX(0,MAX(0,Inputs!$B$43-B1067)-((R1043-1)*IF(Inputs!$B$38="pvp",15,MAX(0.1,Skills!D8-IF(Skills!E8=TRUE,0.5,0))))))/Skills!H8,1)))/Inputs!$B$43),G1043*Q1043))*IF(Inputs!$B$38="pvp",1,(1+(Inputs!$B$21+Skills!Q8)/100)*(MIN(Skills!R8,Inputs!$B$37))),0)</f>
        <v/>
      </c>
    </row>
    <row r="1044">
      <c r="A1044">
        <f>Skills!A9</f>
        <v/>
      </c>
      <c r="B1044">
        <f>Skills!B9</f>
        <v/>
      </c>
      <c r="C1044">
        <f>Inputs!$B$3&gt;=110</f>
        <v/>
      </c>
      <c r="D1044">
        <f>IF(Skills!C9=1,60+Inputs!$B$25+Inputs!$B$29,IF(Skills!C9=2,90+Inputs!$B$26+Inputs!$B$29,IF(Skills!C9=3,120+Inputs!$B$27+Inputs!$B$29,MAX(0,(Inputs!$B$3-100)*3)+Inputs!$B$28+Inputs!$B$29)))</f>
        <v/>
      </c>
      <c r="E1044">
        <f>INDEX(FactorTable!$B$2:$Y$301, MATCH(ROUND(MIN(300,MAX(1,D1044)),0), FactorTable!$A$2:$A$301,0), Skills!M9+1)</f>
        <v/>
      </c>
      <c r="F1044">
        <f>IF(Skills!N9=TRUE,(Skills!L9/10)*(E1044/1000),Skills!L9/10)+Skills!O9</f>
        <v/>
      </c>
      <c r="G1044">
        <f>Skills!G9*IF(Skills!H9&gt;0,Skills!I9/Skills!H9,1)</f>
        <v/>
      </c>
      <c r="H1044">
        <f>1-(1-Skills!J9/100)^Skills!K9</f>
        <v/>
      </c>
      <c r="I1044" t="inlineStr">
        <is>
          <t>1</t>
        </is>
      </c>
      <c r="J1044">
        <f>((Inputs!$B$6*(1+Inputs!$B$7/100))+(((Inputs!$B$12*(1+Inputs!$B$13/100))-(Inputs!$B$12*(1+Inputs!$B$13/100)))+0.25*(Inputs!$B$14-Inputs!$B$14))*(1+Inputs!$B$7/100))*(F1044/100)</f>
        <v/>
      </c>
      <c r="K1044">
        <f>J1044*(1+((Inputs!$B$12*(1+Inputs!$B$13/100))*0.01+Inputs!$B$14*0.0025)/100)*(1+Inputs!$B$15/100)*(1+Inputs!$B$16/100)*(5000/(6000+Inputs!$B$42*(1-(Inputs!$B$19+0)/100)))*(1+(Inputs!$B$24+((C1057=TRUE)*(F1057-Calc!F22))+B1066)/100)*(1+(IF(Skills!A9="HOOK_BOMBER",Inputs!$B$17+((C1056=TRUE)*(F1056-Calc!F21)),Inputs!$B$18+0))/100)*((1+(((C1048=TRUE)*F1048)+((C1054=TRUE)*(F1054-Calc!F19)))/100)*I1044)</f>
        <v/>
      </c>
      <c r="L1044">
        <f>K1044*(MIN(Inputs!$B$22+((C1055=TRUE)*(F1055-Calc!F20)),Inputs!$B$23+0)/100+(Inputs!$B$23+0)/100)/2</f>
        <v/>
      </c>
      <c r="M1044">
        <f>L1044*(1+(Inputs!$B$10+0+B1065)/100)</f>
        <v/>
      </c>
      <c r="N1044">
        <f>L1044*(1-MIN((Inputs!$B$9+((C1051=TRUE)*(F1051-Calc!F16))+B1060),100)/100)+M1044*(MIN((Inputs!$B$9+((C1051=TRUE)*(F1051-Calc!F16))+B1060),100)/100)</f>
        <v/>
      </c>
      <c r="O1044">
        <f>(1-Summary!$B$55)*T1044+Summary!$B$55*V1044</f>
        <v/>
      </c>
      <c r="P1044">
        <f>IF(B1070=0,0,O1044/B1070)</f>
        <v/>
      </c>
      <c r="Q1044">
        <f>IFERROR(1/IF(Inputs!$B$38="pvp",15,MAX(0.1,Skills!D9-IF(Skills!E9=TRUE,0.5,0))),0)</f>
        <v/>
      </c>
      <c r="R1044">
        <f>IF(AND(Inputs!$B$38&lt;&gt;"pvp",Inputs!$B$43&gt;0),IF(MAX(0,Inputs!$B$43-B1067)&lt;=0,0,(INT(MAX(0,Inputs!$B$43-B1067)/IF(Inputs!$B$38="pvp",15,MAX(0.1,Skills!D9-IF(Skills!E9=TRUE,0.5,0))))+1)),0)</f>
        <v/>
      </c>
      <c r="S1044">
        <f>IFERROR(O1044/N1044,0)</f>
        <v/>
      </c>
      <c r="T1044">
        <f>IF(C1044,(H1044*N1044*IF(AND(Inputs!$B$38&lt;&gt;"pvp",Inputs!$B$43&gt;0),((Skills!G9*((R1044-1)*IF(Skills!H9&gt;0,Skills!I9/Skills!H9,1)+IF(Skills!H9&gt;0,MIN(Skills!I9,MAX(0,MAX(0,Inputs!$B$43-B1067)-((R1044-1)*IF(Inputs!$B$38="pvp",15,MAX(0.1,Skills!D9-IF(Skills!E9=TRUE,0.5,0))))))/Skills!H9,1)))/Inputs!$B$43),G1044*Q1044))*IF(Inputs!$B$38="pvp",1,1+(Inputs!$B$20+0+Skills!P9)/100),0)</f>
        <v/>
      </c>
      <c r="V1044">
        <f>IF(C1044,(H1044*N1044*IF(AND(Inputs!$B$38&lt;&gt;"pvp",Inputs!$B$43&gt;0),((Skills!G9*((R1044-1)*IF(Skills!H9&gt;0,Skills!I9/Skills!H9,1)+IF(Skills!H9&gt;0,MIN(Skills!I9,MAX(0,MAX(0,Inputs!$B$43-B1067)-((R1044-1)*IF(Inputs!$B$38="pvp",15,MAX(0.1,Skills!D9-IF(Skills!E9=TRUE,0.5,0))))))/Skills!H9,1)))/Inputs!$B$43),G1044*Q1044))*IF(Inputs!$B$38="pvp",1,(1+(Inputs!$B$21+Skills!Q9)/100)*(MIN(Skills!R9,Inputs!$B$37))),0)</f>
        <v/>
      </c>
    </row>
    <row r="1045">
      <c r="A1045">
        <f>Skills!A10</f>
        <v/>
      </c>
      <c r="B1045">
        <f>Skills!B10</f>
        <v/>
      </c>
      <c r="C1045">
        <f>Inputs!$B$3&gt;=103</f>
        <v/>
      </c>
      <c r="D1045">
        <f>IF(Skills!C10=1,60+Inputs!$B$25+Inputs!$B$29,IF(Skills!C10=2,90+Inputs!$B$26+Inputs!$B$29,IF(Skills!C10=3,120+Inputs!$B$27+Inputs!$B$29,MAX(0,(Inputs!$B$3-100)*3)+Inputs!$B$28+Inputs!$B$29)))</f>
        <v/>
      </c>
      <c r="E1045">
        <f>INDEX(FactorTable!$B$2:$Y$301, MATCH(ROUND(MIN(300,MAX(1,D1045)),0), FactorTable!$A$2:$A$301,0), Skills!M10+1)</f>
        <v/>
      </c>
      <c r="F1045">
        <f>IF(Skills!N10=TRUE,(Skills!L10/10)*(E1045/1000),Skills!L10/10)+Skills!O10</f>
        <v/>
      </c>
      <c r="G1045">
        <f>Skills!G10*IF(Skills!H10&gt;0,Skills!I10/Skills!H10,1)</f>
        <v/>
      </c>
      <c r="H1045">
        <f>1-(1-Skills!J10/100)^Skills!K10</f>
        <v/>
      </c>
      <c r="I1045" t="inlineStr">
        <is>
          <t>1</t>
        </is>
      </c>
      <c r="J1045">
        <f>((Inputs!$B$6*(1+Inputs!$B$7/100))+(((Inputs!$B$12*(1+Inputs!$B$13/100))-(Inputs!$B$12*(1+Inputs!$B$13/100)))+0.25*(Inputs!$B$14-Inputs!$B$14))*(1+Inputs!$B$7/100))*(F1045/100)</f>
        <v/>
      </c>
      <c r="K1045">
        <f>J1045*(1+((Inputs!$B$12*(1+Inputs!$B$13/100))*0.01+Inputs!$B$14*0.0025)/100)*(1+Inputs!$B$15/100)*(1+Inputs!$B$16/100)*(5000/(6000+Inputs!$B$42*(1-(Inputs!$B$19+0)/100)))*(1+(Inputs!$B$24+((C1057=TRUE)*(F1057-Calc!F22))+B1066)/100)*(1+(IF(Skills!A10="HOOK_BOMBER",Inputs!$B$17+((C1056=TRUE)*(F1056-Calc!F21)),Inputs!$B$18+0))/100)*((1+(((C1048=TRUE)*F1048)+((C1054=TRUE)*(F1054-Calc!F19)))/100)*I1045)</f>
        <v/>
      </c>
      <c r="L1045">
        <f>K1045*(MIN(Inputs!$B$22+((C1055=TRUE)*(F1055-Calc!F20)),Inputs!$B$23+0)/100+(Inputs!$B$23+0)/100)/2</f>
        <v/>
      </c>
      <c r="M1045">
        <f>L1045*(1+(Inputs!$B$10+0+B1065)/100)</f>
        <v/>
      </c>
      <c r="N1045">
        <f>L1045*(1-MIN((Inputs!$B$9+((C1051=TRUE)*(F1051-Calc!F16))+B1060),100)/100)+M1045*(MIN((Inputs!$B$9+((C1051=TRUE)*(F1051-Calc!F16))+B1060),100)/100)</f>
        <v/>
      </c>
      <c r="O1045">
        <f>(1-Summary!$B$55)*T1045+Summary!$B$55*V1045</f>
        <v/>
      </c>
      <c r="P1045">
        <f>IF(B1070=0,0,O1045/B1070)</f>
        <v/>
      </c>
      <c r="Q1045">
        <f>IFERROR(1/IF(Inputs!$B$38="pvp",15,MAX(0.1,Skills!D10-IF(Skills!E10=TRUE,0.5,0))),0)</f>
        <v/>
      </c>
      <c r="R1045">
        <f>IF(AND(Inputs!$B$38&lt;&gt;"pvp",Inputs!$B$43&gt;0),IF(MAX(0,Inputs!$B$43-B1067)&lt;=0,0,(INT(MAX(0,Inputs!$B$43-B1067)/IF(Inputs!$B$38="pvp",15,MAX(0.1,Skills!D10-IF(Skills!E10=TRUE,0.5,0))))+1)),0)</f>
        <v/>
      </c>
      <c r="S1045">
        <f>IFERROR(O1045/N1045,0)</f>
        <v/>
      </c>
      <c r="T1045">
        <f>IF(C1045,(H1045*N1045*IF(AND(Inputs!$B$38&lt;&gt;"pvp",Inputs!$B$43&gt;0),((Skills!G10*((R1045-1)*IF(Skills!H10&gt;0,Skills!I10/Skills!H10,1)+IF(Skills!H10&gt;0,MIN(Skills!I10,MAX(0,MAX(0,Inputs!$B$43-B1067)-((R1045-1)*IF(Inputs!$B$38="pvp",15,MAX(0.1,Skills!D10-IF(Skills!E10=TRUE,0.5,0))))))/Skills!H10,1)))/Inputs!$B$43),G1045*Q1045))*IF(Inputs!$B$38="pvp",1,1+(Inputs!$B$20+0+Skills!P10)/100),0)</f>
        <v/>
      </c>
      <c r="V1045">
        <f>IF(C1045,(H1045*N1045*IF(AND(Inputs!$B$38&lt;&gt;"pvp",Inputs!$B$43&gt;0),((Skills!G10*((R1045-1)*IF(Skills!H10&gt;0,Skills!I10/Skills!H10,1)+IF(Skills!H10&gt;0,MIN(Skills!I10,MAX(0,MAX(0,Inputs!$B$43-B1067)-((R1045-1)*IF(Inputs!$B$38="pvp",15,MAX(0.1,Skills!D10-IF(Skills!E10=TRUE,0.5,0))))))/Skills!H10,1)))/Inputs!$B$43),G1045*Q1045))*IF(Inputs!$B$38="pvp",1,(1+(Inputs!$B$21+Skills!Q10)/100)*(MIN(Skills!R10,Inputs!$B$37))),0)</f>
        <v/>
      </c>
    </row>
    <row r="1046">
      <c r="A1046">
        <f>Skills!A11</f>
        <v/>
      </c>
      <c r="B1046">
        <f>Skills!B11</f>
        <v/>
      </c>
      <c r="C1046">
        <f>Inputs!$B$3&gt;=113</f>
        <v/>
      </c>
      <c r="D1046">
        <f>IF(Skills!C11=1,60+Inputs!$B$25+Inputs!$B$29,IF(Skills!C11=2,90+Inputs!$B$26+Inputs!$B$29,IF(Skills!C11=3,120+Inputs!$B$27+Inputs!$B$29,MAX(0,(Inputs!$B$3-100)*3)+Inputs!$B$28+Inputs!$B$29)))</f>
        <v/>
      </c>
      <c r="E1046">
        <f>INDEX(FactorTable!$B$2:$Y$301, MATCH(ROUND(MIN(300,MAX(1,D1046)),0), FactorTable!$A$2:$A$301,0), Skills!M11+1)</f>
        <v/>
      </c>
      <c r="F1046">
        <f>IF(Skills!N11=TRUE,(Skills!L11/10)*(E1046/1000),Skills!L11/10)+Skills!O11</f>
        <v/>
      </c>
      <c r="G1046">
        <f>Skills!G11*IF(Skills!H11&gt;0,Skills!I11/Skills!H11,1)</f>
        <v/>
      </c>
      <c r="H1046">
        <f>1-(1-Skills!J11/100)^Skills!K11</f>
        <v/>
      </c>
      <c r="I1046" t="inlineStr">
        <is>
          <t>1</t>
        </is>
      </c>
      <c r="J1046">
        <f>((Inputs!$B$6*(1+Inputs!$B$7/100))+(((Inputs!$B$12*(1+Inputs!$B$13/100))-(Inputs!$B$12*(1+Inputs!$B$13/100)))+0.25*(Inputs!$B$14-Inputs!$B$14))*(1+Inputs!$B$7/100))*(F1046/100)</f>
        <v/>
      </c>
      <c r="K1046">
        <f>J1046*(1+((Inputs!$B$12*(1+Inputs!$B$13/100))*0.01+Inputs!$B$14*0.0025)/100)*(1+Inputs!$B$15/100)*(1+Inputs!$B$16/100)*(5000/(6000+Inputs!$B$42*(1-(Inputs!$B$19+0)/100)))*(1+(Inputs!$B$24+((C1057=TRUE)*(F1057-Calc!F22))+B1066)/100)*(1+(IF(Skills!A11="HOOK_BOMBER",Inputs!$B$17+((C1056=TRUE)*(F1056-Calc!F21)),Inputs!$B$18+0))/100)*((1+(((C1048=TRUE)*F1048)+((C1054=TRUE)*(F1054-Calc!F19)))/100)*I1046)</f>
        <v/>
      </c>
      <c r="L1046">
        <f>K1046*(MIN(Inputs!$B$22+((C1055=TRUE)*(F1055-Calc!F20)),Inputs!$B$23+0)/100+(Inputs!$B$23+0)/100)/2</f>
        <v/>
      </c>
      <c r="M1046">
        <f>L1046*(1+(Inputs!$B$10+0+B1065)/100)</f>
        <v/>
      </c>
      <c r="N1046">
        <f>L1046*(1-MIN((Inputs!$B$9+((C1051=TRUE)*(F1051-Calc!F16))+B1060),100)/100)+M1046*(MIN((Inputs!$B$9+((C1051=TRUE)*(F1051-Calc!F16))+B1060),100)/100)</f>
        <v/>
      </c>
      <c r="O1046">
        <f>(1-Summary!$B$55)*T1046+Summary!$B$55*V1046</f>
        <v/>
      </c>
      <c r="P1046">
        <f>IF(B1070=0,0,O1046/B1070)</f>
        <v/>
      </c>
      <c r="Q1046">
        <f>IFERROR(1/IF(Inputs!$B$38="pvp",15,MAX(0.1,Skills!D11-IF(Skills!E11=TRUE,0.5,0))),0)</f>
        <v/>
      </c>
      <c r="R1046">
        <f>IF(AND(Inputs!$B$38&lt;&gt;"pvp",Inputs!$B$43&gt;0),IF(MAX(0,Inputs!$B$43-B1067)&lt;=0,0,(INT(MAX(0,Inputs!$B$43-B1067)/IF(Inputs!$B$38="pvp",15,MAX(0.1,Skills!D11-IF(Skills!E11=TRUE,0.5,0))))+1)),0)</f>
        <v/>
      </c>
      <c r="S1046">
        <f>IFERROR(O1046/N1046,0)</f>
        <v/>
      </c>
      <c r="T1046">
        <f>IF(C1046,(H1046*N1046*IF(AND(Inputs!$B$38&lt;&gt;"pvp",Inputs!$B$43&gt;0),((Skills!G11*((R1046-1)*IF(Skills!H11&gt;0,Skills!I11/Skills!H11,1)+IF(Skills!H11&gt;0,MIN(Skills!I11,MAX(0,MAX(0,Inputs!$B$43-B1067)-((R1046-1)*IF(Inputs!$B$38="pvp",15,MAX(0.1,Skills!D11-IF(Skills!E11=TRUE,0.5,0))))))/Skills!H11,1)))/Inputs!$B$43),G1046*Q1046))*IF(Inputs!$B$38="pvp",1,1+(Inputs!$B$20+0+Skills!P11)/100),0)</f>
        <v/>
      </c>
      <c r="V1046">
        <f>IF(C1046,(H1046*N1046*IF(AND(Inputs!$B$38&lt;&gt;"pvp",Inputs!$B$43&gt;0),((Skills!G11*((R1046-1)*IF(Skills!H11&gt;0,Skills!I11/Skills!H11,1)+IF(Skills!H11&gt;0,MIN(Skills!I11,MAX(0,MAX(0,Inputs!$B$43-B1067)-((R1046-1)*IF(Inputs!$B$38="pvp",15,MAX(0.1,Skills!D11-IF(Skills!E11=TRUE,0.5,0))))))/Skills!H11,1)))/Inputs!$B$43),G1046*Q1046))*IF(Inputs!$B$38="pvp",1,(1+(Inputs!$B$21+Skills!Q11)/100)*(MIN(Skills!R11,Inputs!$B$37))),0)</f>
        <v/>
      </c>
    </row>
    <row r="1047">
      <c r="A1047">
        <f>Skills!A12</f>
        <v/>
      </c>
      <c r="B1047">
        <f>Skills!B12</f>
        <v/>
      </c>
      <c r="C1047">
        <f>Inputs!$B$3&gt;=100</f>
        <v/>
      </c>
      <c r="D1047">
        <f>IF(Skills!C12=1,60+Inputs!$B$25+Inputs!$B$29,IF(Skills!C12=2,90+Inputs!$B$26+Inputs!$B$29,IF(Skills!C12=3,120+Inputs!$B$27+Inputs!$B$29,MAX(0,(Inputs!$B$3-100)*3)+Inputs!$B$28+Inputs!$B$29)))</f>
        <v/>
      </c>
      <c r="E1047">
        <f>INDEX(FactorTable!$B$2:$Y$301, MATCH(ROUND(MIN(300,MAX(1,D1047)),0), FactorTable!$A$2:$A$301,0), Skills!M12+1)</f>
        <v/>
      </c>
      <c r="F1047">
        <f>IF(Skills!N12=TRUE,(Skills!L12/10)*(E1047/1000),Skills!L12/10)+Skills!O12</f>
        <v/>
      </c>
      <c r="G1047" t="inlineStr"/>
      <c r="H1047" t="inlineStr"/>
      <c r="I1047" t="inlineStr">
        <is>
          <t>1</t>
        </is>
      </c>
      <c r="J1047" t="inlineStr"/>
      <c r="K1047" t="inlineStr"/>
      <c r="L1047" t="inlineStr"/>
      <c r="M1047" t="inlineStr"/>
      <c r="N1047" t="inlineStr"/>
      <c r="O1047" t="inlineStr"/>
      <c r="P1047" t="inlineStr"/>
      <c r="Q1047" t="inlineStr"/>
      <c r="R1047" t="inlineStr"/>
      <c r="S1047" t="inlineStr"/>
      <c r="T1047" t="inlineStr"/>
      <c r="V1047" t="inlineStr"/>
    </row>
    <row r="1048">
      <c r="A1048">
        <f>Skills!A13</f>
        <v/>
      </c>
      <c r="B1048">
        <f>Skills!B13</f>
        <v/>
      </c>
      <c r="C1048">
        <f>Inputs!$B$3&gt;=66</f>
        <v/>
      </c>
      <c r="D1048">
        <f>IF(Skills!C13=1,60+Inputs!$B$25+Inputs!$B$29,IF(Skills!C13=2,90+Inputs!$B$26+Inputs!$B$29,IF(Skills!C13=3,120+Inputs!$B$27+Inputs!$B$29,MAX(0,(Inputs!$B$3-100)*3)+Inputs!$B$28+Inputs!$B$29)))</f>
        <v/>
      </c>
      <c r="E1048">
        <f>INDEX(FactorTable!$B$2:$Y$301, MATCH(ROUND(MIN(300,MAX(1,D1048)),0), FactorTable!$A$2:$A$301,0), Skills!M13+1)</f>
        <v/>
      </c>
      <c r="F1048">
        <f>IF(Skills!N13=TRUE,(Skills!L13/10)*(E1048/1000),Skills!L13/10)+Skills!O13</f>
        <v/>
      </c>
      <c r="G1048">
        <f>Skills!G13*IF(Skills!H13&gt;0,Skills!I13/Skills!H13,1)</f>
        <v/>
      </c>
      <c r="H1048">
        <f>1-(1-Skills!J13/100)^Skills!K13</f>
        <v/>
      </c>
      <c r="I1048" t="inlineStr">
        <is>
          <t>1</t>
        </is>
      </c>
      <c r="J1048" t="inlineStr"/>
      <c r="K1048" t="inlineStr"/>
      <c r="L1048" t="inlineStr"/>
      <c r="M1048" t="inlineStr"/>
      <c r="N1048" t="inlineStr"/>
      <c r="O1048">
        <f>(1-Summary!$B$55)*T1048+Summary!$B$55*V1048</f>
        <v/>
      </c>
      <c r="P1048">
        <f>IF(B1070=0,0,O1048/B1070)</f>
        <v/>
      </c>
      <c r="Q1048" t="n">
        <v>0</v>
      </c>
      <c r="R1048" t="n">
        <v>0</v>
      </c>
      <c r="S1048">
        <f>IFERROR(O1048/N1048,0)</f>
        <v/>
      </c>
      <c r="T1048" t="n">
        <v>0</v>
      </c>
      <c r="V1048" t="n">
        <v>0</v>
      </c>
    </row>
    <row r="1049">
      <c r="A1049">
        <f>Skills!A14</f>
        <v/>
      </c>
      <c r="B1049">
        <f>Skills!B14</f>
        <v/>
      </c>
      <c r="C1049">
        <f>Inputs!$B$3&gt;=107</f>
        <v/>
      </c>
      <c r="D1049">
        <f>IF(Skills!C14=1,60+Inputs!$B$25+Inputs!$B$29,IF(Skills!C14=2,90+Inputs!$B$26+Inputs!$B$29,IF(Skills!C14=3,120+Inputs!$B$27+Inputs!$B$29,MAX(0,(Inputs!$B$3-100)*3)+Inputs!$B$28+Inputs!$B$29)))</f>
        <v/>
      </c>
      <c r="E1049">
        <f>INDEX(FactorTable!$B$2:$Y$301, MATCH(ROUND(MIN(300,MAX(1,D1049)),0), FactorTable!$A$2:$A$301,0), Skills!M14+1)</f>
        <v/>
      </c>
      <c r="F1049">
        <f>IF(Skills!N14=TRUE,(Skills!L14/10)*(E1049/1000),Skills!L14/10)+Skills!O14</f>
        <v/>
      </c>
      <c r="G1049">
        <f>Skills!G14*IF(Skills!H14&gt;0,Skills!I14/Skills!H14,1)</f>
        <v/>
      </c>
      <c r="H1049">
        <f>1-(1-Skills!J14/100)^Skills!K14</f>
        <v/>
      </c>
      <c r="I1049" t="inlineStr">
        <is>
          <t>1</t>
        </is>
      </c>
      <c r="J1049" t="inlineStr"/>
      <c r="K1049" t="inlineStr"/>
      <c r="L1049" t="inlineStr"/>
      <c r="M1049" t="inlineStr"/>
      <c r="N1049" t="inlineStr"/>
      <c r="O1049">
        <f>(1-Summary!$B$55)*T1049+Summary!$B$55*V1049</f>
        <v/>
      </c>
      <c r="P1049">
        <f>IF(B1070=0,0,O1049/B1070)</f>
        <v/>
      </c>
      <c r="Q1049" t="n">
        <v>0</v>
      </c>
      <c r="R1049" t="n">
        <v>0</v>
      </c>
      <c r="S1049">
        <f>IFERROR(O1049/N1049,0)</f>
        <v/>
      </c>
      <c r="T1049" t="n">
        <v>0</v>
      </c>
      <c r="V1049" t="n">
        <v>0</v>
      </c>
    </row>
    <row r="1050">
      <c r="A1050">
        <f>Skills!A15</f>
        <v/>
      </c>
      <c r="B1050">
        <f>Skills!B15</f>
        <v/>
      </c>
      <c r="C1050">
        <f>Inputs!$B$3&gt;=115</f>
        <v/>
      </c>
      <c r="D1050">
        <f>IF(Skills!C15=1,60+Inputs!$B$25+Inputs!$B$29,IF(Skills!C15=2,90+Inputs!$B$26+Inputs!$B$29,IF(Skills!C15=3,120+Inputs!$B$27+Inputs!$B$29,MAX(0,(Inputs!$B$3-100)*3)+Inputs!$B$28+Inputs!$B$29)))</f>
        <v/>
      </c>
      <c r="E1050">
        <f>INDEX(FactorTable!$B$2:$Y$301, MATCH(ROUND(MIN(300,MAX(1,D1050)),0), FactorTable!$A$2:$A$301,0), Skills!M15+1)</f>
        <v/>
      </c>
      <c r="F1050">
        <f>IF(Skills!N15=TRUE,(Skills!L15/10)*(E1050/1000),Skills!L15/10)+Skills!O15</f>
        <v/>
      </c>
      <c r="G1050">
        <f>Skills!G15*IF(Skills!H15&gt;0,Skills!I15/Skills!H15,1)</f>
        <v/>
      </c>
      <c r="H1050">
        <f>1-(1-Skills!J15/100)^Skills!K15</f>
        <v/>
      </c>
      <c r="I1050" t="inlineStr">
        <is>
          <t>1</t>
        </is>
      </c>
      <c r="J1050" t="inlineStr"/>
      <c r="K1050" t="inlineStr"/>
      <c r="L1050" t="inlineStr"/>
      <c r="M1050" t="inlineStr"/>
      <c r="N1050" t="inlineStr"/>
      <c r="O1050">
        <f>(1-Summary!$B$55)*T1050+Summary!$B$55*V1050</f>
        <v/>
      </c>
      <c r="P1050">
        <f>IF(B1070=0,0,O1050/B1070)</f>
        <v/>
      </c>
      <c r="Q1050" t="n">
        <v>0</v>
      </c>
      <c r="R1050" t="n">
        <v>0</v>
      </c>
      <c r="S1050">
        <f>IFERROR(O1050/N1050,0)</f>
        <v/>
      </c>
      <c r="T1050" t="n">
        <v>0</v>
      </c>
      <c r="V1050" t="n">
        <v>0</v>
      </c>
    </row>
    <row r="1051">
      <c r="A1051">
        <f>Skills!A16</f>
        <v/>
      </c>
      <c r="B1051">
        <f>Skills!B16</f>
        <v/>
      </c>
      <c r="C1051">
        <f>Inputs!$B$3&gt;=15</f>
        <v/>
      </c>
      <c r="D1051">
        <f>IF(Skills!C16=1,60+Inputs!$B$25+Inputs!$B$29,IF(Skills!C16=2,90+Inputs!$B$26+Inputs!$B$29,IF(Skills!C16=3,120+Inputs!$B$27+Inputs!$B$29,MAX(0,(Inputs!$B$3-100)*3)+Inputs!$B$28+Inputs!$B$29)))</f>
        <v/>
      </c>
      <c r="E1051">
        <f>INDEX(FactorTable!$B$2:$Y$301, MATCH(ROUND(MIN(300,MAX(1,D1051)),0), FactorTable!$A$2:$A$301,0), Skills!M16+1)</f>
        <v/>
      </c>
      <c r="F1051">
        <f>IF(Skills!N16=TRUE,(Skills!L16/10)*(E1051/1000),Skills!L16/10)+Skills!O16</f>
        <v/>
      </c>
      <c r="G1051">
        <f>Skills!G16*IF(Skills!H16&gt;0,Skills!I16/Skills!H16,1)</f>
        <v/>
      </c>
      <c r="H1051">
        <f>1-(1-Skills!J16/100)^Skills!K16</f>
        <v/>
      </c>
      <c r="I1051" t="inlineStr">
        <is>
          <t>1</t>
        </is>
      </c>
      <c r="J1051" t="inlineStr"/>
      <c r="K1051" t="inlineStr"/>
      <c r="L1051" t="inlineStr"/>
      <c r="M1051" t="inlineStr"/>
      <c r="N1051" t="inlineStr"/>
      <c r="O1051">
        <f>(1-Summary!$B$55)*T1051+Summary!$B$55*V1051</f>
        <v/>
      </c>
      <c r="P1051">
        <f>IF(B1070=0,0,O1051/B1070)</f>
        <v/>
      </c>
      <c r="Q1051" t="n">
        <v>0</v>
      </c>
      <c r="R1051" t="n">
        <v>0</v>
      </c>
      <c r="S1051">
        <f>IFERROR(O1051/N1051,0)</f>
        <v/>
      </c>
      <c r="T1051" t="n">
        <v>0</v>
      </c>
      <c r="V1051" t="n">
        <v>0</v>
      </c>
    </row>
    <row r="1052">
      <c r="A1052">
        <f>Skills!A17</f>
        <v/>
      </c>
      <c r="B1052">
        <f>Skills!B17</f>
        <v/>
      </c>
      <c r="C1052">
        <f>Inputs!$B$3&gt;=10</f>
        <v/>
      </c>
      <c r="D1052">
        <f>IF(Skills!C17=1,60+Inputs!$B$25+Inputs!$B$29,IF(Skills!C17=2,90+Inputs!$B$26+Inputs!$B$29,IF(Skills!C17=3,120+Inputs!$B$27+Inputs!$B$29,MAX(0,(Inputs!$B$3-100)*3)+Inputs!$B$28+Inputs!$B$29)))</f>
        <v/>
      </c>
      <c r="E1052">
        <f>INDEX(FactorTable!$B$2:$Y$301, MATCH(ROUND(MIN(300,MAX(1,D1052)),0), FactorTable!$A$2:$A$301,0), Skills!M17+1)</f>
        <v/>
      </c>
      <c r="F1052">
        <f>IF(Skills!N17=TRUE,(Skills!L17/10)*(E1052/1000),Skills!L17/10)+Skills!O17</f>
        <v/>
      </c>
      <c r="G1052">
        <f>Skills!G17*IF(Skills!H17&gt;0,Skills!I17/Skills!H17,1)</f>
        <v/>
      </c>
      <c r="H1052">
        <f>1-(1-Skills!J17/100)^Skills!K17</f>
        <v/>
      </c>
      <c r="I1052" t="inlineStr">
        <is>
          <t>1</t>
        </is>
      </c>
      <c r="J1052" t="inlineStr"/>
      <c r="K1052" t="inlineStr"/>
      <c r="L1052" t="inlineStr"/>
      <c r="M1052" t="inlineStr"/>
      <c r="N1052" t="inlineStr"/>
      <c r="O1052">
        <f>(1-Summary!$B$55)*T1052+Summary!$B$55*V1052</f>
        <v/>
      </c>
      <c r="P1052">
        <f>IF(B1070=0,0,O1052/B1070)</f>
        <v/>
      </c>
      <c r="Q1052" t="n">
        <v>0</v>
      </c>
      <c r="R1052" t="n">
        <v>0</v>
      </c>
      <c r="S1052">
        <f>IFERROR(O1052/N1052,0)</f>
        <v/>
      </c>
      <c r="T1052" t="n">
        <v>0</v>
      </c>
      <c r="V1052" t="n">
        <v>0</v>
      </c>
    </row>
    <row r="1053">
      <c r="A1053">
        <f>Skills!A18</f>
        <v/>
      </c>
      <c r="B1053">
        <f>Skills!B18</f>
        <v/>
      </c>
      <c r="C1053">
        <f>Inputs!$B$3&gt;=33</f>
        <v/>
      </c>
      <c r="D1053">
        <f>IF(Skills!C18=1,60+Inputs!$B$25+Inputs!$B$29,IF(Skills!C18=2,90+Inputs!$B$26+Inputs!$B$29,IF(Skills!C18=3,120+Inputs!$B$27+Inputs!$B$29,MAX(0,(Inputs!$B$3-100)*3)+Inputs!$B$28+Inputs!$B$29)))</f>
        <v/>
      </c>
      <c r="E1053">
        <f>INDEX(FactorTable!$B$2:$Y$301, MATCH(ROUND(MIN(300,MAX(1,D1053)),0), FactorTable!$A$2:$A$301,0), Skills!M18+1)</f>
        <v/>
      </c>
      <c r="F1053">
        <f>IF(Skills!N18=TRUE,(Skills!L18/10)*(E1053/1000),Skills!L18/10)+Skills!O18</f>
        <v/>
      </c>
      <c r="G1053">
        <f>Skills!G18*IF(Skills!H18&gt;0,Skills!I18/Skills!H18,1)</f>
        <v/>
      </c>
      <c r="H1053">
        <f>1-(1-Skills!J18/100)^Skills!K18</f>
        <v/>
      </c>
      <c r="I1053" t="inlineStr">
        <is>
          <t>1</t>
        </is>
      </c>
      <c r="J1053" t="inlineStr"/>
      <c r="K1053" t="inlineStr"/>
      <c r="L1053" t="inlineStr"/>
      <c r="M1053" t="inlineStr"/>
      <c r="N1053" t="inlineStr"/>
      <c r="O1053">
        <f>(1-Summary!$B$55)*T1053+Summary!$B$55*V1053</f>
        <v/>
      </c>
      <c r="P1053">
        <f>IF(B1070=0,0,O1053/B1070)</f>
        <v/>
      </c>
      <c r="Q1053" t="n">
        <v>0</v>
      </c>
      <c r="R1053" t="n">
        <v>0</v>
      </c>
      <c r="S1053">
        <f>IFERROR(O1053/N1053,0)</f>
        <v/>
      </c>
      <c r="T1053" t="n">
        <v>0</v>
      </c>
      <c r="V1053" t="n">
        <v>0</v>
      </c>
    </row>
    <row r="1054">
      <c r="A1054">
        <f>Skills!A19</f>
        <v/>
      </c>
      <c r="B1054">
        <f>Skills!B19</f>
        <v/>
      </c>
      <c r="C1054">
        <f>Inputs!$B$3&gt;=40</f>
        <v/>
      </c>
      <c r="D1054">
        <f>IF(Skills!C19=1,60+Inputs!$B$25+Inputs!$B$29,IF(Skills!C19=2,90+Inputs!$B$26+Inputs!$B$29,IF(Skills!C19=3,120+Inputs!$B$27+Inputs!$B$29,MAX(0,(Inputs!$B$3-100)*3)+Inputs!$B$28+Inputs!$B$29)))</f>
        <v/>
      </c>
      <c r="E1054">
        <f>INDEX(FactorTable!$B$2:$Y$301, MATCH(ROUND(MIN(300,MAX(1,D1054)),0), FactorTable!$A$2:$A$301,0), Skills!M19+1)</f>
        <v/>
      </c>
      <c r="F1054">
        <f>IF(Skills!N19=TRUE,(Skills!L19/10)*(E1054/1000),Skills!L19/10)+Skills!O19</f>
        <v/>
      </c>
      <c r="G1054">
        <f>Skills!G19*IF(Skills!H19&gt;0,Skills!I19/Skills!H19,1)</f>
        <v/>
      </c>
      <c r="H1054">
        <f>1-(1-Skills!J19/100)^Skills!K19</f>
        <v/>
      </c>
      <c r="I1054" t="inlineStr">
        <is>
          <t>1</t>
        </is>
      </c>
      <c r="J1054" t="inlineStr"/>
      <c r="K1054" t="inlineStr"/>
      <c r="L1054" t="inlineStr"/>
      <c r="M1054" t="inlineStr"/>
      <c r="N1054" t="inlineStr"/>
      <c r="O1054">
        <f>(1-Summary!$B$55)*T1054+Summary!$B$55*V1054</f>
        <v/>
      </c>
      <c r="P1054">
        <f>IF(B1070=0,0,O1054/B1070)</f>
        <v/>
      </c>
      <c r="Q1054" t="n">
        <v>0</v>
      </c>
      <c r="R1054" t="n">
        <v>0</v>
      </c>
      <c r="S1054">
        <f>IFERROR(O1054/N1054,0)</f>
        <v/>
      </c>
      <c r="T1054" t="n">
        <v>0</v>
      </c>
      <c r="V1054" t="n">
        <v>0</v>
      </c>
    </row>
    <row r="1055">
      <c r="A1055">
        <f>Skills!A20</f>
        <v/>
      </c>
      <c r="B1055">
        <f>Skills!B20</f>
        <v/>
      </c>
      <c r="C1055">
        <f>Inputs!$B$3&gt;=43</f>
        <v/>
      </c>
      <c r="D1055">
        <f>IF(Skills!C20=1,60+Inputs!$B$25+Inputs!$B$29,IF(Skills!C20=2,90+Inputs!$B$26+Inputs!$B$29,IF(Skills!C20=3,120+Inputs!$B$27+Inputs!$B$29,MAX(0,(Inputs!$B$3-100)*3)+Inputs!$B$28+Inputs!$B$29)))</f>
        <v/>
      </c>
      <c r="E1055">
        <f>INDEX(FactorTable!$B$2:$Y$301, MATCH(ROUND(MIN(300,MAX(1,D1055)),0), FactorTable!$A$2:$A$301,0), Skills!M20+1)</f>
        <v/>
      </c>
      <c r="F1055">
        <f>IF(Skills!N20=TRUE,(Skills!L20/10)*(E1055/1000),Skills!L20/10)+Skills!O20</f>
        <v/>
      </c>
      <c r="G1055">
        <f>Skills!G20*IF(Skills!H20&gt;0,Skills!I20/Skills!H20,1)</f>
        <v/>
      </c>
      <c r="H1055">
        <f>1-(1-Skills!J20/100)^Skills!K20</f>
        <v/>
      </c>
      <c r="I1055" t="inlineStr">
        <is>
          <t>1</t>
        </is>
      </c>
      <c r="J1055" t="inlineStr"/>
      <c r="K1055" t="inlineStr"/>
      <c r="L1055" t="inlineStr"/>
      <c r="M1055" t="inlineStr"/>
      <c r="N1055" t="inlineStr"/>
      <c r="O1055">
        <f>(1-Summary!$B$55)*T1055+Summary!$B$55*V1055</f>
        <v/>
      </c>
      <c r="P1055">
        <f>IF(B1070=0,0,O1055/B1070)</f>
        <v/>
      </c>
      <c r="Q1055" t="n">
        <v>0</v>
      </c>
      <c r="R1055" t="n">
        <v>0</v>
      </c>
      <c r="S1055">
        <f>IFERROR(O1055/N1055,0)</f>
        <v/>
      </c>
      <c r="T1055" t="n">
        <v>0</v>
      </c>
      <c r="V1055" t="n">
        <v>0</v>
      </c>
    </row>
    <row r="1056">
      <c r="A1056">
        <f>Skills!A21</f>
        <v/>
      </c>
      <c r="B1056">
        <f>Skills!B21</f>
        <v/>
      </c>
      <c r="C1056">
        <f>Inputs!$B$3&gt;=38</f>
        <v/>
      </c>
      <c r="D1056">
        <f>IF(Skills!C21=1,60+Inputs!$B$25+Inputs!$B$29,IF(Skills!C21=2,90+Inputs!$B$26+Inputs!$B$29,IF(Skills!C21=3,120+Inputs!$B$27+Inputs!$B$29,MAX(0,(Inputs!$B$3-100)*3)+Inputs!$B$28+Inputs!$B$29)))</f>
        <v/>
      </c>
      <c r="E1056">
        <f>INDEX(FactorTable!$B$2:$Y$301, MATCH(ROUND(MIN(300,MAX(1,D1056)),0), FactorTable!$A$2:$A$301,0), Skills!M21+1)</f>
        <v/>
      </c>
      <c r="F1056">
        <f>IF(Skills!N21=TRUE,(Skills!L21/10)*(E1056/1000),Skills!L21/10)+Skills!O21</f>
        <v/>
      </c>
      <c r="G1056">
        <f>Skills!G21*IF(Skills!H21&gt;0,Skills!I21/Skills!H21,1)</f>
        <v/>
      </c>
      <c r="H1056">
        <f>1-(1-Skills!J21/100)^Skills!K21</f>
        <v/>
      </c>
      <c r="I1056" t="inlineStr">
        <is>
          <t>1</t>
        </is>
      </c>
      <c r="J1056" t="inlineStr"/>
      <c r="K1056" t="inlineStr"/>
      <c r="L1056" t="inlineStr"/>
      <c r="M1056" t="inlineStr"/>
      <c r="N1056" t="inlineStr"/>
      <c r="O1056">
        <f>(1-Summary!$B$55)*T1056+Summary!$B$55*V1056</f>
        <v/>
      </c>
      <c r="P1056">
        <f>IF(B1070=0,0,O1056/B1070)</f>
        <v/>
      </c>
      <c r="Q1056" t="n">
        <v>0</v>
      </c>
      <c r="R1056" t="n">
        <v>0</v>
      </c>
      <c r="S1056">
        <f>IFERROR(O1056/N1056,0)</f>
        <v/>
      </c>
      <c r="T1056" t="n">
        <v>0</v>
      </c>
      <c r="V1056" t="n">
        <v>0</v>
      </c>
    </row>
    <row r="1057">
      <c r="A1057">
        <f>Skills!A22</f>
        <v/>
      </c>
      <c r="B1057">
        <f>Skills!B22</f>
        <v/>
      </c>
      <c r="C1057">
        <f>Inputs!$B$3&gt;=75</f>
        <v/>
      </c>
      <c r="D1057">
        <f>IF(Skills!C22=1,60+Inputs!$B$25+Inputs!$B$29,IF(Skills!C22=2,90+Inputs!$B$26+Inputs!$B$29,IF(Skills!C22=3,120+Inputs!$B$27+Inputs!$B$29,MAX(0,(Inputs!$B$3-100)*3)+Inputs!$B$28+Inputs!$B$29)))</f>
        <v/>
      </c>
      <c r="E1057">
        <f>INDEX(FactorTable!$B$2:$Y$301, MATCH(ROUND(MIN(300,MAX(1,D1057)),0), FactorTable!$A$2:$A$301,0), Skills!M22+1)</f>
        <v/>
      </c>
      <c r="F1057">
        <f>IF(Skills!N22=TRUE,(Skills!L22/10)*(E1057/1000),Skills!L22/10)+Skills!O22</f>
        <v/>
      </c>
      <c r="G1057">
        <f>Skills!G22*IF(Skills!H22&gt;0,Skills!I22/Skills!H22,1)</f>
        <v/>
      </c>
      <c r="H1057">
        <f>1-(1-Skills!J22/100)^Skills!K22</f>
        <v/>
      </c>
      <c r="I1057" t="inlineStr">
        <is>
          <t>1</t>
        </is>
      </c>
      <c r="J1057" t="inlineStr"/>
      <c r="K1057" t="inlineStr"/>
      <c r="L1057" t="inlineStr"/>
      <c r="M1057" t="inlineStr"/>
      <c r="N1057" t="inlineStr"/>
      <c r="O1057">
        <f>(1-Summary!$B$55)*T1057+Summary!$B$55*V1057</f>
        <v/>
      </c>
      <c r="P1057">
        <f>IF(B1070=0,0,O1057/B1070)</f>
        <v/>
      </c>
      <c r="Q1057" t="n">
        <v>0</v>
      </c>
      <c r="R1057" t="n">
        <v>0</v>
      </c>
      <c r="S1057">
        <f>IFERROR(O1057/N1057,0)</f>
        <v/>
      </c>
      <c r="T1057" t="n">
        <v>0</v>
      </c>
      <c r="V1057" t="n">
        <v>0</v>
      </c>
    </row>
    <row r="1059">
      <c r="A1059" t="inlineStr">
        <is>
          <t>Attack% Bucket Multiplier</t>
        </is>
      </c>
      <c r="B1059">
        <f>(1+(((C1048=TRUE)*F1048)+((C1054=TRUE)*(F1054-Calc!F19)))/100)</f>
        <v/>
      </c>
    </row>
    <row r="1060">
      <c r="A1060" t="inlineStr">
        <is>
          <t>Global Crit Rate Bonus %</t>
        </is>
      </c>
      <c r="B1060" t="n">
        <v>0</v>
      </c>
    </row>
    <row r="1061">
      <c r="A1061" t="inlineStr">
        <is>
          <t>Attack Speed Buff Bonus % (unused)</t>
        </is>
      </c>
      <c r="B1061" t="n">
        <v>0</v>
      </c>
    </row>
    <row r="1062">
      <c r="A1062" t="inlineStr">
        <is>
          <t>Actions Per Second</t>
        </is>
      </c>
      <c r="B1062">
        <f>1+MIN(150,150*(1-(1-(Inputs!$B$11+((C1052=TRUE)*(F1052-Calc!F17))+((C1053=TRUE)*(F1053-Calc!F18)))/150)*(1-B1061/150)))/100</f>
        <v/>
      </c>
    </row>
    <row r="1063">
      <c r="A1063" t="inlineStr">
        <is>
          <t>Skill + Buff Cast Rate</t>
        </is>
      </c>
      <c r="B1063">
        <f>IF(AND(Inputs!$B$38&lt;&gt;"pvp",Inputs!$B$43&gt;0),SUMPRODUCT((Skills!E2:E22=TRUE)*(C1037:C1057=TRUE)*R1037:R1057*Skills!F2:F22)/Inputs!$B$43,SUMPRODUCT((Skills!E2:E22=TRUE)*(C1037:C1057=TRUE)*Q1037:Q1057*Skills!F2:F22))</f>
        <v/>
      </c>
    </row>
    <row r="1064">
      <c r="A1064" t="inlineStr">
        <is>
          <t>Hook Bomber Casts Per Second</t>
        </is>
      </c>
      <c r="B1064">
        <f>MAX(0,B1062-B1063)</f>
        <v/>
      </c>
    </row>
    <row r="1065">
      <c r="A1065" t="inlineStr">
        <is>
          <t>Global Critical Damage Bonus % (unused)</t>
        </is>
      </c>
      <c r="B1065" t="n">
        <v>0</v>
      </c>
    </row>
    <row r="1066">
      <c r="A1066" t="inlineStr">
        <is>
          <t>Global Final Damage Bonus % (Serpent Scale + Crossbones + Time Leap + Speed Infusion)</t>
        </is>
      </c>
      <c r="B1066">
        <f>((C1040=TRUE)*F1040*((10+IF(Inputs!$B$3&gt;=94,5,0))/((10+IF(Inputs!$B$3&gt;=94,5,0))+5/(B1064*(1+IF(Inputs!$B$3&gt;=104,1,0))))))+((C1049=TRUE)*F1049)+((C1050=TRUE)*F1050)+((Inputs!$B$3&gt;=110)*20*(B1062-1))</f>
        <v/>
      </c>
    </row>
    <row r="1067">
      <c r="A1067" t="inlineStr">
        <is>
          <t>Buff-Casting Startup Delay (s, fixed-duration only)</t>
        </is>
      </c>
      <c r="B1067">
        <f>IF(AND(Inputs!$B$38&lt;&gt;"pvp",Inputs!$B$43&gt;0),SUMPRODUCT((Skills!T2:T22&gt;0)*(Skills!E2:E22=TRUE)*(C1037:C1057=TRUE))/B1062,0)</f>
        <v/>
      </c>
    </row>
    <row r="1068">
      <c r="A1068" t="inlineStr">
        <is>
          <t>Boss-Only Total DPS (this block's swept value)</t>
        </is>
      </c>
      <c r="B1068">
        <f>SUM(T1037:T1057)</f>
        <v/>
      </c>
    </row>
    <row r="1069">
      <c r="A1069" t="inlineStr">
        <is>
          <t>Normal-Only Total DPS (this block's swept value)</t>
        </is>
      </c>
      <c r="B1069">
        <f>SUM(V1037:V1057)</f>
        <v/>
      </c>
    </row>
    <row r="1070">
      <c r="A1070" s="5" t="inlineStr">
        <is>
          <t>TOTAL DPS</t>
        </is>
      </c>
      <c r="B1070" s="5">
        <f>SUM(O1037:O1057)</f>
        <v/>
      </c>
    </row>
    <row r="1073">
      <c r="A1073" s="5" t="inlineStr">
        <is>
          <t>Stat: CDR = 1.0s</t>
        </is>
      </c>
    </row>
    <row r="1074">
      <c r="A1074" s="9" t="inlineStr">
        <is>
          <t>Key</t>
        </is>
      </c>
      <c r="B1074" s="9" t="inlineStr">
        <is>
          <t>Name</t>
        </is>
      </c>
      <c r="C1074" s="9" t="inlineStr">
        <is>
          <t>Unlocked</t>
        </is>
      </c>
      <c r="D1074" s="9" t="inlineStr">
        <is>
          <t>InputLevel</t>
        </is>
      </c>
      <c r="E1074" s="9" t="inlineStr">
        <is>
          <t>Factor</t>
        </is>
      </c>
      <c r="F1074" s="9" t="inlineStr">
        <is>
          <t>CoefficientPercent</t>
        </is>
      </c>
      <c r="G1074" s="9" t="inlineStr">
        <is>
          <t>EffectiveHits</t>
        </is>
      </c>
      <c r="H1074" s="9" t="inlineStr">
        <is>
          <t>ProcProbability</t>
        </is>
      </c>
      <c r="I1074" s="9" t="inlineStr">
        <is>
          <t>MapleHeroMultiplier</t>
        </is>
      </c>
      <c r="J1074" s="9" t="inlineStr">
        <is>
          <t>BaseDamage</t>
        </is>
      </c>
      <c r="K1074" s="9" t="inlineStr">
        <is>
          <t>BaseHitDamage</t>
        </is>
      </c>
      <c r="L1074" s="9" t="inlineStr">
        <is>
          <t>NonCritAvg</t>
        </is>
      </c>
      <c r="M1074" s="9" t="inlineStr">
        <is>
          <t>CritAvg</t>
        </is>
      </c>
      <c r="N1074" s="9" t="inlineStr">
        <is>
          <t>ExpectedDamage(perHit)</t>
        </is>
      </c>
      <c r="O1074" s="9" t="inlineStr">
        <is>
          <t>DPS</t>
        </is>
      </c>
      <c r="P1074" s="9" t="inlineStr">
        <is>
          <t>% of Total</t>
        </is>
      </c>
      <c r="Q1074" s="9" t="inlineStr">
        <is>
          <t>InvCooldown</t>
        </is>
      </c>
      <c r="R1074" s="9" t="inlineStr">
        <is>
          <t>CastsInFight</t>
        </is>
      </c>
      <c r="S1074" s="9" t="inlineStr">
        <is>
          <t>HitRate(perSec)</t>
        </is>
      </c>
      <c r="U1074" t="inlineStr">
        <is>
          <t>helpers</t>
        </is>
      </c>
    </row>
    <row r="1075">
      <c r="A1075">
        <f>Skills!A2</f>
        <v/>
      </c>
      <c r="B1075">
        <f>Skills!B2</f>
        <v/>
      </c>
      <c r="C1075">
        <f>Inputs!$B$3&gt;=100</f>
        <v/>
      </c>
      <c r="D1075" t="inlineStr"/>
      <c r="E1075" t="inlineStr"/>
      <c r="F1075">
        <f>U1077+Skills!O2</f>
        <v/>
      </c>
      <c r="G1075">
        <f>Skills!G2*IF(Skills!H2&gt;0,Skills!I2/Skills!H2,1)</f>
        <v/>
      </c>
      <c r="H1075">
        <f>1-(1-Skills!J2/100)^Skills!K2</f>
        <v/>
      </c>
      <c r="I1075" t="inlineStr">
        <is>
          <t>1</t>
        </is>
      </c>
      <c r="J1075">
        <f>((Inputs!$B$6*(1+Inputs!$B$7/100))+(((Inputs!$B$12*(1+Inputs!$B$13/100))-(Inputs!$B$12*(1+Inputs!$B$13/100)))+0.25*(Inputs!$B$14-Inputs!$B$14))*(1+Inputs!$B$7/100))*(F1075/100)</f>
        <v/>
      </c>
      <c r="K1075">
        <f>J1075*(1+((Inputs!$B$12*(1+Inputs!$B$13/100))*0.01+Inputs!$B$14*0.0025)/100)*(1+Inputs!$B$15/100)*(1+Inputs!$B$16/100)*(5000/(6000+Inputs!$B$42*(1-(Inputs!$B$19+0)/100)))*(1+(Inputs!$B$24+((C1095=TRUE)*(F1095-Calc!F22))+B1104)/100)*(1+(IF(Skills!A2="HOOK_BOMBER",Inputs!$B$17+((C1094=TRUE)*(F1094-Calc!F21)),Inputs!$B$18+0))/100)*((1+(((C1086=TRUE)*F1086)+((C1092=TRUE)*(F1092-Calc!F19)))/100)*I1075)</f>
        <v/>
      </c>
      <c r="L1075">
        <f>K1075*(MIN(Inputs!$B$22+((C1093=TRUE)*(F1093-Calc!F20)),Inputs!$B$23+0)/100+(Inputs!$B$23+0)/100)/2</f>
        <v/>
      </c>
      <c r="M1075">
        <f>L1075*(1+(Inputs!$B$10+0+B1103)/100)</f>
        <v/>
      </c>
      <c r="N1075">
        <f>L1075*(1-MIN((Inputs!$B$9+((C1089=TRUE)*(F1089-Calc!F16))+B1098),100)/100)+M1075*(MIN((Inputs!$B$9+((C1089=TRUE)*(F1089-Calc!F16))+B1098),100)/100)</f>
        <v/>
      </c>
      <c r="O1075">
        <f>(1-Summary!$B$55)*T1075+Summary!$B$55*V1075</f>
        <v/>
      </c>
      <c r="P1075">
        <f>IF(B1108=0,0,O1075/B1108)</f>
        <v/>
      </c>
      <c r="Q1075" t="n">
        <v>0</v>
      </c>
      <c r="R1075" t="n">
        <v>0</v>
      </c>
      <c r="S1075">
        <f>IFERROR(O1075/N1075,0)</f>
        <v/>
      </c>
      <c r="T1075">
        <f>IF(C1075,(Skills!G2*N1075*B1102)*IF(Inputs!$B$38="pvp",1,1+(Inputs!$B$20+0+Skills!P2)/100),0)</f>
        <v/>
      </c>
      <c r="U1075">
        <f>MAX(0,(Inputs!$B$3-100)*3)+Inputs!$B$28+Inputs!$B$29</f>
        <v/>
      </c>
      <c r="V1075">
        <f>IF(C1075,(Skills!G2*N1075*B1102)*IF(Inputs!$B$38="pvp",1,(1+(Inputs!$B$21+Skills!Q2)/100)*(MIN((6+Inputs!$B$33),Inputs!$B$37))),0)</f>
        <v/>
      </c>
    </row>
    <row r="1076">
      <c r="A1076">
        <f>Skills!A3</f>
        <v/>
      </c>
      <c r="B1076">
        <f>Skills!B3</f>
        <v/>
      </c>
      <c r="C1076">
        <f>Inputs!$B$3&gt;=35</f>
        <v/>
      </c>
      <c r="D1076">
        <f>IF(Skills!C3=1,60+Inputs!$B$25+Inputs!$B$29,IF(Skills!C3=2,90+Inputs!$B$26+Inputs!$B$29,IF(Skills!C3=3,120+Inputs!$B$27+Inputs!$B$29,MAX(0,(Inputs!$B$3-100)*3)+Inputs!$B$28+Inputs!$B$29)))</f>
        <v/>
      </c>
      <c r="E1076">
        <f>INDEX(FactorTable!$B$2:$Y$301, MATCH(ROUND(MIN(300,MAX(1,D1076)),0), FactorTable!$A$2:$A$301,0), Skills!M3+1)</f>
        <v/>
      </c>
      <c r="F1076">
        <f>IF(Skills!N3=TRUE,(Skills!L3/10)*(E1076/1000),Skills!L3/10)+Skills!O3</f>
        <v/>
      </c>
      <c r="G1076">
        <f>Skills!G3*IF(Skills!H3&gt;0,Skills!I3/Skills!H3,1)</f>
        <v/>
      </c>
      <c r="H1076">
        <f>1-(1-Skills!J3/100)^Skills!K3</f>
        <v/>
      </c>
      <c r="I1076" t="inlineStr">
        <is>
          <t>1</t>
        </is>
      </c>
      <c r="J1076">
        <f>((Inputs!$B$6*(1+Inputs!$B$7/100))+(((Inputs!$B$12*(1+Inputs!$B$13/100))-(Inputs!$B$12*(1+Inputs!$B$13/100)))+0.25*(Inputs!$B$14-Inputs!$B$14))*(1+Inputs!$B$7/100))*(F1076/100)</f>
        <v/>
      </c>
      <c r="K1076">
        <f>J1076*(1+((Inputs!$B$12*(1+Inputs!$B$13/100))*0.01+Inputs!$B$14*0.0025)/100)*(1+Inputs!$B$15/100)*(1+Inputs!$B$16/100)*(5000/(6000+Inputs!$B$42*(1-(Inputs!$B$19+0)/100)))*(1+(Inputs!$B$24+((C1095=TRUE)*(F1095-Calc!F22))+B1104)/100)*(1+(IF(Skills!A3="HOOK_BOMBER",Inputs!$B$17+((C1094=TRUE)*(F1094-Calc!F21)),Inputs!$B$18+0))/100)*((1+(((C1086=TRUE)*F1086)+((C1092=TRUE)*(F1092-Calc!F19)))/100)*I1076)</f>
        <v/>
      </c>
      <c r="L1076">
        <f>K1076*(MIN(Inputs!$B$22+((C1093=TRUE)*(F1093-Calc!F20)),Inputs!$B$23+0)/100+(Inputs!$B$23+0)/100)/2</f>
        <v/>
      </c>
      <c r="M1076">
        <f>L1076*(1+(Inputs!$B$10+0+B1103)/100)</f>
        <v/>
      </c>
      <c r="N1076">
        <f>L1076*(1-MIN((Inputs!$B$9+((C1089=TRUE)*(F1089-Calc!F16))+B1098),100)/100)+M1076*(MIN((Inputs!$B$9+((C1089=TRUE)*(F1089-Calc!F16))+B1098),100)/100)</f>
        <v/>
      </c>
      <c r="O1076">
        <f>(1-Summary!$B$55)*T1076+Summary!$B$55*V1076</f>
        <v/>
      </c>
      <c r="P1076">
        <f>IF(B1108=0,0,O1076/B1108)</f>
        <v/>
      </c>
      <c r="Q1076" t="n">
        <v>0</v>
      </c>
      <c r="R1076" t="n">
        <v>0</v>
      </c>
      <c r="S1076">
        <f>IFERROR(O1076/N1076,0)</f>
        <v/>
      </c>
      <c r="T1076">
        <f>IF(C1076,(Skills!G3*H1076*N1076*B1102)*IF(Inputs!$B$38="pvp",1,1+(Inputs!$B$20+0+Skills!P3)/100),0)</f>
        <v/>
      </c>
      <c r="U1076">
        <f>INDEX(FactorTable!$B$2:$Y$301, MATCH(ROUND(MIN(300,MAX(1,U1075)),0), FactorTable!$A$2:$A$301,0), 22)</f>
        <v/>
      </c>
      <c r="V1076">
        <f>IF(C1076,(Skills!G3*H1076*N1076*B1102)*IF(Inputs!$B$38="pvp",1,(1+(Inputs!$B$21+Skills!Q3)/100)*(MIN(Skills!R3,Inputs!$B$37))),0)</f>
        <v/>
      </c>
    </row>
    <row r="1077">
      <c r="A1077">
        <f>Skills!A4</f>
        <v/>
      </c>
      <c r="B1077">
        <f>Skills!B4</f>
        <v/>
      </c>
      <c r="C1077">
        <f>Inputs!$B$3&gt;=60</f>
        <v/>
      </c>
      <c r="D1077">
        <f>IF(Skills!C4=1,60+Inputs!$B$25+Inputs!$B$29,IF(Skills!C4=2,90+Inputs!$B$26+Inputs!$B$29,IF(Skills!C4=3,120+Inputs!$B$27+Inputs!$B$29,MAX(0,(Inputs!$B$3-100)*3)+Inputs!$B$28+Inputs!$B$29)))</f>
        <v/>
      </c>
      <c r="E1077">
        <f>INDEX(FactorTable!$B$2:$Y$301, MATCH(ROUND(MIN(300,MAX(1,D1077)),0), FactorTable!$A$2:$A$301,0), Skills!M4+1)</f>
        <v/>
      </c>
      <c r="F1077">
        <f>IF(Skills!N4=TRUE,(Skills!L4/10)*(E1077/1000),Skills!L4/10)+Skills!O4</f>
        <v/>
      </c>
      <c r="G1077">
        <f>Skills!G4*IF(Skills!H4&gt;0,Skills!I4/Skills!H4,1)</f>
        <v/>
      </c>
      <c r="H1077">
        <f>1-(1-Skills!J4/100)^Skills!K4</f>
        <v/>
      </c>
      <c r="I1077" t="inlineStr">
        <is>
          <t>1</t>
        </is>
      </c>
      <c r="J1077">
        <f>((Inputs!$B$6*(1+Inputs!$B$7/100))+(((Inputs!$B$12*(1+Inputs!$B$13/100))-(Inputs!$B$12*(1+Inputs!$B$13/100)))+0.25*(Inputs!$B$14-Inputs!$B$14))*(1+Inputs!$B$7/100))*(F1077/100)</f>
        <v/>
      </c>
      <c r="K1077">
        <f>J1077*(1+((Inputs!$B$12*(1+Inputs!$B$13/100))*0.01+Inputs!$B$14*0.0025)/100)*(1+Inputs!$B$15/100)*(1+Inputs!$B$16/100)*(5000/(6000+Inputs!$B$42*(1-(Inputs!$B$19+0)/100)))*(1+(Inputs!$B$24+((C1095=TRUE)*(F1095-Calc!F22))+B1104)/100)*(1+1.0*IF(C1085=TRUE,F1085,0)/100)*(1+(IF(Skills!A4="HOOK_BOMBER",Inputs!$B$17+((C1094=TRUE)*(F1094-Calc!F21)),Inputs!$B$18+0))/100)*((1+(((C1086=TRUE)*F1086)+((C1092=TRUE)*(F1092-Calc!F19)))/100)*I1077)</f>
        <v/>
      </c>
      <c r="L1077">
        <f>K1077*(MIN(Inputs!$B$22+((C1093=TRUE)*(F1093-Calc!F20)),Inputs!$B$23+0)/100+(Inputs!$B$23+0)/100)/2</f>
        <v/>
      </c>
      <c r="M1077">
        <f>L1077*(1+(Inputs!$B$10+0+B1103)/100)</f>
        <v/>
      </c>
      <c r="N1077">
        <f>L1077*(1-MIN((Inputs!$B$9+((C1089=TRUE)*(F1089-Calc!F16))+B1098),100)/100)+M1077*(MIN((Inputs!$B$9+((C1089=TRUE)*(F1089-Calc!F16))+B1098),100)/100)</f>
        <v/>
      </c>
      <c r="O1077">
        <f>(1-Summary!$B$55)*T1077+Summary!$B$55*V1077</f>
        <v/>
      </c>
      <c r="P1077">
        <f>IF(B1108=0,0,O1077/B1108)</f>
        <v/>
      </c>
      <c r="Q1077" t="n">
        <v>0</v>
      </c>
      <c r="R1077" t="n">
        <v>0</v>
      </c>
      <c r="S1077">
        <f>IFERROR(O1077/N1077,0)</f>
        <v/>
      </c>
      <c r="T1077">
        <f>IF(C1077,(Skills!G4*H1077*N1077*B1102)*IF(Inputs!$B$38="pvp",1,1+(Inputs!$B$20+0+Skills!P4)/100),0)</f>
        <v/>
      </c>
      <c r="U1077">
        <f>290*U1076/1000</f>
        <v/>
      </c>
      <c r="V1077">
        <f>IF(C1077,(Skills!G4*H1077*N1077*B1102)*IF(Inputs!$B$38="pvp",1,(1+(Inputs!$B$21+Skills!Q4)/100)*(MIN(Skills!R4,Inputs!$B$37))),0)</f>
        <v/>
      </c>
    </row>
    <row r="1078">
      <c r="A1078">
        <f>Skills!A5</f>
        <v/>
      </c>
      <c r="B1078">
        <f>Skills!B5</f>
        <v/>
      </c>
      <c r="C1078">
        <f>Inputs!$B$3&gt;=60</f>
        <v/>
      </c>
      <c r="D1078">
        <f>IF(Skills!C5=1,60+Inputs!$B$25+Inputs!$B$29,IF(Skills!C5=2,90+Inputs!$B$26+Inputs!$B$29,IF(Skills!C5=3,120+Inputs!$B$27+Inputs!$B$29,MAX(0,(Inputs!$B$3-100)*3)+Inputs!$B$28+Inputs!$B$29)))</f>
        <v/>
      </c>
      <c r="E1078">
        <f>INDEX(FactorTable!$B$2:$Y$301, MATCH(ROUND(MIN(300,MAX(1,D1078)),0), FactorTable!$A$2:$A$301,0), Skills!M5+1)</f>
        <v/>
      </c>
      <c r="F1078">
        <f>IF(Skills!N5=TRUE,(Skills!L5/10)*(E1078/1000),Skills!L5/10)+Skills!O5</f>
        <v/>
      </c>
      <c r="G1078">
        <f>Skills!G5*IF(Skills!H5&gt;0,Skills!I5/Skills!H5,1)</f>
        <v/>
      </c>
      <c r="H1078">
        <f>1-(1-Skills!J5/100)^Skills!K5</f>
        <v/>
      </c>
      <c r="I1078" t="inlineStr">
        <is>
          <t>1</t>
        </is>
      </c>
      <c r="J1078" t="inlineStr"/>
      <c r="K1078" t="inlineStr"/>
      <c r="L1078" t="inlineStr"/>
      <c r="M1078" t="inlineStr"/>
      <c r="N1078" t="inlineStr"/>
      <c r="O1078">
        <f>(1-Summary!$B$55)*T1078+Summary!$B$55*V1078</f>
        <v/>
      </c>
      <c r="P1078">
        <f>IF(B1108=0,0,O1078/B1108)</f>
        <v/>
      </c>
      <c r="Q1078" t="n">
        <v>0</v>
      </c>
      <c r="R1078" t="n">
        <v>0</v>
      </c>
      <c r="S1078">
        <f>IFERROR(O1078/N1078,0)</f>
        <v/>
      </c>
      <c r="T1078" t="n">
        <v>0</v>
      </c>
      <c r="V1078" t="n">
        <v>0</v>
      </c>
    </row>
    <row r="1079">
      <c r="A1079">
        <f>Skills!A6</f>
        <v/>
      </c>
      <c r="B1079">
        <f>Skills!B6</f>
        <v/>
      </c>
      <c r="C1079">
        <f>Inputs!$B$3&gt;=63</f>
        <v/>
      </c>
      <c r="D1079">
        <f>IF(Skills!C6=1,60+Inputs!$B$25+Inputs!$B$29,IF(Skills!C6=2,90+Inputs!$B$26+Inputs!$B$29,IF(Skills!C6=3,120+Inputs!$B$27+Inputs!$B$29,MAX(0,(Inputs!$B$3-100)*3)+Inputs!$B$28+Inputs!$B$29)))</f>
        <v/>
      </c>
      <c r="E1079">
        <f>INDEX(FactorTable!$B$2:$Y$301, MATCH(ROUND(MIN(300,MAX(1,D1079)),0), FactorTable!$A$2:$A$301,0), Skills!M6+1)</f>
        <v/>
      </c>
      <c r="F1079">
        <f>IF(Skills!N6=TRUE,(Skills!L6/10)*(E1079/1000),Skills!L6/10)+Skills!O6</f>
        <v/>
      </c>
      <c r="G1079">
        <f>Skills!G6*IF(Skills!H6&gt;0,Skills!I6/Skills!H6,1)</f>
        <v/>
      </c>
      <c r="H1079">
        <f>1-(1-Skills!J6/100)^Skills!K6</f>
        <v/>
      </c>
      <c r="I1079" t="inlineStr">
        <is>
          <t>1</t>
        </is>
      </c>
      <c r="J1079">
        <f>((Inputs!$B$6*(1+Inputs!$B$7/100))+(((Inputs!$B$12*(1+Inputs!$B$13/100))-(Inputs!$B$12*(1+Inputs!$B$13/100)))+0.25*(Inputs!$B$14-Inputs!$B$14))*(1+Inputs!$B$7/100))*(F1079/100)</f>
        <v/>
      </c>
      <c r="K1079">
        <f>J1079*(1+((Inputs!$B$12*(1+Inputs!$B$13/100))*0.01+Inputs!$B$14*0.0025)/100)*(1+Inputs!$B$15/100)*(1+Inputs!$B$16/100)*(5000/(6000+Inputs!$B$42*(1-(Inputs!$B$19+0)/100)))*(1+(Inputs!$B$24+((C1095=TRUE)*(F1095-Calc!F22))+B1104)/100)*(1+(IF(Skills!A6="HOOK_BOMBER",Inputs!$B$17+((C1094=TRUE)*(F1094-Calc!F21)),Inputs!$B$18+0))/100)*((1+(((C1086=TRUE)*F1086)+((C1092=TRUE)*(F1092-Calc!F19)))/100)*I1079)</f>
        <v/>
      </c>
      <c r="L1079">
        <f>K1079*(MIN(Inputs!$B$22+((C1093=TRUE)*(F1093-Calc!F20)),Inputs!$B$23+0)/100+(Inputs!$B$23+0)/100)/2</f>
        <v/>
      </c>
      <c r="M1079">
        <f>L1079*(1+(Inputs!$B$10+0+B1103)/100)</f>
        <v/>
      </c>
      <c r="N1079">
        <f>L1079*(1-MIN((Inputs!$B$9+((C1089=TRUE)*(F1089-Calc!F16))+B1098),100)/100)+M1079*(MIN((Inputs!$B$9+((C1089=TRUE)*(F1089-Calc!F16))+B1098),100)/100)</f>
        <v/>
      </c>
      <c r="O1079">
        <f>(1-Summary!$B$55)*T1079+Summary!$B$55*V1079</f>
        <v/>
      </c>
      <c r="P1079">
        <f>IF(B1108=0,0,O1079/B1108)</f>
        <v/>
      </c>
      <c r="Q1079">
        <f>IFERROR(1/IF(Inputs!$B$38="pvp",15,MAX(0.1,Skills!D6-IF(Skills!E6=TRUE,1.0,0))),0)</f>
        <v/>
      </c>
      <c r="R1079">
        <f>IF(AND(Inputs!$B$38&lt;&gt;"pvp",Inputs!$B$43&gt;0),IF(MAX(0,Inputs!$B$43-B1105)&lt;=0,0,(INT(MAX(0,Inputs!$B$43-B1105)/IF(Inputs!$B$38="pvp",15,MAX(0.1,Skills!D6-IF(Skills!E6=TRUE,1.0,0))))+1)),0)</f>
        <v/>
      </c>
      <c r="S1079">
        <f>IFERROR(O1079/N1079,0)</f>
        <v/>
      </c>
      <c r="T1079">
        <f>IF(C1079,(H1079*N1079*IF(AND(Inputs!$B$38&lt;&gt;"pvp",Inputs!$B$43&gt;0),((Skills!G6*((R1079-1)*IF(Skills!H6&gt;0,Skills!I6/Skills!H6,1)+IF(Skills!H6&gt;0,MIN(Skills!I6,MAX(0,MAX(0,Inputs!$B$43-B1105)-((R1079-1)*IF(Inputs!$B$38="pvp",15,MAX(0.1,Skills!D6-IF(Skills!E6=TRUE,1.0,0))))))/Skills!H6,1)))/Inputs!$B$43),G1079*Q1079))*IF(Inputs!$B$38="pvp",1,1+(Inputs!$B$20+0+Skills!P6)/100),0)</f>
        <v/>
      </c>
      <c r="V1079">
        <f>IF(C1079,(H1079*N1079*IF(AND(Inputs!$B$38&lt;&gt;"pvp",Inputs!$B$43&gt;0),((Skills!G6*((R1079-1)*IF(Skills!H6&gt;0,Skills!I6/Skills!H6,1)+IF(Skills!H6&gt;0,MIN(Skills!I6,MAX(0,MAX(0,Inputs!$B$43-B1105)-((R1079-1)*IF(Inputs!$B$38="pvp",15,MAX(0.1,Skills!D6-IF(Skills!E6=TRUE,1.0,0))))))/Skills!H6,1)))/Inputs!$B$43),G1079*Q1079))*IF(Inputs!$B$38="pvp",1,(1+(Inputs!$B$21+Skills!Q6)/100)*(MIN(Skills!R6,Inputs!$B$37))),0)</f>
        <v/>
      </c>
    </row>
    <row r="1080">
      <c r="A1080">
        <f>Skills!A7</f>
        <v/>
      </c>
      <c r="B1080">
        <f>Skills!B7</f>
        <v/>
      </c>
      <c r="C1080">
        <f>Inputs!$B$3&gt;=100</f>
        <v/>
      </c>
      <c r="D1080">
        <f>IF(Skills!C7=1,60+Inputs!$B$25+Inputs!$B$29,IF(Skills!C7=2,90+Inputs!$B$26+Inputs!$B$29,IF(Skills!C7=3,120+Inputs!$B$27+Inputs!$B$29,MAX(0,(Inputs!$B$3-100)*3)+Inputs!$B$28+Inputs!$B$29)))</f>
        <v/>
      </c>
      <c r="E1080">
        <f>INDEX(FactorTable!$B$2:$Y$301, MATCH(ROUND(MIN(300,MAX(1,D1080)),0), FactorTable!$A$2:$A$301,0), Skills!M7+1)</f>
        <v/>
      </c>
      <c r="F1080">
        <f>IF(Skills!N7=TRUE,(Skills!L7/10)*(E1080/1000),Skills!L7/10)+Skills!O7</f>
        <v/>
      </c>
      <c r="G1080">
        <f>Skills!G7*IF(Skills!H7&gt;0,Skills!I7/Skills!H7,1)</f>
        <v/>
      </c>
      <c r="H1080">
        <f>1-(1-Skills!J7/100)^Skills!K7</f>
        <v/>
      </c>
      <c r="I1080" t="inlineStr">
        <is>
          <t>1</t>
        </is>
      </c>
      <c r="J1080">
        <f>((Inputs!$B$6*(1+Inputs!$B$7/100))+(((Inputs!$B$12*(1+Inputs!$B$13/100))-(Inputs!$B$12*(1+Inputs!$B$13/100)))+0.25*(Inputs!$B$14-Inputs!$B$14))*(1+Inputs!$B$7/100))*(F1080/100)</f>
        <v/>
      </c>
      <c r="K1080">
        <f>J1080*(1+((Inputs!$B$12*(1+Inputs!$B$13/100))*0.01+Inputs!$B$14*0.0025)/100)*(1+Inputs!$B$15/100)*(1+Inputs!$B$16/100)*(5000/(6000+Inputs!$B$42*(1-(Inputs!$B$19+0)/100)))*(1+(Inputs!$B$24+((C1095=TRUE)*(F1095-Calc!F22))+B1104)/100)*(1+(IF(Skills!A7="HOOK_BOMBER",Inputs!$B$17+((C1094=TRUE)*(F1094-Calc!F21)),Inputs!$B$18+0))/100)*((1+(((C1086=TRUE)*F1086)+((C1092=TRUE)*(F1092-Calc!F19)))/100)*I1080)</f>
        <v/>
      </c>
      <c r="L1080">
        <f>K1080*(MIN(Inputs!$B$22+((C1093=TRUE)*(F1093-Calc!F20)),Inputs!$B$23+0)/100+(Inputs!$B$23+0)/100)/2</f>
        <v/>
      </c>
      <c r="M1080">
        <f>L1080*(1+(Inputs!$B$10+0+B1103)/100)</f>
        <v/>
      </c>
      <c r="N1080">
        <f>L1080*(1-MIN((Inputs!$B$9+((C1089=TRUE)*(F1089-Calc!F16))+B1098),100)/100)+M1080*(MIN((Inputs!$B$9+((C1089=TRUE)*(F1089-Calc!F16))+B1098),100)/100)</f>
        <v/>
      </c>
      <c r="O1080">
        <f>(1-Summary!$B$55)*T1080+Summary!$B$55*V1080</f>
        <v/>
      </c>
      <c r="P1080">
        <f>IF(B1108=0,0,O1080/B1108)</f>
        <v/>
      </c>
      <c r="Q1080">
        <f>IFERROR(1/IF(Inputs!$B$38="pvp",15,MAX(0.1,Skills!D7-IF(Skills!E7=TRUE,1.0,0))),0)</f>
        <v/>
      </c>
      <c r="R1080">
        <f>IF(AND(Inputs!$B$38&lt;&gt;"pvp",Inputs!$B$43&gt;0),IF(MAX(0,Inputs!$B$43-B1105)&lt;=0,0,(INT(MAX(0,Inputs!$B$43-B1105)/IF(Inputs!$B$38="pvp",15,MAX(0.1,Skills!D7-IF(Skills!E7=TRUE,1.0,0))))+1)),0)</f>
        <v/>
      </c>
      <c r="S1080">
        <f>IFERROR(O1080/N1080,0)</f>
        <v/>
      </c>
      <c r="T1080">
        <f>IF(C1080,(H1080*N1080*IF(AND(Inputs!$B$38&lt;&gt;"pvp",Inputs!$B$43&gt;0),((Skills!G7*((R1080-1)*IF(Skills!H7&gt;0,Skills!I7/Skills!H7,1)+IF(Skills!H7&gt;0,MIN(Skills!I7,MAX(0,MAX(0,Inputs!$B$43-B1105)-((R1080-1)*IF(Inputs!$B$38="pvp",15,MAX(0.1,Skills!D7-IF(Skills!E7=TRUE,1.0,0))))))/Skills!H7,1)))/Inputs!$B$43),G1080*Q1080))*IF(Inputs!$B$38="pvp",1,1+(Inputs!$B$20+0+Skills!P7)/100),0)</f>
        <v/>
      </c>
      <c r="V1080">
        <f>IF(C1080,(H1080*N1080*IF(AND(Inputs!$B$38&lt;&gt;"pvp",Inputs!$B$43&gt;0),((Skills!G7*((R1080-1)*IF(Skills!H7&gt;0,Skills!I7/Skills!H7,1)+IF(Skills!H7&gt;0,MIN(Skills!I7,MAX(0,MAX(0,Inputs!$B$43-B1105)-((R1080-1)*IF(Inputs!$B$38="pvp",15,MAX(0.1,Skills!D7-IF(Skills!E7=TRUE,1.0,0))))))/Skills!H7,1)))/Inputs!$B$43),G1080*Q1080))*IF(Inputs!$B$38="pvp",1,(1+(Inputs!$B$21+Skills!Q7)/100)*(MIN(Skills!R7,Inputs!$B$37))),0)</f>
        <v/>
      </c>
    </row>
    <row r="1081">
      <c r="A1081">
        <f>Skills!A8</f>
        <v/>
      </c>
      <c r="B1081">
        <f>Skills!B8</f>
        <v/>
      </c>
      <c r="C1081">
        <f>Inputs!$B$3&gt;=110</f>
        <v/>
      </c>
      <c r="D1081">
        <f>IF(Skills!C8=1,60+Inputs!$B$25+Inputs!$B$29,IF(Skills!C8=2,90+Inputs!$B$26+Inputs!$B$29,IF(Skills!C8=3,120+Inputs!$B$27+Inputs!$B$29,MAX(0,(Inputs!$B$3-100)*3)+Inputs!$B$28+Inputs!$B$29)))</f>
        <v/>
      </c>
      <c r="E1081">
        <f>INDEX(FactorTable!$B$2:$Y$301, MATCH(ROUND(MIN(300,MAX(1,D1081)),0), FactorTable!$A$2:$A$301,0), Skills!M8+1)</f>
        <v/>
      </c>
      <c r="F1081">
        <f>IF(Skills!N8=TRUE,(Skills!L8/10)*(E1081/1000),Skills!L8/10)+Skills!O8</f>
        <v/>
      </c>
      <c r="G1081">
        <f>Skills!G8*IF(Skills!H8&gt;0,Skills!I8/Skills!H8,1)</f>
        <v/>
      </c>
      <c r="H1081">
        <f>1-(1-Skills!J8/100)^Skills!K8</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C1095=TRUE)*(F1095-Calc!F22))+B1104)/100)*(1+(IF(Skills!A8="HOOK_BOMBER",Inputs!$B$17+((C1094=TRUE)*(F1094-Calc!F21)),Inputs!$B$18+0))/100)*((1+(((C1086=TRUE)*F1086)+((C1092=TRUE)*(F1092-Calc!F19)))/100)*I1081)</f>
        <v/>
      </c>
      <c r="L1081">
        <f>K1081*(MIN(Inputs!$B$22+((C1093=TRUE)*(F1093-Calc!F20)),Inputs!$B$23+0)/100+(Inputs!$B$23+0)/100)/2</f>
        <v/>
      </c>
      <c r="M1081">
        <f>L1081*(1+(Inputs!$B$10+0+B1103)/100)</f>
        <v/>
      </c>
      <c r="N1081">
        <f>L1081*(1-MIN((Inputs!$B$9+((C1089=TRUE)*(F1089-Calc!F16))+B1098),100)/100)+M1081*(MIN((Inputs!$B$9+((C1089=TRUE)*(F1089-Calc!F16))+B1098),100)/100)</f>
        <v/>
      </c>
      <c r="O1081">
        <f>(1-Summary!$B$55)*T1081+Summary!$B$55*V1081</f>
        <v/>
      </c>
      <c r="P1081">
        <f>IF(B1108=0,0,O1081/B1108)</f>
        <v/>
      </c>
      <c r="Q1081">
        <f>IFERROR(1/IF(Inputs!$B$38="pvp",15,MAX(0.1,Skills!D8-IF(Skills!E8=TRUE,1.0,0))),0)</f>
        <v/>
      </c>
      <c r="R1081">
        <f>IF(AND(Inputs!$B$38&lt;&gt;"pvp",Inputs!$B$43&gt;0),IF(MAX(0,Inputs!$B$43-B1105)&lt;=0,0,(INT(MAX(0,Inputs!$B$43-B1105)/IF(Inputs!$B$38="pvp",15,MAX(0.1,Skills!D8-IF(Skills!E8=TRUE,1.0,0))))+1)),0)</f>
        <v/>
      </c>
      <c r="S1081">
        <f>IFERROR(O1081/N1081,0)</f>
        <v/>
      </c>
      <c r="T1081">
        <f>IF(C1081,(H1081*N1081*IF(AND(Inputs!$B$38&lt;&gt;"pvp",Inputs!$B$43&gt;0),((Skills!G8*((R1081-1)*IF(Skills!H8&gt;0,Skills!I8/Skills!H8,1)+IF(Skills!H8&gt;0,MIN(Skills!I8,MAX(0,MAX(0,Inputs!$B$43-B1105)-((R1081-1)*IF(Inputs!$B$38="pvp",15,MAX(0.1,Skills!D8-IF(Skills!E8=TRUE,1.0,0))))))/Skills!H8,1)))/Inputs!$B$43),G1081*Q1081))*IF(Inputs!$B$38="pvp",1,1+(Inputs!$B$20+0+Skills!P8)/100),0)</f>
        <v/>
      </c>
      <c r="V1081">
        <f>IF(C1081,(H1081*N1081*IF(AND(Inputs!$B$38&lt;&gt;"pvp",Inputs!$B$43&gt;0),((Skills!G8*((R1081-1)*IF(Skills!H8&gt;0,Skills!I8/Skills!H8,1)+IF(Skills!H8&gt;0,MIN(Skills!I8,MAX(0,MAX(0,Inputs!$B$43-B1105)-((R1081-1)*IF(Inputs!$B$38="pvp",15,MAX(0.1,Skills!D8-IF(Skills!E8=TRUE,1.0,0))))))/Skills!H8,1)))/Inputs!$B$43),G1081*Q1081))*IF(Inputs!$B$38="pvp",1,(1+(Inputs!$B$21+Skills!Q8)/100)*(MIN(Skills!R8,Inputs!$B$37))),0)</f>
        <v/>
      </c>
    </row>
    <row r="1082">
      <c r="A1082">
        <f>Skills!A9</f>
        <v/>
      </c>
      <c r="B1082">
        <f>Skills!B9</f>
        <v/>
      </c>
      <c r="C1082">
        <f>Inputs!$B$3&gt;=110</f>
        <v/>
      </c>
      <c r="D1082">
        <f>IF(Skills!C9=1,60+Inputs!$B$25+Inputs!$B$29,IF(Skills!C9=2,90+Inputs!$B$26+Inputs!$B$29,IF(Skills!C9=3,120+Inputs!$B$27+Inputs!$B$29,MAX(0,(Inputs!$B$3-100)*3)+Inputs!$B$28+Inputs!$B$29)))</f>
        <v/>
      </c>
      <c r="E1082">
        <f>INDEX(FactorTable!$B$2:$Y$301, MATCH(ROUND(MIN(300,MAX(1,D1082)),0), FactorTable!$A$2:$A$301,0), Skills!M9+1)</f>
        <v/>
      </c>
      <c r="F1082">
        <f>IF(Skills!N9=TRUE,(Skills!L9/10)*(E1082/1000),Skills!L9/10)+Skills!O9</f>
        <v/>
      </c>
      <c r="G1082">
        <f>Skills!G9*IF(Skills!H9&gt;0,Skills!I9/Skills!H9,1)</f>
        <v/>
      </c>
      <c r="H1082">
        <f>1-(1-Skills!J9/100)^Skills!K9</f>
        <v/>
      </c>
      <c r="I1082" t="inlineStr">
        <is>
          <t>1</t>
        </is>
      </c>
      <c r="J1082">
        <f>((Inputs!$B$6*(1+Inputs!$B$7/100))+(((Inputs!$B$12*(1+Inputs!$B$13/100))-(Inputs!$B$12*(1+Inputs!$B$13/100)))+0.25*(Inputs!$B$14-Inputs!$B$14))*(1+Inputs!$B$7/100))*(F1082/100)</f>
        <v/>
      </c>
      <c r="K1082">
        <f>J1082*(1+((Inputs!$B$12*(1+Inputs!$B$13/100))*0.01+Inputs!$B$14*0.0025)/100)*(1+Inputs!$B$15/100)*(1+Inputs!$B$16/100)*(5000/(6000+Inputs!$B$42*(1-(Inputs!$B$19+0)/100)))*(1+(Inputs!$B$24+((C1095=TRUE)*(F1095-Calc!F22))+B1104)/100)*(1+(IF(Skills!A9="HOOK_BOMBER",Inputs!$B$17+((C1094=TRUE)*(F1094-Calc!F21)),Inputs!$B$18+0))/100)*((1+(((C1086=TRUE)*F1086)+((C1092=TRUE)*(F1092-Calc!F19)))/100)*I1082)</f>
        <v/>
      </c>
      <c r="L1082">
        <f>K1082*(MIN(Inputs!$B$22+((C1093=TRUE)*(F1093-Calc!F20)),Inputs!$B$23+0)/100+(Inputs!$B$23+0)/100)/2</f>
        <v/>
      </c>
      <c r="M1082">
        <f>L1082*(1+(Inputs!$B$10+0+B1103)/100)</f>
        <v/>
      </c>
      <c r="N1082">
        <f>L1082*(1-MIN((Inputs!$B$9+((C1089=TRUE)*(F1089-Calc!F16))+B1098),100)/100)+M1082*(MIN((Inputs!$B$9+((C1089=TRUE)*(F1089-Calc!F16))+B1098),100)/100)</f>
        <v/>
      </c>
      <c r="O1082">
        <f>(1-Summary!$B$55)*T1082+Summary!$B$55*V1082</f>
        <v/>
      </c>
      <c r="P1082">
        <f>IF(B1108=0,0,O1082/B1108)</f>
        <v/>
      </c>
      <c r="Q1082">
        <f>IFERROR(1/IF(Inputs!$B$38="pvp",15,MAX(0.1,Skills!D9-IF(Skills!E9=TRUE,1.0,0))),0)</f>
        <v/>
      </c>
      <c r="R1082">
        <f>IF(AND(Inputs!$B$38&lt;&gt;"pvp",Inputs!$B$43&gt;0),IF(MAX(0,Inputs!$B$43-B1105)&lt;=0,0,(INT(MAX(0,Inputs!$B$43-B1105)/IF(Inputs!$B$38="pvp",15,MAX(0.1,Skills!D9-IF(Skills!E9=TRUE,1.0,0))))+1)),0)</f>
        <v/>
      </c>
      <c r="S1082">
        <f>IFERROR(O1082/N1082,0)</f>
        <v/>
      </c>
      <c r="T1082">
        <f>IF(C1082,(H1082*N1082*IF(AND(Inputs!$B$38&lt;&gt;"pvp",Inputs!$B$43&gt;0),((Skills!G9*((R1082-1)*IF(Skills!H9&gt;0,Skills!I9/Skills!H9,1)+IF(Skills!H9&gt;0,MIN(Skills!I9,MAX(0,MAX(0,Inputs!$B$43-B1105)-((R1082-1)*IF(Inputs!$B$38="pvp",15,MAX(0.1,Skills!D9-IF(Skills!E9=TRUE,1.0,0))))))/Skills!H9,1)))/Inputs!$B$43),G1082*Q1082))*IF(Inputs!$B$38="pvp",1,1+(Inputs!$B$20+0+Skills!P9)/100),0)</f>
        <v/>
      </c>
      <c r="V1082">
        <f>IF(C1082,(H1082*N1082*IF(AND(Inputs!$B$38&lt;&gt;"pvp",Inputs!$B$43&gt;0),((Skills!G9*((R1082-1)*IF(Skills!H9&gt;0,Skills!I9/Skills!H9,1)+IF(Skills!H9&gt;0,MIN(Skills!I9,MAX(0,MAX(0,Inputs!$B$43-B1105)-((R1082-1)*IF(Inputs!$B$38="pvp",15,MAX(0.1,Skills!D9-IF(Skills!E9=TRUE,1.0,0))))))/Skills!H9,1)))/Inputs!$B$43),G1082*Q1082))*IF(Inputs!$B$38="pvp",1,(1+(Inputs!$B$21+Skills!Q9)/100)*(MIN(Skills!R9,Inputs!$B$37))),0)</f>
        <v/>
      </c>
    </row>
    <row r="1083">
      <c r="A1083">
        <f>Skills!A10</f>
        <v/>
      </c>
      <c r="B1083">
        <f>Skills!B10</f>
        <v/>
      </c>
      <c r="C1083">
        <f>Inputs!$B$3&gt;=103</f>
        <v/>
      </c>
      <c r="D1083">
        <f>IF(Skills!C10=1,60+Inputs!$B$25+Inputs!$B$29,IF(Skills!C10=2,90+Inputs!$B$26+Inputs!$B$29,IF(Skills!C10=3,120+Inputs!$B$27+Inputs!$B$29,MAX(0,(Inputs!$B$3-100)*3)+Inputs!$B$28+Inputs!$B$29)))</f>
        <v/>
      </c>
      <c r="E1083">
        <f>INDEX(FactorTable!$B$2:$Y$301, MATCH(ROUND(MIN(300,MAX(1,D1083)),0), FactorTable!$A$2:$A$301,0), Skills!M10+1)</f>
        <v/>
      </c>
      <c r="F1083">
        <f>IF(Skills!N10=TRUE,(Skills!L10/10)*(E1083/1000),Skills!L10/10)+Skills!O10</f>
        <v/>
      </c>
      <c r="G1083">
        <f>Skills!G10*IF(Skills!H10&gt;0,Skills!I10/Skills!H10,1)</f>
        <v/>
      </c>
      <c r="H1083">
        <f>1-(1-Skills!J10/100)^Skills!K10</f>
        <v/>
      </c>
      <c r="I1083" t="inlineStr">
        <is>
          <t>1</t>
        </is>
      </c>
      <c r="J1083">
        <f>((Inputs!$B$6*(1+Inputs!$B$7/100))+(((Inputs!$B$12*(1+Inputs!$B$13/100))-(Inputs!$B$12*(1+Inputs!$B$13/100)))+0.25*(Inputs!$B$14-Inputs!$B$14))*(1+Inputs!$B$7/100))*(F1083/100)</f>
        <v/>
      </c>
      <c r="K1083">
        <f>J1083*(1+((Inputs!$B$12*(1+Inputs!$B$13/100))*0.01+Inputs!$B$14*0.0025)/100)*(1+Inputs!$B$15/100)*(1+Inputs!$B$16/100)*(5000/(6000+Inputs!$B$42*(1-(Inputs!$B$19+0)/100)))*(1+(Inputs!$B$24+((C1095=TRUE)*(F1095-Calc!F22))+B1104)/100)*(1+(IF(Skills!A10="HOOK_BOMBER",Inputs!$B$17+((C1094=TRUE)*(F1094-Calc!F21)),Inputs!$B$18+0))/100)*((1+(((C1086=TRUE)*F1086)+((C1092=TRUE)*(F1092-Calc!F19)))/100)*I1083)</f>
        <v/>
      </c>
      <c r="L1083">
        <f>K1083*(MIN(Inputs!$B$22+((C1093=TRUE)*(F1093-Calc!F20)),Inputs!$B$23+0)/100+(Inputs!$B$23+0)/100)/2</f>
        <v/>
      </c>
      <c r="M1083">
        <f>L1083*(1+(Inputs!$B$10+0+B1103)/100)</f>
        <v/>
      </c>
      <c r="N1083">
        <f>L1083*(1-MIN((Inputs!$B$9+((C1089=TRUE)*(F1089-Calc!F16))+B1098),100)/100)+M1083*(MIN((Inputs!$B$9+((C1089=TRUE)*(F1089-Calc!F16))+B1098),100)/100)</f>
        <v/>
      </c>
      <c r="O1083">
        <f>(1-Summary!$B$55)*T1083+Summary!$B$55*V1083</f>
        <v/>
      </c>
      <c r="P1083">
        <f>IF(B1108=0,0,O1083/B1108)</f>
        <v/>
      </c>
      <c r="Q1083">
        <f>IFERROR(1/IF(Inputs!$B$38="pvp",15,MAX(0.1,Skills!D10-IF(Skills!E10=TRUE,1.0,0))),0)</f>
        <v/>
      </c>
      <c r="R1083">
        <f>IF(AND(Inputs!$B$38&lt;&gt;"pvp",Inputs!$B$43&gt;0),IF(MAX(0,Inputs!$B$43-B1105)&lt;=0,0,(INT(MAX(0,Inputs!$B$43-B1105)/IF(Inputs!$B$38="pvp",15,MAX(0.1,Skills!D10-IF(Skills!E10=TRUE,1.0,0))))+1)),0)</f>
        <v/>
      </c>
      <c r="S1083">
        <f>IFERROR(O1083/N1083,0)</f>
        <v/>
      </c>
      <c r="T1083">
        <f>IF(C1083,(H1083*N1083*IF(AND(Inputs!$B$38&lt;&gt;"pvp",Inputs!$B$43&gt;0),((Skills!G10*((R1083-1)*IF(Skills!H10&gt;0,Skills!I10/Skills!H10,1)+IF(Skills!H10&gt;0,MIN(Skills!I10,MAX(0,MAX(0,Inputs!$B$43-B1105)-((R1083-1)*IF(Inputs!$B$38="pvp",15,MAX(0.1,Skills!D10-IF(Skills!E10=TRUE,1.0,0))))))/Skills!H10,1)))/Inputs!$B$43),G1083*Q1083))*IF(Inputs!$B$38="pvp",1,1+(Inputs!$B$20+0+Skills!P10)/100),0)</f>
        <v/>
      </c>
      <c r="V1083">
        <f>IF(C1083,(H1083*N1083*IF(AND(Inputs!$B$38&lt;&gt;"pvp",Inputs!$B$43&gt;0),((Skills!G10*((R1083-1)*IF(Skills!H10&gt;0,Skills!I10/Skills!H10,1)+IF(Skills!H10&gt;0,MIN(Skills!I10,MAX(0,MAX(0,Inputs!$B$43-B1105)-((R1083-1)*IF(Inputs!$B$38="pvp",15,MAX(0.1,Skills!D10-IF(Skills!E10=TRUE,1.0,0))))))/Skills!H10,1)))/Inputs!$B$43),G1083*Q1083))*IF(Inputs!$B$38="pvp",1,(1+(Inputs!$B$21+Skills!Q10)/100)*(MIN(Skills!R10,Inputs!$B$37))),0)</f>
        <v/>
      </c>
    </row>
    <row r="1084">
      <c r="A1084">
        <f>Skills!A11</f>
        <v/>
      </c>
      <c r="B1084">
        <f>Skills!B11</f>
        <v/>
      </c>
      <c r="C1084">
        <f>Inputs!$B$3&gt;=113</f>
        <v/>
      </c>
      <c r="D1084">
        <f>IF(Skills!C11=1,60+Inputs!$B$25+Inputs!$B$29,IF(Skills!C11=2,90+Inputs!$B$26+Inputs!$B$29,IF(Skills!C11=3,120+Inputs!$B$27+Inputs!$B$29,MAX(0,(Inputs!$B$3-100)*3)+Inputs!$B$28+Inputs!$B$29)))</f>
        <v/>
      </c>
      <c r="E1084">
        <f>INDEX(FactorTable!$B$2:$Y$301, MATCH(ROUND(MIN(300,MAX(1,D1084)),0), FactorTable!$A$2:$A$301,0), Skills!M11+1)</f>
        <v/>
      </c>
      <c r="F1084">
        <f>IF(Skills!N11=TRUE,(Skills!L11/10)*(E1084/1000),Skills!L11/10)+Skills!O11</f>
        <v/>
      </c>
      <c r="G1084">
        <f>Skills!G11*IF(Skills!H11&gt;0,Skills!I11/Skills!H11,1)</f>
        <v/>
      </c>
      <c r="H1084">
        <f>1-(1-Skills!J11/100)^Skills!K11</f>
        <v/>
      </c>
      <c r="I1084" t="inlineStr">
        <is>
          <t>1</t>
        </is>
      </c>
      <c r="J1084">
        <f>((Inputs!$B$6*(1+Inputs!$B$7/100))+(((Inputs!$B$12*(1+Inputs!$B$13/100))-(Inputs!$B$12*(1+Inputs!$B$13/100)))+0.25*(Inputs!$B$14-Inputs!$B$14))*(1+Inputs!$B$7/100))*(F1084/100)</f>
        <v/>
      </c>
      <c r="K1084">
        <f>J1084*(1+((Inputs!$B$12*(1+Inputs!$B$13/100))*0.01+Inputs!$B$14*0.0025)/100)*(1+Inputs!$B$15/100)*(1+Inputs!$B$16/100)*(5000/(6000+Inputs!$B$42*(1-(Inputs!$B$19+0)/100)))*(1+(Inputs!$B$24+((C1095=TRUE)*(F1095-Calc!F22))+B1104)/100)*(1+(IF(Skills!A11="HOOK_BOMBER",Inputs!$B$17+((C1094=TRUE)*(F1094-Calc!F21)),Inputs!$B$18+0))/100)*((1+(((C1086=TRUE)*F1086)+((C1092=TRUE)*(F1092-Calc!F19)))/100)*I1084)</f>
        <v/>
      </c>
      <c r="L1084">
        <f>K1084*(MIN(Inputs!$B$22+((C1093=TRUE)*(F1093-Calc!F20)),Inputs!$B$23+0)/100+(Inputs!$B$23+0)/100)/2</f>
        <v/>
      </c>
      <c r="M1084">
        <f>L1084*(1+(Inputs!$B$10+0+B1103)/100)</f>
        <v/>
      </c>
      <c r="N1084">
        <f>L1084*(1-MIN((Inputs!$B$9+((C1089=TRUE)*(F1089-Calc!F16))+B1098),100)/100)+M1084*(MIN((Inputs!$B$9+((C1089=TRUE)*(F1089-Calc!F16))+B1098),100)/100)</f>
        <v/>
      </c>
      <c r="O1084">
        <f>(1-Summary!$B$55)*T1084+Summary!$B$55*V1084</f>
        <v/>
      </c>
      <c r="P1084">
        <f>IF(B1108=0,0,O1084/B1108)</f>
        <v/>
      </c>
      <c r="Q1084">
        <f>IFERROR(1/IF(Inputs!$B$38="pvp",15,MAX(0.1,Skills!D11-IF(Skills!E11=TRUE,1.0,0))),0)</f>
        <v/>
      </c>
      <c r="R1084">
        <f>IF(AND(Inputs!$B$38&lt;&gt;"pvp",Inputs!$B$43&gt;0),IF(MAX(0,Inputs!$B$43-B1105)&lt;=0,0,(INT(MAX(0,Inputs!$B$43-B1105)/IF(Inputs!$B$38="pvp",15,MAX(0.1,Skills!D11-IF(Skills!E11=TRUE,1.0,0))))+1)),0)</f>
        <v/>
      </c>
      <c r="S1084">
        <f>IFERROR(O1084/N1084,0)</f>
        <v/>
      </c>
      <c r="T1084">
        <f>IF(C1084,(H1084*N1084*IF(AND(Inputs!$B$38&lt;&gt;"pvp",Inputs!$B$43&gt;0),((Skills!G11*((R1084-1)*IF(Skills!H11&gt;0,Skills!I11/Skills!H11,1)+IF(Skills!H11&gt;0,MIN(Skills!I11,MAX(0,MAX(0,Inputs!$B$43-B1105)-((R1084-1)*IF(Inputs!$B$38="pvp",15,MAX(0.1,Skills!D11-IF(Skills!E11=TRUE,1.0,0))))))/Skills!H11,1)))/Inputs!$B$43),G1084*Q1084))*IF(Inputs!$B$38="pvp",1,1+(Inputs!$B$20+0+Skills!P11)/100),0)</f>
        <v/>
      </c>
      <c r="V1084">
        <f>IF(C1084,(H1084*N1084*IF(AND(Inputs!$B$38&lt;&gt;"pvp",Inputs!$B$43&gt;0),((Skills!G11*((R1084-1)*IF(Skills!H11&gt;0,Skills!I11/Skills!H11,1)+IF(Skills!H11&gt;0,MIN(Skills!I11,MAX(0,MAX(0,Inputs!$B$43-B1105)-((R1084-1)*IF(Inputs!$B$38="pvp",15,MAX(0.1,Skills!D11-IF(Skills!E11=TRUE,1.0,0))))))/Skills!H11,1)))/Inputs!$B$43),G1084*Q1084))*IF(Inputs!$B$38="pvp",1,(1+(Inputs!$B$21+Skills!Q11)/100)*(MIN(Skills!R11,Inputs!$B$37))),0)</f>
        <v/>
      </c>
    </row>
    <row r="1085">
      <c r="A1085">
        <f>Skills!A12</f>
        <v/>
      </c>
      <c r="B1085">
        <f>Skills!B12</f>
        <v/>
      </c>
      <c r="C1085">
        <f>Inputs!$B$3&gt;=100</f>
        <v/>
      </c>
      <c r="D1085">
        <f>IF(Skills!C12=1,60+Inputs!$B$25+Inputs!$B$29,IF(Skills!C12=2,90+Inputs!$B$26+Inputs!$B$29,IF(Skills!C12=3,120+Inputs!$B$27+Inputs!$B$29,MAX(0,(Inputs!$B$3-100)*3)+Inputs!$B$28+Inputs!$B$29)))</f>
        <v/>
      </c>
      <c r="E1085">
        <f>INDEX(FactorTable!$B$2:$Y$301, MATCH(ROUND(MIN(300,MAX(1,D1085)),0), FactorTable!$A$2:$A$301,0), Skills!M12+1)</f>
        <v/>
      </c>
      <c r="F1085">
        <f>IF(Skills!N12=TRUE,(Skills!L12/10)*(E1085/1000),Skills!L12/10)+Skills!O12</f>
        <v/>
      </c>
      <c r="G1085" t="inlineStr"/>
      <c r="H1085" t="inlineStr"/>
      <c r="I1085" t="inlineStr">
        <is>
          <t>1</t>
        </is>
      </c>
      <c r="J1085" t="inlineStr"/>
      <c r="K1085" t="inlineStr"/>
      <c r="L1085" t="inlineStr"/>
      <c r="M1085" t="inlineStr"/>
      <c r="N1085" t="inlineStr"/>
      <c r="O1085" t="inlineStr"/>
      <c r="P1085" t="inlineStr"/>
      <c r="Q1085" t="inlineStr"/>
      <c r="R1085" t="inlineStr"/>
      <c r="S1085" t="inlineStr"/>
      <c r="T1085" t="inlineStr"/>
      <c r="V1085" t="inlineStr"/>
    </row>
    <row r="1086">
      <c r="A1086">
        <f>Skills!A13</f>
        <v/>
      </c>
      <c r="B1086">
        <f>Skills!B13</f>
        <v/>
      </c>
      <c r="C1086">
        <f>Inputs!$B$3&gt;=66</f>
        <v/>
      </c>
      <c r="D1086">
        <f>IF(Skills!C13=1,60+Inputs!$B$25+Inputs!$B$29,IF(Skills!C13=2,90+Inputs!$B$26+Inputs!$B$29,IF(Skills!C13=3,120+Inputs!$B$27+Inputs!$B$29,MAX(0,(Inputs!$B$3-100)*3)+Inputs!$B$28+Inputs!$B$29)))</f>
        <v/>
      </c>
      <c r="E1086">
        <f>INDEX(FactorTable!$B$2:$Y$301, MATCH(ROUND(MIN(300,MAX(1,D1086)),0), FactorTable!$A$2:$A$301,0), Skills!M13+1)</f>
        <v/>
      </c>
      <c r="F1086">
        <f>IF(Skills!N13=TRUE,(Skills!L13/10)*(E1086/1000),Skills!L13/10)+Skills!O13</f>
        <v/>
      </c>
      <c r="G1086">
        <f>Skills!G13*IF(Skills!H13&gt;0,Skills!I13/Skills!H13,1)</f>
        <v/>
      </c>
      <c r="H1086">
        <f>1-(1-Skills!J13/100)^Skills!K13</f>
        <v/>
      </c>
      <c r="I1086" t="inlineStr">
        <is>
          <t>1</t>
        </is>
      </c>
      <c r="J1086" t="inlineStr"/>
      <c r="K1086" t="inlineStr"/>
      <c r="L1086" t="inlineStr"/>
      <c r="M1086" t="inlineStr"/>
      <c r="N1086" t="inlineStr"/>
      <c r="O1086">
        <f>(1-Summary!$B$55)*T1086+Summary!$B$55*V1086</f>
        <v/>
      </c>
      <c r="P1086">
        <f>IF(B1108=0,0,O1086/B1108)</f>
        <v/>
      </c>
      <c r="Q1086" t="n">
        <v>0</v>
      </c>
      <c r="R1086" t="n">
        <v>0</v>
      </c>
      <c r="S1086">
        <f>IFERROR(O1086/N1086,0)</f>
        <v/>
      </c>
      <c r="T1086" t="n">
        <v>0</v>
      </c>
      <c r="V1086" t="n">
        <v>0</v>
      </c>
    </row>
    <row r="1087">
      <c r="A1087">
        <f>Skills!A14</f>
        <v/>
      </c>
      <c r="B1087">
        <f>Skills!B14</f>
        <v/>
      </c>
      <c r="C1087">
        <f>Inputs!$B$3&gt;=107</f>
        <v/>
      </c>
      <c r="D1087">
        <f>IF(Skills!C14=1,60+Inputs!$B$25+Inputs!$B$29,IF(Skills!C14=2,90+Inputs!$B$26+Inputs!$B$29,IF(Skills!C14=3,120+Inputs!$B$27+Inputs!$B$29,MAX(0,(Inputs!$B$3-100)*3)+Inputs!$B$28+Inputs!$B$29)))</f>
        <v/>
      </c>
      <c r="E1087">
        <f>INDEX(FactorTable!$B$2:$Y$301, MATCH(ROUND(MIN(300,MAX(1,D1087)),0), FactorTable!$A$2:$A$301,0), Skills!M14+1)</f>
        <v/>
      </c>
      <c r="F1087">
        <f>IF(Skills!N14=TRUE,(Skills!L14/10)*(E1087/1000),Skills!L14/10)+Skills!O14</f>
        <v/>
      </c>
      <c r="G1087">
        <f>Skills!G14*IF(Skills!H14&gt;0,Skills!I14/Skills!H14,1)</f>
        <v/>
      </c>
      <c r="H1087">
        <f>1-(1-Skills!J14/100)^Skills!K14</f>
        <v/>
      </c>
      <c r="I1087" t="inlineStr">
        <is>
          <t>1</t>
        </is>
      </c>
      <c r="J1087" t="inlineStr"/>
      <c r="K1087" t="inlineStr"/>
      <c r="L1087" t="inlineStr"/>
      <c r="M1087" t="inlineStr"/>
      <c r="N1087" t="inlineStr"/>
      <c r="O1087">
        <f>(1-Summary!$B$55)*T1087+Summary!$B$55*V1087</f>
        <v/>
      </c>
      <c r="P1087">
        <f>IF(B1108=0,0,O1087/B1108)</f>
        <v/>
      </c>
      <c r="Q1087" t="n">
        <v>0</v>
      </c>
      <c r="R1087" t="n">
        <v>0</v>
      </c>
      <c r="S1087">
        <f>IFERROR(O1087/N1087,0)</f>
        <v/>
      </c>
      <c r="T1087" t="n">
        <v>0</v>
      </c>
      <c r="V1087" t="n">
        <v>0</v>
      </c>
    </row>
    <row r="1088">
      <c r="A1088">
        <f>Skills!A15</f>
        <v/>
      </c>
      <c r="B1088">
        <f>Skills!B15</f>
        <v/>
      </c>
      <c r="C1088">
        <f>Inputs!$B$3&gt;=115</f>
        <v/>
      </c>
      <c r="D1088">
        <f>IF(Skills!C15=1,60+Inputs!$B$25+Inputs!$B$29,IF(Skills!C15=2,90+Inputs!$B$26+Inputs!$B$29,IF(Skills!C15=3,120+Inputs!$B$27+Inputs!$B$29,MAX(0,(Inputs!$B$3-100)*3)+Inputs!$B$28+Inputs!$B$29)))</f>
        <v/>
      </c>
      <c r="E1088">
        <f>INDEX(FactorTable!$B$2:$Y$301, MATCH(ROUND(MIN(300,MAX(1,D1088)),0), FactorTable!$A$2:$A$301,0), Skills!M15+1)</f>
        <v/>
      </c>
      <c r="F1088">
        <f>IF(Skills!N15=TRUE,(Skills!L15/10)*(E1088/1000),Skills!L15/10)+Skills!O15</f>
        <v/>
      </c>
      <c r="G1088">
        <f>Skills!G15*IF(Skills!H15&gt;0,Skills!I15/Skills!H15,1)</f>
        <v/>
      </c>
      <c r="H1088">
        <f>1-(1-Skills!J15/100)^Skills!K15</f>
        <v/>
      </c>
      <c r="I1088" t="inlineStr">
        <is>
          <t>1</t>
        </is>
      </c>
      <c r="J1088" t="inlineStr"/>
      <c r="K1088" t="inlineStr"/>
      <c r="L1088" t="inlineStr"/>
      <c r="M1088" t="inlineStr"/>
      <c r="N1088" t="inlineStr"/>
      <c r="O1088">
        <f>(1-Summary!$B$55)*T1088+Summary!$B$55*V1088</f>
        <v/>
      </c>
      <c r="P1088">
        <f>IF(B1108=0,0,O1088/B1108)</f>
        <v/>
      </c>
      <c r="Q1088" t="n">
        <v>0</v>
      </c>
      <c r="R1088" t="n">
        <v>0</v>
      </c>
      <c r="S1088">
        <f>IFERROR(O1088/N1088,0)</f>
        <v/>
      </c>
      <c r="T1088" t="n">
        <v>0</v>
      </c>
      <c r="V1088" t="n">
        <v>0</v>
      </c>
    </row>
    <row r="1089">
      <c r="A1089">
        <f>Skills!A16</f>
        <v/>
      </c>
      <c r="B1089">
        <f>Skills!B16</f>
        <v/>
      </c>
      <c r="C1089">
        <f>Inputs!$B$3&gt;=15</f>
        <v/>
      </c>
      <c r="D1089">
        <f>IF(Skills!C16=1,60+Inputs!$B$25+Inputs!$B$29,IF(Skills!C16=2,90+Inputs!$B$26+Inputs!$B$29,IF(Skills!C16=3,120+Inputs!$B$27+Inputs!$B$29,MAX(0,(Inputs!$B$3-100)*3)+Inputs!$B$28+Inputs!$B$29)))</f>
        <v/>
      </c>
      <c r="E1089">
        <f>INDEX(FactorTable!$B$2:$Y$301, MATCH(ROUND(MIN(300,MAX(1,D1089)),0), FactorTable!$A$2:$A$301,0), Skills!M16+1)</f>
        <v/>
      </c>
      <c r="F1089">
        <f>IF(Skills!N16=TRUE,(Skills!L16/10)*(E1089/1000),Skills!L16/10)+Skills!O16</f>
        <v/>
      </c>
      <c r="G1089">
        <f>Skills!G16*IF(Skills!H16&gt;0,Skills!I16/Skills!H16,1)</f>
        <v/>
      </c>
      <c r="H1089">
        <f>1-(1-Skills!J16/100)^Skills!K16</f>
        <v/>
      </c>
      <c r="I1089" t="inlineStr">
        <is>
          <t>1</t>
        </is>
      </c>
      <c r="J1089" t="inlineStr"/>
      <c r="K1089" t="inlineStr"/>
      <c r="L1089" t="inlineStr"/>
      <c r="M1089" t="inlineStr"/>
      <c r="N1089" t="inlineStr"/>
      <c r="O1089">
        <f>(1-Summary!$B$55)*T1089+Summary!$B$55*V1089</f>
        <v/>
      </c>
      <c r="P1089">
        <f>IF(B1108=0,0,O1089/B1108)</f>
        <v/>
      </c>
      <c r="Q1089" t="n">
        <v>0</v>
      </c>
      <c r="R1089" t="n">
        <v>0</v>
      </c>
      <c r="S1089">
        <f>IFERROR(O1089/N1089,0)</f>
        <v/>
      </c>
      <c r="T1089" t="n">
        <v>0</v>
      </c>
      <c r="V1089" t="n">
        <v>0</v>
      </c>
    </row>
    <row r="1090">
      <c r="A1090">
        <f>Skills!A17</f>
        <v/>
      </c>
      <c r="B1090">
        <f>Skills!B17</f>
        <v/>
      </c>
      <c r="C1090">
        <f>Inputs!$B$3&gt;=10</f>
        <v/>
      </c>
      <c r="D1090">
        <f>IF(Skills!C17=1,60+Inputs!$B$25+Inputs!$B$29,IF(Skills!C17=2,90+Inputs!$B$26+Inputs!$B$29,IF(Skills!C17=3,120+Inputs!$B$27+Inputs!$B$29,MAX(0,(Inputs!$B$3-100)*3)+Inputs!$B$28+Inputs!$B$29)))</f>
        <v/>
      </c>
      <c r="E1090">
        <f>INDEX(FactorTable!$B$2:$Y$301, MATCH(ROUND(MIN(300,MAX(1,D1090)),0), FactorTable!$A$2:$A$301,0), Skills!M17+1)</f>
        <v/>
      </c>
      <c r="F1090">
        <f>IF(Skills!N17=TRUE,(Skills!L17/10)*(E1090/1000),Skills!L17/10)+Skills!O17</f>
        <v/>
      </c>
      <c r="G1090">
        <f>Skills!G17*IF(Skills!H17&gt;0,Skills!I17/Skills!H17,1)</f>
        <v/>
      </c>
      <c r="H1090">
        <f>1-(1-Skills!J17/100)^Skills!K17</f>
        <v/>
      </c>
      <c r="I1090" t="inlineStr">
        <is>
          <t>1</t>
        </is>
      </c>
      <c r="J1090" t="inlineStr"/>
      <c r="K1090" t="inlineStr"/>
      <c r="L1090" t="inlineStr"/>
      <c r="M1090" t="inlineStr"/>
      <c r="N1090" t="inlineStr"/>
      <c r="O1090">
        <f>(1-Summary!$B$55)*T1090+Summary!$B$55*V1090</f>
        <v/>
      </c>
      <c r="P1090">
        <f>IF(B1108=0,0,O1090/B1108)</f>
        <v/>
      </c>
      <c r="Q1090" t="n">
        <v>0</v>
      </c>
      <c r="R1090" t="n">
        <v>0</v>
      </c>
      <c r="S1090">
        <f>IFERROR(O1090/N1090,0)</f>
        <v/>
      </c>
      <c r="T1090" t="n">
        <v>0</v>
      </c>
      <c r="V1090" t="n">
        <v>0</v>
      </c>
    </row>
    <row r="1091">
      <c r="A1091">
        <f>Skills!A18</f>
        <v/>
      </c>
      <c r="B1091">
        <f>Skills!B18</f>
        <v/>
      </c>
      <c r="C1091">
        <f>Inputs!$B$3&gt;=33</f>
        <v/>
      </c>
      <c r="D1091">
        <f>IF(Skills!C18=1,60+Inputs!$B$25+Inputs!$B$29,IF(Skills!C18=2,90+Inputs!$B$26+Inputs!$B$29,IF(Skills!C18=3,120+Inputs!$B$27+Inputs!$B$29,MAX(0,(Inputs!$B$3-100)*3)+Inputs!$B$28+Inputs!$B$29)))</f>
        <v/>
      </c>
      <c r="E1091">
        <f>INDEX(FactorTable!$B$2:$Y$301, MATCH(ROUND(MIN(300,MAX(1,D1091)),0), FactorTable!$A$2:$A$301,0), Skills!M18+1)</f>
        <v/>
      </c>
      <c r="F1091">
        <f>IF(Skills!N18=TRUE,(Skills!L18/10)*(E1091/1000),Skills!L18/10)+Skills!O18</f>
        <v/>
      </c>
      <c r="G1091">
        <f>Skills!G18*IF(Skills!H18&gt;0,Skills!I18/Skills!H18,1)</f>
        <v/>
      </c>
      <c r="H1091">
        <f>1-(1-Skills!J18/100)^Skills!K18</f>
        <v/>
      </c>
      <c r="I1091" t="inlineStr">
        <is>
          <t>1</t>
        </is>
      </c>
      <c r="J1091" t="inlineStr"/>
      <c r="K1091" t="inlineStr"/>
      <c r="L1091" t="inlineStr"/>
      <c r="M1091" t="inlineStr"/>
      <c r="N1091" t="inlineStr"/>
      <c r="O1091">
        <f>(1-Summary!$B$55)*T1091+Summary!$B$55*V1091</f>
        <v/>
      </c>
      <c r="P1091">
        <f>IF(B1108=0,0,O1091/B1108)</f>
        <v/>
      </c>
      <c r="Q1091" t="n">
        <v>0</v>
      </c>
      <c r="R1091" t="n">
        <v>0</v>
      </c>
      <c r="S1091">
        <f>IFERROR(O1091/N1091,0)</f>
        <v/>
      </c>
      <c r="T1091" t="n">
        <v>0</v>
      </c>
      <c r="V1091" t="n">
        <v>0</v>
      </c>
    </row>
    <row r="1092">
      <c r="A1092">
        <f>Skills!A19</f>
        <v/>
      </c>
      <c r="B1092">
        <f>Skills!B19</f>
        <v/>
      </c>
      <c r="C1092">
        <f>Inputs!$B$3&gt;=40</f>
        <v/>
      </c>
      <c r="D1092">
        <f>IF(Skills!C19=1,60+Inputs!$B$25+Inputs!$B$29,IF(Skills!C19=2,90+Inputs!$B$26+Inputs!$B$29,IF(Skills!C19=3,120+Inputs!$B$27+Inputs!$B$29,MAX(0,(Inputs!$B$3-100)*3)+Inputs!$B$28+Inputs!$B$29)))</f>
        <v/>
      </c>
      <c r="E1092">
        <f>INDEX(FactorTable!$B$2:$Y$301, MATCH(ROUND(MIN(300,MAX(1,D1092)),0), FactorTable!$A$2:$A$301,0), Skills!M19+1)</f>
        <v/>
      </c>
      <c r="F1092">
        <f>IF(Skills!N19=TRUE,(Skills!L19/10)*(E1092/1000),Skills!L19/10)+Skills!O19</f>
        <v/>
      </c>
      <c r="G1092">
        <f>Skills!G19*IF(Skills!H19&gt;0,Skills!I19/Skills!H19,1)</f>
        <v/>
      </c>
      <c r="H1092">
        <f>1-(1-Skills!J19/100)^Skills!K19</f>
        <v/>
      </c>
      <c r="I1092" t="inlineStr">
        <is>
          <t>1</t>
        </is>
      </c>
      <c r="J1092" t="inlineStr"/>
      <c r="K1092" t="inlineStr"/>
      <c r="L1092" t="inlineStr"/>
      <c r="M1092" t="inlineStr"/>
      <c r="N1092" t="inlineStr"/>
      <c r="O1092">
        <f>(1-Summary!$B$55)*T1092+Summary!$B$55*V1092</f>
        <v/>
      </c>
      <c r="P1092">
        <f>IF(B1108=0,0,O1092/B1108)</f>
        <v/>
      </c>
      <c r="Q1092" t="n">
        <v>0</v>
      </c>
      <c r="R1092" t="n">
        <v>0</v>
      </c>
      <c r="S1092">
        <f>IFERROR(O1092/N1092,0)</f>
        <v/>
      </c>
      <c r="T1092" t="n">
        <v>0</v>
      </c>
      <c r="V1092" t="n">
        <v>0</v>
      </c>
    </row>
    <row r="1093">
      <c r="A1093">
        <f>Skills!A20</f>
        <v/>
      </c>
      <c r="B1093">
        <f>Skills!B20</f>
        <v/>
      </c>
      <c r="C1093">
        <f>Inputs!$B$3&gt;=43</f>
        <v/>
      </c>
      <c r="D1093">
        <f>IF(Skills!C20=1,60+Inputs!$B$25+Inputs!$B$29,IF(Skills!C20=2,90+Inputs!$B$26+Inputs!$B$29,IF(Skills!C20=3,120+Inputs!$B$27+Inputs!$B$29,MAX(0,(Inputs!$B$3-100)*3)+Inputs!$B$28+Inputs!$B$29)))</f>
        <v/>
      </c>
      <c r="E1093">
        <f>INDEX(FactorTable!$B$2:$Y$301, MATCH(ROUND(MIN(300,MAX(1,D1093)),0), FactorTable!$A$2:$A$301,0), Skills!M20+1)</f>
        <v/>
      </c>
      <c r="F1093">
        <f>IF(Skills!N20=TRUE,(Skills!L20/10)*(E1093/1000),Skills!L20/10)+Skills!O20</f>
        <v/>
      </c>
      <c r="G1093">
        <f>Skills!G20*IF(Skills!H20&gt;0,Skills!I20/Skills!H20,1)</f>
        <v/>
      </c>
      <c r="H1093">
        <f>1-(1-Skills!J20/100)^Skills!K20</f>
        <v/>
      </c>
      <c r="I1093" t="inlineStr">
        <is>
          <t>1</t>
        </is>
      </c>
      <c r="J1093" t="inlineStr"/>
      <c r="K1093" t="inlineStr"/>
      <c r="L1093" t="inlineStr"/>
      <c r="M1093" t="inlineStr"/>
      <c r="N1093" t="inlineStr"/>
      <c r="O1093">
        <f>(1-Summary!$B$55)*T1093+Summary!$B$55*V1093</f>
        <v/>
      </c>
      <c r="P1093">
        <f>IF(B1108=0,0,O1093/B1108)</f>
        <v/>
      </c>
      <c r="Q1093" t="n">
        <v>0</v>
      </c>
      <c r="R1093" t="n">
        <v>0</v>
      </c>
      <c r="S1093">
        <f>IFERROR(O1093/N1093,0)</f>
        <v/>
      </c>
      <c r="T1093" t="n">
        <v>0</v>
      </c>
      <c r="V1093" t="n">
        <v>0</v>
      </c>
    </row>
    <row r="1094">
      <c r="A1094">
        <f>Skills!A21</f>
        <v/>
      </c>
      <c r="B1094">
        <f>Skills!B21</f>
        <v/>
      </c>
      <c r="C1094">
        <f>Inputs!$B$3&gt;=38</f>
        <v/>
      </c>
      <c r="D1094">
        <f>IF(Skills!C21=1,60+Inputs!$B$25+Inputs!$B$29,IF(Skills!C21=2,90+Inputs!$B$26+Inputs!$B$29,IF(Skills!C21=3,120+Inputs!$B$27+Inputs!$B$29,MAX(0,(Inputs!$B$3-100)*3)+Inputs!$B$28+Inputs!$B$29)))</f>
        <v/>
      </c>
      <c r="E1094">
        <f>INDEX(FactorTable!$B$2:$Y$301, MATCH(ROUND(MIN(300,MAX(1,D1094)),0), FactorTable!$A$2:$A$301,0), Skills!M21+1)</f>
        <v/>
      </c>
      <c r="F1094">
        <f>IF(Skills!N21=TRUE,(Skills!L21/10)*(E1094/1000),Skills!L21/10)+Skills!O21</f>
        <v/>
      </c>
      <c r="G1094">
        <f>Skills!G21*IF(Skills!H21&gt;0,Skills!I21/Skills!H21,1)</f>
        <v/>
      </c>
      <c r="H1094">
        <f>1-(1-Skills!J21/100)^Skills!K21</f>
        <v/>
      </c>
      <c r="I1094" t="inlineStr">
        <is>
          <t>1</t>
        </is>
      </c>
      <c r="J1094" t="inlineStr"/>
      <c r="K1094" t="inlineStr"/>
      <c r="L1094" t="inlineStr"/>
      <c r="M1094" t="inlineStr"/>
      <c r="N1094" t="inlineStr"/>
      <c r="O1094">
        <f>(1-Summary!$B$55)*T1094+Summary!$B$55*V1094</f>
        <v/>
      </c>
      <c r="P1094">
        <f>IF(B1108=0,0,O1094/B1108)</f>
        <v/>
      </c>
      <c r="Q1094" t="n">
        <v>0</v>
      </c>
      <c r="R1094" t="n">
        <v>0</v>
      </c>
      <c r="S1094">
        <f>IFERROR(O1094/N1094,0)</f>
        <v/>
      </c>
      <c r="T1094" t="n">
        <v>0</v>
      </c>
      <c r="V1094" t="n">
        <v>0</v>
      </c>
    </row>
    <row r="1095">
      <c r="A1095">
        <f>Skills!A22</f>
        <v/>
      </c>
      <c r="B1095">
        <f>Skills!B22</f>
        <v/>
      </c>
      <c r="C1095">
        <f>Inputs!$B$3&gt;=75</f>
        <v/>
      </c>
      <c r="D1095">
        <f>IF(Skills!C22=1,60+Inputs!$B$25+Inputs!$B$29,IF(Skills!C22=2,90+Inputs!$B$26+Inputs!$B$29,IF(Skills!C22=3,120+Inputs!$B$27+Inputs!$B$29,MAX(0,(Inputs!$B$3-100)*3)+Inputs!$B$28+Inputs!$B$29)))</f>
        <v/>
      </c>
      <c r="E1095">
        <f>INDEX(FactorTable!$B$2:$Y$301, MATCH(ROUND(MIN(300,MAX(1,D1095)),0), FactorTable!$A$2:$A$301,0), Skills!M22+1)</f>
        <v/>
      </c>
      <c r="F1095">
        <f>IF(Skills!N22=TRUE,(Skills!L22/10)*(E1095/1000),Skills!L22/10)+Skills!O22</f>
        <v/>
      </c>
      <c r="G1095">
        <f>Skills!G22*IF(Skills!H22&gt;0,Skills!I22/Skills!H22,1)</f>
        <v/>
      </c>
      <c r="H1095">
        <f>1-(1-Skills!J22/100)^Skills!K22</f>
        <v/>
      </c>
      <c r="I1095" t="inlineStr">
        <is>
          <t>1</t>
        </is>
      </c>
      <c r="J1095" t="inlineStr"/>
      <c r="K1095" t="inlineStr"/>
      <c r="L1095" t="inlineStr"/>
      <c r="M1095" t="inlineStr"/>
      <c r="N1095" t="inlineStr"/>
      <c r="O1095">
        <f>(1-Summary!$B$55)*T1095+Summary!$B$55*V1095</f>
        <v/>
      </c>
      <c r="P1095">
        <f>IF(B1108=0,0,O1095/B1108)</f>
        <v/>
      </c>
      <c r="Q1095" t="n">
        <v>0</v>
      </c>
      <c r="R1095" t="n">
        <v>0</v>
      </c>
      <c r="S1095">
        <f>IFERROR(O1095/N1095,0)</f>
        <v/>
      </c>
      <c r="T1095" t="n">
        <v>0</v>
      </c>
      <c r="V1095" t="n">
        <v>0</v>
      </c>
    </row>
    <row r="1097">
      <c r="A1097" t="inlineStr">
        <is>
          <t>Attack% Bucket Multiplier</t>
        </is>
      </c>
      <c r="B1097">
        <f>(1+(((C1086=TRUE)*F1086)+((C1092=TRUE)*(F1092-Calc!F19)))/100)</f>
        <v/>
      </c>
    </row>
    <row r="1098">
      <c r="A1098" t="inlineStr">
        <is>
          <t>Global Crit Rate Bonus %</t>
        </is>
      </c>
      <c r="B1098" t="n">
        <v>0</v>
      </c>
    </row>
    <row r="1099">
      <c r="A1099" t="inlineStr">
        <is>
          <t>Attack Speed Buff Bonus % (unused)</t>
        </is>
      </c>
      <c r="B1099" t="n">
        <v>0</v>
      </c>
    </row>
    <row r="1100">
      <c r="A1100" t="inlineStr">
        <is>
          <t>Actions Per Second</t>
        </is>
      </c>
      <c r="B1100">
        <f>1+MIN(150,150*(1-(1-(Inputs!$B$11+((C1090=TRUE)*(F1090-Calc!F17))+((C1091=TRUE)*(F1091-Calc!F18)))/150)*(1-B1099/150)))/100</f>
        <v/>
      </c>
    </row>
    <row r="1101">
      <c r="A1101" t="inlineStr">
        <is>
          <t>Skill + Buff Cast Rate</t>
        </is>
      </c>
      <c r="B1101">
        <f>IF(AND(Inputs!$B$38&lt;&gt;"pvp",Inputs!$B$43&gt;0),SUMPRODUCT((Skills!E2:E22=TRUE)*(C1075:C1095=TRUE)*R1075:R1095*Skills!F2:F22)/Inputs!$B$43,SUMPRODUCT((Skills!E2:E22=TRUE)*(C1075:C1095=TRUE)*Q1075:Q1095*Skills!F2:F22))</f>
        <v/>
      </c>
    </row>
    <row r="1102">
      <c r="A1102" t="inlineStr">
        <is>
          <t>Hook Bomber Casts Per Second</t>
        </is>
      </c>
      <c r="B1102">
        <f>MAX(0,B1100-B1101)</f>
        <v/>
      </c>
    </row>
    <row r="1103">
      <c r="A1103" t="inlineStr">
        <is>
          <t>Global Critical Damage Bonus % (unused)</t>
        </is>
      </c>
      <c r="B1103" t="n">
        <v>0</v>
      </c>
    </row>
    <row r="1104">
      <c r="A1104" t="inlineStr">
        <is>
          <t>Global Final Damage Bonus % (Serpent Scale + Crossbones + Time Leap + Speed Infusion)</t>
        </is>
      </c>
      <c r="B1104">
        <f>((C1078=TRUE)*F1078*((10+IF(Inputs!$B$3&gt;=94,5,0))/((10+IF(Inputs!$B$3&gt;=94,5,0))+5/(B1102*(1+IF(Inputs!$B$3&gt;=104,1,0))))))+((C1087=TRUE)*F1087)+((C1088=TRUE)*F1088)+((Inputs!$B$3&gt;=110)*20*(B1100-1))</f>
        <v/>
      </c>
    </row>
    <row r="1105">
      <c r="A1105" t="inlineStr">
        <is>
          <t>Buff-Casting Startup Delay (s, fixed-duration only)</t>
        </is>
      </c>
      <c r="B1105">
        <f>IF(AND(Inputs!$B$38&lt;&gt;"pvp",Inputs!$B$43&gt;0),SUMPRODUCT((Skills!T2:T22&gt;0)*(Skills!E2:E22=TRUE)*(C1075:C1095=TRUE))/B1100,0)</f>
        <v/>
      </c>
    </row>
    <row r="1106">
      <c r="A1106" t="inlineStr">
        <is>
          <t>Boss-Only Total DPS (this block's swept value)</t>
        </is>
      </c>
      <c r="B1106">
        <f>SUM(T1075:T1095)</f>
        <v/>
      </c>
    </row>
    <row r="1107">
      <c r="A1107" t="inlineStr">
        <is>
          <t>Normal-Only Total DPS (this block's swept value)</t>
        </is>
      </c>
      <c r="B1107">
        <f>SUM(V1075:V1095)</f>
        <v/>
      </c>
    </row>
    <row r="1108">
      <c r="A1108" s="5" t="inlineStr">
        <is>
          <t>TOTAL DPS</t>
        </is>
      </c>
      <c r="B1108" s="5">
        <f>SUM(O1075:O1095)</f>
        <v/>
      </c>
    </row>
    <row r="1111">
      <c r="A1111" s="5" t="inlineStr">
        <is>
          <t>Stat: CDR = 1.5s</t>
        </is>
      </c>
    </row>
    <row r="1112">
      <c r="A1112" s="9" t="inlineStr">
        <is>
          <t>Key</t>
        </is>
      </c>
      <c r="B1112" s="9" t="inlineStr">
        <is>
          <t>Name</t>
        </is>
      </c>
      <c r="C1112" s="9" t="inlineStr">
        <is>
          <t>Unlocked</t>
        </is>
      </c>
      <c r="D1112" s="9" t="inlineStr">
        <is>
          <t>InputLevel</t>
        </is>
      </c>
      <c r="E1112" s="9" t="inlineStr">
        <is>
          <t>Factor</t>
        </is>
      </c>
      <c r="F1112" s="9" t="inlineStr">
        <is>
          <t>CoefficientPercent</t>
        </is>
      </c>
      <c r="G1112" s="9" t="inlineStr">
        <is>
          <t>EffectiveHits</t>
        </is>
      </c>
      <c r="H1112" s="9" t="inlineStr">
        <is>
          <t>ProcProbability</t>
        </is>
      </c>
      <c r="I1112" s="9" t="inlineStr">
        <is>
          <t>MapleHeroMultiplier</t>
        </is>
      </c>
      <c r="J1112" s="9" t="inlineStr">
        <is>
          <t>BaseDamage</t>
        </is>
      </c>
      <c r="K1112" s="9" t="inlineStr">
        <is>
          <t>BaseHitDamage</t>
        </is>
      </c>
      <c r="L1112" s="9" t="inlineStr">
        <is>
          <t>NonCritAvg</t>
        </is>
      </c>
      <c r="M1112" s="9" t="inlineStr">
        <is>
          <t>CritAvg</t>
        </is>
      </c>
      <c r="N1112" s="9" t="inlineStr">
        <is>
          <t>ExpectedDamage(perHit)</t>
        </is>
      </c>
      <c r="O1112" s="9" t="inlineStr">
        <is>
          <t>DPS</t>
        </is>
      </c>
      <c r="P1112" s="9" t="inlineStr">
        <is>
          <t>% of Total</t>
        </is>
      </c>
      <c r="Q1112" s="9" t="inlineStr">
        <is>
          <t>InvCooldown</t>
        </is>
      </c>
      <c r="R1112" s="9" t="inlineStr">
        <is>
          <t>CastsInFight</t>
        </is>
      </c>
      <c r="S1112" s="9" t="inlineStr">
        <is>
          <t>HitRate(perSec)</t>
        </is>
      </c>
      <c r="U1112" t="inlineStr">
        <is>
          <t>helpers</t>
        </is>
      </c>
    </row>
    <row r="1113">
      <c r="A1113">
        <f>Skills!A2</f>
        <v/>
      </c>
      <c r="B1113">
        <f>Skills!B2</f>
        <v/>
      </c>
      <c r="C1113">
        <f>Inputs!$B$3&gt;=100</f>
        <v/>
      </c>
      <c r="D1113" t="inlineStr"/>
      <c r="E1113" t="inlineStr"/>
      <c r="F1113">
        <f>U1115+Skills!O2</f>
        <v/>
      </c>
      <c r="G1113">
        <f>Skills!G2*IF(Skills!H2&gt;0,Skills!I2/Skills!H2,1)</f>
        <v/>
      </c>
      <c r="H1113">
        <f>1-(1-Skills!J2/100)^Skills!K2</f>
        <v/>
      </c>
      <c r="I1113" t="inlineStr">
        <is>
          <t>1</t>
        </is>
      </c>
      <c r="J1113">
        <f>((Inputs!$B$6*(1+Inputs!$B$7/100))+(((Inputs!$B$12*(1+Inputs!$B$13/100))-(Inputs!$B$12*(1+Inputs!$B$13/100)))+0.25*(Inputs!$B$14-Inputs!$B$14))*(1+Inputs!$B$7/100))*(F1113/100)</f>
        <v/>
      </c>
      <c r="K1113">
        <f>J1113*(1+((Inputs!$B$12*(1+Inputs!$B$13/100))*0.01+Inputs!$B$14*0.0025)/100)*(1+Inputs!$B$15/100)*(1+Inputs!$B$16/100)*(5000/(6000+Inputs!$B$42*(1-(Inputs!$B$19+0)/100)))*(1+(Inputs!$B$24+((C1133=TRUE)*(F1133-Calc!F22))+B1142)/100)*(1+(IF(Skills!A2="HOOK_BOMBER",Inputs!$B$17+((C1132=TRUE)*(F1132-Calc!F21)),Inputs!$B$18+0))/100)*((1+(((C1124=TRUE)*F1124)+((C1130=TRUE)*(F1130-Calc!F19)))/100)*I1113)</f>
        <v/>
      </c>
      <c r="L1113">
        <f>K1113*(MIN(Inputs!$B$22+((C1131=TRUE)*(F1131-Calc!F20)),Inputs!$B$23+0)/100+(Inputs!$B$23+0)/100)/2</f>
        <v/>
      </c>
      <c r="M1113">
        <f>L1113*(1+(Inputs!$B$10+0+B1141)/100)</f>
        <v/>
      </c>
      <c r="N1113">
        <f>L1113*(1-MIN((Inputs!$B$9+((C1127=TRUE)*(F1127-Calc!F16))+B1136),100)/100)+M1113*(MIN((Inputs!$B$9+((C1127=TRUE)*(F1127-Calc!F16))+B1136),100)/100)</f>
        <v/>
      </c>
      <c r="O1113">
        <f>(1-Summary!$B$55)*T1113+Summary!$B$55*V1113</f>
        <v/>
      </c>
      <c r="P1113">
        <f>IF(B1146=0,0,O1113/B1146)</f>
        <v/>
      </c>
      <c r="Q1113" t="n">
        <v>0</v>
      </c>
      <c r="R1113" t="n">
        <v>0</v>
      </c>
      <c r="S1113">
        <f>IFERROR(O1113/N1113,0)</f>
        <v/>
      </c>
      <c r="T1113">
        <f>IF(C1113,(Skills!G2*N1113*B1140)*IF(Inputs!$B$38="pvp",1,1+(Inputs!$B$20+0+Skills!P2)/100),0)</f>
        <v/>
      </c>
      <c r="U1113">
        <f>MAX(0,(Inputs!$B$3-100)*3)+Inputs!$B$28+Inputs!$B$29</f>
        <v/>
      </c>
      <c r="V1113">
        <f>IF(C1113,(Skills!G2*N1113*B1140)*IF(Inputs!$B$38="pvp",1,(1+(Inputs!$B$21+Skills!Q2)/100)*(MIN((6+Inputs!$B$33),Inputs!$B$37))),0)</f>
        <v/>
      </c>
    </row>
    <row r="1114">
      <c r="A1114">
        <f>Skills!A3</f>
        <v/>
      </c>
      <c r="B1114">
        <f>Skills!B3</f>
        <v/>
      </c>
      <c r="C1114">
        <f>Inputs!$B$3&gt;=35</f>
        <v/>
      </c>
      <c r="D1114">
        <f>IF(Skills!C3=1,60+Inputs!$B$25+Inputs!$B$29,IF(Skills!C3=2,90+Inputs!$B$26+Inputs!$B$29,IF(Skills!C3=3,120+Inputs!$B$27+Inputs!$B$29,MAX(0,(Inputs!$B$3-100)*3)+Inputs!$B$28+Inputs!$B$29)))</f>
        <v/>
      </c>
      <c r="E1114">
        <f>INDEX(FactorTable!$B$2:$Y$301, MATCH(ROUND(MIN(300,MAX(1,D1114)),0), FactorTable!$A$2:$A$301,0), Skills!M3+1)</f>
        <v/>
      </c>
      <c r="F1114">
        <f>IF(Skills!N3=TRUE,(Skills!L3/10)*(E1114/1000),Skills!L3/10)+Skills!O3</f>
        <v/>
      </c>
      <c r="G1114">
        <f>Skills!G3*IF(Skills!H3&gt;0,Skills!I3/Skills!H3,1)</f>
        <v/>
      </c>
      <c r="H1114">
        <f>1-(1-Skills!J3/100)^Skills!K3</f>
        <v/>
      </c>
      <c r="I1114" t="inlineStr">
        <is>
          <t>1</t>
        </is>
      </c>
      <c r="J1114">
        <f>((Inputs!$B$6*(1+Inputs!$B$7/100))+(((Inputs!$B$12*(1+Inputs!$B$13/100))-(Inputs!$B$12*(1+Inputs!$B$13/100)))+0.25*(Inputs!$B$14-Inputs!$B$14))*(1+Inputs!$B$7/100))*(F1114/100)</f>
        <v/>
      </c>
      <c r="K1114">
        <f>J1114*(1+((Inputs!$B$12*(1+Inputs!$B$13/100))*0.01+Inputs!$B$14*0.0025)/100)*(1+Inputs!$B$15/100)*(1+Inputs!$B$16/100)*(5000/(6000+Inputs!$B$42*(1-(Inputs!$B$19+0)/100)))*(1+(Inputs!$B$24+((C1133=TRUE)*(F1133-Calc!F22))+B1142)/100)*(1+(IF(Skills!A3="HOOK_BOMBER",Inputs!$B$17+((C1132=TRUE)*(F1132-Calc!F21)),Inputs!$B$18+0))/100)*((1+(((C1124=TRUE)*F1124)+((C1130=TRUE)*(F1130-Calc!F19)))/100)*I1114)</f>
        <v/>
      </c>
      <c r="L1114">
        <f>K1114*(MIN(Inputs!$B$22+((C1131=TRUE)*(F1131-Calc!F20)),Inputs!$B$23+0)/100+(Inputs!$B$23+0)/100)/2</f>
        <v/>
      </c>
      <c r="M1114">
        <f>L1114*(1+(Inputs!$B$10+0+B1141)/100)</f>
        <v/>
      </c>
      <c r="N1114">
        <f>L1114*(1-MIN((Inputs!$B$9+((C1127=TRUE)*(F1127-Calc!F16))+B1136),100)/100)+M1114*(MIN((Inputs!$B$9+((C1127=TRUE)*(F1127-Calc!F16))+B1136),100)/100)</f>
        <v/>
      </c>
      <c r="O1114">
        <f>(1-Summary!$B$55)*T1114+Summary!$B$55*V1114</f>
        <v/>
      </c>
      <c r="P1114">
        <f>IF(B1146=0,0,O1114/B1146)</f>
        <v/>
      </c>
      <c r="Q1114" t="n">
        <v>0</v>
      </c>
      <c r="R1114" t="n">
        <v>0</v>
      </c>
      <c r="S1114">
        <f>IFERROR(O1114/N1114,0)</f>
        <v/>
      </c>
      <c r="T1114">
        <f>IF(C1114,(Skills!G3*H1114*N1114*B1140)*IF(Inputs!$B$38="pvp",1,1+(Inputs!$B$20+0+Skills!P3)/100),0)</f>
        <v/>
      </c>
      <c r="U1114">
        <f>INDEX(FactorTable!$B$2:$Y$301, MATCH(ROUND(MIN(300,MAX(1,U1113)),0), FactorTable!$A$2:$A$301,0), 22)</f>
        <v/>
      </c>
      <c r="V1114">
        <f>IF(C1114,(Skills!G3*H1114*N1114*B1140)*IF(Inputs!$B$38="pvp",1,(1+(Inputs!$B$21+Skills!Q3)/100)*(MIN(Skills!R3,Inputs!$B$37))),0)</f>
        <v/>
      </c>
    </row>
    <row r="1115">
      <c r="A1115">
        <f>Skills!A4</f>
        <v/>
      </c>
      <c r="B1115">
        <f>Skills!B4</f>
        <v/>
      </c>
      <c r="C1115">
        <f>Inputs!$B$3&gt;=60</f>
        <v/>
      </c>
      <c r="D1115">
        <f>IF(Skills!C4=1,60+Inputs!$B$25+Inputs!$B$29,IF(Skills!C4=2,90+Inputs!$B$26+Inputs!$B$29,IF(Skills!C4=3,120+Inputs!$B$27+Inputs!$B$29,MAX(0,(Inputs!$B$3-100)*3)+Inputs!$B$28+Inputs!$B$29)))</f>
        <v/>
      </c>
      <c r="E1115">
        <f>INDEX(FactorTable!$B$2:$Y$301, MATCH(ROUND(MIN(300,MAX(1,D1115)),0), FactorTable!$A$2:$A$301,0), Skills!M4+1)</f>
        <v/>
      </c>
      <c r="F1115">
        <f>IF(Skills!N4=TRUE,(Skills!L4/10)*(E1115/1000),Skills!L4/10)+Skills!O4</f>
        <v/>
      </c>
      <c r="G1115">
        <f>Skills!G4*IF(Skills!H4&gt;0,Skills!I4/Skills!H4,1)</f>
        <v/>
      </c>
      <c r="H1115">
        <f>1-(1-Skills!J4/100)^Skills!K4</f>
        <v/>
      </c>
      <c r="I1115" t="inlineStr">
        <is>
          <t>1</t>
        </is>
      </c>
      <c r="J1115">
        <f>((Inputs!$B$6*(1+Inputs!$B$7/100))+(((Inputs!$B$12*(1+Inputs!$B$13/100))-(Inputs!$B$12*(1+Inputs!$B$13/100)))+0.25*(Inputs!$B$14-Inputs!$B$14))*(1+Inputs!$B$7/100))*(F1115/100)</f>
        <v/>
      </c>
      <c r="K1115">
        <f>J1115*(1+((Inputs!$B$12*(1+Inputs!$B$13/100))*0.01+Inputs!$B$14*0.0025)/100)*(1+Inputs!$B$15/100)*(1+Inputs!$B$16/100)*(5000/(6000+Inputs!$B$42*(1-(Inputs!$B$19+0)/100)))*(1+(Inputs!$B$24+((C1133=TRUE)*(F1133-Calc!F22))+B1142)/100)*(1+1.0*IF(C1123=TRUE,F1123,0)/100)*(1+(IF(Skills!A4="HOOK_BOMBER",Inputs!$B$17+((C1132=TRUE)*(F1132-Calc!F21)),Inputs!$B$18+0))/100)*((1+(((C1124=TRUE)*F1124)+((C1130=TRUE)*(F1130-Calc!F19)))/100)*I1115)</f>
        <v/>
      </c>
      <c r="L1115">
        <f>K1115*(MIN(Inputs!$B$22+((C1131=TRUE)*(F1131-Calc!F20)),Inputs!$B$23+0)/100+(Inputs!$B$23+0)/100)/2</f>
        <v/>
      </c>
      <c r="M1115">
        <f>L1115*(1+(Inputs!$B$10+0+B1141)/100)</f>
        <v/>
      </c>
      <c r="N1115">
        <f>L1115*(1-MIN((Inputs!$B$9+((C1127=TRUE)*(F1127-Calc!F16))+B1136),100)/100)+M1115*(MIN((Inputs!$B$9+((C1127=TRUE)*(F1127-Calc!F16))+B1136),100)/100)</f>
        <v/>
      </c>
      <c r="O1115">
        <f>(1-Summary!$B$55)*T1115+Summary!$B$55*V1115</f>
        <v/>
      </c>
      <c r="P1115">
        <f>IF(B1146=0,0,O1115/B1146)</f>
        <v/>
      </c>
      <c r="Q1115" t="n">
        <v>0</v>
      </c>
      <c r="R1115" t="n">
        <v>0</v>
      </c>
      <c r="S1115">
        <f>IFERROR(O1115/N1115,0)</f>
        <v/>
      </c>
      <c r="T1115">
        <f>IF(C1115,(Skills!G4*H1115*N1115*B1140)*IF(Inputs!$B$38="pvp",1,1+(Inputs!$B$20+0+Skills!P4)/100),0)</f>
        <v/>
      </c>
      <c r="U1115">
        <f>290*U1114/1000</f>
        <v/>
      </c>
      <c r="V1115">
        <f>IF(C1115,(Skills!G4*H1115*N1115*B1140)*IF(Inputs!$B$38="pvp",1,(1+(Inputs!$B$21+Skills!Q4)/100)*(MIN(Skills!R4,Inputs!$B$37))),0)</f>
        <v/>
      </c>
    </row>
    <row r="1116">
      <c r="A1116">
        <f>Skills!A5</f>
        <v/>
      </c>
      <c r="B1116">
        <f>Skills!B5</f>
        <v/>
      </c>
      <c r="C1116">
        <f>Inputs!$B$3&gt;=60</f>
        <v/>
      </c>
      <c r="D1116">
        <f>IF(Skills!C5=1,60+Inputs!$B$25+Inputs!$B$29,IF(Skills!C5=2,90+Inputs!$B$26+Inputs!$B$29,IF(Skills!C5=3,120+Inputs!$B$27+Inputs!$B$29,MAX(0,(Inputs!$B$3-100)*3)+Inputs!$B$28+Inputs!$B$29)))</f>
        <v/>
      </c>
      <c r="E1116">
        <f>INDEX(FactorTable!$B$2:$Y$301, MATCH(ROUND(MIN(300,MAX(1,D1116)),0), FactorTable!$A$2:$A$301,0), Skills!M5+1)</f>
        <v/>
      </c>
      <c r="F1116">
        <f>IF(Skills!N5=TRUE,(Skills!L5/10)*(E1116/1000),Skills!L5/10)+Skills!O5</f>
        <v/>
      </c>
      <c r="G1116">
        <f>Skills!G5*IF(Skills!H5&gt;0,Skills!I5/Skills!H5,1)</f>
        <v/>
      </c>
      <c r="H1116">
        <f>1-(1-Skills!J5/100)^Skills!K5</f>
        <v/>
      </c>
      <c r="I1116" t="inlineStr">
        <is>
          <t>1</t>
        </is>
      </c>
      <c r="J1116" t="inlineStr"/>
      <c r="K1116" t="inlineStr"/>
      <c r="L1116" t="inlineStr"/>
      <c r="M1116" t="inlineStr"/>
      <c r="N1116" t="inlineStr"/>
      <c r="O1116">
        <f>(1-Summary!$B$55)*T1116+Summary!$B$55*V1116</f>
        <v/>
      </c>
      <c r="P1116">
        <f>IF(B1146=0,0,O1116/B1146)</f>
        <v/>
      </c>
      <c r="Q1116" t="n">
        <v>0</v>
      </c>
      <c r="R1116" t="n">
        <v>0</v>
      </c>
      <c r="S1116">
        <f>IFERROR(O1116/N1116,0)</f>
        <v/>
      </c>
      <c r="T1116" t="n">
        <v>0</v>
      </c>
      <c r="V1116" t="n">
        <v>0</v>
      </c>
    </row>
    <row r="1117">
      <c r="A1117">
        <f>Skills!A6</f>
        <v/>
      </c>
      <c r="B1117">
        <f>Skills!B6</f>
        <v/>
      </c>
      <c r="C1117">
        <f>Inputs!$B$3&gt;=63</f>
        <v/>
      </c>
      <c r="D1117">
        <f>IF(Skills!C6=1,60+Inputs!$B$25+Inputs!$B$29,IF(Skills!C6=2,90+Inputs!$B$26+Inputs!$B$29,IF(Skills!C6=3,120+Inputs!$B$27+Inputs!$B$29,MAX(0,(Inputs!$B$3-100)*3)+Inputs!$B$28+Inputs!$B$29)))</f>
        <v/>
      </c>
      <c r="E1117">
        <f>INDEX(FactorTable!$B$2:$Y$301, MATCH(ROUND(MIN(300,MAX(1,D1117)),0), FactorTable!$A$2:$A$301,0), Skills!M6+1)</f>
        <v/>
      </c>
      <c r="F1117">
        <f>IF(Skills!N6=TRUE,(Skills!L6/10)*(E1117/1000),Skills!L6/10)+Skills!O6</f>
        <v/>
      </c>
      <c r="G1117">
        <f>Skills!G6*IF(Skills!H6&gt;0,Skills!I6/Skills!H6,1)</f>
        <v/>
      </c>
      <c r="H1117">
        <f>1-(1-Skills!J6/100)^Skills!K6</f>
        <v/>
      </c>
      <c r="I1117" t="inlineStr">
        <is>
          <t>1</t>
        </is>
      </c>
      <c r="J1117">
        <f>((Inputs!$B$6*(1+Inputs!$B$7/100))+(((Inputs!$B$12*(1+Inputs!$B$13/100))-(Inputs!$B$12*(1+Inputs!$B$13/100)))+0.25*(Inputs!$B$14-Inputs!$B$14))*(1+Inputs!$B$7/100))*(F1117/100)</f>
        <v/>
      </c>
      <c r="K1117">
        <f>J1117*(1+((Inputs!$B$12*(1+Inputs!$B$13/100))*0.01+Inputs!$B$14*0.0025)/100)*(1+Inputs!$B$15/100)*(1+Inputs!$B$16/100)*(5000/(6000+Inputs!$B$42*(1-(Inputs!$B$19+0)/100)))*(1+(Inputs!$B$24+((C1133=TRUE)*(F1133-Calc!F22))+B1142)/100)*(1+(IF(Skills!A6="HOOK_BOMBER",Inputs!$B$17+((C1132=TRUE)*(F1132-Calc!F21)),Inputs!$B$18+0))/100)*((1+(((C1124=TRUE)*F1124)+((C1130=TRUE)*(F1130-Calc!F19)))/100)*I1117)</f>
        <v/>
      </c>
      <c r="L1117">
        <f>K1117*(MIN(Inputs!$B$22+((C1131=TRUE)*(F1131-Calc!F20)),Inputs!$B$23+0)/100+(Inputs!$B$23+0)/100)/2</f>
        <v/>
      </c>
      <c r="M1117">
        <f>L1117*(1+(Inputs!$B$10+0+B1141)/100)</f>
        <v/>
      </c>
      <c r="N1117">
        <f>L1117*(1-MIN((Inputs!$B$9+((C1127=TRUE)*(F1127-Calc!F16))+B1136),100)/100)+M1117*(MIN((Inputs!$B$9+((C1127=TRUE)*(F1127-Calc!F16))+B1136),100)/100)</f>
        <v/>
      </c>
      <c r="O1117">
        <f>(1-Summary!$B$55)*T1117+Summary!$B$55*V1117</f>
        <v/>
      </c>
      <c r="P1117">
        <f>IF(B1146=0,0,O1117/B1146)</f>
        <v/>
      </c>
      <c r="Q1117">
        <f>IFERROR(1/IF(Inputs!$B$38="pvp",15,MAX(0.1,Skills!D6-IF(Skills!E6=TRUE,1.5,0))),0)</f>
        <v/>
      </c>
      <c r="R1117">
        <f>IF(AND(Inputs!$B$38&lt;&gt;"pvp",Inputs!$B$43&gt;0),IF(MAX(0,Inputs!$B$43-B1143)&lt;=0,0,(INT(MAX(0,Inputs!$B$43-B1143)/IF(Inputs!$B$38="pvp",15,MAX(0.1,Skills!D6-IF(Skills!E6=TRUE,1.5,0))))+1)),0)</f>
        <v/>
      </c>
      <c r="S1117">
        <f>IFERROR(O1117/N1117,0)</f>
        <v/>
      </c>
      <c r="T1117">
        <f>IF(C1117,(H1117*N1117*IF(AND(Inputs!$B$38&lt;&gt;"pvp",Inputs!$B$43&gt;0),((Skills!G6*((R1117-1)*IF(Skills!H6&gt;0,Skills!I6/Skills!H6,1)+IF(Skills!H6&gt;0,MIN(Skills!I6,MAX(0,MAX(0,Inputs!$B$43-B1143)-((R1117-1)*IF(Inputs!$B$38="pvp",15,MAX(0.1,Skills!D6-IF(Skills!E6=TRUE,1.5,0))))))/Skills!H6,1)))/Inputs!$B$43),G1117*Q1117))*IF(Inputs!$B$38="pvp",1,1+(Inputs!$B$20+0+Skills!P6)/100),0)</f>
        <v/>
      </c>
      <c r="V1117">
        <f>IF(C1117,(H1117*N1117*IF(AND(Inputs!$B$38&lt;&gt;"pvp",Inputs!$B$43&gt;0),((Skills!G6*((R1117-1)*IF(Skills!H6&gt;0,Skills!I6/Skills!H6,1)+IF(Skills!H6&gt;0,MIN(Skills!I6,MAX(0,MAX(0,Inputs!$B$43-B1143)-((R1117-1)*IF(Inputs!$B$38="pvp",15,MAX(0.1,Skills!D6-IF(Skills!E6=TRUE,1.5,0))))))/Skills!H6,1)))/Inputs!$B$43),G1117*Q1117))*IF(Inputs!$B$38="pvp",1,(1+(Inputs!$B$21+Skills!Q6)/100)*(MIN(Skills!R6,Inputs!$B$37))),0)</f>
        <v/>
      </c>
    </row>
    <row r="1118">
      <c r="A1118">
        <f>Skills!A7</f>
        <v/>
      </c>
      <c r="B1118">
        <f>Skills!B7</f>
        <v/>
      </c>
      <c r="C1118">
        <f>Inputs!$B$3&gt;=100</f>
        <v/>
      </c>
      <c r="D1118">
        <f>IF(Skills!C7=1,60+Inputs!$B$25+Inputs!$B$29,IF(Skills!C7=2,90+Inputs!$B$26+Inputs!$B$29,IF(Skills!C7=3,120+Inputs!$B$27+Inputs!$B$29,MAX(0,(Inputs!$B$3-100)*3)+Inputs!$B$28+Inputs!$B$29)))</f>
        <v/>
      </c>
      <c r="E1118">
        <f>INDEX(FactorTable!$B$2:$Y$301, MATCH(ROUND(MIN(300,MAX(1,D1118)),0), FactorTable!$A$2:$A$301,0), Skills!M7+1)</f>
        <v/>
      </c>
      <c r="F1118">
        <f>IF(Skills!N7=TRUE,(Skills!L7/10)*(E1118/1000),Skills!L7/10)+Skills!O7</f>
        <v/>
      </c>
      <c r="G1118">
        <f>Skills!G7*IF(Skills!H7&gt;0,Skills!I7/Skills!H7,1)</f>
        <v/>
      </c>
      <c r="H1118">
        <f>1-(1-Skills!J7/100)^Skills!K7</f>
        <v/>
      </c>
      <c r="I1118" t="inlineStr">
        <is>
          <t>1</t>
        </is>
      </c>
      <c r="J1118">
        <f>((Inputs!$B$6*(1+Inputs!$B$7/100))+(((Inputs!$B$12*(1+Inputs!$B$13/100))-(Inputs!$B$12*(1+Inputs!$B$13/100)))+0.25*(Inputs!$B$14-Inputs!$B$14))*(1+Inputs!$B$7/100))*(F1118/100)</f>
        <v/>
      </c>
      <c r="K1118">
        <f>J1118*(1+((Inputs!$B$12*(1+Inputs!$B$13/100))*0.01+Inputs!$B$14*0.0025)/100)*(1+Inputs!$B$15/100)*(1+Inputs!$B$16/100)*(5000/(6000+Inputs!$B$42*(1-(Inputs!$B$19+0)/100)))*(1+(Inputs!$B$24+((C1133=TRUE)*(F1133-Calc!F22))+B1142)/100)*(1+(IF(Skills!A7="HOOK_BOMBER",Inputs!$B$17+((C1132=TRUE)*(F1132-Calc!F21)),Inputs!$B$18+0))/100)*((1+(((C1124=TRUE)*F1124)+((C1130=TRUE)*(F1130-Calc!F19)))/100)*I1118)</f>
        <v/>
      </c>
      <c r="L1118">
        <f>K1118*(MIN(Inputs!$B$22+((C1131=TRUE)*(F1131-Calc!F20)),Inputs!$B$23+0)/100+(Inputs!$B$23+0)/100)/2</f>
        <v/>
      </c>
      <c r="M1118">
        <f>L1118*(1+(Inputs!$B$10+0+B1141)/100)</f>
        <v/>
      </c>
      <c r="N1118">
        <f>L1118*(1-MIN((Inputs!$B$9+((C1127=TRUE)*(F1127-Calc!F16))+B1136),100)/100)+M1118*(MIN((Inputs!$B$9+((C1127=TRUE)*(F1127-Calc!F16))+B1136),100)/100)</f>
        <v/>
      </c>
      <c r="O1118">
        <f>(1-Summary!$B$55)*T1118+Summary!$B$55*V1118</f>
        <v/>
      </c>
      <c r="P1118">
        <f>IF(B1146=0,0,O1118/B1146)</f>
        <v/>
      </c>
      <c r="Q1118">
        <f>IFERROR(1/IF(Inputs!$B$38="pvp",15,MAX(0.1,Skills!D7-IF(Skills!E7=TRUE,1.5,0))),0)</f>
        <v/>
      </c>
      <c r="R1118">
        <f>IF(AND(Inputs!$B$38&lt;&gt;"pvp",Inputs!$B$43&gt;0),IF(MAX(0,Inputs!$B$43-B1143)&lt;=0,0,(INT(MAX(0,Inputs!$B$43-B1143)/IF(Inputs!$B$38="pvp",15,MAX(0.1,Skills!D7-IF(Skills!E7=TRUE,1.5,0))))+1)),0)</f>
        <v/>
      </c>
      <c r="S1118">
        <f>IFERROR(O1118/N1118,0)</f>
        <v/>
      </c>
      <c r="T1118">
        <f>IF(C1118,(H1118*N1118*IF(AND(Inputs!$B$38&lt;&gt;"pvp",Inputs!$B$43&gt;0),((Skills!G7*((R1118-1)*IF(Skills!H7&gt;0,Skills!I7/Skills!H7,1)+IF(Skills!H7&gt;0,MIN(Skills!I7,MAX(0,MAX(0,Inputs!$B$43-B1143)-((R1118-1)*IF(Inputs!$B$38="pvp",15,MAX(0.1,Skills!D7-IF(Skills!E7=TRUE,1.5,0))))))/Skills!H7,1)))/Inputs!$B$43),G1118*Q1118))*IF(Inputs!$B$38="pvp",1,1+(Inputs!$B$20+0+Skills!P7)/100),0)</f>
        <v/>
      </c>
      <c r="V1118">
        <f>IF(C1118,(H1118*N1118*IF(AND(Inputs!$B$38&lt;&gt;"pvp",Inputs!$B$43&gt;0),((Skills!G7*((R1118-1)*IF(Skills!H7&gt;0,Skills!I7/Skills!H7,1)+IF(Skills!H7&gt;0,MIN(Skills!I7,MAX(0,MAX(0,Inputs!$B$43-B1143)-((R1118-1)*IF(Inputs!$B$38="pvp",15,MAX(0.1,Skills!D7-IF(Skills!E7=TRUE,1.5,0))))))/Skills!H7,1)))/Inputs!$B$43),G1118*Q1118))*IF(Inputs!$B$38="pvp",1,(1+(Inputs!$B$21+Skills!Q7)/100)*(MIN(Skills!R7,Inputs!$B$37))),0)</f>
        <v/>
      </c>
    </row>
    <row r="1119">
      <c r="A1119">
        <f>Skills!A8</f>
        <v/>
      </c>
      <c r="B1119">
        <f>Skills!B8</f>
        <v/>
      </c>
      <c r="C1119">
        <f>Inputs!$B$3&gt;=110</f>
        <v/>
      </c>
      <c r="D1119">
        <f>IF(Skills!C8=1,60+Inputs!$B$25+Inputs!$B$29,IF(Skills!C8=2,90+Inputs!$B$26+Inputs!$B$29,IF(Skills!C8=3,120+Inputs!$B$27+Inputs!$B$29,MAX(0,(Inputs!$B$3-100)*3)+Inputs!$B$28+Inputs!$B$29)))</f>
        <v/>
      </c>
      <c r="E1119">
        <f>INDEX(FactorTable!$B$2:$Y$301, MATCH(ROUND(MIN(300,MAX(1,D1119)),0), FactorTable!$A$2:$A$301,0), Skills!M8+1)</f>
        <v/>
      </c>
      <c r="F1119">
        <f>IF(Skills!N8=TRUE,(Skills!L8/10)*(E1119/1000),Skills!L8/10)+Skills!O8</f>
        <v/>
      </c>
      <c r="G1119">
        <f>Skills!G8*IF(Skills!H8&gt;0,Skills!I8/Skills!H8,1)</f>
        <v/>
      </c>
      <c r="H1119">
        <f>1-(1-Skills!J8/100)^Skills!K8</f>
        <v/>
      </c>
      <c r="I1119" t="inlineStr">
        <is>
          <t>1</t>
        </is>
      </c>
      <c r="J1119">
        <f>((Inputs!$B$6*(1+Inputs!$B$7/100))+(((Inputs!$B$12*(1+Inputs!$B$13/100))-(Inputs!$B$12*(1+Inputs!$B$13/100)))+0.25*(Inputs!$B$14-Inputs!$B$14))*(1+Inputs!$B$7/100))*(F1119/100)</f>
        <v/>
      </c>
      <c r="K1119">
        <f>J1119*(1+((Inputs!$B$12*(1+Inputs!$B$13/100))*0.01+Inputs!$B$14*0.0025)/100)*(1+Inputs!$B$15/100)*(1+Inputs!$B$16/100)*(5000/(6000+Inputs!$B$42*(1-(Inputs!$B$19+0)/100)))*(1+(Inputs!$B$24+((C1133=TRUE)*(F1133-Calc!F22))+B1142)/100)*(1+(IF(Skills!A8="HOOK_BOMBER",Inputs!$B$17+((C1132=TRUE)*(F1132-Calc!F21)),Inputs!$B$18+0))/100)*((1+(((C1124=TRUE)*F1124)+((C1130=TRUE)*(F1130-Calc!F19)))/100)*I1119)</f>
        <v/>
      </c>
      <c r="L1119">
        <f>K1119*(MIN(Inputs!$B$22+((C1131=TRUE)*(F1131-Calc!F20)),Inputs!$B$23+0)/100+(Inputs!$B$23+0)/100)/2</f>
        <v/>
      </c>
      <c r="M1119">
        <f>L1119*(1+(Inputs!$B$10+0+B1141)/100)</f>
        <v/>
      </c>
      <c r="N1119">
        <f>L1119*(1-MIN((Inputs!$B$9+((C1127=TRUE)*(F1127-Calc!F16))+B1136),100)/100)+M1119*(MIN((Inputs!$B$9+((C1127=TRUE)*(F1127-Calc!F16))+B1136),100)/100)</f>
        <v/>
      </c>
      <c r="O1119">
        <f>(1-Summary!$B$55)*T1119+Summary!$B$55*V1119</f>
        <v/>
      </c>
      <c r="P1119">
        <f>IF(B1146=0,0,O1119/B1146)</f>
        <v/>
      </c>
      <c r="Q1119">
        <f>IFERROR(1/IF(Inputs!$B$38="pvp",15,MAX(0.1,Skills!D8-IF(Skills!E8=TRUE,1.5,0))),0)</f>
        <v/>
      </c>
      <c r="R1119">
        <f>IF(AND(Inputs!$B$38&lt;&gt;"pvp",Inputs!$B$43&gt;0),IF(MAX(0,Inputs!$B$43-B1143)&lt;=0,0,(INT(MAX(0,Inputs!$B$43-B1143)/IF(Inputs!$B$38="pvp",15,MAX(0.1,Skills!D8-IF(Skills!E8=TRUE,1.5,0))))+1)),0)</f>
        <v/>
      </c>
      <c r="S1119">
        <f>IFERROR(O1119/N1119,0)</f>
        <v/>
      </c>
      <c r="T1119">
        <f>IF(C1119,(H1119*N1119*IF(AND(Inputs!$B$38&lt;&gt;"pvp",Inputs!$B$43&gt;0),((Skills!G8*((R1119-1)*IF(Skills!H8&gt;0,Skills!I8/Skills!H8,1)+IF(Skills!H8&gt;0,MIN(Skills!I8,MAX(0,MAX(0,Inputs!$B$43-B1143)-((R1119-1)*IF(Inputs!$B$38="pvp",15,MAX(0.1,Skills!D8-IF(Skills!E8=TRUE,1.5,0))))))/Skills!H8,1)))/Inputs!$B$43),G1119*Q1119))*IF(Inputs!$B$38="pvp",1,1+(Inputs!$B$20+0+Skills!P8)/100),0)</f>
        <v/>
      </c>
      <c r="V1119">
        <f>IF(C1119,(H1119*N1119*IF(AND(Inputs!$B$38&lt;&gt;"pvp",Inputs!$B$43&gt;0),((Skills!G8*((R1119-1)*IF(Skills!H8&gt;0,Skills!I8/Skills!H8,1)+IF(Skills!H8&gt;0,MIN(Skills!I8,MAX(0,MAX(0,Inputs!$B$43-B1143)-((R1119-1)*IF(Inputs!$B$38="pvp",15,MAX(0.1,Skills!D8-IF(Skills!E8=TRUE,1.5,0))))))/Skills!H8,1)))/Inputs!$B$43),G1119*Q1119))*IF(Inputs!$B$38="pvp",1,(1+(Inputs!$B$21+Skills!Q8)/100)*(MIN(Skills!R8,Inputs!$B$37))),0)</f>
        <v/>
      </c>
    </row>
    <row r="1120">
      <c r="A1120">
        <f>Skills!A9</f>
        <v/>
      </c>
      <c r="B1120">
        <f>Skills!B9</f>
        <v/>
      </c>
      <c r="C1120">
        <f>Inputs!$B$3&gt;=110</f>
        <v/>
      </c>
      <c r="D1120">
        <f>IF(Skills!C9=1,60+Inputs!$B$25+Inputs!$B$29,IF(Skills!C9=2,90+Inputs!$B$26+Inputs!$B$29,IF(Skills!C9=3,120+Inputs!$B$27+Inputs!$B$29,MAX(0,(Inputs!$B$3-100)*3)+Inputs!$B$28+Inputs!$B$29)))</f>
        <v/>
      </c>
      <c r="E1120">
        <f>INDEX(FactorTable!$B$2:$Y$301, MATCH(ROUND(MIN(300,MAX(1,D1120)),0), FactorTable!$A$2:$A$301,0), Skills!M9+1)</f>
        <v/>
      </c>
      <c r="F1120">
        <f>IF(Skills!N9=TRUE,(Skills!L9/10)*(E1120/1000),Skills!L9/10)+Skills!O9</f>
        <v/>
      </c>
      <c r="G1120">
        <f>Skills!G9*IF(Skills!H9&gt;0,Skills!I9/Skills!H9,1)</f>
        <v/>
      </c>
      <c r="H1120">
        <f>1-(1-Skills!J9/100)^Skills!K9</f>
        <v/>
      </c>
      <c r="I1120" t="inlineStr">
        <is>
          <t>1</t>
        </is>
      </c>
      <c r="J1120">
        <f>((Inputs!$B$6*(1+Inputs!$B$7/100))+(((Inputs!$B$12*(1+Inputs!$B$13/100))-(Inputs!$B$12*(1+Inputs!$B$13/100)))+0.25*(Inputs!$B$14-Inputs!$B$14))*(1+Inputs!$B$7/100))*(F1120/100)</f>
        <v/>
      </c>
      <c r="K1120">
        <f>J1120*(1+((Inputs!$B$12*(1+Inputs!$B$13/100))*0.01+Inputs!$B$14*0.0025)/100)*(1+Inputs!$B$15/100)*(1+Inputs!$B$16/100)*(5000/(6000+Inputs!$B$42*(1-(Inputs!$B$19+0)/100)))*(1+(Inputs!$B$24+((C1133=TRUE)*(F1133-Calc!F22))+B1142)/100)*(1+(IF(Skills!A9="HOOK_BOMBER",Inputs!$B$17+((C1132=TRUE)*(F1132-Calc!F21)),Inputs!$B$18+0))/100)*((1+(((C1124=TRUE)*F1124)+((C1130=TRUE)*(F1130-Calc!F19)))/100)*I1120)</f>
        <v/>
      </c>
      <c r="L1120">
        <f>K1120*(MIN(Inputs!$B$22+((C1131=TRUE)*(F1131-Calc!F20)),Inputs!$B$23+0)/100+(Inputs!$B$23+0)/100)/2</f>
        <v/>
      </c>
      <c r="M1120">
        <f>L1120*(1+(Inputs!$B$10+0+B1141)/100)</f>
        <v/>
      </c>
      <c r="N1120">
        <f>L1120*(1-MIN((Inputs!$B$9+((C1127=TRUE)*(F1127-Calc!F16))+B1136),100)/100)+M1120*(MIN((Inputs!$B$9+((C1127=TRUE)*(F1127-Calc!F16))+B1136),100)/100)</f>
        <v/>
      </c>
      <c r="O1120">
        <f>(1-Summary!$B$55)*T1120+Summary!$B$55*V1120</f>
        <v/>
      </c>
      <c r="P1120">
        <f>IF(B1146=0,0,O1120/B1146)</f>
        <v/>
      </c>
      <c r="Q1120">
        <f>IFERROR(1/IF(Inputs!$B$38="pvp",15,MAX(0.1,Skills!D9-IF(Skills!E9=TRUE,1.5,0))),0)</f>
        <v/>
      </c>
      <c r="R1120">
        <f>IF(AND(Inputs!$B$38&lt;&gt;"pvp",Inputs!$B$43&gt;0),IF(MAX(0,Inputs!$B$43-B1143)&lt;=0,0,(INT(MAX(0,Inputs!$B$43-B1143)/IF(Inputs!$B$38="pvp",15,MAX(0.1,Skills!D9-IF(Skills!E9=TRUE,1.5,0))))+1)),0)</f>
        <v/>
      </c>
      <c r="S1120">
        <f>IFERROR(O1120/N1120,0)</f>
        <v/>
      </c>
      <c r="T1120">
        <f>IF(C1120,(H1120*N1120*IF(AND(Inputs!$B$38&lt;&gt;"pvp",Inputs!$B$43&gt;0),((Skills!G9*((R1120-1)*IF(Skills!H9&gt;0,Skills!I9/Skills!H9,1)+IF(Skills!H9&gt;0,MIN(Skills!I9,MAX(0,MAX(0,Inputs!$B$43-B1143)-((R1120-1)*IF(Inputs!$B$38="pvp",15,MAX(0.1,Skills!D9-IF(Skills!E9=TRUE,1.5,0))))))/Skills!H9,1)))/Inputs!$B$43),G1120*Q1120))*IF(Inputs!$B$38="pvp",1,1+(Inputs!$B$20+0+Skills!P9)/100),0)</f>
        <v/>
      </c>
      <c r="V1120">
        <f>IF(C1120,(H1120*N1120*IF(AND(Inputs!$B$38&lt;&gt;"pvp",Inputs!$B$43&gt;0),((Skills!G9*((R1120-1)*IF(Skills!H9&gt;0,Skills!I9/Skills!H9,1)+IF(Skills!H9&gt;0,MIN(Skills!I9,MAX(0,MAX(0,Inputs!$B$43-B1143)-((R1120-1)*IF(Inputs!$B$38="pvp",15,MAX(0.1,Skills!D9-IF(Skills!E9=TRUE,1.5,0))))))/Skills!H9,1)))/Inputs!$B$43),G1120*Q1120))*IF(Inputs!$B$38="pvp",1,(1+(Inputs!$B$21+Skills!Q9)/100)*(MIN(Skills!R9,Inputs!$B$37))),0)</f>
        <v/>
      </c>
    </row>
    <row r="1121">
      <c r="A1121">
        <f>Skills!A10</f>
        <v/>
      </c>
      <c r="B1121">
        <f>Skills!B10</f>
        <v/>
      </c>
      <c r="C1121">
        <f>Inputs!$B$3&gt;=103</f>
        <v/>
      </c>
      <c r="D1121">
        <f>IF(Skills!C10=1,60+Inputs!$B$25+Inputs!$B$29,IF(Skills!C10=2,90+Inputs!$B$26+Inputs!$B$29,IF(Skills!C10=3,120+Inputs!$B$27+Inputs!$B$29,MAX(0,(Inputs!$B$3-100)*3)+Inputs!$B$28+Inputs!$B$29)))</f>
        <v/>
      </c>
      <c r="E1121">
        <f>INDEX(FactorTable!$B$2:$Y$301, MATCH(ROUND(MIN(300,MAX(1,D1121)),0), FactorTable!$A$2:$A$301,0), Skills!M10+1)</f>
        <v/>
      </c>
      <c r="F1121">
        <f>IF(Skills!N10=TRUE,(Skills!L10/10)*(E1121/1000),Skills!L10/10)+Skills!O10</f>
        <v/>
      </c>
      <c r="G1121">
        <f>Skills!G10*IF(Skills!H10&gt;0,Skills!I10/Skills!H10,1)</f>
        <v/>
      </c>
      <c r="H1121">
        <f>1-(1-Skills!J10/100)^Skills!K10</f>
        <v/>
      </c>
      <c r="I1121" t="inlineStr">
        <is>
          <t>1</t>
        </is>
      </c>
      <c r="J1121">
        <f>((Inputs!$B$6*(1+Inputs!$B$7/100))+(((Inputs!$B$12*(1+Inputs!$B$13/100))-(Inputs!$B$12*(1+Inputs!$B$13/100)))+0.25*(Inputs!$B$14-Inputs!$B$14))*(1+Inputs!$B$7/100))*(F1121/100)</f>
        <v/>
      </c>
      <c r="K1121">
        <f>J1121*(1+((Inputs!$B$12*(1+Inputs!$B$13/100))*0.01+Inputs!$B$14*0.0025)/100)*(1+Inputs!$B$15/100)*(1+Inputs!$B$16/100)*(5000/(6000+Inputs!$B$42*(1-(Inputs!$B$19+0)/100)))*(1+(Inputs!$B$24+((C1133=TRUE)*(F1133-Calc!F22))+B1142)/100)*(1+(IF(Skills!A10="HOOK_BOMBER",Inputs!$B$17+((C1132=TRUE)*(F1132-Calc!F21)),Inputs!$B$18+0))/100)*((1+(((C1124=TRUE)*F1124)+((C1130=TRUE)*(F1130-Calc!F19)))/100)*I1121)</f>
        <v/>
      </c>
      <c r="L1121">
        <f>K1121*(MIN(Inputs!$B$22+((C1131=TRUE)*(F1131-Calc!F20)),Inputs!$B$23+0)/100+(Inputs!$B$23+0)/100)/2</f>
        <v/>
      </c>
      <c r="M1121">
        <f>L1121*(1+(Inputs!$B$10+0+B1141)/100)</f>
        <v/>
      </c>
      <c r="N1121">
        <f>L1121*(1-MIN((Inputs!$B$9+((C1127=TRUE)*(F1127-Calc!F16))+B1136),100)/100)+M1121*(MIN((Inputs!$B$9+((C1127=TRUE)*(F1127-Calc!F16))+B1136),100)/100)</f>
        <v/>
      </c>
      <c r="O1121">
        <f>(1-Summary!$B$55)*T1121+Summary!$B$55*V1121</f>
        <v/>
      </c>
      <c r="P1121">
        <f>IF(B1146=0,0,O1121/B1146)</f>
        <v/>
      </c>
      <c r="Q1121">
        <f>IFERROR(1/IF(Inputs!$B$38="pvp",15,MAX(0.1,Skills!D10-IF(Skills!E10=TRUE,1.5,0))),0)</f>
        <v/>
      </c>
      <c r="R1121">
        <f>IF(AND(Inputs!$B$38&lt;&gt;"pvp",Inputs!$B$43&gt;0),IF(MAX(0,Inputs!$B$43-B1143)&lt;=0,0,(INT(MAX(0,Inputs!$B$43-B1143)/IF(Inputs!$B$38="pvp",15,MAX(0.1,Skills!D10-IF(Skills!E10=TRUE,1.5,0))))+1)),0)</f>
        <v/>
      </c>
      <c r="S1121">
        <f>IFERROR(O1121/N1121,0)</f>
        <v/>
      </c>
      <c r="T1121">
        <f>IF(C1121,(H1121*N1121*IF(AND(Inputs!$B$38&lt;&gt;"pvp",Inputs!$B$43&gt;0),((Skills!G10*((R1121-1)*IF(Skills!H10&gt;0,Skills!I10/Skills!H10,1)+IF(Skills!H10&gt;0,MIN(Skills!I10,MAX(0,MAX(0,Inputs!$B$43-B1143)-((R1121-1)*IF(Inputs!$B$38="pvp",15,MAX(0.1,Skills!D10-IF(Skills!E10=TRUE,1.5,0))))))/Skills!H10,1)))/Inputs!$B$43),G1121*Q1121))*IF(Inputs!$B$38="pvp",1,1+(Inputs!$B$20+0+Skills!P10)/100),0)</f>
        <v/>
      </c>
      <c r="V1121">
        <f>IF(C1121,(H1121*N1121*IF(AND(Inputs!$B$38&lt;&gt;"pvp",Inputs!$B$43&gt;0),((Skills!G10*((R1121-1)*IF(Skills!H10&gt;0,Skills!I10/Skills!H10,1)+IF(Skills!H10&gt;0,MIN(Skills!I10,MAX(0,MAX(0,Inputs!$B$43-B1143)-((R1121-1)*IF(Inputs!$B$38="pvp",15,MAX(0.1,Skills!D10-IF(Skills!E10=TRUE,1.5,0))))))/Skills!H10,1)))/Inputs!$B$43),G1121*Q1121))*IF(Inputs!$B$38="pvp",1,(1+(Inputs!$B$21+Skills!Q10)/100)*(MIN(Skills!R10,Inputs!$B$37))),0)</f>
        <v/>
      </c>
    </row>
    <row r="1122">
      <c r="A1122">
        <f>Skills!A11</f>
        <v/>
      </c>
      <c r="B1122">
        <f>Skills!B11</f>
        <v/>
      </c>
      <c r="C1122">
        <f>Inputs!$B$3&gt;=113</f>
        <v/>
      </c>
      <c r="D1122">
        <f>IF(Skills!C11=1,60+Inputs!$B$25+Inputs!$B$29,IF(Skills!C11=2,90+Inputs!$B$26+Inputs!$B$29,IF(Skills!C11=3,120+Inputs!$B$27+Inputs!$B$29,MAX(0,(Inputs!$B$3-100)*3)+Inputs!$B$28+Inputs!$B$29)))</f>
        <v/>
      </c>
      <c r="E1122">
        <f>INDEX(FactorTable!$B$2:$Y$301, MATCH(ROUND(MIN(300,MAX(1,D1122)),0), FactorTable!$A$2:$A$301,0), Skills!M11+1)</f>
        <v/>
      </c>
      <c r="F1122">
        <f>IF(Skills!N11=TRUE,(Skills!L11/10)*(E1122/1000),Skills!L11/10)+Skills!O11</f>
        <v/>
      </c>
      <c r="G1122">
        <f>Skills!G11*IF(Skills!H11&gt;0,Skills!I11/Skills!H11,1)</f>
        <v/>
      </c>
      <c r="H1122">
        <f>1-(1-Skills!J11/100)^Skills!K11</f>
        <v/>
      </c>
      <c r="I1122" t="inlineStr">
        <is>
          <t>1</t>
        </is>
      </c>
      <c r="J1122">
        <f>((Inputs!$B$6*(1+Inputs!$B$7/100))+(((Inputs!$B$12*(1+Inputs!$B$13/100))-(Inputs!$B$12*(1+Inputs!$B$13/100)))+0.25*(Inputs!$B$14-Inputs!$B$14))*(1+Inputs!$B$7/100))*(F1122/100)</f>
        <v/>
      </c>
      <c r="K1122">
        <f>J1122*(1+((Inputs!$B$12*(1+Inputs!$B$13/100))*0.01+Inputs!$B$14*0.0025)/100)*(1+Inputs!$B$15/100)*(1+Inputs!$B$16/100)*(5000/(6000+Inputs!$B$42*(1-(Inputs!$B$19+0)/100)))*(1+(Inputs!$B$24+((C1133=TRUE)*(F1133-Calc!F22))+B1142)/100)*(1+(IF(Skills!A11="HOOK_BOMBER",Inputs!$B$17+((C1132=TRUE)*(F1132-Calc!F21)),Inputs!$B$18+0))/100)*((1+(((C1124=TRUE)*F1124)+((C1130=TRUE)*(F1130-Calc!F19)))/100)*I1122)</f>
        <v/>
      </c>
      <c r="L1122">
        <f>K1122*(MIN(Inputs!$B$22+((C1131=TRUE)*(F1131-Calc!F20)),Inputs!$B$23+0)/100+(Inputs!$B$23+0)/100)/2</f>
        <v/>
      </c>
      <c r="M1122">
        <f>L1122*(1+(Inputs!$B$10+0+B1141)/100)</f>
        <v/>
      </c>
      <c r="N1122">
        <f>L1122*(1-MIN((Inputs!$B$9+((C1127=TRUE)*(F1127-Calc!F16))+B1136),100)/100)+M1122*(MIN((Inputs!$B$9+((C1127=TRUE)*(F1127-Calc!F16))+B1136),100)/100)</f>
        <v/>
      </c>
      <c r="O1122">
        <f>(1-Summary!$B$55)*T1122+Summary!$B$55*V1122</f>
        <v/>
      </c>
      <c r="P1122">
        <f>IF(B1146=0,0,O1122/B1146)</f>
        <v/>
      </c>
      <c r="Q1122">
        <f>IFERROR(1/IF(Inputs!$B$38="pvp",15,MAX(0.1,Skills!D11-IF(Skills!E11=TRUE,1.5,0))),0)</f>
        <v/>
      </c>
      <c r="R1122">
        <f>IF(AND(Inputs!$B$38&lt;&gt;"pvp",Inputs!$B$43&gt;0),IF(MAX(0,Inputs!$B$43-B1143)&lt;=0,0,(INT(MAX(0,Inputs!$B$43-B1143)/IF(Inputs!$B$38="pvp",15,MAX(0.1,Skills!D11-IF(Skills!E11=TRUE,1.5,0))))+1)),0)</f>
        <v/>
      </c>
      <c r="S1122">
        <f>IFERROR(O1122/N1122,0)</f>
        <v/>
      </c>
      <c r="T1122">
        <f>IF(C1122,(H1122*N1122*IF(AND(Inputs!$B$38&lt;&gt;"pvp",Inputs!$B$43&gt;0),((Skills!G11*((R1122-1)*IF(Skills!H11&gt;0,Skills!I11/Skills!H11,1)+IF(Skills!H11&gt;0,MIN(Skills!I11,MAX(0,MAX(0,Inputs!$B$43-B1143)-((R1122-1)*IF(Inputs!$B$38="pvp",15,MAX(0.1,Skills!D11-IF(Skills!E11=TRUE,1.5,0))))))/Skills!H11,1)))/Inputs!$B$43),G1122*Q1122))*IF(Inputs!$B$38="pvp",1,1+(Inputs!$B$20+0+Skills!P11)/100),0)</f>
        <v/>
      </c>
      <c r="V1122">
        <f>IF(C1122,(H1122*N1122*IF(AND(Inputs!$B$38&lt;&gt;"pvp",Inputs!$B$43&gt;0),((Skills!G11*((R1122-1)*IF(Skills!H11&gt;0,Skills!I11/Skills!H11,1)+IF(Skills!H11&gt;0,MIN(Skills!I11,MAX(0,MAX(0,Inputs!$B$43-B1143)-((R1122-1)*IF(Inputs!$B$38="pvp",15,MAX(0.1,Skills!D11-IF(Skills!E11=TRUE,1.5,0))))))/Skills!H11,1)))/Inputs!$B$43),G1122*Q1122))*IF(Inputs!$B$38="pvp",1,(1+(Inputs!$B$21+Skills!Q11)/100)*(MIN(Skills!R11,Inputs!$B$37))),0)</f>
        <v/>
      </c>
    </row>
    <row r="1123">
      <c r="A1123">
        <f>Skills!A12</f>
        <v/>
      </c>
      <c r="B1123">
        <f>Skills!B12</f>
        <v/>
      </c>
      <c r="C1123">
        <f>Inputs!$B$3&gt;=100</f>
        <v/>
      </c>
      <c r="D1123">
        <f>IF(Skills!C12=1,60+Inputs!$B$25+Inputs!$B$29,IF(Skills!C12=2,90+Inputs!$B$26+Inputs!$B$29,IF(Skills!C12=3,120+Inputs!$B$27+Inputs!$B$29,MAX(0,(Inputs!$B$3-100)*3)+Inputs!$B$28+Inputs!$B$29)))</f>
        <v/>
      </c>
      <c r="E1123">
        <f>INDEX(FactorTable!$B$2:$Y$301, MATCH(ROUND(MIN(300,MAX(1,D1123)),0), FactorTable!$A$2:$A$301,0), Skills!M12+1)</f>
        <v/>
      </c>
      <c r="F1123">
        <f>IF(Skills!N12=TRUE,(Skills!L12/10)*(E1123/1000),Skills!L12/10)+Skills!O12</f>
        <v/>
      </c>
      <c r="G1123" t="inlineStr"/>
      <c r="H1123" t="inlineStr"/>
      <c r="I1123" t="inlineStr">
        <is>
          <t>1</t>
        </is>
      </c>
      <c r="J1123" t="inlineStr"/>
      <c r="K1123" t="inlineStr"/>
      <c r="L1123" t="inlineStr"/>
      <c r="M1123" t="inlineStr"/>
      <c r="N1123" t="inlineStr"/>
      <c r="O1123" t="inlineStr"/>
      <c r="P1123" t="inlineStr"/>
      <c r="Q1123" t="inlineStr"/>
      <c r="R1123" t="inlineStr"/>
      <c r="S1123" t="inlineStr"/>
      <c r="T1123" t="inlineStr"/>
      <c r="V1123" t="inlineStr"/>
    </row>
    <row r="1124">
      <c r="A1124">
        <f>Skills!A13</f>
        <v/>
      </c>
      <c r="B1124">
        <f>Skills!B13</f>
        <v/>
      </c>
      <c r="C1124">
        <f>Inputs!$B$3&gt;=66</f>
        <v/>
      </c>
      <c r="D1124">
        <f>IF(Skills!C13=1,60+Inputs!$B$25+Inputs!$B$29,IF(Skills!C13=2,90+Inputs!$B$26+Inputs!$B$29,IF(Skills!C13=3,120+Inputs!$B$27+Inputs!$B$29,MAX(0,(Inputs!$B$3-100)*3)+Inputs!$B$28+Inputs!$B$29)))</f>
        <v/>
      </c>
      <c r="E1124">
        <f>INDEX(FactorTable!$B$2:$Y$301, MATCH(ROUND(MIN(300,MAX(1,D1124)),0), FactorTable!$A$2:$A$301,0), Skills!M13+1)</f>
        <v/>
      </c>
      <c r="F1124">
        <f>IF(Skills!N13=TRUE,(Skills!L13/10)*(E1124/1000),Skills!L13/10)+Skills!O13</f>
        <v/>
      </c>
      <c r="G1124">
        <f>Skills!G13*IF(Skills!H13&gt;0,Skills!I13/Skills!H13,1)</f>
        <v/>
      </c>
      <c r="H1124">
        <f>1-(1-Skills!J13/100)^Skills!K13</f>
        <v/>
      </c>
      <c r="I1124" t="inlineStr">
        <is>
          <t>1</t>
        </is>
      </c>
      <c r="J1124" t="inlineStr"/>
      <c r="K1124" t="inlineStr"/>
      <c r="L1124" t="inlineStr"/>
      <c r="M1124" t="inlineStr"/>
      <c r="N1124" t="inlineStr"/>
      <c r="O1124">
        <f>(1-Summary!$B$55)*T1124+Summary!$B$55*V1124</f>
        <v/>
      </c>
      <c r="P1124">
        <f>IF(B1146=0,0,O1124/B1146)</f>
        <v/>
      </c>
      <c r="Q1124" t="n">
        <v>0</v>
      </c>
      <c r="R1124" t="n">
        <v>0</v>
      </c>
      <c r="S1124">
        <f>IFERROR(O1124/N1124,0)</f>
        <v/>
      </c>
      <c r="T1124" t="n">
        <v>0</v>
      </c>
      <c r="V1124" t="n">
        <v>0</v>
      </c>
    </row>
    <row r="1125">
      <c r="A1125">
        <f>Skills!A14</f>
        <v/>
      </c>
      <c r="B1125">
        <f>Skills!B14</f>
        <v/>
      </c>
      <c r="C1125">
        <f>Inputs!$B$3&gt;=107</f>
        <v/>
      </c>
      <c r="D1125">
        <f>IF(Skills!C14=1,60+Inputs!$B$25+Inputs!$B$29,IF(Skills!C14=2,90+Inputs!$B$26+Inputs!$B$29,IF(Skills!C14=3,120+Inputs!$B$27+Inputs!$B$29,MAX(0,(Inputs!$B$3-100)*3)+Inputs!$B$28+Inputs!$B$29)))</f>
        <v/>
      </c>
      <c r="E1125">
        <f>INDEX(FactorTable!$B$2:$Y$301, MATCH(ROUND(MIN(300,MAX(1,D1125)),0), FactorTable!$A$2:$A$301,0), Skills!M14+1)</f>
        <v/>
      </c>
      <c r="F1125">
        <f>IF(Skills!N14=TRUE,(Skills!L14/10)*(E1125/1000),Skills!L14/10)+Skills!O14</f>
        <v/>
      </c>
      <c r="G1125">
        <f>Skills!G14*IF(Skills!H14&gt;0,Skills!I14/Skills!H14,1)</f>
        <v/>
      </c>
      <c r="H1125">
        <f>1-(1-Skills!J14/100)^Skills!K14</f>
        <v/>
      </c>
      <c r="I1125" t="inlineStr">
        <is>
          <t>1</t>
        </is>
      </c>
      <c r="J1125" t="inlineStr"/>
      <c r="K1125" t="inlineStr"/>
      <c r="L1125" t="inlineStr"/>
      <c r="M1125" t="inlineStr"/>
      <c r="N1125" t="inlineStr"/>
      <c r="O1125">
        <f>(1-Summary!$B$55)*T1125+Summary!$B$55*V1125</f>
        <v/>
      </c>
      <c r="P1125">
        <f>IF(B1146=0,0,O1125/B1146)</f>
        <v/>
      </c>
      <c r="Q1125" t="n">
        <v>0</v>
      </c>
      <c r="R1125" t="n">
        <v>0</v>
      </c>
      <c r="S1125">
        <f>IFERROR(O1125/N1125,0)</f>
        <v/>
      </c>
      <c r="T1125" t="n">
        <v>0</v>
      </c>
      <c r="V1125" t="n">
        <v>0</v>
      </c>
    </row>
    <row r="1126">
      <c r="A1126">
        <f>Skills!A15</f>
        <v/>
      </c>
      <c r="B1126">
        <f>Skills!B15</f>
        <v/>
      </c>
      <c r="C1126">
        <f>Inputs!$B$3&gt;=115</f>
        <v/>
      </c>
      <c r="D1126">
        <f>IF(Skills!C15=1,60+Inputs!$B$25+Inputs!$B$29,IF(Skills!C15=2,90+Inputs!$B$26+Inputs!$B$29,IF(Skills!C15=3,120+Inputs!$B$27+Inputs!$B$29,MAX(0,(Inputs!$B$3-100)*3)+Inputs!$B$28+Inputs!$B$29)))</f>
        <v/>
      </c>
      <c r="E1126">
        <f>INDEX(FactorTable!$B$2:$Y$301, MATCH(ROUND(MIN(300,MAX(1,D1126)),0), FactorTable!$A$2:$A$301,0), Skills!M15+1)</f>
        <v/>
      </c>
      <c r="F1126">
        <f>IF(Skills!N15=TRUE,(Skills!L15/10)*(E1126/1000),Skills!L15/10)+Skills!O15</f>
        <v/>
      </c>
      <c r="G1126">
        <f>Skills!G15*IF(Skills!H15&gt;0,Skills!I15/Skills!H15,1)</f>
        <v/>
      </c>
      <c r="H1126">
        <f>1-(1-Skills!J15/100)^Skills!K15</f>
        <v/>
      </c>
      <c r="I1126" t="inlineStr">
        <is>
          <t>1</t>
        </is>
      </c>
      <c r="J1126" t="inlineStr"/>
      <c r="K1126" t="inlineStr"/>
      <c r="L1126" t="inlineStr"/>
      <c r="M1126" t="inlineStr"/>
      <c r="N1126" t="inlineStr"/>
      <c r="O1126">
        <f>(1-Summary!$B$55)*T1126+Summary!$B$55*V1126</f>
        <v/>
      </c>
      <c r="P1126">
        <f>IF(B1146=0,0,O1126/B1146)</f>
        <v/>
      </c>
      <c r="Q1126" t="n">
        <v>0</v>
      </c>
      <c r="R1126" t="n">
        <v>0</v>
      </c>
      <c r="S1126">
        <f>IFERROR(O1126/N1126,0)</f>
        <v/>
      </c>
      <c r="T1126" t="n">
        <v>0</v>
      </c>
      <c r="V1126" t="n">
        <v>0</v>
      </c>
    </row>
    <row r="1127">
      <c r="A1127">
        <f>Skills!A16</f>
        <v/>
      </c>
      <c r="B1127">
        <f>Skills!B16</f>
        <v/>
      </c>
      <c r="C1127">
        <f>Inputs!$B$3&gt;=15</f>
        <v/>
      </c>
      <c r="D1127">
        <f>IF(Skills!C16=1,60+Inputs!$B$25+Inputs!$B$29,IF(Skills!C16=2,90+Inputs!$B$26+Inputs!$B$29,IF(Skills!C16=3,120+Inputs!$B$27+Inputs!$B$29,MAX(0,(Inputs!$B$3-100)*3)+Inputs!$B$28+Inputs!$B$29)))</f>
        <v/>
      </c>
      <c r="E1127">
        <f>INDEX(FactorTable!$B$2:$Y$301, MATCH(ROUND(MIN(300,MAX(1,D1127)),0), FactorTable!$A$2:$A$301,0), Skills!M16+1)</f>
        <v/>
      </c>
      <c r="F1127">
        <f>IF(Skills!N16=TRUE,(Skills!L16/10)*(E1127/1000),Skills!L16/10)+Skills!O16</f>
        <v/>
      </c>
      <c r="G1127">
        <f>Skills!G16*IF(Skills!H16&gt;0,Skills!I16/Skills!H16,1)</f>
        <v/>
      </c>
      <c r="H1127">
        <f>1-(1-Skills!J16/100)^Skills!K16</f>
        <v/>
      </c>
      <c r="I1127" t="inlineStr">
        <is>
          <t>1</t>
        </is>
      </c>
      <c r="J1127" t="inlineStr"/>
      <c r="K1127" t="inlineStr"/>
      <c r="L1127" t="inlineStr"/>
      <c r="M1127" t="inlineStr"/>
      <c r="N1127" t="inlineStr"/>
      <c r="O1127">
        <f>(1-Summary!$B$55)*T1127+Summary!$B$55*V1127</f>
        <v/>
      </c>
      <c r="P1127">
        <f>IF(B1146=0,0,O1127/B1146)</f>
        <v/>
      </c>
      <c r="Q1127" t="n">
        <v>0</v>
      </c>
      <c r="R1127" t="n">
        <v>0</v>
      </c>
      <c r="S1127">
        <f>IFERROR(O1127/N1127,0)</f>
        <v/>
      </c>
      <c r="T1127" t="n">
        <v>0</v>
      </c>
      <c r="V1127" t="n">
        <v>0</v>
      </c>
    </row>
    <row r="1128">
      <c r="A1128">
        <f>Skills!A17</f>
        <v/>
      </c>
      <c r="B1128">
        <f>Skills!B17</f>
        <v/>
      </c>
      <c r="C1128">
        <f>Inputs!$B$3&gt;=10</f>
        <v/>
      </c>
      <c r="D1128">
        <f>IF(Skills!C17=1,60+Inputs!$B$25+Inputs!$B$29,IF(Skills!C17=2,90+Inputs!$B$26+Inputs!$B$29,IF(Skills!C17=3,120+Inputs!$B$27+Inputs!$B$29,MAX(0,(Inputs!$B$3-100)*3)+Inputs!$B$28+Inputs!$B$29)))</f>
        <v/>
      </c>
      <c r="E1128">
        <f>INDEX(FactorTable!$B$2:$Y$301, MATCH(ROUND(MIN(300,MAX(1,D1128)),0), FactorTable!$A$2:$A$301,0), Skills!M17+1)</f>
        <v/>
      </c>
      <c r="F1128">
        <f>IF(Skills!N17=TRUE,(Skills!L17/10)*(E1128/1000),Skills!L17/10)+Skills!O17</f>
        <v/>
      </c>
      <c r="G1128">
        <f>Skills!G17*IF(Skills!H17&gt;0,Skills!I17/Skills!H17,1)</f>
        <v/>
      </c>
      <c r="H1128">
        <f>1-(1-Skills!J17/100)^Skills!K17</f>
        <v/>
      </c>
      <c r="I1128" t="inlineStr">
        <is>
          <t>1</t>
        </is>
      </c>
      <c r="J1128" t="inlineStr"/>
      <c r="K1128" t="inlineStr"/>
      <c r="L1128" t="inlineStr"/>
      <c r="M1128" t="inlineStr"/>
      <c r="N1128" t="inlineStr"/>
      <c r="O1128">
        <f>(1-Summary!$B$55)*T1128+Summary!$B$55*V1128</f>
        <v/>
      </c>
      <c r="P1128">
        <f>IF(B1146=0,0,O1128/B1146)</f>
        <v/>
      </c>
      <c r="Q1128" t="n">
        <v>0</v>
      </c>
      <c r="R1128" t="n">
        <v>0</v>
      </c>
      <c r="S1128">
        <f>IFERROR(O1128/N1128,0)</f>
        <v/>
      </c>
      <c r="T1128" t="n">
        <v>0</v>
      </c>
      <c r="V1128" t="n">
        <v>0</v>
      </c>
    </row>
    <row r="1129">
      <c r="A1129">
        <f>Skills!A18</f>
        <v/>
      </c>
      <c r="B1129">
        <f>Skills!B18</f>
        <v/>
      </c>
      <c r="C1129">
        <f>Inputs!$B$3&gt;=33</f>
        <v/>
      </c>
      <c r="D1129">
        <f>IF(Skills!C18=1,60+Inputs!$B$25+Inputs!$B$29,IF(Skills!C18=2,90+Inputs!$B$26+Inputs!$B$29,IF(Skills!C18=3,120+Inputs!$B$27+Inputs!$B$29,MAX(0,(Inputs!$B$3-100)*3)+Inputs!$B$28+Inputs!$B$29)))</f>
        <v/>
      </c>
      <c r="E1129">
        <f>INDEX(FactorTable!$B$2:$Y$301, MATCH(ROUND(MIN(300,MAX(1,D1129)),0), FactorTable!$A$2:$A$301,0), Skills!M18+1)</f>
        <v/>
      </c>
      <c r="F1129">
        <f>IF(Skills!N18=TRUE,(Skills!L18/10)*(E1129/1000),Skills!L18/10)+Skills!O18</f>
        <v/>
      </c>
      <c r="G1129">
        <f>Skills!G18*IF(Skills!H18&gt;0,Skills!I18/Skills!H18,1)</f>
        <v/>
      </c>
      <c r="H1129">
        <f>1-(1-Skills!J18/100)^Skills!K18</f>
        <v/>
      </c>
      <c r="I1129" t="inlineStr">
        <is>
          <t>1</t>
        </is>
      </c>
      <c r="J1129" t="inlineStr"/>
      <c r="K1129" t="inlineStr"/>
      <c r="L1129" t="inlineStr"/>
      <c r="M1129" t="inlineStr"/>
      <c r="N1129" t="inlineStr"/>
      <c r="O1129">
        <f>(1-Summary!$B$55)*T1129+Summary!$B$55*V1129</f>
        <v/>
      </c>
      <c r="P1129">
        <f>IF(B1146=0,0,O1129/B1146)</f>
        <v/>
      </c>
      <c r="Q1129" t="n">
        <v>0</v>
      </c>
      <c r="R1129" t="n">
        <v>0</v>
      </c>
      <c r="S1129">
        <f>IFERROR(O1129/N1129,0)</f>
        <v/>
      </c>
      <c r="T1129" t="n">
        <v>0</v>
      </c>
      <c r="V1129" t="n">
        <v>0</v>
      </c>
    </row>
    <row r="1130">
      <c r="A1130">
        <f>Skills!A19</f>
        <v/>
      </c>
      <c r="B1130">
        <f>Skills!B19</f>
        <v/>
      </c>
      <c r="C1130">
        <f>Inputs!$B$3&gt;=40</f>
        <v/>
      </c>
      <c r="D1130">
        <f>IF(Skills!C19=1,60+Inputs!$B$25+Inputs!$B$29,IF(Skills!C19=2,90+Inputs!$B$26+Inputs!$B$29,IF(Skills!C19=3,120+Inputs!$B$27+Inputs!$B$29,MAX(0,(Inputs!$B$3-100)*3)+Inputs!$B$28+Inputs!$B$29)))</f>
        <v/>
      </c>
      <c r="E1130">
        <f>INDEX(FactorTable!$B$2:$Y$301, MATCH(ROUND(MIN(300,MAX(1,D1130)),0), FactorTable!$A$2:$A$301,0), Skills!M19+1)</f>
        <v/>
      </c>
      <c r="F1130">
        <f>IF(Skills!N19=TRUE,(Skills!L19/10)*(E1130/1000),Skills!L19/10)+Skills!O19</f>
        <v/>
      </c>
      <c r="G1130">
        <f>Skills!G19*IF(Skills!H19&gt;0,Skills!I19/Skills!H19,1)</f>
        <v/>
      </c>
      <c r="H1130">
        <f>1-(1-Skills!J19/100)^Skills!K19</f>
        <v/>
      </c>
      <c r="I1130" t="inlineStr">
        <is>
          <t>1</t>
        </is>
      </c>
      <c r="J1130" t="inlineStr"/>
      <c r="K1130" t="inlineStr"/>
      <c r="L1130" t="inlineStr"/>
      <c r="M1130" t="inlineStr"/>
      <c r="N1130" t="inlineStr"/>
      <c r="O1130">
        <f>(1-Summary!$B$55)*T1130+Summary!$B$55*V1130</f>
        <v/>
      </c>
      <c r="P1130">
        <f>IF(B1146=0,0,O1130/B1146)</f>
        <v/>
      </c>
      <c r="Q1130" t="n">
        <v>0</v>
      </c>
      <c r="R1130" t="n">
        <v>0</v>
      </c>
      <c r="S1130">
        <f>IFERROR(O1130/N1130,0)</f>
        <v/>
      </c>
      <c r="T1130" t="n">
        <v>0</v>
      </c>
      <c r="V1130" t="n">
        <v>0</v>
      </c>
    </row>
    <row r="1131">
      <c r="A1131">
        <f>Skills!A20</f>
        <v/>
      </c>
      <c r="B1131">
        <f>Skills!B20</f>
        <v/>
      </c>
      <c r="C1131">
        <f>Inputs!$B$3&gt;=43</f>
        <v/>
      </c>
      <c r="D1131">
        <f>IF(Skills!C20=1,60+Inputs!$B$25+Inputs!$B$29,IF(Skills!C20=2,90+Inputs!$B$26+Inputs!$B$29,IF(Skills!C20=3,120+Inputs!$B$27+Inputs!$B$29,MAX(0,(Inputs!$B$3-100)*3)+Inputs!$B$28+Inputs!$B$29)))</f>
        <v/>
      </c>
      <c r="E1131">
        <f>INDEX(FactorTable!$B$2:$Y$301, MATCH(ROUND(MIN(300,MAX(1,D1131)),0), FactorTable!$A$2:$A$301,0), Skills!M20+1)</f>
        <v/>
      </c>
      <c r="F1131">
        <f>IF(Skills!N20=TRUE,(Skills!L20/10)*(E1131/1000),Skills!L20/10)+Skills!O20</f>
        <v/>
      </c>
      <c r="G1131">
        <f>Skills!G20*IF(Skills!H20&gt;0,Skills!I20/Skills!H20,1)</f>
        <v/>
      </c>
      <c r="H1131">
        <f>1-(1-Skills!J20/100)^Skills!K20</f>
        <v/>
      </c>
      <c r="I1131" t="inlineStr">
        <is>
          <t>1</t>
        </is>
      </c>
      <c r="J1131" t="inlineStr"/>
      <c r="K1131" t="inlineStr"/>
      <c r="L1131" t="inlineStr"/>
      <c r="M1131" t="inlineStr"/>
      <c r="N1131" t="inlineStr"/>
      <c r="O1131">
        <f>(1-Summary!$B$55)*T1131+Summary!$B$55*V1131</f>
        <v/>
      </c>
      <c r="P1131">
        <f>IF(B1146=0,0,O1131/B1146)</f>
        <v/>
      </c>
      <c r="Q1131" t="n">
        <v>0</v>
      </c>
      <c r="R1131" t="n">
        <v>0</v>
      </c>
      <c r="S1131">
        <f>IFERROR(O1131/N1131,0)</f>
        <v/>
      </c>
      <c r="T1131" t="n">
        <v>0</v>
      </c>
      <c r="V1131" t="n">
        <v>0</v>
      </c>
    </row>
    <row r="1132">
      <c r="A1132">
        <f>Skills!A21</f>
        <v/>
      </c>
      <c r="B1132">
        <f>Skills!B21</f>
        <v/>
      </c>
      <c r="C1132">
        <f>Inputs!$B$3&gt;=38</f>
        <v/>
      </c>
      <c r="D1132">
        <f>IF(Skills!C21=1,60+Inputs!$B$25+Inputs!$B$29,IF(Skills!C21=2,90+Inputs!$B$26+Inputs!$B$29,IF(Skills!C21=3,120+Inputs!$B$27+Inputs!$B$29,MAX(0,(Inputs!$B$3-100)*3)+Inputs!$B$28+Inputs!$B$29)))</f>
        <v/>
      </c>
      <c r="E1132">
        <f>INDEX(FactorTable!$B$2:$Y$301, MATCH(ROUND(MIN(300,MAX(1,D1132)),0), FactorTable!$A$2:$A$301,0), Skills!M21+1)</f>
        <v/>
      </c>
      <c r="F1132">
        <f>IF(Skills!N21=TRUE,(Skills!L21/10)*(E1132/1000),Skills!L21/10)+Skills!O21</f>
        <v/>
      </c>
      <c r="G1132">
        <f>Skills!G21*IF(Skills!H21&gt;0,Skills!I21/Skills!H21,1)</f>
        <v/>
      </c>
      <c r="H1132">
        <f>1-(1-Skills!J21/100)^Skills!K21</f>
        <v/>
      </c>
      <c r="I1132" t="inlineStr">
        <is>
          <t>1</t>
        </is>
      </c>
      <c r="J1132" t="inlineStr"/>
      <c r="K1132" t="inlineStr"/>
      <c r="L1132" t="inlineStr"/>
      <c r="M1132" t="inlineStr"/>
      <c r="N1132" t="inlineStr"/>
      <c r="O1132">
        <f>(1-Summary!$B$55)*T1132+Summary!$B$55*V1132</f>
        <v/>
      </c>
      <c r="P1132">
        <f>IF(B1146=0,0,O1132/B1146)</f>
        <v/>
      </c>
      <c r="Q1132" t="n">
        <v>0</v>
      </c>
      <c r="R1132" t="n">
        <v>0</v>
      </c>
      <c r="S1132">
        <f>IFERROR(O1132/N1132,0)</f>
        <v/>
      </c>
      <c r="T1132" t="n">
        <v>0</v>
      </c>
      <c r="V1132" t="n">
        <v>0</v>
      </c>
    </row>
    <row r="1133">
      <c r="A1133">
        <f>Skills!A22</f>
        <v/>
      </c>
      <c r="B1133">
        <f>Skills!B22</f>
        <v/>
      </c>
      <c r="C1133">
        <f>Inputs!$B$3&gt;=75</f>
        <v/>
      </c>
      <c r="D1133">
        <f>IF(Skills!C22=1,60+Inputs!$B$25+Inputs!$B$29,IF(Skills!C22=2,90+Inputs!$B$26+Inputs!$B$29,IF(Skills!C22=3,120+Inputs!$B$27+Inputs!$B$29,MAX(0,(Inputs!$B$3-100)*3)+Inputs!$B$28+Inputs!$B$29)))</f>
        <v/>
      </c>
      <c r="E1133">
        <f>INDEX(FactorTable!$B$2:$Y$301, MATCH(ROUND(MIN(300,MAX(1,D1133)),0), FactorTable!$A$2:$A$301,0), Skills!M22+1)</f>
        <v/>
      </c>
      <c r="F1133">
        <f>IF(Skills!N22=TRUE,(Skills!L22/10)*(E1133/1000),Skills!L22/10)+Skills!O22</f>
        <v/>
      </c>
      <c r="G1133">
        <f>Skills!G22*IF(Skills!H22&gt;0,Skills!I22/Skills!H22,1)</f>
        <v/>
      </c>
      <c r="H1133">
        <f>1-(1-Skills!J22/100)^Skills!K22</f>
        <v/>
      </c>
      <c r="I1133" t="inlineStr">
        <is>
          <t>1</t>
        </is>
      </c>
      <c r="J1133" t="inlineStr"/>
      <c r="K1133" t="inlineStr"/>
      <c r="L1133" t="inlineStr"/>
      <c r="M1133" t="inlineStr"/>
      <c r="N1133" t="inlineStr"/>
      <c r="O1133">
        <f>(1-Summary!$B$55)*T1133+Summary!$B$55*V1133</f>
        <v/>
      </c>
      <c r="P1133">
        <f>IF(B1146=0,0,O1133/B1146)</f>
        <v/>
      </c>
      <c r="Q1133" t="n">
        <v>0</v>
      </c>
      <c r="R1133" t="n">
        <v>0</v>
      </c>
      <c r="S1133">
        <f>IFERROR(O1133/N1133,0)</f>
        <v/>
      </c>
      <c r="T1133" t="n">
        <v>0</v>
      </c>
      <c r="V1133" t="n">
        <v>0</v>
      </c>
    </row>
    <row r="1135">
      <c r="A1135" t="inlineStr">
        <is>
          <t>Attack% Bucket Multiplier</t>
        </is>
      </c>
      <c r="B1135">
        <f>(1+(((C1124=TRUE)*F1124)+((C1130=TRUE)*(F1130-Calc!F19)))/100)</f>
        <v/>
      </c>
    </row>
    <row r="1136">
      <c r="A1136" t="inlineStr">
        <is>
          <t>Global Crit Rate Bonus %</t>
        </is>
      </c>
      <c r="B1136" t="n">
        <v>0</v>
      </c>
    </row>
    <row r="1137">
      <c r="A1137" t="inlineStr">
        <is>
          <t>Attack Speed Buff Bonus % (unused)</t>
        </is>
      </c>
      <c r="B1137" t="n">
        <v>0</v>
      </c>
    </row>
    <row r="1138">
      <c r="A1138" t="inlineStr">
        <is>
          <t>Actions Per Second</t>
        </is>
      </c>
      <c r="B1138">
        <f>1+MIN(150,150*(1-(1-(Inputs!$B$11+((C1128=TRUE)*(F1128-Calc!F17))+((C1129=TRUE)*(F1129-Calc!F18)))/150)*(1-B1137/150)))/100</f>
        <v/>
      </c>
    </row>
    <row r="1139">
      <c r="A1139" t="inlineStr">
        <is>
          <t>Skill + Buff Cast Rate</t>
        </is>
      </c>
      <c r="B1139">
        <f>IF(AND(Inputs!$B$38&lt;&gt;"pvp",Inputs!$B$43&gt;0),SUMPRODUCT((Skills!E2:E22=TRUE)*(C1113:C1133=TRUE)*R1113:R1133*Skills!F2:F22)/Inputs!$B$43,SUMPRODUCT((Skills!E2:E22=TRUE)*(C1113:C1133=TRUE)*Q1113:Q1133*Skills!F2:F22))</f>
        <v/>
      </c>
    </row>
    <row r="1140">
      <c r="A1140" t="inlineStr">
        <is>
          <t>Hook Bomber Casts Per Second</t>
        </is>
      </c>
      <c r="B1140">
        <f>MAX(0,B1138-B1139)</f>
        <v/>
      </c>
    </row>
    <row r="1141">
      <c r="A1141" t="inlineStr">
        <is>
          <t>Global Critical Damage Bonus % (unused)</t>
        </is>
      </c>
      <c r="B1141" t="n">
        <v>0</v>
      </c>
    </row>
    <row r="1142">
      <c r="A1142" t="inlineStr">
        <is>
          <t>Global Final Damage Bonus % (Serpent Scale + Crossbones + Time Leap + Speed Infusion)</t>
        </is>
      </c>
      <c r="B1142">
        <f>((C1116=TRUE)*F1116*((10+IF(Inputs!$B$3&gt;=94,5,0))/((10+IF(Inputs!$B$3&gt;=94,5,0))+5/(B1140*(1+IF(Inputs!$B$3&gt;=104,1,0))))))+((C1125=TRUE)*F1125)+((C1126=TRUE)*F1126)+((Inputs!$B$3&gt;=110)*20*(B1138-1))</f>
        <v/>
      </c>
    </row>
    <row r="1143">
      <c r="A1143" t="inlineStr">
        <is>
          <t>Buff-Casting Startup Delay (s, fixed-duration only)</t>
        </is>
      </c>
      <c r="B1143">
        <f>IF(AND(Inputs!$B$38&lt;&gt;"pvp",Inputs!$B$43&gt;0),SUMPRODUCT((Skills!T2:T22&gt;0)*(Skills!E2:E22=TRUE)*(C1113:C1133=TRUE))/B1138,0)</f>
        <v/>
      </c>
    </row>
    <row r="1144">
      <c r="A1144" t="inlineStr">
        <is>
          <t>Boss-Only Total DPS (this block's swept value)</t>
        </is>
      </c>
      <c r="B1144">
        <f>SUM(T1113:T1133)</f>
        <v/>
      </c>
    </row>
    <row r="1145">
      <c r="A1145" t="inlineStr">
        <is>
          <t>Normal-Only Total DPS (this block's swept value)</t>
        </is>
      </c>
      <c r="B1145">
        <f>SUM(V1113:V1133)</f>
        <v/>
      </c>
    </row>
    <row r="1146">
      <c r="A1146" s="5" t="inlineStr">
        <is>
          <t>TOTAL DPS</t>
        </is>
      </c>
      <c r="B1146" s="5">
        <f>SUM(O1113:O1133)</f>
        <v/>
      </c>
    </row>
    <row r="1149">
      <c r="A1149" s="5" t="inlineStr">
        <is>
          <t>Stat: CDR = 2.0s</t>
        </is>
      </c>
    </row>
    <row r="1150">
      <c r="A1150" s="9" t="inlineStr">
        <is>
          <t>Key</t>
        </is>
      </c>
      <c r="B1150" s="9" t="inlineStr">
        <is>
          <t>Name</t>
        </is>
      </c>
      <c r="C1150" s="9" t="inlineStr">
        <is>
          <t>Unlocked</t>
        </is>
      </c>
      <c r="D1150" s="9" t="inlineStr">
        <is>
          <t>InputLevel</t>
        </is>
      </c>
      <c r="E1150" s="9" t="inlineStr">
        <is>
          <t>Factor</t>
        </is>
      </c>
      <c r="F1150" s="9" t="inlineStr">
        <is>
          <t>CoefficientPercent</t>
        </is>
      </c>
      <c r="G1150" s="9" t="inlineStr">
        <is>
          <t>EffectiveHits</t>
        </is>
      </c>
      <c r="H1150" s="9" t="inlineStr">
        <is>
          <t>ProcProbability</t>
        </is>
      </c>
      <c r="I1150" s="9" t="inlineStr">
        <is>
          <t>MapleHeroMultiplier</t>
        </is>
      </c>
      <c r="J1150" s="9" t="inlineStr">
        <is>
          <t>BaseDamage</t>
        </is>
      </c>
      <c r="K1150" s="9" t="inlineStr">
        <is>
          <t>BaseHitDamage</t>
        </is>
      </c>
      <c r="L1150" s="9" t="inlineStr">
        <is>
          <t>NonCritAvg</t>
        </is>
      </c>
      <c r="M1150" s="9" t="inlineStr">
        <is>
          <t>CritAvg</t>
        </is>
      </c>
      <c r="N1150" s="9" t="inlineStr">
        <is>
          <t>ExpectedDamage(perHit)</t>
        </is>
      </c>
      <c r="O1150" s="9" t="inlineStr">
        <is>
          <t>DPS</t>
        </is>
      </c>
      <c r="P1150" s="9" t="inlineStr">
        <is>
          <t>% of Total</t>
        </is>
      </c>
      <c r="Q1150" s="9" t="inlineStr">
        <is>
          <t>InvCooldown</t>
        </is>
      </c>
      <c r="R1150" s="9" t="inlineStr">
        <is>
          <t>CastsInFight</t>
        </is>
      </c>
      <c r="S1150" s="9" t="inlineStr">
        <is>
          <t>HitRate(perSec)</t>
        </is>
      </c>
      <c r="U1150" t="inlineStr">
        <is>
          <t>helpers</t>
        </is>
      </c>
    </row>
    <row r="1151">
      <c r="A1151">
        <f>Skills!A2</f>
        <v/>
      </c>
      <c r="B1151">
        <f>Skills!B2</f>
        <v/>
      </c>
      <c r="C1151">
        <f>Inputs!$B$3&gt;=100</f>
        <v/>
      </c>
      <c r="D1151" t="inlineStr"/>
      <c r="E1151" t="inlineStr"/>
      <c r="F1151">
        <f>U1153+Skills!O2</f>
        <v/>
      </c>
      <c r="G1151">
        <f>Skills!G2*IF(Skills!H2&gt;0,Skills!I2/Skills!H2,1)</f>
        <v/>
      </c>
      <c r="H1151">
        <f>1-(1-Skills!J2/100)^Skills!K2</f>
        <v/>
      </c>
      <c r="I1151" t="inlineStr">
        <is>
          <t>1</t>
        </is>
      </c>
      <c r="J1151">
        <f>((Inputs!$B$6*(1+Inputs!$B$7/100))+(((Inputs!$B$12*(1+Inputs!$B$13/100))-(Inputs!$B$12*(1+Inputs!$B$13/100)))+0.25*(Inputs!$B$14-Inputs!$B$14))*(1+Inputs!$B$7/100))*(F1151/100)</f>
        <v/>
      </c>
      <c r="K1151">
        <f>J1151*(1+((Inputs!$B$12*(1+Inputs!$B$13/100))*0.01+Inputs!$B$14*0.0025)/100)*(1+Inputs!$B$15/100)*(1+Inputs!$B$16/100)*(5000/(6000+Inputs!$B$42*(1-(Inputs!$B$19+0)/100)))*(1+(Inputs!$B$24+((C1171=TRUE)*(F1171-Calc!F22))+B1180)/100)*(1+(IF(Skills!A2="HOOK_BOMBER",Inputs!$B$17+((C1170=TRUE)*(F1170-Calc!F21)),Inputs!$B$18+0))/100)*((1+(((C1162=TRUE)*F1162)+((C1168=TRUE)*(F1168-Calc!F19)))/100)*I1151)</f>
        <v/>
      </c>
      <c r="L1151">
        <f>K1151*(MIN(Inputs!$B$22+((C1169=TRUE)*(F1169-Calc!F20)),Inputs!$B$23+0)/100+(Inputs!$B$23+0)/100)/2</f>
        <v/>
      </c>
      <c r="M1151">
        <f>L1151*(1+(Inputs!$B$10+0+B1179)/100)</f>
        <v/>
      </c>
      <c r="N1151">
        <f>L1151*(1-MIN((Inputs!$B$9+((C1165=TRUE)*(F1165-Calc!F16))+B1174),100)/100)+M1151*(MIN((Inputs!$B$9+((C1165=TRUE)*(F1165-Calc!F16))+B1174),100)/100)</f>
        <v/>
      </c>
      <c r="O1151">
        <f>(1-Summary!$B$55)*T1151+Summary!$B$55*V1151</f>
        <v/>
      </c>
      <c r="P1151">
        <f>IF(B1184=0,0,O1151/B1184)</f>
        <v/>
      </c>
      <c r="Q1151" t="n">
        <v>0</v>
      </c>
      <c r="R1151" t="n">
        <v>0</v>
      </c>
      <c r="S1151">
        <f>IFERROR(O1151/N1151,0)</f>
        <v/>
      </c>
      <c r="T1151">
        <f>IF(C1151,(Skills!G2*N1151*B1178)*IF(Inputs!$B$38="pvp",1,1+(Inputs!$B$20+0+Skills!P2)/100),0)</f>
        <v/>
      </c>
      <c r="U1151">
        <f>MAX(0,(Inputs!$B$3-100)*3)+Inputs!$B$28+Inputs!$B$29</f>
        <v/>
      </c>
      <c r="V1151">
        <f>IF(C1151,(Skills!G2*N1151*B1178)*IF(Inputs!$B$38="pvp",1,(1+(Inputs!$B$21+Skills!Q2)/100)*(MIN((6+Inputs!$B$33),Inputs!$B$37))),0)</f>
        <v/>
      </c>
    </row>
    <row r="1152">
      <c r="A1152">
        <f>Skills!A3</f>
        <v/>
      </c>
      <c r="B1152">
        <f>Skills!B3</f>
        <v/>
      </c>
      <c r="C1152">
        <f>Inputs!$B$3&gt;=35</f>
        <v/>
      </c>
      <c r="D1152">
        <f>IF(Skills!C3=1,60+Inputs!$B$25+Inputs!$B$29,IF(Skills!C3=2,90+Inputs!$B$26+Inputs!$B$29,IF(Skills!C3=3,120+Inputs!$B$27+Inputs!$B$29,MAX(0,(Inputs!$B$3-100)*3)+Inputs!$B$28+Inputs!$B$29)))</f>
        <v/>
      </c>
      <c r="E1152">
        <f>INDEX(FactorTable!$B$2:$Y$301, MATCH(ROUND(MIN(300,MAX(1,D1152)),0), FactorTable!$A$2:$A$301,0), Skills!M3+1)</f>
        <v/>
      </c>
      <c r="F1152">
        <f>IF(Skills!N3=TRUE,(Skills!L3/10)*(E1152/1000),Skills!L3/10)+Skills!O3</f>
        <v/>
      </c>
      <c r="G1152">
        <f>Skills!G3*IF(Skills!H3&gt;0,Skills!I3/Skills!H3,1)</f>
        <v/>
      </c>
      <c r="H1152">
        <f>1-(1-Skills!J3/100)^Skills!K3</f>
        <v/>
      </c>
      <c r="I1152" t="inlineStr">
        <is>
          <t>1</t>
        </is>
      </c>
      <c r="J1152">
        <f>((Inputs!$B$6*(1+Inputs!$B$7/100))+(((Inputs!$B$12*(1+Inputs!$B$13/100))-(Inputs!$B$12*(1+Inputs!$B$13/100)))+0.25*(Inputs!$B$14-Inputs!$B$14))*(1+Inputs!$B$7/100))*(F1152/100)</f>
        <v/>
      </c>
      <c r="K1152">
        <f>J1152*(1+((Inputs!$B$12*(1+Inputs!$B$13/100))*0.01+Inputs!$B$14*0.0025)/100)*(1+Inputs!$B$15/100)*(1+Inputs!$B$16/100)*(5000/(6000+Inputs!$B$42*(1-(Inputs!$B$19+0)/100)))*(1+(Inputs!$B$24+((C1171=TRUE)*(F1171-Calc!F22))+B1180)/100)*(1+(IF(Skills!A3="HOOK_BOMBER",Inputs!$B$17+((C1170=TRUE)*(F1170-Calc!F21)),Inputs!$B$18+0))/100)*((1+(((C1162=TRUE)*F1162)+((C1168=TRUE)*(F1168-Calc!F19)))/100)*I1152)</f>
        <v/>
      </c>
      <c r="L1152">
        <f>K1152*(MIN(Inputs!$B$22+((C1169=TRUE)*(F1169-Calc!F20)),Inputs!$B$23+0)/100+(Inputs!$B$23+0)/100)/2</f>
        <v/>
      </c>
      <c r="M1152">
        <f>L1152*(1+(Inputs!$B$10+0+B1179)/100)</f>
        <v/>
      </c>
      <c r="N1152">
        <f>L1152*(1-MIN((Inputs!$B$9+((C1165=TRUE)*(F1165-Calc!F16))+B1174),100)/100)+M1152*(MIN((Inputs!$B$9+((C1165=TRUE)*(F1165-Calc!F16))+B1174),100)/100)</f>
        <v/>
      </c>
      <c r="O1152">
        <f>(1-Summary!$B$55)*T1152+Summary!$B$55*V1152</f>
        <v/>
      </c>
      <c r="P1152">
        <f>IF(B1184=0,0,O1152/B1184)</f>
        <v/>
      </c>
      <c r="Q1152" t="n">
        <v>0</v>
      </c>
      <c r="R1152" t="n">
        <v>0</v>
      </c>
      <c r="S1152">
        <f>IFERROR(O1152/N1152,0)</f>
        <v/>
      </c>
      <c r="T1152">
        <f>IF(C1152,(Skills!G3*H1152*N1152*B1178)*IF(Inputs!$B$38="pvp",1,1+(Inputs!$B$20+0+Skills!P3)/100),0)</f>
        <v/>
      </c>
      <c r="U1152">
        <f>INDEX(FactorTable!$B$2:$Y$301, MATCH(ROUND(MIN(300,MAX(1,U1151)),0), FactorTable!$A$2:$A$301,0), 22)</f>
        <v/>
      </c>
      <c r="V1152">
        <f>IF(C1152,(Skills!G3*H1152*N1152*B1178)*IF(Inputs!$B$38="pvp",1,(1+(Inputs!$B$21+Skills!Q3)/100)*(MIN(Skills!R3,Inputs!$B$37))),0)</f>
        <v/>
      </c>
    </row>
    <row r="1153">
      <c r="A1153">
        <f>Skills!A4</f>
        <v/>
      </c>
      <c r="B1153">
        <f>Skills!B4</f>
        <v/>
      </c>
      <c r="C1153">
        <f>Inputs!$B$3&gt;=60</f>
        <v/>
      </c>
      <c r="D1153">
        <f>IF(Skills!C4=1,60+Inputs!$B$25+Inputs!$B$29,IF(Skills!C4=2,90+Inputs!$B$26+Inputs!$B$29,IF(Skills!C4=3,120+Inputs!$B$27+Inputs!$B$29,MAX(0,(Inputs!$B$3-100)*3)+Inputs!$B$28+Inputs!$B$29)))</f>
        <v/>
      </c>
      <c r="E1153">
        <f>INDEX(FactorTable!$B$2:$Y$301, MATCH(ROUND(MIN(300,MAX(1,D1153)),0), FactorTable!$A$2:$A$301,0), Skills!M4+1)</f>
        <v/>
      </c>
      <c r="F1153">
        <f>IF(Skills!N4=TRUE,(Skills!L4/10)*(E1153/1000),Skills!L4/10)+Skills!O4</f>
        <v/>
      </c>
      <c r="G1153">
        <f>Skills!G4*IF(Skills!H4&gt;0,Skills!I4/Skills!H4,1)</f>
        <v/>
      </c>
      <c r="H1153">
        <f>1-(1-Skills!J4/100)^Skills!K4</f>
        <v/>
      </c>
      <c r="I1153" t="inlineStr">
        <is>
          <t>1</t>
        </is>
      </c>
      <c r="J1153">
        <f>((Inputs!$B$6*(1+Inputs!$B$7/100))+(((Inputs!$B$12*(1+Inputs!$B$13/100))-(Inputs!$B$12*(1+Inputs!$B$13/100)))+0.25*(Inputs!$B$14-Inputs!$B$14))*(1+Inputs!$B$7/100))*(F1153/100)</f>
        <v/>
      </c>
      <c r="K1153">
        <f>J1153*(1+((Inputs!$B$12*(1+Inputs!$B$13/100))*0.01+Inputs!$B$14*0.0025)/100)*(1+Inputs!$B$15/100)*(1+Inputs!$B$16/100)*(5000/(6000+Inputs!$B$42*(1-(Inputs!$B$19+0)/100)))*(1+(Inputs!$B$24+((C1171=TRUE)*(F1171-Calc!F22))+B1180)/100)*(1+1.0*IF(C1161=TRUE,F1161,0)/100)*(1+(IF(Skills!A4="HOOK_BOMBER",Inputs!$B$17+((C1170=TRUE)*(F1170-Calc!F21)),Inputs!$B$18+0))/100)*((1+(((C1162=TRUE)*F1162)+((C1168=TRUE)*(F1168-Calc!F19)))/100)*I1153)</f>
        <v/>
      </c>
      <c r="L1153">
        <f>K1153*(MIN(Inputs!$B$22+((C1169=TRUE)*(F1169-Calc!F20)),Inputs!$B$23+0)/100+(Inputs!$B$23+0)/100)/2</f>
        <v/>
      </c>
      <c r="M1153">
        <f>L1153*(1+(Inputs!$B$10+0+B1179)/100)</f>
        <v/>
      </c>
      <c r="N1153">
        <f>L1153*(1-MIN((Inputs!$B$9+((C1165=TRUE)*(F1165-Calc!F16))+B1174),100)/100)+M1153*(MIN((Inputs!$B$9+((C1165=TRUE)*(F1165-Calc!F16))+B1174),100)/100)</f>
        <v/>
      </c>
      <c r="O1153">
        <f>(1-Summary!$B$55)*T1153+Summary!$B$55*V1153</f>
        <v/>
      </c>
      <c r="P1153">
        <f>IF(B1184=0,0,O1153/B1184)</f>
        <v/>
      </c>
      <c r="Q1153" t="n">
        <v>0</v>
      </c>
      <c r="R1153" t="n">
        <v>0</v>
      </c>
      <c r="S1153">
        <f>IFERROR(O1153/N1153,0)</f>
        <v/>
      </c>
      <c r="T1153">
        <f>IF(C1153,(Skills!G4*H1153*N1153*B1178)*IF(Inputs!$B$38="pvp",1,1+(Inputs!$B$20+0+Skills!P4)/100),0)</f>
        <v/>
      </c>
      <c r="U1153">
        <f>290*U1152/1000</f>
        <v/>
      </c>
      <c r="V1153">
        <f>IF(C1153,(Skills!G4*H1153*N1153*B1178)*IF(Inputs!$B$38="pvp",1,(1+(Inputs!$B$21+Skills!Q4)/100)*(MIN(Skills!R4,Inputs!$B$37))),0)</f>
        <v/>
      </c>
    </row>
    <row r="1154">
      <c r="A1154">
        <f>Skills!A5</f>
        <v/>
      </c>
      <c r="B1154">
        <f>Skills!B5</f>
        <v/>
      </c>
      <c r="C1154">
        <f>Inputs!$B$3&gt;=60</f>
        <v/>
      </c>
      <c r="D1154">
        <f>IF(Skills!C5=1,60+Inputs!$B$25+Inputs!$B$29,IF(Skills!C5=2,90+Inputs!$B$26+Inputs!$B$29,IF(Skills!C5=3,120+Inputs!$B$27+Inputs!$B$29,MAX(0,(Inputs!$B$3-100)*3)+Inputs!$B$28+Inputs!$B$29)))</f>
        <v/>
      </c>
      <c r="E1154">
        <f>INDEX(FactorTable!$B$2:$Y$301, MATCH(ROUND(MIN(300,MAX(1,D1154)),0), FactorTable!$A$2:$A$301,0), Skills!M5+1)</f>
        <v/>
      </c>
      <c r="F1154">
        <f>IF(Skills!N5=TRUE,(Skills!L5/10)*(E1154/1000),Skills!L5/10)+Skills!O5</f>
        <v/>
      </c>
      <c r="G1154">
        <f>Skills!G5*IF(Skills!H5&gt;0,Skills!I5/Skills!H5,1)</f>
        <v/>
      </c>
      <c r="H1154">
        <f>1-(1-Skills!J5/100)^Skills!K5</f>
        <v/>
      </c>
      <c r="I1154" t="inlineStr">
        <is>
          <t>1</t>
        </is>
      </c>
      <c r="J1154" t="inlineStr"/>
      <c r="K1154" t="inlineStr"/>
      <c r="L1154" t="inlineStr"/>
      <c r="M1154" t="inlineStr"/>
      <c r="N1154" t="inlineStr"/>
      <c r="O1154">
        <f>(1-Summary!$B$55)*T1154+Summary!$B$55*V1154</f>
        <v/>
      </c>
      <c r="P1154">
        <f>IF(B1184=0,0,O1154/B1184)</f>
        <v/>
      </c>
      <c r="Q1154" t="n">
        <v>0</v>
      </c>
      <c r="R1154" t="n">
        <v>0</v>
      </c>
      <c r="S1154">
        <f>IFERROR(O1154/N1154,0)</f>
        <v/>
      </c>
      <c r="T1154" t="n">
        <v>0</v>
      </c>
      <c r="V1154" t="n">
        <v>0</v>
      </c>
    </row>
    <row r="1155">
      <c r="A1155">
        <f>Skills!A6</f>
        <v/>
      </c>
      <c r="B1155">
        <f>Skills!B6</f>
        <v/>
      </c>
      <c r="C1155">
        <f>Inputs!$B$3&gt;=63</f>
        <v/>
      </c>
      <c r="D1155">
        <f>IF(Skills!C6=1,60+Inputs!$B$25+Inputs!$B$29,IF(Skills!C6=2,90+Inputs!$B$26+Inputs!$B$29,IF(Skills!C6=3,120+Inputs!$B$27+Inputs!$B$29,MAX(0,(Inputs!$B$3-100)*3)+Inputs!$B$28+Inputs!$B$29)))</f>
        <v/>
      </c>
      <c r="E1155">
        <f>INDEX(FactorTable!$B$2:$Y$301, MATCH(ROUND(MIN(300,MAX(1,D1155)),0), FactorTable!$A$2:$A$301,0), Skills!M6+1)</f>
        <v/>
      </c>
      <c r="F1155">
        <f>IF(Skills!N6=TRUE,(Skills!L6/10)*(E1155/1000),Skills!L6/10)+Skills!O6</f>
        <v/>
      </c>
      <c r="G1155">
        <f>Skills!G6*IF(Skills!H6&gt;0,Skills!I6/Skills!H6,1)</f>
        <v/>
      </c>
      <c r="H1155">
        <f>1-(1-Skills!J6/100)^Skills!K6</f>
        <v/>
      </c>
      <c r="I1155" t="inlineStr">
        <is>
          <t>1</t>
        </is>
      </c>
      <c r="J1155">
        <f>((Inputs!$B$6*(1+Inputs!$B$7/100))+(((Inputs!$B$12*(1+Inputs!$B$13/100))-(Inputs!$B$12*(1+Inputs!$B$13/100)))+0.25*(Inputs!$B$14-Inputs!$B$14))*(1+Inputs!$B$7/100))*(F1155/100)</f>
        <v/>
      </c>
      <c r="K1155">
        <f>J1155*(1+((Inputs!$B$12*(1+Inputs!$B$13/100))*0.01+Inputs!$B$14*0.0025)/100)*(1+Inputs!$B$15/100)*(1+Inputs!$B$16/100)*(5000/(6000+Inputs!$B$42*(1-(Inputs!$B$19+0)/100)))*(1+(Inputs!$B$24+((C1171=TRUE)*(F1171-Calc!F22))+B1180)/100)*(1+(IF(Skills!A6="HOOK_BOMBER",Inputs!$B$17+((C1170=TRUE)*(F1170-Calc!F21)),Inputs!$B$18+0))/100)*((1+(((C1162=TRUE)*F1162)+((C1168=TRUE)*(F1168-Calc!F19)))/100)*I1155)</f>
        <v/>
      </c>
      <c r="L1155">
        <f>K1155*(MIN(Inputs!$B$22+((C1169=TRUE)*(F1169-Calc!F20)),Inputs!$B$23+0)/100+(Inputs!$B$23+0)/100)/2</f>
        <v/>
      </c>
      <c r="M1155">
        <f>L1155*(1+(Inputs!$B$10+0+B1179)/100)</f>
        <v/>
      </c>
      <c r="N1155">
        <f>L1155*(1-MIN((Inputs!$B$9+((C1165=TRUE)*(F1165-Calc!F16))+B1174),100)/100)+M1155*(MIN((Inputs!$B$9+((C1165=TRUE)*(F1165-Calc!F16))+B1174),100)/100)</f>
        <v/>
      </c>
      <c r="O1155">
        <f>(1-Summary!$B$55)*T1155+Summary!$B$55*V1155</f>
        <v/>
      </c>
      <c r="P1155">
        <f>IF(B1184=0,0,O1155/B1184)</f>
        <v/>
      </c>
      <c r="Q1155">
        <f>IFERROR(1/IF(Inputs!$B$38="pvp",15,MAX(0.1,Skills!D6-IF(Skills!E6=TRUE,2.0,0))),0)</f>
        <v/>
      </c>
      <c r="R1155">
        <f>IF(AND(Inputs!$B$38&lt;&gt;"pvp",Inputs!$B$43&gt;0),IF(MAX(0,Inputs!$B$43-B1181)&lt;=0,0,(INT(MAX(0,Inputs!$B$43-B1181)/IF(Inputs!$B$38="pvp",15,MAX(0.1,Skills!D6-IF(Skills!E6=TRUE,2.0,0))))+1)),0)</f>
        <v/>
      </c>
      <c r="S1155">
        <f>IFERROR(O1155/N1155,0)</f>
        <v/>
      </c>
      <c r="T1155">
        <f>IF(C1155,(H1155*N1155*IF(AND(Inputs!$B$38&lt;&gt;"pvp",Inputs!$B$43&gt;0),((Skills!G6*((R1155-1)*IF(Skills!H6&gt;0,Skills!I6/Skills!H6,1)+IF(Skills!H6&gt;0,MIN(Skills!I6,MAX(0,MAX(0,Inputs!$B$43-B1181)-((R1155-1)*IF(Inputs!$B$38="pvp",15,MAX(0.1,Skills!D6-IF(Skills!E6=TRUE,2.0,0))))))/Skills!H6,1)))/Inputs!$B$43),G1155*Q1155))*IF(Inputs!$B$38="pvp",1,1+(Inputs!$B$20+0+Skills!P6)/100),0)</f>
        <v/>
      </c>
      <c r="V1155">
        <f>IF(C1155,(H1155*N1155*IF(AND(Inputs!$B$38&lt;&gt;"pvp",Inputs!$B$43&gt;0),((Skills!G6*((R1155-1)*IF(Skills!H6&gt;0,Skills!I6/Skills!H6,1)+IF(Skills!H6&gt;0,MIN(Skills!I6,MAX(0,MAX(0,Inputs!$B$43-B1181)-((R1155-1)*IF(Inputs!$B$38="pvp",15,MAX(0.1,Skills!D6-IF(Skills!E6=TRUE,2.0,0))))))/Skills!H6,1)))/Inputs!$B$43),G1155*Q1155))*IF(Inputs!$B$38="pvp",1,(1+(Inputs!$B$21+Skills!Q6)/100)*(MIN(Skills!R6,Inputs!$B$37))),0)</f>
        <v/>
      </c>
    </row>
    <row r="1156">
      <c r="A1156">
        <f>Skills!A7</f>
        <v/>
      </c>
      <c r="B1156">
        <f>Skills!B7</f>
        <v/>
      </c>
      <c r="C1156">
        <f>Inputs!$B$3&gt;=100</f>
        <v/>
      </c>
      <c r="D1156">
        <f>IF(Skills!C7=1,60+Inputs!$B$25+Inputs!$B$29,IF(Skills!C7=2,90+Inputs!$B$26+Inputs!$B$29,IF(Skills!C7=3,120+Inputs!$B$27+Inputs!$B$29,MAX(0,(Inputs!$B$3-100)*3)+Inputs!$B$28+Inputs!$B$29)))</f>
        <v/>
      </c>
      <c r="E1156">
        <f>INDEX(FactorTable!$B$2:$Y$301, MATCH(ROUND(MIN(300,MAX(1,D1156)),0), FactorTable!$A$2:$A$301,0), Skills!M7+1)</f>
        <v/>
      </c>
      <c r="F1156">
        <f>IF(Skills!N7=TRUE,(Skills!L7/10)*(E1156/1000),Skills!L7/10)+Skills!O7</f>
        <v/>
      </c>
      <c r="G1156">
        <f>Skills!G7*IF(Skills!H7&gt;0,Skills!I7/Skills!H7,1)</f>
        <v/>
      </c>
      <c r="H1156">
        <f>1-(1-Skills!J7/100)^Skills!K7</f>
        <v/>
      </c>
      <c r="I1156" t="inlineStr">
        <is>
          <t>1</t>
        </is>
      </c>
      <c r="J1156">
        <f>((Inputs!$B$6*(1+Inputs!$B$7/100))+(((Inputs!$B$12*(1+Inputs!$B$13/100))-(Inputs!$B$12*(1+Inputs!$B$13/100)))+0.25*(Inputs!$B$14-Inputs!$B$14))*(1+Inputs!$B$7/100))*(F1156/100)</f>
        <v/>
      </c>
      <c r="K1156">
        <f>J1156*(1+((Inputs!$B$12*(1+Inputs!$B$13/100))*0.01+Inputs!$B$14*0.0025)/100)*(1+Inputs!$B$15/100)*(1+Inputs!$B$16/100)*(5000/(6000+Inputs!$B$42*(1-(Inputs!$B$19+0)/100)))*(1+(Inputs!$B$24+((C1171=TRUE)*(F1171-Calc!F22))+B1180)/100)*(1+(IF(Skills!A7="HOOK_BOMBER",Inputs!$B$17+((C1170=TRUE)*(F1170-Calc!F21)),Inputs!$B$18+0))/100)*((1+(((C1162=TRUE)*F1162)+((C1168=TRUE)*(F1168-Calc!F19)))/100)*I1156)</f>
        <v/>
      </c>
      <c r="L1156">
        <f>K1156*(MIN(Inputs!$B$22+((C1169=TRUE)*(F1169-Calc!F20)),Inputs!$B$23+0)/100+(Inputs!$B$23+0)/100)/2</f>
        <v/>
      </c>
      <c r="M1156">
        <f>L1156*(1+(Inputs!$B$10+0+B1179)/100)</f>
        <v/>
      </c>
      <c r="N1156">
        <f>L1156*(1-MIN((Inputs!$B$9+((C1165=TRUE)*(F1165-Calc!F16))+B1174),100)/100)+M1156*(MIN((Inputs!$B$9+((C1165=TRUE)*(F1165-Calc!F16))+B1174),100)/100)</f>
        <v/>
      </c>
      <c r="O1156">
        <f>(1-Summary!$B$55)*T1156+Summary!$B$55*V1156</f>
        <v/>
      </c>
      <c r="P1156">
        <f>IF(B1184=0,0,O1156/B1184)</f>
        <v/>
      </c>
      <c r="Q1156">
        <f>IFERROR(1/IF(Inputs!$B$38="pvp",15,MAX(0.1,Skills!D7-IF(Skills!E7=TRUE,2.0,0))),0)</f>
        <v/>
      </c>
      <c r="R1156">
        <f>IF(AND(Inputs!$B$38&lt;&gt;"pvp",Inputs!$B$43&gt;0),IF(MAX(0,Inputs!$B$43-B1181)&lt;=0,0,(INT(MAX(0,Inputs!$B$43-B1181)/IF(Inputs!$B$38="pvp",15,MAX(0.1,Skills!D7-IF(Skills!E7=TRUE,2.0,0))))+1)),0)</f>
        <v/>
      </c>
      <c r="S1156">
        <f>IFERROR(O1156/N1156,0)</f>
        <v/>
      </c>
      <c r="T1156">
        <f>IF(C1156,(H1156*N1156*IF(AND(Inputs!$B$38&lt;&gt;"pvp",Inputs!$B$43&gt;0),((Skills!G7*((R1156-1)*IF(Skills!H7&gt;0,Skills!I7/Skills!H7,1)+IF(Skills!H7&gt;0,MIN(Skills!I7,MAX(0,MAX(0,Inputs!$B$43-B1181)-((R1156-1)*IF(Inputs!$B$38="pvp",15,MAX(0.1,Skills!D7-IF(Skills!E7=TRUE,2.0,0))))))/Skills!H7,1)))/Inputs!$B$43),G1156*Q1156))*IF(Inputs!$B$38="pvp",1,1+(Inputs!$B$20+0+Skills!P7)/100),0)</f>
        <v/>
      </c>
      <c r="V1156">
        <f>IF(C1156,(H1156*N1156*IF(AND(Inputs!$B$38&lt;&gt;"pvp",Inputs!$B$43&gt;0),((Skills!G7*((R1156-1)*IF(Skills!H7&gt;0,Skills!I7/Skills!H7,1)+IF(Skills!H7&gt;0,MIN(Skills!I7,MAX(0,MAX(0,Inputs!$B$43-B1181)-((R1156-1)*IF(Inputs!$B$38="pvp",15,MAX(0.1,Skills!D7-IF(Skills!E7=TRUE,2.0,0))))))/Skills!H7,1)))/Inputs!$B$43),G1156*Q1156))*IF(Inputs!$B$38="pvp",1,(1+(Inputs!$B$21+Skills!Q7)/100)*(MIN(Skills!R7,Inputs!$B$37))),0)</f>
        <v/>
      </c>
    </row>
    <row r="1157">
      <c r="A1157">
        <f>Skills!A8</f>
        <v/>
      </c>
      <c r="B1157">
        <f>Skills!B8</f>
        <v/>
      </c>
      <c r="C1157">
        <f>Inputs!$B$3&gt;=110</f>
        <v/>
      </c>
      <c r="D1157">
        <f>IF(Skills!C8=1,60+Inputs!$B$25+Inputs!$B$29,IF(Skills!C8=2,90+Inputs!$B$26+Inputs!$B$29,IF(Skills!C8=3,120+Inputs!$B$27+Inputs!$B$29,MAX(0,(Inputs!$B$3-100)*3)+Inputs!$B$28+Inputs!$B$29)))</f>
        <v/>
      </c>
      <c r="E1157">
        <f>INDEX(FactorTable!$B$2:$Y$301, MATCH(ROUND(MIN(300,MAX(1,D1157)),0), FactorTable!$A$2:$A$301,0), Skills!M8+1)</f>
        <v/>
      </c>
      <c r="F1157">
        <f>IF(Skills!N8=TRUE,(Skills!L8/10)*(E1157/1000),Skills!L8/10)+Skills!O8</f>
        <v/>
      </c>
      <c r="G1157">
        <f>Skills!G8*IF(Skills!H8&gt;0,Skills!I8/Skills!H8,1)</f>
        <v/>
      </c>
      <c r="H1157">
        <f>1-(1-Skills!J8/100)^Skills!K8</f>
        <v/>
      </c>
      <c r="I1157" t="inlineStr">
        <is>
          <t>1</t>
        </is>
      </c>
      <c r="J1157">
        <f>((Inputs!$B$6*(1+Inputs!$B$7/100))+(((Inputs!$B$12*(1+Inputs!$B$13/100))-(Inputs!$B$12*(1+Inputs!$B$13/100)))+0.25*(Inputs!$B$14-Inputs!$B$14))*(1+Inputs!$B$7/100))*(F1157/100)</f>
        <v/>
      </c>
      <c r="K1157">
        <f>J1157*(1+((Inputs!$B$12*(1+Inputs!$B$13/100))*0.01+Inputs!$B$14*0.0025)/100)*(1+Inputs!$B$15/100)*(1+Inputs!$B$16/100)*(5000/(6000+Inputs!$B$42*(1-(Inputs!$B$19+0)/100)))*(1+(Inputs!$B$24+((C1171=TRUE)*(F1171-Calc!F22))+B1180)/100)*(1+(IF(Skills!A8="HOOK_BOMBER",Inputs!$B$17+((C1170=TRUE)*(F1170-Calc!F21)),Inputs!$B$18+0))/100)*((1+(((C1162=TRUE)*F1162)+((C1168=TRUE)*(F1168-Calc!F19)))/100)*I1157)</f>
        <v/>
      </c>
      <c r="L1157">
        <f>K1157*(MIN(Inputs!$B$22+((C1169=TRUE)*(F1169-Calc!F20)),Inputs!$B$23+0)/100+(Inputs!$B$23+0)/100)/2</f>
        <v/>
      </c>
      <c r="M1157">
        <f>L1157*(1+(Inputs!$B$10+0+B1179)/100)</f>
        <v/>
      </c>
      <c r="N1157">
        <f>L1157*(1-MIN((Inputs!$B$9+((C1165=TRUE)*(F1165-Calc!F16))+B1174),100)/100)+M1157*(MIN((Inputs!$B$9+((C1165=TRUE)*(F1165-Calc!F16))+B1174),100)/100)</f>
        <v/>
      </c>
      <c r="O1157">
        <f>(1-Summary!$B$55)*T1157+Summary!$B$55*V1157</f>
        <v/>
      </c>
      <c r="P1157">
        <f>IF(B1184=0,0,O1157/B1184)</f>
        <v/>
      </c>
      <c r="Q1157">
        <f>IFERROR(1/IF(Inputs!$B$38="pvp",15,MAX(0.1,Skills!D8-IF(Skills!E8=TRUE,2.0,0))),0)</f>
        <v/>
      </c>
      <c r="R1157">
        <f>IF(AND(Inputs!$B$38&lt;&gt;"pvp",Inputs!$B$43&gt;0),IF(MAX(0,Inputs!$B$43-B1181)&lt;=0,0,(INT(MAX(0,Inputs!$B$43-B1181)/IF(Inputs!$B$38="pvp",15,MAX(0.1,Skills!D8-IF(Skills!E8=TRUE,2.0,0))))+1)),0)</f>
        <v/>
      </c>
      <c r="S1157">
        <f>IFERROR(O1157/N1157,0)</f>
        <v/>
      </c>
      <c r="T1157">
        <f>IF(C1157,(H1157*N1157*IF(AND(Inputs!$B$38&lt;&gt;"pvp",Inputs!$B$43&gt;0),((Skills!G8*((R1157-1)*IF(Skills!H8&gt;0,Skills!I8/Skills!H8,1)+IF(Skills!H8&gt;0,MIN(Skills!I8,MAX(0,MAX(0,Inputs!$B$43-B1181)-((R1157-1)*IF(Inputs!$B$38="pvp",15,MAX(0.1,Skills!D8-IF(Skills!E8=TRUE,2.0,0))))))/Skills!H8,1)))/Inputs!$B$43),G1157*Q1157))*IF(Inputs!$B$38="pvp",1,1+(Inputs!$B$20+0+Skills!P8)/100),0)</f>
        <v/>
      </c>
      <c r="V1157">
        <f>IF(C1157,(H1157*N1157*IF(AND(Inputs!$B$38&lt;&gt;"pvp",Inputs!$B$43&gt;0),((Skills!G8*((R1157-1)*IF(Skills!H8&gt;0,Skills!I8/Skills!H8,1)+IF(Skills!H8&gt;0,MIN(Skills!I8,MAX(0,MAX(0,Inputs!$B$43-B1181)-((R1157-1)*IF(Inputs!$B$38="pvp",15,MAX(0.1,Skills!D8-IF(Skills!E8=TRUE,2.0,0))))))/Skills!H8,1)))/Inputs!$B$43),G1157*Q1157))*IF(Inputs!$B$38="pvp",1,(1+(Inputs!$B$21+Skills!Q8)/100)*(MIN(Skills!R8,Inputs!$B$37))),0)</f>
        <v/>
      </c>
    </row>
    <row r="1158">
      <c r="A1158">
        <f>Skills!A9</f>
        <v/>
      </c>
      <c r="B1158">
        <f>Skills!B9</f>
        <v/>
      </c>
      <c r="C1158">
        <f>Inputs!$B$3&gt;=110</f>
        <v/>
      </c>
      <c r="D1158">
        <f>IF(Skills!C9=1,60+Inputs!$B$25+Inputs!$B$29,IF(Skills!C9=2,90+Inputs!$B$26+Inputs!$B$29,IF(Skills!C9=3,120+Inputs!$B$27+Inputs!$B$29,MAX(0,(Inputs!$B$3-100)*3)+Inputs!$B$28+Inputs!$B$29)))</f>
        <v/>
      </c>
      <c r="E1158">
        <f>INDEX(FactorTable!$B$2:$Y$301, MATCH(ROUND(MIN(300,MAX(1,D1158)),0), FactorTable!$A$2:$A$301,0), Skills!M9+1)</f>
        <v/>
      </c>
      <c r="F1158">
        <f>IF(Skills!N9=TRUE,(Skills!L9/10)*(E1158/1000),Skills!L9/10)+Skills!O9</f>
        <v/>
      </c>
      <c r="G1158">
        <f>Skills!G9*IF(Skills!H9&gt;0,Skills!I9/Skills!H9,1)</f>
        <v/>
      </c>
      <c r="H1158">
        <f>1-(1-Skills!J9/100)^Skills!K9</f>
        <v/>
      </c>
      <c r="I1158" t="inlineStr">
        <is>
          <t>1</t>
        </is>
      </c>
      <c r="J1158">
        <f>((Inputs!$B$6*(1+Inputs!$B$7/100))+(((Inputs!$B$12*(1+Inputs!$B$13/100))-(Inputs!$B$12*(1+Inputs!$B$13/100)))+0.25*(Inputs!$B$14-Inputs!$B$14))*(1+Inputs!$B$7/100))*(F1158/100)</f>
        <v/>
      </c>
      <c r="K1158">
        <f>J1158*(1+((Inputs!$B$12*(1+Inputs!$B$13/100))*0.01+Inputs!$B$14*0.0025)/100)*(1+Inputs!$B$15/100)*(1+Inputs!$B$16/100)*(5000/(6000+Inputs!$B$42*(1-(Inputs!$B$19+0)/100)))*(1+(Inputs!$B$24+((C1171=TRUE)*(F1171-Calc!F22))+B1180)/100)*(1+(IF(Skills!A9="HOOK_BOMBER",Inputs!$B$17+((C1170=TRUE)*(F1170-Calc!F21)),Inputs!$B$18+0))/100)*((1+(((C1162=TRUE)*F1162)+((C1168=TRUE)*(F1168-Calc!F19)))/100)*I1158)</f>
        <v/>
      </c>
      <c r="L1158">
        <f>K1158*(MIN(Inputs!$B$22+((C1169=TRUE)*(F1169-Calc!F20)),Inputs!$B$23+0)/100+(Inputs!$B$23+0)/100)/2</f>
        <v/>
      </c>
      <c r="M1158">
        <f>L1158*(1+(Inputs!$B$10+0+B1179)/100)</f>
        <v/>
      </c>
      <c r="N1158">
        <f>L1158*(1-MIN((Inputs!$B$9+((C1165=TRUE)*(F1165-Calc!F16))+B1174),100)/100)+M1158*(MIN((Inputs!$B$9+((C1165=TRUE)*(F1165-Calc!F16))+B1174),100)/100)</f>
        <v/>
      </c>
      <c r="O1158">
        <f>(1-Summary!$B$55)*T1158+Summary!$B$55*V1158</f>
        <v/>
      </c>
      <c r="P1158">
        <f>IF(B1184=0,0,O1158/B1184)</f>
        <v/>
      </c>
      <c r="Q1158">
        <f>IFERROR(1/IF(Inputs!$B$38="pvp",15,MAX(0.1,Skills!D9-IF(Skills!E9=TRUE,2.0,0))),0)</f>
        <v/>
      </c>
      <c r="R1158">
        <f>IF(AND(Inputs!$B$38&lt;&gt;"pvp",Inputs!$B$43&gt;0),IF(MAX(0,Inputs!$B$43-B1181)&lt;=0,0,(INT(MAX(0,Inputs!$B$43-B1181)/IF(Inputs!$B$38="pvp",15,MAX(0.1,Skills!D9-IF(Skills!E9=TRUE,2.0,0))))+1)),0)</f>
        <v/>
      </c>
      <c r="S1158">
        <f>IFERROR(O1158/N1158,0)</f>
        <v/>
      </c>
      <c r="T1158">
        <f>IF(C1158,(H1158*N1158*IF(AND(Inputs!$B$38&lt;&gt;"pvp",Inputs!$B$43&gt;0),((Skills!G9*((R1158-1)*IF(Skills!H9&gt;0,Skills!I9/Skills!H9,1)+IF(Skills!H9&gt;0,MIN(Skills!I9,MAX(0,MAX(0,Inputs!$B$43-B1181)-((R1158-1)*IF(Inputs!$B$38="pvp",15,MAX(0.1,Skills!D9-IF(Skills!E9=TRUE,2.0,0))))))/Skills!H9,1)))/Inputs!$B$43),G1158*Q1158))*IF(Inputs!$B$38="pvp",1,1+(Inputs!$B$20+0+Skills!P9)/100),0)</f>
        <v/>
      </c>
      <c r="V1158">
        <f>IF(C1158,(H1158*N1158*IF(AND(Inputs!$B$38&lt;&gt;"pvp",Inputs!$B$43&gt;0),((Skills!G9*((R1158-1)*IF(Skills!H9&gt;0,Skills!I9/Skills!H9,1)+IF(Skills!H9&gt;0,MIN(Skills!I9,MAX(0,MAX(0,Inputs!$B$43-B1181)-((R1158-1)*IF(Inputs!$B$38="pvp",15,MAX(0.1,Skills!D9-IF(Skills!E9=TRUE,2.0,0))))))/Skills!H9,1)))/Inputs!$B$43),G1158*Q1158))*IF(Inputs!$B$38="pvp",1,(1+(Inputs!$B$21+Skills!Q9)/100)*(MIN(Skills!R9,Inputs!$B$37))),0)</f>
        <v/>
      </c>
    </row>
    <row r="1159">
      <c r="A1159">
        <f>Skills!A10</f>
        <v/>
      </c>
      <c r="B1159">
        <f>Skills!B10</f>
        <v/>
      </c>
      <c r="C1159">
        <f>Inputs!$B$3&gt;=103</f>
        <v/>
      </c>
      <c r="D1159">
        <f>IF(Skills!C10=1,60+Inputs!$B$25+Inputs!$B$29,IF(Skills!C10=2,90+Inputs!$B$26+Inputs!$B$29,IF(Skills!C10=3,120+Inputs!$B$27+Inputs!$B$29,MAX(0,(Inputs!$B$3-100)*3)+Inputs!$B$28+Inputs!$B$29)))</f>
        <v/>
      </c>
      <c r="E1159">
        <f>INDEX(FactorTable!$B$2:$Y$301, MATCH(ROUND(MIN(300,MAX(1,D1159)),0), FactorTable!$A$2:$A$301,0), Skills!M10+1)</f>
        <v/>
      </c>
      <c r="F1159">
        <f>IF(Skills!N10=TRUE,(Skills!L10/10)*(E1159/1000),Skills!L10/10)+Skills!O10</f>
        <v/>
      </c>
      <c r="G1159">
        <f>Skills!G10*IF(Skills!H10&gt;0,Skills!I10/Skills!H10,1)</f>
        <v/>
      </c>
      <c r="H1159">
        <f>1-(1-Skills!J10/100)^Skills!K10</f>
        <v/>
      </c>
      <c r="I1159" t="inlineStr">
        <is>
          <t>1</t>
        </is>
      </c>
      <c r="J1159">
        <f>((Inputs!$B$6*(1+Inputs!$B$7/100))+(((Inputs!$B$12*(1+Inputs!$B$13/100))-(Inputs!$B$12*(1+Inputs!$B$13/100)))+0.25*(Inputs!$B$14-Inputs!$B$14))*(1+Inputs!$B$7/100))*(F1159/100)</f>
        <v/>
      </c>
      <c r="K1159">
        <f>J1159*(1+((Inputs!$B$12*(1+Inputs!$B$13/100))*0.01+Inputs!$B$14*0.0025)/100)*(1+Inputs!$B$15/100)*(1+Inputs!$B$16/100)*(5000/(6000+Inputs!$B$42*(1-(Inputs!$B$19+0)/100)))*(1+(Inputs!$B$24+((C1171=TRUE)*(F1171-Calc!F22))+B1180)/100)*(1+(IF(Skills!A10="HOOK_BOMBER",Inputs!$B$17+((C1170=TRUE)*(F1170-Calc!F21)),Inputs!$B$18+0))/100)*((1+(((C1162=TRUE)*F1162)+((C1168=TRUE)*(F1168-Calc!F19)))/100)*I1159)</f>
        <v/>
      </c>
      <c r="L1159">
        <f>K1159*(MIN(Inputs!$B$22+((C1169=TRUE)*(F1169-Calc!F20)),Inputs!$B$23+0)/100+(Inputs!$B$23+0)/100)/2</f>
        <v/>
      </c>
      <c r="M1159">
        <f>L1159*(1+(Inputs!$B$10+0+B1179)/100)</f>
        <v/>
      </c>
      <c r="N1159">
        <f>L1159*(1-MIN((Inputs!$B$9+((C1165=TRUE)*(F1165-Calc!F16))+B1174),100)/100)+M1159*(MIN((Inputs!$B$9+((C1165=TRUE)*(F1165-Calc!F16))+B1174),100)/100)</f>
        <v/>
      </c>
      <c r="O1159">
        <f>(1-Summary!$B$55)*T1159+Summary!$B$55*V1159</f>
        <v/>
      </c>
      <c r="P1159">
        <f>IF(B1184=0,0,O1159/B1184)</f>
        <v/>
      </c>
      <c r="Q1159">
        <f>IFERROR(1/IF(Inputs!$B$38="pvp",15,MAX(0.1,Skills!D10-IF(Skills!E10=TRUE,2.0,0))),0)</f>
        <v/>
      </c>
      <c r="R1159">
        <f>IF(AND(Inputs!$B$38&lt;&gt;"pvp",Inputs!$B$43&gt;0),IF(MAX(0,Inputs!$B$43-B1181)&lt;=0,0,(INT(MAX(0,Inputs!$B$43-B1181)/IF(Inputs!$B$38="pvp",15,MAX(0.1,Skills!D10-IF(Skills!E10=TRUE,2.0,0))))+1)),0)</f>
        <v/>
      </c>
      <c r="S1159">
        <f>IFERROR(O1159/N1159,0)</f>
        <v/>
      </c>
      <c r="T1159">
        <f>IF(C1159,(H1159*N1159*IF(AND(Inputs!$B$38&lt;&gt;"pvp",Inputs!$B$43&gt;0),((Skills!G10*((R1159-1)*IF(Skills!H10&gt;0,Skills!I10/Skills!H10,1)+IF(Skills!H10&gt;0,MIN(Skills!I10,MAX(0,MAX(0,Inputs!$B$43-B1181)-((R1159-1)*IF(Inputs!$B$38="pvp",15,MAX(0.1,Skills!D10-IF(Skills!E10=TRUE,2.0,0))))))/Skills!H10,1)))/Inputs!$B$43),G1159*Q1159))*IF(Inputs!$B$38="pvp",1,1+(Inputs!$B$20+0+Skills!P10)/100),0)</f>
        <v/>
      </c>
      <c r="V1159">
        <f>IF(C1159,(H1159*N1159*IF(AND(Inputs!$B$38&lt;&gt;"pvp",Inputs!$B$43&gt;0),((Skills!G10*((R1159-1)*IF(Skills!H10&gt;0,Skills!I10/Skills!H10,1)+IF(Skills!H10&gt;0,MIN(Skills!I10,MAX(0,MAX(0,Inputs!$B$43-B1181)-((R1159-1)*IF(Inputs!$B$38="pvp",15,MAX(0.1,Skills!D10-IF(Skills!E10=TRUE,2.0,0))))))/Skills!H10,1)))/Inputs!$B$43),G1159*Q1159))*IF(Inputs!$B$38="pvp",1,(1+(Inputs!$B$21+Skills!Q10)/100)*(MIN(Skills!R10,Inputs!$B$37))),0)</f>
        <v/>
      </c>
    </row>
    <row r="1160">
      <c r="A1160">
        <f>Skills!A11</f>
        <v/>
      </c>
      <c r="B1160">
        <f>Skills!B11</f>
        <v/>
      </c>
      <c r="C1160">
        <f>Inputs!$B$3&gt;=113</f>
        <v/>
      </c>
      <c r="D1160">
        <f>IF(Skills!C11=1,60+Inputs!$B$25+Inputs!$B$29,IF(Skills!C11=2,90+Inputs!$B$26+Inputs!$B$29,IF(Skills!C11=3,120+Inputs!$B$27+Inputs!$B$29,MAX(0,(Inputs!$B$3-100)*3)+Inputs!$B$28+Inputs!$B$29)))</f>
        <v/>
      </c>
      <c r="E1160">
        <f>INDEX(FactorTable!$B$2:$Y$301, MATCH(ROUND(MIN(300,MAX(1,D1160)),0), FactorTable!$A$2:$A$301,0), Skills!M11+1)</f>
        <v/>
      </c>
      <c r="F1160">
        <f>IF(Skills!N11=TRUE,(Skills!L11/10)*(E1160/1000),Skills!L11/10)+Skills!O11</f>
        <v/>
      </c>
      <c r="G1160">
        <f>Skills!G11*IF(Skills!H11&gt;0,Skills!I11/Skills!H11,1)</f>
        <v/>
      </c>
      <c r="H1160">
        <f>1-(1-Skills!J11/100)^Skills!K11</f>
        <v/>
      </c>
      <c r="I1160" t="inlineStr">
        <is>
          <t>1</t>
        </is>
      </c>
      <c r="J1160">
        <f>((Inputs!$B$6*(1+Inputs!$B$7/100))+(((Inputs!$B$12*(1+Inputs!$B$13/100))-(Inputs!$B$12*(1+Inputs!$B$13/100)))+0.25*(Inputs!$B$14-Inputs!$B$14))*(1+Inputs!$B$7/100))*(F1160/100)</f>
        <v/>
      </c>
      <c r="K1160">
        <f>J1160*(1+((Inputs!$B$12*(1+Inputs!$B$13/100))*0.01+Inputs!$B$14*0.0025)/100)*(1+Inputs!$B$15/100)*(1+Inputs!$B$16/100)*(5000/(6000+Inputs!$B$42*(1-(Inputs!$B$19+0)/100)))*(1+(Inputs!$B$24+((C1171=TRUE)*(F1171-Calc!F22))+B1180)/100)*(1+(IF(Skills!A11="HOOK_BOMBER",Inputs!$B$17+((C1170=TRUE)*(F1170-Calc!F21)),Inputs!$B$18+0))/100)*((1+(((C1162=TRUE)*F1162)+((C1168=TRUE)*(F1168-Calc!F19)))/100)*I1160)</f>
        <v/>
      </c>
      <c r="L1160">
        <f>K1160*(MIN(Inputs!$B$22+((C1169=TRUE)*(F1169-Calc!F20)),Inputs!$B$23+0)/100+(Inputs!$B$23+0)/100)/2</f>
        <v/>
      </c>
      <c r="M1160">
        <f>L1160*(1+(Inputs!$B$10+0+B1179)/100)</f>
        <v/>
      </c>
      <c r="N1160">
        <f>L1160*(1-MIN((Inputs!$B$9+((C1165=TRUE)*(F1165-Calc!F16))+B1174),100)/100)+M1160*(MIN((Inputs!$B$9+((C1165=TRUE)*(F1165-Calc!F16))+B1174),100)/100)</f>
        <v/>
      </c>
      <c r="O1160">
        <f>(1-Summary!$B$55)*T1160+Summary!$B$55*V1160</f>
        <v/>
      </c>
      <c r="P1160">
        <f>IF(B1184=0,0,O1160/B1184)</f>
        <v/>
      </c>
      <c r="Q1160">
        <f>IFERROR(1/IF(Inputs!$B$38="pvp",15,MAX(0.1,Skills!D11-IF(Skills!E11=TRUE,2.0,0))),0)</f>
        <v/>
      </c>
      <c r="R1160">
        <f>IF(AND(Inputs!$B$38&lt;&gt;"pvp",Inputs!$B$43&gt;0),IF(MAX(0,Inputs!$B$43-B1181)&lt;=0,0,(INT(MAX(0,Inputs!$B$43-B1181)/IF(Inputs!$B$38="pvp",15,MAX(0.1,Skills!D11-IF(Skills!E11=TRUE,2.0,0))))+1)),0)</f>
        <v/>
      </c>
      <c r="S1160">
        <f>IFERROR(O1160/N1160,0)</f>
        <v/>
      </c>
      <c r="T1160">
        <f>IF(C1160,(H1160*N1160*IF(AND(Inputs!$B$38&lt;&gt;"pvp",Inputs!$B$43&gt;0),((Skills!G11*((R1160-1)*IF(Skills!H11&gt;0,Skills!I11/Skills!H11,1)+IF(Skills!H11&gt;0,MIN(Skills!I11,MAX(0,MAX(0,Inputs!$B$43-B1181)-((R1160-1)*IF(Inputs!$B$38="pvp",15,MAX(0.1,Skills!D11-IF(Skills!E11=TRUE,2.0,0))))))/Skills!H11,1)))/Inputs!$B$43),G1160*Q1160))*IF(Inputs!$B$38="pvp",1,1+(Inputs!$B$20+0+Skills!P11)/100),0)</f>
        <v/>
      </c>
      <c r="V1160">
        <f>IF(C1160,(H1160*N1160*IF(AND(Inputs!$B$38&lt;&gt;"pvp",Inputs!$B$43&gt;0),((Skills!G11*((R1160-1)*IF(Skills!H11&gt;0,Skills!I11/Skills!H11,1)+IF(Skills!H11&gt;0,MIN(Skills!I11,MAX(0,MAX(0,Inputs!$B$43-B1181)-((R1160-1)*IF(Inputs!$B$38="pvp",15,MAX(0.1,Skills!D11-IF(Skills!E11=TRUE,2.0,0))))))/Skills!H11,1)))/Inputs!$B$43),G1160*Q1160))*IF(Inputs!$B$38="pvp",1,(1+(Inputs!$B$21+Skills!Q11)/100)*(MIN(Skills!R11,Inputs!$B$37))),0)</f>
        <v/>
      </c>
    </row>
    <row r="1161">
      <c r="A1161">
        <f>Skills!A12</f>
        <v/>
      </c>
      <c r="B1161">
        <f>Skills!B12</f>
        <v/>
      </c>
      <c r="C1161">
        <f>Inputs!$B$3&gt;=100</f>
        <v/>
      </c>
      <c r="D1161">
        <f>IF(Skills!C12=1,60+Inputs!$B$25+Inputs!$B$29,IF(Skills!C12=2,90+Inputs!$B$26+Inputs!$B$29,IF(Skills!C12=3,120+Inputs!$B$27+Inputs!$B$29,MAX(0,(Inputs!$B$3-100)*3)+Inputs!$B$28+Inputs!$B$29)))</f>
        <v/>
      </c>
      <c r="E1161">
        <f>INDEX(FactorTable!$B$2:$Y$301, MATCH(ROUND(MIN(300,MAX(1,D1161)),0), FactorTable!$A$2:$A$301,0), Skills!M12+1)</f>
        <v/>
      </c>
      <c r="F1161">
        <f>IF(Skills!N12=TRUE,(Skills!L12/10)*(E1161/1000),Skills!L12/10)+Skills!O12</f>
        <v/>
      </c>
      <c r="G1161" t="inlineStr"/>
      <c r="H1161" t="inlineStr"/>
      <c r="I1161" t="inlineStr">
        <is>
          <t>1</t>
        </is>
      </c>
      <c r="J1161" t="inlineStr"/>
      <c r="K1161" t="inlineStr"/>
      <c r="L1161" t="inlineStr"/>
      <c r="M1161" t="inlineStr"/>
      <c r="N1161" t="inlineStr"/>
      <c r="O1161" t="inlineStr"/>
      <c r="P1161" t="inlineStr"/>
      <c r="Q1161" t="inlineStr"/>
      <c r="R1161" t="inlineStr"/>
      <c r="S1161" t="inlineStr"/>
      <c r="T1161" t="inlineStr"/>
      <c r="V1161" t="inlineStr"/>
    </row>
    <row r="1162">
      <c r="A1162">
        <f>Skills!A13</f>
        <v/>
      </c>
      <c r="B1162">
        <f>Skills!B13</f>
        <v/>
      </c>
      <c r="C1162">
        <f>Inputs!$B$3&gt;=66</f>
        <v/>
      </c>
      <c r="D1162">
        <f>IF(Skills!C13=1,60+Inputs!$B$25+Inputs!$B$29,IF(Skills!C13=2,90+Inputs!$B$26+Inputs!$B$29,IF(Skills!C13=3,120+Inputs!$B$27+Inputs!$B$29,MAX(0,(Inputs!$B$3-100)*3)+Inputs!$B$28+Inputs!$B$29)))</f>
        <v/>
      </c>
      <c r="E1162">
        <f>INDEX(FactorTable!$B$2:$Y$301, MATCH(ROUND(MIN(300,MAX(1,D1162)),0), FactorTable!$A$2:$A$301,0), Skills!M13+1)</f>
        <v/>
      </c>
      <c r="F1162">
        <f>IF(Skills!N13=TRUE,(Skills!L13/10)*(E1162/1000),Skills!L13/10)+Skills!O13</f>
        <v/>
      </c>
      <c r="G1162">
        <f>Skills!G13*IF(Skills!H13&gt;0,Skills!I13/Skills!H13,1)</f>
        <v/>
      </c>
      <c r="H1162">
        <f>1-(1-Skills!J13/100)^Skills!K13</f>
        <v/>
      </c>
      <c r="I1162" t="inlineStr">
        <is>
          <t>1</t>
        </is>
      </c>
      <c r="J1162" t="inlineStr"/>
      <c r="K1162" t="inlineStr"/>
      <c r="L1162" t="inlineStr"/>
      <c r="M1162" t="inlineStr"/>
      <c r="N1162" t="inlineStr"/>
      <c r="O1162">
        <f>(1-Summary!$B$55)*T1162+Summary!$B$55*V1162</f>
        <v/>
      </c>
      <c r="P1162">
        <f>IF(B1184=0,0,O1162/B1184)</f>
        <v/>
      </c>
      <c r="Q1162" t="n">
        <v>0</v>
      </c>
      <c r="R1162" t="n">
        <v>0</v>
      </c>
      <c r="S1162">
        <f>IFERROR(O1162/N1162,0)</f>
        <v/>
      </c>
      <c r="T1162" t="n">
        <v>0</v>
      </c>
      <c r="V1162" t="n">
        <v>0</v>
      </c>
    </row>
    <row r="1163">
      <c r="A1163">
        <f>Skills!A14</f>
        <v/>
      </c>
      <c r="B1163">
        <f>Skills!B14</f>
        <v/>
      </c>
      <c r="C1163">
        <f>Inputs!$B$3&gt;=107</f>
        <v/>
      </c>
      <c r="D1163">
        <f>IF(Skills!C14=1,60+Inputs!$B$25+Inputs!$B$29,IF(Skills!C14=2,90+Inputs!$B$26+Inputs!$B$29,IF(Skills!C14=3,120+Inputs!$B$27+Inputs!$B$29,MAX(0,(Inputs!$B$3-100)*3)+Inputs!$B$28+Inputs!$B$29)))</f>
        <v/>
      </c>
      <c r="E1163">
        <f>INDEX(FactorTable!$B$2:$Y$301, MATCH(ROUND(MIN(300,MAX(1,D1163)),0), FactorTable!$A$2:$A$301,0), Skills!M14+1)</f>
        <v/>
      </c>
      <c r="F1163">
        <f>IF(Skills!N14=TRUE,(Skills!L14/10)*(E1163/1000),Skills!L14/10)+Skills!O14</f>
        <v/>
      </c>
      <c r="G1163">
        <f>Skills!G14*IF(Skills!H14&gt;0,Skills!I14/Skills!H14,1)</f>
        <v/>
      </c>
      <c r="H1163">
        <f>1-(1-Skills!J14/100)^Skills!K14</f>
        <v/>
      </c>
      <c r="I1163" t="inlineStr">
        <is>
          <t>1</t>
        </is>
      </c>
      <c r="J1163" t="inlineStr"/>
      <c r="K1163" t="inlineStr"/>
      <c r="L1163" t="inlineStr"/>
      <c r="M1163" t="inlineStr"/>
      <c r="N1163" t="inlineStr"/>
      <c r="O1163">
        <f>(1-Summary!$B$55)*T1163+Summary!$B$55*V1163</f>
        <v/>
      </c>
      <c r="P1163">
        <f>IF(B1184=0,0,O1163/B1184)</f>
        <v/>
      </c>
      <c r="Q1163" t="n">
        <v>0</v>
      </c>
      <c r="R1163" t="n">
        <v>0</v>
      </c>
      <c r="S1163">
        <f>IFERROR(O1163/N1163,0)</f>
        <v/>
      </c>
      <c r="T1163" t="n">
        <v>0</v>
      </c>
      <c r="V1163" t="n">
        <v>0</v>
      </c>
    </row>
    <row r="1164">
      <c r="A1164">
        <f>Skills!A15</f>
        <v/>
      </c>
      <c r="B1164">
        <f>Skills!B15</f>
        <v/>
      </c>
      <c r="C1164">
        <f>Inputs!$B$3&gt;=115</f>
        <v/>
      </c>
      <c r="D1164">
        <f>IF(Skills!C15=1,60+Inputs!$B$25+Inputs!$B$29,IF(Skills!C15=2,90+Inputs!$B$26+Inputs!$B$29,IF(Skills!C15=3,120+Inputs!$B$27+Inputs!$B$29,MAX(0,(Inputs!$B$3-100)*3)+Inputs!$B$28+Inputs!$B$29)))</f>
        <v/>
      </c>
      <c r="E1164">
        <f>INDEX(FactorTable!$B$2:$Y$301, MATCH(ROUND(MIN(300,MAX(1,D1164)),0), FactorTable!$A$2:$A$301,0), Skills!M15+1)</f>
        <v/>
      </c>
      <c r="F1164">
        <f>IF(Skills!N15=TRUE,(Skills!L15/10)*(E1164/1000),Skills!L15/10)+Skills!O15</f>
        <v/>
      </c>
      <c r="G1164">
        <f>Skills!G15*IF(Skills!H15&gt;0,Skills!I15/Skills!H15,1)</f>
        <v/>
      </c>
      <c r="H1164">
        <f>1-(1-Skills!J15/100)^Skills!K15</f>
        <v/>
      </c>
      <c r="I1164" t="inlineStr">
        <is>
          <t>1</t>
        </is>
      </c>
      <c r="J1164" t="inlineStr"/>
      <c r="K1164" t="inlineStr"/>
      <c r="L1164" t="inlineStr"/>
      <c r="M1164" t="inlineStr"/>
      <c r="N1164" t="inlineStr"/>
      <c r="O1164">
        <f>(1-Summary!$B$55)*T1164+Summary!$B$55*V1164</f>
        <v/>
      </c>
      <c r="P1164">
        <f>IF(B1184=0,0,O1164/B1184)</f>
        <v/>
      </c>
      <c r="Q1164" t="n">
        <v>0</v>
      </c>
      <c r="R1164" t="n">
        <v>0</v>
      </c>
      <c r="S1164">
        <f>IFERROR(O1164/N1164,0)</f>
        <v/>
      </c>
      <c r="T1164" t="n">
        <v>0</v>
      </c>
      <c r="V1164" t="n">
        <v>0</v>
      </c>
    </row>
    <row r="1165">
      <c r="A1165">
        <f>Skills!A16</f>
        <v/>
      </c>
      <c r="B1165">
        <f>Skills!B16</f>
        <v/>
      </c>
      <c r="C1165">
        <f>Inputs!$B$3&gt;=15</f>
        <v/>
      </c>
      <c r="D1165">
        <f>IF(Skills!C16=1,60+Inputs!$B$25+Inputs!$B$29,IF(Skills!C16=2,90+Inputs!$B$26+Inputs!$B$29,IF(Skills!C16=3,120+Inputs!$B$27+Inputs!$B$29,MAX(0,(Inputs!$B$3-100)*3)+Inputs!$B$28+Inputs!$B$29)))</f>
        <v/>
      </c>
      <c r="E1165">
        <f>INDEX(FactorTable!$B$2:$Y$301, MATCH(ROUND(MIN(300,MAX(1,D1165)),0), FactorTable!$A$2:$A$301,0), Skills!M16+1)</f>
        <v/>
      </c>
      <c r="F1165">
        <f>IF(Skills!N16=TRUE,(Skills!L16/10)*(E1165/1000),Skills!L16/10)+Skills!O16</f>
        <v/>
      </c>
      <c r="G1165">
        <f>Skills!G16*IF(Skills!H16&gt;0,Skills!I16/Skills!H16,1)</f>
        <v/>
      </c>
      <c r="H1165">
        <f>1-(1-Skills!J16/100)^Skills!K16</f>
        <v/>
      </c>
      <c r="I1165" t="inlineStr">
        <is>
          <t>1</t>
        </is>
      </c>
      <c r="J1165" t="inlineStr"/>
      <c r="K1165" t="inlineStr"/>
      <c r="L1165" t="inlineStr"/>
      <c r="M1165" t="inlineStr"/>
      <c r="N1165" t="inlineStr"/>
      <c r="O1165">
        <f>(1-Summary!$B$55)*T1165+Summary!$B$55*V1165</f>
        <v/>
      </c>
      <c r="P1165">
        <f>IF(B1184=0,0,O1165/B1184)</f>
        <v/>
      </c>
      <c r="Q1165" t="n">
        <v>0</v>
      </c>
      <c r="R1165" t="n">
        <v>0</v>
      </c>
      <c r="S1165">
        <f>IFERROR(O1165/N1165,0)</f>
        <v/>
      </c>
      <c r="T1165" t="n">
        <v>0</v>
      </c>
      <c r="V1165" t="n">
        <v>0</v>
      </c>
    </row>
    <row r="1166">
      <c r="A1166">
        <f>Skills!A17</f>
        <v/>
      </c>
      <c r="B1166">
        <f>Skills!B17</f>
        <v/>
      </c>
      <c r="C1166">
        <f>Inputs!$B$3&gt;=10</f>
        <v/>
      </c>
      <c r="D1166">
        <f>IF(Skills!C17=1,60+Inputs!$B$25+Inputs!$B$29,IF(Skills!C17=2,90+Inputs!$B$26+Inputs!$B$29,IF(Skills!C17=3,120+Inputs!$B$27+Inputs!$B$29,MAX(0,(Inputs!$B$3-100)*3)+Inputs!$B$28+Inputs!$B$29)))</f>
        <v/>
      </c>
      <c r="E1166">
        <f>INDEX(FactorTable!$B$2:$Y$301, MATCH(ROUND(MIN(300,MAX(1,D1166)),0), FactorTable!$A$2:$A$301,0), Skills!M17+1)</f>
        <v/>
      </c>
      <c r="F1166">
        <f>IF(Skills!N17=TRUE,(Skills!L17/10)*(E1166/1000),Skills!L17/10)+Skills!O17</f>
        <v/>
      </c>
      <c r="G1166">
        <f>Skills!G17*IF(Skills!H17&gt;0,Skills!I17/Skills!H17,1)</f>
        <v/>
      </c>
      <c r="H1166">
        <f>1-(1-Skills!J17/100)^Skills!K17</f>
        <v/>
      </c>
      <c r="I1166" t="inlineStr">
        <is>
          <t>1</t>
        </is>
      </c>
      <c r="J1166" t="inlineStr"/>
      <c r="K1166" t="inlineStr"/>
      <c r="L1166" t="inlineStr"/>
      <c r="M1166" t="inlineStr"/>
      <c r="N1166" t="inlineStr"/>
      <c r="O1166">
        <f>(1-Summary!$B$55)*T1166+Summary!$B$55*V1166</f>
        <v/>
      </c>
      <c r="P1166">
        <f>IF(B1184=0,0,O1166/B1184)</f>
        <v/>
      </c>
      <c r="Q1166" t="n">
        <v>0</v>
      </c>
      <c r="R1166" t="n">
        <v>0</v>
      </c>
      <c r="S1166">
        <f>IFERROR(O1166/N1166,0)</f>
        <v/>
      </c>
      <c r="T1166" t="n">
        <v>0</v>
      </c>
      <c r="V1166" t="n">
        <v>0</v>
      </c>
    </row>
    <row r="1167">
      <c r="A1167">
        <f>Skills!A18</f>
        <v/>
      </c>
      <c r="B1167">
        <f>Skills!B18</f>
        <v/>
      </c>
      <c r="C1167">
        <f>Inputs!$B$3&gt;=33</f>
        <v/>
      </c>
      <c r="D1167">
        <f>IF(Skills!C18=1,60+Inputs!$B$25+Inputs!$B$29,IF(Skills!C18=2,90+Inputs!$B$26+Inputs!$B$29,IF(Skills!C18=3,120+Inputs!$B$27+Inputs!$B$29,MAX(0,(Inputs!$B$3-100)*3)+Inputs!$B$28+Inputs!$B$29)))</f>
        <v/>
      </c>
      <c r="E1167">
        <f>INDEX(FactorTable!$B$2:$Y$301, MATCH(ROUND(MIN(300,MAX(1,D1167)),0), FactorTable!$A$2:$A$301,0), Skills!M18+1)</f>
        <v/>
      </c>
      <c r="F1167">
        <f>IF(Skills!N18=TRUE,(Skills!L18/10)*(E1167/1000),Skills!L18/10)+Skills!O18</f>
        <v/>
      </c>
      <c r="G1167">
        <f>Skills!G18*IF(Skills!H18&gt;0,Skills!I18/Skills!H18,1)</f>
        <v/>
      </c>
      <c r="H1167">
        <f>1-(1-Skills!J18/100)^Skills!K18</f>
        <v/>
      </c>
      <c r="I1167" t="inlineStr">
        <is>
          <t>1</t>
        </is>
      </c>
      <c r="J1167" t="inlineStr"/>
      <c r="K1167" t="inlineStr"/>
      <c r="L1167" t="inlineStr"/>
      <c r="M1167" t="inlineStr"/>
      <c r="N1167" t="inlineStr"/>
      <c r="O1167">
        <f>(1-Summary!$B$55)*T1167+Summary!$B$55*V1167</f>
        <v/>
      </c>
      <c r="P1167">
        <f>IF(B1184=0,0,O1167/B1184)</f>
        <v/>
      </c>
      <c r="Q1167" t="n">
        <v>0</v>
      </c>
      <c r="R1167" t="n">
        <v>0</v>
      </c>
      <c r="S1167">
        <f>IFERROR(O1167/N1167,0)</f>
        <v/>
      </c>
      <c r="T1167" t="n">
        <v>0</v>
      </c>
      <c r="V1167" t="n">
        <v>0</v>
      </c>
    </row>
    <row r="1168">
      <c r="A1168">
        <f>Skills!A19</f>
        <v/>
      </c>
      <c r="B1168">
        <f>Skills!B19</f>
        <v/>
      </c>
      <c r="C1168">
        <f>Inputs!$B$3&gt;=40</f>
        <v/>
      </c>
      <c r="D1168">
        <f>IF(Skills!C19=1,60+Inputs!$B$25+Inputs!$B$29,IF(Skills!C19=2,90+Inputs!$B$26+Inputs!$B$29,IF(Skills!C19=3,120+Inputs!$B$27+Inputs!$B$29,MAX(0,(Inputs!$B$3-100)*3)+Inputs!$B$28+Inputs!$B$29)))</f>
        <v/>
      </c>
      <c r="E1168">
        <f>INDEX(FactorTable!$B$2:$Y$301, MATCH(ROUND(MIN(300,MAX(1,D1168)),0), FactorTable!$A$2:$A$301,0), Skills!M19+1)</f>
        <v/>
      </c>
      <c r="F1168">
        <f>IF(Skills!N19=TRUE,(Skills!L19/10)*(E1168/1000),Skills!L19/10)+Skills!O19</f>
        <v/>
      </c>
      <c r="G1168">
        <f>Skills!G19*IF(Skills!H19&gt;0,Skills!I19/Skills!H19,1)</f>
        <v/>
      </c>
      <c r="H1168">
        <f>1-(1-Skills!J19/100)^Skills!K19</f>
        <v/>
      </c>
      <c r="I1168" t="inlineStr">
        <is>
          <t>1</t>
        </is>
      </c>
      <c r="J1168" t="inlineStr"/>
      <c r="K1168" t="inlineStr"/>
      <c r="L1168" t="inlineStr"/>
      <c r="M1168" t="inlineStr"/>
      <c r="N1168" t="inlineStr"/>
      <c r="O1168">
        <f>(1-Summary!$B$55)*T1168+Summary!$B$55*V1168</f>
        <v/>
      </c>
      <c r="P1168">
        <f>IF(B1184=0,0,O1168/B1184)</f>
        <v/>
      </c>
      <c r="Q1168" t="n">
        <v>0</v>
      </c>
      <c r="R1168" t="n">
        <v>0</v>
      </c>
      <c r="S1168">
        <f>IFERROR(O1168/N1168,0)</f>
        <v/>
      </c>
      <c r="T1168" t="n">
        <v>0</v>
      </c>
      <c r="V1168" t="n">
        <v>0</v>
      </c>
    </row>
    <row r="1169">
      <c r="A1169">
        <f>Skills!A20</f>
        <v/>
      </c>
      <c r="B1169">
        <f>Skills!B20</f>
        <v/>
      </c>
      <c r="C1169">
        <f>Inputs!$B$3&gt;=43</f>
        <v/>
      </c>
      <c r="D1169">
        <f>IF(Skills!C20=1,60+Inputs!$B$25+Inputs!$B$29,IF(Skills!C20=2,90+Inputs!$B$26+Inputs!$B$29,IF(Skills!C20=3,120+Inputs!$B$27+Inputs!$B$29,MAX(0,(Inputs!$B$3-100)*3)+Inputs!$B$28+Inputs!$B$29)))</f>
        <v/>
      </c>
      <c r="E1169">
        <f>INDEX(FactorTable!$B$2:$Y$301, MATCH(ROUND(MIN(300,MAX(1,D1169)),0), FactorTable!$A$2:$A$301,0), Skills!M20+1)</f>
        <v/>
      </c>
      <c r="F1169">
        <f>IF(Skills!N20=TRUE,(Skills!L20/10)*(E1169/1000),Skills!L20/10)+Skills!O20</f>
        <v/>
      </c>
      <c r="G1169">
        <f>Skills!G20*IF(Skills!H20&gt;0,Skills!I20/Skills!H20,1)</f>
        <v/>
      </c>
      <c r="H1169">
        <f>1-(1-Skills!J20/100)^Skills!K20</f>
        <v/>
      </c>
      <c r="I1169" t="inlineStr">
        <is>
          <t>1</t>
        </is>
      </c>
      <c r="J1169" t="inlineStr"/>
      <c r="K1169" t="inlineStr"/>
      <c r="L1169" t="inlineStr"/>
      <c r="M1169" t="inlineStr"/>
      <c r="N1169" t="inlineStr"/>
      <c r="O1169">
        <f>(1-Summary!$B$55)*T1169+Summary!$B$55*V1169</f>
        <v/>
      </c>
      <c r="P1169">
        <f>IF(B1184=0,0,O1169/B1184)</f>
        <v/>
      </c>
      <c r="Q1169" t="n">
        <v>0</v>
      </c>
      <c r="R1169" t="n">
        <v>0</v>
      </c>
      <c r="S1169">
        <f>IFERROR(O1169/N1169,0)</f>
        <v/>
      </c>
      <c r="T1169" t="n">
        <v>0</v>
      </c>
      <c r="V1169" t="n">
        <v>0</v>
      </c>
    </row>
    <row r="1170">
      <c r="A1170">
        <f>Skills!A21</f>
        <v/>
      </c>
      <c r="B1170">
        <f>Skills!B21</f>
        <v/>
      </c>
      <c r="C1170">
        <f>Inputs!$B$3&gt;=38</f>
        <v/>
      </c>
      <c r="D1170">
        <f>IF(Skills!C21=1,60+Inputs!$B$25+Inputs!$B$29,IF(Skills!C21=2,90+Inputs!$B$26+Inputs!$B$29,IF(Skills!C21=3,120+Inputs!$B$27+Inputs!$B$29,MAX(0,(Inputs!$B$3-100)*3)+Inputs!$B$28+Inputs!$B$29)))</f>
        <v/>
      </c>
      <c r="E1170">
        <f>INDEX(FactorTable!$B$2:$Y$301, MATCH(ROUND(MIN(300,MAX(1,D1170)),0), FactorTable!$A$2:$A$301,0), Skills!M21+1)</f>
        <v/>
      </c>
      <c r="F1170">
        <f>IF(Skills!N21=TRUE,(Skills!L21/10)*(E1170/1000),Skills!L21/10)+Skills!O21</f>
        <v/>
      </c>
      <c r="G1170">
        <f>Skills!G21*IF(Skills!H21&gt;0,Skills!I21/Skills!H21,1)</f>
        <v/>
      </c>
      <c r="H1170">
        <f>1-(1-Skills!J21/100)^Skills!K21</f>
        <v/>
      </c>
      <c r="I1170" t="inlineStr">
        <is>
          <t>1</t>
        </is>
      </c>
      <c r="J1170" t="inlineStr"/>
      <c r="K1170" t="inlineStr"/>
      <c r="L1170" t="inlineStr"/>
      <c r="M1170" t="inlineStr"/>
      <c r="N1170" t="inlineStr"/>
      <c r="O1170">
        <f>(1-Summary!$B$55)*T1170+Summary!$B$55*V1170</f>
        <v/>
      </c>
      <c r="P1170">
        <f>IF(B1184=0,0,O1170/B1184)</f>
        <v/>
      </c>
      <c r="Q1170" t="n">
        <v>0</v>
      </c>
      <c r="R1170" t="n">
        <v>0</v>
      </c>
      <c r="S1170">
        <f>IFERROR(O1170/N1170,0)</f>
        <v/>
      </c>
      <c r="T1170" t="n">
        <v>0</v>
      </c>
      <c r="V1170" t="n">
        <v>0</v>
      </c>
    </row>
    <row r="1171">
      <c r="A1171">
        <f>Skills!A22</f>
        <v/>
      </c>
      <c r="B1171">
        <f>Skills!B22</f>
        <v/>
      </c>
      <c r="C1171">
        <f>Inputs!$B$3&gt;=75</f>
        <v/>
      </c>
      <c r="D1171">
        <f>IF(Skills!C22=1,60+Inputs!$B$25+Inputs!$B$29,IF(Skills!C22=2,90+Inputs!$B$26+Inputs!$B$29,IF(Skills!C22=3,120+Inputs!$B$27+Inputs!$B$29,MAX(0,(Inputs!$B$3-100)*3)+Inputs!$B$28+Inputs!$B$29)))</f>
        <v/>
      </c>
      <c r="E1171">
        <f>INDEX(FactorTable!$B$2:$Y$301, MATCH(ROUND(MIN(300,MAX(1,D1171)),0), FactorTable!$A$2:$A$301,0), Skills!M22+1)</f>
        <v/>
      </c>
      <c r="F1171">
        <f>IF(Skills!N22=TRUE,(Skills!L22/10)*(E1171/1000),Skills!L22/10)+Skills!O22</f>
        <v/>
      </c>
      <c r="G1171">
        <f>Skills!G22*IF(Skills!H22&gt;0,Skills!I22/Skills!H22,1)</f>
        <v/>
      </c>
      <c r="H1171">
        <f>1-(1-Skills!J22/100)^Skills!K22</f>
        <v/>
      </c>
      <c r="I1171" t="inlineStr">
        <is>
          <t>1</t>
        </is>
      </c>
      <c r="J1171" t="inlineStr"/>
      <c r="K1171" t="inlineStr"/>
      <c r="L1171" t="inlineStr"/>
      <c r="M1171" t="inlineStr"/>
      <c r="N1171" t="inlineStr"/>
      <c r="O1171">
        <f>(1-Summary!$B$55)*T1171+Summary!$B$55*V1171</f>
        <v/>
      </c>
      <c r="P1171">
        <f>IF(B1184=0,0,O1171/B1184)</f>
        <v/>
      </c>
      <c r="Q1171" t="n">
        <v>0</v>
      </c>
      <c r="R1171" t="n">
        <v>0</v>
      </c>
      <c r="S1171">
        <f>IFERROR(O1171/N1171,0)</f>
        <v/>
      </c>
      <c r="T1171" t="n">
        <v>0</v>
      </c>
      <c r="V1171" t="n">
        <v>0</v>
      </c>
    </row>
    <row r="1173">
      <c r="A1173" t="inlineStr">
        <is>
          <t>Attack% Bucket Multiplier</t>
        </is>
      </c>
      <c r="B1173">
        <f>(1+(((C1162=TRUE)*F1162)+((C1168=TRUE)*(F1168-Calc!F19)))/100)</f>
        <v/>
      </c>
    </row>
    <row r="1174">
      <c r="A1174" t="inlineStr">
        <is>
          <t>Global Crit Rate Bonus %</t>
        </is>
      </c>
      <c r="B1174" t="n">
        <v>0</v>
      </c>
    </row>
    <row r="1175">
      <c r="A1175" t="inlineStr">
        <is>
          <t>Attack Speed Buff Bonus % (unused)</t>
        </is>
      </c>
      <c r="B1175" t="n">
        <v>0</v>
      </c>
    </row>
    <row r="1176">
      <c r="A1176" t="inlineStr">
        <is>
          <t>Actions Per Second</t>
        </is>
      </c>
      <c r="B1176">
        <f>1+MIN(150,150*(1-(1-(Inputs!$B$11+((C1166=TRUE)*(F1166-Calc!F17))+((C1167=TRUE)*(F1167-Calc!F18)))/150)*(1-B1175/150)))/100</f>
        <v/>
      </c>
    </row>
    <row r="1177">
      <c r="A1177" t="inlineStr">
        <is>
          <t>Skill + Buff Cast Rate</t>
        </is>
      </c>
      <c r="B1177">
        <f>IF(AND(Inputs!$B$38&lt;&gt;"pvp",Inputs!$B$43&gt;0),SUMPRODUCT((Skills!E2:E22=TRUE)*(C1151:C1171=TRUE)*R1151:R1171*Skills!F2:F22)/Inputs!$B$43,SUMPRODUCT((Skills!E2:E22=TRUE)*(C1151:C1171=TRUE)*Q1151:Q1171*Skills!F2:F22))</f>
        <v/>
      </c>
    </row>
    <row r="1178">
      <c r="A1178" t="inlineStr">
        <is>
          <t>Hook Bomber Casts Per Second</t>
        </is>
      </c>
      <c r="B1178">
        <f>MAX(0,B1176-B1177)</f>
        <v/>
      </c>
    </row>
    <row r="1179">
      <c r="A1179" t="inlineStr">
        <is>
          <t>Global Critical Damage Bonus % (unused)</t>
        </is>
      </c>
      <c r="B1179" t="n">
        <v>0</v>
      </c>
    </row>
    <row r="1180">
      <c r="A1180" t="inlineStr">
        <is>
          <t>Global Final Damage Bonus % (Serpent Scale + Crossbones + Time Leap + Speed Infusion)</t>
        </is>
      </c>
      <c r="B1180">
        <f>((C1154=TRUE)*F1154*((10+IF(Inputs!$B$3&gt;=94,5,0))/((10+IF(Inputs!$B$3&gt;=94,5,0))+5/(B1178*(1+IF(Inputs!$B$3&gt;=104,1,0))))))+((C1163=TRUE)*F1163)+((C1164=TRUE)*F1164)+((Inputs!$B$3&gt;=110)*20*(B1176-1))</f>
        <v/>
      </c>
    </row>
    <row r="1181">
      <c r="A1181" t="inlineStr">
        <is>
          <t>Buff-Casting Startup Delay (s, fixed-duration only)</t>
        </is>
      </c>
      <c r="B1181">
        <f>IF(AND(Inputs!$B$38&lt;&gt;"pvp",Inputs!$B$43&gt;0),SUMPRODUCT((Skills!T2:T22&gt;0)*(Skills!E2:E22=TRUE)*(C1151:C1171=TRUE))/B1176,0)</f>
        <v/>
      </c>
    </row>
    <row r="1182">
      <c r="A1182" t="inlineStr">
        <is>
          <t>Boss-Only Total DPS (this block's swept value)</t>
        </is>
      </c>
      <c r="B1182">
        <f>SUM(T1151:T1171)</f>
        <v/>
      </c>
    </row>
    <row r="1183">
      <c r="A1183" t="inlineStr">
        <is>
          <t>Normal-Only Total DPS (this block's swept value)</t>
        </is>
      </c>
      <c r="B1183">
        <f>SUM(V1151:V1171)</f>
        <v/>
      </c>
    </row>
    <row r="1184">
      <c r="A1184" s="5" t="inlineStr">
        <is>
          <t>TOTAL DPS</t>
        </is>
      </c>
      <c r="B1184" s="5">
        <f>SUM(O1151:O1171)</f>
        <v/>
      </c>
    </row>
    <row r="1187">
      <c r="A1187" s="5" t="inlineStr">
        <is>
          <t>Stat: CDR = 2.5s</t>
        </is>
      </c>
    </row>
    <row r="1188">
      <c r="A1188" s="9" t="inlineStr">
        <is>
          <t>Key</t>
        </is>
      </c>
      <c r="B1188" s="9" t="inlineStr">
        <is>
          <t>Name</t>
        </is>
      </c>
      <c r="C1188" s="9" t="inlineStr">
        <is>
          <t>Unlocked</t>
        </is>
      </c>
      <c r="D1188" s="9" t="inlineStr">
        <is>
          <t>InputLevel</t>
        </is>
      </c>
      <c r="E1188" s="9" t="inlineStr">
        <is>
          <t>Factor</t>
        </is>
      </c>
      <c r="F1188" s="9" t="inlineStr">
        <is>
          <t>CoefficientPercent</t>
        </is>
      </c>
      <c r="G1188" s="9" t="inlineStr">
        <is>
          <t>EffectiveHits</t>
        </is>
      </c>
      <c r="H1188" s="9" t="inlineStr">
        <is>
          <t>ProcProbability</t>
        </is>
      </c>
      <c r="I1188" s="9" t="inlineStr">
        <is>
          <t>MapleHeroMultiplier</t>
        </is>
      </c>
      <c r="J1188" s="9" t="inlineStr">
        <is>
          <t>BaseDamage</t>
        </is>
      </c>
      <c r="K1188" s="9" t="inlineStr">
        <is>
          <t>BaseHitDamage</t>
        </is>
      </c>
      <c r="L1188" s="9" t="inlineStr">
        <is>
          <t>NonCritAvg</t>
        </is>
      </c>
      <c r="M1188" s="9" t="inlineStr">
        <is>
          <t>CritAvg</t>
        </is>
      </c>
      <c r="N1188" s="9" t="inlineStr">
        <is>
          <t>ExpectedDamage(perHit)</t>
        </is>
      </c>
      <c r="O1188" s="9" t="inlineStr">
        <is>
          <t>DPS</t>
        </is>
      </c>
      <c r="P1188" s="9" t="inlineStr">
        <is>
          <t>% of Total</t>
        </is>
      </c>
      <c r="Q1188" s="9" t="inlineStr">
        <is>
          <t>InvCooldown</t>
        </is>
      </c>
      <c r="R1188" s="9" t="inlineStr">
        <is>
          <t>CastsInFight</t>
        </is>
      </c>
      <c r="S1188" s="9" t="inlineStr">
        <is>
          <t>HitRate(perSec)</t>
        </is>
      </c>
      <c r="U1188" t="inlineStr">
        <is>
          <t>helpers</t>
        </is>
      </c>
    </row>
    <row r="1189">
      <c r="A1189">
        <f>Skills!A2</f>
        <v/>
      </c>
      <c r="B1189">
        <f>Skills!B2</f>
        <v/>
      </c>
      <c r="C1189">
        <f>Inputs!$B$3&gt;=100</f>
        <v/>
      </c>
      <c r="D1189" t="inlineStr"/>
      <c r="E1189" t="inlineStr"/>
      <c r="F1189">
        <f>U1191+Skills!O2</f>
        <v/>
      </c>
      <c r="G1189">
        <f>Skills!G2*IF(Skills!H2&gt;0,Skills!I2/Skills!H2,1)</f>
        <v/>
      </c>
      <c r="H1189">
        <f>1-(1-Skills!J2/100)^Skills!K2</f>
        <v/>
      </c>
      <c r="I1189" t="inlineStr">
        <is>
          <t>1</t>
        </is>
      </c>
      <c r="J1189">
        <f>((Inputs!$B$6*(1+Inputs!$B$7/100))+(((Inputs!$B$12*(1+Inputs!$B$13/100))-(Inputs!$B$12*(1+Inputs!$B$13/100)))+0.25*(Inputs!$B$14-Inputs!$B$14))*(1+Inputs!$B$7/100))*(F1189/100)</f>
        <v/>
      </c>
      <c r="K1189">
        <f>J1189*(1+((Inputs!$B$12*(1+Inputs!$B$13/100))*0.01+Inputs!$B$14*0.0025)/100)*(1+Inputs!$B$15/100)*(1+Inputs!$B$16/100)*(5000/(6000+Inputs!$B$42*(1-(Inputs!$B$19+0)/100)))*(1+(Inputs!$B$24+((C1209=TRUE)*(F1209-Calc!F22))+B1218)/100)*(1+(IF(Skills!A2="HOOK_BOMBER",Inputs!$B$17+((C1208=TRUE)*(F1208-Calc!F21)),Inputs!$B$18+0))/100)*((1+(((C1200=TRUE)*F1200)+((C1206=TRUE)*(F1206-Calc!F19)))/100)*I1189)</f>
        <v/>
      </c>
      <c r="L1189">
        <f>K1189*(MIN(Inputs!$B$22+((C1207=TRUE)*(F1207-Calc!F20)),Inputs!$B$23+0)/100+(Inputs!$B$23+0)/100)/2</f>
        <v/>
      </c>
      <c r="M1189">
        <f>L1189*(1+(Inputs!$B$10+0+B1217)/100)</f>
        <v/>
      </c>
      <c r="N1189">
        <f>L1189*(1-MIN((Inputs!$B$9+((C1203=TRUE)*(F1203-Calc!F16))+B1212),100)/100)+M1189*(MIN((Inputs!$B$9+((C1203=TRUE)*(F1203-Calc!F16))+B1212),100)/100)</f>
        <v/>
      </c>
      <c r="O1189">
        <f>(1-Summary!$B$55)*T1189+Summary!$B$55*V1189</f>
        <v/>
      </c>
      <c r="P1189">
        <f>IF(B1222=0,0,O1189/B1222)</f>
        <v/>
      </c>
      <c r="Q1189" t="n">
        <v>0</v>
      </c>
      <c r="R1189" t="n">
        <v>0</v>
      </c>
      <c r="S1189">
        <f>IFERROR(O1189/N1189,0)</f>
        <v/>
      </c>
      <c r="T1189">
        <f>IF(C1189,(Skills!G2*N1189*B1216)*IF(Inputs!$B$38="pvp",1,1+(Inputs!$B$20+0+Skills!P2)/100),0)</f>
        <v/>
      </c>
      <c r="U1189">
        <f>MAX(0,(Inputs!$B$3-100)*3)+Inputs!$B$28+Inputs!$B$29</f>
        <v/>
      </c>
      <c r="V1189">
        <f>IF(C1189,(Skills!G2*N1189*B1216)*IF(Inputs!$B$38="pvp",1,(1+(Inputs!$B$21+Skills!Q2)/100)*(MIN((6+Inputs!$B$33),Inputs!$B$37))),0)</f>
        <v/>
      </c>
    </row>
    <row r="1190">
      <c r="A1190">
        <f>Skills!A3</f>
        <v/>
      </c>
      <c r="B1190">
        <f>Skills!B3</f>
        <v/>
      </c>
      <c r="C1190">
        <f>Inputs!$B$3&gt;=35</f>
        <v/>
      </c>
      <c r="D1190">
        <f>IF(Skills!C3=1,60+Inputs!$B$25+Inputs!$B$29,IF(Skills!C3=2,90+Inputs!$B$26+Inputs!$B$29,IF(Skills!C3=3,120+Inputs!$B$27+Inputs!$B$29,MAX(0,(Inputs!$B$3-100)*3)+Inputs!$B$28+Inputs!$B$29)))</f>
        <v/>
      </c>
      <c r="E1190">
        <f>INDEX(FactorTable!$B$2:$Y$301, MATCH(ROUND(MIN(300,MAX(1,D1190)),0), FactorTable!$A$2:$A$301,0), Skills!M3+1)</f>
        <v/>
      </c>
      <c r="F1190">
        <f>IF(Skills!N3=TRUE,(Skills!L3/10)*(E1190/1000),Skills!L3/10)+Skills!O3</f>
        <v/>
      </c>
      <c r="G1190">
        <f>Skills!G3*IF(Skills!H3&gt;0,Skills!I3/Skills!H3,1)</f>
        <v/>
      </c>
      <c r="H1190">
        <f>1-(1-Skills!J3/100)^Skills!K3</f>
        <v/>
      </c>
      <c r="I1190" t="inlineStr">
        <is>
          <t>1</t>
        </is>
      </c>
      <c r="J1190">
        <f>((Inputs!$B$6*(1+Inputs!$B$7/100))+(((Inputs!$B$12*(1+Inputs!$B$13/100))-(Inputs!$B$12*(1+Inputs!$B$13/100)))+0.25*(Inputs!$B$14-Inputs!$B$14))*(1+Inputs!$B$7/100))*(F1190/100)</f>
        <v/>
      </c>
      <c r="K1190">
        <f>J1190*(1+((Inputs!$B$12*(1+Inputs!$B$13/100))*0.01+Inputs!$B$14*0.0025)/100)*(1+Inputs!$B$15/100)*(1+Inputs!$B$16/100)*(5000/(6000+Inputs!$B$42*(1-(Inputs!$B$19+0)/100)))*(1+(Inputs!$B$24+((C1209=TRUE)*(F1209-Calc!F22))+B1218)/100)*(1+(IF(Skills!A3="HOOK_BOMBER",Inputs!$B$17+((C1208=TRUE)*(F1208-Calc!F21)),Inputs!$B$18+0))/100)*((1+(((C1200=TRUE)*F1200)+((C1206=TRUE)*(F1206-Calc!F19)))/100)*I1190)</f>
        <v/>
      </c>
      <c r="L1190">
        <f>K1190*(MIN(Inputs!$B$22+((C1207=TRUE)*(F1207-Calc!F20)),Inputs!$B$23+0)/100+(Inputs!$B$23+0)/100)/2</f>
        <v/>
      </c>
      <c r="M1190">
        <f>L1190*(1+(Inputs!$B$10+0+B1217)/100)</f>
        <v/>
      </c>
      <c r="N1190">
        <f>L1190*(1-MIN((Inputs!$B$9+((C1203=TRUE)*(F1203-Calc!F16))+B1212),100)/100)+M1190*(MIN((Inputs!$B$9+((C1203=TRUE)*(F1203-Calc!F16))+B1212),100)/100)</f>
        <v/>
      </c>
      <c r="O1190">
        <f>(1-Summary!$B$55)*T1190+Summary!$B$55*V1190</f>
        <v/>
      </c>
      <c r="P1190">
        <f>IF(B1222=0,0,O1190/B1222)</f>
        <v/>
      </c>
      <c r="Q1190" t="n">
        <v>0</v>
      </c>
      <c r="R1190" t="n">
        <v>0</v>
      </c>
      <c r="S1190">
        <f>IFERROR(O1190/N1190,0)</f>
        <v/>
      </c>
      <c r="T1190">
        <f>IF(C1190,(Skills!G3*H1190*N1190*B1216)*IF(Inputs!$B$38="pvp",1,1+(Inputs!$B$20+0+Skills!P3)/100),0)</f>
        <v/>
      </c>
      <c r="U1190">
        <f>INDEX(FactorTable!$B$2:$Y$301, MATCH(ROUND(MIN(300,MAX(1,U1189)),0), FactorTable!$A$2:$A$301,0), 22)</f>
        <v/>
      </c>
      <c r="V1190">
        <f>IF(C1190,(Skills!G3*H1190*N1190*B1216)*IF(Inputs!$B$38="pvp",1,(1+(Inputs!$B$21+Skills!Q3)/100)*(MIN(Skills!R3,Inputs!$B$37))),0)</f>
        <v/>
      </c>
    </row>
    <row r="1191">
      <c r="A1191">
        <f>Skills!A4</f>
        <v/>
      </c>
      <c r="B1191">
        <f>Skills!B4</f>
        <v/>
      </c>
      <c r="C1191">
        <f>Inputs!$B$3&gt;=60</f>
        <v/>
      </c>
      <c r="D1191">
        <f>IF(Skills!C4=1,60+Inputs!$B$25+Inputs!$B$29,IF(Skills!C4=2,90+Inputs!$B$26+Inputs!$B$29,IF(Skills!C4=3,120+Inputs!$B$27+Inputs!$B$29,MAX(0,(Inputs!$B$3-100)*3)+Inputs!$B$28+Inputs!$B$29)))</f>
        <v/>
      </c>
      <c r="E1191">
        <f>INDEX(FactorTable!$B$2:$Y$301, MATCH(ROUND(MIN(300,MAX(1,D1191)),0), FactorTable!$A$2:$A$301,0), Skills!M4+1)</f>
        <v/>
      </c>
      <c r="F1191">
        <f>IF(Skills!N4=TRUE,(Skills!L4/10)*(E1191/1000),Skills!L4/10)+Skills!O4</f>
        <v/>
      </c>
      <c r="G1191">
        <f>Skills!G4*IF(Skills!H4&gt;0,Skills!I4/Skills!H4,1)</f>
        <v/>
      </c>
      <c r="H1191">
        <f>1-(1-Skills!J4/100)^Skills!K4</f>
        <v/>
      </c>
      <c r="I1191" t="inlineStr">
        <is>
          <t>1</t>
        </is>
      </c>
      <c r="J1191">
        <f>((Inputs!$B$6*(1+Inputs!$B$7/100))+(((Inputs!$B$12*(1+Inputs!$B$13/100))-(Inputs!$B$12*(1+Inputs!$B$13/100)))+0.25*(Inputs!$B$14-Inputs!$B$14))*(1+Inputs!$B$7/100))*(F1191/100)</f>
        <v/>
      </c>
      <c r="K1191">
        <f>J1191*(1+((Inputs!$B$12*(1+Inputs!$B$13/100))*0.01+Inputs!$B$14*0.0025)/100)*(1+Inputs!$B$15/100)*(1+Inputs!$B$16/100)*(5000/(6000+Inputs!$B$42*(1-(Inputs!$B$19+0)/100)))*(1+(Inputs!$B$24+((C1209=TRUE)*(F1209-Calc!F22))+B1218)/100)*(1+1.0*IF(C1199=TRUE,F1199,0)/100)*(1+(IF(Skills!A4="HOOK_BOMBER",Inputs!$B$17+((C1208=TRUE)*(F1208-Calc!F21)),Inputs!$B$18+0))/100)*((1+(((C1200=TRUE)*F1200)+((C1206=TRUE)*(F1206-Calc!F19)))/100)*I1191)</f>
        <v/>
      </c>
      <c r="L1191">
        <f>K1191*(MIN(Inputs!$B$22+((C1207=TRUE)*(F1207-Calc!F20)),Inputs!$B$23+0)/100+(Inputs!$B$23+0)/100)/2</f>
        <v/>
      </c>
      <c r="M1191">
        <f>L1191*(1+(Inputs!$B$10+0+B1217)/100)</f>
        <v/>
      </c>
      <c r="N1191">
        <f>L1191*(1-MIN((Inputs!$B$9+((C1203=TRUE)*(F1203-Calc!F16))+B1212),100)/100)+M1191*(MIN((Inputs!$B$9+((C1203=TRUE)*(F1203-Calc!F16))+B1212),100)/100)</f>
        <v/>
      </c>
      <c r="O1191">
        <f>(1-Summary!$B$55)*T1191+Summary!$B$55*V1191</f>
        <v/>
      </c>
      <c r="P1191">
        <f>IF(B1222=0,0,O1191/B1222)</f>
        <v/>
      </c>
      <c r="Q1191" t="n">
        <v>0</v>
      </c>
      <c r="R1191" t="n">
        <v>0</v>
      </c>
      <c r="S1191">
        <f>IFERROR(O1191/N1191,0)</f>
        <v/>
      </c>
      <c r="T1191">
        <f>IF(C1191,(Skills!G4*H1191*N1191*B1216)*IF(Inputs!$B$38="pvp",1,1+(Inputs!$B$20+0+Skills!P4)/100),0)</f>
        <v/>
      </c>
      <c r="U1191">
        <f>290*U1190/1000</f>
        <v/>
      </c>
      <c r="V1191">
        <f>IF(C1191,(Skills!G4*H1191*N1191*B1216)*IF(Inputs!$B$38="pvp",1,(1+(Inputs!$B$21+Skills!Q4)/100)*(MIN(Skills!R4,Inputs!$B$37))),0)</f>
        <v/>
      </c>
    </row>
    <row r="1192">
      <c r="A1192">
        <f>Skills!A5</f>
        <v/>
      </c>
      <c r="B1192">
        <f>Skills!B5</f>
        <v/>
      </c>
      <c r="C1192">
        <f>Inputs!$B$3&gt;=60</f>
        <v/>
      </c>
      <c r="D1192">
        <f>IF(Skills!C5=1,60+Inputs!$B$25+Inputs!$B$29,IF(Skills!C5=2,90+Inputs!$B$26+Inputs!$B$29,IF(Skills!C5=3,120+Inputs!$B$27+Inputs!$B$29,MAX(0,(Inputs!$B$3-100)*3)+Inputs!$B$28+Inputs!$B$29)))</f>
        <v/>
      </c>
      <c r="E1192">
        <f>INDEX(FactorTable!$B$2:$Y$301, MATCH(ROUND(MIN(300,MAX(1,D1192)),0), FactorTable!$A$2:$A$301,0), Skills!M5+1)</f>
        <v/>
      </c>
      <c r="F1192">
        <f>IF(Skills!N5=TRUE,(Skills!L5/10)*(E1192/1000),Skills!L5/10)+Skills!O5</f>
        <v/>
      </c>
      <c r="G1192">
        <f>Skills!G5*IF(Skills!H5&gt;0,Skills!I5/Skills!H5,1)</f>
        <v/>
      </c>
      <c r="H1192">
        <f>1-(1-Skills!J5/100)^Skills!K5</f>
        <v/>
      </c>
      <c r="I1192" t="inlineStr">
        <is>
          <t>1</t>
        </is>
      </c>
      <c r="J1192" t="inlineStr"/>
      <c r="K1192" t="inlineStr"/>
      <c r="L1192" t="inlineStr"/>
      <c r="M1192" t="inlineStr"/>
      <c r="N1192" t="inlineStr"/>
      <c r="O1192">
        <f>(1-Summary!$B$55)*T1192+Summary!$B$55*V1192</f>
        <v/>
      </c>
      <c r="P1192">
        <f>IF(B1222=0,0,O1192/B1222)</f>
        <v/>
      </c>
      <c r="Q1192" t="n">
        <v>0</v>
      </c>
      <c r="R1192" t="n">
        <v>0</v>
      </c>
      <c r="S1192">
        <f>IFERROR(O1192/N1192,0)</f>
        <v/>
      </c>
      <c r="T1192" t="n">
        <v>0</v>
      </c>
      <c r="V1192" t="n">
        <v>0</v>
      </c>
    </row>
    <row r="1193">
      <c r="A1193">
        <f>Skills!A6</f>
        <v/>
      </c>
      <c r="B1193">
        <f>Skills!B6</f>
        <v/>
      </c>
      <c r="C1193">
        <f>Inputs!$B$3&gt;=63</f>
        <v/>
      </c>
      <c r="D1193">
        <f>IF(Skills!C6=1,60+Inputs!$B$25+Inputs!$B$29,IF(Skills!C6=2,90+Inputs!$B$26+Inputs!$B$29,IF(Skills!C6=3,120+Inputs!$B$27+Inputs!$B$29,MAX(0,(Inputs!$B$3-100)*3)+Inputs!$B$28+Inputs!$B$29)))</f>
        <v/>
      </c>
      <c r="E1193">
        <f>INDEX(FactorTable!$B$2:$Y$301, MATCH(ROUND(MIN(300,MAX(1,D1193)),0), FactorTable!$A$2:$A$301,0), Skills!M6+1)</f>
        <v/>
      </c>
      <c r="F1193">
        <f>IF(Skills!N6=TRUE,(Skills!L6/10)*(E1193/1000),Skills!L6/10)+Skills!O6</f>
        <v/>
      </c>
      <c r="G1193">
        <f>Skills!G6*IF(Skills!H6&gt;0,Skills!I6/Skills!H6,1)</f>
        <v/>
      </c>
      <c r="H1193">
        <f>1-(1-Skills!J6/100)^Skills!K6</f>
        <v/>
      </c>
      <c r="I1193" t="inlineStr">
        <is>
          <t>1</t>
        </is>
      </c>
      <c r="J1193">
        <f>((Inputs!$B$6*(1+Inputs!$B$7/100))+(((Inputs!$B$12*(1+Inputs!$B$13/100))-(Inputs!$B$12*(1+Inputs!$B$13/100)))+0.25*(Inputs!$B$14-Inputs!$B$14))*(1+Inputs!$B$7/100))*(F1193/100)</f>
        <v/>
      </c>
      <c r="K1193">
        <f>J1193*(1+((Inputs!$B$12*(1+Inputs!$B$13/100))*0.01+Inputs!$B$14*0.0025)/100)*(1+Inputs!$B$15/100)*(1+Inputs!$B$16/100)*(5000/(6000+Inputs!$B$42*(1-(Inputs!$B$19+0)/100)))*(1+(Inputs!$B$24+((C1209=TRUE)*(F1209-Calc!F22))+B1218)/100)*(1+(IF(Skills!A6="HOOK_BOMBER",Inputs!$B$17+((C1208=TRUE)*(F1208-Calc!F21)),Inputs!$B$18+0))/100)*((1+(((C1200=TRUE)*F1200)+((C1206=TRUE)*(F1206-Calc!F19)))/100)*I1193)</f>
        <v/>
      </c>
      <c r="L1193">
        <f>K1193*(MIN(Inputs!$B$22+((C1207=TRUE)*(F1207-Calc!F20)),Inputs!$B$23+0)/100+(Inputs!$B$23+0)/100)/2</f>
        <v/>
      </c>
      <c r="M1193">
        <f>L1193*(1+(Inputs!$B$10+0+B1217)/100)</f>
        <v/>
      </c>
      <c r="N1193">
        <f>L1193*(1-MIN((Inputs!$B$9+((C1203=TRUE)*(F1203-Calc!F16))+B1212),100)/100)+M1193*(MIN((Inputs!$B$9+((C1203=TRUE)*(F1203-Calc!F16))+B1212),100)/100)</f>
        <v/>
      </c>
      <c r="O1193">
        <f>(1-Summary!$B$55)*T1193+Summary!$B$55*V1193</f>
        <v/>
      </c>
      <c r="P1193">
        <f>IF(B1222=0,0,O1193/B1222)</f>
        <v/>
      </c>
      <c r="Q1193">
        <f>IFERROR(1/IF(Inputs!$B$38="pvp",15,MAX(0.1,Skills!D6-IF(Skills!E6=TRUE,2.5,0))),0)</f>
        <v/>
      </c>
      <c r="R1193">
        <f>IF(AND(Inputs!$B$38&lt;&gt;"pvp",Inputs!$B$43&gt;0),IF(MAX(0,Inputs!$B$43-B1219)&lt;=0,0,(INT(MAX(0,Inputs!$B$43-B1219)/IF(Inputs!$B$38="pvp",15,MAX(0.1,Skills!D6-IF(Skills!E6=TRUE,2.5,0))))+1)),0)</f>
        <v/>
      </c>
      <c r="S1193">
        <f>IFERROR(O1193/N1193,0)</f>
        <v/>
      </c>
      <c r="T1193">
        <f>IF(C1193,(H1193*N1193*IF(AND(Inputs!$B$38&lt;&gt;"pvp",Inputs!$B$43&gt;0),((Skills!G6*((R1193-1)*IF(Skills!H6&gt;0,Skills!I6/Skills!H6,1)+IF(Skills!H6&gt;0,MIN(Skills!I6,MAX(0,MAX(0,Inputs!$B$43-B1219)-((R1193-1)*IF(Inputs!$B$38="pvp",15,MAX(0.1,Skills!D6-IF(Skills!E6=TRUE,2.5,0))))))/Skills!H6,1)))/Inputs!$B$43),G1193*Q1193))*IF(Inputs!$B$38="pvp",1,1+(Inputs!$B$20+0+Skills!P6)/100),0)</f>
        <v/>
      </c>
      <c r="V1193">
        <f>IF(C1193,(H1193*N1193*IF(AND(Inputs!$B$38&lt;&gt;"pvp",Inputs!$B$43&gt;0),((Skills!G6*((R1193-1)*IF(Skills!H6&gt;0,Skills!I6/Skills!H6,1)+IF(Skills!H6&gt;0,MIN(Skills!I6,MAX(0,MAX(0,Inputs!$B$43-B1219)-((R1193-1)*IF(Inputs!$B$38="pvp",15,MAX(0.1,Skills!D6-IF(Skills!E6=TRUE,2.5,0))))))/Skills!H6,1)))/Inputs!$B$43),G1193*Q1193))*IF(Inputs!$B$38="pvp",1,(1+(Inputs!$B$21+Skills!Q6)/100)*(MIN(Skills!R6,Inputs!$B$37))),0)</f>
        <v/>
      </c>
    </row>
    <row r="1194">
      <c r="A1194">
        <f>Skills!A7</f>
        <v/>
      </c>
      <c r="B1194">
        <f>Skills!B7</f>
        <v/>
      </c>
      <c r="C1194">
        <f>Inputs!$B$3&gt;=100</f>
        <v/>
      </c>
      <c r="D1194">
        <f>IF(Skills!C7=1,60+Inputs!$B$25+Inputs!$B$29,IF(Skills!C7=2,90+Inputs!$B$26+Inputs!$B$29,IF(Skills!C7=3,120+Inputs!$B$27+Inputs!$B$29,MAX(0,(Inputs!$B$3-100)*3)+Inputs!$B$28+Inputs!$B$29)))</f>
        <v/>
      </c>
      <c r="E1194">
        <f>INDEX(FactorTable!$B$2:$Y$301, MATCH(ROUND(MIN(300,MAX(1,D1194)),0), FactorTable!$A$2:$A$301,0), Skills!M7+1)</f>
        <v/>
      </c>
      <c r="F1194">
        <f>IF(Skills!N7=TRUE,(Skills!L7/10)*(E1194/1000),Skills!L7/10)+Skills!O7</f>
        <v/>
      </c>
      <c r="G1194">
        <f>Skills!G7*IF(Skills!H7&gt;0,Skills!I7/Skills!H7,1)</f>
        <v/>
      </c>
      <c r="H1194">
        <f>1-(1-Skills!J7/100)^Skills!K7</f>
        <v/>
      </c>
      <c r="I1194" t="inlineStr">
        <is>
          <t>1</t>
        </is>
      </c>
      <c r="J1194">
        <f>((Inputs!$B$6*(1+Inputs!$B$7/100))+(((Inputs!$B$12*(1+Inputs!$B$13/100))-(Inputs!$B$12*(1+Inputs!$B$13/100)))+0.25*(Inputs!$B$14-Inputs!$B$14))*(1+Inputs!$B$7/100))*(F1194/100)</f>
        <v/>
      </c>
      <c r="K1194">
        <f>J1194*(1+((Inputs!$B$12*(1+Inputs!$B$13/100))*0.01+Inputs!$B$14*0.0025)/100)*(1+Inputs!$B$15/100)*(1+Inputs!$B$16/100)*(5000/(6000+Inputs!$B$42*(1-(Inputs!$B$19+0)/100)))*(1+(Inputs!$B$24+((C1209=TRUE)*(F1209-Calc!F22))+B1218)/100)*(1+(IF(Skills!A7="HOOK_BOMBER",Inputs!$B$17+((C1208=TRUE)*(F1208-Calc!F21)),Inputs!$B$18+0))/100)*((1+(((C1200=TRUE)*F1200)+((C1206=TRUE)*(F1206-Calc!F19)))/100)*I1194)</f>
        <v/>
      </c>
      <c r="L1194">
        <f>K1194*(MIN(Inputs!$B$22+((C1207=TRUE)*(F1207-Calc!F20)),Inputs!$B$23+0)/100+(Inputs!$B$23+0)/100)/2</f>
        <v/>
      </c>
      <c r="M1194">
        <f>L1194*(1+(Inputs!$B$10+0+B1217)/100)</f>
        <v/>
      </c>
      <c r="N1194">
        <f>L1194*(1-MIN((Inputs!$B$9+((C1203=TRUE)*(F1203-Calc!F16))+B1212),100)/100)+M1194*(MIN((Inputs!$B$9+((C1203=TRUE)*(F1203-Calc!F16))+B1212),100)/100)</f>
        <v/>
      </c>
      <c r="O1194">
        <f>(1-Summary!$B$55)*T1194+Summary!$B$55*V1194</f>
        <v/>
      </c>
      <c r="P1194">
        <f>IF(B1222=0,0,O1194/B1222)</f>
        <v/>
      </c>
      <c r="Q1194">
        <f>IFERROR(1/IF(Inputs!$B$38="pvp",15,MAX(0.1,Skills!D7-IF(Skills!E7=TRUE,2.5,0))),0)</f>
        <v/>
      </c>
      <c r="R1194">
        <f>IF(AND(Inputs!$B$38&lt;&gt;"pvp",Inputs!$B$43&gt;0),IF(MAX(0,Inputs!$B$43-B1219)&lt;=0,0,(INT(MAX(0,Inputs!$B$43-B1219)/IF(Inputs!$B$38="pvp",15,MAX(0.1,Skills!D7-IF(Skills!E7=TRUE,2.5,0))))+1)),0)</f>
        <v/>
      </c>
      <c r="S1194">
        <f>IFERROR(O1194/N1194,0)</f>
        <v/>
      </c>
      <c r="T1194">
        <f>IF(C1194,(H1194*N1194*IF(AND(Inputs!$B$38&lt;&gt;"pvp",Inputs!$B$43&gt;0),((Skills!G7*((R1194-1)*IF(Skills!H7&gt;0,Skills!I7/Skills!H7,1)+IF(Skills!H7&gt;0,MIN(Skills!I7,MAX(0,MAX(0,Inputs!$B$43-B1219)-((R1194-1)*IF(Inputs!$B$38="pvp",15,MAX(0.1,Skills!D7-IF(Skills!E7=TRUE,2.5,0))))))/Skills!H7,1)))/Inputs!$B$43),G1194*Q1194))*IF(Inputs!$B$38="pvp",1,1+(Inputs!$B$20+0+Skills!P7)/100),0)</f>
        <v/>
      </c>
      <c r="V1194">
        <f>IF(C1194,(H1194*N1194*IF(AND(Inputs!$B$38&lt;&gt;"pvp",Inputs!$B$43&gt;0),((Skills!G7*((R1194-1)*IF(Skills!H7&gt;0,Skills!I7/Skills!H7,1)+IF(Skills!H7&gt;0,MIN(Skills!I7,MAX(0,MAX(0,Inputs!$B$43-B1219)-((R1194-1)*IF(Inputs!$B$38="pvp",15,MAX(0.1,Skills!D7-IF(Skills!E7=TRUE,2.5,0))))))/Skills!H7,1)))/Inputs!$B$43),G1194*Q1194))*IF(Inputs!$B$38="pvp",1,(1+(Inputs!$B$21+Skills!Q7)/100)*(MIN(Skills!R7,Inputs!$B$37))),0)</f>
        <v/>
      </c>
    </row>
    <row r="1195">
      <c r="A1195">
        <f>Skills!A8</f>
        <v/>
      </c>
      <c r="B1195">
        <f>Skills!B8</f>
        <v/>
      </c>
      <c r="C1195">
        <f>Inputs!$B$3&gt;=110</f>
        <v/>
      </c>
      <c r="D1195">
        <f>IF(Skills!C8=1,60+Inputs!$B$25+Inputs!$B$29,IF(Skills!C8=2,90+Inputs!$B$26+Inputs!$B$29,IF(Skills!C8=3,120+Inputs!$B$27+Inputs!$B$29,MAX(0,(Inputs!$B$3-100)*3)+Inputs!$B$28+Inputs!$B$29)))</f>
        <v/>
      </c>
      <c r="E1195">
        <f>INDEX(FactorTable!$B$2:$Y$301, MATCH(ROUND(MIN(300,MAX(1,D1195)),0), FactorTable!$A$2:$A$301,0), Skills!M8+1)</f>
        <v/>
      </c>
      <c r="F1195">
        <f>IF(Skills!N8=TRUE,(Skills!L8/10)*(E1195/1000),Skills!L8/10)+Skills!O8</f>
        <v/>
      </c>
      <c r="G1195">
        <f>Skills!G8*IF(Skills!H8&gt;0,Skills!I8/Skills!H8,1)</f>
        <v/>
      </c>
      <c r="H1195">
        <f>1-(1-Skills!J8/100)^Skills!K8</f>
        <v/>
      </c>
      <c r="I1195" t="inlineStr">
        <is>
          <t>1</t>
        </is>
      </c>
      <c r="J1195">
        <f>((Inputs!$B$6*(1+Inputs!$B$7/100))+(((Inputs!$B$12*(1+Inputs!$B$13/100))-(Inputs!$B$12*(1+Inputs!$B$13/100)))+0.25*(Inputs!$B$14-Inputs!$B$14))*(1+Inputs!$B$7/100))*(F1195/100)</f>
        <v/>
      </c>
      <c r="K1195">
        <f>J1195*(1+((Inputs!$B$12*(1+Inputs!$B$13/100))*0.01+Inputs!$B$14*0.0025)/100)*(1+Inputs!$B$15/100)*(1+Inputs!$B$16/100)*(5000/(6000+Inputs!$B$42*(1-(Inputs!$B$19+0)/100)))*(1+(Inputs!$B$24+((C1209=TRUE)*(F1209-Calc!F22))+B1218)/100)*(1+(IF(Skills!A8="HOOK_BOMBER",Inputs!$B$17+((C1208=TRUE)*(F1208-Calc!F21)),Inputs!$B$18+0))/100)*((1+(((C1200=TRUE)*F1200)+((C1206=TRUE)*(F1206-Calc!F19)))/100)*I1195)</f>
        <v/>
      </c>
      <c r="L1195">
        <f>K1195*(MIN(Inputs!$B$22+((C1207=TRUE)*(F1207-Calc!F20)),Inputs!$B$23+0)/100+(Inputs!$B$23+0)/100)/2</f>
        <v/>
      </c>
      <c r="M1195">
        <f>L1195*(1+(Inputs!$B$10+0+B1217)/100)</f>
        <v/>
      </c>
      <c r="N1195">
        <f>L1195*(1-MIN((Inputs!$B$9+((C1203=TRUE)*(F1203-Calc!F16))+B1212),100)/100)+M1195*(MIN((Inputs!$B$9+((C1203=TRUE)*(F1203-Calc!F16))+B1212),100)/100)</f>
        <v/>
      </c>
      <c r="O1195">
        <f>(1-Summary!$B$55)*T1195+Summary!$B$55*V1195</f>
        <v/>
      </c>
      <c r="P1195">
        <f>IF(B1222=0,0,O1195/B1222)</f>
        <v/>
      </c>
      <c r="Q1195">
        <f>IFERROR(1/IF(Inputs!$B$38="pvp",15,MAX(0.1,Skills!D8-IF(Skills!E8=TRUE,2.5,0))),0)</f>
        <v/>
      </c>
      <c r="R1195">
        <f>IF(AND(Inputs!$B$38&lt;&gt;"pvp",Inputs!$B$43&gt;0),IF(MAX(0,Inputs!$B$43-B1219)&lt;=0,0,(INT(MAX(0,Inputs!$B$43-B1219)/IF(Inputs!$B$38="pvp",15,MAX(0.1,Skills!D8-IF(Skills!E8=TRUE,2.5,0))))+1)),0)</f>
        <v/>
      </c>
      <c r="S1195">
        <f>IFERROR(O1195/N1195,0)</f>
        <v/>
      </c>
      <c r="T1195">
        <f>IF(C1195,(H1195*N1195*IF(AND(Inputs!$B$38&lt;&gt;"pvp",Inputs!$B$43&gt;0),((Skills!G8*((R1195-1)*IF(Skills!H8&gt;0,Skills!I8/Skills!H8,1)+IF(Skills!H8&gt;0,MIN(Skills!I8,MAX(0,MAX(0,Inputs!$B$43-B1219)-((R1195-1)*IF(Inputs!$B$38="pvp",15,MAX(0.1,Skills!D8-IF(Skills!E8=TRUE,2.5,0))))))/Skills!H8,1)))/Inputs!$B$43),G1195*Q1195))*IF(Inputs!$B$38="pvp",1,1+(Inputs!$B$20+0+Skills!P8)/100),0)</f>
        <v/>
      </c>
      <c r="V1195">
        <f>IF(C1195,(H1195*N1195*IF(AND(Inputs!$B$38&lt;&gt;"pvp",Inputs!$B$43&gt;0),((Skills!G8*((R1195-1)*IF(Skills!H8&gt;0,Skills!I8/Skills!H8,1)+IF(Skills!H8&gt;0,MIN(Skills!I8,MAX(0,MAX(0,Inputs!$B$43-B1219)-((R1195-1)*IF(Inputs!$B$38="pvp",15,MAX(0.1,Skills!D8-IF(Skills!E8=TRUE,2.5,0))))))/Skills!H8,1)))/Inputs!$B$43),G1195*Q1195))*IF(Inputs!$B$38="pvp",1,(1+(Inputs!$B$21+Skills!Q8)/100)*(MIN(Skills!R8,Inputs!$B$37))),0)</f>
        <v/>
      </c>
    </row>
    <row r="1196">
      <c r="A1196">
        <f>Skills!A9</f>
        <v/>
      </c>
      <c r="B1196">
        <f>Skills!B9</f>
        <v/>
      </c>
      <c r="C1196">
        <f>Inputs!$B$3&gt;=110</f>
        <v/>
      </c>
      <c r="D1196">
        <f>IF(Skills!C9=1,60+Inputs!$B$25+Inputs!$B$29,IF(Skills!C9=2,90+Inputs!$B$26+Inputs!$B$29,IF(Skills!C9=3,120+Inputs!$B$27+Inputs!$B$29,MAX(0,(Inputs!$B$3-100)*3)+Inputs!$B$28+Inputs!$B$29)))</f>
        <v/>
      </c>
      <c r="E1196">
        <f>INDEX(FactorTable!$B$2:$Y$301, MATCH(ROUND(MIN(300,MAX(1,D1196)),0), FactorTable!$A$2:$A$301,0), Skills!M9+1)</f>
        <v/>
      </c>
      <c r="F1196">
        <f>IF(Skills!N9=TRUE,(Skills!L9/10)*(E1196/1000),Skills!L9/10)+Skills!O9</f>
        <v/>
      </c>
      <c r="G1196">
        <f>Skills!G9*IF(Skills!H9&gt;0,Skills!I9/Skills!H9,1)</f>
        <v/>
      </c>
      <c r="H1196">
        <f>1-(1-Skills!J9/100)^Skills!K9</f>
        <v/>
      </c>
      <c r="I1196" t="inlineStr">
        <is>
          <t>1</t>
        </is>
      </c>
      <c r="J1196">
        <f>((Inputs!$B$6*(1+Inputs!$B$7/100))+(((Inputs!$B$12*(1+Inputs!$B$13/100))-(Inputs!$B$12*(1+Inputs!$B$13/100)))+0.25*(Inputs!$B$14-Inputs!$B$14))*(1+Inputs!$B$7/100))*(F1196/100)</f>
        <v/>
      </c>
      <c r="K1196">
        <f>J1196*(1+((Inputs!$B$12*(1+Inputs!$B$13/100))*0.01+Inputs!$B$14*0.0025)/100)*(1+Inputs!$B$15/100)*(1+Inputs!$B$16/100)*(5000/(6000+Inputs!$B$42*(1-(Inputs!$B$19+0)/100)))*(1+(Inputs!$B$24+((C1209=TRUE)*(F1209-Calc!F22))+B1218)/100)*(1+(IF(Skills!A9="HOOK_BOMBER",Inputs!$B$17+((C1208=TRUE)*(F1208-Calc!F21)),Inputs!$B$18+0))/100)*((1+(((C1200=TRUE)*F1200)+((C1206=TRUE)*(F1206-Calc!F19)))/100)*I1196)</f>
        <v/>
      </c>
      <c r="L1196">
        <f>K1196*(MIN(Inputs!$B$22+((C1207=TRUE)*(F1207-Calc!F20)),Inputs!$B$23+0)/100+(Inputs!$B$23+0)/100)/2</f>
        <v/>
      </c>
      <c r="M1196">
        <f>L1196*(1+(Inputs!$B$10+0+B1217)/100)</f>
        <v/>
      </c>
      <c r="N1196">
        <f>L1196*(1-MIN((Inputs!$B$9+((C1203=TRUE)*(F1203-Calc!F16))+B1212),100)/100)+M1196*(MIN((Inputs!$B$9+((C1203=TRUE)*(F1203-Calc!F16))+B1212),100)/100)</f>
        <v/>
      </c>
      <c r="O1196">
        <f>(1-Summary!$B$55)*T1196+Summary!$B$55*V1196</f>
        <v/>
      </c>
      <c r="P1196">
        <f>IF(B1222=0,0,O1196/B1222)</f>
        <v/>
      </c>
      <c r="Q1196">
        <f>IFERROR(1/IF(Inputs!$B$38="pvp",15,MAX(0.1,Skills!D9-IF(Skills!E9=TRUE,2.5,0))),0)</f>
        <v/>
      </c>
      <c r="R1196">
        <f>IF(AND(Inputs!$B$38&lt;&gt;"pvp",Inputs!$B$43&gt;0),IF(MAX(0,Inputs!$B$43-B1219)&lt;=0,0,(INT(MAX(0,Inputs!$B$43-B1219)/IF(Inputs!$B$38="pvp",15,MAX(0.1,Skills!D9-IF(Skills!E9=TRUE,2.5,0))))+1)),0)</f>
        <v/>
      </c>
      <c r="S1196">
        <f>IFERROR(O1196/N1196,0)</f>
        <v/>
      </c>
      <c r="T1196">
        <f>IF(C1196,(H1196*N1196*IF(AND(Inputs!$B$38&lt;&gt;"pvp",Inputs!$B$43&gt;0),((Skills!G9*((R1196-1)*IF(Skills!H9&gt;0,Skills!I9/Skills!H9,1)+IF(Skills!H9&gt;0,MIN(Skills!I9,MAX(0,MAX(0,Inputs!$B$43-B1219)-((R1196-1)*IF(Inputs!$B$38="pvp",15,MAX(0.1,Skills!D9-IF(Skills!E9=TRUE,2.5,0))))))/Skills!H9,1)))/Inputs!$B$43),G1196*Q1196))*IF(Inputs!$B$38="pvp",1,1+(Inputs!$B$20+0+Skills!P9)/100),0)</f>
        <v/>
      </c>
      <c r="V1196">
        <f>IF(C1196,(H1196*N1196*IF(AND(Inputs!$B$38&lt;&gt;"pvp",Inputs!$B$43&gt;0),((Skills!G9*((R1196-1)*IF(Skills!H9&gt;0,Skills!I9/Skills!H9,1)+IF(Skills!H9&gt;0,MIN(Skills!I9,MAX(0,MAX(0,Inputs!$B$43-B1219)-((R1196-1)*IF(Inputs!$B$38="pvp",15,MAX(0.1,Skills!D9-IF(Skills!E9=TRUE,2.5,0))))))/Skills!H9,1)))/Inputs!$B$43),G1196*Q1196))*IF(Inputs!$B$38="pvp",1,(1+(Inputs!$B$21+Skills!Q9)/100)*(MIN(Skills!R9,Inputs!$B$37))),0)</f>
        <v/>
      </c>
    </row>
    <row r="1197">
      <c r="A1197">
        <f>Skills!A10</f>
        <v/>
      </c>
      <c r="B1197">
        <f>Skills!B10</f>
        <v/>
      </c>
      <c r="C1197">
        <f>Inputs!$B$3&gt;=103</f>
        <v/>
      </c>
      <c r="D1197">
        <f>IF(Skills!C10=1,60+Inputs!$B$25+Inputs!$B$29,IF(Skills!C10=2,90+Inputs!$B$26+Inputs!$B$29,IF(Skills!C10=3,120+Inputs!$B$27+Inputs!$B$29,MAX(0,(Inputs!$B$3-100)*3)+Inputs!$B$28+Inputs!$B$29)))</f>
        <v/>
      </c>
      <c r="E1197">
        <f>INDEX(FactorTable!$B$2:$Y$301, MATCH(ROUND(MIN(300,MAX(1,D1197)),0), FactorTable!$A$2:$A$301,0), Skills!M10+1)</f>
        <v/>
      </c>
      <c r="F1197">
        <f>IF(Skills!N10=TRUE,(Skills!L10/10)*(E1197/1000),Skills!L10/10)+Skills!O10</f>
        <v/>
      </c>
      <c r="G1197">
        <f>Skills!G10*IF(Skills!H10&gt;0,Skills!I10/Skills!H10,1)</f>
        <v/>
      </c>
      <c r="H1197">
        <f>1-(1-Skills!J10/100)^Skills!K10</f>
        <v/>
      </c>
      <c r="I1197" t="inlineStr">
        <is>
          <t>1</t>
        </is>
      </c>
      <c r="J1197">
        <f>((Inputs!$B$6*(1+Inputs!$B$7/100))+(((Inputs!$B$12*(1+Inputs!$B$13/100))-(Inputs!$B$12*(1+Inputs!$B$13/100)))+0.25*(Inputs!$B$14-Inputs!$B$14))*(1+Inputs!$B$7/100))*(F1197/100)</f>
        <v/>
      </c>
      <c r="K1197">
        <f>J1197*(1+((Inputs!$B$12*(1+Inputs!$B$13/100))*0.01+Inputs!$B$14*0.0025)/100)*(1+Inputs!$B$15/100)*(1+Inputs!$B$16/100)*(5000/(6000+Inputs!$B$42*(1-(Inputs!$B$19+0)/100)))*(1+(Inputs!$B$24+((C1209=TRUE)*(F1209-Calc!F22))+B1218)/100)*(1+(IF(Skills!A10="HOOK_BOMBER",Inputs!$B$17+((C1208=TRUE)*(F1208-Calc!F21)),Inputs!$B$18+0))/100)*((1+(((C1200=TRUE)*F1200)+((C1206=TRUE)*(F1206-Calc!F19)))/100)*I1197)</f>
        <v/>
      </c>
      <c r="L1197">
        <f>K1197*(MIN(Inputs!$B$22+((C1207=TRUE)*(F1207-Calc!F20)),Inputs!$B$23+0)/100+(Inputs!$B$23+0)/100)/2</f>
        <v/>
      </c>
      <c r="M1197">
        <f>L1197*(1+(Inputs!$B$10+0+B1217)/100)</f>
        <v/>
      </c>
      <c r="N1197">
        <f>L1197*(1-MIN((Inputs!$B$9+((C1203=TRUE)*(F1203-Calc!F16))+B1212),100)/100)+M1197*(MIN((Inputs!$B$9+((C1203=TRUE)*(F1203-Calc!F16))+B1212),100)/100)</f>
        <v/>
      </c>
      <c r="O1197">
        <f>(1-Summary!$B$55)*T1197+Summary!$B$55*V1197</f>
        <v/>
      </c>
      <c r="P1197">
        <f>IF(B1222=0,0,O1197/B1222)</f>
        <v/>
      </c>
      <c r="Q1197">
        <f>IFERROR(1/IF(Inputs!$B$38="pvp",15,MAX(0.1,Skills!D10-IF(Skills!E10=TRUE,2.5,0))),0)</f>
        <v/>
      </c>
      <c r="R1197">
        <f>IF(AND(Inputs!$B$38&lt;&gt;"pvp",Inputs!$B$43&gt;0),IF(MAX(0,Inputs!$B$43-B1219)&lt;=0,0,(INT(MAX(0,Inputs!$B$43-B1219)/IF(Inputs!$B$38="pvp",15,MAX(0.1,Skills!D10-IF(Skills!E10=TRUE,2.5,0))))+1)),0)</f>
        <v/>
      </c>
      <c r="S1197">
        <f>IFERROR(O1197/N1197,0)</f>
        <v/>
      </c>
      <c r="T1197">
        <f>IF(C1197,(H1197*N1197*IF(AND(Inputs!$B$38&lt;&gt;"pvp",Inputs!$B$43&gt;0),((Skills!G10*((R1197-1)*IF(Skills!H10&gt;0,Skills!I10/Skills!H10,1)+IF(Skills!H10&gt;0,MIN(Skills!I10,MAX(0,MAX(0,Inputs!$B$43-B1219)-((R1197-1)*IF(Inputs!$B$38="pvp",15,MAX(0.1,Skills!D10-IF(Skills!E10=TRUE,2.5,0))))))/Skills!H10,1)))/Inputs!$B$43),G1197*Q1197))*IF(Inputs!$B$38="pvp",1,1+(Inputs!$B$20+0+Skills!P10)/100),0)</f>
        <v/>
      </c>
      <c r="V1197">
        <f>IF(C1197,(H1197*N1197*IF(AND(Inputs!$B$38&lt;&gt;"pvp",Inputs!$B$43&gt;0),((Skills!G10*((R1197-1)*IF(Skills!H10&gt;0,Skills!I10/Skills!H10,1)+IF(Skills!H10&gt;0,MIN(Skills!I10,MAX(0,MAX(0,Inputs!$B$43-B1219)-((R1197-1)*IF(Inputs!$B$38="pvp",15,MAX(0.1,Skills!D10-IF(Skills!E10=TRUE,2.5,0))))))/Skills!H10,1)))/Inputs!$B$43),G1197*Q1197))*IF(Inputs!$B$38="pvp",1,(1+(Inputs!$B$21+Skills!Q10)/100)*(MIN(Skills!R10,Inputs!$B$37))),0)</f>
        <v/>
      </c>
    </row>
    <row r="1198">
      <c r="A1198">
        <f>Skills!A11</f>
        <v/>
      </c>
      <c r="B1198">
        <f>Skills!B11</f>
        <v/>
      </c>
      <c r="C1198">
        <f>Inputs!$B$3&gt;=113</f>
        <v/>
      </c>
      <c r="D1198">
        <f>IF(Skills!C11=1,60+Inputs!$B$25+Inputs!$B$29,IF(Skills!C11=2,90+Inputs!$B$26+Inputs!$B$29,IF(Skills!C11=3,120+Inputs!$B$27+Inputs!$B$29,MAX(0,(Inputs!$B$3-100)*3)+Inputs!$B$28+Inputs!$B$29)))</f>
        <v/>
      </c>
      <c r="E1198">
        <f>INDEX(FactorTable!$B$2:$Y$301, MATCH(ROUND(MIN(300,MAX(1,D1198)),0), FactorTable!$A$2:$A$301,0), Skills!M11+1)</f>
        <v/>
      </c>
      <c r="F1198">
        <f>IF(Skills!N11=TRUE,(Skills!L11/10)*(E1198/1000),Skills!L11/10)+Skills!O11</f>
        <v/>
      </c>
      <c r="G1198">
        <f>Skills!G11*IF(Skills!H11&gt;0,Skills!I11/Skills!H11,1)</f>
        <v/>
      </c>
      <c r="H1198">
        <f>1-(1-Skills!J11/100)^Skills!K11</f>
        <v/>
      </c>
      <c r="I1198" t="inlineStr">
        <is>
          <t>1</t>
        </is>
      </c>
      <c r="J1198">
        <f>((Inputs!$B$6*(1+Inputs!$B$7/100))+(((Inputs!$B$12*(1+Inputs!$B$13/100))-(Inputs!$B$12*(1+Inputs!$B$13/100)))+0.25*(Inputs!$B$14-Inputs!$B$14))*(1+Inputs!$B$7/100))*(F1198/100)</f>
        <v/>
      </c>
      <c r="K1198">
        <f>J1198*(1+((Inputs!$B$12*(1+Inputs!$B$13/100))*0.01+Inputs!$B$14*0.0025)/100)*(1+Inputs!$B$15/100)*(1+Inputs!$B$16/100)*(5000/(6000+Inputs!$B$42*(1-(Inputs!$B$19+0)/100)))*(1+(Inputs!$B$24+((C1209=TRUE)*(F1209-Calc!F22))+B1218)/100)*(1+(IF(Skills!A11="HOOK_BOMBER",Inputs!$B$17+((C1208=TRUE)*(F1208-Calc!F21)),Inputs!$B$18+0))/100)*((1+(((C1200=TRUE)*F1200)+((C1206=TRUE)*(F1206-Calc!F19)))/100)*I1198)</f>
        <v/>
      </c>
      <c r="L1198">
        <f>K1198*(MIN(Inputs!$B$22+((C1207=TRUE)*(F1207-Calc!F20)),Inputs!$B$23+0)/100+(Inputs!$B$23+0)/100)/2</f>
        <v/>
      </c>
      <c r="M1198">
        <f>L1198*(1+(Inputs!$B$10+0+B1217)/100)</f>
        <v/>
      </c>
      <c r="N1198">
        <f>L1198*(1-MIN((Inputs!$B$9+((C1203=TRUE)*(F1203-Calc!F16))+B1212),100)/100)+M1198*(MIN((Inputs!$B$9+((C1203=TRUE)*(F1203-Calc!F16))+B1212),100)/100)</f>
        <v/>
      </c>
      <c r="O1198">
        <f>(1-Summary!$B$55)*T1198+Summary!$B$55*V1198</f>
        <v/>
      </c>
      <c r="P1198">
        <f>IF(B1222=0,0,O1198/B1222)</f>
        <v/>
      </c>
      <c r="Q1198">
        <f>IFERROR(1/IF(Inputs!$B$38="pvp",15,MAX(0.1,Skills!D11-IF(Skills!E11=TRUE,2.5,0))),0)</f>
        <v/>
      </c>
      <c r="R1198">
        <f>IF(AND(Inputs!$B$38&lt;&gt;"pvp",Inputs!$B$43&gt;0),IF(MAX(0,Inputs!$B$43-B1219)&lt;=0,0,(INT(MAX(0,Inputs!$B$43-B1219)/IF(Inputs!$B$38="pvp",15,MAX(0.1,Skills!D11-IF(Skills!E11=TRUE,2.5,0))))+1)),0)</f>
        <v/>
      </c>
      <c r="S1198">
        <f>IFERROR(O1198/N1198,0)</f>
        <v/>
      </c>
      <c r="T1198">
        <f>IF(C1198,(H1198*N1198*IF(AND(Inputs!$B$38&lt;&gt;"pvp",Inputs!$B$43&gt;0),((Skills!G11*((R1198-1)*IF(Skills!H11&gt;0,Skills!I11/Skills!H11,1)+IF(Skills!H11&gt;0,MIN(Skills!I11,MAX(0,MAX(0,Inputs!$B$43-B1219)-((R1198-1)*IF(Inputs!$B$38="pvp",15,MAX(0.1,Skills!D11-IF(Skills!E11=TRUE,2.5,0))))))/Skills!H11,1)))/Inputs!$B$43),G1198*Q1198))*IF(Inputs!$B$38="pvp",1,1+(Inputs!$B$20+0+Skills!P11)/100),0)</f>
        <v/>
      </c>
      <c r="V1198">
        <f>IF(C1198,(H1198*N1198*IF(AND(Inputs!$B$38&lt;&gt;"pvp",Inputs!$B$43&gt;0),((Skills!G11*((R1198-1)*IF(Skills!H11&gt;0,Skills!I11/Skills!H11,1)+IF(Skills!H11&gt;0,MIN(Skills!I11,MAX(0,MAX(0,Inputs!$B$43-B1219)-((R1198-1)*IF(Inputs!$B$38="pvp",15,MAX(0.1,Skills!D11-IF(Skills!E11=TRUE,2.5,0))))))/Skills!H11,1)))/Inputs!$B$43),G1198*Q1198))*IF(Inputs!$B$38="pvp",1,(1+(Inputs!$B$21+Skills!Q11)/100)*(MIN(Skills!R11,Inputs!$B$37))),0)</f>
        <v/>
      </c>
    </row>
    <row r="1199">
      <c r="A1199">
        <f>Skills!A12</f>
        <v/>
      </c>
      <c r="B1199">
        <f>Skills!B12</f>
        <v/>
      </c>
      <c r="C1199">
        <f>Inputs!$B$3&gt;=100</f>
        <v/>
      </c>
      <c r="D1199">
        <f>IF(Skills!C12=1,60+Inputs!$B$25+Inputs!$B$29,IF(Skills!C12=2,90+Inputs!$B$26+Inputs!$B$29,IF(Skills!C12=3,120+Inputs!$B$27+Inputs!$B$29,MAX(0,(Inputs!$B$3-100)*3)+Inputs!$B$28+Inputs!$B$29)))</f>
        <v/>
      </c>
      <c r="E1199">
        <f>INDEX(FactorTable!$B$2:$Y$301, MATCH(ROUND(MIN(300,MAX(1,D1199)),0), FactorTable!$A$2:$A$301,0), Skills!M12+1)</f>
        <v/>
      </c>
      <c r="F1199">
        <f>IF(Skills!N12=TRUE,(Skills!L12/10)*(E1199/1000),Skills!L12/10)+Skills!O12</f>
        <v/>
      </c>
      <c r="G1199" t="inlineStr"/>
      <c r="H1199" t="inlineStr"/>
      <c r="I1199" t="inlineStr">
        <is>
          <t>1</t>
        </is>
      </c>
      <c r="J1199" t="inlineStr"/>
      <c r="K1199" t="inlineStr"/>
      <c r="L1199" t="inlineStr"/>
      <c r="M1199" t="inlineStr"/>
      <c r="N1199" t="inlineStr"/>
      <c r="O1199" t="inlineStr"/>
      <c r="P1199" t="inlineStr"/>
      <c r="Q1199" t="inlineStr"/>
      <c r="R1199" t="inlineStr"/>
      <c r="S1199" t="inlineStr"/>
      <c r="T1199" t="inlineStr"/>
      <c r="V1199" t="inlineStr"/>
    </row>
    <row r="1200">
      <c r="A1200">
        <f>Skills!A13</f>
        <v/>
      </c>
      <c r="B1200">
        <f>Skills!B13</f>
        <v/>
      </c>
      <c r="C1200">
        <f>Inputs!$B$3&gt;=66</f>
        <v/>
      </c>
      <c r="D1200">
        <f>IF(Skills!C13=1,60+Inputs!$B$25+Inputs!$B$29,IF(Skills!C13=2,90+Inputs!$B$26+Inputs!$B$29,IF(Skills!C13=3,120+Inputs!$B$27+Inputs!$B$29,MAX(0,(Inputs!$B$3-100)*3)+Inputs!$B$28+Inputs!$B$29)))</f>
        <v/>
      </c>
      <c r="E1200">
        <f>INDEX(FactorTable!$B$2:$Y$301, MATCH(ROUND(MIN(300,MAX(1,D1200)),0), FactorTable!$A$2:$A$301,0), Skills!M13+1)</f>
        <v/>
      </c>
      <c r="F1200">
        <f>IF(Skills!N13=TRUE,(Skills!L13/10)*(E1200/1000),Skills!L13/10)+Skills!O13</f>
        <v/>
      </c>
      <c r="G1200">
        <f>Skills!G13*IF(Skills!H13&gt;0,Skills!I13/Skills!H13,1)</f>
        <v/>
      </c>
      <c r="H1200">
        <f>1-(1-Skills!J13/100)^Skills!K13</f>
        <v/>
      </c>
      <c r="I1200" t="inlineStr">
        <is>
          <t>1</t>
        </is>
      </c>
      <c r="J1200" t="inlineStr"/>
      <c r="K1200" t="inlineStr"/>
      <c r="L1200" t="inlineStr"/>
      <c r="M1200" t="inlineStr"/>
      <c r="N1200" t="inlineStr"/>
      <c r="O1200">
        <f>(1-Summary!$B$55)*T1200+Summary!$B$55*V1200</f>
        <v/>
      </c>
      <c r="P1200">
        <f>IF(B1222=0,0,O1200/B1222)</f>
        <v/>
      </c>
      <c r="Q1200" t="n">
        <v>0</v>
      </c>
      <c r="R1200" t="n">
        <v>0</v>
      </c>
      <c r="S1200">
        <f>IFERROR(O1200/N1200,0)</f>
        <v/>
      </c>
      <c r="T1200" t="n">
        <v>0</v>
      </c>
      <c r="V1200" t="n">
        <v>0</v>
      </c>
    </row>
    <row r="1201">
      <c r="A1201">
        <f>Skills!A14</f>
        <v/>
      </c>
      <c r="B1201">
        <f>Skills!B14</f>
        <v/>
      </c>
      <c r="C1201">
        <f>Inputs!$B$3&gt;=107</f>
        <v/>
      </c>
      <c r="D1201">
        <f>IF(Skills!C14=1,60+Inputs!$B$25+Inputs!$B$29,IF(Skills!C14=2,90+Inputs!$B$26+Inputs!$B$29,IF(Skills!C14=3,120+Inputs!$B$27+Inputs!$B$29,MAX(0,(Inputs!$B$3-100)*3)+Inputs!$B$28+Inputs!$B$29)))</f>
        <v/>
      </c>
      <c r="E1201">
        <f>INDEX(FactorTable!$B$2:$Y$301, MATCH(ROUND(MIN(300,MAX(1,D1201)),0), FactorTable!$A$2:$A$301,0), Skills!M14+1)</f>
        <v/>
      </c>
      <c r="F1201">
        <f>IF(Skills!N14=TRUE,(Skills!L14/10)*(E1201/1000),Skills!L14/10)+Skills!O14</f>
        <v/>
      </c>
      <c r="G1201">
        <f>Skills!G14*IF(Skills!H14&gt;0,Skills!I14/Skills!H14,1)</f>
        <v/>
      </c>
      <c r="H1201">
        <f>1-(1-Skills!J14/100)^Skills!K14</f>
        <v/>
      </c>
      <c r="I1201" t="inlineStr">
        <is>
          <t>1</t>
        </is>
      </c>
      <c r="J1201" t="inlineStr"/>
      <c r="K1201" t="inlineStr"/>
      <c r="L1201" t="inlineStr"/>
      <c r="M1201" t="inlineStr"/>
      <c r="N1201" t="inlineStr"/>
      <c r="O1201">
        <f>(1-Summary!$B$55)*T1201+Summary!$B$55*V1201</f>
        <v/>
      </c>
      <c r="P1201">
        <f>IF(B1222=0,0,O1201/B1222)</f>
        <v/>
      </c>
      <c r="Q1201" t="n">
        <v>0</v>
      </c>
      <c r="R1201" t="n">
        <v>0</v>
      </c>
      <c r="S1201">
        <f>IFERROR(O1201/N1201,0)</f>
        <v/>
      </c>
      <c r="T1201" t="n">
        <v>0</v>
      </c>
      <c r="V1201" t="n">
        <v>0</v>
      </c>
    </row>
    <row r="1202">
      <c r="A1202">
        <f>Skills!A15</f>
        <v/>
      </c>
      <c r="B1202">
        <f>Skills!B15</f>
        <v/>
      </c>
      <c r="C1202">
        <f>Inputs!$B$3&gt;=115</f>
        <v/>
      </c>
      <c r="D1202">
        <f>IF(Skills!C15=1,60+Inputs!$B$25+Inputs!$B$29,IF(Skills!C15=2,90+Inputs!$B$26+Inputs!$B$29,IF(Skills!C15=3,120+Inputs!$B$27+Inputs!$B$29,MAX(0,(Inputs!$B$3-100)*3)+Inputs!$B$28+Inputs!$B$29)))</f>
        <v/>
      </c>
      <c r="E1202">
        <f>INDEX(FactorTable!$B$2:$Y$301, MATCH(ROUND(MIN(300,MAX(1,D1202)),0), FactorTable!$A$2:$A$301,0), Skills!M15+1)</f>
        <v/>
      </c>
      <c r="F1202">
        <f>IF(Skills!N15=TRUE,(Skills!L15/10)*(E1202/1000),Skills!L15/10)+Skills!O15</f>
        <v/>
      </c>
      <c r="G1202">
        <f>Skills!G15*IF(Skills!H15&gt;0,Skills!I15/Skills!H15,1)</f>
        <v/>
      </c>
      <c r="H1202">
        <f>1-(1-Skills!J15/100)^Skills!K15</f>
        <v/>
      </c>
      <c r="I1202" t="inlineStr">
        <is>
          <t>1</t>
        </is>
      </c>
      <c r="J1202" t="inlineStr"/>
      <c r="K1202" t="inlineStr"/>
      <c r="L1202" t="inlineStr"/>
      <c r="M1202" t="inlineStr"/>
      <c r="N1202" t="inlineStr"/>
      <c r="O1202">
        <f>(1-Summary!$B$55)*T1202+Summary!$B$55*V1202</f>
        <v/>
      </c>
      <c r="P1202">
        <f>IF(B1222=0,0,O1202/B1222)</f>
        <v/>
      </c>
      <c r="Q1202" t="n">
        <v>0</v>
      </c>
      <c r="R1202" t="n">
        <v>0</v>
      </c>
      <c r="S1202">
        <f>IFERROR(O1202/N1202,0)</f>
        <v/>
      </c>
      <c r="T1202" t="n">
        <v>0</v>
      </c>
      <c r="V1202" t="n">
        <v>0</v>
      </c>
    </row>
    <row r="1203">
      <c r="A1203">
        <f>Skills!A16</f>
        <v/>
      </c>
      <c r="B1203">
        <f>Skills!B16</f>
        <v/>
      </c>
      <c r="C1203">
        <f>Inputs!$B$3&gt;=15</f>
        <v/>
      </c>
      <c r="D1203">
        <f>IF(Skills!C16=1,60+Inputs!$B$25+Inputs!$B$29,IF(Skills!C16=2,90+Inputs!$B$26+Inputs!$B$29,IF(Skills!C16=3,120+Inputs!$B$27+Inputs!$B$29,MAX(0,(Inputs!$B$3-100)*3)+Inputs!$B$28+Inputs!$B$29)))</f>
        <v/>
      </c>
      <c r="E1203">
        <f>INDEX(FactorTable!$B$2:$Y$301, MATCH(ROUND(MIN(300,MAX(1,D1203)),0), FactorTable!$A$2:$A$301,0), Skills!M16+1)</f>
        <v/>
      </c>
      <c r="F1203">
        <f>IF(Skills!N16=TRUE,(Skills!L16/10)*(E1203/1000),Skills!L16/10)+Skills!O16</f>
        <v/>
      </c>
      <c r="G1203">
        <f>Skills!G16*IF(Skills!H16&gt;0,Skills!I16/Skills!H16,1)</f>
        <v/>
      </c>
      <c r="H1203">
        <f>1-(1-Skills!J16/100)^Skills!K16</f>
        <v/>
      </c>
      <c r="I1203" t="inlineStr">
        <is>
          <t>1</t>
        </is>
      </c>
      <c r="J1203" t="inlineStr"/>
      <c r="K1203" t="inlineStr"/>
      <c r="L1203" t="inlineStr"/>
      <c r="M1203" t="inlineStr"/>
      <c r="N1203" t="inlineStr"/>
      <c r="O1203">
        <f>(1-Summary!$B$55)*T1203+Summary!$B$55*V1203</f>
        <v/>
      </c>
      <c r="P1203">
        <f>IF(B1222=0,0,O1203/B1222)</f>
        <v/>
      </c>
      <c r="Q1203" t="n">
        <v>0</v>
      </c>
      <c r="R1203" t="n">
        <v>0</v>
      </c>
      <c r="S1203">
        <f>IFERROR(O1203/N1203,0)</f>
        <v/>
      </c>
      <c r="T1203" t="n">
        <v>0</v>
      </c>
      <c r="V1203" t="n">
        <v>0</v>
      </c>
    </row>
    <row r="1204">
      <c r="A1204">
        <f>Skills!A17</f>
        <v/>
      </c>
      <c r="B1204">
        <f>Skills!B17</f>
        <v/>
      </c>
      <c r="C1204">
        <f>Inputs!$B$3&gt;=10</f>
        <v/>
      </c>
      <c r="D1204">
        <f>IF(Skills!C17=1,60+Inputs!$B$25+Inputs!$B$29,IF(Skills!C17=2,90+Inputs!$B$26+Inputs!$B$29,IF(Skills!C17=3,120+Inputs!$B$27+Inputs!$B$29,MAX(0,(Inputs!$B$3-100)*3)+Inputs!$B$28+Inputs!$B$29)))</f>
        <v/>
      </c>
      <c r="E1204">
        <f>INDEX(FactorTable!$B$2:$Y$301, MATCH(ROUND(MIN(300,MAX(1,D1204)),0), FactorTable!$A$2:$A$301,0), Skills!M17+1)</f>
        <v/>
      </c>
      <c r="F1204">
        <f>IF(Skills!N17=TRUE,(Skills!L17/10)*(E1204/1000),Skills!L17/10)+Skills!O17</f>
        <v/>
      </c>
      <c r="G1204">
        <f>Skills!G17*IF(Skills!H17&gt;0,Skills!I17/Skills!H17,1)</f>
        <v/>
      </c>
      <c r="H1204">
        <f>1-(1-Skills!J17/100)^Skills!K17</f>
        <v/>
      </c>
      <c r="I1204" t="inlineStr">
        <is>
          <t>1</t>
        </is>
      </c>
      <c r="J1204" t="inlineStr"/>
      <c r="K1204" t="inlineStr"/>
      <c r="L1204" t="inlineStr"/>
      <c r="M1204" t="inlineStr"/>
      <c r="N1204" t="inlineStr"/>
      <c r="O1204">
        <f>(1-Summary!$B$55)*T1204+Summary!$B$55*V1204</f>
        <v/>
      </c>
      <c r="P1204">
        <f>IF(B1222=0,0,O1204/B1222)</f>
        <v/>
      </c>
      <c r="Q1204" t="n">
        <v>0</v>
      </c>
      <c r="R1204" t="n">
        <v>0</v>
      </c>
      <c r="S1204">
        <f>IFERROR(O1204/N1204,0)</f>
        <v/>
      </c>
      <c r="T1204" t="n">
        <v>0</v>
      </c>
      <c r="V1204" t="n">
        <v>0</v>
      </c>
    </row>
    <row r="1205">
      <c r="A1205">
        <f>Skills!A18</f>
        <v/>
      </c>
      <c r="B1205">
        <f>Skills!B18</f>
        <v/>
      </c>
      <c r="C1205">
        <f>Inputs!$B$3&gt;=33</f>
        <v/>
      </c>
      <c r="D1205">
        <f>IF(Skills!C18=1,60+Inputs!$B$25+Inputs!$B$29,IF(Skills!C18=2,90+Inputs!$B$26+Inputs!$B$29,IF(Skills!C18=3,120+Inputs!$B$27+Inputs!$B$29,MAX(0,(Inputs!$B$3-100)*3)+Inputs!$B$28+Inputs!$B$29)))</f>
        <v/>
      </c>
      <c r="E1205">
        <f>INDEX(FactorTable!$B$2:$Y$301, MATCH(ROUND(MIN(300,MAX(1,D1205)),0), FactorTable!$A$2:$A$301,0), Skills!M18+1)</f>
        <v/>
      </c>
      <c r="F1205">
        <f>IF(Skills!N18=TRUE,(Skills!L18/10)*(E1205/1000),Skills!L18/10)+Skills!O18</f>
        <v/>
      </c>
      <c r="G1205">
        <f>Skills!G18*IF(Skills!H18&gt;0,Skills!I18/Skills!H18,1)</f>
        <v/>
      </c>
      <c r="H1205">
        <f>1-(1-Skills!J18/100)^Skills!K18</f>
        <v/>
      </c>
      <c r="I1205" t="inlineStr">
        <is>
          <t>1</t>
        </is>
      </c>
      <c r="J1205" t="inlineStr"/>
      <c r="K1205" t="inlineStr"/>
      <c r="L1205" t="inlineStr"/>
      <c r="M1205" t="inlineStr"/>
      <c r="N1205" t="inlineStr"/>
      <c r="O1205">
        <f>(1-Summary!$B$55)*T1205+Summary!$B$55*V1205</f>
        <v/>
      </c>
      <c r="P1205">
        <f>IF(B1222=0,0,O1205/B1222)</f>
        <v/>
      </c>
      <c r="Q1205" t="n">
        <v>0</v>
      </c>
      <c r="R1205" t="n">
        <v>0</v>
      </c>
      <c r="S1205">
        <f>IFERROR(O1205/N1205,0)</f>
        <v/>
      </c>
      <c r="T1205" t="n">
        <v>0</v>
      </c>
      <c r="V1205" t="n">
        <v>0</v>
      </c>
    </row>
    <row r="1206">
      <c r="A1206">
        <f>Skills!A19</f>
        <v/>
      </c>
      <c r="B1206">
        <f>Skills!B19</f>
        <v/>
      </c>
      <c r="C1206">
        <f>Inputs!$B$3&gt;=40</f>
        <v/>
      </c>
      <c r="D1206">
        <f>IF(Skills!C19=1,60+Inputs!$B$25+Inputs!$B$29,IF(Skills!C19=2,90+Inputs!$B$26+Inputs!$B$29,IF(Skills!C19=3,120+Inputs!$B$27+Inputs!$B$29,MAX(0,(Inputs!$B$3-100)*3)+Inputs!$B$28+Inputs!$B$29)))</f>
        <v/>
      </c>
      <c r="E1206">
        <f>INDEX(FactorTable!$B$2:$Y$301, MATCH(ROUND(MIN(300,MAX(1,D1206)),0), FactorTable!$A$2:$A$301,0), Skills!M19+1)</f>
        <v/>
      </c>
      <c r="F1206">
        <f>IF(Skills!N19=TRUE,(Skills!L19/10)*(E1206/1000),Skills!L19/10)+Skills!O19</f>
        <v/>
      </c>
      <c r="G1206">
        <f>Skills!G19*IF(Skills!H19&gt;0,Skills!I19/Skills!H19,1)</f>
        <v/>
      </c>
      <c r="H1206">
        <f>1-(1-Skills!J19/100)^Skills!K19</f>
        <v/>
      </c>
      <c r="I1206" t="inlineStr">
        <is>
          <t>1</t>
        </is>
      </c>
      <c r="J1206" t="inlineStr"/>
      <c r="K1206" t="inlineStr"/>
      <c r="L1206" t="inlineStr"/>
      <c r="M1206" t="inlineStr"/>
      <c r="N1206" t="inlineStr"/>
      <c r="O1206">
        <f>(1-Summary!$B$55)*T1206+Summary!$B$55*V1206</f>
        <v/>
      </c>
      <c r="P1206">
        <f>IF(B1222=0,0,O1206/B1222)</f>
        <v/>
      </c>
      <c r="Q1206" t="n">
        <v>0</v>
      </c>
      <c r="R1206" t="n">
        <v>0</v>
      </c>
      <c r="S1206">
        <f>IFERROR(O1206/N1206,0)</f>
        <v/>
      </c>
      <c r="T1206" t="n">
        <v>0</v>
      </c>
      <c r="V1206" t="n">
        <v>0</v>
      </c>
    </row>
    <row r="1207">
      <c r="A1207">
        <f>Skills!A20</f>
        <v/>
      </c>
      <c r="B1207">
        <f>Skills!B20</f>
        <v/>
      </c>
      <c r="C1207">
        <f>Inputs!$B$3&gt;=43</f>
        <v/>
      </c>
      <c r="D1207">
        <f>IF(Skills!C20=1,60+Inputs!$B$25+Inputs!$B$29,IF(Skills!C20=2,90+Inputs!$B$26+Inputs!$B$29,IF(Skills!C20=3,120+Inputs!$B$27+Inputs!$B$29,MAX(0,(Inputs!$B$3-100)*3)+Inputs!$B$28+Inputs!$B$29)))</f>
        <v/>
      </c>
      <c r="E1207">
        <f>INDEX(FactorTable!$B$2:$Y$301, MATCH(ROUND(MIN(300,MAX(1,D1207)),0), FactorTable!$A$2:$A$301,0), Skills!M20+1)</f>
        <v/>
      </c>
      <c r="F1207">
        <f>IF(Skills!N20=TRUE,(Skills!L20/10)*(E1207/1000),Skills!L20/10)+Skills!O20</f>
        <v/>
      </c>
      <c r="G1207">
        <f>Skills!G20*IF(Skills!H20&gt;0,Skills!I20/Skills!H20,1)</f>
        <v/>
      </c>
      <c r="H1207">
        <f>1-(1-Skills!J20/100)^Skills!K20</f>
        <v/>
      </c>
      <c r="I1207" t="inlineStr">
        <is>
          <t>1</t>
        </is>
      </c>
      <c r="J1207" t="inlineStr"/>
      <c r="K1207" t="inlineStr"/>
      <c r="L1207" t="inlineStr"/>
      <c r="M1207" t="inlineStr"/>
      <c r="N1207" t="inlineStr"/>
      <c r="O1207">
        <f>(1-Summary!$B$55)*T1207+Summary!$B$55*V1207</f>
        <v/>
      </c>
      <c r="P1207">
        <f>IF(B1222=0,0,O1207/B1222)</f>
        <v/>
      </c>
      <c r="Q1207" t="n">
        <v>0</v>
      </c>
      <c r="R1207" t="n">
        <v>0</v>
      </c>
      <c r="S1207">
        <f>IFERROR(O1207/N1207,0)</f>
        <v/>
      </c>
      <c r="T1207" t="n">
        <v>0</v>
      </c>
      <c r="V1207" t="n">
        <v>0</v>
      </c>
    </row>
    <row r="1208">
      <c r="A1208">
        <f>Skills!A21</f>
        <v/>
      </c>
      <c r="B1208">
        <f>Skills!B21</f>
        <v/>
      </c>
      <c r="C1208">
        <f>Inputs!$B$3&gt;=38</f>
        <v/>
      </c>
      <c r="D1208">
        <f>IF(Skills!C21=1,60+Inputs!$B$25+Inputs!$B$29,IF(Skills!C21=2,90+Inputs!$B$26+Inputs!$B$29,IF(Skills!C21=3,120+Inputs!$B$27+Inputs!$B$29,MAX(0,(Inputs!$B$3-100)*3)+Inputs!$B$28+Inputs!$B$29)))</f>
        <v/>
      </c>
      <c r="E1208">
        <f>INDEX(FactorTable!$B$2:$Y$301, MATCH(ROUND(MIN(300,MAX(1,D1208)),0), FactorTable!$A$2:$A$301,0), Skills!M21+1)</f>
        <v/>
      </c>
      <c r="F1208">
        <f>IF(Skills!N21=TRUE,(Skills!L21/10)*(E1208/1000),Skills!L21/10)+Skills!O21</f>
        <v/>
      </c>
      <c r="G1208">
        <f>Skills!G21*IF(Skills!H21&gt;0,Skills!I21/Skills!H21,1)</f>
        <v/>
      </c>
      <c r="H1208">
        <f>1-(1-Skills!J21/100)^Skills!K21</f>
        <v/>
      </c>
      <c r="I1208" t="inlineStr">
        <is>
          <t>1</t>
        </is>
      </c>
      <c r="J1208" t="inlineStr"/>
      <c r="K1208" t="inlineStr"/>
      <c r="L1208" t="inlineStr"/>
      <c r="M1208" t="inlineStr"/>
      <c r="N1208" t="inlineStr"/>
      <c r="O1208">
        <f>(1-Summary!$B$55)*T1208+Summary!$B$55*V1208</f>
        <v/>
      </c>
      <c r="P1208">
        <f>IF(B1222=0,0,O1208/B1222)</f>
        <v/>
      </c>
      <c r="Q1208" t="n">
        <v>0</v>
      </c>
      <c r="R1208" t="n">
        <v>0</v>
      </c>
      <c r="S1208">
        <f>IFERROR(O1208/N1208,0)</f>
        <v/>
      </c>
      <c r="T1208" t="n">
        <v>0</v>
      </c>
      <c r="V1208" t="n">
        <v>0</v>
      </c>
    </row>
    <row r="1209">
      <c r="A1209">
        <f>Skills!A22</f>
        <v/>
      </c>
      <c r="B1209">
        <f>Skills!B22</f>
        <v/>
      </c>
      <c r="C1209">
        <f>Inputs!$B$3&gt;=75</f>
        <v/>
      </c>
      <c r="D1209">
        <f>IF(Skills!C22=1,60+Inputs!$B$25+Inputs!$B$29,IF(Skills!C22=2,90+Inputs!$B$26+Inputs!$B$29,IF(Skills!C22=3,120+Inputs!$B$27+Inputs!$B$29,MAX(0,(Inputs!$B$3-100)*3)+Inputs!$B$28+Inputs!$B$29)))</f>
        <v/>
      </c>
      <c r="E1209">
        <f>INDEX(FactorTable!$B$2:$Y$301, MATCH(ROUND(MIN(300,MAX(1,D1209)),0), FactorTable!$A$2:$A$301,0), Skills!M22+1)</f>
        <v/>
      </c>
      <c r="F1209">
        <f>IF(Skills!N22=TRUE,(Skills!L22/10)*(E1209/1000),Skills!L22/10)+Skills!O22</f>
        <v/>
      </c>
      <c r="G1209">
        <f>Skills!G22*IF(Skills!H22&gt;0,Skills!I22/Skills!H22,1)</f>
        <v/>
      </c>
      <c r="H1209">
        <f>1-(1-Skills!J22/100)^Skills!K22</f>
        <v/>
      </c>
      <c r="I1209" t="inlineStr">
        <is>
          <t>1</t>
        </is>
      </c>
      <c r="J1209" t="inlineStr"/>
      <c r="K1209" t="inlineStr"/>
      <c r="L1209" t="inlineStr"/>
      <c r="M1209" t="inlineStr"/>
      <c r="N1209" t="inlineStr"/>
      <c r="O1209">
        <f>(1-Summary!$B$55)*T1209+Summary!$B$55*V1209</f>
        <v/>
      </c>
      <c r="P1209">
        <f>IF(B1222=0,0,O1209/B1222)</f>
        <v/>
      </c>
      <c r="Q1209" t="n">
        <v>0</v>
      </c>
      <c r="R1209" t="n">
        <v>0</v>
      </c>
      <c r="S1209">
        <f>IFERROR(O1209/N1209,0)</f>
        <v/>
      </c>
      <c r="T1209" t="n">
        <v>0</v>
      </c>
      <c r="V1209" t="n">
        <v>0</v>
      </c>
    </row>
    <row r="1211">
      <c r="A1211" t="inlineStr">
        <is>
          <t>Attack% Bucket Multiplier</t>
        </is>
      </c>
      <c r="B1211">
        <f>(1+(((C1200=TRUE)*F1200)+((C1206=TRUE)*(F1206-Calc!F19)))/100)</f>
        <v/>
      </c>
    </row>
    <row r="1212">
      <c r="A1212" t="inlineStr">
        <is>
          <t>Global Crit Rate Bonus %</t>
        </is>
      </c>
      <c r="B1212" t="n">
        <v>0</v>
      </c>
    </row>
    <row r="1213">
      <c r="A1213" t="inlineStr">
        <is>
          <t>Attack Speed Buff Bonus % (unused)</t>
        </is>
      </c>
      <c r="B1213" t="n">
        <v>0</v>
      </c>
    </row>
    <row r="1214">
      <c r="A1214" t="inlineStr">
        <is>
          <t>Actions Per Second</t>
        </is>
      </c>
      <c r="B1214">
        <f>1+MIN(150,150*(1-(1-(Inputs!$B$11+((C1204=TRUE)*(F1204-Calc!F17))+((C1205=TRUE)*(F1205-Calc!F18)))/150)*(1-B1213/150)))/100</f>
        <v/>
      </c>
    </row>
    <row r="1215">
      <c r="A1215" t="inlineStr">
        <is>
          <t>Skill + Buff Cast Rate</t>
        </is>
      </c>
      <c r="B1215">
        <f>IF(AND(Inputs!$B$38&lt;&gt;"pvp",Inputs!$B$43&gt;0),SUMPRODUCT((Skills!E2:E22=TRUE)*(C1189:C1209=TRUE)*R1189:R1209*Skills!F2:F22)/Inputs!$B$43,SUMPRODUCT((Skills!E2:E22=TRUE)*(C1189:C1209=TRUE)*Q1189:Q1209*Skills!F2:F22))</f>
        <v/>
      </c>
    </row>
    <row r="1216">
      <c r="A1216" t="inlineStr">
        <is>
          <t>Hook Bomber Casts Per Second</t>
        </is>
      </c>
      <c r="B1216">
        <f>MAX(0,B1214-B1215)</f>
        <v/>
      </c>
    </row>
    <row r="1217">
      <c r="A1217" t="inlineStr">
        <is>
          <t>Global Critical Damage Bonus % (unused)</t>
        </is>
      </c>
      <c r="B1217" t="n">
        <v>0</v>
      </c>
    </row>
    <row r="1218">
      <c r="A1218" t="inlineStr">
        <is>
          <t>Global Final Damage Bonus % (Serpent Scale + Crossbones + Time Leap + Speed Infusion)</t>
        </is>
      </c>
      <c r="B1218">
        <f>((C1192=TRUE)*F1192*((10+IF(Inputs!$B$3&gt;=94,5,0))/((10+IF(Inputs!$B$3&gt;=94,5,0))+5/(B1216*(1+IF(Inputs!$B$3&gt;=104,1,0))))))+((C1201=TRUE)*F1201)+((C1202=TRUE)*F1202)+((Inputs!$B$3&gt;=110)*20*(B1214-1))</f>
        <v/>
      </c>
    </row>
    <row r="1219">
      <c r="A1219" t="inlineStr">
        <is>
          <t>Buff-Casting Startup Delay (s, fixed-duration only)</t>
        </is>
      </c>
      <c r="B1219">
        <f>IF(AND(Inputs!$B$38&lt;&gt;"pvp",Inputs!$B$43&gt;0),SUMPRODUCT((Skills!T2:T22&gt;0)*(Skills!E2:E22=TRUE)*(C1189:C1209=TRUE))/B1214,0)</f>
        <v/>
      </c>
    </row>
    <row r="1220">
      <c r="A1220" t="inlineStr">
        <is>
          <t>Boss-Only Total DPS (this block's swept value)</t>
        </is>
      </c>
      <c r="B1220">
        <f>SUM(T1189:T1209)</f>
        <v/>
      </c>
    </row>
    <row r="1221">
      <c r="A1221" t="inlineStr">
        <is>
          <t>Normal-Only Total DPS (this block's swept value)</t>
        </is>
      </c>
      <c r="B1221">
        <f>SUM(V1189:V1209)</f>
        <v/>
      </c>
    </row>
    <row r="1222">
      <c r="A1222" s="5" t="inlineStr">
        <is>
          <t>TOTAL DPS</t>
        </is>
      </c>
      <c r="B1222" s="5">
        <f>SUM(O1189:O1209)</f>
        <v/>
      </c>
    </row>
    <row r="1225">
      <c r="A1225" s="5" t="inlineStr">
        <is>
          <t>Stat: CDR = 3.0s</t>
        </is>
      </c>
    </row>
    <row r="1226">
      <c r="A1226" s="9" t="inlineStr">
        <is>
          <t>Key</t>
        </is>
      </c>
      <c r="B1226" s="9" t="inlineStr">
        <is>
          <t>Name</t>
        </is>
      </c>
      <c r="C1226" s="9" t="inlineStr">
        <is>
          <t>Unlocked</t>
        </is>
      </c>
      <c r="D1226" s="9" t="inlineStr">
        <is>
          <t>InputLevel</t>
        </is>
      </c>
      <c r="E1226" s="9" t="inlineStr">
        <is>
          <t>Factor</t>
        </is>
      </c>
      <c r="F1226" s="9" t="inlineStr">
        <is>
          <t>CoefficientPercent</t>
        </is>
      </c>
      <c r="G1226" s="9" t="inlineStr">
        <is>
          <t>EffectiveHits</t>
        </is>
      </c>
      <c r="H1226" s="9" t="inlineStr">
        <is>
          <t>ProcProbability</t>
        </is>
      </c>
      <c r="I1226" s="9" t="inlineStr">
        <is>
          <t>MapleHeroMultiplier</t>
        </is>
      </c>
      <c r="J1226" s="9" t="inlineStr">
        <is>
          <t>BaseDamage</t>
        </is>
      </c>
      <c r="K1226" s="9" t="inlineStr">
        <is>
          <t>BaseHitDamage</t>
        </is>
      </c>
      <c r="L1226" s="9" t="inlineStr">
        <is>
          <t>NonCritAvg</t>
        </is>
      </c>
      <c r="M1226" s="9" t="inlineStr">
        <is>
          <t>CritAvg</t>
        </is>
      </c>
      <c r="N1226" s="9" t="inlineStr">
        <is>
          <t>ExpectedDamage(perHit)</t>
        </is>
      </c>
      <c r="O1226" s="9" t="inlineStr">
        <is>
          <t>DPS</t>
        </is>
      </c>
      <c r="P1226" s="9" t="inlineStr">
        <is>
          <t>% of Total</t>
        </is>
      </c>
      <c r="Q1226" s="9" t="inlineStr">
        <is>
          <t>InvCooldown</t>
        </is>
      </c>
      <c r="R1226" s="9" t="inlineStr">
        <is>
          <t>CastsInFight</t>
        </is>
      </c>
      <c r="S1226" s="9" t="inlineStr">
        <is>
          <t>HitRate(perSec)</t>
        </is>
      </c>
      <c r="U1226" t="inlineStr">
        <is>
          <t>helpers</t>
        </is>
      </c>
    </row>
    <row r="1227">
      <c r="A1227">
        <f>Skills!A2</f>
        <v/>
      </c>
      <c r="B1227">
        <f>Skills!B2</f>
        <v/>
      </c>
      <c r="C1227">
        <f>Inputs!$B$3&gt;=100</f>
        <v/>
      </c>
      <c r="D1227" t="inlineStr"/>
      <c r="E1227" t="inlineStr"/>
      <c r="F1227">
        <f>U1229+Skills!O2</f>
        <v/>
      </c>
      <c r="G1227">
        <f>Skills!G2*IF(Skills!H2&gt;0,Skills!I2/Skills!H2,1)</f>
        <v/>
      </c>
      <c r="H1227">
        <f>1-(1-Skills!J2/100)^Skills!K2</f>
        <v/>
      </c>
      <c r="I1227" t="inlineStr">
        <is>
          <t>1</t>
        </is>
      </c>
      <c r="J1227">
        <f>((Inputs!$B$6*(1+Inputs!$B$7/100))+(((Inputs!$B$12*(1+Inputs!$B$13/100))-(Inputs!$B$12*(1+Inputs!$B$13/100)))+0.25*(Inputs!$B$14-Inputs!$B$14))*(1+Inputs!$B$7/100))*(F1227/100)</f>
        <v/>
      </c>
      <c r="K1227">
        <f>J1227*(1+((Inputs!$B$12*(1+Inputs!$B$13/100))*0.01+Inputs!$B$14*0.0025)/100)*(1+Inputs!$B$15/100)*(1+Inputs!$B$16/100)*(5000/(6000+Inputs!$B$42*(1-(Inputs!$B$19+0)/100)))*(1+(Inputs!$B$24+((C1247=TRUE)*(F1247-Calc!F22))+B1256)/100)*(1+(IF(Skills!A2="HOOK_BOMBER",Inputs!$B$17+((C1246=TRUE)*(F1246-Calc!F21)),Inputs!$B$18+0))/100)*((1+(((C1238=TRUE)*F1238)+((C1244=TRUE)*(F1244-Calc!F19)))/100)*I1227)</f>
        <v/>
      </c>
      <c r="L1227">
        <f>K1227*(MIN(Inputs!$B$22+((C1245=TRUE)*(F1245-Calc!F20)),Inputs!$B$23+0)/100+(Inputs!$B$23+0)/100)/2</f>
        <v/>
      </c>
      <c r="M1227">
        <f>L1227*(1+(Inputs!$B$10+0+B1255)/100)</f>
        <v/>
      </c>
      <c r="N1227">
        <f>L1227*(1-MIN((Inputs!$B$9+((C1241=TRUE)*(F1241-Calc!F16))+B1250),100)/100)+M1227*(MIN((Inputs!$B$9+((C1241=TRUE)*(F1241-Calc!F16))+B1250),100)/100)</f>
        <v/>
      </c>
      <c r="O1227">
        <f>(1-Summary!$B$55)*T1227+Summary!$B$55*V1227</f>
        <v/>
      </c>
      <c r="P1227">
        <f>IF(B1260=0,0,O1227/B1260)</f>
        <v/>
      </c>
      <c r="Q1227" t="n">
        <v>0</v>
      </c>
      <c r="R1227" t="n">
        <v>0</v>
      </c>
      <c r="S1227">
        <f>IFERROR(O1227/N1227,0)</f>
        <v/>
      </c>
      <c r="T1227">
        <f>IF(C1227,(Skills!G2*N1227*B1254)*IF(Inputs!$B$38="pvp",1,1+(Inputs!$B$20+0+Skills!P2)/100),0)</f>
        <v/>
      </c>
      <c r="U1227">
        <f>MAX(0,(Inputs!$B$3-100)*3)+Inputs!$B$28+Inputs!$B$29</f>
        <v/>
      </c>
      <c r="V1227">
        <f>IF(C1227,(Skills!G2*N1227*B1254)*IF(Inputs!$B$38="pvp",1,(1+(Inputs!$B$21+Skills!Q2)/100)*(MIN((6+Inputs!$B$33),Inputs!$B$37))),0)</f>
        <v/>
      </c>
    </row>
    <row r="1228">
      <c r="A1228">
        <f>Skills!A3</f>
        <v/>
      </c>
      <c r="B1228">
        <f>Skills!B3</f>
        <v/>
      </c>
      <c r="C1228">
        <f>Inputs!$B$3&gt;=35</f>
        <v/>
      </c>
      <c r="D1228">
        <f>IF(Skills!C3=1,60+Inputs!$B$25+Inputs!$B$29,IF(Skills!C3=2,90+Inputs!$B$26+Inputs!$B$29,IF(Skills!C3=3,120+Inputs!$B$27+Inputs!$B$29,MAX(0,(Inputs!$B$3-100)*3)+Inputs!$B$28+Inputs!$B$29)))</f>
        <v/>
      </c>
      <c r="E1228">
        <f>INDEX(FactorTable!$B$2:$Y$301, MATCH(ROUND(MIN(300,MAX(1,D1228)),0), FactorTable!$A$2:$A$301,0), Skills!M3+1)</f>
        <v/>
      </c>
      <c r="F1228">
        <f>IF(Skills!N3=TRUE,(Skills!L3/10)*(E1228/1000),Skills!L3/10)+Skills!O3</f>
        <v/>
      </c>
      <c r="G1228">
        <f>Skills!G3*IF(Skills!H3&gt;0,Skills!I3/Skills!H3,1)</f>
        <v/>
      </c>
      <c r="H1228">
        <f>1-(1-Skills!J3/100)^Skills!K3</f>
        <v/>
      </c>
      <c r="I1228" t="inlineStr">
        <is>
          <t>1</t>
        </is>
      </c>
      <c r="J1228">
        <f>((Inputs!$B$6*(1+Inputs!$B$7/100))+(((Inputs!$B$12*(1+Inputs!$B$13/100))-(Inputs!$B$12*(1+Inputs!$B$13/100)))+0.25*(Inputs!$B$14-Inputs!$B$14))*(1+Inputs!$B$7/100))*(F1228/100)</f>
        <v/>
      </c>
      <c r="K1228">
        <f>J1228*(1+((Inputs!$B$12*(1+Inputs!$B$13/100))*0.01+Inputs!$B$14*0.0025)/100)*(1+Inputs!$B$15/100)*(1+Inputs!$B$16/100)*(5000/(6000+Inputs!$B$42*(1-(Inputs!$B$19+0)/100)))*(1+(Inputs!$B$24+((C1247=TRUE)*(F1247-Calc!F22))+B1256)/100)*(1+(IF(Skills!A3="HOOK_BOMBER",Inputs!$B$17+((C1246=TRUE)*(F1246-Calc!F21)),Inputs!$B$18+0))/100)*((1+(((C1238=TRUE)*F1238)+((C1244=TRUE)*(F1244-Calc!F19)))/100)*I1228)</f>
        <v/>
      </c>
      <c r="L1228">
        <f>K1228*(MIN(Inputs!$B$22+((C1245=TRUE)*(F1245-Calc!F20)),Inputs!$B$23+0)/100+(Inputs!$B$23+0)/100)/2</f>
        <v/>
      </c>
      <c r="M1228">
        <f>L1228*(1+(Inputs!$B$10+0+B1255)/100)</f>
        <v/>
      </c>
      <c r="N1228">
        <f>L1228*(1-MIN((Inputs!$B$9+((C1241=TRUE)*(F1241-Calc!F16))+B1250),100)/100)+M1228*(MIN((Inputs!$B$9+((C1241=TRUE)*(F1241-Calc!F16))+B1250),100)/100)</f>
        <v/>
      </c>
      <c r="O1228">
        <f>(1-Summary!$B$55)*T1228+Summary!$B$55*V1228</f>
        <v/>
      </c>
      <c r="P1228">
        <f>IF(B1260=0,0,O1228/B1260)</f>
        <v/>
      </c>
      <c r="Q1228" t="n">
        <v>0</v>
      </c>
      <c r="R1228" t="n">
        <v>0</v>
      </c>
      <c r="S1228">
        <f>IFERROR(O1228/N1228,0)</f>
        <v/>
      </c>
      <c r="T1228">
        <f>IF(C1228,(Skills!G3*H1228*N1228*B1254)*IF(Inputs!$B$38="pvp",1,1+(Inputs!$B$20+0+Skills!P3)/100),0)</f>
        <v/>
      </c>
      <c r="U1228">
        <f>INDEX(FactorTable!$B$2:$Y$301, MATCH(ROUND(MIN(300,MAX(1,U1227)),0), FactorTable!$A$2:$A$301,0), 22)</f>
        <v/>
      </c>
      <c r="V1228">
        <f>IF(C1228,(Skills!G3*H1228*N1228*B1254)*IF(Inputs!$B$38="pvp",1,(1+(Inputs!$B$21+Skills!Q3)/100)*(MIN(Skills!R3,Inputs!$B$37))),0)</f>
        <v/>
      </c>
    </row>
    <row r="1229">
      <c r="A1229">
        <f>Skills!A4</f>
        <v/>
      </c>
      <c r="B1229">
        <f>Skills!B4</f>
        <v/>
      </c>
      <c r="C1229">
        <f>Inputs!$B$3&gt;=60</f>
        <v/>
      </c>
      <c r="D1229">
        <f>IF(Skills!C4=1,60+Inputs!$B$25+Inputs!$B$29,IF(Skills!C4=2,90+Inputs!$B$26+Inputs!$B$29,IF(Skills!C4=3,120+Inputs!$B$27+Inputs!$B$29,MAX(0,(Inputs!$B$3-100)*3)+Inputs!$B$28+Inputs!$B$29)))</f>
        <v/>
      </c>
      <c r="E1229">
        <f>INDEX(FactorTable!$B$2:$Y$301, MATCH(ROUND(MIN(300,MAX(1,D1229)),0), FactorTable!$A$2:$A$301,0), Skills!M4+1)</f>
        <v/>
      </c>
      <c r="F1229">
        <f>IF(Skills!N4=TRUE,(Skills!L4/10)*(E1229/1000),Skills!L4/10)+Skills!O4</f>
        <v/>
      </c>
      <c r="G1229">
        <f>Skills!G4*IF(Skills!H4&gt;0,Skills!I4/Skills!H4,1)</f>
        <v/>
      </c>
      <c r="H1229">
        <f>1-(1-Skills!J4/100)^Skills!K4</f>
        <v/>
      </c>
      <c r="I1229" t="inlineStr">
        <is>
          <t>1</t>
        </is>
      </c>
      <c r="J1229">
        <f>((Inputs!$B$6*(1+Inputs!$B$7/100))+(((Inputs!$B$12*(1+Inputs!$B$13/100))-(Inputs!$B$12*(1+Inputs!$B$13/100)))+0.25*(Inputs!$B$14-Inputs!$B$14))*(1+Inputs!$B$7/100))*(F1229/100)</f>
        <v/>
      </c>
      <c r="K1229">
        <f>J1229*(1+((Inputs!$B$12*(1+Inputs!$B$13/100))*0.01+Inputs!$B$14*0.0025)/100)*(1+Inputs!$B$15/100)*(1+Inputs!$B$16/100)*(5000/(6000+Inputs!$B$42*(1-(Inputs!$B$19+0)/100)))*(1+(Inputs!$B$24+((C1247=TRUE)*(F1247-Calc!F22))+B1256)/100)*(1+1.0*IF(C1237=TRUE,F1237,0)/100)*(1+(IF(Skills!A4="HOOK_BOMBER",Inputs!$B$17+((C1246=TRUE)*(F1246-Calc!F21)),Inputs!$B$18+0))/100)*((1+(((C1238=TRUE)*F1238)+((C1244=TRUE)*(F1244-Calc!F19)))/100)*I1229)</f>
        <v/>
      </c>
      <c r="L1229">
        <f>K1229*(MIN(Inputs!$B$22+((C1245=TRUE)*(F1245-Calc!F20)),Inputs!$B$23+0)/100+(Inputs!$B$23+0)/100)/2</f>
        <v/>
      </c>
      <c r="M1229">
        <f>L1229*(1+(Inputs!$B$10+0+B1255)/100)</f>
        <v/>
      </c>
      <c r="N1229">
        <f>L1229*(1-MIN((Inputs!$B$9+((C1241=TRUE)*(F1241-Calc!F16))+B1250),100)/100)+M1229*(MIN((Inputs!$B$9+((C1241=TRUE)*(F1241-Calc!F16))+B1250),100)/100)</f>
        <v/>
      </c>
      <c r="O1229">
        <f>(1-Summary!$B$55)*T1229+Summary!$B$55*V1229</f>
        <v/>
      </c>
      <c r="P1229">
        <f>IF(B1260=0,0,O1229/B1260)</f>
        <v/>
      </c>
      <c r="Q1229" t="n">
        <v>0</v>
      </c>
      <c r="R1229" t="n">
        <v>0</v>
      </c>
      <c r="S1229">
        <f>IFERROR(O1229/N1229,0)</f>
        <v/>
      </c>
      <c r="T1229">
        <f>IF(C1229,(Skills!G4*H1229*N1229*B1254)*IF(Inputs!$B$38="pvp",1,1+(Inputs!$B$20+0+Skills!P4)/100),0)</f>
        <v/>
      </c>
      <c r="U1229">
        <f>290*U1228/1000</f>
        <v/>
      </c>
      <c r="V1229">
        <f>IF(C1229,(Skills!G4*H1229*N1229*B1254)*IF(Inputs!$B$38="pvp",1,(1+(Inputs!$B$21+Skills!Q4)/100)*(MIN(Skills!R4,Inputs!$B$37))),0)</f>
        <v/>
      </c>
    </row>
    <row r="1230">
      <c r="A1230">
        <f>Skills!A5</f>
        <v/>
      </c>
      <c r="B1230">
        <f>Skills!B5</f>
        <v/>
      </c>
      <c r="C1230">
        <f>Inputs!$B$3&gt;=60</f>
        <v/>
      </c>
      <c r="D1230">
        <f>IF(Skills!C5=1,60+Inputs!$B$25+Inputs!$B$29,IF(Skills!C5=2,90+Inputs!$B$26+Inputs!$B$29,IF(Skills!C5=3,120+Inputs!$B$27+Inputs!$B$29,MAX(0,(Inputs!$B$3-100)*3)+Inputs!$B$28+Inputs!$B$29)))</f>
        <v/>
      </c>
      <c r="E1230">
        <f>INDEX(FactorTable!$B$2:$Y$301, MATCH(ROUND(MIN(300,MAX(1,D1230)),0), FactorTable!$A$2:$A$301,0), Skills!M5+1)</f>
        <v/>
      </c>
      <c r="F1230">
        <f>IF(Skills!N5=TRUE,(Skills!L5/10)*(E1230/1000),Skills!L5/10)+Skills!O5</f>
        <v/>
      </c>
      <c r="G1230">
        <f>Skills!G5*IF(Skills!H5&gt;0,Skills!I5/Skills!H5,1)</f>
        <v/>
      </c>
      <c r="H1230">
        <f>1-(1-Skills!J5/100)^Skills!K5</f>
        <v/>
      </c>
      <c r="I1230" t="inlineStr">
        <is>
          <t>1</t>
        </is>
      </c>
      <c r="J1230" t="inlineStr"/>
      <c r="K1230" t="inlineStr"/>
      <c r="L1230" t="inlineStr"/>
      <c r="M1230" t="inlineStr"/>
      <c r="N1230" t="inlineStr"/>
      <c r="O1230">
        <f>(1-Summary!$B$55)*T1230+Summary!$B$55*V1230</f>
        <v/>
      </c>
      <c r="P1230">
        <f>IF(B1260=0,0,O1230/B1260)</f>
        <v/>
      </c>
      <c r="Q1230" t="n">
        <v>0</v>
      </c>
      <c r="R1230" t="n">
        <v>0</v>
      </c>
      <c r="S1230">
        <f>IFERROR(O1230/N1230,0)</f>
        <v/>
      </c>
      <c r="T1230" t="n">
        <v>0</v>
      </c>
      <c r="V1230" t="n">
        <v>0</v>
      </c>
    </row>
    <row r="1231">
      <c r="A1231">
        <f>Skills!A6</f>
        <v/>
      </c>
      <c r="B1231">
        <f>Skills!B6</f>
        <v/>
      </c>
      <c r="C1231">
        <f>Inputs!$B$3&gt;=63</f>
        <v/>
      </c>
      <c r="D1231">
        <f>IF(Skills!C6=1,60+Inputs!$B$25+Inputs!$B$29,IF(Skills!C6=2,90+Inputs!$B$26+Inputs!$B$29,IF(Skills!C6=3,120+Inputs!$B$27+Inputs!$B$29,MAX(0,(Inputs!$B$3-100)*3)+Inputs!$B$28+Inputs!$B$29)))</f>
        <v/>
      </c>
      <c r="E1231">
        <f>INDEX(FactorTable!$B$2:$Y$301, MATCH(ROUND(MIN(300,MAX(1,D1231)),0), FactorTable!$A$2:$A$301,0), Skills!M6+1)</f>
        <v/>
      </c>
      <c r="F1231">
        <f>IF(Skills!N6=TRUE,(Skills!L6/10)*(E1231/1000),Skills!L6/10)+Skills!O6</f>
        <v/>
      </c>
      <c r="G1231">
        <f>Skills!G6*IF(Skills!H6&gt;0,Skills!I6/Skills!H6,1)</f>
        <v/>
      </c>
      <c r="H1231">
        <f>1-(1-Skills!J6/100)^Skills!K6</f>
        <v/>
      </c>
      <c r="I1231" t="inlineStr">
        <is>
          <t>1</t>
        </is>
      </c>
      <c r="J1231">
        <f>((Inputs!$B$6*(1+Inputs!$B$7/100))+(((Inputs!$B$12*(1+Inputs!$B$13/100))-(Inputs!$B$12*(1+Inputs!$B$13/100)))+0.25*(Inputs!$B$14-Inputs!$B$14))*(1+Inputs!$B$7/100))*(F1231/100)</f>
        <v/>
      </c>
      <c r="K1231">
        <f>J1231*(1+((Inputs!$B$12*(1+Inputs!$B$13/100))*0.01+Inputs!$B$14*0.0025)/100)*(1+Inputs!$B$15/100)*(1+Inputs!$B$16/100)*(5000/(6000+Inputs!$B$42*(1-(Inputs!$B$19+0)/100)))*(1+(Inputs!$B$24+((C1247=TRUE)*(F1247-Calc!F22))+B1256)/100)*(1+(IF(Skills!A6="HOOK_BOMBER",Inputs!$B$17+((C1246=TRUE)*(F1246-Calc!F21)),Inputs!$B$18+0))/100)*((1+(((C1238=TRUE)*F1238)+((C1244=TRUE)*(F1244-Calc!F19)))/100)*I1231)</f>
        <v/>
      </c>
      <c r="L1231">
        <f>K1231*(MIN(Inputs!$B$22+((C1245=TRUE)*(F1245-Calc!F20)),Inputs!$B$23+0)/100+(Inputs!$B$23+0)/100)/2</f>
        <v/>
      </c>
      <c r="M1231">
        <f>L1231*(1+(Inputs!$B$10+0+B1255)/100)</f>
        <v/>
      </c>
      <c r="N1231">
        <f>L1231*(1-MIN((Inputs!$B$9+((C1241=TRUE)*(F1241-Calc!F16))+B1250),100)/100)+M1231*(MIN((Inputs!$B$9+((C1241=TRUE)*(F1241-Calc!F16))+B1250),100)/100)</f>
        <v/>
      </c>
      <c r="O1231">
        <f>(1-Summary!$B$55)*T1231+Summary!$B$55*V1231</f>
        <v/>
      </c>
      <c r="P1231">
        <f>IF(B1260=0,0,O1231/B1260)</f>
        <v/>
      </c>
      <c r="Q1231">
        <f>IFERROR(1/IF(Inputs!$B$38="pvp",15,MAX(0.1,Skills!D6-IF(Skills!E6=TRUE,3.0,0))),0)</f>
        <v/>
      </c>
      <c r="R1231">
        <f>IF(AND(Inputs!$B$38&lt;&gt;"pvp",Inputs!$B$43&gt;0),IF(MAX(0,Inputs!$B$43-B1257)&lt;=0,0,(INT(MAX(0,Inputs!$B$43-B1257)/IF(Inputs!$B$38="pvp",15,MAX(0.1,Skills!D6-IF(Skills!E6=TRUE,3.0,0))))+1)),0)</f>
        <v/>
      </c>
      <c r="S1231">
        <f>IFERROR(O1231/N1231,0)</f>
        <v/>
      </c>
      <c r="T1231">
        <f>IF(C1231,(H1231*N1231*IF(AND(Inputs!$B$38&lt;&gt;"pvp",Inputs!$B$43&gt;0),((Skills!G6*((R1231-1)*IF(Skills!H6&gt;0,Skills!I6/Skills!H6,1)+IF(Skills!H6&gt;0,MIN(Skills!I6,MAX(0,MAX(0,Inputs!$B$43-B1257)-((R1231-1)*IF(Inputs!$B$38="pvp",15,MAX(0.1,Skills!D6-IF(Skills!E6=TRUE,3.0,0))))))/Skills!H6,1)))/Inputs!$B$43),G1231*Q1231))*IF(Inputs!$B$38="pvp",1,1+(Inputs!$B$20+0+Skills!P6)/100),0)</f>
        <v/>
      </c>
      <c r="V1231">
        <f>IF(C1231,(H1231*N1231*IF(AND(Inputs!$B$38&lt;&gt;"pvp",Inputs!$B$43&gt;0),((Skills!G6*((R1231-1)*IF(Skills!H6&gt;0,Skills!I6/Skills!H6,1)+IF(Skills!H6&gt;0,MIN(Skills!I6,MAX(0,MAX(0,Inputs!$B$43-B1257)-((R1231-1)*IF(Inputs!$B$38="pvp",15,MAX(0.1,Skills!D6-IF(Skills!E6=TRUE,3.0,0))))))/Skills!H6,1)))/Inputs!$B$43),G1231*Q1231))*IF(Inputs!$B$38="pvp",1,(1+(Inputs!$B$21+Skills!Q6)/100)*(MIN(Skills!R6,Inputs!$B$37))),0)</f>
        <v/>
      </c>
    </row>
    <row r="1232">
      <c r="A1232">
        <f>Skills!A7</f>
        <v/>
      </c>
      <c r="B1232">
        <f>Skills!B7</f>
        <v/>
      </c>
      <c r="C1232">
        <f>Inputs!$B$3&gt;=100</f>
        <v/>
      </c>
      <c r="D1232">
        <f>IF(Skills!C7=1,60+Inputs!$B$25+Inputs!$B$29,IF(Skills!C7=2,90+Inputs!$B$26+Inputs!$B$29,IF(Skills!C7=3,120+Inputs!$B$27+Inputs!$B$29,MAX(0,(Inputs!$B$3-100)*3)+Inputs!$B$28+Inputs!$B$29)))</f>
        <v/>
      </c>
      <c r="E1232">
        <f>INDEX(FactorTable!$B$2:$Y$301, MATCH(ROUND(MIN(300,MAX(1,D1232)),0), FactorTable!$A$2:$A$301,0), Skills!M7+1)</f>
        <v/>
      </c>
      <c r="F1232">
        <f>IF(Skills!N7=TRUE,(Skills!L7/10)*(E1232/1000),Skills!L7/10)+Skills!O7</f>
        <v/>
      </c>
      <c r="G1232">
        <f>Skills!G7*IF(Skills!H7&gt;0,Skills!I7/Skills!H7,1)</f>
        <v/>
      </c>
      <c r="H1232">
        <f>1-(1-Skills!J7/100)^Skills!K7</f>
        <v/>
      </c>
      <c r="I1232" t="inlineStr">
        <is>
          <t>1</t>
        </is>
      </c>
      <c r="J1232">
        <f>((Inputs!$B$6*(1+Inputs!$B$7/100))+(((Inputs!$B$12*(1+Inputs!$B$13/100))-(Inputs!$B$12*(1+Inputs!$B$13/100)))+0.25*(Inputs!$B$14-Inputs!$B$14))*(1+Inputs!$B$7/100))*(F1232/100)</f>
        <v/>
      </c>
      <c r="K1232">
        <f>J1232*(1+((Inputs!$B$12*(1+Inputs!$B$13/100))*0.01+Inputs!$B$14*0.0025)/100)*(1+Inputs!$B$15/100)*(1+Inputs!$B$16/100)*(5000/(6000+Inputs!$B$42*(1-(Inputs!$B$19+0)/100)))*(1+(Inputs!$B$24+((C1247=TRUE)*(F1247-Calc!F22))+B1256)/100)*(1+(IF(Skills!A7="HOOK_BOMBER",Inputs!$B$17+((C1246=TRUE)*(F1246-Calc!F21)),Inputs!$B$18+0))/100)*((1+(((C1238=TRUE)*F1238)+((C1244=TRUE)*(F1244-Calc!F19)))/100)*I1232)</f>
        <v/>
      </c>
      <c r="L1232">
        <f>K1232*(MIN(Inputs!$B$22+((C1245=TRUE)*(F1245-Calc!F20)),Inputs!$B$23+0)/100+(Inputs!$B$23+0)/100)/2</f>
        <v/>
      </c>
      <c r="M1232">
        <f>L1232*(1+(Inputs!$B$10+0+B1255)/100)</f>
        <v/>
      </c>
      <c r="N1232">
        <f>L1232*(1-MIN((Inputs!$B$9+((C1241=TRUE)*(F1241-Calc!F16))+B1250),100)/100)+M1232*(MIN((Inputs!$B$9+((C1241=TRUE)*(F1241-Calc!F16))+B1250),100)/100)</f>
        <v/>
      </c>
      <c r="O1232">
        <f>(1-Summary!$B$55)*T1232+Summary!$B$55*V1232</f>
        <v/>
      </c>
      <c r="P1232">
        <f>IF(B1260=0,0,O1232/B1260)</f>
        <v/>
      </c>
      <c r="Q1232">
        <f>IFERROR(1/IF(Inputs!$B$38="pvp",15,MAX(0.1,Skills!D7-IF(Skills!E7=TRUE,3.0,0))),0)</f>
        <v/>
      </c>
      <c r="R1232">
        <f>IF(AND(Inputs!$B$38&lt;&gt;"pvp",Inputs!$B$43&gt;0),IF(MAX(0,Inputs!$B$43-B1257)&lt;=0,0,(INT(MAX(0,Inputs!$B$43-B1257)/IF(Inputs!$B$38="pvp",15,MAX(0.1,Skills!D7-IF(Skills!E7=TRUE,3.0,0))))+1)),0)</f>
        <v/>
      </c>
      <c r="S1232">
        <f>IFERROR(O1232/N1232,0)</f>
        <v/>
      </c>
      <c r="T1232">
        <f>IF(C1232,(H1232*N1232*IF(AND(Inputs!$B$38&lt;&gt;"pvp",Inputs!$B$43&gt;0),((Skills!G7*((R1232-1)*IF(Skills!H7&gt;0,Skills!I7/Skills!H7,1)+IF(Skills!H7&gt;0,MIN(Skills!I7,MAX(0,MAX(0,Inputs!$B$43-B1257)-((R1232-1)*IF(Inputs!$B$38="pvp",15,MAX(0.1,Skills!D7-IF(Skills!E7=TRUE,3.0,0))))))/Skills!H7,1)))/Inputs!$B$43),G1232*Q1232))*IF(Inputs!$B$38="pvp",1,1+(Inputs!$B$20+0+Skills!P7)/100),0)</f>
        <v/>
      </c>
      <c r="V1232">
        <f>IF(C1232,(H1232*N1232*IF(AND(Inputs!$B$38&lt;&gt;"pvp",Inputs!$B$43&gt;0),((Skills!G7*((R1232-1)*IF(Skills!H7&gt;0,Skills!I7/Skills!H7,1)+IF(Skills!H7&gt;0,MIN(Skills!I7,MAX(0,MAX(0,Inputs!$B$43-B1257)-((R1232-1)*IF(Inputs!$B$38="pvp",15,MAX(0.1,Skills!D7-IF(Skills!E7=TRUE,3.0,0))))))/Skills!H7,1)))/Inputs!$B$43),G1232*Q1232))*IF(Inputs!$B$38="pvp",1,(1+(Inputs!$B$21+Skills!Q7)/100)*(MIN(Skills!R7,Inputs!$B$37))),0)</f>
        <v/>
      </c>
    </row>
    <row r="1233">
      <c r="A1233">
        <f>Skills!A8</f>
        <v/>
      </c>
      <c r="B1233">
        <f>Skills!B8</f>
        <v/>
      </c>
      <c r="C1233">
        <f>Inputs!$B$3&gt;=110</f>
        <v/>
      </c>
      <c r="D1233">
        <f>IF(Skills!C8=1,60+Inputs!$B$25+Inputs!$B$29,IF(Skills!C8=2,90+Inputs!$B$26+Inputs!$B$29,IF(Skills!C8=3,120+Inputs!$B$27+Inputs!$B$29,MAX(0,(Inputs!$B$3-100)*3)+Inputs!$B$28+Inputs!$B$29)))</f>
        <v/>
      </c>
      <c r="E1233">
        <f>INDEX(FactorTable!$B$2:$Y$301, MATCH(ROUND(MIN(300,MAX(1,D1233)),0), FactorTable!$A$2:$A$301,0), Skills!M8+1)</f>
        <v/>
      </c>
      <c r="F1233">
        <f>IF(Skills!N8=TRUE,(Skills!L8/10)*(E1233/1000),Skills!L8/10)+Skills!O8</f>
        <v/>
      </c>
      <c r="G1233">
        <f>Skills!G8*IF(Skills!H8&gt;0,Skills!I8/Skills!H8,1)</f>
        <v/>
      </c>
      <c r="H1233">
        <f>1-(1-Skills!J8/100)^Skills!K8</f>
        <v/>
      </c>
      <c r="I1233" t="inlineStr">
        <is>
          <t>1</t>
        </is>
      </c>
      <c r="J1233">
        <f>((Inputs!$B$6*(1+Inputs!$B$7/100))+(((Inputs!$B$12*(1+Inputs!$B$13/100))-(Inputs!$B$12*(1+Inputs!$B$13/100)))+0.25*(Inputs!$B$14-Inputs!$B$14))*(1+Inputs!$B$7/100))*(F1233/100)</f>
        <v/>
      </c>
      <c r="K1233">
        <f>J1233*(1+((Inputs!$B$12*(1+Inputs!$B$13/100))*0.01+Inputs!$B$14*0.0025)/100)*(1+Inputs!$B$15/100)*(1+Inputs!$B$16/100)*(5000/(6000+Inputs!$B$42*(1-(Inputs!$B$19+0)/100)))*(1+(Inputs!$B$24+((C1247=TRUE)*(F1247-Calc!F22))+B1256)/100)*(1+(IF(Skills!A8="HOOK_BOMBER",Inputs!$B$17+((C1246=TRUE)*(F1246-Calc!F21)),Inputs!$B$18+0))/100)*((1+(((C1238=TRUE)*F1238)+((C1244=TRUE)*(F1244-Calc!F19)))/100)*I1233)</f>
        <v/>
      </c>
      <c r="L1233">
        <f>K1233*(MIN(Inputs!$B$22+((C1245=TRUE)*(F1245-Calc!F20)),Inputs!$B$23+0)/100+(Inputs!$B$23+0)/100)/2</f>
        <v/>
      </c>
      <c r="M1233">
        <f>L1233*(1+(Inputs!$B$10+0+B1255)/100)</f>
        <v/>
      </c>
      <c r="N1233">
        <f>L1233*(1-MIN((Inputs!$B$9+((C1241=TRUE)*(F1241-Calc!F16))+B1250),100)/100)+M1233*(MIN((Inputs!$B$9+((C1241=TRUE)*(F1241-Calc!F16))+B1250),100)/100)</f>
        <v/>
      </c>
      <c r="O1233">
        <f>(1-Summary!$B$55)*T1233+Summary!$B$55*V1233</f>
        <v/>
      </c>
      <c r="P1233">
        <f>IF(B1260=0,0,O1233/B1260)</f>
        <v/>
      </c>
      <c r="Q1233">
        <f>IFERROR(1/IF(Inputs!$B$38="pvp",15,MAX(0.1,Skills!D8-IF(Skills!E8=TRUE,3.0,0))),0)</f>
        <v/>
      </c>
      <c r="R1233">
        <f>IF(AND(Inputs!$B$38&lt;&gt;"pvp",Inputs!$B$43&gt;0),IF(MAX(0,Inputs!$B$43-B1257)&lt;=0,0,(INT(MAX(0,Inputs!$B$43-B1257)/IF(Inputs!$B$38="pvp",15,MAX(0.1,Skills!D8-IF(Skills!E8=TRUE,3.0,0))))+1)),0)</f>
        <v/>
      </c>
      <c r="S1233">
        <f>IFERROR(O1233/N1233,0)</f>
        <v/>
      </c>
      <c r="T1233">
        <f>IF(C1233,(H1233*N1233*IF(AND(Inputs!$B$38&lt;&gt;"pvp",Inputs!$B$43&gt;0),((Skills!G8*((R1233-1)*IF(Skills!H8&gt;0,Skills!I8/Skills!H8,1)+IF(Skills!H8&gt;0,MIN(Skills!I8,MAX(0,MAX(0,Inputs!$B$43-B1257)-((R1233-1)*IF(Inputs!$B$38="pvp",15,MAX(0.1,Skills!D8-IF(Skills!E8=TRUE,3.0,0))))))/Skills!H8,1)))/Inputs!$B$43),G1233*Q1233))*IF(Inputs!$B$38="pvp",1,1+(Inputs!$B$20+0+Skills!P8)/100),0)</f>
        <v/>
      </c>
      <c r="V1233">
        <f>IF(C1233,(H1233*N1233*IF(AND(Inputs!$B$38&lt;&gt;"pvp",Inputs!$B$43&gt;0),((Skills!G8*((R1233-1)*IF(Skills!H8&gt;0,Skills!I8/Skills!H8,1)+IF(Skills!H8&gt;0,MIN(Skills!I8,MAX(0,MAX(0,Inputs!$B$43-B1257)-((R1233-1)*IF(Inputs!$B$38="pvp",15,MAX(0.1,Skills!D8-IF(Skills!E8=TRUE,3.0,0))))))/Skills!H8,1)))/Inputs!$B$43),G1233*Q1233))*IF(Inputs!$B$38="pvp",1,(1+(Inputs!$B$21+Skills!Q8)/100)*(MIN(Skills!R8,Inputs!$B$37))),0)</f>
        <v/>
      </c>
    </row>
    <row r="1234">
      <c r="A1234">
        <f>Skills!A9</f>
        <v/>
      </c>
      <c r="B1234">
        <f>Skills!B9</f>
        <v/>
      </c>
      <c r="C1234">
        <f>Inputs!$B$3&gt;=110</f>
        <v/>
      </c>
      <c r="D1234">
        <f>IF(Skills!C9=1,60+Inputs!$B$25+Inputs!$B$29,IF(Skills!C9=2,90+Inputs!$B$26+Inputs!$B$29,IF(Skills!C9=3,120+Inputs!$B$27+Inputs!$B$29,MAX(0,(Inputs!$B$3-100)*3)+Inputs!$B$28+Inputs!$B$29)))</f>
        <v/>
      </c>
      <c r="E1234">
        <f>INDEX(FactorTable!$B$2:$Y$301, MATCH(ROUND(MIN(300,MAX(1,D1234)),0), FactorTable!$A$2:$A$301,0), Skills!M9+1)</f>
        <v/>
      </c>
      <c r="F1234">
        <f>IF(Skills!N9=TRUE,(Skills!L9/10)*(E1234/1000),Skills!L9/10)+Skills!O9</f>
        <v/>
      </c>
      <c r="G1234">
        <f>Skills!G9*IF(Skills!H9&gt;0,Skills!I9/Skills!H9,1)</f>
        <v/>
      </c>
      <c r="H1234">
        <f>1-(1-Skills!J9/100)^Skills!K9</f>
        <v/>
      </c>
      <c r="I1234" t="inlineStr">
        <is>
          <t>1</t>
        </is>
      </c>
      <c r="J1234">
        <f>((Inputs!$B$6*(1+Inputs!$B$7/100))+(((Inputs!$B$12*(1+Inputs!$B$13/100))-(Inputs!$B$12*(1+Inputs!$B$13/100)))+0.25*(Inputs!$B$14-Inputs!$B$14))*(1+Inputs!$B$7/100))*(F1234/100)</f>
        <v/>
      </c>
      <c r="K1234">
        <f>J1234*(1+((Inputs!$B$12*(1+Inputs!$B$13/100))*0.01+Inputs!$B$14*0.0025)/100)*(1+Inputs!$B$15/100)*(1+Inputs!$B$16/100)*(5000/(6000+Inputs!$B$42*(1-(Inputs!$B$19+0)/100)))*(1+(Inputs!$B$24+((C1247=TRUE)*(F1247-Calc!F22))+B1256)/100)*(1+(IF(Skills!A9="HOOK_BOMBER",Inputs!$B$17+((C1246=TRUE)*(F1246-Calc!F21)),Inputs!$B$18+0))/100)*((1+(((C1238=TRUE)*F1238)+((C1244=TRUE)*(F1244-Calc!F19)))/100)*I1234)</f>
        <v/>
      </c>
      <c r="L1234">
        <f>K1234*(MIN(Inputs!$B$22+((C1245=TRUE)*(F1245-Calc!F20)),Inputs!$B$23+0)/100+(Inputs!$B$23+0)/100)/2</f>
        <v/>
      </c>
      <c r="M1234">
        <f>L1234*(1+(Inputs!$B$10+0+B1255)/100)</f>
        <v/>
      </c>
      <c r="N1234">
        <f>L1234*(1-MIN((Inputs!$B$9+((C1241=TRUE)*(F1241-Calc!F16))+B1250),100)/100)+M1234*(MIN((Inputs!$B$9+((C1241=TRUE)*(F1241-Calc!F16))+B1250),100)/100)</f>
        <v/>
      </c>
      <c r="O1234">
        <f>(1-Summary!$B$55)*T1234+Summary!$B$55*V1234</f>
        <v/>
      </c>
      <c r="P1234">
        <f>IF(B1260=0,0,O1234/B1260)</f>
        <v/>
      </c>
      <c r="Q1234">
        <f>IFERROR(1/IF(Inputs!$B$38="pvp",15,MAX(0.1,Skills!D9-IF(Skills!E9=TRUE,3.0,0))),0)</f>
        <v/>
      </c>
      <c r="R1234">
        <f>IF(AND(Inputs!$B$38&lt;&gt;"pvp",Inputs!$B$43&gt;0),IF(MAX(0,Inputs!$B$43-B1257)&lt;=0,0,(INT(MAX(0,Inputs!$B$43-B1257)/IF(Inputs!$B$38="pvp",15,MAX(0.1,Skills!D9-IF(Skills!E9=TRUE,3.0,0))))+1)),0)</f>
        <v/>
      </c>
      <c r="S1234">
        <f>IFERROR(O1234/N1234,0)</f>
        <v/>
      </c>
      <c r="T1234">
        <f>IF(C1234,(H1234*N1234*IF(AND(Inputs!$B$38&lt;&gt;"pvp",Inputs!$B$43&gt;0),((Skills!G9*((R1234-1)*IF(Skills!H9&gt;0,Skills!I9/Skills!H9,1)+IF(Skills!H9&gt;0,MIN(Skills!I9,MAX(0,MAX(0,Inputs!$B$43-B1257)-((R1234-1)*IF(Inputs!$B$38="pvp",15,MAX(0.1,Skills!D9-IF(Skills!E9=TRUE,3.0,0))))))/Skills!H9,1)))/Inputs!$B$43),G1234*Q1234))*IF(Inputs!$B$38="pvp",1,1+(Inputs!$B$20+0+Skills!P9)/100),0)</f>
        <v/>
      </c>
      <c r="V1234">
        <f>IF(C1234,(H1234*N1234*IF(AND(Inputs!$B$38&lt;&gt;"pvp",Inputs!$B$43&gt;0),((Skills!G9*((R1234-1)*IF(Skills!H9&gt;0,Skills!I9/Skills!H9,1)+IF(Skills!H9&gt;0,MIN(Skills!I9,MAX(0,MAX(0,Inputs!$B$43-B1257)-((R1234-1)*IF(Inputs!$B$38="pvp",15,MAX(0.1,Skills!D9-IF(Skills!E9=TRUE,3.0,0))))))/Skills!H9,1)))/Inputs!$B$43),G1234*Q1234))*IF(Inputs!$B$38="pvp",1,(1+(Inputs!$B$21+Skills!Q9)/100)*(MIN(Skills!R9,Inputs!$B$37))),0)</f>
        <v/>
      </c>
    </row>
    <row r="1235">
      <c r="A1235">
        <f>Skills!A10</f>
        <v/>
      </c>
      <c r="B1235">
        <f>Skills!B10</f>
        <v/>
      </c>
      <c r="C1235">
        <f>Inputs!$B$3&gt;=103</f>
        <v/>
      </c>
      <c r="D1235">
        <f>IF(Skills!C10=1,60+Inputs!$B$25+Inputs!$B$29,IF(Skills!C10=2,90+Inputs!$B$26+Inputs!$B$29,IF(Skills!C10=3,120+Inputs!$B$27+Inputs!$B$29,MAX(0,(Inputs!$B$3-100)*3)+Inputs!$B$28+Inputs!$B$29)))</f>
        <v/>
      </c>
      <c r="E1235">
        <f>INDEX(FactorTable!$B$2:$Y$301, MATCH(ROUND(MIN(300,MAX(1,D1235)),0), FactorTable!$A$2:$A$301,0), Skills!M10+1)</f>
        <v/>
      </c>
      <c r="F1235">
        <f>IF(Skills!N10=TRUE,(Skills!L10/10)*(E1235/1000),Skills!L10/10)+Skills!O10</f>
        <v/>
      </c>
      <c r="G1235">
        <f>Skills!G10*IF(Skills!H10&gt;0,Skills!I10/Skills!H10,1)</f>
        <v/>
      </c>
      <c r="H1235">
        <f>1-(1-Skills!J10/100)^Skills!K10</f>
        <v/>
      </c>
      <c r="I1235" t="inlineStr">
        <is>
          <t>1</t>
        </is>
      </c>
      <c r="J1235">
        <f>((Inputs!$B$6*(1+Inputs!$B$7/100))+(((Inputs!$B$12*(1+Inputs!$B$13/100))-(Inputs!$B$12*(1+Inputs!$B$13/100)))+0.25*(Inputs!$B$14-Inputs!$B$14))*(1+Inputs!$B$7/100))*(F1235/100)</f>
        <v/>
      </c>
      <c r="K1235">
        <f>J1235*(1+((Inputs!$B$12*(1+Inputs!$B$13/100))*0.01+Inputs!$B$14*0.0025)/100)*(1+Inputs!$B$15/100)*(1+Inputs!$B$16/100)*(5000/(6000+Inputs!$B$42*(1-(Inputs!$B$19+0)/100)))*(1+(Inputs!$B$24+((C1247=TRUE)*(F1247-Calc!F22))+B1256)/100)*(1+(IF(Skills!A10="HOOK_BOMBER",Inputs!$B$17+((C1246=TRUE)*(F1246-Calc!F21)),Inputs!$B$18+0))/100)*((1+(((C1238=TRUE)*F1238)+((C1244=TRUE)*(F1244-Calc!F19)))/100)*I1235)</f>
        <v/>
      </c>
      <c r="L1235">
        <f>K1235*(MIN(Inputs!$B$22+((C1245=TRUE)*(F1245-Calc!F20)),Inputs!$B$23+0)/100+(Inputs!$B$23+0)/100)/2</f>
        <v/>
      </c>
      <c r="M1235">
        <f>L1235*(1+(Inputs!$B$10+0+B1255)/100)</f>
        <v/>
      </c>
      <c r="N1235">
        <f>L1235*(1-MIN((Inputs!$B$9+((C1241=TRUE)*(F1241-Calc!F16))+B1250),100)/100)+M1235*(MIN((Inputs!$B$9+((C1241=TRUE)*(F1241-Calc!F16))+B1250),100)/100)</f>
        <v/>
      </c>
      <c r="O1235">
        <f>(1-Summary!$B$55)*T1235+Summary!$B$55*V1235</f>
        <v/>
      </c>
      <c r="P1235">
        <f>IF(B1260=0,0,O1235/B1260)</f>
        <v/>
      </c>
      <c r="Q1235">
        <f>IFERROR(1/IF(Inputs!$B$38="pvp",15,MAX(0.1,Skills!D10-IF(Skills!E10=TRUE,3.0,0))),0)</f>
        <v/>
      </c>
      <c r="R1235">
        <f>IF(AND(Inputs!$B$38&lt;&gt;"pvp",Inputs!$B$43&gt;0),IF(MAX(0,Inputs!$B$43-B1257)&lt;=0,0,(INT(MAX(0,Inputs!$B$43-B1257)/IF(Inputs!$B$38="pvp",15,MAX(0.1,Skills!D10-IF(Skills!E10=TRUE,3.0,0))))+1)),0)</f>
        <v/>
      </c>
      <c r="S1235">
        <f>IFERROR(O1235/N1235,0)</f>
        <v/>
      </c>
      <c r="T1235">
        <f>IF(C1235,(H1235*N1235*IF(AND(Inputs!$B$38&lt;&gt;"pvp",Inputs!$B$43&gt;0),((Skills!G10*((R1235-1)*IF(Skills!H10&gt;0,Skills!I10/Skills!H10,1)+IF(Skills!H10&gt;0,MIN(Skills!I10,MAX(0,MAX(0,Inputs!$B$43-B1257)-((R1235-1)*IF(Inputs!$B$38="pvp",15,MAX(0.1,Skills!D10-IF(Skills!E10=TRUE,3.0,0))))))/Skills!H10,1)))/Inputs!$B$43),G1235*Q1235))*IF(Inputs!$B$38="pvp",1,1+(Inputs!$B$20+0+Skills!P10)/100),0)</f>
        <v/>
      </c>
      <c r="V1235">
        <f>IF(C1235,(H1235*N1235*IF(AND(Inputs!$B$38&lt;&gt;"pvp",Inputs!$B$43&gt;0),((Skills!G10*((R1235-1)*IF(Skills!H10&gt;0,Skills!I10/Skills!H10,1)+IF(Skills!H10&gt;0,MIN(Skills!I10,MAX(0,MAX(0,Inputs!$B$43-B1257)-((R1235-1)*IF(Inputs!$B$38="pvp",15,MAX(0.1,Skills!D10-IF(Skills!E10=TRUE,3.0,0))))))/Skills!H10,1)))/Inputs!$B$43),G1235*Q1235))*IF(Inputs!$B$38="pvp",1,(1+(Inputs!$B$21+Skills!Q10)/100)*(MIN(Skills!R10,Inputs!$B$37))),0)</f>
        <v/>
      </c>
    </row>
    <row r="1236">
      <c r="A1236">
        <f>Skills!A11</f>
        <v/>
      </c>
      <c r="B1236">
        <f>Skills!B11</f>
        <v/>
      </c>
      <c r="C1236">
        <f>Inputs!$B$3&gt;=113</f>
        <v/>
      </c>
      <c r="D1236">
        <f>IF(Skills!C11=1,60+Inputs!$B$25+Inputs!$B$29,IF(Skills!C11=2,90+Inputs!$B$26+Inputs!$B$29,IF(Skills!C11=3,120+Inputs!$B$27+Inputs!$B$29,MAX(0,(Inputs!$B$3-100)*3)+Inputs!$B$28+Inputs!$B$29)))</f>
        <v/>
      </c>
      <c r="E1236">
        <f>INDEX(FactorTable!$B$2:$Y$301, MATCH(ROUND(MIN(300,MAX(1,D1236)),0), FactorTable!$A$2:$A$301,0), Skills!M11+1)</f>
        <v/>
      </c>
      <c r="F1236">
        <f>IF(Skills!N11=TRUE,(Skills!L11/10)*(E1236/1000),Skills!L11/10)+Skills!O11</f>
        <v/>
      </c>
      <c r="G1236">
        <f>Skills!G11*IF(Skills!H11&gt;0,Skills!I11/Skills!H11,1)</f>
        <v/>
      </c>
      <c r="H1236">
        <f>1-(1-Skills!J11/100)^Skills!K11</f>
        <v/>
      </c>
      <c r="I1236" t="inlineStr">
        <is>
          <t>1</t>
        </is>
      </c>
      <c r="J1236">
        <f>((Inputs!$B$6*(1+Inputs!$B$7/100))+(((Inputs!$B$12*(1+Inputs!$B$13/100))-(Inputs!$B$12*(1+Inputs!$B$13/100)))+0.25*(Inputs!$B$14-Inputs!$B$14))*(1+Inputs!$B$7/100))*(F1236/100)</f>
        <v/>
      </c>
      <c r="K1236">
        <f>J1236*(1+((Inputs!$B$12*(1+Inputs!$B$13/100))*0.01+Inputs!$B$14*0.0025)/100)*(1+Inputs!$B$15/100)*(1+Inputs!$B$16/100)*(5000/(6000+Inputs!$B$42*(1-(Inputs!$B$19+0)/100)))*(1+(Inputs!$B$24+((C1247=TRUE)*(F1247-Calc!F22))+B1256)/100)*(1+(IF(Skills!A11="HOOK_BOMBER",Inputs!$B$17+((C1246=TRUE)*(F1246-Calc!F21)),Inputs!$B$18+0))/100)*((1+(((C1238=TRUE)*F1238)+((C1244=TRUE)*(F1244-Calc!F19)))/100)*I1236)</f>
        <v/>
      </c>
      <c r="L1236">
        <f>K1236*(MIN(Inputs!$B$22+((C1245=TRUE)*(F1245-Calc!F20)),Inputs!$B$23+0)/100+(Inputs!$B$23+0)/100)/2</f>
        <v/>
      </c>
      <c r="M1236">
        <f>L1236*(1+(Inputs!$B$10+0+B1255)/100)</f>
        <v/>
      </c>
      <c r="N1236">
        <f>L1236*(1-MIN((Inputs!$B$9+((C1241=TRUE)*(F1241-Calc!F16))+B1250),100)/100)+M1236*(MIN((Inputs!$B$9+((C1241=TRUE)*(F1241-Calc!F16))+B1250),100)/100)</f>
        <v/>
      </c>
      <c r="O1236">
        <f>(1-Summary!$B$55)*T1236+Summary!$B$55*V1236</f>
        <v/>
      </c>
      <c r="P1236">
        <f>IF(B1260=0,0,O1236/B1260)</f>
        <v/>
      </c>
      <c r="Q1236">
        <f>IFERROR(1/IF(Inputs!$B$38="pvp",15,MAX(0.1,Skills!D11-IF(Skills!E11=TRUE,3.0,0))),0)</f>
        <v/>
      </c>
      <c r="R1236">
        <f>IF(AND(Inputs!$B$38&lt;&gt;"pvp",Inputs!$B$43&gt;0),IF(MAX(0,Inputs!$B$43-B1257)&lt;=0,0,(INT(MAX(0,Inputs!$B$43-B1257)/IF(Inputs!$B$38="pvp",15,MAX(0.1,Skills!D11-IF(Skills!E11=TRUE,3.0,0))))+1)),0)</f>
        <v/>
      </c>
      <c r="S1236">
        <f>IFERROR(O1236/N1236,0)</f>
        <v/>
      </c>
      <c r="T1236">
        <f>IF(C1236,(H1236*N1236*IF(AND(Inputs!$B$38&lt;&gt;"pvp",Inputs!$B$43&gt;0),((Skills!G11*((R1236-1)*IF(Skills!H11&gt;0,Skills!I11/Skills!H11,1)+IF(Skills!H11&gt;0,MIN(Skills!I11,MAX(0,MAX(0,Inputs!$B$43-B1257)-((R1236-1)*IF(Inputs!$B$38="pvp",15,MAX(0.1,Skills!D11-IF(Skills!E11=TRUE,3.0,0))))))/Skills!H11,1)))/Inputs!$B$43),G1236*Q1236))*IF(Inputs!$B$38="pvp",1,1+(Inputs!$B$20+0+Skills!P11)/100),0)</f>
        <v/>
      </c>
      <c r="V1236">
        <f>IF(C1236,(H1236*N1236*IF(AND(Inputs!$B$38&lt;&gt;"pvp",Inputs!$B$43&gt;0),((Skills!G11*((R1236-1)*IF(Skills!H11&gt;0,Skills!I11/Skills!H11,1)+IF(Skills!H11&gt;0,MIN(Skills!I11,MAX(0,MAX(0,Inputs!$B$43-B1257)-((R1236-1)*IF(Inputs!$B$38="pvp",15,MAX(0.1,Skills!D11-IF(Skills!E11=TRUE,3.0,0))))))/Skills!H11,1)))/Inputs!$B$43),G1236*Q1236))*IF(Inputs!$B$38="pvp",1,(1+(Inputs!$B$21+Skills!Q11)/100)*(MIN(Skills!R11,Inputs!$B$37))),0)</f>
        <v/>
      </c>
    </row>
    <row r="1237">
      <c r="A1237">
        <f>Skills!A12</f>
        <v/>
      </c>
      <c r="B1237">
        <f>Skills!B12</f>
        <v/>
      </c>
      <c r="C1237">
        <f>Inputs!$B$3&gt;=100</f>
        <v/>
      </c>
      <c r="D1237">
        <f>IF(Skills!C12=1,60+Inputs!$B$25+Inputs!$B$29,IF(Skills!C12=2,90+Inputs!$B$26+Inputs!$B$29,IF(Skills!C12=3,120+Inputs!$B$27+Inputs!$B$29,MAX(0,(Inputs!$B$3-100)*3)+Inputs!$B$28+Inputs!$B$29)))</f>
        <v/>
      </c>
      <c r="E1237">
        <f>INDEX(FactorTable!$B$2:$Y$301, MATCH(ROUND(MIN(300,MAX(1,D1237)),0), FactorTable!$A$2:$A$301,0), Skills!M12+1)</f>
        <v/>
      </c>
      <c r="F1237">
        <f>IF(Skills!N12=TRUE,(Skills!L12/10)*(E1237/1000),Skills!L12/10)+Skills!O12</f>
        <v/>
      </c>
      <c r="G1237" t="inlineStr"/>
      <c r="H1237" t="inlineStr"/>
      <c r="I1237" t="inlineStr">
        <is>
          <t>1</t>
        </is>
      </c>
      <c r="J1237" t="inlineStr"/>
      <c r="K1237" t="inlineStr"/>
      <c r="L1237" t="inlineStr"/>
      <c r="M1237" t="inlineStr"/>
      <c r="N1237" t="inlineStr"/>
      <c r="O1237" t="inlineStr"/>
      <c r="P1237" t="inlineStr"/>
      <c r="Q1237" t="inlineStr"/>
      <c r="R1237" t="inlineStr"/>
      <c r="S1237" t="inlineStr"/>
      <c r="T1237" t="inlineStr"/>
      <c r="V1237" t="inlineStr"/>
    </row>
    <row r="1238">
      <c r="A1238">
        <f>Skills!A13</f>
        <v/>
      </c>
      <c r="B1238">
        <f>Skills!B13</f>
        <v/>
      </c>
      <c r="C1238">
        <f>Inputs!$B$3&gt;=66</f>
        <v/>
      </c>
      <c r="D1238">
        <f>IF(Skills!C13=1,60+Inputs!$B$25+Inputs!$B$29,IF(Skills!C13=2,90+Inputs!$B$26+Inputs!$B$29,IF(Skills!C13=3,120+Inputs!$B$27+Inputs!$B$29,MAX(0,(Inputs!$B$3-100)*3)+Inputs!$B$28+Inputs!$B$29)))</f>
        <v/>
      </c>
      <c r="E1238">
        <f>INDEX(FactorTable!$B$2:$Y$301, MATCH(ROUND(MIN(300,MAX(1,D1238)),0), FactorTable!$A$2:$A$301,0), Skills!M13+1)</f>
        <v/>
      </c>
      <c r="F1238">
        <f>IF(Skills!N13=TRUE,(Skills!L13/10)*(E1238/1000),Skills!L13/10)+Skills!O13</f>
        <v/>
      </c>
      <c r="G1238">
        <f>Skills!G13*IF(Skills!H13&gt;0,Skills!I13/Skills!H13,1)</f>
        <v/>
      </c>
      <c r="H1238">
        <f>1-(1-Skills!J13/100)^Skills!K13</f>
        <v/>
      </c>
      <c r="I1238" t="inlineStr">
        <is>
          <t>1</t>
        </is>
      </c>
      <c r="J1238" t="inlineStr"/>
      <c r="K1238" t="inlineStr"/>
      <c r="L1238" t="inlineStr"/>
      <c r="M1238" t="inlineStr"/>
      <c r="N1238" t="inlineStr"/>
      <c r="O1238">
        <f>(1-Summary!$B$55)*T1238+Summary!$B$55*V1238</f>
        <v/>
      </c>
      <c r="P1238">
        <f>IF(B1260=0,0,O1238/B1260)</f>
        <v/>
      </c>
      <c r="Q1238" t="n">
        <v>0</v>
      </c>
      <c r="R1238" t="n">
        <v>0</v>
      </c>
      <c r="S1238">
        <f>IFERROR(O1238/N1238,0)</f>
        <v/>
      </c>
      <c r="T1238" t="n">
        <v>0</v>
      </c>
      <c r="V1238" t="n">
        <v>0</v>
      </c>
    </row>
    <row r="1239">
      <c r="A1239">
        <f>Skills!A14</f>
        <v/>
      </c>
      <c r="B1239">
        <f>Skills!B14</f>
        <v/>
      </c>
      <c r="C1239">
        <f>Inputs!$B$3&gt;=107</f>
        <v/>
      </c>
      <c r="D1239">
        <f>IF(Skills!C14=1,60+Inputs!$B$25+Inputs!$B$29,IF(Skills!C14=2,90+Inputs!$B$26+Inputs!$B$29,IF(Skills!C14=3,120+Inputs!$B$27+Inputs!$B$29,MAX(0,(Inputs!$B$3-100)*3)+Inputs!$B$28+Inputs!$B$29)))</f>
        <v/>
      </c>
      <c r="E1239">
        <f>INDEX(FactorTable!$B$2:$Y$301, MATCH(ROUND(MIN(300,MAX(1,D1239)),0), FactorTable!$A$2:$A$301,0), Skills!M14+1)</f>
        <v/>
      </c>
      <c r="F1239">
        <f>IF(Skills!N14=TRUE,(Skills!L14/10)*(E1239/1000),Skills!L14/10)+Skills!O14</f>
        <v/>
      </c>
      <c r="G1239">
        <f>Skills!G14*IF(Skills!H14&gt;0,Skills!I14/Skills!H14,1)</f>
        <v/>
      </c>
      <c r="H1239">
        <f>1-(1-Skills!J14/100)^Skills!K14</f>
        <v/>
      </c>
      <c r="I1239" t="inlineStr">
        <is>
          <t>1</t>
        </is>
      </c>
      <c r="J1239" t="inlineStr"/>
      <c r="K1239" t="inlineStr"/>
      <c r="L1239" t="inlineStr"/>
      <c r="M1239" t="inlineStr"/>
      <c r="N1239" t="inlineStr"/>
      <c r="O1239">
        <f>(1-Summary!$B$55)*T1239+Summary!$B$55*V1239</f>
        <v/>
      </c>
      <c r="P1239">
        <f>IF(B1260=0,0,O1239/B1260)</f>
        <v/>
      </c>
      <c r="Q1239" t="n">
        <v>0</v>
      </c>
      <c r="R1239" t="n">
        <v>0</v>
      </c>
      <c r="S1239">
        <f>IFERROR(O1239/N1239,0)</f>
        <v/>
      </c>
      <c r="T1239" t="n">
        <v>0</v>
      </c>
      <c r="V1239" t="n">
        <v>0</v>
      </c>
    </row>
    <row r="1240">
      <c r="A1240">
        <f>Skills!A15</f>
        <v/>
      </c>
      <c r="B1240">
        <f>Skills!B15</f>
        <v/>
      </c>
      <c r="C1240">
        <f>Inputs!$B$3&gt;=115</f>
        <v/>
      </c>
      <c r="D1240">
        <f>IF(Skills!C15=1,60+Inputs!$B$25+Inputs!$B$29,IF(Skills!C15=2,90+Inputs!$B$26+Inputs!$B$29,IF(Skills!C15=3,120+Inputs!$B$27+Inputs!$B$29,MAX(0,(Inputs!$B$3-100)*3)+Inputs!$B$28+Inputs!$B$29)))</f>
        <v/>
      </c>
      <c r="E1240">
        <f>INDEX(FactorTable!$B$2:$Y$301, MATCH(ROUND(MIN(300,MAX(1,D1240)),0), FactorTable!$A$2:$A$301,0), Skills!M15+1)</f>
        <v/>
      </c>
      <c r="F1240">
        <f>IF(Skills!N15=TRUE,(Skills!L15/10)*(E1240/1000),Skills!L15/10)+Skills!O15</f>
        <v/>
      </c>
      <c r="G1240">
        <f>Skills!G15*IF(Skills!H15&gt;0,Skills!I15/Skills!H15,1)</f>
        <v/>
      </c>
      <c r="H1240">
        <f>1-(1-Skills!J15/100)^Skills!K15</f>
        <v/>
      </c>
      <c r="I1240" t="inlineStr">
        <is>
          <t>1</t>
        </is>
      </c>
      <c r="J1240" t="inlineStr"/>
      <c r="K1240" t="inlineStr"/>
      <c r="L1240" t="inlineStr"/>
      <c r="M1240" t="inlineStr"/>
      <c r="N1240" t="inlineStr"/>
      <c r="O1240">
        <f>(1-Summary!$B$55)*T1240+Summary!$B$55*V1240</f>
        <v/>
      </c>
      <c r="P1240">
        <f>IF(B1260=0,0,O1240/B1260)</f>
        <v/>
      </c>
      <c r="Q1240" t="n">
        <v>0</v>
      </c>
      <c r="R1240" t="n">
        <v>0</v>
      </c>
      <c r="S1240">
        <f>IFERROR(O1240/N1240,0)</f>
        <v/>
      </c>
      <c r="T1240" t="n">
        <v>0</v>
      </c>
      <c r="V1240" t="n">
        <v>0</v>
      </c>
    </row>
    <row r="1241">
      <c r="A1241">
        <f>Skills!A16</f>
        <v/>
      </c>
      <c r="B1241">
        <f>Skills!B16</f>
        <v/>
      </c>
      <c r="C1241">
        <f>Inputs!$B$3&gt;=15</f>
        <v/>
      </c>
      <c r="D1241">
        <f>IF(Skills!C16=1,60+Inputs!$B$25+Inputs!$B$29,IF(Skills!C16=2,90+Inputs!$B$26+Inputs!$B$29,IF(Skills!C16=3,120+Inputs!$B$27+Inputs!$B$29,MAX(0,(Inputs!$B$3-100)*3)+Inputs!$B$28+Inputs!$B$29)))</f>
        <v/>
      </c>
      <c r="E1241">
        <f>INDEX(FactorTable!$B$2:$Y$301, MATCH(ROUND(MIN(300,MAX(1,D1241)),0), FactorTable!$A$2:$A$301,0), Skills!M16+1)</f>
        <v/>
      </c>
      <c r="F1241">
        <f>IF(Skills!N16=TRUE,(Skills!L16/10)*(E1241/1000),Skills!L16/10)+Skills!O16</f>
        <v/>
      </c>
      <c r="G1241">
        <f>Skills!G16*IF(Skills!H16&gt;0,Skills!I16/Skills!H16,1)</f>
        <v/>
      </c>
      <c r="H1241">
        <f>1-(1-Skills!J16/100)^Skills!K16</f>
        <v/>
      </c>
      <c r="I1241" t="inlineStr">
        <is>
          <t>1</t>
        </is>
      </c>
      <c r="J1241" t="inlineStr"/>
      <c r="K1241" t="inlineStr"/>
      <c r="L1241" t="inlineStr"/>
      <c r="M1241" t="inlineStr"/>
      <c r="N1241" t="inlineStr"/>
      <c r="O1241">
        <f>(1-Summary!$B$55)*T1241+Summary!$B$55*V1241</f>
        <v/>
      </c>
      <c r="P1241">
        <f>IF(B1260=0,0,O1241/B1260)</f>
        <v/>
      </c>
      <c r="Q1241" t="n">
        <v>0</v>
      </c>
      <c r="R1241" t="n">
        <v>0</v>
      </c>
      <c r="S1241">
        <f>IFERROR(O1241/N1241,0)</f>
        <v/>
      </c>
      <c r="T1241" t="n">
        <v>0</v>
      </c>
      <c r="V1241" t="n">
        <v>0</v>
      </c>
    </row>
    <row r="1242">
      <c r="A1242">
        <f>Skills!A17</f>
        <v/>
      </c>
      <c r="B1242">
        <f>Skills!B17</f>
        <v/>
      </c>
      <c r="C1242">
        <f>Inputs!$B$3&gt;=10</f>
        <v/>
      </c>
      <c r="D1242">
        <f>IF(Skills!C17=1,60+Inputs!$B$25+Inputs!$B$29,IF(Skills!C17=2,90+Inputs!$B$26+Inputs!$B$29,IF(Skills!C17=3,120+Inputs!$B$27+Inputs!$B$29,MAX(0,(Inputs!$B$3-100)*3)+Inputs!$B$28+Inputs!$B$29)))</f>
        <v/>
      </c>
      <c r="E1242">
        <f>INDEX(FactorTable!$B$2:$Y$301, MATCH(ROUND(MIN(300,MAX(1,D1242)),0), FactorTable!$A$2:$A$301,0), Skills!M17+1)</f>
        <v/>
      </c>
      <c r="F1242">
        <f>IF(Skills!N17=TRUE,(Skills!L17/10)*(E1242/1000),Skills!L17/10)+Skills!O17</f>
        <v/>
      </c>
      <c r="G1242">
        <f>Skills!G17*IF(Skills!H17&gt;0,Skills!I17/Skills!H17,1)</f>
        <v/>
      </c>
      <c r="H1242">
        <f>1-(1-Skills!J17/100)^Skills!K17</f>
        <v/>
      </c>
      <c r="I1242" t="inlineStr">
        <is>
          <t>1</t>
        </is>
      </c>
      <c r="J1242" t="inlineStr"/>
      <c r="K1242" t="inlineStr"/>
      <c r="L1242" t="inlineStr"/>
      <c r="M1242" t="inlineStr"/>
      <c r="N1242" t="inlineStr"/>
      <c r="O1242">
        <f>(1-Summary!$B$55)*T1242+Summary!$B$55*V1242</f>
        <v/>
      </c>
      <c r="P1242">
        <f>IF(B1260=0,0,O1242/B1260)</f>
        <v/>
      </c>
      <c r="Q1242" t="n">
        <v>0</v>
      </c>
      <c r="R1242" t="n">
        <v>0</v>
      </c>
      <c r="S1242">
        <f>IFERROR(O1242/N1242,0)</f>
        <v/>
      </c>
      <c r="T1242" t="n">
        <v>0</v>
      </c>
      <c r="V1242" t="n">
        <v>0</v>
      </c>
    </row>
    <row r="1243">
      <c r="A1243">
        <f>Skills!A18</f>
        <v/>
      </c>
      <c r="B1243">
        <f>Skills!B18</f>
        <v/>
      </c>
      <c r="C1243">
        <f>Inputs!$B$3&gt;=33</f>
        <v/>
      </c>
      <c r="D1243">
        <f>IF(Skills!C18=1,60+Inputs!$B$25+Inputs!$B$29,IF(Skills!C18=2,90+Inputs!$B$26+Inputs!$B$29,IF(Skills!C18=3,120+Inputs!$B$27+Inputs!$B$29,MAX(0,(Inputs!$B$3-100)*3)+Inputs!$B$28+Inputs!$B$29)))</f>
        <v/>
      </c>
      <c r="E1243">
        <f>INDEX(FactorTable!$B$2:$Y$301, MATCH(ROUND(MIN(300,MAX(1,D1243)),0), FactorTable!$A$2:$A$301,0), Skills!M18+1)</f>
        <v/>
      </c>
      <c r="F1243">
        <f>IF(Skills!N18=TRUE,(Skills!L18/10)*(E1243/1000),Skills!L18/10)+Skills!O18</f>
        <v/>
      </c>
      <c r="G1243">
        <f>Skills!G18*IF(Skills!H18&gt;0,Skills!I18/Skills!H18,1)</f>
        <v/>
      </c>
      <c r="H1243">
        <f>1-(1-Skills!J18/100)^Skills!K18</f>
        <v/>
      </c>
      <c r="I1243" t="inlineStr">
        <is>
          <t>1</t>
        </is>
      </c>
      <c r="J1243" t="inlineStr"/>
      <c r="K1243" t="inlineStr"/>
      <c r="L1243" t="inlineStr"/>
      <c r="M1243" t="inlineStr"/>
      <c r="N1243" t="inlineStr"/>
      <c r="O1243">
        <f>(1-Summary!$B$55)*T1243+Summary!$B$55*V1243</f>
        <v/>
      </c>
      <c r="P1243">
        <f>IF(B1260=0,0,O1243/B1260)</f>
        <v/>
      </c>
      <c r="Q1243" t="n">
        <v>0</v>
      </c>
      <c r="R1243" t="n">
        <v>0</v>
      </c>
      <c r="S1243">
        <f>IFERROR(O1243/N1243,0)</f>
        <v/>
      </c>
      <c r="T1243" t="n">
        <v>0</v>
      </c>
      <c r="V1243" t="n">
        <v>0</v>
      </c>
    </row>
    <row r="1244">
      <c r="A1244">
        <f>Skills!A19</f>
        <v/>
      </c>
      <c r="B1244">
        <f>Skills!B19</f>
        <v/>
      </c>
      <c r="C1244">
        <f>Inputs!$B$3&gt;=40</f>
        <v/>
      </c>
      <c r="D1244">
        <f>IF(Skills!C19=1,60+Inputs!$B$25+Inputs!$B$29,IF(Skills!C19=2,90+Inputs!$B$26+Inputs!$B$29,IF(Skills!C19=3,120+Inputs!$B$27+Inputs!$B$29,MAX(0,(Inputs!$B$3-100)*3)+Inputs!$B$28+Inputs!$B$29)))</f>
        <v/>
      </c>
      <c r="E1244">
        <f>INDEX(FactorTable!$B$2:$Y$301, MATCH(ROUND(MIN(300,MAX(1,D1244)),0), FactorTable!$A$2:$A$301,0), Skills!M19+1)</f>
        <v/>
      </c>
      <c r="F1244">
        <f>IF(Skills!N19=TRUE,(Skills!L19/10)*(E1244/1000),Skills!L19/10)+Skills!O19</f>
        <v/>
      </c>
      <c r="G1244">
        <f>Skills!G19*IF(Skills!H19&gt;0,Skills!I19/Skills!H19,1)</f>
        <v/>
      </c>
      <c r="H1244">
        <f>1-(1-Skills!J19/100)^Skills!K19</f>
        <v/>
      </c>
      <c r="I1244" t="inlineStr">
        <is>
          <t>1</t>
        </is>
      </c>
      <c r="J1244" t="inlineStr"/>
      <c r="K1244" t="inlineStr"/>
      <c r="L1244" t="inlineStr"/>
      <c r="M1244" t="inlineStr"/>
      <c r="N1244" t="inlineStr"/>
      <c r="O1244">
        <f>(1-Summary!$B$55)*T1244+Summary!$B$55*V1244</f>
        <v/>
      </c>
      <c r="P1244">
        <f>IF(B1260=0,0,O1244/B1260)</f>
        <v/>
      </c>
      <c r="Q1244" t="n">
        <v>0</v>
      </c>
      <c r="R1244" t="n">
        <v>0</v>
      </c>
      <c r="S1244">
        <f>IFERROR(O1244/N1244,0)</f>
        <v/>
      </c>
      <c r="T1244" t="n">
        <v>0</v>
      </c>
      <c r="V1244" t="n">
        <v>0</v>
      </c>
    </row>
    <row r="1245">
      <c r="A1245">
        <f>Skills!A20</f>
        <v/>
      </c>
      <c r="B1245">
        <f>Skills!B20</f>
        <v/>
      </c>
      <c r="C1245">
        <f>Inputs!$B$3&gt;=43</f>
        <v/>
      </c>
      <c r="D1245">
        <f>IF(Skills!C20=1,60+Inputs!$B$25+Inputs!$B$29,IF(Skills!C20=2,90+Inputs!$B$26+Inputs!$B$29,IF(Skills!C20=3,120+Inputs!$B$27+Inputs!$B$29,MAX(0,(Inputs!$B$3-100)*3)+Inputs!$B$28+Inputs!$B$29)))</f>
        <v/>
      </c>
      <c r="E1245">
        <f>INDEX(FactorTable!$B$2:$Y$301, MATCH(ROUND(MIN(300,MAX(1,D1245)),0), FactorTable!$A$2:$A$301,0), Skills!M20+1)</f>
        <v/>
      </c>
      <c r="F1245">
        <f>IF(Skills!N20=TRUE,(Skills!L20/10)*(E1245/1000),Skills!L20/10)+Skills!O20</f>
        <v/>
      </c>
      <c r="G1245">
        <f>Skills!G20*IF(Skills!H20&gt;0,Skills!I20/Skills!H20,1)</f>
        <v/>
      </c>
      <c r="H1245">
        <f>1-(1-Skills!J20/100)^Skills!K20</f>
        <v/>
      </c>
      <c r="I1245" t="inlineStr">
        <is>
          <t>1</t>
        </is>
      </c>
      <c r="J1245" t="inlineStr"/>
      <c r="K1245" t="inlineStr"/>
      <c r="L1245" t="inlineStr"/>
      <c r="M1245" t="inlineStr"/>
      <c r="N1245" t="inlineStr"/>
      <c r="O1245">
        <f>(1-Summary!$B$55)*T1245+Summary!$B$55*V1245</f>
        <v/>
      </c>
      <c r="P1245">
        <f>IF(B1260=0,0,O1245/B1260)</f>
        <v/>
      </c>
      <c r="Q1245" t="n">
        <v>0</v>
      </c>
      <c r="R1245" t="n">
        <v>0</v>
      </c>
      <c r="S1245">
        <f>IFERROR(O1245/N1245,0)</f>
        <v/>
      </c>
      <c r="T1245" t="n">
        <v>0</v>
      </c>
      <c r="V1245" t="n">
        <v>0</v>
      </c>
    </row>
    <row r="1246">
      <c r="A1246">
        <f>Skills!A21</f>
        <v/>
      </c>
      <c r="B1246">
        <f>Skills!B21</f>
        <v/>
      </c>
      <c r="C1246">
        <f>Inputs!$B$3&gt;=38</f>
        <v/>
      </c>
      <c r="D1246">
        <f>IF(Skills!C21=1,60+Inputs!$B$25+Inputs!$B$29,IF(Skills!C21=2,90+Inputs!$B$26+Inputs!$B$29,IF(Skills!C21=3,120+Inputs!$B$27+Inputs!$B$29,MAX(0,(Inputs!$B$3-100)*3)+Inputs!$B$28+Inputs!$B$29)))</f>
        <v/>
      </c>
      <c r="E1246">
        <f>INDEX(FactorTable!$B$2:$Y$301, MATCH(ROUND(MIN(300,MAX(1,D1246)),0), FactorTable!$A$2:$A$301,0), Skills!M21+1)</f>
        <v/>
      </c>
      <c r="F1246">
        <f>IF(Skills!N21=TRUE,(Skills!L21/10)*(E1246/1000),Skills!L21/10)+Skills!O21</f>
        <v/>
      </c>
      <c r="G1246">
        <f>Skills!G21*IF(Skills!H21&gt;0,Skills!I21/Skills!H21,1)</f>
        <v/>
      </c>
      <c r="H1246">
        <f>1-(1-Skills!J21/100)^Skills!K21</f>
        <v/>
      </c>
      <c r="I1246" t="inlineStr">
        <is>
          <t>1</t>
        </is>
      </c>
      <c r="J1246" t="inlineStr"/>
      <c r="K1246" t="inlineStr"/>
      <c r="L1246" t="inlineStr"/>
      <c r="M1246" t="inlineStr"/>
      <c r="N1246" t="inlineStr"/>
      <c r="O1246">
        <f>(1-Summary!$B$55)*T1246+Summary!$B$55*V1246</f>
        <v/>
      </c>
      <c r="P1246">
        <f>IF(B1260=0,0,O1246/B1260)</f>
        <v/>
      </c>
      <c r="Q1246" t="n">
        <v>0</v>
      </c>
      <c r="R1246" t="n">
        <v>0</v>
      </c>
      <c r="S1246">
        <f>IFERROR(O1246/N1246,0)</f>
        <v/>
      </c>
      <c r="T1246" t="n">
        <v>0</v>
      </c>
      <c r="V1246" t="n">
        <v>0</v>
      </c>
    </row>
    <row r="1247">
      <c r="A1247">
        <f>Skills!A22</f>
        <v/>
      </c>
      <c r="B1247">
        <f>Skills!B22</f>
        <v/>
      </c>
      <c r="C1247">
        <f>Inputs!$B$3&gt;=75</f>
        <v/>
      </c>
      <c r="D1247">
        <f>IF(Skills!C22=1,60+Inputs!$B$25+Inputs!$B$29,IF(Skills!C22=2,90+Inputs!$B$26+Inputs!$B$29,IF(Skills!C22=3,120+Inputs!$B$27+Inputs!$B$29,MAX(0,(Inputs!$B$3-100)*3)+Inputs!$B$28+Inputs!$B$29)))</f>
        <v/>
      </c>
      <c r="E1247">
        <f>INDEX(FactorTable!$B$2:$Y$301, MATCH(ROUND(MIN(300,MAX(1,D1247)),0), FactorTable!$A$2:$A$301,0), Skills!M22+1)</f>
        <v/>
      </c>
      <c r="F1247">
        <f>IF(Skills!N22=TRUE,(Skills!L22/10)*(E1247/1000),Skills!L22/10)+Skills!O22</f>
        <v/>
      </c>
      <c r="G1247">
        <f>Skills!G22*IF(Skills!H22&gt;0,Skills!I22/Skills!H22,1)</f>
        <v/>
      </c>
      <c r="H1247">
        <f>1-(1-Skills!J22/100)^Skills!K22</f>
        <v/>
      </c>
      <c r="I1247" t="inlineStr">
        <is>
          <t>1</t>
        </is>
      </c>
      <c r="J1247" t="inlineStr"/>
      <c r="K1247" t="inlineStr"/>
      <c r="L1247" t="inlineStr"/>
      <c r="M1247" t="inlineStr"/>
      <c r="N1247" t="inlineStr"/>
      <c r="O1247">
        <f>(1-Summary!$B$55)*T1247+Summary!$B$55*V1247</f>
        <v/>
      </c>
      <c r="P1247">
        <f>IF(B1260=0,0,O1247/B1260)</f>
        <v/>
      </c>
      <c r="Q1247" t="n">
        <v>0</v>
      </c>
      <c r="R1247" t="n">
        <v>0</v>
      </c>
      <c r="S1247">
        <f>IFERROR(O1247/N1247,0)</f>
        <v/>
      </c>
      <c r="T1247" t="n">
        <v>0</v>
      </c>
      <c r="V1247" t="n">
        <v>0</v>
      </c>
    </row>
    <row r="1249">
      <c r="A1249" t="inlineStr">
        <is>
          <t>Attack% Bucket Multiplier</t>
        </is>
      </c>
      <c r="B1249">
        <f>(1+(((C1238=TRUE)*F1238)+((C1244=TRUE)*(F1244-Calc!F19)))/100)</f>
        <v/>
      </c>
    </row>
    <row r="1250">
      <c r="A1250" t="inlineStr">
        <is>
          <t>Global Crit Rate Bonus %</t>
        </is>
      </c>
      <c r="B1250" t="n">
        <v>0</v>
      </c>
    </row>
    <row r="1251">
      <c r="A1251" t="inlineStr">
        <is>
          <t>Attack Speed Buff Bonus % (unused)</t>
        </is>
      </c>
      <c r="B1251" t="n">
        <v>0</v>
      </c>
    </row>
    <row r="1252">
      <c r="A1252" t="inlineStr">
        <is>
          <t>Actions Per Second</t>
        </is>
      </c>
      <c r="B1252">
        <f>1+MIN(150,150*(1-(1-(Inputs!$B$11+((C1242=TRUE)*(F1242-Calc!F17))+((C1243=TRUE)*(F1243-Calc!F18)))/150)*(1-B1251/150)))/100</f>
        <v/>
      </c>
    </row>
    <row r="1253">
      <c r="A1253" t="inlineStr">
        <is>
          <t>Skill + Buff Cast Rate</t>
        </is>
      </c>
      <c r="B1253">
        <f>IF(AND(Inputs!$B$38&lt;&gt;"pvp",Inputs!$B$43&gt;0),SUMPRODUCT((Skills!E2:E22=TRUE)*(C1227:C1247=TRUE)*R1227:R1247*Skills!F2:F22)/Inputs!$B$43,SUMPRODUCT((Skills!E2:E22=TRUE)*(C1227:C1247=TRUE)*Q1227:Q1247*Skills!F2:F22))</f>
        <v/>
      </c>
    </row>
    <row r="1254">
      <c r="A1254" t="inlineStr">
        <is>
          <t>Hook Bomber Casts Per Second</t>
        </is>
      </c>
      <c r="B1254">
        <f>MAX(0,B1252-B1253)</f>
        <v/>
      </c>
    </row>
    <row r="1255">
      <c r="A1255" t="inlineStr">
        <is>
          <t>Global Critical Damage Bonus % (unused)</t>
        </is>
      </c>
      <c r="B1255" t="n">
        <v>0</v>
      </c>
    </row>
    <row r="1256">
      <c r="A1256" t="inlineStr">
        <is>
          <t>Global Final Damage Bonus % (Serpent Scale + Crossbones + Time Leap + Speed Infusion)</t>
        </is>
      </c>
      <c r="B1256">
        <f>((C1230=TRUE)*F1230*((10+IF(Inputs!$B$3&gt;=94,5,0))/((10+IF(Inputs!$B$3&gt;=94,5,0))+5/(B1254*(1+IF(Inputs!$B$3&gt;=104,1,0))))))+((C1239=TRUE)*F1239)+((C1240=TRUE)*F1240)+((Inputs!$B$3&gt;=110)*20*(B1252-1))</f>
        <v/>
      </c>
    </row>
    <row r="1257">
      <c r="A1257" t="inlineStr">
        <is>
          <t>Buff-Casting Startup Delay (s, fixed-duration only)</t>
        </is>
      </c>
      <c r="B1257">
        <f>IF(AND(Inputs!$B$38&lt;&gt;"pvp",Inputs!$B$43&gt;0),SUMPRODUCT((Skills!T2:T22&gt;0)*(Skills!E2:E22=TRUE)*(C1227:C1247=TRUE))/B1252,0)</f>
        <v/>
      </c>
    </row>
    <row r="1258">
      <c r="A1258" t="inlineStr">
        <is>
          <t>Boss-Only Total DPS (this block's swept value)</t>
        </is>
      </c>
      <c r="B1258">
        <f>SUM(T1227:T1247)</f>
        <v/>
      </c>
    </row>
    <row r="1259">
      <c r="A1259" t="inlineStr">
        <is>
          <t>Normal-Only Total DPS (this block's swept value)</t>
        </is>
      </c>
      <c r="B1259">
        <f>SUM(V1227:V1247)</f>
        <v/>
      </c>
    </row>
    <row r="1260">
      <c r="A1260" s="5" t="inlineStr">
        <is>
          <t>TOTAL DPS</t>
        </is>
      </c>
      <c r="B1260" s="5">
        <f>SUM(O1227:O1247)</f>
        <v/>
      </c>
    </row>
    <row r="1263">
      <c r="A1263" s="5" t="inlineStr">
        <is>
          <t>Stat: CDR = 3.5s</t>
        </is>
      </c>
    </row>
    <row r="1264">
      <c r="A1264" s="9" t="inlineStr">
        <is>
          <t>Key</t>
        </is>
      </c>
      <c r="B1264" s="9" t="inlineStr">
        <is>
          <t>Name</t>
        </is>
      </c>
      <c r="C1264" s="9" t="inlineStr">
        <is>
          <t>Unlocked</t>
        </is>
      </c>
      <c r="D1264" s="9" t="inlineStr">
        <is>
          <t>InputLevel</t>
        </is>
      </c>
      <c r="E1264" s="9" t="inlineStr">
        <is>
          <t>Factor</t>
        </is>
      </c>
      <c r="F1264" s="9" t="inlineStr">
        <is>
          <t>CoefficientPercent</t>
        </is>
      </c>
      <c r="G1264" s="9" t="inlineStr">
        <is>
          <t>EffectiveHits</t>
        </is>
      </c>
      <c r="H1264" s="9" t="inlineStr">
        <is>
          <t>ProcProbability</t>
        </is>
      </c>
      <c r="I1264" s="9" t="inlineStr">
        <is>
          <t>MapleHeroMultiplier</t>
        </is>
      </c>
      <c r="J1264" s="9" t="inlineStr">
        <is>
          <t>BaseDamage</t>
        </is>
      </c>
      <c r="K1264" s="9" t="inlineStr">
        <is>
          <t>BaseHitDamage</t>
        </is>
      </c>
      <c r="L1264" s="9" t="inlineStr">
        <is>
          <t>NonCritAvg</t>
        </is>
      </c>
      <c r="M1264" s="9" t="inlineStr">
        <is>
          <t>CritAvg</t>
        </is>
      </c>
      <c r="N1264" s="9" t="inlineStr">
        <is>
          <t>ExpectedDamage(perHit)</t>
        </is>
      </c>
      <c r="O1264" s="9" t="inlineStr">
        <is>
          <t>DPS</t>
        </is>
      </c>
      <c r="P1264" s="9" t="inlineStr">
        <is>
          <t>% of Total</t>
        </is>
      </c>
      <c r="Q1264" s="9" t="inlineStr">
        <is>
          <t>InvCooldown</t>
        </is>
      </c>
      <c r="R1264" s="9" t="inlineStr">
        <is>
          <t>CastsInFight</t>
        </is>
      </c>
      <c r="S1264" s="9" t="inlineStr">
        <is>
          <t>HitRate(perSec)</t>
        </is>
      </c>
      <c r="U1264" t="inlineStr">
        <is>
          <t>helpers</t>
        </is>
      </c>
    </row>
    <row r="1265">
      <c r="A1265">
        <f>Skills!A2</f>
        <v/>
      </c>
      <c r="B1265">
        <f>Skills!B2</f>
        <v/>
      </c>
      <c r="C1265">
        <f>Inputs!$B$3&gt;=100</f>
        <v/>
      </c>
      <c r="D1265" t="inlineStr"/>
      <c r="E1265" t="inlineStr"/>
      <c r="F1265">
        <f>U1267+Skills!O2</f>
        <v/>
      </c>
      <c r="G1265">
        <f>Skills!G2*IF(Skills!H2&gt;0,Skills!I2/Skills!H2,1)</f>
        <v/>
      </c>
      <c r="H1265">
        <f>1-(1-Skills!J2/100)^Skills!K2</f>
        <v/>
      </c>
      <c r="I1265" t="inlineStr">
        <is>
          <t>1</t>
        </is>
      </c>
      <c r="J1265">
        <f>((Inputs!$B$6*(1+Inputs!$B$7/100))+(((Inputs!$B$12*(1+Inputs!$B$13/100))-(Inputs!$B$12*(1+Inputs!$B$13/100)))+0.25*(Inputs!$B$14-Inputs!$B$14))*(1+Inputs!$B$7/100))*(F1265/100)</f>
        <v/>
      </c>
      <c r="K1265">
        <f>J1265*(1+((Inputs!$B$12*(1+Inputs!$B$13/100))*0.01+Inputs!$B$14*0.0025)/100)*(1+Inputs!$B$15/100)*(1+Inputs!$B$16/100)*(5000/(6000+Inputs!$B$42*(1-(Inputs!$B$19+0)/100)))*(1+(Inputs!$B$24+((C1285=TRUE)*(F1285-Calc!F22))+B1294)/100)*(1+(IF(Skills!A2="HOOK_BOMBER",Inputs!$B$17+((C1284=TRUE)*(F1284-Calc!F21)),Inputs!$B$18+0))/100)*((1+(((C1276=TRUE)*F1276)+((C1282=TRUE)*(F1282-Calc!F19)))/100)*I1265)</f>
        <v/>
      </c>
      <c r="L1265">
        <f>K1265*(MIN(Inputs!$B$22+((C1283=TRUE)*(F1283-Calc!F20)),Inputs!$B$23+0)/100+(Inputs!$B$23+0)/100)/2</f>
        <v/>
      </c>
      <c r="M1265">
        <f>L1265*(1+(Inputs!$B$10+0+B1293)/100)</f>
        <v/>
      </c>
      <c r="N1265">
        <f>L1265*(1-MIN((Inputs!$B$9+((C1279=TRUE)*(F1279-Calc!F16))+B1288),100)/100)+M1265*(MIN((Inputs!$B$9+((C1279=TRUE)*(F1279-Calc!F16))+B1288),100)/100)</f>
        <v/>
      </c>
      <c r="O1265">
        <f>(1-Summary!$B$55)*T1265+Summary!$B$55*V1265</f>
        <v/>
      </c>
      <c r="P1265">
        <f>IF(B1298=0,0,O1265/B1298)</f>
        <v/>
      </c>
      <c r="Q1265" t="n">
        <v>0</v>
      </c>
      <c r="R1265" t="n">
        <v>0</v>
      </c>
      <c r="S1265">
        <f>IFERROR(O1265/N1265,0)</f>
        <v/>
      </c>
      <c r="T1265">
        <f>IF(C1265,(Skills!G2*N1265*B1292)*IF(Inputs!$B$38="pvp",1,1+(Inputs!$B$20+0+Skills!P2)/100),0)</f>
        <v/>
      </c>
      <c r="U1265">
        <f>MAX(0,(Inputs!$B$3-100)*3)+Inputs!$B$28+Inputs!$B$29</f>
        <v/>
      </c>
      <c r="V1265">
        <f>IF(C1265,(Skills!G2*N1265*B1292)*IF(Inputs!$B$38="pvp",1,(1+(Inputs!$B$21+Skills!Q2)/100)*(MIN((6+Inputs!$B$33),Inputs!$B$37))),0)</f>
        <v/>
      </c>
    </row>
    <row r="1266">
      <c r="A1266">
        <f>Skills!A3</f>
        <v/>
      </c>
      <c r="B1266">
        <f>Skills!B3</f>
        <v/>
      </c>
      <c r="C1266">
        <f>Inputs!$B$3&gt;=35</f>
        <v/>
      </c>
      <c r="D1266">
        <f>IF(Skills!C3=1,60+Inputs!$B$25+Inputs!$B$29,IF(Skills!C3=2,90+Inputs!$B$26+Inputs!$B$29,IF(Skills!C3=3,120+Inputs!$B$27+Inputs!$B$29,MAX(0,(Inputs!$B$3-100)*3)+Inputs!$B$28+Inputs!$B$29)))</f>
        <v/>
      </c>
      <c r="E1266">
        <f>INDEX(FactorTable!$B$2:$Y$301, MATCH(ROUND(MIN(300,MAX(1,D1266)),0), FactorTable!$A$2:$A$301,0), Skills!M3+1)</f>
        <v/>
      </c>
      <c r="F1266">
        <f>IF(Skills!N3=TRUE,(Skills!L3/10)*(E1266/1000),Skills!L3/10)+Skills!O3</f>
        <v/>
      </c>
      <c r="G1266">
        <f>Skills!G3*IF(Skills!H3&gt;0,Skills!I3/Skills!H3,1)</f>
        <v/>
      </c>
      <c r="H1266">
        <f>1-(1-Skills!J3/100)^Skills!K3</f>
        <v/>
      </c>
      <c r="I1266" t="inlineStr">
        <is>
          <t>1</t>
        </is>
      </c>
      <c r="J1266">
        <f>((Inputs!$B$6*(1+Inputs!$B$7/100))+(((Inputs!$B$12*(1+Inputs!$B$13/100))-(Inputs!$B$12*(1+Inputs!$B$13/100)))+0.25*(Inputs!$B$14-Inputs!$B$14))*(1+Inputs!$B$7/100))*(F1266/100)</f>
        <v/>
      </c>
      <c r="K1266">
        <f>J1266*(1+((Inputs!$B$12*(1+Inputs!$B$13/100))*0.01+Inputs!$B$14*0.0025)/100)*(1+Inputs!$B$15/100)*(1+Inputs!$B$16/100)*(5000/(6000+Inputs!$B$42*(1-(Inputs!$B$19+0)/100)))*(1+(Inputs!$B$24+((C1285=TRUE)*(F1285-Calc!F22))+B1294)/100)*(1+(IF(Skills!A3="HOOK_BOMBER",Inputs!$B$17+((C1284=TRUE)*(F1284-Calc!F21)),Inputs!$B$18+0))/100)*((1+(((C1276=TRUE)*F1276)+((C1282=TRUE)*(F1282-Calc!F19)))/100)*I1266)</f>
        <v/>
      </c>
      <c r="L1266">
        <f>K1266*(MIN(Inputs!$B$22+((C1283=TRUE)*(F1283-Calc!F20)),Inputs!$B$23+0)/100+(Inputs!$B$23+0)/100)/2</f>
        <v/>
      </c>
      <c r="M1266">
        <f>L1266*(1+(Inputs!$B$10+0+B1293)/100)</f>
        <v/>
      </c>
      <c r="N1266">
        <f>L1266*(1-MIN((Inputs!$B$9+((C1279=TRUE)*(F1279-Calc!F16))+B1288),100)/100)+M1266*(MIN((Inputs!$B$9+((C1279=TRUE)*(F1279-Calc!F16))+B1288),100)/100)</f>
        <v/>
      </c>
      <c r="O1266">
        <f>(1-Summary!$B$55)*T1266+Summary!$B$55*V1266</f>
        <v/>
      </c>
      <c r="P1266">
        <f>IF(B1298=0,0,O1266/B1298)</f>
        <v/>
      </c>
      <c r="Q1266" t="n">
        <v>0</v>
      </c>
      <c r="R1266" t="n">
        <v>0</v>
      </c>
      <c r="S1266">
        <f>IFERROR(O1266/N1266,0)</f>
        <v/>
      </c>
      <c r="T1266">
        <f>IF(C1266,(Skills!G3*H1266*N1266*B1292)*IF(Inputs!$B$38="pvp",1,1+(Inputs!$B$20+0+Skills!P3)/100),0)</f>
        <v/>
      </c>
      <c r="U1266">
        <f>INDEX(FactorTable!$B$2:$Y$301, MATCH(ROUND(MIN(300,MAX(1,U1265)),0), FactorTable!$A$2:$A$301,0), 22)</f>
        <v/>
      </c>
      <c r="V1266">
        <f>IF(C1266,(Skills!G3*H1266*N1266*B1292)*IF(Inputs!$B$38="pvp",1,(1+(Inputs!$B$21+Skills!Q3)/100)*(MIN(Skills!R3,Inputs!$B$37))),0)</f>
        <v/>
      </c>
    </row>
    <row r="1267">
      <c r="A1267">
        <f>Skills!A4</f>
        <v/>
      </c>
      <c r="B1267">
        <f>Skills!B4</f>
        <v/>
      </c>
      <c r="C1267">
        <f>Inputs!$B$3&gt;=60</f>
        <v/>
      </c>
      <c r="D1267">
        <f>IF(Skills!C4=1,60+Inputs!$B$25+Inputs!$B$29,IF(Skills!C4=2,90+Inputs!$B$26+Inputs!$B$29,IF(Skills!C4=3,120+Inputs!$B$27+Inputs!$B$29,MAX(0,(Inputs!$B$3-100)*3)+Inputs!$B$28+Inputs!$B$29)))</f>
        <v/>
      </c>
      <c r="E1267">
        <f>INDEX(FactorTable!$B$2:$Y$301, MATCH(ROUND(MIN(300,MAX(1,D1267)),0), FactorTable!$A$2:$A$301,0), Skills!M4+1)</f>
        <v/>
      </c>
      <c r="F1267">
        <f>IF(Skills!N4=TRUE,(Skills!L4/10)*(E1267/1000),Skills!L4/10)+Skills!O4</f>
        <v/>
      </c>
      <c r="G1267">
        <f>Skills!G4*IF(Skills!H4&gt;0,Skills!I4/Skills!H4,1)</f>
        <v/>
      </c>
      <c r="H1267">
        <f>1-(1-Skills!J4/100)^Skills!K4</f>
        <v/>
      </c>
      <c r="I1267" t="inlineStr">
        <is>
          <t>1</t>
        </is>
      </c>
      <c r="J1267">
        <f>((Inputs!$B$6*(1+Inputs!$B$7/100))+(((Inputs!$B$12*(1+Inputs!$B$13/100))-(Inputs!$B$12*(1+Inputs!$B$13/100)))+0.25*(Inputs!$B$14-Inputs!$B$14))*(1+Inputs!$B$7/100))*(F1267/100)</f>
        <v/>
      </c>
      <c r="K1267">
        <f>J1267*(1+((Inputs!$B$12*(1+Inputs!$B$13/100))*0.01+Inputs!$B$14*0.0025)/100)*(1+Inputs!$B$15/100)*(1+Inputs!$B$16/100)*(5000/(6000+Inputs!$B$42*(1-(Inputs!$B$19+0)/100)))*(1+(Inputs!$B$24+((C1285=TRUE)*(F1285-Calc!F22))+B1294)/100)*(1+1.0*IF(C1275=TRUE,F1275,0)/100)*(1+(IF(Skills!A4="HOOK_BOMBER",Inputs!$B$17+((C1284=TRUE)*(F1284-Calc!F21)),Inputs!$B$18+0))/100)*((1+(((C1276=TRUE)*F1276)+((C1282=TRUE)*(F1282-Calc!F19)))/100)*I1267)</f>
        <v/>
      </c>
      <c r="L1267">
        <f>K1267*(MIN(Inputs!$B$22+((C1283=TRUE)*(F1283-Calc!F20)),Inputs!$B$23+0)/100+(Inputs!$B$23+0)/100)/2</f>
        <v/>
      </c>
      <c r="M1267">
        <f>L1267*(1+(Inputs!$B$10+0+B1293)/100)</f>
        <v/>
      </c>
      <c r="N1267">
        <f>L1267*(1-MIN((Inputs!$B$9+((C1279=TRUE)*(F1279-Calc!F16))+B1288),100)/100)+M1267*(MIN((Inputs!$B$9+((C1279=TRUE)*(F1279-Calc!F16))+B1288),100)/100)</f>
        <v/>
      </c>
      <c r="O1267">
        <f>(1-Summary!$B$55)*T1267+Summary!$B$55*V1267</f>
        <v/>
      </c>
      <c r="P1267">
        <f>IF(B1298=0,0,O1267/B1298)</f>
        <v/>
      </c>
      <c r="Q1267" t="n">
        <v>0</v>
      </c>
      <c r="R1267" t="n">
        <v>0</v>
      </c>
      <c r="S1267">
        <f>IFERROR(O1267/N1267,0)</f>
        <v/>
      </c>
      <c r="T1267">
        <f>IF(C1267,(Skills!G4*H1267*N1267*B1292)*IF(Inputs!$B$38="pvp",1,1+(Inputs!$B$20+0+Skills!P4)/100),0)</f>
        <v/>
      </c>
      <c r="U1267">
        <f>290*U1266/1000</f>
        <v/>
      </c>
      <c r="V1267">
        <f>IF(C1267,(Skills!G4*H1267*N1267*B1292)*IF(Inputs!$B$38="pvp",1,(1+(Inputs!$B$21+Skills!Q4)/100)*(MIN(Skills!R4,Inputs!$B$37))),0)</f>
        <v/>
      </c>
    </row>
    <row r="1268">
      <c r="A1268">
        <f>Skills!A5</f>
        <v/>
      </c>
      <c r="B1268">
        <f>Skills!B5</f>
        <v/>
      </c>
      <c r="C1268">
        <f>Inputs!$B$3&gt;=60</f>
        <v/>
      </c>
      <c r="D1268">
        <f>IF(Skills!C5=1,60+Inputs!$B$25+Inputs!$B$29,IF(Skills!C5=2,90+Inputs!$B$26+Inputs!$B$29,IF(Skills!C5=3,120+Inputs!$B$27+Inputs!$B$29,MAX(0,(Inputs!$B$3-100)*3)+Inputs!$B$28+Inputs!$B$29)))</f>
        <v/>
      </c>
      <c r="E1268">
        <f>INDEX(FactorTable!$B$2:$Y$301, MATCH(ROUND(MIN(300,MAX(1,D1268)),0), FactorTable!$A$2:$A$301,0), Skills!M5+1)</f>
        <v/>
      </c>
      <c r="F1268">
        <f>IF(Skills!N5=TRUE,(Skills!L5/10)*(E1268/1000),Skills!L5/10)+Skills!O5</f>
        <v/>
      </c>
      <c r="G1268">
        <f>Skills!G5*IF(Skills!H5&gt;0,Skills!I5/Skills!H5,1)</f>
        <v/>
      </c>
      <c r="H1268">
        <f>1-(1-Skills!J5/100)^Skills!K5</f>
        <v/>
      </c>
      <c r="I1268" t="inlineStr">
        <is>
          <t>1</t>
        </is>
      </c>
      <c r="J1268" t="inlineStr"/>
      <c r="K1268" t="inlineStr"/>
      <c r="L1268" t="inlineStr"/>
      <c r="M1268" t="inlineStr"/>
      <c r="N1268" t="inlineStr"/>
      <c r="O1268">
        <f>(1-Summary!$B$55)*T1268+Summary!$B$55*V1268</f>
        <v/>
      </c>
      <c r="P1268">
        <f>IF(B1298=0,0,O1268/B1298)</f>
        <v/>
      </c>
      <c r="Q1268" t="n">
        <v>0</v>
      </c>
      <c r="R1268" t="n">
        <v>0</v>
      </c>
      <c r="S1268">
        <f>IFERROR(O1268/N1268,0)</f>
        <v/>
      </c>
      <c r="T1268" t="n">
        <v>0</v>
      </c>
      <c r="V1268" t="n">
        <v>0</v>
      </c>
    </row>
    <row r="1269">
      <c r="A1269">
        <f>Skills!A6</f>
        <v/>
      </c>
      <c r="B1269">
        <f>Skills!B6</f>
        <v/>
      </c>
      <c r="C1269">
        <f>Inputs!$B$3&gt;=63</f>
        <v/>
      </c>
      <c r="D1269">
        <f>IF(Skills!C6=1,60+Inputs!$B$25+Inputs!$B$29,IF(Skills!C6=2,90+Inputs!$B$26+Inputs!$B$29,IF(Skills!C6=3,120+Inputs!$B$27+Inputs!$B$29,MAX(0,(Inputs!$B$3-100)*3)+Inputs!$B$28+Inputs!$B$29)))</f>
        <v/>
      </c>
      <c r="E1269">
        <f>INDEX(FactorTable!$B$2:$Y$301, MATCH(ROUND(MIN(300,MAX(1,D1269)),0), FactorTable!$A$2:$A$301,0), Skills!M6+1)</f>
        <v/>
      </c>
      <c r="F1269">
        <f>IF(Skills!N6=TRUE,(Skills!L6/10)*(E1269/1000),Skills!L6/10)+Skills!O6</f>
        <v/>
      </c>
      <c r="G1269">
        <f>Skills!G6*IF(Skills!H6&gt;0,Skills!I6/Skills!H6,1)</f>
        <v/>
      </c>
      <c r="H1269">
        <f>1-(1-Skills!J6/100)^Skills!K6</f>
        <v/>
      </c>
      <c r="I1269" t="inlineStr">
        <is>
          <t>1</t>
        </is>
      </c>
      <c r="J1269">
        <f>((Inputs!$B$6*(1+Inputs!$B$7/100))+(((Inputs!$B$12*(1+Inputs!$B$13/100))-(Inputs!$B$12*(1+Inputs!$B$13/100)))+0.25*(Inputs!$B$14-Inputs!$B$14))*(1+Inputs!$B$7/100))*(F1269/100)</f>
        <v/>
      </c>
      <c r="K1269">
        <f>J1269*(1+((Inputs!$B$12*(1+Inputs!$B$13/100))*0.01+Inputs!$B$14*0.0025)/100)*(1+Inputs!$B$15/100)*(1+Inputs!$B$16/100)*(5000/(6000+Inputs!$B$42*(1-(Inputs!$B$19+0)/100)))*(1+(Inputs!$B$24+((C1285=TRUE)*(F1285-Calc!F22))+B1294)/100)*(1+(IF(Skills!A6="HOOK_BOMBER",Inputs!$B$17+((C1284=TRUE)*(F1284-Calc!F21)),Inputs!$B$18+0))/100)*((1+(((C1276=TRUE)*F1276)+((C1282=TRUE)*(F1282-Calc!F19)))/100)*I1269)</f>
        <v/>
      </c>
      <c r="L1269">
        <f>K1269*(MIN(Inputs!$B$22+((C1283=TRUE)*(F1283-Calc!F20)),Inputs!$B$23+0)/100+(Inputs!$B$23+0)/100)/2</f>
        <v/>
      </c>
      <c r="M1269">
        <f>L1269*(1+(Inputs!$B$10+0+B1293)/100)</f>
        <v/>
      </c>
      <c r="N1269">
        <f>L1269*(1-MIN((Inputs!$B$9+((C1279=TRUE)*(F1279-Calc!F16))+B1288),100)/100)+M1269*(MIN((Inputs!$B$9+((C1279=TRUE)*(F1279-Calc!F16))+B1288),100)/100)</f>
        <v/>
      </c>
      <c r="O1269">
        <f>(1-Summary!$B$55)*T1269+Summary!$B$55*V1269</f>
        <v/>
      </c>
      <c r="P1269">
        <f>IF(B1298=0,0,O1269/B1298)</f>
        <v/>
      </c>
      <c r="Q1269">
        <f>IFERROR(1/IF(Inputs!$B$38="pvp",15,MAX(0.1,Skills!D6-IF(Skills!E6=TRUE,3.5,0))),0)</f>
        <v/>
      </c>
      <c r="R1269">
        <f>IF(AND(Inputs!$B$38&lt;&gt;"pvp",Inputs!$B$43&gt;0),IF(MAX(0,Inputs!$B$43-B1295)&lt;=0,0,(INT(MAX(0,Inputs!$B$43-B1295)/IF(Inputs!$B$38="pvp",15,MAX(0.1,Skills!D6-IF(Skills!E6=TRUE,3.5,0))))+1)),0)</f>
        <v/>
      </c>
      <c r="S1269">
        <f>IFERROR(O1269/N1269,0)</f>
        <v/>
      </c>
      <c r="T1269">
        <f>IF(C1269,(H1269*N1269*IF(AND(Inputs!$B$38&lt;&gt;"pvp",Inputs!$B$43&gt;0),((Skills!G6*((R1269-1)*IF(Skills!H6&gt;0,Skills!I6/Skills!H6,1)+IF(Skills!H6&gt;0,MIN(Skills!I6,MAX(0,MAX(0,Inputs!$B$43-B1295)-((R1269-1)*IF(Inputs!$B$38="pvp",15,MAX(0.1,Skills!D6-IF(Skills!E6=TRUE,3.5,0))))))/Skills!H6,1)))/Inputs!$B$43),G1269*Q1269))*IF(Inputs!$B$38="pvp",1,1+(Inputs!$B$20+0+Skills!P6)/100),0)</f>
        <v/>
      </c>
      <c r="V1269">
        <f>IF(C1269,(H1269*N1269*IF(AND(Inputs!$B$38&lt;&gt;"pvp",Inputs!$B$43&gt;0),((Skills!G6*((R1269-1)*IF(Skills!H6&gt;0,Skills!I6/Skills!H6,1)+IF(Skills!H6&gt;0,MIN(Skills!I6,MAX(0,MAX(0,Inputs!$B$43-B1295)-((R1269-1)*IF(Inputs!$B$38="pvp",15,MAX(0.1,Skills!D6-IF(Skills!E6=TRUE,3.5,0))))))/Skills!H6,1)))/Inputs!$B$43),G1269*Q1269))*IF(Inputs!$B$38="pvp",1,(1+(Inputs!$B$21+Skills!Q6)/100)*(MIN(Skills!R6,Inputs!$B$37))),0)</f>
        <v/>
      </c>
    </row>
    <row r="1270">
      <c r="A1270">
        <f>Skills!A7</f>
        <v/>
      </c>
      <c r="B1270">
        <f>Skills!B7</f>
        <v/>
      </c>
      <c r="C1270">
        <f>Inputs!$B$3&gt;=100</f>
        <v/>
      </c>
      <c r="D1270">
        <f>IF(Skills!C7=1,60+Inputs!$B$25+Inputs!$B$29,IF(Skills!C7=2,90+Inputs!$B$26+Inputs!$B$29,IF(Skills!C7=3,120+Inputs!$B$27+Inputs!$B$29,MAX(0,(Inputs!$B$3-100)*3)+Inputs!$B$28+Inputs!$B$29)))</f>
        <v/>
      </c>
      <c r="E1270">
        <f>INDEX(FactorTable!$B$2:$Y$301, MATCH(ROUND(MIN(300,MAX(1,D1270)),0), FactorTable!$A$2:$A$301,0), Skills!M7+1)</f>
        <v/>
      </c>
      <c r="F1270">
        <f>IF(Skills!N7=TRUE,(Skills!L7/10)*(E1270/1000),Skills!L7/10)+Skills!O7</f>
        <v/>
      </c>
      <c r="G1270">
        <f>Skills!G7*IF(Skills!H7&gt;0,Skills!I7/Skills!H7,1)</f>
        <v/>
      </c>
      <c r="H1270">
        <f>1-(1-Skills!J7/100)^Skills!K7</f>
        <v/>
      </c>
      <c r="I1270" t="inlineStr">
        <is>
          <t>1</t>
        </is>
      </c>
      <c r="J1270">
        <f>((Inputs!$B$6*(1+Inputs!$B$7/100))+(((Inputs!$B$12*(1+Inputs!$B$13/100))-(Inputs!$B$12*(1+Inputs!$B$13/100)))+0.25*(Inputs!$B$14-Inputs!$B$14))*(1+Inputs!$B$7/100))*(F1270/100)</f>
        <v/>
      </c>
      <c r="K1270">
        <f>J1270*(1+((Inputs!$B$12*(1+Inputs!$B$13/100))*0.01+Inputs!$B$14*0.0025)/100)*(1+Inputs!$B$15/100)*(1+Inputs!$B$16/100)*(5000/(6000+Inputs!$B$42*(1-(Inputs!$B$19+0)/100)))*(1+(Inputs!$B$24+((C1285=TRUE)*(F1285-Calc!F22))+B1294)/100)*(1+(IF(Skills!A7="HOOK_BOMBER",Inputs!$B$17+((C1284=TRUE)*(F1284-Calc!F21)),Inputs!$B$18+0))/100)*((1+(((C1276=TRUE)*F1276)+((C1282=TRUE)*(F1282-Calc!F19)))/100)*I1270)</f>
        <v/>
      </c>
      <c r="L1270">
        <f>K1270*(MIN(Inputs!$B$22+((C1283=TRUE)*(F1283-Calc!F20)),Inputs!$B$23+0)/100+(Inputs!$B$23+0)/100)/2</f>
        <v/>
      </c>
      <c r="M1270">
        <f>L1270*(1+(Inputs!$B$10+0+B1293)/100)</f>
        <v/>
      </c>
      <c r="N1270">
        <f>L1270*(1-MIN((Inputs!$B$9+((C1279=TRUE)*(F1279-Calc!F16))+B1288),100)/100)+M1270*(MIN((Inputs!$B$9+((C1279=TRUE)*(F1279-Calc!F16))+B1288),100)/100)</f>
        <v/>
      </c>
      <c r="O1270">
        <f>(1-Summary!$B$55)*T1270+Summary!$B$55*V1270</f>
        <v/>
      </c>
      <c r="P1270">
        <f>IF(B1298=0,0,O1270/B1298)</f>
        <v/>
      </c>
      <c r="Q1270">
        <f>IFERROR(1/IF(Inputs!$B$38="pvp",15,MAX(0.1,Skills!D7-IF(Skills!E7=TRUE,3.5,0))),0)</f>
        <v/>
      </c>
      <c r="R1270">
        <f>IF(AND(Inputs!$B$38&lt;&gt;"pvp",Inputs!$B$43&gt;0),IF(MAX(0,Inputs!$B$43-B1295)&lt;=0,0,(INT(MAX(0,Inputs!$B$43-B1295)/IF(Inputs!$B$38="pvp",15,MAX(0.1,Skills!D7-IF(Skills!E7=TRUE,3.5,0))))+1)),0)</f>
        <v/>
      </c>
      <c r="S1270">
        <f>IFERROR(O1270/N1270,0)</f>
        <v/>
      </c>
      <c r="T1270">
        <f>IF(C1270,(H1270*N1270*IF(AND(Inputs!$B$38&lt;&gt;"pvp",Inputs!$B$43&gt;0),((Skills!G7*((R1270-1)*IF(Skills!H7&gt;0,Skills!I7/Skills!H7,1)+IF(Skills!H7&gt;0,MIN(Skills!I7,MAX(0,MAX(0,Inputs!$B$43-B1295)-((R1270-1)*IF(Inputs!$B$38="pvp",15,MAX(0.1,Skills!D7-IF(Skills!E7=TRUE,3.5,0))))))/Skills!H7,1)))/Inputs!$B$43),G1270*Q1270))*IF(Inputs!$B$38="pvp",1,1+(Inputs!$B$20+0+Skills!P7)/100),0)</f>
        <v/>
      </c>
      <c r="V1270">
        <f>IF(C1270,(H1270*N1270*IF(AND(Inputs!$B$38&lt;&gt;"pvp",Inputs!$B$43&gt;0),((Skills!G7*((R1270-1)*IF(Skills!H7&gt;0,Skills!I7/Skills!H7,1)+IF(Skills!H7&gt;0,MIN(Skills!I7,MAX(0,MAX(0,Inputs!$B$43-B1295)-((R1270-1)*IF(Inputs!$B$38="pvp",15,MAX(0.1,Skills!D7-IF(Skills!E7=TRUE,3.5,0))))))/Skills!H7,1)))/Inputs!$B$43),G1270*Q1270))*IF(Inputs!$B$38="pvp",1,(1+(Inputs!$B$21+Skills!Q7)/100)*(MIN(Skills!R7,Inputs!$B$37))),0)</f>
        <v/>
      </c>
    </row>
    <row r="1271">
      <c r="A1271">
        <f>Skills!A8</f>
        <v/>
      </c>
      <c r="B1271">
        <f>Skills!B8</f>
        <v/>
      </c>
      <c r="C1271">
        <f>Inputs!$B$3&gt;=110</f>
        <v/>
      </c>
      <c r="D1271">
        <f>IF(Skills!C8=1,60+Inputs!$B$25+Inputs!$B$29,IF(Skills!C8=2,90+Inputs!$B$26+Inputs!$B$29,IF(Skills!C8=3,120+Inputs!$B$27+Inputs!$B$29,MAX(0,(Inputs!$B$3-100)*3)+Inputs!$B$28+Inputs!$B$29)))</f>
        <v/>
      </c>
      <c r="E1271">
        <f>INDEX(FactorTable!$B$2:$Y$301, MATCH(ROUND(MIN(300,MAX(1,D1271)),0), FactorTable!$A$2:$A$301,0), Skills!M8+1)</f>
        <v/>
      </c>
      <c r="F1271">
        <f>IF(Skills!N8=TRUE,(Skills!L8/10)*(E1271/1000),Skills!L8/10)+Skills!O8</f>
        <v/>
      </c>
      <c r="G1271">
        <f>Skills!G8*IF(Skills!H8&gt;0,Skills!I8/Skills!H8,1)</f>
        <v/>
      </c>
      <c r="H1271">
        <f>1-(1-Skills!J8/100)^Skills!K8</f>
        <v/>
      </c>
      <c r="I1271" t="inlineStr">
        <is>
          <t>1</t>
        </is>
      </c>
      <c r="J1271">
        <f>((Inputs!$B$6*(1+Inputs!$B$7/100))+(((Inputs!$B$12*(1+Inputs!$B$13/100))-(Inputs!$B$12*(1+Inputs!$B$13/100)))+0.25*(Inputs!$B$14-Inputs!$B$14))*(1+Inputs!$B$7/100))*(F1271/100)</f>
        <v/>
      </c>
      <c r="K1271">
        <f>J1271*(1+((Inputs!$B$12*(1+Inputs!$B$13/100))*0.01+Inputs!$B$14*0.0025)/100)*(1+Inputs!$B$15/100)*(1+Inputs!$B$16/100)*(5000/(6000+Inputs!$B$42*(1-(Inputs!$B$19+0)/100)))*(1+(Inputs!$B$24+((C1285=TRUE)*(F1285-Calc!F22))+B1294)/100)*(1+(IF(Skills!A8="HOOK_BOMBER",Inputs!$B$17+((C1284=TRUE)*(F1284-Calc!F21)),Inputs!$B$18+0))/100)*((1+(((C1276=TRUE)*F1276)+((C1282=TRUE)*(F1282-Calc!F19)))/100)*I1271)</f>
        <v/>
      </c>
      <c r="L1271">
        <f>K1271*(MIN(Inputs!$B$22+((C1283=TRUE)*(F1283-Calc!F20)),Inputs!$B$23+0)/100+(Inputs!$B$23+0)/100)/2</f>
        <v/>
      </c>
      <c r="M1271">
        <f>L1271*(1+(Inputs!$B$10+0+B1293)/100)</f>
        <v/>
      </c>
      <c r="N1271">
        <f>L1271*(1-MIN((Inputs!$B$9+((C1279=TRUE)*(F1279-Calc!F16))+B1288),100)/100)+M1271*(MIN((Inputs!$B$9+((C1279=TRUE)*(F1279-Calc!F16))+B1288),100)/100)</f>
        <v/>
      </c>
      <c r="O1271">
        <f>(1-Summary!$B$55)*T1271+Summary!$B$55*V1271</f>
        <v/>
      </c>
      <c r="P1271">
        <f>IF(B1298=0,0,O1271/B1298)</f>
        <v/>
      </c>
      <c r="Q1271">
        <f>IFERROR(1/IF(Inputs!$B$38="pvp",15,MAX(0.1,Skills!D8-IF(Skills!E8=TRUE,3.5,0))),0)</f>
        <v/>
      </c>
      <c r="R1271">
        <f>IF(AND(Inputs!$B$38&lt;&gt;"pvp",Inputs!$B$43&gt;0),IF(MAX(0,Inputs!$B$43-B1295)&lt;=0,0,(INT(MAX(0,Inputs!$B$43-B1295)/IF(Inputs!$B$38="pvp",15,MAX(0.1,Skills!D8-IF(Skills!E8=TRUE,3.5,0))))+1)),0)</f>
        <v/>
      </c>
      <c r="S1271">
        <f>IFERROR(O1271/N1271,0)</f>
        <v/>
      </c>
      <c r="T1271">
        <f>IF(C1271,(H1271*N1271*IF(AND(Inputs!$B$38&lt;&gt;"pvp",Inputs!$B$43&gt;0),((Skills!G8*((R1271-1)*IF(Skills!H8&gt;0,Skills!I8/Skills!H8,1)+IF(Skills!H8&gt;0,MIN(Skills!I8,MAX(0,MAX(0,Inputs!$B$43-B1295)-((R1271-1)*IF(Inputs!$B$38="pvp",15,MAX(0.1,Skills!D8-IF(Skills!E8=TRUE,3.5,0))))))/Skills!H8,1)))/Inputs!$B$43),G1271*Q1271))*IF(Inputs!$B$38="pvp",1,1+(Inputs!$B$20+0+Skills!P8)/100),0)</f>
        <v/>
      </c>
      <c r="V1271">
        <f>IF(C1271,(H1271*N1271*IF(AND(Inputs!$B$38&lt;&gt;"pvp",Inputs!$B$43&gt;0),((Skills!G8*((R1271-1)*IF(Skills!H8&gt;0,Skills!I8/Skills!H8,1)+IF(Skills!H8&gt;0,MIN(Skills!I8,MAX(0,MAX(0,Inputs!$B$43-B1295)-((R1271-1)*IF(Inputs!$B$38="pvp",15,MAX(0.1,Skills!D8-IF(Skills!E8=TRUE,3.5,0))))))/Skills!H8,1)))/Inputs!$B$43),G1271*Q1271))*IF(Inputs!$B$38="pvp",1,(1+(Inputs!$B$21+Skills!Q8)/100)*(MIN(Skills!R8,Inputs!$B$37))),0)</f>
        <v/>
      </c>
    </row>
    <row r="1272">
      <c r="A1272">
        <f>Skills!A9</f>
        <v/>
      </c>
      <c r="B1272">
        <f>Skills!B9</f>
        <v/>
      </c>
      <c r="C1272">
        <f>Inputs!$B$3&gt;=110</f>
        <v/>
      </c>
      <c r="D1272">
        <f>IF(Skills!C9=1,60+Inputs!$B$25+Inputs!$B$29,IF(Skills!C9=2,90+Inputs!$B$26+Inputs!$B$29,IF(Skills!C9=3,120+Inputs!$B$27+Inputs!$B$29,MAX(0,(Inputs!$B$3-100)*3)+Inputs!$B$28+Inputs!$B$29)))</f>
        <v/>
      </c>
      <c r="E1272">
        <f>INDEX(FactorTable!$B$2:$Y$301, MATCH(ROUND(MIN(300,MAX(1,D1272)),0), FactorTable!$A$2:$A$301,0), Skills!M9+1)</f>
        <v/>
      </c>
      <c r="F1272">
        <f>IF(Skills!N9=TRUE,(Skills!L9/10)*(E1272/1000),Skills!L9/10)+Skills!O9</f>
        <v/>
      </c>
      <c r="G1272">
        <f>Skills!G9*IF(Skills!H9&gt;0,Skills!I9/Skills!H9,1)</f>
        <v/>
      </c>
      <c r="H1272">
        <f>1-(1-Skills!J9/100)^Skills!K9</f>
        <v/>
      </c>
      <c r="I1272" t="inlineStr">
        <is>
          <t>1</t>
        </is>
      </c>
      <c r="J1272">
        <f>((Inputs!$B$6*(1+Inputs!$B$7/100))+(((Inputs!$B$12*(1+Inputs!$B$13/100))-(Inputs!$B$12*(1+Inputs!$B$13/100)))+0.25*(Inputs!$B$14-Inputs!$B$14))*(1+Inputs!$B$7/100))*(F1272/100)</f>
        <v/>
      </c>
      <c r="K1272">
        <f>J1272*(1+((Inputs!$B$12*(1+Inputs!$B$13/100))*0.01+Inputs!$B$14*0.0025)/100)*(1+Inputs!$B$15/100)*(1+Inputs!$B$16/100)*(5000/(6000+Inputs!$B$42*(1-(Inputs!$B$19+0)/100)))*(1+(Inputs!$B$24+((C1285=TRUE)*(F1285-Calc!F22))+B1294)/100)*(1+(IF(Skills!A9="HOOK_BOMBER",Inputs!$B$17+((C1284=TRUE)*(F1284-Calc!F21)),Inputs!$B$18+0))/100)*((1+(((C1276=TRUE)*F1276)+((C1282=TRUE)*(F1282-Calc!F19)))/100)*I1272)</f>
        <v/>
      </c>
      <c r="L1272">
        <f>K1272*(MIN(Inputs!$B$22+((C1283=TRUE)*(F1283-Calc!F20)),Inputs!$B$23+0)/100+(Inputs!$B$23+0)/100)/2</f>
        <v/>
      </c>
      <c r="M1272">
        <f>L1272*(1+(Inputs!$B$10+0+B1293)/100)</f>
        <v/>
      </c>
      <c r="N1272">
        <f>L1272*(1-MIN((Inputs!$B$9+((C1279=TRUE)*(F1279-Calc!F16))+B1288),100)/100)+M1272*(MIN((Inputs!$B$9+((C1279=TRUE)*(F1279-Calc!F16))+B1288),100)/100)</f>
        <v/>
      </c>
      <c r="O1272">
        <f>(1-Summary!$B$55)*T1272+Summary!$B$55*V1272</f>
        <v/>
      </c>
      <c r="P1272">
        <f>IF(B1298=0,0,O1272/B1298)</f>
        <v/>
      </c>
      <c r="Q1272">
        <f>IFERROR(1/IF(Inputs!$B$38="pvp",15,MAX(0.1,Skills!D9-IF(Skills!E9=TRUE,3.5,0))),0)</f>
        <v/>
      </c>
      <c r="R1272">
        <f>IF(AND(Inputs!$B$38&lt;&gt;"pvp",Inputs!$B$43&gt;0),IF(MAX(0,Inputs!$B$43-B1295)&lt;=0,0,(INT(MAX(0,Inputs!$B$43-B1295)/IF(Inputs!$B$38="pvp",15,MAX(0.1,Skills!D9-IF(Skills!E9=TRUE,3.5,0))))+1)),0)</f>
        <v/>
      </c>
      <c r="S1272">
        <f>IFERROR(O1272/N1272,0)</f>
        <v/>
      </c>
      <c r="T1272">
        <f>IF(C1272,(H1272*N1272*IF(AND(Inputs!$B$38&lt;&gt;"pvp",Inputs!$B$43&gt;0),((Skills!G9*((R1272-1)*IF(Skills!H9&gt;0,Skills!I9/Skills!H9,1)+IF(Skills!H9&gt;0,MIN(Skills!I9,MAX(0,MAX(0,Inputs!$B$43-B1295)-((R1272-1)*IF(Inputs!$B$38="pvp",15,MAX(0.1,Skills!D9-IF(Skills!E9=TRUE,3.5,0))))))/Skills!H9,1)))/Inputs!$B$43),G1272*Q1272))*IF(Inputs!$B$38="pvp",1,1+(Inputs!$B$20+0+Skills!P9)/100),0)</f>
        <v/>
      </c>
      <c r="V1272">
        <f>IF(C1272,(H1272*N1272*IF(AND(Inputs!$B$38&lt;&gt;"pvp",Inputs!$B$43&gt;0),((Skills!G9*((R1272-1)*IF(Skills!H9&gt;0,Skills!I9/Skills!H9,1)+IF(Skills!H9&gt;0,MIN(Skills!I9,MAX(0,MAX(0,Inputs!$B$43-B1295)-((R1272-1)*IF(Inputs!$B$38="pvp",15,MAX(0.1,Skills!D9-IF(Skills!E9=TRUE,3.5,0))))))/Skills!H9,1)))/Inputs!$B$43),G1272*Q1272))*IF(Inputs!$B$38="pvp",1,(1+(Inputs!$B$21+Skills!Q9)/100)*(MIN(Skills!R9,Inputs!$B$37))),0)</f>
        <v/>
      </c>
    </row>
    <row r="1273">
      <c r="A1273">
        <f>Skills!A10</f>
        <v/>
      </c>
      <c r="B1273">
        <f>Skills!B10</f>
        <v/>
      </c>
      <c r="C1273">
        <f>Inputs!$B$3&gt;=103</f>
        <v/>
      </c>
      <c r="D1273">
        <f>IF(Skills!C10=1,60+Inputs!$B$25+Inputs!$B$29,IF(Skills!C10=2,90+Inputs!$B$26+Inputs!$B$29,IF(Skills!C10=3,120+Inputs!$B$27+Inputs!$B$29,MAX(0,(Inputs!$B$3-100)*3)+Inputs!$B$28+Inputs!$B$29)))</f>
        <v/>
      </c>
      <c r="E1273">
        <f>INDEX(FactorTable!$B$2:$Y$301, MATCH(ROUND(MIN(300,MAX(1,D1273)),0), FactorTable!$A$2:$A$301,0), Skills!M10+1)</f>
        <v/>
      </c>
      <c r="F1273">
        <f>IF(Skills!N10=TRUE,(Skills!L10/10)*(E1273/1000),Skills!L10/10)+Skills!O10</f>
        <v/>
      </c>
      <c r="G1273">
        <f>Skills!G10*IF(Skills!H10&gt;0,Skills!I10/Skills!H10,1)</f>
        <v/>
      </c>
      <c r="H1273">
        <f>1-(1-Skills!J10/100)^Skills!K10</f>
        <v/>
      </c>
      <c r="I1273" t="inlineStr">
        <is>
          <t>1</t>
        </is>
      </c>
      <c r="J1273">
        <f>((Inputs!$B$6*(1+Inputs!$B$7/100))+(((Inputs!$B$12*(1+Inputs!$B$13/100))-(Inputs!$B$12*(1+Inputs!$B$13/100)))+0.25*(Inputs!$B$14-Inputs!$B$14))*(1+Inputs!$B$7/100))*(F1273/100)</f>
        <v/>
      </c>
      <c r="K1273">
        <f>J1273*(1+((Inputs!$B$12*(1+Inputs!$B$13/100))*0.01+Inputs!$B$14*0.0025)/100)*(1+Inputs!$B$15/100)*(1+Inputs!$B$16/100)*(5000/(6000+Inputs!$B$42*(1-(Inputs!$B$19+0)/100)))*(1+(Inputs!$B$24+((C1285=TRUE)*(F1285-Calc!F22))+B1294)/100)*(1+(IF(Skills!A10="HOOK_BOMBER",Inputs!$B$17+((C1284=TRUE)*(F1284-Calc!F21)),Inputs!$B$18+0))/100)*((1+(((C1276=TRUE)*F1276)+((C1282=TRUE)*(F1282-Calc!F19)))/100)*I1273)</f>
        <v/>
      </c>
      <c r="L1273">
        <f>K1273*(MIN(Inputs!$B$22+((C1283=TRUE)*(F1283-Calc!F20)),Inputs!$B$23+0)/100+(Inputs!$B$23+0)/100)/2</f>
        <v/>
      </c>
      <c r="M1273">
        <f>L1273*(1+(Inputs!$B$10+0+B1293)/100)</f>
        <v/>
      </c>
      <c r="N1273">
        <f>L1273*(1-MIN((Inputs!$B$9+((C1279=TRUE)*(F1279-Calc!F16))+B1288),100)/100)+M1273*(MIN((Inputs!$B$9+((C1279=TRUE)*(F1279-Calc!F16))+B1288),100)/100)</f>
        <v/>
      </c>
      <c r="O1273">
        <f>(1-Summary!$B$55)*T1273+Summary!$B$55*V1273</f>
        <v/>
      </c>
      <c r="P1273">
        <f>IF(B1298=0,0,O1273/B1298)</f>
        <v/>
      </c>
      <c r="Q1273">
        <f>IFERROR(1/IF(Inputs!$B$38="pvp",15,MAX(0.1,Skills!D10-IF(Skills!E10=TRUE,3.5,0))),0)</f>
        <v/>
      </c>
      <c r="R1273">
        <f>IF(AND(Inputs!$B$38&lt;&gt;"pvp",Inputs!$B$43&gt;0),IF(MAX(0,Inputs!$B$43-B1295)&lt;=0,0,(INT(MAX(0,Inputs!$B$43-B1295)/IF(Inputs!$B$38="pvp",15,MAX(0.1,Skills!D10-IF(Skills!E10=TRUE,3.5,0))))+1)),0)</f>
        <v/>
      </c>
      <c r="S1273">
        <f>IFERROR(O1273/N1273,0)</f>
        <v/>
      </c>
      <c r="T1273">
        <f>IF(C1273,(H1273*N1273*IF(AND(Inputs!$B$38&lt;&gt;"pvp",Inputs!$B$43&gt;0),((Skills!G10*((R1273-1)*IF(Skills!H10&gt;0,Skills!I10/Skills!H10,1)+IF(Skills!H10&gt;0,MIN(Skills!I10,MAX(0,MAX(0,Inputs!$B$43-B1295)-((R1273-1)*IF(Inputs!$B$38="pvp",15,MAX(0.1,Skills!D10-IF(Skills!E10=TRUE,3.5,0))))))/Skills!H10,1)))/Inputs!$B$43),G1273*Q1273))*IF(Inputs!$B$38="pvp",1,1+(Inputs!$B$20+0+Skills!P10)/100),0)</f>
        <v/>
      </c>
      <c r="V1273">
        <f>IF(C1273,(H1273*N1273*IF(AND(Inputs!$B$38&lt;&gt;"pvp",Inputs!$B$43&gt;0),((Skills!G10*((R1273-1)*IF(Skills!H10&gt;0,Skills!I10/Skills!H10,1)+IF(Skills!H10&gt;0,MIN(Skills!I10,MAX(0,MAX(0,Inputs!$B$43-B1295)-((R1273-1)*IF(Inputs!$B$38="pvp",15,MAX(0.1,Skills!D10-IF(Skills!E10=TRUE,3.5,0))))))/Skills!H10,1)))/Inputs!$B$43),G1273*Q1273))*IF(Inputs!$B$38="pvp",1,(1+(Inputs!$B$21+Skills!Q10)/100)*(MIN(Skills!R10,Inputs!$B$37))),0)</f>
        <v/>
      </c>
    </row>
    <row r="1274">
      <c r="A1274">
        <f>Skills!A11</f>
        <v/>
      </c>
      <c r="B1274">
        <f>Skills!B11</f>
        <v/>
      </c>
      <c r="C1274">
        <f>Inputs!$B$3&gt;=113</f>
        <v/>
      </c>
      <c r="D1274">
        <f>IF(Skills!C11=1,60+Inputs!$B$25+Inputs!$B$29,IF(Skills!C11=2,90+Inputs!$B$26+Inputs!$B$29,IF(Skills!C11=3,120+Inputs!$B$27+Inputs!$B$29,MAX(0,(Inputs!$B$3-100)*3)+Inputs!$B$28+Inputs!$B$29)))</f>
        <v/>
      </c>
      <c r="E1274">
        <f>INDEX(FactorTable!$B$2:$Y$301, MATCH(ROUND(MIN(300,MAX(1,D1274)),0), FactorTable!$A$2:$A$301,0), Skills!M11+1)</f>
        <v/>
      </c>
      <c r="F1274">
        <f>IF(Skills!N11=TRUE,(Skills!L11/10)*(E1274/1000),Skills!L11/10)+Skills!O11</f>
        <v/>
      </c>
      <c r="G1274">
        <f>Skills!G11*IF(Skills!H11&gt;0,Skills!I11/Skills!H11,1)</f>
        <v/>
      </c>
      <c r="H1274">
        <f>1-(1-Skills!J11/100)^Skills!K11</f>
        <v/>
      </c>
      <c r="I1274" t="inlineStr">
        <is>
          <t>1</t>
        </is>
      </c>
      <c r="J1274">
        <f>((Inputs!$B$6*(1+Inputs!$B$7/100))+(((Inputs!$B$12*(1+Inputs!$B$13/100))-(Inputs!$B$12*(1+Inputs!$B$13/100)))+0.25*(Inputs!$B$14-Inputs!$B$14))*(1+Inputs!$B$7/100))*(F1274/100)</f>
        <v/>
      </c>
      <c r="K1274">
        <f>J1274*(1+((Inputs!$B$12*(1+Inputs!$B$13/100))*0.01+Inputs!$B$14*0.0025)/100)*(1+Inputs!$B$15/100)*(1+Inputs!$B$16/100)*(5000/(6000+Inputs!$B$42*(1-(Inputs!$B$19+0)/100)))*(1+(Inputs!$B$24+((C1285=TRUE)*(F1285-Calc!F22))+B1294)/100)*(1+(IF(Skills!A11="HOOK_BOMBER",Inputs!$B$17+((C1284=TRUE)*(F1284-Calc!F21)),Inputs!$B$18+0))/100)*((1+(((C1276=TRUE)*F1276)+((C1282=TRUE)*(F1282-Calc!F19)))/100)*I1274)</f>
        <v/>
      </c>
      <c r="L1274">
        <f>K1274*(MIN(Inputs!$B$22+((C1283=TRUE)*(F1283-Calc!F20)),Inputs!$B$23+0)/100+(Inputs!$B$23+0)/100)/2</f>
        <v/>
      </c>
      <c r="M1274">
        <f>L1274*(1+(Inputs!$B$10+0+B1293)/100)</f>
        <v/>
      </c>
      <c r="N1274">
        <f>L1274*(1-MIN((Inputs!$B$9+((C1279=TRUE)*(F1279-Calc!F16))+B1288),100)/100)+M1274*(MIN((Inputs!$B$9+((C1279=TRUE)*(F1279-Calc!F16))+B1288),100)/100)</f>
        <v/>
      </c>
      <c r="O1274">
        <f>(1-Summary!$B$55)*T1274+Summary!$B$55*V1274</f>
        <v/>
      </c>
      <c r="P1274">
        <f>IF(B1298=0,0,O1274/B1298)</f>
        <v/>
      </c>
      <c r="Q1274">
        <f>IFERROR(1/IF(Inputs!$B$38="pvp",15,MAX(0.1,Skills!D11-IF(Skills!E11=TRUE,3.5,0))),0)</f>
        <v/>
      </c>
      <c r="R1274">
        <f>IF(AND(Inputs!$B$38&lt;&gt;"pvp",Inputs!$B$43&gt;0),IF(MAX(0,Inputs!$B$43-B1295)&lt;=0,0,(INT(MAX(0,Inputs!$B$43-B1295)/IF(Inputs!$B$38="pvp",15,MAX(0.1,Skills!D11-IF(Skills!E11=TRUE,3.5,0))))+1)),0)</f>
        <v/>
      </c>
      <c r="S1274">
        <f>IFERROR(O1274/N1274,0)</f>
        <v/>
      </c>
      <c r="T1274">
        <f>IF(C1274,(H1274*N1274*IF(AND(Inputs!$B$38&lt;&gt;"pvp",Inputs!$B$43&gt;0),((Skills!G11*((R1274-1)*IF(Skills!H11&gt;0,Skills!I11/Skills!H11,1)+IF(Skills!H11&gt;0,MIN(Skills!I11,MAX(0,MAX(0,Inputs!$B$43-B1295)-((R1274-1)*IF(Inputs!$B$38="pvp",15,MAX(0.1,Skills!D11-IF(Skills!E11=TRUE,3.5,0))))))/Skills!H11,1)))/Inputs!$B$43),G1274*Q1274))*IF(Inputs!$B$38="pvp",1,1+(Inputs!$B$20+0+Skills!P11)/100),0)</f>
        <v/>
      </c>
      <c r="V1274">
        <f>IF(C1274,(H1274*N1274*IF(AND(Inputs!$B$38&lt;&gt;"pvp",Inputs!$B$43&gt;0),((Skills!G11*((R1274-1)*IF(Skills!H11&gt;0,Skills!I11/Skills!H11,1)+IF(Skills!H11&gt;0,MIN(Skills!I11,MAX(0,MAX(0,Inputs!$B$43-B1295)-((R1274-1)*IF(Inputs!$B$38="pvp",15,MAX(0.1,Skills!D11-IF(Skills!E11=TRUE,3.5,0))))))/Skills!H11,1)))/Inputs!$B$43),G1274*Q1274))*IF(Inputs!$B$38="pvp",1,(1+(Inputs!$B$21+Skills!Q11)/100)*(MIN(Skills!R11,Inputs!$B$37))),0)</f>
        <v/>
      </c>
    </row>
    <row r="1275">
      <c r="A1275">
        <f>Skills!A12</f>
        <v/>
      </c>
      <c r="B1275">
        <f>Skills!B12</f>
        <v/>
      </c>
      <c r="C1275">
        <f>Inputs!$B$3&gt;=100</f>
        <v/>
      </c>
      <c r="D1275">
        <f>IF(Skills!C12=1,60+Inputs!$B$25+Inputs!$B$29,IF(Skills!C12=2,90+Inputs!$B$26+Inputs!$B$29,IF(Skills!C12=3,120+Inputs!$B$27+Inputs!$B$29,MAX(0,(Inputs!$B$3-100)*3)+Inputs!$B$28+Inputs!$B$29)))</f>
        <v/>
      </c>
      <c r="E1275">
        <f>INDEX(FactorTable!$B$2:$Y$301, MATCH(ROUND(MIN(300,MAX(1,D1275)),0), FactorTable!$A$2:$A$301,0), Skills!M12+1)</f>
        <v/>
      </c>
      <c r="F1275">
        <f>IF(Skills!N12=TRUE,(Skills!L12/10)*(E1275/1000),Skills!L12/10)+Skills!O12</f>
        <v/>
      </c>
      <c r="G1275" t="inlineStr"/>
      <c r="H1275" t="inlineStr"/>
      <c r="I1275" t="inlineStr">
        <is>
          <t>1</t>
        </is>
      </c>
      <c r="J1275" t="inlineStr"/>
      <c r="K1275" t="inlineStr"/>
      <c r="L1275" t="inlineStr"/>
      <c r="M1275" t="inlineStr"/>
      <c r="N1275" t="inlineStr"/>
      <c r="O1275" t="inlineStr"/>
      <c r="P1275" t="inlineStr"/>
      <c r="Q1275" t="inlineStr"/>
      <c r="R1275" t="inlineStr"/>
      <c r="S1275" t="inlineStr"/>
      <c r="T1275" t="inlineStr"/>
      <c r="V1275" t="inlineStr"/>
    </row>
    <row r="1276">
      <c r="A1276">
        <f>Skills!A13</f>
        <v/>
      </c>
      <c r="B1276">
        <f>Skills!B13</f>
        <v/>
      </c>
      <c r="C1276">
        <f>Inputs!$B$3&gt;=66</f>
        <v/>
      </c>
      <c r="D1276">
        <f>IF(Skills!C13=1,60+Inputs!$B$25+Inputs!$B$29,IF(Skills!C13=2,90+Inputs!$B$26+Inputs!$B$29,IF(Skills!C13=3,120+Inputs!$B$27+Inputs!$B$29,MAX(0,(Inputs!$B$3-100)*3)+Inputs!$B$28+Inputs!$B$29)))</f>
        <v/>
      </c>
      <c r="E1276">
        <f>INDEX(FactorTable!$B$2:$Y$301, MATCH(ROUND(MIN(300,MAX(1,D1276)),0), FactorTable!$A$2:$A$301,0), Skills!M13+1)</f>
        <v/>
      </c>
      <c r="F1276">
        <f>IF(Skills!N13=TRUE,(Skills!L13/10)*(E1276/1000),Skills!L13/10)+Skills!O13</f>
        <v/>
      </c>
      <c r="G1276">
        <f>Skills!G13*IF(Skills!H13&gt;0,Skills!I13/Skills!H13,1)</f>
        <v/>
      </c>
      <c r="H1276">
        <f>1-(1-Skills!J13/100)^Skills!K13</f>
        <v/>
      </c>
      <c r="I1276" t="inlineStr">
        <is>
          <t>1</t>
        </is>
      </c>
      <c r="J1276" t="inlineStr"/>
      <c r="K1276" t="inlineStr"/>
      <c r="L1276" t="inlineStr"/>
      <c r="M1276" t="inlineStr"/>
      <c r="N1276" t="inlineStr"/>
      <c r="O1276">
        <f>(1-Summary!$B$55)*T1276+Summary!$B$55*V1276</f>
        <v/>
      </c>
      <c r="P1276">
        <f>IF(B1298=0,0,O1276/B1298)</f>
        <v/>
      </c>
      <c r="Q1276" t="n">
        <v>0</v>
      </c>
      <c r="R1276" t="n">
        <v>0</v>
      </c>
      <c r="S1276">
        <f>IFERROR(O1276/N1276,0)</f>
        <v/>
      </c>
      <c r="T1276" t="n">
        <v>0</v>
      </c>
      <c r="V1276" t="n">
        <v>0</v>
      </c>
    </row>
    <row r="1277">
      <c r="A1277">
        <f>Skills!A14</f>
        <v/>
      </c>
      <c r="B1277">
        <f>Skills!B14</f>
        <v/>
      </c>
      <c r="C1277">
        <f>Inputs!$B$3&gt;=107</f>
        <v/>
      </c>
      <c r="D1277">
        <f>IF(Skills!C14=1,60+Inputs!$B$25+Inputs!$B$29,IF(Skills!C14=2,90+Inputs!$B$26+Inputs!$B$29,IF(Skills!C14=3,120+Inputs!$B$27+Inputs!$B$29,MAX(0,(Inputs!$B$3-100)*3)+Inputs!$B$28+Inputs!$B$29)))</f>
        <v/>
      </c>
      <c r="E1277">
        <f>INDEX(FactorTable!$B$2:$Y$301, MATCH(ROUND(MIN(300,MAX(1,D1277)),0), FactorTable!$A$2:$A$301,0), Skills!M14+1)</f>
        <v/>
      </c>
      <c r="F1277">
        <f>IF(Skills!N14=TRUE,(Skills!L14/10)*(E1277/1000),Skills!L14/10)+Skills!O14</f>
        <v/>
      </c>
      <c r="G1277">
        <f>Skills!G14*IF(Skills!H14&gt;0,Skills!I14/Skills!H14,1)</f>
        <v/>
      </c>
      <c r="H1277">
        <f>1-(1-Skills!J14/100)^Skills!K14</f>
        <v/>
      </c>
      <c r="I1277" t="inlineStr">
        <is>
          <t>1</t>
        </is>
      </c>
      <c r="J1277" t="inlineStr"/>
      <c r="K1277" t="inlineStr"/>
      <c r="L1277" t="inlineStr"/>
      <c r="M1277" t="inlineStr"/>
      <c r="N1277" t="inlineStr"/>
      <c r="O1277">
        <f>(1-Summary!$B$55)*T1277+Summary!$B$55*V1277</f>
        <v/>
      </c>
      <c r="P1277">
        <f>IF(B1298=0,0,O1277/B1298)</f>
        <v/>
      </c>
      <c r="Q1277" t="n">
        <v>0</v>
      </c>
      <c r="R1277" t="n">
        <v>0</v>
      </c>
      <c r="S1277">
        <f>IFERROR(O1277/N1277,0)</f>
        <v/>
      </c>
      <c r="T1277" t="n">
        <v>0</v>
      </c>
      <c r="V1277" t="n">
        <v>0</v>
      </c>
    </row>
    <row r="1278">
      <c r="A1278">
        <f>Skills!A15</f>
        <v/>
      </c>
      <c r="B1278">
        <f>Skills!B15</f>
        <v/>
      </c>
      <c r="C1278">
        <f>Inputs!$B$3&gt;=115</f>
        <v/>
      </c>
      <c r="D1278">
        <f>IF(Skills!C15=1,60+Inputs!$B$25+Inputs!$B$29,IF(Skills!C15=2,90+Inputs!$B$26+Inputs!$B$29,IF(Skills!C15=3,120+Inputs!$B$27+Inputs!$B$29,MAX(0,(Inputs!$B$3-100)*3)+Inputs!$B$28+Inputs!$B$29)))</f>
        <v/>
      </c>
      <c r="E1278">
        <f>INDEX(FactorTable!$B$2:$Y$301, MATCH(ROUND(MIN(300,MAX(1,D1278)),0), FactorTable!$A$2:$A$301,0), Skills!M15+1)</f>
        <v/>
      </c>
      <c r="F1278">
        <f>IF(Skills!N15=TRUE,(Skills!L15/10)*(E1278/1000),Skills!L15/10)+Skills!O15</f>
        <v/>
      </c>
      <c r="G1278">
        <f>Skills!G15*IF(Skills!H15&gt;0,Skills!I15/Skills!H15,1)</f>
        <v/>
      </c>
      <c r="H1278">
        <f>1-(1-Skills!J15/100)^Skills!K15</f>
        <v/>
      </c>
      <c r="I1278" t="inlineStr">
        <is>
          <t>1</t>
        </is>
      </c>
      <c r="J1278" t="inlineStr"/>
      <c r="K1278" t="inlineStr"/>
      <c r="L1278" t="inlineStr"/>
      <c r="M1278" t="inlineStr"/>
      <c r="N1278" t="inlineStr"/>
      <c r="O1278">
        <f>(1-Summary!$B$55)*T1278+Summary!$B$55*V1278</f>
        <v/>
      </c>
      <c r="P1278">
        <f>IF(B1298=0,0,O1278/B1298)</f>
        <v/>
      </c>
      <c r="Q1278" t="n">
        <v>0</v>
      </c>
      <c r="R1278" t="n">
        <v>0</v>
      </c>
      <c r="S1278">
        <f>IFERROR(O1278/N1278,0)</f>
        <v/>
      </c>
      <c r="T1278" t="n">
        <v>0</v>
      </c>
      <c r="V1278" t="n">
        <v>0</v>
      </c>
    </row>
    <row r="1279">
      <c r="A1279">
        <f>Skills!A16</f>
        <v/>
      </c>
      <c r="B1279">
        <f>Skills!B16</f>
        <v/>
      </c>
      <c r="C1279">
        <f>Inputs!$B$3&gt;=15</f>
        <v/>
      </c>
      <c r="D1279">
        <f>IF(Skills!C16=1,60+Inputs!$B$25+Inputs!$B$29,IF(Skills!C16=2,90+Inputs!$B$26+Inputs!$B$29,IF(Skills!C16=3,120+Inputs!$B$27+Inputs!$B$29,MAX(0,(Inputs!$B$3-100)*3)+Inputs!$B$28+Inputs!$B$29)))</f>
        <v/>
      </c>
      <c r="E1279">
        <f>INDEX(FactorTable!$B$2:$Y$301, MATCH(ROUND(MIN(300,MAX(1,D1279)),0), FactorTable!$A$2:$A$301,0), Skills!M16+1)</f>
        <v/>
      </c>
      <c r="F1279">
        <f>IF(Skills!N16=TRUE,(Skills!L16/10)*(E1279/1000),Skills!L16/10)+Skills!O16</f>
        <v/>
      </c>
      <c r="G1279">
        <f>Skills!G16*IF(Skills!H16&gt;0,Skills!I16/Skills!H16,1)</f>
        <v/>
      </c>
      <c r="H1279">
        <f>1-(1-Skills!J16/100)^Skills!K16</f>
        <v/>
      </c>
      <c r="I1279" t="inlineStr">
        <is>
          <t>1</t>
        </is>
      </c>
      <c r="J1279" t="inlineStr"/>
      <c r="K1279" t="inlineStr"/>
      <c r="L1279" t="inlineStr"/>
      <c r="M1279" t="inlineStr"/>
      <c r="N1279" t="inlineStr"/>
      <c r="O1279">
        <f>(1-Summary!$B$55)*T1279+Summary!$B$55*V1279</f>
        <v/>
      </c>
      <c r="P1279">
        <f>IF(B1298=0,0,O1279/B1298)</f>
        <v/>
      </c>
      <c r="Q1279" t="n">
        <v>0</v>
      </c>
      <c r="R1279" t="n">
        <v>0</v>
      </c>
      <c r="S1279">
        <f>IFERROR(O1279/N1279,0)</f>
        <v/>
      </c>
      <c r="T1279" t="n">
        <v>0</v>
      </c>
      <c r="V1279" t="n">
        <v>0</v>
      </c>
    </row>
    <row r="1280">
      <c r="A1280">
        <f>Skills!A17</f>
        <v/>
      </c>
      <c r="B1280">
        <f>Skills!B17</f>
        <v/>
      </c>
      <c r="C1280">
        <f>Inputs!$B$3&gt;=10</f>
        <v/>
      </c>
      <c r="D1280">
        <f>IF(Skills!C17=1,60+Inputs!$B$25+Inputs!$B$29,IF(Skills!C17=2,90+Inputs!$B$26+Inputs!$B$29,IF(Skills!C17=3,120+Inputs!$B$27+Inputs!$B$29,MAX(0,(Inputs!$B$3-100)*3)+Inputs!$B$28+Inputs!$B$29)))</f>
        <v/>
      </c>
      <c r="E1280">
        <f>INDEX(FactorTable!$B$2:$Y$301, MATCH(ROUND(MIN(300,MAX(1,D1280)),0), FactorTable!$A$2:$A$301,0), Skills!M17+1)</f>
        <v/>
      </c>
      <c r="F1280">
        <f>IF(Skills!N17=TRUE,(Skills!L17/10)*(E1280/1000),Skills!L17/10)+Skills!O17</f>
        <v/>
      </c>
      <c r="G1280">
        <f>Skills!G17*IF(Skills!H17&gt;0,Skills!I17/Skills!H17,1)</f>
        <v/>
      </c>
      <c r="H1280">
        <f>1-(1-Skills!J17/100)^Skills!K17</f>
        <v/>
      </c>
      <c r="I1280" t="inlineStr">
        <is>
          <t>1</t>
        </is>
      </c>
      <c r="J1280" t="inlineStr"/>
      <c r="K1280" t="inlineStr"/>
      <c r="L1280" t="inlineStr"/>
      <c r="M1280" t="inlineStr"/>
      <c r="N1280" t="inlineStr"/>
      <c r="O1280">
        <f>(1-Summary!$B$55)*T1280+Summary!$B$55*V1280</f>
        <v/>
      </c>
      <c r="P1280">
        <f>IF(B1298=0,0,O1280/B1298)</f>
        <v/>
      </c>
      <c r="Q1280" t="n">
        <v>0</v>
      </c>
      <c r="R1280" t="n">
        <v>0</v>
      </c>
      <c r="S1280">
        <f>IFERROR(O1280/N1280,0)</f>
        <v/>
      </c>
      <c r="T1280" t="n">
        <v>0</v>
      </c>
      <c r="V1280" t="n">
        <v>0</v>
      </c>
    </row>
    <row r="1281">
      <c r="A1281">
        <f>Skills!A18</f>
        <v/>
      </c>
      <c r="B1281">
        <f>Skills!B18</f>
        <v/>
      </c>
      <c r="C1281">
        <f>Inputs!$B$3&gt;=33</f>
        <v/>
      </c>
      <c r="D1281">
        <f>IF(Skills!C18=1,60+Inputs!$B$25+Inputs!$B$29,IF(Skills!C18=2,90+Inputs!$B$26+Inputs!$B$29,IF(Skills!C18=3,120+Inputs!$B$27+Inputs!$B$29,MAX(0,(Inputs!$B$3-100)*3)+Inputs!$B$28+Inputs!$B$29)))</f>
        <v/>
      </c>
      <c r="E1281">
        <f>INDEX(FactorTable!$B$2:$Y$301, MATCH(ROUND(MIN(300,MAX(1,D1281)),0), FactorTable!$A$2:$A$301,0), Skills!M18+1)</f>
        <v/>
      </c>
      <c r="F1281">
        <f>IF(Skills!N18=TRUE,(Skills!L18/10)*(E1281/1000),Skills!L18/10)+Skills!O18</f>
        <v/>
      </c>
      <c r="G1281">
        <f>Skills!G18*IF(Skills!H18&gt;0,Skills!I18/Skills!H18,1)</f>
        <v/>
      </c>
      <c r="H1281">
        <f>1-(1-Skills!J18/100)^Skills!K18</f>
        <v/>
      </c>
      <c r="I1281" t="inlineStr">
        <is>
          <t>1</t>
        </is>
      </c>
      <c r="J1281" t="inlineStr"/>
      <c r="K1281" t="inlineStr"/>
      <c r="L1281" t="inlineStr"/>
      <c r="M1281" t="inlineStr"/>
      <c r="N1281" t="inlineStr"/>
      <c r="O1281">
        <f>(1-Summary!$B$55)*T1281+Summary!$B$55*V1281</f>
        <v/>
      </c>
      <c r="P1281">
        <f>IF(B1298=0,0,O1281/B1298)</f>
        <v/>
      </c>
      <c r="Q1281" t="n">
        <v>0</v>
      </c>
      <c r="R1281" t="n">
        <v>0</v>
      </c>
      <c r="S1281">
        <f>IFERROR(O1281/N1281,0)</f>
        <v/>
      </c>
      <c r="T1281" t="n">
        <v>0</v>
      </c>
      <c r="V1281" t="n">
        <v>0</v>
      </c>
    </row>
    <row r="1282">
      <c r="A1282">
        <f>Skills!A19</f>
        <v/>
      </c>
      <c r="B1282">
        <f>Skills!B19</f>
        <v/>
      </c>
      <c r="C1282">
        <f>Inputs!$B$3&gt;=40</f>
        <v/>
      </c>
      <c r="D1282">
        <f>IF(Skills!C19=1,60+Inputs!$B$25+Inputs!$B$29,IF(Skills!C19=2,90+Inputs!$B$26+Inputs!$B$29,IF(Skills!C19=3,120+Inputs!$B$27+Inputs!$B$29,MAX(0,(Inputs!$B$3-100)*3)+Inputs!$B$28+Inputs!$B$29)))</f>
        <v/>
      </c>
      <c r="E1282">
        <f>INDEX(FactorTable!$B$2:$Y$301, MATCH(ROUND(MIN(300,MAX(1,D1282)),0), FactorTable!$A$2:$A$301,0), Skills!M19+1)</f>
        <v/>
      </c>
      <c r="F1282">
        <f>IF(Skills!N19=TRUE,(Skills!L19/10)*(E1282/1000),Skills!L19/10)+Skills!O19</f>
        <v/>
      </c>
      <c r="G1282">
        <f>Skills!G19*IF(Skills!H19&gt;0,Skills!I19/Skills!H19,1)</f>
        <v/>
      </c>
      <c r="H1282">
        <f>1-(1-Skills!J19/100)^Skills!K19</f>
        <v/>
      </c>
      <c r="I1282" t="inlineStr">
        <is>
          <t>1</t>
        </is>
      </c>
      <c r="J1282" t="inlineStr"/>
      <c r="K1282" t="inlineStr"/>
      <c r="L1282" t="inlineStr"/>
      <c r="M1282" t="inlineStr"/>
      <c r="N1282" t="inlineStr"/>
      <c r="O1282">
        <f>(1-Summary!$B$55)*T1282+Summary!$B$55*V1282</f>
        <v/>
      </c>
      <c r="P1282">
        <f>IF(B1298=0,0,O1282/B1298)</f>
        <v/>
      </c>
      <c r="Q1282" t="n">
        <v>0</v>
      </c>
      <c r="R1282" t="n">
        <v>0</v>
      </c>
      <c r="S1282">
        <f>IFERROR(O1282/N1282,0)</f>
        <v/>
      </c>
      <c r="T1282" t="n">
        <v>0</v>
      </c>
      <c r="V1282" t="n">
        <v>0</v>
      </c>
    </row>
    <row r="1283">
      <c r="A1283">
        <f>Skills!A20</f>
        <v/>
      </c>
      <c r="B1283">
        <f>Skills!B20</f>
        <v/>
      </c>
      <c r="C1283">
        <f>Inputs!$B$3&gt;=43</f>
        <v/>
      </c>
      <c r="D1283">
        <f>IF(Skills!C20=1,60+Inputs!$B$25+Inputs!$B$29,IF(Skills!C20=2,90+Inputs!$B$26+Inputs!$B$29,IF(Skills!C20=3,120+Inputs!$B$27+Inputs!$B$29,MAX(0,(Inputs!$B$3-100)*3)+Inputs!$B$28+Inputs!$B$29)))</f>
        <v/>
      </c>
      <c r="E1283">
        <f>INDEX(FactorTable!$B$2:$Y$301, MATCH(ROUND(MIN(300,MAX(1,D1283)),0), FactorTable!$A$2:$A$301,0), Skills!M20+1)</f>
        <v/>
      </c>
      <c r="F1283">
        <f>IF(Skills!N20=TRUE,(Skills!L20/10)*(E1283/1000),Skills!L20/10)+Skills!O20</f>
        <v/>
      </c>
      <c r="G1283">
        <f>Skills!G20*IF(Skills!H20&gt;0,Skills!I20/Skills!H20,1)</f>
        <v/>
      </c>
      <c r="H1283">
        <f>1-(1-Skills!J20/100)^Skills!K20</f>
        <v/>
      </c>
      <c r="I1283" t="inlineStr">
        <is>
          <t>1</t>
        </is>
      </c>
      <c r="J1283" t="inlineStr"/>
      <c r="K1283" t="inlineStr"/>
      <c r="L1283" t="inlineStr"/>
      <c r="M1283" t="inlineStr"/>
      <c r="N1283" t="inlineStr"/>
      <c r="O1283">
        <f>(1-Summary!$B$55)*T1283+Summary!$B$55*V1283</f>
        <v/>
      </c>
      <c r="P1283">
        <f>IF(B1298=0,0,O1283/B1298)</f>
        <v/>
      </c>
      <c r="Q1283" t="n">
        <v>0</v>
      </c>
      <c r="R1283" t="n">
        <v>0</v>
      </c>
      <c r="S1283">
        <f>IFERROR(O1283/N1283,0)</f>
        <v/>
      </c>
      <c r="T1283" t="n">
        <v>0</v>
      </c>
      <c r="V1283" t="n">
        <v>0</v>
      </c>
    </row>
    <row r="1284">
      <c r="A1284">
        <f>Skills!A21</f>
        <v/>
      </c>
      <c r="B1284">
        <f>Skills!B21</f>
        <v/>
      </c>
      <c r="C1284">
        <f>Inputs!$B$3&gt;=38</f>
        <v/>
      </c>
      <c r="D1284">
        <f>IF(Skills!C21=1,60+Inputs!$B$25+Inputs!$B$29,IF(Skills!C21=2,90+Inputs!$B$26+Inputs!$B$29,IF(Skills!C21=3,120+Inputs!$B$27+Inputs!$B$29,MAX(0,(Inputs!$B$3-100)*3)+Inputs!$B$28+Inputs!$B$29)))</f>
        <v/>
      </c>
      <c r="E1284">
        <f>INDEX(FactorTable!$B$2:$Y$301, MATCH(ROUND(MIN(300,MAX(1,D1284)),0), FactorTable!$A$2:$A$301,0), Skills!M21+1)</f>
        <v/>
      </c>
      <c r="F1284">
        <f>IF(Skills!N21=TRUE,(Skills!L21/10)*(E1284/1000),Skills!L21/10)+Skills!O21</f>
        <v/>
      </c>
      <c r="G1284">
        <f>Skills!G21*IF(Skills!H21&gt;0,Skills!I21/Skills!H21,1)</f>
        <v/>
      </c>
      <c r="H1284">
        <f>1-(1-Skills!J21/100)^Skills!K21</f>
        <v/>
      </c>
      <c r="I1284" t="inlineStr">
        <is>
          <t>1</t>
        </is>
      </c>
      <c r="J1284" t="inlineStr"/>
      <c r="K1284" t="inlineStr"/>
      <c r="L1284" t="inlineStr"/>
      <c r="M1284" t="inlineStr"/>
      <c r="N1284" t="inlineStr"/>
      <c r="O1284">
        <f>(1-Summary!$B$55)*T1284+Summary!$B$55*V1284</f>
        <v/>
      </c>
      <c r="P1284">
        <f>IF(B1298=0,0,O1284/B1298)</f>
        <v/>
      </c>
      <c r="Q1284" t="n">
        <v>0</v>
      </c>
      <c r="R1284" t="n">
        <v>0</v>
      </c>
      <c r="S1284">
        <f>IFERROR(O1284/N1284,0)</f>
        <v/>
      </c>
      <c r="T1284" t="n">
        <v>0</v>
      </c>
      <c r="V1284" t="n">
        <v>0</v>
      </c>
    </row>
    <row r="1285">
      <c r="A1285">
        <f>Skills!A22</f>
        <v/>
      </c>
      <c r="B1285">
        <f>Skills!B22</f>
        <v/>
      </c>
      <c r="C1285">
        <f>Inputs!$B$3&gt;=75</f>
        <v/>
      </c>
      <c r="D1285">
        <f>IF(Skills!C22=1,60+Inputs!$B$25+Inputs!$B$29,IF(Skills!C22=2,90+Inputs!$B$26+Inputs!$B$29,IF(Skills!C22=3,120+Inputs!$B$27+Inputs!$B$29,MAX(0,(Inputs!$B$3-100)*3)+Inputs!$B$28+Inputs!$B$29)))</f>
        <v/>
      </c>
      <c r="E1285">
        <f>INDEX(FactorTable!$B$2:$Y$301, MATCH(ROUND(MIN(300,MAX(1,D1285)),0), FactorTable!$A$2:$A$301,0), Skills!M22+1)</f>
        <v/>
      </c>
      <c r="F1285">
        <f>IF(Skills!N22=TRUE,(Skills!L22/10)*(E1285/1000),Skills!L22/10)+Skills!O22</f>
        <v/>
      </c>
      <c r="G1285">
        <f>Skills!G22*IF(Skills!H22&gt;0,Skills!I22/Skills!H22,1)</f>
        <v/>
      </c>
      <c r="H1285">
        <f>1-(1-Skills!J22/100)^Skills!K22</f>
        <v/>
      </c>
      <c r="I1285" t="inlineStr">
        <is>
          <t>1</t>
        </is>
      </c>
      <c r="J1285" t="inlineStr"/>
      <c r="K1285" t="inlineStr"/>
      <c r="L1285" t="inlineStr"/>
      <c r="M1285" t="inlineStr"/>
      <c r="N1285" t="inlineStr"/>
      <c r="O1285">
        <f>(1-Summary!$B$55)*T1285+Summary!$B$55*V1285</f>
        <v/>
      </c>
      <c r="P1285">
        <f>IF(B1298=0,0,O1285/B1298)</f>
        <v/>
      </c>
      <c r="Q1285" t="n">
        <v>0</v>
      </c>
      <c r="R1285" t="n">
        <v>0</v>
      </c>
      <c r="S1285">
        <f>IFERROR(O1285/N1285,0)</f>
        <v/>
      </c>
      <c r="T1285" t="n">
        <v>0</v>
      </c>
      <c r="V1285" t="n">
        <v>0</v>
      </c>
    </row>
    <row r="1287">
      <c r="A1287" t="inlineStr">
        <is>
          <t>Attack% Bucket Multiplier</t>
        </is>
      </c>
      <c r="B1287">
        <f>(1+(((C1276=TRUE)*F1276)+((C1282=TRUE)*(F1282-Calc!F19)))/100)</f>
        <v/>
      </c>
    </row>
    <row r="1288">
      <c r="A1288" t="inlineStr">
        <is>
          <t>Global Crit Rate Bonus %</t>
        </is>
      </c>
      <c r="B1288" t="n">
        <v>0</v>
      </c>
    </row>
    <row r="1289">
      <c r="A1289" t="inlineStr">
        <is>
          <t>Attack Speed Buff Bonus % (unused)</t>
        </is>
      </c>
      <c r="B1289" t="n">
        <v>0</v>
      </c>
    </row>
    <row r="1290">
      <c r="A1290" t="inlineStr">
        <is>
          <t>Actions Per Second</t>
        </is>
      </c>
      <c r="B1290">
        <f>1+MIN(150,150*(1-(1-(Inputs!$B$11+((C1280=TRUE)*(F1280-Calc!F17))+((C1281=TRUE)*(F1281-Calc!F18)))/150)*(1-B1289/150)))/100</f>
        <v/>
      </c>
    </row>
    <row r="1291">
      <c r="A1291" t="inlineStr">
        <is>
          <t>Skill + Buff Cast Rate</t>
        </is>
      </c>
      <c r="B1291">
        <f>IF(AND(Inputs!$B$38&lt;&gt;"pvp",Inputs!$B$43&gt;0),SUMPRODUCT((Skills!E2:E22=TRUE)*(C1265:C1285=TRUE)*R1265:R1285*Skills!F2:F22)/Inputs!$B$43,SUMPRODUCT((Skills!E2:E22=TRUE)*(C1265:C1285=TRUE)*Q1265:Q1285*Skills!F2:F22))</f>
        <v/>
      </c>
    </row>
    <row r="1292">
      <c r="A1292" t="inlineStr">
        <is>
          <t>Hook Bomber Casts Per Second</t>
        </is>
      </c>
      <c r="B1292">
        <f>MAX(0,B1290-B1291)</f>
        <v/>
      </c>
    </row>
    <row r="1293">
      <c r="A1293" t="inlineStr">
        <is>
          <t>Global Critical Damage Bonus % (unused)</t>
        </is>
      </c>
      <c r="B1293" t="n">
        <v>0</v>
      </c>
    </row>
    <row r="1294">
      <c r="A1294" t="inlineStr">
        <is>
          <t>Global Final Damage Bonus % (Serpent Scale + Crossbones + Time Leap + Speed Infusion)</t>
        </is>
      </c>
      <c r="B1294">
        <f>((C1268=TRUE)*F1268*((10+IF(Inputs!$B$3&gt;=94,5,0))/((10+IF(Inputs!$B$3&gt;=94,5,0))+5/(B1292*(1+IF(Inputs!$B$3&gt;=104,1,0))))))+((C1277=TRUE)*F1277)+((C1278=TRUE)*F1278)+((Inputs!$B$3&gt;=110)*20*(B1290-1))</f>
        <v/>
      </c>
    </row>
    <row r="1295">
      <c r="A1295" t="inlineStr">
        <is>
          <t>Buff-Casting Startup Delay (s, fixed-duration only)</t>
        </is>
      </c>
      <c r="B1295">
        <f>IF(AND(Inputs!$B$38&lt;&gt;"pvp",Inputs!$B$43&gt;0),SUMPRODUCT((Skills!T2:T22&gt;0)*(Skills!E2:E22=TRUE)*(C1265:C1285=TRUE))/B1290,0)</f>
        <v/>
      </c>
    </row>
    <row r="1296">
      <c r="A1296" t="inlineStr">
        <is>
          <t>Boss-Only Total DPS (this block's swept value)</t>
        </is>
      </c>
      <c r="B1296">
        <f>SUM(T1265:T1285)</f>
        <v/>
      </c>
    </row>
    <row r="1297">
      <c r="A1297" t="inlineStr">
        <is>
          <t>Normal-Only Total DPS (this block's swept value)</t>
        </is>
      </c>
      <c r="B1297">
        <f>SUM(V1265:V1285)</f>
        <v/>
      </c>
    </row>
    <row r="1298">
      <c r="A1298" s="5" t="inlineStr">
        <is>
          <t>TOTAL DPS</t>
        </is>
      </c>
      <c r="B1298" s="5">
        <f>SUM(O1265:O1285)</f>
        <v/>
      </c>
    </row>
    <row r="1301">
      <c r="A1301" s="5" t="inlineStr">
        <is>
          <t>Stat: CDR = 4.0s</t>
        </is>
      </c>
    </row>
    <row r="1302">
      <c r="A1302" s="9" t="inlineStr">
        <is>
          <t>Key</t>
        </is>
      </c>
      <c r="B1302" s="9" t="inlineStr">
        <is>
          <t>Name</t>
        </is>
      </c>
      <c r="C1302" s="9" t="inlineStr">
        <is>
          <t>Unlocked</t>
        </is>
      </c>
      <c r="D1302" s="9" t="inlineStr">
        <is>
          <t>InputLevel</t>
        </is>
      </c>
      <c r="E1302" s="9" t="inlineStr">
        <is>
          <t>Factor</t>
        </is>
      </c>
      <c r="F1302" s="9" t="inlineStr">
        <is>
          <t>CoefficientPercent</t>
        </is>
      </c>
      <c r="G1302" s="9" t="inlineStr">
        <is>
          <t>EffectiveHits</t>
        </is>
      </c>
      <c r="H1302" s="9" t="inlineStr">
        <is>
          <t>ProcProbability</t>
        </is>
      </c>
      <c r="I1302" s="9" t="inlineStr">
        <is>
          <t>MapleHeroMultiplier</t>
        </is>
      </c>
      <c r="J1302" s="9" t="inlineStr">
        <is>
          <t>BaseDamage</t>
        </is>
      </c>
      <c r="K1302" s="9" t="inlineStr">
        <is>
          <t>BaseHitDamage</t>
        </is>
      </c>
      <c r="L1302" s="9" t="inlineStr">
        <is>
          <t>NonCritAvg</t>
        </is>
      </c>
      <c r="M1302" s="9" t="inlineStr">
        <is>
          <t>CritAvg</t>
        </is>
      </c>
      <c r="N1302" s="9" t="inlineStr">
        <is>
          <t>ExpectedDamage(perHit)</t>
        </is>
      </c>
      <c r="O1302" s="9" t="inlineStr">
        <is>
          <t>DPS</t>
        </is>
      </c>
      <c r="P1302" s="9" t="inlineStr">
        <is>
          <t>% of Total</t>
        </is>
      </c>
      <c r="Q1302" s="9" t="inlineStr">
        <is>
          <t>InvCooldown</t>
        </is>
      </c>
      <c r="R1302" s="9" t="inlineStr">
        <is>
          <t>CastsInFight</t>
        </is>
      </c>
      <c r="S1302" s="9" t="inlineStr">
        <is>
          <t>HitRate(perSec)</t>
        </is>
      </c>
      <c r="U1302" t="inlineStr">
        <is>
          <t>helpers</t>
        </is>
      </c>
    </row>
    <row r="1303">
      <c r="A1303">
        <f>Skills!A2</f>
        <v/>
      </c>
      <c r="B1303">
        <f>Skills!B2</f>
        <v/>
      </c>
      <c r="C1303">
        <f>Inputs!$B$3&gt;=100</f>
        <v/>
      </c>
      <c r="D1303" t="inlineStr"/>
      <c r="E1303" t="inlineStr"/>
      <c r="F1303">
        <f>U1305+Skills!O2</f>
        <v/>
      </c>
      <c r="G1303">
        <f>Skills!G2*IF(Skills!H2&gt;0,Skills!I2/Skills!H2,1)</f>
        <v/>
      </c>
      <c r="H1303">
        <f>1-(1-Skills!J2/100)^Skills!K2</f>
        <v/>
      </c>
      <c r="I1303" t="inlineStr">
        <is>
          <t>1</t>
        </is>
      </c>
      <c r="J1303">
        <f>((Inputs!$B$6*(1+Inputs!$B$7/100))+(((Inputs!$B$12*(1+Inputs!$B$13/100))-(Inputs!$B$12*(1+Inputs!$B$13/100)))+0.25*(Inputs!$B$14-Inputs!$B$14))*(1+Inputs!$B$7/100))*(F1303/100)</f>
        <v/>
      </c>
      <c r="K1303">
        <f>J1303*(1+((Inputs!$B$12*(1+Inputs!$B$13/100))*0.01+Inputs!$B$14*0.0025)/100)*(1+Inputs!$B$15/100)*(1+Inputs!$B$16/100)*(5000/(6000+Inputs!$B$42*(1-(Inputs!$B$19+0)/100)))*(1+(Inputs!$B$24+((C1323=TRUE)*(F1323-Calc!F22))+B1332)/100)*(1+(IF(Skills!A2="HOOK_BOMBER",Inputs!$B$17+((C1322=TRUE)*(F1322-Calc!F21)),Inputs!$B$18+0))/100)*((1+(((C1314=TRUE)*F1314)+((C1320=TRUE)*(F1320-Calc!F19)))/100)*I1303)</f>
        <v/>
      </c>
      <c r="L1303">
        <f>K1303*(MIN(Inputs!$B$22+((C1321=TRUE)*(F1321-Calc!F20)),Inputs!$B$23+0)/100+(Inputs!$B$23+0)/100)/2</f>
        <v/>
      </c>
      <c r="M1303">
        <f>L1303*(1+(Inputs!$B$10+0+B1331)/100)</f>
        <v/>
      </c>
      <c r="N1303">
        <f>L1303*(1-MIN((Inputs!$B$9+((C1317=TRUE)*(F1317-Calc!F16))+B1326),100)/100)+M1303*(MIN((Inputs!$B$9+((C1317=TRUE)*(F1317-Calc!F16))+B1326),100)/100)</f>
        <v/>
      </c>
      <c r="O1303">
        <f>(1-Summary!$B$55)*T1303+Summary!$B$55*V1303</f>
        <v/>
      </c>
      <c r="P1303">
        <f>IF(B1336=0,0,O1303/B1336)</f>
        <v/>
      </c>
      <c r="Q1303" t="n">
        <v>0</v>
      </c>
      <c r="R1303" t="n">
        <v>0</v>
      </c>
      <c r="S1303">
        <f>IFERROR(O1303/N1303,0)</f>
        <v/>
      </c>
      <c r="T1303">
        <f>IF(C1303,(Skills!G2*N1303*B1330)*IF(Inputs!$B$38="pvp",1,1+(Inputs!$B$20+0+Skills!P2)/100),0)</f>
        <v/>
      </c>
      <c r="U1303">
        <f>MAX(0,(Inputs!$B$3-100)*3)+Inputs!$B$28+Inputs!$B$29</f>
        <v/>
      </c>
      <c r="V1303">
        <f>IF(C1303,(Skills!G2*N1303*B1330)*IF(Inputs!$B$38="pvp",1,(1+(Inputs!$B$21+Skills!Q2)/100)*(MIN((6+Inputs!$B$33),Inputs!$B$37))),0)</f>
        <v/>
      </c>
    </row>
    <row r="1304">
      <c r="A1304">
        <f>Skills!A3</f>
        <v/>
      </c>
      <c r="B1304">
        <f>Skills!B3</f>
        <v/>
      </c>
      <c r="C1304">
        <f>Inputs!$B$3&gt;=35</f>
        <v/>
      </c>
      <c r="D1304">
        <f>IF(Skills!C3=1,60+Inputs!$B$25+Inputs!$B$29,IF(Skills!C3=2,90+Inputs!$B$26+Inputs!$B$29,IF(Skills!C3=3,120+Inputs!$B$27+Inputs!$B$29,MAX(0,(Inputs!$B$3-100)*3)+Inputs!$B$28+Inputs!$B$29)))</f>
        <v/>
      </c>
      <c r="E1304">
        <f>INDEX(FactorTable!$B$2:$Y$301, MATCH(ROUND(MIN(300,MAX(1,D1304)),0), FactorTable!$A$2:$A$301,0), Skills!M3+1)</f>
        <v/>
      </c>
      <c r="F1304">
        <f>IF(Skills!N3=TRUE,(Skills!L3/10)*(E1304/1000),Skills!L3/10)+Skills!O3</f>
        <v/>
      </c>
      <c r="G1304">
        <f>Skills!G3*IF(Skills!H3&gt;0,Skills!I3/Skills!H3,1)</f>
        <v/>
      </c>
      <c r="H1304">
        <f>1-(1-Skills!J3/100)^Skills!K3</f>
        <v/>
      </c>
      <c r="I1304" t="inlineStr">
        <is>
          <t>1</t>
        </is>
      </c>
      <c r="J1304">
        <f>((Inputs!$B$6*(1+Inputs!$B$7/100))+(((Inputs!$B$12*(1+Inputs!$B$13/100))-(Inputs!$B$12*(1+Inputs!$B$13/100)))+0.25*(Inputs!$B$14-Inputs!$B$14))*(1+Inputs!$B$7/100))*(F1304/100)</f>
        <v/>
      </c>
      <c r="K1304">
        <f>J1304*(1+((Inputs!$B$12*(1+Inputs!$B$13/100))*0.01+Inputs!$B$14*0.0025)/100)*(1+Inputs!$B$15/100)*(1+Inputs!$B$16/100)*(5000/(6000+Inputs!$B$42*(1-(Inputs!$B$19+0)/100)))*(1+(Inputs!$B$24+((C1323=TRUE)*(F1323-Calc!F22))+B1332)/100)*(1+(IF(Skills!A3="HOOK_BOMBER",Inputs!$B$17+((C1322=TRUE)*(F1322-Calc!F21)),Inputs!$B$18+0))/100)*((1+(((C1314=TRUE)*F1314)+((C1320=TRUE)*(F1320-Calc!F19)))/100)*I1304)</f>
        <v/>
      </c>
      <c r="L1304">
        <f>K1304*(MIN(Inputs!$B$22+((C1321=TRUE)*(F1321-Calc!F20)),Inputs!$B$23+0)/100+(Inputs!$B$23+0)/100)/2</f>
        <v/>
      </c>
      <c r="M1304">
        <f>L1304*(1+(Inputs!$B$10+0+B1331)/100)</f>
        <v/>
      </c>
      <c r="N1304">
        <f>L1304*(1-MIN((Inputs!$B$9+((C1317=TRUE)*(F1317-Calc!F16))+B1326),100)/100)+M1304*(MIN((Inputs!$B$9+((C1317=TRUE)*(F1317-Calc!F16))+B1326),100)/100)</f>
        <v/>
      </c>
      <c r="O1304">
        <f>(1-Summary!$B$55)*T1304+Summary!$B$55*V1304</f>
        <v/>
      </c>
      <c r="P1304">
        <f>IF(B1336=0,0,O1304/B1336)</f>
        <v/>
      </c>
      <c r="Q1304" t="n">
        <v>0</v>
      </c>
      <c r="R1304" t="n">
        <v>0</v>
      </c>
      <c r="S1304">
        <f>IFERROR(O1304/N1304,0)</f>
        <v/>
      </c>
      <c r="T1304">
        <f>IF(C1304,(Skills!G3*H1304*N1304*B1330)*IF(Inputs!$B$38="pvp",1,1+(Inputs!$B$20+0+Skills!P3)/100),0)</f>
        <v/>
      </c>
      <c r="U1304">
        <f>INDEX(FactorTable!$B$2:$Y$301, MATCH(ROUND(MIN(300,MAX(1,U1303)),0), FactorTable!$A$2:$A$301,0), 22)</f>
        <v/>
      </c>
      <c r="V1304">
        <f>IF(C1304,(Skills!G3*H1304*N1304*B1330)*IF(Inputs!$B$38="pvp",1,(1+(Inputs!$B$21+Skills!Q3)/100)*(MIN(Skills!R3,Inputs!$B$37))),0)</f>
        <v/>
      </c>
    </row>
    <row r="1305">
      <c r="A1305">
        <f>Skills!A4</f>
        <v/>
      </c>
      <c r="B1305">
        <f>Skills!B4</f>
        <v/>
      </c>
      <c r="C1305">
        <f>Inputs!$B$3&gt;=60</f>
        <v/>
      </c>
      <c r="D1305">
        <f>IF(Skills!C4=1,60+Inputs!$B$25+Inputs!$B$29,IF(Skills!C4=2,90+Inputs!$B$26+Inputs!$B$29,IF(Skills!C4=3,120+Inputs!$B$27+Inputs!$B$29,MAX(0,(Inputs!$B$3-100)*3)+Inputs!$B$28+Inputs!$B$29)))</f>
        <v/>
      </c>
      <c r="E1305">
        <f>INDEX(FactorTable!$B$2:$Y$301, MATCH(ROUND(MIN(300,MAX(1,D1305)),0), FactorTable!$A$2:$A$301,0), Skills!M4+1)</f>
        <v/>
      </c>
      <c r="F1305">
        <f>IF(Skills!N4=TRUE,(Skills!L4/10)*(E1305/1000),Skills!L4/10)+Skills!O4</f>
        <v/>
      </c>
      <c r="G1305">
        <f>Skills!G4*IF(Skills!H4&gt;0,Skills!I4/Skills!H4,1)</f>
        <v/>
      </c>
      <c r="H1305">
        <f>1-(1-Skills!J4/100)^Skills!K4</f>
        <v/>
      </c>
      <c r="I1305" t="inlineStr">
        <is>
          <t>1</t>
        </is>
      </c>
      <c r="J1305">
        <f>((Inputs!$B$6*(1+Inputs!$B$7/100))+(((Inputs!$B$12*(1+Inputs!$B$13/100))-(Inputs!$B$12*(1+Inputs!$B$13/100)))+0.25*(Inputs!$B$14-Inputs!$B$14))*(1+Inputs!$B$7/100))*(F1305/100)</f>
        <v/>
      </c>
      <c r="K1305">
        <f>J1305*(1+((Inputs!$B$12*(1+Inputs!$B$13/100))*0.01+Inputs!$B$14*0.0025)/100)*(1+Inputs!$B$15/100)*(1+Inputs!$B$16/100)*(5000/(6000+Inputs!$B$42*(1-(Inputs!$B$19+0)/100)))*(1+(Inputs!$B$24+((C1323=TRUE)*(F1323-Calc!F22))+B1332)/100)*(1+1.0*IF(C1313=TRUE,F1313,0)/100)*(1+(IF(Skills!A4="HOOK_BOMBER",Inputs!$B$17+((C1322=TRUE)*(F1322-Calc!F21)),Inputs!$B$18+0))/100)*((1+(((C1314=TRUE)*F1314)+((C1320=TRUE)*(F1320-Calc!F19)))/100)*I1305)</f>
        <v/>
      </c>
      <c r="L1305">
        <f>K1305*(MIN(Inputs!$B$22+((C1321=TRUE)*(F1321-Calc!F20)),Inputs!$B$23+0)/100+(Inputs!$B$23+0)/100)/2</f>
        <v/>
      </c>
      <c r="M1305">
        <f>L1305*(1+(Inputs!$B$10+0+B1331)/100)</f>
        <v/>
      </c>
      <c r="N1305">
        <f>L1305*(1-MIN((Inputs!$B$9+((C1317=TRUE)*(F1317-Calc!F16))+B1326),100)/100)+M1305*(MIN((Inputs!$B$9+((C1317=TRUE)*(F1317-Calc!F16))+B1326),100)/100)</f>
        <v/>
      </c>
      <c r="O1305">
        <f>(1-Summary!$B$55)*T1305+Summary!$B$55*V1305</f>
        <v/>
      </c>
      <c r="P1305">
        <f>IF(B1336=0,0,O1305/B1336)</f>
        <v/>
      </c>
      <c r="Q1305" t="n">
        <v>0</v>
      </c>
      <c r="R1305" t="n">
        <v>0</v>
      </c>
      <c r="S1305">
        <f>IFERROR(O1305/N1305,0)</f>
        <v/>
      </c>
      <c r="T1305">
        <f>IF(C1305,(Skills!G4*H1305*N1305*B1330)*IF(Inputs!$B$38="pvp",1,1+(Inputs!$B$20+0+Skills!P4)/100),0)</f>
        <v/>
      </c>
      <c r="U1305">
        <f>290*U1304/1000</f>
        <v/>
      </c>
      <c r="V1305">
        <f>IF(C1305,(Skills!G4*H1305*N1305*B1330)*IF(Inputs!$B$38="pvp",1,(1+(Inputs!$B$21+Skills!Q4)/100)*(MIN(Skills!R4,Inputs!$B$37))),0)</f>
        <v/>
      </c>
    </row>
    <row r="1306">
      <c r="A1306">
        <f>Skills!A5</f>
        <v/>
      </c>
      <c r="B1306">
        <f>Skills!B5</f>
        <v/>
      </c>
      <c r="C1306">
        <f>Inputs!$B$3&gt;=60</f>
        <v/>
      </c>
      <c r="D1306">
        <f>IF(Skills!C5=1,60+Inputs!$B$25+Inputs!$B$29,IF(Skills!C5=2,90+Inputs!$B$26+Inputs!$B$29,IF(Skills!C5=3,120+Inputs!$B$27+Inputs!$B$29,MAX(0,(Inputs!$B$3-100)*3)+Inputs!$B$28+Inputs!$B$29)))</f>
        <v/>
      </c>
      <c r="E1306">
        <f>INDEX(FactorTable!$B$2:$Y$301, MATCH(ROUND(MIN(300,MAX(1,D1306)),0), FactorTable!$A$2:$A$301,0), Skills!M5+1)</f>
        <v/>
      </c>
      <c r="F1306">
        <f>IF(Skills!N5=TRUE,(Skills!L5/10)*(E1306/1000),Skills!L5/10)+Skills!O5</f>
        <v/>
      </c>
      <c r="G1306">
        <f>Skills!G5*IF(Skills!H5&gt;0,Skills!I5/Skills!H5,1)</f>
        <v/>
      </c>
      <c r="H1306">
        <f>1-(1-Skills!J5/100)^Skills!K5</f>
        <v/>
      </c>
      <c r="I1306" t="inlineStr">
        <is>
          <t>1</t>
        </is>
      </c>
      <c r="J1306" t="inlineStr"/>
      <c r="K1306" t="inlineStr"/>
      <c r="L1306" t="inlineStr"/>
      <c r="M1306" t="inlineStr"/>
      <c r="N1306" t="inlineStr"/>
      <c r="O1306">
        <f>(1-Summary!$B$55)*T1306+Summary!$B$55*V1306</f>
        <v/>
      </c>
      <c r="P1306">
        <f>IF(B1336=0,0,O1306/B1336)</f>
        <v/>
      </c>
      <c r="Q1306" t="n">
        <v>0</v>
      </c>
      <c r="R1306" t="n">
        <v>0</v>
      </c>
      <c r="S1306">
        <f>IFERROR(O1306/N1306,0)</f>
        <v/>
      </c>
      <c r="T1306" t="n">
        <v>0</v>
      </c>
      <c r="V1306" t="n">
        <v>0</v>
      </c>
    </row>
    <row r="1307">
      <c r="A1307">
        <f>Skills!A6</f>
        <v/>
      </c>
      <c r="B1307">
        <f>Skills!B6</f>
        <v/>
      </c>
      <c r="C1307">
        <f>Inputs!$B$3&gt;=63</f>
        <v/>
      </c>
      <c r="D1307">
        <f>IF(Skills!C6=1,60+Inputs!$B$25+Inputs!$B$29,IF(Skills!C6=2,90+Inputs!$B$26+Inputs!$B$29,IF(Skills!C6=3,120+Inputs!$B$27+Inputs!$B$29,MAX(0,(Inputs!$B$3-100)*3)+Inputs!$B$28+Inputs!$B$29)))</f>
        <v/>
      </c>
      <c r="E1307">
        <f>INDEX(FactorTable!$B$2:$Y$301, MATCH(ROUND(MIN(300,MAX(1,D1307)),0), FactorTable!$A$2:$A$301,0), Skills!M6+1)</f>
        <v/>
      </c>
      <c r="F1307">
        <f>IF(Skills!N6=TRUE,(Skills!L6/10)*(E1307/1000),Skills!L6/10)+Skills!O6</f>
        <v/>
      </c>
      <c r="G1307">
        <f>Skills!G6*IF(Skills!H6&gt;0,Skills!I6/Skills!H6,1)</f>
        <v/>
      </c>
      <c r="H1307">
        <f>1-(1-Skills!J6/100)^Skills!K6</f>
        <v/>
      </c>
      <c r="I1307" t="inlineStr">
        <is>
          <t>1</t>
        </is>
      </c>
      <c r="J1307">
        <f>((Inputs!$B$6*(1+Inputs!$B$7/100))+(((Inputs!$B$12*(1+Inputs!$B$13/100))-(Inputs!$B$12*(1+Inputs!$B$13/100)))+0.25*(Inputs!$B$14-Inputs!$B$14))*(1+Inputs!$B$7/100))*(F1307/100)</f>
        <v/>
      </c>
      <c r="K1307">
        <f>J1307*(1+((Inputs!$B$12*(1+Inputs!$B$13/100))*0.01+Inputs!$B$14*0.0025)/100)*(1+Inputs!$B$15/100)*(1+Inputs!$B$16/100)*(5000/(6000+Inputs!$B$42*(1-(Inputs!$B$19+0)/100)))*(1+(Inputs!$B$24+((C1323=TRUE)*(F1323-Calc!F22))+B1332)/100)*(1+(IF(Skills!A6="HOOK_BOMBER",Inputs!$B$17+((C1322=TRUE)*(F1322-Calc!F21)),Inputs!$B$18+0))/100)*((1+(((C1314=TRUE)*F1314)+((C1320=TRUE)*(F1320-Calc!F19)))/100)*I1307)</f>
        <v/>
      </c>
      <c r="L1307">
        <f>K1307*(MIN(Inputs!$B$22+((C1321=TRUE)*(F1321-Calc!F20)),Inputs!$B$23+0)/100+(Inputs!$B$23+0)/100)/2</f>
        <v/>
      </c>
      <c r="M1307">
        <f>L1307*(1+(Inputs!$B$10+0+B1331)/100)</f>
        <v/>
      </c>
      <c r="N1307">
        <f>L1307*(1-MIN((Inputs!$B$9+((C1317=TRUE)*(F1317-Calc!F16))+B1326),100)/100)+M1307*(MIN((Inputs!$B$9+((C1317=TRUE)*(F1317-Calc!F16))+B1326),100)/100)</f>
        <v/>
      </c>
      <c r="O1307">
        <f>(1-Summary!$B$55)*T1307+Summary!$B$55*V1307</f>
        <v/>
      </c>
      <c r="P1307">
        <f>IF(B1336=0,0,O1307/B1336)</f>
        <v/>
      </c>
      <c r="Q1307">
        <f>IFERROR(1/IF(Inputs!$B$38="pvp",15,MAX(0.1,Skills!D6-IF(Skills!E6=TRUE,4.0,0))),0)</f>
        <v/>
      </c>
      <c r="R1307">
        <f>IF(AND(Inputs!$B$38&lt;&gt;"pvp",Inputs!$B$43&gt;0),IF(MAX(0,Inputs!$B$43-B1333)&lt;=0,0,(INT(MAX(0,Inputs!$B$43-B1333)/IF(Inputs!$B$38="pvp",15,MAX(0.1,Skills!D6-IF(Skills!E6=TRUE,4.0,0))))+1)),0)</f>
        <v/>
      </c>
      <c r="S1307">
        <f>IFERROR(O1307/N1307,0)</f>
        <v/>
      </c>
      <c r="T1307">
        <f>IF(C1307,(H1307*N1307*IF(AND(Inputs!$B$38&lt;&gt;"pvp",Inputs!$B$43&gt;0),((Skills!G6*((R1307-1)*IF(Skills!H6&gt;0,Skills!I6/Skills!H6,1)+IF(Skills!H6&gt;0,MIN(Skills!I6,MAX(0,MAX(0,Inputs!$B$43-B1333)-((R1307-1)*IF(Inputs!$B$38="pvp",15,MAX(0.1,Skills!D6-IF(Skills!E6=TRUE,4.0,0))))))/Skills!H6,1)))/Inputs!$B$43),G1307*Q1307))*IF(Inputs!$B$38="pvp",1,1+(Inputs!$B$20+0+Skills!P6)/100),0)</f>
        <v/>
      </c>
      <c r="V1307">
        <f>IF(C1307,(H1307*N1307*IF(AND(Inputs!$B$38&lt;&gt;"pvp",Inputs!$B$43&gt;0),((Skills!G6*((R1307-1)*IF(Skills!H6&gt;0,Skills!I6/Skills!H6,1)+IF(Skills!H6&gt;0,MIN(Skills!I6,MAX(0,MAX(0,Inputs!$B$43-B1333)-((R1307-1)*IF(Inputs!$B$38="pvp",15,MAX(0.1,Skills!D6-IF(Skills!E6=TRUE,4.0,0))))))/Skills!H6,1)))/Inputs!$B$43),G1307*Q1307))*IF(Inputs!$B$38="pvp",1,(1+(Inputs!$B$21+Skills!Q6)/100)*(MIN(Skills!R6,Inputs!$B$37))),0)</f>
        <v/>
      </c>
    </row>
    <row r="1308">
      <c r="A1308">
        <f>Skills!A7</f>
        <v/>
      </c>
      <c r="B1308">
        <f>Skills!B7</f>
        <v/>
      </c>
      <c r="C1308">
        <f>Inputs!$B$3&gt;=100</f>
        <v/>
      </c>
      <c r="D1308">
        <f>IF(Skills!C7=1,60+Inputs!$B$25+Inputs!$B$29,IF(Skills!C7=2,90+Inputs!$B$26+Inputs!$B$29,IF(Skills!C7=3,120+Inputs!$B$27+Inputs!$B$29,MAX(0,(Inputs!$B$3-100)*3)+Inputs!$B$28+Inputs!$B$29)))</f>
        <v/>
      </c>
      <c r="E1308">
        <f>INDEX(FactorTable!$B$2:$Y$301, MATCH(ROUND(MIN(300,MAX(1,D1308)),0), FactorTable!$A$2:$A$301,0), Skills!M7+1)</f>
        <v/>
      </c>
      <c r="F1308">
        <f>IF(Skills!N7=TRUE,(Skills!L7/10)*(E1308/1000),Skills!L7/10)+Skills!O7</f>
        <v/>
      </c>
      <c r="G1308">
        <f>Skills!G7*IF(Skills!H7&gt;0,Skills!I7/Skills!H7,1)</f>
        <v/>
      </c>
      <c r="H1308">
        <f>1-(1-Skills!J7/100)^Skills!K7</f>
        <v/>
      </c>
      <c r="I1308" t="inlineStr">
        <is>
          <t>1</t>
        </is>
      </c>
      <c r="J1308">
        <f>((Inputs!$B$6*(1+Inputs!$B$7/100))+(((Inputs!$B$12*(1+Inputs!$B$13/100))-(Inputs!$B$12*(1+Inputs!$B$13/100)))+0.25*(Inputs!$B$14-Inputs!$B$14))*(1+Inputs!$B$7/100))*(F1308/100)</f>
        <v/>
      </c>
      <c r="K1308">
        <f>J1308*(1+((Inputs!$B$12*(1+Inputs!$B$13/100))*0.01+Inputs!$B$14*0.0025)/100)*(1+Inputs!$B$15/100)*(1+Inputs!$B$16/100)*(5000/(6000+Inputs!$B$42*(1-(Inputs!$B$19+0)/100)))*(1+(Inputs!$B$24+((C1323=TRUE)*(F1323-Calc!F22))+B1332)/100)*(1+(IF(Skills!A7="HOOK_BOMBER",Inputs!$B$17+((C1322=TRUE)*(F1322-Calc!F21)),Inputs!$B$18+0))/100)*((1+(((C1314=TRUE)*F1314)+((C1320=TRUE)*(F1320-Calc!F19)))/100)*I1308)</f>
        <v/>
      </c>
      <c r="L1308">
        <f>K1308*(MIN(Inputs!$B$22+((C1321=TRUE)*(F1321-Calc!F20)),Inputs!$B$23+0)/100+(Inputs!$B$23+0)/100)/2</f>
        <v/>
      </c>
      <c r="M1308">
        <f>L1308*(1+(Inputs!$B$10+0+B1331)/100)</f>
        <v/>
      </c>
      <c r="N1308">
        <f>L1308*(1-MIN((Inputs!$B$9+((C1317=TRUE)*(F1317-Calc!F16))+B1326),100)/100)+M1308*(MIN((Inputs!$B$9+((C1317=TRUE)*(F1317-Calc!F16))+B1326),100)/100)</f>
        <v/>
      </c>
      <c r="O1308">
        <f>(1-Summary!$B$55)*T1308+Summary!$B$55*V1308</f>
        <v/>
      </c>
      <c r="P1308">
        <f>IF(B1336=0,0,O1308/B1336)</f>
        <v/>
      </c>
      <c r="Q1308">
        <f>IFERROR(1/IF(Inputs!$B$38="pvp",15,MAX(0.1,Skills!D7-IF(Skills!E7=TRUE,4.0,0))),0)</f>
        <v/>
      </c>
      <c r="R1308">
        <f>IF(AND(Inputs!$B$38&lt;&gt;"pvp",Inputs!$B$43&gt;0),IF(MAX(0,Inputs!$B$43-B1333)&lt;=0,0,(INT(MAX(0,Inputs!$B$43-B1333)/IF(Inputs!$B$38="pvp",15,MAX(0.1,Skills!D7-IF(Skills!E7=TRUE,4.0,0))))+1)),0)</f>
        <v/>
      </c>
      <c r="S1308">
        <f>IFERROR(O1308/N1308,0)</f>
        <v/>
      </c>
      <c r="T1308">
        <f>IF(C1308,(H1308*N1308*IF(AND(Inputs!$B$38&lt;&gt;"pvp",Inputs!$B$43&gt;0),((Skills!G7*((R1308-1)*IF(Skills!H7&gt;0,Skills!I7/Skills!H7,1)+IF(Skills!H7&gt;0,MIN(Skills!I7,MAX(0,MAX(0,Inputs!$B$43-B1333)-((R1308-1)*IF(Inputs!$B$38="pvp",15,MAX(0.1,Skills!D7-IF(Skills!E7=TRUE,4.0,0))))))/Skills!H7,1)))/Inputs!$B$43),G1308*Q1308))*IF(Inputs!$B$38="pvp",1,1+(Inputs!$B$20+0+Skills!P7)/100),0)</f>
        <v/>
      </c>
      <c r="V1308">
        <f>IF(C1308,(H1308*N1308*IF(AND(Inputs!$B$38&lt;&gt;"pvp",Inputs!$B$43&gt;0),((Skills!G7*((R1308-1)*IF(Skills!H7&gt;0,Skills!I7/Skills!H7,1)+IF(Skills!H7&gt;0,MIN(Skills!I7,MAX(0,MAX(0,Inputs!$B$43-B1333)-((R1308-1)*IF(Inputs!$B$38="pvp",15,MAX(0.1,Skills!D7-IF(Skills!E7=TRUE,4.0,0))))))/Skills!H7,1)))/Inputs!$B$43),G1308*Q1308))*IF(Inputs!$B$38="pvp",1,(1+(Inputs!$B$21+Skills!Q7)/100)*(MIN(Skills!R7,Inputs!$B$37))),0)</f>
        <v/>
      </c>
    </row>
    <row r="1309">
      <c r="A1309">
        <f>Skills!A8</f>
        <v/>
      </c>
      <c r="B1309">
        <f>Skills!B8</f>
        <v/>
      </c>
      <c r="C1309">
        <f>Inputs!$B$3&gt;=110</f>
        <v/>
      </c>
      <c r="D1309">
        <f>IF(Skills!C8=1,60+Inputs!$B$25+Inputs!$B$29,IF(Skills!C8=2,90+Inputs!$B$26+Inputs!$B$29,IF(Skills!C8=3,120+Inputs!$B$27+Inputs!$B$29,MAX(0,(Inputs!$B$3-100)*3)+Inputs!$B$28+Inputs!$B$29)))</f>
        <v/>
      </c>
      <c r="E1309">
        <f>INDEX(FactorTable!$B$2:$Y$301, MATCH(ROUND(MIN(300,MAX(1,D1309)),0), FactorTable!$A$2:$A$301,0), Skills!M8+1)</f>
        <v/>
      </c>
      <c r="F1309">
        <f>IF(Skills!N8=TRUE,(Skills!L8/10)*(E1309/1000),Skills!L8/10)+Skills!O8</f>
        <v/>
      </c>
      <c r="G1309">
        <f>Skills!G8*IF(Skills!H8&gt;0,Skills!I8/Skills!H8,1)</f>
        <v/>
      </c>
      <c r="H1309">
        <f>1-(1-Skills!J8/100)^Skills!K8</f>
        <v/>
      </c>
      <c r="I1309" t="inlineStr">
        <is>
          <t>1</t>
        </is>
      </c>
      <c r="J1309">
        <f>((Inputs!$B$6*(1+Inputs!$B$7/100))+(((Inputs!$B$12*(1+Inputs!$B$13/100))-(Inputs!$B$12*(1+Inputs!$B$13/100)))+0.25*(Inputs!$B$14-Inputs!$B$14))*(1+Inputs!$B$7/100))*(F1309/100)</f>
        <v/>
      </c>
      <c r="K1309">
        <f>J1309*(1+((Inputs!$B$12*(1+Inputs!$B$13/100))*0.01+Inputs!$B$14*0.0025)/100)*(1+Inputs!$B$15/100)*(1+Inputs!$B$16/100)*(5000/(6000+Inputs!$B$42*(1-(Inputs!$B$19+0)/100)))*(1+(Inputs!$B$24+((C1323=TRUE)*(F1323-Calc!F22))+B1332)/100)*(1+(IF(Skills!A8="HOOK_BOMBER",Inputs!$B$17+((C1322=TRUE)*(F1322-Calc!F21)),Inputs!$B$18+0))/100)*((1+(((C1314=TRUE)*F1314)+((C1320=TRUE)*(F1320-Calc!F19)))/100)*I1309)</f>
        <v/>
      </c>
      <c r="L1309">
        <f>K1309*(MIN(Inputs!$B$22+((C1321=TRUE)*(F1321-Calc!F20)),Inputs!$B$23+0)/100+(Inputs!$B$23+0)/100)/2</f>
        <v/>
      </c>
      <c r="M1309">
        <f>L1309*(1+(Inputs!$B$10+0+B1331)/100)</f>
        <v/>
      </c>
      <c r="N1309">
        <f>L1309*(1-MIN((Inputs!$B$9+((C1317=TRUE)*(F1317-Calc!F16))+B1326),100)/100)+M1309*(MIN((Inputs!$B$9+((C1317=TRUE)*(F1317-Calc!F16))+B1326),100)/100)</f>
        <v/>
      </c>
      <c r="O1309">
        <f>(1-Summary!$B$55)*T1309+Summary!$B$55*V1309</f>
        <v/>
      </c>
      <c r="P1309">
        <f>IF(B1336=0,0,O1309/B1336)</f>
        <v/>
      </c>
      <c r="Q1309">
        <f>IFERROR(1/IF(Inputs!$B$38="pvp",15,MAX(0.1,Skills!D8-IF(Skills!E8=TRUE,4.0,0))),0)</f>
        <v/>
      </c>
      <c r="R1309">
        <f>IF(AND(Inputs!$B$38&lt;&gt;"pvp",Inputs!$B$43&gt;0),IF(MAX(0,Inputs!$B$43-B1333)&lt;=0,0,(INT(MAX(0,Inputs!$B$43-B1333)/IF(Inputs!$B$38="pvp",15,MAX(0.1,Skills!D8-IF(Skills!E8=TRUE,4.0,0))))+1)),0)</f>
        <v/>
      </c>
      <c r="S1309">
        <f>IFERROR(O1309/N1309,0)</f>
        <v/>
      </c>
      <c r="T1309">
        <f>IF(C1309,(H1309*N1309*IF(AND(Inputs!$B$38&lt;&gt;"pvp",Inputs!$B$43&gt;0),((Skills!G8*((R1309-1)*IF(Skills!H8&gt;0,Skills!I8/Skills!H8,1)+IF(Skills!H8&gt;0,MIN(Skills!I8,MAX(0,MAX(0,Inputs!$B$43-B1333)-((R1309-1)*IF(Inputs!$B$38="pvp",15,MAX(0.1,Skills!D8-IF(Skills!E8=TRUE,4.0,0))))))/Skills!H8,1)))/Inputs!$B$43),G1309*Q1309))*IF(Inputs!$B$38="pvp",1,1+(Inputs!$B$20+0+Skills!P8)/100),0)</f>
        <v/>
      </c>
      <c r="V1309">
        <f>IF(C1309,(H1309*N1309*IF(AND(Inputs!$B$38&lt;&gt;"pvp",Inputs!$B$43&gt;0),((Skills!G8*((R1309-1)*IF(Skills!H8&gt;0,Skills!I8/Skills!H8,1)+IF(Skills!H8&gt;0,MIN(Skills!I8,MAX(0,MAX(0,Inputs!$B$43-B1333)-((R1309-1)*IF(Inputs!$B$38="pvp",15,MAX(0.1,Skills!D8-IF(Skills!E8=TRUE,4.0,0))))))/Skills!H8,1)))/Inputs!$B$43),G1309*Q1309))*IF(Inputs!$B$38="pvp",1,(1+(Inputs!$B$21+Skills!Q8)/100)*(MIN(Skills!R8,Inputs!$B$37))),0)</f>
        <v/>
      </c>
    </row>
    <row r="1310">
      <c r="A1310">
        <f>Skills!A9</f>
        <v/>
      </c>
      <c r="B1310">
        <f>Skills!B9</f>
        <v/>
      </c>
      <c r="C1310">
        <f>Inputs!$B$3&gt;=110</f>
        <v/>
      </c>
      <c r="D1310">
        <f>IF(Skills!C9=1,60+Inputs!$B$25+Inputs!$B$29,IF(Skills!C9=2,90+Inputs!$B$26+Inputs!$B$29,IF(Skills!C9=3,120+Inputs!$B$27+Inputs!$B$29,MAX(0,(Inputs!$B$3-100)*3)+Inputs!$B$28+Inputs!$B$29)))</f>
        <v/>
      </c>
      <c r="E1310">
        <f>INDEX(FactorTable!$B$2:$Y$301, MATCH(ROUND(MIN(300,MAX(1,D1310)),0), FactorTable!$A$2:$A$301,0), Skills!M9+1)</f>
        <v/>
      </c>
      <c r="F1310">
        <f>IF(Skills!N9=TRUE,(Skills!L9/10)*(E1310/1000),Skills!L9/10)+Skills!O9</f>
        <v/>
      </c>
      <c r="G1310">
        <f>Skills!G9*IF(Skills!H9&gt;0,Skills!I9/Skills!H9,1)</f>
        <v/>
      </c>
      <c r="H1310">
        <f>1-(1-Skills!J9/100)^Skills!K9</f>
        <v/>
      </c>
      <c r="I1310" t="inlineStr">
        <is>
          <t>1</t>
        </is>
      </c>
      <c r="J1310">
        <f>((Inputs!$B$6*(1+Inputs!$B$7/100))+(((Inputs!$B$12*(1+Inputs!$B$13/100))-(Inputs!$B$12*(1+Inputs!$B$13/100)))+0.25*(Inputs!$B$14-Inputs!$B$14))*(1+Inputs!$B$7/100))*(F1310/100)</f>
        <v/>
      </c>
      <c r="K1310">
        <f>J1310*(1+((Inputs!$B$12*(1+Inputs!$B$13/100))*0.01+Inputs!$B$14*0.0025)/100)*(1+Inputs!$B$15/100)*(1+Inputs!$B$16/100)*(5000/(6000+Inputs!$B$42*(1-(Inputs!$B$19+0)/100)))*(1+(Inputs!$B$24+((C1323=TRUE)*(F1323-Calc!F22))+B1332)/100)*(1+(IF(Skills!A9="HOOK_BOMBER",Inputs!$B$17+((C1322=TRUE)*(F1322-Calc!F21)),Inputs!$B$18+0))/100)*((1+(((C1314=TRUE)*F1314)+((C1320=TRUE)*(F1320-Calc!F19)))/100)*I1310)</f>
        <v/>
      </c>
      <c r="L1310">
        <f>K1310*(MIN(Inputs!$B$22+((C1321=TRUE)*(F1321-Calc!F20)),Inputs!$B$23+0)/100+(Inputs!$B$23+0)/100)/2</f>
        <v/>
      </c>
      <c r="M1310">
        <f>L1310*(1+(Inputs!$B$10+0+B1331)/100)</f>
        <v/>
      </c>
      <c r="N1310">
        <f>L1310*(1-MIN((Inputs!$B$9+((C1317=TRUE)*(F1317-Calc!F16))+B1326),100)/100)+M1310*(MIN((Inputs!$B$9+((C1317=TRUE)*(F1317-Calc!F16))+B1326),100)/100)</f>
        <v/>
      </c>
      <c r="O1310">
        <f>(1-Summary!$B$55)*T1310+Summary!$B$55*V1310</f>
        <v/>
      </c>
      <c r="P1310">
        <f>IF(B1336=0,0,O1310/B1336)</f>
        <v/>
      </c>
      <c r="Q1310">
        <f>IFERROR(1/IF(Inputs!$B$38="pvp",15,MAX(0.1,Skills!D9-IF(Skills!E9=TRUE,4.0,0))),0)</f>
        <v/>
      </c>
      <c r="R1310">
        <f>IF(AND(Inputs!$B$38&lt;&gt;"pvp",Inputs!$B$43&gt;0),IF(MAX(0,Inputs!$B$43-B1333)&lt;=0,0,(INT(MAX(0,Inputs!$B$43-B1333)/IF(Inputs!$B$38="pvp",15,MAX(0.1,Skills!D9-IF(Skills!E9=TRUE,4.0,0))))+1)),0)</f>
        <v/>
      </c>
      <c r="S1310">
        <f>IFERROR(O1310/N1310,0)</f>
        <v/>
      </c>
      <c r="T1310">
        <f>IF(C1310,(H1310*N1310*IF(AND(Inputs!$B$38&lt;&gt;"pvp",Inputs!$B$43&gt;0),((Skills!G9*((R1310-1)*IF(Skills!H9&gt;0,Skills!I9/Skills!H9,1)+IF(Skills!H9&gt;0,MIN(Skills!I9,MAX(0,MAX(0,Inputs!$B$43-B1333)-((R1310-1)*IF(Inputs!$B$38="pvp",15,MAX(0.1,Skills!D9-IF(Skills!E9=TRUE,4.0,0))))))/Skills!H9,1)))/Inputs!$B$43),G1310*Q1310))*IF(Inputs!$B$38="pvp",1,1+(Inputs!$B$20+0+Skills!P9)/100),0)</f>
        <v/>
      </c>
      <c r="V1310">
        <f>IF(C1310,(H1310*N1310*IF(AND(Inputs!$B$38&lt;&gt;"pvp",Inputs!$B$43&gt;0),((Skills!G9*((R1310-1)*IF(Skills!H9&gt;0,Skills!I9/Skills!H9,1)+IF(Skills!H9&gt;0,MIN(Skills!I9,MAX(0,MAX(0,Inputs!$B$43-B1333)-((R1310-1)*IF(Inputs!$B$38="pvp",15,MAX(0.1,Skills!D9-IF(Skills!E9=TRUE,4.0,0))))))/Skills!H9,1)))/Inputs!$B$43),G1310*Q1310))*IF(Inputs!$B$38="pvp",1,(1+(Inputs!$B$21+Skills!Q9)/100)*(MIN(Skills!R9,Inputs!$B$37))),0)</f>
        <v/>
      </c>
    </row>
    <row r="1311">
      <c r="A1311">
        <f>Skills!A10</f>
        <v/>
      </c>
      <c r="B1311">
        <f>Skills!B10</f>
        <v/>
      </c>
      <c r="C1311">
        <f>Inputs!$B$3&gt;=103</f>
        <v/>
      </c>
      <c r="D1311">
        <f>IF(Skills!C10=1,60+Inputs!$B$25+Inputs!$B$29,IF(Skills!C10=2,90+Inputs!$B$26+Inputs!$B$29,IF(Skills!C10=3,120+Inputs!$B$27+Inputs!$B$29,MAX(0,(Inputs!$B$3-100)*3)+Inputs!$B$28+Inputs!$B$29)))</f>
        <v/>
      </c>
      <c r="E1311">
        <f>INDEX(FactorTable!$B$2:$Y$301, MATCH(ROUND(MIN(300,MAX(1,D1311)),0), FactorTable!$A$2:$A$301,0), Skills!M10+1)</f>
        <v/>
      </c>
      <c r="F1311">
        <f>IF(Skills!N10=TRUE,(Skills!L10/10)*(E1311/1000),Skills!L10/10)+Skills!O10</f>
        <v/>
      </c>
      <c r="G1311">
        <f>Skills!G10*IF(Skills!H10&gt;0,Skills!I10/Skills!H10,1)</f>
        <v/>
      </c>
      <c r="H1311">
        <f>1-(1-Skills!J10/100)^Skills!K10</f>
        <v/>
      </c>
      <c r="I1311" t="inlineStr">
        <is>
          <t>1</t>
        </is>
      </c>
      <c r="J1311">
        <f>((Inputs!$B$6*(1+Inputs!$B$7/100))+(((Inputs!$B$12*(1+Inputs!$B$13/100))-(Inputs!$B$12*(1+Inputs!$B$13/100)))+0.25*(Inputs!$B$14-Inputs!$B$14))*(1+Inputs!$B$7/100))*(F1311/100)</f>
        <v/>
      </c>
      <c r="K1311">
        <f>J1311*(1+((Inputs!$B$12*(1+Inputs!$B$13/100))*0.01+Inputs!$B$14*0.0025)/100)*(1+Inputs!$B$15/100)*(1+Inputs!$B$16/100)*(5000/(6000+Inputs!$B$42*(1-(Inputs!$B$19+0)/100)))*(1+(Inputs!$B$24+((C1323=TRUE)*(F1323-Calc!F22))+B1332)/100)*(1+(IF(Skills!A10="HOOK_BOMBER",Inputs!$B$17+((C1322=TRUE)*(F1322-Calc!F21)),Inputs!$B$18+0))/100)*((1+(((C1314=TRUE)*F1314)+((C1320=TRUE)*(F1320-Calc!F19)))/100)*I1311)</f>
        <v/>
      </c>
      <c r="L1311">
        <f>K1311*(MIN(Inputs!$B$22+((C1321=TRUE)*(F1321-Calc!F20)),Inputs!$B$23+0)/100+(Inputs!$B$23+0)/100)/2</f>
        <v/>
      </c>
      <c r="M1311">
        <f>L1311*(1+(Inputs!$B$10+0+B1331)/100)</f>
        <v/>
      </c>
      <c r="N1311">
        <f>L1311*(1-MIN((Inputs!$B$9+((C1317=TRUE)*(F1317-Calc!F16))+B1326),100)/100)+M1311*(MIN((Inputs!$B$9+((C1317=TRUE)*(F1317-Calc!F16))+B1326),100)/100)</f>
        <v/>
      </c>
      <c r="O1311">
        <f>(1-Summary!$B$55)*T1311+Summary!$B$55*V1311</f>
        <v/>
      </c>
      <c r="P1311">
        <f>IF(B1336=0,0,O1311/B1336)</f>
        <v/>
      </c>
      <c r="Q1311">
        <f>IFERROR(1/IF(Inputs!$B$38="pvp",15,MAX(0.1,Skills!D10-IF(Skills!E10=TRUE,4.0,0))),0)</f>
        <v/>
      </c>
      <c r="R1311">
        <f>IF(AND(Inputs!$B$38&lt;&gt;"pvp",Inputs!$B$43&gt;0),IF(MAX(0,Inputs!$B$43-B1333)&lt;=0,0,(INT(MAX(0,Inputs!$B$43-B1333)/IF(Inputs!$B$38="pvp",15,MAX(0.1,Skills!D10-IF(Skills!E10=TRUE,4.0,0))))+1)),0)</f>
        <v/>
      </c>
      <c r="S1311">
        <f>IFERROR(O1311/N1311,0)</f>
        <v/>
      </c>
      <c r="T1311">
        <f>IF(C1311,(H1311*N1311*IF(AND(Inputs!$B$38&lt;&gt;"pvp",Inputs!$B$43&gt;0),((Skills!G10*((R1311-1)*IF(Skills!H10&gt;0,Skills!I10/Skills!H10,1)+IF(Skills!H10&gt;0,MIN(Skills!I10,MAX(0,MAX(0,Inputs!$B$43-B1333)-((R1311-1)*IF(Inputs!$B$38="pvp",15,MAX(0.1,Skills!D10-IF(Skills!E10=TRUE,4.0,0))))))/Skills!H10,1)))/Inputs!$B$43),G1311*Q1311))*IF(Inputs!$B$38="pvp",1,1+(Inputs!$B$20+0+Skills!P10)/100),0)</f>
        <v/>
      </c>
      <c r="V1311">
        <f>IF(C1311,(H1311*N1311*IF(AND(Inputs!$B$38&lt;&gt;"pvp",Inputs!$B$43&gt;0),((Skills!G10*((R1311-1)*IF(Skills!H10&gt;0,Skills!I10/Skills!H10,1)+IF(Skills!H10&gt;0,MIN(Skills!I10,MAX(0,MAX(0,Inputs!$B$43-B1333)-((R1311-1)*IF(Inputs!$B$38="pvp",15,MAX(0.1,Skills!D10-IF(Skills!E10=TRUE,4.0,0))))))/Skills!H10,1)))/Inputs!$B$43),G1311*Q1311))*IF(Inputs!$B$38="pvp",1,(1+(Inputs!$B$21+Skills!Q10)/100)*(MIN(Skills!R10,Inputs!$B$37))),0)</f>
        <v/>
      </c>
    </row>
    <row r="1312">
      <c r="A1312">
        <f>Skills!A11</f>
        <v/>
      </c>
      <c r="B1312">
        <f>Skills!B11</f>
        <v/>
      </c>
      <c r="C1312">
        <f>Inputs!$B$3&gt;=113</f>
        <v/>
      </c>
      <c r="D1312">
        <f>IF(Skills!C11=1,60+Inputs!$B$25+Inputs!$B$29,IF(Skills!C11=2,90+Inputs!$B$26+Inputs!$B$29,IF(Skills!C11=3,120+Inputs!$B$27+Inputs!$B$29,MAX(0,(Inputs!$B$3-100)*3)+Inputs!$B$28+Inputs!$B$29)))</f>
        <v/>
      </c>
      <c r="E1312">
        <f>INDEX(FactorTable!$B$2:$Y$301, MATCH(ROUND(MIN(300,MAX(1,D1312)),0), FactorTable!$A$2:$A$301,0), Skills!M11+1)</f>
        <v/>
      </c>
      <c r="F1312">
        <f>IF(Skills!N11=TRUE,(Skills!L11/10)*(E1312/1000),Skills!L11/10)+Skills!O11</f>
        <v/>
      </c>
      <c r="G1312">
        <f>Skills!G11*IF(Skills!H11&gt;0,Skills!I11/Skills!H11,1)</f>
        <v/>
      </c>
      <c r="H1312">
        <f>1-(1-Skills!J11/100)^Skills!K11</f>
        <v/>
      </c>
      <c r="I1312" t="inlineStr">
        <is>
          <t>1</t>
        </is>
      </c>
      <c r="J1312">
        <f>((Inputs!$B$6*(1+Inputs!$B$7/100))+(((Inputs!$B$12*(1+Inputs!$B$13/100))-(Inputs!$B$12*(1+Inputs!$B$13/100)))+0.25*(Inputs!$B$14-Inputs!$B$14))*(1+Inputs!$B$7/100))*(F1312/100)</f>
        <v/>
      </c>
      <c r="K1312">
        <f>J1312*(1+((Inputs!$B$12*(1+Inputs!$B$13/100))*0.01+Inputs!$B$14*0.0025)/100)*(1+Inputs!$B$15/100)*(1+Inputs!$B$16/100)*(5000/(6000+Inputs!$B$42*(1-(Inputs!$B$19+0)/100)))*(1+(Inputs!$B$24+((C1323=TRUE)*(F1323-Calc!F22))+B1332)/100)*(1+(IF(Skills!A11="HOOK_BOMBER",Inputs!$B$17+((C1322=TRUE)*(F1322-Calc!F21)),Inputs!$B$18+0))/100)*((1+(((C1314=TRUE)*F1314)+((C1320=TRUE)*(F1320-Calc!F19)))/100)*I1312)</f>
        <v/>
      </c>
      <c r="L1312">
        <f>K1312*(MIN(Inputs!$B$22+((C1321=TRUE)*(F1321-Calc!F20)),Inputs!$B$23+0)/100+(Inputs!$B$23+0)/100)/2</f>
        <v/>
      </c>
      <c r="M1312">
        <f>L1312*(1+(Inputs!$B$10+0+B1331)/100)</f>
        <v/>
      </c>
      <c r="N1312">
        <f>L1312*(1-MIN((Inputs!$B$9+((C1317=TRUE)*(F1317-Calc!F16))+B1326),100)/100)+M1312*(MIN((Inputs!$B$9+((C1317=TRUE)*(F1317-Calc!F16))+B1326),100)/100)</f>
        <v/>
      </c>
      <c r="O1312">
        <f>(1-Summary!$B$55)*T1312+Summary!$B$55*V1312</f>
        <v/>
      </c>
      <c r="P1312">
        <f>IF(B1336=0,0,O1312/B1336)</f>
        <v/>
      </c>
      <c r="Q1312">
        <f>IFERROR(1/IF(Inputs!$B$38="pvp",15,MAX(0.1,Skills!D11-IF(Skills!E11=TRUE,4.0,0))),0)</f>
        <v/>
      </c>
      <c r="R1312">
        <f>IF(AND(Inputs!$B$38&lt;&gt;"pvp",Inputs!$B$43&gt;0),IF(MAX(0,Inputs!$B$43-B1333)&lt;=0,0,(INT(MAX(0,Inputs!$B$43-B1333)/IF(Inputs!$B$38="pvp",15,MAX(0.1,Skills!D11-IF(Skills!E11=TRUE,4.0,0))))+1)),0)</f>
        <v/>
      </c>
      <c r="S1312">
        <f>IFERROR(O1312/N1312,0)</f>
        <v/>
      </c>
      <c r="T1312">
        <f>IF(C1312,(H1312*N1312*IF(AND(Inputs!$B$38&lt;&gt;"pvp",Inputs!$B$43&gt;0),((Skills!G11*((R1312-1)*IF(Skills!H11&gt;0,Skills!I11/Skills!H11,1)+IF(Skills!H11&gt;0,MIN(Skills!I11,MAX(0,MAX(0,Inputs!$B$43-B1333)-((R1312-1)*IF(Inputs!$B$38="pvp",15,MAX(0.1,Skills!D11-IF(Skills!E11=TRUE,4.0,0))))))/Skills!H11,1)))/Inputs!$B$43),G1312*Q1312))*IF(Inputs!$B$38="pvp",1,1+(Inputs!$B$20+0+Skills!P11)/100),0)</f>
        <v/>
      </c>
      <c r="V1312">
        <f>IF(C1312,(H1312*N1312*IF(AND(Inputs!$B$38&lt;&gt;"pvp",Inputs!$B$43&gt;0),((Skills!G11*((R1312-1)*IF(Skills!H11&gt;0,Skills!I11/Skills!H11,1)+IF(Skills!H11&gt;0,MIN(Skills!I11,MAX(0,MAX(0,Inputs!$B$43-B1333)-((R1312-1)*IF(Inputs!$B$38="pvp",15,MAX(0.1,Skills!D11-IF(Skills!E11=TRUE,4.0,0))))))/Skills!H11,1)))/Inputs!$B$43),G1312*Q1312))*IF(Inputs!$B$38="pvp",1,(1+(Inputs!$B$21+Skills!Q11)/100)*(MIN(Skills!R11,Inputs!$B$37))),0)</f>
        <v/>
      </c>
    </row>
    <row r="1313">
      <c r="A1313">
        <f>Skills!A12</f>
        <v/>
      </c>
      <c r="B1313">
        <f>Skills!B12</f>
        <v/>
      </c>
      <c r="C1313">
        <f>Inputs!$B$3&gt;=100</f>
        <v/>
      </c>
      <c r="D1313">
        <f>IF(Skills!C12=1,60+Inputs!$B$25+Inputs!$B$29,IF(Skills!C12=2,90+Inputs!$B$26+Inputs!$B$29,IF(Skills!C12=3,120+Inputs!$B$27+Inputs!$B$29,MAX(0,(Inputs!$B$3-100)*3)+Inputs!$B$28+Inputs!$B$29)))</f>
        <v/>
      </c>
      <c r="E1313">
        <f>INDEX(FactorTable!$B$2:$Y$301, MATCH(ROUND(MIN(300,MAX(1,D1313)),0), FactorTable!$A$2:$A$301,0), Skills!M12+1)</f>
        <v/>
      </c>
      <c r="F1313">
        <f>IF(Skills!N12=TRUE,(Skills!L12/10)*(E1313/1000),Skills!L12/10)+Skills!O12</f>
        <v/>
      </c>
      <c r="G1313" t="inlineStr"/>
      <c r="H1313" t="inlineStr"/>
      <c r="I1313" t="inlineStr">
        <is>
          <t>1</t>
        </is>
      </c>
      <c r="J1313" t="inlineStr"/>
      <c r="K1313" t="inlineStr"/>
      <c r="L1313" t="inlineStr"/>
      <c r="M1313" t="inlineStr"/>
      <c r="N1313" t="inlineStr"/>
      <c r="O1313" t="inlineStr"/>
      <c r="P1313" t="inlineStr"/>
      <c r="Q1313" t="inlineStr"/>
      <c r="R1313" t="inlineStr"/>
      <c r="S1313" t="inlineStr"/>
      <c r="T1313" t="inlineStr"/>
      <c r="V1313" t="inlineStr"/>
    </row>
    <row r="1314">
      <c r="A1314">
        <f>Skills!A13</f>
        <v/>
      </c>
      <c r="B1314">
        <f>Skills!B13</f>
        <v/>
      </c>
      <c r="C1314">
        <f>Inputs!$B$3&gt;=66</f>
        <v/>
      </c>
      <c r="D1314">
        <f>IF(Skills!C13=1,60+Inputs!$B$25+Inputs!$B$29,IF(Skills!C13=2,90+Inputs!$B$26+Inputs!$B$29,IF(Skills!C13=3,120+Inputs!$B$27+Inputs!$B$29,MAX(0,(Inputs!$B$3-100)*3)+Inputs!$B$28+Inputs!$B$29)))</f>
        <v/>
      </c>
      <c r="E1314">
        <f>INDEX(FactorTable!$B$2:$Y$301, MATCH(ROUND(MIN(300,MAX(1,D1314)),0), FactorTable!$A$2:$A$301,0), Skills!M13+1)</f>
        <v/>
      </c>
      <c r="F1314">
        <f>IF(Skills!N13=TRUE,(Skills!L13/10)*(E1314/1000),Skills!L13/10)+Skills!O13</f>
        <v/>
      </c>
      <c r="G1314">
        <f>Skills!G13*IF(Skills!H13&gt;0,Skills!I13/Skills!H13,1)</f>
        <v/>
      </c>
      <c r="H1314">
        <f>1-(1-Skills!J13/100)^Skills!K13</f>
        <v/>
      </c>
      <c r="I1314" t="inlineStr">
        <is>
          <t>1</t>
        </is>
      </c>
      <c r="J1314" t="inlineStr"/>
      <c r="K1314" t="inlineStr"/>
      <c r="L1314" t="inlineStr"/>
      <c r="M1314" t="inlineStr"/>
      <c r="N1314" t="inlineStr"/>
      <c r="O1314">
        <f>(1-Summary!$B$55)*T1314+Summary!$B$55*V1314</f>
        <v/>
      </c>
      <c r="P1314">
        <f>IF(B1336=0,0,O1314/B1336)</f>
        <v/>
      </c>
      <c r="Q1314" t="n">
        <v>0</v>
      </c>
      <c r="R1314" t="n">
        <v>0</v>
      </c>
      <c r="S1314">
        <f>IFERROR(O1314/N1314,0)</f>
        <v/>
      </c>
      <c r="T1314" t="n">
        <v>0</v>
      </c>
      <c r="V1314" t="n">
        <v>0</v>
      </c>
    </row>
    <row r="1315">
      <c r="A1315">
        <f>Skills!A14</f>
        <v/>
      </c>
      <c r="B1315">
        <f>Skills!B14</f>
        <v/>
      </c>
      <c r="C1315">
        <f>Inputs!$B$3&gt;=107</f>
        <v/>
      </c>
      <c r="D1315">
        <f>IF(Skills!C14=1,60+Inputs!$B$25+Inputs!$B$29,IF(Skills!C14=2,90+Inputs!$B$26+Inputs!$B$29,IF(Skills!C14=3,120+Inputs!$B$27+Inputs!$B$29,MAX(0,(Inputs!$B$3-100)*3)+Inputs!$B$28+Inputs!$B$29)))</f>
        <v/>
      </c>
      <c r="E1315">
        <f>INDEX(FactorTable!$B$2:$Y$301, MATCH(ROUND(MIN(300,MAX(1,D1315)),0), FactorTable!$A$2:$A$301,0), Skills!M14+1)</f>
        <v/>
      </c>
      <c r="F1315">
        <f>IF(Skills!N14=TRUE,(Skills!L14/10)*(E1315/1000),Skills!L14/10)+Skills!O14</f>
        <v/>
      </c>
      <c r="G1315">
        <f>Skills!G14*IF(Skills!H14&gt;0,Skills!I14/Skills!H14,1)</f>
        <v/>
      </c>
      <c r="H1315">
        <f>1-(1-Skills!J14/100)^Skills!K14</f>
        <v/>
      </c>
      <c r="I1315" t="inlineStr">
        <is>
          <t>1</t>
        </is>
      </c>
      <c r="J1315" t="inlineStr"/>
      <c r="K1315" t="inlineStr"/>
      <c r="L1315" t="inlineStr"/>
      <c r="M1315" t="inlineStr"/>
      <c r="N1315" t="inlineStr"/>
      <c r="O1315">
        <f>(1-Summary!$B$55)*T1315+Summary!$B$55*V1315</f>
        <v/>
      </c>
      <c r="P1315">
        <f>IF(B1336=0,0,O1315/B1336)</f>
        <v/>
      </c>
      <c r="Q1315" t="n">
        <v>0</v>
      </c>
      <c r="R1315" t="n">
        <v>0</v>
      </c>
      <c r="S1315">
        <f>IFERROR(O1315/N1315,0)</f>
        <v/>
      </c>
      <c r="T1315" t="n">
        <v>0</v>
      </c>
      <c r="V1315" t="n">
        <v>0</v>
      </c>
    </row>
    <row r="1316">
      <c r="A1316">
        <f>Skills!A15</f>
        <v/>
      </c>
      <c r="B1316">
        <f>Skills!B15</f>
        <v/>
      </c>
      <c r="C1316">
        <f>Inputs!$B$3&gt;=115</f>
        <v/>
      </c>
      <c r="D1316">
        <f>IF(Skills!C15=1,60+Inputs!$B$25+Inputs!$B$29,IF(Skills!C15=2,90+Inputs!$B$26+Inputs!$B$29,IF(Skills!C15=3,120+Inputs!$B$27+Inputs!$B$29,MAX(0,(Inputs!$B$3-100)*3)+Inputs!$B$28+Inputs!$B$29)))</f>
        <v/>
      </c>
      <c r="E1316">
        <f>INDEX(FactorTable!$B$2:$Y$301, MATCH(ROUND(MIN(300,MAX(1,D1316)),0), FactorTable!$A$2:$A$301,0), Skills!M15+1)</f>
        <v/>
      </c>
      <c r="F1316">
        <f>IF(Skills!N15=TRUE,(Skills!L15/10)*(E1316/1000),Skills!L15/10)+Skills!O15</f>
        <v/>
      </c>
      <c r="G1316">
        <f>Skills!G15*IF(Skills!H15&gt;0,Skills!I15/Skills!H15,1)</f>
        <v/>
      </c>
      <c r="H1316">
        <f>1-(1-Skills!J15/100)^Skills!K15</f>
        <v/>
      </c>
      <c r="I1316" t="inlineStr">
        <is>
          <t>1</t>
        </is>
      </c>
      <c r="J1316" t="inlineStr"/>
      <c r="K1316" t="inlineStr"/>
      <c r="L1316" t="inlineStr"/>
      <c r="M1316" t="inlineStr"/>
      <c r="N1316" t="inlineStr"/>
      <c r="O1316">
        <f>(1-Summary!$B$55)*T1316+Summary!$B$55*V1316</f>
        <v/>
      </c>
      <c r="P1316">
        <f>IF(B1336=0,0,O1316/B1336)</f>
        <v/>
      </c>
      <c r="Q1316" t="n">
        <v>0</v>
      </c>
      <c r="R1316" t="n">
        <v>0</v>
      </c>
      <c r="S1316">
        <f>IFERROR(O1316/N1316,0)</f>
        <v/>
      </c>
      <c r="T1316" t="n">
        <v>0</v>
      </c>
      <c r="V1316" t="n">
        <v>0</v>
      </c>
    </row>
    <row r="1317">
      <c r="A1317">
        <f>Skills!A16</f>
        <v/>
      </c>
      <c r="B1317">
        <f>Skills!B16</f>
        <v/>
      </c>
      <c r="C1317">
        <f>Inputs!$B$3&gt;=15</f>
        <v/>
      </c>
      <c r="D1317">
        <f>IF(Skills!C16=1,60+Inputs!$B$25+Inputs!$B$29,IF(Skills!C16=2,90+Inputs!$B$26+Inputs!$B$29,IF(Skills!C16=3,120+Inputs!$B$27+Inputs!$B$29,MAX(0,(Inputs!$B$3-100)*3)+Inputs!$B$28+Inputs!$B$29)))</f>
        <v/>
      </c>
      <c r="E1317">
        <f>INDEX(FactorTable!$B$2:$Y$301, MATCH(ROUND(MIN(300,MAX(1,D1317)),0), FactorTable!$A$2:$A$301,0), Skills!M16+1)</f>
        <v/>
      </c>
      <c r="F1317">
        <f>IF(Skills!N16=TRUE,(Skills!L16/10)*(E1317/1000),Skills!L16/10)+Skills!O16</f>
        <v/>
      </c>
      <c r="G1317">
        <f>Skills!G16*IF(Skills!H16&gt;0,Skills!I16/Skills!H16,1)</f>
        <v/>
      </c>
      <c r="H1317">
        <f>1-(1-Skills!J16/100)^Skills!K16</f>
        <v/>
      </c>
      <c r="I1317" t="inlineStr">
        <is>
          <t>1</t>
        </is>
      </c>
      <c r="J1317" t="inlineStr"/>
      <c r="K1317" t="inlineStr"/>
      <c r="L1317" t="inlineStr"/>
      <c r="M1317" t="inlineStr"/>
      <c r="N1317" t="inlineStr"/>
      <c r="O1317">
        <f>(1-Summary!$B$55)*T1317+Summary!$B$55*V1317</f>
        <v/>
      </c>
      <c r="P1317">
        <f>IF(B1336=0,0,O1317/B1336)</f>
        <v/>
      </c>
      <c r="Q1317" t="n">
        <v>0</v>
      </c>
      <c r="R1317" t="n">
        <v>0</v>
      </c>
      <c r="S1317">
        <f>IFERROR(O1317/N1317,0)</f>
        <v/>
      </c>
      <c r="T1317" t="n">
        <v>0</v>
      </c>
      <c r="V1317" t="n">
        <v>0</v>
      </c>
    </row>
    <row r="1318">
      <c r="A1318">
        <f>Skills!A17</f>
        <v/>
      </c>
      <c r="B1318">
        <f>Skills!B17</f>
        <v/>
      </c>
      <c r="C1318">
        <f>Inputs!$B$3&gt;=10</f>
        <v/>
      </c>
      <c r="D1318">
        <f>IF(Skills!C17=1,60+Inputs!$B$25+Inputs!$B$29,IF(Skills!C17=2,90+Inputs!$B$26+Inputs!$B$29,IF(Skills!C17=3,120+Inputs!$B$27+Inputs!$B$29,MAX(0,(Inputs!$B$3-100)*3)+Inputs!$B$28+Inputs!$B$29)))</f>
        <v/>
      </c>
      <c r="E1318">
        <f>INDEX(FactorTable!$B$2:$Y$301, MATCH(ROUND(MIN(300,MAX(1,D1318)),0), FactorTable!$A$2:$A$301,0), Skills!M17+1)</f>
        <v/>
      </c>
      <c r="F1318">
        <f>IF(Skills!N17=TRUE,(Skills!L17/10)*(E1318/1000),Skills!L17/10)+Skills!O17</f>
        <v/>
      </c>
      <c r="G1318">
        <f>Skills!G17*IF(Skills!H17&gt;0,Skills!I17/Skills!H17,1)</f>
        <v/>
      </c>
      <c r="H1318">
        <f>1-(1-Skills!J17/100)^Skills!K17</f>
        <v/>
      </c>
      <c r="I1318" t="inlineStr">
        <is>
          <t>1</t>
        </is>
      </c>
      <c r="J1318" t="inlineStr"/>
      <c r="K1318" t="inlineStr"/>
      <c r="L1318" t="inlineStr"/>
      <c r="M1318" t="inlineStr"/>
      <c r="N1318" t="inlineStr"/>
      <c r="O1318">
        <f>(1-Summary!$B$55)*T1318+Summary!$B$55*V1318</f>
        <v/>
      </c>
      <c r="P1318">
        <f>IF(B1336=0,0,O1318/B1336)</f>
        <v/>
      </c>
      <c r="Q1318" t="n">
        <v>0</v>
      </c>
      <c r="R1318" t="n">
        <v>0</v>
      </c>
      <c r="S1318">
        <f>IFERROR(O1318/N1318,0)</f>
        <v/>
      </c>
      <c r="T1318" t="n">
        <v>0</v>
      </c>
      <c r="V1318" t="n">
        <v>0</v>
      </c>
    </row>
    <row r="1319">
      <c r="A1319">
        <f>Skills!A18</f>
        <v/>
      </c>
      <c r="B1319">
        <f>Skills!B18</f>
        <v/>
      </c>
      <c r="C1319">
        <f>Inputs!$B$3&gt;=33</f>
        <v/>
      </c>
      <c r="D1319">
        <f>IF(Skills!C18=1,60+Inputs!$B$25+Inputs!$B$29,IF(Skills!C18=2,90+Inputs!$B$26+Inputs!$B$29,IF(Skills!C18=3,120+Inputs!$B$27+Inputs!$B$29,MAX(0,(Inputs!$B$3-100)*3)+Inputs!$B$28+Inputs!$B$29)))</f>
        <v/>
      </c>
      <c r="E1319">
        <f>INDEX(FactorTable!$B$2:$Y$301, MATCH(ROUND(MIN(300,MAX(1,D1319)),0), FactorTable!$A$2:$A$301,0), Skills!M18+1)</f>
        <v/>
      </c>
      <c r="F1319">
        <f>IF(Skills!N18=TRUE,(Skills!L18/10)*(E1319/1000),Skills!L18/10)+Skills!O18</f>
        <v/>
      </c>
      <c r="G1319">
        <f>Skills!G18*IF(Skills!H18&gt;0,Skills!I18/Skills!H18,1)</f>
        <v/>
      </c>
      <c r="H1319">
        <f>1-(1-Skills!J18/100)^Skills!K18</f>
        <v/>
      </c>
      <c r="I1319" t="inlineStr">
        <is>
          <t>1</t>
        </is>
      </c>
      <c r="J1319" t="inlineStr"/>
      <c r="K1319" t="inlineStr"/>
      <c r="L1319" t="inlineStr"/>
      <c r="M1319" t="inlineStr"/>
      <c r="N1319" t="inlineStr"/>
      <c r="O1319">
        <f>(1-Summary!$B$55)*T1319+Summary!$B$55*V1319</f>
        <v/>
      </c>
      <c r="P1319">
        <f>IF(B1336=0,0,O1319/B1336)</f>
        <v/>
      </c>
      <c r="Q1319" t="n">
        <v>0</v>
      </c>
      <c r="R1319" t="n">
        <v>0</v>
      </c>
      <c r="S1319">
        <f>IFERROR(O1319/N1319,0)</f>
        <v/>
      </c>
      <c r="T1319" t="n">
        <v>0</v>
      </c>
      <c r="V1319" t="n">
        <v>0</v>
      </c>
    </row>
    <row r="1320">
      <c r="A1320">
        <f>Skills!A19</f>
        <v/>
      </c>
      <c r="B1320">
        <f>Skills!B19</f>
        <v/>
      </c>
      <c r="C1320">
        <f>Inputs!$B$3&gt;=40</f>
        <v/>
      </c>
      <c r="D1320">
        <f>IF(Skills!C19=1,60+Inputs!$B$25+Inputs!$B$29,IF(Skills!C19=2,90+Inputs!$B$26+Inputs!$B$29,IF(Skills!C19=3,120+Inputs!$B$27+Inputs!$B$29,MAX(0,(Inputs!$B$3-100)*3)+Inputs!$B$28+Inputs!$B$29)))</f>
        <v/>
      </c>
      <c r="E1320">
        <f>INDEX(FactorTable!$B$2:$Y$301, MATCH(ROUND(MIN(300,MAX(1,D1320)),0), FactorTable!$A$2:$A$301,0), Skills!M19+1)</f>
        <v/>
      </c>
      <c r="F1320">
        <f>IF(Skills!N19=TRUE,(Skills!L19/10)*(E1320/1000),Skills!L19/10)+Skills!O19</f>
        <v/>
      </c>
      <c r="G1320">
        <f>Skills!G19*IF(Skills!H19&gt;0,Skills!I19/Skills!H19,1)</f>
        <v/>
      </c>
      <c r="H1320">
        <f>1-(1-Skills!J19/100)^Skills!K19</f>
        <v/>
      </c>
      <c r="I1320" t="inlineStr">
        <is>
          <t>1</t>
        </is>
      </c>
      <c r="J1320" t="inlineStr"/>
      <c r="K1320" t="inlineStr"/>
      <c r="L1320" t="inlineStr"/>
      <c r="M1320" t="inlineStr"/>
      <c r="N1320" t="inlineStr"/>
      <c r="O1320">
        <f>(1-Summary!$B$55)*T1320+Summary!$B$55*V1320</f>
        <v/>
      </c>
      <c r="P1320">
        <f>IF(B1336=0,0,O1320/B1336)</f>
        <v/>
      </c>
      <c r="Q1320" t="n">
        <v>0</v>
      </c>
      <c r="R1320" t="n">
        <v>0</v>
      </c>
      <c r="S1320">
        <f>IFERROR(O1320/N1320,0)</f>
        <v/>
      </c>
      <c r="T1320" t="n">
        <v>0</v>
      </c>
      <c r="V1320" t="n">
        <v>0</v>
      </c>
    </row>
    <row r="1321">
      <c r="A1321">
        <f>Skills!A20</f>
        <v/>
      </c>
      <c r="B1321">
        <f>Skills!B20</f>
        <v/>
      </c>
      <c r="C1321">
        <f>Inputs!$B$3&gt;=43</f>
        <v/>
      </c>
      <c r="D1321">
        <f>IF(Skills!C20=1,60+Inputs!$B$25+Inputs!$B$29,IF(Skills!C20=2,90+Inputs!$B$26+Inputs!$B$29,IF(Skills!C20=3,120+Inputs!$B$27+Inputs!$B$29,MAX(0,(Inputs!$B$3-100)*3)+Inputs!$B$28+Inputs!$B$29)))</f>
        <v/>
      </c>
      <c r="E1321">
        <f>INDEX(FactorTable!$B$2:$Y$301, MATCH(ROUND(MIN(300,MAX(1,D1321)),0), FactorTable!$A$2:$A$301,0), Skills!M20+1)</f>
        <v/>
      </c>
      <c r="F1321">
        <f>IF(Skills!N20=TRUE,(Skills!L20/10)*(E1321/1000),Skills!L20/10)+Skills!O20</f>
        <v/>
      </c>
      <c r="G1321">
        <f>Skills!G20*IF(Skills!H20&gt;0,Skills!I20/Skills!H20,1)</f>
        <v/>
      </c>
      <c r="H1321">
        <f>1-(1-Skills!J20/100)^Skills!K20</f>
        <v/>
      </c>
      <c r="I1321" t="inlineStr">
        <is>
          <t>1</t>
        </is>
      </c>
      <c r="J1321" t="inlineStr"/>
      <c r="K1321" t="inlineStr"/>
      <c r="L1321" t="inlineStr"/>
      <c r="M1321" t="inlineStr"/>
      <c r="N1321" t="inlineStr"/>
      <c r="O1321">
        <f>(1-Summary!$B$55)*T1321+Summary!$B$55*V1321</f>
        <v/>
      </c>
      <c r="P1321">
        <f>IF(B1336=0,0,O1321/B1336)</f>
        <v/>
      </c>
      <c r="Q1321" t="n">
        <v>0</v>
      </c>
      <c r="R1321" t="n">
        <v>0</v>
      </c>
      <c r="S1321">
        <f>IFERROR(O1321/N1321,0)</f>
        <v/>
      </c>
      <c r="T1321" t="n">
        <v>0</v>
      </c>
      <c r="V1321" t="n">
        <v>0</v>
      </c>
    </row>
    <row r="1322">
      <c r="A1322">
        <f>Skills!A21</f>
        <v/>
      </c>
      <c r="B1322">
        <f>Skills!B21</f>
        <v/>
      </c>
      <c r="C1322">
        <f>Inputs!$B$3&gt;=38</f>
        <v/>
      </c>
      <c r="D1322">
        <f>IF(Skills!C21=1,60+Inputs!$B$25+Inputs!$B$29,IF(Skills!C21=2,90+Inputs!$B$26+Inputs!$B$29,IF(Skills!C21=3,120+Inputs!$B$27+Inputs!$B$29,MAX(0,(Inputs!$B$3-100)*3)+Inputs!$B$28+Inputs!$B$29)))</f>
        <v/>
      </c>
      <c r="E1322">
        <f>INDEX(FactorTable!$B$2:$Y$301, MATCH(ROUND(MIN(300,MAX(1,D1322)),0), FactorTable!$A$2:$A$301,0), Skills!M21+1)</f>
        <v/>
      </c>
      <c r="F1322">
        <f>IF(Skills!N21=TRUE,(Skills!L21/10)*(E1322/1000),Skills!L21/10)+Skills!O21</f>
        <v/>
      </c>
      <c r="G1322">
        <f>Skills!G21*IF(Skills!H21&gt;0,Skills!I21/Skills!H21,1)</f>
        <v/>
      </c>
      <c r="H1322">
        <f>1-(1-Skills!J21/100)^Skills!K21</f>
        <v/>
      </c>
      <c r="I1322" t="inlineStr">
        <is>
          <t>1</t>
        </is>
      </c>
      <c r="J1322" t="inlineStr"/>
      <c r="K1322" t="inlineStr"/>
      <c r="L1322" t="inlineStr"/>
      <c r="M1322" t="inlineStr"/>
      <c r="N1322" t="inlineStr"/>
      <c r="O1322">
        <f>(1-Summary!$B$55)*T1322+Summary!$B$55*V1322</f>
        <v/>
      </c>
      <c r="P1322">
        <f>IF(B1336=0,0,O1322/B1336)</f>
        <v/>
      </c>
      <c r="Q1322" t="n">
        <v>0</v>
      </c>
      <c r="R1322" t="n">
        <v>0</v>
      </c>
      <c r="S1322">
        <f>IFERROR(O1322/N1322,0)</f>
        <v/>
      </c>
      <c r="T1322" t="n">
        <v>0</v>
      </c>
      <c r="V1322" t="n">
        <v>0</v>
      </c>
    </row>
    <row r="1323">
      <c r="A1323">
        <f>Skills!A22</f>
        <v/>
      </c>
      <c r="B1323">
        <f>Skills!B22</f>
        <v/>
      </c>
      <c r="C1323">
        <f>Inputs!$B$3&gt;=75</f>
        <v/>
      </c>
      <c r="D1323">
        <f>IF(Skills!C22=1,60+Inputs!$B$25+Inputs!$B$29,IF(Skills!C22=2,90+Inputs!$B$26+Inputs!$B$29,IF(Skills!C22=3,120+Inputs!$B$27+Inputs!$B$29,MAX(0,(Inputs!$B$3-100)*3)+Inputs!$B$28+Inputs!$B$29)))</f>
        <v/>
      </c>
      <c r="E1323">
        <f>INDEX(FactorTable!$B$2:$Y$301, MATCH(ROUND(MIN(300,MAX(1,D1323)),0), FactorTable!$A$2:$A$301,0), Skills!M22+1)</f>
        <v/>
      </c>
      <c r="F1323">
        <f>IF(Skills!N22=TRUE,(Skills!L22/10)*(E1323/1000),Skills!L22/10)+Skills!O22</f>
        <v/>
      </c>
      <c r="G1323">
        <f>Skills!G22*IF(Skills!H22&gt;0,Skills!I22/Skills!H22,1)</f>
        <v/>
      </c>
      <c r="H1323">
        <f>1-(1-Skills!J22/100)^Skills!K22</f>
        <v/>
      </c>
      <c r="I1323" t="inlineStr">
        <is>
          <t>1</t>
        </is>
      </c>
      <c r="J1323" t="inlineStr"/>
      <c r="K1323" t="inlineStr"/>
      <c r="L1323" t="inlineStr"/>
      <c r="M1323" t="inlineStr"/>
      <c r="N1323" t="inlineStr"/>
      <c r="O1323">
        <f>(1-Summary!$B$55)*T1323+Summary!$B$55*V1323</f>
        <v/>
      </c>
      <c r="P1323">
        <f>IF(B1336=0,0,O1323/B1336)</f>
        <v/>
      </c>
      <c r="Q1323" t="n">
        <v>0</v>
      </c>
      <c r="R1323" t="n">
        <v>0</v>
      </c>
      <c r="S1323">
        <f>IFERROR(O1323/N1323,0)</f>
        <v/>
      </c>
      <c r="T1323" t="n">
        <v>0</v>
      </c>
      <c r="V1323" t="n">
        <v>0</v>
      </c>
    </row>
    <row r="1325">
      <c r="A1325" t="inlineStr">
        <is>
          <t>Attack% Bucket Multiplier</t>
        </is>
      </c>
      <c r="B1325">
        <f>(1+(((C1314=TRUE)*F1314)+((C1320=TRUE)*(F1320-Calc!F19)))/100)</f>
        <v/>
      </c>
    </row>
    <row r="1326">
      <c r="A1326" t="inlineStr">
        <is>
          <t>Global Crit Rate Bonus %</t>
        </is>
      </c>
      <c r="B1326" t="n">
        <v>0</v>
      </c>
    </row>
    <row r="1327">
      <c r="A1327" t="inlineStr">
        <is>
          <t>Attack Speed Buff Bonus % (unused)</t>
        </is>
      </c>
      <c r="B1327" t="n">
        <v>0</v>
      </c>
    </row>
    <row r="1328">
      <c r="A1328" t="inlineStr">
        <is>
          <t>Actions Per Second</t>
        </is>
      </c>
      <c r="B1328">
        <f>1+MIN(150,150*(1-(1-(Inputs!$B$11+((C1318=TRUE)*(F1318-Calc!F17))+((C1319=TRUE)*(F1319-Calc!F18)))/150)*(1-B1327/150)))/100</f>
        <v/>
      </c>
    </row>
    <row r="1329">
      <c r="A1329" t="inlineStr">
        <is>
          <t>Skill + Buff Cast Rate</t>
        </is>
      </c>
      <c r="B1329">
        <f>IF(AND(Inputs!$B$38&lt;&gt;"pvp",Inputs!$B$43&gt;0),SUMPRODUCT((Skills!E2:E22=TRUE)*(C1303:C1323=TRUE)*R1303:R1323*Skills!F2:F22)/Inputs!$B$43,SUMPRODUCT((Skills!E2:E22=TRUE)*(C1303:C1323=TRUE)*Q1303:Q1323*Skills!F2:F22))</f>
        <v/>
      </c>
    </row>
    <row r="1330">
      <c r="A1330" t="inlineStr">
        <is>
          <t>Hook Bomber Casts Per Second</t>
        </is>
      </c>
      <c r="B1330">
        <f>MAX(0,B1328-B1329)</f>
        <v/>
      </c>
    </row>
    <row r="1331">
      <c r="A1331" t="inlineStr">
        <is>
          <t>Global Critical Damage Bonus % (unused)</t>
        </is>
      </c>
      <c r="B1331" t="n">
        <v>0</v>
      </c>
    </row>
    <row r="1332">
      <c r="A1332" t="inlineStr">
        <is>
          <t>Global Final Damage Bonus % (Serpent Scale + Crossbones + Time Leap + Speed Infusion)</t>
        </is>
      </c>
      <c r="B1332">
        <f>((C1306=TRUE)*F1306*((10+IF(Inputs!$B$3&gt;=94,5,0))/((10+IF(Inputs!$B$3&gt;=94,5,0))+5/(B1330*(1+IF(Inputs!$B$3&gt;=104,1,0))))))+((C1315=TRUE)*F1315)+((C1316=TRUE)*F1316)+((Inputs!$B$3&gt;=110)*20*(B1328-1))</f>
        <v/>
      </c>
    </row>
    <row r="1333">
      <c r="A1333" t="inlineStr">
        <is>
          <t>Buff-Casting Startup Delay (s, fixed-duration only)</t>
        </is>
      </c>
      <c r="B1333">
        <f>IF(AND(Inputs!$B$38&lt;&gt;"pvp",Inputs!$B$43&gt;0),SUMPRODUCT((Skills!T2:T22&gt;0)*(Skills!E2:E22=TRUE)*(C1303:C1323=TRUE))/B1328,0)</f>
        <v/>
      </c>
    </row>
    <row r="1334">
      <c r="A1334" t="inlineStr">
        <is>
          <t>Boss-Only Total DPS (this block's swept value)</t>
        </is>
      </c>
      <c r="B1334">
        <f>SUM(T1303:T1323)</f>
        <v/>
      </c>
    </row>
    <row r="1335">
      <c r="A1335" t="inlineStr">
        <is>
          <t>Normal-Only Total DPS (this block's swept value)</t>
        </is>
      </c>
      <c r="B1335">
        <f>SUM(V1303:V1323)</f>
        <v/>
      </c>
    </row>
    <row r="1336">
      <c r="A1336" s="5" t="inlineStr">
        <is>
          <t>TOTAL DPS</t>
        </is>
      </c>
      <c r="B1336" s="5">
        <f>SUM(O1303:O1323)</f>
        <v/>
      </c>
    </row>
    <row r="1339">
      <c r="A1339" s="5" t="inlineStr">
        <is>
          <t>Stat: CDR = 4.5s</t>
        </is>
      </c>
    </row>
    <row r="1340">
      <c r="A1340" s="9" t="inlineStr">
        <is>
          <t>Key</t>
        </is>
      </c>
      <c r="B1340" s="9" t="inlineStr">
        <is>
          <t>Name</t>
        </is>
      </c>
      <c r="C1340" s="9" t="inlineStr">
        <is>
          <t>Unlocked</t>
        </is>
      </c>
      <c r="D1340" s="9" t="inlineStr">
        <is>
          <t>InputLevel</t>
        </is>
      </c>
      <c r="E1340" s="9" t="inlineStr">
        <is>
          <t>Factor</t>
        </is>
      </c>
      <c r="F1340" s="9" t="inlineStr">
        <is>
          <t>CoefficientPercent</t>
        </is>
      </c>
      <c r="G1340" s="9" t="inlineStr">
        <is>
          <t>EffectiveHits</t>
        </is>
      </c>
      <c r="H1340" s="9" t="inlineStr">
        <is>
          <t>ProcProbability</t>
        </is>
      </c>
      <c r="I1340" s="9" t="inlineStr">
        <is>
          <t>MapleHeroMultiplier</t>
        </is>
      </c>
      <c r="J1340" s="9" t="inlineStr">
        <is>
          <t>BaseDamage</t>
        </is>
      </c>
      <c r="K1340" s="9" t="inlineStr">
        <is>
          <t>BaseHitDamage</t>
        </is>
      </c>
      <c r="L1340" s="9" t="inlineStr">
        <is>
          <t>NonCritAvg</t>
        </is>
      </c>
      <c r="M1340" s="9" t="inlineStr">
        <is>
          <t>CritAvg</t>
        </is>
      </c>
      <c r="N1340" s="9" t="inlineStr">
        <is>
          <t>ExpectedDamage(perHit)</t>
        </is>
      </c>
      <c r="O1340" s="9" t="inlineStr">
        <is>
          <t>DPS</t>
        </is>
      </c>
      <c r="P1340" s="9" t="inlineStr">
        <is>
          <t>% of Total</t>
        </is>
      </c>
      <c r="Q1340" s="9" t="inlineStr">
        <is>
          <t>InvCooldown</t>
        </is>
      </c>
      <c r="R1340" s="9" t="inlineStr">
        <is>
          <t>CastsInFight</t>
        </is>
      </c>
      <c r="S1340" s="9" t="inlineStr">
        <is>
          <t>HitRate(perSec)</t>
        </is>
      </c>
      <c r="U1340" t="inlineStr">
        <is>
          <t>helpers</t>
        </is>
      </c>
    </row>
    <row r="1341">
      <c r="A1341">
        <f>Skills!A2</f>
        <v/>
      </c>
      <c r="B1341">
        <f>Skills!B2</f>
        <v/>
      </c>
      <c r="C1341">
        <f>Inputs!$B$3&gt;=100</f>
        <v/>
      </c>
      <c r="D1341" t="inlineStr"/>
      <c r="E1341" t="inlineStr"/>
      <c r="F1341">
        <f>U1343+Skills!O2</f>
        <v/>
      </c>
      <c r="G1341">
        <f>Skills!G2*IF(Skills!H2&gt;0,Skills!I2/Skills!H2,1)</f>
        <v/>
      </c>
      <c r="H1341">
        <f>1-(1-Skills!J2/100)^Skills!K2</f>
        <v/>
      </c>
      <c r="I1341" t="inlineStr">
        <is>
          <t>1</t>
        </is>
      </c>
      <c r="J1341">
        <f>((Inputs!$B$6*(1+Inputs!$B$7/100))+(((Inputs!$B$12*(1+Inputs!$B$13/100))-(Inputs!$B$12*(1+Inputs!$B$13/100)))+0.25*(Inputs!$B$14-Inputs!$B$14))*(1+Inputs!$B$7/100))*(F1341/100)</f>
        <v/>
      </c>
      <c r="K1341">
        <f>J1341*(1+((Inputs!$B$12*(1+Inputs!$B$13/100))*0.01+Inputs!$B$14*0.0025)/100)*(1+Inputs!$B$15/100)*(1+Inputs!$B$16/100)*(5000/(6000+Inputs!$B$42*(1-(Inputs!$B$19+0)/100)))*(1+(Inputs!$B$24+((C1361=TRUE)*(F1361-Calc!F22))+B1370)/100)*(1+(IF(Skills!A2="HOOK_BOMBER",Inputs!$B$17+((C1360=TRUE)*(F1360-Calc!F21)),Inputs!$B$18+0))/100)*((1+(((C1352=TRUE)*F1352)+((C1358=TRUE)*(F1358-Calc!F19)))/100)*I1341)</f>
        <v/>
      </c>
      <c r="L1341">
        <f>K1341*(MIN(Inputs!$B$22+((C1359=TRUE)*(F1359-Calc!F20)),Inputs!$B$23+0)/100+(Inputs!$B$23+0)/100)/2</f>
        <v/>
      </c>
      <c r="M1341">
        <f>L1341*(1+(Inputs!$B$10+0+B1369)/100)</f>
        <v/>
      </c>
      <c r="N1341">
        <f>L1341*(1-MIN((Inputs!$B$9+((C1355=TRUE)*(F1355-Calc!F16))+B1364),100)/100)+M1341*(MIN((Inputs!$B$9+((C1355=TRUE)*(F1355-Calc!F16))+B1364),100)/100)</f>
        <v/>
      </c>
      <c r="O1341">
        <f>(1-Summary!$B$55)*T1341+Summary!$B$55*V1341</f>
        <v/>
      </c>
      <c r="P1341">
        <f>IF(B1374=0,0,O1341/B1374)</f>
        <v/>
      </c>
      <c r="Q1341" t="n">
        <v>0</v>
      </c>
      <c r="R1341" t="n">
        <v>0</v>
      </c>
      <c r="S1341">
        <f>IFERROR(O1341/N1341,0)</f>
        <v/>
      </c>
      <c r="T1341">
        <f>IF(C1341,(Skills!G2*N1341*B1368)*IF(Inputs!$B$38="pvp",1,1+(Inputs!$B$20+0+Skills!P2)/100),0)</f>
        <v/>
      </c>
      <c r="U1341">
        <f>MAX(0,(Inputs!$B$3-100)*3)+Inputs!$B$28+Inputs!$B$29</f>
        <v/>
      </c>
      <c r="V1341">
        <f>IF(C1341,(Skills!G2*N1341*B1368)*IF(Inputs!$B$38="pvp",1,(1+(Inputs!$B$21+Skills!Q2)/100)*(MIN((6+Inputs!$B$33),Inputs!$B$37))),0)</f>
        <v/>
      </c>
    </row>
    <row r="1342">
      <c r="A1342">
        <f>Skills!A3</f>
        <v/>
      </c>
      <c r="B1342">
        <f>Skills!B3</f>
        <v/>
      </c>
      <c r="C1342">
        <f>Inputs!$B$3&gt;=35</f>
        <v/>
      </c>
      <c r="D1342">
        <f>IF(Skills!C3=1,60+Inputs!$B$25+Inputs!$B$29,IF(Skills!C3=2,90+Inputs!$B$26+Inputs!$B$29,IF(Skills!C3=3,120+Inputs!$B$27+Inputs!$B$29,MAX(0,(Inputs!$B$3-100)*3)+Inputs!$B$28+Inputs!$B$29)))</f>
        <v/>
      </c>
      <c r="E1342">
        <f>INDEX(FactorTable!$B$2:$Y$301, MATCH(ROUND(MIN(300,MAX(1,D1342)),0), FactorTable!$A$2:$A$301,0), Skills!M3+1)</f>
        <v/>
      </c>
      <c r="F1342">
        <f>IF(Skills!N3=TRUE,(Skills!L3/10)*(E1342/1000),Skills!L3/10)+Skills!O3</f>
        <v/>
      </c>
      <c r="G1342">
        <f>Skills!G3*IF(Skills!H3&gt;0,Skills!I3/Skills!H3,1)</f>
        <v/>
      </c>
      <c r="H1342">
        <f>1-(1-Skills!J3/100)^Skills!K3</f>
        <v/>
      </c>
      <c r="I1342" t="inlineStr">
        <is>
          <t>1</t>
        </is>
      </c>
      <c r="J1342">
        <f>((Inputs!$B$6*(1+Inputs!$B$7/100))+(((Inputs!$B$12*(1+Inputs!$B$13/100))-(Inputs!$B$12*(1+Inputs!$B$13/100)))+0.25*(Inputs!$B$14-Inputs!$B$14))*(1+Inputs!$B$7/100))*(F1342/100)</f>
        <v/>
      </c>
      <c r="K1342">
        <f>J1342*(1+((Inputs!$B$12*(1+Inputs!$B$13/100))*0.01+Inputs!$B$14*0.0025)/100)*(1+Inputs!$B$15/100)*(1+Inputs!$B$16/100)*(5000/(6000+Inputs!$B$42*(1-(Inputs!$B$19+0)/100)))*(1+(Inputs!$B$24+((C1361=TRUE)*(F1361-Calc!F22))+B1370)/100)*(1+(IF(Skills!A3="HOOK_BOMBER",Inputs!$B$17+((C1360=TRUE)*(F1360-Calc!F21)),Inputs!$B$18+0))/100)*((1+(((C1352=TRUE)*F1352)+((C1358=TRUE)*(F1358-Calc!F19)))/100)*I1342)</f>
        <v/>
      </c>
      <c r="L1342">
        <f>K1342*(MIN(Inputs!$B$22+((C1359=TRUE)*(F1359-Calc!F20)),Inputs!$B$23+0)/100+(Inputs!$B$23+0)/100)/2</f>
        <v/>
      </c>
      <c r="M1342">
        <f>L1342*(1+(Inputs!$B$10+0+B1369)/100)</f>
        <v/>
      </c>
      <c r="N1342">
        <f>L1342*(1-MIN((Inputs!$B$9+((C1355=TRUE)*(F1355-Calc!F16))+B1364),100)/100)+M1342*(MIN((Inputs!$B$9+((C1355=TRUE)*(F1355-Calc!F16))+B1364),100)/100)</f>
        <v/>
      </c>
      <c r="O1342">
        <f>(1-Summary!$B$55)*T1342+Summary!$B$55*V1342</f>
        <v/>
      </c>
      <c r="P1342">
        <f>IF(B1374=0,0,O1342/B1374)</f>
        <v/>
      </c>
      <c r="Q1342" t="n">
        <v>0</v>
      </c>
      <c r="R1342" t="n">
        <v>0</v>
      </c>
      <c r="S1342">
        <f>IFERROR(O1342/N1342,0)</f>
        <v/>
      </c>
      <c r="T1342">
        <f>IF(C1342,(Skills!G3*H1342*N1342*B1368)*IF(Inputs!$B$38="pvp",1,1+(Inputs!$B$20+0+Skills!P3)/100),0)</f>
        <v/>
      </c>
      <c r="U1342">
        <f>INDEX(FactorTable!$B$2:$Y$301, MATCH(ROUND(MIN(300,MAX(1,U1341)),0), FactorTable!$A$2:$A$301,0), 22)</f>
        <v/>
      </c>
      <c r="V1342">
        <f>IF(C1342,(Skills!G3*H1342*N1342*B1368)*IF(Inputs!$B$38="pvp",1,(1+(Inputs!$B$21+Skills!Q3)/100)*(MIN(Skills!R3,Inputs!$B$37))),0)</f>
        <v/>
      </c>
    </row>
    <row r="1343">
      <c r="A1343">
        <f>Skills!A4</f>
        <v/>
      </c>
      <c r="B1343">
        <f>Skills!B4</f>
        <v/>
      </c>
      <c r="C1343">
        <f>Inputs!$B$3&gt;=60</f>
        <v/>
      </c>
      <c r="D1343">
        <f>IF(Skills!C4=1,60+Inputs!$B$25+Inputs!$B$29,IF(Skills!C4=2,90+Inputs!$B$26+Inputs!$B$29,IF(Skills!C4=3,120+Inputs!$B$27+Inputs!$B$29,MAX(0,(Inputs!$B$3-100)*3)+Inputs!$B$28+Inputs!$B$29)))</f>
        <v/>
      </c>
      <c r="E1343">
        <f>INDEX(FactorTable!$B$2:$Y$301, MATCH(ROUND(MIN(300,MAX(1,D1343)),0), FactorTable!$A$2:$A$301,0), Skills!M4+1)</f>
        <v/>
      </c>
      <c r="F1343">
        <f>IF(Skills!N4=TRUE,(Skills!L4/10)*(E1343/1000),Skills!L4/10)+Skills!O4</f>
        <v/>
      </c>
      <c r="G1343">
        <f>Skills!G4*IF(Skills!H4&gt;0,Skills!I4/Skills!H4,1)</f>
        <v/>
      </c>
      <c r="H1343">
        <f>1-(1-Skills!J4/100)^Skills!K4</f>
        <v/>
      </c>
      <c r="I1343" t="inlineStr">
        <is>
          <t>1</t>
        </is>
      </c>
      <c r="J1343">
        <f>((Inputs!$B$6*(1+Inputs!$B$7/100))+(((Inputs!$B$12*(1+Inputs!$B$13/100))-(Inputs!$B$12*(1+Inputs!$B$13/100)))+0.25*(Inputs!$B$14-Inputs!$B$14))*(1+Inputs!$B$7/100))*(F1343/100)</f>
        <v/>
      </c>
      <c r="K1343">
        <f>J1343*(1+((Inputs!$B$12*(1+Inputs!$B$13/100))*0.01+Inputs!$B$14*0.0025)/100)*(1+Inputs!$B$15/100)*(1+Inputs!$B$16/100)*(5000/(6000+Inputs!$B$42*(1-(Inputs!$B$19+0)/100)))*(1+(Inputs!$B$24+((C1361=TRUE)*(F1361-Calc!F22))+B1370)/100)*(1+1.0*IF(C1351=TRUE,F1351,0)/100)*(1+(IF(Skills!A4="HOOK_BOMBER",Inputs!$B$17+((C1360=TRUE)*(F1360-Calc!F21)),Inputs!$B$18+0))/100)*((1+(((C1352=TRUE)*F1352)+((C1358=TRUE)*(F1358-Calc!F19)))/100)*I1343)</f>
        <v/>
      </c>
      <c r="L1343">
        <f>K1343*(MIN(Inputs!$B$22+((C1359=TRUE)*(F1359-Calc!F20)),Inputs!$B$23+0)/100+(Inputs!$B$23+0)/100)/2</f>
        <v/>
      </c>
      <c r="M1343">
        <f>L1343*(1+(Inputs!$B$10+0+B1369)/100)</f>
        <v/>
      </c>
      <c r="N1343">
        <f>L1343*(1-MIN((Inputs!$B$9+((C1355=TRUE)*(F1355-Calc!F16))+B1364),100)/100)+M1343*(MIN((Inputs!$B$9+((C1355=TRUE)*(F1355-Calc!F16))+B1364),100)/100)</f>
        <v/>
      </c>
      <c r="O1343">
        <f>(1-Summary!$B$55)*T1343+Summary!$B$55*V1343</f>
        <v/>
      </c>
      <c r="P1343">
        <f>IF(B1374=0,0,O1343/B1374)</f>
        <v/>
      </c>
      <c r="Q1343" t="n">
        <v>0</v>
      </c>
      <c r="R1343" t="n">
        <v>0</v>
      </c>
      <c r="S1343">
        <f>IFERROR(O1343/N1343,0)</f>
        <v/>
      </c>
      <c r="T1343">
        <f>IF(C1343,(Skills!G4*H1343*N1343*B1368)*IF(Inputs!$B$38="pvp",1,1+(Inputs!$B$20+0+Skills!P4)/100),0)</f>
        <v/>
      </c>
      <c r="U1343">
        <f>290*U1342/1000</f>
        <v/>
      </c>
      <c r="V1343">
        <f>IF(C1343,(Skills!G4*H1343*N1343*B1368)*IF(Inputs!$B$38="pvp",1,(1+(Inputs!$B$21+Skills!Q4)/100)*(MIN(Skills!R4,Inputs!$B$37))),0)</f>
        <v/>
      </c>
    </row>
    <row r="1344">
      <c r="A1344">
        <f>Skills!A5</f>
        <v/>
      </c>
      <c r="B1344">
        <f>Skills!B5</f>
        <v/>
      </c>
      <c r="C1344">
        <f>Inputs!$B$3&gt;=60</f>
        <v/>
      </c>
      <c r="D1344">
        <f>IF(Skills!C5=1,60+Inputs!$B$25+Inputs!$B$29,IF(Skills!C5=2,90+Inputs!$B$26+Inputs!$B$29,IF(Skills!C5=3,120+Inputs!$B$27+Inputs!$B$29,MAX(0,(Inputs!$B$3-100)*3)+Inputs!$B$28+Inputs!$B$29)))</f>
        <v/>
      </c>
      <c r="E1344">
        <f>INDEX(FactorTable!$B$2:$Y$301, MATCH(ROUND(MIN(300,MAX(1,D1344)),0), FactorTable!$A$2:$A$301,0), Skills!M5+1)</f>
        <v/>
      </c>
      <c r="F1344">
        <f>IF(Skills!N5=TRUE,(Skills!L5/10)*(E1344/1000),Skills!L5/10)+Skills!O5</f>
        <v/>
      </c>
      <c r="G1344">
        <f>Skills!G5*IF(Skills!H5&gt;0,Skills!I5/Skills!H5,1)</f>
        <v/>
      </c>
      <c r="H1344">
        <f>1-(1-Skills!J5/100)^Skills!K5</f>
        <v/>
      </c>
      <c r="I1344" t="inlineStr">
        <is>
          <t>1</t>
        </is>
      </c>
      <c r="J1344" t="inlineStr"/>
      <c r="K1344" t="inlineStr"/>
      <c r="L1344" t="inlineStr"/>
      <c r="M1344" t="inlineStr"/>
      <c r="N1344" t="inlineStr"/>
      <c r="O1344">
        <f>(1-Summary!$B$55)*T1344+Summary!$B$55*V1344</f>
        <v/>
      </c>
      <c r="P1344">
        <f>IF(B1374=0,0,O1344/B1374)</f>
        <v/>
      </c>
      <c r="Q1344" t="n">
        <v>0</v>
      </c>
      <c r="R1344" t="n">
        <v>0</v>
      </c>
      <c r="S1344">
        <f>IFERROR(O1344/N1344,0)</f>
        <v/>
      </c>
      <c r="T1344" t="n">
        <v>0</v>
      </c>
      <c r="V1344" t="n">
        <v>0</v>
      </c>
    </row>
    <row r="1345">
      <c r="A1345">
        <f>Skills!A6</f>
        <v/>
      </c>
      <c r="B1345">
        <f>Skills!B6</f>
        <v/>
      </c>
      <c r="C1345">
        <f>Inputs!$B$3&gt;=63</f>
        <v/>
      </c>
      <c r="D1345">
        <f>IF(Skills!C6=1,60+Inputs!$B$25+Inputs!$B$29,IF(Skills!C6=2,90+Inputs!$B$26+Inputs!$B$29,IF(Skills!C6=3,120+Inputs!$B$27+Inputs!$B$29,MAX(0,(Inputs!$B$3-100)*3)+Inputs!$B$28+Inputs!$B$29)))</f>
        <v/>
      </c>
      <c r="E1345">
        <f>INDEX(FactorTable!$B$2:$Y$301, MATCH(ROUND(MIN(300,MAX(1,D1345)),0), FactorTable!$A$2:$A$301,0), Skills!M6+1)</f>
        <v/>
      </c>
      <c r="F1345">
        <f>IF(Skills!N6=TRUE,(Skills!L6/10)*(E1345/1000),Skills!L6/10)+Skills!O6</f>
        <v/>
      </c>
      <c r="G1345">
        <f>Skills!G6*IF(Skills!H6&gt;0,Skills!I6/Skills!H6,1)</f>
        <v/>
      </c>
      <c r="H1345">
        <f>1-(1-Skills!J6/100)^Skills!K6</f>
        <v/>
      </c>
      <c r="I1345" t="inlineStr">
        <is>
          <t>1</t>
        </is>
      </c>
      <c r="J1345">
        <f>((Inputs!$B$6*(1+Inputs!$B$7/100))+(((Inputs!$B$12*(1+Inputs!$B$13/100))-(Inputs!$B$12*(1+Inputs!$B$13/100)))+0.25*(Inputs!$B$14-Inputs!$B$14))*(1+Inputs!$B$7/100))*(F1345/100)</f>
        <v/>
      </c>
      <c r="K1345">
        <f>J1345*(1+((Inputs!$B$12*(1+Inputs!$B$13/100))*0.01+Inputs!$B$14*0.0025)/100)*(1+Inputs!$B$15/100)*(1+Inputs!$B$16/100)*(5000/(6000+Inputs!$B$42*(1-(Inputs!$B$19+0)/100)))*(1+(Inputs!$B$24+((C1361=TRUE)*(F1361-Calc!F22))+B1370)/100)*(1+(IF(Skills!A6="HOOK_BOMBER",Inputs!$B$17+((C1360=TRUE)*(F1360-Calc!F21)),Inputs!$B$18+0))/100)*((1+(((C1352=TRUE)*F1352)+((C1358=TRUE)*(F1358-Calc!F19)))/100)*I1345)</f>
        <v/>
      </c>
      <c r="L1345">
        <f>K1345*(MIN(Inputs!$B$22+((C1359=TRUE)*(F1359-Calc!F20)),Inputs!$B$23+0)/100+(Inputs!$B$23+0)/100)/2</f>
        <v/>
      </c>
      <c r="M1345">
        <f>L1345*(1+(Inputs!$B$10+0+B1369)/100)</f>
        <v/>
      </c>
      <c r="N1345">
        <f>L1345*(1-MIN((Inputs!$B$9+((C1355=TRUE)*(F1355-Calc!F16))+B1364),100)/100)+M1345*(MIN((Inputs!$B$9+((C1355=TRUE)*(F1355-Calc!F16))+B1364),100)/100)</f>
        <v/>
      </c>
      <c r="O1345">
        <f>(1-Summary!$B$55)*T1345+Summary!$B$55*V1345</f>
        <v/>
      </c>
      <c r="P1345">
        <f>IF(B1374=0,0,O1345/B1374)</f>
        <v/>
      </c>
      <c r="Q1345">
        <f>IFERROR(1/IF(Inputs!$B$38="pvp",15,MAX(0.1,Skills!D6-IF(Skills!E6=TRUE,4.5,0))),0)</f>
        <v/>
      </c>
      <c r="R1345">
        <f>IF(AND(Inputs!$B$38&lt;&gt;"pvp",Inputs!$B$43&gt;0),IF(MAX(0,Inputs!$B$43-B1371)&lt;=0,0,(INT(MAX(0,Inputs!$B$43-B1371)/IF(Inputs!$B$38="pvp",15,MAX(0.1,Skills!D6-IF(Skills!E6=TRUE,4.5,0))))+1)),0)</f>
        <v/>
      </c>
      <c r="S1345">
        <f>IFERROR(O1345/N1345,0)</f>
        <v/>
      </c>
      <c r="T1345">
        <f>IF(C1345,(H1345*N1345*IF(AND(Inputs!$B$38&lt;&gt;"pvp",Inputs!$B$43&gt;0),((Skills!G6*((R1345-1)*IF(Skills!H6&gt;0,Skills!I6/Skills!H6,1)+IF(Skills!H6&gt;0,MIN(Skills!I6,MAX(0,MAX(0,Inputs!$B$43-B1371)-((R1345-1)*IF(Inputs!$B$38="pvp",15,MAX(0.1,Skills!D6-IF(Skills!E6=TRUE,4.5,0))))))/Skills!H6,1)))/Inputs!$B$43),G1345*Q1345))*IF(Inputs!$B$38="pvp",1,1+(Inputs!$B$20+0+Skills!P6)/100),0)</f>
        <v/>
      </c>
      <c r="V1345">
        <f>IF(C1345,(H1345*N1345*IF(AND(Inputs!$B$38&lt;&gt;"pvp",Inputs!$B$43&gt;0),((Skills!G6*((R1345-1)*IF(Skills!H6&gt;0,Skills!I6/Skills!H6,1)+IF(Skills!H6&gt;0,MIN(Skills!I6,MAX(0,MAX(0,Inputs!$B$43-B1371)-((R1345-1)*IF(Inputs!$B$38="pvp",15,MAX(0.1,Skills!D6-IF(Skills!E6=TRUE,4.5,0))))))/Skills!H6,1)))/Inputs!$B$43),G1345*Q1345))*IF(Inputs!$B$38="pvp",1,(1+(Inputs!$B$21+Skills!Q6)/100)*(MIN(Skills!R6,Inputs!$B$37))),0)</f>
        <v/>
      </c>
    </row>
    <row r="1346">
      <c r="A1346">
        <f>Skills!A7</f>
        <v/>
      </c>
      <c r="B1346">
        <f>Skills!B7</f>
        <v/>
      </c>
      <c r="C1346">
        <f>Inputs!$B$3&gt;=100</f>
        <v/>
      </c>
      <c r="D1346">
        <f>IF(Skills!C7=1,60+Inputs!$B$25+Inputs!$B$29,IF(Skills!C7=2,90+Inputs!$B$26+Inputs!$B$29,IF(Skills!C7=3,120+Inputs!$B$27+Inputs!$B$29,MAX(0,(Inputs!$B$3-100)*3)+Inputs!$B$28+Inputs!$B$29)))</f>
        <v/>
      </c>
      <c r="E1346">
        <f>INDEX(FactorTable!$B$2:$Y$301, MATCH(ROUND(MIN(300,MAX(1,D1346)),0), FactorTable!$A$2:$A$301,0), Skills!M7+1)</f>
        <v/>
      </c>
      <c r="F1346">
        <f>IF(Skills!N7=TRUE,(Skills!L7/10)*(E1346/1000),Skills!L7/10)+Skills!O7</f>
        <v/>
      </c>
      <c r="G1346">
        <f>Skills!G7*IF(Skills!H7&gt;0,Skills!I7/Skills!H7,1)</f>
        <v/>
      </c>
      <c r="H1346">
        <f>1-(1-Skills!J7/100)^Skills!K7</f>
        <v/>
      </c>
      <c r="I1346" t="inlineStr">
        <is>
          <t>1</t>
        </is>
      </c>
      <c r="J1346">
        <f>((Inputs!$B$6*(1+Inputs!$B$7/100))+(((Inputs!$B$12*(1+Inputs!$B$13/100))-(Inputs!$B$12*(1+Inputs!$B$13/100)))+0.25*(Inputs!$B$14-Inputs!$B$14))*(1+Inputs!$B$7/100))*(F1346/100)</f>
        <v/>
      </c>
      <c r="K1346">
        <f>J1346*(1+((Inputs!$B$12*(1+Inputs!$B$13/100))*0.01+Inputs!$B$14*0.0025)/100)*(1+Inputs!$B$15/100)*(1+Inputs!$B$16/100)*(5000/(6000+Inputs!$B$42*(1-(Inputs!$B$19+0)/100)))*(1+(Inputs!$B$24+((C1361=TRUE)*(F1361-Calc!F22))+B1370)/100)*(1+(IF(Skills!A7="HOOK_BOMBER",Inputs!$B$17+((C1360=TRUE)*(F1360-Calc!F21)),Inputs!$B$18+0))/100)*((1+(((C1352=TRUE)*F1352)+((C1358=TRUE)*(F1358-Calc!F19)))/100)*I1346)</f>
        <v/>
      </c>
      <c r="L1346">
        <f>K1346*(MIN(Inputs!$B$22+((C1359=TRUE)*(F1359-Calc!F20)),Inputs!$B$23+0)/100+(Inputs!$B$23+0)/100)/2</f>
        <v/>
      </c>
      <c r="M1346">
        <f>L1346*(1+(Inputs!$B$10+0+B1369)/100)</f>
        <v/>
      </c>
      <c r="N1346">
        <f>L1346*(1-MIN((Inputs!$B$9+((C1355=TRUE)*(F1355-Calc!F16))+B1364),100)/100)+M1346*(MIN((Inputs!$B$9+((C1355=TRUE)*(F1355-Calc!F16))+B1364),100)/100)</f>
        <v/>
      </c>
      <c r="O1346">
        <f>(1-Summary!$B$55)*T1346+Summary!$B$55*V1346</f>
        <v/>
      </c>
      <c r="P1346">
        <f>IF(B1374=0,0,O1346/B1374)</f>
        <v/>
      </c>
      <c r="Q1346">
        <f>IFERROR(1/IF(Inputs!$B$38="pvp",15,MAX(0.1,Skills!D7-IF(Skills!E7=TRUE,4.5,0))),0)</f>
        <v/>
      </c>
      <c r="R1346">
        <f>IF(AND(Inputs!$B$38&lt;&gt;"pvp",Inputs!$B$43&gt;0),IF(MAX(0,Inputs!$B$43-B1371)&lt;=0,0,(INT(MAX(0,Inputs!$B$43-B1371)/IF(Inputs!$B$38="pvp",15,MAX(0.1,Skills!D7-IF(Skills!E7=TRUE,4.5,0))))+1)),0)</f>
        <v/>
      </c>
      <c r="S1346">
        <f>IFERROR(O1346/N1346,0)</f>
        <v/>
      </c>
      <c r="T1346">
        <f>IF(C1346,(H1346*N1346*IF(AND(Inputs!$B$38&lt;&gt;"pvp",Inputs!$B$43&gt;0),((Skills!G7*((R1346-1)*IF(Skills!H7&gt;0,Skills!I7/Skills!H7,1)+IF(Skills!H7&gt;0,MIN(Skills!I7,MAX(0,MAX(0,Inputs!$B$43-B1371)-((R1346-1)*IF(Inputs!$B$38="pvp",15,MAX(0.1,Skills!D7-IF(Skills!E7=TRUE,4.5,0))))))/Skills!H7,1)))/Inputs!$B$43),G1346*Q1346))*IF(Inputs!$B$38="pvp",1,1+(Inputs!$B$20+0+Skills!P7)/100),0)</f>
        <v/>
      </c>
      <c r="V1346">
        <f>IF(C1346,(H1346*N1346*IF(AND(Inputs!$B$38&lt;&gt;"pvp",Inputs!$B$43&gt;0),((Skills!G7*((R1346-1)*IF(Skills!H7&gt;0,Skills!I7/Skills!H7,1)+IF(Skills!H7&gt;0,MIN(Skills!I7,MAX(0,MAX(0,Inputs!$B$43-B1371)-((R1346-1)*IF(Inputs!$B$38="pvp",15,MAX(0.1,Skills!D7-IF(Skills!E7=TRUE,4.5,0))))))/Skills!H7,1)))/Inputs!$B$43),G1346*Q1346))*IF(Inputs!$B$38="pvp",1,(1+(Inputs!$B$21+Skills!Q7)/100)*(MIN(Skills!R7,Inputs!$B$37))),0)</f>
        <v/>
      </c>
    </row>
    <row r="1347">
      <c r="A1347">
        <f>Skills!A8</f>
        <v/>
      </c>
      <c r="B1347">
        <f>Skills!B8</f>
        <v/>
      </c>
      <c r="C1347">
        <f>Inputs!$B$3&gt;=110</f>
        <v/>
      </c>
      <c r="D1347">
        <f>IF(Skills!C8=1,60+Inputs!$B$25+Inputs!$B$29,IF(Skills!C8=2,90+Inputs!$B$26+Inputs!$B$29,IF(Skills!C8=3,120+Inputs!$B$27+Inputs!$B$29,MAX(0,(Inputs!$B$3-100)*3)+Inputs!$B$28+Inputs!$B$29)))</f>
        <v/>
      </c>
      <c r="E1347">
        <f>INDEX(FactorTable!$B$2:$Y$301, MATCH(ROUND(MIN(300,MAX(1,D1347)),0), FactorTable!$A$2:$A$301,0), Skills!M8+1)</f>
        <v/>
      </c>
      <c r="F1347">
        <f>IF(Skills!N8=TRUE,(Skills!L8/10)*(E1347/1000),Skills!L8/10)+Skills!O8</f>
        <v/>
      </c>
      <c r="G1347">
        <f>Skills!G8*IF(Skills!H8&gt;0,Skills!I8/Skills!H8,1)</f>
        <v/>
      </c>
      <c r="H1347">
        <f>1-(1-Skills!J8/100)^Skills!K8</f>
        <v/>
      </c>
      <c r="I1347" t="inlineStr">
        <is>
          <t>1</t>
        </is>
      </c>
      <c r="J1347">
        <f>((Inputs!$B$6*(1+Inputs!$B$7/100))+(((Inputs!$B$12*(1+Inputs!$B$13/100))-(Inputs!$B$12*(1+Inputs!$B$13/100)))+0.25*(Inputs!$B$14-Inputs!$B$14))*(1+Inputs!$B$7/100))*(F1347/100)</f>
        <v/>
      </c>
      <c r="K1347">
        <f>J1347*(1+((Inputs!$B$12*(1+Inputs!$B$13/100))*0.01+Inputs!$B$14*0.0025)/100)*(1+Inputs!$B$15/100)*(1+Inputs!$B$16/100)*(5000/(6000+Inputs!$B$42*(1-(Inputs!$B$19+0)/100)))*(1+(Inputs!$B$24+((C1361=TRUE)*(F1361-Calc!F22))+B1370)/100)*(1+(IF(Skills!A8="HOOK_BOMBER",Inputs!$B$17+((C1360=TRUE)*(F1360-Calc!F21)),Inputs!$B$18+0))/100)*((1+(((C1352=TRUE)*F1352)+((C1358=TRUE)*(F1358-Calc!F19)))/100)*I1347)</f>
        <v/>
      </c>
      <c r="L1347">
        <f>K1347*(MIN(Inputs!$B$22+((C1359=TRUE)*(F1359-Calc!F20)),Inputs!$B$23+0)/100+(Inputs!$B$23+0)/100)/2</f>
        <v/>
      </c>
      <c r="M1347">
        <f>L1347*(1+(Inputs!$B$10+0+B1369)/100)</f>
        <v/>
      </c>
      <c r="N1347">
        <f>L1347*(1-MIN((Inputs!$B$9+((C1355=TRUE)*(F1355-Calc!F16))+B1364),100)/100)+M1347*(MIN((Inputs!$B$9+((C1355=TRUE)*(F1355-Calc!F16))+B1364),100)/100)</f>
        <v/>
      </c>
      <c r="O1347">
        <f>(1-Summary!$B$55)*T1347+Summary!$B$55*V1347</f>
        <v/>
      </c>
      <c r="P1347">
        <f>IF(B1374=0,0,O1347/B1374)</f>
        <v/>
      </c>
      <c r="Q1347">
        <f>IFERROR(1/IF(Inputs!$B$38="pvp",15,MAX(0.1,Skills!D8-IF(Skills!E8=TRUE,4.5,0))),0)</f>
        <v/>
      </c>
      <c r="R1347">
        <f>IF(AND(Inputs!$B$38&lt;&gt;"pvp",Inputs!$B$43&gt;0),IF(MAX(0,Inputs!$B$43-B1371)&lt;=0,0,(INT(MAX(0,Inputs!$B$43-B1371)/IF(Inputs!$B$38="pvp",15,MAX(0.1,Skills!D8-IF(Skills!E8=TRUE,4.5,0))))+1)),0)</f>
        <v/>
      </c>
      <c r="S1347">
        <f>IFERROR(O1347/N1347,0)</f>
        <v/>
      </c>
      <c r="T1347">
        <f>IF(C1347,(H1347*N1347*IF(AND(Inputs!$B$38&lt;&gt;"pvp",Inputs!$B$43&gt;0),((Skills!G8*((R1347-1)*IF(Skills!H8&gt;0,Skills!I8/Skills!H8,1)+IF(Skills!H8&gt;0,MIN(Skills!I8,MAX(0,MAX(0,Inputs!$B$43-B1371)-((R1347-1)*IF(Inputs!$B$38="pvp",15,MAX(0.1,Skills!D8-IF(Skills!E8=TRUE,4.5,0))))))/Skills!H8,1)))/Inputs!$B$43),G1347*Q1347))*IF(Inputs!$B$38="pvp",1,1+(Inputs!$B$20+0+Skills!P8)/100),0)</f>
        <v/>
      </c>
      <c r="V1347">
        <f>IF(C1347,(H1347*N1347*IF(AND(Inputs!$B$38&lt;&gt;"pvp",Inputs!$B$43&gt;0),((Skills!G8*((R1347-1)*IF(Skills!H8&gt;0,Skills!I8/Skills!H8,1)+IF(Skills!H8&gt;0,MIN(Skills!I8,MAX(0,MAX(0,Inputs!$B$43-B1371)-((R1347-1)*IF(Inputs!$B$38="pvp",15,MAX(0.1,Skills!D8-IF(Skills!E8=TRUE,4.5,0))))))/Skills!H8,1)))/Inputs!$B$43),G1347*Q1347))*IF(Inputs!$B$38="pvp",1,(1+(Inputs!$B$21+Skills!Q8)/100)*(MIN(Skills!R8,Inputs!$B$37))),0)</f>
        <v/>
      </c>
    </row>
    <row r="1348">
      <c r="A1348">
        <f>Skills!A9</f>
        <v/>
      </c>
      <c r="B1348">
        <f>Skills!B9</f>
        <v/>
      </c>
      <c r="C1348">
        <f>Inputs!$B$3&gt;=110</f>
        <v/>
      </c>
      <c r="D1348">
        <f>IF(Skills!C9=1,60+Inputs!$B$25+Inputs!$B$29,IF(Skills!C9=2,90+Inputs!$B$26+Inputs!$B$29,IF(Skills!C9=3,120+Inputs!$B$27+Inputs!$B$29,MAX(0,(Inputs!$B$3-100)*3)+Inputs!$B$28+Inputs!$B$29)))</f>
        <v/>
      </c>
      <c r="E1348">
        <f>INDEX(FactorTable!$B$2:$Y$301, MATCH(ROUND(MIN(300,MAX(1,D1348)),0), FactorTable!$A$2:$A$301,0), Skills!M9+1)</f>
        <v/>
      </c>
      <c r="F1348">
        <f>IF(Skills!N9=TRUE,(Skills!L9/10)*(E1348/1000),Skills!L9/10)+Skills!O9</f>
        <v/>
      </c>
      <c r="G1348">
        <f>Skills!G9*IF(Skills!H9&gt;0,Skills!I9/Skills!H9,1)</f>
        <v/>
      </c>
      <c r="H1348">
        <f>1-(1-Skills!J9/100)^Skills!K9</f>
        <v/>
      </c>
      <c r="I1348" t="inlineStr">
        <is>
          <t>1</t>
        </is>
      </c>
      <c r="J1348">
        <f>((Inputs!$B$6*(1+Inputs!$B$7/100))+(((Inputs!$B$12*(1+Inputs!$B$13/100))-(Inputs!$B$12*(1+Inputs!$B$13/100)))+0.25*(Inputs!$B$14-Inputs!$B$14))*(1+Inputs!$B$7/100))*(F1348/100)</f>
        <v/>
      </c>
      <c r="K1348">
        <f>J1348*(1+((Inputs!$B$12*(1+Inputs!$B$13/100))*0.01+Inputs!$B$14*0.0025)/100)*(1+Inputs!$B$15/100)*(1+Inputs!$B$16/100)*(5000/(6000+Inputs!$B$42*(1-(Inputs!$B$19+0)/100)))*(1+(Inputs!$B$24+((C1361=TRUE)*(F1361-Calc!F22))+B1370)/100)*(1+(IF(Skills!A9="HOOK_BOMBER",Inputs!$B$17+((C1360=TRUE)*(F1360-Calc!F21)),Inputs!$B$18+0))/100)*((1+(((C1352=TRUE)*F1352)+((C1358=TRUE)*(F1358-Calc!F19)))/100)*I1348)</f>
        <v/>
      </c>
      <c r="L1348">
        <f>K1348*(MIN(Inputs!$B$22+((C1359=TRUE)*(F1359-Calc!F20)),Inputs!$B$23+0)/100+(Inputs!$B$23+0)/100)/2</f>
        <v/>
      </c>
      <c r="M1348">
        <f>L1348*(1+(Inputs!$B$10+0+B1369)/100)</f>
        <v/>
      </c>
      <c r="N1348">
        <f>L1348*(1-MIN((Inputs!$B$9+((C1355=TRUE)*(F1355-Calc!F16))+B1364),100)/100)+M1348*(MIN((Inputs!$B$9+((C1355=TRUE)*(F1355-Calc!F16))+B1364),100)/100)</f>
        <v/>
      </c>
      <c r="O1348">
        <f>(1-Summary!$B$55)*T1348+Summary!$B$55*V1348</f>
        <v/>
      </c>
      <c r="P1348">
        <f>IF(B1374=0,0,O1348/B1374)</f>
        <v/>
      </c>
      <c r="Q1348">
        <f>IFERROR(1/IF(Inputs!$B$38="pvp",15,MAX(0.1,Skills!D9-IF(Skills!E9=TRUE,4.5,0))),0)</f>
        <v/>
      </c>
      <c r="R1348">
        <f>IF(AND(Inputs!$B$38&lt;&gt;"pvp",Inputs!$B$43&gt;0),IF(MAX(0,Inputs!$B$43-B1371)&lt;=0,0,(INT(MAX(0,Inputs!$B$43-B1371)/IF(Inputs!$B$38="pvp",15,MAX(0.1,Skills!D9-IF(Skills!E9=TRUE,4.5,0))))+1)),0)</f>
        <v/>
      </c>
      <c r="S1348">
        <f>IFERROR(O1348/N1348,0)</f>
        <v/>
      </c>
      <c r="T1348">
        <f>IF(C1348,(H1348*N1348*IF(AND(Inputs!$B$38&lt;&gt;"pvp",Inputs!$B$43&gt;0),((Skills!G9*((R1348-1)*IF(Skills!H9&gt;0,Skills!I9/Skills!H9,1)+IF(Skills!H9&gt;0,MIN(Skills!I9,MAX(0,MAX(0,Inputs!$B$43-B1371)-((R1348-1)*IF(Inputs!$B$38="pvp",15,MAX(0.1,Skills!D9-IF(Skills!E9=TRUE,4.5,0))))))/Skills!H9,1)))/Inputs!$B$43),G1348*Q1348))*IF(Inputs!$B$38="pvp",1,1+(Inputs!$B$20+0+Skills!P9)/100),0)</f>
        <v/>
      </c>
      <c r="V1348">
        <f>IF(C1348,(H1348*N1348*IF(AND(Inputs!$B$38&lt;&gt;"pvp",Inputs!$B$43&gt;0),((Skills!G9*((R1348-1)*IF(Skills!H9&gt;0,Skills!I9/Skills!H9,1)+IF(Skills!H9&gt;0,MIN(Skills!I9,MAX(0,MAX(0,Inputs!$B$43-B1371)-((R1348-1)*IF(Inputs!$B$38="pvp",15,MAX(0.1,Skills!D9-IF(Skills!E9=TRUE,4.5,0))))))/Skills!H9,1)))/Inputs!$B$43),G1348*Q1348))*IF(Inputs!$B$38="pvp",1,(1+(Inputs!$B$21+Skills!Q9)/100)*(MIN(Skills!R9,Inputs!$B$37))),0)</f>
        <v/>
      </c>
    </row>
    <row r="1349">
      <c r="A1349">
        <f>Skills!A10</f>
        <v/>
      </c>
      <c r="B1349">
        <f>Skills!B10</f>
        <v/>
      </c>
      <c r="C1349">
        <f>Inputs!$B$3&gt;=103</f>
        <v/>
      </c>
      <c r="D1349">
        <f>IF(Skills!C10=1,60+Inputs!$B$25+Inputs!$B$29,IF(Skills!C10=2,90+Inputs!$B$26+Inputs!$B$29,IF(Skills!C10=3,120+Inputs!$B$27+Inputs!$B$29,MAX(0,(Inputs!$B$3-100)*3)+Inputs!$B$28+Inputs!$B$29)))</f>
        <v/>
      </c>
      <c r="E1349">
        <f>INDEX(FactorTable!$B$2:$Y$301, MATCH(ROUND(MIN(300,MAX(1,D1349)),0), FactorTable!$A$2:$A$301,0), Skills!M10+1)</f>
        <v/>
      </c>
      <c r="F1349">
        <f>IF(Skills!N10=TRUE,(Skills!L10/10)*(E1349/1000),Skills!L10/10)+Skills!O10</f>
        <v/>
      </c>
      <c r="G1349">
        <f>Skills!G10*IF(Skills!H10&gt;0,Skills!I10/Skills!H10,1)</f>
        <v/>
      </c>
      <c r="H1349">
        <f>1-(1-Skills!J10/100)^Skills!K10</f>
        <v/>
      </c>
      <c r="I1349" t="inlineStr">
        <is>
          <t>1</t>
        </is>
      </c>
      <c r="J1349">
        <f>((Inputs!$B$6*(1+Inputs!$B$7/100))+(((Inputs!$B$12*(1+Inputs!$B$13/100))-(Inputs!$B$12*(1+Inputs!$B$13/100)))+0.25*(Inputs!$B$14-Inputs!$B$14))*(1+Inputs!$B$7/100))*(F1349/100)</f>
        <v/>
      </c>
      <c r="K1349">
        <f>J1349*(1+((Inputs!$B$12*(1+Inputs!$B$13/100))*0.01+Inputs!$B$14*0.0025)/100)*(1+Inputs!$B$15/100)*(1+Inputs!$B$16/100)*(5000/(6000+Inputs!$B$42*(1-(Inputs!$B$19+0)/100)))*(1+(Inputs!$B$24+((C1361=TRUE)*(F1361-Calc!F22))+B1370)/100)*(1+(IF(Skills!A10="HOOK_BOMBER",Inputs!$B$17+((C1360=TRUE)*(F1360-Calc!F21)),Inputs!$B$18+0))/100)*((1+(((C1352=TRUE)*F1352)+((C1358=TRUE)*(F1358-Calc!F19)))/100)*I1349)</f>
        <v/>
      </c>
      <c r="L1349">
        <f>K1349*(MIN(Inputs!$B$22+((C1359=TRUE)*(F1359-Calc!F20)),Inputs!$B$23+0)/100+(Inputs!$B$23+0)/100)/2</f>
        <v/>
      </c>
      <c r="M1349">
        <f>L1349*(1+(Inputs!$B$10+0+B1369)/100)</f>
        <v/>
      </c>
      <c r="N1349">
        <f>L1349*(1-MIN((Inputs!$B$9+((C1355=TRUE)*(F1355-Calc!F16))+B1364),100)/100)+M1349*(MIN((Inputs!$B$9+((C1355=TRUE)*(F1355-Calc!F16))+B1364),100)/100)</f>
        <v/>
      </c>
      <c r="O1349">
        <f>(1-Summary!$B$55)*T1349+Summary!$B$55*V1349</f>
        <v/>
      </c>
      <c r="P1349">
        <f>IF(B1374=0,0,O1349/B1374)</f>
        <v/>
      </c>
      <c r="Q1349">
        <f>IFERROR(1/IF(Inputs!$B$38="pvp",15,MAX(0.1,Skills!D10-IF(Skills!E10=TRUE,4.5,0))),0)</f>
        <v/>
      </c>
      <c r="R1349">
        <f>IF(AND(Inputs!$B$38&lt;&gt;"pvp",Inputs!$B$43&gt;0),IF(MAX(0,Inputs!$B$43-B1371)&lt;=0,0,(INT(MAX(0,Inputs!$B$43-B1371)/IF(Inputs!$B$38="pvp",15,MAX(0.1,Skills!D10-IF(Skills!E10=TRUE,4.5,0))))+1)),0)</f>
        <v/>
      </c>
      <c r="S1349">
        <f>IFERROR(O1349/N1349,0)</f>
        <v/>
      </c>
      <c r="T1349">
        <f>IF(C1349,(H1349*N1349*IF(AND(Inputs!$B$38&lt;&gt;"pvp",Inputs!$B$43&gt;0),((Skills!G10*((R1349-1)*IF(Skills!H10&gt;0,Skills!I10/Skills!H10,1)+IF(Skills!H10&gt;0,MIN(Skills!I10,MAX(0,MAX(0,Inputs!$B$43-B1371)-((R1349-1)*IF(Inputs!$B$38="pvp",15,MAX(0.1,Skills!D10-IF(Skills!E10=TRUE,4.5,0))))))/Skills!H10,1)))/Inputs!$B$43),G1349*Q1349))*IF(Inputs!$B$38="pvp",1,1+(Inputs!$B$20+0+Skills!P10)/100),0)</f>
        <v/>
      </c>
      <c r="V1349">
        <f>IF(C1349,(H1349*N1349*IF(AND(Inputs!$B$38&lt;&gt;"pvp",Inputs!$B$43&gt;0),((Skills!G10*((R1349-1)*IF(Skills!H10&gt;0,Skills!I10/Skills!H10,1)+IF(Skills!H10&gt;0,MIN(Skills!I10,MAX(0,MAX(0,Inputs!$B$43-B1371)-((R1349-1)*IF(Inputs!$B$38="pvp",15,MAX(0.1,Skills!D10-IF(Skills!E10=TRUE,4.5,0))))))/Skills!H10,1)))/Inputs!$B$43),G1349*Q1349))*IF(Inputs!$B$38="pvp",1,(1+(Inputs!$B$21+Skills!Q10)/100)*(MIN(Skills!R10,Inputs!$B$37))),0)</f>
        <v/>
      </c>
    </row>
    <row r="1350">
      <c r="A1350">
        <f>Skills!A11</f>
        <v/>
      </c>
      <c r="B1350">
        <f>Skills!B11</f>
        <v/>
      </c>
      <c r="C1350">
        <f>Inputs!$B$3&gt;=113</f>
        <v/>
      </c>
      <c r="D1350">
        <f>IF(Skills!C11=1,60+Inputs!$B$25+Inputs!$B$29,IF(Skills!C11=2,90+Inputs!$B$26+Inputs!$B$29,IF(Skills!C11=3,120+Inputs!$B$27+Inputs!$B$29,MAX(0,(Inputs!$B$3-100)*3)+Inputs!$B$28+Inputs!$B$29)))</f>
        <v/>
      </c>
      <c r="E1350">
        <f>INDEX(FactorTable!$B$2:$Y$301, MATCH(ROUND(MIN(300,MAX(1,D1350)),0), FactorTable!$A$2:$A$301,0), Skills!M11+1)</f>
        <v/>
      </c>
      <c r="F1350">
        <f>IF(Skills!N11=TRUE,(Skills!L11/10)*(E1350/1000),Skills!L11/10)+Skills!O11</f>
        <v/>
      </c>
      <c r="G1350">
        <f>Skills!G11*IF(Skills!H11&gt;0,Skills!I11/Skills!H11,1)</f>
        <v/>
      </c>
      <c r="H1350">
        <f>1-(1-Skills!J11/100)^Skills!K11</f>
        <v/>
      </c>
      <c r="I1350" t="inlineStr">
        <is>
          <t>1</t>
        </is>
      </c>
      <c r="J1350">
        <f>((Inputs!$B$6*(1+Inputs!$B$7/100))+(((Inputs!$B$12*(1+Inputs!$B$13/100))-(Inputs!$B$12*(1+Inputs!$B$13/100)))+0.25*(Inputs!$B$14-Inputs!$B$14))*(1+Inputs!$B$7/100))*(F1350/100)</f>
        <v/>
      </c>
      <c r="K1350">
        <f>J1350*(1+((Inputs!$B$12*(1+Inputs!$B$13/100))*0.01+Inputs!$B$14*0.0025)/100)*(1+Inputs!$B$15/100)*(1+Inputs!$B$16/100)*(5000/(6000+Inputs!$B$42*(1-(Inputs!$B$19+0)/100)))*(1+(Inputs!$B$24+((C1361=TRUE)*(F1361-Calc!F22))+B1370)/100)*(1+(IF(Skills!A11="HOOK_BOMBER",Inputs!$B$17+((C1360=TRUE)*(F1360-Calc!F21)),Inputs!$B$18+0))/100)*((1+(((C1352=TRUE)*F1352)+((C1358=TRUE)*(F1358-Calc!F19)))/100)*I1350)</f>
        <v/>
      </c>
      <c r="L1350">
        <f>K1350*(MIN(Inputs!$B$22+((C1359=TRUE)*(F1359-Calc!F20)),Inputs!$B$23+0)/100+(Inputs!$B$23+0)/100)/2</f>
        <v/>
      </c>
      <c r="M1350">
        <f>L1350*(1+(Inputs!$B$10+0+B1369)/100)</f>
        <v/>
      </c>
      <c r="N1350">
        <f>L1350*(1-MIN((Inputs!$B$9+((C1355=TRUE)*(F1355-Calc!F16))+B1364),100)/100)+M1350*(MIN((Inputs!$B$9+((C1355=TRUE)*(F1355-Calc!F16))+B1364),100)/100)</f>
        <v/>
      </c>
      <c r="O1350">
        <f>(1-Summary!$B$55)*T1350+Summary!$B$55*V1350</f>
        <v/>
      </c>
      <c r="P1350">
        <f>IF(B1374=0,0,O1350/B1374)</f>
        <v/>
      </c>
      <c r="Q1350">
        <f>IFERROR(1/IF(Inputs!$B$38="pvp",15,MAX(0.1,Skills!D11-IF(Skills!E11=TRUE,4.5,0))),0)</f>
        <v/>
      </c>
      <c r="R1350">
        <f>IF(AND(Inputs!$B$38&lt;&gt;"pvp",Inputs!$B$43&gt;0),IF(MAX(0,Inputs!$B$43-B1371)&lt;=0,0,(INT(MAX(0,Inputs!$B$43-B1371)/IF(Inputs!$B$38="pvp",15,MAX(0.1,Skills!D11-IF(Skills!E11=TRUE,4.5,0))))+1)),0)</f>
        <v/>
      </c>
      <c r="S1350">
        <f>IFERROR(O1350/N1350,0)</f>
        <v/>
      </c>
      <c r="T1350">
        <f>IF(C1350,(H1350*N1350*IF(AND(Inputs!$B$38&lt;&gt;"pvp",Inputs!$B$43&gt;0),((Skills!G11*((R1350-1)*IF(Skills!H11&gt;0,Skills!I11/Skills!H11,1)+IF(Skills!H11&gt;0,MIN(Skills!I11,MAX(0,MAX(0,Inputs!$B$43-B1371)-((R1350-1)*IF(Inputs!$B$38="pvp",15,MAX(0.1,Skills!D11-IF(Skills!E11=TRUE,4.5,0))))))/Skills!H11,1)))/Inputs!$B$43),G1350*Q1350))*IF(Inputs!$B$38="pvp",1,1+(Inputs!$B$20+0+Skills!P11)/100),0)</f>
        <v/>
      </c>
      <c r="V1350">
        <f>IF(C1350,(H1350*N1350*IF(AND(Inputs!$B$38&lt;&gt;"pvp",Inputs!$B$43&gt;0),((Skills!G11*((R1350-1)*IF(Skills!H11&gt;0,Skills!I11/Skills!H11,1)+IF(Skills!H11&gt;0,MIN(Skills!I11,MAX(0,MAX(0,Inputs!$B$43-B1371)-((R1350-1)*IF(Inputs!$B$38="pvp",15,MAX(0.1,Skills!D11-IF(Skills!E11=TRUE,4.5,0))))))/Skills!H11,1)))/Inputs!$B$43),G1350*Q1350))*IF(Inputs!$B$38="pvp",1,(1+(Inputs!$B$21+Skills!Q11)/100)*(MIN(Skills!R11,Inputs!$B$37))),0)</f>
        <v/>
      </c>
    </row>
    <row r="1351">
      <c r="A1351">
        <f>Skills!A12</f>
        <v/>
      </c>
      <c r="B1351">
        <f>Skills!B12</f>
        <v/>
      </c>
      <c r="C1351">
        <f>Inputs!$B$3&gt;=100</f>
        <v/>
      </c>
      <c r="D1351">
        <f>IF(Skills!C12=1,60+Inputs!$B$25+Inputs!$B$29,IF(Skills!C12=2,90+Inputs!$B$26+Inputs!$B$29,IF(Skills!C12=3,120+Inputs!$B$27+Inputs!$B$29,MAX(0,(Inputs!$B$3-100)*3)+Inputs!$B$28+Inputs!$B$29)))</f>
        <v/>
      </c>
      <c r="E1351">
        <f>INDEX(FactorTable!$B$2:$Y$301, MATCH(ROUND(MIN(300,MAX(1,D1351)),0), FactorTable!$A$2:$A$301,0), Skills!M12+1)</f>
        <v/>
      </c>
      <c r="F1351">
        <f>IF(Skills!N12=TRUE,(Skills!L12/10)*(E1351/1000),Skills!L12/10)+Skills!O12</f>
        <v/>
      </c>
      <c r="G1351" t="inlineStr"/>
      <c r="H1351" t="inlineStr"/>
      <c r="I1351" t="inlineStr">
        <is>
          <t>1</t>
        </is>
      </c>
      <c r="J1351" t="inlineStr"/>
      <c r="K1351" t="inlineStr"/>
      <c r="L1351" t="inlineStr"/>
      <c r="M1351" t="inlineStr"/>
      <c r="N1351" t="inlineStr"/>
      <c r="O1351" t="inlineStr"/>
      <c r="P1351" t="inlineStr"/>
      <c r="Q1351" t="inlineStr"/>
      <c r="R1351" t="inlineStr"/>
      <c r="S1351" t="inlineStr"/>
      <c r="T1351" t="inlineStr"/>
      <c r="V1351" t="inlineStr"/>
    </row>
    <row r="1352">
      <c r="A1352">
        <f>Skills!A13</f>
        <v/>
      </c>
      <c r="B1352">
        <f>Skills!B13</f>
        <v/>
      </c>
      <c r="C1352">
        <f>Inputs!$B$3&gt;=66</f>
        <v/>
      </c>
      <c r="D1352">
        <f>IF(Skills!C13=1,60+Inputs!$B$25+Inputs!$B$29,IF(Skills!C13=2,90+Inputs!$B$26+Inputs!$B$29,IF(Skills!C13=3,120+Inputs!$B$27+Inputs!$B$29,MAX(0,(Inputs!$B$3-100)*3)+Inputs!$B$28+Inputs!$B$29)))</f>
        <v/>
      </c>
      <c r="E1352">
        <f>INDEX(FactorTable!$B$2:$Y$301, MATCH(ROUND(MIN(300,MAX(1,D1352)),0), FactorTable!$A$2:$A$301,0), Skills!M13+1)</f>
        <v/>
      </c>
      <c r="F1352">
        <f>IF(Skills!N13=TRUE,(Skills!L13/10)*(E1352/1000),Skills!L13/10)+Skills!O13</f>
        <v/>
      </c>
      <c r="G1352">
        <f>Skills!G13*IF(Skills!H13&gt;0,Skills!I13/Skills!H13,1)</f>
        <v/>
      </c>
      <c r="H1352">
        <f>1-(1-Skills!J13/100)^Skills!K13</f>
        <v/>
      </c>
      <c r="I1352" t="inlineStr">
        <is>
          <t>1</t>
        </is>
      </c>
      <c r="J1352" t="inlineStr"/>
      <c r="K1352" t="inlineStr"/>
      <c r="L1352" t="inlineStr"/>
      <c r="M1352" t="inlineStr"/>
      <c r="N1352" t="inlineStr"/>
      <c r="O1352">
        <f>(1-Summary!$B$55)*T1352+Summary!$B$55*V1352</f>
        <v/>
      </c>
      <c r="P1352">
        <f>IF(B1374=0,0,O1352/B1374)</f>
        <v/>
      </c>
      <c r="Q1352" t="n">
        <v>0</v>
      </c>
      <c r="R1352" t="n">
        <v>0</v>
      </c>
      <c r="S1352">
        <f>IFERROR(O1352/N1352,0)</f>
        <v/>
      </c>
      <c r="T1352" t="n">
        <v>0</v>
      </c>
      <c r="V1352" t="n">
        <v>0</v>
      </c>
    </row>
    <row r="1353">
      <c r="A1353">
        <f>Skills!A14</f>
        <v/>
      </c>
      <c r="B1353">
        <f>Skills!B14</f>
        <v/>
      </c>
      <c r="C1353">
        <f>Inputs!$B$3&gt;=107</f>
        <v/>
      </c>
      <c r="D1353">
        <f>IF(Skills!C14=1,60+Inputs!$B$25+Inputs!$B$29,IF(Skills!C14=2,90+Inputs!$B$26+Inputs!$B$29,IF(Skills!C14=3,120+Inputs!$B$27+Inputs!$B$29,MAX(0,(Inputs!$B$3-100)*3)+Inputs!$B$28+Inputs!$B$29)))</f>
        <v/>
      </c>
      <c r="E1353">
        <f>INDEX(FactorTable!$B$2:$Y$301, MATCH(ROUND(MIN(300,MAX(1,D1353)),0), FactorTable!$A$2:$A$301,0), Skills!M14+1)</f>
        <v/>
      </c>
      <c r="F1353">
        <f>IF(Skills!N14=TRUE,(Skills!L14/10)*(E1353/1000),Skills!L14/10)+Skills!O14</f>
        <v/>
      </c>
      <c r="G1353">
        <f>Skills!G14*IF(Skills!H14&gt;0,Skills!I14/Skills!H14,1)</f>
        <v/>
      </c>
      <c r="H1353">
        <f>1-(1-Skills!J14/100)^Skills!K14</f>
        <v/>
      </c>
      <c r="I1353" t="inlineStr">
        <is>
          <t>1</t>
        </is>
      </c>
      <c r="J1353" t="inlineStr"/>
      <c r="K1353" t="inlineStr"/>
      <c r="L1353" t="inlineStr"/>
      <c r="M1353" t="inlineStr"/>
      <c r="N1353" t="inlineStr"/>
      <c r="O1353">
        <f>(1-Summary!$B$55)*T1353+Summary!$B$55*V1353</f>
        <v/>
      </c>
      <c r="P1353">
        <f>IF(B1374=0,0,O1353/B1374)</f>
        <v/>
      </c>
      <c r="Q1353" t="n">
        <v>0</v>
      </c>
      <c r="R1353" t="n">
        <v>0</v>
      </c>
      <c r="S1353">
        <f>IFERROR(O1353/N1353,0)</f>
        <v/>
      </c>
      <c r="T1353" t="n">
        <v>0</v>
      </c>
      <c r="V1353" t="n">
        <v>0</v>
      </c>
    </row>
    <row r="1354">
      <c r="A1354">
        <f>Skills!A15</f>
        <v/>
      </c>
      <c r="B1354">
        <f>Skills!B15</f>
        <v/>
      </c>
      <c r="C1354">
        <f>Inputs!$B$3&gt;=115</f>
        <v/>
      </c>
      <c r="D1354">
        <f>IF(Skills!C15=1,60+Inputs!$B$25+Inputs!$B$29,IF(Skills!C15=2,90+Inputs!$B$26+Inputs!$B$29,IF(Skills!C15=3,120+Inputs!$B$27+Inputs!$B$29,MAX(0,(Inputs!$B$3-100)*3)+Inputs!$B$28+Inputs!$B$29)))</f>
        <v/>
      </c>
      <c r="E1354">
        <f>INDEX(FactorTable!$B$2:$Y$301, MATCH(ROUND(MIN(300,MAX(1,D1354)),0), FactorTable!$A$2:$A$301,0), Skills!M15+1)</f>
        <v/>
      </c>
      <c r="F1354">
        <f>IF(Skills!N15=TRUE,(Skills!L15/10)*(E1354/1000),Skills!L15/10)+Skills!O15</f>
        <v/>
      </c>
      <c r="G1354">
        <f>Skills!G15*IF(Skills!H15&gt;0,Skills!I15/Skills!H15,1)</f>
        <v/>
      </c>
      <c r="H1354">
        <f>1-(1-Skills!J15/100)^Skills!K15</f>
        <v/>
      </c>
      <c r="I1354" t="inlineStr">
        <is>
          <t>1</t>
        </is>
      </c>
      <c r="J1354" t="inlineStr"/>
      <c r="K1354" t="inlineStr"/>
      <c r="L1354" t="inlineStr"/>
      <c r="M1354" t="inlineStr"/>
      <c r="N1354" t="inlineStr"/>
      <c r="O1354">
        <f>(1-Summary!$B$55)*T1354+Summary!$B$55*V1354</f>
        <v/>
      </c>
      <c r="P1354">
        <f>IF(B1374=0,0,O1354/B1374)</f>
        <v/>
      </c>
      <c r="Q1354" t="n">
        <v>0</v>
      </c>
      <c r="R1354" t="n">
        <v>0</v>
      </c>
      <c r="S1354">
        <f>IFERROR(O1354/N1354,0)</f>
        <v/>
      </c>
      <c r="T1354" t="n">
        <v>0</v>
      </c>
      <c r="V1354" t="n">
        <v>0</v>
      </c>
    </row>
    <row r="1355">
      <c r="A1355">
        <f>Skills!A16</f>
        <v/>
      </c>
      <c r="B1355">
        <f>Skills!B16</f>
        <v/>
      </c>
      <c r="C1355">
        <f>Inputs!$B$3&gt;=15</f>
        <v/>
      </c>
      <c r="D1355">
        <f>IF(Skills!C16=1,60+Inputs!$B$25+Inputs!$B$29,IF(Skills!C16=2,90+Inputs!$B$26+Inputs!$B$29,IF(Skills!C16=3,120+Inputs!$B$27+Inputs!$B$29,MAX(0,(Inputs!$B$3-100)*3)+Inputs!$B$28+Inputs!$B$29)))</f>
        <v/>
      </c>
      <c r="E1355">
        <f>INDEX(FactorTable!$B$2:$Y$301, MATCH(ROUND(MIN(300,MAX(1,D1355)),0), FactorTable!$A$2:$A$301,0), Skills!M16+1)</f>
        <v/>
      </c>
      <c r="F1355">
        <f>IF(Skills!N16=TRUE,(Skills!L16/10)*(E1355/1000),Skills!L16/10)+Skills!O16</f>
        <v/>
      </c>
      <c r="G1355">
        <f>Skills!G16*IF(Skills!H16&gt;0,Skills!I16/Skills!H16,1)</f>
        <v/>
      </c>
      <c r="H1355">
        <f>1-(1-Skills!J16/100)^Skills!K16</f>
        <v/>
      </c>
      <c r="I1355" t="inlineStr">
        <is>
          <t>1</t>
        </is>
      </c>
      <c r="J1355" t="inlineStr"/>
      <c r="K1355" t="inlineStr"/>
      <c r="L1355" t="inlineStr"/>
      <c r="M1355" t="inlineStr"/>
      <c r="N1355" t="inlineStr"/>
      <c r="O1355">
        <f>(1-Summary!$B$55)*T1355+Summary!$B$55*V1355</f>
        <v/>
      </c>
      <c r="P1355">
        <f>IF(B1374=0,0,O1355/B1374)</f>
        <v/>
      </c>
      <c r="Q1355" t="n">
        <v>0</v>
      </c>
      <c r="R1355" t="n">
        <v>0</v>
      </c>
      <c r="S1355">
        <f>IFERROR(O1355/N1355,0)</f>
        <v/>
      </c>
      <c r="T1355" t="n">
        <v>0</v>
      </c>
      <c r="V1355" t="n">
        <v>0</v>
      </c>
    </row>
    <row r="1356">
      <c r="A1356">
        <f>Skills!A17</f>
        <v/>
      </c>
      <c r="B1356">
        <f>Skills!B17</f>
        <v/>
      </c>
      <c r="C1356">
        <f>Inputs!$B$3&gt;=10</f>
        <v/>
      </c>
      <c r="D1356">
        <f>IF(Skills!C17=1,60+Inputs!$B$25+Inputs!$B$29,IF(Skills!C17=2,90+Inputs!$B$26+Inputs!$B$29,IF(Skills!C17=3,120+Inputs!$B$27+Inputs!$B$29,MAX(0,(Inputs!$B$3-100)*3)+Inputs!$B$28+Inputs!$B$29)))</f>
        <v/>
      </c>
      <c r="E1356">
        <f>INDEX(FactorTable!$B$2:$Y$301, MATCH(ROUND(MIN(300,MAX(1,D1356)),0), FactorTable!$A$2:$A$301,0), Skills!M17+1)</f>
        <v/>
      </c>
      <c r="F1356">
        <f>IF(Skills!N17=TRUE,(Skills!L17/10)*(E1356/1000),Skills!L17/10)+Skills!O17</f>
        <v/>
      </c>
      <c r="G1356">
        <f>Skills!G17*IF(Skills!H17&gt;0,Skills!I17/Skills!H17,1)</f>
        <v/>
      </c>
      <c r="H1356">
        <f>1-(1-Skills!J17/100)^Skills!K17</f>
        <v/>
      </c>
      <c r="I1356" t="inlineStr">
        <is>
          <t>1</t>
        </is>
      </c>
      <c r="J1356" t="inlineStr"/>
      <c r="K1356" t="inlineStr"/>
      <c r="L1356" t="inlineStr"/>
      <c r="M1356" t="inlineStr"/>
      <c r="N1356" t="inlineStr"/>
      <c r="O1356">
        <f>(1-Summary!$B$55)*T1356+Summary!$B$55*V1356</f>
        <v/>
      </c>
      <c r="P1356">
        <f>IF(B1374=0,0,O1356/B1374)</f>
        <v/>
      </c>
      <c r="Q1356" t="n">
        <v>0</v>
      </c>
      <c r="R1356" t="n">
        <v>0</v>
      </c>
      <c r="S1356">
        <f>IFERROR(O1356/N1356,0)</f>
        <v/>
      </c>
      <c r="T1356" t="n">
        <v>0</v>
      </c>
      <c r="V1356" t="n">
        <v>0</v>
      </c>
    </row>
    <row r="1357">
      <c r="A1357">
        <f>Skills!A18</f>
        <v/>
      </c>
      <c r="B1357">
        <f>Skills!B18</f>
        <v/>
      </c>
      <c r="C1357">
        <f>Inputs!$B$3&gt;=33</f>
        <v/>
      </c>
      <c r="D1357">
        <f>IF(Skills!C18=1,60+Inputs!$B$25+Inputs!$B$29,IF(Skills!C18=2,90+Inputs!$B$26+Inputs!$B$29,IF(Skills!C18=3,120+Inputs!$B$27+Inputs!$B$29,MAX(0,(Inputs!$B$3-100)*3)+Inputs!$B$28+Inputs!$B$29)))</f>
        <v/>
      </c>
      <c r="E1357">
        <f>INDEX(FactorTable!$B$2:$Y$301, MATCH(ROUND(MIN(300,MAX(1,D1357)),0), FactorTable!$A$2:$A$301,0), Skills!M18+1)</f>
        <v/>
      </c>
      <c r="F1357">
        <f>IF(Skills!N18=TRUE,(Skills!L18/10)*(E1357/1000),Skills!L18/10)+Skills!O18</f>
        <v/>
      </c>
      <c r="G1357">
        <f>Skills!G18*IF(Skills!H18&gt;0,Skills!I18/Skills!H18,1)</f>
        <v/>
      </c>
      <c r="H1357">
        <f>1-(1-Skills!J18/100)^Skills!K18</f>
        <v/>
      </c>
      <c r="I1357" t="inlineStr">
        <is>
          <t>1</t>
        </is>
      </c>
      <c r="J1357" t="inlineStr"/>
      <c r="K1357" t="inlineStr"/>
      <c r="L1357" t="inlineStr"/>
      <c r="M1357" t="inlineStr"/>
      <c r="N1357" t="inlineStr"/>
      <c r="O1357">
        <f>(1-Summary!$B$55)*T1357+Summary!$B$55*V1357</f>
        <v/>
      </c>
      <c r="P1357">
        <f>IF(B1374=0,0,O1357/B1374)</f>
        <v/>
      </c>
      <c r="Q1357" t="n">
        <v>0</v>
      </c>
      <c r="R1357" t="n">
        <v>0</v>
      </c>
      <c r="S1357">
        <f>IFERROR(O1357/N1357,0)</f>
        <v/>
      </c>
      <c r="T1357" t="n">
        <v>0</v>
      </c>
      <c r="V1357" t="n">
        <v>0</v>
      </c>
    </row>
    <row r="1358">
      <c r="A1358">
        <f>Skills!A19</f>
        <v/>
      </c>
      <c r="B1358">
        <f>Skills!B19</f>
        <v/>
      </c>
      <c r="C1358">
        <f>Inputs!$B$3&gt;=40</f>
        <v/>
      </c>
      <c r="D1358">
        <f>IF(Skills!C19=1,60+Inputs!$B$25+Inputs!$B$29,IF(Skills!C19=2,90+Inputs!$B$26+Inputs!$B$29,IF(Skills!C19=3,120+Inputs!$B$27+Inputs!$B$29,MAX(0,(Inputs!$B$3-100)*3)+Inputs!$B$28+Inputs!$B$29)))</f>
        <v/>
      </c>
      <c r="E1358">
        <f>INDEX(FactorTable!$B$2:$Y$301, MATCH(ROUND(MIN(300,MAX(1,D1358)),0), FactorTable!$A$2:$A$301,0), Skills!M19+1)</f>
        <v/>
      </c>
      <c r="F1358">
        <f>IF(Skills!N19=TRUE,(Skills!L19/10)*(E1358/1000),Skills!L19/10)+Skills!O19</f>
        <v/>
      </c>
      <c r="G1358">
        <f>Skills!G19*IF(Skills!H19&gt;0,Skills!I19/Skills!H19,1)</f>
        <v/>
      </c>
      <c r="H1358">
        <f>1-(1-Skills!J19/100)^Skills!K19</f>
        <v/>
      </c>
      <c r="I1358" t="inlineStr">
        <is>
          <t>1</t>
        </is>
      </c>
      <c r="J1358" t="inlineStr"/>
      <c r="K1358" t="inlineStr"/>
      <c r="L1358" t="inlineStr"/>
      <c r="M1358" t="inlineStr"/>
      <c r="N1358" t="inlineStr"/>
      <c r="O1358">
        <f>(1-Summary!$B$55)*T1358+Summary!$B$55*V1358</f>
        <v/>
      </c>
      <c r="P1358">
        <f>IF(B1374=0,0,O1358/B1374)</f>
        <v/>
      </c>
      <c r="Q1358" t="n">
        <v>0</v>
      </c>
      <c r="R1358" t="n">
        <v>0</v>
      </c>
      <c r="S1358">
        <f>IFERROR(O1358/N1358,0)</f>
        <v/>
      </c>
      <c r="T1358" t="n">
        <v>0</v>
      </c>
      <c r="V1358" t="n">
        <v>0</v>
      </c>
    </row>
    <row r="1359">
      <c r="A1359">
        <f>Skills!A20</f>
        <v/>
      </c>
      <c r="B1359">
        <f>Skills!B20</f>
        <v/>
      </c>
      <c r="C1359">
        <f>Inputs!$B$3&gt;=43</f>
        <v/>
      </c>
      <c r="D1359">
        <f>IF(Skills!C20=1,60+Inputs!$B$25+Inputs!$B$29,IF(Skills!C20=2,90+Inputs!$B$26+Inputs!$B$29,IF(Skills!C20=3,120+Inputs!$B$27+Inputs!$B$29,MAX(0,(Inputs!$B$3-100)*3)+Inputs!$B$28+Inputs!$B$29)))</f>
        <v/>
      </c>
      <c r="E1359">
        <f>INDEX(FactorTable!$B$2:$Y$301, MATCH(ROUND(MIN(300,MAX(1,D1359)),0), FactorTable!$A$2:$A$301,0), Skills!M20+1)</f>
        <v/>
      </c>
      <c r="F1359">
        <f>IF(Skills!N20=TRUE,(Skills!L20/10)*(E1359/1000),Skills!L20/10)+Skills!O20</f>
        <v/>
      </c>
      <c r="G1359">
        <f>Skills!G20*IF(Skills!H20&gt;0,Skills!I20/Skills!H20,1)</f>
        <v/>
      </c>
      <c r="H1359">
        <f>1-(1-Skills!J20/100)^Skills!K20</f>
        <v/>
      </c>
      <c r="I1359" t="inlineStr">
        <is>
          <t>1</t>
        </is>
      </c>
      <c r="J1359" t="inlineStr"/>
      <c r="K1359" t="inlineStr"/>
      <c r="L1359" t="inlineStr"/>
      <c r="M1359" t="inlineStr"/>
      <c r="N1359" t="inlineStr"/>
      <c r="O1359">
        <f>(1-Summary!$B$55)*T1359+Summary!$B$55*V1359</f>
        <v/>
      </c>
      <c r="P1359">
        <f>IF(B1374=0,0,O1359/B1374)</f>
        <v/>
      </c>
      <c r="Q1359" t="n">
        <v>0</v>
      </c>
      <c r="R1359" t="n">
        <v>0</v>
      </c>
      <c r="S1359">
        <f>IFERROR(O1359/N1359,0)</f>
        <v/>
      </c>
      <c r="T1359" t="n">
        <v>0</v>
      </c>
      <c r="V1359" t="n">
        <v>0</v>
      </c>
    </row>
    <row r="1360">
      <c r="A1360">
        <f>Skills!A21</f>
        <v/>
      </c>
      <c r="B1360">
        <f>Skills!B21</f>
        <v/>
      </c>
      <c r="C1360">
        <f>Inputs!$B$3&gt;=38</f>
        <v/>
      </c>
      <c r="D1360">
        <f>IF(Skills!C21=1,60+Inputs!$B$25+Inputs!$B$29,IF(Skills!C21=2,90+Inputs!$B$26+Inputs!$B$29,IF(Skills!C21=3,120+Inputs!$B$27+Inputs!$B$29,MAX(0,(Inputs!$B$3-100)*3)+Inputs!$B$28+Inputs!$B$29)))</f>
        <v/>
      </c>
      <c r="E1360">
        <f>INDEX(FactorTable!$B$2:$Y$301, MATCH(ROUND(MIN(300,MAX(1,D1360)),0), FactorTable!$A$2:$A$301,0), Skills!M21+1)</f>
        <v/>
      </c>
      <c r="F1360">
        <f>IF(Skills!N21=TRUE,(Skills!L21/10)*(E1360/1000),Skills!L21/10)+Skills!O21</f>
        <v/>
      </c>
      <c r="G1360">
        <f>Skills!G21*IF(Skills!H21&gt;0,Skills!I21/Skills!H21,1)</f>
        <v/>
      </c>
      <c r="H1360">
        <f>1-(1-Skills!J21/100)^Skills!K21</f>
        <v/>
      </c>
      <c r="I1360" t="inlineStr">
        <is>
          <t>1</t>
        </is>
      </c>
      <c r="J1360" t="inlineStr"/>
      <c r="K1360" t="inlineStr"/>
      <c r="L1360" t="inlineStr"/>
      <c r="M1360" t="inlineStr"/>
      <c r="N1360" t="inlineStr"/>
      <c r="O1360">
        <f>(1-Summary!$B$55)*T1360+Summary!$B$55*V1360</f>
        <v/>
      </c>
      <c r="P1360">
        <f>IF(B1374=0,0,O1360/B1374)</f>
        <v/>
      </c>
      <c r="Q1360" t="n">
        <v>0</v>
      </c>
      <c r="R1360" t="n">
        <v>0</v>
      </c>
      <c r="S1360">
        <f>IFERROR(O1360/N1360,0)</f>
        <v/>
      </c>
      <c r="T1360" t="n">
        <v>0</v>
      </c>
      <c r="V1360" t="n">
        <v>0</v>
      </c>
    </row>
    <row r="1361">
      <c r="A1361">
        <f>Skills!A22</f>
        <v/>
      </c>
      <c r="B1361">
        <f>Skills!B22</f>
        <v/>
      </c>
      <c r="C1361">
        <f>Inputs!$B$3&gt;=75</f>
        <v/>
      </c>
      <c r="D1361">
        <f>IF(Skills!C22=1,60+Inputs!$B$25+Inputs!$B$29,IF(Skills!C22=2,90+Inputs!$B$26+Inputs!$B$29,IF(Skills!C22=3,120+Inputs!$B$27+Inputs!$B$29,MAX(0,(Inputs!$B$3-100)*3)+Inputs!$B$28+Inputs!$B$29)))</f>
        <v/>
      </c>
      <c r="E1361">
        <f>INDEX(FactorTable!$B$2:$Y$301, MATCH(ROUND(MIN(300,MAX(1,D1361)),0), FactorTable!$A$2:$A$301,0), Skills!M22+1)</f>
        <v/>
      </c>
      <c r="F1361">
        <f>IF(Skills!N22=TRUE,(Skills!L22/10)*(E1361/1000),Skills!L22/10)+Skills!O22</f>
        <v/>
      </c>
      <c r="G1361">
        <f>Skills!G22*IF(Skills!H22&gt;0,Skills!I22/Skills!H22,1)</f>
        <v/>
      </c>
      <c r="H1361">
        <f>1-(1-Skills!J22/100)^Skills!K22</f>
        <v/>
      </c>
      <c r="I1361" t="inlineStr">
        <is>
          <t>1</t>
        </is>
      </c>
      <c r="J1361" t="inlineStr"/>
      <c r="K1361" t="inlineStr"/>
      <c r="L1361" t="inlineStr"/>
      <c r="M1361" t="inlineStr"/>
      <c r="N1361" t="inlineStr"/>
      <c r="O1361">
        <f>(1-Summary!$B$55)*T1361+Summary!$B$55*V1361</f>
        <v/>
      </c>
      <c r="P1361">
        <f>IF(B1374=0,0,O1361/B1374)</f>
        <v/>
      </c>
      <c r="Q1361" t="n">
        <v>0</v>
      </c>
      <c r="R1361" t="n">
        <v>0</v>
      </c>
      <c r="S1361">
        <f>IFERROR(O1361/N1361,0)</f>
        <v/>
      </c>
      <c r="T1361" t="n">
        <v>0</v>
      </c>
      <c r="V1361" t="n">
        <v>0</v>
      </c>
    </row>
    <row r="1363">
      <c r="A1363" t="inlineStr">
        <is>
          <t>Attack% Bucket Multiplier</t>
        </is>
      </c>
      <c r="B1363">
        <f>(1+(((C1352=TRUE)*F1352)+((C1358=TRUE)*(F1358-Calc!F19)))/100)</f>
        <v/>
      </c>
    </row>
    <row r="1364">
      <c r="A1364" t="inlineStr">
        <is>
          <t>Global Crit Rate Bonus %</t>
        </is>
      </c>
      <c r="B1364" t="n">
        <v>0</v>
      </c>
    </row>
    <row r="1365">
      <c r="A1365" t="inlineStr">
        <is>
          <t>Attack Speed Buff Bonus % (unused)</t>
        </is>
      </c>
      <c r="B1365" t="n">
        <v>0</v>
      </c>
    </row>
    <row r="1366">
      <c r="A1366" t="inlineStr">
        <is>
          <t>Actions Per Second</t>
        </is>
      </c>
      <c r="B1366">
        <f>1+MIN(150,150*(1-(1-(Inputs!$B$11+((C1356=TRUE)*(F1356-Calc!F17))+((C1357=TRUE)*(F1357-Calc!F18)))/150)*(1-B1365/150)))/100</f>
        <v/>
      </c>
    </row>
    <row r="1367">
      <c r="A1367" t="inlineStr">
        <is>
          <t>Skill + Buff Cast Rate</t>
        </is>
      </c>
      <c r="B1367">
        <f>IF(AND(Inputs!$B$38&lt;&gt;"pvp",Inputs!$B$43&gt;0),SUMPRODUCT((Skills!E2:E22=TRUE)*(C1341:C1361=TRUE)*R1341:R1361*Skills!F2:F22)/Inputs!$B$43,SUMPRODUCT((Skills!E2:E22=TRUE)*(C1341:C1361=TRUE)*Q1341:Q1361*Skills!F2:F22))</f>
        <v/>
      </c>
    </row>
    <row r="1368">
      <c r="A1368" t="inlineStr">
        <is>
          <t>Hook Bomber Casts Per Second</t>
        </is>
      </c>
      <c r="B1368">
        <f>MAX(0,B1366-B1367)</f>
        <v/>
      </c>
    </row>
    <row r="1369">
      <c r="A1369" t="inlineStr">
        <is>
          <t>Global Critical Damage Bonus % (unused)</t>
        </is>
      </c>
      <c r="B1369" t="n">
        <v>0</v>
      </c>
    </row>
    <row r="1370">
      <c r="A1370" t="inlineStr">
        <is>
          <t>Global Final Damage Bonus % (Serpent Scale + Crossbones + Time Leap + Speed Infusion)</t>
        </is>
      </c>
      <c r="B1370">
        <f>((C1344=TRUE)*F1344*((10+IF(Inputs!$B$3&gt;=94,5,0))/((10+IF(Inputs!$B$3&gt;=94,5,0))+5/(B1368*(1+IF(Inputs!$B$3&gt;=104,1,0))))))+((C1353=TRUE)*F1353)+((C1354=TRUE)*F1354)+((Inputs!$B$3&gt;=110)*20*(B1366-1))</f>
        <v/>
      </c>
    </row>
    <row r="1371">
      <c r="A1371" t="inlineStr">
        <is>
          <t>Buff-Casting Startup Delay (s, fixed-duration only)</t>
        </is>
      </c>
      <c r="B1371">
        <f>IF(AND(Inputs!$B$38&lt;&gt;"pvp",Inputs!$B$43&gt;0),SUMPRODUCT((Skills!T2:T22&gt;0)*(Skills!E2:E22=TRUE)*(C1341:C1361=TRUE))/B1366,0)</f>
        <v/>
      </c>
    </row>
    <row r="1372">
      <c r="A1372" t="inlineStr">
        <is>
          <t>Boss-Only Total DPS (this block's swept value)</t>
        </is>
      </c>
      <c r="B1372">
        <f>SUM(T1341:T1361)</f>
        <v/>
      </c>
    </row>
    <row r="1373">
      <c r="A1373" t="inlineStr">
        <is>
          <t>Normal-Only Total DPS (this block's swept value)</t>
        </is>
      </c>
      <c r="B1373">
        <f>SUM(V1341:V1361)</f>
        <v/>
      </c>
    </row>
    <row r="1374">
      <c r="A1374" s="5" t="inlineStr">
        <is>
          <t>TOTAL DPS</t>
        </is>
      </c>
      <c r="B1374" s="5">
        <f>SUM(O1341:O1361)</f>
        <v/>
      </c>
    </row>
    <row r="1377">
      <c r="A1377" s="5" t="inlineStr">
        <is>
          <t>Stat: CDR = 5.0s</t>
        </is>
      </c>
    </row>
    <row r="1378">
      <c r="A1378" s="9" t="inlineStr">
        <is>
          <t>Key</t>
        </is>
      </c>
      <c r="B1378" s="9" t="inlineStr">
        <is>
          <t>Name</t>
        </is>
      </c>
      <c r="C1378" s="9" t="inlineStr">
        <is>
          <t>Unlocked</t>
        </is>
      </c>
      <c r="D1378" s="9" t="inlineStr">
        <is>
          <t>InputLevel</t>
        </is>
      </c>
      <c r="E1378" s="9" t="inlineStr">
        <is>
          <t>Factor</t>
        </is>
      </c>
      <c r="F1378" s="9" t="inlineStr">
        <is>
          <t>CoefficientPercent</t>
        </is>
      </c>
      <c r="G1378" s="9" t="inlineStr">
        <is>
          <t>EffectiveHits</t>
        </is>
      </c>
      <c r="H1378" s="9" t="inlineStr">
        <is>
          <t>ProcProbability</t>
        </is>
      </c>
      <c r="I1378" s="9" t="inlineStr">
        <is>
          <t>MapleHeroMultiplier</t>
        </is>
      </c>
      <c r="J1378" s="9" t="inlineStr">
        <is>
          <t>BaseDamage</t>
        </is>
      </c>
      <c r="K1378" s="9" t="inlineStr">
        <is>
          <t>BaseHitDamage</t>
        </is>
      </c>
      <c r="L1378" s="9" t="inlineStr">
        <is>
          <t>NonCritAvg</t>
        </is>
      </c>
      <c r="M1378" s="9" t="inlineStr">
        <is>
          <t>CritAvg</t>
        </is>
      </c>
      <c r="N1378" s="9" t="inlineStr">
        <is>
          <t>ExpectedDamage(perHit)</t>
        </is>
      </c>
      <c r="O1378" s="9" t="inlineStr">
        <is>
          <t>DPS</t>
        </is>
      </c>
      <c r="P1378" s="9" t="inlineStr">
        <is>
          <t>% of Total</t>
        </is>
      </c>
      <c r="Q1378" s="9" t="inlineStr">
        <is>
          <t>InvCooldown</t>
        </is>
      </c>
      <c r="R1378" s="9" t="inlineStr">
        <is>
          <t>CastsInFight</t>
        </is>
      </c>
      <c r="S1378" s="9" t="inlineStr">
        <is>
          <t>HitRate(perSec)</t>
        </is>
      </c>
      <c r="U1378" t="inlineStr">
        <is>
          <t>helpers</t>
        </is>
      </c>
    </row>
    <row r="1379">
      <c r="A1379">
        <f>Skills!A2</f>
        <v/>
      </c>
      <c r="B1379">
        <f>Skills!B2</f>
        <v/>
      </c>
      <c r="C1379">
        <f>Inputs!$B$3&gt;=100</f>
        <v/>
      </c>
      <c r="D1379" t="inlineStr"/>
      <c r="E1379" t="inlineStr"/>
      <c r="F1379">
        <f>U1381+Skills!O2</f>
        <v/>
      </c>
      <c r="G1379">
        <f>Skills!G2*IF(Skills!H2&gt;0,Skills!I2/Skills!H2,1)</f>
        <v/>
      </c>
      <c r="H1379">
        <f>1-(1-Skills!J2/100)^Skills!K2</f>
        <v/>
      </c>
      <c r="I1379" t="inlineStr">
        <is>
          <t>1</t>
        </is>
      </c>
      <c r="J1379">
        <f>((Inputs!$B$6*(1+Inputs!$B$7/100))+(((Inputs!$B$12*(1+Inputs!$B$13/100))-(Inputs!$B$12*(1+Inputs!$B$13/100)))+0.25*(Inputs!$B$14-Inputs!$B$14))*(1+Inputs!$B$7/100))*(F1379/100)</f>
        <v/>
      </c>
      <c r="K1379">
        <f>J1379*(1+((Inputs!$B$12*(1+Inputs!$B$13/100))*0.01+Inputs!$B$14*0.0025)/100)*(1+Inputs!$B$15/100)*(1+Inputs!$B$16/100)*(5000/(6000+Inputs!$B$42*(1-(Inputs!$B$19+0)/100)))*(1+(Inputs!$B$24+((C1399=TRUE)*(F1399-Calc!F22))+B1408)/100)*(1+(IF(Skills!A2="HOOK_BOMBER",Inputs!$B$17+((C1398=TRUE)*(F1398-Calc!F21)),Inputs!$B$18+0))/100)*((1+(((C1390=TRUE)*F1390)+((C1396=TRUE)*(F1396-Calc!F19)))/100)*I1379)</f>
        <v/>
      </c>
      <c r="L1379">
        <f>K1379*(MIN(Inputs!$B$22+((C1397=TRUE)*(F1397-Calc!F20)),Inputs!$B$23+0)/100+(Inputs!$B$23+0)/100)/2</f>
        <v/>
      </c>
      <c r="M1379">
        <f>L1379*(1+(Inputs!$B$10+0+B1407)/100)</f>
        <v/>
      </c>
      <c r="N1379">
        <f>L1379*(1-MIN((Inputs!$B$9+((C1393=TRUE)*(F1393-Calc!F16))+B1402),100)/100)+M1379*(MIN((Inputs!$B$9+((C1393=TRUE)*(F1393-Calc!F16))+B1402),100)/100)</f>
        <v/>
      </c>
      <c r="O1379">
        <f>(1-Summary!$B$55)*T1379+Summary!$B$55*V1379</f>
        <v/>
      </c>
      <c r="P1379">
        <f>IF(B1412=0,0,O1379/B1412)</f>
        <v/>
      </c>
      <c r="Q1379" t="n">
        <v>0</v>
      </c>
      <c r="R1379" t="n">
        <v>0</v>
      </c>
      <c r="S1379">
        <f>IFERROR(O1379/N1379,0)</f>
        <v/>
      </c>
      <c r="T1379">
        <f>IF(C1379,(Skills!G2*N1379*B1406)*IF(Inputs!$B$38="pvp",1,1+(Inputs!$B$20+0+Skills!P2)/100),0)</f>
        <v/>
      </c>
      <c r="U1379">
        <f>MAX(0,(Inputs!$B$3-100)*3)+Inputs!$B$28+Inputs!$B$29</f>
        <v/>
      </c>
      <c r="V1379">
        <f>IF(C1379,(Skills!G2*N1379*B1406)*IF(Inputs!$B$38="pvp",1,(1+(Inputs!$B$21+Skills!Q2)/100)*(MIN((6+Inputs!$B$33),Inputs!$B$37))),0)</f>
        <v/>
      </c>
    </row>
    <row r="1380">
      <c r="A1380">
        <f>Skills!A3</f>
        <v/>
      </c>
      <c r="B1380">
        <f>Skills!B3</f>
        <v/>
      </c>
      <c r="C1380">
        <f>Inputs!$B$3&gt;=35</f>
        <v/>
      </c>
      <c r="D1380">
        <f>IF(Skills!C3=1,60+Inputs!$B$25+Inputs!$B$29,IF(Skills!C3=2,90+Inputs!$B$26+Inputs!$B$29,IF(Skills!C3=3,120+Inputs!$B$27+Inputs!$B$29,MAX(0,(Inputs!$B$3-100)*3)+Inputs!$B$28+Inputs!$B$29)))</f>
        <v/>
      </c>
      <c r="E1380">
        <f>INDEX(FactorTable!$B$2:$Y$301, MATCH(ROUND(MIN(300,MAX(1,D1380)),0), FactorTable!$A$2:$A$301,0), Skills!M3+1)</f>
        <v/>
      </c>
      <c r="F1380">
        <f>IF(Skills!N3=TRUE,(Skills!L3/10)*(E1380/1000),Skills!L3/10)+Skills!O3</f>
        <v/>
      </c>
      <c r="G1380">
        <f>Skills!G3*IF(Skills!H3&gt;0,Skills!I3/Skills!H3,1)</f>
        <v/>
      </c>
      <c r="H1380">
        <f>1-(1-Skills!J3/100)^Skills!K3</f>
        <v/>
      </c>
      <c r="I1380" t="inlineStr">
        <is>
          <t>1</t>
        </is>
      </c>
      <c r="J1380">
        <f>((Inputs!$B$6*(1+Inputs!$B$7/100))+(((Inputs!$B$12*(1+Inputs!$B$13/100))-(Inputs!$B$12*(1+Inputs!$B$13/100)))+0.25*(Inputs!$B$14-Inputs!$B$14))*(1+Inputs!$B$7/100))*(F1380/100)</f>
        <v/>
      </c>
      <c r="K1380">
        <f>J1380*(1+((Inputs!$B$12*(1+Inputs!$B$13/100))*0.01+Inputs!$B$14*0.0025)/100)*(1+Inputs!$B$15/100)*(1+Inputs!$B$16/100)*(5000/(6000+Inputs!$B$42*(1-(Inputs!$B$19+0)/100)))*(1+(Inputs!$B$24+((C1399=TRUE)*(F1399-Calc!F22))+B1408)/100)*(1+(IF(Skills!A3="HOOK_BOMBER",Inputs!$B$17+((C1398=TRUE)*(F1398-Calc!F21)),Inputs!$B$18+0))/100)*((1+(((C1390=TRUE)*F1390)+((C1396=TRUE)*(F1396-Calc!F19)))/100)*I1380)</f>
        <v/>
      </c>
      <c r="L1380">
        <f>K1380*(MIN(Inputs!$B$22+((C1397=TRUE)*(F1397-Calc!F20)),Inputs!$B$23+0)/100+(Inputs!$B$23+0)/100)/2</f>
        <v/>
      </c>
      <c r="M1380">
        <f>L1380*(1+(Inputs!$B$10+0+B1407)/100)</f>
        <v/>
      </c>
      <c r="N1380">
        <f>L1380*(1-MIN((Inputs!$B$9+((C1393=TRUE)*(F1393-Calc!F16))+B1402),100)/100)+M1380*(MIN((Inputs!$B$9+((C1393=TRUE)*(F1393-Calc!F16))+B1402),100)/100)</f>
        <v/>
      </c>
      <c r="O1380">
        <f>(1-Summary!$B$55)*T1380+Summary!$B$55*V1380</f>
        <v/>
      </c>
      <c r="P1380">
        <f>IF(B1412=0,0,O1380/B1412)</f>
        <v/>
      </c>
      <c r="Q1380" t="n">
        <v>0</v>
      </c>
      <c r="R1380" t="n">
        <v>0</v>
      </c>
      <c r="S1380">
        <f>IFERROR(O1380/N1380,0)</f>
        <v/>
      </c>
      <c r="T1380">
        <f>IF(C1380,(Skills!G3*H1380*N1380*B1406)*IF(Inputs!$B$38="pvp",1,1+(Inputs!$B$20+0+Skills!P3)/100),0)</f>
        <v/>
      </c>
      <c r="U1380">
        <f>INDEX(FactorTable!$B$2:$Y$301, MATCH(ROUND(MIN(300,MAX(1,U1379)),0), FactorTable!$A$2:$A$301,0), 22)</f>
        <v/>
      </c>
      <c r="V1380">
        <f>IF(C1380,(Skills!G3*H1380*N1380*B1406)*IF(Inputs!$B$38="pvp",1,(1+(Inputs!$B$21+Skills!Q3)/100)*(MIN(Skills!R3,Inputs!$B$37))),0)</f>
        <v/>
      </c>
    </row>
    <row r="1381">
      <c r="A1381">
        <f>Skills!A4</f>
        <v/>
      </c>
      <c r="B1381">
        <f>Skills!B4</f>
        <v/>
      </c>
      <c r="C1381">
        <f>Inputs!$B$3&gt;=60</f>
        <v/>
      </c>
      <c r="D1381">
        <f>IF(Skills!C4=1,60+Inputs!$B$25+Inputs!$B$29,IF(Skills!C4=2,90+Inputs!$B$26+Inputs!$B$29,IF(Skills!C4=3,120+Inputs!$B$27+Inputs!$B$29,MAX(0,(Inputs!$B$3-100)*3)+Inputs!$B$28+Inputs!$B$29)))</f>
        <v/>
      </c>
      <c r="E1381">
        <f>INDEX(FactorTable!$B$2:$Y$301, MATCH(ROUND(MIN(300,MAX(1,D1381)),0), FactorTable!$A$2:$A$301,0), Skills!M4+1)</f>
        <v/>
      </c>
      <c r="F1381">
        <f>IF(Skills!N4=TRUE,(Skills!L4/10)*(E1381/1000),Skills!L4/10)+Skills!O4</f>
        <v/>
      </c>
      <c r="G1381">
        <f>Skills!G4*IF(Skills!H4&gt;0,Skills!I4/Skills!H4,1)</f>
        <v/>
      </c>
      <c r="H1381">
        <f>1-(1-Skills!J4/100)^Skills!K4</f>
        <v/>
      </c>
      <c r="I1381" t="inlineStr">
        <is>
          <t>1</t>
        </is>
      </c>
      <c r="J1381">
        <f>((Inputs!$B$6*(1+Inputs!$B$7/100))+(((Inputs!$B$12*(1+Inputs!$B$13/100))-(Inputs!$B$12*(1+Inputs!$B$13/100)))+0.25*(Inputs!$B$14-Inputs!$B$14))*(1+Inputs!$B$7/100))*(F1381/100)</f>
        <v/>
      </c>
      <c r="K1381">
        <f>J1381*(1+((Inputs!$B$12*(1+Inputs!$B$13/100))*0.01+Inputs!$B$14*0.0025)/100)*(1+Inputs!$B$15/100)*(1+Inputs!$B$16/100)*(5000/(6000+Inputs!$B$42*(1-(Inputs!$B$19+0)/100)))*(1+(Inputs!$B$24+((C1399=TRUE)*(F1399-Calc!F22))+B1408)/100)*(1+1.0*IF(C1389=TRUE,F1389,0)/100)*(1+(IF(Skills!A4="HOOK_BOMBER",Inputs!$B$17+((C1398=TRUE)*(F1398-Calc!F21)),Inputs!$B$18+0))/100)*((1+(((C1390=TRUE)*F1390)+((C1396=TRUE)*(F1396-Calc!F19)))/100)*I1381)</f>
        <v/>
      </c>
      <c r="L1381">
        <f>K1381*(MIN(Inputs!$B$22+((C1397=TRUE)*(F1397-Calc!F20)),Inputs!$B$23+0)/100+(Inputs!$B$23+0)/100)/2</f>
        <v/>
      </c>
      <c r="M1381">
        <f>L1381*(1+(Inputs!$B$10+0+B1407)/100)</f>
        <v/>
      </c>
      <c r="N1381">
        <f>L1381*(1-MIN((Inputs!$B$9+((C1393=TRUE)*(F1393-Calc!F16))+B1402),100)/100)+M1381*(MIN((Inputs!$B$9+((C1393=TRUE)*(F1393-Calc!F16))+B1402),100)/100)</f>
        <v/>
      </c>
      <c r="O1381">
        <f>(1-Summary!$B$55)*T1381+Summary!$B$55*V1381</f>
        <v/>
      </c>
      <c r="P1381">
        <f>IF(B1412=0,0,O1381/B1412)</f>
        <v/>
      </c>
      <c r="Q1381" t="n">
        <v>0</v>
      </c>
      <c r="R1381" t="n">
        <v>0</v>
      </c>
      <c r="S1381">
        <f>IFERROR(O1381/N1381,0)</f>
        <v/>
      </c>
      <c r="T1381">
        <f>IF(C1381,(Skills!G4*H1381*N1381*B1406)*IF(Inputs!$B$38="pvp",1,1+(Inputs!$B$20+0+Skills!P4)/100),0)</f>
        <v/>
      </c>
      <c r="U1381">
        <f>290*U1380/1000</f>
        <v/>
      </c>
      <c r="V1381">
        <f>IF(C1381,(Skills!G4*H1381*N1381*B1406)*IF(Inputs!$B$38="pvp",1,(1+(Inputs!$B$21+Skills!Q4)/100)*(MIN(Skills!R4,Inputs!$B$37))),0)</f>
        <v/>
      </c>
    </row>
    <row r="1382">
      <c r="A1382">
        <f>Skills!A5</f>
        <v/>
      </c>
      <c r="B1382">
        <f>Skills!B5</f>
        <v/>
      </c>
      <c r="C1382">
        <f>Inputs!$B$3&gt;=60</f>
        <v/>
      </c>
      <c r="D1382">
        <f>IF(Skills!C5=1,60+Inputs!$B$25+Inputs!$B$29,IF(Skills!C5=2,90+Inputs!$B$26+Inputs!$B$29,IF(Skills!C5=3,120+Inputs!$B$27+Inputs!$B$29,MAX(0,(Inputs!$B$3-100)*3)+Inputs!$B$28+Inputs!$B$29)))</f>
        <v/>
      </c>
      <c r="E1382">
        <f>INDEX(FactorTable!$B$2:$Y$301, MATCH(ROUND(MIN(300,MAX(1,D1382)),0), FactorTable!$A$2:$A$301,0), Skills!M5+1)</f>
        <v/>
      </c>
      <c r="F1382">
        <f>IF(Skills!N5=TRUE,(Skills!L5/10)*(E1382/1000),Skills!L5/10)+Skills!O5</f>
        <v/>
      </c>
      <c r="G1382">
        <f>Skills!G5*IF(Skills!H5&gt;0,Skills!I5/Skills!H5,1)</f>
        <v/>
      </c>
      <c r="H1382">
        <f>1-(1-Skills!J5/100)^Skills!K5</f>
        <v/>
      </c>
      <c r="I1382" t="inlineStr">
        <is>
          <t>1</t>
        </is>
      </c>
      <c r="J1382" t="inlineStr"/>
      <c r="K1382" t="inlineStr"/>
      <c r="L1382" t="inlineStr"/>
      <c r="M1382" t="inlineStr"/>
      <c r="N1382" t="inlineStr"/>
      <c r="O1382">
        <f>(1-Summary!$B$55)*T1382+Summary!$B$55*V1382</f>
        <v/>
      </c>
      <c r="P1382">
        <f>IF(B1412=0,0,O1382/B1412)</f>
        <v/>
      </c>
      <c r="Q1382" t="n">
        <v>0</v>
      </c>
      <c r="R1382" t="n">
        <v>0</v>
      </c>
      <c r="S1382">
        <f>IFERROR(O1382/N1382,0)</f>
        <v/>
      </c>
      <c r="T1382" t="n">
        <v>0</v>
      </c>
      <c r="V1382" t="n">
        <v>0</v>
      </c>
    </row>
    <row r="1383">
      <c r="A1383">
        <f>Skills!A6</f>
        <v/>
      </c>
      <c r="B1383">
        <f>Skills!B6</f>
        <v/>
      </c>
      <c r="C1383">
        <f>Inputs!$B$3&gt;=63</f>
        <v/>
      </c>
      <c r="D1383">
        <f>IF(Skills!C6=1,60+Inputs!$B$25+Inputs!$B$29,IF(Skills!C6=2,90+Inputs!$B$26+Inputs!$B$29,IF(Skills!C6=3,120+Inputs!$B$27+Inputs!$B$29,MAX(0,(Inputs!$B$3-100)*3)+Inputs!$B$28+Inputs!$B$29)))</f>
        <v/>
      </c>
      <c r="E1383">
        <f>INDEX(FactorTable!$B$2:$Y$301, MATCH(ROUND(MIN(300,MAX(1,D1383)),0), FactorTable!$A$2:$A$301,0), Skills!M6+1)</f>
        <v/>
      </c>
      <c r="F1383">
        <f>IF(Skills!N6=TRUE,(Skills!L6/10)*(E1383/1000),Skills!L6/10)+Skills!O6</f>
        <v/>
      </c>
      <c r="G1383">
        <f>Skills!G6*IF(Skills!H6&gt;0,Skills!I6/Skills!H6,1)</f>
        <v/>
      </c>
      <c r="H1383">
        <f>1-(1-Skills!J6/100)^Skills!K6</f>
        <v/>
      </c>
      <c r="I1383" t="inlineStr">
        <is>
          <t>1</t>
        </is>
      </c>
      <c r="J1383">
        <f>((Inputs!$B$6*(1+Inputs!$B$7/100))+(((Inputs!$B$12*(1+Inputs!$B$13/100))-(Inputs!$B$12*(1+Inputs!$B$13/100)))+0.25*(Inputs!$B$14-Inputs!$B$14))*(1+Inputs!$B$7/100))*(F1383/100)</f>
        <v/>
      </c>
      <c r="K1383">
        <f>J1383*(1+((Inputs!$B$12*(1+Inputs!$B$13/100))*0.01+Inputs!$B$14*0.0025)/100)*(1+Inputs!$B$15/100)*(1+Inputs!$B$16/100)*(5000/(6000+Inputs!$B$42*(1-(Inputs!$B$19+0)/100)))*(1+(Inputs!$B$24+((C1399=TRUE)*(F1399-Calc!F22))+B1408)/100)*(1+(IF(Skills!A6="HOOK_BOMBER",Inputs!$B$17+((C1398=TRUE)*(F1398-Calc!F21)),Inputs!$B$18+0))/100)*((1+(((C1390=TRUE)*F1390)+((C1396=TRUE)*(F1396-Calc!F19)))/100)*I1383)</f>
        <v/>
      </c>
      <c r="L1383">
        <f>K1383*(MIN(Inputs!$B$22+((C1397=TRUE)*(F1397-Calc!F20)),Inputs!$B$23+0)/100+(Inputs!$B$23+0)/100)/2</f>
        <v/>
      </c>
      <c r="M1383">
        <f>L1383*(1+(Inputs!$B$10+0+B1407)/100)</f>
        <v/>
      </c>
      <c r="N1383">
        <f>L1383*(1-MIN((Inputs!$B$9+((C1393=TRUE)*(F1393-Calc!F16))+B1402),100)/100)+M1383*(MIN((Inputs!$B$9+((C1393=TRUE)*(F1393-Calc!F16))+B1402),100)/100)</f>
        <v/>
      </c>
      <c r="O1383">
        <f>(1-Summary!$B$55)*T1383+Summary!$B$55*V1383</f>
        <v/>
      </c>
      <c r="P1383">
        <f>IF(B1412=0,0,O1383/B1412)</f>
        <v/>
      </c>
      <c r="Q1383">
        <f>IFERROR(1/IF(Inputs!$B$38="pvp",15,MAX(0.1,Skills!D6-IF(Skills!E6=TRUE,5.0,0))),0)</f>
        <v/>
      </c>
      <c r="R1383">
        <f>IF(AND(Inputs!$B$38&lt;&gt;"pvp",Inputs!$B$43&gt;0),IF(MAX(0,Inputs!$B$43-B1409)&lt;=0,0,(INT(MAX(0,Inputs!$B$43-B1409)/IF(Inputs!$B$38="pvp",15,MAX(0.1,Skills!D6-IF(Skills!E6=TRUE,5.0,0))))+1)),0)</f>
        <v/>
      </c>
      <c r="S1383">
        <f>IFERROR(O1383/N1383,0)</f>
        <v/>
      </c>
      <c r="T1383">
        <f>IF(C1383,(H1383*N1383*IF(AND(Inputs!$B$38&lt;&gt;"pvp",Inputs!$B$43&gt;0),((Skills!G6*((R1383-1)*IF(Skills!H6&gt;0,Skills!I6/Skills!H6,1)+IF(Skills!H6&gt;0,MIN(Skills!I6,MAX(0,MAX(0,Inputs!$B$43-B1409)-((R1383-1)*IF(Inputs!$B$38="pvp",15,MAX(0.1,Skills!D6-IF(Skills!E6=TRUE,5.0,0))))))/Skills!H6,1)))/Inputs!$B$43),G1383*Q1383))*IF(Inputs!$B$38="pvp",1,1+(Inputs!$B$20+0+Skills!P6)/100),0)</f>
        <v/>
      </c>
      <c r="V1383">
        <f>IF(C1383,(H1383*N1383*IF(AND(Inputs!$B$38&lt;&gt;"pvp",Inputs!$B$43&gt;0),((Skills!G6*((R1383-1)*IF(Skills!H6&gt;0,Skills!I6/Skills!H6,1)+IF(Skills!H6&gt;0,MIN(Skills!I6,MAX(0,MAX(0,Inputs!$B$43-B1409)-((R1383-1)*IF(Inputs!$B$38="pvp",15,MAX(0.1,Skills!D6-IF(Skills!E6=TRUE,5.0,0))))))/Skills!H6,1)))/Inputs!$B$43),G1383*Q1383))*IF(Inputs!$B$38="pvp",1,(1+(Inputs!$B$21+Skills!Q6)/100)*(MIN(Skills!R6,Inputs!$B$37))),0)</f>
        <v/>
      </c>
    </row>
    <row r="1384">
      <c r="A1384">
        <f>Skills!A7</f>
        <v/>
      </c>
      <c r="B1384">
        <f>Skills!B7</f>
        <v/>
      </c>
      <c r="C1384">
        <f>Inputs!$B$3&gt;=100</f>
        <v/>
      </c>
      <c r="D1384">
        <f>IF(Skills!C7=1,60+Inputs!$B$25+Inputs!$B$29,IF(Skills!C7=2,90+Inputs!$B$26+Inputs!$B$29,IF(Skills!C7=3,120+Inputs!$B$27+Inputs!$B$29,MAX(0,(Inputs!$B$3-100)*3)+Inputs!$B$28+Inputs!$B$29)))</f>
        <v/>
      </c>
      <c r="E1384">
        <f>INDEX(FactorTable!$B$2:$Y$301, MATCH(ROUND(MIN(300,MAX(1,D1384)),0), FactorTable!$A$2:$A$301,0), Skills!M7+1)</f>
        <v/>
      </c>
      <c r="F1384">
        <f>IF(Skills!N7=TRUE,(Skills!L7/10)*(E1384/1000),Skills!L7/10)+Skills!O7</f>
        <v/>
      </c>
      <c r="G1384">
        <f>Skills!G7*IF(Skills!H7&gt;0,Skills!I7/Skills!H7,1)</f>
        <v/>
      </c>
      <c r="H1384">
        <f>1-(1-Skills!J7/100)^Skills!K7</f>
        <v/>
      </c>
      <c r="I1384" t="inlineStr">
        <is>
          <t>1</t>
        </is>
      </c>
      <c r="J1384">
        <f>((Inputs!$B$6*(1+Inputs!$B$7/100))+(((Inputs!$B$12*(1+Inputs!$B$13/100))-(Inputs!$B$12*(1+Inputs!$B$13/100)))+0.25*(Inputs!$B$14-Inputs!$B$14))*(1+Inputs!$B$7/100))*(F1384/100)</f>
        <v/>
      </c>
      <c r="K1384">
        <f>J1384*(1+((Inputs!$B$12*(1+Inputs!$B$13/100))*0.01+Inputs!$B$14*0.0025)/100)*(1+Inputs!$B$15/100)*(1+Inputs!$B$16/100)*(5000/(6000+Inputs!$B$42*(1-(Inputs!$B$19+0)/100)))*(1+(Inputs!$B$24+((C1399=TRUE)*(F1399-Calc!F22))+B1408)/100)*(1+(IF(Skills!A7="HOOK_BOMBER",Inputs!$B$17+((C1398=TRUE)*(F1398-Calc!F21)),Inputs!$B$18+0))/100)*((1+(((C1390=TRUE)*F1390)+((C1396=TRUE)*(F1396-Calc!F19)))/100)*I1384)</f>
        <v/>
      </c>
      <c r="L1384">
        <f>K1384*(MIN(Inputs!$B$22+((C1397=TRUE)*(F1397-Calc!F20)),Inputs!$B$23+0)/100+(Inputs!$B$23+0)/100)/2</f>
        <v/>
      </c>
      <c r="M1384">
        <f>L1384*(1+(Inputs!$B$10+0+B1407)/100)</f>
        <v/>
      </c>
      <c r="N1384">
        <f>L1384*(1-MIN((Inputs!$B$9+((C1393=TRUE)*(F1393-Calc!F16))+B1402),100)/100)+M1384*(MIN((Inputs!$B$9+((C1393=TRUE)*(F1393-Calc!F16))+B1402),100)/100)</f>
        <v/>
      </c>
      <c r="O1384">
        <f>(1-Summary!$B$55)*T1384+Summary!$B$55*V1384</f>
        <v/>
      </c>
      <c r="P1384">
        <f>IF(B1412=0,0,O1384/B1412)</f>
        <v/>
      </c>
      <c r="Q1384">
        <f>IFERROR(1/IF(Inputs!$B$38="pvp",15,MAX(0.1,Skills!D7-IF(Skills!E7=TRUE,5.0,0))),0)</f>
        <v/>
      </c>
      <c r="R1384">
        <f>IF(AND(Inputs!$B$38&lt;&gt;"pvp",Inputs!$B$43&gt;0),IF(MAX(0,Inputs!$B$43-B1409)&lt;=0,0,(INT(MAX(0,Inputs!$B$43-B1409)/IF(Inputs!$B$38="pvp",15,MAX(0.1,Skills!D7-IF(Skills!E7=TRUE,5.0,0))))+1)),0)</f>
        <v/>
      </c>
      <c r="S1384">
        <f>IFERROR(O1384/N1384,0)</f>
        <v/>
      </c>
      <c r="T1384">
        <f>IF(C1384,(H1384*N1384*IF(AND(Inputs!$B$38&lt;&gt;"pvp",Inputs!$B$43&gt;0),((Skills!G7*((R1384-1)*IF(Skills!H7&gt;0,Skills!I7/Skills!H7,1)+IF(Skills!H7&gt;0,MIN(Skills!I7,MAX(0,MAX(0,Inputs!$B$43-B1409)-((R1384-1)*IF(Inputs!$B$38="pvp",15,MAX(0.1,Skills!D7-IF(Skills!E7=TRUE,5.0,0))))))/Skills!H7,1)))/Inputs!$B$43),G1384*Q1384))*IF(Inputs!$B$38="pvp",1,1+(Inputs!$B$20+0+Skills!P7)/100),0)</f>
        <v/>
      </c>
      <c r="V1384">
        <f>IF(C1384,(H1384*N1384*IF(AND(Inputs!$B$38&lt;&gt;"pvp",Inputs!$B$43&gt;0),((Skills!G7*((R1384-1)*IF(Skills!H7&gt;0,Skills!I7/Skills!H7,1)+IF(Skills!H7&gt;0,MIN(Skills!I7,MAX(0,MAX(0,Inputs!$B$43-B1409)-((R1384-1)*IF(Inputs!$B$38="pvp",15,MAX(0.1,Skills!D7-IF(Skills!E7=TRUE,5.0,0))))))/Skills!H7,1)))/Inputs!$B$43),G1384*Q1384))*IF(Inputs!$B$38="pvp",1,(1+(Inputs!$B$21+Skills!Q7)/100)*(MIN(Skills!R7,Inputs!$B$37))),0)</f>
        <v/>
      </c>
    </row>
    <row r="1385">
      <c r="A1385">
        <f>Skills!A8</f>
        <v/>
      </c>
      <c r="B1385">
        <f>Skills!B8</f>
        <v/>
      </c>
      <c r="C1385">
        <f>Inputs!$B$3&gt;=110</f>
        <v/>
      </c>
      <c r="D1385">
        <f>IF(Skills!C8=1,60+Inputs!$B$25+Inputs!$B$29,IF(Skills!C8=2,90+Inputs!$B$26+Inputs!$B$29,IF(Skills!C8=3,120+Inputs!$B$27+Inputs!$B$29,MAX(0,(Inputs!$B$3-100)*3)+Inputs!$B$28+Inputs!$B$29)))</f>
        <v/>
      </c>
      <c r="E1385">
        <f>INDEX(FactorTable!$B$2:$Y$301, MATCH(ROUND(MIN(300,MAX(1,D1385)),0), FactorTable!$A$2:$A$301,0), Skills!M8+1)</f>
        <v/>
      </c>
      <c r="F1385">
        <f>IF(Skills!N8=TRUE,(Skills!L8/10)*(E1385/1000),Skills!L8/10)+Skills!O8</f>
        <v/>
      </c>
      <c r="G1385">
        <f>Skills!G8*IF(Skills!H8&gt;0,Skills!I8/Skills!H8,1)</f>
        <v/>
      </c>
      <c r="H1385">
        <f>1-(1-Skills!J8/100)^Skills!K8</f>
        <v/>
      </c>
      <c r="I1385" t="inlineStr">
        <is>
          <t>1</t>
        </is>
      </c>
      <c r="J1385">
        <f>((Inputs!$B$6*(1+Inputs!$B$7/100))+(((Inputs!$B$12*(1+Inputs!$B$13/100))-(Inputs!$B$12*(1+Inputs!$B$13/100)))+0.25*(Inputs!$B$14-Inputs!$B$14))*(1+Inputs!$B$7/100))*(F1385/100)</f>
        <v/>
      </c>
      <c r="K1385">
        <f>J1385*(1+((Inputs!$B$12*(1+Inputs!$B$13/100))*0.01+Inputs!$B$14*0.0025)/100)*(1+Inputs!$B$15/100)*(1+Inputs!$B$16/100)*(5000/(6000+Inputs!$B$42*(1-(Inputs!$B$19+0)/100)))*(1+(Inputs!$B$24+((C1399=TRUE)*(F1399-Calc!F22))+B1408)/100)*(1+(IF(Skills!A8="HOOK_BOMBER",Inputs!$B$17+((C1398=TRUE)*(F1398-Calc!F21)),Inputs!$B$18+0))/100)*((1+(((C1390=TRUE)*F1390)+((C1396=TRUE)*(F1396-Calc!F19)))/100)*I1385)</f>
        <v/>
      </c>
      <c r="L1385">
        <f>K1385*(MIN(Inputs!$B$22+((C1397=TRUE)*(F1397-Calc!F20)),Inputs!$B$23+0)/100+(Inputs!$B$23+0)/100)/2</f>
        <v/>
      </c>
      <c r="M1385">
        <f>L1385*(1+(Inputs!$B$10+0+B1407)/100)</f>
        <v/>
      </c>
      <c r="N1385">
        <f>L1385*(1-MIN((Inputs!$B$9+((C1393=TRUE)*(F1393-Calc!F16))+B1402),100)/100)+M1385*(MIN((Inputs!$B$9+((C1393=TRUE)*(F1393-Calc!F16))+B1402),100)/100)</f>
        <v/>
      </c>
      <c r="O1385">
        <f>(1-Summary!$B$55)*T1385+Summary!$B$55*V1385</f>
        <v/>
      </c>
      <c r="P1385">
        <f>IF(B1412=0,0,O1385/B1412)</f>
        <v/>
      </c>
      <c r="Q1385">
        <f>IFERROR(1/IF(Inputs!$B$38="pvp",15,MAX(0.1,Skills!D8-IF(Skills!E8=TRUE,5.0,0))),0)</f>
        <v/>
      </c>
      <c r="R1385">
        <f>IF(AND(Inputs!$B$38&lt;&gt;"pvp",Inputs!$B$43&gt;0),IF(MAX(0,Inputs!$B$43-B1409)&lt;=0,0,(INT(MAX(0,Inputs!$B$43-B1409)/IF(Inputs!$B$38="pvp",15,MAX(0.1,Skills!D8-IF(Skills!E8=TRUE,5.0,0))))+1)),0)</f>
        <v/>
      </c>
      <c r="S1385">
        <f>IFERROR(O1385/N1385,0)</f>
        <v/>
      </c>
      <c r="T1385">
        <f>IF(C1385,(H1385*N1385*IF(AND(Inputs!$B$38&lt;&gt;"pvp",Inputs!$B$43&gt;0),((Skills!G8*((R1385-1)*IF(Skills!H8&gt;0,Skills!I8/Skills!H8,1)+IF(Skills!H8&gt;0,MIN(Skills!I8,MAX(0,MAX(0,Inputs!$B$43-B1409)-((R1385-1)*IF(Inputs!$B$38="pvp",15,MAX(0.1,Skills!D8-IF(Skills!E8=TRUE,5.0,0))))))/Skills!H8,1)))/Inputs!$B$43),G1385*Q1385))*IF(Inputs!$B$38="pvp",1,1+(Inputs!$B$20+0+Skills!P8)/100),0)</f>
        <v/>
      </c>
      <c r="V1385">
        <f>IF(C1385,(H1385*N1385*IF(AND(Inputs!$B$38&lt;&gt;"pvp",Inputs!$B$43&gt;0),((Skills!G8*((R1385-1)*IF(Skills!H8&gt;0,Skills!I8/Skills!H8,1)+IF(Skills!H8&gt;0,MIN(Skills!I8,MAX(0,MAX(0,Inputs!$B$43-B1409)-((R1385-1)*IF(Inputs!$B$38="pvp",15,MAX(0.1,Skills!D8-IF(Skills!E8=TRUE,5.0,0))))))/Skills!H8,1)))/Inputs!$B$43),G1385*Q1385))*IF(Inputs!$B$38="pvp",1,(1+(Inputs!$B$21+Skills!Q8)/100)*(MIN(Skills!R8,Inputs!$B$37))),0)</f>
        <v/>
      </c>
    </row>
    <row r="1386">
      <c r="A1386">
        <f>Skills!A9</f>
        <v/>
      </c>
      <c r="B1386">
        <f>Skills!B9</f>
        <v/>
      </c>
      <c r="C1386">
        <f>Inputs!$B$3&gt;=110</f>
        <v/>
      </c>
      <c r="D1386">
        <f>IF(Skills!C9=1,60+Inputs!$B$25+Inputs!$B$29,IF(Skills!C9=2,90+Inputs!$B$26+Inputs!$B$29,IF(Skills!C9=3,120+Inputs!$B$27+Inputs!$B$29,MAX(0,(Inputs!$B$3-100)*3)+Inputs!$B$28+Inputs!$B$29)))</f>
        <v/>
      </c>
      <c r="E1386">
        <f>INDEX(FactorTable!$B$2:$Y$301, MATCH(ROUND(MIN(300,MAX(1,D1386)),0), FactorTable!$A$2:$A$301,0), Skills!M9+1)</f>
        <v/>
      </c>
      <c r="F1386">
        <f>IF(Skills!N9=TRUE,(Skills!L9/10)*(E1386/1000),Skills!L9/10)+Skills!O9</f>
        <v/>
      </c>
      <c r="G1386">
        <f>Skills!G9*IF(Skills!H9&gt;0,Skills!I9/Skills!H9,1)</f>
        <v/>
      </c>
      <c r="H1386">
        <f>1-(1-Skills!J9/100)^Skills!K9</f>
        <v/>
      </c>
      <c r="I1386" t="inlineStr">
        <is>
          <t>1</t>
        </is>
      </c>
      <c r="J1386">
        <f>((Inputs!$B$6*(1+Inputs!$B$7/100))+(((Inputs!$B$12*(1+Inputs!$B$13/100))-(Inputs!$B$12*(1+Inputs!$B$13/100)))+0.25*(Inputs!$B$14-Inputs!$B$14))*(1+Inputs!$B$7/100))*(F1386/100)</f>
        <v/>
      </c>
      <c r="K1386">
        <f>J1386*(1+((Inputs!$B$12*(1+Inputs!$B$13/100))*0.01+Inputs!$B$14*0.0025)/100)*(1+Inputs!$B$15/100)*(1+Inputs!$B$16/100)*(5000/(6000+Inputs!$B$42*(1-(Inputs!$B$19+0)/100)))*(1+(Inputs!$B$24+((C1399=TRUE)*(F1399-Calc!F22))+B1408)/100)*(1+(IF(Skills!A9="HOOK_BOMBER",Inputs!$B$17+((C1398=TRUE)*(F1398-Calc!F21)),Inputs!$B$18+0))/100)*((1+(((C1390=TRUE)*F1390)+((C1396=TRUE)*(F1396-Calc!F19)))/100)*I1386)</f>
        <v/>
      </c>
      <c r="L1386">
        <f>K1386*(MIN(Inputs!$B$22+((C1397=TRUE)*(F1397-Calc!F20)),Inputs!$B$23+0)/100+(Inputs!$B$23+0)/100)/2</f>
        <v/>
      </c>
      <c r="M1386">
        <f>L1386*(1+(Inputs!$B$10+0+B1407)/100)</f>
        <v/>
      </c>
      <c r="N1386">
        <f>L1386*(1-MIN((Inputs!$B$9+((C1393=TRUE)*(F1393-Calc!F16))+B1402),100)/100)+M1386*(MIN((Inputs!$B$9+((C1393=TRUE)*(F1393-Calc!F16))+B1402),100)/100)</f>
        <v/>
      </c>
      <c r="O1386">
        <f>(1-Summary!$B$55)*T1386+Summary!$B$55*V1386</f>
        <v/>
      </c>
      <c r="P1386">
        <f>IF(B1412=0,0,O1386/B1412)</f>
        <v/>
      </c>
      <c r="Q1386">
        <f>IFERROR(1/IF(Inputs!$B$38="pvp",15,MAX(0.1,Skills!D9-IF(Skills!E9=TRUE,5.0,0))),0)</f>
        <v/>
      </c>
      <c r="R1386">
        <f>IF(AND(Inputs!$B$38&lt;&gt;"pvp",Inputs!$B$43&gt;0),IF(MAX(0,Inputs!$B$43-B1409)&lt;=0,0,(INT(MAX(0,Inputs!$B$43-B1409)/IF(Inputs!$B$38="pvp",15,MAX(0.1,Skills!D9-IF(Skills!E9=TRUE,5.0,0))))+1)),0)</f>
        <v/>
      </c>
      <c r="S1386">
        <f>IFERROR(O1386/N1386,0)</f>
        <v/>
      </c>
      <c r="T1386">
        <f>IF(C1386,(H1386*N1386*IF(AND(Inputs!$B$38&lt;&gt;"pvp",Inputs!$B$43&gt;0),((Skills!G9*((R1386-1)*IF(Skills!H9&gt;0,Skills!I9/Skills!H9,1)+IF(Skills!H9&gt;0,MIN(Skills!I9,MAX(0,MAX(0,Inputs!$B$43-B1409)-((R1386-1)*IF(Inputs!$B$38="pvp",15,MAX(0.1,Skills!D9-IF(Skills!E9=TRUE,5.0,0))))))/Skills!H9,1)))/Inputs!$B$43),G1386*Q1386))*IF(Inputs!$B$38="pvp",1,1+(Inputs!$B$20+0+Skills!P9)/100),0)</f>
        <v/>
      </c>
      <c r="V1386">
        <f>IF(C1386,(H1386*N1386*IF(AND(Inputs!$B$38&lt;&gt;"pvp",Inputs!$B$43&gt;0),((Skills!G9*((R1386-1)*IF(Skills!H9&gt;0,Skills!I9/Skills!H9,1)+IF(Skills!H9&gt;0,MIN(Skills!I9,MAX(0,MAX(0,Inputs!$B$43-B1409)-((R1386-1)*IF(Inputs!$B$38="pvp",15,MAX(0.1,Skills!D9-IF(Skills!E9=TRUE,5.0,0))))))/Skills!H9,1)))/Inputs!$B$43),G1386*Q1386))*IF(Inputs!$B$38="pvp",1,(1+(Inputs!$B$21+Skills!Q9)/100)*(MIN(Skills!R9,Inputs!$B$37))),0)</f>
        <v/>
      </c>
    </row>
    <row r="1387">
      <c r="A1387">
        <f>Skills!A10</f>
        <v/>
      </c>
      <c r="B1387">
        <f>Skills!B10</f>
        <v/>
      </c>
      <c r="C1387">
        <f>Inputs!$B$3&gt;=103</f>
        <v/>
      </c>
      <c r="D1387">
        <f>IF(Skills!C10=1,60+Inputs!$B$25+Inputs!$B$29,IF(Skills!C10=2,90+Inputs!$B$26+Inputs!$B$29,IF(Skills!C10=3,120+Inputs!$B$27+Inputs!$B$29,MAX(0,(Inputs!$B$3-100)*3)+Inputs!$B$28+Inputs!$B$29)))</f>
        <v/>
      </c>
      <c r="E1387">
        <f>INDEX(FactorTable!$B$2:$Y$301, MATCH(ROUND(MIN(300,MAX(1,D1387)),0), FactorTable!$A$2:$A$301,0), Skills!M10+1)</f>
        <v/>
      </c>
      <c r="F1387">
        <f>IF(Skills!N10=TRUE,(Skills!L10/10)*(E1387/1000),Skills!L10/10)+Skills!O10</f>
        <v/>
      </c>
      <c r="G1387">
        <f>Skills!G10*IF(Skills!H10&gt;0,Skills!I10/Skills!H10,1)</f>
        <v/>
      </c>
      <c r="H1387">
        <f>1-(1-Skills!J10/100)^Skills!K10</f>
        <v/>
      </c>
      <c r="I1387" t="inlineStr">
        <is>
          <t>1</t>
        </is>
      </c>
      <c r="J1387">
        <f>((Inputs!$B$6*(1+Inputs!$B$7/100))+(((Inputs!$B$12*(1+Inputs!$B$13/100))-(Inputs!$B$12*(1+Inputs!$B$13/100)))+0.25*(Inputs!$B$14-Inputs!$B$14))*(1+Inputs!$B$7/100))*(F1387/100)</f>
        <v/>
      </c>
      <c r="K1387">
        <f>J1387*(1+((Inputs!$B$12*(1+Inputs!$B$13/100))*0.01+Inputs!$B$14*0.0025)/100)*(1+Inputs!$B$15/100)*(1+Inputs!$B$16/100)*(5000/(6000+Inputs!$B$42*(1-(Inputs!$B$19+0)/100)))*(1+(Inputs!$B$24+((C1399=TRUE)*(F1399-Calc!F22))+B1408)/100)*(1+(IF(Skills!A10="HOOK_BOMBER",Inputs!$B$17+((C1398=TRUE)*(F1398-Calc!F21)),Inputs!$B$18+0))/100)*((1+(((C1390=TRUE)*F1390)+((C1396=TRUE)*(F1396-Calc!F19)))/100)*I1387)</f>
        <v/>
      </c>
      <c r="L1387">
        <f>K1387*(MIN(Inputs!$B$22+((C1397=TRUE)*(F1397-Calc!F20)),Inputs!$B$23+0)/100+(Inputs!$B$23+0)/100)/2</f>
        <v/>
      </c>
      <c r="M1387">
        <f>L1387*(1+(Inputs!$B$10+0+B1407)/100)</f>
        <v/>
      </c>
      <c r="N1387">
        <f>L1387*(1-MIN((Inputs!$B$9+((C1393=TRUE)*(F1393-Calc!F16))+B1402),100)/100)+M1387*(MIN((Inputs!$B$9+((C1393=TRUE)*(F1393-Calc!F16))+B1402),100)/100)</f>
        <v/>
      </c>
      <c r="O1387">
        <f>(1-Summary!$B$55)*T1387+Summary!$B$55*V1387</f>
        <v/>
      </c>
      <c r="P1387">
        <f>IF(B1412=0,0,O1387/B1412)</f>
        <v/>
      </c>
      <c r="Q1387">
        <f>IFERROR(1/IF(Inputs!$B$38="pvp",15,MAX(0.1,Skills!D10-IF(Skills!E10=TRUE,5.0,0))),0)</f>
        <v/>
      </c>
      <c r="R1387">
        <f>IF(AND(Inputs!$B$38&lt;&gt;"pvp",Inputs!$B$43&gt;0),IF(MAX(0,Inputs!$B$43-B1409)&lt;=0,0,(INT(MAX(0,Inputs!$B$43-B1409)/IF(Inputs!$B$38="pvp",15,MAX(0.1,Skills!D10-IF(Skills!E10=TRUE,5.0,0))))+1)),0)</f>
        <v/>
      </c>
      <c r="S1387">
        <f>IFERROR(O1387/N1387,0)</f>
        <v/>
      </c>
      <c r="T1387">
        <f>IF(C1387,(H1387*N1387*IF(AND(Inputs!$B$38&lt;&gt;"pvp",Inputs!$B$43&gt;0),((Skills!G10*((R1387-1)*IF(Skills!H10&gt;0,Skills!I10/Skills!H10,1)+IF(Skills!H10&gt;0,MIN(Skills!I10,MAX(0,MAX(0,Inputs!$B$43-B1409)-((R1387-1)*IF(Inputs!$B$38="pvp",15,MAX(0.1,Skills!D10-IF(Skills!E10=TRUE,5.0,0))))))/Skills!H10,1)))/Inputs!$B$43),G1387*Q1387))*IF(Inputs!$B$38="pvp",1,1+(Inputs!$B$20+0+Skills!P10)/100),0)</f>
        <v/>
      </c>
      <c r="V1387">
        <f>IF(C1387,(H1387*N1387*IF(AND(Inputs!$B$38&lt;&gt;"pvp",Inputs!$B$43&gt;0),((Skills!G10*((R1387-1)*IF(Skills!H10&gt;0,Skills!I10/Skills!H10,1)+IF(Skills!H10&gt;0,MIN(Skills!I10,MAX(0,MAX(0,Inputs!$B$43-B1409)-((R1387-1)*IF(Inputs!$B$38="pvp",15,MAX(0.1,Skills!D10-IF(Skills!E10=TRUE,5.0,0))))))/Skills!H10,1)))/Inputs!$B$43),G1387*Q1387))*IF(Inputs!$B$38="pvp",1,(1+(Inputs!$B$21+Skills!Q10)/100)*(MIN(Skills!R10,Inputs!$B$37))),0)</f>
        <v/>
      </c>
    </row>
    <row r="1388">
      <c r="A1388">
        <f>Skills!A11</f>
        <v/>
      </c>
      <c r="B1388">
        <f>Skills!B11</f>
        <v/>
      </c>
      <c r="C1388">
        <f>Inputs!$B$3&gt;=113</f>
        <v/>
      </c>
      <c r="D1388">
        <f>IF(Skills!C11=1,60+Inputs!$B$25+Inputs!$B$29,IF(Skills!C11=2,90+Inputs!$B$26+Inputs!$B$29,IF(Skills!C11=3,120+Inputs!$B$27+Inputs!$B$29,MAX(0,(Inputs!$B$3-100)*3)+Inputs!$B$28+Inputs!$B$29)))</f>
        <v/>
      </c>
      <c r="E1388">
        <f>INDEX(FactorTable!$B$2:$Y$301, MATCH(ROUND(MIN(300,MAX(1,D1388)),0), FactorTable!$A$2:$A$301,0), Skills!M11+1)</f>
        <v/>
      </c>
      <c r="F1388">
        <f>IF(Skills!N11=TRUE,(Skills!L11/10)*(E1388/1000),Skills!L11/10)+Skills!O11</f>
        <v/>
      </c>
      <c r="G1388">
        <f>Skills!G11*IF(Skills!H11&gt;0,Skills!I11/Skills!H11,1)</f>
        <v/>
      </c>
      <c r="H1388">
        <f>1-(1-Skills!J11/100)^Skills!K11</f>
        <v/>
      </c>
      <c r="I1388" t="inlineStr">
        <is>
          <t>1</t>
        </is>
      </c>
      <c r="J1388">
        <f>((Inputs!$B$6*(1+Inputs!$B$7/100))+(((Inputs!$B$12*(1+Inputs!$B$13/100))-(Inputs!$B$12*(1+Inputs!$B$13/100)))+0.25*(Inputs!$B$14-Inputs!$B$14))*(1+Inputs!$B$7/100))*(F1388/100)</f>
        <v/>
      </c>
      <c r="K1388">
        <f>J1388*(1+((Inputs!$B$12*(1+Inputs!$B$13/100))*0.01+Inputs!$B$14*0.0025)/100)*(1+Inputs!$B$15/100)*(1+Inputs!$B$16/100)*(5000/(6000+Inputs!$B$42*(1-(Inputs!$B$19+0)/100)))*(1+(Inputs!$B$24+((C1399=TRUE)*(F1399-Calc!F22))+B1408)/100)*(1+(IF(Skills!A11="HOOK_BOMBER",Inputs!$B$17+((C1398=TRUE)*(F1398-Calc!F21)),Inputs!$B$18+0))/100)*((1+(((C1390=TRUE)*F1390)+((C1396=TRUE)*(F1396-Calc!F19)))/100)*I1388)</f>
        <v/>
      </c>
      <c r="L1388">
        <f>K1388*(MIN(Inputs!$B$22+((C1397=TRUE)*(F1397-Calc!F20)),Inputs!$B$23+0)/100+(Inputs!$B$23+0)/100)/2</f>
        <v/>
      </c>
      <c r="M1388">
        <f>L1388*(1+(Inputs!$B$10+0+B1407)/100)</f>
        <v/>
      </c>
      <c r="N1388">
        <f>L1388*(1-MIN((Inputs!$B$9+((C1393=TRUE)*(F1393-Calc!F16))+B1402),100)/100)+M1388*(MIN((Inputs!$B$9+((C1393=TRUE)*(F1393-Calc!F16))+B1402),100)/100)</f>
        <v/>
      </c>
      <c r="O1388">
        <f>(1-Summary!$B$55)*T1388+Summary!$B$55*V1388</f>
        <v/>
      </c>
      <c r="P1388">
        <f>IF(B1412=0,0,O1388/B1412)</f>
        <v/>
      </c>
      <c r="Q1388">
        <f>IFERROR(1/IF(Inputs!$B$38="pvp",15,MAX(0.1,Skills!D11-IF(Skills!E11=TRUE,5.0,0))),0)</f>
        <v/>
      </c>
      <c r="R1388">
        <f>IF(AND(Inputs!$B$38&lt;&gt;"pvp",Inputs!$B$43&gt;0),IF(MAX(0,Inputs!$B$43-B1409)&lt;=0,0,(INT(MAX(0,Inputs!$B$43-B1409)/IF(Inputs!$B$38="pvp",15,MAX(0.1,Skills!D11-IF(Skills!E11=TRUE,5.0,0))))+1)),0)</f>
        <v/>
      </c>
      <c r="S1388">
        <f>IFERROR(O1388/N1388,0)</f>
        <v/>
      </c>
      <c r="T1388">
        <f>IF(C1388,(H1388*N1388*IF(AND(Inputs!$B$38&lt;&gt;"pvp",Inputs!$B$43&gt;0),((Skills!G11*((R1388-1)*IF(Skills!H11&gt;0,Skills!I11/Skills!H11,1)+IF(Skills!H11&gt;0,MIN(Skills!I11,MAX(0,MAX(0,Inputs!$B$43-B1409)-((R1388-1)*IF(Inputs!$B$38="pvp",15,MAX(0.1,Skills!D11-IF(Skills!E11=TRUE,5.0,0))))))/Skills!H11,1)))/Inputs!$B$43),G1388*Q1388))*IF(Inputs!$B$38="pvp",1,1+(Inputs!$B$20+0+Skills!P11)/100),0)</f>
        <v/>
      </c>
      <c r="V1388">
        <f>IF(C1388,(H1388*N1388*IF(AND(Inputs!$B$38&lt;&gt;"pvp",Inputs!$B$43&gt;0),((Skills!G11*((R1388-1)*IF(Skills!H11&gt;0,Skills!I11/Skills!H11,1)+IF(Skills!H11&gt;0,MIN(Skills!I11,MAX(0,MAX(0,Inputs!$B$43-B1409)-((R1388-1)*IF(Inputs!$B$38="pvp",15,MAX(0.1,Skills!D11-IF(Skills!E11=TRUE,5.0,0))))))/Skills!H11,1)))/Inputs!$B$43),G1388*Q1388))*IF(Inputs!$B$38="pvp",1,(1+(Inputs!$B$21+Skills!Q11)/100)*(MIN(Skills!R11,Inputs!$B$37))),0)</f>
        <v/>
      </c>
    </row>
    <row r="1389">
      <c r="A1389">
        <f>Skills!A12</f>
        <v/>
      </c>
      <c r="B1389">
        <f>Skills!B12</f>
        <v/>
      </c>
      <c r="C1389">
        <f>Inputs!$B$3&gt;=100</f>
        <v/>
      </c>
      <c r="D1389">
        <f>IF(Skills!C12=1,60+Inputs!$B$25+Inputs!$B$29,IF(Skills!C12=2,90+Inputs!$B$26+Inputs!$B$29,IF(Skills!C12=3,120+Inputs!$B$27+Inputs!$B$29,MAX(0,(Inputs!$B$3-100)*3)+Inputs!$B$28+Inputs!$B$29)))</f>
        <v/>
      </c>
      <c r="E1389">
        <f>INDEX(FactorTable!$B$2:$Y$301, MATCH(ROUND(MIN(300,MAX(1,D1389)),0), FactorTable!$A$2:$A$301,0), Skills!M12+1)</f>
        <v/>
      </c>
      <c r="F1389">
        <f>IF(Skills!N12=TRUE,(Skills!L12/10)*(E1389/1000),Skills!L12/10)+Skills!O12</f>
        <v/>
      </c>
      <c r="G1389" t="inlineStr"/>
      <c r="H1389" t="inlineStr"/>
      <c r="I1389" t="inlineStr">
        <is>
          <t>1</t>
        </is>
      </c>
      <c r="J1389" t="inlineStr"/>
      <c r="K1389" t="inlineStr"/>
      <c r="L1389" t="inlineStr"/>
      <c r="M1389" t="inlineStr"/>
      <c r="N1389" t="inlineStr"/>
      <c r="O1389" t="inlineStr"/>
      <c r="P1389" t="inlineStr"/>
      <c r="Q1389" t="inlineStr"/>
      <c r="R1389" t="inlineStr"/>
      <c r="S1389" t="inlineStr"/>
      <c r="T1389" t="inlineStr"/>
      <c r="V1389" t="inlineStr"/>
    </row>
    <row r="1390">
      <c r="A1390">
        <f>Skills!A13</f>
        <v/>
      </c>
      <c r="B1390">
        <f>Skills!B13</f>
        <v/>
      </c>
      <c r="C1390">
        <f>Inputs!$B$3&gt;=66</f>
        <v/>
      </c>
      <c r="D1390">
        <f>IF(Skills!C13=1,60+Inputs!$B$25+Inputs!$B$29,IF(Skills!C13=2,90+Inputs!$B$26+Inputs!$B$29,IF(Skills!C13=3,120+Inputs!$B$27+Inputs!$B$29,MAX(0,(Inputs!$B$3-100)*3)+Inputs!$B$28+Inputs!$B$29)))</f>
        <v/>
      </c>
      <c r="E1390">
        <f>INDEX(FactorTable!$B$2:$Y$301, MATCH(ROUND(MIN(300,MAX(1,D1390)),0), FactorTable!$A$2:$A$301,0), Skills!M13+1)</f>
        <v/>
      </c>
      <c r="F1390">
        <f>IF(Skills!N13=TRUE,(Skills!L13/10)*(E1390/1000),Skills!L13/10)+Skills!O13</f>
        <v/>
      </c>
      <c r="G1390">
        <f>Skills!G13*IF(Skills!H13&gt;0,Skills!I13/Skills!H13,1)</f>
        <v/>
      </c>
      <c r="H1390">
        <f>1-(1-Skills!J13/100)^Skills!K13</f>
        <v/>
      </c>
      <c r="I1390" t="inlineStr">
        <is>
          <t>1</t>
        </is>
      </c>
      <c r="J1390" t="inlineStr"/>
      <c r="K1390" t="inlineStr"/>
      <c r="L1390" t="inlineStr"/>
      <c r="M1390" t="inlineStr"/>
      <c r="N1390" t="inlineStr"/>
      <c r="O1390">
        <f>(1-Summary!$B$55)*T1390+Summary!$B$55*V1390</f>
        <v/>
      </c>
      <c r="P1390">
        <f>IF(B1412=0,0,O1390/B1412)</f>
        <v/>
      </c>
      <c r="Q1390" t="n">
        <v>0</v>
      </c>
      <c r="R1390" t="n">
        <v>0</v>
      </c>
      <c r="S1390">
        <f>IFERROR(O1390/N1390,0)</f>
        <v/>
      </c>
      <c r="T1390" t="n">
        <v>0</v>
      </c>
      <c r="V1390" t="n">
        <v>0</v>
      </c>
    </row>
    <row r="1391">
      <c r="A1391">
        <f>Skills!A14</f>
        <v/>
      </c>
      <c r="B1391">
        <f>Skills!B14</f>
        <v/>
      </c>
      <c r="C1391">
        <f>Inputs!$B$3&gt;=107</f>
        <v/>
      </c>
      <c r="D1391">
        <f>IF(Skills!C14=1,60+Inputs!$B$25+Inputs!$B$29,IF(Skills!C14=2,90+Inputs!$B$26+Inputs!$B$29,IF(Skills!C14=3,120+Inputs!$B$27+Inputs!$B$29,MAX(0,(Inputs!$B$3-100)*3)+Inputs!$B$28+Inputs!$B$29)))</f>
        <v/>
      </c>
      <c r="E1391">
        <f>INDEX(FactorTable!$B$2:$Y$301, MATCH(ROUND(MIN(300,MAX(1,D1391)),0), FactorTable!$A$2:$A$301,0), Skills!M14+1)</f>
        <v/>
      </c>
      <c r="F1391">
        <f>IF(Skills!N14=TRUE,(Skills!L14/10)*(E1391/1000),Skills!L14/10)+Skills!O14</f>
        <v/>
      </c>
      <c r="G1391">
        <f>Skills!G14*IF(Skills!H14&gt;0,Skills!I14/Skills!H14,1)</f>
        <v/>
      </c>
      <c r="H1391">
        <f>1-(1-Skills!J14/100)^Skills!K14</f>
        <v/>
      </c>
      <c r="I1391" t="inlineStr">
        <is>
          <t>1</t>
        </is>
      </c>
      <c r="J1391" t="inlineStr"/>
      <c r="K1391" t="inlineStr"/>
      <c r="L1391" t="inlineStr"/>
      <c r="M1391" t="inlineStr"/>
      <c r="N1391" t="inlineStr"/>
      <c r="O1391">
        <f>(1-Summary!$B$55)*T1391+Summary!$B$55*V1391</f>
        <v/>
      </c>
      <c r="P1391">
        <f>IF(B1412=0,0,O1391/B1412)</f>
        <v/>
      </c>
      <c r="Q1391" t="n">
        <v>0</v>
      </c>
      <c r="R1391" t="n">
        <v>0</v>
      </c>
      <c r="S1391">
        <f>IFERROR(O1391/N1391,0)</f>
        <v/>
      </c>
      <c r="T1391" t="n">
        <v>0</v>
      </c>
      <c r="V1391" t="n">
        <v>0</v>
      </c>
    </row>
    <row r="1392">
      <c r="A1392">
        <f>Skills!A15</f>
        <v/>
      </c>
      <c r="B1392">
        <f>Skills!B15</f>
        <v/>
      </c>
      <c r="C1392">
        <f>Inputs!$B$3&gt;=115</f>
        <v/>
      </c>
      <c r="D1392">
        <f>IF(Skills!C15=1,60+Inputs!$B$25+Inputs!$B$29,IF(Skills!C15=2,90+Inputs!$B$26+Inputs!$B$29,IF(Skills!C15=3,120+Inputs!$B$27+Inputs!$B$29,MAX(0,(Inputs!$B$3-100)*3)+Inputs!$B$28+Inputs!$B$29)))</f>
        <v/>
      </c>
      <c r="E1392">
        <f>INDEX(FactorTable!$B$2:$Y$301, MATCH(ROUND(MIN(300,MAX(1,D1392)),0), FactorTable!$A$2:$A$301,0), Skills!M15+1)</f>
        <v/>
      </c>
      <c r="F1392">
        <f>IF(Skills!N15=TRUE,(Skills!L15/10)*(E1392/1000),Skills!L15/10)+Skills!O15</f>
        <v/>
      </c>
      <c r="G1392">
        <f>Skills!G15*IF(Skills!H15&gt;0,Skills!I15/Skills!H15,1)</f>
        <v/>
      </c>
      <c r="H1392">
        <f>1-(1-Skills!J15/100)^Skills!K15</f>
        <v/>
      </c>
      <c r="I1392" t="inlineStr">
        <is>
          <t>1</t>
        </is>
      </c>
      <c r="J1392" t="inlineStr"/>
      <c r="K1392" t="inlineStr"/>
      <c r="L1392" t="inlineStr"/>
      <c r="M1392" t="inlineStr"/>
      <c r="N1392" t="inlineStr"/>
      <c r="O1392">
        <f>(1-Summary!$B$55)*T1392+Summary!$B$55*V1392</f>
        <v/>
      </c>
      <c r="P1392">
        <f>IF(B1412=0,0,O1392/B1412)</f>
        <v/>
      </c>
      <c r="Q1392" t="n">
        <v>0</v>
      </c>
      <c r="R1392" t="n">
        <v>0</v>
      </c>
      <c r="S1392">
        <f>IFERROR(O1392/N1392,0)</f>
        <v/>
      </c>
      <c r="T1392" t="n">
        <v>0</v>
      </c>
      <c r="V1392" t="n">
        <v>0</v>
      </c>
    </row>
    <row r="1393">
      <c r="A1393">
        <f>Skills!A16</f>
        <v/>
      </c>
      <c r="B1393">
        <f>Skills!B16</f>
        <v/>
      </c>
      <c r="C1393">
        <f>Inputs!$B$3&gt;=15</f>
        <v/>
      </c>
      <c r="D1393">
        <f>IF(Skills!C16=1,60+Inputs!$B$25+Inputs!$B$29,IF(Skills!C16=2,90+Inputs!$B$26+Inputs!$B$29,IF(Skills!C16=3,120+Inputs!$B$27+Inputs!$B$29,MAX(0,(Inputs!$B$3-100)*3)+Inputs!$B$28+Inputs!$B$29)))</f>
        <v/>
      </c>
      <c r="E1393">
        <f>INDEX(FactorTable!$B$2:$Y$301, MATCH(ROUND(MIN(300,MAX(1,D1393)),0), FactorTable!$A$2:$A$301,0), Skills!M16+1)</f>
        <v/>
      </c>
      <c r="F1393">
        <f>IF(Skills!N16=TRUE,(Skills!L16/10)*(E1393/1000),Skills!L16/10)+Skills!O16</f>
        <v/>
      </c>
      <c r="G1393">
        <f>Skills!G16*IF(Skills!H16&gt;0,Skills!I16/Skills!H16,1)</f>
        <v/>
      </c>
      <c r="H1393">
        <f>1-(1-Skills!J16/100)^Skills!K16</f>
        <v/>
      </c>
      <c r="I1393" t="inlineStr">
        <is>
          <t>1</t>
        </is>
      </c>
      <c r="J1393" t="inlineStr"/>
      <c r="K1393" t="inlineStr"/>
      <c r="L1393" t="inlineStr"/>
      <c r="M1393" t="inlineStr"/>
      <c r="N1393" t="inlineStr"/>
      <c r="O1393">
        <f>(1-Summary!$B$55)*T1393+Summary!$B$55*V1393</f>
        <v/>
      </c>
      <c r="P1393">
        <f>IF(B1412=0,0,O1393/B1412)</f>
        <v/>
      </c>
      <c r="Q1393" t="n">
        <v>0</v>
      </c>
      <c r="R1393" t="n">
        <v>0</v>
      </c>
      <c r="S1393">
        <f>IFERROR(O1393/N1393,0)</f>
        <v/>
      </c>
      <c r="T1393" t="n">
        <v>0</v>
      </c>
      <c r="V1393" t="n">
        <v>0</v>
      </c>
    </row>
    <row r="1394">
      <c r="A1394">
        <f>Skills!A17</f>
        <v/>
      </c>
      <c r="B1394">
        <f>Skills!B17</f>
        <v/>
      </c>
      <c r="C1394">
        <f>Inputs!$B$3&gt;=10</f>
        <v/>
      </c>
      <c r="D1394">
        <f>IF(Skills!C17=1,60+Inputs!$B$25+Inputs!$B$29,IF(Skills!C17=2,90+Inputs!$B$26+Inputs!$B$29,IF(Skills!C17=3,120+Inputs!$B$27+Inputs!$B$29,MAX(0,(Inputs!$B$3-100)*3)+Inputs!$B$28+Inputs!$B$29)))</f>
        <v/>
      </c>
      <c r="E1394">
        <f>INDEX(FactorTable!$B$2:$Y$301, MATCH(ROUND(MIN(300,MAX(1,D1394)),0), FactorTable!$A$2:$A$301,0), Skills!M17+1)</f>
        <v/>
      </c>
      <c r="F1394">
        <f>IF(Skills!N17=TRUE,(Skills!L17/10)*(E1394/1000),Skills!L17/10)+Skills!O17</f>
        <v/>
      </c>
      <c r="G1394">
        <f>Skills!G17*IF(Skills!H17&gt;0,Skills!I17/Skills!H17,1)</f>
        <v/>
      </c>
      <c r="H1394">
        <f>1-(1-Skills!J17/100)^Skills!K17</f>
        <v/>
      </c>
      <c r="I1394" t="inlineStr">
        <is>
          <t>1</t>
        </is>
      </c>
      <c r="J1394" t="inlineStr"/>
      <c r="K1394" t="inlineStr"/>
      <c r="L1394" t="inlineStr"/>
      <c r="M1394" t="inlineStr"/>
      <c r="N1394" t="inlineStr"/>
      <c r="O1394">
        <f>(1-Summary!$B$55)*T1394+Summary!$B$55*V1394</f>
        <v/>
      </c>
      <c r="P1394">
        <f>IF(B1412=0,0,O1394/B1412)</f>
        <v/>
      </c>
      <c r="Q1394" t="n">
        <v>0</v>
      </c>
      <c r="R1394" t="n">
        <v>0</v>
      </c>
      <c r="S1394">
        <f>IFERROR(O1394/N1394,0)</f>
        <v/>
      </c>
      <c r="T1394" t="n">
        <v>0</v>
      </c>
      <c r="V1394" t="n">
        <v>0</v>
      </c>
    </row>
    <row r="1395">
      <c r="A1395">
        <f>Skills!A18</f>
        <v/>
      </c>
      <c r="B1395">
        <f>Skills!B18</f>
        <v/>
      </c>
      <c r="C1395">
        <f>Inputs!$B$3&gt;=33</f>
        <v/>
      </c>
      <c r="D1395">
        <f>IF(Skills!C18=1,60+Inputs!$B$25+Inputs!$B$29,IF(Skills!C18=2,90+Inputs!$B$26+Inputs!$B$29,IF(Skills!C18=3,120+Inputs!$B$27+Inputs!$B$29,MAX(0,(Inputs!$B$3-100)*3)+Inputs!$B$28+Inputs!$B$29)))</f>
        <v/>
      </c>
      <c r="E1395">
        <f>INDEX(FactorTable!$B$2:$Y$301, MATCH(ROUND(MIN(300,MAX(1,D1395)),0), FactorTable!$A$2:$A$301,0), Skills!M18+1)</f>
        <v/>
      </c>
      <c r="F1395">
        <f>IF(Skills!N18=TRUE,(Skills!L18/10)*(E1395/1000),Skills!L18/10)+Skills!O18</f>
        <v/>
      </c>
      <c r="G1395">
        <f>Skills!G18*IF(Skills!H18&gt;0,Skills!I18/Skills!H18,1)</f>
        <v/>
      </c>
      <c r="H1395">
        <f>1-(1-Skills!J18/100)^Skills!K18</f>
        <v/>
      </c>
      <c r="I1395" t="inlineStr">
        <is>
          <t>1</t>
        </is>
      </c>
      <c r="J1395" t="inlineStr"/>
      <c r="K1395" t="inlineStr"/>
      <c r="L1395" t="inlineStr"/>
      <c r="M1395" t="inlineStr"/>
      <c r="N1395" t="inlineStr"/>
      <c r="O1395">
        <f>(1-Summary!$B$55)*T1395+Summary!$B$55*V1395</f>
        <v/>
      </c>
      <c r="P1395">
        <f>IF(B1412=0,0,O1395/B1412)</f>
        <v/>
      </c>
      <c r="Q1395" t="n">
        <v>0</v>
      </c>
      <c r="R1395" t="n">
        <v>0</v>
      </c>
      <c r="S1395">
        <f>IFERROR(O1395/N1395,0)</f>
        <v/>
      </c>
      <c r="T1395" t="n">
        <v>0</v>
      </c>
      <c r="V1395" t="n">
        <v>0</v>
      </c>
    </row>
    <row r="1396">
      <c r="A1396">
        <f>Skills!A19</f>
        <v/>
      </c>
      <c r="B1396">
        <f>Skills!B19</f>
        <v/>
      </c>
      <c r="C1396">
        <f>Inputs!$B$3&gt;=40</f>
        <v/>
      </c>
      <c r="D1396">
        <f>IF(Skills!C19=1,60+Inputs!$B$25+Inputs!$B$29,IF(Skills!C19=2,90+Inputs!$B$26+Inputs!$B$29,IF(Skills!C19=3,120+Inputs!$B$27+Inputs!$B$29,MAX(0,(Inputs!$B$3-100)*3)+Inputs!$B$28+Inputs!$B$29)))</f>
        <v/>
      </c>
      <c r="E1396">
        <f>INDEX(FactorTable!$B$2:$Y$301, MATCH(ROUND(MIN(300,MAX(1,D1396)),0), FactorTable!$A$2:$A$301,0), Skills!M19+1)</f>
        <v/>
      </c>
      <c r="F1396">
        <f>IF(Skills!N19=TRUE,(Skills!L19/10)*(E1396/1000),Skills!L19/10)+Skills!O19</f>
        <v/>
      </c>
      <c r="G1396">
        <f>Skills!G19*IF(Skills!H19&gt;0,Skills!I19/Skills!H19,1)</f>
        <v/>
      </c>
      <c r="H1396">
        <f>1-(1-Skills!J19/100)^Skills!K19</f>
        <v/>
      </c>
      <c r="I1396" t="inlineStr">
        <is>
          <t>1</t>
        </is>
      </c>
      <c r="J1396" t="inlineStr"/>
      <c r="K1396" t="inlineStr"/>
      <c r="L1396" t="inlineStr"/>
      <c r="M1396" t="inlineStr"/>
      <c r="N1396" t="inlineStr"/>
      <c r="O1396">
        <f>(1-Summary!$B$55)*T1396+Summary!$B$55*V1396</f>
        <v/>
      </c>
      <c r="P1396">
        <f>IF(B1412=0,0,O1396/B1412)</f>
        <v/>
      </c>
      <c r="Q1396" t="n">
        <v>0</v>
      </c>
      <c r="R1396" t="n">
        <v>0</v>
      </c>
      <c r="S1396">
        <f>IFERROR(O1396/N1396,0)</f>
        <v/>
      </c>
      <c r="T1396" t="n">
        <v>0</v>
      </c>
      <c r="V1396" t="n">
        <v>0</v>
      </c>
    </row>
    <row r="1397">
      <c r="A1397">
        <f>Skills!A20</f>
        <v/>
      </c>
      <c r="B1397">
        <f>Skills!B20</f>
        <v/>
      </c>
      <c r="C1397">
        <f>Inputs!$B$3&gt;=43</f>
        <v/>
      </c>
      <c r="D1397">
        <f>IF(Skills!C20=1,60+Inputs!$B$25+Inputs!$B$29,IF(Skills!C20=2,90+Inputs!$B$26+Inputs!$B$29,IF(Skills!C20=3,120+Inputs!$B$27+Inputs!$B$29,MAX(0,(Inputs!$B$3-100)*3)+Inputs!$B$28+Inputs!$B$29)))</f>
        <v/>
      </c>
      <c r="E1397">
        <f>INDEX(FactorTable!$B$2:$Y$301, MATCH(ROUND(MIN(300,MAX(1,D1397)),0), FactorTable!$A$2:$A$301,0), Skills!M20+1)</f>
        <v/>
      </c>
      <c r="F1397">
        <f>IF(Skills!N20=TRUE,(Skills!L20/10)*(E1397/1000),Skills!L20/10)+Skills!O20</f>
        <v/>
      </c>
      <c r="G1397">
        <f>Skills!G20*IF(Skills!H20&gt;0,Skills!I20/Skills!H20,1)</f>
        <v/>
      </c>
      <c r="H1397">
        <f>1-(1-Skills!J20/100)^Skills!K20</f>
        <v/>
      </c>
      <c r="I1397" t="inlineStr">
        <is>
          <t>1</t>
        </is>
      </c>
      <c r="J1397" t="inlineStr"/>
      <c r="K1397" t="inlineStr"/>
      <c r="L1397" t="inlineStr"/>
      <c r="M1397" t="inlineStr"/>
      <c r="N1397" t="inlineStr"/>
      <c r="O1397">
        <f>(1-Summary!$B$55)*T1397+Summary!$B$55*V1397</f>
        <v/>
      </c>
      <c r="P1397">
        <f>IF(B1412=0,0,O1397/B1412)</f>
        <v/>
      </c>
      <c r="Q1397" t="n">
        <v>0</v>
      </c>
      <c r="R1397" t="n">
        <v>0</v>
      </c>
      <c r="S1397">
        <f>IFERROR(O1397/N1397,0)</f>
        <v/>
      </c>
      <c r="T1397" t="n">
        <v>0</v>
      </c>
      <c r="V1397" t="n">
        <v>0</v>
      </c>
    </row>
    <row r="1398">
      <c r="A1398">
        <f>Skills!A21</f>
        <v/>
      </c>
      <c r="B1398">
        <f>Skills!B21</f>
        <v/>
      </c>
      <c r="C1398">
        <f>Inputs!$B$3&gt;=38</f>
        <v/>
      </c>
      <c r="D1398">
        <f>IF(Skills!C21=1,60+Inputs!$B$25+Inputs!$B$29,IF(Skills!C21=2,90+Inputs!$B$26+Inputs!$B$29,IF(Skills!C21=3,120+Inputs!$B$27+Inputs!$B$29,MAX(0,(Inputs!$B$3-100)*3)+Inputs!$B$28+Inputs!$B$29)))</f>
        <v/>
      </c>
      <c r="E1398">
        <f>INDEX(FactorTable!$B$2:$Y$301, MATCH(ROUND(MIN(300,MAX(1,D1398)),0), FactorTable!$A$2:$A$301,0), Skills!M21+1)</f>
        <v/>
      </c>
      <c r="F1398">
        <f>IF(Skills!N21=TRUE,(Skills!L21/10)*(E1398/1000),Skills!L21/10)+Skills!O21</f>
        <v/>
      </c>
      <c r="G1398">
        <f>Skills!G21*IF(Skills!H21&gt;0,Skills!I21/Skills!H21,1)</f>
        <v/>
      </c>
      <c r="H1398">
        <f>1-(1-Skills!J21/100)^Skills!K21</f>
        <v/>
      </c>
      <c r="I1398" t="inlineStr">
        <is>
          <t>1</t>
        </is>
      </c>
      <c r="J1398" t="inlineStr"/>
      <c r="K1398" t="inlineStr"/>
      <c r="L1398" t="inlineStr"/>
      <c r="M1398" t="inlineStr"/>
      <c r="N1398" t="inlineStr"/>
      <c r="O1398">
        <f>(1-Summary!$B$55)*T1398+Summary!$B$55*V1398</f>
        <v/>
      </c>
      <c r="P1398">
        <f>IF(B1412=0,0,O1398/B1412)</f>
        <v/>
      </c>
      <c r="Q1398" t="n">
        <v>0</v>
      </c>
      <c r="R1398" t="n">
        <v>0</v>
      </c>
      <c r="S1398">
        <f>IFERROR(O1398/N1398,0)</f>
        <v/>
      </c>
      <c r="T1398" t="n">
        <v>0</v>
      </c>
      <c r="V1398" t="n">
        <v>0</v>
      </c>
    </row>
    <row r="1399">
      <c r="A1399">
        <f>Skills!A22</f>
        <v/>
      </c>
      <c r="B1399">
        <f>Skills!B22</f>
        <v/>
      </c>
      <c r="C1399">
        <f>Inputs!$B$3&gt;=75</f>
        <v/>
      </c>
      <c r="D1399">
        <f>IF(Skills!C22=1,60+Inputs!$B$25+Inputs!$B$29,IF(Skills!C22=2,90+Inputs!$B$26+Inputs!$B$29,IF(Skills!C22=3,120+Inputs!$B$27+Inputs!$B$29,MAX(0,(Inputs!$B$3-100)*3)+Inputs!$B$28+Inputs!$B$29)))</f>
        <v/>
      </c>
      <c r="E1399">
        <f>INDEX(FactorTable!$B$2:$Y$301, MATCH(ROUND(MIN(300,MAX(1,D1399)),0), FactorTable!$A$2:$A$301,0), Skills!M22+1)</f>
        <v/>
      </c>
      <c r="F1399">
        <f>IF(Skills!N22=TRUE,(Skills!L22/10)*(E1399/1000),Skills!L22/10)+Skills!O22</f>
        <v/>
      </c>
      <c r="G1399">
        <f>Skills!G22*IF(Skills!H22&gt;0,Skills!I22/Skills!H22,1)</f>
        <v/>
      </c>
      <c r="H1399">
        <f>1-(1-Skills!J22/100)^Skills!K22</f>
        <v/>
      </c>
      <c r="I1399" t="inlineStr">
        <is>
          <t>1</t>
        </is>
      </c>
      <c r="J1399" t="inlineStr"/>
      <c r="K1399" t="inlineStr"/>
      <c r="L1399" t="inlineStr"/>
      <c r="M1399" t="inlineStr"/>
      <c r="N1399" t="inlineStr"/>
      <c r="O1399">
        <f>(1-Summary!$B$55)*T1399+Summary!$B$55*V1399</f>
        <v/>
      </c>
      <c r="P1399">
        <f>IF(B1412=0,0,O1399/B1412)</f>
        <v/>
      </c>
      <c r="Q1399" t="n">
        <v>0</v>
      </c>
      <c r="R1399" t="n">
        <v>0</v>
      </c>
      <c r="S1399">
        <f>IFERROR(O1399/N1399,0)</f>
        <v/>
      </c>
      <c r="T1399" t="n">
        <v>0</v>
      </c>
      <c r="V1399" t="n">
        <v>0</v>
      </c>
    </row>
    <row r="1401">
      <c r="A1401" t="inlineStr">
        <is>
          <t>Attack% Bucket Multiplier</t>
        </is>
      </c>
      <c r="B1401">
        <f>(1+(((C1390=TRUE)*F1390)+((C1396=TRUE)*(F1396-Calc!F19)))/100)</f>
        <v/>
      </c>
    </row>
    <row r="1402">
      <c r="A1402" t="inlineStr">
        <is>
          <t>Global Crit Rate Bonus %</t>
        </is>
      </c>
      <c r="B1402" t="n">
        <v>0</v>
      </c>
    </row>
    <row r="1403">
      <c r="A1403" t="inlineStr">
        <is>
          <t>Attack Speed Buff Bonus % (unused)</t>
        </is>
      </c>
      <c r="B1403" t="n">
        <v>0</v>
      </c>
    </row>
    <row r="1404">
      <c r="A1404" t="inlineStr">
        <is>
          <t>Actions Per Second</t>
        </is>
      </c>
      <c r="B1404">
        <f>1+MIN(150,150*(1-(1-(Inputs!$B$11+((C1394=TRUE)*(F1394-Calc!F17))+((C1395=TRUE)*(F1395-Calc!F18)))/150)*(1-B1403/150)))/100</f>
        <v/>
      </c>
    </row>
    <row r="1405">
      <c r="A1405" t="inlineStr">
        <is>
          <t>Skill + Buff Cast Rate</t>
        </is>
      </c>
      <c r="B1405">
        <f>IF(AND(Inputs!$B$38&lt;&gt;"pvp",Inputs!$B$43&gt;0),SUMPRODUCT((Skills!E2:E22=TRUE)*(C1379:C1399=TRUE)*R1379:R1399*Skills!F2:F22)/Inputs!$B$43,SUMPRODUCT((Skills!E2:E22=TRUE)*(C1379:C1399=TRUE)*Q1379:Q1399*Skills!F2:F22))</f>
        <v/>
      </c>
    </row>
    <row r="1406">
      <c r="A1406" t="inlineStr">
        <is>
          <t>Hook Bomber Casts Per Second</t>
        </is>
      </c>
      <c r="B1406">
        <f>MAX(0,B1404-B1405)</f>
        <v/>
      </c>
    </row>
    <row r="1407">
      <c r="A1407" t="inlineStr">
        <is>
          <t>Global Critical Damage Bonus % (unused)</t>
        </is>
      </c>
      <c r="B1407" t="n">
        <v>0</v>
      </c>
    </row>
    <row r="1408">
      <c r="A1408" t="inlineStr">
        <is>
          <t>Global Final Damage Bonus % (Serpent Scale + Crossbones + Time Leap + Speed Infusion)</t>
        </is>
      </c>
      <c r="B1408">
        <f>((C1382=TRUE)*F1382*((10+IF(Inputs!$B$3&gt;=94,5,0))/((10+IF(Inputs!$B$3&gt;=94,5,0))+5/(B1406*(1+IF(Inputs!$B$3&gt;=104,1,0))))))+((C1391=TRUE)*F1391)+((C1392=TRUE)*F1392)+((Inputs!$B$3&gt;=110)*20*(B1404-1))</f>
        <v/>
      </c>
    </row>
    <row r="1409">
      <c r="A1409" t="inlineStr">
        <is>
          <t>Buff-Casting Startup Delay (s, fixed-duration only)</t>
        </is>
      </c>
      <c r="B1409">
        <f>IF(AND(Inputs!$B$38&lt;&gt;"pvp",Inputs!$B$43&gt;0),SUMPRODUCT((Skills!T2:T22&gt;0)*(Skills!E2:E22=TRUE)*(C1379:C1399=TRUE))/B1404,0)</f>
        <v/>
      </c>
    </row>
    <row r="1410">
      <c r="A1410" t="inlineStr">
        <is>
          <t>Boss-Only Total DPS (this block's swept value)</t>
        </is>
      </c>
      <c r="B1410">
        <f>SUM(T1379:T1399)</f>
        <v/>
      </c>
    </row>
    <row r="1411">
      <c r="A1411" t="inlineStr">
        <is>
          <t>Normal-Only Total DPS (this block's swept value)</t>
        </is>
      </c>
      <c r="B1411">
        <f>SUM(V1379:V1399)</f>
        <v/>
      </c>
    </row>
    <row r="1412">
      <c r="A1412" s="5" t="inlineStr">
        <is>
          <t>TOTAL DPS</t>
        </is>
      </c>
      <c r="B1412" s="5">
        <f>SUM(O1379:O1399)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2026-09-20T08:47:16Z</dcterms:created>
  <dcterms:modified xsi:type="dcterms:W3CDTF">2026-09-20T08:47:16Z</dcterms:modified>
</cp:coreProperties>
</file>